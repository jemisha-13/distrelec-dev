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tyikealos\Desktop\LEFTNAVIEXCELFILE\"/>
    </mc:Choice>
  </mc:AlternateContent>
  <bookViews>
    <workbookView xWindow="31515" yWindow="1740" windowWidth="28800" windowHeight="16935" tabRatio="500"/>
  </bookViews>
  <sheets>
    <sheet name="Kategorien" sheetId="8" r:id="rId1"/>
    <sheet name="Sheet1" sheetId="9" r:id="rId2"/>
    <sheet name="Sheet2" sheetId="10" r:id="rId3"/>
    <sheet name="Kategorien (2)" sheetId="12" r:id="rId4"/>
  </sheets>
  <functionGroups builtInGroupCount="18"/>
  <externalReferences>
    <externalReference r:id="rId5"/>
  </externalReferences>
  <definedNames>
    <definedName name="_xlnm._FilterDatabase" localSheetId="0" hidden="1">Kategorien!$B$5:$I$373</definedName>
    <definedName name="_xlnm._FilterDatabase" localSheetId="3" hidden="1">'Kategorien (2)'!$B$5:$I$376</definedName>
    <definedName name="_xlnm._FilterDatabase" localSheetId="1" hidden="1">Sheet1!$A$1:$Q$2240</definedName>
    <definedName name="_xlnm._FilterDatabase" localSheetId="2" hidden="1">Sheet2!$A$1:$C$2214</definedName>
    <definedName name="Boolean" localSheetId="0">[1]Admin!$A$4:$A$5</definedName>
    <definedName name="Boolean" localSheetId="3">[1]Admin!$A$4:$A$5</definedName>
    <definedName name="Boolean">#REF!</definedName>
    <definedName name="Datentyp" localSheetId="0">[1]Admin!$B$4:$B$8</definedName>
    <definedName name="Datentyp" localSheetId="3">[1]Admin!$B$4:$B$8</definedName>
    <definedName name="Datentyp">#REF!</definedName>
    <definedName name="Hello">#REF!</definedName>
    <definedName name="hello2">#REF!</definedName>
    <definedName name="hello3">#REF!</definedName>
    <definedName name="POPPrio" localSheetId="0">[1]Admin!$C$4:$C$18</definedName>
    <definedName name="POPPrio" localSheetId="3">[1]Admin!$C$4:$C$18</definedName>
    <definedName name="POPPrio">#REF!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R332" i="12" l="1"/>
  <c r="Y332" i="12"/>
  <c r="AR183" i="12"/>
  <c r="Y183" i="12"/>
  <c r="AR165" i="12"/>
  <c r="Y165" i="12"/>
  <c r="AR137" i="12"/>
  <c r="Y137" i="12"/>
  <c r="AR57" i="12"/>
  <c r="Y57" i="12"/>
  <c r="AR8" i="12"/>
  <c r="Y8" i="12"/>
  <c r="AR7" i="12"/>
  <c r="Y7" i="12"/>
  <c r="AR6" i="12"/>
  <c r="Y6" i="12"/>
  <c r="AF376" i="12"/>
  <c r="AJ375" i="12"/>
  <c r="AN374" i="12"/>
  <c r="AR373" i="12"/>
  <c r="AB373" i="12"/>
  <c r="AF372" i="12"/>
  <c r="AJ371" i="12"/>
  <c r="AN370" i="12"/>
  <c r="AR369" i="12"/>
  <c r="AB369" i="12"/>
  <c r="AF368" i="12"/>
  <c r="AJ367" i="12"/>
  <c r="AN366" i="12"/>
  <c r="AR365" i="12"/>
  <c r="AB365" i="12"/>
  <c r="AF364" i="12"/>
  <c r="AJ363" i="12"/>
  <c r="AN362" i="12"/>
  <c r="AR361" i="12"/>
  <c r="AB361" i="12"/>
  <c r="AF360" i="12"/>
  <c r="AJ359" i="12"/>
  <c r="AN358" i="12"/>
  <c r="AR357" i="12"/>
  <c r="AB357" i="12"/>
  <c r="AM376" i="12"/>
  <c r="AQ375" i="12"/>
  <c r="AA375" i="12"/>
  <c r="AE374" i="12"/>
  <c r="AI373" i="12"/>
  <c r="AM372" i="12"/>
  <c r="AQ371" i="12"/>
  <c r="AA371" i="12"/>
  <c r="AE370" i="12"/>
  <c r="AI369" i="12"/>
  <c r="AM368" i="12"/>
  <c r="AQ367" i="12"/>
  <c r="AA367" i="12"/>
  <c r="AE366" i="12"/>
  <c r="AI365" i="12"/>
  <c r="AM364" i="12"/>
  <c r="AQ363" i="12"/>
  <c r="AA363" i="12"/>
  <c r="AE362" i="12"/>
  <c r="AI361" i="12"/>
  <c r="AM360" i="12"/>
  <c r="AQ359" i="12"/>
  <c r="AA359" i="12"/>
  <c r="AE358" i="12"/>
  <c r="AI357" i="12"/>
  <c r="AM356" i="12"/>
  <c r="AQ355" i="12"/>
  <c r="AA355" i="12"/>
  <c r="AE354" i="12"/>
  <c r="AI353" i="12"/>
  <c r="AM352" i="12"/>
  <c r="AQ351" i="12"/>
  <c r="Z376" i="12"/>
  <c r="AH374" i="12"/>
  <c r="AP372" i="12"/>
  <c r="AD371" i="12"/>
  <c r="AL369" i="12"/>
  <c r="Z368" i="12"/>
  <c r="AH366" i="12"/>
  <c r="AP364" i="12"/>
  <c r="AD363" i="12"/>
  <c r="AL361" i="12"/>
  <c r="Z360" i="12"/>
  <c r="AH358" i="12"/>
  <c r="AP356" i="12"/>
  <c r="AN355" i="12"/>
  <c r="AL354" i="12"/>
  <c r="AK353" i="12"/>
  <c r="AJ352" i="12"/>
  <c r="AI351" i="12"/>
  <c r="AM350" i="12"/>
  <c r="AQ349" i="12"/>
  <c r="AA349" i="12"/>
  <c r="AE348" i="12"/>
  <c r="AI347" i="12"/>
  <c r="AM346" i="12"/>
  <c r="AQ345" i="12"/>
  <c r="AA345" i="12"/>
  <c r="AE344" i="12"/>
  <c r="AI343" i="12"/>
  <c r="AM342" i="12"/>
  <c r="AQ341" i="12"/>
  <c r="AA341" i="12"/>
  <c r="AE340" i="12"/>
  <c r="AK375" i="12"/>
  <c r="Y374" i="12"/>
  <c r="AG372" i="12"/>
  <c r="AO370" i="12"/>
  <c r="AC369" i="12"/>
  <c r="AK367" i="12"/>
  <c r="Y366" i="12"/>
  <c r="AG364" i="12"/>
  <c r="AO362" i="12"/>
  <c r="AC361" i="12"/>
  <c r="AK359" i="12"/>
  <c r="Y358" i="12"/>
  <c r="AH356" i="12"/>
  <c r="AG355" i="12"/>
  <c r="AF354" i="12"/>
  <c r="AD353" i="12"/>
  <c r="AC352" i="12"/>
  <c r="AD351" i="12"/>
  <c r="AH350" i="12"/>
  <c r="AL349" i="12"/>
  <c r="AP348" i="12"/>
  <c r="Z348" i="12"/>
  <c r="AD347" i="12"/>
  <c r="AH346" i="12"/>
  <c r="AL345" i="12"/>
  <c r="AP344" i="12"/>
  <c r="Z344" i="12"/>
  <c r="AD343" i="12"/>
  <c r="AH342" i="12"/>
  <c r="AL341" i="12"/>
  <c r="Z375" i="12"/>
  <c r="AP371" i="12"/>
  <c r="AL368" i="12"/>
  <c r="AH365" i="12"/>
  <c r="AD362" i="12"/>
  <c r="Z359" i="12"/>
  <c r="AB356" i="12"/>
  <c r="Y354" i="12"/>
  <c r="AR376" i="12"/>
  <c r="AB376" i="12"/>
  <c r="AF375" i="12"/>
  <c r="AJ374" i="12"/>
  <c r="AN373" i="12"/>
  <c r="AR372" i="12"/>
  <c r="AB372" i="12"/>
  <c r="AF371" i="12"/>
  <c r="AJ370" i="12"/>
  <c r="AN369" i="12"/>
  <c r="AR368" i="12"/>
  <c r="AB368" i="12"/>
  <c r="AF367" i="12"/>
  <c r="AJ366" i="12"/>
  <c r="AN365" i="12"/>
  <c r="AR364" i="12"/>
  <c r="AB364" i="12"/>
  <c r="AF363" i="12"/>
  <c r="AJ362" i="12"/>
  <c r="AN361" i="12"/>
  <c r="AR360" i="12"/>
  <c r="AB360" i="12"/>
  <c r="AF359" i="12"/>
  <c r="AJ358" i="12"/>
  <c r="AN357" i="12"/>
  <c r="AR356" i="12"/>
  <c r="AI376" i="12"/>
  <c r="AM375" i="12"/>
  <c r="AQ374" i="12"/>
  <c r="AA374" i="12"/>
  <c r="AE373" i="12"/>
  <c r="AI372" i="12"/>
  <c r="AM371" i="12"/>
  <c r="AQ370" i="12"/>
  <c r="AA370" i="12"/>
  <c r="AE369" i="12"/>
  <c r="AI368" i="12"/>
  <c r="AM367" i="12"/>
  <c r="AQ366" i="12"/>
  <c r="AA366" i="12"/>
  <c r="AE365" i="12"/>
  <c r="AI364" i="12"/>
  <c r="AM363" i="12"/>
  <c r="AQ362" i="12"/>
  <c r="AA362" i="12"/>
  <c r="AE361" i="12"/>
  <c r="AI360" i="12"/>
  <c r="AM359" i="12"/>
  <c r="AQ358" i="12"/>
  <c r="AA358" i="12"/>
  <c r="AE357" i="12"/>
  <c r="AI356" i="12"/>
  <c r="AM355" i="12"/>
  <c r="AQ354" i="12"/>
  <c r="AA354" i="12"/>
  <c r="AE353" i="12"/>
  <c r="AI352" i="12"/>
  <c r="AM351" i="12"/>
  <c r="AL375" i="12"/>
  <c r="Z374" i="12"/>
  <c r="AH372" i="12"/>
  <c r="AP370" i="12"/>
  <c r="AD369" i="12"/>
  <c r="AL367" i="12"/>
  <c r="Z366" i="12"/>
  <c r="AH364" i="12"/>
  <c r="AP362" i="12"/>
  <c r="AD361" i="12"/>
  <c r="AL359" i="12"/>
  <c r="Z358" i="12"/>
  <c r="AJ356" i="12"/>
  <c r="AH355" i="12"/>
  <c r="AG354" i="12"/>
  <c r="AF353" i="12"/>
  <c r="AD352" i="12"/>
  <c r="AE351" i="12"/>
  <c r="AI350" i="12"/>
  <c r="AM349" i="12"/>
  <c r="AQ348" i="12"/>
  <c r="AA348" i="12"/>
  <c r="AE347" i="12"/>
  <c r="AI346" i="12"/>
  <c r="AM345" i="12"/>
  <c r="AQ344" i="12"/>
  <c r="AA344" i="12"/>
  <c r="AE343" i="12"/>
  <c r="AI342" i="12"/>
  <c r="AM341" i="12"/>
  <c r="AQ340" i="12"/>
  <c r="AO376" i="12"/>
  <c r="AC375" i="12"/>
  <c r="AK373" i="12"/>
  <c r="Y372" i="12"/>
  <c r="AG370" i="12"/>
  <c r="AO368" i="12"/>
  <c r="AC367" i="12"/>
  <c r="AK365" i="12"/>
  <c r="Y364" i="12"/>
  <c r="AG362" i="12"/>
  <c r="AO360" i="12"/>
  <c r="AC359" i="12"/>
  <c r="AK357" i="12"/>
  <c r="AC356" i="12"/>
  <c r="AB355" i="12"/>
  <c r="Z354" i="12"/>
  <c r="Y353" i="12"/>
  <c r="AR351" i="12"/>
  <c r="Z351" i="12"/>
  <c r="AD350" i="12"/>
  <c r="AH349" i="12"/>
  <c r="AL348" i="12"/>
  <c r="AP347" i="12"/>
  <c r="Z347" i="12"/>
  <c r="AD346" i="12"/>
  <c r="AH345" i="12"/>
  <c r="AL344" i="12"/>
  <c r="AP343" i="12"/>
  <c r="Z343" i="12"/>
  <c r="AD342" i="12"/>
  <c r="AH341" i="12"/>
  <c r="AD374" i="12"/>
  <c r="Z371" i="12"/>
  <c r="AP367" i="12"/>
  <c r="AL364" i="12"/>
  <c r="AH361" i="12"/>
  <c r="AN376" i="12"/>
  <c r="AR375" i="12"/>
  <c r="AB375" i="12"/>
  <c r="AF374" i="12"/>
  <c r="AJ373" i="12"/>
  <c r="AN372" i="12"/>
  <c r="AR371" i="12"/>
  <c r="AB371" i="12"/>
  <c r="AF370" i="12"/>
  <c r="AJ369" i="12"/>
  <c r="AN368" i="12"/>
  <c r="AR367" i="12"/>
  <c r="AB367" i="12"/>
  <c r="AF366" i="12"/>
  <c r="AJ365" i="12"/>
  <c r="AN364" i="12"/>
  <c r="AR363" i="12"/>
  <c r="AB363" i="12"/>
  <c r="AF362" i="12"/>
  <c r="AJ361" i="12"/>
  <c r="AN360" i="12"/>
  <c r="AR359" i="12"/>
  <c r="AB359" i="12"/>
  <c r="AF358" i="12"/>
  <c r="AJ357" i="12"/>
  <c r="AN356" i="12"/>
  <c r="AE376" i="12"/>
  <c r="AI375" i="12"/>
  <c r="AM374" i="12"/>
  <c r="AQ373" i="12"/>
  <c r="AA373" i="12"/>
  <c r="AE372" i="12"/>
  <c r="AI371" i="12"/>
  <c r="AM370" i="12"/>
  <c r="AQ369" i="12"/>
  <c r="AA369" i="12"/>
  <c r="AE368" i="12"/>
  <c r="AI367" i="12"/>
  <c r="AM366" i="12"/>
  <c r="AQ365" i="12"/>
  <c r="AA365" i="12"/>
  <c r="AE364" i="12"/>
  <c r="AI363" i="12"/>
  <c r="AM362" i="12"/>
  <c r="AQ361" i="12"/>
  <c r="AA361" i="12"/>
  <c r="AE360" i="12"/>
  <c r="AI359" i="12"/>
  <c r="AM358" i="12"/>
  <c r="AQ357" i="12"/>
  <c r="AA357" i="12"/>
  <c r="AE356" i="12"/>
  <c r="AI355" i="12"/>
  <c r="AM354" i="12"/>
  <c r="AQ353" i="12"/>
  <c r="AA353" i="12"/>
  <c r="AE352" i="12"/>
  <c r="AP376" i="12"/>
  <c r="AD375" i="12"/>
  <c r="AL373" i="12"/>
  <c r="Z372" i="12"/>
  <c r="AH370" i="12"/>
  <c r="AP368" i="12"/>
  <c r="AD367" i="12"/>
  <c r="AL365" i="12"/>
  <c r="Z364" i="12"/>
  <c r="AH362" i="12"/>
  <c r="AP360" i="12"/>
  <c r="AD359" i="12"/>
  <c r="AL357" i="12"/>
  <c r="AD356" i="12"/>
  <c r="AC355" i="12"/>
  <c r="AB354" i="12"/>
  <c r="Z353" i="12"/>
  <c r="Y352" i="12"/>
  <c r="AA351" i="12"/>
  <c r="AE350" i="12"/>
  <c r="AI349" i="12"/>
  <c r="AM348" i="12"/>
  <c r="AQ347" i="12"/>
  <c r="AA347" i="12"/>
  <c r="AE346" i="12"/>
  <c r="AI345" i="12"/>
  <c r="AM344" i="12"/>
  <c r="AQ343" i="12"/>
  <c r="AA343" i="12"/>
  <c r="AE342" i="12"/>
  <c r="AI341" i="12"/>
  <c r="AM340" i="12"/>
  <c r="AG376" i="12"/>
  <c r="AO374" i="12"/>
  <c r="AC373" i="12"/>
  <c r="AK371" i="12"/>
  <c r="Y370" i="12"/>
  <c r="AG368" i="12"/>
  <c r="AO366" i="12"/>
  <c r="AC365" i="12"/>
  <c r="AK363" i="12"/>
  <c r="Y362" i="12"/>
  <c r="AG360" i="12"/>
  <c r="AO358" i="12"/>
  <c r="AC357" i="12"/>
  <c r="AR355" i="12"/>
  <c r="AP354" i="12"/>
  <c r="AO353" i="12"/>
  <c r="AN352" i="12"/>
  <c r="AL351" i="12"/>
  <c r="AP350" i="12"/>
  <c r="Z350" i="12"/>
  <c r="AD349" i="12"/>
  <c r="AH348" i="12"/>
  <c r="AL347" i="12"/>
  <c r="AP346" i="12"/>
  <c r="Z346" i="12"/>
  <c r="AD345" i="12"/>
  <c r="AH344" i="12"/>
  <c r="AL343" i="12"/>
  <c r="AP342" i="12"/>
  <c r="Z342" i="12"/>
  <c r="AL376" i="12"/>
  <c r="AH373" i="12"/>
  <c r="AD370" i="12"/>
  <c r="Z367" i="12"/>
  <c r="AP363" i="12"/>
  <c r="AL360" i="12"/>
  <c r="AH357" i="12"/>
  <c r="Z355" i="12"/>
  <c r="AR374" i="12"/>
  <c r="AN371" i="12"/>
  <c r="AJ368" i="12"/>
  <c r="AF365" i="12"/>
  <c r="AB362" i="12"/>
  <c r="AR358" i="12"/>
  <c r="AA376" i="12"/>
  <c r="AQ372" i="12"/>
  <c r="AM369" i="12"/>
  <c r="AI366" i="12"/>
  <c r="AE363" i="12"/>
  <c r="AA360" i="12"/>
  <c r="AQ356" i="12"/>
  <c r="AM353" i="12"/>
  <c r="AP374" i="12"/>
  <c r="AH368" i="12"/>
  <c r="Z362" i="12"/>
  <c r="Y356" i="12"/>
  <c r="AN351" i="12"/>
  <c r="AI348" i="12"/>
  <c r="AE345" i="12"/>
  <c r="AA342" i="12"/>
  <c r="AG374" i="12"/>
  <c r="Y368" i="12"/>
  <c r="AK361" i="12"/>
  <c r="AL355" i="12"/>
  <c r="AH351" i="12"/>
  <c r="AD348" i="12"/>
  <c r="Z345" i="12"/>
  <c r="AP341" i="12"/>
  <c r="AD366" i="12"/>
  <c r="AL356" i="12"/>
  <c r="AR352" i="12"/>
  <c r="Y351" i="12"/>
  <c r="AG349" i="12"/>
  <c r="AO347" i="12"/>
  <c r="AC346" i="12"/>
  <c r="AK344" i="12"/>
  <c r="Y343" i="12"/>
  <c r="AG341" i="12"/>
  <c r="AF340" i="12"/>
  <c r="AI339" i="12"/>
  <c r="AM338" i="12"/>
  <c r="AQ337" i="12"/>
  <c r="AA337" i="12"/>
  <c r="AE336" i="12"/>
  <c r="AI335" i="12"/>
  <c r="AM334" i="12"/>
  <c r="AQ333" i="12"/>
  <c r="AA333" i="12"/>
  <c r="AE332" i="12"/>
  <c r="AI331" i="12"/>
  <c r="AM330" i="12"/>
  <c r="AQ329" i="12"/>
  <c r="AA329" i="12"/>
  <c r="AE328" i="12"/>
  <c r="AI327" i="12"/>
  <c r="AM326" i="12"/>
  <c r="AQ325" i="12"/>
  <c r="AA325" i="12"/>
  <c r="AE324" i="12"/>
  <c r="AI323" i="12"/>
  <c r="AM322" i="12"/>
  <c r="AQ321" i="12"/>
  <c r="AA321" i="12"/>
  <c r="AE320" i="12"/>
  <c r="AI319" i="12"/>
  <c r="AM318" i="12"/>
  <c r="AQ317" i="12"/>
  <c r="AA317" i="12"/>
  <c r="AE315" i="12"/>
  <c r="AI314" i="12"/>
  <c r="AM313" i="12"/>
  <c r="AQ312" i="12"/>
  <c r="AA312" i="12"/>
  <c r="AE311" i="12"/>
  <c r="AI310" i="12"/>
  <c r="AM309" i="12"/>
  <c r="AQ308" i="12"/>
  <c r="AA308" i="12"/>
  <c r="AE307" i="12"/>
  <c r="AI306" i="12"/>
  <c r="AM305" i="12"/>
  <c r="AQ304" i="12"/>
  <c r="AA304" i="12"/>
  <c r="AE303" i="12"/>
  <c r="AI302" i="12"/>
  <c r="AM301" i="12"/>
  <c r="AO375" i="12"/>
  <c r="AK372" i="12"/>
  <c r="AG369" i="12"/>
  <c r="AC366" i="12"/>
  <c r="Y363" i="12"/>
  <c r="AO359" i="12"/>
  <c r="AK356" i="12"/>
  <c r="AH354" i="12"/>
  <c r="AF352" i="12"/>
  <c r="AB374" i="12"/>
  <c r="AR370" i="12"/>
  <c r="AN367" i="12"/>
  <c r="AJ364" i="12"/>
  <c r="AF361" i="12"/>
  <c r="AB358" i="12"/>
  <c r="AE375" i="12"/>
  <c r="AA372" i="12"/>
  <c r="AQ368" i="12"/>
  <c r="AM365" i="12"/>
  <c r="AI362" i="12"/>
  <c r="AE359" i="12"/>
  <c r="AA356" i="12"/>
  <c r="AQ352" i="12"/>
  <c r="AD373" i="12"/>
  <c r="AP366" i="12"/>
  <c r="AH360" i="12"/>
  <c r="AR354" i="12"/>
  <c r="AQ350" i="12"/>
  <c r="AM347" i="12"/>
  <c r="AI344" i="12"/>
  <c r="AE341" i="12"/>
  <c r="AO372" i="12"/>
  <c r="AG366" i="12"/>
  <c r="Y360" i="12"/>
  <c r="AK354" i="12"/>
  <c r="AL350" i="12"/>
  <c r="AH347" i="12"/>
  <c r="AD344" i="12"/>
  <c r="AP375" i="12"/>
  <c r="Z363" i="12"/>
  <c r="AK355" i="12"/>
  <c r="AG352" i="12"/>
  <c r="AK350" i="12"/>
  <c r="Y349" i="12"/>
  <c r="AG347" i="12"/>
  <c r="AO345" i="12"/>
  <c r="AC344" i="12"/>
  <c r="AK342" i="12"/>
  <c r="AB341" i="12"/>
  <c r="AA340" i="12"/>
  <c r="AE339" i="12"/>
  <c r="AI338" i="12"/>
  <c r="AM337" i="12"/>
  <c r="AQ336" i="12"/>
  <c r="AA336" i="12"/>
  <c r="AE335" i="12"/>
  <c r="AI334" i="12"/>
  <c r="AM333" i="12"/>
  <c r="AQ332" i="12"/>
  <c r="AA332" i="12"/>
  <c r="AE331" i="12"/>
  <c r="AI330" i="12"/>
  <c r="AM329" i="12"/>
  <c r="AQ328" i="12"/>
  <c r="AA328" i="12"/>
  <c r="AE327" i="12"/>
  <c r="AI326" i="12"/>
  <c r="AM325" i="12"/>
  <c r="AQ324" i="12"/>
  <c r="AA324" i="12"/>
  <c r="AE323" i="12"/>
  <c r="AI322" i="12"/>
  <c r="AM321" i="12"/>
  <c r="AQ320" i="12"/>
  <c r="AA320" i="12"/>
  <c r="AE319" i="12"/>
  <c r="AI318" i="12"/>
  <c r="AM317" i="12"/>
  <c r="AQ315" i="12"/>
  <c r="AA315" i="12"/>
  <c r="AE314" i="12"/>
  <c r="AI313" i="12"/>
  <c r="AM312" i="12"/>
  <c r="AQ311" i="12"/>
  <c r="AA311" i="12"/>
  <c r="AE310" i="12"/>
  <c r="AI309" i="12"/>
  <c r="AM308" i="12"/>
  <c r="AQ307" i="12"/>
  <c r="AA307" i="12"/>
  <c r="AE306" i="12"/>
  <c r="AI305" i="12"/>
  <c r="AM304" i="12"/>
  <c r="AQ303" i="12"/>
  <c r="AA303" i="12"/>
  <c r="AE302" i="12"/>
  <c r="AI301" i="12"/>
  <c r="Y375" i="12"/>
  <c r="AO371" i="12"/>
  <c r="AK368" i="12"/>
  <c r="AG365" i="12"/>
  <c r="AC362" i="12"/>
  <c r="Y359" i="12"/>
  <c r="Z356" i="12"/>
  <c r="AR353" i="12"/>
  <c r="AO351" i="12"/>
  <c r="AB350" i="12"/>
  <c r="AJ348" i="12"/>
  <c r="AR346" i="12"/>
  <c r="AF345" i="12"/>
  <c r="AN343" i="12"/>
  <c r="AB342" i="12"/>
  <c r="AO340" i="12"/>
  <c r="AP339" i="12"/>
  <c r="Z339" i="12"/>
  <c r="AD338" i="12"/>
  <c r="AH337" i="12"/>
  <c r="AL336" i="12"/>
  <c r="AP335" i="12"/>
  <c r="Z335" i="12"/>
  <c r="AD334" i="12"/>
  <c r="AH333" i="12"/>
  <c r="AL332" i="12"/>
  <c r="AP331" i="12"/>
  <c r="Z331" i="12"/>
  <c r="AD330" i="12"/>
  <c r="AH329" i="12"/>
  <c r="AL328" i="12"/>
  <c r="AP327" i="12"/>
  <c r="Z327" i="12"/>
  <c r="AD326" i="12"/>
  <c r="AH325" i="12"/>
  <c r="AL324" i="12"/>
  <c r="AP323" i="12"/>
  <c r="Z323" i="12"/>
  <c r="AD322" i="12"/>
  <c r="AJ376" i="12"/>
  <c r="AF373" i="12"/>
  <c r="AB370" i="12"/>
  <c r="AR366" i="12"/>
  <c r="AN363" i="12"/>
  <c r="AJ360" i="12"/>
  <c r="AF357" i="12"/>
  <c r="AI374" i="12"/>
  <c r="AE371" i="12"/>
  <c r="AA368" i="12"/>
  <c r="AQ364" i="12"/>
  <c r="AM361" i="12"/>
  <c r="AI358" i="12"/>
  <c r="AE355" i="12"/>
  <c r="AA352" i="12"/>
  <c r="AL371" i="12"/>
  <c r="AD365" i="12"/>
  <c r="AP358" i="12"/>
  <c r="AP353" i="12"/>
  <c r="AA350" i="12"/>
  <c r="AQ346" i="12"/>
  <c r="AM343" i="12"/>
  <c r="AI340" i="12"/>
  <c r="AC371" i="12"/>
  <c r="AO364" i="12"/>
  <c r="AG358" i="12"/>
  <c r="AJ353" i="12"/>
  <c r="AP349" i="12"/>
  <c r="AL346" i="12"/>
  <c r="AH343" i="12"/>
  <c r="AL372" i="12"/>
  <c r="AP359" i="12"/>
  <c r="AJ354" i="12"/>
  <c r="AP351" i="12"/>
  <c r="AC350" i="12"/>
  <c r="AK348" i="12"/>
  <c r="Y347" i="12"/>
  <c r="AG345" i="12"/>
  <c r="AO343" i="12"/>
  <c r="AC342" i="12"/>
  <c r="AP340" i="12"/>
  <c r="AQ339" i="12"/>
  <c r="AA339" i="12"/>
  <c r="AE338" i="12"/>
  <c r="AI337" i="12"/>
  <c r="AM336" i="12"/>
  <c r="AQ335" i="12"/>
  <c r="AA335" i="12"/>
  <c r="AE334" i="12"/>
  <c r="AI333" i="12"/>
  <c r="AM332" i="12"/>
  <c r="AQ331" i="12"/>
  <c r="AA331" i="12"/>
  <c r="AE330" i="12"/>
  <c r="AI329" i="12"/>
  <c r="AM328" i="12"/>
  <c r="AQ327" i="12"/>
  <c r="AA327" i="12"/>
  <c r="AE326" i="12"/>
  <c r="AI325" i="12"/>
  <c r="AM324" i="12"/>
  <c r="AQ323" i="12"/>
  <c r="AA323" i="12"/>
  <c r="AE322" i="12"/>
  <c r="AI321" i="12"/>
  <c r="AM320" i="12"/>
  <c r="AQ319" i="12"/>
  <c r="AA319" i="12"/>
  <c r="AE318" i="12"/>
  <c r="AI317" i="12"/>
  <c r="AM315" i="12"/>
  <c r="AQ314" i="12"/>
  <c r="AA314" i="12"/>
  <c r="AE313" i="12"/>
  <c r="AI312" i="12"/>
  <c r="AM311" i="12"/>
  <c r="AQ310" i="12"/>
  <c r="AA310" i="12"/>
  <c r="AE309" i="12"/>
  <c r="AI308" i="12"/>
  <c r="AM307" i="12"/>
  <c r="AQ306" i="12"/>
  <c r="AA306" i="12"/>
  <c r="AE305" i="12"/>
  <c r="AI304" i="12"/>
  <c r="AM303" i="12"/>
  <c r="AQ302" i="12"/>
  <c r="AA302" i="12"/>
  <c r="AE301" i="12"/>
  <c r="AC374" i="12"/>
  <c r="Y371" i="12"/>
  <c r="AO367" i="12"/>
  <c r="AK364" i="12"/>
  <c r="AG361" i="12"/>
  <c r="AC358" i="12"/>
  <c r="AJ355" i="12"/>
  <c r="AG353" i="12"/>
  <c r="AF351" i="12"/>
  <c r="AN349" i="12"/>
  <c r="AB348" i="12"/>
  <c r="AJ346" i="12"/>
  <c r="AR344" i="12"/>
  <c r="AF343" i="12"/>
  <c r="AN341" i="12"/>
  <c r="AJ340" i="12"/>
  <c r="AL339" i="12"/>
  <c r="AP338" i="12"/>
  <c r="Z338" i="12"/>
  <c r="AD337" i="12"/>
  <c r="AH336" i="12"/>
  <c r="AL335" i="12"/>
  <c r="AP334" i="12"/>
  <c r="Z334" i="12"/>
  <c r="AD333" i="12"/>
  <c r="AH332" i="12"/>
  <c r="AL331" i="12"/>
  <c r="AP330" i="12"/>
  <c r="Z330" i="12"/>
  <c r="AD329" i="12"/>
  <c r="AH328" i="12"/>
  <c r="AL327" i="12"/>
  <c r="AP326" i="12"/>
  <c r="Z326" i="12"/>
  <c r="AD325" i="12"/>
  <c r="AH324" i="12"/>
  <c r="AL323" i="12"/>
  <c r="AP322" i="12"/>
  <c r="AJ372" i="12"/>
  <c r="AN359" i="12"/>
  <c r="AE367" i="12"/>
  <c r="AI354" i="12"/>
  <c r="AD357" i="12"/>
  <c r="AQ342" i="12"/>
  <c r="AO356" i="12"/>
  <c r="AL342" i="12"/>
  <c r="AG351" i="12"/>
  <c r="Y345" i="12"/>
  <c r="AM339" i="12"/>
  <c r="AI336" i="12"/>
  <c r="AE333" i="12"/>
  <c r="AA330" i="12"/>
  <c r="AQ326" i="12"/>
  <c r="AM323" i="12"/>
  <c r="AI320" i="12"/>
  <c r="AE317" i="12"/>
  <c r="AA313" i="12"/>
  <c r="AQ309" i="12"/>
  <c r="AM306" i="12"/>
  <c r="AI303" i="12"/>
  <c r="AG373" i="12"/>
  <c r="AK360" i="12"/>
  <c r="AR350" i="12"/>
  <c r="AN347" i="12"/>
  <c r="AJ344" i="12"/>
  <c r="AF341" i="12"/>
  <c r="AH339" i="12"/>
  <c r="AP337" i="12"/>
  <c r="AD336" i="12"/>
  <c r="AL334" i="12"/>
  <c r="Z333" i="12"/>
  <c r="AH331" i="12"/>
  <c r="AP329" i="12"/>
  <c r="AD328" i="12"/>
  <c r="AL326" i="12"/>
  <c r="Z325" i="12"/>
  <c r="AH323" i="12"/>
  <c r="Z322" i="12"/>
  <c r="AD321" i="12"/>
  <c r="AH320" i="12"/>
  <c r="AL319" i="12"/>
  <c r="AP318" i="12"/>
  <c r="Z318" i="12"/>
  <c r="AD317" i="12"/>
  <c r="AH315" i="12"/>
  <c r="AL314" i="12"/>
  <c r="AP313" i="12"/>
  <c r="Z313" i="12"/>
  <c r="AD312" i="12"/>
  <c r="AH311" i="12"/>
  <c r="AL310" i="12"/>
  <c r="AP309" i="12"/>
  <c r="Z309" i="12"/>
  <c r="AD308" i="12"/>
  <c r="AH307" i="12"/>
  <c r="AL306" i="12"/>
  <c r="AP305" i="12"/>
  <c r="Z305" i="12"/>
  <c r="AD304" i="12"/>
  <c r="AH303" i="12"/>
  <c r="AL302" i="12"/>
  <c r="AP301" i="12"/>
  <c r="AL374" i="12"/>
  <c r="AD368" i="12"/>
  <c r="AP361" i="12"/>
  <c r="AP355" i="12"/>
  <c r="AK351" i="12"/>
  <c r="AG348" i="12"/>
  <c r="AC345" i="12"/>
  <c r="Y342" i="12"/>
  <c r="AO339" i="12"/>
  <c r="AC338" i="12"/>
  <c r="AK336" i="12"/>
  <c r="Y335" i="12"/>
  <c r="AG333" i="12"/>
  <c r="AO331" i="12"/>
  <c r="AC330" i="12"/>
  <c r="AK328" i="12"/>
  <c r="Y327" i="12"/>
  <c r="AG325" i="12"/>
  <c r="AO323" i="12"/>
  <c r="AC322" i="12"/>
  <c r="AK320" i="12"/>
  <c r="Y319" i="12"/>
  <c r="AG317" i="12"/>
  <c r="AO314" i="12"/>
  <c r="AC313" i="12"/>
  <c r="AK311" i="12"/>
  <c r="Y310" i="12"/>
  <c r="AG308" i="12"/>
  <c r="AO306" i="12"/>
  <c r="AC305" i="12"/>
  <c r="AK303" i="12"/>
  <c r="Y302" i="12"/>
  <c r="AP300" i="12"/>
  <c r="Z300" i="12"/>
  <c r="AD299" i="12"/>
  <c r="AH298" i="12"/>
  <c r="AL297" i="12"/>
  <c r="AP295" i="12"/>
  <c r="Z295" i="12"/>
  <c r="AD294" i="12"/>
  <c r="AH293" i="12"/>
  <c r="AL292" i="12"/>
  <c r="AP291" i="12"/>
  <c r="Z291" i="12"/>
  <c r="AD290" i="12"/>
  <c r="AH289" i="12"/>
  <c r="AL288" i="12"/>
  <c r="AP287" i="12"/>
  <c r="Z287" i="12"/>
  <c r="AD286" i="12"/>
  <c r="AH285" i="12"/>
  <c r="AL284" i="12"/>
  <c r="AP283" i="12"/>
  <c r="AF369" i="12"/>
  <c r="AQ376" i="12"/>
  <c r="AA364" i="12"/>
  <c r="AH376" i="12"/>
  <c r="AO352" i="12"/>
  <c r="Y376" i="12"/>
  <c r="AH352" i="12"/>
  <c r="AH369" i="12"/>
  <c r="AO349" i="12"/>
  <c r="AG343" i="12"/>
  <c r="AQ338" i="12"/>
  <c r="AM335" i="12"/>
  <c r="AI332" i="12"/>
  <c r="AE329" i="12"/>
  <c r="AA326" i="12"/>
  <c r="AQ322" i="12"/>
  <c r="AM319" i="12"/>
  <c r="AI315" i="12"/>
  <c r="AE312" i="12"/>
  <c r="AA309" i="12"/>
  <c r="AQ305" i="12"/>
  <c r="AM302" i="12"/>
  <c r="AC370" i="12"/>
  <c r="AG357" i="12"/>
  <c r="AJ350" i="12"/>
  <c r="AF347" i="12"/>
  <c r="AB344" i="12"/>
  <c r="Z341" i="12"/>
  <c r="AD339" i="12"/>
  <c r="AL337" i="12"/>
  <c r="Z336" i="12"/>
  <c r="AH334" i="12"/>
  <c r="AP332" i="12"/>
  <c r="AD331" i="12"/>
  <c r="AL329" i="12"/>
  <c r="Z328" i="12"/>
  <c r="AH326" i="12"/>
  <c r="AP324" i="12"/>
  <c r="AD323" i="12"/>
  <c r="AP321" i="12"/>
  <c r="Z321" i="12"/>
  <c r="AD320" i="12"/>
  <c r="AH319" i="12"/>
  <c r="AL318" i="12"/>
  <c r="AP317" i="12"/>
  <c r="Z317" i="12"/>
  <c r="AD315" i="12"/>
  <c r="AH314" i="12"/>
  <c r="AL313" i="12"/>
  <c r="AP312" i="12"/>
  <c r="Z312" i="12"/>
  <c r="AD311" i="12"/>
  <c r="AH310" i="12"/>
  <c r="AL309" i="12"/>
  <c r="AP308" i="12"/>
  <c r="Z308" i="12"/>
  <c r="AD307" i="12"/>
  <c r="AH306" i="12"/>
  <c r="AL305" i="12"/>
  <c r="AP304" i="12"/>
  <c r="Z304" i="12"/>
  <c r="AD303" i="12"/>
  <c r="AH302" i="12"/>
  <c r="AL301" i="12"/>
  <c r="Z373" i="12"/>
  <c r="AL366" i="12"/>
  <c r="AD360" i="12"/>
  <c r="AO354" i="12"/>
  <c r="AO350" i="12"/>
  <c r="AK347" i="12"/>
  <c r="AG344" i="12"/>
  <c r="AD341" i="12"/>
  <c r="AG339" i="12"/>
  <c r="AO337" i="12"/>
  <c r="AC336" i="12"/>
  <c r="AK334" i="12"/>
  <c r="Y333" i="12"/>
  <c r="AG331" i="12"/>
  <c r="AO329" i="12"/>
  <c r="AC328" i="12"/>
  <c r="AK326" i="12"/>
  <c r="Y325" i="12"/>
  <c r="AG323" i="12"/>
  <c r="AO321" i="12"/>
  <c r="AC320" i="12"/>
  <c r="AK318" i="12"/>
  <c r="Y317" i="12"/>
  <c r="AG314" i="12"/>
  <c r="AO312" i="12"/>
  <c r="AC311" i="12"/>
  <c r="AK309" i="12"/>
  <c r="Y308" i="12"/>
  <c r="AG306" i="12"/>
  <c r="AO304" i="12"/>
  <c r="AC303" i="12"/>
  <c r="AK301" i="12"/>
  <c r="AL300" i="12"/>
  <c r="AP299" i="12"/>
  <c r="Z299" i="12"/>
  <c r="AD298" i="12"/>
  <c r="AH297" i="12"/>
  <c r="AL295" i="12"/>
  <c r="AP294" i="12"/>
  <c r="Z294" i="12"/>
  <c r="AD293" i="12"/>
  <c r="AH292" i="12"/>
  <c r="AL291" i="12"/>
  <c r="AP290" i="12"/>
  <c r="Z290" i="12"/>
  <c r="AD289" i="12"/>
  <c r="AH288" i="12"/>
  <c r="AL287" i="12"/>
  <c r="AP286" i="12"/>
  <c r="Z286" i="12"/>
  <c r="AD285" i="12"/>
  <c r="AH284" i="12"/>
  <c r="AL283" i="12"/>
  <c r="AP282" i="12"/>
  <c r="Z282" i="12"/>
  <c r="AD280" i="12"/>
  <c r="AH279" i="12"/>
  <c r="AL278" i="12"/>
  <c r="AP277" i="12"/>
  <c r="Z277" i="12"/>
  <c r="AD276" i="12"/>
  <c r="AH275" i="12"/>
  <c r="AL274" i="12"/>
  <c r="AB366" i="12"/>
  <c r="AM373" i="12"/>
  <c r="AQ360" i="12"/>
  <c r="Z370" i="12"/>
  <c r="AE349" i="12"/>
  <c r="AK369" i="12"/>
  <c r="Z349" i="12"/>
  <c r="AD358" i="12"/>
  <c r="AC348" i="12"/>
  <c r="AO341" i="12"/>
  <c r="AA338" i="12"/>
  <c r="AQ334" i="12"/>
  <c r="AM331" i="12"/>
  <c r="AI328" i="12"/>
  <c r="AE325" i="12"/>
  <c r="AA322" i="12"/>
  <c r="AQ318" i="12"/>
  <c r="AM314" i="12"/>
  <c r="AI311" i="12"/>
  <c r="AE308" i="12"/>
  <c r="AA305" i="12"/>
  <c r="AQ301" i="12"/>
  <c r="Y367" i="12"/>
  <c r="Y355" i="12"/>
  <c r="AF349" i="12"/>
  <c r="AB346" i="12"/>
  <c r="AR342" i="12"/>
  <c r="AD340" i="12"/>
  <c r="AL338" i="12"/>
  <c r="Z337" i="12"/>
  <c r="AH335" i="12"/>
  <c r="AP333" i="12"/>
  <c r="AD332" i="12"/>
  <c r="AL330" i="12"/>
  <c r="Z329" i="12"/>
  <c r="AH327" i="12"/>
  <c r="AP325" i="12"/>
  <c r="AD324" i="12"/>
  <c r="AL322" i="12"/>
  <c r="AL321" i="12"/>
  <c r="AP320" i="12"/>
  <c r="Z320" i="12"/>
  <c r="AD319" i="12"/>
  <c r="AH318" i="12"/>
  <c r="AL317" i="12"/>
  <c r="AP315" i="12"/>
  <c r="Z315" i="12"/>
  <c r="AD314" i="12"/>
  <c r="AH313" i="12"/>
  <c r="AL312" i="12"/>
  <c r="AP311" i="12"/>
  <c r="Z311" i="12"/>
  <c r="AD310" i="12"/>
  <c r="AH309" i="12"/>
  <c r="AL308" i="12"/>
  <c r="AP307" i="12"/>
  <c r="Z307" i="12"/>
  <c r="AD306" i="12"/>
  <c r="AH305" i="12"/>
  <c r="AL304" i="12"/>
  <c r="AP303" i="12"/>
  <c r="Z303" i="12"/>
  <c r="AD302" i="12"/>
  <c r="AH301" i="12"/>
  <c r="AH371" i="12"/>
  <c r="Z365" i="12"/>
  <c r="AL358" i="12"/>
  <c r="AN353" i="12"/>
  <c r="Y350" i="12"/>
  <c r="AO346" i="12"/>
  <c r="AK343" i="12"/>
  <c r="AN340" i="12"/>
  <c r="Y339" i="12"/>
  <c r="AG337" i="12"/>
  <c r="AO335" i="12"/>
  <c r="AC334" i="12"/>
  <c r="AK332" i="12"/>
  <c r="Y331" i="12"/>
  <c r="AG329" i="12"/>
  <c r="AO327" i="12"/>
  <c r="AC326" i="12"/>
  <c r="AK324" i="12"/>
  <c r="Y323" i="12"/>
  <c r="AG321" i="12"/>
  <c r="AO319" i="12"/>
  <c r="AC318" i="12"/>
  <c r="AK315" i="12"/>
  <c r="Y314" i="12"/>
  <c r="AG312" i="12"/>
  <c r="AO310" i="12"/>
  <c r="AC309" i="12"/>
  <c r="AK307" i="12"/>
  <c r="Y306" i="12"/>
  <c r="AG304" i="12"/>
  <c r="AO302" i="12"/>
  <c r="AD301" i="12"/>
  <c r="AH300" i="12"/>
  <c r="AL299" i="12"/>
  <c r="AP298" i="12"/>
  <c r="Z298" i="12"/>
  <c r="AD297" i="12"/>
  <c r="AH295" i="12"/>
  <c r="AL294" i="12"/>
  <c r="AP293" i="12"/>
  <c r="Z293" i="12"/>
  <c r="AD292" i="12"/>
  <c r="AH291" i="12"/>
  <c r="AL290" i="12"/>
  <c r="AP289" i="12"/>
  <c r="Z289" i="12"/>
  <c r="AD288" i="12"/>
  <c r="AH287" i="12"/>
  <c r="AL286" i="12"/>
  <c r="AP285" i="12"/>
  <c r="Z285" i="12"/>
  <c r="AD284" i="12"/>
  <c r="AH283" i="12"/>
  <c r="AL282" i="12"/>
  <c r="AP280" i="12"/>
  <c r="Z280" i="12"/>
  <c r="AD279" i="12"/>
  <c r="AH278" i="12"/>
  <c r="AL277" i="12"/>
  <c r="AP276" i="12"/>
  <c r="Z276" i="12"/>
  <c r="AD275" i="12"/>
  <c r="AH274" i="12"/>
  <c r="AN375" i="12"/>
  <c r="AL363" i="12"/>
  <c r="AH353" i="12"/>
  <c r="AA334" i="12"/>
  <c r="AE321" i="12"/>
  <c r="AI307" i="12"/>
  <c r="AP352" i="12"/>
  <c r="Z340" i="12"/>
  <c r="AL333" i="12"/>
  <c r="AD327" i="12"/>
  <c r="AH321" i="12"/>
  <c r="AD318" i="12"/>
  <c r="Z314" i="12"/>
  <c r="AP310" i="12"/>
  <c r="AL307" i="12"/>
  <c r="AH304" i="12"/>
  <c r="AD376" i="12"/>
  <c r="AL352" i="12"/>
  <c r="AC340" i="12"/>
  <c r="AO333" i="12"/>
  <c r="AG327" i="12"/>
  <c r="Y321" i="12"/>
  <c r="AK313" i="12"/>
  <c r="AC307" i="12"/>
  <c r="Z301" i="12"/>
  <c r="AP297" i="12"/>
  <c r="AL293" i="12"/>
  <c r="AH290" i="12"/>
  <c r="AD287" i="12"/>
  <c r="Z284" i="12"/>
  <c r="AD282" i="12"/>
  <c r="AL279" i="12"/>
  <c r="Z278" i="12"/>
  <c r="AH276" i="12"/>
  <c r="AP274" i="12"/>
  <c r="AL273" i="12"/>
  <c r="AP272" i="12"/>
  <c r="Z272" i="12"/>
  <c r="AD271" i="12"/>
  <c r="AH270" i="12"/>
  <c r="AL269" i="12"/>
  <c r="AP268" i="12"/>
  <c r="Z268" i="12"/>
  <c r="AD267" i="12"/>
  <c r="AH266" i="12"/>
  <c r="AL265" i="12"/>
  <c r="AP264" i="12"/>
  <c r="Z264" i="12"/>
  <c r="AD263" i="12"/>
  <c r="AH262" i="12"/>
  <c r="AL261" i="12"/>
  <c r="AP260" i="12"/>
  <c r="Z260" i="12"/>
  <c r="AD259" i="12"/>
  <c r="AH258" i="12"/>
  <c r="AL257" i="12"/>
  <c r="AP256" i="12"/>
  <c r="Z256" i="12"/>
  <c r="AD255" i="12"/>
  <c r="AH253" i="12"/>
  <c r="AL252" i="12"/>
  <c r="AP251" i="12"/>
  <c r="Z251" i="12"/>
  <c r="AD250" i="12"/>
  <c r="AH249" i="12"/>
  <c r="AL248" i="12"/>
  <c r="AP247" i="12"/>
  <c r="AC376" i="12"/>
  <c r="AO369" i="12"/>
  <c r="AG363" i="12"/>
  <c r="Y357" i="12"/>
  <c r="AK352" i="12"/>
  <c r="AB349" i="12"/>
  <c r="AR345" i="12"/>
  <c r="AN342" i="12"/>
  <c r="AB340" i="12"/>
  <c r="AJ338" i="12"/>
  <c r="AR336" i="12"/>
  <c r="AF335" i="12"/>
  <c r="AN333" i="12"/>
  <c r="AN331" i="12"/>
  <c r="AB330" i="12"/>
  <c r="AJ328" i="12"/>
  <c r="AR326" i="12"/>
  <c r="AF325" i="12"/>
  <c r="AN323" i="12"/>
  <c r="AB322" i="12"/>
  <c r="AJ320" i="12"/>
  <c r="AR318" i="12"/>
  <c r="AF317" i="12"/>
  <c r="AN314" i="12"/>
  <c r="AB313" i="12"/>
  <c r="AJ311" i="12"/>
  <c r="AR309" i="12"/>
  <c r="AF308" i="12"/>
  <c r="AN306" i="12"/>
  <c r="AB305" i="12"/>
  <c r="AJ303" i="12"/>
  <c r="AR301" i="12"/>
  <c r="AO300" i="12"/>
  <c r="Y300" i="12"/>
  <c r="AC299" i="12"/>
  <c r="AG298" i="12"/>
  <c r="AK297" i="12"/>
  <c r="AO295" i="12"/>
  <c r="Y295" i="12"/>
  <c r="AC294" i="12"/>
  <c r="AG293" i="12"/>
  <c r="AK292" i="12"/>
  <c r="AO291" i="12"/>
  <c r="Y291" i="12"/>
  <c r="AC290" i="12"/>
  <c r="AG289" i="12"/>
  <c r="AK288" i="12"/>
  <c r="AO287" i="12"/>
  <c r="Y287" i="12"/>
  <c r="AC286" i="12"/>
  <c r="AG285" i="12"/>
  <c r="AK284" i="12"/>
  <c r="AO283" i="12"/>
  <c r="Y283" i="12"/>
  <c r="AC282" i="12"/>
  <c r="AG280" i="12"/>
  <c r="AK279" i="12"/>
  <c r="AO278" i="12"/>
  <c r="Y278" i="12"/>
  <c r="AC277" i="12"/>
  <c r="AR362" i="12"/>
  <c r="AA346" i="12"/>
  <c r="AK346" i="12"/>
  <c r="AQ330" i="12"/>
  <c r="AA318" i="12"/>
  <c r="AE304" i="12"/>
  <c r="AR348" i="12"/>
  <c r="AH338" i="12"/>
  <c r="Z332" i="12"/>
  <c r="AL325" i="12"/>
  <c r="AL320" i="12"/>
  <c r="AH317" i="12"/>
  <c r="AD313" i="12"/>
  <c r="Z310" i="12"/>
  <c r="AP306" i="12"/>
  <c r="AL303" i="12"/>
  <c r="AP369" i="12"/>
  <c r="AC349" i="12"/>
  <c r="AK338" i="12"/>
  <c r="AC332" i="12"/>
  <c r="AO325" i="12"/>
  <c r="AG319" i="12"/>
  <c r="Y312" i="12"/>
  <c r="AK305" i="12"/>
  <c r="AD300" i="12"/>
  <c r="Z297" i="12"/>
  <c r="AP292" i="12"/>
  <c r="AL289" i="12"/>
  <c r="AH286" i="12"/>
  <c r="AD283" i="12"/>
  <c r="AL280" i="12"/>
  <c r="Z279" i="12"/>
  <c r="AH277" i="12"/>
  <c r="AP275" i="12"/>
  <c r="AD274" i="12"/>
  <c r="AH273" i="12"/>
  <c r="AL272" i="12"/>
  <c r="AP271" i="12"/>
  <c r="Z271" i="12"/>
  <c r="AD270" i="12"/>
  <c r="AH269" i="12"/>
  <c r="AL268" i="12"/>
  <c r="AP267" i="12"/>
  <c r="Z267" i="12"/>
  <c r="AD266" i="12"/>
  <c r="AH265" i="12"/>
  <c r="AL264" i="12"/>
  <c r="AP263" i="12"/>
  <c r="Z263" i="12"/>
  <c r="AD262" i="12"/>
  <c r="AH261" i="12"/>
  <c r="AL260" i="12"/>
  <c r="AP259" i="12"/>
  <c r="Z259" i="12"/>
  <c r="AD258" i="12"/>
  <c r="AH257" i="12"/>
  <c r="AL256" i="12"/>
  <c r="AP255" i="12"/>
  <c r="Z255" i="12"/>
  <c r="AD253" i="12"/>
  <c r="AH252" i="12"/>
  <c r="AL251" i="12"/>
  <c r="AP250" i="12"/>
  <c r="Z250" i="12"/>
  <c r="AD249" i="12"/>
  <c r="AH248" i="12"/>
  <c r="AL247" i="12"/>
  <c r="AK374" i="12"/>
  <c r="AC368" i="12"/>
  <c r="AO361" i="12"/>
  <c r="AO355" i="12"/>
  <c r="AJ351" i="12"/>
  <c r="AF348" i="12"/>
  <c r="AB345" i="12"/>
  <c r="AR341" i="12"/>
  <c r="AN339" i="12"/>
  <c r="AB338" i="12"/>
  <c r="AJ336" i="12"/>
  <c r="AR334" i="12"/>
  <c r="AF333" i="12"/>
  <c r="AF331" i="12"/>
  <c r="AN329" i="12"/>
  <c r="AB328" i="12"/>
  <c r="AJ326" i="12"/>
  <c r="AR324" i="12"/>
  <c r="AF323" i="12"/>
  <c r="AN321" i="12"/>
  <c r="AB320" i="12"/>
  <c r="AJ318" i="12"/>
  <c r="AR315" i="12"/>
  <c r="AF314" i="12"/>
  <c r="AN312" i="12"/>
  <c r="AB311" i="12"/>
  <c r="AJ309" i="12"/>
  <c r="AR307" i="12"/>
  <c r="AF306" i="12"/>
  <c r="AN304" i="12"/>
  <c r="AB303" i="12"/>
  <c r="AJ301" i="12"/>
  <c r="AK300" i="12"/>
  <c r="AO299" i="12"/>
  <c r="Y299" i="12"/>
  <c r="AC298" i="12"/>
  <c r="AG297" i="12"/>
  <c r="AK295" i="12"/>
  <c r="AO294" i="12"/>
  <c r="Y294" i="12"/>
  <c r="AC293" i="12"/>
  <c r="AG292" i="12"/>
  <c r="AK291" i="12"/>
  <c r="AO290" i="12"/>
  <c r="Y290" i="12"/>
  <c r="AC289" i="12"/>
  <c r="AG288" i="12"/>
  <c r="AK287" i="12"/>
  <c r="AO286" i="12"/>
  <c r="Y286" i="12"/>
  <c r="AC285" i="12"/>
  <c r="AG284" i="12"/>
  <c r="AK283" i="12"/>
  <c r="AO282" i="12"/>
  <c r="Y282" i="12"/>
  <c r="AC280" i="12"/>
  <c r="AG279" i="12"/>
  <c r="AK278" i="12"/>
  <c r="AO277" i="12"/>
  <c r="Y277" i="12"/>
  <c r="AC276" i="12"/>
  <c r="AG275" i="12"/>
  <c r="AK274" i="12"/>
  <c r="AO273" i="12"/>
  <c r="Z369" i="12"/>
  <c r="AG356" i="12"/>
  <c r="AO348" i="12"/>
  <c r="AG342" i="12"/>
  <c r="AG338" i="12"/>
  <c r="AC335" i="12"/>
  <c r="AJ331" i="12"/>
  <c r="AF328" i="12"/>
  <c r="AB325" i="12"/>
  <c r="AR321" i="12"/>
  <c r="AN318" i="12"/>
  <c r="AJ314" i="12"/>
  <c r="AF311" i="12"/>
  <c r="AB308" i="12"/>
  <c r="AR304" i="12"/>
  <c r="AN301" i="12"/>
  <c r="AQ299" i="12"/>
  <c r="AE298" i="12"/>
  <c r="AM295" i="12"/>
  <c r="AA294" i="12"/>
  <c r="AI370" i="12"/>
  <c r="AC363" i="12"/>
  <c r="AK340" i="12"/>
  <c r="AM327" i="12"/>
  <c r="AQ313" i="12"/>
  <c r="AK376" i="12"/>
  <c r="AN345" i="12"/>
  <c r="AP336" i="12"/>
  <c r="AH330" i="12"/>
  <c r="Z324" i="12"/>
  <c r="AP319" i="12"/>
  <c r="AL315" i="12"/>
  <c r="AH312" i="12"/>
  <c r="AD309" i="12"/>
  <c r="Z306" i="12"/>
  <c r="AP302" i="12"/>
  <c r="AH363" i="12"/>
  <c r="Y346" i="12"/>
  <c r="Y337" i="12"/>
  <c r="AK330" i="12"/>
  <c r="AC324" i="12"/>
  <c r="AO317" i="12"/>
  <c r="AG310" i="12"/>
  <c r="Y304" i="12"/>
  <c r="AH299" i="12"/>
  <c r="AD295" i="12"/>
  <c r="Z292" i="12"/>
  <c r="AP288" i="12"/>
  <c r="AL285" i="12"/>
  <c r="Z283" i="12"/>
  <c r="AH280" i="12"/>
  <c r="AP278" i="12"/>
  <c r="AD277" i="12"/>
  <c r="AL275" i="12"/>
  <c r="Z274" i="12"/>
  <c r="AD273" i="12"/>
  <c r="AH272" i="12"/>
  <c r="AL271" i="12"/>
  <c r="AP270" i="12"/>
  <c r="Z270" i="12"/>
  <c r="AD269" i="12"/>
  <c r="AH268" i="12"/>
  <c r="AL267" i="12"/>
  <c r="AP266" i="12"/>
  <c r="Z266" i="12"/>
  <c r="AD265" i="12"/>
  <c r="AH264" i="12"/>
  <c r="AL263" i="12"/>
  <c r="AP262" i="12"/>
  <c r="Z262" i="12"/>
  <c r="AD261" i="12"/>
  <c r="AH260" i="12"/>
  <c r="AL259" i="12"/>
  <c r="AP258" i="12"/>
  <c r="Z258" i="12"/>
  <c r="AD257" i="12"/>
  <c r="AH256" i="12"/>
  <c r="AL255" i="12"/>
  <c r="AP253" i="12"/>
  <c r="Z253" i="12"/>
  <c r="AD252" i="12"/>
  <c r="AH251" i="12"/>
  <c r="AL250" i="12"/>
  <c r="AP249" i="12"/>
  <c r="Z249" i="12"/>
  <c r="AD248" i="12"/>
  <c r="AH247" i="12"/>
  <c r="Y373" i="12"/>
  <c r="AK366" i="12"/>
  <c r="AC360" i="12"/>
  <c r="AN354" i="12"/>
  <c r="AN350" i="12"/>
  <c r="AJ347" i="12"/>
  <c r="AF344" i="12"/>
  <c r="AC341" i="12"/>
  <c r="AF339" i="12"/>
  <c r="AN337" i="12"/>
  <c r="AB336" i="12"/>
  <c r="AJ334" i="12"/>
  <c r="AJ332" i="12"/>
  <c r="AR330" i="12"/>
  <c r="AF329" i="12"/>
  <c r="AN327" i="12"/>
  <c r="AB326" i="12"/>
  <c r="AJ324" i="12"/>
  <c r="AR322" i="12"/>
  <c r="AF321" i="12"/>
  <c r="AN319" i="12"/>
  <c r="AB318" i="12"/>
  <c r="AJ315" i="12"/>
  <c r="AR313" i="12"/>
  <c r="AF312" i="12"/>
  <c r="AN310" i="12"/>
  <c r="AB309" i="12"/>
  <c r="AJ307" i="12"/>
  <c r="AR305" i="12"/>
  <c r="AF304" i="12"/>
  <c r="AN302" i="12"/>
  <c r="AC301" i="12"/>
  <c r="AG300" i="12"/>
  <c r="AK299" i="12"/>
  <c r="AO298" i="12"/>
  <c r="Y298" i="12"/>
  <c r="AI324" i="12"/>
  <c r="AD335" i="12"/>
  <c r="AP314" i="12"/>
  <c r="Z302" i="12"/>
  <c r="Y329" i="12"/>
  <c r="AG302" i="12"/>
  <c r="Z288" i="12"/>
  <c r="AD278" i="12"/>
  <c r="Z273" i="12"/>
  <c r="AP269" i="12"/>
  <c r="AL266" i="12"/>
  <c r="AH263" i="12"/>
  <c r="AD260" i="12"/>
  <c r="Z257" i="12"/>
  <c r="AP252" i="12"/>
  <c r="AL249" i="12"/>
  <c r="AG371" i="12"/>
  <c r="AR349" i="12"/>
  <c r="AR338" i="12"/>
  <c r="AB332" i="12"/>
  <c r="AN325" i="12"/>
  <c r="AF319" i="12"/>
  <c r="AR311" i="12"/>
  <c r="AJ305" i="12"/>
  <c r="AC300" i="12"/>
  <c r="AC297" i="12"/>
  <c r="AK294" i="12"/>
  <c r="Y293" i="12"/>
  <c r="AG291" i="12"/>
  <c r="AO289" i="12"/>
  <c r="AC288" i="12"/>
  <c r="AK286" i="12"/>
  <c r="Y285" i="12"/>
  <c r="AG283" i="12"/>
  <c r="AO280" i="12"/>
  <c r="AC279" i="12"/>
  <c r="AK277" i="12"/>
  <c r="AG276" i="12"/>
  <c r="AC275" i="12"/>
  <c r="AC274" i="12"/>
  <c r="AD372" i="12"/>
  <c r="AD354" i="12"/>
  <c r="AK345" i="12"/>
  <c r="AC339" i="12"/>
  <c r="AG334" i="12"/>
  <c r="AR329" i="12"/>
  <c r="AR325" i="12"/>
  <c r="AB321" i="12"/>
  <c r="AB317" i="12"/>
  <c r="AB312" i="12"/>
  <c r="AF307" i="12"/>
  <c r="AF303" i="12"/>
  <c r="AE300" i="12"/>
  <c r="AQ297" i="12"/>
  <c r="AQ294" i="12"/>
  <c r="AQ292" i="12"/>
  <c r="AE291" i="12"/>
  <c r="AM289" i="12"/>
  <c r="AA288" i="12"/>
  <c r="AI286" i="12"/>
  <c r="AQ284" i="12"/>
  <c r="AE283" i="12"/>
  <c r="AM280" i="12"/>
  <c r="AA279" i="12"/>
  <c r="AI277" i="12"/>
  <c r="AQ275" i="12"/>
  <c r="AE274" i="12"/>
  <c r="AR272" i="12"/>
  <c r="AQ271" i="12"/>
  <c r="AO270" i="12"/>
  <c r="AN269" i="12"/>
  <c r="AM268" i="12"/>
  <c r="AK267" i="12"/>
  <c r="AJ266" i="12"/>
  <c r="AI265" i="12"/>
  <c r="AG264" i="12"/>
  <c r="AF263" i="12"/>
  <c r="AE262" i="12"/>
  <c r="AC261" i="12"/>
  <c r="AB260" i="12"/>
  <c r="AA259" i="12"/>
  <c r="Y258" i="12"/>
  <c r="AR256" i="12"/>
  <c r="AQ255" i="12"/>
  <c r="AO253" i="12"/>
  <c r="AN252" i="12"/>
  <c r="AM251" i="12"/>
  <c r="AK250" i="12"/>
  <c r="AJ249" i="12"/>
  <c r="AI248" i="12"/>
  <c r="AG247" i="12"/>
  <c r="AJ246" i="12"/>
  <c r="AO244" i="12"/>
  <c r="Y244" i="12"/>
  <c r="AC243" i="12"/>
  <c r="AG242" i="12"/>
  <c r="AK241" i="12"/>
  <c r="AO240" i="12"/>
  <c r="Y240" i="12"/>
  <c r="AC239" i="12"/>
  <c r="AG238" i="12"/>
  <c r="AK237" i="12"/>
  <c r="AO236" i="12"/>
  <c r="Y236" i="12"/>
  <c r="AC235" i="12"/>
  <c r="AG234" i="12"/>
  <c r="AK233" i="12"/>
  <c r="AO231" i="12"/>
  <c r="Y231" i="12"/>
  <c r="AC230" i="12"/>
  <c r="AG229" i="12"/>
  <c r="AK228" i="12"/>
  <c r="AO227" i="12"/>
  <c r="Y227" i="12"/>
  <c r="AC226" i="12"/>
  <c r="AG225" i="12"/>
  <c r="AK224" i="12"/>
  <c r="AO223" i="12"/>
  <c r="Y223" i="12"/>
  <c r="AC222" i="12"/>
  <c r="AG221" i="12"/>
  <c r="AK220" i="12"/>
  <c r="AO219" i="12"/>
  <c r="Y219" i="12"/>
  <c r="AC218" i="12"/>
  <c r="AG217" i="12"/>
  <c r="AK216" i="12"/>
  <c r="AO215" i="12"/>
  <c r="Y215" i="12"/>
  <c r="AC214" i="12"/>
  <c r="AG213" i="12"/>
  <c r="AK212" i="12"/>
  <c r="AO211" i="12"/>
  <c r="Y211" i="12"/>
  <c r="AC210" i="12"/>
  <c r="AG209" i="12"/>
  <c r="AK208" i="12"/>
  <c r="AO207" i="12"/>
  <c r="Y207" i="12"/>
  <c r="AC206" i="12"/>
  <c r="AG205" i="12"/>
  <c r="AK204" i="12"/>
  <c r="AO203" i="12"/>
  <c r="Y203" i="12"/>
  <c r="AC202" i="12"/>
  <c r="AG201" i="12"/>
  <c r="AK200" i="12"/>
  <c r="AO199" i="12"/>
  <c r="Y199" i="12"/>
  <c r="AC198" i="12"/>
  <c r="AG197" i="12"/>
  <c r="AK196" i="12"/>
  <c r="AO195" i="12"/>
  <c r="Y195" i="12"/>
  <c r="AC194" i="12"/>
  <c r="AG193" i="12"/>
  <c r="AK192" i="12"/>
  <c r="AO191" i="12"/>
  <c r="Y191" i="12"/>
  <c r="AC190" i="12"/>
  <c r="AG189" i="12"/>
  <c r="AK188" i="12"/>
  <c r="AO187" i="12"/>
  <c r="Y369" i="12"/>
  <c r="AF356" i="12"/>
  <c r="AN348" i="12"/>
  <c r="AF342" i="12"/>
  <c r="AF338" i="12"/>
  <c r="AB335" i="12"/>
  <c r="AC331" i="12"/>
  <c r="Y328" i="12"/>
  <c r="AO324" i="12"/>
  <c r="AK321" i="12"/>
  <c r="AG318" i="12"/>
  <c r="AC314" i="12"/>
  <c r="Y311" i="12"/>
  <c r="AO307" i="12"/>
  <c r="AK304" i="12"/>
  <c r="AG301" i="12"/>
  <c r="AN299" i="12"/>
  <c r="AB298" i="12"/>
  <c r="AJ295" i="12"/>
  <c r="AR293" i="12"/>
  <c r="AF292" i="12"/>
  <c r="AN290" i="12"/>
  <c r="AB289" i="12"/>
  <c r="AJ287" i="12"/>
  <c r="AR285" i="12"/>
  <c r="AF284" i="12"/>
  <c r="AN282" i="12"/>
  <c r="AB280" i="12"/>
  <c r="AJ278" i="12"/>
  <c r="AR276" i="12"/>
  <c r="AF275" i="12"/>
  <c r="AN273" i="12"/>
  <c r="AK272" i="12"/>
  <c r="AJ271" i="12"/>
  <c r="AI270" i="12"/>
  <c r="AG269" i="12"/>
  <c r="AF268" i="12"/>
  <c r="AE267" i="12"/>
  <c r="AC266" i="12"/>
  <c r="AB265" i="12"/>
  <c r="AA264" i="12"/>
  <c r="Y263" i="12"/>
  <c r="AR261" i="12"/>
  <c r="AQ260" i="12"/>
  <c r="AO259" i="12"/>
  <c r="AN258" i="12"/>
  <c r="AM257" i="12"/>
  <c r="AK256" i="12"/>
  <c r="AJ255" i="12"/>
  <c r="AI253" i="12"/>
  <c r="AG252" i="12"/>
  <c r="AF251" i="12"/>
  <c r="AE250" i="12"/>
  <c r="AC249" i="12"/>
  <c r="AB248" i="12"/>
  <c r="AA247" i="12"/>
  <c r="AE246" i="12"/>
  <c r="AJ244" i="12"/>
  <c r="AN243" i="12"/>
  <c r="AR242" i="12"/>
  <c r="AB242" i="12"/>
  <c r="AF241" i="12"/>
  <c r="AJ240" i="12"/>
  <c r="AN239" i="12"/>
  <c r="AR238" i="12"/>
  <c r="AB238" i="12"/>
  <c r="AF237" i="12"/>
  <c r="AJ236" i="12"/>
  <c r="AN235" i="12"/>
  <c r="AR234" i="12"/>
  <c r="AB234" i="12"/>
  <c r="AF233" i="12"/>
  <c r="AJ231" i="12"/>
  <c r="AN230" i="12"/>
  <c r="AR229" i="12"/>
  <c r="AB229" i="12"/>
  <c r="AM357" i="12"/>
  <c r="AM310" i="12"/>
  <c r="AP328" i="12"/>
  <c r="AL311" i="12"/>
  <c r="Z357" i="12"/>
  <c r="AK322" i="12"/>
  <c r="AL298" i="12"/>
  <c r="AP284" i="12"/>
  <c r="AL276" i="12"/>
  <c r="AD272" i="12"/>
  <c r="Z269" i="12"/>
  <c r="AP265" i="12"/>
  <c r="AL262" i="12"/>
  <c r="AH259" i="12"/>
  <c r="AD256" i="12"/>
  <c r="Z252" i="12"/>
  <c r="AP248" i="12"/>
  <c r="Y365" i="12"/>
  <c r="AN346" i="12"/>
  <c r="AF337" i="12"/>
  <c r="AJ330" i="12"/>
  <c r="AB324" i="12"/>
  <c r="AN317" i="12"/>
  <c r="AF310" i="12"/>
  <c r="AR303" i="12"/>
  <c r="AG299" i="12"/>
  <c r="Y297" i="12"/>
  <c r="AG294" i="12"/>
  <c r="AO292" i="12"/>
  <c r="AC291" i="12"/>
  <c r="AK289" i="12"/>
  <c r="Y288" i="12"/>
  <c r="AG286" i="12"/>
  <c r="AO284" i="12"/>
  <c r="AC283" i="12"/>
  <c r="AK280" i="12"/>
  <c r="Y279" i="12"/>
  <c r="AG277" i="12"/>
  <c r="Y276" i="12"/>
  <c r="Y275" i="12"/>
  <c r="Y274" i="12"/>
  <c r="AP365" i="12"/>
  <c r="AB352" i="12"/>
  <c r="Y344" i="12"/>
  <c r="AK337" i="12"/>
  <c r="AK333" i="12"/>
  <c r="AB329" i="12"/>
  <c r="AF324" i="12"/>
  <c r="AF320" i="12"/>
  <c r="AF315" i="12"/>
  <c r="AJ310" i="12"/>
  <c r="AJ306" i="12"/>
  <c r="AJ302" i="12"/>
  <c r="AI299" i="12"/>
  <c r="AI297" i="12"/>
  <c r="AI294" i="12"/>
  <c r="AI292" i="12"/>
  <c r="AQ290" i="12"/>
  <c r="AE289" i="12"/>
  <c r="AM287" i="12"/>
  <c r="AA286" i="12"/>
  <c r="AI284" i="12"/>
  <c r="AQ282" i="12"/>
  <c r="AE280" i="12"/>
  <c r="AM278" i="12"/>
  <c r="AA277" i="12"/>
  <c r="AI275" i="12"/>
  <c r="AQ273" i="12"/>
  <c r="AM272" i="12"/>
  <c r="AK271" i="12"/>
  <c r="AJ270" i="12"/>
  <c r="AI269" i="12"/>
  <c r="AG268" i="12"/>
  <c r="AF267" i="12"/>
  <c r="AE266" i="12"/>
  <c r="AC265" i="12"/>
  <c r="AB264" i="12"/>
  <c r="AA263" i="12"/>
  <c r="Y262" i="12"/>
  <c r="AR260" i="12"/>
  <c r="AQ259" i="12"/>
  <c r="AO258" i="12"/>
  <c r="AN257" i="12"/>
  <c r="AM256" i="12"/>
  <c r="AK255" i="12"/>
  <c r="AJ253" i="12"/>
  <c r="AI252" i="12"/>
  <c r="AG251" i="12"/>
  <c r="AF250" i="12"/>
  <c r="AE249" i="12"/>
  <c r="AC248" i="12"/>
  <c r="AB247" i="12"/>
  <c r="AF246" i="12"/>
  <c r="AK244" i="12"/>
  <c r="AO243" i="12"/>
  <c r="Y243" i="12"/>
  <c r="AC242" i="12"/>
  <c r="AG241" i="12"/>
  <c r="AK240" i="12"/>
  <c r="AO239" i="12"/>
  <c r="Y239" i="12"/>
  <c r="AC238" i="12"/>
  <c r="AG237" i="12"/>
  <c r="AK236" i="12"/>
  <c r="AO235" i="12"/>
  <c r="Y235" i="12"/>
  <c r="AC234" i="12"/>
  <c r="AG233" i="12"/>
  <c r="AK231" i="12"/>
  <c r="AO230" i="12"/>
  <c r="Y230" i="12"/>
  <c r="AC229" i="12"/>
  <c r="AG228" i="12"/>
  <c r="AK227" i="12"/>
  <c r="AO226" i="12"/>
  <c r="Y226" i="12"/>
  <c r="AC225" i="12"/>
  <c r="AG224" i="12"/>
  <c r="AK223" i="12"/>
  <c r="AO222" i="12"/>
  <c r="Y222" i="12"/>
  <c r="AC221" i="12"/>
  <c r="AG220" i="12"/>
  <c r="AK219" i="12"/>
  <c r="AO218" i="12"/>
  <c r="Y218" i="12"/>
  <c r="AC217" i="12"/>
  <c r="AG216" i="12"/>
  <c r="AK215" i="12"/>
  <c r="AO214" i="12"/>
  <c r="Y214" i="12"/>
  <c r="AC213" i="12"/>
  <c r="AG212" i="12"/>
  <c r="AK211" i="12"/>
  <c r="AO210" i="12"/>
  <c r="Y210" i="12"/>
  <c r="AC209" i="12"/>
  <c r="AG208" i="12"/>
  <c r="AK207" i="12"/>
  <c r="AO206" i="12"/>
  <c r="Y206" i="12"/>
  <c r="AC205" i="12"/>
  <c r="AG204" i="12"/>
  <c r="AK203" i="12"/>
  <c r="AO202" i="12"/>
  <c r="Y202" i="12"/>
  <c r="AC201" i="12"/>
  <c r="AG200" i="12"/>
  <c r="AK199" i="12"/>
  <c r="AO198" i="12"/>
  <c r="Y198" i="12"/>
  <c r="AC197" i="12"/>
  <c r="AG196" i="12"/>
  <c r="AK195" i="12"/>
  <c r="AO194" i="12"/>
  <c r="Y194" i="12"/>
  <c r="AC193" i="12"/>
  <c r="AG192" i="12"/>
  <c r="AK191" i="12"/>
  <c r="AO190" i="12"/>
  <c r="Y190" i="12"/>
  <c r="AC189" i="12"/>
  <c r="AG188" i="12"/>
  <c r="AK187" i="12"/>
  <c r="AO365" i="12"/>
  <c r="AC354" i="12"/>
  <c r="AB347" i="12"/>
  <c r="AR340" i="12"/>
  <c r="AJ337" i="12"/>
  <c r="AF334" i="12"/>
  <c r="AG330" i="12"/>
  <c r="AC327" i="12"/>
  <c r="Y324" i="12"/>
  <c r="AO320" i="12"/>
  <c r="AK317" i="12"/>
  <c r="AG313" i="12"/>
  <c r="AC310" i="12"/>
  <c r="Y307" i="12"/>
  <c r="AO303" i="12"/>
  <c r="AR300" i="12"/>
  <c r="AF299" i="12"/>
  <c r="AN297" i="12"/>
  <c r="AB295" i="12"/>
  <c r="AJ293" i="12"/>
  <c r="AR291" i="12"/>
  <c r="AF290" i="12"/>
  <c r="AN288" i="12"/>
  <c r="AB287" i="12"/>
  <c r="AJ285" i="12"/>
  <c r="AR283" i="12"/>
  <c r="AF282" i="12"/>
  <c r="AN279" i="12"/>
  <c r="AB278" i="12"/>
  <c r="AJ276" i="12"/>
  <c r="AR274" i="12"/>
  <c r="AG273" i="12"/>
  <c r="AF272" i="12"/>
  <c r="AE271" i="12"/>
  <c r="AC270" i="12"/>
  <c r="AB269" i="12"/>
  <c r="AA268" i="12"/>
  <c r="Y267" i="12"/>
  <c r="AR265" i="12"/>
  <c r="AQ264" i="12"/>
  <c r="AO263" i="12"/>
  <c r="AN262" i="12"/>
  <c r="AM261" i="12"/>
  <c r="AK260" i="12"/>
  <c r="AJ259" i="12"/>
  <c r="AI258" i="12"/>
  <c r="AG257" i="12"/>
  <c r="AF256" i="12"/>
  <c r="AE255" i="12"/>
  <c r="AC253" i="12"/>
  <c r="AB252" i="12"/>
  <c r="AA251" i="12"/>
  <c r="Y250" i="12"/>
  <c r="AR248" i="12"/>
  <c r="AQ247" i="12"/>
  <c r="AQ246" i="12"/>
  <c r="AA246" i="12"/>
  <c r="AF244" i="12"/>
  <c r="AJ243" i="12"/>
  <c r="AN242" i="12"/>
  <c r="AR241" i="12"/>
  <c r="AB241" i="12"/>
  <c r="AF240" i="12"/>
  <c r="AJ239" i="12"/>
  <c r="AN238" i="12"/>
  <c r="AR237" i="12"/>
  <c r="AB237" i="12"/>
  <c r="AF236" i="12"/>
  <c r="AJ235" i="12"/>
  <c r="AN234" i="12"/>
  <c r="AR233" i="12"/>
  <c r="AB233" i="12"/>
  <c r="AF231" i="12"/>
  <c r="AJ230" i="12"/>
  <c r="AN229" i="12"/>
  <c r="AR228" i="12"/>
  <c r="AB228" i="12"/>
  <c r="AF227" i="12"/>
  <c r="AJ226" i="12"/>
  <c r="AN225" i="12"/>
  <c r="AR224" i="12"/>
  <c r="AB224" i="12"/>
  <c r="AF223" i="12"/>
  <c r="AJ222" i="12"/>
  <c r="AN221" i="12"/>
  <c r="AR220" i="12"/>
  <c r="AB220" i="12"/>
  <c r="AF219" i="12"/>
  <c r="AJ218" i="12"/>
  <c r="AN217" i="12"/>
  <c r="AR216" i="12"/>
  <c r="AP345" i="12"/>
  <c r="AO363" i="12"/>
  <c r="AH322" i="12"/>
  <c r="AH308" i="12"/>
  <c r="AO342" i="12"/>
  <c r="AC315" i="12"/>
  <c r="AH294" i="12"/>
  <c r="AH282" i="12"/>
  <c r="Z275" i="12"/>
  <c r="AH271" i="12"/>
  <c r="AD268" i="12"/>
  <c r="Z265" i="12"/>
  <c r="AP261" i="12"/>
  <c r="AL258" i="12"/>
  <c r="AH255" i="12"/>
  <c r="AD251" i="12"/>
  <c r="Z248" i="12"/>
  <c r="AK358" i="12"/>
  <c r="AJ343" i="12"/>
  <c r="AN335" i="12"/>
  <c r="AR328" i="12"/>
  <c r="AJ322" i="12"/>
  <c r="AB315" i="12"/>
  <c r="AN308" i="12"/>
  <c r="AF302" i="12"/>
  <c r="AK298" i="12"/>
  <c r="AG295" i="12"/>
  <c r="AO293" i="12"/>
  <c r="AC292" i="12"/>
  <c r="AK290" i="12"/>
  <c r="Y289" i="12"/>
  <c r="AG287" i="12"/>
  <c r="AO285" i="12"/>
  <c r="AC284" i="12"/>
  <c r="AK282" i="12"/>
  <c r="Y280" i="12"/>
  <c r="AG278" i="12"/>
  <c r="AO276" i="12"/>
  <c r="AO275" i="12"/>
  <c r="AO274" i="12"/>
  <c r="AK273" i="12"/>
  <c r="AL362" i="12"/>
  <c r="AG350" i="12"/>
  <c r="Y341" i="12"/>
  <c r="AO336" i="12"/>
  <c r="AF332" i="12"/>
  <c r="AJ327" i="12"/>
  <c r="AJ323" i="12"/>
  <c r="AJ319" i="12"/>
  <c r="AN313" i="12"/>
  <c r="AN309" i="12"/>
  <c r="AN305" i="12"/>
  <c r="AA301" i="12"/>
  <c r="AA299" i="12"/>
  <c r="AA297" i="12"/>
  <c r="AM293" i="12"/>
  <c r="AA292" i="12"/>
  <c r="AI290" i="12"/>
  <c r="AQ288" i="12"/>
  <c r="AE287" i="12"/>
  <c r="AM285" i="12"/>
  <c r="AA284" i="12"/>
  <c r="AI282" i="12"/>
  <c r="AQ279" i="12"/>
  <c r="AE278" i="12"/>
  <c r="AM276" i="12"/>
  <c r="AA275" i="12"/>
  <c r="AI273" i="12"/>
  <c r="AG272" i="12"/>
  <c r="AF271" i="12"/>
  <c r="AE270" i="12"/>
  <c r="AC269" i="12"/>
  <c r="AB268" i="12"/>
  <c r="AA267" i="12"/>
  <c r="Y266" i="12"/>
  <c r="AR264" i="12"/>
  <c r="AQ263" i="12"/>
  <c r="AO262" i="12"/>
  <c r="AN261" i="12"/>
  <c r="AM260" i="12"/>
  <c r="AK259" i="12"/>
  <c r="AJ258" i="12"/>
  <c r="AI257" i="12"/>
  <c r="AG256" i="12"/>
  <c r="AF255" i="12"/>
  <c r="AE253" i="12"/>
  <c r="AC252" i="12"/>
  <c r="AB251" i="12"/>
  <c r="AA250" i="12"/>
  <c r="Y249" i="12"/>
  <c r="AR247" i="12"/>
  <c r="AR246" i="12"/>
  <c r="AB246" i="12"/>
  <c r="AG244" i="12"/>
  <c r="AK243" i="12"/>
  <c r="AO242" i="12"/>
  <c r="Y242" i="12"/>
  <c r="AC241" i="12"/>
  <c r="AG240" i="12"/>
  <c r="AK239" i="12"/>
  <c r="AO238" i="12"/>
  <c r="Y238" i="12"/>
  <c r="AC237" i="12"/>
  <c r="AG236" i="12"/>
  <c r="AK235" i="12"/>
  <c r="AO234" i="12"/>
  <c r="Y234" i="12"/>
  <c r="AC233" i="12"/>
  <c r="AG231" i="12"/>
  <c r="AK230" i="12"/>
  <c r="AO229" i="12"/>
  <c r="Y229" i="12"/>
  <c r="AC228" i="12"/>
  <c r="AG227" i="12"/>
  <c r="AK226" i="12"/>
  <c r="AO225" i="12"/>
  <c r="Y225" i="12"/>
  <c r="AC224" i="12"/>
  <c r="AG223" i="12"/>
  <c r="AK222" i="12"/>
  <c r="AO221" i="12"/>
  <c r="Y221" i="12"/>
  <c r="AC220" i="12"/>
  <c r="AG219" i="12"/>
  <c r="AK218" i="12"/>
  <c r="AO217" i="12"/>
  <c r="Y217" i="12"/>
  <c r="AC216" i="12"/>
  <c r="AG215" i="12"/>
  <c r="AK214" i="12"/>
  <c r="AO213" i="12"/>
  <c r="Y213" i="12"/>
  <c r="AC212" i="12"/>
  <c r="AG211" i="12"/>
  <c r="AK210" i="12"/>
  <c r="AO209" i="12"/>
  <c r="Y209" i="12"/>
  <c r="AC208" i="12"/>
  <c r="AG207" i="12"/>
  <c r="AK206" i="12"/>
  <c r="AO205" i="12"/>
  <c r="Y205" i="12"/>
  <c r="AC204" i="12"/>
  <c r="AG203" i="12"/>
  <c r="AK202" i="12"/>
  <c r="AO201" i="12"/>
  <c r="Y201" i="12"/>
  <c r="AC200" i="12"/>
  <c r="AG199" i="12"/>
  <c r="AK198" i="12"/>
  <c r="AO197" i="12"/>
  <c r="Y197" i="12"/>
  <c r="AC196" i="12"/>
  <c r="AG195" i="12"/>
  <c r="AK194" i="12"/>
  <c r="AO193" i="12"/>
  <c r="Y193" i="12"/>
  <c r="AC192" i="12"/>
  <c r="AG191" i="12"/>
  <c r="AK190" i="12"/>
  <c r="AO189" i="12"/>
  <c r="Y189" i="12"/>
  <c r="AC188" i="12"/>
  <c r="AG375" i="12"/>
  <c r="AK362" i="12"/>
  <c r="Z352" i="12"/>
  <c r="AJ345" i="12"/>
  <c r="AR339" i="12"/>
  <c r="AN336" i="12"/>
  <c r="AJ333" i="12"/>
  <c r="AK329" i="12"/>
  <c r="AG326" i="12"/>
  <c r="AC323" i="12"/>
  <c r="Y320" i="12"/>
  <c r="AO315" i="12"/>
  <c r="AK312" i="12"/>
  <c r="AG309" i="12"/>
  <c r="AC306" i="12"/>
  <c r="Y303" i="12"/>
  <c r="AJ300" i="12"/>
  <c r="AR298" i="12"/>
  <c r="AF297" i="12"/>
  <c r="AN294" i="12"/>
  <c r="AB293" i="12"/>
  <c r="AJ291" i="12"/>
  <c r="AR289" i="12"/>
  <c r="AF288" i="12"/>
  <c r="AN286" i="12"/>
  <c r="AB285" i="12"/>
  <c r="AJ283" i="12"/>
  <c r="AR280" i="12"/>
  <c r="AF279" i="12"/>
  <c r="AN277" i="12"/>
  <c r="AB276" i="12"/>
  <c r="AJ274" i="12"/>
  <c r="AB273" i="12"/>
  <c r="AA272" i="12"/>
  <c r="Y271" i="12"/>
  <c r="AR269" i="12"/>
  <c r="AQ268" i="12"/>
  <c r="AO267" i="12"/>
  <c r="AN266" i="12"/>
  <c r="AM265" i="12"/>
  <c r="AK264" i="12"/>
  <c r="AJ263" i="12"/>
  <c r="AI262" i="12"/>
  <c r="AG261" i="12"/>
  <c r="AF260" i="12"/>
  <c r="AE259" i="12"/>
  <c r="AC258" i="12"/>
  <c r="AB257" i="12"/>
  <c r="AA256" i="12"/>
  <c r="Y255" i="12"/>
  <c r="AR252" i="12"/>
  <c r="AQ251" i="12"/>
  <c r="AO250" i="12"/>
  <c r="AN249" i="12"/>
  <c r="AM248" i="12"/>
  <c r="AK247" i="12"/>
  <c r="AM246" i="12"/>
  <c r="AR244" i="12"/>
  <c r="AB244" i="12"/>
  <c r="AF243" i="12"/>
  <c r="AJ242" i="12"/>
  <c r="AN241" i="12"/>
  <c r="AR240" i="12"/>
  <c r="AB240" i="12"/>
  <c r="AF239" i="12"/>
  <c r="AJ238" i="12"/>
  <c r="AN237" i="12"/>
  <c r="AR236" i="12"/>
  <c r="AB236" i="12"/>
  <c r="AF235" i="12"/>
  <c r="AJ234" i="12"/>
  <c r="AN233" i="12"/>
  <c r="AR231" i="12"/>
  <c r="AB231" i="12"/>
  <c r="AF230" i="12"/>
  <c r="AJ229" i="12"/>
  <c r="AN228" i="12"/>
  <c r="AR227" i="12"/>
  <c r="AB227" i="12"/>
  <c r="AF226" i="12"/>
  <c r="AJ225" i="12"/>
  <c r="AN224" i="12"/>
  <c r="AR223" i="12"/>
  <c r="AB223" i="12"/>
  <c r="AF222" i="12"/>
  <c r="AJ221" i="12"/>
  <c r="AN220" i="12"/>
  <c r="AR219" i="12"/>
  <c r="AB219" i="12"/>
  <c r="AF218" i="12"/>
  <c r="AJ217" i="12"/>
  <c r="AN216" i="12"/>
  <c r="Z319" i="12"/>
  <c r="AD291" i="12"/>
  <c r="AH267" i="12"/>
  <c r="AL253" i="12"/>
  <c r="AL340" i="12"/>
  <c r="AJ313" i="12"/>
  <c r="AC295" i="12"/>
  <c r="AO288" i="12"/>
  <c r="AG282" i="12"/>
  <c r="AK275" i="12"/>
  <c r="AC347" i="12"/>
  <c r="AN326" i="12"/>
  <c r="AR308" i="12"/>
  <c r="AE295" i="12"/>
  <c r="AI288" i="12"/>
  <c r="AA282" i="12"/>
  <c r="AM274" i="12"/>
  <c r="Y270" i="12"/>
  <c r="AN265" i="12"/>
  <c r="AI261" i="12"/>
  <c r="AC257" i="12"/>
  <c r="AR251" i="12"/>
  <c r="AM247" i="12"/>
  <c r="AG243" i="12"/>
  <c r="AC240" i="12"/>
  <c r="Y237" i="12"/>
  <c r="AO233" i="12"/>
  <c r="AK229" i="12"/>
  <c r="AG226" i="12"/>
  <c r="AC223" i="12"/>
  <c r="Y220" i="12"/>
  <c r="AO216" i="12"/>
  <c r="AK213" i="12"/>
  <c r="AG210" i="12"/>
  <c r="AC207" i="12"/>
  <c r="Y204" i="12"/>
  <c r="AO200" i="12"/>
  <c r="AK197" i="12"/>
  <c r="AG194" i="12"/>
  <c r="AC191" i="12"/>
  <c r="Y188" i="12"/>
  <c r="AR343" i="12"/>
  <c r="AO328" i="12"/>
  <c r="Y315" i="12"/>
  <c r="AC302" i="12"/>
  <c r="AF294" i="12"/>
  <c r="AR287" i="12"/>
  <c r="AJ280" i="12"/>
  <c r="AB274" i="12"/>
  <c r="AM269" i="12"/>
  <c r="AG265" i="12"/>
  <c r="AB261" i="12"/>
  <c r="AQ256" i="12"/>
  <c r="AK251" i="12"/>
  <c r="AF247" i="12"/>
  <c r="AB243" i="12"/>
  <c r="AR239" i="12"/>
  <c r="AN236" i="12"/>
  <c r="AJ233" i="12"/>
  <c r="AF229" i="12"/>
  <c r="AJ227" i="12"/>
  <c r="AR225" i="12"/>
  <c r="AF224" i="12"/>
  <c r="AN222" i="12"/>
  <c r="AB221" i="12"/>
  <c r="AJ219" i="12"/>
  <c r="AR217" i="12"/>
  <c r="AF216" i="12"/>
  <c r="AJ215" i="12"/>
  <c r="AN214" i="12"/>
  <c r="AR213" i="12"/>
  <c r="AB213" i="12"/>
  <c r="AF212" i="12"/>
  <c r="AJ211" i="12"/>
  <c r="AN210" i="12"/>
  <c r="AR209" i="12"/>
  <c r="AB209" i="12"/>
  <c r="AF208" i="12"/>
  <c r="AJ207" i="12"/>
  <c r="AN206" i="12"/>
  <c r="AR205" i="12"/>
  <c r="AB205" i="12"/>
  <c r="AF204" i="12"/>
  <c r="AJ203" i="12"/>
  <c r="AN202" i="12"/>
  <c r="AR201" i="12"/>
  <c r="AB201" i="12"/>
  <c r="AF200" i="12"/>
  <c r="AJ199" i="12"/>
  <c r="AN198" i="12"/>
  <c r="AR197" i="12"/>
  <c r="AB197" i="12"/>
  <c r="AF196" i="12"/>
  <c r="AJ195" i="12"/>
  <c r="AN194" i="12"/>
  <c r="AR193" i="12"/>
  <c r="AB193" i="12"/>
  <c r="AF192" i="12"/>
  <c r="AJ191" i="12"/>
  <c r="AH367" i="12"/>
  <c r="Y348" i="12"/>
  <c r="Y338" i="12"/>
  <c r="AG332" i="12"/>
  <c r="AF326" i="12"/>
  <c r="AR319" i="12"/>
  <c r="AJ312" i="12"/>
  <c r="AB306" i="12"/>
  <c r="AI300" i="12"/>
  <c r="AE297" i="12"/>
  <c r="AA293" i="12"/>
  <c r="AQ289" i="12"/>
  <c r="AM286" i="12"/>
  <c r="AI283" i="12"/>
  <c r="AE279" i="12"/>
  <c r="AA276" i="12"/>
  <c r="AA273" i="12"/>
  <c r="AR270" i="12"/>
  <c r="AO268" i="12"/>
  <c r="AM266" i="12"/>
  <c r="AJ264" i="12"/>
  <c r="AG262" i="12"/>
  <c r="AE260" i="12"/>
  <c r="AB258" i="12"/>
  <c r="Y256" i="12"/>
  <c r="AQ252" i="12"/>
  <c r="AN250" i="12"/>
  <c r="AK248" i="12"/>
  <c r="AL246" i="12"/>
  <c r="AA244" i="12"/>
  <c r="AI242" i="12"/>
  <c r="AQ240" i="12"/>
  <c r="AE239" i="12"/>
  <c r="AM237" i="12"/>
  <c r="AA236" i="12"/>
  <c r="AI234" i="12"/>
  <c r="AQ231" i="12"/>
  <c r="AE230" i="12"/>
  <c r="AM228" i="12"/>
  <c r="AA227" i="12"/>
  <c r="AI225" i="12"/>
  <c r="AQ223" i="12"/>
  <c r="AE222" i="12"/>
  <c r="AM220" i="12"/>
  <c r="AA219" i="12"/>
  <c r="AI217" i="12"/>
  <c r="AQ215" i="12"/>
  <c r="AE214" i="12"/>
  <c r="AM212" i="12"/>
  <c r="AA211" i="12"/>
  <c r="AI209" i="12"/>
  <c r="AQ207" i="12"/>
  <c r="AE206" i="12"/>
  <c r="AM204" i="12"/>
  <c r="AA203" i="12"/>
  <c r="AI201" i="12"/>
  <c r="AQ199" i="12"/>
  <c r="AE198" i="12"/>
  <c r="AM196" i="12"/>
  <c r="AA195" i="12"/>
  <c r="AI193" i="12"/>
  <c r="AQ191" i="12"/>
  <c r="AJ190" i="12"/>
  <c r="AI189" i="12"/>
  <c r="AH188" i="12"/>
  <c r="AG187" i="12"/>
  <c r="AK186" i="12"/>
  <c r="AO185" i="12"/>
  <c r="Y185" i="12"/>
  <c r="AC184" i="12"/>
  <c r="AG183" i="12"/>
  <c r="AG182" i="12"/>
  <c r="AK181" i="12"/>
  <c r="AO180" i="12"/>
  <c r="Y180" i="12"/>
  <c r="AC179" i="12"/>
  <c r="AG178" i="12"/>
  <c r="AK177" i="12"/>
  <c r="AO176" i="12"/>
  <c r="Y176" i="12"/>
  <c r="AC175" i="12"/>
  <c r="AG174" i="12"/>
  <c r="AK173" i="12"/>
  <c r="AO172" i="12"/>
  <c r="Y172" i="12"/>
  <c r="AC171" i="12"/>
  <c r="AG170" i="12"/>
  <c r="AK169" i="12"/>
  <c r="AN168" i="12"/>
  <c r="AR167" i="12"/>
  <c r="AB167" i="12"/>
  <c r="AF166" i="12"/>
  <c r="AF165" i="12"/>
  <c r="AJ164" i="12"/>
  <c r="AN163" i="12"/>
  <c r="AR162" i="12"/>
  <c r="AB162" i="12"/>
  <c r="AF161" i="12"/>
  <c r="AI160" i="12"/>
  <c r="AM159" i="12"/>
  <c r="AQ158" i="12"/>
  <c r="AA158" i="12"/>
  <c r="AE157" i="12"/>
  <c r="AI156" i="12"/>
  <c r="AM155" i="12"/>
  <c r="AQ154" i="12"/>
  <c r="AA154" i="12"/>
  <c r="AE153" i="12"/>
  <c r="AI152" i="12"/>
  <c r="AM151" i="12"/>
  <c r="AQ150" i="12"/>
  <c r="AA150" i="12"/>
  <c r="AE149" i="12"/>
  <c r="AI148" i="12"/>
  <c r="AM147" i="12"/>
  <c r="AQ146" i="12"/>
  <c r="AA146" i="12"/>
  <c r="AE145" i="12"/>
  <c r="AI144" i="12"/>
  <c r="AM143" i="12"/>
  <c r="AQ142" i="12"/>
  <c r="AA142" i="12"/>
  <c r="AE141" i="12"/>
  <c r="AI140" i="12"/>
  <c r="AM139" i="12"/>
  <c r="AQ138" i="12"/>
  <c r="AA138" i="12"/>
  <c r="AE137" i="12"/>
  <c r="AO373" i="12"/>
  <c r="AB351" i="12"/>
  <c r="AJ339" i="12"/>
  <c r="AB333" i="12"/>
  <c r="Y326" i="12"/>
  <c r="AK319" i="12"/>
  <c r="AC312" i="12"/>
  <c r="AO305" i="12"/>
  <c r="AF300" i="12"/>
  <c r="AB297" i="12"/>
  <c r="AR292" i="12"/>
  <c r="AN289" i="12"/>
  <c r="AJ286" i="12"/>
  <c r="AF283" i="12"/>
  <c r="AB279" i="12"/>
  <c r="AR275" i="12"/>
  <c r="Y273" i="12"/>
  <c r="AQ270" i="12"/>
  <c r="AN268" i="12"/>
  <c r="AK266" i="12"/>
  <c r="AI264" i="12"/>
  <c r="AF262" i="12"/>
  <c r="AC260" i="12"/>
  <c r="AA258" i="12"/>
  <c r="AR255" i="12"/>
  <c r="AO252" i="12"/>
  <c r="AM250" i="12"/>
  <c r="AJ248" i="12"/>
  <c r="AD305" i="12"/>
  <c r="AP279" i="12"/>
  <c r="AD264" i="12"/>
  <c r="AH250" i="12"/>
  <c r="AB334" i="12"/>
  <c r="AB307" i="12"/>
  <c r="AK293" i="12"/>
  <c r="AC287" i="12"/>
  <c r="AO279" i="12"/>
  <c r="AG274" i="12"/>
  <c r="Y340" i="12"/>
  <c r="AN322" i="12"/>
  <c r="AB304" i="12"/>
  <c r="AE293" i="12"/>
  <c r="AQ286" i="12"/>
  <c r="AI279" i="12"/>
  <c r="AC273" i="12"/>
  <c r="AR268" i="12"/>
  <c r="AM264" i="12"/>
  <c r="AG260" i="12"/>
  <c r="AB256" i="12"/>
  <c r="AQ250" i="12"/>
  <c r="AN246" i="12"/>
  <c r="AK242" i="12"/>
  <c r="AG239" i="12"/>
  <c r="AC236" i="12"/>
  <c r="Y233" i="12"/>
  <c r="AO228" i="12"/>
  <c r="AK225" i="12"/>
  <c r="AG222" i="12"/>
  <c r="AC219" i="12"/>
  <c r="Y216" i="12"/>
  <c r="AO212" i="12"/>
  <c r="AK209" i="12"/>
  <c r="AG206" i="12"/>
  <c r="AC203" i="12"/>
  <c r="Y200" i="12"/>
  <c r="AO196" i="12"/>
  <c r="AK193" i="12"/>
  <c r="AG190" i="12"/>
  <c r="AC372" i="12"/>
  <c r="AB339" i="12"/>
  <c r="AK325" i="12"/>
  <c r="AO311" i="12"/>
  <c r="AB300" i="12"/>
  <c r="AN292" i="12"/>
  <c r="AF286" i="12"/>
  <c r="AR278" i="12"/>
  <c r="AQ272" i="12"/>
  <c r="AK268" i="12"/>
  <c r="AF264" i="12"/>
  <c r="AA260" i="12"/>
  <c r="AO255" i="12"/>
  <c r="AJ250" i="12"/>
  <c r="AI246" i="12"/>
  <c r="AF242" i="12"/>
  <c r="AB239" i="12"/>
  <c r="AR235" i="12"/>
  <c r="AN231" i="12"/>
  <c r="AJ228" i="12"/>
  <c r="AR226" i="12"/>
  <c r="AF225" i="12"/>
  <c r="AN223" i="12"/>
  <c r="AB222" i="12"/>
  <c r="AJ220" i="12"/>
  <c r="AR218" i="12"/>
  <c r="AF217" i="12"/>
  <c r="AB216" i="12"/>
  <c r="AF215" i="12"/>
  <c r="AJ214" i="12"/>
  <c r="AN213" i="12"/>
  <c r="AR212" i="12"/>
  <c r="AB212" i="12"/>
  <c r="AF211" i="12"/>
  <c r="AJ210" i="12"/>
  <c r="AN209" i="12"/>
  <c r="AR208" i="12"/>
  <c r="AB208" i="12"/>
  <c r="AF207" i="12"/>
  <c r="AJ206" i="12"/>
  <c r="AN205" i="12"/>
  <c r="AR204" i="12"/>
  <c r="AB204" i="12"/>
  <c r="AF203" i="12"/>
  <c r="AJ202" i="12"/>
  <c r="AN201" i="12"/>
  <c r="AR200" i="12"/>
  <c r="AB200" i="12"/>
  <c r="AF199" i="12"/>
  <c r="AJ198" i="12"/>
  <c r="AN197" i="12"/>
  <c r="AR196" i="12"/>
  <c r="AB196" i="12"/>
  <c r="AF195" i="12"/>
  <c r="AJ194" i="12"/>
  <c r="AN193" i="12"/>
  <c r="AR192" i="12"/>
  <c r="AB192" i="12"/>
  <c r="AF191" i="12"/>
  <c r="Z361" i="12"/>
  <c r="AO344" i="12"/>
  <c r="AG336" i="12"/>
  <c r="AB331" i="12"/>
  <c r="AN324" i="12"/>
  <c r="AF318" i="12"/>
  <c r="AR310" i="12"/>
  <c r="AJ304" i="12"/>
  <c r="AM299" i="12"/>
  <c r="AI295" i="12"/>
  <c r="AE292" i="12"/>
  <c r="AA289" i="12"/>
  <c r="AQ285" i="12"/>
  <c r="AM282" i="12"/>
  <c r="AI278" i="12"/>
  <c r="AE275" i="12"/>
  <c r="AJ272" i="12"/>
  <c r="AG270" i="12"/>
  <c r="AE268" i="12"/>
  <c r="AB266" i="12"/>
  <c r="Y264" i="12"/>
  <c r="AQ261" i="12"/>
  <c r="AN259" i="12"/>
  <c r="AK257" i="12"/>
  <c r="AI255" i="12"/>
  <c r="AF252" i="12"/>
  <c r="AC250" i="12"/>
  <c r="AA248" i="12"/>
  <c r="AD246" i="12"/>
  <c r="AM243" i="12"/>
  <c r="AA242" i="12"/>
  <c r="AI240" i="12"/>
  <c r="AQ238" i="12"/>
  <c r="AE237" i="12"/>
  <c r="AM235" i="12"/>
  <c r="AA234" i="12"/>
  <c r="AI231" i="12"/>
  <c r="AQ229" i="12"/>
  <c r="AE228" i="12"/>
  <c r="AM226" i="12"/>
  <c r="AA225" i="12"/>
  <c r="AI223" i="12"/>
  <c r="AQ221" i="12"/>
  <c r="AE220" i="12"/>
  <c r="AM218" i="12"/>
  <c r="AA217" i="12"/>
  <c r="AI215" i="12"/>
  <c r="AQ213" i="12"/>
  <c r="AE212" i="12"/>
  <c r="AM210" i="12"/>
  <c r="AA209" i="12"/>
  <c r="AI207" i="12"/>
  <c r="AQ205" i="12"/>
  <c r="AE204" i="12"/>
  <c r="AM202" i="12"/>
  <c r="AA201" i="12"/>
  <c r="AI199" i="12"/>
  <c r="AQ197" i="12"/>
  <c r="AE196" i="12"/>
  <c r="AM194" i="12"/>
  <c r="AA193" i="12"/>
  <c r="AI191" i="12"/>
  <c r="AE190" i="12"/>
  <c r="AD189" i="12"/>
  <c r="AB188" i="12"/>
  <c r="AC187" i="12"/>
  <c r="AG186" i="12"/>
  <c r="AK185" i="12"/>
  <c r="AO184" i="12"/>
  <c r="Y184" i="12"/>
  <c r="AC183" i="12"/>
  <c r="AC182" i="12"/>
  <c r="AG181" i="12"/>
  <c r="AK180" i="12"/>
  <c r="AO179" i="12"/>
  <c r="Y179" i="12"/>
  <c r="AC178" i="12"/>
  <c r="AG177" i="12"/>
  <c r="AK176" i="12"/>
  <c r="AO175" i="12"/>
  <c r="Y175" i="12"/>
  <c r="AC174" i="12"/>
  <c r="AG173" i="12"/>
  <c r="AK172" i="12"/>
  <c r="AO171" i="12"/>
  <c r="Y171" i="12"/>
  <c r="AC170" i="12"/>
  <c r="AG169" i="12"/>
  <c r="AJ168" i="12"/>
  <c r="AN167" i="12"/>
  <c r="AR166" i="12"/>
  <c r="AB166" i="12"/>
  <c r="AB165" i="12"/>
  <c r="AF164" i="12"/>
  <c r="AJ163" i="12"/>
  <c r="AN162" i="12"/>
  <c r="AR161" i="12"/>
  <c r="AB161" i="12"/>
  <c r="AE160" i="12"/>
  <c r="AI159" i="12"/>
  <c r="AM158" i="12"/>
  <c r="AQ157" i="12"/>
  <c r="AA157" i="12"/>
  <c r="AE156" i="12"/>
  <c r="AI155" i="12"/>
  <c r="AM154" i="12"/>
  <c r="AQ153" i="12"/>
  <c r="AA153" i="12"/>
  <c r="AE152" i="12"/>
  <c r="AI151" i="12"/>
  <c r="AM150" i="12"/>
  <c r="AQ149" i="12"/>
  <c r="AA149" i="12"/>
  <c r="AE148" i="12"/>
  <c r="AI147" i="12"/>
  <c r="AM146" i="12"/>
  <c r="AQ145" i="12"/>
  <c r="AA145" i="12"/>
  <c r="AE144" i="12"/>
  <c r="AI143" i="12"/>
  <c r="AM142" i="12"/>
  <c r="AQ141" i="12"/>
  <c r="AA141" i="12"/>
  <c r="AE140" i="12"/>
  <c r="AI139" i="12"/>
  <c r="AM138" i="12"/>
  <c r="AQ137" i="12"/>
  <c r="AA137" i="12"/>
  <c r="AG367" i="12"/>
  <c r="AR347" i="12"/>
  <c r="AR337" i="12"/>
  <c r="AO330" i="12"/>
  <c r="AG324" i="12"/>
  <c r="Y318" i="12"/>
  <c r="AK310" i="12"/>
  <c r="AC304" i="12"/>
  <c r="AJ299" i="12"/>
  <c r="AF295" i="12"/>
  <c r="AB292" i="12"/>
  <c r="AR288" i="12"/>
  <c r="AN285" i="12"/>
  <c r="AJ282" i="12"/>
  <c r="AF278" i="12"/>
  <c r="AB275" i="12"/>
  <c r="AI272" i="12"/>
  <c r="AF270" i="12"/>
  <c r="AC268" i="12"/>
  <c r="AA266" i="12"/>
  <c r="AR263" i="12"/>
  <c r="AO261" i="12"/>
  <c r="AM259" i="12"/>
  <c r="AJ257" i="12"/>
  <c r="AG255" i="12"/>
  <c r="AE252" i="12"/>
  <c r="AB250" i="12"/>
  <c r="Y248" i="12"/>
  <c r="AE337" i="12"/>
  <c r="AG335" i="12"/>
  <c r="AP273" i="12"/>
  <c r="Z261" i="12"/>
  <c r="AD247" i="12"/>
  <c r="AF327" i="12"/>
  <c r="Y301" i="12"/>
  <c r="Y292" i="12"/>
  <c r="AK285" i="12"/>
  <c r="AC278" i="12"/>
  <c r="AH375" i="12"/>
  <c r="Y336" i="12"/>
  <c r="AR317" i="12"/>
  <c r="AM300" i="12"/>
  <c r="AM291" i="12"/>
  <c r="AE285" i="12"/>
  <c r="AQ277" i="12"/>
  <c r="AB272" i="12"/>
  <c r="AQ267" i="12"/>
  <c r="AK263" i="12"/>
  <c r="AF259" i="12"/>
  <c r="AA255" i="12"/>
  <c r="AO249" i="12"/>
  <c r="Y245" i="12"/>
  <c r="AO241" i="12"/>
  <c r="AK238" i="12"/>
  <c r="AG235" i="12"/>
  <c r="AC231" i="12"/>
  <c r="Y228" i="12"/>
  <c r="AO224" i="12"/>
  <c r="AK221" i="12"/>
  <c r="AG218" i="12"/>
  <c r="AC215" i="12"/>
  <c r="Y212" i="12"/>
  <c r="AO208" i="12"/>
  <c r="AK205" i="12"/>
  <c r="AG202" i="12"/>
  <c r="AC199" i="12"/>
  <c r="Y196" i="12"/>
  <c r="AO192" i="12"/>
  <c r="AK189" i="12"/>
  <c r="AG359" i="12"/>
  <c r="AR335" i="12"/>
  <c r="AG322" i="12"/>
  <c r="AK308" i="12"/>
  <c r="AJ298" i="12"/>
  <c r="AB291" i="12"/>
  <c r="AN284" i="12"/>
  <c r="AF277" i="12"/>
  <c r="AO271" i="12"/>
  <c r="AJ267" i="12"/>
  <c r="AE263" i="12"/>
  <c r="Y259" i="12"/>
  <c r="AN253" i="12"/>
  <c r="AI249" i="12"/>
  <c r="AN244" i="12"/>
  <c r="AJ241" i="12"/>
  <c r="AF238" i="12"/>
  <c r="AB235" i="12"/>
  <c r="AR230" i="12"/>
  <c r="AF228" i="12"/>
  <c r="AN226" i="12"/>
  <c r="AB225" i="12"/>
  <c r="AJ223" i="12"/>
  <c r="AR221" i="12"/>
  <c r="AF220" i="12"/>
  <c r="AN218" i="12"/>
  <c r="AB217" i="12"/>
  <c r="AR215" i="12"/>
  <c r="AB215" i="12"/>
  <c r="AF214" i="12"/>
  <c r="AJ213" i="12"/>
  <c r="AN212" i="12"/>
  <c r="AR211" i="12"/>
  <c r="AB211" i="12"/>
  <c r="AF210" i="12"/>
  <c r="AJ209" i="12"/>
  <c r="AN208" i="12"/>
  <c r="AR207" i="12"/>
  <c r="AB207" i="12"/>
  <c r="AF206" i="12"/>
  <c r="AJ205" i="12"/>
  <c r="AN204" i="12"/>
  <c r="AR203" i="12"/>
  <c r="AB203" i="12"/>
  <c r="AF202" i="12"/>
  <c r="AJ201" i="12"/>
  <c r="AN200" i="12"/>
  <c r="AR199" i="12"/>
  <c r="AB199" i="12"/>
  <c r="AF198" i="12"/>
  <c r="AJ197" i="12"/>
  <c r="AN196" i="12"/>
  <c r="AR195" i="12"/>
  <c r="AB195" i="12"/>
  <c r="AF194" i="12"/>
  <c r="AJ193" i="12"/>
  <c r="AN192" i="12"/>
  <c r="AR191" i="12"/>
  <c r="AB191" i="12"/>
  <c r="AF355" i="12"/>
  <c r="AK341" i="12"/>
  <c r="AO334" i="12"/>
  <c r="AJ329" i="12"/>
  <c r="AB323" i="12"/>
  <c r="AN315" i="12"/>
  <c r="AF309" i="12"/>
  <c r="AR302" i="12"/>
  <c r="AQ298" i="12"/>
  <c r="AM294" i="12"/>
  <c r="AI291" i="12"/>
  <c r="AE288" i="12"/>
  <c r="AA285" i="12"/>
  <c r="AQ280" i="12"/>
  <c r="AM277" i="12"/>
  <c r="AI274" i="12"/>
  <c r="Y272" i="12"/>
  <c r="AQ269" i="12"/>
  <c r="AN267" i="12"/>
  <c r="AK265" i="12"/>
  <c r="AI263" i="12"/>
  <c r="AF261" i="12"/>
  <c r="AC259" i="12"/>
  <c r="AA257" i="12"/>
  <c r="AR253" i="12"/>
  <c r="AO251" i="12"/>
  <c r="AM249" i="12"/>
  <c r="AJ247" i="12"/>
  <c r="AQ244" i="12"/>
  <c r="AE243" i="12"/>
  <c r="AM241" i="12"/>
  <c r="AA240" i="12"/>
  <c r="AI238" i="12"/>
  <c r="AQ236" i="12"/>
  <c r="AE235" i="12"/>
  <c r="AM233" i="12"/>
  <c r="AA231" i="12"/>
  <c r="AI229" i="12"/>
  <c r="AQ227" i="12"/>
  <c r="AE226" i="12"/>
  <c r="AM224" i="12"/>
  <c r="AA223" i="12"/>
  <c r="AI221" i="12"/>
  <c r="AQ219" i="12"/>
  <c r="AE218" i="12"/>
  <c r="AM216" i="12"/>
  <c r="AA215" i="12"/>
  <c r="AI213" i="12"/>
  <c r="AQ211" i="12"/>
  <c r="AE210" i="12"/>
  <c r="AM208" i="12"/>
  <c r="AA207" i="12"/>
  <c r="AI205" i="12"/>
  <c r="AQ203" i="12"/>
  <c r="AE202" i="12"/>
  <c r="AM200" i="12"/>
  <c r="AA199" i="12"/>
  <c r="AI197" i="12"/>
  <c r="AQ195" i="12"/>
  <c r="AE194" i="12"/>
  <c r="AM192" i="12"/>
  <c r="AA191" i="12"/>
  <c r="Z190" i="12"/>
  <c r="AR188" i="12"/>
  <c r="AQ187" i="12"/>
  <c r="Y187" i="12"/>
  <c r="AC186" i="12"/>
  <c r="AG185" i="12"/>
  <c r="AK184" i="12"/>
  <c r="AO183" i="12"/>
  <c r="AO182" i="12"/>
  <c r="Y182" i="12"/>
  <c r="AC181" i="12"/>
  <c r="AG180" i="12"/>
  <c r="AK179" i="12"/>
  <c r="AO178" i="12"/>
  <c r="Y178" i="12"/>
  <c r="AC177" i="12"/>
  <c r="AG176" i="12"/>
  <c r="AK175" i="12"/>
  <c r="AO174" i="12"/>
  <c r="Y174" i="12"/>
  <c r="AC173" i="12"/>
  <c r="AG172" i="12"/>
  <c r="AK171" i="12"/>
  <c r="AO170" i="12"/>
  <c r="Y170" i="12"/>
  <c r="AC169" i="12"/>
  <c r="AF168" i="12"/>
  <c r="AJ167" i="12"/>
  <c r="AN166" i="12"/>
  <c r="AN165" i="12"/>
  <c r="AR164" i="12"/>
  <c r="AB164" i="12"/>
  <c r="AF163" i="12"/>
  <c r="AJ162" i="12"/>
  <c r="AN161" i="12"/>
  <c r="AQ160" i="12"/>
  <c r="AA160" i="12"/>
  <c r="AE159" i="12"/>
  <c r="AI158" i="12"/>
  <c r="AM157" i="12"/>
  <c r="AQ156" i="12"/>
  <c r="AA156" i="12"/>
  <c r="AE155" i="12"/>
  <c r="AI154" i="12"/>
  <c r="AM153" i="12"/>
  <c r="AQ152" i="12"/>
  <c r="AA152" i="12"/>
  <c r="AE151" i="12"/>
  <c r="AI150" i="12"/>
  <c r="AM149" i="12"/>
  <c r="AQ148" i="12"/>
  <c r="AA148" i="12"/>
  <c r="AE147" i="12"/>
  <c r="AI146" i="12"/>
  <c r="AM145" i="12"/>
  <c r="AQ144" i="12"/>
  <c r="AA144" i="12"/>
  <c r="AE143" i="12"/>
  <c r="AI142" i="12"/>
  <c r="AM141" i="12"/>
  <c r="AQ140" i="12"/>
  <c r="AA140" i="12"/>
  <c r="AE139" i="12"/>
  <c r="AI138" i="12"/>
  <c r="AM137" i="12"/>
  <c r="AQ122" i="12"/>
  <c r="Y361" i="12"/>
  <c r="AN344" i="12"/>
  <c r="AF336" i="12"/>
  <c r="AC329" i="12"/>
  <c r="AO322" i="12"/>
  <c r="AG315" i="12"/>
  <c r="Y309" i="12"/>
  <c r="AK302" i="12"/>
  <c r="AN298" i="12"/>
  <c r="AJ294" i="12"/>
  <c r="AF291" i="12"/>
  <c r="AB288" i="12"/>
  <c r="AR284" i="12"/>
  <c r="AN280" i="12"/>
  <c r="AJ277" i="12"/>
  <c r="AF274" i="12"/>
  <c r="AR271" i="12"/>
  <c r="AO269" i="12"/>
  <c r="AM267" i="12"/>
  <c r="AJ265" i="12"/>
  <c r="AG263" i="12"/>
  <c r="AE261" i="12"/>
  <c r="AB259" i="12"/>
  <c r="Y257" i="12"/>
  <c r="AQ253" i="12"/>
  <c r="AN251" i="12"/>
  <c r="AK249" i="12"/>
  <c r="AI247" i="12"/>
  <c r="AP244" i="12"/>
  <c r="AD243" i="12"/>
  <c r="AL241" i="12"/>
  <c r="Z240" i="12"/>
  <c r="AO308" i="12"/>
  <c r="AR320" i="12"/>
  <c r="AK276" i="12"/>
  <c r="AM298" i="12"/>
  <c r="AA271" i="12"/>
  <c r="Y253" i="12"/>
  <c r="AO237" i="12"/>
  <c r="Y224" i="12"/>
  <c r="AC211" i="12"/>
  <c r="AG198" i="12"/>
  <c r="AF350" i="12"/>
  <c r="AR295" i="12"/>
  <c r="AN270" i="12"/>
  <c r="AM252" i="12"/>
  <c r="AJ237" i="12"/>
  <c r="AB226" i="12"/>
  <c r="AN219" i="12"/>
  <c r="AR214" i="12"/>
  <c r="AN211" i="12"/>
  <c r="AJ208" i="12"/>
  <c r="AF205" i="12"/>
  <c r="AB202" i="12"/>
  <c r="AR198" i="12"/>
  <c r="AN195" i="12"/>
  <c r="AJ192" i="12"/>
  <c r="AK339" i="12"/>
  <c r="AB314" i="12"/>
  <c r="AQ293" i="12"/>
  <c r="AA280" i="12"/>
  <c r="AF269" i="12"/>
  <c r="AO260" i="12"/>
  <c r="AE251" i="12"/>
  <c r="AQ242" i="12"/>
  <c r="AI236" i="12"/>
  <c r="AA229" i="12"/>
  <c r="AM222" i="12"/>
  <c r="AE216" i="12"/>
  <c r="AQ209" i="12"/>
  <c r="AI203" i="12"/>
  <c r="AA197" i="12"/>
  <c r="AP190" i="12"/>
  <c r="AO186" i="12"/>
  <c r="AK183" i="12"/>
  <c r="AC180" i="12"/>
  <c r="Y177" i="12"/>
  <c r="AO173" i="12"/>
  <c r="AK170" i="12"/>
  <c r="AF167" i="12"/>
  <c r="AR163" i="12"/>
  <c r="AM160" i="12"/>
  <c r="AI157" i="12"/>
  <c r="AE154" i="12"/>
  <c r="AA151" i="12"/>
  <c r="AQ147" i="12"/>
  <c r="AM144" i="12"/>
  <c r="AI141" i="12"/>
  <c r="AE138" i="12"/>
  <c r="AJ341" i="12"/>
  <c r="AO313" i="12"/>
  <c r="AN293" i="12"/>
  <c r="AR279" i="12"/>
  <c r="AE269" i="12"/>
  <c r="AN260" i="12"/>
  <c r="AC251" i="12"/>
  <c r="AC246" i="12"/>
  <c r="AP242" i="12"/>
  <c r="AP240" i="12"/>
  <c r="AP238" i="12"/>
  <c r="AD237" i="12"/>
  <c r="AL235" i="12"/>
  <c r="Z234" i="12"/>
  <c r="AH231" i="12"/>
  <c r="AP229" i="12"/>
  <c r="AD228" i="12"/>
  <c r="AL226" i="12"/>
  <c r="Z225" i="12"/>
  <c r="AH223" i="12"/>
  <c r="AP221" i="12"/>
  <c r="AD220" i="12"/>
  <c r="AL218" i="12"/>
  <c r="Z217" i="12"/>
  <c r="AH215" i="12"/>
  <c r="AP213" i="12"/>
  <c r="AD212" i="12"/>
  <c r="AL210" i="12"/>
  <c r="Z209" i="12"/>
  <c r="AH207" i="12"/>
  <c r="AP205" i="12"/>
  <c r="AD204" i="12"/>
  <c r="AL202" i="12"/>
  <c r="Z201" i="12"/>
  <c r="AH199" i="12"/>
  <c r="AP197" i="12"/>
  <c r="AD196" i="12"/>
  <c r="AL194" i="12"/>
  <c r="Z193" i="12"/>
  <c r="AH191" i="12"/>
  <c r="AD190" i="12"/>
  <c r="AB189" i="12"/>
  <c r="AA188" i="12"/>
  <c r="AB187" i="12"/>
  <c r="AF186" i="12"/>
  <c r="AJ185" i="12"/>
  <c r="AN184" i="12"/>
  <c r="AN183" i="12"/>
  <c r="AR182" i="12"/>
  <c r="AB182" i="12"/>
  <c r="AF181" i="12"/>
  <c r="AJ180" i="12"/>
  <c r="AN179" i="12"/>
  <c r="AR178" i="12"/>
  <c r="AB178" i="12"/>
  <c r="AF177" i="12"/>
  <c r="AJ176" i="12"/>
  <c r="AN175" i="12"/>
  <c r="AR174" i="12"/>
  <c r="AB174" i="12"/>
  <c r="AF173" i="12"/>
  <c r="AJ172" i="12"/>
  <c r="AN171" i="12"/>
  <c r="AR170" i="12"/>
  <c r="AB170" i="12"/>
  <c r="AF169" i="12"/>
  <c r="AI168" i="12"/>
  <c r="AM167" i="12"/>
  <c r="AQ166" i="12"/>
  <c r="AA166" i="12"/>
  <c r="AE165" i="12"/>
  <c r="AI164" i="12"/>
  <c r="AM163" i="12"/>
  <c r="AQ162" i="12"/>
  <c r="AA162" i="12"/>
  <c r="AE161" i="12"/>
  <c r="AH160" i="12"/>
  <c r="AL159" i="12"/>
  <c r="AP158" i="12"/>
  <c r="Z158" i="12"/>
  <c r="AD157" i="12"/>
  <c r="AH156" i="12"/>
  <c r="AL155" i="12"/>
  <c r="AP154" i="12"/>
  <c r="Z154" i="12"/>
  <c r="AD153" i="12"/>
  <c r="AH152" i="12"/>
  <c r="AL151" i="12"/>
  <c r="AP150" i="12"/>
  <c r="Z150" i="12"/>
  <c r="AD149" i="12"/>
  <c r="AH148" i="12"/>
  <c r="AL147" i="12"/>
  <c r="AP146" i="12"/>
  <c r="Z146" i="12"/>
  <c r="AD145" i="12"/>
  <c r="AH144" i="12"/>
  <c r="AL143" i="12"/>
  <c r="AP142" i="12"/>
  <c r="Z142" i="12"/>
  <c r="AD141" i="12"/>
  <c r="AH140" i="12"/>
  <c r="AL139" i="12"/>
  <c r="AP138" i="12"/>
  <c r="Z138" i="12"/>
  <c r="AD137" i="12"/>
  <c r="AK349" i="12"/>
  <c r="AK331" i="12"/>
  <c r="AO318" i="12"/>
  <c r="Y305" i="12"/>
  <c r="AN295" i="12"/>
  <c r="AF289" i="12"/>
  <c r="AR282" i="12"/>
  <c r="AJ275" i="12"/>
  <c r="AK270" i="12"/>
  <c r="AF266" i="12"/>
  <c r="AA262" i="12"/>
  <c r="AO257" i="12"/>
  <c r="AJ252" i="12"/>
  <c r="AE248" i="12"/>
  <c r="AP243" i="12"/>
  <c r="AL240" i="12"/>
  <c r="AH237" i="12"/>
  <c r="AD234" i="12"/>
  <c r="Z230" i="12"/>
  <c r="AP226" i="12"/>
  <c r="AL223" i="12"/>
  <c r="AH220" i="12"/>
  <c r="AD217" i="12"/>
  <c r="Z214" i="12"/>
  <c r="AP210" i="12"/>
  <c r="AL207" i="12"/>
  <c r="AH204" i="12"/>
  <c r="AD201" i="12"/>
  <c r="Z198" i="12"/>
  <c r="AP194" i="12"/>
  <c r="AL191" i="12"/>
  <c r="AE189" i="12"/>
  <c r="AD187" i="12"/>
  <c r="AL185" i="12"/>
  <c r="Z184" i="12"/>
  <c r="AD182" i="12"/>
  <c r="AL180" i="12"/>
  <c r="Z179" i="12"/>
  <c r="AH177" i="12"/>
  <c r="AP175" i="12"/>
  <c r="AD174" i="12"/>
  <c r="AL172" i="12"/>
  <c r="Z171" i="12"/>
  <c r="AH169" i="12"/>
  <c r="AO167" i="12"/>
  <c r="AC166" i="12"/>
  <c r="AL164" i="12"/>
  <c r="Z163" i="12"/>
  <c r="AH161" i="12"/>
  <c r="AO159" i="12"/>
  <c r="AC158" i="12"/>
  <c r="AK156" i="12"/>
  <c r="Y155" i="12"/>
  <c r="AG153" i="12"/>
  <c r="AO151" i="12"/>
  <c r="AC150" i="12"/>
  <c r="AK148" i="12"/>
  <c r="Y147" i="12"/>
  <c r="AG145" i="12"/>
  <c r="AO143" i="12"/>
  <c r="AC142" i="12"/>
  <c r="AK140" i="12"/>
  <c r="Y139" i="12"/>
  <c r="AG137" i="12"/>
  <c r="AA122" i="12"/>
  <c r="AE120" i="12"/>
  <c r="AI119" i="12"/>
  <c r="AM114" i="12"/>
  <c r="AQ113" i="12"/>
  <c r="AA113" i="12"/>
  <c r="AE112" i="12"/>
  <c r="AI111" i="12"/>
  <c r="AM110" i="12"/>
  <c r="AQ109" i="12"/>
  <c r="AA109" i="12"/>
  <c r="AE108" i="12"/>
  <c r="AI107" i="12"/>
  <c r="AM104" i="12"/>
  <c r="AQ103" i="12"/>
  <c r="AA103" i="12"/>
  <c r="AE102" i="12"/>
  <c r="AI101" i="12"/>
  <c r="AM100" i="12"/>
  <c r="AQ99" i="12"/>
  <c r="AA99" i="12"/>
  <c r="AE98" i="12"/>
  <c r="AI97" i="12"/>
  <c r="AM95" i="12"/>
  <c r="AQ87" i="12"/>
  <c r="AA87" i="12"/>
  <c r="AE81" i="12"/>
  <c r="AI80" i="12"/>
  <c r="AM79" i="12"/>
  <c r="AQ78" i="12"/>
  <c r="AA78" i="12"/>
  <c r="AE67" i="12"/>
  <c r="AI58" i="12"/>
  <c r="AM57" i="12"/>
  <c r="AQ56" i="12"/>
  <c r="AA56" i="12"/>
  <c r="AE39" i="12"/>
  <c r="AI33" i="12"/>
  <c r="AM27" i="12"/>
  <c r="AQ15" i="12"/>
  <c r="AA15" i="12"/>
  <c r="AE9" i="12"/>
  <c r="AI8" i="12"/>
  <c r="AM7" i="12"/>
  <c r="AQ6" i="12"/>
  <c r="AA6" i="12"/>
  <c r="AL270" i="12"/>
  <c r="AO297" i="12"/>
  <c r="AH359" i="12"/>
  <c r="AA290" i="12"/>
  <c r="AO266" i="12"/>
  <c r="AN248" i="12"/>
  <c r="AK234" i="12"/>
  <c r="AO220" i="12"/>
  <c r="Y208" i="12"/>
  <c r="AC195" i="12"/>
  <c r="AO332" i="12"/>
  <c r="AJ289" i="12"/>
  <c r="AI266" i="12"/>
  <c r="AG248" i="12"/>
  <c r="AF234" i="12"/>
  <c r="AJ224" i="12"/>
  <c r="AB218" i="12"/>
  <c r="AB214" i="12"/>
  <c r="AR210" i="12"/>
  <c r="AN207" i="12"/>
  <c r="AJ204" i="12"/>
  <c r="AF201" i="12"/>
  <c r="AB198" i="12"/>
  <c r="AR194" i="12"/>
  <c r="AN191" i="12"/>
  <c r="AC333" i="12"/>
  <c r="AN307" i="12"/>
  <c r="AM290" i="12"/>
  <c r="AQ276" i="12"/>
  <c r="AC267" i="12"/>
  <c r="AM258" i="12"/>
  <c r="AB249" i="12"/>
  <c r="AE241" i="12"/>
  <c r="AQ234" i="12"/>
  <c r="AI227" i="12"/>
  <c r="AA221" i="12"/>
  <c r="AM214" i="12"/>
  <c r="AE208" i="12"/>
  <c r="AQ201" i="12"/>
  <c r="AI195" i="12"/>
  <c r="AN189" i="12"/>
  <c r="Y186" i="12"/>
  <c r="AK182" i="12"/>
  <c r="AG179" i="12"/>
  <c r="AC176" i="12"/>
  <c r="Y173" i="12"/>
  <c r="AO169" i="12"/>
  <c r="AJ166" i="12"/>
  <c r="AB163" i="12"/>
  <c r="AQ159" i="12"/>
  <c r="AM156" i="12"/>
  <c r="AI153" i="12"/>
  <c r="AE150" i="12"/>
  <c r="AA147" i="12"/>
  <c r="AQ143" i="12"/>
  <c r="AM140" i="12"/>
  <c r="AI137" i="12"/>
  <c r="AN334" i="12"/>
  <c r="AG307" i="12"/>
  <c r="AJ290" i="12"/>
  <c r="AN276" i="12"/>
  <c r="AB267" i="12"/>
  <c r="AK258" i="12"/>
  <c r="AA249" i="12"/>
  <c r="AH244" i="12"/>
  <c r="AH242" i="12"/>
  <c r="AH240" i="12"/>
  <c r="AH238" i="12"/>
  <c r="AP236" i="12"/>
  <c r="AD235" i="12"/>
  <c r="AL233" i="12"/>
  <c r="Z231" i="12"/>
  <c r="AH229" i="12"/>
  <c r="AP227" i="12"/>
  <c r="AD226" i="12"/>
  <c r="AL224" i="12"/>
  <c r="Z223" i="12"/>
  <c r="AH221" i="12"/>
  <c r="AP219" i="12"/>
  <c r="AD218" i="12"/>
  <c r="AL216" i="12"/>
  <c r="Z215" i="12"/>
  <c r="AH213" i="12"/>
  <c r="AP211" i="12"/>
  <c r="AD210" i="12"/>
  <c r="AL208" i="12"/>
  <c r="Z207" i="12"/>
  <c r="AH205" i="12"/>
  <c r="AP203" i="12"/>
  <c r="AD202" i="12"/>
  <c r="AL200" i="12"/>
  <c r="Z199" i="12"/>
  <c r="AH197" i="12"/>
  <c r="AP195" i="12"/>
  <c r="AD194" i="12"/>
  <c r="AL192" i="12"/>
  <c r="Z191" i="12"/>
  <c r="AR189" i="12"/>
  <c r="AQ188" i="12"/>
  <c r="AP187" i="12"/>
  <c r="AR186" i="12"/>
  <c r="AB186" i="12"/>
  <c r="AF185" i="12"/>
  <c r="AJ184" i="12"/>
  <c r="AJ183" i="12"/>
  <c r="AN182" i="12"/>
  <c r="AR181" i="12"/>
  <c r="AB181" i="12"/>
  <c r="AF180" i="12"/>
  <c r="AJ179" i="12"/>
  <c r="AN178" i="12"/>
  <c r="AR177" i="12"/>
  <c r="AB177" i="12"/>
  <c r="AF176" i="12"/>
  <c r="AJ175" i="12"/>
  <c r="AN174" i="12"/>
  <c r="AR173" i="12"/>
  <c r="AB173" i="12"/>
  <c r="AF172" i="12"/>
  <c r="AJ171" i="12"/>
  <c r="AN170" i="12"/>
  <c r="AR169" i="12"/>
  <c r="AB169" i="12"/>
  <c r="AE168" i="12"/>
  <c r="AI167" i="12"/>
  <c r="AM166" i="12"/>
  <c r="AQ165" i="12"/>
  <c r="AA165" i="12"/>
  <c r="AE164" i="12"/>
  <c r="AI163" i="12"/>
  <c r="AM162" i="12"/>
  <c r="AQ161" i="12"/>
  <c r="AA161" i="12"/>
  <c r="AD160" i="12"/>
  <c r="AH159" i="12"/>
  <c r="AL158" i="12"/>
  <c r="AP157" i="12"/>
  <c r="Z157" i="12"/>
  <c r="AD156" i="12"/>
  <c r="AH155" i="12"/>
  <c r="AL154" i="12"/>
  <c r="AP153" i="12"/>
  <c r="Z153" i="12"/>
  <c r="AD152" i="12"/>
  <c r="AH151" i="12"/>
  <c r="AL150" i="12"/>
  <c r="AP149" i="12"/>
  <c r="Z149" i="12"/>
  <c r="AD148" i="12"/>
  <c r="AH147" i="12"/>
  <c r="AL146" i="12"/>
  <c r="AP145" i="12"/>
  <c r="Z145" i="12"/>
  <c r="AD144" i="12"/>
  <c r="AH143" i="12"/>
  <c r="AL142" i="12"/>
  <c r="AP141" i="12"/>
  <c r="Z141" i="12"/>
  <c r="AD140" i="12"/>
  <c r="AH139" i="12"/>
  <c r="AL138" i="12"/>
  <c r="AP137" i="12"/>
  <c r="Z137" i="12"/>
  <c r="AC343" i="12"/>
  <c r="AG328" i="12"/>
  <c r="AK314" i="12"/>
  <c r="AO301" i="12"/>
  <c r="AB294" i="12"/>
  <c r="AN287" i="12"/>
  <c r="AF280" i="12"/>
  <c r="AR273" i="12"/>
  <c r="AJ269" i="12"/>
  <c r="AE265" i="12"/>
  <c r="Y261" i="12"/>
  <c r="AN256" i="12"/>
  <c r="AI251" i="12"/>
  <c r="AC247" i="12"/>
  <c r="Z243" i="12"/>
  <c r="AP239" i="12"/>
  <c r="AL236" i="12"/>
  <c r="AH233" i="12"/>
  <c r="AD229" i="12"/>
  <c r="Z226" i="12"/>
  <c r="AP222" i="12"/>
  <c r="AL219" i="12"/>
  <c r="AH216" i="12"/>
  <c r="AD213" i="12"/>
  <c r="Z210" i="12"/>
  <c r="AP206" i="12"/>
  <c r="AL203" i="12"/>
  <c r="AH200" i="12"/>
  <c r="AD197" i="12"/>
  <c r="Z194" i="12"/>
  <c r="AQ190" i="12"/>
  <c r="AN188" i="12"/>
  <c r="AP186" i="12"/>
  <c r="AD185" i="12"/>
  <c r="AM183" i="12"/>
  <c r="AP181" i="12"/>
  <c r="AD180" i="12"/>
  <c r="AL178" i="12"/>
  <c r="Z177" i="12"/>
  <c r="AH175" i="12"/>
  <c r="AP173" i="12"/>
  <c r="AD172" i="12"/>
  <c r="AL170" i="12"/>
  <c r="Z169" i="12"/>
  <c r="AG167" i="12"/>
  <c r="AP165" i="12"/>
  <c r="AD164" i="12"/>
  <c r="AL162" i="12"/>
  <c r="Z161" i="12"/>
  <c r="AG159" i="12"/>
  <c r="AO157" i="12"/>
  <c r="AC156" i="12"/>
  <c r="AK154" i="12"/>
  <c r="Y153" i="12"/>
  <c r="AG151" i="12"/>
  <c r="AO149" i="12"/>
  <c r="AC148" i="12"/>
  <c r="AK146" i="12"/>
  <c r="Y145" i="12"/>
  <c r="AG143" i="12"/>
  <c r="AO141" i="12"/>
  <c r="AC140" i="12"/>
  <c r="AK138" i="12"/>
  <c r="AN122" i="12"/>
  <c r="AQ120" i="12"/>
  <c r="AA120" i="12"/>
  <c r="AE119" i="12"/>
  <c r="AI114" i="12"/>
  <c r="AM113" i="12"/>
  <c r="AQ112" i="12"/>
  <c r="AA112" i="12"/>
  <c r="AE111" i="12"/>
  <c r="AI110" i="12"/>
  <c r="AM109" i="12"/>
  <c r="AQ108" i="12"/>
  <c r="AA108" i="12"/>
  <c r="AE107" i="12"/>
  <c r="AI104" i="12"/>
  <c r="AM103" i="12"/>
  <c r="AQ102" i="12"/>
  <c r="AA102" i="12"/>
  <c r="AE101" i="12"/>
  <c r="AI100" i="12"/>
  <c r="AM99" i="12"/>
  <c r="AQ98" i="12"/>
  <c r="AA98" i="12"/>
  <c r="AE97" i="12"/>
  <c r="AI95" i="12"/>
  <c r="AM87" i="12"/>
  <c r="AQ81" i="12"/>
  <c r="AA81" i="12"/>
  <c r="AE80" i="12"/>
  <c r="AP257" i="12"/>
  <c r="AG290" i="12"/>
  <c r="AN330" i="12"/>
  <c r="AM283" i="12"/>
  <c r="AJ262" i="12"/>
  <c r="AC244" i="12"/>
  <c r="AG230" i="12"/>
  <c r="AK217" i="12"/>
  <c r="AO204" i="12"/>
  <c r="Y192" i="12"/>
  <c r="AC319" i="12"/>
  <c r="AB283" i="12"/>
  <c r="AC262" i="12"/>
  <c r="AR243" i="12"/>
  <c r="AB230" i="12"/>
  <c r="AR222" i="12"/>
  <c r="AJ216" i="12"/>
  <c r="AF213" i="12"/>
  <c r="AB210" i="12"/>
  <c r="AR206" i="12"/>
  <c r="AN203" i="12"/>
  <c r="AJ200" i="12"/>
  <c r="AF197" i="12"/>
  <c r="AB194" i="12"/>
  <c r="AP373" i="12"/>
  <c r="AR327" i="12"/>
  <c r="AF301" i="12"/>
  <c r="AI287" i="12"/>
  <c r="AM273" i="12"/>
  <c r="AA265" i="12"/>
  <c r="AJ256" i="12"/>
  <c r="Z247" i="12"/>
  <c r="AM239" i="12"/>
  <c r="AE233" i="12"/>
  <c r="AQ225" i="12"/>
  <c r="AI219" i="12"/>
  <c r="AA213" i="12"/>
  <c r="AM206" i="12"/>
  <c r="AE200" i="12"/>
  <c r="AQ193" i="12"/>
  <c r="AM188" i="12"/>
  <c r="AC185" i="12"/>
  <c r="AO181" i="12"/>
  <c r="AK178" i="12"/>
  <c r="AG175" i="12"/>
  <c r="AC172" i="12"/>
  <c r="AR168" i="12"/>
  <c r="AJ165" i="12"/>
  <c r="AF162" i="12"/>
  <c r="AA159" i="12"/>
  <c r="AQ155" i="12"/>
  <c r="AM152" i="12"/>
  <c r="AI149" i="12"/>
  <c r="AE146" i="12"/>
  <c r="AA143" i="12"/>
  <c r="AQ139" i="12"/>
  <c r="AM122" i="12"/>
  <c r="AK327" i="12"/>
  <c r="AB301" i="12"/>
  <c r="AF287" i="12"/>
  <c r="AJ273" i="12"/>
  <c r="Y265" i="12"/>
  <c r="AI256" i="12"/>
  <c r="Y247" i="12"/>
  <c r="Z244" i="12"/>
  <c r="Z242" i="12"/>
  <c r="AL239" i="12"/>
  <c r="Z238" i="12"/>
  <c r="AH236" i="12"/>
  <c r="AP234" i="12"/>
  <c r="AD233" i="12"/>
  <c r="AL230" i="12"/>
  <c r="Z229" i="12"/>
  <c r="AH227" i="12"/>
  <c r="AP225" i="12"/>
  <c r="AD224" i="12"/>
  <c r="AL222" i="12"/>
  <c r="Z221" i="12"/>
  <c r="AH219" i="12"/>
  <c r="AP217" i="12"/>
  <c r="AD216" i="12"/>
  <c r="AL214" i="12"/>
  <c r="Z213" i="12"/>
  <c r="AH211" i="12"/>
  <c r="AP209" i="12"/>
  <c r="AD208" i="12"/>
  <c r="AL206" i="12"/>
  <c r="Z205" i="12"/>
  <c r="AH203" i="12"/>
  <c r="AP201" i="12"/>
  <c r="AD200" i="12"/>
  <c r="AL198" i="12"/>
  <c r="Z197" i="12"/>
  <c r="AH195" i="12"/>
  <c r="AP193" i="12"/>
  <c r="AD192" i="12"/>
  <c r="AN190" i="12"/>
  <c r="AM189" i="12"/>
  <c r="AL188" i="12"/>
  <c r="AJ187" i="12"/>
  <c r="AN186" i="12"/>
  <c r="AR185" i="12"/>
  <c r="AB185" i="12"/>
  <c r="AF184" i="12"/>
  <c r="AF183" i="12"/>
  <c r="AJ182" i="12"/>
  <c r="AN181" i="12"/>
  <c r="AR180" i="12"/>
  <c r="AB180" i="12"/>
  <c r="AF179" i="12"/>
  <c r="AJ178" i="12"/>
  <c r="AN177" i="12"/>
  <c r="AR176" i="12"/>
  <c r="AB176" i="12"/>
  <c r="AF175" i="12"/>
  <c r="AJ174" i="12"/>
  <c r="AN173" i="12"/>
  <c r="AR172" i="12"/>
  <c r="AB172" i="12"/>
  <c r="AF171" i="12"/>
  <c r="AJ170" i="12"/>
  <c r="AN169" i="12"/>
  <c r="AQ168" i="12"/>
  <c r="AA168" i="12"/>
  <c r="AE167" i="12"/>
  <c r="AI166" i="12"/>
  <c r="AM165" i="12"/>
  <c r="AQ164" i="12"/>
  <c r="AA164" i="12"/>
  <c r="AE163" i="12"/>
  <c r="AI162" i="12"/>
  <c r="AM161" i="12"/>
  <c r="AP160" i="12"/>
  <c r="Z160" i="12"/>
  <c r="AD159" i="12"/>
  <c r="AH158" i="12"/>
  <c r="AL157" i="12"/>
  <c r="AP156" i="12"/>
  <c r="Z156" i="12"/>
  <c r="AD155" i="12"/>
  <c r="AH154" i="12"/>
  <c r="AL153" i="12"/>
  <c r="AP152" i="12"/>
  <c r="Z152" i="12"/>
  <c r="AD151" i="12"/>
  <c r="AH150" i="12"/>
  <c r="AL149" i="12"/>
  <c r="AP148" i="12"/>
  <c r="Z148" i="12"/>
  <c r="AD147" i="12"/>
  <c r="AH146" i="12"/>
  <c r="AL145" i="12"/>
  <c r="AP144" i="12"/>
  <c r="Z144" i="12"/>
  <c r="AD143" i="12"/>
  <c r="AH142" i="12"/>
  <c r="AL141" i="12"/>
  <c r="AP140" i="12"/>
  <c r="Z140" i="12"/>
  <c r="AD139" i="12"/>
  <c r="AH138" i="12"/>
  <c r="AL137" i="12"/>
  <c r="AL370" i="12"/>
  <c r="AO338" i="12"/>
  <c r="AC325" i="12"/>
  <c r="AG311" i="12"/>
  <c r="AR299" i="12"/>
  <c r="AJ292" i="12"/>
  <c r="AB286" i="12"/>
  <c r="AN278" i="12"/>
  <c r="AN272" i="12"/>
  <c r="AI268" i="12"/>
  <c r="AC264" i="12"/>
  <c r="AR259" i="12"/>
  <c r="AM255" i="12"/>
  <c r="AG250" i="12"/>
  <c r="AG246" i="12"/>
  <c r="AD242" i="12"/>
  <c r="Z239" i="12"/>
  <c r="AP235" i="12"/>
  <c r="AL231" i="12"/>
  <c r="AH228" i="12"/>
  <c r="AD225" i="12"/>
  <c r="Z222" i="12"/>
  <c r="AP218" i="12"/>
  <c r="AL215" i="12"/>
  <c r="AH212" i="12"/>
  <c r="AD209" i="12"/>
  <c r="Z206" i="12"/>
  <c r="AP202" i="12"/>
  <c r="AL199" i="12"/>
  <c r="AH196" i="12"/>
  <c r="AD193" i="12"/>
  <c r="AF190" i="12"/>
  <c r="AD188" i="12"/>
  <c r="AH186" i="12"/>
  <c r="AP184" i="12"/>
  <c r="AE183" i="12"/>
  <c r="AH181" i="12"/>
  <c r="AP179" i="12"/>
  <c r="AD178" i="12"/>
  <c r="AL176" i="12"/>
  <c r="Z175" i="12"/>
  <c r="AH173" i="12"/>
  <c r="AP171" i="12"/>
  <c r="AD170" i="12"/>
  <c r="AK168" i="12"/>
  <c r="Y167" i="12"/>
  <c r="AH165" i="12"/>
  <c r="AP163" i="12"/>
  <c r="AD162" i="12"/>
  <c r="AK160" i="12"/>
  <c r="Y159" i="12"/>
  <c r="AG157" i="12"/>
  <c r="AO155" i="12"/>
  <c r="AC154" i="12"/>
  <c r="AK152" i="12"/>
  <c r="Y151" i="12"/>
  <c r="AG149" i="12"/>
  <c r="AO147" i="12"/>
  <c r="AC146" i="12"/>
  <c r="AK144" i="12"/>
  <c r="Y143" i="12"/>
  <c r="AG141" i="12"/>
  <c r="AO139" i="12"/>
  <c r="AC138" i="12"/>
  <c r="AI122" i="12"/>
  <c r="AM120" i="12"/>
  <c r="AQ119" i="12"/>
  <c r="AA119" i="12"/>
  <c r="AE114" i="12"/>
  <c r="AI113" i="12"/>
  <c r="AM112" i="12"/>
  <c r="AQ111" i="12"/>
  <c r="AA111" i="12"/>
  <c r="AE110" i="12"/>
  <c r="AI109" i="12"/>
  <c r="AM108" i="12"/>
  <c r="AQ107" i="12"/>
  <c r="AA107" i="12"/>
  <c r="AE104" i="12"/>
  <c r="AI103" i="12"/>
  <c r="AM102" i="12"/>
  <c r="AQ101" i="12"/>
  <c r="AA101" i="12"/>
  <c r="AE100" i="12"/>
  <c r="AI99" i="12"/>
  <c r="AM98" i="12"/>
  <c r="AQ97" i="12"/>
  <c r="AA97" i="12"/>
  <c r="AE95" i="12"/>
  <c r="AI87" i="12"/>
  <c r="AM81" i="12"/>
  <c r="AQ80" i="12"/>
  <c r="AA80" i="12"/>
  <c r="AE79" i="12"/>
  <c r="AI78" i="12"/>
  <c r="AM67" i="12"/>
  <c r="AQ58" i="12"/>
  <c r="AA58" i="12"/>
  <c r="AE57" i="12"/>
  <c r="AI56" i="12"/>
  <c r="AM39" i="12"/>
  <c r="AQ33" i="12"/>
  <c r="AA33" i="12"/>
  <c r="AE27" i="12"/>
  <c r="AI15" i="12"/>
  <c r="AM9" i="12"/>
  <c r="AQ8" i="12"/>
  <c r="AA8" i="12"/>
  <c r="AE7" i="12"/>
  <c r="AI6" i="12"/>
  <c r="AJ342" i="12"/>
  <c r="AE276" i="12"/>
  <c r="AG214" i="12"/>
  <c r="AN275" i="12"/>
  <c r="AF221" i="12"/>
  <c r="AB206" i="12"/>
  <c r="AF193" i="12"/>
  <c r="AE284" i="12"/>
  <c r="AI244" i="12"/>
  <c r="AQ217" i="12"/>
  <c r="AE192" i="12"/>
  <c r="AO177" i="12"/>
  <c r="AN164" i="12"/>
  <c r="AQ151" i="12"/>
  <c r="AA139" i="12"/>
  <c r="AB284" i="12"/>
  <c r="AK246" i="12"/>
  <c r="AL237" i="12"/>
  <c r="AD230" i="12"/>
  <c r="AP223" i="12"/>
  <c r="AH217" i="12"/>
  <c r="Z211" i="12"/>
  <c r="AL204" i="12"/>
  <c r="AD198" i="12"/>
  <c r="AP191" i="12"/>
  <c r="AF187" i="12"/>
  <c r="AB184" i="12"/>
  <c r="AN180" i="12"/>
  <c r="AJ177" i="12"/>
  <c r="AF174" i="12"/>
  <c r="AB171" i="12"/>
  <c r="AQ167" i="12"/>
  <c r="AM164" i="12"/>
  <c r="AI161" i="12"/>
  <c r="AD158" i="12"/>
  <c r="Z155" i="12"/>
  <c r="AP151" i="12"/>
  <c r="AL148" i="12"/>
  <c r="AH145" i="12"/>
  <c r="AD142" i="12"/>
  <c r="Z139" i="12"/>
  <c r="AK335" i="12"/>
  <c r="AR290" i="12"/>
  <c r="AG267" i="12"/>
  <c r="AF249" i="12"/>
  <c r="Z235" i="12"/>
  <c r="AD221" i="12"/>
  <c r="AH208" i="12"/>
  <c r="AL195" i="12"/>
  <c r="Z186" i="12"/>
  <c r="AH179" i="12"/>
  <c r="Z173" i="12"/>
  <c r="AK166" i="12"/>
  <c r="AC160" i="12"/>
  <c r="AO153" i="12"/>
  <c r="AG147" i="12"/>
  <c r="Y141" i="12"/>
  <c r="AI120" i="12"/>
  <c r="AE113" i="12"/>
  <c r="AA110" i="12"/>
  <c r="AQ104" i="12"/>
  <c r="AM101" i="12"/>
  <c r="AI98" i="12"/>
  <c r="AE87" i="12"/>
  <c r="AI79" i="12"/>
  <c r="AQ67" i="12"/>
  <c r="AE58" i="12"/>
  <c r="AM56" i="12"/>
  <c r="AA39" i="12"/>
  <c r="AI27" i="12"/>
  <c r="AQ9" i="12"/>
  <c r="AE8" i="12"/>
  <c r="AM6" i="12"/>
  <c r="Y334" i="12"/>
  <c r="AB299" i="12"/>
  <c r="AB290" i="12"/>
  <c r="AN274" i="12"/>
  <c r="AO265" i="12"/>
  <c r="AE257" i="12"/>
  <c r="Y246" i="12"/>
  <c r="AL238" i="12"/>
  <c r="Z233" i="12"/>
  <c r="AH226" i="12"/>
  <c r="AD219" i="12"/>
  <c r="AP212" i="12"/>
  <c r="AD207" i="12"/>
  <c r="AP200" i="12"/>
  <c r="AL193" i="12"/>
  <c r="AI188" i="12"/>
  <c r="AP185" i="12"/>
  <c r="AP182" i="12"/>
  <c r="AL179" i="12"/>
  <c r="AH176" i="12"/>
  <c r="AD173" i="12"/>
  <c r="Z170" i="12"/>
  <c r="AC167" i="12"/>
  <c r="AL163" i="12"/>
  <c r="Y160" i="12"/>
  <c r="AC155" i="12"/>
  <c r="AC151" i="12"/>
  <c r="AK147" i="12"/>
  <c r="AO144" i="12"/>
  <c r="AC141" i="12"/>
  <c r="AC139" i="12"/>
  <c r="AP122" i="12"/>
  <c r="AG120" i="12"/>
  <c r="AK114" i="12"/>
  <c r="Y113" i="12"/>
  <c r="Y110" i="12"/>
  <c r="AG108" i="12"/>
  <c r="AK104" i="12"/>
  <c r="AC102" i="12"/>
  <c r="AO100" i="12"/>
  <c r="AK99" i="12"/>
  <c r="AC98" i="12"/>
  <c r="AC97" i="12"/>
  <c r="AC95" i="12"/>
  <c r="AG80" i="12"/>
  <c r="AK78" i="12"/>
  <c r="AG67" i="12"/>
  <c r="AK57" i="12"/>
  <c r="AC39" i="12"/>
  <c r="AO27" i="12"/>
  <c r="Y15" i="12"/>
  <c r="AC7" i="12"/>
  <c r="AC6" i="12"/>
  <c r="AN328" i="12"/>
  <c r="AJ308" i="12"/>
  <c r="AM292" i="12"/>
  <c r="AQ278" i="12"/>
  <c r="AJ268" i="12"/>
  <c r="AA261" i="12"/>
  <c r="AJ251" i="12"/>
  <c r="AA243" i="12"/>
  <c r="AI237" i="12"/>
  <c r="AA230" i="12"/>
  <c r="AM223" i="12"/>
  <c r="AE217" i="12"/>
  <c r="AM211" i="12"/>
  <c r="AE205" i="12"/>
  <c r="AQ198" i="12"/>
  <c r="AI192" i="12"/>
  <c r="AE187" i="12"/>
  <c r="AI184" i="12"/>
  <c r="AI181" i="12"/>
  <c r="AE178" i="12"/>
  <c r="AM174" i="12"/>
  <c r="AQ171" i="12"/>
  <c r="AD168" i="12"/>
  <c r="AO164" i="12"/>
  <c r="AC161" i="12"/>
  <c r="AB159" i="12"/>
  <c r="AF156" i="12"/>
  <c r="AR153" i="12"/>
  <c r="AN150" i="12"/>
  <c r="AN146" i="12"/>
  <c r="AF142" i="12"/>
  <c r="AB139" i="12"/>
  <c r="AN120" i="12"/>
  <c r="AJ119" i="12"/>
  <c r="AR113" i="12"/>
  <c r="AR111" i="12"/>
  <c r="AR109" i="12"/>
  <c r="AR107" i="12"/>
  <c r="AF104" i="12"/>
  <c r="AB102" i="12"/>
  <c r="AJ100" i="12"/>
  <c r="AJ99" i="12"/>
  <c r="AN95" i="12"/>
  <c r="AJ87" i="12"/>
  <c r="AR80" i="12"/>
  <c r="AN78" i="12"/>
  <c r="AF67" i="12"/>
  <c r="AL353" i="12"/>
  <c r="AE258" i="12"/>
  <c r="AK201" i="12"/>
  <c r="AR257" i="12"/>
  <c r="AN215" i="12"/>
  <c r="AR202" i="12"/>
  <c r="AC351" i="12"/>
  <c r="AI271" i="12"/>
  <c r="AA238" i="12"/>
  <c r="AI211" i="12"/>
  <c r="AL187" i="12"/>
  <c r="AK174" i="12"/>
  <c r="AJ161" i="12"/>
  <c r="AM148" i="12"/>
  <c r="AD355" i="12"/>
  <c r="AG271" i="12"/>
  <c r="AL243" i="12"/>
  <c r="Z236" i="12"/>
  <c r="AL228" i="12"/>
  <c r="AD222" i="12"/>
  <c r="AP215" i="12"/>
  <c r="AH209" i="12"/>
  <c r="Z203" i="12"/>
  <c r="AL196" i="12"/>
  <c r="AI190" i="12"/>
  <c r="AJ186" i="12"/>
  <c r="AB183" i="12"/>
  <c r="AR179" i="12"/>
  <c r="AN176" i="12"/>
  <c r="AJ173" i="12"/>
  <c r="AF170" i="12"/>
  <c r="AA167" i="12"/>
  <c r="AQ163" i="12"/>
  <c r="AL160" i="12"/>
  <c r="AH157" i="12"/>
  <c r="AD154" i="12"/>
  <c r="Z151" i="12"/>
  <c r="AP147" i="12"/>
  <c r="AL144" i="12"/>
  <c r="AH141" i="12"/>
  <c r="AD138" i="12"/>
  <c r="Y322" i="12"/>
  <c r="AJ284" i="12"/>
  <c r="AB263" i="12"/>
  <c r="AL244" i="12"/>
  <c r="AP230" i="12"/>
  <c r="Z218" i="12"/>
  <c r="AD205" i="12"/>
  <c r="AH192" i="12"/>
  <c r="AH184" i="12"/>
  <c r="AP177" i="12"/>
  <c r="AH171" i="12"/>
  <c r="Z165" i="12"/>
  <c r="AK158" i="12"/>
  <c r="AC152" i="12"/>
  <c r="AO145" i="12"/>
  <c r="AG139" i="12"/>
  <c r="AM119" i="12"/>
  <c r="AI112" i="12"/>
  <c r="AE109" i="12"/>
  <c r="AA104" i="12"/>
  <c r="AQ100" i="12"/>
  <c r="AM97" i="12"/>
  <c r="AI81" i="12"/>
  <c r="AA79" i="12"/>
  <c r="AI67" i="12"/>
  <c r="AQ57" i="12"/>
  <c r="AE56" i="12"/>
  <c r="AM33" i="12"/>
  <c r="AA27" i="12"/>
  <c r="AI9" i="12"/>
  <c r="AQ7" i="12"/>
  <c r="AE6" i="12"/>
  <c r="AO326" i="12"/>
  <c r="AJ297" i="12"/>
  <c r="AR286" i="12"/>
  <c r="AE273" i="12"/>
  <c r="AM263" i="12"/>
  <c r="AA253" i="12"/>
  <c r="AH243" i="12"/>
  <c r="AP237" i="12"/>
  <c r="AH230" i="12"/>
  <c r="AP224" i="12"/>
  <c r="AL217" i="12"/>
  <c r="Z212" i="12"/>
  <c r="AL205" i="12"/>
  <c r="AD199" i="12"/>
  <c r="Z192" i="12"/>
  <c r="AH187" i="12"/>
  <c r="Z185" i="12"/>
  <c r="Z182" i="12"/>
  <c r="AP178" i="12"/>
  <c r="AL175" i="12"/>
  <c r="AH172" i="12"/>
  <c r="AD169" i="12"/>
  <c r="AO166" i="12"/>
  <c r="AH162" i="12"/>
  <c r="AO158" i="12"/>
  <c r="AG154" i="12"/>
  <c r="AO150" i="12"/>
  <c r="AC147" i="12"/>
  <c r="Y144" i="12"/>
  <c r="AO140" i="12"/>
  <c r="AO138" i="12"/>
  <c r="AC122" i="12"/>
  <c r="Y120" i="12"/>
  <c r="AG114" i="12"/>
  <c r="AC112" i="12"/>
  <c r="AC109" i="12"/>
  <c r="Y108" i="12"/>
  <c r="AG104" i="12"/>
  <c r="AO101" i="12"/>
  <c r="AK100" i="12"/>
  <c r="AC99" i="12"/>
  <c r="AO97" i="12"/>
  <c r="AO95" i="12"/>
  <c r="Y95" i="12"/>
  <c r="Y80" i="12"/>
  <c r="AC78" i="12"/>
  <c r="Y67" i="12"/>
  <c r="AG57" i="12"/>
  <c r="AO33" i="12"/>
  <c r="AK27" i="12"/>
  <c r="AC9" i="12"/>
  <c r="AO6" i="12"/>
  <c r="AB353" i="12"/>
  <c r="AJ325" i="12"/>
  <c r="AF305" i="12"/>
  <c r="AI289" i="12"/>
  <c r="AM275" i="12"/>
  <c r="AG266" i="12"/>
  <c r="AR258" i="12"/>
  <c r="AG249" i="12"/>
  <c r="AI241" i="12"/>
  <c r="AA235" i="12"/>
  <c r="AI228" i="12"/>
  <c r="AA222" i="12"/>
  <c r="AM215" i="12"/>
  <c r="AA210" i="12"/>
  <c r="AM203" i="12"/>
  <c r="AE197" i="12"/>
  <c r="AR190" i="12"/>
  <c r="AI186" i="12"/>
  <c r="AP183" i="12"/>
  <c r="AM180" i="12"/>
  <c r="AI177" i="12"/>
  <c r="AQ173" i="12"/>
  <c r="AA171" i="12"/>
  <c r="AH167" i="12"/>
  <c r="Y164" i="12"/>
  <c r="AN160" i="12"/>
  <c r="AF158" i="12"/>
  <c r="AJ155" i="12"/>
  <c r="AN152" i="12"/>
  <c r="AR149" i="12"/>
  <c r="AR145" i="12"/>
  <c r="AR141" i="12"/>
  <c r="AN138" i="12"/>
  <c r="AJ120" i="12"/>
  <c r="AF119" i="12"/>
  <c r="AF113" i="12"/>
  <c r="AF111" i="12"/>
  <c r="AB109" i="12"/>
  <c r="AF107" i="12"/>
  <c r="AR103" i="12"/>
  <c r="AN101" i="12"/>
  <c r="AF100" i="12"/>
  <c r="AR98" i="12"/>
  <c r="AJ95" i="12"/>
  <c r="AB87" i="12"/>
  <c r="AF80" i="12"/>
  <c r="AJ78" i="12"/>
  <c r="AR58" i="12"/>
  <c r="AF57" i="12"/>
  <c r="AF56" i="12"/>
  <c r="AF33" i="12"/>
  <c r="AB15" i="12"/>
  <c r="AN8" i="12"/>
  <c r="AJ7" i="12"/>
  <c r="AB6" i="12"/>
  <c r="AB343" i="12"/>
  <c r="AF330" i="12"/>
  <c r="AJ317" i="12"/>
  <c r="AN303" i="12"/>
  <c r="AA295" i="12"/>
  <c r="AM288" i="12"/>
  <c r="AE282" i="12"/>
  <c r="AQ274" i="12"/>
  <c r="AB270" i="12"/>
  <c r="AQ265" i="12"/>
  <c r="AK261" i="12"/>
  <c r="AF257" i="12"/>
  <c r="AA252" i="12"/>
  <c r="AO247" i="12"/>
  <c r="AI243" i="12"/>
  <c r="AE240" i="12"/>
  <c r="AA237" i="12"/>
  <c r="AQ233" i="12"/>
  <c r="AM229" i="12"/>
  <c r="AI226" i="12"/>
  <c r="AE223" i="12"/>
  <c r="AA220" i="12"/>
  <c r="AQ216" i="12"/>
  <c r="AM213" i="12"/>
  <c r="AI210" i="12"/>
  <c r="AE207" i="12"/>
  <c r="AA204" i="12"/>
  <c r="AQ200" i="12"/>
  <c r="AM197" i="12"/>
  <c r="AI194" i="12"/>
  <c r="AE191" i="12"/>
  <c r="AA189" i="12"/>
  <c r="AA187" i="12"/>
  <c r="AI185" i="12"/>
  <c r="AL183" i="12"/>
  <c r="AA182" i="12"/>
  <c r="AI180" i="12"/>
  <c r="AQ178" i="12"/>
  <c r="AE177" i="12"/>
  <c r="AM175" i="12"/>
  <c r="AA174" i="12"/>
  <c r="AI172" i="12"/>
  <c r="AQ170" i="12"/>
  <c r="AE169" i="12"/>
  <c r="AL167" i="12"/>
  <c r="Z166" i="12"/>
  <c r="AC164" i="12"/>
  <c r="AK162" i="12"/>
  <c r="AR160" i="12"/>
  <c r="AF159" i="12"/>
  <c r="AN157" i="12"/>
  <c r="AB156" i="12"/>
  <c r="AJ154" i="12"/>
  <c r="AR152" i="12"/>
  <c r="AF151" i="12"/>
  <c r="AN149" i="12"/>
  <c r="AB148" i="12"/>
  <c r="AJ146" i="12"/>
  <c r="AR144" i="12"/>
  <c r="AF143" i="12"/>
  <c r="AN141" i="12"/>
  <c r="AB140" i="12"/>
  <c r="AJ138" i="12"/>
  <c r="AR122" i="12"/>
  <c r="Z122" i="12"/>
  <c r="AD120" i="12"/>
  <c r="AH119" i="12"/>
  <c r="AL114" i="12"/>
  <c r="AP113" i="12"/>
  <c r="Z113" i="12"/>
  <c r="AD112" i="12"/>
  <c r="AH111" i="12"/>
  <c r="AL110" i="12"/>
  <c r="AP109" i="12"/>
  <c r="Z109" i="12"/>
  <c r="AD108" i="12"/>
  <c r="AH107" i="12"/>
  <c r="AL104" i="12"/>
  <c r="AP103" i="12"/>
  <c r="Z103" i="12"/>
  <c r="AD102" i="12"/>
  <c r="AH101" i="12"/>
  <c r="AL100" i="12"/>
  <c r="AP99" i="12"/>
  <c r="Z99" i="12"/>
  <c r="AD98" i="12"/>
  <c r="AH97" i="12"/>
  <c r="AL95" i="12"/>
  <c r="AP87" i="12"/>
  <c r="Z87" i="12"/>
  <c r="AD81" i="12"/>
  <c r="AH80" i="12"/>
  <c r="AL79" i="12"/>
  <c r="AP78" i="12"/>
  <c r="Z78" i="12"/>
  <c r="AD67" i="12"/>
  <c r="AH58" i="12"/>
  <c r="AL57" i="12"/>
  <c r="AP56" i="12"/>
  <c r="Z56" i="12"/>
  <c r="AD39" i="12"/>
  <c r="AH33" i="12"/>
  <c r="AL27" i="12"/>
  <c r="AP15" i="12"/>
  <c r="Z15" i="12"/>
  <c r="AD9" i="12"/>
  <c r="AH8" i="12"/>
  <c r="AL7" i="12"/>
  <c r="AP6" i="12"/>
  <c r="Z6" i="12"/>
  <c r="Y330" i="12"/>
  <c r="AK306" i="12"/>
  <c r="AJ288" i="12"/>
  <c r="AR277" i="12"/>
  <c r="AQ266" i="12"/>
  <c r="AF258" i="12"/>
  <c r="AQ249" i="12"/>
  <c r="AL242" i="12"/>
  <c r="AH235" i="12"/>
  <c r="Z228" i="12"/>
  <c r="AP220" i="12"/>
  <c r="AH214" i="12"/>
  <c r="Z208" i="12"/>
  <c r="AL201" i="12"/>
  <c r="Z196" i="12"/>
  <c r="AA190" i="12"/>
  <c r="AH185" i="12"/>
  <c r="AH182" i="12"/>
  <c r="AD179" i="12"/>
  <c r="Z176" i="12"/>
  <c r="AP172" i="12"/>
  <c r="AL169" i="12"/>
  <c r="AL165" i="12"/>
  <c r="AD163" i="12"/>
  <c r="AG160" i="12"/>
  <c r="AK157" i="12"/>
  <c r="AK155" i="12"/>
  <c r="AO152" i="12"/>
  <c r="AK149" i="12"/>
  <c r="AG146" i="12"/>
  <c r="AK143" i="12"/>
  <c r="Y140" i="12"/>
  <c r="AG122" i="12"/>
  <c r="AK119" i="12"/>
  <c r="AO113" i="12"/>
  <c r="AK112" i="12"/>
  <c r="AG111" i="12"/>
  <c r="AG110" i="12"/>
  <c r="AG109" i="12"/>
  <c r="AK107" i="12"/>
  <c r="AO103" i="12"/>
  <c r="AO102" i="12"/>
  <c r="AG101" i="12"/>
  <c r="AG99" i="12"/>
  <c r="Y97" i="12"/>
  <c r="AC87" i="12"/>
  <c r="AC81" i="12"/>
  <c r="AO79" i="12"/>
  <c r="AG78" i="12"/>
  <c r="AK58" i="12"/>
  <c r="AO56" i="12"/>
  <c r="Y56" i="12"/>
  <c r="Y33" i="12"/>
  <c r="AG15" i="12"/>
  <c r="AG9" i="12"/>
  <c r="AO7" i="12"/>
  <c r="AF346" i="12"/>
  <c r="AR314" i="12"/>
  <c r="AA291" i="12"/>
  <c r="AE277" i="12"/>
  <c r="AI267" i="12"/>
  <c r="AQ257" i="12"/>
  <c r="AF248" i="12"/>
  <c r="AM240" i="12"/>
  <c r="AE234" i="12"/>
  <c r="AA226" i="12"/>
  <c r="AM219" i="12"/>
  <c r="AE213" i="12"/>
  <c r="AA206" i="12"/>
  <c r="AM199" i="12"/>
  <c r="AE193" i="12"/>
  <c r="AE188" i="12"/>
  <c r="AQ184" i="12"/>
  <c r="AQ181" i="12"/>
  <c r="AA179" i="12"/>
  <c r="AQ175" i="12"/>
  <c r="AE172" i="12"/>
  <c r="AI169" i="12"/>
  <c r="AD166" i="12"/>
  <c r="AC163" i="12"/>
  <c r="AN158" i="12"/>
  <c r="AN154" i="12"/>
  <c r="AR151" i="12"/>
  <c r="AF148" i="12"/>
  <c r="AJ145" i="12"/>
  <c r="AB143" i="12"/>
  <c r="AN140" i="12"/>
  <c r="AB137" i="12"/>
  <c r="AF120" i="12"/>
  <c r="AJ114" i="12"/>
  <c r="AB113" i="12"/>
  <c r="AN111" i="12"/>
  <c r="AJ110" i="12"/>
  <c r="AF109" i="12"/>
  <c r="AN107" i="12"/>
  <c r="AB104" i="12"/>
  <c r="AN102" i="12"/>
  <c r="AJ101" i="12"/>
  <c r="AF99" i="12"/>
  <c r="AB98" i="12"/>
  <c r="AB97" i="12"/>
  <c r="AF87" i="12"/>
  <c r="AN80" i="12"/>
  <c r="AJ79" i="12"/>
  <c r="AN67" i="12"/>
  <c r="AJ58" i="12"/>
  <c r="AJ39" i="12"/>
  <c r="AJ33" i="12"/>
  <c r="AB27" i="12"/>
  <c r="AR9" i="12"/>
  <c r="AF6" i="12"/>
  <c r="AG253" i="12"/>
  <c r="AF298" i="12"/>
  <c r="AD238" i="12"/>
  <c r="AL211" i="12"/>
  <c r="AM187" i="12"/>
  <c r="AL174" i="12"/>
  <c r="AP161" i="12"/>
  <c r="Y149" i="12"/>
  <c r="AA114" i="12"/>
  <c r="AM107" i="12"/>
  <c r="AI102" i="12"/>
  <c r="AQ79" i="12"/>
  <c r="AM58" i="12"/>
  <c r="AI39" i="12"/>
  <c r="AE15" i="12"/>
  <c r="AM8" i="12"/>
  <c r="AH340" i="12"/>
  <c r="AN291" i="12"/>
  <c r="AF276" i="12"/>
  <c r="Y269" i="12"/>
  <c r="AD240" i="12"/>
  <c r="AD227" i="12"/>
  <c r="AD215" i="12"/>
  <c r="AH202" i="12"/>
  <c r="AD195" i="12"/>
  <c r="AL186" i="12"/>
  <c r="AI183" i="12"/>
  <c r="AD177" i="12"/>
  <c r="AP170" i="12"/>
  <c r="AK167" i="12"/>
  <c r="AO160" i="12"/>
  <c r="AK151" i="12"/>
  <c r="AG148" i="12"/>
  <c r="AK141" i="12"/>
  <c r="AK139" i="12"/>
  <c r="AC137" i="12"/>
  <c r="AO114" i="12"/>
  <c r="Y111" i="12"/>
  <c r="AC101" i="12"/>
  <c r="AO99" i="12"/>
  <c r="AG97" i="12"/>
  <c r="AG95" i="12"/>
  <c r="AO78" i="12"/>
  <c r="AK67" i="12"/>
  <c r="AK39" i="12"/>
  <c r="Y27" i="12"/>
  <c r="AR333" i="12"/>
  <c r="AM270" i="12"/>
  <c r="AM253" i="12"/>
  <c r="AA239" i="12"/>
  <c r="AQ218" i="12"/>
  <c r="AI212" i="12"/>
  <c r="AI200" i="12"/>
  <c r="AP188" i="12"/>
  <c r="AE182" i="12"/>
  <c r="AI175" i="12"/>
  <c r="AA169" i="12"/>
  <c r="AK161" i="12"/>
  <c r="AB157" i="12"/>
  <c r="AB151" i="12"/>
  <c r="AR143" i="12"/>
  <c r="AB122" i="12"/>
  <c r="AF114" i="12"/>
  <c r="AF112" i="12"/>
  <c r="AF108" i="12"/>
  <c r="AR102" i="12"/>
  <c r="AR97" i="12"/>
  <c r="AB79" i="12"/>
  <c r="AN57" i="12"/>
  <c r="AN56" i="12"/>
  <c r="AF27" i="12"/>
  <c r="AJ9" i="12"/>
  <c r="AB8" i="12"/>
  <c r="AN6" i="12"/>
  <c r="AJ335" i="12"/>
  <c r="AB310" i="12"/>
  <c r="AE299" i="12"/>
  <c r="AI285" i="12"/>
  <c r="AE272" i="12"/>
  <c r="AI259" i="12"/>
  <c r="AC255" i="12"/>
  <c r="Z246" i="12"/>
  <c r="AQ241" i="12"/>
  <c r="AI235" i="12"/>
  <c r="Y284" i="12"/>
  <c r="Y241" i="12"/>
  <c r="AO188" i="12"/>
  <c r="AN240" i="12"/>
  <c r="AJ212" i="12"/>
  <c r="AN199" i="12"/>
  <c r="AJ321" i="12"/>
  <c r="AR262" i="12"/>
  <c r="AM230" i="12"/>
  <c r="AA205" i="12"/>
  <c r="AG184" i="12"/>
  <c r="AG171" i="12"/>
  <c r="AE158" i="12"/>
  <c r="AI145" i="12"/>
  <c r="AC321" i="12"/>
  <c r="AQ262" i="12"/>
  <c r="AD241" i="12"/>
  <c r="AH234" i="12"/>
  <c r="Z227" i="12"/>
  <c r="AL220" i="12"/>
  <c r="AD214" i="12"/>
  <c r="AP207" i="12"/>
  <c r="AH201" i="12"/>
  <c r="Z195" i="12"/>
  <c r="AH189" i="12"/>
  <c r="AN185" i="12"/>
  <c r="AF182" i="12"/>
  <c r="AB179" i="12"/>
  <c r="AR175" i="12"/>
  <c r="AN172" i="12"/>
  <c r="AJ169" i="12"/>
  <c r="AE166" i="12"/>
  <c r="AA163" i="12"/>
  <c r="AP159" i="12"/>
  <c r="AL156" i="12"/>
  <c r="AH153" i="12"/>
  <c r="AD150" i="12"/>
  <c r="Z147" i="12"/>
  <c r="AP143" i="12"/>
  <c r="AL140" i="12"/>
  <c r="AH137" i="12"/>
  <c r="AC308" i="12"/>
  <c r="AB277" i="12"/>
  <c r="AQ258" i="12"/>
  <c r="AH241" i="12"/>
  <c r="AL227" i="12"/>
  <c r="AP214" i="12"/>
  <c r="Z202" i="12"/>
  <c r="AP189" i="12"/>
  <c r="AL182" i="12"/>
  <c r="AD176" i="12"/>
  <c r="AP169" i="12"/>
  <c r="AH163" i="12"/>
  <c r="Y157" i="12"/>
  <c r="AK150" i="12"/>
  <c r="AC144" i="12"/>
  <c r="AO137" i="12"/>
  <c r="AQ114" i="12"/>
  <c r="AM111" i="12"/>
  <c r="AI108" i="12"/>
  <c r="AE103" i="12"/>
  <c r="AA100" i="12"/>
  <c r="AQ95" i="12"/>
  <c r="AM80" i="12"/>
  <c r="AM78" i="12"/>
  <c r="AA67" i="12"/>
  <c r="AI57" i="12"/>
  <c r="AQ39" i="12"/>
  <c r="AE33" i="12"/>
  <c r="AM15" i="12"/>
  <c r="AA9" i="12"/>
  <c r="AI7" i="12"/>
  <c r="AC353" i="12"/>
  <c r="AG320" i="12"/>
  <c r="AF293" i="12"/>
  <c r="AJ279" i="12"/>
  <c r="AB271" i="12"/>
  <c r="AJ261" i="12"/>
  <c r="AR250" i="12"/>
  <c r="AP241" i="12"/>
  <c r="AD236" i="12"/>
  <c r="AP228" i="12"/>
  <c r="AD223" i="12"/>
  <c r="AP216" i="12"/>
  <c r="AH210" i="12"/>
  <c r="Z204" i="12"/>
  <c r="AP196" i="12"/>
  <c r="AL190" i="12"/>
  <c r="Z187" i="12"/>
  <c r="AD184" i="12"/>
  <c r="AD181" i="12"/>
  <c r="Z178" i="12"/>
  <c r="AP174" i="12"/>
  <c r="AL171" i="12"/>
  <c r="AG168" i="12"/>
  <c r="Y166" i="12"/>
  <c r="AL161" i="12"/>
  <c r="Y158" i="12"/>
  <c r="Y154" i="12"/>
  <c r="Y150" i="12"/>
  <c r="AO146" i="12"/>
  <c r="AG142" i="12"/>
  <c r="AG140" i="12"/>
  <c r="AK137" i="12"/>
  <c r="AO120" i="12"/>
  <c r="AC119" i="12"/>
  <c r="Y114" i="12"/>
  <c r="Y112" i="12"/>
  <c r="AO108" i="12"/>
  <c r="AC107" i="12"/>
  <c r="Y104" i="12"/>
  <c r="AK101" i="12"/>
  <c r="AC100" i="12"/>
  <c r="AO98" i="12"/>
  <c r="AK97" i="12"/>
  <c r="AK95" i="12"/>
  <c r="Y87" i="12"/>
  <c r="AC79" i="12"/>
  <c r="AO67" i="12"/>
  <c r="AC58" i="12"/>
  <c r="AO39" i="12"/>
  <c r="AK33" i="12"/>
  <c r="AC27" i="12"/>
  <c r="Y9" i="12"/>
  <c r="AK6" i="12"/>
  <c r="AG340" i="12"/>
  <c r="AB319" i="12"/>
  <c r="AA300" i="12"/>
  <c r="AE286" i="12"/>
  <c r="AO272" i="12"/>
  <c r="AE264" i="12"/>
  <c r="AO256" i="12"/>
  <c r="AE247" i="12"/>
  <c r="AQ239" i="12"/>
  <c r="AI233" i="12"/>
  <c r="AQ226" i="12"/>
  <c r="AI220" i="12"/>
  <c r="AA214" i="12"/>
  <c r="AI208" i="12"/>
  <c r="AA202" i="12"/>
  <c r="AM195" i="12"/>
  <c r="AQ189" i="12"/>
  <c r="AA186" i="12"/>
  <c r="Z183" i="12"/>
  <c r="AQ179" i="12"/>
  <c r="AE176" i="12"/>
  <c r="AA173" i="12"/>
  <c r="AQ169" i="12"/>
  <c r="AL166" i="12"/>
  <c r="AG162" i="12"/>
  <c r="AF160" i="12"/>
  <c r="AJ157" i="12"/>
  <c r="AB155" i="12"/>
  <c r="AJ151" i="12"/>
  <c r="AN148" i="12"/>
  <c r="AN144" i="12"/>
  <c r="AF140" i="12"/>
  <c r="AJ122" i="12"/>
  <c r="AB120" i="12"/>
  <c r="AR114" i="12"/>
  <c r="AR112" i="12"/>
  <c r="AR110" i="12"/>
  <c r="AN108" i="12"/>
  <c r="AN104" i="12"/>
  <c r="AF103" i="12"/>
  <c r="AF101" i="12"/>
  <c r="AB100" i="12"/>
  <c r="AF98" i="12"/>
  <c r="AB95" i="12"/>
  <c r="AN81" i="12"/>
  <c r="AR79" i="12"/>
  <c r="AF78" i="12"/>
  <c r="AB58" i="12"/>
  <c r="AB57" i="12"/>
  <c r="AB56" i="12"/>
  <c r="AR27" i="12"/>
  <c r="AN9" i="12"/>
  <c r="AF8" i="12"/>
  <c r="AB7" i="12"/>
  <c r="AK370" i="12"/>
  <c r="AN338" i="12"/>
  <c r="AB327" i="12"/>
  <c r="AF313" i="12"/>
  <c r="AQ300" i="12"/>
  <c r="AI293" i="12"/>
  <c r="AA287" i="12"/>
  <c r="AM279" i="12"/>
  <c r="AF273" i="12"/>
  <c r="AA269" i="12"/>
  <c r="AO264" i="12"/>
  <c r="AJ260" i="12"/>
  <c r="AE256" i="12"/>
  <c r="Y251" i="12"/>
  <c r="AP246" i="12"/>
  <c r="AM242" i="12"/>
  <c r="AI239" i="12"/>
  <c r="AE236" i="12"/>
  <c r="AA233" i="12"/>
  <c r="AQ228" i="12"/>
  <c r="AM225" i="12"/>
  <c r="AI222" i="12"/>
  <c r="AE219" i="12"/>
  <c r="AA216" i="12"/>
  <c r="AQ212" i="12"/>
  <c r="AM209" i="12"/>
  <c r="AI206" i="12"/>
  <c r="AE203" i="12"/>
  <c r="AA200" i="12"/>
  <c r="AQ196" i="12"/>
  <c r="AM193" i="12"/>
  <c r="AM190" i="12"/>
  <c r="AJ188" i="12"/>
  <c r="AM186" i="12"/>
  <c r="AA185" i="12"/>
  <c r="AD183" i="12"/>
  <c r="AM181" i="12"/>
  <c r="AA180" i="12"/>
  <c r="AI178" i="12"/>
  <c r="AQ176" i="12"/>
  <c r="AE175" i="12"/>
  <c r="AM173" i="12"/>
  <c r="AA172" i="12"/>
  <c r="AI170" i="12"/>
  <c r="AP168" i="12"/>
  <c r="AD167" i="12"/>
  <c r="AO165" i="12"/>
  <c r="AO163" i="12"/>
  <c r="AC162" i="12"/>
  <c r="AJ160" i="12"/>
  <c r="AR158" i="12"/>
  <c r="AF157" i="12"/>
  <c r="AN155" i="12"/>
  <c r="AB154" i="12"/>
  <c r="AJ152" i="12"/>
  <c r="AR150" i="12"/>
  <c r="AF149" i="12"/>
  <c r="AN147" i="12"/>
  <c r="AB146" i="12"/>
  <c r="AJ144" i="12"/>
  <c r="AR142" i="12"/>
  <c r="AF141" i="12"/>
  <c r="AN139" i="12"/>
  <c r="AB138" i="12"/>
  <c r="AL122" i="12"/>
  <c r="AP120" i="12"/>
  <c r="Z120" i="12"/>
  <c r="AD119" i="12"/>
  <c r="AH114" i="12"/>
  <c r="AL113" i="12"/>
  <c r="AP112" i="12"/>
  <c r="Z112" i="12"/>
  <c r="AD111" i="12"/>
  <c r="AH110" i="12"/>
  <c r="AL109" i="12"/>
  <c r="AP108" i="12"/>
  <c r="Z108" i="12"/>
  <c r="AD107" i="12"/>
  <c r="AH104" i="12"/>
  <c r="AL103" i="12"/>
  <c r="AP102" i="12"/>
  <c r="Z102" i="12"/>
  <c r="AD101" i="12"/>
  <c r="AH100" i="12"/>
  <c r="AL99" i="12"/>
  <c r="AP98" i="12"/>
  <c r="Z98" i="12"/>
  <c r="AD97" i="12"/>
  <c r="AH95" i="12"/>
  <c r="AL87" i="12"/>
  <c r="AP81" i="12"/>
  <c r="Z81" i="12"/>
  <c r="AD80" i="12"/>
  <c r="AH79" i="12"/>
  <c r="AL78" i="12"/>
  <c r="AP67" i="12"/>
  <c r="Z67" i="12"/>
  <c r="AD58" i="12"/>
  <c r="AH57" i="12"/>
  <c r="AL56" i="12"/>
  <c r="AP39" i="12"/>
  <c r="Z39" i="12"/>
  <c r="AD33" i="12"/>
  <c r="AH27" i="12"/>
  <c r="AL15" i="12"/>
  <c r="AP9" i="12"/>
  <c r="Z9" i="12"/>
  <c r="AD8" i="12"/>
  <c r="AH7" i="12"/>
  <c r="AL6" i="12"/>
  <c r="AD364" i="12"/>
  <c r="AK323" i="12"/>
  <c r="AG303" i="12"/>
  <c r="AF285" i="12"/>
  <c r="AC272" i="12"/>
  <c r="AN264" i="12"/>
  <c r="AC256" i="12"/>
  <c r="AN247" i="12"/>
  <c r="Z241" i="12"/>
  <c r="AP233" i="12"/>
  <c r="AL225" i="12"/>
  <c r="Z220" i="12"/>
  <c r="AL213" i="12"/>
  <c r="AH206" i="12"/>
  <c r="Z200" i="12"/>
  <c r="AH194" i="12"/>
  <c r="Z189" i="12"/>
  <c r="AL184" i="12"/>
  <c r="AL181" i="12"/>
  <c r="AH178" i="12"/>
  <c r="AD175" i="12"/>
  <c r="Z172" i="12"/>
  <c r="AO168" i="12"/>
  <c r="AD165" i="12"/>
  <c r="AP162" i="12"/>
  <c r="AK159" i="12"/>
  <c r="AC157" i="12"/>
  <c r="AO154" i="12"/>
  <c r="AG152" i="12"/>
  <c r="AC149" i="12"/>
  <c r="AK145" i="12"/>
  <c r="AC143" i="12"/>
  <c r="AG138" i="12"/>
  <c r="Y122" i="12"/>
  <c r="AG119" i="12"/>
  <c r="AK113" i="12"/>
  <c r="AG112" i="12"/>
  <c r="AC111" i="12"/>
  <c r="AC110" i="12"/>
  <c r="Y109" i="12"/>
  <c r="AG107" i="12"/>
  <c r="AK103" i="12"/>
  <c r="AK102" i="12"/>
  <c r="Y101" i="12"/>
  <c r="Y99" i="12"/>
  <c r="AO87" i="12"/>
  <c r="AO81" i="12"/>
  <c r="AO80" i="12"/>
  <c r="AK79" i="12"/>
  <c r="Y78" i="12"/>
  <c r="AG58" i="12"/>
  <c r="AK56" i="12"/>
  <c r="AG39" i="12"/>
  <c r="AG27" i="12"/>
  <c r="AC15" i="12"/>
  <c r="AO8" i="12"/>
  <c r="AK7" i="12"/>
  <c r="AB337" i="12"/>
  <c r="AB302" i="12"/>
  <c r="AQ287" i="12"/>
  <c r="AA274" i="12"/>
  <c r="AF265" i="12"/>
  <c r="AN255" i="12"/>
  <c r="AH246" i="12"/>
  <c r="AE238" i="12"/>
  <c r="AM231" i="12"/>
  <c r="AI224" i="12"/>
  <c r="AA218" i="12"/>
  <c r="AQ210" i="12"/>
  <c r="AI204" i="12"/>
  <c r="AA198" i="12"/>
  <c r="AM191" i="12"/>
  <c r="AN187" i="12"/>
  <c r="AA184" i="12"/>
  <c r="AA181" i="12"/>
  <c r="AQ177" i="12"/>
  <c r="AA175" i="12"/>
  <c r="AI171" i="12"/>
  <c r="AL168" i="12"/>
  <c r="AC165" i="12"/>
  <c r="AO162" i="12"/>
  <c r="AR157" i="12"/>
  <c r="AJ153" i="12"/>
  <c r="AF150" i="12"/>
  <c r="AJ147" i="12"/>
  <c r="AB145" i="12"/>
  <c r="AN142" i="12"/>
  <c r="AR139" i="12"/>
  <c r="AO122" i="12"/>
  <c r="AR119" i="12"/>
  <c r="AB114" i="12"/>
  <c r="AN112" i="12"/>
  <c r="AJ111" i="12"/>
  <c r="AB110" i="12"/>
  <c r="AR108" i="12"/>
  <c r="AJ107" i="12"/>
  <c r="AN103" i="12"/>
  <c r="AJ102" i="12"/>
  <c r="AB101" i="12"/>
  <c r="AB99" i="12"/>
  <c r="AN97" i="12"/>
  <c r="AR95" i="12"/>
  <c r="AR81" i="12"/>
  <c r="AJ80" i="12"/>
  <c r="AF79" i="12"/>
  <c r="AJ67" i="12"/>
  <c r="AF58" i="12"/>
  <c r="AF39" i="12"/>
  <c r="AB33" i="12"/>
  <c r="AN15" i="12"/>
  <c r="AF9" i="12"/>
  <c r="AR312" i="12"/>
  <c r="AC227" i="12"/>
  <c r="AG305" i="12"/>
  <c r="AN227" i="12"/>
  <c r="AF209" i="12"/>
  <c r="AJ196" i="12"/>
  <c r="AA298" i="12"/>
  <c r="AE224" i="12"/>
  <c r="AM198" i="12"/>
  <c r="Y181" i="12"/>
  <c r="AB168" i="12"/>
  <c r="AA155" i="12"/>
  <c r="AE142" i="12"/>
  <c r="AR297" i="12"/>
  <c r="AF253" i="12"/>
  <c r="AD239" i="12"/>
  <c r="AP231" i="12"/>
  <c r="AH225" i="12"/>
  <c r="Z219" i="12"/>
  <c r="AL212" i="12"/>
  <c r="AD206" i="12"/>
  <c r="AP199" i="12"/>
  <c r="AH193" i="12"/>
  <c r="AF188" i="12"/>
  <c r="AR184" i="12"/>
  <c r="AJ181" i="12"/>
  <c r="AF178" i="12"/>
  <c r="AB175" i="12"/>
  <c r="AR171" i="12"/>
  <c r="AM168" i="12"/>
  <c r="AI165" i="12"/>
  <c r="AE162" i="12"/>
  <c r="Z159" i="12"/>
  <c r="AP155" i="12"/>
  <c r="AL152" i="12"/>
  <c r="AH149" i="12"/>
  <c r="AD146" i="12"/>
  <c r="Z143" i="12"/>
  <c r="AP139" i="12"/>
  <c r="AP357" i="12"/>
  <c r="AM271" i="12"/>
  <c r="AK253" i="12"/>
  <c r="AH224" i="12"/>
  <c r="AP198" i="12"/>
  <c r="Z181" i="12"/>
  <c r="AC168" i="12"/>
  <c r="AG155" i="12"/>
  <c r="AK142" i="12"/>
  <c r="AE122" i="12"/>
  <c r="AQ110" i="12"/>
  <c r="AE99" i="12"/>
  <c r="AA95" i="12"/>
  <c r="AE78" i="12"/>
  <c r="AA57" i="12"/>
  <c r="AQ27" i="12"/>
  <c r="AA7" i="12"/>
  <c r="Y313" i="12"/>
  <c r="AG259" i="12"/>
  <c r="AO248" i="12"/>
  <c r="AL234" i="12"/>
  <c r="AL221" i="12"/>
  <c r="AP208" i="12"/>
  <c r="AJ189" i="12"/>
  <c r="AH180" i="12"/>
  <c r="Z174" i="12"/>
  <c r="AP164" i="12"/>
  <c r="Y156" i="12"/>
  <c r="Y146" i="12"/>
  <c r="AK120" i="12"/>
  <c r="AG113" i="12"/>
  <c r="AK108" i="12"/>
  <c r="AO104" i="12"/>
  <c r="Y103" i="12"/>
  <c r="AK98" i="12"/>
  <c r="Y81" i="12"/>
  <c r="AO57" i="12"/>
  <c r="AG33" i="12"/>
  <c r="AC8" i="12"/>
  <c r="AG6" i="12"/>
  <c r="AN311" i="12"/>
  <c r="AQ295" i="12"/>
  <c r="AA283" i="12"/>
  <c r="AC263" i="12"/>
  <c r="AM244" i="12"/>
  <c r="AQ230" i="12"/>
  <c r="AE225" i="12"/>
  <c r="AQ206" i="12"/>
  <c r="AA194" i="12"/>
  <c r="AE185" i="12"/>
  <c r="AM178" i="12"/>
  <c r="AM172" i="12"/>
  <c r="AK165" i="12"/>
  <c r="AJ159" i="12"/>
  <c r="AF154" i="12"/>
  <c r="AR147" i="12"/>
  <c r="AJ139" i="12"/>
  <c r="AN119" i="12"/>
  <c r="AF110" i="12"/>
  <c r="AJ104" i="12"/>
  <c r="AN100" i="12"/>
  <c r="AN99" i="12"/>
  <c r="AN87" i="12"/>
  <c r="AJ81" i="12"/>
  <c r="AR67" i="12"/>
  <c r="AR39" i="12"/>
  <c r="AO357" i="12"/>
  <c r="AR323" i="12"/>
  <c r="AQ291" i="12"/>
  <c r="AA278" i="12"/>
  <c r="Y268" i="12"/>
  <c r="AR249" i="12"/>
  <c r="AJ57" i="12"/>
  <c r="AB9" i="12"/>
  <c r="AN332" i="12"/>
  <c r="AE290" i="12"/>
  <c r="AR266" i="12"/>
  <c r="AB253" i="12"/>
  <c r="AM238" i="12"/>
  <c r="AI230" i="12"/>
  <c r="AA224" i="12"/>
  <c r="AM217" i="12"/>
  <c r="AE211" i="12"/>
  <c r="AQ204" i="12"/>
  <c r="AI198" i="12"/>
  <c r="AA192" i="12"/>
  <c r="AI187" i="12"/>
  <c r="AE184" i="12"/>
  <c r="AQ180" i="12"/>
  <c r="AM177" i="12"/>
  <c r="AI174" i="12"/>
  <c r="AE171" i="12"/>
  <c r="Z168" i="12"/>
  <c r="AK164" i="12"/>
  <c r="AG161" i="12"/>
  <c r="AB158" i="12"/>
  <c r="AR154" i="12"/>
  <c r="AN151" i="12"/>
  <c r="AJ148" i="12"/>
  <c r="AF145" i="12"/>
  <c r="AB142" i="12"/>
  <c r="AR138" i="12"/>
  <c r="AD122" i="12"/>
  <c r="AL119" i="12"/>
  <c r="Z114" i="12"/>
  <c r="AH112" i="12"/>
  <c r="AP110" i="12"/>
  <c r="AD109" i="12"/>
  <c r="AL107" i="12"/>
  <c r="Z104" i="12"/>
  <c r="AH102" i="12"/>
  <c r="AP100" i="12"/>
  <c r="AD99" i="12"/>
  <c r="AL97" i="12"/>
  <c r="Z95" i="12"/>
  <c r="AH81" i="12"/>
  <c r="AP79" i="12"/>
  <c r="AD78" i="12"/>
  <c r="AL58" i="12"/>
  <c r="Z57" i="12"/>
  <c r="AH39" i="12"/>
  <c r="AP27" i="12"/>
  <c r="AD15" i="12"/>
  <c r="AL8" i="12"/>
  <c r="Z7" i="12"/>
  <c r="AC337" i="12"/>
  <c r="AR294" i="12"/>
  <c r="AR267" i="12"/>
  <c r="Y252" i="12"/>
  <c r="Z237" i="12"/>
  <c r="AH222" i="12"/>
  <c r="AL209" i="12"/>
  <c r="AL197" i="12"/>
  <c r="AD186" i="12"/>
  <c r="Z180" i="12"/>
  <c r="AL173" i="12"/>
  <c r="AG166" i="12"/>
  <c r="AD161" i="12"/>
  <c r="AG156" i="12"/>
  <c r="AG150" i="12"/>
  <c r="AG144" i="12"/>
  <c r="AK122" i="12"/>
  <c r="AC114" i="12"/>
  <c r="AK111" i="12"/>
  <c r="AK109" i="12"/>
  <c r="AC104" i="12"/>
  <c r="Y102" i="12"/>
  <c r="Y98" i="12"/>
  <c r="AG81" i="12"/>
  <c r="Y79" i="12"/>
  <c r="AC57" i="12"/>
  <c r="AC33" i="12"/>
  <c r="AK9" i="12"/>
  <c r="AC364" i="12"/>
  <c r="AE294" i="12"/>
  <c r="AK269" i="12"/>
  <c r="AI250" i="12"/>
  <c r="AQ235" i="12"/>
  <c r="AE221" i="12"/>
  <c r="AM207" i="12"/>
  <c r="AQ194" i="12"/>
  <c r="AM185" i="12"/>
  <c r="AI179" i="12"/>
  <c r="AI173" i="12"/>
  <c r="Z167" i="12"/>
  <c r="AR159" i="12"/>
  <c r="AF152" i="12"/>
  <c r="AF146" i="12"/>
  <c r="AB141" i="12"/>
  <c r="AR120" i="12"/>
  <c r="AJ113" i="12"/>
  <c r="AN110" i="12"/>
  <c r="AB108" i="12"/>
  <c r="AB103" i="12"/>
  <c r="AR99" i="12"/>
  <c r="AF97" i="12"/>
  <c r="AB81" i="12"/>
  <c r="AB78" i="12"/>
  <c r="AN39" i="12"/>
  <c r="AJ27" i="12"/>
  <c r="AF7" i="12"/>
  <c r="AM297" i="12"/>
  <c r="AC271" i="12"/>
  <c r="AA241" i="12"/>
  <c r="AI218" i="12"/>
  <c r="AQ192" i="12"/>
  <c r="AA178" i="12"/>
  <c r="AH168" i="12"/>
  <c r="AJ158" i="12"/>
  <c r="AR148" i="12"/>
  <c r="AD114" i="12"/>
  <c r="AH109" i="12"/>
  <c r="AL102" i="12"/>
  <c r="AP97" i="12"/>
  <c r="Z80" i="12"/>
  <c r="AD57" i="12"/>
  <c r="AH15" i="12"/>
  <c r="AG346" i="12"/>
  <c r="AB255" i="12"/>
  <c r="Z224" i="12"/>
  <c r="AR187" i="12"/>
  <c r="AO156" i="12"/>
  <c r="Y138" i="12"/>
  <c r="Y107" i="12"/>
  <c r="Y39" i="12"/>
  <c r="AK252" i="12"/>
  <c r="AI196" i="12"/>
  <c r="AE174" i="12"/>
  <c r="AB153" i="12"/>
  <c r="AJ141" i="12"/>
  <c r="AN113" i="12"/>
  <c r="AJ103" i="12"/>
  <c r="AJ97" i="12"/>
  <c r="AR78" i="12"/>
  <c r="AJ56" i="12"/>
  <c r="AN7" i="12"/>
  <c r="AN320" i="12"/>
  <c r="AQ283" i="12"/>
  <c r="AN263" i="12"/>
  <c r="AQ248" i="12"/>
  <c r="AQ237" i="12"/>
  <c r="AA228" i="12"/>
  <c r="AM221" i="12"/>
  <c r="AE215" i="12"/>
  <c r="AQ208" i="12"/>
  <c r="AI202" i="12"/>
  <c r="AA196" i="12"/>
  <c r="AB190" i="12"/>
  <c r="AE186" i="12"/>
  <c r="AQ182" i="12"/>
  <c r="AM179" i="12"/>
  <c r="AI176" i="12"/>
  <c r="AE173" i="12"/>
  <c r="AA170" i="12"/>
  <c r="AP166" i="12"/>
  <c r="AG163" i="12"/>
  <c r="AB160" i="12"/>
  <c r="AR156" i="12"/>
  <c r="AN153" i="12"/>
  <c r="AJ150" i="12"/>
  <c r="AF147" i="12"/>
  <c r="AB144" i="12"/>
  <c r="AR140" i="12"/>
  <c r="AN137" i="12"/>
  <c r="AL120" i="12"/>
  <c r="Z119" i="12"/>
  <c r="AH113" i="12"/>
  <c r="AP111" i="12"/>
  <c r="AD110" i="12"/>
  <c r="AL108" i="12"/>
  <c r="Z107" i="12"/>
  <c r="AH103" i="12"/>
  <c r="AP101" i="12"/>
  <c r="AD100" i="12"/>
  <c r="AL98" i="12"/>
  <c r="Z97" i="12"/>
  <c r="AH87" i="12"/>
  <c r="AP80" i="12"/>
  <c r="AD79" i="12"/>
  <c r="AL67" i="12"/>
  <c r="Z58" i="12"/>
  <c r="AH56" i="12"/>
  <c r="AP33" i="12"/>
  <c r="AD27" i="12"/>
  <c r="AL9" i="12"/>
  <c r="Z8" i="12"/>
  <c r="AH6" i="12"/>
  <c r="AC317" i="12"/>
  <c r="AN283" i="12"/>
  <c r="AK262" i="12"/>
  <c r="AO246" i="12"/>
  <c r="AD231" i="12"/>
  <c r="AH218" i="12"/>
  <c r="AP204" i="12"/>
  <c r="AP192" i="12"/>
  <c r="AQ183" i="12"/>
  <c r="AL177" i="12"/>
  <c r="AD171" i="12"/>
  <c r="AH164" i="12"/>
  <c r="AC159" i="12"/>
  <c r="AK153" i="12"/>
  <c r="AO148" i="12"/>
  <c r="AO142" i="12"/>
  <c r="AC120" i="12"/>
  <c r="AC113" i="12"/>
  <c r="AO110" i="12"/>
  <c r="AC108" i="12"/>
  <c r="AG103" i="12"/>
  <c r="AG100" i="12"/>
  <c r="AK87" i="12"/>
  <c r="AK80" i="12"/>
  <c r="AC67" i="12"/>
  <c r="AG56" i="12"/>
  <c r="AO15" i="12"/>
  <c r="AK8" i="12"/>
  <c r="AR331" i="12"/>
  <c r="AM284" i="12"/>
  <c r="AB262" i="12"/>
  <c r="AQ243" i="12"/>
  <c r="AE229" i="12"/>
  <c r="AI216" i="12"/>
  <c r="AQ202" i="12"/>
  <c r="AH190" i="12"/>
  <c r="AH183" i="12"/>
  <c r="AA177" i="12"/>
  <c r="AM170" i="12"/>
  <c r="AG164" i="12"/>
  <c r="AN156" i="12"/>
  <c r="AJ149" i="12"/>
  <c r="AF144" i="12"/>
  <c r="AF138" i="12"/>
  <c r="AB119" i="12"/>
  <c r="AJ112" i="12"/>
  <c r="AN109" i="12"/>
  <c r="AB107" i="12"/>
  <c r="AF102" i="12"/>
  <c r="AN98" i="12"/>
  <c r="AF95" i="12"/>
  <c r="AB80" i="12"/>
  <c r="AB67" i="12"/>
  <c r="AB39" i="12"/>
  <c r="AJ15" i="12"/>
  <c r="AJ98" i="12"/>
  <c r="AN79" i="12"/>
  <c r="AN58" i="12"/>
  <c r="AF15" i="12"/>
  <c r="AJ349" i="12"/>
  <c r="AG258" i="12"/>
  <c r="AE231" i="12"/>
  <c r="AA212" i="12"/>
  <c r="AE199" i="12"/>
  <c r="AM184" i="12"/>
  <c r="AM171" i="12"/>
  <c r="AO161" i="12"/>
  <c r="AB152" i="12"/>
  <c r="AJ142" i="12"/>
  <c r="AH122" i="12"/>
  <c r="AL112" i="12"/>
  <c r="AP107" i="12"/>
  <c r="AH99" i="12"/>
  <c r="AL81" i="12"/>
  <c r="AP58" i="12"/>
  <c r="Z33" i="12"/>
  <c r="AP8" i="12"/>
  <c r="AN300" i="12"/>
  <c r="AH239" i="12"/>
  <c r="AH198" i="12"/>
  <c r="AH174" i="12"/>
  <c r="Z162" i="12"/>
  <c r="Y152" i="12"/>
  <c r="AO111" i="12"/>
  <c r="AO109" i="12"/>
  <c r="AG98" i="12"/>
  <c r="AG79" i="12"/>
  <c r="AO9" i="12"/>
  <c r="AG7" i="12"/>
  <c r="AM236" i="12"/>
  <c r="AE209" i="12"/>
  <c r="AE180" i="12"/>
  <c r="Y162" i="12"/>
  <c r="AB111" i="12"/>
  <c r="AR100" i="12"/>
  <c r="AN27" i="12"/>
  <c r="AJ8" i="12"/>
  <c r="AR33" i="12"/>
  <c r="AJ6" i="12"/>
  <c r="AR306" i="12"/>
  <c r="AI276" i="12"/>
  <c r="AM262" i="12"/>
  <c r="AE244" i="12"/>
  <c r="AM234" i="12"/>
  <c r="AE227" i="12"/>
  <c r="AQ220" i="12"/>
  <c r="AI214" i="12"/>
  <c r="AA208" i="12"/>
  <c r="AM201" i="12"/>
  <c r="AE195" i="12"/>
  <c r="AL189" i="12"/>
  <c r="AQ185" i="12"/>
  <c r="AI182" i="12"/>
  <c r="AE179" i="12"/>
  <c r="AA176" i="12"/>
  <c r="AQ172" i="12"/>
  <c r="AM169" i="12"/>
  <c r="AH166" i="12"/>
  <c r="Y163" i="12"/>
  <c r="AN159" i="12"/>
  <c r="AJ156" i="12"/>
  <c r="AF153" i="12"/>
  <c r="AB150" i="12"/>
  <c r="AR146" i="12"/>
  <c r="AN143" i="12"/>
  <c r="AJ140" i="12"/>
  <c r="AF137" i="12"/>
  <c r="AH120" i="12"/>
  <c r="AP114" i="12"/>
  <c r="AD113" i="12"/>
  <c r="AL111" i="12"/>
  <c r="Z110" i="12"/>
  <c r="AH108" i="12"/>
  <c r="AP104" i="12"/>
  <c r="AD103" i="12"/>
  <c r="AL101" i="12"/>
  <c r="Z100" i="12"/>
  <c r="AH98" i="12"/>
  <c r="AP95" i="12"/>
  <c r="AD87" i="12"/>
  <c r="AL80" i="12"/>
  <c r="Z79" i="12"/>
  <c r="AH67" i="12"/>
  <c r="AP57" i="12"/>
  <c r="AD56" i="12"/>
  <c r="AL33" i="12"/>
  <c r="Z27" i="12"/>
  <c r="AH9" i="12"/>
  <c r="AP7" i="12"/>
  <c r="AD6" i="12"/>
  <c r="AO309" i="12"/>
  <c r="AB282" i="12"/>
  <c r="AI260" i="12"/>
  <c r="AD244" i="12"/>
  <c r="AL229" i="12"/>
  <c r="Z216" i="12"/>
  <c r="AD203" i="12"/>
  <c r="AD191" i="12"/>
  <c r="AA183" i="12"/>
  <c r="AP176" i="12"/>
  <c r="AH170" i="12"/>
  <c r="Z164" i="12"/>
  <c r="AG158" i="12"/>
  <c r="AC153" i="12"/>
  <c r="Y148" i="12"/>
  <c r="Y142" i="12"/>
  <c r="AO119" i="12"/>
  <c r="AO112" i="12"/>
  <c r="AK110" i="12"/>
  <c r="AO107" i="12"/>
  <c r="AC103" i="12"/>
  <c r="Y100" i="12"/>
  <c r="AG87" i="12"/>
  <c r="AC80" i="12"/>
  <c r="AO58" i="12"/>
  <c r="AC56" i="12"/>
  <c r="AK15" i="12"/>
  <c r="AG8" i="12"/>
  <c r="AF322" i="12"/>
  <c r="AI280" i="12"/>
  <c r="Y260" i="12"/>
  <c r="AE242" i="12"/>
  <c r="AM227" i="12"/>
  <c r="AQ214" i="12"/>
  <c r="AE201" i="12"/>
  <c r="AF189" i="12"/>
  <c r="AM182" i="12"/>
  <c r="AM176" i="12"/>
  <c r="AE170" i="12"/>
  <c r="AK163" i="12"/>
  <c r="AR155" i="12"/>
  <c r="AB149" i="12"/>
  <c r="AJ143" i="12"/>
  <c r="AJ137" i="12"/>
  <c r="AN114" i="12"/>
  <c r="AB112" i="12"/>
  <c r="AJ109" i="12"/>
  <c r="AR104" i="12"/>
  <c r="AR101" i="12"/>
  <c r="AR87" i="12"/>
  <c r="AN33" i="12"/>
  <c r="AR15" i="12"/>
  <c r="AQ224" i="12"/>
  <c r="AM205" i="12"/>
  <c r="Z188" i="12"/>
  <c r="AE181" i="12"/>
  <c r="AQ174" i="12"/>
  <c r="AG165" i="12"/>
  <c r="AF155" i="12"/>
  <c r="AN145" i="12"/>
  <c r="AF139" i="12"/>
  <c r="AP119" i="12"/>
  <c r="Z111" i="12"/>
  <c r="AD104" i="12"/>
  <c r="Z101" i="12"/>
  <c r="AD95" i="12"/>
  <c r="AH78" i="12"/>
  <c r="AL39" i="12"/>
  <c r="AD7" i="12"/>
  <c r="AA270" i="12"/>
  <c r="AD211" i="12"/>
  <c r="AP180" i="12"/>
  <c r="Y168" i="12"/>
  <c r="AC145" i="12"/>
  <c r="Y119" i="12"/>
  <c r="AG102" i="12"/>
  <c r="AK81" i="12"/>
  <c r="Y58" i="12"/>
  <c r="AI298" i="12"/>
  <c r="AN271" i="12"/>
  <c r="AQ222" i="12"/>
  <c r="AQ186" i="12"/>
  <c r="AP167" i="12"/>
  <c r="AB147" i="12"/>
  <c r="AF122" i="12"/>
  <c r="AJ108" i="12"/>
  <c r="AF81" i="12"/>
  <c r="AR56" i="12"/>
  <c r="AR6" i="8"/>
  <c r="Y6" i="8"/>
  <c r="AR8" i="8"/>
  <c r="AR12" i="8"/>
  <c r="AR16" i="8"/>
  <c r="AR20" i="8"/>
  <c r="AR24" i="8"/>
  <c r="AR28" i="8"/>
  <c r="AR32" i="8"/>
  <c r="AR36" i="8"/>
  <c r="AR40" i="8"/>
  <c r="AR44" i="8"/>
  <c r="AR48" i="8"/>
  <c r="AR52" i="8"/>
  <c r="AR56" i="8"/>
  <c r="AR60" i="8"/>
  <c r="AR64" i="8"/>
  <c r="AR68" i="8"/>
  <c r="AR72" i="8"/>
  <c r="AR76" i="8"/>
  <c r="AR80" i="8"/>
  <c r="AR84" i="8"/>
  <c r="AR88" i="8"/>
  <c r="AR92" i="8"/>
  <c r="AR96" i="8"/>
  <c r="AR100" i="8"/>
  <c r="AR104" i="8"/>
  <c r="AR108" i="8"/>
  <c r="AR112" i="8"/>
  <c r="AR116" i="8"/>
  <c r="AR120" i="8"/>
  <c r="AR124" i="8"/>
  <c r="AR128" i="8"/>
  <c r="AR132" i="8"/>
  <c r="AR136" i="8"/>
  <c r="AR140" i="8"/>
  <c r="AR144" i="8"/>
  <c r="AR148" i="8"/>
  <c r="AR152" i="8"/>
  <c r="AR156" i="8"/>
  <c r="AR160" i="8"/>
  <c r="AR167" i="8"/>
  <c r="AR171" i="8"/>
  <c r="AR175" i="8"/>
  <c r="AR179" i="8"/>
  <c r="AR183" i="8"/>
  <c r="AR187" i="8"/>
  <c r="AR191" i="8"/>
  <c r="AR195" i="8"/>
  <c r="AR199" i="8"/>
  <c r="AR203" i="8"/>
  <c r="AR207" i="8"/>
  <c r="AR211" i="8"/>
  <c r="AR215" i="8"/>
  <c r="AR219" i="8"/>
  <c r="AR223" i="8"/>
  <c r="AR227" i="8"/>
  <c r="AR231" i="8"/>
  <c r="AR235" i="8"/>
  <c r="AR239" i="8"/>
  <c r="AR243" i="8"/>
  <c r="AR247" i="8"/>
  <c r="AR251" i="8"/>
  <c r="AR255" i="8"/>
  <c r="AR259" i="8"/>
  <c r="AR263" i="8"/>
  <c r="AR267" i="8"/>
  <c r="AR271" i="8"/>
  <c r="AR275" i="8"/>
  <c r="AR279" i="8"/>
  <c r="AR283" i="8"/>
  <c r="AR287" i="8"/>
  <c r="AR291" i="8"/>
  <c r="AR295" i="8"/>
  <c r="AR299" i="8"/>
  <c r="AR303" i="8"/>
  <c r="AR307" i="8"/>
  <c r="AR311" i="8"/>
  <c r="AR315" i="8"/>
  <c r="AR319" i="8"/>
  <c r="AR323" i="8"/>
  <c r="AR327" i="8"/>
  <c r="AR331" i="8"/>
  <c r="AR335" i="8"/>
  <c r="AR339" i="8"/>
  <c r="AR343" i="8"/>
  <c r="AR347" i="8"/>
  <c r="AR351" i="8"/>
  <c r="AR355" i="8"/>
  <c r="AR359" i="8"/>
  <c r="AR363" i="8"/>
  <c r="AR367" i="8"/>
  <c r="AR371" i="8"/>
  <c r="AQ9" i="8"/>
  <c r="AQ13" i="8"/>
  <c r="AQ17" i="8"/>
  <c r="AQ21" i="8"/>
  <c r="AQ25" i="8"/>
  <c r="AQ29" i="8"/>
  <c r="AQ33" i="8"/>
  <c r="AQ37" i="8"/>
  <c r="AQ41" i="8"/>
  <c r="AQ45" i="8"/>
  <c r="AQ49" i="8"/>
  <c r="AQ53" i="8"/>
  <c r="AQ57" i="8"/>
  <c r="AQ61" i="8"/>
  <c r="AQ65" i="8"/>
  <c r="AQ69" i="8"/>
  <c r="AQ73" i="8"/>
  <c r="AQ77" i="8"/>
  <c r="AQ81" i="8"/>
  <c r="AQ85" i="8"/>
  <c r="AQ89" i="8"/>
  <c r="AQ93" i="8"/>
  <c r="AQ97" i="8"/>
  <c r="AQ101" i="8"/>
  <c r="AQ105" i="8"/>
  <c r="AQ109" i="8"/>
  <c r="AQ113" i="8"/>
  <c r="AQ117" i="8"/>
  <c r="AQ121" i="8"/>
  <c r="AQ125" i="8"/>
  <c r="AQ129" i="8"/>
  <c r="AQ133" i="8"/>
  <c r="AQ137" i="8"/>
  <c r="AQ141" i="8"/>
  <c r="AQ145" i="8"/>
  <c r="AQ149" i="8"/>
  <c r="AR9" i="8"/>
  <c r="AR13" i="8"/>
  <c r="AR17" i="8"/>
  <c r="AR21" i="8"/>
  <c r="AR25" i="8"/>
  <c r="AR29" i="8"/>
  <c r="AR33" i="8"/>
  <c r="AR37" i="8"/>
  <c r="AR41" i="8"/>
  <c r="AR45" i="8"/>
  <c r="AR49" i="8"/>
  <c r="AR53" i="8"/>
  <c r="AR57" i="8"/>
  <c r="AR61" i="8"/>
  <c r="AR65" i="8"/>
  <c r="AR69" i="8"/>
  <c r="AR73" i="8"/>
  <c r="AR77" i="8"/>
  <c r="AR81" i="8"/>
  <c r="AR85" i="8"/>
  <c r="AR89" i="8"/>
  <c r="AR93" i="8"/>
  <c r="AR97" i="8"/>
  <c r="AR101" i="8"/>
  <c r="AR105" i="8"/>
  <c r="AR109" i="8"/>
  <c r="AR113" i="8"/>
  <c r="AR117" i="8"/>
  <c r="AR121" i="8"/>
  <c r="AR125" i="8"/>
  <c r="AR129" i="8"/>
  <c r="AR133" i="8"/>
  <c r="AR137" i="8"/>
  <c r="AR141" i="8"/>
  <c r="AR145" i="8"/>
  <c r="AR149" i="8"/>
  <c r="AR153" i="8"/>
  <c r="AR157" i="8"/>
  <c r="AR161" i="8"/>
  <c r="AR168" i="8"/>
  <c r="AR172" i="8"/>
  <c r="AR176" i="8"/>
  <c r="AR180" i="8"/>
  <c r="AR184" i="8"/>
  <c r="AR188" i="8"/>
  <c r="AR192" i="8"/>
  <c r="AR196" i="8"/>
  <c r="AR200" i="8"/>
  <c r="AR204" i="8"/>
  <c r="AR208" i="8"/>
  <c r="AR212" i="8"/>
  <c r="AR216" i="8"/>
  <c r="AR220" i="8"/>
  <c r="AR224" i="8"/>
  <c r="AR228" i="8"/>
  <c r="AR232" i="8"/>
  <c r="AR236" i="8"/>
  <c r="AR240" i="8"/>
  <c r="AR244" i="8"/>
  <c r="AR248" i="8"/>
  <c r="AR252" i="8"/>
  <c r="AR256" i="8"/>
  <c r="AR260" i="8"/>
  <c r="AR264" i="8"/>
  <c r="AR268" i="8"/>
  <c r="AR272" i="8"/>
  <c r="AR276" i="8"/>
  <c r="AR280" i="8"/>
  <c r="AR284" i="8"/>
  <c r="AR288" i="8"/>
  <c r="AR292" i="8"/>
  <c r="AR296" i="8"/>
  <c r="AR300" i="8"/>
  <c r="AR304" i="8"/>
  <c r="AR308" i="8"/>
  <c r="AR312" i="8"/>
  <c r="AR316" i="8"/>
  <c r="AR320" i="8"/>
  <c r="AR324" i="8"/>
  <c r="AR328" i="8"/>
  <c r="AR332" i="8"/>
  <c r="AR336" i="8"/>
  <c r="AR340" i="8"/>
  <c r="AR344" i="8"/>
  <c r="AR348" i="8"/>
  <c r="AR352" i="8"/>
  <c r="AR356" i="8"/>
  <c r="AR360" i="8"/>
  <c r="AR364" i="8"/>
  <c r="AR368" i="8"/>
  <c r="AR372" i="8"/>
  <c r="AQ10" i="8"/>
  <c r="AQ14" i="8"/>
  <c r="AQ18" i="8"/>
  <c r="AQ22" i="8"/>
  <c r="AQ26" i="8"/>
  <c r="AQ30" i="8"/>
  <c r="AQ34" i="8"/>
  <c r="AQ38" i="8"/>
  <c r="AQ42" i="8"/>
  <c r="AQ46" i="8"/>
  <c r="AQ50" i="8"/>
  <c r="AQ54" i="8"/>
  <c r="AQ58" i="8"/>
  <c r="AQ62" i="8"/>
  <c r="AQ66" i="8"/>
  <c r="AQ70" i="8"/>
  <c r="AQ74" i="8"/>
  <c r="AQ78" i="8"/>
  <c r="AQ82" i="8"/>
  <c r="AQ86" i="8"/>
  <c r="AQ90" i="8"/>
  <c r="AQ94" i="8"/>
  <c r="AQ98" i="8"/>
  <c r="AQ102" i="8"/>
  <c r="AQ106" i="8"/>
  <c r="AQ110" i="8"/>
  <c r="AQ114" i="8"/>
  <c r="AQ118" i="8"/>
  <c r="AQ122" i="8"/>
  <c r="AQ126" i="8"/>
  <c r="AQ130" i="8"/>
  <c r="AQ134" i="8"/>
  <c r="AQ138" i="8"/>
  <c r="AQ142" i="8"/>
  <c r="AQ146" i="8"/>
  <c r="AQ150" i="8"/>
  <c r="AR10" i="8"/>
  <c r="AR14" i="8"/>
  <c r="AR18" i="8"/>
  <c r="AR22" i="8"/>
  <c r="AR26" i="8"/>
  <c r="AR30" i="8"/>
  <c r="AR34" i="8"/>
  <c r="AR38" i="8"/>
  <c r="AR42" i="8"/>
  <c r="AR46" i="8"/>
  <c r="AR50" i="8"/>
  <c r="AR54" i="8"/>
  <c r="AR58" i="8"/>
  <c r="AR62" i="8"/>
  <c r="AR66" i="8"/>
  <c r="AR70" i="8"/>
  <c r="AR74" i="8"/>
  <c r="AR78" i="8"/>
  <c r="AR82" i="8"/>
  <c r="AR86" i="8"/>
  <c r="AR90" i="8"/>
  <c r="AR94" i="8"/>
  <c r="AR98" i="8"/>
  <c r="AR102" i="8"/>
  <c r="AR106" i="8"/>
  <c r="AR110" i="8"/>
  <c r="AR114" i="8"/>
  <c r="AR118" i="8"/>
  <c r="AR122" i="8"/>
  <c r="AR126" i="8"/>
  <c r="AR130" i="8"/>
  <c r="AR134" i="8"/>
  <c r="AR138" i="8"/>
  <c r="AR142" i="8"/>
  <c r="AR146" i="8"/>
  <c r="AR150" i="8"/>
  <c r="AR154" i="8"/>
  <c r="AR158" i="8"/>
  <c r="AR162" i="8"/>
  <c r="AR169" i="8"/>
  <c r="AR173" i="8"/>
  <c r="AR177" i="8"/>
  <c r="AR181" i="8"/>
  <c r="AR185" i="8"/>
  <c r="AR189" i="8"/>
  <c r="AR193" i="8"/>
  <c r="AR197" i="8"/>
  <c r="AR201" i="8"/>
  <c r="AR205" i="8"/>
  <c r="AR209" i="8"/>
  <c r="AR213" i="8"/>
  <c r="AR217" i="8"/>
  <c r="AR221" i="8"/>
  <c r="AR225" i="8"/>
  <c r="AR229" i="8"/>
  <c r="AR233" i="8"/>
  <c r="AR237" i="8"/>
  <c r="AR241" i="8"/>
  <c r="AR245" i="8"/>
  <c r="AR249" i="8"/>
  <c r="AR253" i="8"/>
  <c r="AR257" i="8"/>
  <c r="AR261" i="8"/>
  <c r="AR265" i="8"/>
  <c r="AR269" i="8"/>
  <c r="AR273" i="8"/>
  <c r="AR277" i="8"/>
  <c r="AR281" i="8"/>
  <c r="AR285" i="8"/>
  <c r="AR289" i="8"/>
  <c r="AR293" i="8"/>
  <c r="AR297" i="8"/>
  <c r="AR301" i="8"/>
  <c r="AR305" i="8"/>
  <c r="AR309" i="8"/>
  <c r="AR313" i="8"/>
  <c r="AR317" i="8"/>
  <c r="AR321" i="8"/>
  <c r="AR325" i="8"/>
  <c r="AR329" i="8"/>
  <c r="AR333" i="8"/>
  <c r="AR337" i="8"/>
  <c r="AR341" i="8"/>
  <c r="AR345" i="8"/>
  <c r="AR349" i="8"/>
  <c r="AR353" i="8"/>
  <c r="AR357" i="8"/>
  <c r="AR361" i="8"/>
  <c r="AR365" i="8"/>
  <c r="AR369" i="8"/>
  <c r="AR373" i="8"/>
  <c r="AQ11" i="8"/>
  <c r="AQ15" i="8"/>
  <c r="AQ19" i="8"/>
  <c r="AQ23" i="8"/>
  <c r="AQ27" i="8"/>
  <c r="AQ31" i="8"/>
  <c r="AQ35" i="8"/>
  <c r="AQ39" i="8"/>
  <c r="AQ43" i="8"/>
  <c r="AQ47" i="8"/>
  <c r="AQ51" i="8"/>
  <c r="AQ55" i="8"/>
  <c r="AQ59" i="8"/>
  <c r="AQ63" i="8"/>
  <c r="AQ67" i="8"/>
  <c r="AQ71" i="8"/>
  <c r="AQ75" i="8"/>
  <c r="AQ79" i="8"/>
  <c r="AQ83" i="8"/>
  <c r="AQ87" i="8"/>
  <c r="AQ91" i="8"/>
  <c r="AQ95" i="8"/>
  <c r="AQ99" i="8"/>
  <c r="AQ103" i="8"/>
  <c r="AQ107" i="8"/>
  <c r="AQ111" i="8"/>
  <c r="AQ115" i="8"/>
  <c r="AQ119" i="8"/>
  <c r="AQ123" i="8"/>
  <c r="AQ127" i="8"/>
  <c r="AQ131" i="8"/>
  <c r="AQ135" i="8"/>
  <c r="AQ139" i="8"/>
  <c r="AQ143" i="8"/>
  <c r="AQ147" i="8"/>
  <c r="AQ151" i="8"/>
  <c r="AR11" i="8"/>
  <c r="AR27" i="8"/>
  <c r="AR43" i="8"/>
  <c r="AR59" i="8"/>
  <c r="AR75" i="8"/>
  <c r="AR91" i="8"/>
  <c r="AR107" i="8"/>
  <c r="AR123" i="8"/>
  <c r="AR139" i="8"/>
  <c r="AR155" i="8"/>
  <c r="AR174" i="8"/>
  <c r="AR190" i="8"/>
  <c r="AR206" i="8"/>
  <c r="AR222" i="8"/>
  <c r="AR238" i="8"/>
  <c r="AR254" i="8"/>
  <c r="AR270" i="8"/>
  <c r="AR286" i="8"/>
  <c r="AR302" i="8"/>
  <c r="AR318" i="8"/>
  <c r="AR334" i="8"/>
  <c r="AR350" i="8"/>
  <c r="AR366" i="8"/>
  <c r="AQ16" i="8"/>
  <c r="AQ32" i="8"/>
  <c r="AQ48" i="8"/>
  <c r="AQ64" i="8"/>
  <c r="AQ80" i="8"/>
  <c r="AQ96" i="8"/>
  <c r="AQ112" i="8"/>
  <c r="AQ128" i="8"/>
  <c r="AQ144" i="8"/>
  <c r="AQ154" i="8"/>
  <c r="AQ158" i="8"/>
  <c r="AQ162" i="8"/>
  <c r="AQ169" i="8"/>
  <c r="AQ173" i="8"/>
  <c r="AQ177" i="8"/>
  <c r="AQ181" i="8"/>
  <c r="AQ185" i="8"/>
  <c r="AQ189" i="8"/>
  <c r="AQ193" i="8"/>
  <c r="AQ197" i="8"/>
  <c r="AQ201" i="8"/>
  <c r="AQ205" i="8"/>
  <c r="AQ209" i="8"/>
  <c r="AQ213" i="8"/>
  <c r="AQ217" i="8"/>
  <c r="AQ221" i="8"/>
  <c r="AQ225" i="8"/>
  <c r="AQ229" i="8"/>
  <c r="AQ233" i="8"/>
  <c r="AQ237" i="8"/>
  <c r="AQ241" i="8"/>
  <c r="AQ245" i="8"/>
  <c r="AQ249" i="8"/>
  <c r="AQ253" i="8"/>
  <c r="AQ257" i="8"/>
  <c r="AQ261" i="8"/>
  <c r="AQ265" i="8"/>
  <c r="AQ269" i="8"/>
  <c r="AQ273" i="8"/>
  <c r="AQ277" i="8"/>
  <c r="AQ281" i="8"/>
  <c r="AQ285" i="8"/>
  <c r="AQ289" i="8"/>
  <c r="AQ293" i="8"/>
  <c r="AQ297" i="8"/>
  <c r="AQ301" i="8"/>
  <c r="AQ305" i="8"/>
  <c r="AQ309" i="8"/>
  <c r="AQ313" i="8"/>
  <c r="AQ317" i="8"/>
  <c r="AQ321" i="8"/>
  <c r="AQ325" i="8"/>
  <c r="AQ329" i="8"/>
  <c r="AQ333" i="8"/>
  <c r="AQ337" i="8"/>
  <c r="AQ341" i="8"/>
  <c r="AQ345" i="8"/>
  <c r="AQ349" i="8"/>
  <c r="AQ353" i="8"/>
  <c r="AQ357" i="8"/>
  <c r="AQ361" i="8"/>
  <c r="AQ365" i="8"/>
  <c r="AQ369" i="8"/>
  <c r="AQ373" i="8"/>
  <c r="AP11" i="8"/>
  <c r="AP15" i="8"/>
  <c r="AP19" i="8"/>
  <c r="AP23" i="8"/>
  <c r="AP27" i="8"/>
  <c r="AP31" i="8"/>
  <c r="AP35" i="8"/>
  <c r="AP39" i="8"/>
  <c r="AP43" i="8"/>
  <c r="AP47" i="8"/>
  <c r="AP51" i="8"/>
  <c r="AP55" i="8"/>
  <c r="AP59" i="8"/>
  <c r="AP63" i="8"/>
  <c r="AP67" i="8"/>
  <c r="AP71" i="8"/>
  <c r="AP75" i="8"/>
  <c r="AP79" i="8"/>
  <c r="AP83" i="8"/>
  <c r="AP87" i="8"/>
  <c r="AP91" i="8"/>
  <c r="AP95" i="8"/>
  <c r="AP99" i="8"/>
  <c r="AP103" i="8"/>
  <c r="AP107" i="8"/>
  <c r="AP111" i="8"/>
  <c r="AP115" i="8"/>
  <c r="AP119" i="8"/>
  <c r="AP123" i="8"/>
  <c r="AP127" i="8"/>
  <c r="AP131" i="8"/>
  <c r="AP135" i="8"/>
  <c r="AP139" i="8"/>
  <c r="AP143" i="8"/>
  <c r="AP147" i="8"/>
  <c r="AP151" i="8"/>
  <c r="AP155" i="8"/>
  <c r="AP159" i="8"/>
  <c r="AP163" i="8"/>
  <c r="AP170" i="8"/>
  <c r="AR15" i="8"/>
  <c r="AR31" i="8"/>
  <c r="AR47" i="8"/>
  <c r="AR63" i="8"/>
  <c r="AR79" i="8"/>
  <c r="AR95" i="8"/>
  <c r="AR111" i="8"/>
  <c r="AR127" i="8"/>
  <c r="AR143" i="8"/>
  <c r="AR159" i="8"/>
  <c r="AR178" i="8"/>
  <c r="AR194" i="8"/>
  <c r="AR210" i="8"/>
  <c r="AR226" i="8"/>
  <c r="AR242" i="8"/>
  <c r="AR258" i="8"/>
  <c r="AR274" i="8"/>
  <c r="AR290" i="8"/>
  <c r="AR306" i="8"/>
  <c r="AR322" i="8"/>
  <c r="AR338" i="8"/>
  <c r="AR354" i="8"/>
  <c r="AR370" i="8"/>
  <c r="AQ20" i="8"/>
  <c r="AQ36" i="8"/>
  <c r="AQ52" i="8"/>
  <c r="AQ68" i="8"/>
  <c r="AQ84" i="8"/>
  <c r="AQ100" i="8"/>
  <c r="AQ116" i="8"/>
  <c r="AQ132" i="8"/>
  <c r="AQ148" i="8"/>
  <c r="AQ155" i="8"/>
  <c r="AQ159" i="8"/>
  <c r="AQ163" i="8"/>
  <c r="AQ170" i="8"/>
  <c r="AQ174" i="8"/>
  <c r="AQ178" i="8"/>
  <c r="AQ182" i="8"/>
  <c r="AQ186" i="8"/>
  <c r="AQ190" i="8"/>
  <c r="AQ194" i="8"/>
  <c r="AQ198" i="8"/>
  <c r="AQ202" i="8"/>
  <c r="AQ206" i="8"/>
  <c r="AQ210" i="8"/>
  <c r="AQ214" i="8"/>
  <c r="AQ218" i="8"/>
  <c r="AQ222" i="8"/>
  <c r="AQ226" i="8"/>
  <c r="AQ230" i="8"/>
  <c r="AQ234" i="8"/>
  <c r="AQ238" i="8"/>
  <c r="AQ242" i="8"/>
  <c r="AQ246" i="8"/>
  <c r="AQ250" i="8"/>
  <c r="AQ254" i="8"/>
  <c r="AQ258" i="8"/>
  <c r="AQ262" i="8"/>
  <c r="AQ266" i="8"/>
  <c r="AQ270" i="8"/>
  <c r="AQ274" i="8"/>
  <c r="AQ278" i="8"/>
  <c r="AQ282" i="8"/>
  <c r="AQ286" i="8"/>
  <c r="AQ290" i="8"/>
  <c r="AQ294" i="8"/>
  <c r="AQ298" i="8"/>
  <c r="AQ302" i="8"/>
  <c r="AQ306" i="8"/>
  <c r="AQ310" i="8"/>
  <c r="AQ314" i="8"/>
  <c r="AQ318" i="8"/>
  <c r="AQ322" i="8"/>
  <c r="AQ326" i="8"/>
  <c r="AQ330" i="8"/>
  <c r="AQ334" i="8"/>
  <c r="AQ338" i="8"/>
  <c r="AQ342" i="8"/>
  <c r="AQ346" i="8"/>
  <c r="AQ350" i="8"/>
  <c r="AQ354" i="8"/>
  <c r="AQ358" i="8"/>
  <c r="AQ362" i="8"/>
  <c r="AQ366" i="8"/>
  <c r="AQ370" i="8"/>
  <c r="AP8" i="8"/>
  <c r="AP12" i="8"/>
  <c r="AP16" i="8"/>
  <c r="AP20" i="8"/>
  <c r="AP24" i="8"/>
  <c r="AP28" i="8"/>
  <c r="AP32" i="8"/>
  <c r="AP36" i="8"/>
  <c r="AP40" i="8"/>
  <c r="AP44" i="8"/>
  <c r="AP48" i="8"/>
  <c r="AP52" i="8"/>
  <c r="AP56" i="8"/>
  <c r="AP60" i="8"/>
  <c r="AP64" i="8"/>
  <c r="AP68" i="8"/>
  <c r="AP72" i="8"/>
  <c r="AP76" i="8"/>
  <c r="AP80" i="8"/>
  <c r="AP84" i="8"/>
  <c r="AP88" i="8"/>
  <c r="AP92" i="8"/>
  <c r="AP96" i="8"/>
  <c r="AP100" i="8"/>
  <c r="AP104" i="8"/>
  <c r="AP108" i="8"/>
  <c r="AP112" i="8"/>
  <c r="AP116" i="8"/>
  <c r="AP120" i="8"/>
  <c r="AP124" i="8"/>
  <c r="AP128" i="8"/>
  <c r="AP132" i="8"/>
  <c r="AP136" i="8"/>
  <c r="AP140" i="8"/>
  <c r="AP144" i="8"/>
  <c r="AP148" i="8"/>
  <c r="AP152" i="8"/>
  <c r="AP156" i="8"/>
  <c r="AP160" i="8"/>
  <c r="AP167" i="8"/>
  <c r="AP171" i="8"/>
  <c r="AP175" i="8"/>
  <c r="AR19" i="8"/>
  <c r="AR35" i="8"/>
  <c r="AR51" i="8"/>
  <c r="AR67" i="8"/>
  <c r="AR83" i="8"/>
  <c r="AR99" i="8"/>
  <c r="AR115" i="8"/>
  <c r="AR131" i="8"/>
  <c r="AR147" i="8"/>
  <c r="AR163" i="8"/>
  <c r="AR182" i="8"/>
  <c r="AR198" i="8"/>
  <c r="AR214" i="8"/>
  <c r="AR230" i="8"/>
  <c r="AR246" i="8"/>
  <c r="AR262" i="8"/>
  <c r="AR278" i="8"/>
  <c r="AR294" i="8"/>
  <c r="AR310" i="8"/>
  <c r="AR326" i="8"/>
  <c r="AR342" i="8"/>
  <c r="AR358" i="8"/>
  <c r="AQ8" i="8"/>
  <c r="AQ24" i="8"/>
  <c r="AQ40" i="8"/>
  <c r="AQ56" i="8"/>
  <c r="AQ72" i="8"/>
  <c r="AQ88" i="8"/>
  <c r="AQ104" i="8"/>
  <c r="AQ120" i="8"/>
  <c r="AQ136" i="8"/>
  <c r="AQ152" i="8"/>
  <c r="AQ156" i="8"/>
  <c r="AQ160" i="8"/>
  <c r="AQ167" i="8"/>
  <c r="AQ171" i="8"/>
  <c r="AQ175" i="8"/>
  <c r="AQ179" i="8"/>
  <c r="AQ183" i="8"/>
  <c r="AQ187" i="8"/>
  <c r="AQ191" i="8"/>
  <c r="AQ195" i="8"/>
  <c r="AQ199" i="8"/>
  <c r="AQ203" i="8"/>
  <c r="AQ207" i="8"/>
  <c r="AQ211" i="8"/>
  <c r="AQ215" i="8"/>
  <c r="AQ219" i="8"/>
  <c r="AQ223" i="8"/>
  <c r="AQ227" i="8"/>
  <c r="AQ231" i="8"/>
  <c r="AQ235" i="8"/>
  <c r="AQ239" i="8"/>
  <c r="AQ243" i="8"/>
  <c r="AQ247" i="8"/>
  <c r="AQ251" i="8"/>
  <c r="AQ255" i="8"/>
  <c r="AQ259" i="8"/>
  <c r="AQ263" i="8"/>
  <c r="AQ267" i="8"/>
  <c r="AQ271" i="8"/>
  <c r="AQ275" i="8"/>
  <c r="AQ279" i="8"/>
  <c r="AQ283" i="8"/>
  <c r="AQ287" i="8"/>
  <c r="AQ291" i="8"/>
  <c r="AQ295" i="8"/>
  <c r="AQ299" i="8"/>
  <c r="AQ303" i="8"/>
  <c r="AQ307" i="8"/>
  <c r="AQ311" i="8"/>
  <c r="AQ315" i="8"/>
  <c r="AQ319" i="8"/>
  <c r="AQ323" i="8"/>
  <c r="AQ327" i="8"/>
  <c r="AQ331" i="8"/>
  <c r="AQ335" i="8"/>
  <c r="AQ339" i="8"/>
  <c r="AQ343" i="8"/>
  <c r="AQ347" i="8"/>
  <c r="AQ351" i="8"/>
  <c r="AQ355" i="8"/>
  <c r="AQ359" i="8"/>
  <c r="AQ363" i="8"/>
  <c r="AQ367" i="8"/>
  <c r="AQ371" i="8"/>
  <c r="AP9" i="8"/>
  <c r="AP13" i="8"/>
  <c r="AP17" i="8"/>
  <c r="AP21" i="8"/>
  <c r="AP25" i="8"/>
  <c r="AP29" i="8"/>
  <c r="AP33" i="8"/>
  <c r="AP37" i="8"/>
  <c r="AP41" i="8"/>
  <c r="AP45" i="8"/>
  <c r="AP49" i="8"/>
  <c r="AP53" i="8"/>
  <c r="AP57" i="8"/>
  <c r="AP61" i="8"/>
  <c r="AP65" i="8"/>
  <c r="AP69" i="8"/>
  <c r="AP73" i="8"/>
  <c r="AP77" i="8"/>
  <c r="AP81" i="8"/>
  <c r="AP85" i="8"/>
  <c r="AP89" i="8"/>
  <c r="AP93" i="8"/>
  <c r="AP97" i="8"/>
  <c r="AP101" i="8"/>
  <c r="AP105" i="8"/>
  <c r="AP109" i="8"/>
  <c r="AP113" i="8"/>
  <c r="AP117" i="8"/>
  <c r="AP121" i="8"/>
  <c r="AP125" i="8"/>
  <c r="AP129" i="8"/>
  <c r="AP133" i="8"/>
  <c r="AP137" i="8"/>
  <c r="AP141" i="8"/>
  <c r="AP145" i="8"/>
  <c r="AP149" i="8"/>
  <c r="AP153" i="8"/>
  <c r="AP157" i="8"/>
  <c r="AP161" i="8"/>
  <c r="AP168" i="8"/>
  <c r="AP172" i="8"/>
  <c r="AR23" i="8"/>
  <c r="AR87" i="8"/>
  <c r="AR151" i="8"/>
  <c r="AR218" i="8"/>
  <c r="AR282" i="8"/>
  <c r="AR346" i="8"/>
  <c r="AQ44" i="8"/>
  <c r="AQ108" i="8"/>
  <c r="AQ157" i="8"/>
  <c r="AQ176" i="8"/>
  <c r="AQ192" i="8"/>
  <c r="AQ208" i="8"/>
  <c r="AQ224" i="8"/>
  <c r="AQ240" i="8"/>
  <c r="AQ256" i="8"/>
  <c r="AQ272" i="8"/>
  <c r="AQ288" i="8"/>
  <c r="AQ304" i="8"/>
  <c r="AQ320" i="8"/>
  <c r="AQ336" i="8"/>
  <c r="AQ352" i="8"/>
  <c r="AQ368" i="8"/>
  <c r="AP18" i="8"/>
  <c r="AP34" i="8"/>
  <c r="AP50" i="8"/>
  <c r="AP66" i="8"/>
  <c r="AP82" i="8"/>
  <c r="AP98" i="8"/>
  <c r="AP114" i="8"/>
  <c r="AP130" i="8"/>
  <c r="AP146" i="8"/>
  <c r="AP162" i="8"/>
  <c r="AP176" i="8"/>
  <c r="AP180" i="8"/>
  <c r="AP184" i="8"/>
  <c r="AP188" i="8"/>
  <c r="AP192" i="8"/>
  <c r="AP196" i="8"/>
  <c r="AP200" i="8"/>
  <c r="AP204" i="8"/>
  <c r="AP208" i="8"/>
  <c r="AP212" i="8"/>
  <c r="AP216" i="8"/>
  <c r="AP220" i="8"/>
  <c r="AP224" i="8"/>
  <c r="AP228" i="8"/>
  <c r="AP232" i="8"/>
  <c r="AP236" i="8"/>
  <c r="AP240" i="8"/>
  <c r="AP244" i="8"/>
  <c r="AP248" i="8"/>
  <c r="AP252" i="8"/>
  <c r="AP256" i="8"/>
  <c r="AP260" i="8"/>
  <c r="AP264" i="8"/>
  <c r="AP268" i="8"/>
  <c r="AP272" i="8"/>
  <c r="AP276" i="8"/>
  <c r="AP280" i="8"/>
  <c r="AP284" i="8"/>
  <c r="AP288" i="8"/>
  <c r="AP292" i="8"/>
  <c r="AP296" i="8"/>
  <c r="AP300" i="8"/>
  <c r="AP304" i="8"/>
  <c r="AP308" i="8"/>
  <c r="AP312" i="8"/>
  <c r="AP316" i="8"/>
  <c r="AP320" i="8"/>
  <c r="AP324" i="8"/>
  <c r="AP328" i="8"/>
  <c r="AP332" i="8"/>
  <c r="AP336" i="8"/>
  <c r="AP340" i="8"/>
  <c r="AP344" i="8"/>
  <c r="AP348" i="8"/>
  <c r="AP352" i="8"/>
  <c r="AP356" i="8"/>
  <c r="AP360" i="8"/>
  <c r="AP364" i="8"/>
  <c r="AP368" i="8"/>
  <c r="AP372" i="8"/>
  <c r="AO10" i="8"/>
  <c r="AO14" i="8"/>
  <c r="AO18" i="8"/>
  <c r="AO22" i="8"/>
  <c r="AO26" i="8"/>
  <c r="AO30" i="8"/>
  <c r="AO34" i="8"/>
  <c r="AO38" i="8"/>
  <c r="AO42" i="8"/>
  <c r="AO46" i="8"/>
  <c r="AO50" i="8"/>
  <c r="AO54" i="8"/>
  <c r="AO58" i="8"/>
  <c r="AO62" i="8"/>
  <c r="AO66" i="8"/>
  <c r="AO70" i="8"/>
  <c r="AO74" i="8"/>
  <c r="AO78" i="8"/>
  <c r="AO82" i="8"/>
  <c r="AO86" i="8"/>
  <c r="AO90" i="8"/>
  <c r="AO94" i="8"/>
  <c r="AO98" i="8"/>
  <c r="AO102" i="8"/>
  <c r="AO106" i="8"/>
  <c r="AO110" i="8"/>
  <c r="AO114" i="8"/>
  <c r="AO118" i="8"/>
  <c r="AO122" i="8"/>
  <c r="AO126" i="8"/>
  <c r="AO130" i="8"/>
  <c r="AO134" i="8"/>
  <c r="AO138" i="8"/>
  <c r="AO142" i="8"/>
  <c r="AO146" i="8"/>
  <c r="AO150" i="8"/>
  <c r="AO154" i="8"/>
  <c r="AO158" i="8"/>
  <c r="AO162" i="8"/>
  <c r="AO169" i="8"/>
  <c r="AO173" i="8"/>
  <c r="AO177" i="8"/>
  <c r="AO181" i="8"/>
  <c r="AO185" i="8"/>
  <c r="AR39" i="8"/>
  <c r="AR103" i="8"/>
  <c r="AR170" i="8"/>
  <c r="AR234" i="8"/>
  <c r="AR298" i="8"/>
  <c r="AR362" i="8"/>
  <c r="AQ60" i="8"/>
  <c r="AQ124" i="8"/>
  <c r="AQ161" i="8"/>
  <c r="AQ180" i="8"/>
  <c r="AQ196" i="8"/>
  <c r="AQ212" i="8"/>
  <c r="AQ228" i="8"/>
  <c r="AQ244" i="8"/>
  <c r="AQ260" i="8"/>
  <c r="AQ276" i="8"/>
  <c r="AQ292" i="8"/>
  <c r="AQ308" i="8"/>
  <c r="AQ324" i="8"/>
  <c r="AQ340" i="8"/>
  <c r="AQ356" i="8"/>
  <c r="AQ372" i="8"/>
  <c r="AP22" i="8"/>
  <c r="AP38" i="8"/>
  <c r="AP54" i="8"/>
  <c r="AP70" i="8"/>
  <c r="AP86" i="8"/>
  <c r="AP102" i="8"/>
  <c r="AP118" i="8"/>
  <c r="AP134" i="8"/>
  <c r="AP150" i="8"/>
  <c r="AP169" i="8"/>
  <c r="AP177" i="8"/>
  <c r="AP181" i="8"/>
  <c r="AP185" i="8"/>
  <c r="AP189" i="8"/>
  <c r="AP193" i="8"/>
  <c r="AP197" i="8"/>
  <c r="AP201" i="8"/>
  <c r="AP205" i="8"/>
  <c r="AP209" i="8"/>
  <c r="AP213" i="8"/>
  <c r="AP217" i="8"/>
  <c r="AP221" i="8"/>
  <c r="AP225" i="8"/>
  <c r="AP229" i="8"/>
  <c r="AP233" i="8"/>
  <c r="AP237" i="8"/>
  <c r="AP241" i="8"/>
  <c r="AP245" i="8"/>
  <c r="AP249" i="8"/>
  <c r="AP253" i="8"/>
  <c r="AP257" i="8"/>
  <c r="AP261" i="8"/>
  <c r="AP265" i="8"/>
  <c r="AP269" i="8"/>
  <c r="AP273" i="8"/>
  <c r="AP277" i="8"/>
  <c r="AP281" i="8"/>
  <c r="AP285" i="8"/>
  <c r="AP289" i="8"/>
  <c r="AP293" i="8"/>
  <c r="AP297" i="8"/>
  <c r="AP301" i="8"/>
  <c r="AP305" i="8"/>
  <c r="AP309" i="8"/>
  <c r="AP313" i="8"/>
  <c r="AP317" i="8"/>
  <c r="AP321" i="8"/>
  <c r="AP325" i="8"/>
  <c r="AP329" i="8"/>
  <c r="AP333" i="8"/>
  <c r="AP337" i="8"/>
  <c r="AP341" i="8"/>
  <c r="AP345" i="8"/>
  <c r="AP349" i="8"/>
  <c r="AP353" i="8"/>
  <c r="AP357" i="8"/>
  <c r="AP361" i="8"/>
  <c r="AP365" i="8"/>
  <c r="AP369" i="8"/>
  <c r="AP373" i="8"/>
  <c r="AO11" i="8"/>
  <c r="AO15" i="8"/>
  <c r="AO19" i="8"/>
  <c r="AO23" i="8"/>
  <c r="AO27" i="8"/>
  <c r="AO31" i="8"/>
  <c r="AO35" i="8"/>
  <c r="AO39" i="8"/>
  <c r="AO43" i="8"/>
  <c r="AO47" i="8"/>
  <c r="AO51" i="8"/>
  <c r="AO55" i="8"/>
  <c r="AO59" i="8"/>
  <c r="AO63" i="8"/>
  <c r="AO67" i="8"/>
  <c r="AO71" i="8"/>
  <c r="AO75" i="8"/>
  <c r="AO79" i="8"/>
  <c r="AO83" i="8"/>
  <c r="AO87" i="8"/>
  <c r="AO91" i="8"/>
  <c r="AO95" i="8"/>
  <c r="AO99" i="8"/>
  <c r="AO103" i="8"/>
  <c r="AO107" i="8"/>
  <c r="AO111" i="8"/>
  <c r="AO115" i="8"/>
  <c r="AO119" i="8"/>
  <c r="AO123" i="8"/>
  <c r="AO127" i="8"/>
  <c r="AO131" i="8"/>
  <c r="AO135" i="8"/>
  <c r="AO139" i="8"/>
  <c r="AO143" i="8"/>
  <c r="AO147" i="8"/>
  <c r="AO151" i="8"/>
  <c r="AO155" i="8"/>
  <c r="AO159" i="8"/>
  <c r="AO163" i="8"/>
  <c r="AO170" i="8"/>
  <c r="AO174" i="8"/>
  <c r="AO178" i="8"/>
  <c r="AO182" i="8"/>
  <c r="AO186" i="8"/>
  <c r="AO190" i="8"/>
  <c r="AO194" i="8"/>
  <c r="AR55" i="8"/>
  <c r="AR119" i="8"/>
  <c r="AR186" i="8"/>
  <c r="AR250" i="8"/>
  <c r="AR314" i="8"/>
  <c r="AQ12" i="8"/>
  <c r="AQ76" i="8"/>
  <c r="AQ140" i="8"/>
  <c r="AQ168" i="8"/>
  <c r="AQ184" i="8"/>
  <c r="AQ200" i="8"/>
  <c r="AQ216" i="8"/>
  <c r="AQ232" i="8"/>
  <c r="AQ248" i="8"/>
  <c r="AQ264" i="8"/>
  <c r="AQ280" i="8"/>
  <c r="AQ296" i="8"/>
  <c r="AQ312" i="8"/>
  <c r="AQ328" i="8"/>
  <c r="AQ344" i="8"/>
  <c r="AQ360" i="8"/>
  <c r="AP10" i="8"/>
  <c r="AP26" i="8"/>
  <c r="AP42" i="8"/>
  <c r="AP58" i="8"/>
  <c r="AP74" i="8"/>
  <c r="AP90" i="8"/>
  <c r="AP106" i="8"/>
  <c r="AP122" i="8"/>
  <c r="AP138" i="8"/>
  <c r="AP154" i="8"/>
  <c r="AP173" i="8"/>
  <c r="AP178" i="8"/>
  <c r="AP182" i="8"/>
  <c r="AP186" i="8"/>
  <c r="AP190" i="8"/>
  <c r="AP194" i="8"/>
  <c r="AP198" i="8"/>
  <c r="AP202" i="8"/>
  <c r="AP206" i="8"/>
  <c r="AP210" i="8"/>
  <c r="AP214" i="8"/>
  <c r="AP218" i="8"/>
  <c r="AP222" i="8"/>
  <c r="AP226" i="8"/>
  <c r="AP230" i="8"/>
  <c r="AP234" i="8"/>
  <c r="AP238" i="8"/>
  <c r="AP242" i="8"/>
  <c r="AP246" i="8"/>
  <c r="AP250" i="8"/>
  <c r="AP254" i="8"/>
  <c r="AP258" i="8"/>
  <c r="AP262" i="8"/>
  <c r="AP266" i="8"/>
  <c r="AP270" i="8"/>
  <c r="AP274" i="8"/>
  <c r="AP278" i="8"/>
  <c r="AP282" i="8"/>
  <c r="AP286" i="8"/>
  <c r="AP290" i="8"/>
  <c r="AP294" i="8"/>
  <c r="AP298" i="8"/>
  <c r="AP302" i="8"/>
  <c r="AP306" i="8"/>
  <c r="AP310" i="8"/>
  <c r="AP314" i="8"/>
  <c r="AP318" i="8"/>
  <c r="AP322" i="8"/>
  <c r="AP326" i="8"/>
  <c r="AP330" i="8"/>
  <c r="AP334" i="8"/>
  <c r="AP338" i="8"/>
  <c r="AP342" i="8"/>
  <c r="AP346" i="8"/>
  <c r="AP350" i="8"/>
  <c r="AP354" i="8"/>
  <c r="AP358" i="8"/>
  <c r="AP362" i="8"/>
  <c r="AP366" i="8"/>
  <c r="AP370" i="8"/>
  <c r="AO8" i="8"/>
  <c r="AO12" i="8"/>
  <c r="AO16" i="8"/>
  <c r="AO20" i="8"/>
  <c r="AO24" i="8"/>
  <c r="AO28" i="8"/>
  <c r="AO32" i="8"/>
  <c r="AO36" i="8"/>
  <c r="AO40" i="8"/>
  <c r="AO44" i="8"/>
  <c r="AO48" i="8"/>
  <c r="AO52" i="8"/>
  <c r="AO56" i="8"/>
  <c r="AO60" i="8"/>
  <c r="AO64" i="8"/>
  <c r="AO68" i="8"/>
  <c r="AO72" i="8"/>
  <c r="AO76" i="8"/>
  <c r="AO80" i="8"/>
  <c r="AO84" i="8"/>
  <c r="AO88" i="8"/>
  <c r="AO92" i="8"/>
  <c r="AO96" i="8"/>
  <c r="AO100" i="8"/>
  <c r="AO104" i="8"/>
  <c r="AO108" i="8"/>
  <c r="AO112" i="8"/>
  <c r="AO116" i="8"/>
  <c r="AO120" i="8"/>
  <c r="AO124" i="8"/>
  <c r="AO128" i="8"/>
  <c r="AO132" i="8"/>
  <c r="AO136" i="8"/>
  <c r="AO140" i="8"/>
  <c r="AO144" i="8"/>
  <c r="AO148" i="8"/>
  <c r="AO152" i="8"/>
  <c r="AO156" i="8"/>
  <c r="AO160" i="8"/>
  <c r="AO167" i="8"/>
  <c r="AO171" i="8"/>
  <c r="AO175" i="8"/>
  <c r="AO179" i="8"/>
  <c r="AO183" i="8"/>
  <c r="AO187" i="8"/>
  <c r="AO191" i="8"/>
  <c r="AR71" i="8"/>
  <c r="AR330" i="8"/>
  <c r="AQ172" i="8"/>
  <c r="AQ236" i="8"/>
  <c r="AQ300" i="8"/>
  <c r="AQ364" i="8"/>
  <c r="AP62" i="8"/>
  <c r="AP126" i="8"/>
  <c r="AP179" i="8"/>
  <c r="AP195" i="8"/>
  <c r="AP211" i="8"/>
  <c r="AP227" i="8"/>
  <c r="AP243" i="8"/>
  <c r="AP259" i="8"/>
  <c r="AP275" i="8"/>
  <c r="AP291" i="8"/>
  <c r="AP307" i="8"/>
  <c r="AP323" i="8"/>
  <c r="AP339" i="8"/>
  <c r="AP355" i="8"/>
  <c r="AP371" i="8"/>
  <c r="AO21" i="8"/>
  <c r="AO37" i="8"/>
  <c r="AO53" i="8"/>
  <c r="AO69" i="8"/>
  <c r="AO85" i="8"/>
  <c r="AO101" i="8"/>
  <c r="AO117" i="8"/>
  <c r="AO133" i="8"/>
  <c r="AO149" i="8"/>
  <c r="AO168" i="8"/>
  <c r="AO184" i="8"/>
  <c r="AO193" i="8"/>
  <c r="AO198" i="8"/>
  <c r="AO202" i="8"/>
  <c r="AO206" i="8"/>
  <c r="AO210" i="8"/>
  <c r="AO214" i="8"/>
  <c r="AO218" i="8"/>
  <c r="AO222" i="8"/>
  <c r="AO226" i="8"/>
  <c r="AO230" i="8"/>
  <c r="AO234" i="8"/>
  <c r="AO238" i="8"/>
  <c r="AO242" i="8"/>
  <c r="AO246" i="8"/>
  <c r="AO250" i="8"/>
  <c r="AO254" i="8"/>
  <c r="AO258" i="8"/>
  <c r="AO262" i="8"/>
  <c r="AO266" i="8"/>
  <c r="AO270" i="8"/>
  <c r="AO274" i="8"/>
  <c r="AO278" i="8"/>
  <c r="AO282" i="8"/>
  <c r="AO286" i="8"/>
  <c r="AO290" i="8"/>
  <c r="AO294" i="8"/>
  <c r="AO298" i="8"/>
  <c r="AO302" i="8"/>
  <c r="AO306" i="8"/>
  <c r="AO310" i="8"/>
  <c r="AO314" i="8"/>
  <c r="AO318" i="8"/>
  <c r="AO322" i="8"/>
  <c r="AO326" i="8"/>
  <c r="AO330" i="8"/>
  <c r="AO334" i="8"/>
  <c r="AO338" i="8"/>
  <c r="AO342" i="8"/>
  <c r="AO346" i="8"/>
  <c r="AO350" i="8"/>
  <c r="AO354" i="8"/>
  <c r="AO358" i="8"/>
  <c r="AO362" i="8"/>
  <c r="AO366" i="8"/>
  <c r="AO370" i="8"/>
  <c r="AN8" i="8"/>
  <c r="AN12" i="8"/>
  <c r="AN16" i="8"/>
  <c r="AN20" i="8"/>
  <c r="AN24" i="8"/>
  <c r="AN28" i="8"/>
  <c r="AN32" i="8"/>
  <c r="AN36" i="8"/>
  <c r="AN40" i="8"/>
  <c r="AN44" i="8"/>
  <c r="AN48" i="8"/>
  <c r="AN52" i="8"/>
  <c r="AN56" i="8"/>
  <c r="AN60" i="8"/>
  <c r="AN64" i="8"/>
  <c r="AN68" i="8"/>
  <c r="AN72" i="8"/>
  <c r="AN76" i="8"/>
  <c r="AN80" i="8"/>
  <c r="AN84" i="8"/>
  <c r="AN88" i="8"/>
  <c r="AN92" i="8"/>
  <c r="AN96" i="8"/>
  <c r="AN100" i="8"/>
  <c r="AN104" i="8"/>
  <c r="AN108" i="8"/>
  <c r="AN112" i="8"/>
  <c r="AN116" i="8"/>
  <c r="AN120" i="8"/>
  <c r="AN124" i="8"/>
  <c r="AN128" i="8"/>
  <c r="AN132" i="8"/>
  <c r="AN136" i="8"/>
  <c r="AN140" i="8"/>
  <c r="AN144" i="8"/>
  <c r="AN148" i="8"/>
  <c r="AN152" i="8"/>
  <c r="AN156" i="8"/>
  <c r="AN160" i="8"/>
  <c r="AN167" i="8"/>
  <c r="AN171" i="8"/>
  <c r="AN175" i="8"/>
  <c r="AN179" i="8"/>
  <c r="AN183" i="8"/>
  <c r="AN187" i="8"/>
  <c r="AN191" i="8"/>
  <c r="AN195" i="8"/>
  <c r="AN199" i="8"/>
  <c r="AN203" i="8"/>
  <c r="AN207" i="8"/>
  <c r="AN211" i="8"/>
  <c r="AN215" i="8"/>
  <c r="AN219" i="8"/>
  <c r="AN223" i="8"/>
  <c r="AN227" i="8"/>
  <c r="AN231" i="8"/>
  <c r="AN235" i="8"/>
  <c r="AN239" i="8"/>
  <c r="AN243" i="8"/>
  <c r="AN247" i="8"/>
  <c r="AN251" i="8"/>
  <c r="AN255" i="8"/>
  <c r="AN259" i="8"/>
  <c r="AN263" i="8"/>
  <c r="AN267" i="8"/>
  <c r="AN271" i="8"/>
  <c r="AN275" i="8"/>
  <c r="AN279" i="8"/>
  <c r="AN283" i="8"/>
  <c r="AN287" i="8"/>
  <c r="AN291" i="8"/>
  <c r="AN295" i="8"/>
  <c r="AN299" i="8"/>
  <c r="AN303" i="8"/>
  <c r="AN307" i="8"/>
  <c r="AN311" i="8"/>
  <c r="AN315" i="8"/>
  <c r="AN319" i="8"/>
  <c r="AN323" i="8"/>
  <c r="AN327" i="8"/>
  <c r="AN331" i="8"/>
  <c r="AN335" i="8"/>
  <c r="AN339" i="8"/>
  <c r="AN343" i="8"/>
  <c r="AN347" i="8"/>
  <c r="AN351" i="8"/>
  <c r="AN355" i="8"/>
  <c r="AN359" i="8"/>
  <c r="AN363" i="8"/>
  <c r="AN367" i="8"/>
  <c r="AN371" i="8"/>
  <c r="AM9" i="8"/>
  <c r="AM13" i="8"/>
  <c r="AM17" i="8"/>
  <c r="AM21" i="8"/>
  <c r="AM25" i="8"/>
  <c r="AM29" i="8"/>
  <c r="AM33" i="8"/>
  <c r="AM37" i="8"/>
  <c r="AM41" i="8"/>
  <c r="AM45" i="8"/>
  <c r="AM49" i="8"/>
  <c r="AM53" i="8"/>
  <c r="AM57" i="8"/>
  <c r="AM61" i="8"/>
  <c r="AM65" i="8"/>
  <c r="AM69" i="8"/>
  <c r="AM73" i="8"/>
  <c r="AM77" i="8"/>
  <c r="AM81" i="8"/>
  <c r="AM85" i="8"/>
  <c r="AM89" i="8"/>
  <c r="AM93" i="8"/>
  <c r="AM97" i="8"/>
  <c r="AM101" i="8"/>
  <c r="AM105" i="8"/>
  <c r="AM109" i="8"/>
  <c r="AM113" i="8"/>
  <c r="AM117" i="8"/>
  <c r="AM121" i="8"/>
  <c r="AM125" i="8"/>
  <c r="AM129" i="8"/>
  <c r="AM133" i="8"/>
  <c r="AM137" i="8"/>
  <c r="AM141" i="8"/>
  <c r="AM145" i="8"/>
  <c r="AM149" i="8"/>
  <c r="AM153" i="8"/>
  <c r="AM157" i="8"/>
  <c r="AM161" i="8"/>
  <c r="AM168" i="8"/>
  <c r="AM172" i="8"/>
  <c r="AM176" i="8"/>
  <c r="AM180" i="8"/>
  <c r="AM184" i="8"/>
  <c r="AM188" i="8"/>
  <c r="AM192" i="8"/>
  <c r="AM196" i="8"/>
  <c r="AM200" i="8"/>
  <c r="AM204" i="8"/>
  <c r="AM208" i="8"/>
  <c r="AM212" i="8"/>
  <c r="AM216" i="8"/>
  <c r="AM220" i="8"/>
  <c r="AM224" i="8"/>
  <c r="AM228" i="8"/>
  <c r="AM232" i="8"/>
  <c r="AM236" i="8"/>
  <c r="AM240" i="8"/>
  <c r="AM244" i="8"/>
  <c r="AM248" i="8"/>
  <c r="AM252" i="8"/>
  <c r="AM256" i="8"/>
  <c r="AM260" i="8"/>
  <c r="AM264" i="8"/>
  <c r="AM268" i="8"/>
  <c r="AM272" i="8"/>
  <c r="AM276" i="8"/>
  <c r="AM280" i="8"/>
  <c r="AM284" i="8"/>
  <c r="AM288" i="8"/>
  <c r="AM292" i="8"/>
  <c r="AM296" i="8"/>
  <c r="AM300" i="8"/>
  <c r="AM304" i="8"/>
  <c r="AM308" i="8"/>
  <c r="AM312" i="8"/>
  <c r="AM316" i="8"/>
  <c r="AM320" i="8"/>
  <c r="AM324" i="8"/>
  <c r="AM328" i="8"/>
  <c r="AM332" i="8"/>
  <c r="AM336" i="8"/>
  <c r="AM340" i="8"/>
  <c r="AM344" i="8"/>
  <c r="AM348" i="8"/>
  <c r="AM352" i="8"/>
  <c r="AM356" i="8"/>
  <c r="AR135" i="8"/>
  <c r="AQ28" i="8"/>
  <c r="AQ188" i="8"/>
  <c r="AQ252" i="8"/>
  <c r="AQ316" i="8"/>
  <c r="AP14" i="8"/>
  <c r="AP78" i="8"/>
  <c r="AP142" i="8"/>
  <c r="AP183" i="8"/>
  <c r="AP199" i="8"/>
  <c r="AP215" i="8"/>
  <c r="AP231" i="8"/>
  <c r="AP247" i="8"/>
  <c r="AP263" i="8"/>
  <c r="AP279" i="8"/>
  <c r="AP295" i="8"/>
  <c r="AP311" i="8"/>
  <c r="AP327" i="8"/>
  <c r="AP343" i="8"/>
  <c r="AP359" i="8"/>
  <c r="AO9" i="8"/>
  <c r="AO25" i="8"/>
  <c r="AO41" i="8"/>
  <c r="AO57" i="8"/>
  <c r="AO73" i="8"/>
  <c r="AO89" i="8"/>
  <c r="AO105" i="8"/>
  <c r="AO121" i="8"/>
  <c r="AO137" i="8"/>
  <c r="AO153" i="8"/>
  <c r="AO172" i="8"/>
  <c r="AO188" i="8"/>
  <c r="AO195" i="8"/>
  <c r="AO199" i="8"/>
  <c r="AO203" i="8"/>
  <c r="AO207" i="8"/>
  <c r="AO211" i="8"/>
  <c r="AO215" i="8"/>
  <c r="AO219" i="8"/>
  <c r="AO223" i="8"/>
  <c r="AO227" i="8"/>
  <c r="AO231" i="8"/>
  <c r="AO235" i="8"/>
  <c r="AO239" i="8"/>
  <c r="AO243" i="8"/>
  <c r="AO247" i="8"/>
  <c r="AO251" i="8"/>
  <c r="AO255" i="8"/>
  <c r="AO259" i="8"/>
  <c r="AO263" i="8"/>
  <c r="AO267" i="8"/>
  <c r="AO271" i="8"/>
  <c r="AO275" i="8"/>
  <c r="AO279" i="8"/>
  <c r="AO283" i="8"/>
  <c r="AO287" i="8"/>
  <c r="AO291" i="8"/>
  <c r="AO295" i="8"/>
  <c r="AO299" i="8"/>
  <c r="AO303" i="8"/>
  <c r="AO307" i="8"/>
  <c r="AO311" i="8"/>
  <c r="AO315" i="8"/>
  <c r="AO319" i="8"/>
  <c r="AO323" i="8"/>
  <c r="AO327" i="8"/>
  <c r="AO331" i="8"/>
  <c r="AO335" i="8"/>
  <c r="AO339" i="8"/>
  <c r="AO343" i="8"/>
  <c r="AO347" i="8"/>
  <c r="AO351" i="8"/>
  <c r="AO355" i="8"/>
  <c r="AO359" i="8"/>
  <c r="AO363" i="8"/>
  <c r="AO367" i="8"/>
  <c r="AO371" i="8"/>
  <c r="AN9" i="8"/>
  <c r="AN13" i="8"/>
  <c r="AN17" i="8"/>
  <c r="AN21" i="8"/>
  <c r="AN25" i="8"/>
  <c r="AN29" i="8"/>
  <c r="AN33" i="8"/>
  <c r="AN37" i="8"/>
  <c r="AN41" i="8"/>
  <c r="AN45" i="8"/>
  <c r="AN49" i="8"/>
  <c r="AN53" i="8"/>
  <c r="AN57" i="8"/>
  <c r="AN61" i="8"/>
  <c r="AN65" i="8"/>
  <c r="AN69" i="8"/>
  <c r="AN73" i="8"/>
  <c r="AN77" i="8"/>
  <c r="AN81" i="8"/>
  <c r="AN85" i="8"/>
  <c r="AN89" i="8"/>
  <c r="AN93" i="8"/>
  <c r="AN97" i="8"/>
  <c r="AN101" i="8"/>
  <c r="AN105" i="8"/>
  <c r="AN109" i="8"/>
  <c r="AN113" i="8"/>
  <c r="AN117" i="8"/>
  <c r="AN121" i="8"/>
  <c r="AN125" i="8"/>
  <c r="AN129" i="8"/>
  <c r="AN133" i="8"/>
  <c r="AN137" i="8"/>
  <c r="AN141" i="8"/>
  <c r="AN145" i="8"/>
  <c r="AN149" i="8"/>
  <c r="AN153" i="8"/>
  <c r="AN157" i="8"/>
  <c r="AN161" i="8"/>
  <c r="AN168" i="8"/>
  <c r="AN172" i="8"/>
  <c r="AN176" i="8"/>
  <c r="AN180" i="8"/>
  <c r="AN184" i="8"/>
  <c r="AN188" i="8"/>
  <c r="AN192" i="8"/>
  <c r="AN196" i="8"/>
  <c r="AN200" i="8"/>
  <c r="AN204" i="8"/>
  <c r="AN208" i="8"/>
  <c r="AN212" i="8"/>
  <c r="AN216" i="8"/>
  <c r="AN220" i="8"/>
  <c r="AN224" i="8"/>
  <c r="AN228" i="8"/>
  <c r="AN232" i="8"/>
  <c r="AN236" i="8"/>
  <c r="AN240" i="8"/>
  <c r="AN244" i="8"/>
  <c r="AN248" i="8"/>
  <c r="AN252" i="8"/>
  <c r="AN256" i="8"/>
  <c r="AN260" i="8"/>
  <c r="AN264" i="8"/>
  <c r="AN268" i="8"/>
  <c r="AN272" i="8"/>
  <c r="AN276" i="8"/>
  <c r="AN280" i="8"/>
  <c r="AN284" i="8"/>
  <c r="AN288" i="8"/>
  <c r="AN292" i="8"/>
  <c r="AN296" i="8"/>
  <c r="AN300" i="8"/>
  <c r="AN304" i="8"/>
  <c r="AN308" i="8"/>
  <c r="AN312" i="8"/>
  <c r="AN316" i="8"/>
  <c r="AN320" i="8"/>
  <c r="AN324" i="8"/>
  <c r="AN328" i="8"/>
  <c r="AN332" i="8"/>
  <c r="AN336" i="8"/>
  <c r="AN340" i="8"/>
  <c r="AN344" i="8"/>
  <c r="AN348" i="8"/>
  <c r="AN352" i="8"/>
  <c r="AN356" i="8"/>
  <c r="AN360" i="8"/>
  <c r="AN364" i="8"/>
  <c r="AN368" i="8"/>
  <c r="AN372" i="8"/>
  <c r="AM10" i="8"/>
  <c r="AM14" i="8"/>
  <c r="AM18" i="8"/>
  <c r="AM22" i="8"/>
  <c r="AM26" i="8"/>
  <c r="AM30" i="8"/>
  <c r="AM34" i="8"/>
  <c r="AM38" i="8"/>
  <c r="AM42" i="8"/>
  <c r="AM46" i="8"/>
  <c r="AM50" i="8"/>
  <c r="AM54" i="8"/>
  <c r="AM58" i="8"/>
  <c r="AM62" i="8"/>
  <c r="AM66" i="8"/>
  <c r="AM70" i="8"/>
  <c r="AM74" i="8"/>
  <c r="AM78" i="8"/>
  <c r="AM82" i="8"/>
  <c r="AM86" i="8"/>
  <c r="AM90" i="8"/>
  <c r="AM94" i="8"/>
  <c r="AM98" i="8"/>
  <c r="AM102" i="8"/>
  <c r="AM106" i="8"/>
  <c r="AM110" i="8"/>
  <c r="AM114" i="8"/>
  <c r="AM118" i="8"/>
  <c r="AM122" i="8"/>
  <c r="AM126" i="8"/>
  <c r="AM130" i="8"/>
  <c r="AM134" i="8"/>
  <c r="AM138" i="8"/>
  <c r="AM142" i="8"/>
  <c r="AM146" i="8"/>
  <c r="AM150" i="8"/>
  <c r="AM154" i="8"/>
  <c r="AM158" i="8"/>
  <c r="AM162" i="8"/>
  <c r="AM169" i="8"/>
  <c r="AM173" i="8"/>
  <c r="AM177" i="8"/>
  <c r="AM181" i="8"/>
  <c r="AM185" i="8"/>
  <c r="AM189" i="8"/>
  <c r="AM193" i="8"/>
  <c r="AM197" i="8"/>
  <c r="AM201" i="8"/>
  <c r="AM205" i="8"/>
  <c r="AM209" i="8"/>
  <c r="AM213" i="8"/>
  <c r="AM217" i="8"/>
  <c r="AM221" i="8"/>
  <c r="AM225" i="8"/>
  <c r="AM229" i="8"/>
  <c r="AM233" i="8"/>
  <c r="AM237" i="8"/>
  <c r="AM241" i="8"/>
  <c r="AM245" i="8"/>
  <c r="AM249" i="8"/>
  <c r="AM253" i="8"/>
  <c r="AM257" i="8"/>
  <c r="AM261" i="8"/>
  <c r="AM265" i="8"/>
  <c r="AM269" i="8"/>
  <c r="AM273" i="8"/>
  <c r="AM277" i="8"/>
  <c r="AM281" i="8"/>
  <c r="AM285" i="8"/>
  <c r="AM289" i="8"/>
  <c r="AM293" i="8"/>
  <c r="AM297" i="8"/>
  <c r="AM301" i="8"/>
  <c r="AM305" i="8"/>
  <c r="AM309" i="8"/>
  <c r="AM313" i="8"/>
  <c r="AM317" i="8"/>
  <c r="AM321" i="8"/>
  <c r="AM325" i="8"/>
  <c r="AM329" i="8"/>
  <c r="AM333" i="8"/>
  <c r="AM337" i="8"/>
  <c r="AM341" i="8"/>
  <c r="AM345" i="8"/>
  <c r="AM349" i="8"/>
  <c r="AM353" i="8"/>
  <c r="AM357" i="8"/>
  <c r="AR202" i="8"/>
  <c r="AQ92" i="8"/>
  <c r="AQ204" i="8"/>
  <c r="AQ268" i="8"/>
  <c r="AQ332" i="8"/>
  <c r="AP30" i="8"/>
  <c r="AP94" i="8"/>
  <c r="AP158" i="8"/>
  <c r="AP187" i="8"/>
  <c r="AP203" i="8"/>
  <c r="AP219" i="8"/>
  <c r="AP235" i="8"/>
  <c r="AP251" i="8"/>
  <c r="AP267" i="8"/>
  <c r="AP283" i="8"/>
  <c r="AP299" i="8"/>
  <c r="AP315" i="8"/>
  <c r="AP331" i="8"/>
  <c r="AP347" i="8"/>
  <c r="AP363" i="8"/>
  <c r="AO13" i="8"/>
  <c r="AO29" i="8"/>
  <c r="AO45" i="8"/>
  <c r="AO61" i="8"/>
  <c r="AO77" i="8"/>
  <c r="AO93" i="8"/>
  <c r="AO109" i="8"/>
  <c r="AO125" i="8"/>
  <c r="AO141" i="8"/>
  <c r="AO157" i="8"/>
  <c r="AO176" i="8"/>
  <c r="AO189" i="8"/>
  <c r="AO196" i="8"/>
  <c r="AO200" i="8"/>
  <c r="AO204" i="8"/>
  <c r="AO208" i="8"/>
  <c r="AO212" i="8"/>
  <c r="AO216" i="8"/>
  <c r="AO220" i="8"/>
  <c r="AO224" i="8"/>
  <c r="AO228" i="8"/>
  <c r="AO232" i="8"/>
  <c r="AO236" i="8"/>
  <c r="AO240" i="8"/>
  <c r="AO244" i="8"/>
  <c r="AO248" i="8"/>
  <c r="AO252" i="8"/>
  <c r="AO256" i="8"/>
  <c r="AO260" i="8"/>
  <c r="AO264" i="8"/>
  <c r="AO268" i="8"/>
  <c r="AO272" i="8"/>
  <c r="AO276" i="8"/>
  <c r="AO280" i="8"/>
  <c r="AO284" i="8"/>
  <c r="AO288" i="8"/>
  <c r="AO292" i="8"/>
  <c r="AO296" i="8"/>
  <c r="AO300" i="8"/>
  <c r="AO304" i="8"/>
  <c r="AO308" i="8"/>
  <c r="AO312" i="8"/>
  <c r="AO316" i="8"/>
  <c r="AO320" i="8"/>
  <c r="AO324" i="8"/>
  <c r="AO328" i="8"/>
  <c r="AO332" i="8"/>
  <c r="AO336" i="8"/>
  <c r="AO340" i="8"/>
  <c r="AO344" i="8"/>
  <c r="AO348" i="8"/>
  <c r="AO352" i="8"/>
  <c r="AO356" i="8"/>
  <c r="AO360" i="8"/>
  <c r="AO364" i="8"/>
  <c r="AO368" i="8"/>
  <c r="AO372" i="8"/>
  <c r="AN10" i="8"/>
  <c r="AN14" i="8"/>
  <c r="AN18" i="8"/>
  <c r="AN22" i="8"/>
  <c r="AN26" i="8"/>
  <c r="AN30" i="8"/>
  <c r="AN34" i="8"/>
  <c r="AN38" i="8"/>
  <c r="AN42" i="8"/>
  <c r="AN46" i="8"/>
  <c r="AN50" i="8"/>
  <c r="AN54" i="8"/>
  <c r="AN58" i="8"/>
  <c r="AN62" i="8"/>
  <c r="AN66" i="8"/>
  <c r="AN70" i="8"/>
  <c r="AN74" i="8"/>
  <c r="AN78" i="8"/>
  <c r="AN82" i="8"/>
  <c r="AN86" i="8"/>
  <c r="AN90" i="8"/>
  <c r="AN94" i="8"/>
  <c r="AN98" i="8"/>
  <c r="AN102" i="8"/>
  <c r="AN106" i="8"/>
  <c r="AN110" i="8"/>
  <c r="AN114" i="8"/>
  <c r="AN118" i="8"/>
  <c r="AN122" i="8"/>
  <c r="AN126" i="8"/>
  <c r="AN130" i="8"/>
  <c r="AN134" i="8"/>
  <c r="AN138" i="8"/>
  <c r="AN142" i="8"/>
  <c r="AN146" i="8"/>
  <c r="AN150" i="8"/>
  <c r="AN154" i="8"/>
  <c r="AN158" i="8"/>
  <c r="AN162" i="8"/>
  <c r="AN169" i="8"/>
  <c r="AN173" i="8"/>
  <c r="AN177" i="8"/>
  <c r="AN181" i="8"/>
  <c r="AN185" i="8"/>
  <c r="AN189" i="8"/>
  <c r="AN193" i="8"/>
  <c r="AN197" i="8"/>
  <c r="AN201" i="8"/>
  <c r="AN205" i="8"/>
  <c r="AN209" i="8"/>
  <c r="AN213" i="8"/>
  <c r="AN217" i="8"/>
  <c r="AN221" i="8"/>
  <c r="AN225" i="8"/>
  <c r="AN229" i="8"/>
  <c r="AN233" i="8"/>
  <c r="AN237" i="8"/>
  <c r="AN241" i="8"/>
  <c r="AN245" i="8"/>
  <c r="AN249" i="8"/>
  <c r="AN253" i="8"/>
  <c r="AN257" i="8"/>
  <c r="AN261" i="8"/>
  <c r="AN265" i="8"/>
  <c r="AN269" i="8"/>
  <c r="AN273" i="8"/>
  <c r="AN277" i="8"/>
  <c r="AN281" i="8"/>
  <c r="AN285" i="8"/>
  <c r="AN289" i="8"/>
  <c r="AN293" i="8"/>
  <c r="AN297" i="8"/>
  <c r="AN301" i="8"/>
  <c r="AN305" i="8"/>
  <c r="AN309" i="8"/>
  <c r="AN313" i="8"/>
  <c r="AN317" i="8"/>
  <c r="AN321" i="8"/>
  <c r="AN325" i="8"/>
  <c r="AN329" i="8"/>
  <c r="AN333" i="8"/>
  <c r="AN337" i="8"/>
  <c r="AN341" i="8"/>
  <c r="AN345" i="8"/>
  <c r="AN349" i="8"/>
  <c r="AN353" i="8"/>
  <c r="AN357" i="8"/>
  <c r="AN361" i="8"/>
  <c r="AN365" i="8"/>
  <c r="AN369" i="8"/>
  <c r="AN373" i="8"/>
  <c r="AM11" i="8"/>
  <c r="AM15" i="8"/>
  <c r="AM19" i="8"/>
  <c r="AM23" i="8"/>
  <c r="AM27" i="8"/>
  <c r="AM31" i="8"/>
  <c r="AM35" i="8"/>
  <c r="AM39" i="8"/>
  <c r="AM43" i="8"/>
  <c r="AM47" i="8"/>
  <c r="AM51" i="8"/>
  <c r="AM55" i="8"/>
  <c r="AM59" i="8"/>
  <c r="AM63" i="8"/>
  <c r="AM67" i="8"/>
  <c r="AM71" i="8"/>
  <c r="AM75" i="8"/>
  <c r="AM79" i="8"/>
  <c r="AM83" i="8"/>
  <c r="AM87" i="8"/>
  <c r="AM91" i="8"/>
  <c r="AM95" i="8"/>
  <c r="AM99" i="8"/>
  <c r="AM103" i="8"/>
  <c r="AM107" i="8"/>
  <c r="AM111" i="8"/>
  <c r="AM115" i="8"/>
  <c r="AM119" i="8"/>
  <c r="AM123" i="8"/>
  <c r="AM127" i="8"/>
  <c r="AM131" i="8"/>
  <c r="AM135" i="8"/>
  <c r="AM139" i="8"/>
  <c r="AM143" i="8"/>
  <c r="AM147" i="8"/>
  <c r="AM151" i="8"/>
  <c r="AM155" i="8"/>
  <c r="AM159" i="8"/>
  <c r="AM163" i="8"/>
  <c r="AM170" i="8"/>
  <c r="AM174" i="8"/>
  <c r="AM178" i="8"/>
  <c r="AM182" i="8"/>
  <c r="AM186" i="8"/>
  <c r="AM190" i="8"/>
  <c r="AM194" i="8"/>
  <c r="AM198" i="8"/>
  <c r="AM202" i="8"/>
  <c r="AM206" i="8"/>
  <c r="AM210" i="8"/>
  <c r="AM214" i="8"/>
  <c r="AM218" i="8"/>
  <c r="AM222" i="8"/>
  <c r="AM226" i="8"/>
  <c r="AM230" i="8"/>
  <c r="AM234" i="8"/>
  <c r="AM238" i="8"/>
  <c r="AM242" i="8"/>
  <c r="AM246" i="8"/>
  <c r="AM250" i="8"/>
  <c r="AM254" i="8"/>
  <c r="AM258" i="8"/>
  <c r="AM262" i="8"/>
  <c r="AM266" i="8"/>
  <c r="AM270" i="8"/>
  <c r="AM274" i="8"/>
  <c r="AM278" i="8"/>
  <c r="AM282" i="8"/>
  <c r="AM286" i="8"/>
  <c r="AM290" i="8"/>
  <c r="AM294" i="8"/>
  <c r="AM298" i="8"/>
  <c r="AM302" i="8"/>
  <c r="AM306" i="8"/>
  <c r="AM310" i="8"/>
  <c r="AM314" i="8"/>
  <c r="AM318" i="8"/>
  <c r="AM322" i="8"/>
  <c r="AM326" i="8"/>
  <c r="AM330" i="8"/>
  <c r="AM334" i="8"/>
  <c r="AM338" i="8"/>
  <c r="AM342" i="8"/>
  <c r="AM346" i="8"/>
  <c r="AM350" i="8"/>
  <c r="AM354" i="8"/>
  <c r="AM358" i="8"/>
  <c r="AR266" i="8"/>
  <c r="AQ348" i="8"/>
  <c r="AP191" i="8"/>
  <c r="AP255" i="8"/>
  <c r="AP319" i="8"/>
  <c r="AO17" i="8"/>
  <c r="AO81" i="8"/>
  <c r="AO145" i="8"/>
  <c r="AO197" i="8"/>
  <c r="AO213" i="8"/>
  <c r="AO229" i="8"/>
  <c r="AO245" i="8"/>
  <c r="AO261" i="8"/>
  <c r="AO277" i="8"/>
  <c r="AO293" i="8"/>
  <c r="AO309" i="8"/>
  <c r="AO325" i="8"/>
  <c r="AO341" i="8"/>
  <c r="AO357" i="8"/>
  <c r="AO373" i="8"/>
  <c r="AN23" i="8"/>
  <c r="AN39" i="8"/>
  <c r="AN55" i="8"/>
  <c r="AN71" i="8"/>
  <c r="AN87" i="8"/>
  <c r="AN103" i="8"/>
  <c r="AN119" i="8"/>
  <c r="AN135" i="8"/>
  <c r="AN151" i="8"/>
  <c r="AN170" i="8"/>
  <c r="AN186" i="8"/>
  <c r="AN202" i="8"/>
  <c r="AN218" i="8"/>
  <c r="AN234" i="8"/>
  <c r="AN250" i="8"/>
  <c r="AN266" i="8"/>
  <c r="AN282" i="8"/>
  <c r="AN298" i="8"/>
  <c r="AN314" i="8"/>
  <c r="AN330" i="8"/>
  <c r="AN346" i="8"/>
  <c r="AN362" i="8"/>
  <c r="AM12" i="8"/>
  <c r="AM28" i="8"/>
  <c r="AM44" i="8"/>
  <c r="AM60" i="8"/>
  <c r="AM76" i="8"/>
  <c r="AM92" i="8"/>
  <c r="AM108" i="8"/>
  <c r="AM124" i="8"/>
  <c r="AM140" i="8"/>
  <c r="AM156" i="8"/>
  <c r="AM175" i="8"/>
  <c r="AM191" i="8"/>
  <c r="AM207" i="8"/>
  <c r="AM223" i="8"/>
  <c r="AM239" i="8"/>
  <c r="AM255" i="8"/>
  <c r="AM271" i="8"/>
  <c r="AM287" i="8"/>
  <c r="AM303" i="8"/>
  <c r="AM319" i="8"/>
  <c r="AM335" i="8"/>
  <c r="AM351" i="8"/>
  <c r="AM361" i="8"/>
  <c r="AM365" i="8"/>
  <c r="AM369" i="8"/>
  <c r="AM373" i="8"/>
  <c r="AO7" i="8"/>
  <c r="AL9" i="8"/>
  <c r="AL13" i="8"/>
  <c r="AL17" i="8"/>
  <c r="AL21" i="8"/>
  <c r="AL25" i="8"/>
  <c r="AL29" i="8"/>
  <c r="AL33" i="8"/>
  <c r="AL37" i="8"/>
  <c r="AL41" i="8"/>
  <c r="AL45" i="8"/>
  <c r="AL49" i="8"/>
  <c r="AL53" i="8"/>
  <c r="AL57" i="8"/>
  <c r="AL61" i="8"/>
  <c r="AL65" i="8"/>
  <c r="AL69" i="8"/>
  <c r="AL73" i="8"/>
  <c r="AL77" i="8"/>
  <c r="AL81" i="8"/>
  <c r="AL85" i="8"/>
  <c r="AL89" i="8"/>
  <c r="AL93" i="8"/>
  <c r="AL97" i="8"/>
  <c r="AL101" i="8"/>
  <c r="AL105" i="8"/>
  <c r="AL109" i="8"/>
  <c r="AL113" i="8"/>
  <c r="AL117" i="8"/>
  <c r="AL121" i="8"/>
  <c r="AL125" i="8"/>
  <c r="AL129" i="8"/>
  <c r="AL133" i="8"/>
  <c r="AL137" i="8"/>
  <c r="AL141" i="8"/>
  <c r="AL145" i="8"/>
  <c r="AL149" i="8"/>
  <c r="AL153" i="8"/>
  <c r="AL157" i="8"/>
  <c r="AL161" i="8"/>
  <c r="AL168" i="8"/>
  <c r="AL172" i="8"/>
  <c r="AL176" i="8"/>
  <c r="AL180" i="8"/>
  <c r="AL184" i="8"/>
  <c r="AL188" i="8"/>
  <c r="AL192" i="8"/>
  <c r="AL196" i="8"/>
  <c r="AL200" i="8"/>
  <c r="AL204" i="8"/>
  <c r="AL208" i="8"/>
  <c r="AL212" i="8"/>
  <c r="AL216" i="8"/>
  <c r="AL220" i="8"/>
  <c r="AL224" i="8"/>
  <c r="AL228" i="8"/>
  <c r="AL232" i="8"/>
  <c r="AL236" i="8"/>
  <c r="AL240" i="8"/>
  <c r="AL244" i="8"/>
  <c r="AL248" i="8"/>
  <c r="AL252" i="8"/>
  <c r="AL256" i="8"/>
  <c r="AL260" i="8"/>
  <c r="AL264" i="8"/>
  <c r="AL268" i="8"/>
  <c r="AL272" i="8"/>
  <c r="AL276" i="8"/>
  <c r="AL280" i="8"/>
  <c r="AL284" i="8"/>
  <c r="AL288" i="8"/>
  <c r="AL292" i="8"/>
  <c r="AL296" i="8"/>
  <c r="AL300" i="8"/>
  <c r="AL304" i="8"/>
  <c r="AL308" i="8"/>
  <c r="AL312" i="8"/>
  <c r="AL316" i="8"/>
  <c r="AL320" i="8"/>
  <c r="AL324" i="8"/>
  <c r="AL328" i="8"/>
  <c r="AL332" i="8"/>
  <c r="AL336" i="8"/>
  <c r="AL340" i="8"/>
  <c r="AL344" i="8"/>
  <c r="AL348" i="8"/>
  <c r="AL352" i="8"/>
  <c r="AL356" i="8"/>
  <c r="AL360" i="8"/>
  <c r="AL364" i="8"/>
  <c r="AL368" i="8"/>
  <c r="AL372" i="8"/>
  <c r="AK9" i="8"/>
  <c r="AK13" i="8"/>
  <c r="AK17" i="8"/>
  <c r="AK21" i="8"/>
  <c r="AK25" i="8"/>
  <c r="AK29" i="8"/>
  <c r="AK33" i="8"/>
  <c r="AK37" i="8"/>
  <c r="AK41" i="8"/>
  <c r="AK45" i="8"/>
  <c r="AK49" i="8"/>
  <c r="AK53" i="8"/>
  <c r="AK57" i="8"/>
  <c r="AK61" i="8"/>
  <c r="AK65" i="8"/>
  <c r="AK69" i="8"/>
  <c r="AK73" i="8"/>
  <c r="AK77" i="8"/>
  <c r="AK81" i="8"/>
  <c r="AK85" i="8"/>
  <c r="AK89" i="8"/>
  <c r="AK93" i="8"/>
  <c r="AK97" i="8"/>
  <c r="AK101" i="8"/>
  <c r="AK105" i="8"/>
  <c r="AK109" i="8"/>
  <c r="AK113" i="8"/>
  <c r="AK117" i="8"/>
  <c r="AK121" i="8"/>
  <c r="AK125" i="8"/>
  <c r="AK129" i="8"/>
  <c r="AK133" i="8"/>
  <c r="AK137" i="8"/>
  <c r="AK141" i="8"/>
  <c r="AK145" i="8"/>
  <c r="AK149" i="8"/>
  <c r="AK153" i="8"/>
  <c r="AK157" i="8"/>
  <c r="AK161" i="8"/>
  <c r="AK168" i="8"/>
  <c r="AK172" i="8"/>
  <c r="AK176" i="8"/>
  <c r="AK180" i="8"/>
  <c r="AK184" i="8"/>
  <c r="AK188" i="8"/>
  <c r="AK192" i="8"/>
  <c r="AK196" i="8"/>
  <c r="AK200" i="8"/>
  <c r="AK204" i="8"/>
  <c r="AK208" i="8"/>
  <c r="AK212" i="8"/>
  <c r="AK216" i="8"/>
  <c r="AK220" i="8"/>
  <c r="AK224" i="8"/>
  <c r="AK228" i="8"/>
  <c r="AK232" i="8"/>
  <c r="AK236" i="8"/>
  <c r="AK240" i="8"/>
  <c r="AK244" i="8"/>
  <c r="AK248" i="8"/>
  <c r="AK252" i="8"/>
  <c r="AK256" i="8"/>
  <c r="AK260" i="8"/>
  <c r="AK264" i="8"/>
  <c r="AK268" i="8"/>
  <c r="AK272" i="8"/>
  <c r="AK276" i="8"/>
  <c r="AK280" i="8"/>
  <c r="AK284" i="8"/>
  <c r="AK288" i="8"/>
  <c r="AK292" i="8"/>
  <c r="AK296" i="8"/>
  <c r="AK300" i="8"/>
  <c r="AK304" i="8"/>
  <c r="AK308" i="8"/>
  <c r="AK312" i="8"/>
  <c r="AK316" i="8"/>
  <c r="AK320" i="8"/>
  <c r="AK324" i="8"/>
  <c r="AK328" i="8"/>
  <c r="AK332" i="8"/>
  <c r="AK336" i="8"/>
  <c r="AK340" i="8"/>
  <c r="AK344" i="8"/>
  <c r="AK348" i="8"/>
  <c r="AK352" i="8"/>
  <c r="AK356" i="8"/>
  <c r="AK360" i="8"/>
  <c r="AK364" i="8"/>
  <c r="AK368" i="8"/>
  <c r="AK372" i="8"/>
  <c r="AJ9" i="8"/>
  <c r="AJ13" i="8"/>
  <c r="AJ17" i="8"/>
  <c r="AJ21" i="8"/>
  <c r="AQ153" i="8"/>
  <c r="AP46" i="8"/>
  <c r="AP207" i="8"/>
  <c r="AP271" i="8"/>
  <c r="AP335" i="8"/>
  <c r="AO33" i="8"/>
  <c r="AO97" i="8"/>
  <c r="AO161" i="8"/>
  <c r="AO201" i="8"/>
  <c r="AO217" i="8"/>
  <c r="AO233" i="8"/>
  <c r="AO249" i="8"/>
  <c r="AO265" i="8"/>
  <c r="AO281" i="8"/>
  <c r="AO297" i="8"/>
  <c r="AO313" i="8"/>
  <c r="AO329" i="8"/>
  <c r="AO345" i="8"/>
  <c r="AO361" i="8"/>
  <c r="AN11" i="8"/>
  <c r="AN27" i="8"/>
  <c r="AN43" i="8"/>
  <c r="AN59" i="8"/>
  <c r="AN75" i="8"/>
  <c r="AN91" i="8"/>
  <c r="AN107" i="8"/>
  <c r="AN123" i="8"/>
  <c r="AN139" i="8"/>
  <c r="AN155" i="8"/>
  <c r="AN174" i="8"/>
  <c r="AN190" i="8"/>
  <c r="AN206" i="8"/>
  <c r="AN222" i="8"/>
  <c r="AN238" i="8"/>
  <c r="AN254" i="8"/>
  <c r="AN270" i="8"/>
  <c r="AN286" i="8"/>
  <c r="AN302" i="8"/>
  <c r="AN318" i="8"/>
  <c r="AN334" i="8"/>
  <c r="AN350" i="8"/>
  <c r="AN366" i="8"/>
  <c r="AM16" i="8"/>
  <c r="AM32" i="8"/>
  <c r="AM48" i="8"/>
  <c r="AM64" i="8"/>
  <c r="AM80" i="8"/>
  <c r="AM96" i="8"/>
  <c r="AM112" i="8"/>
  <c r="AM128" i="8"/>
  <c r="AM144" i="8"/>
  <c r="AM160" i="8"/>
  <c r="AM179" i="8"/>
  <c r="AM195" i="8"/>
  <c r="AM211" i="8"/>
  <c r="AM227" i="8"/>
  <c r="AM243" i="8"/>
  <c r="AM259" i="8"/>
  <c r="AM275" i="8"/>
  <c r="AM291" i="8"/>
  <c r="AM307" i="8"/>
  <c r="AM323" i="8"/>
  <c r="AM339" i="8"/>
  <c r="AM355" i="8"/>
  <c r="AM362" i="8"/>
  <c r="AM366" i="8"/>
  <c r="AM370" i="8"/>
  <c r="AR7" i="8"/>
  <c r="AN7" i="8"/>
  <c r="AL10" i="8"/>
  <c r="AL14" i="8"/>
  <c r="AL18" i="8"/>
  <c r="AL22" i="8"/>
  <c r="AL26" i="8"/>
  <c r="AL30" i="8"/>
  <c r="AL34" i="8"/>
  <c r="AL38" i="8"/>
  <c r="AL42" i="8"/>
  <c r="AL46" i="8"/>
  <c r="AL50" i="8"/>
  <c r="AL54" i="8"/>
  <c r="AL58" i="8"/>
  <c r="AL62" i="8"/>
  <c r="AL66" i="8"/>
  <c r="AL70" i="8"/>
  <c r="AL74" i="8"/>
  <c r="AL78" i="8"/>
  <c r="AL82" i="8"/>
  <c r="AL86" i="8"/>
  <c r="AL90" i="8"/>
  <c r="AL94" i="8"/>
  <c r="AL98" i="8"/>
  <c r="AL102" i="8"/>
  <c r="AL106" i="8"/>
  <c r="AL110" i="8"/>
  <c r="AL114" i="8"/>
  <c r="AL118" i="8"/>
  <c r="AL122" i="8"/>
  <c r="AL126" i="8"/>
  <c r="AL130" i="8"/>
  <c r="AL134" i="8"/>
  <c r="AL138" i="8"/>
  <c r="AL142" i="8"/>
  <c r="AL146" i="8"/>
  <c r="AL150" i="8"/>
  <c r="AL154" i="8"/>
  <c r="AL158" i="8"/>
  <c r="AL162" i="8"/>
  <c r="AL169" i="8"/>
  <c r="AL173" i="8"/>
  <c r="AL177" i="8"/>
  <c r="AL181" i="8"/>
  <c r="AL185" i="8"/>
  <c r="AL189" i="8"/>
  <c r="AL193" i="8"/>
  <c r="AL197" i="8"/>
  <c r="AL201" i="8"/>
  <c r="AL205" i="8"/>
  <c r="AL209" i="8"/>
  <c r="AL213" i="8"/>
  <c r="AL217" i="8"/>
  <c r="AL221" i="8"/>
  <c r="AL225" i="8"/>
  <c r="AL229" i="8"/>
  <c r="AL233" i="8"/>
  <c r="AL237" i="8"/>
  <c r="AL241" i="8"/>
  <c r="AL245" i="8"/>
  <c r="AL249" i="8"/>
  <c r="AL253" i="8"/>
  <c r="AL257" i="8"/>
  <c r="AL261" i="8"/>
  <c r="AL265" i="8"/>
  <c r="AL269" i="8"/>
  <c r="AL273" i="8"/>
  <c r="AL277" i="8"/>
  <c r="AL281" i="8"/>
  <c r="AL285" i="8"/>
  <c r="AL289" i="8"/>
  <c r="AL293" i="8"/>
  <c r="AL297" i="8"/>
  <c r="AL301" i="8"/>
  <c r="AL305" i="8"/>
  <c r="AL309" i="8"/>
  <c r="AL313" i="8"/>
  <c r="AL317" i="8"/>
  <c r="AL321" i="8"/>
  <c r="AL325" i="8"/>
  <c r="AL329" i="8"/>
  <c r="AL333" i="8"/>
  <c r="AL337" i="8"/>
  <c r="AL341" i="8"/>
  <c r="AL345" i="8"/>
  <c r="AL349" i="8"/>
  <c r="AL353" i="8"/>
  <c r="AL357" i="8"/>
  <c r="AL361" i="8"/>
  <c r="AL365" i="8"/>
  <c r="AL369" i="8"/>
  <c r="AL373" i="8"/>
  <c r="AK10" i="8"/>
  <c r="AK14" i="8"/>
  <c r="AK18" i="8"/>
  <c r="AK22" i="8"/>
  <c r="AK26" i="8"/>
  <c r="AK30" i="8"/>
  <c r="AK34" i="8"/>
  <c r="AK38" i="8"/>
  <c r="AK42" i="8"/>
  <c r="AK46" i="8"/>
  <c r="AK50" i="8"/>
  <c r="AK54" i="8"/>
  <c r="AK58" i="8"/>
  <c r="AK62" i="8"/>
  <c r="AK66" i="8"/>
  <c r="AK70" i="8"/>
  <c r="AK74" i="8"/>
  <c r="AK78" i="8"/>
  <c r="AK82" i="8"/>
  <c r="AK86" i="8"/>
  <c r="AK90" i="8"/>
  <c r="AK94" i="8"/>
  <c r="AK98" i="8"/>
  <c r="AK102" i="8"/>
  <c r="AK106" i="8"/>
  <c r="AK110" i="8"/>
  <c r="AK114" i="8"/>
  <c r="AK118" i="8"/>
  <c r="AK122" i="8"/>
  <c r="AK126" i="8"/>
  <c r="AK130" i="8"/>
  <c r="AK134" i="8"/>
  <c r="AK138" i="8"/>
  <c r="AK142" i="8"/>
  <c r="AK146" i="8"/>
  <c r="AK150" i="8"/>
  <c r="AK154" i="8"/>
  <c r="AK158" i="8"/>
  <c r="AK162" i="8"/>
  <c r="AK169" i="8"/>
  <c r="AK173" i="8"/>
  <c r="AK177" i="8"/>
  <c r="AK181" i="8"/>
  <c r="AK185" i="8"/>
  <c r="AK189" i="8"/>
  <c r="AK193" i="8"/>
  <c r="AK197" i="8"/>
  <c r="AK201" i="8"/>
  <c r="AK205" i="8"/>
  <c r="AK209" i="8"/>
  <c r="AK213" i="8"/>
  <c r="AK217" i="8"/>
  <c r="AK221" i="8"/>
  <c r="AK225" i="8"/>
  <c r="AK229" i="8"/>
  <c r="AK233" i="8"/>
  <c r="AK237" i="8"/>
  <c r="AK241" i="8"/>
  <c r="AK245" i="8"/>
  <c r="AK249" i="8"/>
  <c r="AK253" i="8"/>
  <c r="AK257" i="8"/>
  <c r="AK261" i="8"/>
  <c r="AK265" i="8"/>
  <c r="AK269" i="8"/>
  <c r="AK273" i="8"/>
  <c r="AK277" i="8"/>
  <c r="AK281" i="8"/>
  <c r="AK285" i="8"/>
  <c r="AK289" i="8"/>
  <c r="AK293" i="8"/>
  <c r="AK297" i="8"/>
  <c r="AK301" i="8"/>
  <c r="AK305" i="8"/>
  <c r="AK309" i="8"/>
  <c r="AK313" i="8"/>
  <c r="AK317" i="8"/>
  <c r="AK321" i="8"/>
  <c r="AK325" i="8"/>
  <c r="AK329" i="8"/>
  <c r="AK333" i="8"/>
  <c r="AK337" i="8"/>
  <c r="AK341" i="8"/>
  <c r="AK345" i="8"/>
  <c r="AK349" i="8"/>
  <c r="AK353" i="8"/>
  <c r="AK357" i="8"/>
  <c r="AK361" i="8"/>
  <c r="AK365" i="8"/>
  <c r="AK369" i="8"/>
  <c r="AK373" i="8"/>
  <c r="AJ10" i="8"/>
  <c r="AJ14" i="8"/>
  <c r="AJ18" i="8"/>
  <c r="AJ22" i="8"/>
  <c r="AJ26" i="8"/>
  <c r="AQ220" i="8"/>
  <c r="AP110" i="8"/>
  <c r="AP223" i="8"/>
  <c r="AP287" i="8"/>
  <c r="AP351" i="8"/>
  <c r="AO49" i="8"/>
  <c r="AO113" i="8"/>
  <c r="AO180" i="8"/>
  <c r="AO205" i="8"/>
  <c r="AO221" i="8"/>
  <c r="AO237" i="8"/>
  <c r="AO253" i="8"/>
  <c r="AO269" i="8"/>
  <c r="AO285" i="8"/>
  <c r="AO301" i="8"/>
  <c r="AO317" i="8"/>
  <c r="AO333" i="8"/>
  <c r="AO349" i="8"/>
  <c r="AO365" i="8"/>
  <c r="AN15" i="8"/>
  <c r="AN31" i="8"/>
  <c r="AN47" i="8"/>
  <c r="AN63" i="8"/>
  <c r="AN79" i="8"/>
  <c r="AN95" i="8"/>
  <c r="AN111" i="8"/>
  <c r="AN127" i="8"/>
  <c r="AN143" i="8"/>
  <c r="AN159" i="8"/>
  <c r="AN178" i="8"/>
  <c r="AN194" i="8"/>
  <c r="AN210" i="8"/>
  <c r="AN226" i="8"/>
  <c r="AN242" i="8"/>
  <c r="AN258" i="8"/>
  <c r="AN274" i="8"/>
  <c r="AN290" i="8"/>
  <c r="AN306" i="8"/>
  <c r="AN322" i="8"/>
  <c r="AN338" i="8"/>
  <c r="AN354" i="8"/>
  <c r="AN370" i="8"/>
  <c r="AM20" i="8"/>
  <c r="AM36" i="8"/>
  <c r="AM52" i="8"/>
  <c r="AM68" i="8"/>
  <c r="AM84" i="8"/>
  <c r="AM100" i="8"/>
  <c r="AM116" i="8"/>
  <c r="AM132" i="8"/>
  <c r="AM148" i="8"/>
  <c r="AM167" i="8"/>
  <c r="AM183" i="8"/>
  <c r="AM199" i="8"/>
  <c r="AM215" i="8"/>
  <c r="AM231" i="8"/>
  <c r="AM247" i="8"/>
  <c r="AM263" i="8"/>
  <c r="AM279" i="8"/>
  <c r="AM295" i="8"/>
  <c r="AM311" i="8"/>
  <c r="AM327" i="8"/>
  <c r="AM343" i="8"/>
  <c r="AM359" i="8"/>
  <c r="AM363" i="8"/>
  <c r="AM367" i="8"/>
  <c r="AM371" i="8"/>
  <c r="AQ7" i="8"/>
  <c r="AM7" i="8"/>
  <c r="AL11" i="8"/>
  <c r="AL15" i="8"/>
  <c r="AL19" i="8"/>
  <c r="AL23" i="8"/>
  <c r="AL27" i="8"/>
  <c r="AL31" i="8"/>
  <c r="AL35" i="8"/>
  <c r="AL39" i="8"/>
  <c r="AL43" i="8"/>
  <c r="AL47" i="8"/>
  <c r="AL51" i="8"/>
  <c r="AL55" i="8"/>
  <c r="AL59" i="8"/>
  <c r="AL63" i="8"/>
  <c r="AL67" i="8"/>
  <c r="AL71" i="8"/>
  <c r="AL75" i="8"/>
  <c r="AL79" i="8"/>
  <c r="AL83" i="8"/>
  <c r="AL87" i="8"/>
  <c r="AL91" i="8"/>
  <c r="AL95" i="8"/>
  <c r="AL99" i="8"/>
  <c r="AL103" i="8"/>
  <c r="AL107" i="8"/>
  <c r="AL111" i="8"/>
  <c r="AL115" i="8"/>
  <c r="AL119" i="8"/>
  <c r="AL123" i="8"/>
  <c r="AL127" i="8"/>
  <c r="AL131" i="8"/>
  <c r="AL135" i="8"/>
  <c r="AL139" i="8"/>
  <c r="AL143" i="8"/>
  <c r="AL147" i="8"/>
  <c r="AL151" i="8"/>
  <c r="AL155" i="8"/>
  <c r="AL159" i="8"/>
  <c r="AL163" i="8"/>
  <c r="AL170" i="8"/>
  <c r="AL174" i="8"/>
  <c r="AL178" i="8"/>
  <c r="AL182" i="8"/>
  <c r="AL186" i="8"/>
  <c r="AL190" i="8"/>
  <c r="AL194" i="8"/>
  <c r="AL198" i="8"/>
  <c r="AL202" i="8"/>
  <c r="AL206" i="8"/>
  <c r="AL210" i="8"/>
  <c r="AL214" i="8"/>
  <c r="AL218" i="8"/>
  <c r="AL222" i="8"/>
  <c r="AL226" i="8"/>
  <c r="AL230" i="8"/>
  <c r="AL234" i="8"/>
  <c r="AL238" i="8"/>
  <c r="AL242" i="8"/>
  <c r="AL246" i="8"/>
  <c r="AL250" i="8"/>
  <c r="AL254" i="8"/>
  <c r="AL258" i="8"/>
  <c r="AL262" i="8"/>
  <c r="AL266" i="8"/>
  <c r="AL270" i="8"/>
  <c r="AL274" i="8"/>
  <c r="AL278" i="8"/>
  <c r="AL282" i="8"/>
  <c r="AL286" i="8"/>
  <c r="AL290" i="8"/>
  <c r="AL294" i="8"/>
  <c r="AL298" i="8"/>
  <c r="AL302" i="8"/>
  <c r="AL306" i="8"/>
  <c r="AL310" i="8"/>
  <c r="AL314" i="8"/>
  <c r="AL318" i="8"/>
  <c r="AL322" i="8"/>
  <c r="AL326" i="8"/>
  <c r="AL330" i="8"/>
  <c r="AL334" i="8"/>
  <c r="AL338" i="8"/>
  <c r="AL342" i="8"/>
  <c r="AL346" i="8"/>
  <c r="AL350" i="8"/>
  <c r="AL354" i="8"/>
  <c r="AL358" i="8"/>
  <c r="AL362" i="8"/>
  <c r="AL366" i="8"/>
  <c r="AL370" i="8"/>
  <c r="AL7" i="8"/>
  <c r="AK11" i="8"/>
  <c r="AK15" i="8"/>
  <c r="AK19" i="8"/>
  <c r="AK23" i="8"/>
  <c r="AK27" i="8"/>
  <c r="AK31" i="8"/>
  <c r="AK35" i="8"/>
  <c r="AK39" i="8"/>
  <c r="AK43" i="8"/>
  <c r="AK47" i="8"/>
  <c r="AK51" i="8"/>
  <c r="AK55" i="8"/>
  <c r="AK59" i="8"/>
  <c r="AK63" i="8"/>
  <c r="AK67" i="8"/>
  <c r="AK71" i="8"/>
  <c r="AK75" i="8"/>
  <c r="AK79" i="8"/>
  <c r="AK83" i="8"/>
  <c r="AK87" i="8"/>
  <c r="AK91" i="8"/>
  <c r="AK95" i="8"/>
  <c r="AK99" i="8"/>
  <c r="AK103" i="8"/>
  <c r="AK107" i="8"/>
  <c r="AK111" i="8"/>
  <c r="AK115" i="8"/>
  <c r="AK119" i="8"/>
  <c r="AK123" i="8"/>
  <c r="AK127" i="8"/>
  <c r="AK131" i="8"/>
  <c r="AK135" i="8"/>
  <c r="AK139" i="8"/>
  <c r="AK143" i="8"/>
  <c r="AK147" i="8"/>
  <c r="AK151" i="8"/>
  <c r="AK155" i="8"/>
  <c r="AK159" i="8"/>
  <c r="AK163" i="8"/>
  <c r="AK170" i="8"/>
  <c r="AK174" i="8"/>
  <c r="AK178" i="8"/>
  <c r="AK182" i="8"/>
  <c r="AK186" i="8"/>
  <c r="AK190" i="8"/>
  <c r="AK194" i="8"/>
  <c r="AK198" i="8"/>
  <c r="AK202" i="8"/>
  <c r="AK206" i="8"/>
  <c r="AK210" i="8"/>
  <c r="AK214" i="8"/>
  <c r="AK218" i="8"/>
  <c r="AK222" i="8"/>
  <c r="AK226" i="8"/>
  <c r="AK230" i="8"/>
  <c r="AK234" i="8"/>
  <c r="AK238" i="8"/>
  <c r="AK242" i="8"/>
  <c r="AK246" i="8"/>
  <c r="AK250" i="8"/>
  <c r="AK254" i="8"/>
  <c r="AK258" i="8"/>
  <c r="AK262" i="8"/>
  <c r="AK266" i="8"/>
  <c r="AK270" i="8"/>
  <c r="AK274" i="8"/>
  <c r="AK278" i="8"/>
  <c r="AK282" i="8"/>
  <c r="AK286" i="8"/>
  <c r="AK290" i="8"/>
  <c r="AK294" i="8"/>
  <c r="AK298" i="8"/>
  <c r="AK302" i="8"/>
  <c r="AK306" i="8"/>
  <c r="AK310" i="8"/>
  <c r="AK314" i="8"/>
  <c r="AK318" i="8"/>
  <c r="AK322" i="8"/>
  <c r="AK326" i="8"/>
  <c r="AK330" i="8"/>
  <c r="AK334" i="8"/>
  <c r="AK338" i="8"/>
  <c r="AK342" i="8"/>
  <c r="AK346" i="8"/>
  <c r="AK350" i="8"/>
  <c r="AK354" i="8"/>
  <c r="AK358" i="8"/>
  <c r="AK362" i="8"/>
  <c r="AK366" i="8"/>
  <c r="AK370" i="8"/>
  <c r="AK7" i="8"/>
  <c r="AJ11" i="8"/>
  <c r="AJ15" i="8"/>
  <c r="AJ19" i="8"/>
  <c r="AJ23" i="8"/>
  <c r="AQ284" i="8"/>
  <c r="AP367" i="8"/>
  <c r="AO209" i="8"/>
  <c r="AO273" i="8"/>
  <c r="AO337" i="8"/>
  <c r="AN35" i="8"/>
  <c r="AN99" i="8"/>
  <c r="AN163" i="8"/>
  <c r="AN230" i="8"/>
  <c r="AN294" i="8"/>
  <c r="AN358" i="8"/>
  <c r="AM56" i="8"/>
  <c r="AM120" i="8"/>
  <c r="AM187" i="8"/>
  <c r="AM251" i="8"/>
  <c r="AM315" i="8"/>
  <c r="AM364" i="8"/>
  <c r="AL8" i="8"/>
  <c r="AL24" i="8"/>
  <c r="AL40" i="8"/>
  <c r="AL56" i="8"/>
  <c r="AL72" i="8"/>
  <c r="AL88" i="8"/>
  <c r="AL104" i="8"/>
  <c r="AL120" i="8"/>
  <c r="AL136" i="8"/>
  <c r="AL152" i="8"/>
  <c r="AL171" i="8"/>
  <c r="AL187" i="8"/>
  <c r="AL203" i="8"/>
  <c r="AL219" i="8"/>
  <c r="AL235" i="8"/>
  <c r="AL251" i="8"/>
  <c r="AL267" i="8"/>
  <c r="AL283" i="8"/>
  <c r="AL299" i="8"/>
  <c r="AL315" i="8"/>
  <c r="AL331" i="8"/>
  <c r="AL347" i="8"/>
  <c r="AL363" i="8"/>
  <c r="AK12" i="8"/>
  <c r="AK28" i="8"/>
  <c r="AK44" i="8"/>
  <c r="AK60" i="8"/>
  <c r="AK76" i="8"/>
  <c r="AK92" i="8"/>
  <c r="AK108" i="8"/>
  <c r="AK124" i="8"/>
  <c r="AK140" i="8"/>
  <c r="AK156" i="8"/>
  <c r="AK175" i="8"/>
  <c r="AK191" i="8"/>
  <c r="AK207" i="8"/>
  <c r="AK223" i="8"/>
  <c r="AK239" i="8"/>
  <c r="AK255" i="8"/>
  <c r="AK271" i="8"/>
  <c r="AK287" i="8"/>
  <c r="AK303" i="8"/>
  <c r="AK319" i="8"/>
  <c r="AK335" i="8"/>
  <c r="AK351" i="8"/>
  <c r="AK367" i="8"/>
  <c r="AJ16" i="8"/>
  <c r="AJ27" i="8"/>
  <c r="AJ31" i="8"/>
  <c r="AJ35" i="8"/>
  <c r="AJ39" i="8"/>
  <c r="AJ43" i="8"/>
  <c r="AJ47" i="8"/>
  <c r="AJ51" i="8"/>
  <c r="AJ55" i="8"/>
  <c r="AJ59" i="8"/>
  <c r="AJ63" i="8"/>
  <c r="AJ67" i="8"/>
  <c r="AJ71" i="8"/>
  <c r="AJ75" i="8"/>
  <c r="AJ79" i="8"/>
  <c r="AJ83" i="8"/>
  <c r="AJ87" i="8"/>
  <c r="AJ91" i="8"/>
  <c r="AJ95" i="8"/>
  <c r="AJ99" i="8"/>
  <c r="AJ103" i="8"/>
  <c r="AJ107" i="8"/>
  <c r="AJ111" i="8"/>
  <c r="AJ115" i="8"/>
  <c r="AJ119" i="8"/>
  <c r="AJ123" i="8"/>
  <c r="AJ127" i="8"/>
  <c r="AJ131" i="8"/>
  <c r="AJ135" i="8"/>
  <c r="AJ139" i="8"/>
  <c r="AJ143" i="8"/>
  <c r="AJ147" i="8"/>
  <c r="AJ151" i="8"/>
  <c r="AJ155" i="8"/>
  <c r="AJ159" i="8"/>
  <c r="AJ163" i="8"/>
  <c r="AJ170" i="8"/>
  <c r="AJ174" i="8"/>
  <c r="AJ178" i="8"/>
  <c r="AJ182" i="8"/>
  <c r="AJ186" i="8"/>
  <c r="AJ190" i="8"/>
  <c r="AJ194" i="8"/>
  <c r="AJ198" i="8"/>
  <c r="AJ202" i="8"/>
  <c r="AJ206" i="8"/>
  <c r="AJ210" i="8"/>
  <c r="AJ214" i="8"/>
  <c r="AJ218" i="8"/>
  <c r="AJ222" i="8"/>
  <c r="AJ226" i="8"/>
  <c r="AJ230" i="8"/>
  <c r="AJ234" i="8"/>
  <c r="AJ238" i="8"/>
  <c r="AJ242" i="8"/>
  <c r="AJ246" i="8"/>
  <c r="AJ250" i="8"/>
  <c r="AJ254" i="8"/>
  <c r="AJ258" i="8"/>
  <c r="AJ262" i="8"/>
  <c r="AJ266" i="8"/>
  <c r="AJ270" i="8"/>
  <c r="AJ274" i="8"/>
  <c r="AJ278" i="8"/>
  <c r="AJ282" i="8"/>
  <c r="AJ286" i="8"/>
  <c r="AJ290" i="8"/>
  <c r="AJ294" i="8"/>
  <c r="AJ298" i="8"/>
  <c r="AJ302" i="8"/>
  <c r="AJ306" i="8"/>
  <c r="AJ310" i="8"/>
  <c r="AJ314" i="8"/>
  <c r="AJ318" i="8"/>
  <c r="AJ322" i="8"/>
  <c r="AJ326" i="8"/>
  <c r="AJ330" i="8"/>
  <c r="AJ334" i="8"/>
  <c r="AJ338" i="8"/>
  <c r="AJ342" i="8"/>
  <c r="AJ346" i="8"/>
  <c r="AJ350" i="8"/>
  <c r="AJ354" i="8"/>
  <c r="AJ358" i="8"/>
  <c r="AJ362" i="8"/>
  <c r="AJ366" i="8"/>
  <c r="AJ370" i="8"/>
  <c r="AJ7" i="8"/>
  <c r="AI11" i="8"/>
  <c r="AI15" i="8"/>
  <c r="AI19" i="8"/>
  <c r="AI23" i="8"/>
  <c r="AI27" i="8"/>
  <c r="AI31" i="8"/>
  <c r="AI35" i="8"/>
  <c r="AI39" i="8"/>
  <c r="AI43" i="8"/>
  <c r="AI47" i="8"/>
  <c r="AI51" i="8"/>
  <c r="AI55" i="8"/>
  <c r="AI59" i="8"/>
  <c r="AI63" i="8"/>
  <c r="AI67" i="8"/>
  <c r="AI71" i="8"/>
  <c r="AI75" i="8"/>
  <c r="AI79" i="8"/>
  <c r="AI83" i="8"/>
  <c r="AI87" i="8"/>
  <c r="AI91" i="8"/>
  <c r="AI95" i="8"/>
  <c r="AI99" i="8"/>
  <c r="AI103" i="8"/>
  <c r="AI107" i="8"/>
  <c r="AI111" i="8"/>
  <c r="AI115" i="8"/>
  <c r="AI119" i="8"/>
  <c r="AI123" i="8"/>
  <c r="AI127" i="8"/>
  <c r="AI131" i="8"/>
  <c r="AI135" i="8"/>
  <c r="AI139" i="8"/>
  <c r="AI143" i="8"/>
  <c r="AI147" i="8"/>
  <c r="AI151" i="8"/>
  <c r="AI155" i="8"/>
  <c r="AI159" i="8"/>
  <c r="AI163" i="8"/>
  <c r="AI170" i="8"/>
  <c r="AI174" i="8"/>
  <c r="AI178" i="8"/>
  <c r="AI182" i="8"/>
  <c r="AI186" i="8"/>
  <c r="AI190" i="8"/>
  <c r="AI194" i="8"/>
  <c r="AI198" i="8"/>
  <c r="AI202" i="8"/>
  <c r="AI206" i="8"/>
  <c r="AI210" i="8"/>
  <c r="AI214" i="8"/>
  <c r="AI218" i="8"/>
  <c r="AI222" i="8"/>
  <c r="AI226" i="8"/>
  <c r="AI230" i="8"/>
  <c r="AI234" i="8"/>
  <c r="AI238" i="8"/>
  <c r="AI242" i="8"/>
  <c r="AI246" i="8"/>
  <c r="AI250" i="8"/>
  <c r="AI254" i="8"/>
  <c r="AI258" i="8"/>
  <c r="AI262" i="8"/>
  <c r="AI266" i="8"/>
  <c r="AI270" i="8"/>
  <c r="AI274" i="8"/>
  <c r="AI278" i="8"/>
  <c r="AI282" i="8"/>
  <c r="AI286" i="8"/>
  <c r="AI290" i="8"/>
  <c r="AI294" i="8"/>
  <c r="AI298" i="8"/>
  <c r="AI302" i="8"/>
  <c r="AI306" i="8"/>
  <c r="AI310" i="8"/>
  <c r="AI314" i="8"/>
  <c r="AI318" i="8"/>
  <c r="AI322" i="8"/>
  <c r="AI326" i="8"/>
  <c r="AI330" i="8"/>
  <c r="AI334" i="8"/>
  <c r="AI338" i="8"/>
  <c r="AI342" i="8"/>
  <c r="AI346" i="8"/>
  <c r="AI350" i="8"/>
  <c r="AI354" i="8"/>
  <c r="AI358" i="8"/>
  <c r="AI362" i="8"/>
  <c r="AI366" i="8"/>
  <c r="AI370" i="8"/>
  <c r="AI7" i="8"/>
  <c r="AH11" i="8"/>
  <c r="AH15" i="8"/>
  <c r="AH19" i="8"/>
  <c r="AH23" i="8"/>
  <c r="AH27" i="8"/>
  <c r="AH31" i="8"/>
  <c r="AH35" i="8"/>
  <c r="AH39" i="8"/>
  <c r="AH43" i="8"/>
  <c r="AH47" i="8"/>
  <c r="AH51" i="8"/>
  <c r="AH55" i="8"/>
  <c r="AH59" i="8"/>
  <c r="AH63" i="8"/>
  <c r="AH67" i="8"/>
  <c r="AH71" i="8"/>
  <c r="AH75" i="8"/>
  <c r="AH79" i="8"/>
  <c r="AH83" i="8"/>
  <c r="AH87" i="8"/>
  <c r="AH91" i="8"/>
  <c r="AH95" i="8"/>
  <c r="AH99" i="8"/>
  <c r="AH103" i="8"/>
  <c r="AH107" i="8"/>
  <c r="AH111" i="8"/>
  <c r="AH115" i="8"/>
  <c r="AH119" i="8"/>
  <c r="AH123" i="8"/>
  <c r="AH127" i="8"/>
  <c r="AH131" i="8"/>
  <c r="AH135" i="8"/>
  <c r="AH139" i="8"/>
  <c r="AH143" i="8"/>
  <c r="AH147" i="8"/>
  <c r="AH151" i="8"/>
  <c r="AH155" i="8"/>
  <c r="AH159" i="8"/>
  <c r="AH163" i="8"/>
  <c r="AH170" i="8"/>
  <c r="AH174" i="8"/>
  <c r="AH178" i="8"/>
  <c r="AH182" i="8"/>
  <c r="AH186" i="8"/>
  <c r="AH190" i="8"/>
  <c r="AH194" i="8"/>
  <c r="AH198" i="8"/>
  <c r="AH202" i="8"/>
  <c r="AH206" i="8"/>
  <c r="AH210" i="8"/>
  <c r="AH214" i="8"/>
  <c r="AH218" i="8"/>
  <c r="AH222" i="8"/>
  <c r="AH226" i="8"/>
  <c r="AH230" i="8"/>
  <c r="AH234" i="8"/>
  <c r="AH238" i="8"/>
  <c r="AH242" i="8"/>
  <c r="AH246" i="8"/>
  <c r="AH250" i="8"/>
  <c r="AH254" i="8"/>
  <c r="AH258" i="8"/>
  <c r="AH262" i="8"/>
  <c r="AH266" i="8"/>
  <c r="AH270" i="8"/>
  <c r="AH274" i="8"/>
  <c r="AH278" i="8"/>
  <c r="AH282" i="8"/>
  <c r="AH286" i="8"/>
  <c r="AH290" i="8"/>
  <c r="AH294" i="8"/>
  <c r="AH298" i="8"/>
  <c r="AH302" i="8"/>
  <c r="AH306" i="8"/>
  <c r="AH310" i="8"/>
  <c r="AH314" i="8"/>
  <c r="AH318" i="8"/>
  <c r="AH322" i="8"/>
  <c r="AH326" i="8"/>
  <c r="AH330" i="8"/>
  <c r="AH334" i="8"/>
  <c r="AH338" i="8"/>
  <c r="AH342" i="8"/>
  <c r="AH346" i="8"/>
  <c r="AH350" i="8"/>
  <c r="AH354" i="8"/>
  <c r="AH358" i="8"/>
  <c r="AH362" i="8"/>
  <c r="AH366" i="8"/>
  <c r="AH370" i="8"/>
  <c r="AH7" i="8"/>
  <c r="AG11" i="8"/>
  <c r="AG15" i="8"/>
  <c r="AG19" i="8"/>
  <c r="AG23" i="8"/>
  <c r="AG27" i="8"/>
  <c r="AG31" i="8"/>
  <c r="AG39" i="8"/>
  <c r="AG51" i="8"/>
  <c r="AG59" i="8"/>
  <c r="AG63" i="8"/>
  <c r="AG67" i="8"/>
  <c r="AG71" i="8"/>
  <c r="AG75" i="8"/>
  <c r="AG79" i="8"/>
  <c r="AG83" i="8"/>
  <c r="AG87" i="8"/>
  <c r="AG91" i="8"/>
  <c r="AG95" i="8"/>
  <c r="AG99" i="8"/>
  <c r="AG103" i="8"/>
  <c r="AG107" i="8"/>
  <c r="AG111" i="8"/>
  <c r="AG115" i="8"/>
  <c r="AG119" i="8"/>
  <c r="AG123" i="8"/>
  <c r="AG127" i="8"/>
  <c r="AG131" i="8"/>
  <c r="AG135" i="8"/>
  <c r="AG139" i="8"/>
  <c r="AG147" i="8"/>
  <c r="AG151" i="8"/>
  <c r="AG155" i="8"/>
  <c r="AG159" i="8"/>
  <c r="AG170" i="8"/>
  <c r="AG174" i="8"/>
  <c r="AG178" i="8"/>
  <c r="AG182" i="8"/>
  <c r="AG186" i="8"/>
  <c r="AG190" i="8"/>
  <c r="AG194" i="8"/>
  <c r="AG198" i="8"/>
  <c r="AG202" i="8"/>
  <c r="AG206" i="8"/>
  <c r="AG210" i="8"/>
  <c r="AG214" i="8"/>
  <c r="AG218" i="8"/>
  <c r="AG222" i="8"/>
  <c r="AG226" i="8"/>
  <c r="AG230" i="8"/>
  <c r="AG234" i="8"/>
  <c r="AG238" i="8"/>
  <c r="AG242" i="8"/>
  <c r="AG246" i="8"/>
  <c r="AG250" i="8"/>
  <c r="AG254" i="8"/>
  <c r="AG258" i="8"/>
  <c r="AG262" i="8"/>
  <c r="AG266" i="8"/>
  <c r="AG270" i="8"/>
  <c r="AG274" i="8"/>
  <c r="AG278" i="8"/>
  <c r="AG282" i="8"/>
  <c r="AG286" i="8"/>
  <c r="AG290" i="8"/>
  <c r="AG294" i="8"/>
  <c r="AG298" i="8"/>
  <c r="AG302" i="8"/>
  <c r="AG306" i="8"/>
  <c r="AG310" i="8"/>
  <c r="AG314" i="8"/>
  <c r="AG318" i="8"/>
  <c r="AG322" i="8"/>
  <c r="AG326" i="8"/>
  <c r="AG330" i="8"/>
  <c r="AG334" i="8"/>
  <c r="AG338" i="8"/>
  <c r="AG342" i="8"/>
  <c r="AG346" i="8"/>
  <c r="AG350" i="8"/>
  <c r="AG354" i="8"/>
  <c r="AG358" i="8"/>
  <c r="AG362" i="8"/>
  <c r="AG366" i="8"/>
  <c r="AG370" i="8"/>
  <c r="AG7" i="8"/>
  <c r="AF11" i="8"/>
  <c r="AF15" i="8"/>
  <c r="AF19" i="8"/>
  <c r="AF23" i="8"/>
  <c r="AF27" i="8"/>
  <c r="AF31" i="8"/>
  <c r="AF35" i="8"/>
  <c r="AF39" i="8"/>
  <c r="AF43" i="8"/>
  <c r="AF47" i="8"/>
  <c r="AF51" i="8"/>
  <c r="AF55" i="8"/>
  <c r="AF59" i="8"/>
  <c r="AF63" i="8"/>
  <c r="AF67" i="8"/>
  <c r="AF71" i="8"/>
  <c r="AF75" i="8"/>
  <c r="AF79" i="8"/>
  <c r="AF83" i="8"/>
  <c r="AF87" i="8"/>
  <c r="AF91" i="8"/>
  <c r="AF95" i="8"/>
  <c r="AF99" i="8"/>
  <c r="AF103" i="8"/>
  <c r="AF107" i="8"/>
  <c r="AF111" i="8"/>
  <c r="AF115" i="8"/>
  <c r="AF119" i="8"/>
  <c r="AF123" i="8"/>
  <c r="AF127" i="8"/>
  <c r="AF131" i="8"/>
  <c r="AF135" i="8"/>
  <c r="AF139" i="8"/>
  <c r="AF143" i="8"/>
  <c r="AF147" i="8"/>
  <c r="AF151" i="8"/>
  <c r="AF155" i="8"/>
  <c r="AF159" i="8"/>
  <c r="AF163" i="8"/>
  <c r="AF170" i="8"/>
  <c r="AF174" i="8"/>
  <c r="AF178" i="8"/>
  <c r="AF182" i="8"/>
  <c r="AF186" i="8"/>
  <c r="AF190" i="8"/>
  <c r="AF194" i="8"/>
  <c r="AF198" i="8"/>
  <c r="AF202" i="8"/>
  <c r="AF206" i="8"/>
  <c r="AF210" i="8"/>
  <c r="AF214" i="8"/>
  <c r="AF218" i="8"/>
  <c r="AF222" i="8"/>
  <c r="AF226" i="8"/>
  <c r="AF230" i="8"/>
  <c r="AF234" i="8"/>
  <c r="AF238" i="8"/>
  <c r="AF242" i="8"/>
  <c r="AF246" i="8"/>
  <c r="AF250" i="8"/>
  <c r="AF254" i="8"/>
  <c r="AF258" i="8"/>
  <c r="AF262" i="8"/>
  <c r="AF266" i="8"/>
  <c r="AF270" i="8"/>
  <c r="AF274" i="8"/>
  <c r="AF278" i="8"/>
  <c r="AF282" i="8"/>
  <c r="AF286" i="8"/>
  <c r="AF290" i="8"/>
  <c r="AF294" i="8"/>
  <c r="AF298" i="8"/>
  <c r="AF302" i="8"/>
  <c r="AF306" i="8"/>
  <c r="AF310" i="8"/>
  <c r="AF314" i="8"/>
  <c r="AF318" i="8"/>
  <c r="AF322" i="8"/>
  <c r="AF326" i="8"/>
  <c r="AF330" i="8"/>
  <c r="AF334" i="8"/>
  <c r="AF338" i="8"/>
  <c r="AF342" i="8"/>
  <c r="AF346" i="8"/>
  <c r="AF350" i="8"/>
  <c r="AF354" i="8"/>
  <c r="AF358" i="8"/>
  <c r="AP174" i="8"/>
  <c r="AO65" i="8"/>
  <c r="AO225" i="8"/>
  <c r="AO289" i="8"/>
  <c r="AO353" i="8"/>
  <c r="AN51" i="8"/>
  <c r="AN115" i="8"/>
  <c r="AN182" i="8"/>
  <c r="AN246" i="8"/>
  <c r="AN310" i="8"/>
  <c r="AM8" i="8"/>
  <c r="AM72" i="8"/>
  <c r="AM136" i="8"/>
  <c r="AM203" i="8"/>
  <c r="AM267" i="8"/>
  <c r="AM331" i="8"/>
  <c r="AM368" i="8"/>
  <c r="AL12" i="8"/>
  <c r="AL28" i="8"/>
  <c r="AL44" i="8"/>
  <c r="AL60" i="8"/>
  <c r="AL76" i="8"/>
  <c r="AL92" i="8"/>
  <c r="AL108" i="8"/>
  <c r="AL124" i="8"/>
  <c r="AL140" i="8"/>
  <c r="AL156" i="8"/>
  <c r="AL175" i="8"/>
  <c r="AL191" i="8"/>
  <c r="AL207" i="8"/>
  <c r="AL223" i="8"/>
  <c r="AL239" i="8"/>
  <c r="AL255" i="8"/>
  <c r="AL271" i="8"/>
  <c r="AL287" i="8"/>
  <c r="AL303" i="8"/>
  <c r="AL319" i="8"/>
  <c r="AL335" i="8"/>
  <c r="AL351" i="8"/>
  <c r="AL367" i="8"/>
  <c r="AK16" i="8"/>
  <c r="AK32" i="8"/>
  <c r="AK48" i="8"/>
  <c r="AK64" i="8"/>
  <c r="AK80" i="8"/>
  <c r="AK96" i="8"/>
  <c r="AK112" i="8"/>
  <c r="AK128" i="8"/>
  <c r="AK144" i="8"/>
  <c r="AK160" i="8"/>
  <c r="AK179" i="8"/>
  <c r="AK195" i="8"/>
  <c r="AK211" i="8"/>
  <c r="AK227" i="8"/>
  <c r="AK243" i="8"/>
  <c r="AK259" i="8"/>
  <c r="AK275" i="8"/>
  <c r="AK291" i="8"/>
  <c r="AK307" i="8"/>
  <c r="AK323" i="8"/>
  <c r="AK339" i="8"/>
  <c r="AK355" i="8"/>
  <c r="AK371" i="8"/>
  <c r="AJ20" i="8"/>
  <c r="AJ28" i="8"/>
  <c r="AJ32" i="8"/>
  <c r="AJ36" i="8"/>
  <c r="AJ40" i="8"/>
  <c r="AJ44" i="8"/>
  <c r="AJ48" i="8"/>
  <c r="AJ52" i="8"/>
  <c r="AJ56" i="8"/>
  <c r="AJ60" i="8"/>
  <c r="AJ64" i="8"/>
  <c r="AJ68" i="8"/>
  <c r="AJ72" i="8"/>
  <c r="AJ76" i="8"/>
  <c r="AJ80" i="8"/>
  <c r="AJ84" i="8"/>
  <c r="AJ88" i="8"/>
  <c r="AJ92" i="8"/>
  <c r="AJ96" i="8"/>
  <c r="AJ100" i="8"/>
  <c r="AJ104" i="8"/>
  <c r="AJ108" i="8"/>
  <c r="AJ112" i="8"/>
  <c r="AJ116" i="8"/>
  <c r="AJ120" i="8"/>
  <c r="AJ124" i="8"/>
  <c r="AJ128" i="8"/>
  <c r="AJ132" i="8"/>
  <c r="AJ136" i="8"/>
  <c r="AJ140" i="8"/>
  <c r="AJ144" i="8"/>
  <c r="AJ148" i="8"/>
  <c r="AJ152" i="8"/>
  <c r="AJ156" i="8"/>
  <c r="AJ160" i="8"/>
  <c r="AJ167" i="8"/>
  <c r="AJ171" i="8"/>
  <c r="AJ175" i="8"/>
  <c r="AJ179" i="8"/>
  <c r="AJ183" i="8"/>
  <c r="AJ187" i="8"/>
  <c r="AJ191" i="8"/>
  <c r="AJ195" i="8"/>
  <c r="AJ199" i="8"/>
  <c r="AJ203" i="8"/>
  <c r="AJ207" i="8"/>
  <c r="AJ211" i="8"/>
  <c r="AJ215" i="8"/>
  <c r="AJ219" i="8"/>
  <c r="AJ223" i="8"/>
  <c r="AJ227" i="8"/>
  <c r="AJ231" i="8"/>
  <c r="AJ235" i="8"/>
  <c r="AJ239" i="8"/>
  <c r="AJ243" i="8"/>
  <c r="AJ247" i="8"/>
  <c r="AJ251" i="8"/>
  <c r="AJ255" i="8"/>
  <c r="AJ259" i="8"/>
  <c r="AJ263" i="8"/>
  <c r="AJ267" i="8"/>
  <c r="AJ271" i="8"/>
  <c r="AJ275" i="8"/>
  <c r="AJ279" i="8"/>
  <c r="AJ283" i="8"/>
  <c r="AJ287" i="8"/>
  <c r="AJ291" i="8"/>
  <c r="AJ295" i="8"/>
  <c r="AJ299" i="8"/>
  <c r="AJ303" i="8"/>
  <c r="AJ307" i="8"/>
  <c r="AJ311" i="8"/>
  <c r="AJ315" i="8"/>
  <c r="AJ319" i="8"/>
  <c r="AJ323" i="8"/>
  <c r="AJ327" i="8"/>
  <c r="AJ331" i="8"/>
  <c r="AJ335" i="8"/>
  <c r="AJ339" i="8"/>
  <c r="AJ343" i="8"/>
  <c r="AJ347" i="8"/>
  <c r="AJ351" i="8"/>
  <c r="AJ355" i="8"/>
  <c r="AJ359" i="8"/>
  <c r="AJ363" i="8"/>
  <c r="AJ367" i="8"/>
  <c r="AJ371" i="8"/>
  <c r="AI8" i="8"/>
  <c r="AI12" i="8"/>
  <c r="AI16" i="8"/>
  <c r="AI20" i="8"/>
  <c r="AI24" i="8"/>
  <c r="AI28" i="8"/>
  <c r="AI32" i="8"/>
  <c r="AI36" i="8"/>
  <c r="AI40" i="8"/>
  <c r="AI44" i="8"/>
  <c r="AI48" i="8"/>
  <c r="AI52" i="8"/>
  <c r="AI56" i="8"/>
  <c r="AI60" i="8"/>
  <c r="AI64" i="8"/>
  <c r="AI68" i="8"/>
  <c r="AI72" i="8"/>
  <c r="AI76" i="8"/>
  <c r="AI80" i="8"/>
  <c r="AI84" i="8"/>
  <c r="AI88" i="8"/>
  <c r="AI92" i="8"/>
  <c r="AI96" i="8"/>
  <c r="AI100" i="8"/>
  <c r="AI104" i="8"/>
  <c r="AI108" i="8"/>
  <c r="AI112" i="8"/>
  <c r="AI116" i="8"/>
  <c r="AI120" i="8"/>
  <c r="AI124" i="8"/>
  <c r="AI128" i="8"/>
  <c r="AI132" i="8"/>
  <c r="AI136" i="8"/>
  <c r="AI140" i="8"/>
  <c r="AI144" i="8"/>
  <c r="AI148" i="8"/>
  <c r="AI152" i="8"/>
  <c r="AI156" i="8"/>
  <c r="AI160" i="8"/>
  <c r="AI167" i="8"/>
  <c r="AI171" i="8"/>
  <c r="AI175" i="8"/>
  <c r="AI179" i="8"/>
  <c r="AI183" i="8"/>
  <c r="AI187" i="8"/>
  <c r="AI191" i="8"/>
  <c r="AI195" i="8"/>
  <c r="AI199" i="8"/>
  <c r="AI203" i="8"/>
  <c r="AI207" i="8"/>
  <c r="AI211" i="8"/>
  <c r="AI215" i="8"/>
  <c r="AI219" i="8"/>
  <c r="AI223" i="8"/>
  <c r="AI227" i="8"/>
  <c r="AI231" i="8"/>
  <c r="AI235" i="8"/>
  <c r="AI239" i="8"/>
  <c r="AI243" i="8"/>
  <c r="AI247" i="8"/>
  <c r="AI251" i="8"/>
  <c r="AI255" i="8"/>
  <c r="AI259" i="8"/>
  <c r="AI263" i="8"/>
  <c r="AI267" i="8"/>
  <c r="AI271" i="8"/>
  <c r="AI275" i="8"/>
  <c r="AI279" i="8"/>
  <c r="AI283" i="8"/>
  <c r="AI287" i="8"/>
  <c r="AI291" i="8"/>
  <c r="AI295" i="8"/>
  <c r="AI299" i="8"/>
  <c r="AI303" i="8"/>
  <c r="AI307" i="8"/>
  <c r="AI311" i="8"/>
  <c r="AI315" i="8"/>
  <c r="AI319" i="8"/>
  <c r="AI323" i="8"/>
  <c r="AI327" i="8"/>
  <c r="AI331" i="8"/>
  <c r="AI335" i="8"/>
  <c r="AI339" i="8"/>
  <c r="AI343" i="8"/>
  <c r="AI347" i="8"/>
  <c r="AI351" i="8"/>
  <c r="AI355" i="8"/>
  <c r="AI359" i="8"/>
  <c r="AI363" i="8"/>
  <c r="AI367" i="8"/>
  <c r="AI371" i="8"/>
  <c r="AH8" i="8"/>
  <c r="AH12" i="8"/>
  <c r="AH16" i="8"/>
  <c r="AH20" i="8"/>
  <c r="AH24" i="8"/>
  <c r="AH28" i="8"/>
  <c r="AH32" i="8"/>
  <c r="AH36" i="8"/>
  <c r="AH40" i="8"/>
  <c r="AH44" i="8"/>
  <c r="AH48" i="8"/>
  <c r="AH52" i="8"/>
  <c r="AH56" i="8"/>
  <c r="AH60" i="8"/>
  <c r="AH64" i="8"/>
  <c r="AH68" i="8"/>
  <c r="AH72" i="8"/>
  <c r="AH76" i="8"/>
  <c r="AH80" i="8"/>
  <c r="AH84" i="8"/>
  <c r="AH88" i="8"/>
  <c r="AH92" i="8"/>
  <c r="AH96" i="8"/>
  <c r="AH100" i="8"/>
  <c r="AH104" i="8"/>
  <c r="AH108" i="8"/>
  <c r="AH112" i="8"/>
  <c r="AH116" i="8"/>
  <c r="AH120" i="8"/>
  <c r="AH124" i="8"/>
  <c r="AH128" i="8"/>
  <c r="AH132" i="8"/>
  <c r="AH136" i="8"/>
  <c r="AH140" i="8"/>
  <c r="AH144" i="8"/>
  <c r="AH148" i="8"/>
  <c r="AH152" i="8"/>
  <c r="AH156" i="8"/>
  <c r="AH160" i="8"/>
  <c r="AH167" i="8"/>
  <c r="AH171" i="8"/>
  <c r="AH175" i="8"/>
  <c r="AH179" i="8"/>
  <c r="AH183" i="8"/>
  <c r="AH187" i="8"/>
  <c r="AH191" i="8"/>
  <c r="AH195" i="8"/>
  <c r="AH199" i="8"/>
  <c r="AH203" i="8"/>
  <c r="AH207" i="8"/>
  <c r="AH211" i="8"/>
  <c r="AH215" i="8"/>
  <c r="AH219" i="8"/>
  <c r="AH223" i="8"/>
  <c r="AH227" i="8"/>
  <c r="AH231" i="8"/>
  <c r="AH235" i="8"/>
  <c r="AH239" i="8"/>
  <c r="AH243" i="8"/>
  <c r="AH247" i="8"/>
  <c r="AH251" i="8"/>
  <c r="AH255" i="8"/>
  <c r="AH259" i="8"/>
  <c r="AH263" i="8"/>
  <c r="AH267" i="8"/>
  <c r="AH271" i="8"/>
  <c r="AH275" i="8"/>
  <c r="AH279" i="8"/>
  <c r="AH283" i="8"/>
  <c r="AH287" i="8"/>
  <c r="AH291" i="8"/>
  <c r="AH295" i="8"/>
  <c r="AH299" i="8"/>
  <c r="AH303" i="8"/>
  <c r="AH307" i="8"/>
  <c r="AH311" i="8"/>
  <c r="AH315" i="8"/>
  <c r="AH319" i="8"/>
  <c r="AH323" i="8"/>
  <c r="AH327" i="8"/>
  <c r="AH331" i="8"/>
  <c r="AH335" i="8"/>
  <c r="AH339" i="8"/>
  <c r="AH343" i="8"/>
  <c r="AH347" i="8"/>
  <c r="AH351" i="8"/>
  <c r="AH355" i="8"/>
  <c r="AH359" i="8"/>
  <c r="AH363" i="8"/>
  <c r="AH367" i="8"/>
  <c r="AH371" i="8"/>
  <c r="AG8" i="8"/>
  <c r="AG12" i="8"/>
  <c r="AG24" i="8"/>
  <c r="AG28" i="8"/>
  <c r="AG32" i="8"/>
  <c r="AG56" i="8"/>
  <c r="AG60" i="8"/>
  <c r="AG64" i="8"/>
  <c r="AG68" i="8"/>
  <c r="AG76" i="8"/>
  <c r="AG80" i="8"/>
  <c r="AG84" i="8"/>
  <c r="AG88" i="8"/>
  <c r="AG92" i="8"/>
  <c r="AG96" i="8"/>
  <c r="AG100" i="8"/>
  <c r="AG104" i="8"/>
  <c r="AG108" i="8"/>
  <c r="AG112" i="8"/>
  <c r="AG116" i="8"/>
  <c r="AG120" i="8"/>
  <c r="AG124" i="8"/>
  <c r="AG128" i="8"/>
  <c r="AG132" i="8"/>
  <c r="AG136" i="8"/>
  <c r="AG140" i="8"/>
  <c r="AG144" i="8"/>
  <c r="AG148" i="8"/>
  <c r="AG156" i="8"/>
  <c r="AG167" i="8"/>
  <c r="AG179" i="8"/>
  <c r="AG183" i="8"/>
  <c r="AG187" i="8"/>
  <c r="AG191" i="8"/>
  <c r="AG195" i="8"/>
  <c r="AG199" i="8"/>
  <c r="AG203" i="8"/>
  <c r="AG207" i="8"/>
  <c r="AG211" i="8"/>
  <c r="AG215" i="8"/>
  <c r="AG219" i="8"/>
  <c r="AG223" i="8"/>
  <c r="AG227" i="8"/>
  <c r="AG231" i="8"/>
  <c r="AG235" i="8"/>
  <c r="AG239" i="8"/>
  <c r="AG243" i="8"/>
  <c r="AG247" i="8"/>
  <c r="AG251" i="8"/>
  <c r="AG255" i="8"/>
  <c r="AG259" i="8"/>
  <c r="AG263" i="8"/>
  <c r="AG267" i="8"/>
  <c r="AG271" i="8"/>
  <c r="AG275" i="8"/>
  <c r="AG279" i="8"/>
  <c r="AG283" i="8"/>
  <c r="AG287" i="8"/>
  <c r="AG291" i="8"/>
  <c r="AG295" i="8"/>
  <c r="AG299" i="8"/>
  <c r="AG303" i="8"/>
  <c r="AG307" i="8"/>
  <c r="AG311" i="8"/>
  <c r="AG315" i="8"/>
  <c r="AG319" i="8"/>
  <c r="AG323" i="8"/>
  <c r="AG327" i="8"/>
  <c r="AG331" i="8"/>
  <c r="AG335" i="8"/>
  <c r="AG339" i="8"/>
  <c r="AG343" i="8"/>
  <c r="AG347" i="8"/>
  <c r="AG351" i="8"/>
  <c r="AG355" i="8"/>
  <c r="AG359" i="8"/>
  <c r="AG363" i="8"/>
  <c r="AG367" i="8"/>
  <c r="AG371" i="8"/>
  <c r="AF8" i="8"/>
  <c r="AF12" i="8"/>
  <c r="AF16" i="8"/>
  <c r="AF20" i="8"/>
  <c r="AF24" i="8"/>
  <c r="AF28" i="8"/>
  <c r="AF32" i="8"/>
  <c r="AF36" i="8"/>
  <c r="AF40" i="8"/>
  <c r="AF44" i="8"/>
  <c r="AF48" i="8"/>
  <c r="AF52" i="8"/>
  <c r="AF56" i="8"/>
  <c r="AF60" i="8"/>
  <c r="AF64" i="8"/>
  <c r="AF68" i="8"/>
  <c r="AF72" i="8"/>
  <c r="AF76" i="8"/>
  <c r="AF80" i="8"/>
  <c r="AF84" i="8"/>
  <c r="AF88" i="8"/>
  <c r="AF92" i="8"/>
  <c r="AF96" i="8"/>
  <c r="AF100" i="8"/>
  <c r="AF104" i="8"/>
  <c r="AF108" i="8"/>
  <c r="AF112" i="8"/>
  <c r="AF116" i="8"/>
  <c r="AF120" i="8"/>
  <c r="AF124" i="8"/>
  <c r="AF128" i="8"/>
  <c r="AF132" i="8"/>
  <c r="AF136" i="8"/>
  <c r="AF140" i="8"/>
  <c r="AF144" i="8"/>
  <c r="AF148" i="8"/>
  <c r="AF152" i="8"/>
  <c r="AF156" i="8"/>
  <c r="AF160" i="8"/>
  <c r="AF167" i="8"/>
  <c r="AF171" i="8"/>
  <c r="AF175" i="8"/>
  <c r="AF179" i="8"/>
  <c r="AF183" i="8"/>
  <c r="AF187" i="8"/>
  <c r="AF191" i="8"/>
  <c r="AF195" i="8"/>
  <c r="AF199" i="8"/>
  <c r="AF203" i="8"/>
  <c r="AF207" i="8"/>
  <c r="AF211" i="8"/>
  <c r="AF215" i="8"/>
  <c r="AF219" i="8"/>
  <c r="AF223" i="8"/>
  <c r="AF227" i="8"/>
  <c r="AF231" i="8"/>
  <c r="AF235" i="8"/>
  <c r="AF239" i="8"/>
  <c r="AF243" i="8"/>
  <c r="AF247" i="8"/>
  <c r="AF251" i="8"/>
  <c r="AF255" i="8"/>
  <c r="AF259" i="8"/>
  <c r="AF263" i="8"/>
  <c r="AF267" i="8"/>
  <c r="AF271" i="8"/>
  <c r="AF275" i="8"/>
  <c r="AF279" i="8"/>
  <c r="AF283" i="8"/>
  <c r="AF287" i="8"/>
  <c r="AF291" i="8"/>
  <c r="AF295" i="8"/>
  <c r="AF299" i="8"/>
  <c r="AF303" i="8"/>
  <c r="AF307" i="8"/>
  <c r="AF311" i="8"/>
  <c r="AF315" i="8"/>
  <c r="AF319" i="8"/>
  <c r="AF323" i="8"/>
  <c r="AF327" i="8"/>
  <c r="AF331" i="8"/>
  <c r="AF335" i="8"/>
  <c r="AF339" i="8"/>
  <c r="AF343" i="8"/>
  <c r="AF347" i="8"/>
  <c r="AF351" i="8"/>
  <c r="AF355" i="8"/>
  <c r="AF359" i="8"/>
  <c r="AP239" i="8"/>
  <c r="AO129" i="8"/>
  <c r="AO241" i="8"/>
  <c r="AO305" i="8"/>
  <c r="AO369" i="8"/>
  <c r="AN67" i="8"/>
  <c r="AN131" i="8"/>
  <c r="AN198" i="8"/>
  <c r="AN262" i="8"/>
  <c r="AN326" i="8"/>
  <c r="AM24" i="8"/>
  <c r="AM88" i="8"/>
  <c r="AM152" i="8"/>
  <c r="AM219" i="8"/>
  <c r="AM283" i="8"/>
  <c r="AM347" i="8"/>
  <c r="AM372" i="8"/>
  <c r="AL16" i="8"/>
  <c r="AL32" i="8"/>
  <c r="AL48" i="8"/>
  <c r="AL64" i="8"/>
  <c r="AL80" i="8"/>
  <c r="AL96" i="8"/>
  <c r="AL112" i="8"/>
  <c r="AL128" i="8"/>
  <c r="AL144" i="8"/>
  <c r="AL160" i="8"/>
  <c r="AL179" i="8"/>
  <c r="AL195" i="8"/>
  <c r="AL211" i="8"/>
  <c r="AL227" i="8"/>
  <c r="AL243" i="8"/>
  <c r="AL259" i="8"/>
  <c r="AL275" i="8"/>
  <c r="AL291" i="8"/>
  <c r="AL307" i="8"/>
  <c r="AL323" i="8"/>
  <c r="AL339" i="8"/>
  <c r="AL355" i="8"/>
  <c r="AL371" i="8"/>
  <c r="AK20" i="8"/>
  <c r="AK36" i="8"/>
  <c r="AK52" i="8"/>
  <c r="AK68" i="8"/>
  <c r="AK84" i="8"/>
  <c r="AK100" i="8"/>
  <c r="AK116" i="8"/>
  <c r="AK132" i="8"/>
  <c r="AK148" i="8"/>
  <c r="AK167" i="8"/>
  <c r="AK183" i="8"/>
  <c r="AK199" i="8"/>
  <c r="AK215" i="8"/>
  <c r="AK231" i="8"/>
  <c r="AK247" i="8"/>
  <c r="AK263" i="8"/>
  <c r="AK279" i="8"/>
  <c r="AK295" i="8"/>
  <c r="AK311" i="8"/>
  <c r="AK327" i="8"/>
  <c r="AK343" i="8"/>
  <c r="AK359" i="8"/>
  <c r="AJ8" i="8"/>
  <c r="AJ24" i="8"/>
  <c r="AJ29" i="8"/>
  <c r="AJ33" i="8"/>
  <c r="AJ37" i="8"/>
  <c r="AJ41" i="8"/>
  <c r="AJ45" i="8"/>
  <c r="AJ49" i="8"/>
  <c r="AJ53" i="8"/>
  <c r="AJ57" i="8"/>
  <c r="AJ61" i="8"/>
  <c r="AJ65" i="8"/>
  <c r="AJ69" i="8"/>
  <c r="AJ73" i="8"/>
  <c r="AJ77" i="8"/>
  <c r="AJ81" i="8"/>
  <c r="AJ85" i="8"/>
  <c r="AJ89" i="8"/>
  <c r="AJ93" i="8"/>
  <c r="AJ97" i="8"/>
  <c r="AJ101" i="8"/>
  <c r="AJ105" i="8"/>
  <c r="AJ109" i="8"/>
  <c r="AJ113" i="8"/>
  <c r="AJ117" i="8"/>
  <c r="AJ121" i="8"/>
  <c r="AJ125" i="8"/>
  <c r="AJ129" i="8"/>
  <c r="AJ133" i="8"/>
  <c r="AJ137" i="8"/>
  <c r="AJ141" i="8"/>
  <c r="AJ145" i="8"/>
  <c r="AJ149" i="8"/>
  <c r="AJ153" i="8"/>
  <c r="AJ157" i="8"/>
  <c r="AJ161" i="8"/>
  <c r="AJ168" i="8"/>
  <c r="AJ172" i="8"/>
  <c r="AJ176" i="8"/>
  <c r="AJ180" i="8"/>
  <c r="AJ184" i="8"/>
  <c r="AJ188" i="8"/>
  <c r="AJ192" i="8"/>
  <c r="AJ196" i="8"/>
  <c r="AJ200" i="8"/>
  <c r="AJ204" i="8"/>
  <c r="AJ208" i="8"/>
  <c r="AJ212" i="8"/>
  <c r="AJ216" i="8"/>
  <c r="AJ220" i="8"/>
  <c r="AJ224" i="8"/>
  <c r="AJ228" i="8"/>
  <c r="AJ232" i="8"/>
  <c r="AJ236" i="8"/>
  <c r="AJ240" i="8"/>
  <c r="AJ244" i="8"/>
  <c r="AJ248" i="8"/>
  <c r="AJ252" i="8"/>
  <c r="AJ256" i="8"/>
  <c r="AJ260" i="8"/>
  <c r="AJ264" i="8"/>
  <c r="AJ268" i="8"/>
  <c r="AJ272" i="8"/>
  <c r="AJ276" i="8"/>
  <c r="AJ280" i="8"/>
  <c r="AJ284" i="8"/>
  <c r="AJ288" i="8"/>
  <c r="AJ292" i="8"/>
  <c r="AJ296" i="8"/>
  <c r="AJ300" i="8"/>
  <c r="AJ304" i="8"/>
  <c r="AJ308" i="8"/>
  <c r="AJ312" i="8"/>
  <c r="AJ316" i="8"/>
  <c r="AJ320" i="8"/>
  <c r="AJ324" i="8"/>
  <c r="AJ328" i="8"/>
  <c r="AJ332" i="8"/>
  <c r="AJ336" i="8"/>
  <c r="AJ340" i="8"/>
  <c r="AJ344" i="8"/>
  <c r="AJ348" i="8"/>
  <c r="AJ352" i="8"/>
  <c r="AJ356" i="8"/>
  <c r="AJ360" i="8"/>
  <c r="AJ364" i="8"/>
  <c r="AJ368" i="8"/>
  <c r="AJ372" i="8"/>
  <c r="AI9" i="8"/>
  <c r="AI13" i="8"/>
  <c r="AI17" i="8"/>
  <c r="AI21" i="8"/>
  <c r="AI25" i="8"/>
  <c r="AI29" i="8"/>
  <c r="AI33" i="8"/>
  <c r="AI37" i="8"/>
  <c r="AI41" i="8"/>
  <c r="AI45" i="8"/>
  <c r="AI49" i="8"/>
  <c r="AI53" i="8"/>
  <c r="AI57" i="8"/>
  <c r="AI61" i="8"/>
  <c r="AI65" i="8"/>
  <c r="AI69" i="8"/>
  <c r="AI73" i="8"/>
  <c r="AI77" i="8"/>
  <c r="AI81" i="8"/>
  <c r="AI85" i="8"/>
  <c r="AI89" i="8"/>
  <c r="AI93" i="8"/>
  <c r="AI97" i="8"/>
  <c r="AI101" i="8"/>
  <c r="AI105" i="8"/>
  <c r="AI109" i="8"/>
  <c r="AI113" i="8"/>
  <c r="AI117" i="8"/>
  <c r="AI121" i="8"/>
  <c r="AI125" i="8"/>
  <c r="AI129" i="8"/>
  <c r="AI133" i="8"/>
  <c r="AI137" i="8"/>
  <c r="AI141" i="8"/>
  <c r="AI145" i="8"/>
  <c r="AI149" i="8"/>
  <c r="AI153" i="8"/>
  <c r="AI157" i="8"/>
  <c r="AI161" i="8"/>
  <c r="AI168" i="8"/>
  <c r="AI172" i="8"/>
  <c r="AI176" i="8"/>
  <c r="AI180" i="8"/>
  <c r="AI184" i="8"/>
  <c r="AI188" i="8"/>
  <c r="AI192" i="8"/>
  <c r="AI196" i="8"/>
  <c r="AI200" i="8"/>
  <c r="AI204" i="8"/>
  <c r="AI208" i="8"/>
  <c r="AI212" i="8"/>
  <c r="AI216" i="8"/>
  <c r="AI220" i="8"/>
  <c r="AI224" i="8"/>
  <c r="AI228" i="8"/>
  <c r="AI232" i="8"/>
  <c r="AI236" i="8"/>
  <c r="AI240" i="8"/>
  <c r="AI244" i="8"/>
  <c r="AI248" i="8"/>
  <c r="AI252" i="8"/>
  <c r="AI256" i="8"/>
  <c r="AI260" i="8"/>
  <c r="AI264" i="8"/>
  <c r="AI268" i="8"/>
  <c r="AI272" i="8"/>
  <c r="AI276" i="8"/>
  <c r="AI280" i="8"/>
  <c r="AI284" i="8"/>
  <c r="AI288" i="8"/>
  <c r="AI292" i="8"/>
  <c r="AI296" i="8"/>
  <c r="AI300" i="8"/>
  <c r="AI304" i="8"/>
  <c r="AI308" i="8"/>
  <c r="AI312" i="8"/>
  <c r="AI316" i="8"/>
  <c r="AI320" i="8"/>
  <c r="AI324" i="8"/>
  <c r="AI328" i="8"/>
  <c r="AI332" i="8"/>
  <c r="AI336" i="8"/>
  <c r="AI340" i="8"/>
  <c r="AI344" i="8"/>
  <c r="AI348" i="8"/>
  <c r="AI352" i="8"/>
  <c r="AI356" i="8"/>
  <c r="AI360" i="8"/>
  <c r="AI364" i="8"/>
  <c r="AI368" i="8"/>
  <c r="AI372" i="8"/>
  <c r="AH9" i="8"/>
  <c r="AH13" i="8"/>
  <c r="AH17" i="8"/>
  <c r="AH21" i="8"/>
  <c r="AH25" i="8"/>
  <c r="AH29" i="8"/>
  <c r="AH33" i="8"/>
  <c r="AH37" i="8"/>
  <c r="AH41" i="8"/>
  <c r="AH45" i="8"/>
  <c r="AH49" i="8"/>
  <c r="AH53" i="8"/>
  <c r="AH57" i="8"/>
  <c r="AH61" i="8"/>
  <c r="AH65" i="8"/>
  <c r="AH69" i="8"/>
  <c r="AH73" i="8"/>
  <c r="AH77" i="8"/>
  <c r="AH81" i="8"/>
  <c r="AH85" i="8"/>
  <c r="AH89" i="8"/>
  <c r="AH93" i="8"/>
  <c r="AH97" i="8"/>
  <c r="AH101" i="8"/>
  <c r="AH105" i="8"/>
  <c r="AH109" i="8"/>
  <c r="AH113" i="8"/>
  <c r="AH117" i="8"/>
  <c r="AH121" i="8"/>
  <c r="AH125" i="8"/>
  <c r="AH129" i="8"/>
  <c r="AH133" i="8"/>
  <c r="AH137" i="8"/>
  <c r="AH141" i="8"/>
  <c r="AH145" i="8"/>
  <c r="AH149" i="8"/>
  <c r="AH153" i="8"/>
  <c r="AH157" i="8"/>
  <c r="AH161" i="8"/>
  <c r="AH168" i="8"/>
  <c r="AH172" i="8"/>
  <c r="AH176" i="8"/>
  <c r="AH180" i="8"/>
  <c r="AH184" i="8"/>
  <c r="AH188" i="8"/>
  <c r="AH192" i="8"/>
  <c r="AH196" i="8"/>
  <c r="AH200" i="8"/>
  <c r="AH204" i="8"/>
  <c r="AH208" i="8"/>
  <c r="AH212" i="8"/>
  <c r="AH216" i="8"/>
  <c r="AH220" i="8"/>
  <c r="AH224" i="8"/>
  <c r="AH228" i="8"/>
  <c r="AH232" i="8"/>
  <c r="AH236" i="8"/>
  <c r="AH240" i="8"/>
  <c r="AH244" i="8"/>
  <c r="AH248" i="8"/>
  <c r="AH252" i="8"/>
  <c r="AH256" i="8"/>
  <c r="AH260" i="8"/>
  <c r="AH264" i="8"/>
  <c r="AH268" i="8"/>
  <c r="AH272" i="8"/>
  <c r="AH276" i="8"/>
  <c r="AH280" i="8"/>
  <c r="AH284" i="8"/>
  <c r="AH288" i="8"/>
  <c r="AH292" i="8"/>
  <c r="AH296" i="8"/>
  <c r="AH300" i="8"/>
  <c r="AH304" i="8"/>
  <c r="AH308" i="8"/>
  <c r="AH312" i="8"/>
  <c r="AH316" i="8"/>
  <c r="AH320" i="8"/>
  <c r="AH324" i="8"/>
  <c r="AH328" i="8"/>
  <c r="AH332" i="8"/>
  <c r="AH336" i="8"/>
  <c r="AH340" i="8"/>
  <c r="AH344" i="8"/>
  <c r="AH348" i="8"/>
  <c r="AH352" i="8"/>
  <c r="AH356" i="8"/>
  <c r="AH360" i="8"/>
  <c r="AH364" i="8"/>
  <c r="AH368" i="8"/>
  <c r="AH372" i="8"/>
  <c r="AG9" i="8"/>
  <c r="AG13" i="8"/>
  <c r="AG17" i="8"/>
  <c r="AG21" i="8"/>
  <c r="AG25" i="8"/>
  <c r="AG41" i="8"/>
  <c r="AG49" i="8"/>
  <c r="AG53" i="8"/>
  <c r="AG57" i="8"/>
  <c r="AG61" i="8"/>
  <c r="AG65" i="8"/>
  <c r="AG73" i="8"/>
  <c r="AG77" i="8"/>
  <c r="AG81" i="8"/>
  <c r="AG85" i="8"/>
  <c r="AG89" i="8"/>
  <c r="AG93" i="8"/>
  <c r="AG97" i="8"/>
  <c r="AG101" i="8"/>
  <c r="AG105" i="8"/>
  <c r="AG109" i="8"/>
  <c r="AG113" i="8"/>
  <c r="AG117" i="8"/>
  <c r="AG121" i="8"/>
  <c r="AG125" i="8"/>
  <c r="AG129" i="8"/>
  <c r="AG133" i="8"/>
  <c r="AG137" i="8"/>
  <c r="AG153" i="8"/>
  <c r="AG157" i="8"/>
  <c r="AG161" i="8"/>
  <c r="AG168" i="8"/>
  <c r="AG172" i="8"/>
  <c r="AG180" i="8"/>
  <c r="AG188" i="8"/>
  <c r="AG192" i="8"/>
  <c r="AG196" i="8"/>
  <c r="AG200" i="8"/>
  <c r="AG204" i="8"/>
  <c r="AG208" i="8"/>
  <c r="AG212" i="8"/>
  <c r="AG216" i="8"/>
  <c r="AG220" i="8"/>
  <c r="AG224" i="8"/>
  <c r="AG228" i="8"/>
  <c r="AG232" i="8"/>
  <c r="AG236" i="8"/>
  <c r="AG240" i="8"/>
  <c r="AG244" i="8"/>
  <c r="AG248" i="8"/>
  <c r="AG252" i="8"/>
  <c r="AG256" i="8"/>
  <c r="AG260" i="8"/>
  <c r="AG264" i="8"/>
  <c r="AG268" i="8"/>
  <c r="AG272" i="8"/>
  <c r="AG276" i="8"/>
  <c r="AG280" i="8"/>
  <c r="AG284" i="8"/>
  <c r="AG288" i="8"/>
  <c r="AG292" i="8"/>
  <c r="AG296" i="8"/>
  <c r="AG300" i="8"/>
  <c r="AG304" i="8"/>
  <c r="AG308" i="8"/>
  <c r="AG312" i="8"/>
  <c r="AG316" i="8"/>
  <c r="AG320" i="8"/>
  <c r="AG324" i="8"/>
  <c r="AG328" i="8"/>
  <c r="AG332" i="8"/>
  <c r="AG336" i="8"/>
  <c r="AG340" i="8"/>
  <c r="AG344" i="8"/>
  <c r="AG348" i="8"/>
  <c r="AG352" i="8"/>
  <c r="AG356" i="8"/>
  <c r="AG360" i="8"/>
  <c r="AG364" i="8"/>
  <c r="AG368" i="8"/>
  <c r="AG372" i="8"/>
  <c r="AF9" i="8"/>
  <c r="AF13" i="8"/>
  <c r="AF17" i="8"/>
  <c r="AF21" i="8"/>
  <c r="AF25" i="8"/>
  <c r="AF29" i="8"/>
  <c r="AF33" i="8"/>
  <c r="AF37" i="8"/>
  <c r="AF41" i="8"/>
  <c r="AF45" i="8"/>
  <c r="AF49" i="8"/>
  <c r="AF53" i="8"/>
  <c r="AF57" i="8"/>
  <c r="AF61" i="8"/>
  <c r="AF65" i="8"/>
  <c r="AF69" i="8"/>
  <c r="AF73" i="8"/>
  <c r="AF77" i="8"/>
  <c r="AF81" i="8"/>
  <c r="AF85" i="8"/>
  <c r="AF89" i="8"/>
  <c r="AF93" i="8"/>
  <c r="AF97" i="8"/>
  <c r="AF101" i="8"/>
  <c r="AF105" i="8"/>
  <c r="AF109" i="8"/>
  <c r="AF113" i="8"/>
  <c r="AF117" i="8"/>
  <c r="AF121" i="8"/>
  <c r="AF125" i="8"/>
  <c r="AF129" i="8"/>
  <c r="AF133" i="8"/>
  <c r="AF137" i="8"/>
  <c r="AF141" i="8"/>
  <c r="AF145" i="8"/>
  <c r="AF149" i="8"/>
  <c r="AF153" i="8"/>
  <c r="AF157" i="8"/>
  <c r="AF161" i="8"/>
  <c r="AF168" i="8"/>
  <c r="AF172" i="8"/>
  <c r="AF176" i="8"/>
  <c r="AF180" i="8"/>
  <c r="AF184" i="8"/>
  <c r="AF188" i="8"/>
  <c r="AF192" i="8"/>
  <c r="AF196" i="8"/>
  <c r="AF200" i="8"/>
  <c r="AF204" i="8"/>
  <c r="AF208" i="8"/>
  <c r="AF212" i="8"/>
  <c r="AF216" i="8"/>
  <c r="AF220" i="8"/>
  <c r="AF224" i="8"/>
  <c r="AF228" i="8"/>
  <c r="AF232" i="8"/>
  <c r="AF236" i="8"/>
  <c r="AF240" i="8"/>
  <c r="AF244" i="8"/>
  <c r="AF248" i="8"/>
  <c r="AF252" i="8"/>
  <c r="AF256" i="8"/>
  <c r="AF260" i="8"/>
  <c r="AF264" i="8"/>
  <c r="AF268" i="8"/>
  <c r="AF272" i="8"/>
  <c r="AF276" i="8"/>
  <c r="AF280" i="8"/>
  <c r="AF284" i="8"/>
  <c r="AF288" i="8"/>
  <c r="AF292" i="8"/>
  <c r="AF296" i="8"/>
  <c r="AF300" i="8"/>
  <c r="AF304" i="8"/>
  <c r="AF308" i="8"/>
  <c r="AF312" i="8"/>
  <c r="AF316" i="8"/>
  <c r="AF320" i="8"/>
  <c r="AF324" i="8"/>
  <c r="AF328" i="8"/>
  <c r="AF332" i="8"/>
  <c r="AF336" i="8"/>
  <c r="AF340" i="8"/>
  <c r="AF344" i="8"/>
  <c r="AF348" i="8"/>
  <c r="AF352" i="8"/>
  <c r="AF356" i="8"/>
  <c r="AF360" i="8"/>
  <c r="AP303" i="8"/>
  <c r="AN19" i="8"/>
  <c r="AN278" i="8"/>
  <c r="AM171" i="8"/>
  <c r="AP7" i="8"/>
  <c r="AL68" i="8"/>
  <c r="AL132" i="8"/>
  <c r="AL199" i="8"/>
  <c r="AL263" i="8"/>
  <c r="AL327" i="8"/>
  <c r="AK24" i="8"/>
  <c r="AK88" i="8"/>
  <c r="AK152" i="8"/>
  <c r="AK219" i="8"/>
  <c r="AK283" i="8"/>
  <c r="AK347" i="8"/>
  <c r="AJ30" i="8"/>
  <c r="AJ46" i="8"/>
  <c r="AJ62" i="8"/>
  <c r="AJ78" i="8"/>
  <c r="AJ94" i="8"/>
  <c r="AJ110" i="8"/>
  <c r="AJ126" i="8"/>
  <c r="AJ142" i="8"/>
  <c r="AJ158" i="8"/>
  <c r="AJ177" i="8"/>
  <c r="AJ193" i="8"/>
  <c r="AJ209" i="8"/>
  <c r="AJ225" i="8"/>
  <c r="AJ241" i="8"/>
  <c r="AJ257" i="8"/>
  <c r="AJ273" i="8"/>
  <c r="AJ289" i="8"/>
  <c r="AJ305" i="8"/>
  <c r="AJ321" i="8"/>
  <c r="AJ337" i="8"/>
  <c r="AJ353" i="8"/>
  <c r="AJ369" i="8"/>
  <c r="AI18" i="8"/>
  <c r="AI34" i="8"/>
  <c r="AI50" i="8"/>
  <c r="AI66" i="8"/>
  <c r="AI82" i="8"/>
  <c r="AI98" i="8"/>
  <c r="AI114" i="8"/>
  <c r="AI130" i="8"/>
  <c r="AI146" i="8"/>
  <c r="AI162" i="8"/>
  <c r="AI181" i="8"/>
  <c r="AI197" i="8"/>
  <c r="AI213" i="8"/>
  <c r="AI229" i="8"/>
  <c r="AI245" i="8"/>
  <c r="AI261" i="8"/>
  <c r="AI277" i="8"/>
  <c r="AI293" i="8"/>
  <c r="AI309" i="8"/>
  <c r="AI325" i="8"/>
  <c r="AI341" i="8"/>
  <c r="AI357" i="8"/>
  <c r="AI373" i="8"/>
  <c r="AH22" i="8"/>
  <c r="AH38" i="8"/>
  <c r="AH54" i="8"/>
  <c r="AH70" i="8"/>
  <c r="AH86" i="8"/>
  <c r="AH102" i="8"/>
  <c r="AH118" i="8"/>
  <c r="AH134" i="8"/>
  <c r="AH150" i="8"/>
  <c r="AH169" i="8"/>
  <c r="AH185" i="8"/>
  <c r="AH201" i="8"/>
  <c r="AH217" i="8"/>
  <c r="AH233" i="8"/>
  <c r="AH249" i="8"/>
  <c r="AH265" i="8"/>
  <c r="AH281" i="8"/>
  <c r="AH297" i="8"/>
  <c r="AH313" i="8"/>
  <c r="AH329" i="8"/>
  <c r="AH345" i="8"/>
  <c r="AH361" i="8"/>
  <c r="AG10" i="8"/>
  <c r="AG26" i="8"/>
  <c r="AG58" i="8"/>
  <c r="AG74" i="8"/>
  <c r="AG90" i="8"/>
  <c r="AG106" i="8"/>
  <c r="AG122" i="8"/>
  <c r="AG138" i="8"/>
  <c r="AG154" i="8"/>
  <c r="AG173" i="8"/>
  <c r="AG189" i="8"/>
  <c r="AG205" i="8"/>
  <c r="AG221" i="8"/>
  <c r="AG237" i="8"/>
  <c r="AG253" i="8"/>
  <c r="AG269" i="8"/>
  <c r="AG285" i="8"/>
  <c r="AG301" i="8"/>
  <c r="AG317" i="8"/>
  <c r="AG333" i="8"/>
  <c r="AG349" i="8"/>
  <c r="AG365" i="8"/>
  <c r="AF14" i="8"/>
  <c r="AF30" i="8"/>
  <c r="AF46" i="8"/>
  <c r="AF62" i="8"/>
  <c r="AF78" i="8"/>
  <c r="AF94" i="8"/>
  <c r="AF110" i="8"/>
  <c r="AF126" i="8"/>
  <c r="AF142" i="8"/>
  <c r="AF158" i="8"/>
  <c r="AF177" i="8"/>
  <c r="AF193" i="8"/>
  <c r="AF209" i="8"/>
  <c r="AF225" i="8"/>
  <c r="AF241" i="8"/>
  <c r="AF257" i="8"/>
  <c r="AF273" i="8"/>
  <c r="AF289" i="8"/>
  <c r="AF305" i="8"/>
  <c r="AF321" i="8"/>
  <c r="AF337" i="8"/>
  <c r="AF353" i="8"/>
  <c r="AF363" i="8"/>
  <c r="AF367" i="8"/>
  <c r="AF371" i="8"/>
  <c r="AE8" i="8"/>
  <c r="AE12" i="8"/>
  <c r="AE16" i="8"/>
  <c r="AE20" i="8"/>
  <c r="AE24" i="8"/>
  <c r="AE28" i="8"/>
  <c r="AE32" i="8"/>
  <c r="AE36" i="8"/>
  <c r="AE40" i="8"/>
  <c r="AE44" i="8"/>
  <c r="AE48" i="8"/>
  <c r="AE52" i="8"/>
  <c r="AE56" i="8"/>
  <c r="AE60" i="8"/>
  <c r="AE64" i="8"/>
  <c r="AE68" i="8"/>
  <c r="AE72" i="8"/>
  <c r="AE76" i="8"/>
  <c r="AE80" i="8"/>
  <c r="AE84" i="8"/>
  <c r="AE88" i="8"/>
  <c r="AE92" i="8"/>
  <c r="AE96" i="8"/>
  <c r="AE100" i="8"/>
  <c r="AE104" i="8"/>
  <c r="AE108" i="8"/>
  <c r="AE112" i="8"/>
  <c r="AE116" i="8"/>
  <c r="AE120" i="8"/>
  <c r="AE124" i="8"/>
  <c r="AE128" i="8"/>
  <c r="AE132" i="8"/>
  <c r="AE136" i="8"/>
  <c r="AE140" i="8"/>
  <c r="AE144" i="8"/>
  <c r="AE148" i="8"/>
  <c r="AE152" i="8"/>
  <c r="AE156" i="8"/>
  <c r="AE160" i="8"/>
  <c r="AE167" i="8"/>
  <c r="AE171" i="8"/>
  <c r="AE175" i="8"/>
  <c r="AE179" i="8"/>
  <c r="AE183" i="8"/>
  <c r="AE187" i="8"/>
  <c r="AE191" i="8"/>
  <c r="AE195" i="8"/>
  <c r="AE199" i="8"/>
  <c r="AE203" i="8"/>
  <c r="AE207" i="8"/>
  <c r="AE211" i="8"/>
  <c r="AE215" i="8"/>
  <c r="AE219" i="8"/>
  <c r="AE223" i="8"/>
  <c r="AE227" i="8"/>
  <c r="AE231" i="8"/>
  <c r="AE235" i="8"/>
  <c r="AE239" i="8"/>
  <c r="AE243" i="8"/>
  <c r="AE247" i="8"/>
  <c r="AE251" i="8"/>
  <c r="AE255" i="8"/>
  <c r="AE259" i="8"/>
  <c r="AE263" i="8"/>
  <c r="AE267" i="8"/>
  <c r="AE271" i="8"/>
  <c r="AE275" i="8"/>
  <c r="AE279" i="8"/>
  <c r="AE283" i="8"/>
  <c r="AE287" i="8"/>
  <c r="AE291" i="8"/>
  <c r="AE295" i="8"/>
  <c r="AE299" i="8"/>
  <c r="AE303" i="8"/>
  <c r="AE307" i="8"/>
  <c r="AE311" i="8"/>
  <c r="AE315" i="8"/>
  <c r="AE319" i="8"/>
  <c r="AE323" i="8"/>
  <c r="AE327" i="8"/>
  <c r="AE331" i="8"/>
  <c r="AE335" i="8"/>
  <c r="AE339" i="8"/>
  <c r="AE343" i="8"/>
  <c r="AE347" i="8"/>
  <c r="AE351" i="8"/>
  <c r="AE355" i="8"/>
  <c r="AE359" i="8"/>
  <c r="AE363" i="8"/>
  <c r="AE367" i="8"/>
  <c r="AE371" i="8"/>
  <c r="AD8" i="8"/>
  <c r="AD12" i="8"/>
  <c r="AD16" i="8"/>
  <c r="AD20" i="8"/>
  <c r="AD24" i="8"/>
  <c r="AD28" i="8"/>
  <c r="AD32" i="8"/>
  <c r="AD36" i="8"/>
  <c r="AD40" i="8"/>
  <c r="AD44" i="8"/>
  <c r="AD48" i="8"/>
  <c r="AD52" i="8"/>
  <c r="AD56" i="8"/>
  <c r="AD60" i="8"/>
  <c r="AD64" i="8"/>
  <c r="AD68" i="8"/>
  <c r="AD72" i="8"/>
  <c r="AD76" i="8"/>
  <c r="AD80" i="8"/>
  <c r="AD84" i="8"/>
  <c r="AD88" i="8"/>
  <c r="AD92" i="8"/>
  <c r="AD96" i="8"/>
  <c r="AD100" i="8"/>
  <c r="AD104" i="8"/>
  <c r="AD108" i="8"/>
  <c r="AD112" i="8"/>
  <c r="AD116" i="8"/>
  <c r="AD120" i="8"/>
  <c r="AD124" i="8"/>
  <c r="AD128" i="8"/>
  <c r="AD132" i="8"/>
  <c r="AD136" i="8"/>
  <c r="AD140" i="8"/>
  <c r="AD144" i="8"/>
  <c r="AD148" i="8"/>
  <c r="AD152" i="8"/>
  <c r="AD156" i="8"/>
  <c r="AD160" i="8"/>
  <c r="AD167" i="8"/>
  <c r="AD171" i="8"/>
  <c r="AD175" i="8"/>
  <c r="AD179" i="8"/>
  <c r="AD183" i="8"/>
  <c r="AD187" i="8"/>
  <c r="AD191" i="8"/>
  <c r="AD195" i="8"/>
  <c r="AD199" i="8"/>
  <c r="AD203" i="8"/>
  <c r="AD207" i="8"/>
  <c r="AD211" i="8"/>
  <c r="AD215" i="8"/>
  <c r="AD219" i="8"/>
  <c r="AD223" i="8"/>
  <c r="AD227" i="8"/>
  <c r="AD231" i="8"/>
  <c r="AD235" i="8"/>
  <c r="AD239" i="8"/>
  <c r="AD243" i="8"/>
  <c r="AD247" i="8"/>
  <c r="AD251" i="8"/>
  <c r="AD255" i="8"/>
  <c r="AD259" i="8"/>
  <c r="AD263" i="8"/>
  <c r="AD267" i="8"/>
  <c r="AD271" i="8"/>
  <c r="AD275" i="8"/>
  <c r="AD279" i="8"/>
  <c r="AD283" i="8"/>
  <c r="AD287" i="8"/>
  <c r="AD291" i="8"/>
  <c r="AD295" i="8"/>
  <c r="AD299" i="8"/>
  <c r="AD303" i="8"/>
  <c r="AD307" i="8"/>
  <c r="AD311" i="8"/>
  <c r="AD315" i="8"/>
  <c r="AD319" i="8"/>
  <c r="AD323" i="8"/>
  <c r="AD327" i="8"/>
  <c r="AD331" i="8"/>
  <c r="AD335" i="8"/>
  <c r="AD339" i="8"/>
  <c r="AD343" i="8"/>
  <c r="AD347" i="8"/>
  <c r="AD351" i="8"/>
  <c r="AD355" i="8"/>
  <c r="AD359" i="8"/>
  <c r="AD363" i="8"/>
  <c r="AD367" i="8"/>
  <c r="AD371" i="8"/>
  <c r="AC8" i="8"/>
  <c r="AC12" i="8"/>
  <c r="AC16" i="8"/>
  <c r="AC20" i="8"/>
  <c r="AC24" i="8"/>
  <c r="AC28" i="8"/>
  <c r="AC32" i="8"/>
  <c r="AC36" i="8"/>
  <c r="AC40" i="8"/>
  <c r="AC44" i="8"/>
  <c r="AC48" i="8"/>
  <c r="AC52" i="8"/>
  <c r="AC56" i="8"/>
  <c r="AC60" i="8"/>
  <c r="AC64" i="8"/>
  <c r="AC68" i="8"/>
  <c r="AC72" i="8"/>
  <c r="AC76" i="8"/>
  <c r="AC80" i="8"/>
  <c r="AC84" i="8"/>
  <c r="AC88" i="8"/>
  <c r="AC92" i="8"/>
  <c r="AC96" i="8"/>
  <c r="AC100" i="8"/>
  <c r="AC104" i="8"/>
  <c r="AC108" i="8"/>
  <c r="AC112" i="8"/>
  <c r="AC116" i="8"/>
  <c r="AC120" i="8"/>
  <c r="AC124" i="8"/>
  <c r="AC128" i="8"/>
  <c r="AC132" i="8"/>
  <c r="AC136" i="8"/>
  <c r="AC140" i="8"/>
  <c r="AC144" i="8"/>
  <c r="AC148" i="8"/>
  <c r="AC152" i="8"/>
  <c r="AC156" i="8"/>
  <c r="AC160" i="8"/>
  <c r="AC167" i="8"/>
  <c r="AC171" i="8"/>
  <c r="AC175" i="8"/>
  <c r="AC179" i="8"/>
  <c r="AC183" i="8"/>
  <c r="AC187" i="8"/>
  <c r="AC191" i="8"/>
  <c r="AC195" i="8"/>
  <c r="AC199" i="8"/>
  <c r="AC203" i="8"/>
  <c r="AC207" i="8"/>
  <c r="AC211" i="8"/>
  <c r="AC215" i="8"/>
  <c r="AC219" i="8"/>
  <c r="AC223" i="8"/>
  <c r="AC227" i="8"/>
  <c r="AC231" i="8"/>
  <c r="AC235" i="8"/>
  <c r="AC239" i="8"/>
  <c r="AC243" i="8"/>
  <c r="AC247" i="8"/>
  <c r="AC251" i="8"/>
  <c r="AC255" i="8"/>
  <c r="AC259" i="8"/>
  <c r="AC263" i="8"/>
  <c r="AC267" i="8"/>
  <c r="AC271" i="8"/>
  <c r="AC275" i="8"/>
  <c r="AC279" i="8"/>
  <c r="AC283" i="8"/>
  <c r="AC287" i="8"/>
  <c r="AC291" i="8"/>
  <c r="AC295" i="8"/>
  <c r="AC299" i="8"/>
  <c r="AC303" i="8"/>
  <c r="AC307" i="8"/>
  <c r="AC311" i="8"/>
  <c r="AC315" i="8"/>
  <c r="AC319" i="8"/>
  <c r="AC323" i="8"/>
  <c r="AC327" i="8"/>
  <c r="AC331" i="8"/>
  <c r="AC335" i="8"/>
  <c r="AC339" i="8"/>
  <c r="AC343" i="8"/>
  <c r="AC347" i="8"/>
  <c r="AC351" i="8"/>
  <c r="AC355" i="8"/>
  <c r="AC359" i="8"/>
  <c r="AC363" i="8"/>
  <c r="AC367" i="8"/>
  <c r="AC371" i="8"/>
  <c r="AB8" i="8"/>
  <c r="AB12" i="8"/>
  <c r="AB16" i="8"/>
  <c r="AB20" i="8"/>
  <c r="AB24" i="8"/>
  <c r="AB28" i="8"/>
  <c r="AB32" i="8"/>
  <c r="AB36" i="8"/>
  <c r="AB40" i="8"/>
  <c r="AB44" i="8"/>
  <c r="AB48" i="8"/>
  <c r="AB52" i="8"/>
  <c r="AB56" i="8"/>
  <c r="AB60" i="8"/>
  <c r="AB64" i="8"/>
  <c r="AB68" i="8"/>
  <c r="AB72" i="8"/>
  <c r="AB76" i="8"/>
  <c r="AB80" i="8"/>
  <c r="AB84" i="8"/>
  <c r="AB88" i="8"/>
  <c r="AB92" i="8"/>
  <c r="AB96" i="8"/>
  <c r="AB100" i="8"/>
  <c r="AB104" i="8"/>
  <c r="AB108" i="8"/>
  <c r="AB112" i="8"/>
  <c r="AB116" i="8"/>
  <c r="AB120" i="8"/>
  <c r="AB124" i="8"/>
  <c r="AB128" i="8"/>
  <c r="AB132" i="8"/>
  <c r="AB136" i="8"/>
  <c r="AB140" i="8"/>
  <c r="AB144" i="8"/>
  <c r="AB148" i="8"/>
  <c r="AB152" i="8"/>
  <c r="AB156" i="8"/>
  <c r="AB160" i="8"/>
  <c r="AB167" i="8"/>
  <c r="AB171" i="8"/>
  <c r="AB175" i="8"/>
  <c r="AB179" i="8"/>
  <c r="AB183" i="8"/>
  <c r="AB187" i="8"/>
  <c r="AB191" i="8"/>
  <c r="AB195" i="8"/>
  <c r="AB199" i="8"/>
  <c r="AB203" i="8"/>
  <c r="AB207" i="8"/>
  <c r="AB211" i="8"/>
  <c r="AB215" i="8"/>
  <c r="AB219" i="8"/>
  <c r="AB223" i="8"/>
  <c r="AB227" i="8"/>
  <c r="AB231" i="8"/>
  <c r="AB235" i="8"/>
  <c r="AB239" i="8"/>
  <c r="AB243" i="8"/>
  <c r="AB247" i="8"/>
  <c r="AB251" i="8"/>
  <c r="AB255" i="8"/>
  <c r="AB259" i="8"/>
  <c r="AB263" i="8"/>
  <c r="AB267" i="8"/>
  <c r="AB271" i="8"/>
  <c r="AB275" i="8"/>
  <c r="AB279" i="8"/>
  <c r="AB283" i="8"/>
  <c r="AB287" i="8"/>
  <c r="AB291" i="8"/>
  <c r="AB295" i="8"/>
  <c r="AB299" i="8"/>
  <c r="AB303" i="8"/>
  <c r="AB307" i="8"/>
  <c r="AB311" i="8"/>
  <c r="AB315" i="8"/>
  <c r="AB319" i="8"/>
  <c r="AB323" i="8"/>
  <c r="AB327" i="8"/>
  <c r="AB331" i="8"/>
  <c r="AB335" i="8"/>
  <c r="AB339" i="8"/>
  <c r="AB343" i="8"/>
  <c r="AB347" i="8"/>
  <c r="AB351" i="8"/>
  <c r="AB355" i="8"/>
  <c r="AB359" i="8"/>
  <c r="AB363" i="8"/>
  <c r="AB367" i="8"/>
  <c r="AB371" i="8"/>
  <c r="AA8" i="8"/>
  <c r="AO192" i="8"/>
  <c r="AN83" i="8"/>
  <c r="AN342" i="8"/>
  <c r="AM235" i="8"/>
  <c r="AL20" i="8"/>
  <c r="AL84" i="8"/>
  <c r="AL148" i="8"/>
  <c r="AL215" i="8"/>
  <c r="AL279" i="8"/>
  <c r="AL343" i="8"/>
  <c r="AK40" i="8"/>
  <c r="AK104" i="8"/>
  <c r="AK171" i="8"/>
  <c r="AK235" i="8"/>
  <c r="AK299" i="8"/>
  <c r="AK363" i="8"/>
  <c r="AJ34" i="8"/>
  <c r="AJ50" i="8"/>
  <c r="AJ66" i="8"/>
  <c r="AJ82" i="8"/>
  <c r="AJ98" i="8"/>
  <c r="AJ114" i="8"/>
  <c r="AJ130" i="8"/>
  <c r="AJ146" i="8"/>
  <c r="AJ162" i="8"/>
  <c r="AJ181" i="8"/>
  <c r="AJ197" i="8"/>
  <c r="AJ213" i="8"/>
  <c r="AJ229" i="8"/>
  <c r="AJ245" i="8"/>
  <c r="AJ261" i="8"/>
  <c r="AJ277" i="8"/>
  <c r="AJ293" i="8"/>
  <c r="AJ309" i="8"/>
  <c r="AJ325" i="8"/>
  <c r="AJ341" i="8"/>
  <c r="AJ357" i="8"/>
  <c r="AJ373" i="8"/>
  <c r="AI22" i="8"/>
  <c r="AI38" i="8"/>
  <c r="AI54" i="8"/>
  <c r="AI70" i="8"/>
  <c r="AI86" i="8"/>
  <c r="AI102" i="8"/>
  <c r="AI118" i="8"/>
  <c r="AI134" i="8"/>
  <c r="AI150" i="8"/>
  <c r="AI169" i="8"/>
  <c r="AI185" i="8"/>
  <c r="AI201" i="8"/>
  <c r="AI217" i="8"/>
  <c r="AI233" i="8"/>
  <c r="AI249" i="8"/>
  <c r="AI265" i="8"/>
  <c r="AI281" i="8"/>
  <c r="AI297" i="8"/>
  <c r="AI313" i="8"/>
  <c r="AI329" i="8"/>
  <c r="AI345" i="8"/>
  <c r="AI361" i="8"/>
  <c r="AH10" i="8"/>
  <c r="AH26" i="8"/>
  <c r="AH42" i="8"/>
  <c r="AH58" i="8"/>
  <c r="AH74" i="8"/>
  <c r="AH90" i="8"/>
  <c r="AH106" i="8"/>
  <c r="AH122" i="8"/>
  <c r="AH138" i="8"/>
  <c r="AH154" i="8"/>
  <c r="AH173" i="8"/>
  <c r="AH189" i="8"/>
  <c r="AH205" i="8"/>
  <c r="AH221" i="8"/>
  <c r="AH237" i="8"/>
  <c r="AH253" i="8"/>
  <c r="AH269" i="8"/>
  <c r="AH285" i="8"/>
  <c r="AH301" i="8"/>
  <c r="AH317" i="8"/>
  <c r="AH333" i="8"/>
  <c r="AH349" i="8"/>
  <c r="AH365" i="8"/>
  <c r="AG62" i="8"/>
  <c r="AG94" i="8"/>
  <c r="AG110" i="8"/>
  <c r="AG126" i="8"/>
  <c r="AG142" i="8"/>
  <c r="AG158" i="8"/>
  <c r="AG177" i="8"/>
  <c r="AG193" i="8"/>
  <c r="AG209" i="8"/>
  <c r="AG225" i="8"/>
  <c r="AG241" i="8"/>
  <c r="AG257" i="8"/>
  <c r="AG273" i="8"/>
  <c r="AG289" i="8"/>
  <c r="AG305" i="8"/>
  <c r="AG321" i="8"/>
  <c r="AG337" i="8"/>
  <c r="AG353" i="8"/>
  <c r="AG369" i="8"/>
  <c r="AF18" i="8"/>
  <c r="AF34" i="8"/>
  <c r="AF50" i="8"/>
  <c r="AF66" i="8"/>
  <c r="AF82" i="8"/>
  <c r="AF98" i="8"/>
  <c r="AF114" i="8"/>
  <c r="AF130" i="8"/>
  <c r="AF146" i="8"/>
  <c r="AF162" i="8"/>
  <c r="AF181" i="8"/>
  <c r="AF197" i="8"/>
  <c r="AF213" i="8"/>
  <c r="AF229" i="8"/>
  <c r="AF245" i="8"/>
  <c r="AF261" i="8"/>
  <c r="AF277" i="8"/>
  <c r="AF293" i="8"/>
  <c r="AF309" i="8"/>
  <c r="AF325" i="8"/>
  <c r="AF341" i="8"/>
  <c r="AF357" i="8"/>
  <c r="AF364" i="8"/>
  <c r="AF368" i="8"/>
  <c r="AF372" i="8"/>
  <c r="AE9" i="8"/>
  <c r="AE13" i="8"/>
  <c r="AE17" i="8"/>
  <c r="AE21" i="8"/>
  <c r="AE25" i="8"/>
  <c r="AE29" i="8"/>
  <c r="AE33" i="8"/>
  <c r="AE37" i="8"/>
  <c r="AE41" i="8"/>
  <c r="AE45" i="8"/>
  <c r="AE49" i="8"/>
  <c r="AE53" i="8"/>
  <c r="AE57" i="8"/>
  <c r="AE61" i="8"/>
  <c r="AE65" i="8"/>
  <c r="AE69" i="8"/>
  <c r="AE73" i="8"/>
  <c r="AE77" i="8"/>
  <c r="AE81" i="8"/>
  <c r="AE85" i="8"/>
  <c r="AE89" i="8"/>
  <c r="AE93" i="8"/>
  <c r="AE97" i="8"/>
  <c r="AE101" i="8"/>
  <c r="AE105" i="8"/>
  <c r="AE109" i="8"/>
  <c r="AE113" i="8"/>
  <c r="AE117" i="8"/>
  <c r="AE121" i="8"/>
  <c r="AE125" i="8"/>
  <c r="AE129" i="8"/>
  <c r="AE133" i="8"/>
  <c r="AE137" i="8"/>
  <c r="AE141" i="8"/>
  <c r="AE145" i="8"/>
  <c r="AE149" i="8"/>
  <c r="AE153" i="8"/>
  <c r="AE157" i="8"/>
  <c r="AE161" i="8"/>
  <c r="AE168" i="8"/>
  <c r="AE172" i="8"/>
  <c r="AE176" i="8"/>
  <c r="AE180" i="8"/>
  <c r="AE184" i="8"/>
  <c r="AE188" i="8"/>
  <c r="AE192" i="8"/>
  <c r="AE196" i="8"/>
  <c r="AE200" i="8"/>
  <c r="AE204" i="8"/>
  <c r="AE208" i="8"/>
  <c r="AE212" i="8"/>
  <c r="AE216" i="8"/>
  <c r="AE220" i="8"/>
  <c r="AE224" i="8"/>
  <c r="AE228" i="8"/>
  <c r="AE232" i="8"/>
  <c r="AE236" i="8"/>
  <c r="AE240" i="8"/>
  <c r="AE244" i="8"/>
  <c r="AE248" i="8"/>
  <c r="AE252" i="8"/>
  <c r="AE256" i="8"/>
  <c r="AE260" i="8"/>
  <c r="AE264" i="8"/>
  <c r="AE268" i="8"/>
  <c r="AE272" i="8"/>
  <c r="AE276" i="8"/>
  <c r="AE280" i="8"/>
  <c r="AE284" i="8"/>
  <c r="AE288" i="8"/>
  <c r="AE292" i="8"/>
  <c r="AE296" i="8"/>
  <c r="AE300" i="8"/>
  <c r="AE304" i="8"/>
  <c r="AE308" i="8"/>
  <c r="AE312" i="8"/>
  <c r="AE316" i="8"/>
  <c r="AE320" i="8"/>
  <c r="AE324" i="8"/>
  <c r="AE328" i="8"/>
  <c r="AE332" i="8"/>
  <c r="AE336" i="8"/>
  <c r="AE340" i="8"/>
  <c r="AE344" i="8"/>
  <c r="AE348" i="8"/>
  <c r="AE352" i="8"/>
  <c r="AE356" i="8"/>
  <c r="AE360" i="8"/>
  <c r="AE364" i="8"/>
  <c r="AE368" i="8"/>
  <c r="AE372" i="8"/>
  <c r="AD9" i="8"/>
  <c r="AD13" i="8"/>
  <c r="AD17" i="8"/>
  <c r="AD21" i="8"/>
  <c r="AD25" i="8"/>
  <c r="AD29" i="8"/>
  <c r="AD33" i="8"/>
  <c r="AD37" i="8"/>
  <c r="AD41" i="8"/>
  <c r="AD45" i="8"/>
  <c r="AD49" i="8"/>
  <c r="AD53" i="8"/>
  <c r="AD57" i="8"/>
  <c r="AD61" i="8"/>
  <c r="AD65" i="8"/>
  <c r="AD69" i="8"/>
  <c r="AD73" i="8"/>
  <c r="AD77" i="8"/>
  <c r="AD81" i="8"/>
  <c r="AD85" i="8"/>
  <c r="AD89" i="8"/>
  <c r="AD93" i="8"/>
  <c r="AD97" i="8"/>
  <c r="AD101" i="8"/>
  <c r="AD105" i="8"/>
  <c r="AD109" i="8"/>
  <c r="AD113" i="8"/>
  <c r="AD117" i="8"/>
  <c r="AD121" i="8"/>
  <c r="AD125" i="8"/>
  <c r="AD129" i="8"/>
  <c r="AD133" i="8"/>
  <c r="AD137" i="8"/>
  <c r="AD141" i="8"/>
  <c r="AD145" i="8"/>
  <c r="AD149" i="8"/>
  <c r="AD153" i="8"/>
  <c r="AD157" i="8"/>
  <c r="AD161" i="8"/>
  <c r="AD168" i="8"/>
  <c r="AD172" i="8"/>
  <c r="AD176" i="8"/>
  <c r="AD180" i="8"/>
  <c r="AD184" i="8"/>
  <c r="AD188" i="8"/>
  <c r="AD192" i="8"/>
  <c r="AD196" i="8"/>
  <c r="AD200" i="8"/>
  <c r="AD204" i="8"/>
  <c r="AD208" i="8"/>
  <c r="AD212" i="8"/>
  <c r="AD216" i="8"/>
  <c r="AD220" i="8"/>
  <c r="AD224" i="8"/>
  <c r="AD228" i="8"/>
  <c r="AD232" i="8"/>
  <c r="AD236" i="8"/>
  <c r="AD240" i="8"/>
  <c r="AD244" i="8"/>
  <c r="AD248" i="8"/>
  <c r="AD252" i="8"/>
  <c r="AD256" i="8"/>
  <c r="AD260" i="8"/>
  <c r="AD264" i="8"/>
  <c r="AD268" i="8"/>
  <c r="AD272" i="8"/>
  <c r="AD276" i="8"/>
  <c r="AD280" i="8"/>
  <c r="AD284" i="8"/>
  <c r="AD288" i="8"/>
  <c r="AD292" i="8"/>
  <c r="AD296" i="8"/>
  <c r="AD300" i="8"/>
  <c r="AD304" i="8"/>
  <c r="AD308" i="8"/>
  <c r="AD312" i="8"/>
  <c r="AD316" i="8"/>
  <c r="AD320" i="8"/>
  <c r="AD324" i="8"/>
  <c r="AD328" i="8"/>
  <c r="AD332" i="8"/>
  <c r="AD336" i="8"/>
  <c r="AD340" i="8"/>
  <c r="AD344" i="8"/>
  <c r="AD348" i="8"/>
  <c r="AD352" i="8"/>
  <c r="AD356" i="8"/>
  <c r="AD360" i="8"/>
  <c r="AD364" i="8"/>
  <c r="AD368" i="8"/>
  <c r="AD372" i="8"/>
  <c r="AC9" i="8"/>
  <c r="AC13" i="8"/>
  <c r="AC17" i="8"/>
  <c r="AC21" i="8"/>
  <c r="AC25" i="8"/>
  <c r="AC29" i="8"/>
  <c r="AC33" i="8"/>
  <c r="AC37" i="8"/>
  <c r="AC41" i="8"/>
  <c r="AC45" i="8"/>
  <c r="AC49" i="8"/>
  <c r="AC53" i="8"/>
  <c r="AC57" i="8"/>
  <c r="AC61" i="8"/>
  <c r="AC65" i="8"/>
  <c r="AC69" i="8"/>
  <c r="AC73" i="8"/>
  <c r="AC77" i="8"/>
  <c r="AC81" i="8"/>
  <c r="AC85" i="8"/>
  <c r="AC89" i="8"/>
  <c r="AC93" i="8"/>
  <c r="AC97" i="8"/>
  <c r="AC101" i="8"/>
  <c r="AC105" i="8"/>
  <c r="AC109" i="8"/>
  <c r="AC113" i="8"/>
  <c r="AC117" i="8"/>
  <c r="AC121" i="8"/>
  <c r="AC125" i="8"/>
  <c r="AC129" i="8"/>
  <c r="AC133" i="8"/>
  <c r="AC137" i="8"/>
  <c r="AC141" i="8"/>
  <c r="AC145" i="8"/>
  <c r="AC149" i="8"/>
  <c r="AC153" i="8"/>
  <c r="AC157" i="8"/>
  <c r="AC161" i="8"/>
  <c r="AC168" i="8"/>
  <c r="AC172" i="8"/>
  <c r="AC176" i="8"/>
  <c r="AC180" i="8"/>
  <c r="AC184" i="8"/>
  <c r="AC188" i="8"/>
  <c r="AC192" i="8"/>
  <c r="AC196" i="8"/>
  <c r="AC200" i="8"/>
  <c r="AC204" i="8"/>
  <c r="AC208" i="8"/>
  <c r="AC212" i="8"/>
  <c r="AC216" i="8"/>
  <c r="AC220" i="8"/>
  <c r="AC224" i="8"/>
  <c r="AC228" i="8"/>
  <c r="AC232" i="8"/>
  <c r="AC236" i="8"/>
  <c r="AC240" i="8"/>
  <c r="AC244" i="8"/>
  <c r="AC248" i="8"/>
  <c r="AC252" i="8"/>
  <c r="AC256" i="8"/>
  <c r="AC260" i="8"/>
  <c r="AC264" i="8"/>
  <c r="AC268" i="8"/>
  <c r="AC272" i="8"/>
  <c r="AC276" i="8"/>
  <c r="AC280" i="8"/>
  <c r="AC284" i="8"/>
  <c r="AC288" i="8"/>
  <c r="AC292" i="8"/>
  <c r="AC296" i="8"/>
  <c r="AC300" i="8"/>
  <c r="AC304" i="8"/>
  <c r="AC308" i="8"/>
  <c r="AC312" i="8"/>
  <c r="AC316" i="8"/>
  <c r="AC320" i="8"/>
  <c r="AC324" i="8"/>
  <c r="AC328" i="8"/>
  <c r="AC332" i="8"/>
  <c r="AC336" i="8"/>
  <c r="AC340" i="8"/>
  <c r="AC344" i="8"/>
  <c r="AC348" i="8"/>
  <c r="AC352" i="8"/>
  <c r="AC356" i="8"/>
  <c r="AC360" i="8"/>
  <c r="AC364" i="8"/>
  <c r="AC368" i="8"/>
  <c r="AC372" i="8"/>
  <c r="AB9" i="8"/>
  <c r="AB13" i="8"/>
  <c r="AB17" i="8"/>
  <c r="AB21" i="8"/>
  <c r="AB25" i="8"/>
  <c r="AB29" i="8"/>
  <c r="AB33" i="8"/>
  <c r="AB37" i="8"/>
  <c r="AB41" i="8"/>
  <c r="AB45" i="8"/>
  <c r="AB49" i="8"/>
  <c r="AB53" i="8"/>
  <c r="AB57" i="8"/>
  <c r="AB61" i="8"/>
  <c r="AB65" i="8"/>
  <c r="AB69" i="8"/>
  <c r="AB73" i="8"/>
  <c r="AB77" i="8"/>
  <c r="AB81" i="8"/>
  <c r="AB85" i="8"/>
  <c r="AB89" i="8"/>
  <c r="AB93" i="8"/>
  <c r="AB97" i="8"/>
  <c r="AB101" i="8"/>
  <c r="AB105" i="8"/>
  <c r="AB109" i="8"/>
  <c r="AB113" i="8"/>
  <c r="AB117" i="8"/>
  <c r="AB121" i="8"/>
  <c r="AB125" i="8"/>
  <c r="AB129" i="8"/>
  <c r="AB133" i="8"/>
  <c r="AB137" i="8"/>
  <c r="AB141" i="8"/>
  <c r="AB145" i="8"/>
  <c r="AB149" i="8"/>
  <c r="AB153" i="8"/>
  <c r="AB157" i="8"/>
  <c r="AB161" i="8"/>
  <c r="AB168" i="8"/>
  <c r="AB172" i="8"/>
  <c r="AB176" i="8"/>
  <c r="AB180" i="8"/>
  <c r="AB184" i="8"/>
  <c r="AB188" i="8"/>
  <c r="AB192" i="8"/>
  <c r="AB196" i="8"/>
  <c r="AB200" i="8"/>
  <c r="AB204" i="8"/>
  <c r="AB208" i="8"/>
  <c r="AB212" i="8"/>
  <c r="AB216" i="8"/>
  <c r="AB220" i="8"/>
  <c r="AB224" i="8"/>
  <c r="AB228" i="8"/>
  <c r="AB232" i="8"/>
  <c r="AB236" i="8"/>
  <c r="AB240" i="8"/>
  <c r="AB244" i="8"/>
  <c r="AB248" i="8"/>
  <c r="AB252" i="8"/>
  <c r="AB256" i="8"/>
  <c r="AB260" i="8"/>
  <c r="AB264" i="8"/>
  <c r="AB268" i="8"/>
  <c r="AB272" i="8"/>
  <c r="AB276" i="8"/>
  <c r="AB280" i="8"/>
  <c r="AB284" i="8"/>
  <c r="AB288" i="8"/>
  <c r="AB292" i="8"/>
  <c r="AB296" i="8"/>
  <c r="AB300" i="8"/>
  <c r="AB304" i="8"/>
  <c r="AB308" i="8"/>
  <c r="AB312" i="8"/>
  <c r="AB316" i="8"/>
  <c r="AB320" i="8"/>
  <c r="AB324" i="8"/>
  <c r="AB328" i="8"/>
  <c r="AB332" i="8"/>
  <c r="AB336" i="8"/>
  <c r="AB340" i="8"/>
  <c r="AB344" i="8"/>
  <c r="AB348" i="8"/>
  <c r="AB352" i="8"/>
  <c r="AB356" i="8"/>
  <c r="AB360" i="8"/>
  <c r="AB364" i="8"/>
  <c r="AB368" i="8"/>
  <c r="AB372" i="8"/>
  <c r="AA9" i="8"/>
  <c r="AA13" i="8"/>
  <c r="AA17" i="8"/>
  <c r="AA21" i="8"/>
  <c r="AA25" i="8"/>
  <c r="AA29" i="8"/>
  <c r="AA33" i="8"/>
  <c r="AA37" i="8"/>
  <c r="AA41" i="8"/>
  <c r="AA45" i="8"/>
  <c r="AA49" i="8"/>
  <c r="AA53" i="8"/>
  <c r="AA57" i="8"/>
  <c r="AA61" i="8"/>
  <c r="AA65" i="8"/>
  <c r="AA69" i="8"/>
  <c r="AO257" i="8"/>
  <c r="AN147" i="8"/>
  <c r="AM40" i="8"/>
  <c r="AM299" i="8"/>
  <c r="AL36" i="8"/>
  <c r="AL100" i="8"/>
  <c r="AL167" i="8"/>
  <c r="AL231" i="8"/>
  <c r="AL295" i="8"/>
  <c r="AL359" i="8"/>
  <c r="AK56" i="8"/>
  <c r="AK120" i="8"/>
  <c r="AK187" i="8"/>
  <c r="AK251" i="8"/>
  <c r="AK315" i="8"/>
  <c r="AJ12" i="8"/>
  <c r="AJ38" i="8"/>
  <c r="AJ54" i="8"/>
  <c r="AJ70" i="8"/>
  <c r="AJ86" i="8"/>
  <c r="AJ102" i="8"/>
  <c r="AJ118" i="8"/>
  <c r="AJ134" i="8"/>
  <c r="AJ150" i="8"/>
  <c r="AJ169" i="8"/>
  <c r="AJ185" i="8"/>
  <c r="AJ201" i="8"/>
  <c r="AJ217" i="8"/>
  <c r="AJ233" i="8"/>
  <c r="AJ249" i="8"/>
  <c r="AJ265" i="8"/>
  <c r="AJ281" i="8"/>
  <c r="AJ297" i="8"/>
  <c r="AJ313" i="8"/>
  <c r="AJ329" i="8"/>
  <c r="AJ345" i="8"/>
  <c r="AJ361" i="8"/>
  <c r="AI10" i="8"/>
  <c r="AI26" i="8"/>
  <c r="AI42" i="8"/>
  <c r="AI58" i="8"/>
  <c r="AI74" i="8"/>
  <c r="AI90" i="8"/>
  <c r="AI106" i="8"/>
  <c r="AI122" i="8"/>
  <c r="AI138" i="8"/>
  <c r="AI154" i="8"/>
  <c r="AI173" i="8"/>
  <c r="AI189" i="8"/>
  <c r="AI205" i="8"/>
  <c r="AI221" i="8"/>
  <c r="AI237" i="8"/>
  <c r="AI253" i="8"/>
  <c r="AI269" i="8"/>
  <c r="AI285" i="8"/>
  <c r="AI301" i="8"/>
  <c r="AI317" i="8"/>
  <c r="AI333" i="8"/>
  <c r="AI349" i="8"/>
  <c r="AI365" i="8"/>
  <c r="AH14" i="8"/>
  <c r="AH30" i="8"/>
  <c r="AH46" i="8"/>
  <c r="AH62" i="8"/>
  <c r="AH78" i="8"/>
  <c r="AH94" i="8"/>
  <c r="AH110" i="8"/>
  <c r="AH126" i="8"/>
  <c r="AH142" i="8"/>
  <c r="AH158" i="8"/>
  <c r="AH177" i="8"/>
  <c r="AH193" i="8"/>
  <c r="AH209" i="8"/>
  <c r="AH225" i="8"/>
  <c r="AH241" i="8"/>
  <c r="AH257" i="8"/>
  <c r="AH273" i="8"/>
  <c r="AH289" i="8"/>
  <c r="AH305" i="8"/>
  <c r="AH321" i="8"/>
  <c r="AH337" i="8"/>
  <c r="AH353" i="8"/>
  <c r="AH369" i="8"/>
  <c r="AG66" i="8"/>
  <c r="AG98" i="8"/>
  <c r="AG114" i="8"/>
  <c r="AG130" i="8"/>
  <c r="AG146" i="8"/>
  <c r="AG162" i="8"/>
  <c r="AG181" i="8"/>
  <c r="AG197" i="8"/>
  <c r="AG213" i="8"/>
  <c r="AG229" i="8"/>
  <c r="AG245" i="8"/>
  <c r="AG261" i="8"/>
  <c r="AG277" i="8"/>
  <c r="AG293" i="8"/>
  <c r="AG309" i="8"/>
  <c r="AG325" i="8"/>
  <c r="AG341" i="8"/>
  <c r="AG357" i="8"/>
  <c r="AG373" i="8"/>
  <c r="AF22" i="8"/>
  <c r="AF38" i="8"/>
  <c r="AF54" i="8"/>
  <c r="AF70" i="8"/>
  <c r="AF86" i="8"/>
  <c r="AF102" i="8"/>
  <c r="AF118" i="8"/>
  <c r="AF134" i="8"/>
  <c r="AF150" i="8"/>
  <c r="AF169" i="8"/>
  <c r="AF185" i="8"/>
  <c r="AF201" i="8"/>
  <c r="AF217" i="8"/>
  <c r="AF233" i="8"/>
  <c r="AF249" i="8"/>
  <c r="AF265" i="8"/>
  <c r="AF281" i="8"/>
  <c r="AF297" i="8"/>
  <c r="AF313" i="8"/>
  <c r="AF329" i="8"/>
  <c r="AF345" i="8"/>
  <c r="AF361" i="8"/>
  <c r="AF365" i="8"/>
  <c r="AF369" i="8"/>
  <c r="AF373" i="8"/>
  <c r="AE10" i="8"/>
  <c r="AE14" i="8"/>
  <c r="AE18" i="8"/>
  <c r="AE22" i="8"/>
  <c r="AE26" i="8"/>
  <c r="AE30" i="8"/>
  <c r="AE34" i="8"/>
  <c r="AE38" i="8"/>
  <c r="AE42" i="8"/>
  <c r="AE46" i="8"/>
  <c r="AE50" i="8"/>
  <c r="AE54" i="8"/>
  <c r="AE58" i="8"/>
  <c r="AE62" i="8"/>
  <c r="AE66" i="8"/>
  <c r="AE70" i="8"/>
  <c r="AE74" i="8"/>
  <c r="AE78" i="8"/>
  <c r="AE82" i="8"/>
  <c r="AE86" i="8"/>
  <c r="AE90" i="8"/>
  <c r="AE94" i="8"/>
  <c r="AE98" i="8"/>
  <c r="AE102" i="8"/>
  <c r="AE106" i="8"/>
  <c r="AE110" i="8"/>
  <c r="AE114" i="8"/>
  <c r="AE118" i="8"/>
  <c r="AE122" i="8"/>
  <c r="AE126" i="8"/>
  <c r="AE130" i="8"/>
  <c r="AE134" i="8"/>
  <c r="AE138" i="8"/>
  <c r="AE142" i="8"/>
  <c r="AE146" i="8"/>
  <c r="AE150" i="8"/>
  <c r="AE154" i="8"/>
  <c r="AE158" i="8"/>
  <c r="AE162" i="8"/>
  <c r="AE169" i="8"/>
  <c r="AE173" i="8"/>
  <c r="AE177" i="8"/>
  <c r="AE181" i="8"/>
  <c r="AE185" i="8"/>
  <c r="AE189" i="8"/>
  <c r="AE193" i="8"/>
  <c r="AE197" i="8"/>
  <c r="AE201" i="8"/>
  <c r="AE205" i="8"/>
  <c r="AE209" i="8"/>
  <c r="AE213" i="8"/>
  <c r="AE217" i="8"/>
  <c r="AE221" i="8"/>
  <c r="AE225" i="8"/>
  <c r="AE229" i="8"/>
  <c r="AE233" i="8"/>
  <c r="AE237" i="8"/>
  <c r="AE241" i="8"/>
  <c r="AE245" i="8"/>
  <c r="AE249" i="8"/>
  <c r="AE253" i="8"/>
  <c r="AE257" i="8"/>
  <c r="AE261" i="8"/>
  <c r="AE265" i="8"/>
  <c r="AE269" i="8"/>
  <c r="AE273" i="8"/>
  <c r="AE277" i="8"/>
  <c r="AE281" i="8"/>
  <c r="AE285" i="8"/>
  <c r="AE289" i="8"/>
  <c r="AE293" i="8"/>
  <c r="AE297" i="8"/>
  <c r="AE301" i="8"/>
  <c r="AE305" i="8"/>
  <c r="AE309" i="8"/>
  <c r="AE313" i="8"/>
  <c r="AE317" i="8"/>
  <c r="AE321" i="8"/>
  <c r="AE325" i="8"/>
  <c r="AE329" i="8"/>
  <c r="AE333" i="8"/>
  <c r="AE337" i="8"/>
  <c r="AE341" i="8"/>
  <c r="AE345" i="8"/>
  <c r="AE349" i="8"/>
  <c r="AE353" i="8"/>
  <c r="AE357" i="8"/>
  <c r="AE361" i="8"/>
  <c r="AE365" i="8"/>
  <c r="AE369" i="8"/>
  <c r="AE373" i="8"/>
  <c r="AD10" i="8"/>
  <c r="AD14" i="8"/>
  <c r="AD18" i="8"/>
  <c r="AD22" i="8"/>
  <c r="AD26" i="8"/>
  <c r="AD30" i="8"/>
  <c r="AD34" i="8"/>
  <c r="AD38" i="8"/>
  <c r="AD42" i="8"/>
  <c r="AD46" i="8"/>
  <c r="AD50" i="8"/>
  <c r="AD54" i="8"/>
  <c r="AD58" i="8"/>
  <c r="AD62" i="8"/>
  <c r="AD66" i="8"/>
  <c r="AD70" i="8"/>
  <c r="AD74" i="8"/>
  <c r="AD78" i="8"/>
  <c r="AD82" i="8"/>
  <c r="AD86" i="8"/>
  <c r="AD90" i="8"/>
  <c r="AD94" i="8"/>
  <c r="AD98" i="8"/>
  <c r="AD102" i="8"/>
  <c r="AD106" i="8"/>
  <c r="AD110" i="8"/>
  <c r="AD114" i="8"/>
  <c r="AD118" i="8"/>
  <c r="AD122" i="8"/>
  <c r="AD126" i="8"/>
  <c r="AD130" i="8"/>
  <c r="AD134" i="8"/>
  <c r="AD138" i="8"/>
  <c r="AD142" i="8"/>
  <c r="AD146" i="8"/>
  <c r="AD150" i="8"/>
  <c r="AD154" i="8"/>
  <c r="AD158" i="8"/>
  <c r="AD162" i="8"/>
  <c r="AD169" i="8"/>
  <c r="AD173" i="8"/>
  <c r="AD177" i="8"/>
  <c r="AD181" i="8"/>
  <c r="AD185" i="8"/>
  <c r="AD189" i="8"/>
  <c r="AD193" i="8"/>
  <c r="AD197" i="8"/>
  <c r="AD201" i="8"/>
  <c r="AD205" i="8"/>
  <c r="AD209" i="8"/>
  <c r="AD213" i="8"/>
  <c r="AD217" i="8"/>
  <c r="AD221" i="8"/>
  <c r="AD225" i="8"/>
  <c r="AD229" i="8"/>
  <c r="AD233" i="8"/>
  <c r="AD237" i="8"/>
  <c r="AD241" i="8"/>
  <c r="AD245" i="8"/>
  <c r="AD249" i="8"/>
  <c r="AD253" i="8"/>
  <c r="AD257" i="8"/>
  <c r="AD261" i="8"/>
  <c r="AD265" i="8"/>
  <c r="AD269" i="8"/>
  <c r="AD273" i="8"/>
  <c r="AD277" i="8"/>
  <c r="AD281" i="8"/>
  <c r="AD285" i="8"/>
  <c r="AD289" i="8"/>
  <c r="AD293" i="8"/>
  <c r="AD297" i="8"/>
  <c r="AD301" i="8"/>
  <c r="AD305" i="8"/>
  <c r="AD309" i="8"/>
  <c r="AD313" i="8"/>
  <c r="AD317" i="8"/>
  <c r="AD321" i="8"/>
  <c r="AD325" i="8"/>
  <c r="AD329" i="8"/>
  <c r="AD333" i="8"/>
  <c r="AD337" i="8"/>
  <c r="AD341" i="8"/>
  <c r="AD345" i="8"/>
  <c r="AD349" i="8"/>
  <c r="AD353" i="8"/>
  <c r="AD357" i="8"/>
  <c r="AD361" i="8"/>
  <c r="AD365" i="8"/>
  <c r="AD369" i="8"/>
  <c r="AD373" i="8"/>
  <c r="AC10" i="8"/>
  <c r="AC14" i="8"/>
  <c r="AC18" i="8"/>
  <c r="AC22" i="8"/>
  <c r="AC26" i="8"/>
  <c r="AC30" i="8"/>
  <c r="AC34" i="8"/>
  <c r="AC38" i="8"/>
  <c r="AC42" i="8"/>
  <c r="AC46" i="8"/>
  <c r="AC50" i="8"/>
  <c r="AC54" i="8"/>
  <c r="AC58" i="8"/>
  <c r="AC62" i="8"/>
  <c r="AC66" i="8"/>
  <c r="AC70" i="8"/>
  <c r="AC74" i="8"/>
  <c r="AC78" i="8"/>
  <c r="AC82" i="8"/>
  <c r="AC86" i="8"/>
  <c r="AC90" i="8"/>
  <c r="AC94" i="8"/>
  <c r="AC98" i="8"/>
  <c r="AC102" i="8"/>
  <c r="AC106" i="8"/>
  <c r="AC110" i="8"/>
  <c r="AC114" i="8"/>
  <c r="AC118" i="8"/>
  <c r="AC122" i="8"/>
  <c r="AC126" i="8"/>
  <c r="AC130" i="8"/>
  <c r="AC134" i="8"/>
  <c r="AC138" i="8"/>
  <c r="AC142" i="8"/>
  <c r="AC146" i="8"/>
  <c r="AC150" i="8"/>
  <c r="AC154" i="8"/>
  <c r="AC158" i="8"/>
  <c r="AC162" i="8"/>
  <c r="AC169" i="8"/>
  <c r="AC173" i="8"/>
  <c r="AC177" i="8"/>
  <c r="AC181" i="8"/>
  <c r="AC185" i="8"/>
  <c r="AC189" i="8"/>
  <c r="AC193" i="8"/>
  <c r="AC197" i="8"/>
  <c r="AC201" i="8"/>
  <c r="AC205" i="8"/>
  <c r="AC209" i="8"/>
  <c r="AC213" i="8"/>
  <c r="AC217" i="8"/>
  <c r="AC221" i="8"/>
  <c r="AC225" i="8"/>
  <c r="AC229" i="8"/>
  <c r="AC233" i="8"/>
  <c r="AC237" i="8"/>
  <c r="AC241" i="8"/>
  <c r="AC245" i="8"/>
  <c r="AC249" i="8"/>
  <c r="AC253" i="8"/>
  <c r="AC257" i="8"/>
  <c r="AC261" i="8"/>
  <c r="AC265" i="8"/>
  <c r="AC269" i="8"/>
  <c r="AC273" i="8"/>
  <c r="AC277" i="8"/>
  <c r="AC281" i="8"/>
  <c r="AC285" i="8"/>
  <c r="AC289" i="8"/>
  <c r="AC293" i="8"/>
  <c r="AC297" i="8"/>
  <c r="AC301" i="8"/>
  <c r="AC305" i="8"/>
  <c r="AC309" i="8"/>
  <c r="AC313" i="8"/>
  <c r="AC317" i="8"/>
  <c r="AC321" i="8"/>
  <c r="AC325" i="8"/>
  <c r="AC329" i="8"/>
  <c r="AC333" i="8"/>
  <c r="AC337" i="8"/>
  <c r="AC341" i="8"/>
  <c r="AC345" i="8"/>
  <c r="AC349" i="8"/>
  <c r="AC353" i="8"/>
  <c r="AC357" i="8"/>
  <c r="AC361" i="8"/>
  <c r="AC365" i="8"/>
  <c r="AC369" i="8"/>
  <c r="AC373" i="8"/>
  <c r="AB10" i="8"/>
  <c r="AB14" i="8"/>
  <c r="AB18" i="8"/>
  <c r="AB22" i="8"/>
  <c r="AB26" i="8"/>
  <c r="AB30" i="8"/>
  <c r="AB34" i="8"/>
  <c r="AB38" i="8"/>
  <c r="AB42" i="8"/>
  <c r="AB46" i="8"/>
  <c r="AB50" i="8"/>
  <c r="AB54" i="8"/>
  <c r="AB58" i="8"/>
  <c r="AB62" i="8"/>
  <c r="AB66" i="8"/>
  <c r="AB70" i="8"/>
  <c r="AB74" i="8"/>
  <c r="AB78" i="8"/>
  <c r="AB82" i="8"/>
  <c r="AB86" i="8"/>
  <c r="AB90" i="8"/>
  <c r="AB94" i="8"/>
  <c r="AB98" i="8"/>
  <c r="AB102" i="8"/>
  <c r="AB106" i="8"/>
  <c r="AB110" i="8"/>
  <c r="AB114" i="8"/>
  <c r="AB118" i="8"/>
  <c r="AB122" i="8"/>
  <c r="AB126" i="8"/>
  <c r="AB130" i="8"/>
  <c r="AB134" i="8"/>
  <c r="AB138" i="8"/>
  <c r="AB142" i="8"/>
  <c r="AB146" i="8"/>
  <c r="AB150" i="8"/>
  <c r="AB154" i="8"/>
  <c r="AB158" i="8"/>
  <c r="AB162" i="8"/>
  <c r="AB169" i="8"/>
  <c r="AB173" i="8"/>
  <c r="AB177" i="8"/>
  <c r="AB181" i="8"/>
  <c r="AB185" i="8"/>
  <c r="AB189" i="8"/>
  <c r="AB193" i="8"/>
  <c r="AB197" i="8"/>
  <c r="AB201" i="8"/>
  <c r="AB205" i="8"/>
  <c r="AB209" i="8"/>
  <c r="AB213" i="8"/>
  <c r="AB217" i="8"/>
  <c r="AB221" i="8"/>
  <c r="AB225" i="8"/>
  <c r="AB229" i="8"/>
  <c r="AB233" i="8"/>
  <c r="AB237" i="8"/>
  <c r="AB241" i="8"/>
  <c r="AB245" i="8"/>
  <c r="AB249" i="8"/>
  <c r="AB253" i="8"/>
  <c r="AB257" i="8"/>
  <c r="AB261" i="8"/>
  <c r="AB265" i="8"/>
  <c r="AB269" i="8"/>
  <c r="AB273" i="8"/>
  <c r="AB277" i="8"/>
  <c r="AB281" i="8"/>
  <c r="AB285" i="8"/>
  <c r="AB289" i="8"/>
  <c r="AB293" i="8"/>
  <c r="AB297" i="8"/>
  <c r="AB301" i="8"/>
  <c r="AB305" i="8"/>
  <c r="AB309" i="8"/>
  <c r="AB313" i="8"/>
  <c r="AB317" i="8"/>
  <c r="AB321" i="8"/>
  <c r="AB325" i="8"/>
  <c r="AB329" i="8"/>
  <c r="AB333" i="8"/>
  <c r="AB337" i="8"/>
  <c r="AB341" i="8"/>
  <c r="AB345" i="8"/>
  <c r="AB349" i="8"/>
  <c r="AB353" i="8"/>
  <c r="AB357" i="8"/>
  <c r="AB361" i="8"/>
  <c r="AB365" i="8"/>
  <c r="AB369" i="8"/>
  <c r="AB373" i="8"/>
  <c r="AA10" i="8"/>
  <c r="AA14" i="8"/>
  <c r="AA18" i="8"/>
  <c r="AA22" i="8"/>
  <c r="AA26" i="8"/>
  <c r="AA30" i="8"/>
  <c r="AA34" i="8"/>
  <c r="AA38" i="8"/>
  <c r="AA42" i="8"/>
  <c r="AA46" i="8"/>
  <c r="AA50" i="8"/>
  <c r="AA54" i="8"/>
  <c r="AA58" i="8"/>
  <c r="AA62" i="8"/>
  <c r="AA66" i="8"/>
  <c r="AA70" i="8"/>
  <c r="AO321" i="8"/>
  <c r="AL52" i="8"/>
  <c r="AL311" i="8"/>
  <c r="AK203" i="8"/>
  <c r="AJ42" i="8"/>
  <c r="AJ106" i="8"/>
  <c r="AJ173" i="8"/>
  <c r="AJ237" i="8"/>
  <c r="AJ301" i="8"/>
  <c r="AJ365" i="8"/>
  <c r="AI62" i="8"/>
  <c r="AI126" i="8"/>
  <c r="AI193" i="8"/>
  <c r="AI257" i="8"/>
  <c r="AI321" i="8"/>
  <c r="AH18" i="8"/>
  <c r="AH82" i="8"/>
  <c r="AH146" i="8"/>
  <c r="AH213" i="8"/>
  <c r="AH277" i="8"/>
  <c r="AH341" i="8"/>
  <c r="AG38" i="8"/>
  <c r="AG102" i="8"/>
  <c r="AG169" i="8"/>
  <c r="AG233" i="8"/>
  <c r="AG297" i="8"/>
  <c r="AG361" i="8"/>
  <c r="AF58" i="8"/>
  <c r="AF122" i="8"/>
  <c r="AF189" i="8"/>
  <c r="AF253" i="8"/>
  <c r="AF317" i="8"/>
  <c r="AF366" i="8"/>
  <c r="AE15" i="8"/>
  <c r="AE31" i="8"/>
  <c r="AE47" i="8"/>
  <c r="AE63" i="8"/>
  <c r="AE79" i="8"/>
  <c r="AE95" i="8"/>
  <c r="AE111" i="8"/>
  <c r="AE127" i="8"/>
  <c r="AE143" i="8"/>
  <c r="AE159" i="8"/>
  <c r="AE178" i="8"/>
  <c r="AE194" i="8"/>
  <c r="AE210" i="8"/>
  <c r="AE226" i="8"/>
  <c r="AE242" i="8"/>
  <c r="AE258" i="8"/>
  <c r="AE274" i="8"/>
  <c r="AE290" i="8"/>
  <c r="AE306" i="8"/>
  <c r="AE322" i="8"/>
  <c r="AE338" i="8"/>
  <c r="AE354" i="8"/>
  <c r="AE370" i="8"/>
  <c r="AD19" i="8"/>
  <c r="AD35" i="8"/>
  <c r="AD51" i="8"/>
  <c r="AD67" i="8"/>
  <c r="AD83" i="8"/>
  <c r="AD99" i="8"/>
  <c r="AD115" i="8"/>
  <c r="AD131" i="8"/>
  <c r="AD147" i="8"/>
  <c r="AD163" i="8"/>
  <c r="AD182" i="8"/>
  <c r="AD198" i="8"/>
  <c r="AD214" i="8"/>
  <c r="AD230" i="8"/>
  <c r="AD246" i="8"/>
  <c r="AD262" i="8"/>
  <c r="AD278" i="8"/>
  <c r="AD294" i="8"/>
  <c r="AD310" i="8"/>
  <c r="AD326" i="8"/>
  <c r="AD342" i="8"/>
  <c r="AD358" i="8"/>
  <c r="AD7" i="8"/>
  <c r="AC23" i="8"/>
  <c r="AC39" i="8"/>
  <c r="AC55" i="8"/>
  <c r="AC71" i="8"/>
  <c r="AC87" i="8"/>
  <c r="AC103" i="8"/>
  <c r="AC119" i="8"/>
  <c r="AC135" i="8"/>
  <c r="AC151" i="8"/>
  <c r="AC170" i="8"/>
  <c r="AC186" i="8"/>
  <c r="AC202" i="8"/>
  <c r="AC218" i="8"/>
  <c r="AC234" i="8"/>
  <c r="AC250" i="8"/>
  <c r="AC266" i="8"/>
  <c r="AC282" i="8"/>
  <c r="AC298" i="8"/>
  <c r="AC314" i="8"/>
  <c r="AC330" i="8"/>
  <c r="AC346" i="8"/>
  <c r="AC362" i="8"/>
  <c r="AB11" i="8"/>
  <c r="AB27" i="8"/>
  <c r="AB43" i="8"/>
  <c r="AB59" i="8"/>
  <c r="AB75" i="8"/>
  <c r="AB91" i="8"/>
  <c r="AB107" i="8"/>
  <c r="AB123" i="8"/>
  <c r="AB139" i="8"/>
  <c r="AB155" i="8"/>
  <c r="AB174" i="8"/>
  <c r="AB190" i="8"/>
  <c r="AB206" i="8"/>
  <c r="AB222" i="8"/>
  <c r="AB238" i="8"/>
  <c r="AB254" i="8"/>
  <c r="AB270" i="8"/>
  <c r="AB286" i="8"/>
  <c r="AB302" i="8"/>
  <c r="AB318" i="8"/>
  <c r="AB334" i="8"/>
  <c r="AB350" i="8"/>
  <c r="AB366" i="8"/>
  <c r="AA12" i="8"/>
  <c r="AA20" i="8"/>
  <c r="AA28" i="8"/>
  <c r="AA36" i="8"/>
  <c r="AA44" i="8"/>
  <c r="AA52" i="8"/>
  <c r="AA60" i="8"/>
  <c r="AA68" i="8"/>
  <c r="AA74" i="8"/>
  <c r="AA78" i="8"/>
  <c r="AA82" i="8"/>
  <c r="AA86" i="8"/>
  <c r="AA90" i="8"/>
  <c r="AA94" i="8"/>
  <c r="AA98" i="8"/>
  <c r="AA102" i="8"/>
  <c r="AA106" i="8"/>
  <c r="AA110" i="8"/>
  <c r="AA114" i="8"/>
  <c r="AA118" i="8"/>
  <c r="AA122" i="8"/>
  <c r="AA126" i="8"/>
  <c r="AA130" i="8"/>
  <c r="AA134" i="8"/>
  <c r="AA138" i="8"/>
  <c r="AA142" i="8"/>
  <c r="AA146" i="8"/>
  <c r="AA150" i="8"/>
  <c r="AA154" i="8"/>
  <c r="AA158" i="8"/>
  <c r="AA162" i="8"/>
  <c r="AA169" i="8"/>
  <c r="AA173" i="8"/>
  <c r="AA177" i="8"/>
  <c r="AA181" i="8"/>
  <c r="AA185" i="8"/>
  <c r="AA189" i="8"/>
  <c r="AA193" i="8"/>
  <c r="AA197" i="8"/>
  <c r="AA201" i="8"/>
  <c r="AA205" i="8"/>
  <c r="AA209" i="8"/>
  <c r="AA213" i="8"/>
  <c r="AA217" i="8"/>
  <c r="AA221" i="8"/>
  <c r="AA225" i="8"/>
  <c r="AA229" i="8"/>
  <c r="AA233" i="8"/>
  <c r="AA237" i="8"/>
  <c r="AA241" i="8"/>
  <c r="AA245" i="8"/>
  <c r="AA249" i="8"/>
  <c r="AA253" i="8"/>
  <c r="AA257" i="8"/>
  <c r="AA261" i="8"/>
  <c r="AA265" i="8"/>
  <c r="AA269" i="8"/>
  <c r="AA273" i="8"/>
  <c r="AA277" i="8"/>
  <c r="AA281" i="8"/>
  <c r="AA285" i="8"/>
  <c r="AA289" i="8"/>
  <c r="AA293" i="8"/>
  <c r="AA297" i="8"/>
  <c r="AA301" i="8"/>
  <c r="AA305" i="8"/>
  <c r="AA309" i="8"/>
  <c r="AA313" i="8"/>
  <c r="AA317" i="8"/>
  <c r="AA321" i="8"/>
  <c r="AA325" i="8"/>
  <c r="AA329" i="8"/>
  <c r="AA333" i="8"/>
  <c r="AA337" i="8"/>
  <c r="AA341" i="8"/>
  <c r="AA345" i="8"/>
  <c r="AA349" i="8"/>
  <c r="AA353" i="8"/>
  <c r="AA357" i="8"/>
  <c r="AA361" i="8"/>
  <c r="AA365" i="8"/>
  <c r="AA369" i="8"/>
  <c r="AA373" i="8"/>
  <c r="Z10" i="8"/>
  <c r="Z14" i="8"/>
  <c r="Z18" i="8"/>
  <c r="Z22" i="8"/>
  <c r="Z26" i="8"/>
  <c r="Z30" i="8"/>
  <c r="Z34" i="8"/>
  <c r="Z38" i="8"/>
  <c r="Z42" i="8"/>
  <c r="Z46" i="8"/>
  <c r="Z50" i="8"/>
  <c r="Z54" i="8"/>
  <c r="Z58" i="8"/>
  <c r="Z62" i="8"/>
  <c r="Z66" i="8"/>
  <c r="Z70" i="8"/>
  <c r="Z74" i="8"/>
  <c r="Z78" i="8"/>
  <c r="Z82" i="8"/>
  <c r="Z86" i="8"/>
  <c r="Z90" i="8"/>
  <c r="Z94" i="8"/>
  <c r="Z98" i="8"/>
  <c r="Z102" i="8"/>
  <c r="Z106" i="8"/>
  <c r="Z110" i="8"/>
  <c r="Z114" i="8"/>
  <c r="Z118" i="8"/>
  <c r="Z122" i="8"/>
  <c r="Z126" i="8"/>
  <c r="Z130" i="8"/>
  <c r="Z134" i="8"/>
  <c r="Z138" i="8"/>
  <c r="Z142" i="8"/>
  <c r="Z146" i="8"/>
  <c r="Z150" i="8"/>
  <c r="Z154" i="8"/>
  <c r="Z158" i="8"/>
  <c r="Z162" i="8"/>
  <c r="Z169" i="8"/>
  <c r="Z173" i="8"/>
  <c r="Z177" i="8"/>
  <c r="Z181" i="8"/>
  <c r="Z185" i="8"/>
  <c r="Z189" i="8"/>
  <c r="Z193" i="8"/>
  <c r="Z197" i="8"/>
  <c r="Z201" i="8"/>
  <c r="Z205" i="8"/>
  <c r="Z209" i="8"/>
  <c r="Z213" i="8"/>
  <c r="Z217" i="8"/>
  <c r="Z221" i="8"/>
  <c r="Z225" i="8"/>
  <c r="Z229" i="8"/>
  <c r="Z233" i="8"/>
  <c r="Z237" i="8"/>
  <c r="Z241" i="8"/>
  <c r="Z245" i="8"/>
  <c r="Z249" i="8"/>
  <c r="Z253" i="8"/>
  <c r="Z257" i="8"/>
  <c r="Z261" i="8"/>
  <c r="Z265" i="8"/>
  <c r="Z269" i="8"/>
  <c r="Z273" i="8"/>
  <c r="Z277" i="8"/>
  <c r="Z281" i="8"/>
  <c r="Z285" i="8"/>
  <c r="Z289" i="8"/>
  <c r="Z293" i="8"/>
  <c r="Z297" i="8"/>
  <c r="Z301" i="8"/>
  <c r="Z305" i="8"/>
  <c r="Z309" i="8"/>
  <c r="Z313" i="8"/>
  <c r="Z317" i="8"/>
  <c r="Z321" i="8"/>
  <c r="Z325" i="8"/>
  <c r="Z329" i="8"/>
  <c r="Z333" i="8"/>
  <c r="Z337" i="8"/>
  <c r="Z341" i="8"/>
  <c r="Z345" i="8"/>
  <c r="Z349" i="8"/>
  <c r="Z353" i="8"/>
  <c r="Z357" i="8"/>
  <c r="Z361" i="8"/>
  <c r="Z365" i="8"/>
  <c r="Z369" i="8"/>
  <c r="Z373" i="8"/>
  <c r="Y15" i="8"/>
  <c r="Y19" i="8"/>
  <c r="Y23" i="8"/>
  <c r="Y27" i="8"/>
  <c r="Y31" i="8"/>
  <c r="Y35" i="8"/>
  <c r="Y39" i="8"/>
  <c r="Y43" i="8"/>
  <c r="Y47" i="8"/>
  <c r="Y51" i="8"/>
  <c r="Y55" i="8"/>
  <c r="Y59" i="8"/>
  <c r="Y63" i="8"/>
  <c r="Y67" i="8"/>
  <c r="Y71" i="8"/>
  <c r="Y75" i="8"/>
  <c r="Y79" i="8"/>
  <c r="Y83" i="8"/>
  <c r="Y87" i="8"/>
  <c r="Y91" i="8"/>
  <c r="Y95" i="8"/>
  <c r="Y99" i="8"/>
  <c r="Y103" i="8"/>
  <c r="Y107" i="8"/>
  <c r="Y111" i="8"/>
  <c r="Y115" i="8"/>
  <c r="Y119" i="8"/>
  <c r="Y123" i="8"/>
  <c r="Y127" i="8"/>
  <c r="Y131" i="8"/>
  <c r="Y135" i="8"/>
  <c r="Y139" i="8"/>
  <c r="Y143" i="8"/>
  <c r="Y147" i="8"/>
  <c r="Y151" i="8"/>
  <c r="Y155" i="8"/>
  <c r="Y159" i="8"/>
  <c r="Y163" i="8"/>
  <c r="Y170" i="8"/>
  <c r="Y174" i="8"/>
  <c r="Y178" i="8"/>
  <c r="Y182" i="8"/>
  <c r="Y186" i="8"/>
  <c r="Y190" i="8"/>
  <c r="Y194" i="8"/>
  <c r="Y198" i="8"/>
  <c r="Y202" i="8"/>
  <c r="Y206" i="8"/>
  <c r="Y210" i="8"/>
  <c r="Y214" i="8"/>
  <c r="Y218" i="8"/>
  <c r="Y222" i="8"/>
  <c r="Y226" i="8"/>
  <c r="Y230" i="8"/>
  <c r="Y234" i="8"/>
  <c r="Y238" i="8"/>
  <c r="Y242" i="8"/>
  <c r="Y246" i="8"/>
  <c r="Y250" i="8"/>
  <c r="Y254" i="8"/>
  <c r="Y258" i="8"/>
  <c r="Y262" i="8"/>
  <c r="Y266" i="8"/>
  <c r="Y270" i="8"/>
  <c r="Y274" i="8"/>
  <c r="Y278" i="8"/>
  <c r="Y282" i="8"/>
  <c r="Y286" i="8"/>
  <c r="Y290" i="8"/>
  <c r="Y294" i="8"/>
  <c r="Y298" i="8"/>
  <c r="Y302" i="8"/>
  <c r="Y306" i="8"/>
  <c r="Y310" i="8"/>
  <c r="Y314" i="8"/>
  <c r="Y318" i="8"/>
  <c r="Y322" i="8"/>
  <c r="Y326" i="8"/>
  <c r="Y330" i="8"/>
  <c r="Y334" i="8"/>
  <c r="Y338" i="8"/>
  <c r="Y342" i="8"/>
  <c r="Y346" i="8"/>
  <c r="Y350" i="8"/>
  <c r="Y354" i="8"/>
  <c r="Y358" i="8"/>
  <c r="Y362" i="8"/>
  <c r="Y366" i="8"/>
  <c r="Y370" i="8"/>
  <c r="Y9" i="8"/>
  <c r="Y13" i="8"/>
  <c r="AG6" i="8"/>
  <c r="AA6" i="8"/>
  <c r="AJ6" i="8"/>
  <c r="AI6" i="8"/>
  <c r="AN6" i="8"/>
  <c r="AH6" i="8"/>
  <c r="AK6" i="8"/>
  <c r="AQ6" i="8"/>
  <c r="AM104" i="8"/>
  <c r="AK331" i="8"/>
  <c r="AJ138" i="8"/>
  <c r="AJ269" i="8"/>
  <c r="AI30" i="8"/>
  <c r="AI158" i="8"/>
  <c r="AI289" i="8"/>
  <c r="AH50" i="8"/>
  <c r="AH181" i="8"/>
  <c r="AH309" i="8"/>
  <c r="AG70" i="8"/>
  <c r="AG201" i="8"/>
  <c r="AG329" i="8"/>
  <c r="AF90" i="8"/>
  <c r="AF221" i="8"/>
  <c r="AF349" i="8"/>
  <c r="AE23" i="8"/>
  <c r="AE55" i="8"/>
  <c r="AE87" i="8"/>
  <c r="AE103" i="8"/>
  <c r="AE135" i="8"/>
  <c r="AE170" i="8"/>
  <c r="AE202" i="8"/>
  <c r="AE234" i="8"/>
  <c r="AE266" i="8"/>
  <c r="AE298" i="8"/>
  <c r="AE346" i="8"/>
  <c r="AD11" i="8"/>
  <c r="AD43" i="8"/>
  <c r="AD75" i="8"/>
  <c r="AD107" i="8"/>
  <c r="AD139" i="8"/>
  <c r="AD174" i="8"/>
  <c r="AD206" i="8"/>
  <c r="AD238" i="8"/>
  <c r="AD254" i="8"/>
  <c r="AD286" i="8"/>
  <c r="AD318" i="8"/>
  <c r="AD350" i="8"/>
  <c r="AC15" i="8"/>
  <c r="AC47" i="8"/>
  <c r="AC79" i="8"/>
  <c r="AC111" i="8"/>
  <c r="AC143" i="8"/>
  <c r="AC178" i="8"/>
  <c r="AC210" i="8"/>
  <c r="AC242" i="8"/>
  <c r="AC274" i="8"/>
  <c r="AC306" i="8"/>
  <c r="AC338" i="8"/>
  <c r="AC370" i="8"/>
  <c r="AB35" i="8"/>
  <c r="AB67" i="8"/>
  <c r="AB99" i="8"/>
  <c r="AB131" i="8"/>
  <c r="AB163" i="8"/>
  <c r="AB198" i="8"/>
  <c r="AB230" i="8"/>
  <c r="AB262" i="8"/>
  <c r="AB294" i="8"/>
  <c r="AB326" i="8"/>
  <c r="AB358" i="8"/>
  <c r="AA16" i="8"/>
  <c r="AA32" i="8"/>
  <c r="AA48" i="8"/>
  <c r="AA64" i="8"/>
  <c r="AA76" i="8"/>
  <c r="AA84" i="8"/>
  <c r="AA92" i="8"/>
  <c r="AA100" i="8"/>
  <c r="AA108" i="8"/>
  <c r="AA116" i="8"/>
  <c r="AA124" i="8"/>
  <c r="AA132" i="8"/>
  <c r="AA140" i="8"/>
  <c r="AA148" i="8"/>
  <c r="AA156" i="8"/>
  <c r="AA167" i="8"/>
  <c r="AA175" i="8"/>
  <c r="AA183" i="8"/>
  <c r="AA191" i="8"/>
  <c r="AA199" i="8"/>
  <c r="AA207" i="8"/>
  <c r="AA215" i="8"/>
  <c r="AA223" i="8"/>
  <c r="AA231" i="8"/>
  <c r="AA239" i="8"/>
  <c r="AA251" i="8"/>
  <c r="AA259" i="8"/>
  <c r="AA267" i="8"/>
  <c r="AA275" i="8"/>
  <c r="AA283" i="8"/>
  <c r="AA291" i="8"/>
  <c r="AA299" i="8"/>
  <c r="AA303" i="8"/>
  <c r="AA311" i="8"/>
  <c r="AA319" i="8"/>
  <c r="AA327" i="8"/>
  <c r="AA335" i="8"/>
  <c r="AA343" i="8"/>
  <c r="AA351" i="8"/>
  <c r="AA359" i="8"/>
  <c r="AA367" i="8"/>
  <c r="Z8" i="8"/>
  <c r="Z16" i="8"/>
  <c r="Z24" i="8"/>
  <c r="Z32" i="8"/>
  <c r="Z40" i="8"/>
  <c r="Z48" i="8"/>
  <c r="Z56" i="8"/>
  <c r="Z64" i="8"/>
  <c r="Z72" i="8"/>
  <c r="Z76" i="8"/>
  <c r="Z84" i="8"/>
  <c r="Z92" i="8"/>
  <c r="Z100" i="8"/>
  <c r="Z108" i="8"/>
  <c r="Z116" i="8"/>
  <c r="Z124" i="8"/>
  <c r="Z132" i="8"/>
  <c r="Z140" i="8"/>
  <c r="Z148" i="8"/>
  <c r="Z156" i="8"/>
  <c r="Z167" i="8"/>
  <c r="Z175" i="8"/>
  <c r="Z183" i="8"/>
  <c r="Z191" i="8"/>
  <c r="Z199" i="8"/>
  <c r="Z211" i="8"/>
  <c r="Z219" i="8"/>
  <c r="Z227" i="8"/>
  <c r="Z235" i="8"/>
  <c r="Z239" i="8"/>
  <c r="Z251" i="8"/>
  <c r="Z255" i="8"/>
  <c r="Z267" i="8"/>
  <c r="Z275" i="8"/>
  <c r="Z283" i="8"/>
  <c r="Z291" i="8"/>
  <c r="Z299" i="8"/>
  <c r="Z307" i="8"/>
  <c r="Z315" i="8"/>
  <c r="Z323" i="8"/>
  <c r="Z331" i="8"/>
  <c r="Z339" i="8"/>
  <c r="Z347" i="8"/>
  <c r="Z355" i="8"/>
  <c r="Z363" i="8"/>
  <c r="Z371" i="8"/>
  <c r="Y17" i="8"/>
  <c r="Y29" i="8"/>
  <c r="Y37" i="8"/>
  <c r="Y61" i="8"/>
  <c r="Y73" i="8"/>
  <c r="Y276" i="8"/>
  <c r="Y292" i="8"/>
  <c r="Y304" i="8"/>
  <c r="Y312" i="8"/>
  <c r="Y320" i="8"/>
  <c r="Y328" i="8"/>
  <c r="Y340" i="8"/>
  <c r="Y348" i="8"/>
  <c r="Y356" i="8"/>
  <c r="Y364" i="8"/>
  <c r="Y372" i="8"/>
  <c r="AL247" i="8"/>
  <c r="AH325" i="8"/>
  <c r="AG217" i="8"/>
  <c r="AF42" i="8"/>
  <c r="AF173" i="8"/>
  <c r="AF301" i="8"/>
  <c r="AE11" i="8"/>
  <c r="AE43" i="8"/>
  <c r="AE75" i="8"/>
  <c r="AE91" i="8"/>
  <c r="AE139" i="8"/>
  <c r="AE174" i="8"/>
  <c r="AE222" i="8"/>
  <c r="AE254" i="8"/>
  <c r="AE302" i="8"/>
  <c r="AE350" i="8"/>
  <c r="AD31" i="8"/>
  <c r="AD79" i="8"/>
  <c r="AD127" i="8"/>
  <c r="AD178" i="8"/>
  <c r="AD258" i="8"/>
  <c r="AD322" i="8"/>
  <c r="AD370" i="8"/>
  <c r="AC51" i="8"/>
  <c r="AC99" i="8"/>
  <c r="AC147" i="8"/>
  <c r="AC198" i="8"/>
  <c r="AC246" i="8"/>
  <c r="AC294" i="8"/>
  <c r="AC358" i="8"/>
  <c r="AB39" i="8"/>
  <c r="AB87" i="8"/>
  <c r="AB135" i="8"/>
  <c r="AB202" i="8"/>
  <c r="AB266" i="8"/>
  <c r="AB314" i="8"/>
  <c r="AB362" i="8"/>
  <c r="AA27" i="8"/>
  <c r="AA51" i="8"/>
  <c r="AA73" i="8"/>
  <c r="AA85" i="8"/>
  <c r="AA97" i="8"/>
  <c r="AA101" i="8"/>
  <c r="AA113" i="8"/>
  <c r="AA133" i="8"/>
  <c r="AA149" i="8"/>
  <c r="AA161" i="8"/>
  <c r="AN214" i="8"/>
  <c r="AL116" i="8"/>
  <c r="AK8" i="8"/>
  <c r="AK267" i="8"/>
  <c r="AJ58" i="8"/>
  <c r="AJ122" i="8"/>
  <c r="AJ189" i="8"/>
  <c r="AJ253" i="8"/>
  <c r="AJ317" i="8"/>
  <c r="AI14" i="8"/>
  <c r="AI78" i="8"/>
  <c r="AI142" i="8"/>
  <c r="AI209" i="8"/>
  <c r="AI273" i="8"/>
  <c r="AI337" i="8"/>
  <c r="AH34" i="8"/>
  <c r="AH98" i="8"/>
  <c r="AH162" i="8"/>
  <c r="AH229" i="8"/>
  <c r="AH293" i="8"/>
  <c r="AH357" i="8"/>
  <c r="AG54" i="8"/>
  <c r="AG118" i="8"/>
  <c r="AG185" i="8"/>
  <c r="AG249" i="8"/>
  <c r="AG313" i="8"/>
  <c r="AF10" i="8"/>
  <c r="AF74" i="8"/>
  <c r="AF138" i="8"/>
  <c r="AF205" i="8"/>
  <c r="AF269" i="8"/>
  <c r="AF333" i="8"/>
  <c r="AF370" i="8"/>
  <c r="AE19" i="8"/>
  <c r="AE35" i="8"/>
  <c r="AE51" i="8"/>
  <c r="AE67" i="8"/>
  <c r="AE83" i="8"/>
  <c r="AE99" i="8"/>
  <c r="AE115" i="8"/>
  <c r="AE131" i="8"/>
  <c r="AE147" i="8"/>
  <c r="AE163" i="8"/>
  <c r="AE182" i="8"/>
  <c r="AE198" i="8"/>
  <c r="AE214" i="8"/>
  <c r="AE230" i="8"/>
  <c r="AE246" i="8"/>
  <c r="AE262" i="8"/>
  <c r="AE278" i="8"/>
  <c r="AE294" i="8"/>
  <c r="AE310" i="8"/>
  <c r="AE326" i="8"/>
  <c r="AE342" i="8"/>
  <c r="AE358" i="8"/>
  <c r="AE7" i="8"/>
  <c r="AD23" i="8"/>
  <c r="AD39" i="8"/>
  <c r="AD55" i="8"/>
  <c r="AD71" i="8"/>
  <c r="AD87" i="8"/>
  <c r="AD103" i="8"/>
  <c r="AD119" i="8"/>
  <c r="AD135" i="8"/>
  <c r="AD151" i="8"/>
  <c r="AD170" i="8"/>
  <c r="AD186" i="8"/>
  <c r="AD202" i="8"/>
  <c r="AD218" i="8"/>
  <c r="AD234" i="8"/>
  <c r="AD250" i="8"/>
  <c r="AD266" i="8"/>
  <c r="AD282" i="8"/>
  <c r="AD298" i="8"/>
  <c r="AD314" i="8"/>
  <c r="AD330" i="8"/>
  <c r="AD346" i="8"/>
  <c r="AD362" i="8"/>
  <c r="AC11" i="8"/>
  <c r="AC27" i="8"/>
  <c r="AC43" i="8"/>
  <c r="AC59" i="8"/>
  <c r="AC75" i="8"/>
  <c r="AC91" i="8"/>
  <c r="AC107" i="8"/>
  <c r="AC123" i="8"/>
  <c r="AC139" i="8"/>
  <c r="AC155" i="8"/>
  <c r="AC174" i="8"/>
  <c r="AC190" i="8"/>
  <c r="AC206" i="8"/>
  <c r="AC222" i="8"/>
  <c r="AC238" i="8"/>
  <c r="AC254" i="8"/>
  <c r="AC270" i="8"/>
  <c r="AC286" i="8"/>
  <c r="AC302" i="8"/>
  <c r="AC318" i="8"/>
  <c r="AC334" i="8"/>
  <c r="AC350" i="8"/>
  <c r="AC366" i="8"/>
  <c r="AB15" i="8"/>
  <c r="AB31" i="8"/>
  <c r="AB47" i="8"/>
  <c r="AB63" i="8"/>
  <c r="AB79" i="8"/>
  <c r="AB95" i="8"/>
  <c r="AB111" i="8"/>
  <c r="AB127" i="8"/>
  <c r="AB143" i="8"/>
  <c r="AB159" i="8"/>
  <c r="AB178" i="8"/>
  <c r="AB194" i="8"/>
  <c r="AB210" i="8"/>
  <c r="AB226" i="8"/>
  <c r="AB242" i="8"/>
  <c r="AB258" i="8"/>
  <c r="AB274" i="8"/>
  <c r="AB290" i="8"/>
  <c r="AB306" i="8"/>
  <c r="AB322" i="8"/>
  <c r="AB338" i="8"/>
  <c r="AB354" i="8"/>
  <c r="AB370" i="8"/>
  <c r="AA15" i="8"/>
  <c r="AA23" i="8"/>
  <c r="AA31" i="8"/>
  <c r="AA39" i="8"/>
  <c r="AA47" i="8"/>
  <c r="AA55" i="8"/>
  <c r="AA63" i="8"/>
  <c r="AA71" i="8"/>
  <c r="AA75" i="8"/>
  <c r="AA79" i="8"/>
  <c r="AA83" i="8"/>
  <c r="AA87" i="8"/>
  <c r="AA91" i="8"/>
  <c r="AA95" i="8"/>
  <c r="AA99" i="8"/>
  <c r="AA103" i="8"/>
  <c r="AA107" i="8"/>
  <c r="AA111" i="8"/>
  <c r="AA115" i="8"/>
  <c r="AA119" i="8"/>
  <c r="AA123" i="8"/>
  <c r="AA127" i="8"/>
  <c r="AA131" i="8"/>
  <c r="AA135" i="8"/>
  <c r="AA139" i="8"/>
  <c r="AA143" i="8"/>
  <c r="AA147" i="8"/>
  <c r="AA151" i="8"/>
  <c r="AA155" i="8"/>
  <c r="AA159" i="8"/>
  <c r="AA163" i="8"/>
  <c r="AA170" i="8"/>
  <c r="AA174" i="8"/>
  <c r="AA178" i="8"/>
  <c r="AA182" i="8"/>
  <c r="AA186" i="8"/>
  <c r="AA190" i="8"/>
  <c r="AA194" i="8"/>
  <c r="AA198" i="8"/>
  <c r="AA202" i="8"/>
  <c r="AA206" i="8"/>
  <c r="AA210" i="8"/>
  <c r="AA214" i="8"/>
  <c r="AA218" i="8"/>
  <c r="AA222" i="8"/>
  <c r="AA226" i="8"/>
  <c r="AA230" i="8"/>
  <c r="AA234" i="8"/>
  <c r="AA238" i="8"/>
  <c r="AA242" i="8"/>
  <c r="AA246" i="8"/>
  <c r="AA250" i="8"/>
  <c r="AA254" i="8"/>
  <c r="AA258" i="8"/>
  <c r="AA262" i="8"/>
  <c r="AA266" i="8"/>
  <c r="AA270" i="8"/>
  <c r="AA274" i="8"/>
  <c r="AA278" i="8"/>
  <c r="AA282" i="8"/>
  <c r="AA286" i="8"/>
  <c r="AA290" i="8"/>
  <c r="AA294" i="8"/>
  <c r="AA298" i="8"/>
  <c r="AA302" i="8"/>
  <c r="AA306" i="8"/>
  <c r="AA310" i="8"/>
  <c r="AA314" i="8"/>
  <c r="AA318" i="8"/>
  <c r="AA322" i="8"/>
  <c r="AA326" i="8"/>
  <c r="AA330" i="8"/>
  <c r="AA334" i="8"/>
  <c r="AA338" i="8"/>
  <c r="AA342" i="8"/>
  <c r="AA346" i="8"/>
  <c r="AA350" i="8"/>
  <c r="AA354" i="8"/>
  <c r="AA358" i="8"/>
  <c r="AA362" i="8"/>
  <c r="AA366" i="8"/>
  <c r="AA370" i="8"/>
  <c r="AA7" i="8"/>
  <c r="Z11" i="8"/>
  <c r="Z15" i="8"/>
  <c r="Z19" i="8"/>
  <c r="Z23" i="8"/>
  <c r="Z27" i="8"/>
  <c r="Z31" i="8"/>
  <c r="Z35" i="8"/>
  <c r="Z39" i="8"/>
  <c r="Z43" i="8"/>
  <c r="Z47" i="8"/>
  <c r="Z51" i="8"/>
  <c r="Z55" i="8"/>
  <c r="Z59" i="8"/>
  <c r="Z63" i="8"/>
  <c r="Z67" i="8"/>
  <c r="Z71" i="8"/>
  <c r="Z75" i="8"/>
  <c r="Z79" i="8"/>
  <c r="Z83" i="8"/>
  <c r="Z87" i="8"/>
  <c r="Z91" i="8"/>
  <c r="Z95" i="8"/>
  <c r="Z99" i="8"/>
  <c r="Z103" i="8"/>
  <c r="Z107" i="8"/>
  <c r="Z111" i="8"/>
  <c r="Z115" i="8"/>
  <c r="Z119" i="8"/>
  <c r="Z123" i="8"/>
  <c r="Z127" i="8"/>
  <c r="Z131" i="8"/>
  <c r="Z135" i="8"/>
  <c r="Z139" i="8"/>
  <c r="Z143" i="8"/>
  <c r="Z147" i="8"/>
  <c r="Z151" i="8"/>
  <c r="Z155" i="8"/>
  <c r="Z159" i="8"/>
  <c r="Z163" i="8"/>
  <c r="Z170" i="8"/>
  <c r="Z174" i="8"/>
  <c r="Z178" i="8"/>
  <c r="Z182" i="8"/>
  <c r="Z186" i="8"/>
  <c r="Z190" i="8"/>
  <c r="Z194" i="8"/>
  <c r="Z198" i="8"/>
  <c r="Z202" i="8"/>
  <c r="Z206" i="8"/>
  <c r="Z210" i="8"/>
  <c r="Z214" i="8"/>
  <c r="Z218" i="8"/>
  <c r="Z222" i="8"/>
  <c r="Z226" i="8"/>
  <c r="Z230" i="8"/>
  <c r="Z234" i="8"/>
  <c r="Z238" i="8"/>
  <c r="Z242" i="8"/>
  <c r="Z246" i="8"/>
  <c r="Z250" i="8"/>
  <c r="Z254" i="8"/>
  <c r="Z258" i="8"/>
  <c r="Z262" i="8"/>
  <c r="Z266" i="8"/>
  <c r="Z270" i="8"/>
  <c r="Z274" i="8"/>
  <c r="Z278" i="8"/>
  <c r="Z282" i="8"/>
  <c r="Z286" i="8"/>
  <c r="Z290" i="8"/>
  <c r="Z294" i="8"/>
  <c r="Z298" i="8"/>
  <c r="Z302" i="8"/>
  <c r="Z306" i="8"/>
  <c r="Z310" i="8"/>
  <c r="Z314" i="8"/>
  <c r="Z318" i="8"/>
  <c r="Z322" i="8"/>
  <c r="Z326" i="8"/>
  <c r="Z330" i="8"/>
  <c r="Z334" i="8"/>
  <c r="Z338" i="8"/>
  <c r="Z342" i="8"/>
  <c r="Z346" i="8"/>
  <c r="Z350" i="8"/>
  <c r="Z354" i="8"/>
  <c r="Z358" i="8"/>
  <c r="Z362" i="8"/>
  <c r="Z366" i="8"/>
  <c r="Z370" i="8"/>
  <c r="Y7" i="8"/>
  <c r="Y16" i="8"/>
  <c r="Y20" i="8"/>
  <c r="Y24" i="8"/>
  <c r="Y28" i="8"/>
  <c r="Y32" i="8"/>
  <c r="Y36" i="8"/>
  <c r="Y40" i="8"/>
  <c r="Y44" i="8"/>
  <c r="Y48" i="8"/>
  <c r="Y52" i="8"/>
  <c r="Y56" i="8"/>
  <c r="Y60" i="8"/>
  <c r="Y64" i="8"/>
  <c r="Y68" i="8"/>
  <c r="Y72" i="8"/>
  <c r="Y76" i="8"/>
  <c r="Y80" i="8"/>
  <c r="Y84" i="8"/>
  <c r="Y88" i="8"/>
  <c r="Y92" i="8"/>
  <c r="Y96" i="8"/>
  <c r="Y100" i="8"/>
  <c r="Y104" i="8"/>
  <c r="Y108" i="8"/>
  <c r="Y112" i="8"/>
  <c r="Y116" i="8"/>
  <c r="Y120" i="8"/>
  <c r="Y124" i="8"/>
  <c r="Y128" i="8"/>
  <c r="Y132" i="8"/>
  <c r="Y136" i="8"/>
  <c r="Y140" i="8"/>
  <c r="Y144" i="8"/>
  <c r="Y148" i="8"/>
  <c r="Y152" i="8"/>
  <c r="Y156" i="8"/>
  <c r="Y160" i="8"/>
  <c r="Y167" i="8"/>
  <c r="Y171" i="8"/>
  <c r="Y175" i="8"/>
  <c r="Y179" i="8"/>
  <c r="Y183" i="8"/>
  <c r="Y187" i="8"/>
  <c r="Y191" i="8"/>
  <c r="Y195" i="8"/>
  <c r="Y199" i="8"/>
  <c r="Y203" i="8"/>
  <c r="Y207" i="8"/>
  <c r="Y211" i="8"/>
  <c r="Y215" i="8"/>
  <c r="Y219" i="8"/>
  <c r="Y223" i="8"/>
  <c r="Y227" i="8"/>
  <c r="Y231" i="8"/>
  <c r="Y235" i="8"/>
  <c r="Y239" i="8"/>
  <c r="Y243" i="8"/>
  <c r="Y247" i="8"/>
  <c r="Y251" i="8"/>
  <c r="Y255" i="8"/>
  <c r="Y259" i="8"/>
  <c r="Y263" i="8"/>
  <c r="Y267" i="8"/>
  <c r="Y271" i="8"/>
  <c r="Y275" i="8"/>
  <c r="Y279" i="8"/>
  <c r="Y283" i="8"/>
  <c r="Y287" i="8"/>
  <c r="Y291" i="8"/>
  <c r="Y295" i="8"/>
  <c r="Y299" i="8"/>
  <c r="Y303" i="8"/>
  <c r="Y307" i="8"/>
  <c r="Y311" i="8"/>
  <c r="Y315" i="8"/>
  <c r="Y319" i="8"/>
  <c r="Y323" i="8"/>
  <c r="Y327" i="8"/>
  <c r="Y331" i="8"/>
  <c r="Y335" i="8"/>
  <c r="Y339" i="8"/>
  <c r="Y343" i="8"/>
  <c r="Y347" i="8"/>
  <c r="Y351" i="8"/>
  <c r="Y355" i="8"/>
  <c r="Y359" i="8"/>
  <c r="Y363" i="8"/>
  <c r="Y367" i="8"/>
  <c r="Y371" i="8"/>
  <c r="Y10" i="8"/>
  <c r="Y8" i="8"/>
  <c r="AE6" i="8"/>
  <c r="AL183" i="8"/>
  <c r="AK72" i="8"/>
  <c r="AJ74" i="8"/>
  <c r="AJ205" i="8"/>
  <c r="AJ333" i="8"/>
  <c r="AI94" i="8"/>
  <c r="AI225" i="8"/>
  <c r="AI353" i="8"/>
  <c r="AH114" i="8"/>
  <c r="AH245" i="8"/>
  <c r="AH373" i="8"/>
  <c r="AG134" i="8"/>
  <c r="AG265" i="8"/>
  <c r="AF26" i="8"/>
  <c r="AF154" i="8"/>
  <c r="AF285" i="8"/>
  <c r="AF7" i="8"/>
  <c r="AE39" i="8"/>
  <c r="AE71" i="8"/>
  <c r="AE119" i="8"/>
  <c r="AE151" i="8"/>
  <c r="AE186" i="8"/>
  <c r="AE218" i="8"/>
  <c r="AE250" i="8"/>
  <c r="AE282" i="8"/>
  <c r="AE314" i="8"/>
  <c r="AE330" i="8"/>
  <c r="AE362" i="8"/>
  <c r="AD27" i="8"/>
  <c r="AD59" i="8"/>
  <c r="AD91" i="8"/>
  <c r="AD123" i="8"/>
  <c r="AD155" i="8"/>
  <c r="AD190" i="8"/>
  <c r="AD222" i="8"/>
  <c r="AD270" i="8"/>
  <c r="AD302" i="8"/>
  <c r="AD334" i="8"/>
  <c r="AD366" i="8"/>
  <c r="AC31" i="8"/>
  <c r="AC63" i="8"/>
  <c r="AC95" i="8"/>
  <c r="AC127" i="8"/>
  <c r="AC159" i="8"/>
  <c r="AC194" i="8"/>
  <c r="AC226" i="8"/>
  <c r="AC258" i="8"/>
  <c r="AC290" i="8"/>
  <c r="AC322" i="8"/>
  <c r="AC354" i="8"/>
  <c r="AB19" i="8"/>
  <c r="AB51" i="8"/>
  <c r="AB83" i="8"/>
  <c r="AB115" i="8"/>
  <c r="AB147" i="8"/>
  <c r="AB182" i="8"/>
  <c r="AB214" i="8"/>
  <c r="AB246" i="8"/>
  <c r="AB278" i="8"/>
  <c r="AB310" i="8"/>
  <c r="AB342" i="8"/>
  <c r="AB7" i="8"/>
  <c r="AA24" i="8"/>
  <c r="AA40" i="8"/>
  <c r="AA56" i="8"/>
  <c r="AA72" i="8"/>
  <c r="AA80" i="8"/>
  <c r="AA88" i="8"/>
  <c r="AA96" i="8"/>
  <c r="AA104" i="8"/>
  <c r="AA112" i="8"/>
  <c r="AA120" i="8"/>
  <c r="AA128" i="8"/>
  <c r="AA136" i="8"/>
  <c r="AA144" i="8"/>
  <c r="AA152" i="8"/>
  <c r="AA160" i="8"/>
  <c r="AA171" i="8"/>
  <c r="AA179" i="8"/>
  <c r="AA187" i="8"/>
  <c r="AA195" i="8"/>
  <c r="AA203" i="8"/>
  <c r="AA211" i="8"/>
  <c r="AA219" i="8"/>
  <c r="AA227" i="8"/>
  <c r="AA235" i="8"/>
  <c r="AA243" i="8"/>
  <c r="AA247" i="8"/>
  <c r="AA255" i="8"/>
  <c r="AA263" i="8"/>
  <c r="AA271" i="8"/>
  <c r="AA279" i="8"/>
  <c r="AA287" i="8"/>
  <c r="AA295" i="8"/>
  <c r="AA307" i="8"/>
  <c r="AA315" i="8"/>
  <c r="AA323" i="8"/>
  <c r="AA331" i="8"/>
  <c r="AA339" i="8"/>
  <c r="AA347" i="8"/>
  <c r="AA355" i="8"/>
  <c r="AA363" i="8"/>
  <c r="AA371" i="8"/>
  <c r="Z12" i="8"/>
  <c r="Z20" i="8"/>
  <c r="Z28" i="8"/>
  <c r="Z36" i="8"/>
  <c r="Z44" i="8"/>
  <c r="Z52" i="8"/>
  <c r="Z60" i="8"/>
  <c r="Z68" i="8"/>
  <c r="Z80" i="8"/>
  <c r="Z88" i="8"/>
  <c r="Z96" i="8"/>
  <c r="Z104" i="8"/>
  <c r="Z112" i="8"/>
  <c r="Z120" i="8"/>
  <c r="Z128" i="8"/>
  <c r="Z136" i="8"/>
  <c r="Z144" i="8"/>
  <c r="Z152" i="8"/>
  <c r="Z160" i="8"/>
  <c r="Z171" i="8"/>
  <c r="Z179" i="8"/>
  <c r="Z187" i="8"/>
  <c r="Z195" i="8"/>
  <c r="Z203" i="8"/>
  <c r="Z207" i="8"/>
  <c r="Z215" i="8"/>
  <c r="Z223" i="8"/>
  <c r="Z231" i="8"/>
  <c r="Z243" i="8"/>
  <c r="Z247" i="8"/>
  <c r="Z259" i="8"/>
  <c r="Z263" i="8"/>
  <c r="Z271" i="8"/>
  <c r="Z279" i="8"/>
  <c r="Z287" i="8"/>
  <c r="Z295" i="8"/>
  <c r="Z303" i="8"/>
  <c r="Z311" i="8"/>
  <c r="Z319" i="8"/>
  <c r="Z327" i="8"/>
  <c r="Z335" i="8"/>
  <c r="Z343" i="8"/>
  <c r="Z351" i="8"/>
  <c r="Z359" i="8"/>
  <c r="Z367" i="8"/>
  <c r="Z7" i="8"/>
  <c r="Y21" i="8"/>
  <c r="Y25" i="8"/>
  <c r="Y33" i="8"/>
  <c r="Y41" i="8"/>
  <c r="Y45" i="8"/>
  <c r="Y49" i="8"/>
  <c r="Y53" i="8"/>
  <c r="Y57" i="8"/>
  <c r="Y65" i="8"/>
  <c r="Y69" i="8"/>
  <c r="Y77" i="8"/>
  <c r="Y81" i="8"/>
  <c r="Y85" i="8"/>
  <c r="Y89" i="8"/>
  <c r="Y93" i="8"/>
  <c r="Y97" i="8"/>
  <c r="Y101" i="8"/>
  <c r="Y105" i="8"/>
  <c r="Y109" i="8"/>
  <c r="Y113" i="8"/>
  <c r="Y117" i="8"/>
  <c r="Y121" i="8"/>
  <c r="Y125" i="8"/>
  <c r="Y129" i="8"/>
  <c r="Y133" i="8"/>
  <c r="Y137" i="8"/>
  <c r="Y141" i="8"/>
  <c r="Y145" i="8"/>
  <c r="Y149" i="8"/>
  <c r="Y153" i="8"/>
  <c r="Y157" i="8"/>
  <c r="Y161" i="8"/>
  <c r="Y168" i="8"/>
  <c r="Y172" i="8"/>
  <c r="Y176" i="8"/>
  <c r="Y180" i="8"/>
  <c r="Y184" i="8"/>
  <c r="Y188" i="8"/>
  <c r="Y192" i="8"/>
  <c r="Y196" i="8"/>
  <c r="Y200" i="8"/>
  <c r="Y204" i="8"/>
  <c r="Y208" i="8"/>
  <c r="Y212" i="8"/>
  <c r="Y216" i="8"/>
  <c r="Y220" i="8"/>
  <c r="Y224" i="8"/>
  <c r="Y228" i="8"/>
  <c r="Y232" i="8"/>
  <c r="Y236" i="8"/>
  <c r="Y240" i="8"/>
  <c r="Y244" i="8"/>
  <c r="Y248" i="8"/>
  <c r="Y252" i="8"/>
  <c r="Y256" i="8"/>
  <c r="Y260" i="8"/>
  <c r="Y264" i="8"/>
  <c r="Y268" i="8"/>
  <c r="Y272" i="8"/>
  <c r="Y280" i="8"/>
  <c r="Y284" i="8"/>
  <c r="Y288" i="8"/>
  <c r="Y296" i="8"/>
  <c r="Y300" i="8"/>
  <c r="Y308" i="8"/>
  <c r="Y316" i="8"/>
  <c r="Y324" i="8"/>
  <c r="Y332" i="8"/>
  <c r="Y336" i="8"/>
  <c r="Y344" i="8"/>
  <c r="Y352" i="8"/>
  <c r="Y360" i="8"/>
  <c r="Y368" i="8"/>
  <c r="Y11" i="8"/>
  <c r="AB6" i="8"/>
  <c r="AL6" i="8"/>
  <c r="AM6" i="8"/>
  <c r="AO6" i="8"/>
  <c r="AM360" i="8"/>
  <c r="AJ25" i="8"/>
  <c r="AJ90" i="8"/>
  <c r="AJ154" i="8"/>
  <c r="AJ221" i="8"/>
  <c r="AJ285" i="8"/>
  <c r="AJ349" i="8"/>
  <c r="AI46" i="8"/>
  <c r="AI110" i="8"/>
  <c r="AI177" i="8"/>
  <c r="AI241" i="8"/>
  <c r="AI305" i="8"/>
  <c r="AI369" i="8"/>
  <c r="AH66" i="8"/>
  <c r="AH130" i="8"/>
  <c r="AH197" i="8"/>
  <c r="AH261" i="8"/>
  <c r="AG86" i="8"/>
  <c r="AG281" i="8"/>
  <c r="AG345" i="8"/>
  <c r="AF106" i="8"/>
  <c r="AF237" i="8"/>
  <c r="AF362" i="8"/>
  <c r="AE27" i="8"/>
  <c r="AE59" i="8"/>
  <c r="AE107" i="8"/>
  <c r="AE123" i="8"/>
  <c r="AE155" i="8"/>
  <c r="AE190" i="8"/>
  <c r="AE238" i="8"/>
  <c r="AE270" i="8"/>
  <c r="AE286" i="8"/>
  <c r="AE334" i="8"/>
  <c r="AD15" i="8"/>
  <c r="AD47" i="8"/>
  <c r="AD95" i="8"/>
  <c r="AD143" i="8"/>
  <c r="AD194" i="8"/>
  <c r="AD226" i="8"/>
  <c r="AD274" i="8"/>
  <c r="AD306" i="8"/>
  <c r="AD354" i="8"/>
  <c r="AC19" i="8"/>
  <c r="AC67" i="8"/>
  <c r="AC131" i="8"/>
  <c r="AC182" i="8"/>
  <c r="AC230" i="8"/>
  <c r="AC278" i="8"/>
  <c r="AC326" i="8"/>
  <c r="AC7" i="8"/>
  <c r="AB55" i="8"/>
  <c r="AB103" i="8"/>
  <c r="AB151" i="8"/>
  <c r="AB186" i="8"/>
  <c r="AB234" i="8"/>
  <c r="AB298" i="8"/>
  <c r="AB346" i="8"/>
  <c r="AA19" i="8"/>
  <c r="AA43" i="8"/>
  <c r="AA67" i="8"/>
  <c r="AA81" i="8"/>
  <c r="AA89" i="8"/>
  <c r="AA109" i="8"/>
  <c r="AA117" i="8"/>
  <c r="AA125" i="8"/>
  <c r="AA137" i="8"/>
  <c r="AA141" i="8"/>
  <c r="AA153" i="8"/>
  <c r="AA168" i="8"/>
  <c r="AA176" i="8"/>
  <c r="AA184" i="8"/>
  <c r="AA192" i="8"/>
  <c r="AA200" i="8"/>
  <c r="AA208" i="8"/>
  <c r="AA216" i="8"/>
  <c r="AA224" i="8"/>
  <c r="AA232" i="8"/>
  <c r="AA240" i="8"/>
  <c r="AA248" i="8"/>
  <c r="AA256" i="8"/>
  <c r="AA264" i="8"/>
  <c r="AA272" i="8"/>
  <c r="AA280" i="8"/>
  <c r="AA288" i="8"/>
  <c r="AA292" i="8"/>
  <c r="AA300" i="8"/>
  <c r="AA308" i="8"/>
  <c r="AA316" i="8"/>
  <c r="AA320" i="8"/>
  <c r="AA328" i="8"/>
  <c r="AA336" i="8"/>
  <c r="AA344" i="8"/>
  <c r="AA352" i="8"/>
  <c r="AA360" i="8"/>
  <c r="AA368" i="8"/>
  <c r="Z9" i="8"/>
  <c r="Z17" i="8"/>
  <c r="Z25" i="8"/>
  <c r="Z33" i="8"/>
  <c r="Z41" i="8"/>
  <c r="Z49" i="8"/>
  <c r="Z57" i="8"/>
  <c r="Z65" i="8"/>
  <c r="Z73" i="8"/>
  <c r="Z81" i="8"/>
  <c r="Z89" i="8"/>
  <c r="Z97" i="8"/>
  <c r="Z101" i="8"/>
  <c r="Z109" i="8"/>
  <c r="Z117" i="8"/>
  <c r="Z129" i="8"/>
  <c r="Z137" i="8"/>
  <c r="Z145" i="8"/>
  <c r="Z153" i="8"/>
  <c r="Z161" i="8"/>
  <c r="Z172" i="8"/>
  <c r="Z180" i="8"/>
  <c r="Z188" i="8"/>
  <c r="Z196" i="8"/>
  <c r="Z204" i="8"/>
  <c r="Z212" i="8"/>
  <c r="Z220" i="8"/>
  <c r="Z228" i="8"/>
  <c r="Z236" i="8"/>
  <c r="Z244" i="8"/>
  <c r="Z252" i="8"/>
  <c r="Z260" i="8"/>
  <c r="Z268" i="8"/>
  <c r="Z276" i="8"/>
  <c r="Z284" i="8"/>
  <c r="Z292" i="8"/>
  <c r="Z300" i="8"/>
  <c r="Z308" i="8"/>
  <c r="Z316" i="8"/>
  <c r="Z324" i="8"/>
  <c r="Z332" i="8"/>
  <c r="Z340" i="8"/>
  <c r="Z348" i="8"/>
  <c r="Z356" i="8"/>
  <c r="Z364" i="8"/>
  <c r="Z372" i="8"/>
  <c r="Y18" i="8"/>
  <c r="Y22" i="8"/>
  <c r="Y30" i="8"/>
  <c r="Y38" i="8"/>
  <c r="Y50" i="8"/>
  <c r="Y58" i="8"/>
  <c r="Y66" i="8"/>
  <c r="Y74" i="8"/>
  <c r="Y82" i="8"/>
  <c r="Y90" i="8"/>
  <c r="Y102" i="8"/>
  <c r="Y110" i="8"/>
  <c r="Y118" i="8"/>
  <c r="Y126" i="8"/>
  <c r="Y134" i="8"/>
  <c r="Y142" i="8"/>
  <c r="Y150" i="8"/>
  <c r="Y158" i="8"/>
  <c r="Y169" i="8"/>
  <c r="Y177" i="8"/>
  <c r="Y181" i="8"/>
  <c r="Y189" i="8"/>
  <c r="Y197" i="8"/>
  <c r="Y205" i="8"/>
  <c r="Y217" i="8"/>
  <c r="Y225" i="8"/>
  <c r="Y233" i="8"/>
  <c r="Y241" i="8"/>
  <c r="Y249" i="8"/>
  <c r="Y257" i="8"/>
  <c r="Y265" i="8"/>
  <c r="Y273" i="8"/>
  <c r="Y281" i="8"/>
  <c r="Y289" i="8"/>
  <c r="Y297" i="8"/>
  <c r="Y305" i="8"/>
  <c r="Y313" i="8"/>
  <c r="Y321" i="8"/>
  <c r="Y329" i="8"/>
  <c r="Y337" i="8"/>
  <c r="Y345" i="8"/>
  <c r="Y353" i="8"/>
  <c r="Y361" i="8"/>
  <c r="Y369" i="8"/>
  <c r="Y12" i="8"/>
  <c r="AC6" i="8"/>
  <c r="Z6" i="8"/>
  <c r="AP6" i="8"/>
  <c r="AK136" i="8"/>
  <c r="AE206" i="8"/>
  <c r="AE318" i="8"/>
  <c r="AE366" i="8"/>
  <c r="AD63" i="8"/>
  <c r="AD111" i="8"/>
  <c r="AD159" i="8"/>
  <c r="AD210" i="8"/>
  <c r="AD242" i="8"/>
  <c r="AD290" i="8"/>
  <c r="AD338" i="8"/>
  <c r="AC35" i="8"/>
  <c r="AC83" i="8"/>
  <c r="AC115" i="8"/>
  <c r="AC163" i="8"/>
  <c r="AC214" i="8"/>
  <c r="AC262" i="8"/>
  <c r="AC310" i="8"/>
  <c r="AC342" i="8"/>
  <c r="AB23" i="8"/>
  <c r="AB71" i="8"/>
  <c r="AB119" i="8"/>
  <c r="AB170" i="8"/>
  <c r="AB218" i="8"/>
  <c r="AB250" i="8"/>
  <c r="AB282" i="8"/>
  <c r="AB330" i="8"/>
  <c r="AA11" i="8"/>
  <c r="AA35" i="8"/>
  <c r="AA59" i="8"/>
  <c r="AA77" i="8"/>
  <c r="AA93" i="8"/>
  <c r="AA105" i="8"/>
  <c r="AA121" i="8"/>
  <c r="AA129" i="8"/>
  <c r="AA145" i="8"/>
  <c r="AA157" i="8"/>
  <c r="AA172" i="8"/>
  <c r="AA180" i="8"/>
  <c r="AA188" i="8"/>
  <c r="AA196" i="8"/>
  <c r="AA204" i="8"/>
  <c r="AA212" i="8"/>
  <c r="AA220" i="8"/>
  <c r="AA228" i="8"/>
  <c r="AA236" i="8"/>
  <c r="AA244" i="8"/>
  <c r="AA252" i="8"/>
  <c r="AA260" i="8"/>
  <c r="AA268" i="8"/>
  <c r="AA276" i="8"/>
  <c r="AA284" i="8"/>
  <c r="AA296" i="8"/>
  <c r="AA304" i="8"/>
  <c r="AA312" i="8"/>
  <c r="AA324" i="8"/>
  <c r="AA332" i="8"/>
  <c r="AA340" i="8"/>
  <c r="AA348" i="8"/>
  <c r="AA356" i="8"/>
  <c r="AA364" i="8"/>
  <c r="AA372" i="8"/>
  <c r="Z13" i="8"/>
  <c r="Z21" i="8"/>
  <c r="Z29" i="8"/>
  <c r="Z37" i="8"/>
  <c r="Z45" i="8"/>
  <c r="Z53" i="8"/>
  <c r="Z61" i="8"/>
  <c r="Z69" i="8"/>
  <c r="Z77" i="8"/>
  <c r="Z85" i="8"/>
  <c r="Z93" i="8"/>
  <c r="Z105" i="8"/>
  <c r="Z113" i="8"/>
  <c r="Z121" i="8"/>
  <c r="Z125" i="8"/>
  <c r="Z133" i="8"/>
  <c r="Z141" i="8"/>
  <c r="Z149" i="8"/>
  <c r="Z157" i="8"/>
  <c r="Z168" i="8"/>
  <c r="Z176" i="8"/>
  <c r="Z184" i="8"/>
  <c r="Z192" i="8"/>
  <c r="Z200" i="8"/>
  <c r="Z208" i="8"/>
  <c r="Z216" i="8"/>
  <c r="Z224" i="8"/>
  <c r="Z232" i="8"/>
  <c r="Z240" i="8"/>
  <c r="Z248" i="8"/>
  <c r="Z256" i="8"/>
  <c r="Z264" i="8"/>
  <c r="Z272" i="8"/>
  <c r="Z280" i="8"/>
  <c r="Z288" i="8"/>
  <c r="Z296" i="8"/>
  <c r="Z304" i="8"/>
  <c r="Z312" i="8"/>
  <c r="Z320" i="8"/>
  <c r="Z328" i="8"/>
  <c r="Z336" i="8"/>
  <c r="Z344" i="8"/>
  <c r="Z352" i="8"/>
  <c r="Z360" i="8"/>
  <c r="Z368" i="8"/>
  <c r="Y14" i="8"/>
  <c r="Y26" i="8"/>
  <c r="Y34" i="8"/>
  <c r="Y42" i="8"/>
  <c r="Y46" i="8"/>
  <c r="Y54" i="8"/>
  <c r="Y62" i="8"/>
  <c r="Y70" i="8"/>
  <c r="Y78" i="8"/>
  <c r="Y86" i="8"/>
  <c r="Y94" i="8"/>
  <c r="Y98" i="8"/>
  <c r="Y106" i="8"/>
  <c r="Y114" i="8"/>
  <c r="Y122" i="8"/>
  <c r="Y130" i="8"/>
  <c r="Y138" i="8"/>
  <c r="Y146" i="8"/>
  <c r="Y154" i="8"/>
  <c r="Y162" i="8"/>
  <c r="Y173" i="8"/>
  <c r="Y185" i="8"/>
  <c r="Y193" i="8"/>
  <c r="Y201" i="8"/>
  <c r="Y209" i="8"/>
  <c r="Y213" i="8"/>
  <c r="Y221" i="8"/>
  <c r="Y229" i="8"/>
  <c r="Y237" i="8"/>
  <c r="Y245" i="8"/>
  <c r="Y253" i="8"/>
  <c r="Y261" i="8"/>
  <c r="Y269" i="8"/>
  <c r="Y277" i="8"/>
  <c r="Y285" i="8"/>
  <c r="Y293" i="8"/>
  <c r="Y301" i="8"/>
  <c r="Y309" i="8"/>
  <c r="Y317" i="8"/>
  <c r="Y325" i="8"/>
  <c r="Y333" i="8"/>
  <c r="Y341" i="8"/>
  <c r="Y349" i="8"/>
  <c r="Y357" i="8"/>
  <c r="Y365" i="8"/>
  <c r="Y373" i="8"/>
  <c r="AD6" i="8"/>
  <c r="AF6" i="8"/>
  <c r="AR166" i="8"/>
  <c r="AF166" i="8"/>
  <c r="AN165" i="8"/>
  <c r="AB165" i="8"/>
  <c r="AN164" i="8"/>
  <c r="AB164" i="8"/>
  <c r="AQ166" i="8"/>
  <c r="AM166" i="8"/>
  <c r="AI166" i="8"/>
  <c r="AE166" i="8"/>
  <c r="AA166" i="8"/>
  <c r="AQ165" i="8"/>
  <c r="AM165" i="8"/>
  <c r="AI165" i="8"/>
  <c r="AE165" i="8"/>
  <c r="AA165" i="8"/>
  <c r="AQ164" i="8"/>
  <c r="AM164" i="8"/>
  <c r="AI164" i="8"/>
  <c r="AE164" i="8"/>
  <c r="AA164" i="8"/>
  <c r="AL166" i="8"/>
  <c r="AH166" i="8"/>
  <c r="AD166" i="8"/>
  <c r="Z166" i="8"/>
  <c r="AP165" i="8"/>
  <c r="AL165" i="8"/>
  <c r="AH165" i="8"/>
  <c r="AD165" i="8"/>
  <c r="Z165" i="8"/>
  <c r="AP164" i="8"/>
  <c r="AL164" i="8"/>
  <c r="AH164" i="8"/>
  <c r="AD164" i="8"/>
  <c r="Z164" i="8"/>
  <c r="AO165" i="8"/>
  <c r="Y165" i="8"/>
  <c r="AN166" i="8"/>
  <c r="AJ166" i="8"/>
  <c r="AR165" i="8"/>
  <c r="AR164" i="8"/>
  <c r="AP166" i="8"/>
  <c r="AO166" i="8"/>
  <c r="AK166" i="8"/>
  <c r="AG166" i="8"/>
  <c r="AC166" i="8"/>
  <c r="Y166" i="8"/>
  <c r="AK165" i="8"/>
  <c r="AC165" i="8"/>
  <c r="AO164" i="8"/>
  <c r="AK164" i="8"/>
  <c r="AC164" i="8"/>
  <c r="Y164" i="8"/>
  <c r="AB166" i="8"/>
  <c r="AJ165" i="8"/>
  <c r="AF165" i="8"/>
  <c r="AJ164" i="8"/>
  <c r="AF164" i="8"/>
  <c r="AG82" i="8"/>
  <c r="AG78" i="8"/>
  <c r="AG69" i="8"/>
  <c r="AG72" i="8"/>
  <c r="AG34" i="8"/>
  <c r="AG33" i="8"/>
  <c r="AG37" i="8"/>
  <c r="AG36" i="8"/>
  <c r="AG35" i="8"/>
  <c r="AG55" i="8"/>
  <c r="AG40" i="8"/>
  <c r="AG48" i="8"/>
  <c r="AG47" i="8"/>
  <c r="AG46" i="8"/>
  <c r="AG45" i="8"/>
  <c r="AG44" i="8"/>
  <c r="AG43" i="8"/>
  <c r="AG52" i="8"/>
  <c r="AG50" i="8"/>
  <c r="AG42" i="8"/>
  <c r="AG30" i="8"/>
  <c r="AG29" i="8"/>
  <c r="AG22" i="8"/>
  <c r="AG16" i="8"/>
  <c r="AG18" i="8"/>
  <c r="AG20" i="8"/>
  <c r="AG14" i="8"/>
  <c r="AG176" i="8"/>
  <c r="AG175" i="8"/>
  <c r="AG163" i="8"/>
  <c r="AG160" i="8"/>
  <c r="AG171" i="8"/>
  <c r="AG184" i="8"/>
  <c r="AG165" i="8"/>
  <c r="AG164" i="8"/>
  <c r="AG152" i="8"/>
  <c r="AG150" i="8"/>
  <c r="AG149" i="8"/>
  <c r="AG145" i="8"/>
  <c r="AG143" i="8"/>
  <c r="AG141" i="8"/>
</calcChain>
</file>

<file path=xl/sharedStrings.xml><?xml version="1.0" encoding="utf-8"?>
<sst xmlns="http://schemas.openxmlformats.org/spreadsheetml/2006/main" count="34689" uniqueCount="15457">
  <si>
    <t>PIM: Kategoriebaum</t>
  </si>
  <si>
    <t>Components</t>
  </si>
  <si>
    <t>Active Components</t>
  </si>
  <si>
    <t>Passive Components</t>
  </si>
  <si>
    <t>Circuit Protection</t>
  </si>
  <si>
    <t>Connectors</t>
  </si>
  <si>
    <t>Relays &amp; Switches</t>
  </si>
  <si>
    <t>Cables &amp; Installation Materials</t>
  </si>
  <si>
    <t>Tools</t>
  </si>
  <si>
    <t>Soldering</t>
  </si>
  <si>
    <t>Mechanical components</t>
  </si>
  <si>
    <t>Automation</t>
  </si>
  <si>
    <t>Transformers</t>
  </si>
  <si>
    <t>Industrial power DC/DC, AC/DC</t>
  </si>
  <si>
    <t>Navigation Nodes</t>
  </si>
  <si>
    <t>Kategoriebaum</t>
  </si>
  <si>
    <t>Navigation Entries</t>
  </si>
  <si>
    <t>INSERT_UPDATE CMSNavigationEntry;uid[unique=true];name;item(Category.code, Category.$productCatalogVersion);navigationNode(uid, $contentCatalogVersion);$contentCatalogVersion[unique=true]</t>
  </si>
  <si>
    <t>L1D_379509</t>
  </si>
  <si>
    <t>L2D_379524</t>
  </si>
  <si>
    <t>L2D_379525</t>
  </si>
  <si>
    <t>L2D_379526</t>
  </si>
  <si>
    <t>L2D_379527</t>
  </si>
  <si>
    <t>L2D_379528</t>
  </si>
  <si>
    <t>L2D_379529</t>
  </si>
  <si>
    <t>L2D_379531</t>
  </si>
  <si>
    <t>L1D_379513</t>
  </si>
  <si>
    <t>L2D_379532</t>
  </si>
  <si>
    <t>L2D_379533</t>
  </si>
  <si>
    <t>L2D_379535</t>
  </si>
  <si>
    <t>L2D_379536</t>
  </si>
  <si>
    <t>L1D_379516</t>
  </si>
  <si>
    <t>L2D_379610</t>
  </si>
  <si>
    <t>Process Displays / Regulators / PLC / HMI</t>
  </si>
  <si>
    <t>L2D_379611</t>
  </si>
  <si>
    <t>Industrial Communication</t>
  </si>
  <si>
    <t>L2D_379612</t>
  </si>
  <si>
    <t>Sensors</t>
  </si>
  <si>
    <t>L2D_379613</t>
  </si>
  <si>
    <t>Switching / Metering &amp; Counting / Monitoring / Command / Signalling Devices</t>
  </si>
  <si>
    <t>L2D_379617</t>
  </si>
  <si>
    <t>Motors / Controllers / Actuators</t>
  </si>
  <si>
    <t>L2D_379622</t>
  </si>
  <si>
    <t>Pneumatics</t>
  </si>
  <si>
    <t>L2D_379624</t>
  </si>
  <si>
    <t>Signals</t>
  </si>
  <si>
    <t>L1D_379521</t>
  </si>
  <si>
    <t>L2D_379647</t>
  </si>
  <si>
    <t>L2D_379649</t>
  </si>
  <si>
    <t>L2D_379651</t>
  </si>
  <si>
    <t>L2D_379658</t>
  </si>
  <si>
    <t>L2D_379659</t>
  </si>
  <si>
    <t>L2D_379661</t>
  </si>
  <si>
    <t>L0D_324785</t>
  </si>
  <si>
    <t>Power LEDs</t>
  </si>
  <si>
    <t>Enclosures / Fans / PCB Boards</t>
  </si>
  <si>
    <t>Maintenance</t>
  </si>
  <si>
    <t>L2D_527482</t>
  </si>
  <si>
    <t>L3D_525476</t>
  </si>
  <si>
    <t>Actuator Sensor Interface</t>
  </si>
  <si>
    <t>L3D_525472</t>
  </si>
  <si>
    <t>L3D_525475</t>
  </si>
  <si>
    <t>Industrial Ethernet</t>
  </si>
  <si>
    <t>L3D_525474</t>
  </si>
  <si>
    <t>Interface Converters</t>
  </si>
  <si>
    <t>L3D_525473</t>
  </si>
  <si>
    <t>L3D_525477</t>
  </si>
  <si>
    <t>Remote Data Transmission</t>
  </si>
  <si>
    <t>L3D_525517</t>
  </si>
  <si>
    <t>Actuators</t>
  </si>
  <si>
    <t>L3D_525514</t>
  </si>
  <si>
    <t>Alternating Current and Three-phase Motors</t>
  </si>
  <si>
    <t>L3D_525512</t>
  </si>
  <si>
    <t>Direct Current Motors</t>
  </si>
  <si>
    <t>L3D_525516</t>
  </si>
  <si>
    <t>Linear Drives</t>
  </si>
  <si>
    <t>L3D_525511</t>
  </si>
  <si>
    <t>Motor Controllers</t>
  </si>
  <si>
    <t>L3D_525513</t>
  </si>
  <si>
    <t>Stepper Motors and Servo Drives</t>
  </si>
  <si>
    <t>L3D_525515</t>
  </si>
  <si>
    <t>Transmissions</t>
  </si>
  <si>
    <t>L3D_525520</t>
  </si>
  <si>
    <t>L3D_525523</t>
  </si>
  <si>
    <t>L3D_525521</t>
  </si>
  <si>
    <t>Fittings / Check Valves</t>
  </si>
  <si>
    <t>L3D_525525</t>
  </si>
  <si>
    <t>L3D_525522</t>
  </si>
  <si>
    <t>Vacuum Technology</t>
  </si>
  <si>
    <t>L3D_525519</t>
  </si>
  <si>
    <t>Valves</t>
  </si>
  <si>
    <t>L3D_525471</t>
  </si>
  <si>
    <t>Human Machine Interfaces</t>
  </si>
  <si>
    <t>L3D_525470</t>
  </si>
  <si>
    <t>PLC Systems</t>
  </si>
  <si>
    <t>L3D_525469</t>
  </si>
  <si>
    <t>Process Controllers</t>
  </si>
  <si>
    <t>L3D_525468</t>
  </si>
  <si>
    <t>Process Displays</t>
  </si>
  <si>
    <t>L3D_525479</t>
  </si>
  <si>
    <t>L3D_525478</t>
  </si>
  <si>
    <t>L3D_525481</t>
  </si>
  <si>
    <t>Optical Sensors</t>
  </si>
  <si>
    <t>L3D_525485</t>
  </si>
  <si>
    <t>L3D_525483</t>
  </si>
  <si>
    <t>L3D_525486</t>
  </si>
  <si>
    <t>Rotary Encoders</t>
  </si>
  <si>
    <t>L3D_525480</t>
  </si>
  <si>
    <t>L3D_525528</t>
  </si>
  <si>
    <t>Acoustic Signal Generators</t>
  </si>
  <si>
    <t>L3D_525527</t>
  </si>
  <si>
    <t>L3D_525526</t>
  </si>
  <si>
    <t>Optical Signal Generators</t>
  </si>
  <si>
    <t>L3D_525502</t>
  </si>
  <si>
    <t>Clock Relays</t>
  </si>
  <si>
    <t>L3D_525507</t>
  </si>
  <si>
    <t>Control Switches and Signalling Devices 22 mm</t>
  </si>
  <si>
    <t>L3D_525506</t>
  </si>
  <si>
    <t>Limit Switches</t>
  </si>
  <si>
    <t>L3D_525503</t>
  </si>
  <si>
    <t>Meters</t>
  </si>
  <si>
    <t>L3D_525504</t>
  </si>
  <si>
    <t>Monitoring Relays / Modules</t>
  </si>
  <si>
    <t>L3D_525505</t>
  </si>
  <si>
    <t>Safety Components</t>
  </si>
  <si>
    <t>L3D_525501</t>
  </si>
  <si>
    <t>Time Lag Relays</t>
  </si>
  <si>
    <t>L2-3D_525338</t>
  </si>
  <si>
    <t>Analogue Circuits</t>
  </si>
  <si>
    <t>L2-3D_525340</t>
  </si>
  <si>
    <t>Assembly Material for Semiconductors</t>
  </si>
  <si>
    <t>L2-3D_525339</t>
  </si>
  <si>
    <t>L2-3D_525337</t>
  </si>
  <si>
    <t>Discrete Semiconductors / Tubes</t>
  </si>
  <si>
    <t>L2-3D_525341</t>
  </si>
  <si>
    <t>Optoelectronics</t>
  </si>
  <si>
    <t>L3D_525396</t>
  </si>
  <si>
    <t>Lighting Controls / Switches</t>
  </si>
  <si>
    <t>Terminal Blocks</t>
  </si>
  <si>
    <t>L3D_525386</t>
  </si>
  <si>
    <t>Terminal Strip / Light Terminals</t>
  </si>
  <si>
    <t>L3D_525385</t>
  </si>
  <si>
    <t>Cable Ties / Cable Support</t>
  </si>
  <si>
    <t>L3D_525384</t>
  </si>
  <si>
    <t>L3D_525382</t>
  </si>
  <si>
    <t>Equipment Wires</t>
  </si>
  <si>
    <t>L3D_525383</t>
  </si>
  <si>
    <t>Network Cables / Control Cables / Data Cables / Optical Fibre Cables</t>
  </si>
  <si>
    <t>L3D_525360</t>
  </si>
  <si>
    <t>Fuses / RCD / Over-voltage Protection</t>
  </si>
  <si>
    <t>L3D_525363</t>
  </si>
  <si>
    <t>Audio / Video / Computer Connectors</t>
  </si>
  <si>
    <t>L3D_525367</t>
  </si>
  <si>
    <t>Circular Connectors</t>
  </si>
  <si>
    <t>L3D_525362</t>
  </si>
  <si>
    <t>L3D_525361</t>
  </si>
  <si>
    <t>Flat Cable Connectors</t>
  </si>
  <si>
    <t>L3D_525366</t>
  </si>
  <si>
    <t>Heavy-duty Connectors</t>
  </si>
  <si>
    <t>L3D_525364</t>
  </si>
  <si>
    <t>Industrial Connectors</t>
  </si>
  <si>
    <t>L3D_525365</t>
  </si>
  <si>
    <t>L3D_525401</t>
  </si>
  <si>
    <t>19'' Enclosures</t>
  </si>
  <si>
    <t>L3D_525404</t>
  </si>
  <si>
    <t>Accessories for Blowers</t>
  </si>
  <si>
    <t>L3D_525400</t>
  </si>
  <si>
    <t>Enclosure Accessories</t>
  </si>
  <si>
    <t>L3D_525403</t>
  </si>
  <si>
    <t>Fans</t>
  </si>
  <si>
    <t>L3D_525398</t>
  </si>
  <si>
    <t>L3D_525402</t>
  </si>
  <si>
    <t>Plastic / Metal Enclosures</t>
  </si>
  <si>
    <t>L3D_525399</t>
  </si>
  <si>
    <t>Prototyping Boards / PCB Manufacturing</t>
  </si>
  <si>
    <t>L3D_525371</t>
  </si>
  <si>
    <t>Industrial Relays</t>
  </si>
  <si>
    <t>L3D_525374</t>
  </si>
  <si>
    <t>Mains Power Switches</t>
  </si>
  <si>
    <t>L3D_525375</t>
  </si>
  <si>
    <t>Microswitches / Snap-Action</t>
  </si>
  <si>
    <t>L3D_525376</t>
  </si>
  <si>
    <t>Miniature Switches / PCB Switches</t>
  </si>
  <si>
    <t>L3D_525370</t>
  </si>
  <si>
    <t>PCB Relays</t>
  </si>
  <si>
    <t>L3D_525372</t>
  </si>
  <si>
    <t>Reed Relays / Reed Contacts / Magnets</t>
  </si>
  <si>
    <t>L3D_525373</t>
  </si>
  <si>
    <t>Solid State Relays</t>
  </si>
  <si>
    <t>L3D_525546</t>
  </si>
  <si>
    <t>Chargers</t>
  </si>
  <si>
    <t>L3D_525545</t>
  </si>
  <si>
    <t>Primary &amp; Rechargeable Battery Accessories</t>
  </si>
  <si>
    <t>L3D_525543</t>
  </si>
  <si>
    <t>Primary Batteries</t>
  </si>
  <si>
    <t>L3D_525544</t>
  </si>
  <si>
    <t>Rechargeable Batteries</t>
  </si>
  <si>
    <t>L3D_525547</t>
  </si>
  <si>
    <t>L3D_525549</t>
  </si>
  <si>
    <t>L3D_525548</t>
  </si>
  <si>
    <t>L3D_525551</t>
  </si>
  <si>
    <t>L3D_525557</t>
  </si>
  <si>
    <t>L3D_525554</t>
  </si>
  <si>
    <t>L3D_525558</t>
  </si>
  <si>
    <t>Isolating Transformers</t>
  </si>
  <si>
    <t>Laboratory Power Supplies</t>
  </si>
  <si>
    <t>L3D_525556</t>
  </si>
  <si>
    <t>L3D_525567</t>
  </si>
  <si>
    <t>L3D_525569</t>
  </si>
  <si>
    <t>Lamp Holders / Sockets</t>
  </si>
  <si>
    <t>L3D_525568</t>
  </si>
  <si>
    <t>L3D_525564</t>
  </si>
  <si>
    <t>Accessories for Power LEDs</t>
  </si>
  <si>
    <t>L3D_525566</t>
  </si>
  <si>
    <t>L3D_525565</t>
  </si>
  <si>
    <t>LED Drivers</t>
  </si>
  <si>
    <t>L3D_525563</t>
  </si>
  <si>
    <t>LED Fittings</t>
  </si>
  <si>
    <t>L3D_525562</t>
  </si>
  <si>
    <t>LED Modules</t>
  </si>
  <si>
    <t>L3D_525561</t>
  </si>
  <si>
    <t>L3D_525560</t>
  </si>
  <si>
    <t>L3D_525572</t>
  </si>
  <si>
    <t>L3D_525570</t>
  </si>
  <si>
    <t>L3D_525571</t>
  </si>
  <si>
    <t>L3D_525539</t>
  </si>
  <si>
    <t>Autotransformers / Isolating Transformers</t>
  </si>
  <si>
    <t>L3D_525537</t>
  </si>
  <si>
    <t>Control Transformers</t>
  </si>
  <si>
    <t>L3D_525535</t>
  </si>
  <si>
    <t>PCB Transformers</t>
  </si>
  <si>
    <t>L3D_525538</t>
  </si>
  <si>
    <t>Safety Transformers</t>
  </si>
  <si>
    <t>L3D_525536</t>
  </si>
  <si>
    <t>Universal Transformers</t>
  </si>
  <si>
    <t>L3D_525540</t>
  </si>
  <si>
    <t>Variable Transformers</t>
  </si>
  <si>
    <t>L3D_525455</t>
  </si>
  <si>
    <t>Adhesives</t>
  </si>
  <si>
    <t>L3D_525448</t>
  </si>
  <si>
    <t>L3D_525451</t>
  </si>
  <si>
    <t>L3D_525456</t>
  </si>
  <si>
    <t>Labelling</t>
  </si>
  <si>
    <t>L3D_525449</t>
  </si>
  <si>
    <t>L3D_525454</t>
  </si>
  <si>
    <t>L3D_525453</t>
  </si>
  <si>
    <t>L3D_525463</t>
  </si>
  <si>
    <t>Ball Bearings</t>
  </si>
  <si>
    <t>L3D_525462</t>
  </si>
  <si>
    <t>L3D_525460</t>
  </si>
  <si>
    <t>L3D_525458</t>
  </si>
  <si>
    <t>Mounting Accessories and Spacers</t>
  </si>
  <si>
    <t>L3D_525457</t>
  </si>
  <si>
    <t>L3D_525466</t>
  </si>
  <si>
    <t>L3D_525461</t>
  </si>
  <si>
    <t>L3D_525446</t>
  </si>
  <si>
    <t>L3D_525443</t>
  </si>
  <si>
    <t>L3D_525440</t>
  </si>
  <si>
    <t>L3D_525436</t>
  </si>
  <si>
    <t>L3D_525444</t>
  </si>
  <si>
    <t>L3D_525437</t>
  </si>
  <si>
    <t>L3D_525438</t>
  </si>
  <si>
    <t>L2-3D_527498</t>
  </si>
  <si>
    <t>Panel Meters</t>
  </si>
  <si>
    <t>Automatisation</t>
  </si>
  <si>
    <t>Automazione</t>
  </si>
  <si>
    <t>Industrielle Kommunikation</t>
  </si>
  <si>
    <t>Communication industrielle</t>
  </si>
  <si>
    <t>Comunicazione industriale</t>
  </si>
  <si>
    <t>Aktor-Sensor-Schnittstelle</t>
  </si>
  <si>
    <t>Interface capteur-actionneur</t>
  </si>
  <si>
    <t>Interfaccia attuatore sensore</t>
  </si>
  <si>
    <t>Schnittstellenwandler</t>
  </si>
  <si>
    <t>Convertisseur d'interfaces</t>
  </si>
  <si>
    <t>Convertitori di interfaccia</t>
  </si>
  <si>
    <t>Messumformer und Signalwandler</t>
  </si>
  <si>
    <t>Transducteurs de mesure et convertisseurs de signaux</t>
  </si>
  <si>
    <t>Convertitori di misura e convertitori di segnale</t>
  </si>
  <si>
    <t>Datenfernübertragung</t>
  </si>
  <si>
    <t>Transmission des données à distance</t>
  </si>
  <si>
    <t>Trasmissione dati remota</t>
  </si>
  <si>
    <t>Antriebstechnik</t>
  </si>
  <si>
    <t>Moteurs / Contrôleurs / Actionneurs</t>
  </si>
  <si>
    <t>Motori / Controller / Attuatori</t>
  </si>
  <si>
    <t>Actionneurs</t>
  </si>
  <si>
    <t>Attuatori</t>
  </si>
  <si>
    <t>Wechselstrom- und Drehstrommotoren</t>
  </si>
  <si>
    <t>Courant alternatif et moteurs à courant triphasé</t>
  </si>
  <si>
    <t>Motori a corrente alternata e trifase</t>
  </si>
  <si>
    <t>Gleichstrommotoren</t>
  </si>
  <si>
    <t>Moteurs à courant continu</t>
  </si>
  <si>
    <t>Motori a corrente continua</t>
  </si>
  <si>
    <t>Linearantriebe</t>
  </si>
  <si>
    <t>Entraînements linéaires</t>
  </si>
  <si>
    <t>Azionamenti lineari</t>
  </si>
  <si>
    <t>Commandes de moteur</t>
  </si>
  <si>
    <t>Controller per motori</t>
  </si>
  <si>
    <t>Schrittmotoren und Servoantriebe</t>
  </si>
  <si>
    <t>Moteurs pas à pas et Servocommandes</t>
  </si>
  <si>
    <t>Motori passo-passo e servoazionamenti</t>
  </si>
  <si>
    <t>Pneumatik</t>
  </si>
  <si>
    <t>Pneumatiques</t>
  </si>
  <si>
    <t>Pneumatica</t>
  </si>
  <si>
    <t>Steckverbinder / Sperrventile</t>
  </si>
  <si>
    <t>Raccords / Clapets antiretour</t>
  </si>
  <si>
    <t>Raccordi / Valvole di ritegno</t>
  </si>
  <si>
    <t>Signalgeber</t>
  </si>
  <si>
    <t>Vakuumtechnik</t>
  </si>
  <si>
    <t>Technique du vide</t>
  </si>
  <si>
    <t>Tecnologia del vuoto</t>
  </si>
  <si>
    <t>Ventile</t>
  </si>
  <si>
    <t>Vannes</t>
  </si>
  <si>
    <t>Valvole</t>
  </si>
  <si>
    <t>Prozessanzeigen / Regler / SPS / HMI</t>
  </si>
  <si>
    <t>Affichage de processus / Régulateurs / API / HMI</t>
  </si>
  <si>
    <t>Indicatori di processo / Regolatori / PLC / HMI</t>
  </si>
  <si>
    <t>Interfaces homme-machine</t>
  </si>
  <si>
    <t>Interfacce uomo-macchina</t>
  </si>
  <si>
    <t>Steuerungen</t>
  </si>
  <si>
    <t>Commandes</t>
  </si>
  <si>
    <t>Comandi</t>
  </si>
  <si>
    <t>Régulateurs de processus</t>
  </si>
  <si>
    <t>Controller di processo</t>
  </si>
  <si>
    <t>Prozessanzeigen</t>
  </si>
  <si>
    <t>Affichage de processus</t>
  </si>
  <si>
    <t>Indicatori di processo</t>
  </si>
  <si>
    <t>Sensoren</t>
  </si>
  <si>
    <t>Capteurs</t>
  </si>
  <si>
    <t>Sensori</t>
  </si>
  <si>
    <t>Kapazitive Sensoren</t>
  </si>
  <si>
    <t>Signaux</t>
  </si>
  <si>
    <t>Segnali</t>
  </si>
  <si>
    <t>Akustische Signalgeber</t>
  </si>
  <si>
    <t>Appareils de signalisation acoustique</t>
  </si>
  <si>
    <t>Generatori di segnali acustici</t>
  </si>
  <si>
    <t>Optisch-akustische Signalgeber</t>
  </si>
  <si>
    <t>Appareils de signalisation opto-acoustique</t>
  </si>
  <si>
    <t>Generatori di segnali ottici/acustici</t>
  </si>
  <si>
    <t>Optical / Acoustic Signal Generators</t>
  </si>
  <si>
    <t>Optische Signalgeber</t>
  </si>
  <si>
    <t>Transmetteurs de signaux optique</t>
  </si>
  <si>
    <t>Generatori di segnali ottici</t>
  </si>
  <si>
    <t>Schalt- / Mess- und Zähl- / Überwachungs- / Befehls- / Meldegeräte</t>
  </si>
  <si>
    <t>Commutation / Mesure et comptage / Surveillance / Commande / Appareils de signalisation</t>
  </si>
  <si>
    <t>Dispositivi di commutazione / misurazione e conteggio / monitoraggio / comando / segnalazione</t>
  </si>
  <si>
    <t>Schaltuhren</t>
  </si>
  <si>
    <t>Minuteries</t>
  </si>
  <si>
    <t>Temporizzatori</t>
  </si>
  <si>
    <t>Befehls- und Meldegeräte 22 mm</t>
  </si>
  <si>
    <t>Appareils de commande</t>
  </si>
  <si>
    <t>Interruttori di controllo e dispositivi di segnalazione da 22 mm</t>
  </si>
  <si>
    <t>Positionsschalter</t>
  </si>
  <si>
    <t>Interrupteur de position</t>
  </si>
  <si>
    <t>Interruttori di finecorsa</t>
  </si>
  <si>
    <t>Zähler</t>
  </si>
  <si>
    <t>Compteurs</t>
  </si>
  <si>
    <t>Contatori</t>
  </si>
  <si>
    <t>Überwachungsrelais / -module</t>
  </si>
  <si>
    <t>Relais et modules de surveillance</t>
  </si>
  <si>
    <t>Moduli / relè di sorveglianza</t>
  </si>
  <si>
    <t>Komponenten</t>
  </si>
  <si>
    <t>Composants</t>
  </si>
  <si>
    <t>Componenti</t>
  </si>
  <si>
    <t>Aktive Bauelemente</t>
  </si>
  <si>
    <t>Composants actifs</t>
  </si>
  <si>
    <t>Componenti attivi</t>
  </si>
  <si>
    <t>Analoge Schaltungen</t>
  </si>
  <si>
    <t>Circuits analogiques</t>
  </si>
  <si>
    <t>Circuiti analogici</t>
  </si>
  <si>
    <t>Montagematerial für Halbleiter</t>
  </si>
  <si>
    <t>Matériel de montage pour semi-conducteur</t>
  </si>
  <si>
    <t>Materiale di montaggio per semiconduttori</t>
  </si>
  <si>
    <t>Digital Circuits / Development Tools</t>
  </si>
  <si>
    <t>Diskrete Halbleiter / Röhren</t>
  </si>
  <si>
    <t>Semi-conducteurs discrets / tubes</t>
  </si>
  <si>
    <t>Semiconduttori discreti / Valvole</t>
  </si>
  <si>
    <t>Optoelektronik</t>
  </si>
  <si>
    <t>Composants optoélectroniques</t>
  </si>
  <si>
    <t>Optoelettronica</t>
  </si>
  <si>
    <t>Câbles et matériel d'installation</t>
  </si>
  <si>
    <t>Cavi e materiali per assemblaggio</t>
  </si>
  <si>
    <t>Kabelbinder / Kabelhalter</t>
  </si>
  <si>
    <t>Colliers de câble / Fixations de câble</t>
  </si>
  <si>
    <t>Fascette fermacavi / Portacavi</t>
  </si>
  <si>
    <t>Coaxial Cables / Audio Cables / Flat Cables / Power Cables</t>
  </si>
  <si>
    <t>Geräteleitungen</t>
  </si>
  <si>
    <t>Câbles pour appareils</t>
  </si>
  <si>
    <t>Fili per apparecchi</t>
  </si>
  <si>
    <t>Netzwerkkabel / Steuerkabel / Datenkabel / LWL-Kabel</t>
  </si>
  <si>
    <t>Câbles réseau / Câbles de contrôle / Câbles de données / Câbles en fibres optiques</t>
  </si>
  <si>
    <t>Cavi di rete / Cavi di comando / Cavi dati / Cavi a fibre ottiche</t>
  </si>
  <si>
    <t>Leitungsschutzschalter</t>
  </si>
  <si>
    <t>Protection de circuits</t>
  </si>
  <si>
    <t>Protezione dei circuiti</t>
  </si>
  <si>
    <t>Sicherungen / Fehlerstromschutz / Überspannungsschutz</t>
  </si>
  <si>
    <t>Fusibles / Disjoncteurs différentiels / Protection contre les surtensions</t>
  </si>
  <si>
    <t>Fusibili / RCD / Protezione contro le sovratensioni</t>
  </si>
  <si>
    <t>Steckverbinder</t>
  </si>
  <si>
    <t>Connecteurs</t>
  </si>
  <si>
    <t>Connettori</t>
  </si>
  <si>
    <t>Audio- / Video- / Computersteckverbinder</t>
  </si>
  <si>
    <t>Audio / Vidéo / Connecteurs PC</t>
  </si>
  <si>
    <t>Connettori audio / video / computer</t>
  </si>
  <si>
    <t>Rundsteckverbinder</t>
  </si>
  <si>
    <t>Connecteurs cylindriques</t>
  </si>
  <si>
    <t>Connettori circolari</t>
  </si>
  <si>
    <t>Flachkabel-Steckverbinder</t>
  </si>
  <si>
    <t>Connecteurs pour câbles plats</t>
  </si>
  <si>
    <t>Connettori a cavo piatto</t>
  </si>
  <si>
    <t>Schwere Steckverbinder</t>
  </si>
  <si>
    <t>Connecteurs à usage intensif</t>
  </si>
  <si>
    <t>Connettori per impieghi gravosi</t>
  </si>
  <si>
    <t>Industriesteckverbinder</t>
  </si>
  <si>
    <t>Connecteurs industriels</t>
  </si>
  <si>
    <t>Connettori industriali</t>
  </si>
  <si>
    <t>Gehäuse / Lüfter / Leiterplatten</t>
  </si>
  <si>
    <t>Boîtiers / Ventilateurs / Circuits imprimés</t>
  </si>
  <si>
    <t>Contenitori / Ventole / Schede a circuiti stampati</t>
  </si>
  <si>
    <t>Boîtiers 19''</t>
  </si>
  <si>
    <t>Contenitori da 19''</t>
  </si>
  <si>
    <t>Lüfterzubehör</t>
  </si>
  <si>
    <t>Accessoires pour ventilateurs</t>
  </si>
  <si>
    <t>Accessori per aeratori</t>
  </si>
  <si>
    <t>Gehäusezubehör</t>
  </si>
  <si>
    <t>Accessoires pour boîtiers</t>
  </si>
  <si>
    <t>Accessori per contenitori</t>
  </si>
  <si>
    <t>Lüfter</t>
  </si>
  <si>
    <t>Ventilateurs</t>
  </si>
  <si>
    <t>Ventole</t>
  </si>
  <si>
    <t>Kunststoff- / Metallgehäuse</t>
  </si>
  <si>
    <t>Boîtiers plastiques / métalliques</t>
  </si>
  <si>
    <t>Contenitori in plastica / metallo</t>
  </si>
  <si>
    <t>Passive Bauelemente</t>
  </si>
  <si>
    <t>Composants passifs</t>
  </si>
  <si>
    <t>Componenti passivi</t>
  </si>
  <si>
    <t>Relais &amp; Schalter</t>
  </si>
  <si>
    <t>Relais et commutateurs</t>
  </si>
  <si>
    <t>Relè e interruttori</t>
  </si>
  <si>
    <t>Industrierelais</t>
  </si>
  <si>
    <t>Relais industriels</t>
  </si>
  <si>
    <t>Relè industriali</t>
  </si>
  <si>
    <t>Geräteschalter</t>
  </si>
  <si>
    <t>Interrupteurs pour appareils</t>
  </si>
  <si>
    <t>Interruttori di alimentazione</t>
  </si>
  <si>
    <t>Mikroschalter / Schnappverriegelung</t>
  </si>
  <si>
    <t>Microrupteurs / Boutons-poussoirs</t>
  </si>
  <si>
    <t>Microinterruttori / A scatto</t>
  </si>
  <si>
    <t>Miniaturschalter / Printtasten</t>
  </si>
  <si>
    <t>Interrupteurs miniatures / Touches pour circuit imprimé</t>
  </si>
  <si>
    <t>Interruttori in miniatura / Interruttori per circuiti stampati</t>
  </si>
  <si>
    <t>Printrelais</t>
  </si>
  <si>
    <t>Relais d'impression</t>
  </si>
  <si>
    <t>Relè PCB</t>
  </si>
  <si>
    <t>Informatique et loisirs</t>
  </si>
  <si>
    <t>Loisirs</t>
  </si>
  <si>
    <t>Batterien / Ladegeräte / Regenerativ</t>
  </si>
  <si>
    <t>Piles / Chargeurs / Consommables</t>
  </si>
  <si>
    <t>Batterie/Caricatori/Ricaricabili</t>
  </si>
  <si>
    <t>Batteries / Chargers / Renewable</t>
  </si>
  <si>
    <t>Ladegeräte</t>
  </si>
  <si>
    <t>Chargeurs</t>
  </si>
  <si>
    <t>Caricatori</t>
  </si>
  <si>
    <t>Zubehör für Gerätebatterien &amp; Akkus</t>
  </si>
  <si>
    <t>Accessoires pour piles et accumulateurs</t>
  </si>
  <si>
    <t>Accessori per batterie primarie e ricaricabili</t>
  </si>
  <si>
    <t>Gerätebatterien</t>
  </si>
  <si>
    <t>Piles</t>
  </si>
  <si>
    <t>Batterie primarie</t>
  </si>
  <si>
    <t>Akkus</t>
  </si>
  <si>
    <t>Accumulateurs</t>
  </si>
  <si>
    <t>Batterie ricaricabili</t>
  </si>
  <si>
    <t>Renewable energy</t>
  </si>
  <si>
    <t>Industrienetzgerät DC/DC, AC/DC</t>
  </si>
  <si>
    <t>Alimentation électrique industrielle DC/DC, AC/DC</t>
  </si>
  <si>
    <t>Alimentazione industriale DC/DC, AC/DC</t>
  </si>
  <si>
    <t>AC/DC Power supplies</t>
  </si>
  <si>
    <t>DC/DC Power supplies</t>
  </si>
  <si>
    <t>Alimentation sans interruption</t>
  </si>
  <si>
    <t>Festspannungs-Netzgeräte</t>
  </si>
  <si>
    <t>Alimentations à tension fixe</t>
  </si>
  <si>
    <t>Trenntransformatoren</t>
  </si>
  <si>
    <t>Transformateurs de réglage</t>
  </si>
  <si>
    <t>Trasformatori di separazione</t>
  </si>
  <si>
    <t>Labor-Netzgeräte</t>
  </si>
  <si>
    <t>Alimentations de laboratoire</t>
  </si>
  <si>
    <t>Alimentatori da laboratorio</t>
  </si>
  <si>
    <t>Light sources</t>
  </si>
  <si>
    <t>Sources lumineuses</t>
  </si>
  <si>
    <t>LED Lamps</t>
  </si>
  <si>
    <t>Lampenfassungen</t>
  </si>
  <si>
    <t>Culots / Socles</t>
  </si>
  <si>
    <t>Portalampada / Prese</t>
  </si>
  <si>
    <t>Indicator lamps</t>
  </si>
  <si>
    <t>Lighting technology</t>
  </si>
  <si>
    <t>Zubehör für Power-LEDs</t>
  </si>
  <si>
    <t>Accessoires pour LED de puissance</t>
  </si>
  <si>
    <t>Accessori per LED corrente</t>
  </si>
  <si>
    <t>Pannelli elettroluminescenti</t>
  </si>
  <si>
    <t>LED-Treiber</t>
  </si>
  <si>
    <t>Pilotes pour LED</t>
  </si>
  <si>
    <t>Alimentatori LED</t>
  </si>
  <si>
    <t>LED-Leuchten</t>
  </si>
  <si>
    <t>Lampes LED</t>
  </si>
  <si>
    <t>Lampade LED</t>
  </si>
  <si>
    <t>LED-Module</t>
  </si>
  <si>
    <t>Module LED</t>
  </si>
  <si>
    <t>Moduli LED</t>
  </si>
  <si>
    <t>Power-LEDs</t>
  </si>
  <si>
    <t>LED de puissance</t>
  </si>
  <si>
    <t>LED corrente</t>
  </si>
  <si>
    <t>Office Lamps</t>
  </si>
  <si>
    <t>Torches</t>
  </si>
  <si>
    <t>Transformatoren</t>
  </si>
  <si>
    <t>Transformateurs</t>
  </si>
  <si>
    <t>Trasformatori</t>
  </si>
  <si>
    <t>Vorschalttransformatoren / Anpassungstransformatoren</t>
  </si>
  <si>
    <t>Autotransformateurs / Transformateurs de séparation</t>
  </si>
  <si>
    <t>Autotrasformatori / Trasformatori di separazione</t>
  </si>
  <si>
    <t>Steuertransformator</t>
  </si>
  <si>
    <t>Transformateurs de commande</t>
  </si>
  <si>
    <t>Trasformatori di comando</t>
  </si>
  <si>
    <t>Leiterplattentransformatoren</t>
  </si>
  <si>
    <t>Transformateurs pour circuits imprimés</t>
  </si>
  <si>
    <t>Trasformatori per circuiti stampati</t>
  </si>
  <si>
    <t>Sicherheitstransformatoren</t>
  </si>
  <si>
    <t>Transformateurs de sécurité</t>
  </si>
  <si>
    <t>Trasformatori di sicurezza</t>
  </si>
  <si>
    <t>Universaltransformatoren</t>
  </si>
  <si>
    <t>Transformateurs universels</t>
  </si>
  <si>
    <t>Trasformatori universali</t>
  </si>
  <si>
    <t>Regeltransformatoren</t>
  </si>
  <si>
    <t>Trasformatori variabili</t>
  </si>
  <si>
    <t>Werkzeuge &amp; Messtechnik</t>
  </si>
  <si>
    <t>Outils et mesure</t>
  </si>
  <si>
    <t>Utensili e misurazione</t>
  </si>
  <si>
    <t>Tools &amp; Measurement</t>
  </si>
  <si>
    <t>Wartung</t>
  </si>
  <si>
    <t>Manutenzione</t>
  </si>
  <si>
    <t>Klebetechnik</t>
  </si>
  <si>
    <t>Adhésifs</t>
  </si>
  <si>
    <t>Adesivi</t>
  </si>
  <si>
    <t>Boxes, Drawers and Containers</t>
  </si>
  <si>
    <t>ESD Safe products</t>
  </si>
  <si>
    <t>Kennzeichnung</t>
  </si>
  <si>
    <t>Etiquetage</t>
  </si>
  <si>
    <t>Etichettatura</t>
  </si>
  <si>
    <t>Lupen / Mikroskope</t>
  </si>
  <si>
    <t>Loupes / Microscopes</t>
  </si>
  <si>
    <t>Lenti d'ingrandimento / Microscopi</t>
  </si>
  <si>
    <t>Magnifying Glasses &amp; Microscopes</t>
  </si>
  <si>
    <t>Mechanische Komponenten</t>
  </si>
  <si>
    <t>Organes mécaniques</t>
  </si>
  <si>
    <t>Componenti meccanici</t>
  </si>
  <si>
    <t>Kugellager</t>
  </si>
  <si>
    <t>Roulements à bille</t>
  </si>
  <si>
    <t>Cuscinetti a sfere</t>
  </si>
  <si>
    <t>Rollen / Räder</t>
  </si>
  <si>
    <t>Roulettes / Roues</t>
  </si>
  <si>
    <t>Rullini / Ruote</t>
  </si>
  <si>
    <t>Castors &amp; Wheels</t>
  </si>
  <si>
    <t>Scharniere / Schlösser</t>
  </si>
  <si>
    <t>Charnières / Serrures</t>
  </si>
  <si>
    <t>Cerniere / Serrature</t>
  </si>
  <si>
    <t>Hinges &amp; Locks</t>
  </si>
  <si>
    <t>Distanzbolzen und Distanzhalter</t>
  </si>
  <si>
    <t>Pièces de montage et entretoises</t>
  </si>
  <si>
    <t>Componenti di montaggio e distanziali</t>
  </si>
  <si>
    <t>Löten</t>
  </si>
  <si>
    <t>Soudage</t>
  </si>
  <si>
    <t>Saldatura</t>
  </si>
  <si>
    <t>Lötzubehör und Ersatzteile</t>
  </si>
  <si>
    <t>Accessoires pour soudage et pièces de rechange</t>
  </si>
  <si>
    <t>Accessori per saldatura e ricambi</t>
  </si>
  <si>
    <t>Soldering Accessories and Replacement Parts</t>
  </si>
  <si>
    <t>Solder Fume Extractor and Filter Systems</t>
  </si>
  <si>
    <t>Soldering Materials</t>
  </si>
  <si>
    <t>Unabhängige Lötkolben</t>
  </si>
  <si>
    <t>Fers à souder indépendants</t>
  </si>
  <si>
    <t>Saldatori indipendenti</t>
  </si>
  <si>
    <t>Measuring Instruments</t>
  </si>
  <si>
    <t>Oscilloscopes</t>
  </si>
  <si>
    <t>Werkzeuge</t>
  </si>
  <si>
    <t>Outils</t>
  </si>
  <si>
    <t>Utensili</t>
  </si>
  <si>
    <t>L3D_542684</t>
  </si>
  <si>
    <t>L3D_542671</t>
  </si>
  <si>
    <t>L2D_542709</t>
  </si>
  <si>
    <t>L3D_542711</t>
  </si>
  <si>
    <t>L3D_542713</t>
  </si>
  <si>
    <t>L3D_542715</t>
  </si>
  <si>
    <t>L3D_542717</t>
  </si>
  <si>
    <t>L3D_542719</t>
  </si>
  <si>
    <t>L3D_542721</t>
  </si>
  <si>
    <t>L3D_542723</t>
  </si>
  <si>
    <t>L2D_542669</t>
  </si>
  <si>
    <t>L2D_542982</t>
  </si>
  <si>
    <t>L3D_543261</t>
  </si>
  <si>
    <t>L3D_543263</t>
  </si>
  <si>
    <t>L3D_543267</t>
  </si>
  <si>
    <t>L3D_543269</t>
  </si>
  <si>
    <t>L3D_543271</t>
  </si>
  <si>
    <t>L3D_543274</t>
  </si>
  <si>
    <t>L3D_543276</t>
  </si>
  <si>
    <t>L2D_542983</t>
  </si>
  <si>
    <t>L3D_543028</t>
  </si>
  <si>
    <t>L3D_543032</t>
  </si>
  <si>
    <t>L3D_543034</t>
  </si>
  <si>
    <t>L3D_543036</t>
  </si>
  <si>
    <t>L3D_543040</t>
  </si>
  <si>
    <t>L2D_542667</t>
  </si>
  <si>
    <t>L3D_542694</t>
  </si>
  <si>
    <t>L3D_542696</t>
  </si>
  <si>
    <t>L3D_542698</t>
  </si>
  <si>
    <t>L3D_542700</t>
  </si>
  <si>
    <t>L3D_542702</t>
  </si>
  <si>
    <t>L3D_542704</t>
  </si>
  <si>
    <t>L3D_542706</t>
  </si>
  <si>
    <t>L2D_542978</t>
  </si>
  <si>
    <t>L3D_543004</t>
  </si>
  <si>
    <t>L3D_543009</t>
  </si>
  <si>
    <t>L3D_543012</t>
  </si>
  <si>
    <t>L3D_543014</t>
  </si>
  <si>
    <t>L3D_543019</t>
  </si>
  <si>
    <t>L3D_543022</t>
  </si>
  <si>
    <t>L3D_543340</t>
  </si>
  <si>
    <t>L2D_542662</t>
  </si>
  <si>
    <t>L3D_542666</t>
  </si>
  <si>
    <t>L3D_542730</t>
  </si>
  <si>
    <t>L3D_542734</t>
  </si>
  <si>
    <t>L3D_542736</t>
  </si>
  <si>
    <t>L3D_542738</t>
  </si>
  <si>
    <t>L3D_542740</t>
  </si>
  <si>
    <t>L3D_542732</t>
  </si>
  <si>
    <t>L2D_542984</t>
  </si>
  <si>
    <t>L3D_543049</t>
  </si>
  <si>
    <t>L3D_543051</t>
  </si>
  <si>
    <t>L3D_543053</t>
  </si>
  <si>
    <t>L3D_543055</t>
  </si>
  <si>
    <t>L3D_543058</t>
  </si>
  <si>
    <t>L3D_543060</t>
  </si>
  <si>
    <t>L3D_543062</t>
  </si>
  <si>
    <t>Moduli di entrata/uscita e relè interfaccia</t>
  </si>
  <si>
    <t>Sistema di trattamento aria</t>
  </si>
  <si>
    <t>Circuiti digitali / Tool di sviluppo</t>
  </si>
  <si>
    <t>Cavi coassiali / cavi audio / cavi piatti / cavi alimentazione</t>
  </si>
  <si>
    <t>Cavi e alimentatori</t>
  </si>
  <si>
    <t>Cavi / alimentatori computer</t>
  </si>
  <si>
    <t>Cavi di rete / cavi telefonici</t>
  </si>
  <si>
    <t>Cavi audio / cavi video</t>
  </si>
  <si>
    <t>Connettori / Adattatori</t>
  </si>
  <si>
    <t>Ciabatte multipresa / accessori di protezione</t>
  </si>
  <si>
    <t>Caricabatteria / adattatori di alimentazione</t>
  </si>
  <si>
    <t>Tempo libero e hobby</t>
  </si>
  <si>
    <t>Navigazione / GPS</t>
  </si>
  <si>
    <t>Rete e telecomunicazione</t>
  </si>
  <si>
    <t>LAN wireless / Router / Firewall</t>
  </si>
  <si>
    <t>Switch / convertitori / schede interfaccia di rete</t>
  </si>
  <si>
    <t>Network Attached Storage (NAS) / Comunicazioni Power-line (su rete elettrica)</t>
  </si>
  <si>
    <t>Prodotti per linea telefonica fissa / Cuffie da ufficio</t>
  </si>
  <si>
    <t>Smartphone / cellulari / accessori</t>
  </si>
  <si>
    <t>Telecamere IP / Voice-over-IP</t>
  </si>
  <si>
    <t>Cavi di rete / materiale per assemblaggio</t>
  </si>
  <si>
    <t>Stampanti e materiali di consumo</t>
  </si>
  <si>
    <t>Stampanti / stampanti multifunzione</t>
  </si>
  <si>
    <t>Stampanti per etichette</t>
  </si>
  <si>
    <t>Toner</t>
  </si>
  <si>
    <t>Cartucce di inchiostro</t>
  </si>
  <si>
    <t>Carta / lucidi / etichette</t>
  </si>
  <si>
    <t>Unità di memorizzazione e periferiche</t>
  </si>
  <si>
    <t>Monitor / mouse / tastiere</t>
  </si>
  <si>
    <t>Hard Disk / SSD / RAM</t>
  </si>
  <si>
    <t>Network Attached Storage (NAS) / unità</t>
  </si>
  <si>
    <t>Memoria USB / schede di memoria / dischi / nastri</t>
  </si>
  <si>
    <t>Hub USB / switch KVM / distributori video</t>
  </si>
  <si>
    <t>Altoparlanti per PC / Webcam</t>
  </si>
  <si>
    <t>Scanner / Scanner codice a barre / tavolette grafiche</t>
  </si>
  <si>
    <t>Informatica e componenti PC</t>
  </si>
  <si>
    <t>Notebook / Tablet / eReader</t>
  </si>
  <si>
    <t>PC / Server</t>
  </si>
  <si>
    <t>Schede madri / CPU / dissipatore</t>
  </si>
  <si>
    <t>Schede di espansione</t>
  </si>
  <si>
    <t>Case PC / accessori</t>
  </si>
  <si>
    <t>Accessori per Notebook / Tablet / eReader</t>
  </si>
  <si>
    <t>Software e forniture per ufficio</t>
  </si>
  <si>
    <t>Software</t>
  </si>
  <si>
    <t>Prodotti detergenti</t>
  </si>
  <si>
    <t>Sistemi di ordinamento / archiviazione</t>
  </si>
  <si>
    <t>Apparecchiatura per ufficio</t>
  </si>
  <si>
    <t>Distruggi documenti / plastificatura / rilegatura</t>
  </si>
  <si>
    <t>Attacchi / lucchetti</t>
  </si>
  <si>
    <t>Calcolatrici / traduttori / registratori vocali</t>
  </si>
  <si>
    <t>Multimedialità / presentazione</t>
  </si>
  <si>
    <t>TV / display / lettori / DVB</t>
  </si>
  <si>
    <t>Proiettori / schermi da proiezione / accessori</t>
  </si>
  <si>
    <t>Dispositivi audio portatili / MP3 / Radio</t>
  </si>
  <si>
    <t>HiFi / altoparlanti / cuffie / microfoni</t>
  </si>
  <si>
    <t>Fotocamere digitali / accessori</t>
  </si>
  <si>
    <t>Videocamere / accessori</t>
  </si>
  <si>
    <t>SAT / ricevitori digitali / antenne</t>
  </si>
  <si>
    <t>Energia rinnovabile</t>
  </si>
  <si>
    <t>Alimentatori AC/DC</t>
  </si>
  <si>
    <t>Alimentatori DC/DC</t>
  </si>
  <si>
    <t>Sorgenti di luce</t>
  </si>
  <si>
    <t>Lampade a LED</t>
  </si>
  <si>
    <t>Lampade di segnalazione</t>
  </si>
  <si>
    <t>Tecnologia di illuminazione</t>
  </si>
  <si>
    <t>Torce / lampade da lavoro / lampade</t>
  </si>
  <si>
    <t>Lampade da ufficio</t>
  </si>
  <si>
    <t>Torce</t>
  </si>
  <si>
    <t>Scatole, cassettiere e contenitori</t>
  </si>
  <si>
    <t>Prodotti con protezione da scariche elettrostatiche</t>
  </si>
  <si>
    <t>Assorbenti del vapore di saldatura e sistemi di filtraggio</t>
  </si>
  <si>
    <t>Materiali di brasatura</t>
  </si>
  <si>
    <t>Strumenti di misura</t>
  </si>
  <si>
    <t>Multimetri e pinze amperometriche</t>
  </si>
  <si>
    <t>Boutique en ligne du groupe Distrelec</t>
  </si>
  <si>
    <t>L3D_531411</t>
  </si>
  <si>
    <t>Énergie renouvelable</t>
  </si>
  <si>
    <t>Alimentations DC/DC</t>
  </si>
  <si>
    <t>Alimentations AC/DC</t>
  </si>
  <si>
    <t>L3D_531368</t>
  </si>
  <si>
    <t>L2-3D_531369</t>
  </si>
  <si>
    <t>Technologie d'éclairage</t>
  </si>
  <si>
    <t>Panneaux électroluminescents</t>
  </si>
  <si>
    <t>L3D_531386</t>
  </si>
  <si>
    <t>L3D_531392</t>
  </si>
  <si>
    <t>L3D_531395</t>
  </si>
  <si>
    <t>Lampes de signalisation</t>
  </si>
  <si>
    <t>L3D_531397</t>
  </si>
  <si>
    <t>Lampes torches / Poste de travail / Eclairage</t>
  </si>
  <si>
    <t>Lampes torches</t>
  </si>
  <si>
    <t>Lampes de bureau</t>
  </si>
  <si>
    <t>L3D_531404</t>
  </si>
  <si>
    <t>L3D_531406</t>
  </si>
  <si>
    <t>L3D_531408</t>
  </si>
  <si>
    <t>L2D_529772</t>
  </si>
  <si>
    <t>L3D_531378</t>
  </si>
  <si>
    <t>Modules I/O et relais d'interface</t>
  </si>
  <si>
    <t>Système de traitement de l'air</t>
  </si>
  <si>
    <t>Circuits numériques / Outils de développement</t>
  </si>
  <si>
    <t>L3D_529885</t>
  </si>
  <si>
    <t>L2-3D_528720</t>
  </si>
  <si>
    <t>L2-3D_528721</t>
  </si>
  <si>
    <t>L2-3D_528734</t>
  </si>
  <si>
    <t>L2-3D_528722</t>
  </si>
  <si>
    <t>L2-3D_528723</t>
  </si>
  <si>
    <t>L2-3D_530333</t>
  </si>
  <si>
    <t>Câbles coaxiaux / Câbles audio / Câbles plats / Câbles d'alimentation</t>
  </si>
  <si>
    <t>Composants informatiques et pour PC</t>
  </si>
  <si>
    <t>Ordinateurs portables / Tablettes / Liseuses numériques</t>
  </si>
  <si>
    <t>PC / Serveur</t>
  </si>
  <si>
    <t>Accessoires pour ordinateurs portables / Tablettes / Liseuses numériques</t>
  </si>
  <si>
    <t>Disques durs / disques SSD / Mémoires</t>
  </si>
  <si>
    <t>Cartes mères / Processeur / Refroidisseur</t>
  </si>
  <si>
    <t>Cartes d'extension</t>
  </si>
  <si>
    <t>Sacoches / accessoires pour PC</t>
  </si>
  <si>
    <t>Stockage et périphériques</t>
  </si>
  <si>
    <t>Ecrans / Souris / Claviers</t>
  </si>
  <si>
    <t>Stockage en réseau NAS / Lecteurs</t>
  </si>
  <si>
    <t>Module mémoire USB / Cartes mémoire / Disques / Bandes</t>
  </si>
  <si>
    <t>Hub USB / Switchs KVM / Distributeurs vidéo</t>
  </si>
  <si>
    <t>Scanners / Scanners de codes à barres / Tablettes graphiques</t>
  </si>
  <si>
    <t>Haut-parleurs pour PC / Webcams</t>
  </si>
  <si>
    <t>Réseau et télécommunications</t>
  </si>
  <si>
    <t>Réseau local sans fil / Routeur / Pare-feu</t>
  </si>
  <si>
    <t>Switchs / Convertisseurs / Cartes réseau</t>
  </si>
  <si>
    <t>Stockage en réseau NAS / Courants porteurs en ligne</t>
  </si>
  <si>
    <t>Produits pour ligne fixe / Casques de bureau</t>
  </si>
  <si>
    <t>Smartphones / Téléphones portables / Accessoires</t>
  </si>
  <si>
    <t>Caméras IP/ Voix sur IP</t>
  </si>
  <si>
    <t>Câbles réseau / Matériel d'installation</t>
  </si>
  <si>
    <t>Imprimantes et consommables</t>
  </si>
  <si>
    <t>Imprimantes / Imprimantes multifonction</t>
  </si>
  <si>
    <t>Imprimantes d'étiquettes</t>
  </si>
  <si>
    <t>Toner / Tambours</t>
  </si>
  <si>
    <t>Cartouches d'encre</t>
  </si>
  <si>
    <t>L3D_543038</t>
  </si>
  <si>
    <t>Papier / Transparents / Etiquettes</t>
  </si>
  <si>
    <t>L3D_543042</t>
  </si>
  <si>
    <t>Alimentations et câbles</t>
  </si>
  <si>
    <t>Câbles d'ordinateur / Câbles d'alimentation</t>
  </si>
  <si>
    <t>Câbles réseau / Câbles téléphoniques</t>
  </si>
  <si>
    <t>Câbles audio / Câbles vidéo</t>
  </si>
  <si>
    <t>Connecteurs / Adaptateurs</t>
  </si>
  <si>
    <t>Prises multiples / Attaches de protection</t>
  </si>
  <si>
    <t>Chargeurs de batterie / Adaptateurs d'alimentation</t>
  </si>
  <si>
    <t>Logiciels et fournitures de bureau</t>
  </si>
  <si>
    <t>Logiciel</t>
  </si>
  <si>
    <t>Produits de nettoyage</t>
  </si>
  <si>
    <t>Systèmes de classement / d'archivage</t>
  </si>
  <si>
    <t>Équipement de bureau</t>
  </si>
  <si>
    <t>Destructeurs de documents / Plastification / Reliure</t>
  </si>
  <si>
    <t>Supports / Serrures de sécurité</t>
  </si>
  <si>
    <t>Calculatrices / Traducteurs / Dictaphones</t>
  </si>
  <si>
    <t>Multimédia / Présentation</t>
  </si>
  <si>
    <t>Télévisions / Ecrans / Lecteurs multimédia / Télévision numérique</t>
  </si>
  <si>
    <t>Projecteurs / Ecrans de projection / Accessoires</t>
  </si>
  <si>
    <t>Systèmes audio portables / MP3 / Radio</t>
  </si>
  <si>
    <t>HiFi / Haut-parleurs / Casques / Microphones</t>
  </si>
  <si>
    <t>Appareils photo numériques / Accessoires</t>
  </si>
  <si>
    <t>Caméras vidéo / Accessoires</t>
  </si>
  <si>
    <t>SAT / Récepteurs numériques / Antennes</t>
  </si>
  <si>
    <t>Navigation / GPS</t>
  </si>
  <si>
    <t>L3D_542677</t>
  </si>
  <si>
    <t>L3D_542680</t>
  </si>
  <si>
    <t>L2-3D_530524</t>
  </si>
  <si>
    <t>L3D_530052</t>
  </si>
  <si>
    <t>L3D_529903</t>
  </si>
  <si>
    <t>Boîtes, tiroirs et conteneurs</t>
  </si>
  <si>
    <t>Produits antistatiques</t>
  </si>
  <si>
    <t>Absorbeur de vapeur de soudure et systèmes de filtre</t>
  </si>
  <si>
    <t>Matériaux de soudage</t>
  </si>
  <si>
    <t>L3D_529774</t>
  </si>
  <si>
    <t>L3D_529788</t>
  </si>
  <si>
    <t>L3D_529776</t>
  </si>
  <si>
    <t>L2D_527999</t>
  </si>
  <si>
    <t>L3D_543259</t>
  </si>
  <si>
    <t>L3D_543328</t>
  </si>
  <si>
    <t>L2D_527998</t>
  </si>
  <si>
    <t>L3D_525581</t>
  </si>
  <si>
    <t>L3D_532237</t>
  </si>
  <si>
    <t>L3D_532239</t>
  </si>
  <si>
    <t>L3D_532242</t>
  </si>
  <si>
    <t>Instruments de mesure</t>
  </si>
  <si>
    <t>Multimètres et pinces ampèremétriques</t>
  </si>
  <si>
    <t>L3D_525591</t>
  </si>
  <si>
    <t>L3D_525592</t>
  </si>
  <si>
    <t>L3D_525593</t>
  </si>
  <si>
    <t>L3D_525586</t>
  </si>
  <si>
    <t>L3D_525587</t>
  </si>
  <si>
    <t>L3D_525588</t>
  </si>
  <si>
    <t>L2D_527997</t>
  </si>
  <si>
    <t>L3D_532322</t>
  </si>
  <si>
    <t>L3D_532324</t>
  </si>
  <si>
    <t>L3D_532326</t>
  </si>
  <si>
    <t>I/O Modules and Interface Relays</t>
  </si>
  <si>
    <t>Measuring Transducers and Signal Converters</t>
  </si>
  <si>
    <t>Wireless Communication</t>
  </si>
  <si>
    <t>Reed / Hall Sensors</t>
  </si>
  <si>
    <t>Position / Angle Sensors</t>
  </si>
  <si>
    <t>Air Treatment System</t>
  </si>
  <si>
    <t>Capacitors</t>
  </si>
  <si>
    <t>Resistors</t>
  </si>
  <si>
    <t>Potentiometers, Trimmers</t>
  </si>
  <si>
    <t>Ferrites / Inductors / Filters</t>
  </si>
  <si>
    <t>Fuses and Circuit Breakers for Appliances</t>
  </si>
  <si>
    <t>Frequency Control &amp; Timing Devices</t>
  </si>
  <si>
    <t>Computing &amp; Hobby</t>
  </si>
  <si>
    <t>Computing &amp; PC components</t>
  </si>
  <si>
    <t>Notebooks / Tablets / eReader</t>
  </si>
  <si>
    <t>PCs / Server</t>
  </si>
  <si>
    <t>Accessories Notebooks / Tablets / eReader</t>
  </si>
  <si>
    <t>Hard Disks / SSD / RAM</t>
  </si>
  <si>
    <t>Mainboards / CPU / Cooler</t>
  </si>
  <si>
    <t>Expansion cards</t>
  </si>
  <si>
    <t>PC cases / Accessories</t>
  </si>
  <si>
    <t>Storage &amp; Peripherals</t>
  </si>
  <si>
    <t>Monitors / Mice / Keyboards</t>
  </si>
  <si>
    <t>Network Attached Storage (NAS) / Drives</t>
  </si>
  <si>
    <t>USB memory / Memory cards / Disks / Tapes</t>
  </si>
  <si>
    <t>USB hubs / KVM switches / Video distributors</t>
  </si>
  <si>
    <t>Interface converters / Extenders</t>
  </si>
  <si>
    <t>Scanners / Barcode Scanners / Graphic tablets</t>
  </si>
  <si>
    <t>PC Speakers / Webcams</t>
  </si>
  <si>
    <t>Network &amp; Telecom</t>
  </si>
  <si>
    <t>Wireless LAN / Router / Firewall</t>
  </si>
  <si>
    <t>Switches / Converters / Network interface cards</t>
  </si>
  <si>
    <t>Network Attached Storage (NAS) / Power-line Communication</t>
  </si>
  <si>
    <t>Landline Products / Office Headsets</t>
  </si>
  <si>
    <t>Smartphones / Mobiles / Accessories</t>
  </si>
  <si>
    <t>IP cameras / Voice-over-IP</t>
  </si>
  <si>
    <t>Network cables / Installation material</t>
  </si>
  <si>
    <t>Printers &amp; Supplies</t>
  </si>
  <si>
    <t>Printers / Multifunctional printers</t>
  </si>
  <si>
    <t>Label Printers</t>
  </si>
  <si>
    <t>Toner / Drums</t>
  </si>
  <si>
    <t>Ink cartridges</t>
  </si>
  <si>
    <t>Ink Ribbons / Labelling Machine Accessories</t>
  </si>
  <si>
    <t>Paper / Transparencies / Labels</t>
  </si>
  <si>
    <t>CD/ DVD/ Blu-ray Labels</t>
  </si>
  <si>
    <t>Cables &amp; Power Supplies</t>
  </si>
  <si>
    <t>Computer cables / Power cables</t>
  </si>
  <si>
    <t>Network cables / Telephone cables</t>
  </si>
  <si>
    <t>Audio cables / Video cables</t>
  </si>
  <si>
    <t>Connectors / Adapters</t>
  </si>
  <si>
    <t>UPS Power Supplies</t>
  </si>
  <si>
    <t>Power Strips / Protective Attachments</t>
  </si>
  <si>
    <t>Battery Chargers / Power Adapters</t>
  </si>
  <si>
    <t>Software &amp; Office Supplies</t>
  </si>
  <si>
    <t>Filing / Archiving systems</t>
  </si>
  <si>
    <t>Office Equipment</t>
  </si>
  <si>
    <t>Shredders / Laminating / Binding</t>
  </si>
  <si>
    <t>Mounts / Security Locks</t>
  </si>
  <si>
    <t>Calculators / Translators / Dictaphones</t>
  </si>
  <si>
    <t>Multimedia / Presentation</t>
  </si>
  <si>
    <t>TVs / Displays / Media players / DVB</t>
  </si>
  <si>
    <t>Projectors / Projection screens / Accessories</t>
  </si>
  <si>
    <t>Portable Audio / MP3 / Radio</t>
  </si>
  <si>
    <t>HiFi / Speakers / Headsets / Microphones</t>
  </si>
  <si>
    <t>Digital cameras / Accessories</t>
  </si>
  <si>
    <t>Video cameras / Accessories</t>
  </si>
  <si>
    <t>SAT / Digital Receivers / Aerials</t>
  </si>
  <si>
    <t>Leisure &amp; Hobby</t>
  </si>
  <si>
    <t>Outdoor / Sports / Fitness / Wellness</t>
  </si>
  <si>
    <t>Toroidal core transformers</t>
  </si>
  <si>
    <t>DC/DC Power supplies, PCB</t>
  </si>
  <si>
    <t>AC/DC Power supplies, PCB</t>
  </si>
  <si>
    <t>Electroluminescence Panels</t>
  </si>
  <si>
    <t>Halogen Lamps</t>
  </si>
  <si>
    <t>Fluorescent Lamps</t>
  </si>
  <si>
    <t>Automotive Bulbs</t>
  </si>
  <si>
    <t>Starters and Ballasts</t>
  </si>
  <si>
    <t>Torches / Workplace / Light Fixtures</t>
  </si>
  <si>
    <t>Machine Lamps</t>
  </si>
  <si>
    <t>Exterior Lights</t>
  </si>
  <si>
    <t>Plug-in Power Supplies</t>
  </si>
  <si>
    <t>USB Power Supplies</t>
  </si>
  <si>
    <t>Hand Tools</t>
  </si>
  <si>
    <t>Power Tools</t>
  </si>
  <si>
    <t>Cordless Power Tool Systems</t>
  </si>
  <si>
    <t>Personal Protection</t>
  </si>
  <si>
    <t>Soldering, Desoldering and Rework Stations</t>
  </si>
  <si>
    <t>Soldering tips, Desoldering and Hot Air Nozzles</t>
  </si>
  <si>
    <t>Dispensing Equipment</t>
  </si>
  <si>
    <t>Cleaners, Lubricants and Protective Lacquer</t>
  </si>
  <si>
    <t>Cleaning Clothes &amp; Accessories</t>
  </si>
  <si>
    <t>Screws, Dowels &amp; Springs</t>
  </si>
  <si>
    <t>Semi-finished Products</t>
  </si>
  <si>
    <t>Laboratory Connectors &amp; Accessories for Measurement</t>
  </si>
  <si>
    <t>Laboratory Connectors</t>
  </si>
  <si>
    <t>Test Leads &amp; Probes</t>
  </si>
  <si>
    <t>Multimeters &amp; Current Clamp Meters</t>
  </si>
  <si>
    <t>Electrical Testing Instruments</t>
  </si>
  <si>
    <t>Installation Testers</t>
  </si>
  <si>
    <t>Power Test Instruments</t>
  </si>
  <si>
    <t>Spectrum &amp; Logic Analysers</t>
  </si>
  <si>
    <t>Function Generators &amp; Frequency Counters</t>
  </si>
  <si>
    <t>Shunt resistors &amp; Converters</t>
  </si>
  <si>
    <t>E/A-Module und Schnittstellenrelais</t>
  </si>
  <si>
    <t>Aktoren</t>
  </si>
  <si>
    <t>Antriebe</t>
  </si>
  <si>
    <t>Luftaufbereitung</t>
  </si>
  <si>
    <t>Prozessregler</t>
  </si>
  <si>
    <t>Digitale Schaltungen/Entwicklungswerkzeuge</t>
  </si>
  <si>
    <t>Freizeit und Hobby</t>
  </si>
  <si>
    <t>Netzwerk und Telekommunikation</t>
  </si>
  <si>
    <t>Drucker und Verbrauchsmaterial</t>
  </si>
  <si>
    <t>Etikettendrucker</t>
  </si>
  <si>
    <t>Tintenpatronen</t>
  </si>
  <si>
    <t>Speicher und Peripheriegeräte</t>
  </si>
  <si>
    <t>Computer und PC-Komponenten</t>
  </si>
  <si>
    <t>Erweiterungskarten</t>
  </si>
  <si>
    <t>Software und Bürobedarf</t>
  </si>
  <si>
    <t>Reinigungsprodukte</t>
  </si>
  <si>
    <t>Erneuerbare Energie</t>
  </si>
  <si>
    <t>AC/DC-Netzgeräte</t>
  </si>
  <si>
    <t>DC/DC-Netzgeräte</t>
  </si>
  <si>
    <t>LED-Lampen</t>
  </si>
  <si>
    <t>Signallampen</t>
  </si>
  <si>
    <t>Lichttechnik</t>
  </si>
  <si>
    <t>Elektrolumineszenz-Folien</t>
  </si>
  <si>
    <t>Bürolampen</t>
  </si>
  <si>
    <t>Taschenlampen</t>
  </si>
  <si>
    <t>Boxen, Schubladen und Behälter</t>
  </si>
  <si>
    <t>ESD-sichere Produkte</t>
  </si>
  <si>
    <t>Lötdampfabsorber und Filtersysteme</t>
  </si>
  <si>
    <t>Lötmaterialien</t>
  </si>
  <si>
    <t>Messgeräte</t>
  </si>
  <si>
    <t>Multimeter und Stromzangen</t>
  </si>
  <si>
    <t>L2-3D_557406</t>
  </si>
  <si>
    <t>L3D_557234</t>
  </si>
  <si>
    <t>Drahtlose Kommunikation</t>
  </si>
  <si>
    <t>Induktive Sensoren</t>
  </si>
  <si>
    <t>Ultraschallsensoren</t>
  </si>
  <si>
    <t>Optische Sensoren</t>
  </si>
  <si>
    <t>Reed- / Hall-Sensoren</t>
  </si>
  <si>
    <t>Weg- / Winkelaufnehmer</t>
  </si>
  <si>
    <t>Drehgeber</t>
  </si>
  <si>
    <t>Zeitrelais</t>
  </si>
  <si>
    <t>Sicherheitskomponenten</t>
  </si>
  <si>
    <t>Motorsteuerungen</t>
  </si>
  <si>
    <t>Getriebe</t>
  </si>
  <si>
    <t>Frequenzsteuerung und Timer</t>
  </si>
  <si>
    <t>Kondensatoren</t>
  </si>
  <si>
    <t>Widerstände</t>
  </si>
  <si>
    <t>Potentiometer, Trimmer</t>
  </si>
  <si>
    <t>Sicherungen und Leitungsschutzschalter für Geräte</t>
  </si>
  <si>
    <t>Antennen</t>
  </si>
  <si>
    <t>Reihenklemmen</t>
  </si>
  <si>
    <t>Reed-Relais / Reedkontakte / Magnete</t>
  </si>
  <si>
    <t>Halbleiterrelais</t>
  </si>
  <si>
    <t>Koaxialkabel / Audiokabel / Flachkabel / Netzkabel</t>
  </si>
  <si>
    <t>Klemmenleiste / Leuchtenklemmen</t>
  </si>
  <si>
    <t>Laborkarten / Leiterplattenfertigung</t>
  </si>
  <si>
    <t>Computer &amp; Hobby</t>
  </si>
  <si>
    <t>Zubehör für Notebooks / Tablets / eReader</t>
  </si>
  <si>
    <t>Festplatten / SSD / RAM</t>
  </si>
  <si>
    <t>Mainboards / CPU / Kühler</t>
  </si>
  <si>
    <t>PC-Gehäuse / Zubehör</t>
  </si>
  <si>
    <t>Bildschirme / Mäuse / Tastaturen</t>
  </si>
  <si>
    <t>Netzwerkspeicher (NAS) / Laufwerke</t>
  </si>
  <si>
    <t>USB-Speicher / Speicherkarten / Datenträger</t>
  </si>
  <si>
    <t>USB-Hubs / KVM-Switches / Videoverteiler</t>
  </si>
  <si>
    <t>Schnittstellen-Konverter / Extender</t>
  </si>
  <si>
    <t>Scanner / Belegleser / Grafiktabletts</t>
  </si>
  <si>
    <t>Wireless-LAN / Router / Firewall</t>
  </si>
  <si>
    <t>Switches / Konverter / Netzwerkkarten</t>
  </si>
  <si>
    <t>Netzwerkspeicher (NAS) / Powerline</t>
  </si>
  <si>
    <t>Festnetzprodukte / Sprechgarnituren</t>
  </si>
  <si>
    <t>Mobiltelefone / Zubehör</t>
  </si>
  <si>
    <t>IP-Kameras / Voice-over-IP</t>
  </si>
  <si>
    <t>Netzwerkkabel / Installationsmaterial</t>
  </si>
  <si>
    <t>Drucker / Multifunktionsdrucker</t>
  </si>
  <si>
    <t>Toner / Trommeln</t>
  </si>
  <si>
    <t>Beschriftungsbänder</t>
  </si>
  <si>
    <t>Papier / Folien / Etiketten</t>
  </si>
  <si>
    <t>Etiketten für CD / DVD / Blu-ray</t>
  </si>
  <si>
    <t>Kabel und Stromversorgung</t>
  </si>
  <si>
    <t>Computerkabel / Stromversorgungskabel</t>
  </si>
  <si>
    <t>Netzwerkkabel / Telefonkabel</t>
  </si>
  <si>
    <t>Audiokabel / Videokabel</t>
  </si>
  <si>
    <t>USV Stromversorgung</t>
  </si>
  <si>
    <t>Steckdosenleisten / Überspannungsschutz</t>
  </si>
  <si>
    <t>Ladegeräte / Steckernetzteile</t>
  </si>
  <si>
    <t>Ablage / Archivierung</t>
  </si>
  <si>
    <t>Büroausstattung / Bürozubehör</t>
  </si>
  <si>
    <t>Aktenvernichter / Laminierer / Bindesysteme</t>
  </si>
  <si>
    <t>Halterungen / Sicherheitsschlösser</t>
  </si>
  <si>
    <t>Taschenrechner / Übersetzer / Diktiergeräte</t>
  </si>
  <si>
    <t>Multimedia und Präsentation</t>
  </si>
  <si>
    <t>TV-Geräte / Displays / Mediaplayer / DVB</t>
  </si>
  <si>
    <t>Projektoren / Leinwände / Zubehör</t>
  </si>
  <si>
    <t>HiFi / Lautsprecher / Kopfhörer / Mikrofone</t>
  </si>
  <si>
    <t>Digitalkameras / Zubehör</t>
  </si>
  <si>
    <t>Videokameras / Zubehör</t>
  </si>
  <si>
    <t>SAT / Digitalreceiver / Antennen</t>
  </si>
  <si>
    <t>Outdoor / Sport / Fitness / Wellness</t>
  </si>
  <si>
    <t>Ringkerntransformatoren</t>
  </si>
  <si>
    <t>DC/DC-Netzgeräte, PCB</t>
  </si>
  <si>
    <t>AC/DC-Netzgeräte, PCB</t>
  </si>
  <si>
    <t>Halogenlampen</t>
  </si>
  <si>
    <t>Leuchtstofflampen</t>
  </si>
  <si>
    <t>Kfz-Glühlampen</t>
  </si>
  <si>
    <t>Starter und Vorschaltgeräte</t>
  </si>
  <si>
    <t>Maschinenleuchten</t>
  </si>
  <si>
    <t>Aussenleuchten</t>
  </si>
  <si>
    <t>Steckernetzgeräte</t>
  </si>
  <si>
    <t>USB-Stromversorgung</t>
  </si>
  <si>
    <t>Handwerkzeuge</t>
  </si>
  <si>
    <t>Elektrowerkzeuge</t>
  </si>
  <si>
    <t>Kabellose Elektrowerkzeugsysteme</t>
  </si>
  <si>
    <t>Persönlicher Schutz</t>
  </si>
  <si>
    <t>Stationen für Löt-, Entlöt-und Rework-Arbeiten</t>
  </si>
  <si>
    <t>Lötspitzen, Entlöt- und Heissluftdüsen</t>
  </si>
  <si>
    <t>Reiniger, Schmiermittel und Schutzlack</t>
  </si>
  <si>
    <t>Reinigungstücher und Zubehör</t>
  </si>
  <si>
    <t>Vergussmasse</t>
  </si>
  <si>
    <t>Klebebänder</t>
  </si>
  <si>
    <t>Schrauben, Dübel und Federn</t>
  </si>
  <si>
    <t>Halbzeug</t>
  </si>
  <si>
    <t>Laborsteckverbinder und Zubehör für Messarbeiten</t>
  </si>
  <si>
    <t>Laborsteckverbinder</t>
  </si>
  <si>
    <t>Messleitungshalter</t>
  </si>
  <si>
    <t>Messleitungen und Prüfspitzen</t>
  </si>
  <si>
    <t>Einbaumessgeräte</t>
  </si>
  <si>
    <t>Shunt Widerstände und Wandler</t>
  </si>
  <si>
    <t>Transformateurs à noyau torique</t>
  </si>
  <si>
    <t>Alimentations DC/DC, circuit imprimé</t>
  </si>
  <si>
    <t>Alimentations AC/DC, circuit imprimé</t>
  </si>
  <si>
    <t>Lampes halogènes</t>
  </si>
  <si>
    <t>Tubes fluorescents</t>
  </si>
  <si>
    <t>Ampoules pour automobiles</t>
  </si>
  <si>
    <t>Starters et ballasts</t>
  </si>
  <si>
    <t>Eclairages de machines</t>
  </si>
  <si>
    <t>Lampes extérieures</t>
  </si>
  <si>
    <t>Blocs secteur</t>
  </si>
  <si>
    <t>Alimentations USB</t>
  </si>
  <si>
    <t>Communication sans fil</t>
  </si>
  <si>
    <t>Capteurs optiques</t>
  </si>
  <si>
    <t>Capteurs Reed/Hall</t>
  </si>
  <si>
    <t>Capteurs de position/d'angle</t>
  </si>
  <si>
    <t>Codeurs incrémentaux</t>
  </si>
  <si>
    <t>Relais temporisés</t>
  </si>
  <si>
    <t>Composants pour la sécurité</t>
  </si>
  <si>
    <t>Appareils de contrôle de fréquence et de synchronisation</t>
  </si>
  <si>
    <t>Condensateurs</t>
  </si>
  <si>
    <t>Résistances</t>
  </si>
  <si>
    <t>Potentiomètres, trimmers</t>
  </si>
  <si>
    <t>Ferrites / Inductances / Filtres</t>
  </si>
  <si>
    <t>Fusibles et disjoncteurs pour appareils</t>
  </si>
  <si>
    <t>Antennes</t>
  </si>
  <si>
    <t>Blocs de jonction</t>
  </si>
  <si>
    <t>Relais Reed / Contacts Reed / Aimants</t>
  </si>
  <si>
    <t>Relais à semi-conducteurs</t>
  </si>
  <si>
    <t>Borniers / Borniers pour lampe</t>
  </si>
  <si>
    <t>Cartes de laboratoire / Fabrication de circuits imprimés</t>
  </si>
  <si>
    <t>Convertisseurs d'interface / Extensions de signal</t>
  </si>
  <si>
    <t>Rubans encreurs / Accessoires pour étiqueteuses</t>
  </si>
  <si>
    <t>Etiquettes pour CD / DVD / Blu-ray</t>
  </si>
  <si>
    <t>Alimentations sans interruption</t>
  </si>
  <si>
    <t>Extérieur / Sports / Fitness / Bien-être</t>
  </si>
  <si>
    <t>Outils manuels</t>
  </si>
  <si>
    <t>Outils électriques</t>
  </si>
  <si>
    <t>Système d'outils électriques sans fil</t>
  </si>
  <si>
    <t>Protection individuelle</t>
  </si>
  <si>
    <t>Soudage, dessoudage et stations de réparation</t>
  </si>
  <si>
    <t>Pannes à souder, dessoudage et buses de souffleur d'air chaud</t>
  </si>
  <si>
    <t>Nettoyants, lubrifiants et laque protectrice</t>
  </si>
  <si>
    <t>Chiffons et accessoires de nettoyage</t>
  </si>
  <si>
    <t>Vis, tampons et ressorts</t>
  </si>
  <si>
    <t>Produits semi-finis</t>
  </si>
  <si>
    <t>Connecteurs et accessoires de laboratoire pour mesure</t>
  </si>
  <si>
    <t>Connecteurs de laboratoire</t>
  </si>
  <si>
    <t>Contacts à ressort</t>
  </si>
  <si>
    <t>Cordons de mesure et sondes</t>
  </si>
  <si>
    <t>Appareils de test électrique</t>
  </si>
  <si>
    <t>Testeurs d'installation</t>
  </si>
  <si>
    <t>Instruments de test d'alimentation</t>
  </si>
  <si>
    <t>Analyseurs de spectre et de logique</t>
  </si>
  <si>
    <t>Générateurs de fonction et fréquencemètres</t>
  </si>
  <si>
    <t>Appareils de mesure encastrables</t>
  </si>
  <si>
    <t>Instruments d'affichage analogiques</t>
  </si>
  <si>
    <t>Instruments d'affichage numériques</t>
  </si>
  <si>
    <t>Résistances Shunt et convertisseurs</t>
  </si>
  <si>
    <t>Trasformatori a nucleo toroidale</t>
  </si>
  <si>
    <t>Alimentatori DC/DC, PCB</t>
  </si>
  <si>
    <t>Alimentatori AC/DC, PCB</t>
  </si>
  <si>
    <t>Lampade alogene</t>
  </si>
  <si>
    <t>Lampade a fluorescenza</t>
  </si>
  <si>
    <t>Lampadine per veicoli</t>
  </si>
  <si>
    <t>Starter e alimentatori</t>
  </si>
  <si>
    <t>Lampade per macchine</t>
  </si>
  <si>
    <t>Lampade esterne</t>
  </si>
  <si>
    <t>Alimentatori plug-in</t>
  </si>
  <si>
    <t>Alimentatori USB</t>
  </si>
  <si>
    <t>Comunicazione senza fili</t>
  </si>
  <si>
    <t>Sensori ottici</t>
  </si>
  <si>
    <t>Sensori reed/Hall</t>
  </si>
  <si>
    <t>Sensori di posizione/angolazione</t>
  </si>
  <si>
    <t>Trasduttori di posizione angolare</t>
  </si>
  <si>
    <t>Relè a tempo</t>
  </si>
  <si>
    <t>Componenti di sicurezza</t>
  </si>
  <si>
    <t>Trasmissioni</t>
  </si>
  <si>
    <t>Controllo della frequenza e cronometri</t>
  </si>
  <si>
    <t>Condensatori</t>
  </si>
  <si>
    <t>Resistenze</t>
  </si>
  <si>
    <t>Potenziometri, Trimmer</t>
  </si>
  <si>
    <t>Ferriti / Induttori / Filtri</t>
  </si>
  <si>
    <t>Fusibili e disgiuntori per apparecchi</t>
  </si>
  <si>
    <t>Antenne</t>
  </si>
  <si>
    <t>Morsettiere</t>
  </si>
  <si>
    <t>Relè reed / Contatti reed / Magneti</t>
  </si>
  <si>
    <t>Relè a stato solido</t>
  </si>
  <si>
    <t>Morsettiere / Morsetti per lampade</t>
  </si>
  <si>
    <t>Schede laboratorio / Produzione circuiti stampati</t>
  </si>
  <si>
    <t>Convertitori di interfaccia / Extender</t>
  </si>
  <si>
    <t>Nastri inchiostratori / accessori etichettatrici</t>
  </si>
  <si>
    <t>Etichette CD/ DVD/ Blu-ray</t>
  </si>
  <si>
    <t>Alimentatori UPS</t>
  </si>
  <si>
    <t>Attività all'aperto / Sport / Fitness / Wellness</t>
  </si>
  <si>
    <t>Utensileria manuale</t>
  </si>
  <si>
    <t>Elettroutensili</t>
  </si>
  <si>
    <t>Elettroutensili a batteria</t>
  </si>
  <si>
    <t>Protezione individuale</t>
  </si>
  <si>
    <t>Stazioni di saldatura, dissaldatura e rilavorazione</t>
  </si>
  <si>
    <t>Punte per saldatore, ugelli aria calda e dissaldanti</t>
  </si>
  <si>
    <t>Detergenti, lubrificanti e lacca protettiva</t>
  </si>
  <si>
    <t>Panni per pulizia e accessori</t>
  </si>
  <si>
    <t>Viti, tasselli e molle</t>
  </si>
  <si>
    <t>Pezzi semilavorati</t>
  </si>
  <si>
    <t>Connettori per laboratorio e accessori per misurazioni</t>
  </si>
  <si>
    <t>Connettori per laboratorio</t>
  </si>
  <si>
    <t>Contatti a molla</t>
  </si>
  <si>
    <t>Cavi e puntali di prova</t>
  </si>
  <si>
    <t>Apparecchi per prove elettriche</t>
  </si>
  <si>
    <t>Apparecchi di prova per installazioni</t>
  </si>
  <si>
    <t>Strumenti di prova della potenza</t>
  </si>
  <si>
    <t>Oscilloscopi</t>
  </si>
  <si>
    <t>Analizzatori di spettro e logici</t>
  </si>
  <si>
    <t>Generatori di funzioni e frequenzimetri</t>
  </si>
  <si>
    <t>Strumenti da incasso</t>
  </si>
  <si>
    <t>Resistenze shunt e convertitori</t>
  </si>
  <si>
    <t>Aerials</t>
  </si>
  <si>
    <t>Cleaning</t>
  </si>
  <si>
    <t>PC-Lautsprecher / Webcams</t>
  </si>
  <si>
    <t>Elektrische Prüfgeräte</t>
  </si>
  <si>
    <t>Installationsprüfgeräte</t>
  </si>
  <si>
    <t>Leistungsmessgeräte</t>
  </si>
  <si>
    <t>Oszilloskope</t>
  </si>
  <si>
    <t>Spektrum-Analyser</t>
  </si>
  <si>
    <t>Funktionsgeneratoren und Frequenzzähler</t>
  </si>
  <si>
    <t>Lichtsteuergeräte / Schalter</t>
  </si>
  <si>
    <t>19''- Anlagen</t>
  </si>
  <si>
    <t>Dosiersysteme</t>
  </si>
  <si>
    <t>Taschenlampen / Arbeitsplatzleuchten / Leuchten</t>
  </si>
  <si>
    <t>Stecker / Adapter</t>
  </si>
  <si>
    <t>Commutateurs de contrôle de la lumière</t>
  </si>
  <si>
    <t>Système de dosage</t>
  </si>
  <si>
    <t>Comandi per illuminazione / Interruttori</t>
  </si>
  <si>
    <t>Sistema di dosaggio</t>
  </si>
  <si>
    <t>ICT e hobby</t>
  </si>
  <si>
    <t>Standalone Soldering Irons</t>
  </si>
  <si>
    <t>Distrelec Online Shop</t>
  </si>
  <si>
    <t>Komponenter</t>
  </si>
  <si>
    <t>Aktive komponenter</t>
  </si>
  <si>
    <t>Diskrete halvledere/rør</t>
  </si>
  <si>
    <t>Analoge strømkredse</t>
  </si>
  <si>
    <t>Digitale strømkredse/udviklingsværktøj</t>
  </si>
  <si>
    <t>Frekvensstyrings- &amp; timings-enheder</t>
  </si>
  <si>
    <t>Samlemateriale til halvledere</t>
  </si>
  <si>
    <t>Passive komponenter</t>
  </si>
  <si>
    <t>Kondensatorer</t>
  </si>
  <si>
    <t>Modstande</t>
  </si>
  <si>
    <t>Potentiometre, trimmere</t>
  </si>
  <si>
    <t>Ferritter/induktionsspoler/filtre</t>
  </si>
  <si>
    <t>Sikringer og relæer til apparater</t>
  </si>
  <si>
    <t>Antenner</t>
  </si>
  <si>
    <t>Strømkredsbeskyttelse</t>
  </si>
  <si>
    <t>Sikringer og relæer til udstyr</t>
  </si>
  <si>
    <t>Sikringer/RCD/overspændingsbeskyttelse</t>
  </si>
  <si>
    <t>Forbindelser</t>
  </si>
  <si>
    <t>Fladkabelstik</t>
  </si>
  <si>
    <t>Audio/Video/Computerstik</t>
  </si>
  <si>
    <t>Industristik</t>
  </si>
  <si>
    <t>Kontaktblokke</t>
  </si>
  <si>
    <t>Sværbelastningsstik</t>
  </si>
  <si>
    <t>Cirkulære stik</t>
  </si>
  <si>
    <t>Relæer &amp; kontakter</t>
  </si>
  <si>
    <t>PCB-relæer</t>
  </si>
  <si>
    <t>Industrirelæer</t>
  </si>
  <si>
    <t>Reed-relæer/reed-kontakter/magneter</t>
  </si>
  <si>
    <t>Halvlederrelæ</t>
  </si>
  <si>
    <t>Hovedledningsafbrydere</t>
  </si>
  <si>
    <t>Microafbrydere/Snap-Action</t>
  </si>
  <si>
    <t>Miniature-afbrydere/PCB-afbrydere</t>
  </si>
  <si>
    <t>Kabler &amp; installationsmaterialer</t>
  </si>
  <si>
    <t>Ledningsudstyr</t>
  </si>
  <si>
    <t>Lysstyringsenheder/afbrydere</t>
  </si>
  <si>
    <t>Netværkskabler/styrekabler/datakabler/optiske fiberkabler</t>
  </si>
  <si>
    <t>Koaksialkabler/audiokabler/fladkabler/effektkabler</t>
  </si>
  <si>
    <t>Kabelbindere/kabelunderstøtning</t>
  </si>
  <si>
    <t>Klemliste/lysterminaler</t>
  </si>
  <si>
    <t>Kabinetter/ventilatorer/PCB-tavler</t>
  </si>
  <si>
    <t>Prototypetavler/PCB-fremstilling</t>
  </si>
  <si>
    <t>Kabinettilbehør</t>
  </si>
  <si>
    <t>19'' kabinet</t>
  </si>
  <si>
    <t>Plast-/metalkabinetter</t>
  </si>
  <si>
    <t>Ventilatorer</t>
  </si>
  <si>
    <t>Tilbehør til blæsere</t>
  </si>
  <si>
    <t>Værktøj &amp; måleudstyr</t>
  </si>
  <si>
    <t>Værktøj</t>
  </si>
  <si>
    <t>Håndværktøj</t>
  </si>
  <si>
    <t>El-værktøj</t>
  </si>
  <si>
    <t>Trådløst elværktøjssæt</t>
  </si>
  <si>
    <t>Kasser, skuffer og beholdere</t>
  </si>
  <si>
    <t>ESD-sikkerhedsprodukter</t>
  </si>
  <si>
    <t>Personlig beskyttelse</t>
  </si>
  <si>
    <t>Forstørrelsesglas &amp; mikroskoper</t>
  </si>
  <si>
    <t>Lodning</t>
  </si>
  <si>
    <t>Uafhængige loddekolber</t>
  </si>
  <si>
    <t>Lodde-, aflodnings- og reparationsstationer</t>
  </si>
  <si>
    <t>Lodderøgsudsugnings- og filtersystemer</t>
  </si>
  <si>
    <t>Loddespidser, aflodnings- og varmluftsdyser</t>
  </si>
  <si>
    <t>Loddetilbehør og reservedele</t>
  </si>
  <si>
    <t>Loddematerialer</t>
  </si>
  <si>
    <t>Dispenserudstyr</t>
  </si>
  <si>
    <t>Vedligeholdelse</t>
  </si>
  <si>
    <t>Rensemidler, smøremidler og beskyttelseslak</t>
  </si>
  <si>
    <t>Rengøringstøj &amp; -udstyr</t>
  </si>
  <si>
    <t>Tape</t>
  </si>
  <si>
    <t>Lim</t>
  </si>
  <si>
    <t>Mærkning</t>
  </si>
  <si>
    <t>Mekaniske komponenter</t>
  </si>
  <si>
    <t>Skruer, dyvler &amp; fjedre</t>
  </si>
  <si>
    <t>Monteringskomponenter og afstandsholdere</t>
  </si>
  <si>
    <t>Hængsler &amp; låse</t>
  </si>
  <si>
    <t>Ruller &amp; hjul</t>
  </si>
  <si>
    <t>Kuglelejer</t>
  </si>
  <si>
    <t>Halvfabrikata</t>
  </si>
  <si>
    <t>Laboratoriestrømforsyning</t>
  </si>
  <si>
    <t>UPS</t>
  </si>
  <si>
    <t>Isolationstransformere</t>
  </si>
  <si>
    <t>Laboratoriestik &amp; -udstyr til måling</t>
  </si>
  <si>
    <t>Laboratoriestik</t>
  </si>
  <si>
    <t>Prøveledninger og &amp; målesonder</t>
  </si>
  <si>
    <t>Måleinstrumenter</t>
  </si>
  <si>
    <t>Multimetre &amp; strømtangsmålere</t>
  </si>
  <si>
    <t>Elektriske testinstrumenter</t>
  </si>
  <si>
    <t>Installationstestinstrumenter</t>
  </si>
  <si>
    <t>Strømtestinstrumenter</t>
  </si>
  <si>
    <t>Oscilloskoper</t>
  </si>
  <si>
    <t>Spektrumanalyseenheder &amp; logiske analyseenheder</t>
  </si>
  <si>
    <t>Funktionsgeneratorer &amp; frekvenstællere</t>
  </si>
  <si>
    <t>Visningsenheder</t>
  </si>
  <si>
    <t>Shunt-modstande &amp; omformere</t>
  </si>
  <si>
    <t>Automatisering</t>
  </si>
  <si>
    <t>Procesdisplay/regulatorer/PLC/HMI</t>
  </si>
  <si>
    <t>PLC-systemer</t>
  </si>
  <si>
    <t>Menneske-maskine-interface</t>
  </si>
  <si>
    <t>Procescontrollere</t>
  </si>
  <si>
    <t>Procesdisplays</t>
  </si>
  <si>
    <t>Industriel kommunikation</t>
  </si>
  <si>
    <t>I/O-moduler og interface-relæer</t>
  </si>
  <si>
    <t>Måleværdi- og signalomformere</t>
  </si>
  <si>
    <t>Aktuator-sensor-interface</t>
  </si>
  <si>
    <t>Industrielt Ethernet</t>
  </si>
  <si>
    <t>Fjernoverførsel af data</t>
  </si>
  <si>
    <t>Trådløs kommunikation</t>
  </si>
  <si>
    <t>Sensorer</t>
  </si>
  <si>
    <t>Optiske sensorer</t>
  </si>
  <si>
    <t>Reed-/hall-sensorer</t>
  </si>
  <si>
    <t>Positons-/vinkelsensorer</t>
  </si>
  <si>
    <t>Drejeencodere</t>
  </si>
  <si>
    <t>Afbryder-/måle- &amp; tælle-/overvågnings-/kommando-/signalenheder</t>
  </si>
  <si>
    <t>Tidsrelæer</t>
  </si>
  <si>
    <t>Kontakture</t>
  </si>
  <si>
    <t>Målere</t>
  </si>
  <si>
    <t>Overvågningsrelæer/-moduler</t>
  </si>
  <si>
    <t>Sikkerhedskomponenter</t>
  </si>
  <si>
    <t>Grænseafbrydere</t>
  </si>
  <si>
    <t>Styreafbrydere- og indikatorapparater 22 mm</t>
  </si>
  <si>
    <t>Motorer/controllere/aktuatorer</t>
  </si>
  <si>
    <t>Motorcontrollere</t>
  </si>
  <si>
    <t>Jævnstrømsmotorer</t>
  </si>
  <si>
    <t>Stepmotorer og servodrev</t>
  </si>
  <si>
    <t>Vekselstrøms- og trefase-motorer</t>
  </si>
  <si>
    <t>Transmissioner</t>
  </si>
  <si>
    <t>Lineære drev</t>
  </si>
  <si>
    <t>Aktuatorer</t>
  </si>
  <si>
    <t>Pneumatiske enheder</t>
  </si>
  <si>
    <t>Ventiler</t>
  </si>
  <si>
    <t>Beslag/styreventiler</t>
  </si>
  <si>
    <t>Vakuumteknik</t>
  </si>
  <si>
    <t>Luftbehandlingssystem</t>
  </si>
  <si>
    <t>Positionssensorer til pneumatiske enheder</t>
  </si>
  <si>
    <t>Signaler</t>
  </si>
  <si>
    <t>Optiske signalgeneratorer</t>
  </si>
  <si>
    <t>Optiske/akustiske signalgeneratorer</t>
  </si>
  <si>
    <t>Akustisge signalgeneratorer</t>
  </si>
  <si>
    <t>Transformere</t>
  </si>
  <si>
    <t>PCB-transformere</t>
  </si>
  <si>
    <t>Universaltransformere</t>
  </si>
  <si>
    <t>Styretransformer</t>
  </si>
  <si>
    <t>Toroidtransformere</t>
  </si>
  <si>
    <t>Sikkerhedstransformere</t>
  </si>
  <si>
    <t>Autotransformere/isoleringstransformere</t>
  </si>
  <si>
    <t>Variable transformere</t>
  </si>
  <si>
    <t>Batterier/opladere/vedvarende</t>
  </si>
  <si>
    <t>Primærbatterier</t>
  </si>
  <si>
    <t>Genopladelige batterier</t>
  </si>
  <si>
    <t>Opladere</t>
  </si>
  <si>
    <t>Vedvarende energi</t>
  </si>
  <si>
    <t>Udstyr til primærbatterier &amp; genopladelige batterier</t>
  </si>
  <si>
    <t>Industristrøm DC/DC, AC/DC</t>
  </si>
  <si>
    <t>AC/DC-strømforsyning</t>
  </si>
  <si>
    <t>DC/DC-strømforsyning, PCB</t>
  </si>
  <si>
    <t>AC/DC-strømforsyning, PCB</t>
  </si>
  <si>
    <t>Lysteknologi</t>
  </si>
  <si>
    <t>Effektdioder</t>
  </si>
  <si>
    <t>LED-modul</t>
  </si>
  <si>
    <t>LED-beslag</t>
  </si>
  <si>
    <t>LED-drivere</t>
  </si>
  <si>
    <t>Elektroluminescens-paneler</t>
  </si>
  <si>
    <t>Udstyr til effektdioder</t>
  </si>
  <si>
    <t>Lyskilder</t>
  </si>
  <si>
    <t>LED-lamper</t>
  </si>
  <si>
    <t>Halogen-lamper</t>
  </si>
  <si>
    <t>Lysstofrør</t>
  </si>
  <si>
    <t>Bilpærer</t>
  </si>
  <si>
    <t>Lygteholdere/-sokler</t>
  </si>
  <si>
    <t>Indikatorlamper</t>
  </si>
  <si>
    <t>Startere og ballastenheder</t>
  </si>
  <si>
    <t>Lommelygter/arbejdsplads/lyslamper</t>
  </si>
  <si>
    <t>Lygter</t>
  </si>
  <si>
    <t>Kontorlamper</t>
  </si>
  <si>
    <t>Maskinlamper</t>
  </si>
  <si>
    <t>Udelygter</t>
  </si>
  <si>
    <t>Strømforsyningsstik</t>
  </si>
  <si>
    <t>USB-strømforsyning</t>
  </si>
  <si>
    <t>Computerteknik &amp; pc-komponenter</t>
  </si>
  <si>
    <t>Notebooks/tablets/eReader</t>
  </si>
  <si>
    <t>Pc'er/server</t>
  </si>
  <si>
    <t>Tilbehør til noteooks/tablets/eReader</t>
  </si>
  <si>
    <t>Harddiske/SSD/RAM</t>
  </si>
  <si>
    <t>Hovedkort/CPU/køler</t>
  </si>
  <si>
    <t>Udvidelseskort</t>
  </si>
  <si>
    <t>Pc-kabinetter/tilbehør</t>
  </si>
  <si>
    <t>Arkivering &amp; perifere enheder</t>
  </si>
  <si>
    <t>Skærme/mus/tastaturer</t>
  </si>
  <si>
    <t>Netværkstilknyttet arkivering (NAS)/drivere</t>
  </si>
  <si>
    <t>USB-hukommelse/hukommelseskort/diske/bånd</t>
  </si>
  <si>
    <t>USB-hub/KVM-afbrydere/video-distributører</t>
  </si>
  <si>
    <t>Interface-omformere/udvidere</t>
  </si>
  <si>
    <t>Skannere/stregkodeskannere/grafiske tablets</t>
  </si>
  <si>
    <t>Pc-højtalere/web-kameraer</t>
  </si>
  <si>
    <t>Netværk &amp; telekommunikation</t>
  </si>
  <si>
    <t>Trådløs LAN/router/Firewall</t>
  </si>
  <si>
    <t>Afbrydere/omformere/netværks-interfacekort</t>
  </si>
  <si>
    <t>Netværkstilknyttet arkivering (NAS)/ledningsbåret kommunikation</t>
  </si>
  <si>
    <t>Landline-produkter/kontor-headset</t>
  </si>
  <si>
    <t>Smartphones/mobiltelefoner/tilbehør</t>
  </si>
  <si>
    <t>IP-kameraer/IP-telefoni</t>
  </si>
  <si>
    <t>Netværkskabler/installationsmateriale</t>
  </si>
  <si>
    <t>Printere &amp; og forsyninger</t>
  </si>
  <si>
    <t>Printere/multifunktionelle printere</t>
  </si>
  <si>
    <t>Etiketteprintere</t>
  </si>
  <si>
    <t>Toner/tromler</t>
  </si>
  <si>
    <t>Blækpatroner</t>
  </si>
  <si>
    <t>Farvebånd/tilbehør til etiketteringsmaskine</t>
  </si>
  <si>
    <t>Papir/transparenter/etiketter</t>
  </si>
  <si>
    <t>Cd/dvd/Blu-ray-etiketter</t>
  </si>
  <si>
    <t>Computer-kabler/strømkabler</t>
  </si>
  <si>
    <t>Netværks-kabler/telefonkabler</t>
  </si>
  <si>
    <t>Audio-kabler/video-kabler</t>
  </si>
  <si>
    <t>Stik/adaptere</t>
  </si>
  <si>
    <t>LED-strømforsyning</t>
  </si>
  <si>
    <t>Multistikdåser/beskyttende udstyr</t>
  </si>
  <si>
    <t>Software &amp; kontorforsyning</t>
  </si>
  <si>
    <t>Rengøring</t>
  </si>
  <si>
    <t>Dokumenterings-/arkiveringssystemer</t>
  </si>
  <si>
    <t>Kontorudstyr</t>
  </si>
  <si>
    <t>Makuleringsmaskiner/laminering/indbinding</t>
  </si>
  <si>
    <t>Monteringsenheder/sikkerhedslåse</t>
  </si>
  <si>
    <t>Regnemaskiner/oversættere/diktafoner</t>
  </si>
  <si>
    <t>Multimedia/præsentation</t>
  </si>
  <si>
    <t>Fjernsyn/display/medie-afspillere/DVB</t>
  </si>
  <si>
    <t>Projektorer/projektorskærme/tilbehør</t>
  </si>
  <si>
    <t>Bærbar audio/MP3/radio</t>
  </si>
  <si>
    <t>HiFi/højtalere/headsets/mikrofoner</t>
  </si>
  <si>
    <t>Digitalkameraer/tilbehør</t>
  </si>
  <si>
    <t>Video-kameraer/tilbehør</t>
  </si>
  <si>
    <t>SAT/digitale modtagere/luftledninger</t>
  </si>
  <si>
    <t>Fritid &amp; Hobby</t>
  </si>
  <si>
    <t>Navigation/GPS</t>
  </si>
  <si>
    <t>Outdoor/sport/fitness/wellness</t>
  </si>
  <si>
    <t>„Distrelec“ internetinė parduotuvė</t>
  </si>
  <si>
    <t>Komponentai</t>
  </si>
  <si>
    <t>Aktyvieji komponentai</t>
  </si>
  <si>
    <t>Diskretiniai puslaidininkiai / lempos</t>
  </si>
  <si>
    <t>Analoginės grandinės</t>
  </si>
  <si>
    <t>Skaitmeninės grandinės / programavimo įrankiai</t>
  </si>
  <si>
    <t>Optoelektronika</t>
  </si>
  <si>
    <t>Dažnio valdymo ir sinchronizavimo įrenginiai</t>
  </si>
  <si>
    <t>Puslaidininkių surinkimo medžiaga</t>
  </si>
  <si>
    <t>Pasyvieji komponentai</t>
  </si>
  <si>
    <t>Kondensatoriai</t>
  </si>
  <si>
    <t>Rezistoriai</t>
  </si>
  <si>
    <t>Potenciometrai, paderinamieji rezistoriai</t>
  </si>
  <si>
    <t>Feritai / induktoriai / filtrai</t>
  </si>
  <si>
    <t>Prietaisų saugikliai ir grandinės pertraukikliai</t>
  </si>
  <si>
    <t>Antenos</t>
  </si>
  <si>
    <t>Grandinės apsauga</t>
  </si>
  <si>
    <t>Saugikliai / RCD / apsauga nuo viršįtampio</t>
  </si>
  <si>
    <t>Jungtys</t>
  </si>
  <si>
    <t>Plokščio kabelio jungtys</t>
  </si>
  <si>
    <t>D-SUB jungtys</t>
  </si>
  <si>
    <t>Garso / vaizdo / kompiuterių jungtys</t>
  </si>
  <si>
    <t>Pramoninės jungtys</t>
  </si>
  <si>
    <t>Gnybtų blokai</t>
  </si>
  <si>
    <t>Jungtys nepalankioms sąlygoms</t>
  </si>
  <si>
    <t>Apskritos jungtys</t>
  </si>
  <si>
    <t>Relės ir jungikliai</t>
  </si>
  <si>
    <t>PCB relės</t>
  </si>
  <si>
    <t>Pramoninės relės</t>
  </si>
  <si>
    <t>Relės su sandariaisiais kontaktais / sandarieji kontaktai / magnetai</t>
  </si>
  <si>
    <t>Bekontaktės relės</t>
  </si>
  <si>
    <t>Maitinimo jungikliai</t>
  </si>
  <si>
    <t>Mikrojungikliai / užsklendžiamieji jungikliai</t>
  </si>
  <si>
    <t>Miniatiūriniai jungikliai / PCB jungikliai</t>
  </si>
  <si>
    <t>Kabeliai ir instaliavimo medžiagos</t>
  </si>
  <si>
    <t>Įrangos laidai</t>
  </si>
  <si>
    <t>Apšvietimo valdikliai / jungikliai</t>
  </si>
  <si>
    <t>Tinklo kabeliai / valdymo kabeliai / duomenų kabeliai / skaidulinės optikos kabeliai</t>
  </si>
  <si>
    <t>Koaksialiniai kabeliai / garso kabeliai / plokšti kabeliai / maitinimo kabeliai</t>
  </si>
  <si>
    <t>Kabelių dirželiai / kabelių laikikliai</t>
  </si>
  <si>
    <t>Gnybtų juostos / apšvietimo gnybtai</t>
  </si>
  <si>
    <t>Gaubtai / ventiliatoriai / PCB plokštės</t>
  </si>
  <si>
    <t>PCB schemos programinė įranga</t>
  </si>
  <si>
    <t>Prototipų plokštės / PCB gamyba</t>
  </si>
  <si>
    <t>Gaubtų priedai</t>
  </si>
  <si>
    <t>19'' gaubtai</t>
  </si>
  <si>
    <t>Plastiko / metalo gaubtai</t>
  </si>
  <si>
    <t>Ventiliatoriai</t>
  </si>
  <si>
    <t>Ventiliatorių priedai</t>
  </si>
  <si>
    <t>Įrankiai ir matavimas</t>
  </si>
  <si>
    <t>Įrankiai</t>
  </si>
  <si>
    <t>Rankiniai įrankiai</t>
  </si>
  <si>
    <t>Elektriniai įrankiai</t>
  </si>
  <si>
    <t>Akumuliatorinių įrankių sistemos</t>
  </si>
  <si>
    <t>Dėžės, spintos su stalčiais ir talpos</t>
  </si>
  <si>
    <t>ESD saugos produktai</t>
  </si>
  <si>
    <t>Asmens apsauga</t>
  </si>
  <si>
    <t>Didinamieji stiklai ir mikroskopai</t>
  </si>
  <si>
    <t>Litavimas</t>
  </si>
  <si>
    <t>Autonominiai lituokliai</t>
  </si>
  <si>
    <t>Litavimo, lydmetalio šalinimo ir taisymo stotys</t>
  </si>
  <si>
    <t>Litavimo dūmų ištraukimo ir filtravimo sistemos</t>
  </si>
  <si>
    <t>Litavimo antgaliai, lydmetalio šalinimo ir karšto oro antgaliai</t>
  </si>
  <si>
    <t>Litavimo priedai ir pakaitinės dalys</t>
  </si>
  <si>
    <t>Litavimo medžiagos</t>
  </si>
  <si>
    <t>Paskirstymo įranga</t>
  </si>
  <si>
    <t>Priežiūra</t>
  </si>
  <si>
    <t>Valikliai, lubrikantai ir apsauginis lakas</t>
  </si>
  <si>
    <t>Valymo rūbai ir priedai</t>
  </si>
  <si>
    <t>Klijai</t>
  </si>
  <si>
    <t>Ženklinimo priemonės</t>
  </si>
  <si>
    <t>Mechaniniai komponentai</t>
  </si>
  <si>
    <t>Varžtai, kaiščiai ir spyruoklės</t>
  </si>
  <si>
    <t>Montavimo priedai ir tarpikliai</t>
  </si>
  <si>
    <t>Vyriai ir spynos</t>
  </si>
  <si>
    <t>Pasukamieji ratukai ir ratukai</t>
  </si>
  <si>
    <t>Rutuliniai guoliai</t>
  </si>
  <si>
    <t>Pusgaminiai</t>
  </si>
  <si>
    <t>Laboratoriniai maitinimo šaltiniai</t>
  </si>
  <si>
    <t>Izoliuojamieji transformatoriai</t>
  </si>
  <si>
    <t>Laboratorinės jungtys ir priedai matavimui</t>
  </si>
  <si>
    <t>Laboratorinės jungtys</t>
  </si>
  <si>
    <t>Spyruokliniai kontaktai</t>
  </si>
  <si>
    <t>Laboratorinių kabelių laikikliai ir zondai</t>
  </si>
  <si>
    <t>Matavimo prietaisai</t>
  </si>
  <si>
    <t>Multimetrai ir srovės matavimo replės</t>
  </si>
  <si>
    <t>Elektrinio testavimo prietaisai</t>
  </si>
  <si>
    <t>Instaliacijų testeriai</t>
  </si>
  <si>
    <t>Elektrinio testavimo įrankiai</t>
  </si>
  <si>
    <t>Osciloskopai</t>
  </si>
  <si>
    <t>Spektro ir loginiai analizatoriai</t>
  </si>
  <si>
    <t>Funkciniai generatoriai ir dažnio skaitikliai</t>
  </si>
  <si>
    <t>Skydelių matuokliai</t>
  </si>
  <si>
    <t>Šuntų rezistoriai ir keitikliai</t>
  </si>
  <si>
    <t>Automatika</t>
  </si>
  <si>
    <t>Procesų ekranai / reguliatoriai / PLC / HMI</t>
  </si>
  <si>
    <t>PLC sistemos</t>
  </si>
  <si>
    <t>Žmogaus-mašinos sąsajos</t>
  </si>
  <si>
    <t>Procesų reguliatoriai</t>
  </si>
  <si>
    <t>Procesų ekranai</t>
  </si>
  <si>
    <t>Pramoninis ryšys</t>
  </si>
  <si>
    <t>I/O moduliai ir sąsajos relės</t>
  </si>
  <si>
    <t>Sąsajų keitikliai</t>
  </si>
  <si>
    <t>Matavimo ir signalų keitikliai</t>
  </si>
  <si>
    <t>Vykdiklių jutiklių sąsajos</t>
  </si>
  <si>
    <t>Pramoninis eternetas</t>
  </si>
  <si>
    <t>Nuotolinis duomenų perdavimas</t>
  </si>
  <si>
    <t>Belaidis ryšys</t>
  </si>
  <si>
    <t>Jutikliai</t>
  </si>
  <si>
    <t>Optiniai jutikliai</t>
  </si>
  <si>
    <t>Sandariųjų kontaktų / Holo jutikliai</t>
  </si>
  <si>
    <t>Padėties / kampo jutikliai</t>
  </si>
  <si>
    <t>Rotaciniai kodavimo įrenginiai</t>
  </si>
  <si>
    <t>Įjungimo / matavimo ir skaičiavimo / stebėjimo / komandų / signalų siuntimo prietaisai</t>
  </si>
  <si>
    <t>Laiko uždelsimo relės</t>
  </si>
  <si>
    <t>Laikrodžių relės</t>
  </si>
  <si>
    <t>Matuokliai</t>
  </si>
  <si>
    <t>Stebėjimo relės / moduliai</t>
  </si>
  <si>
    <t>Saugos komponentai</t>
  </si>
  <si>
    <t>Ribiniai jungikliai</t>
  </si>
  <si>
    <t>Valdymo jungikliai ir signalizavimo prietaisai 22 mm</t>
  </si>
  <si>
    <t>Varikliai / valdikliai / pavaros</t>
  </si>
  <si>
    <t>Variklių valdikliai</t>
  </si>
  <si>
    <t>Tiesioginės srovės varikliai</t>
  </si>
  <si>
    <t>Žingsniniai varikliai ir vykdomosios pavaros</t>
  </si>
  <si>
    <t>Kintamosios srovės ir trifaziai varikliai</t>
  </si>
  <si>
    <t>Perdavimo komponentai</t>
  </si>
  <si>
    <t>Linijinės pavaros</t>
  </si>
  <si>
    <t>Aktuatoriai</t>
  </si>
  <si>
    <t>Pneumatika</t>
  </si>
  <si>
    <t>Vožtuvai</t>
  </si>
  <si>
    <t>Įvorės / tikrinimo vožtuvai</t>
  </si>
  <si>
    <t>Vakuuminė technologija</t>
  </si>
  <si>
    <t>Oro apdorojimo sistema</t>
  </si>
  <si>
    <t>Pneumatiniai padėties jutikliai</t>
  </si>
  <si>
    <t>Signalai</t>
  </si>
  <si>
    <t>Optinių signalų generatoriai</t>
  </si>
  <si>
    <t>Optinių / akustinių signalų generatoriai</t>
  </si>
  <si>
    <t>Akustinių signalų generatoriai</t>
  </si>
  <si>
    <t>Transformatoriai</t>
  </si>
  <si>
    <t>PCB transformatoriai</t>
  </si>
  <si>
    <t>Universalieji transformatoriai</t>
  </si>
  <si>
    <t>Valdymo transformatoriai</t>
  </si>
  <si>
    <t>Toroidiniai transformatoriai</t>
  </si>
  <si>
    <t>Apsauginiai transformatoriai</t>
  </si>
  <si>
    <t>Autotransformatoriai / izoliuojantieji transformatoriai</t>
  </si>
  <si>
    <t>Reguliuojamieji transformatoriai</t>
  </si>
  <si>
    <t>Įprastos baterijos</t>
  </si>
  <si>
    <t>Įkraunamos baterijos</t>
  </si>
  <si>
    <t>Įkrovikliai</t>
  </si>
  <si>
    <t>Energija iš atsinaujinančiųjų išteklių</t>
  </si>
  <si>
    <t>Įprastų ir įkraunamų baterijų priedai</t>
  </si>
  <si>
    <t>Pramoninio maitinimo DC/DC, AC/DC</t>
  </si>
  <si>
    <t>DC/DC maitinimo šaltiniai</t>
  </si>
  <si>
    <t>AC/DC maitinimo šaltiniai</t>
  </si>
  <si>
    <t>DC/DC maitinimo šaltiniai, PCB</t>
  </si>
  <si>
    <t>AC/DC maitinimo šaltiniai, PCB</t>
  </si>
  <si>
    <t>Nepertraukiamo maitinimo šaltiniai</t>
  </si>
  <si>
    <t>Apšvietimo technologija</t>
  </si>
  <si>
    <t>Maitinimo šviesos diodai</t>
  </si>
  <si>
    <t>Šviesos diodų moduliai</t>
  </si>
  <si>
    <t>Šviesos diodų jungtys</t>
  </si>
  <si>
    <t>Šviesos diodų valdikliai</t>
  </si>
  <si>
    <t>El. skydai</t>
  </si>
  <si>
    <t>Maitinimo šviesos diodų priedai</t>
  </si>
  <si>
    <t>Šviesos šaltiniai</t>
  </si>
  <si>
    <t>Šviesos diodų lempos</t>
  </si>
  <si>
    <t>Halogeninės lempos</t>
  </si>
  <si>
    <t>Liuminescencinės lempos</t>
  </si>
  <si>
    <t>Automobilinės lemputės</t>
  </si>
  <si>
    <t>Lempų laikikliai / lizdai</t>
  </si>
  <si>
    <t>Indikatorių lemputės</t>
  </si>
  <si>
    <t>Starteriai ir balastai</t>
  </si>
  <si>
    <t>Žibintai / darbo vietos apšvietimas / apšvietimo įranga</t>
  </si>
  <si>
    <t>Žibintai</t>
  </si>
  <si>
    <t>Biuro lempos</t>
  </si>
  <si>
    <t>Mašinų lempos</t>
  </si>
  <si>
    <t>Lauko apšvietimas</t>
  </si>
  <si>
    <t>Kištukiniai maitinimo šaltiniai</t>
  </si>
  <si>
    <t>USB maitinimo šaltiniai</t>
  </si>
  <si>
    <t>Kompiuterijos ir PC dalys</t>
  </si>
  <si>
    <t>Knyginiai kompiuteriai / planšetės / el. skaitytuvai</t>
  </si>
  <si>
    <t>PC / serveriai</t>
  </si>
  <si>
    <t>Priedai / knyginiai kompiuteriai / planšetės / el. skaitytuvai</t>
  </si>
  <si>
    <t>Standieji diskai / SSD / RAM</t>
  </si>
  <si>
    <t>Pagrindinės plokštės / CPU / aušintuvai</t>
  </si>
  <si>
    <t>Plėtimo plokštės</t>
  </si>
  <si>
    <t>PC dėžės / Priedai</t>
  </si>
  <si>
    <t>Duomenų saugyklos ir išoriniai įrenginiai</t>
  </si>
  <si>
    <t>Monitoriai / pelės / klaviatūros</t>
  </si>
  <si>
    <t>Prie tinklo prijungti saugojimo įrenginiai (NAS) / diskai</t>
  </si>
  <si>
    <t>USB atmintinė / atminties kortelės / diskai / juostos</t>
  </si>
  <si>
    <t>USB koncentratoriai / KVM jungikliai / vaizdo skirstytuvai</t>
  </si>
  <si>
    <t>Sąsajos keitikliai / plėtikliai</t>
  </si>
  <si>
    <t>Skaitytuvai / brūkšninių kodų skaitytuvai / grafinės planšetės</t>
  </si>
  <si>
    <t>PC garsiakalbiai / interneto kameros</t>
  </si>
  <si>
    <t>Tinklas ir telekomunikacijos</t>
  </si>
  <si>
    <t>Belaidis LAN / maršruto parinktuvas / užkarda</t>
  </si>
  <si>
    <t>Jungikliai / keitikliai / tinklo sąsajos plokštės</t>
  </si>
  <si>
    <t>Prie tinklo prijungti saugojimo įrenginiai (NAS) / maitinimo linijos ryšys</t>
  </si>
  <si>
    <t>Fiksuotos linijos gaminiai / biuro ausinės</t>
  </si>
  <si>
    <t>Išmanieji telefonai / mobilieji įrenginiai / priedai</t>
  </si>
  <si>
    <t>IP kameros / balso perdavimas per IP</t>
  </si>
  <si>
    <t>Tinklo kabeliai / instaliavimo medžiagos</t>
  </si>
  <si>
    <t>Spausdintuvai ir medžiagos</t>
  </si>
  <si>
    <t>Spausdintuvai / daugiafunkciai spausdintuvai</t>
  </si>
  <si>
    <t>Etikečių spausdintuvai</t>
  </si>
  <si>
    <t>Dažų milteliai / būgnai</t>
  </si>
  <si>
    <t>Dažų kasetės</t>
  </si>
  <si>
    <t>Dažų juostos / ženklinimo mašinų priedai</t>
  </si>
  <si>
    <t>Popierius / plėvelės / etiketės</t>
  </si>
  <si>
    <t>CD/ DVD/ „Blu-ray“ etiketės</t>
  </si>
  <si>
    <t>Kabeliai ir maitinimo šaltiniai</t>
  </si>
  <si>
    <t>Kompiuterių kabeliai / maitinimo kabeliai</t>
  </si>
  <si>
    <t>Tinklo kabeliai / telefoniniai kabeliai</t>
  </si>
  <si>
    <t>Garso kabeliai / vaizdo kabeliai</t>
  </si>
  <si>
    <t>Jungtys / adapteriai</t>
  </si>
  <si>
    <t>UPS maitinimo šaltiniai</t>
  </si>
  <si>
    <t>Maitinimo juostos / apsauginiai priedai</t>
  </si>
  <si>
    <t>Baterijų įkrovikliai / maitinimo adapteriai</t>
  </si>
  <si>
    <t>Programinė įranga ir biuro reikmenys</t>
  </si>
  <si>
    <t>Programinė įranga</t>
  </si>
  <si>
    <t>Valymas</t>
  </si>
  <si>
    <t>Sisteminimo / archyvavimo sistema</t>
  </si>
  <si>
    <t>Biuro įranga</t>
  </si>
  <si>
    <t>Smulkintuvai / laminavimas / įrišimas</t>
  </si>
  <si>
    <t>Tvirtinimo įranga / apsauginiai užraktai</t>
  </si>
  <si>
    <t>Skaičiuotuvai / vertimo įrenginiai / diktofonai</t>
  </si>
  <si>
    <t>Multimedija / pristatymai</t>
  </si>
  <si>
    <t>Televizoriai / ekranai / medijos failų leistuvai / DVB</t>
  </si>
  <si>
    <t>Projektoriai / projekcijų ekranai / priedai</t>
  </si>
  <si>
    <t>Nešiojamoji garso įranga / MP3 / radijas</t>
  </si>
  <si>
    <t>„HiFi“ / garsiakalbiai / ausinės / mikrofonai</t>
  </si>
  <si>
    <t>Skaitmeniniai fotoaparatai / priedai</t>
  </si>
  <si>
    <t>Vaizdo kameros / priedai</t>
  </si>
  <si>
    <t>SAT / skaitmeniniai imtuvai / antenos</t>
  </si>
  <si>
    <t>Pramogos ir hobis</t>
  </si>
  <si>
    <t>Navigacija / GPS</t>
  </si>
  <si>
    <t>Laukas / sportas / kūno rengyba / sveikata</t>
  </si>
  <si>
    <t>Distrelecs nettbutikk</t>
  </si>
  <si>
    <t>Analoge kretser</t>
  </si>
  <si>
    <t>Digitale kretser / utviklingsverktøy</t>
  </si>
  <si>
    <t>Optoelektronikk</t>
  </si>
  <si>
    <t>Frekvenskontroll og tidsstyringsenheter</t>
  </si>
  <si>
    <t>Monteringsmaterialer for halvledere</t>
  </si>
  <si>
    <t>Resistorer</t>
  </si>
  <si>
    <t>Potensiometre, trimmere</t>
  </si>
  <si>
    <t>Ferritter/induktorer/filtre</t>
  </si>
  <si>
    <t>Sikringer og automatsikringer for apparater</t>
  </si>
  <si>
    <t>Kretsbeskyttelse</t>
  </si>
  <si>
    <t>Sikringer/RCD/overspenningsbeskyttelse</t>
  </si>
  <si>
    <t>Kontakter</t>
  </si>
  <si>
    <t>Flatkabelkontakter</t>
  </si>
  <si>
    <t>D-Sub-kontakter</t>
  </si>
  <si>
    <t>Lyd-/video-/datamaskinkontakter</t>
  </si>
  <si>
    <t>Industrikontakter</t>
  </si>
  <si>
    <t>Rekkeklemmer</t>
  </si>
  <si>
    <t>Kraftige kontakter</t>
  </si>
  <si>
    <t>Sirkulære kontakter</t>
  </si>
  <si>
    <t>Reléer og brytere</t>
  </si>
  <si>
    <t>PCB-reléer</t>
  </si>
  <si>
    <t>Industrielle reléer</t>
  </si>
  <si>
    <t>Reedreléer/reedkontakter/magneter</t>
  </si>
  <si>
    <t>Halvlederreléer</t>
  </si>
  <si>
    <t>Strømbrytere</t>
  </si>
  <si>
    <t>Mikrobrytere/kippbrytere</t>
  </si>
  <si>
    <t>Miniatyrbrytere/kretskortbrytere</t>
  </si>
  <si>
    <t>Kabler og installasjonsmateriell</t>
  </si>
  <si>
    <t>Utstyrskabler</t>
  </si>
  <si>
    <t>Lyskontroller/-brytere</t>
  </si>
  <si>
    <t>Nettverkskabler / kontrollkabler / datakabler / fiberoptiske kabler</t>
  </si>
  <si>
    <t>Koaksiale kabler / lydkabler / flatkabler / strømkabler</t>
  </si>
  <si>
    <t>Kabelbånd/kabelstøtte</t>
  </si>
  <si>
    <t>Klemmelist/lysklemmer</t>
  </si>
  <si>
    <t>Kapsler/vifter/kretskort</t>
  </si>
  <si>
    <t>Prototypekort/kretskortproduksjon</t>
  </si>
  <si>
    <t>Kapseltilbehør</t>
  </si>
  <si>
    <t>19" kapsler</t>
  </si>
  <si>
    <t>Plast-/metallkabinetter</t>
  </si>
  <si>
    <t>Vifter</t>
  </si>
  <si>
    <t>Tilbehør for vifter</t>
  </si>
  <si>
    <t>Verktøy</t>
  </si>
  <si>
    <t>Håndverktøy</t>
  </si>
  <si>
    <t>Elektroverktøy</t>
  </si>
  <si>
    <t>Systemer for trådløse elektroverktøy</t>
  </si>
  <si>
    <t>Bokser, skuffer og beholdere</t>
  </si>
  <si>
    <t>ESD-beskyttede produkter</t>
  </si>
  <si>
    <t>Personlig verneutstyr</t>
  </si>
  <si>
    <t>Forstørrelsesglass og mikroskoper</t>
  </si>
  <si>
    <t>Lodding</t>
  </si>
  <si>
    <t>Frittstående loddebolter</t>
  </si>
  <si>
    <t>Lodde-, avloddings- og omarbeidingsstasjoner</t>
  </si>
  <si>
    <t>Ventilator for lodderøyk og filtersystemer</t>
  </si>
  <si>
    <t>Loddespisser, tinnfjerning og varmluftsdyser</t>
  </si>
  <si>
    <t>Tilbhør og reservedeler til loddeutstyr</t>
  </si>
  <si>
    <t>Tappeutstyr</t>
  </si>
  <si>
    <t>Vedlikehold</t>
  </si>
  <si>
    <t>Rengjøringsmidler, smøremidler og beskyttelseslakk</t>
  </si>
  <si>
    <t>Rengjøringskluter og tilbehør</t>
  </si>
  <si>
    <t>Limprodukter</t>
  </si>
  <si>
    <t>Merking</t>
  </si>
  <si>
    <t>Skruer, tapper og fjærer</t>
  </si>
  <si>
    <t>Monteringstilbehør og avstandsstykker</t>
  </si>
  <si>
    <t>Hengsler og låser</t>
  </si>
  <si>
    <t>Trinser og hjul</t>
  </si>
  <si>
    <t>Kulelager</t>
  </si>
  <si>
    <t>Halvfabrikater</t>
  </si>
  <si>
    <t>Isolasjonstransformatorer</t>
  </si>
  <si>
    <t>Laboratoriekontakter og tilbehør for måling</t>
  </si>
  <si>
    <t>Laboratoriekontakter</t>
  </si>
  <si>
    <t>Testledninger og sonder</t>
  </si>
  <si>
    <t>Multimetre og strømtangmålere</t>
  </si>
  <si>
    <t>Installasjonstestere</t>
  </si>
  <si>
    <t>Spektral- og logikkanalysatorer</t>
  </si>
  <si>
    <t>Funksjonsgeneratorer og frekvenstellere</t>
  </si>
  <si>
    <t>Panelinstrumenter</t>
  </si>
  <si>
    <t>Shuntmotstander og omformere</t>
  </si>
  <si>
    <t>Automasjon</t>
  </si>
  <si>
    <t>Prosessdisplayer/regulatorer/PLC/HMI</t>
  </si>
  <si>
    <t>Brukergrensesnitt</t>
  </si>
  <si>
    <t>Prosesstyringsenheter</t>
  </si>
  <si>
    <t>Prosessdisplayer</t>
  </si>
  <si>
    <t>Industriell kommunikasjon</t>
  </si>
  <si>
    <t>I/U-moduler og grensesnittreléer</t>
  </si>
  <si>
    <t>Grensesnittomformere</t>
  </si>
  <si>
    <t>Målegivere og signalomformere</t>
  </si>
  <si>
    <t>Aktuatorsensor-grensesnitt</t>
  </si>
  <si>
    <t>Fjerndataoverføring</t>
  </si>
  <si>
    <t>Posisjon /vinkelsensorer</t>
  </si>
  <si>
    <t>Rotasjonsgivere</t>
  </si>
  <si>
    <t>Bryter- / måle- og telle- / overvåknings- / kommando- / signalenheter</t>
  </si>
  <si>
    <t>Tidsreléer</t>
  </si>
  <si>
    <t>Koblingsur</t>
  </si>
  <si>
    <t>Instrumenter</t>
  </si>
  <si>
    <t>Overvåkingsreléer/-moduler</t>
  </si>
  <si>
    <t>Sikkerhetskomponenter</t>
  </si>
  <si>
    <t>Grensebrytere</t>
  </si>
  <si>
    <t>Styrebrytere og signalenheter 22 mm</t>
  </si>
  <si>
    <t>Motorer/styreenheter/aktuatorer</t>
  </si>
  <si>
    <t>Motorstyringer</t>
  </si>
  <si>
    <t>Likestrømsmotorer</t>
  </si>
  <si>
    <t>Trinnmotorer og servomotorer</t>
  </si>
  <si>
    <t>Vekselstrøm og trefasemotorer</t>
  </si>
  <si>
    <t>Overføringer</t>
  </si>
  <si>
    <t>Trykkluft</t>
  </si>
  <si>
    <t>Fester/tilbakeslagsventiler</t>
  </si>
  <si>
    <t>Vakuumteknologi</t>
  </si>
  <si>
    <t>Luftbehandlingssystemer</t>
  </si>
  <si>
    <t>Posisjonssensorer for trykkluft</t>
  </si>
  <si>
    <t>Generatorer for optiske signaler</t>
  </si>
  <si>
    <t>Generatorer for optiske/akustiske signaler</t>
  </si>
  <si>
    <t>Generatorer for akustiske signaler</t>
  </si>
  <si>
    <t>Transformatorer</t>
  </si>
  <si>
    <t>PCB-transformatorer</t>
  </si>
  <si>
    <t>Universaltransformatorer</t>
  </si>
  <si>
    <t>Styretransformatorer</t>
  </si>
  <si>
    <t>Ringkjernetransformatorer</t>
  </si>
  <si>
    <t>Sikkerhetstransformatorer</t>
  </si>
  <si>
    <t>Autotransformatorer/isolasjonstransformatorer</t>
  </si>
  <si>
    <t>Variable transformatorer</t>
  </si>
  <si>
    <t>Batterier/ladere/fornybare</t>
  </si>
  <si>
    <t>Oppladbare batterier</t>
  </si>
  <si>
    <t>Ladere</t>
  </si>
  <si>
    <t>Fornybar energi</t>
  </si>
  <si>
    <t>Tilbehør til primærbatterier og oppladbare batterier</t>
  </si>
  <si>
    <t>DC/DC-strømforsyning</t>
  </si>
  <si>
    <t>AC/DC strømforsyning, PCB</t>
  </si>
  <si>
    <t>Belysningsteknologi</t>
  </si>
  <si>
    <t>Strøm-LED-er</t>
  </si>
  <si>
    <t>LED-moduler</t>
  </si>
  <si>
    <t>LED-armaturer</t>
  </si>
  <si>
    <t>Electroluminescence-paneler</t>
  </si>
  <si>
    <t>Tilbehør for strøm-LED-er</t>
  </si>
  <si>
    <t>Halogenlamper</t>
  </si>
  <si>
    <t>Lysstoffrør</t>
  </si>
  <si>
    <t>Automotive pærer</t>
  </si>
  <si>
    <t>Lampeholdere/kontakter</t>
  </si>
  <si>
    <t>Startere og ballaster</t>
  </si>
  <si>
    <t>Lykter/arbeidsbelysning/lysarmaturer</t>
  </si>
  <si>
    <t>Lykter</t>
  </si>
  <si>
    <t>Utendørslamper</t>
  </si>
  <si>
    <t>Strømforsyning med innplugging</t>
  </si>
  <si>
    <t>Databehandling og PC-komponenter</t>
  </si>
  <si>
    <t>Bærbare datamaskiner/nettbrett/lesebrett</t>
  </si>
  <si>
    <t>PC-er/servere</t>
  </si>
  <si>
    <t>Tilbehør for bærbare datamaskiner/nettbrett/lesebrett</t>
  </si>
  <si>
    <t>Harddisker/SSD/RAM</t>
  </si>
  <si>
    <t>Hovedkort/CPU/kjøler</t>
  </si>
  <si>
    <t>Utvidelseskort</t>
  </si>
  <si>
    <t>PC-kabinetter/tilbehør</t>
  </si>
  <si>
    <t>Lagring og tilbehør</t>
  </si>
  <si>
    <t>Skjermer/mus/tastaturer</t>
  </si>
  <si>
    <t>Nettverkstilsluttet datalager (NAS) / drivere</t>
  </si>
  <si>
    <t>USB-minne/minnekort/disketter/bånd</t>
  </si>
  <si>
    <t>USB-huber/KVM-brytere/videofordelere</t>
  </si>
  <si>
    <t>Grensesnittomformere/utvidere</t>
  </si>
  <si>
    <t>Skannere/strekkodelesere/digitaliseringsbord</t>
  </si>
  <si>
    <t>PC-høytalere/webkamera</t>
  </si>
  <si>
    <t>Nettverk og telekom</t>
  </si>
  <si>
    <t>Trådløs LAN / ruter / brannmur</t>
  </si>
  <si>
    <t>Brytere/omformere/nettverksgrensesnittkort</t>
  </si>
  <si>
    <t>Nettverkstilsluttet datalager (NAS) / powerline-kommunikasjon</t>
  </si>
  <si>
    <t>Landkabelprodukter/kontorhodetelefoner</t>
  </si>
  <si>
    <t>Smarttelefoner/mobiltelefoner/tilbehør</t>
  </si>
  <si>
    <t>IP-kameraer/voiceover-IP</t>
  </si>
  <si>
    <t>Nettverkkabler/monteringsmaterialer</t>
  </si>
  <si>
    <t>Skrivere og tilbehør</t>
  </si>
  <si>
    <t>Skrivere/multifunksjonsskrivere</t>
  </si>
  <si>
    <t>Etikettskrivere</t>
  </si>
  <si>
    <t>Toner/kasetter</t>
  </si>
  <si>
    <t>Blekkpatroner</t>
  </si>
  <si>
    <t>Fargebånd/etikettskrivertilbehør</t>
  </si>
  <si>
    <t>Etiketter for CD/DVD/Blu-ray</t>
  </si>
  <si>
    <t>Kabler og strømforsyning</t>
  </si>
  <si>
    <t>Datakabler/strømkabler</t>
  </si>
  <si>
    <t>Nettverkkabler/telefonkabler</t>
  </si>
  <si>
    <t>Lydkabler/videokabler</t>
  </si>
  <si>
    <t>Kontakter/adaptere</t>
  </si>
  <si>
    <t>UPS-strømforsyning</t>
  </si>
  <si>
    <t>Strømlister/sikkerhetstilbehør</t>
  </si>
  <si>
    <t>Batteriladere/strømadaptere</t>
  </si>
  <si>
    <t>Programvare- og kontortilbehør</t>
  </si>
  <si>
    <t>Programvare</t>
  </si>
  <si>
    <t>Rengjøring</t>
  </si>
  <si>
    <t>Arkiveringssystemer</t>
  </si>
  <si>
    <t>Kontorutstyr</t>
  </si>
  <si>
    <t>Makuleringsmakiner/laminering/innbinding</t>
  </si>
  <si>
    <t>Fester/sikkerhetslåser</t>
  </si>
  <si>
    <t>Kalkulatorer/oversettere/diktafoner</t>
  </si>
  <si>
    <t>Multimedia/presentasjon</t>
  </si>
  <si>
    <t>TV-er/skjermer/medieavspillere/DVB</t>
  </si>
  <si>
    <t>Projektorer/projektorskjermer/tilbehør</t>
  </si>
  <si>
    <t>Bærbar lyd / MP3 / Radio</t>
  </si>
  <si>
    <t>HiFi/høytalere/hodetelefoner/mikrofoner</t>
  </si>
  <si>
    <t>Digitale kameraer/tilbehør</t>
  </si>
  <si>
    <t>Videokameraer/tilbehør</t>
  </si>
  <si>
    <t>SAT/digitale mottakere/antenner</t>
  </si>
  <si>
    <t>Fritid og hobby</t>
  </si>
  <si>
    <t>Navigasjon/GPS</t>
  </si>
  <si>
    <t>Friluftsliv/sport/trening/helse</t>
  </si>
  <si>
    <t>Distrelec onlinebutik</t>
  </si>
  <si>
    <t>Aktiva komponenter</t>
  </si>
  <si>
    <t>Diskreta halvledare/rör</t>
  </si>
  <si>
    <t>Analoga kretsar</t>
  </si>
  <si>
    <t>Digitala kretsar/Utvecklingsverktyg</t>
  </si>
  <si>
    <t>Frekvensstyrnings- och tidtagarenheter</t>
  </si>
  <si>
    <t>Monteringsmaterial för halvledare</t>
  </si>
  <si>
    <t>Passiva komponenter</t>
  </si>
  <si>
    <t>Motstånd</t>
  </si>
  <si>
    <t>Potentiometrar, trimrar</t>
  </si>
  <si>
    <t>Ferritkärnor / Induktansspolar / Filter</t>
  </si>
  <si>
    <t>Säkringar och kretsbrytare för apparater</t>
  </si>
  <si>
    <t>Kretsskydd</t>
  </si>
  <si>
    <t>Säkringar/RCD/Överspänningsskydd</t>
  </si>
  <si>
    <t>Kontaktdon</t>
  </si>
  <si>
    <t>Flatkabeldon</t>
  </si>
  <si>
    <t>Kontakter för audio/video/dator</t>
  </si>
  <si>
    <t>Industrikontaktdon</t>
  </si>
  <si>
    <t>Kopplingsplintar</t>
  </si>
  <si>
    <t>Robusta kontaktdon</t>
  </si>
  <si>
    <t>Runda kontaktdon</t>
  </si>
  <si>
    <t>Reläer och strömställare</t>
  </si>
  <si>
    <t>Kretskortsreläer</t>
  </si>
  <si>
    <t>Industrireläer</t>
  </si>
  <si>
    <t>Reed-reläer/Reed-kontakter/Magneter</t>
  </si>
  <si>
    <t>Halvledarreläer</t>
  </si>
  <si>
    <t>Nätströmbrytare</t>
  </si>
  <si>
    <t>Mikrobrytare/Snäppmekanism</t>
  </si>
  <si>
    <t>Miniatyrbrytare/Kretskortsomkopplare</t>
  </si>
  <si>
    <t>Kablar och installationsmaterial</t>
  </si>
  <si>
    <t>Utrustningsledare</t>
  </si>
  <si>
    <t>Belysningsreglage/Brytare</t>
  </si>
  <si>
    <t>Nätverkskablar/Styrkablar/Datakablar/Optofiberkablar</t>
  </si>
  <si>
    <t>Koaxialkablar/Ljudkablar/Flata kablar/Strömkablar</t>
  </si>
  <si>
    <t>Buntband/Kabelstöd</t>
  </si>
  <si>
    <t>Kopplingsplint/Ljusplintar</t>
  </si>
  <si>
    <t>Skåp/Fläktar/Kretskort</t>
  </si>
  <si>
    <t>Prototypframtagningskort/Kretskortstillverkning</t>
  </si>
  <si>
    <t>Skåptillbehör</t>
  </si>
  <si>
    <t>19-tumsskåp</t>
  </si>
  <si>
    <t>Plast-/Metallskåp</t>
  </si>
  <si>
    <t>Fläktar</t>
  </si>
  <si>
    <t>Tillbehör för blåsare</t>
  </si>
  <si>
    <t>Verktyg</t>
  </si>
  <si>
    <t>Handverktyg</t>
  </si>
  <si>
    <t>Elverktyg</t>
  </si>
  <si>
    <t>Sladdlösa elverktygssystem</t>
  </si>
  <si>
    <t>Lådor och behållare</t>
  </si>
  <si>
    <t>ESD-säkra produkter</t>
  </si>
  <si>
    <t>Personskydd</t>
  </si>
  <si>
    <t>Förstoringsglas och mikroskop</t>
  </si>
  <si>
    <t>Lödning</t>
  </si>
  <si>
    <t>Fristående lödkolvar</t>
  </si>
  <si>
    <t>Lödnings-, avlödnings- och omarbetningsstationer</t>
  </si>
  <si>
    <t>System för utsug och filtrering av lödrök</t>
  </si>
  <si>
    <t>Lödspetsar, avlödnings- och hetluftsmunstycken</t>
  </si>
  <si>
    <t>Lödtillbehör och reservdelar</t>
  </si>
  <si>
    <t>Lödmaterial</t>
  </si>
  <si>
    <t>Flödesutrustning</t>
  </si>
  <si>
    <t>Underhåll</t>
  </si>
  <si>
    <t>Rengöringsmedel, smörjmedel och skyddslack</t>
  </si>
  <si>
    <t>Rengöringskläder och tillbehör</t>
  </si>
  <si>
    <t>Tejp</t>
  </si>
  <si>
    <t>Märkning</t>
  </si>
  <si>
    <t>Mekaniska komponenter</t>
  </si>
  <si>
    <t>Skruvar, dymlingar och fjädrar</t>
  </si>
  <si>
    <t>Monteringstillbehör och distanser</t>
  </si>
  <si>
    <t>Gångjärn och lås</t>
  </si>
  <si>
    <t>Hjul</t>
  </si>
  <si>
    <t>Kullager</t>
  </si>
  <si>
    <t>Halvfärdiga produkter</t>
  </si>
  <si>
    <t>Laboratorienätaggregat</t>
  </si>
  <si>
    <t>Isolationstransformatorer</t>
  </si>
  <si>
    <t>Laboratoriekontakter och mätningstillbehör</t>
  </si>
  <si>
    <t>Testkablar och prober</t>
  </si>
  <si>
    <t>Mätinstrument</t>
  </si>
  <si>
    <t>Multimetrar och strömtänger</t>
  </si>
  <si>
    <t>Elprovningsinstrument</t>
  </si>
  <si>
    <t>Installationstestare</t>
  </si>
  <si>
    <t>Strömtestinstrument</t>
  </si>
  <si>
    <t>Oscilloskop</t>
  </si>
  <si>
    <t>Spektrum- och logikanalysatorer</t>
  </si>
  <si>
    <t>Funktionsgeneratorer och frekvensräknare</t>
  </si>
  <si>
    <t>Panelmätare</t>
  </si>
  <si>
    <t>Shuntmotstånd och omvandlare</t>
  </si>
  <si>
    <t>Processkärmar/Regulatorer/PLC/HMI</t>
  </si>
  <si>
    <t>PLC-system</t>
  </si>
  <si>
    <t>Människa-maskingränssnitt</t>
  </si>
  <si>
    <t>Processtyrenheter</t>
  </si>
  <si>
    <t>Processkärmar</t>
  </si>
  <si>
    <t>Industrikommunikation</t>
  </si>
  <si>
    <t>I/O-moduler och gränssnittsreläer</t>
  </si>
  <si>
    <t>Gränssnittsomvandlare</t>
  </si>
  <si>
    <t>Mät- och signalomvandlare</t>
  </si>
  <si>
    <t>Manöverdonsgivargränssnitt</t>
  </si>
  <si>
    <t>Industriellt Ethernet</t>
  </si>
  <si>
    <t>Fjärrdataöverföring</t>
  </si>
  <si>
    <t>Trådlös kommunikation</t>
  </si>
  <si>
    <t>Givare</t>
  </si>
  <si>
    <t>Optiska givare</t>
  </si>
  <si>
    <t>Reed-/Hall-givare</t>
  </si>
  <si>
    <t>Positions-/Vinkelgivare</t>
  </si>
  <si>
    <t>Roterande pulsgivare</t>
  </si>
  <si>
    <t>Enheter för växling/mätning och räkning/övervakning/styrning/signalering</t>
  </si>
  <si>
    <t>Tidsfördröjningsreläer</t>
  </si>
  <si>
    <t>Klockreläer</t>
  </si>
  <si>
    <t>Mätare</t>
  </si>
  <si>
    <t>Övervakningsreläer/-moduler</t>
  </si>
  <si>
    <t>Säkerhetskomponenter</t>
  </si>
  <si>
    <t>Gränslägesbrytare</t>
  </si>
  <si>
    <t>Styrströmställare och signalenheter 22 mm</t>
  </si>
  <si>
    <t>Motorer/Styrenheter/Manöverdon</t>
  </si>
  <si>
    <t>Motorstyrning</t>
  </si>
  <si>
    <t>Likströmsmotorer</t>
  </si>
  <si>
    <t>Stegmotorer och servodrivenheter</t>
  </si>
  <si>
    <t>Växelströms- och trefasmotorer</t>
  </si>
  <si>
    <t>Linjära drivenheter</t>
  </si>
  <si>
    <t>Manöverdon</t>
  </si>
  <si>
    <t>Armaturer/backventiler</t>
  </si>
  <si>
    <t>Lägesgivare för pneumatik</t>
  </si>
  <si>
    <t>Optiska signalgeneratorer</t>
  </si>
  <si>
    <t>Optiska/akustiska signalgeneratorer</t>
  </si>
  <si>
    <t>Akustiska signalgeneratorer</t>
  </si>
  <si>
    <t>Styrtransformator</t>
  </si>
  <si>
    <t>Toroidkärntransformatorer</t>
  </si>
  <si>
    <t>Skyddstransformatorer</t>
  </si>
  <si>
    <t>Autotransformatorer/Isolerande transformatorer</t>
  </si>
  <si>
    <t>Reglerbara transformatorer</t>
  </si>
  <si>
    <t>Batterier/Laddare/Förnybara</t>
  </si>
  <si>
    <t>Primära batterier</t>
  </si>
  <si>
    <t>Laddningsbara batterier</t>
  </si>
  <si>
    <t>Laddare</t>
  </si>
  <si>
    <t>Förnybar energi</t>
  </si>
  <si>
    <t>Tillbehör till primära och laddningsbara batterier</t>
  </si>
  <si>
    <t>Industriström DC/DC, AC/DC</t>
  </si>
  <si>
    <t>DC/DC-strömförsörjningar</t>
  </si>
  <si>
    <t>AC/DC-strömförsörjningar</t>
  </si>
  <si>
    <t>DC/DC-strömförsörjningar, PCB</t>
  </si>
  <si>
    <t>AC/DC strömförsörjningar, PCB</t>
  </si>
  <si>
    <t>Ljusteknik</t>
  </si>
  <si>
    <t>Effekt-LED</t>
  </si>
  <si>
    <t>LED-drivkretsar</t>
  </si>
  <si>
    <t>Elektroluminiscenspaneler</t>
  </si>
  <si>
    <t>Tillbehör för effekt-LED</t>
  </si>
  <si>
    <t>Ljuskällor</t>
  </si>
  <si>
    <t>LED-lampor</t>
  </si>
  <si>
    <t>Halogenlampor</t>
  </si>
  <si>
    <t>Lysrörslampor</t>
  </si>
  <si>
    <t>Fordonslampor</t>
  </si>
  <si>
    <t>Lamphållare/Uttag</t>
  </si>
  <si>
    <t>Indikatorlampor</t>
  </si>
  <si>
    <t>Startapparater och driftdon</t>
  </si>
  <si>
    <t>Ficklampor/Arbetsplats/Ljusarmaturer</t>
  </si>
  <si>
    <t>Ficklampor</t>
  </si>
  <si>
    <t>Kontorsbelysning</t>
  </si>
  <si>
    <t>Maskinbelysning</t>
  </si>
  <si>
    <t>Utomhusbelysning</t>
  </si>
  <si>
    <t>Inpluggningsbara strömförsörjningar</t>
  </si>
  <si>
    <t>USB-strömförsörjningar</t>
  </si>
  <si>
    <t>Datorkomponenter</t>
  </si>
  <si>
    <t>Bärbara datorer/Surfplattor/Läsplattor</t>
  </si>
  <si>
    <t>Datorer/Servrar</t>
  </si>
  <si>
    <t>Tillbehör för bärbara datorer/surfplattor/läsplattor</t>
  </si>
  <si>
    <t>Hårddiskar/SSD/RAM</t>
  </si>
  <si>
    <t>Moderkort/CPU/Kylning</t>
  </si>
  <si>
    <t>Utbyggnadskort</t>
  </si>
  <si>
    <t>Datorchassin/Tillbehör</t>
  </si>
  <si>
    <t>Lagring och kringutrustning</t>
  </si>
  <si>
    <t>Skärmar/Möss/Tangentbord</t>
  </si>
  <si>
    <t>NAS (Network Attached Storage)/Drivkretsar</t>
  </si>
  <si>
    <t>USB-minne/Minneskort/Enheter/Band</t>
  </si>
  <si>
    <t>USB-hubbar/KVM-omkopplare/Videofördelare</t>
  </si>
  <si>
    <t>Gränssnittsomvandlare/Förlängare</t>
  </si>
  <si>
    <t>Skannrar/Streckkodsläsare/Ritplattor</t>
  </si>
  <si>
    <t>Datorhögtalare/Webbkameror</t>
  </si>
  <si>
    <t>Nätverk och telekom</t>
  </si>
  <si>
    <t>Trådlöst LAN/Router/Brandvägg</t>
  </si>
  <si>
    <t>Växlar/Omvandlare/Nätverksgränssnittskort</t>
  </si>
  <si>
    <t>NAS (Network Attached Storage)/Strömledningskommunikation</t>
  </si>
  <si>
    <t>Landlinjeprodukter/Kontorsheadset</t>
  </si>
  <si>
    <t>Smarttelefoner/Mobiltelefoner/Tillbehör</t>
  </si>
  <si>
    <t>IP-kameror/VoIP</t>
  </si>
  <si>
    <t>Nätverkssladdar/Installationsmaterial</t>
  </si>
  <si>
    <t>Skrivare och tillbehör</t>
  </si>
  <si>
    <t>Skrivare/Multifunktionsskrivare</t>
  </si>
  <si>
    <t>Etikettskrivare</t>
  </si>
  <si>
    <t>Toner/Trummor</t>
  </si>
  <si>
    <t>Bläckpatroner</t>
  </si>
  <si>
    <t>Tillbehör för Bläckband/Etikettmaskiner</t>
  </si>
  <si>
    <t>Papper/OH-ark/Etiketter</t>
  </si>
  <si>
    <t>CD-/DVD-/Blu-ray-etiketter</t>
  </si>
  <si>
    <t>Kablar och strömförsörjning</t>
  </si>
  <si>
    <t>Datorkablar/Strömkablar</t>
  </si>
  <si>
    <t>Nätverkskablar/Telefonkablar</t>
  </si>
  <si>
    <t>Ljudkablar/Videokablar</t>
  </si>
  <si>
    <t>Kontakter/adaptrar</t>
  </si>
  <si>
    <t>UPS-strömförsörjningar</t>
  </si>
  <si>
    <t>Grenuttag/Skyddskomponenter</t>
  </si>
  <si>
    <t>Batteriladdare/Strömadaptrar</t>
  </si>
  <si>
    <t>Programvara och kontorstillbehör</t>
  </si>
  <si>
    <t>Programvara</t>
  </si>
  <si>
    <t>Rengöring</t>
  </si>
  <si>
    <t>Dokumentations-/Arkiveringssystem</t>
  </si>
  <si>
    <t>Kontorsutrustning</t>
  </si>
  <si>
    <t>Dokumentförstörare/Laminering/Häftning</t>
  </si>
  <si>
    <t>Fästen/Säkerhetslås</t>
  </si>
  <si>
    <t>Miniräknare/Översättare/Diktafoner</t>
  </si>
  <si>
    <t>Multimedia/Presentation</t>
  </si>
  <si>
    <t>TV/Skärmar/Mediaspelare/DVB</t>
  </si>
  <si>
    <t>Projektorer/Projektordukar/Tillbehör</t>
  </si>
  <si>
    <t>Bärbart ljud/mp3/Radio</t>
  </si>
  <si>
    <t>HiFi/Högtalare/Headsets/Mikrofoner</t>
  </si>
  <si>
    <t>Digitalkameror/Tillbehör</t>
  </si>
  <si>
    <t>Videokameror/Tillbehör</t>
  </si>
  <si>
    <t>SAT/Digitala mottagare/Antenner</t>
  </si>
  <si>
    <t>Fritid och hobby</t>
  </si>
  <si>
    <t>Navigering/GPS</t>
  </si>
  <si>
    <t>Utomhus/Sport/Hälsa/Välmående</t>
  </si>
  <si>
    <t>Netzteile &amp; Licht</t>
  </si>
  <si>
    <t>Interface converter</t>
  </si>
  <si>
    <t>Verktyg &amp; mätteknik</t>
  </si>
  <si>
    <t>Verktøy &amp; Måleteknikk</t>
  </si>
  <si>
    <t>IT &amp; hobby</t>
  </si>
  <si>
    <t>Kompiuterija ir hobis</t>
  </si>
  <si>
    <t>de</t>
  </si>
  <si>
    <t>fr</t>
  </si>
  <si>
    <t>it</t>
  </si>
  <si>
    <t>en</t>
  </si>
  <si>
    <t>da</t>
  </si>
  <si>
    <t>lt</t>
  </si>
  <si>
    <t>no</t>
  </si>
  <si>
    <t>sv</t>
  </si>
  <si>
    <t>et</t>
  </si>
  <si>
    <t>fi</t>
  </si>
  <si>
    <t>lv</t>
  </si>
  <si>
    <t>nl</t>
  </si>
  <si>
    <t>pl</t>
  </si>
  <si>
    <t>ru</t>
  </si>
  <si>
    <t>L3D_653222</t>
  </si>
  <si>
    <t>L2D_653174</t>
  </si>
  <si>
    <t>Gebäudetechnik</t>
  </si>
  <si>
    <t>L3D_657085</t>
  </si>
  <si>
    <t>L3D_657103</t>
  </si>
  <si>
    <t>L3D_658528</t>
  </si>
  <si>
    <t>L3D_658525</t>
  </si>
  <si>
    <t>Gebäudeautomation</t>
  </si>
  <si>
    <t>Gebäudesicherheit</t>
  </si>
  <si>
    <t>Fernschaltsysteme</t>
  </si>
  <si>
    <t>Reguliereinheiten</t>
  </si>
  <si>
    <t>Building Technologies</t>
  </si>
  <si>
    <t>Building Automation</t>
  </si>
  <si>
    <t>Building Security</t>
  </si>
  <si>
    <t>Remote Switching Systems</t>
  </si>
  <si>
    <t>INSERT_UPDATE CMSNavigationNode;uid[unique=true];name;parent(uid, $contentCatalogVersion);$contentCatalogVersion[unique=true]</t>
  </si>
  <si>
    <t>UPDATE CMSNavigationNode;uid[unique=true];title[lang=de];$contentCatalogVersion[unique=true]</t>
  </si>
  <si>
    <t>UPDATE CMSNavigationNode;uid[unique=true];title[lang=fr];$contentCatalogVersion[unique=true]</t>
  </si>
  <si>
    <t>UPDATE CMSNavigationNode;uid[unique=true];title[lang=it];$contentCatalogVersion[unique=true]</t>
  </si>
  <si>
    <t>UPDATE CMSNavigationNode;uid[unique=true];title[lang=en];$contentCatalogVersion[unique=true]</t>
  </si>
  <si>
    <t>UPDATE CMSNavigationNode;uid[unique=true];title[lang=da];$contentCatalogVersion[unique=true]</t>
  </si>
  <si>
    <t>UPDATE CMSNavigationNode;uid[unique=true];title[lang=lt];$contentCatalogVersion[unique=true]</t>
  </si>
  <si>
    <t>UPDATE CMSNavigationNode;uid[unique=true];title[lang=no];$contentCatalogVersion[unique=true]</t>
  </si>
  <si>
    <t>UPDATE CMSNavigationNode;uid[unique=true];title[lang=sv];$contentCatalogVersion[unique=true]</t>
  </si>
  <si>
    <t>UPDATE CMSNavigationNode;uid[unique=true];title[lang=et];$contentCatalogVersion[unique=true]</t>
  </si>
  <si>
    <t>UPDATE CMSNavigationNode;uid[unique=true];title[lang=fi];$contentCatalogVersion[unique=true]</t>
  </si>
  <si>
    <t>UPDATE CMSNavigationNode;uid[unique=true];title[lang=lv];$contentCatalogVersion[unique=true]</t>
  </si>
  <si>
    <t>UPDATE CMSNavigationNode;uid[unique=true];title[lang=nl];$contentCatalogVersion[unique=true]</t>
  </si>
  <si>
    <t>UPDATE CMSNavigationNode;uid[unique=true];title[lang=pl];$contentCatalogVersion[unique=true]</t>
  </si>
  <si>
    <t>UPDATE CMSNavigationNode;uid[unique=true];title[lang=ru];$contentCatalogVersion[unique=true]</t>
  </si>
  <si>
    <t>ro</t>
  </si>
  <si>
    <t>hu</t>
  </si>
  <si>
    <t>sk</t>
  </si>
  <si>
    <t>UPDATE CMSNavigationNode;uid[unique=true];title[lang=ro];$contentCatalogVersion[unique=true]</t>
  </si>
  <si>
    <t>UPDATE CMSNavigationNode;uid[unique=true];title[lang=hu];$contentCatalogVersion[unique=true]</t>
  </si>
  <si>
    <t>UPDATE CMSNavigationNode;uid[unique=true];title[lang=sk];$contentCatalogVersion[unique=true]</t>
  </si>
  <si>
    <t>UPDATE CMSNavigationNode;uid[unique=true];title[lang=cs];$contentCatalogVersion[unique=true]</t>
  </si>
  <si>
    <t>cs</t>
  </si>
  <si>
    <t>Funkgeräte</t>
  </si>
  <si>
    <r>
      <rPr>
        <sz val="11"/>
        <color theme="1"/>
        <rFont val="Arial"/>
        <family val="2"/>
      </rPr>
      <t>Appareils radio</t>
    </r>
  </si>
  <si>
    <r>
      <rPr>
        <sz val="11"/>
        <color theme="1"/>
        <rFont val="Arial"/>
        <family val="2"/>
      </rPr>
      <t>Dispositivi</t>
    </r>
  </si>
  <si>
    <t>Two-way Radios</t>
  </si>
  <si>
    <r>
      <rPr>
        <sz val="11"/>
        <color theme="1"/>
        <rFont val="Arial"/>
        <family val="2"/>
      </rPr>
      <t>Radioudstyr</t>
    </r>
  </si>
  <si>
    <r>
      <rPr>
        <sz val="11"/>
        <color theme="1"/>
        <rFont val="Arial"/>
        <family val="2"/>
      </rPr>
      <t>Radijo ryšio prietaisai</t>
    </r>
  </si>
  <si>
    <r>
      <rPr>
        <sz val="11"/>
        <color theme="1"/>
        <rFont val="Arial"/>
        <family val="2"/>
      </rPr>
      <t>Kommunikasjonsradio</t>
    </r>
  </si>
  <si>
    <t>Kommunikationsradio</t>
  </si>
  <si>
    <t>Optische Behelfswerkzeuge</t>
  </si>
  <si>
    <t>Optical Devices</t>
  </si>
  <si>
    <r>
      <rPr>
        <sz val="11"/>
        <color theme="1"/>
        <rFont val="Arial"/>
        <family val="2"/>
      </rPr>
      <t>Outils auxiliaires optiques</t>
    </r>
  </si>
  <si>
    <r>
      <rPr>
        <sz val="11"/>
        <color theme="1"/>
        <rFont val="Arial"/>
        <family val="2"/>
      </rPr>
      <t>Utensili ottici provvisori</t>
    </r>
  </si>
  <si>
    <r>
      <rPr>
        <sz val="11"/>
        <color theme="1"/>
        <rFont val="Arial"/>
        <family val="2"/>
      </rPr>
      <t>Optiske hjælpeværktøjer</t>
    </r>
  </si>
  <si>
    <r>
      <rPr>
        <sz val="11"/>
        <color theme="1"/>
        <rFont val="Arial"/>
        <family val="2"/>
      </rPr>
      <t>Optiniai komandiniai įrankiai</t>
    </r>
  </si>
  <si>
    <r>
      <rPr>
        <sz val="11"/>
        <color theme="1"/>
        <rFont val="Arial"/>
        <family val="2"/>
      </rPr>
      <t>Optiske hjelpemidler</t>
    </r>
  </si>
  <si>
    <r>
      <rPr>
        <sz val="11"/>
        <color theme="1"/>
        <rFont val="Arial"/>
        <family val="2"/>
      </rPr>
      <t>Optiska hjälpverktyg</t>
    </r>
  </si>
  <si>
    <t>Batteriopladere/strømadaptere</t>
  </si>
  <si>
    <t>Leiterplatten-Layoutsoftware</t>
  </si>
  <si>
    <t>Logiciel pour layout de carte de circuit imprimé</t>
  </si>
  <si>
    <t>Software schema della scheda a circuiti stampati</t>
  </si>
  <si>
    <t>Printed Circuit Board Layout Software</t>
  </si>
  <si>
    <t>PCB-designsoftware</t>
  </si>
  <si>
    <t>Programvare for kretskortlayout</t>
  </si>
  <si>
    <t>Kretskort programvara för layout</t>
  </si>
  <si>
    <t>Prinditud trükkplaadi asetuse tarkvara</t>
  </si>
  <si>
    <t>Piirilevyjen suunnitteluohjelmisto</t>
  </si>
  <si>
    <t>Drukātās shēmas plates programmatūra</t>
  </si>
  <si>
    <t>Layout-software printplaten</t>
  </si>
  <si>
    <t>Oprogramowanie do tworzenia schematów PCB</t>
  </si>
  <si>
    <t>ПО для компоновки печатных плат</t>
  </si>
  <si>
    <t>Software pro návrhy plošných spojů</t>
  </si>
  <si>
    <t>Software aşezare placă circuite imprimate</t>
  </si>
  <si>
    <t>Nyomtatott áramköri kártya elrendezési szoftver</t>
  </si>
  <si>
    <t>AC/DC Wandler</t>
  </si>
  <si>
    <t>Onduleurs c.c./c.a.</t>
  </si>
  <si>
    <t>Convertitori CC/CA</t>
  </si>
  <si>
    <t>DC/AC Inverters</t>
  </si>
  <si>
    <t>DC/AC-vekselrettere</t>
  </si>
  <si>
    <t>DC / AC įtampos keitikliai</t>
  </si>
  <si>
    <t>DC/AC-invertere</t>
  </si>
  <si>
    <t>DC/AC-växelriktare</t>
  </si>
  <si>
    <t>Alalis-/vahelduvvoolu inverterid</t>
  </si>
  <si>
    <t>DC/AC-invertterit</t>
  </si>
  <si>
    <t>Līdzstrāvas/maiņstrāvas invertori</t>
  </si>
  <si>
    <t>DC/AC-omvormers</t>
  </si>
  <si>
    <t>Falowniki DC/AC</t>
  </si>
  <si>
    <t>Преобразователи постоянного тока в переменный</t>
  </si>
  <si>
    <t>Měniče DC/AC</t>
  </si>
  <si>
    <t>Invertoare c.c./c.a.</t>
  </si>
  <si>
    <t>DC/AC inverterek</t>
  </si>
  <si>
    <t>Zasilacze UPS</t>
  </si>
  <si>
    <t>ИБП</t>
  </si>
  <si>
    <t>LED Spot Module</t>
  </si>
  <si>
    <t>Modules de spot à LED</t>
  </si>
  <si>
    <t>Moduli faretti a LED</t>
  </si>
  <si>
    <t>LED Spot Modules</t>
  </si>
  <si>
    <t>LED-spotmoduler</t>
  </si>
  <si>
    <t>LED taškiniai moduliai</t>
  </si>
  <si>
    <t>LED-spotmodul</t>
  </si>
  <si>
    <t>LED-kohtmoodulid</t>
  </si>
  <si>
    <t>LED-kohdevalomoduulit</t>
  </si>
  <si>
    <t>Gaismas diožu punkta moduļi</t>
  </si>
  <si>
    <t>LED-spotmodules</t>
  </si>
  <si>
    <t>Moduły punktowe LED</t>
  </si>
  <si>
    <t>Модули точечных светодиодов</t>
  </si>
  <si>
    <t>Bodové moduly LED</t>
  </si>
  <si>
    <t>Module spot cu LED</t>
  </si>
  <si>
    <t>LED-es spotlámpa modulok</t>
  </si>
  <si>
    <t>Leuchten für den Arbeitsplatz</t>
  </si>
  <si>
    <t>Lampes pour postes de travail</t>
  </si>
  <si>
    <t>Lampade per luoghi di lavoro</t>
  </si>
  <si>
    <t>Lamps for Workplaces</t>
  </si>
  <si>
    <t>Lamper til arbejdspladser</t>
  </si>
  <si>
    <t>Lempos darbovietėms</t>
  </si>
  <si>
    <t>Lamper til arbeidsplasser</t>
  </si>
  <si>
    <t>Lampor för arbetsplatser</t>
  </si>
  <si>
    <t>Töökoha valgustid</t>
  </si>
  <si>
    <t>Lamput työpaikoille</t>
  </si>
  <si>
    <t>Lampas darba vietām</t>
  </si>
  <si>
    <t>Werkplaatslampen</t>
  </si>
  <si>
    <t>Lampy do stanowisk pracy</t>
  </si>
  <si>
    <t>Лампы для рабочих мест</t>
  </si>
  <si>
    <t>Pracovní osvětlení</t>
  </si>
  <si>
    <t>Corpuri de iluminat pentru locuri de munca</t>
  </si>
  <si>
    <t>Munkahelyi világítás</t>
  </si>
  <si>
    <t>Leuchten für Wand und Decke</t>
  </si>
  <si>
    <t>Eclairage</t>
  </si>
  <si>
    <t>Lampade fisse</t>
  </si>
  <si>
    <t>Light Fixtures</t>
  </si>
  <si>
    <t>Lysarmaturer</t>
  </si>
  <si>
    <t>Šviestuvai</t>
  </si>
  <si>
    <t>Ljusarmaturer</t>
  </si>
  <si>
    <t>Valgusti alused</t>
  </si>
  <si>
    <t>Lamput</t>
  </si>
  <si>
    <t>Apgaismojuma instalācijas</t>
  </si>
  <si>
    <t>Armaturen</t>
  </si>
  <si>
    <t>Oprawy oświetleniowe</t>
  </si>
  <si>
    <t>Осветительная арматура</t>
  </si>
  <si>
    <t>Svítidla</t>
  </si>
  <si>
    <t>Echipamente de iluminare</t>
  </si>
  <si>
    <t>Világítótestek</t>
  </si>
  <si>
    <t>Stecker- und Tischnetzgeräte</t>
  </si>
  <si>
    <t>Alimentazione tramite rete elettrica e PC</t>
  </si>
  <si>
    <t>Plug-in and Desktop Power Supplies</t>
  </si>
  <si>
    <t>Stik- og bordstrømforsyninger</t>
  </si>
  <si>
    <t>Kištukiniai ir kompiuterių maitinimo blokai</t>
  </si>
  <si>
    <t>Strømforsyninger for innplugging og skrivebord</t>
  </si>
  <si>
    <t>Nätaggregat för inpluggning och skrivbord</t>
  </si>
  <si>
    <t>Pistikühendused ja töölaua toitevarustus</t>
  </si>
  <si>
    <t>Plug-in- ja pöytävirtalähteet</t>
  </si>
  <si>
    <t>Spraudņa un datora strāvas avoti</t>
  </si>
  <si>
    <t>Stekker- en desktopvoedingen</t>
  </si>
  <si>
    <t>Stacjonarne zasilacze wtykowe</t>
  </si>
  <si>
    <t>Сетевые и настольные блоки питания</t>
  </si>
  <si>
    <t>Zásuvné a stolní zdroje napájení</t>
  </si>
  <si>
    <t>Prize şi surse de alimentare Desktop</t>
  </si>
  <si>
    <t>Dugós- és asztali tápegységek</t>
  </si>
  <si>
    <t>Masse de scellement et revêtement</t>
  </si>
  <si>
    <t>Rivestimento e composti sigillanti</t>
  </si>
  <si>
    <t>Sealing Compounds and Coating</t>
  </si>
  <si>
    <t>Tætningsmidler og belægning</t>
  </si>
  <si>
    <t>Sandarinamieji mišiniai ir dangos</t>
  </si>
  <si>
    <t>Tetningsmaterialer og belegg</t>
  </si>
  <si>
    <t>Tätningsmassor och beläggning</t>
  </si>
  <si>
    <t>Tihendusühendid ja -katted</t>
  </si>
  <si>
    <t>Tiivisteaineet ja pinnoitteet</t>
  </si>
  <si>
    <t>Izolācijas līdzekļi un pārklājumi</t>
  </si>
  <si>
    <t>Afdichtmiddelen en coatings</t>
  </si>
  <si>
    <t>Środki uszczelniające i powłoki</t>
  </si>
  <si>
    <t>Уплотняющие составы и покрытия</t>
  </si>
  <si>
    <t>Těsnicí hmoty a povlaky</t>
  </si>
  <si>
    <t>Compuşi şi protecţie de etanşare</t>
  </si>
  <si>
    <t>Tömítőanyagok és bevonatok</t>
  </si>
  <si>
    <t>Rubans</t>
  </si>
  <si>
    <t>Nastri</t>
  </si>
  <si>
    <t>Tapes</t>
  </si>
  <si>
    <t>Juostos</t>
  </si>
  <si>
    <t>Kleepribad</t>
  </si>
  <si>
    <t>Teipit</t>
  </si>
  <si>
    <t>Lentas</t>
  </si>
  <si>
    <t>Taśmy</t>
  </si>
  <si>
    <t>Ленты</t>
  </si>
  <si>
    <t>Pásky</t>
  </si>
  <si>
    <t>Benzi</t>
  </si>
  <si>
    <t>Ragasztószalagok</t>
  </si>
  <si>
    <t>Anzeigeinstrumente, analog</t>
  </si>
  <si>
    <t>Indicatori analogici</t>
  </si>
  <si>
    <t>Panel Meters, Analogue</t>
  </si>
  <si>
    <t>Panelinstrumenter, analoge</t>
  </si>
  <si>
    <t>Analoginiai matuokliai</t>
  </si>
  <si>
    <t>Panelmätare, analoga</t>
  </si>
  <si>
    <t>Paneeli mõõdikud, analoogne</t>
  </si>
  <si>
    <t>Paneelimittarit, analogiset</t>
  </si>
  <si>
    <t>Galvanometri, analogi</t>
  </si>
  <si>
    <t>Paneelmeters, analoog</t>
  </si>
  <si>
    <t>Mierniki panelowe, analogowe</t>
  </si>
  <si>
    <t>Измерительные приборы с индикаторными панелями, аналоговые</t>
  </si>
  <si>
    <t>Panelové měřicí přístroje, analogové</t>
  </si>
  <si>
    <t>Aparate de măsurat panouri, analogice</t>
  </si>
  <si>
    <t>Panelmérők, analóg</t>
  </si>
  <si>
    <t>Anzeigeinstrumente, digitale</t>
  </si>
  <si>
    <t>Indicatori digitali</t>
  </si>
  <si>
    <t>Panel Meters, Digital</t>
  </si>
  <si>
    <t>Panelinstrumenter, digitale</t>
  </si>
  <si>
    <t>Skaitmeniniai matuokliai</t>
  </si>
  <si>
    <t>Panelmätare, digitala</t>
  </si>
  <si>
    <t>Paneeli mõõdikud, digitaalne</t>
  </si>
  <si>
    <t>Paneelimittarit, digitaaliset</t>
  </si>
  <si>
    <t>Galvanometri, digitāli</t>
  </si>
  <si>
    <t>Paneelmeters, digitaal</t>
  </si>
  <si>
    <t>Mierniki panelowe, cyfrowe</t>
  </si>
  <si>
    <t>Измерительные приборы с индикаторными панелями, цифровые</t>
  </si>
  <si>
    <t>Panelové měřicí přístroje, digitální</t>
  </si>
  <si>
    <t>Aparate de măsurat panouri, digitale</t>
  </si>
  <si>
    <t>Panelmérők, digitális</t>
  </si>
  <si>
    <t>Gefederte Kontakte</t>
  </si>
  <si>
    <t>Spring loaded contacts</t>
  </si>
  <si>
    <t>Fjederbelastede kontakter</t>
  </si>
  <si>
    <t>Fjærbelastede kontakter</t>
  </si>
  <si>
    <t>Fjäderbelastade kontakter</t>
  </si>
  <si>
    <t>Vedrukoormuskontaktid</t>
  </si>
  <si>
    <t>Jousitetut kontaktit</t>
  </si>
  <si>
    <t>Atsperes kontakti</t>
  </si>
  <si>
    <t>Veerbelaste contacten</t>
  </si>
  <si>
    <t>Styki sprężynowe</t>
  </si>
  <si>
    <t>Пружинные контакты</t>
  </si>
  <si>
    <t>Pružinové kontakty</t>
  </si>
  <si>
    <t>Contacte cu închidere prin resort</t>
  </si>
  <si>
    <t>Rugós érintkezők</t>
  </si>
  <si>
    <t>Supports pour cordons d'essai</t>
  </si>
  <si>
    <t>Supporti per puntali</t>
  </si>
  <si>
    <t>Holders for Test Leads</t>
  </si>
  <si>
    <t>Holdere til testledninger</t>
  </si>
  <si>
    <t>Testavimo kabelių laikikliai</t>
  </si>
  <si>
    <t>Holdere for testledninger</t>
  </si>
  <si>
    <t>Hållare för testkablar</t>
  </si>
  <si>
    <t>Testjuhtmete hoidikud</t>
  </si>
  <si>
    <t>Testijohtimien pidikkeet</t>
  </si>
  <si>
    <t>Testēšanas zonžu turētāji</t>
  </si>
  <si>
    <t>Houders voor meetsnoeren</t>
  </si>
  <si>
    <t>Uchwyty do przewodów testowych</t>
  </si>
  <si>
    <t>Держатели для диагностических выводов</t>
  </si>
  <si>
    <t>Držáky zkoušecích kabelů</t>
  </si>
  <si>
    <t>Suporţi pentru piste de testare</t>
  </si>
  <si>
    <t>Mérővezeték tokok</t>
  </si>
  <si>
    <t>DC Lasten, elektronisch</t>
  </si>
  <si>
    <t>Charges électroniques c.c.</t>
  </si>
  <si>
    <t>Carichi elettronici CC</t>
  </si>
  <si>
    <t>DC Electronic Loads</t>
  </si>
  <si>
    <t>Elektroniske DC-laster</t>
  </si>
  <si>
    <t>DC elektroninės apkrovos</t>
  </si>
  <si>
    <t>Elektronisk belastning for likestrøm</t>
  </si>
  <si>
    <t>DC elektronikbelastningar</t>
  </si>
  <si>
    <t>Alalisvoolu elektroonilised koormused</t>
  </si>
  <si>
    <t>Elektroniset DC-kuormat</t>
  </si>
  <si>
    <t>Līdzstrāvas elektroniskās slodzes elementi</t>
  </si>
  <si>
    <t>Elektronische gelijkstroombelastingen</t>
  </si>
  <si>
    <t>Obciążenia elektroniczne DC</t>
  </si>
  <si>
    <t>Электронные нагрузки постоянного тока</t>
  </si>
  <si>
    <t>Elektronické zátěže, DC</t>
  </si>
  <si>
    <t>Sarcini electronice c.c.</t>
  </si>
  <si>
    <t>DC elektronikus terhelés</t>
  </si>
  <si>
    <t>Alimentazione, tensione fissa</t>
  </si>
  <si>
    <t>Power Supplies, fixed-voltage</t>
  </si>
  <si>
    <t>Strømforsyninger, fast spænding</t>
  </si>
  <si>
    <t>Maitinimo šaltiniai, pastovios įtampos</t>
  </si>
  <si>
    <t>Strømforsyninger, fast spenning</t>
  </si>
  <si>
    <t>Nätaggregat, fast spänning</t>
  </si>
  <si>
    <t>Toitevarustus, fikseeritud pinge</t>
  </si>
  <si>
    <t>Virtalähteet, kiinteä jännite</t>
  </si>
  <si>
    <t>Strāvas avoti, fiksēts spriegums</t>
  </si>
  <si>
    <t>Voedingen, vaste spanning</t>
  </si>
  <si>
    <t>Zasilacze, napięcie stałe</t>
  </si>
  <si>
    <t>Блоки питания, стабилизированное напряжение</t>
  </si>
  <si>
    <t>Zdroje napájení, fixní napětí</t>
  </si>
  <si>
    <t>Surse de alimentare cu tensiune fixă</t>
  </si>
  <si>
    <t>Tápegységek, rögzített feszültség</t>
  </si>
  <si>
    <t>SMU - Source Meters</t>
  </si>
  <si>
    <t>Picoampèremètres et sources de tension</t>
  </si>
  <si>
    <t>SMU - Unità di alimentazione e misurazione</t>
  </si>
  <si>
    <t>SMU - kildemålingsenheder</t>
  </si>
  <si>
    <t>Maitinimo ir matavimo prietaisai</t>
  </si>
  <si>
    <t>SMU – kildemålere</t>
  </si>
  <si>
    <t>SMU –källmätare</t>
  </si>
  <si>
    <t>SMU – allika mõõdikud</t>
  </si>
  <si>
    <t>SMU – Source Meter -mittari</t>
  </si>
  <si>
    <t>SMU - avota mērierīces</t>
  </si>
  <si>
    <t>SMU - Bronmeters</t>
  </si>
  <si>
    <t>Źródła mierzące (SMU)</t>
  </si>
  <si>
    <t>SMU — источники-измерители</t>
  </si>
  <si>
    <t>Jednotky pro měření zdroje</t>
  </si>
  <si>
    <t>SMU - Surse de măsurare</t>
  </si>
  <si>
    <t>SMU – forrásmérők</t>
  </si>
  <si>
    <t>Positionssensoren für Pneumatik</t>
  </si>
  <si>
    <t>Position Sensors for Pneumatics</t>
  </si>
  <si>
    <t>Détecteurs de position pour pneumatique</t>
  </si>
  <si>
    <t>Sensori di posizione per pneumatica</t>
  </si>
  <si>
    <t>e-Shop del Distrelec</t>
  </si>
  <si>
    <t>Distrelec veebipood</t>
  </si>
  <si>
    <t>Distrelec Online kauppa</t>
  </si>
  <si>
    <t>Distrelec on-line veikals</t>
  </si>
  <si>
    <t>Distrelec Sklep Internetowy</t>
  </si>
  <si>
    <t>Distrelec интернет - магазин</t>
  </si>
  <si>
    <t>Magazin online Distrelec</t>
  </si>
  <si>
    <t>Komponendid</t>
  </si>
  <si>
    <t>Komponentit</t>
  </si>
  <si>
    <t>Komponentes</t>
  </si>
  <si>
    <t>Componenten</t>
  </si>
  <si>
    <t>Elementy</t>
  </si>
  <si>
    <t>Компоненты</t>
  </si>
  <si>
    <t>Komponenty</t>
  </si>
  <si>
    <t>Componente</t>
  </si>
  <si>
    <t>Komponensek</t>
  </si>
  <si>
    <t>Aktiivkomponendid</t>
  </si>
  <si>
    <t>Aktiiviset komponentit</t>
  </si>
  <si>
    <t>Aktīvās komponentes</t>
  </si>
  <si>
    <t>Actieve componenten</t>
  </si>
  <si>
    <t>Elementy aktywne</t>
  </si>
  <si>
    <t>Активные компоненты</t>
  </si>
  <si>
    <t>Aktivní prvky</t>
  </si>
  <si>
    <t>Componente active</t>
  </si>
  <si>
    <t>Aktív alkatrészek</t>
  </si>
  <si>
    <t>Diskreetsed pooljuhid / Elektronlambid</t>
  </si>
  <si>
    <t>Puolijohteet/Elektroniputket</t>
  </si>
  <si>
    <t>Diskrētie pusvadītāji / lampas</t>
  </si>
  <si>
    <t>Discrete halfgeleiders / buizen</t>
  </si>
  <si>
    <t>Elementy półprzewodnikowe dyskretne / Lampy elektronowe</t>
  </si>
  <si>
    <t>Дискретные полупроводники / Лампы</t>
  </si>
  <si>
    <t>Diskrétní polovodiče / elektronky</t>
  </si>
  <si>
    <t>Semiconductori discreţi / Tuburi</t>
  </si>
  <si>
    <t>Diszkrét félvezetők / Elektroncsövek</t>
  </si>
  <si>
    <t>Analoogahelad</t>
  </si>
  <si>
    <t>Analogipiirit</t>
  </si>
  <si>
    <t>Analogās mikroshēmas</t>
  </si>
  <si>
    <t>Analoge ICs</t>
  </si>
  <si>
    <t>Układy analogowe</t>
  </si>
  <si>
    <t>Аналоговые микросхемы</t>
  </si>
  <si>
    <t>Analogové obvody</t>
  </si>
  <si>
    <t>Circuite analogice</t>
  </si>
  <si>
    <t>Analóg áramkörök</t>
  </si>
  <si>
    <t>Digitaalahelad / Arendusvahendid</t>
  </si>
  <si>
    <t>Digitaliset piirit/Kehitystyökalut</t>
  </si>
  <si>
    <t>Digitālās mikroshēmas / Izstrādes rīki</t>
  </si>
  <si>
    <t>Digitale ICs / Ontwikkelkits</t>
  </si>
  <si>
    <t>Układy cyfrowe / Narzędzia do prac rozwojowych</t>
  </si>
  <si>
    <t>Цифровая микросхема  / Средства для разработки</t>
  </si>
  <si>
    <t>Digitální obvody / Vývojové nástroje</t>
  </si>
  <si>
    <t>Circuite digitale / Instrumente de dezvoltare</t>
  </si>
  <si>
    <t>Digitális áramkörök/fejlesztőeszközök</t>
  </si>
  <si>
    <t>Optoelektroonika</t>
  </si>
  <si>
    <t>Optoelektroniikka</t>
  </si>
  <si>
    <t>Opto-elektronica</t>
  </si>
  <si>
    <t>Оптоэлектроника</t>
  </si>
  <si>
    <t>Optoelectronice</t>
  </si>
  <si>
    <t>Optóelektronika</t>
  </si>
  <si>
    <t>Sageduskontrolli ja ajastsusseadmed</t>
  </si>
  <si>
    <t>Taajuusohjaus ja ajastus</t>
  </si>
  <si>
    <t>Frekvences vadība un laika ierīces</t>
  </si>
  <si>
    <t>Oscillatoren</t>
  </si>
  <si>
    <t>Urządzenia czasowe i Sterujące częstotliwością</t>
  </si>
  <si>
    <t>Управление частотой и регуляторы времени</t>
  </si>
  <si>
    <t>Frekvenční regulátory a časovače</t>
  </si>
  <si>
    <t>Măsurarea frecvenţei şi a timpului</t>
  </si>
  <si>
    <t>Frekvenciaszabályozók és időzítők</t>
  </si>
  <si>
    <t>Pooljuhtide paigaldusmaterjalid</t>
  </si>
  <si>
    <t>Puolijohteiden asennustarvikkeet</t>
  </si>
  <si>
    <t>Pusvadītāju montāžas materiāli</t>
  </si>
  <si>
    <t>Montagemateriaal voor halfgeleiders</t>
  </si>
  <si>
    <t>Materiały montażowe dla półprzewodników</t>
  </si>
  <si>
    <t>Установочные материалы для полупроводников</t>
  </si>
  <si>
    <t>Montážní materiál pro polovodiče</t>
  </si>
  <si>
    <t>Materiale de montare pentru semiconductoare</t>
  </si>
  <si>
    <t>Építőelemek félvezetőkhöz</t>
  </si>
  <si>
    <t>Passiivkomponendid</t>
  </si>
  <si>
    <t>Passiivi komponentit</t>
  </si>
  <si>
    <t>Pasīvās komponentes</t>
  </si>
  <si>
    <t>Passieve componenten</t>
  </si>
  <si>
    <t>Elementy pasywne</t>
  </si>
  <si>
    <t>Пассивные элементы</t>
  </si>
  <si>
    <t>Pasivní součástky</t>
  </si>
  <si>
    <t>Componente pasive</t>
  </si>
  <si>
    <t>Passzív alkatrészek</t>
  </si>
  <si>
    <t>Kondensaatorid</t>
  </si>
  <si>
    <t>Kondensaattorit</t>
  </si>
  <si>
    <t>Kondensatori</t>
  </si>
  <si>
    <t>Condensatoren</t>
  </si>
  <si>
    <t>Kondensatory</t>
  </si>
  <si>
    <t>Конденсаторы</t>
  </si>
  <si>
    <t>Kondenzátory</t>
  </si>
  <si>
    <t>Kondenzátorok</t>
  </si>
  <si>
    <t>Takistid</t>
  </si>
  <si>
    <t>Vastukset</t>
  </si>
  <si>
    <t>Rezistori</t>
  </si>
  <si>
    <t>Weerstanden</t>
  </si>
  <si>
    <t>Rezystory</t>
  </si>
  <si>
    <t>Резисторы</t>
  </si>
  <si>
    <t>Rezistory / potenciometry</t>
  </si>
  <si>
    <t>Ellenállások</t>
  </si>
  <si>
    <t>Potentsiomeetrid, Trimmerid</t>
  </si>
  <si>
    <t>Potentiometrit, trimmerit</t>
  </si>
  <si>
    <t>Potenciometri, trimmeri</t>
  </si>
  <si>
    <t>Potentiometers, trimmers</t>
  </si>
  <si>
    <t>Potencjometry, Potencjometry dostrojcze</t>
  </si>
  <si>
    <t>Потенциометры, Триммеры</t>
  </si>
  <si>
    <t>Potenciometry, Trimmery</t>
  </si>
  <si>
    <t>Potentiometre, trimere</t>
  </si>
  <si>
    <t>Potencióméter, Trimmer</t>
  </si>
  <si>
    <t>Ferrite / Induktivitäten / Filter</t>
  </si>
  <si>
    <t>Ferriidid / Induktiivpoolid / Filtrid</t>
  </si>
  <si>
    <t>Ferriitit/Kelat/ suotimet</t>
  </si>
  <si>
    <t>Ferīti / Spoles / Filtri</t>
  </si>
  <si>
    <t>Ferrietkernen / Smoorspoelen / Ontstoorfilters</t>
  </si>
  <si>
    <t>Ferryty / Elementy indukcyjne / Filtry</t>
  </si>
  <si>
    <t>Ферриты / Индукторы / Фильтры</t>
  </si>
  <si>
    <t>Ferity / Induktory / Filtry</t>
  </si>
  <si>
    <t>Ferite / Inductoare / Filtre</t>
  </si>
  <si>
    <t>Ferritek / Induktivítások / Szűrők</t>
  </si>
  <si>
    <t>Sulavkaitsmed ja automaatkaitsmed elektriseadmetele</t>
  </si>
  <si>
    <t>Sulakeautomaatit</t>
  </si>
  <si>
    <t>Drošinātāji un ierīču jaudas slēdži</t>
  </si>
  <si>
    <t>Zekeringen en Circuit Breakers voor apparaten</t>
  </si>
  <si>
    <t>Bezpiecznik i Wyłączniki do urządzeń</t>
  </si>
  <si>
    <t>Предохранители и прерыватели для приборов</t>
  </si>
  <si>
    <t>Pojistky a jističe pro zařízení</t>
  </si>
  <si>
    <t>Siguranţe şi întrerupătoare de protecţie pentru echipamente</t>
  </si>
  <si>
    <t>Biztosítékok és vezetékvédelem készülékekhez</t>
  </si>
  <si>
    <t>Antennid</t>
  </si>
  <si>
    <t>Antennit</t>
  </si>
  <si>
    <t>Antenas</t>
  </si>
  <si>
    <t>Anteny</t>
  </si>
  <si>
    <t>Антенны</t>
  </si>
  <si>
    <t>Vícevrstvé antény, SMD</t>
  </si>
  <si>
    <t>Antene</t>
  </si>
  <si>
    <t>Antennák</t>
  </si>
  <si>
    <t>Vooluringi kaitsmine</t>
  </si>
  <si>
    <t>Piirisuojat</t>
  </si>
  <si>
    <t>Shēmu aizsardzība</t>
  </si>
  <si>
    <t>Zekeringen en beveiligingsautomaten</t>
  </si>
  <si>
    <t>Zabezpieczenia przeciwzwarciowe</t>
  </si>
  <si>
    <t>Защита для схем</t>
  </si>
  <si>
    <t>Jistič, THD</t>
  </si>
  <si>
    <t>Întrerupătoare de protecţie</t>
  </si>
  <si>
    <t>Kismegszakító</t>
  </si>
  <si>
    <t>Sulakkeet ja automaatit</t>
  </si>
  <si>
    <t>Bezpiecznik i Wyłączniki automatyczne do urządzeń</t>
  </si>
  <si>
    <t>Предохранители и Прерыватели для приборов</t>
  </si>
  <si>
    <t>Sulavkaitsmed / Rikkevoolukaitsmed / Ülepingekaitsmed</t>
  </si>
  <si>
    <t>Ylijännitesulakkeet</t>
  </si>
  <si>
    <t>Drošinātāji /  Strāvas noplūdes automāti / Pārsprieguma aizsardzība</t>
  </si>
  <si>
    <t>Zekeringen / RCD / Overspanningsbeveiliging</t>
  </si>
  <si>
    <t>Bezpieczniki / Wyłączniki różnicowo - prądowe / Ochrona przeciwprzepięciowa</t>
  </si>
  <si>
    <t>Предохранители / Защита от остаточноготока и перенапряжения</t>
  </si>
  <si>
    <t>Pojistky / proudové chrániče / přepěťová ochrana</t>
  </si>
  <si>
    <t>Siguranţe / Protecţii la deranjamente de curent / Protecţii de supratensiune</t>
  </si>
  <si>
    <t>Biztosítékok / Túláramvédelem  / Túlfeszültségvédelem</t>
  </si>
  <si>
    <t>Ühendused</t>
  </si>
  <si>
    <t>Liittimet</t>
  </si>
  <si>
    <t>Konektori</t>
  </si>
  <si>
    <t>Connectoren</t>
  </si>
  <si>
    <t>Złącza</t>
  </si>
  <si>
    <t>Разъемы</t>
  </si>
  <si>
    <t>Konektory</t>
  </si>
  <si>
    <t>Conectori</t>
  </si>
  <si>
    <t>Csatlakozók</t>
  </si>
  <si>
    <t>Lintkaabli ühendused</t>
  </si>
  <si>
    <t>Lattakaapeliliittimet</t>
  </si>
  <si>
    <t>Plakano kabeļu konektori</t>
  </si>
  <si>
    <t>Bandkabel connectoren</t>
  </si>
  <si>
    <t>Złącza IDC</t>
  </si>
  <si>
    <t>Разъемы для плоского кабеля</t>
  </si>
  <si>
    <t>Konektory pro ploché kabely</t>
  </si>
  <si>
    <t>Conectori cablu plat</t>
  </si>
  <si>
    <t>Szalagkábel csatlakozók</t>
  </si>
  <si>
    <t>D-Sub-Komponenten</t>
  </si>
  <si>
    <t>Composants D-SUB</t>
  </si>
  <si>
    <t>Componenti D-Sub</t>
  </si>
  <si>
    <t>D-Sub Components</t>
  </si>
  <si>
    <t>D-sub-komponenter</t>
  </si>
  <si>
    <t>D-SUB ühendused</t>
  </si>
  <si>
    <t>D-liittimet</t>
  </si>
  <si>
    <t>D-Sub komponentes</t>
  </si>
  <si>
    <t>D-Sub componenten</t>
  </si>
  <si>
    <t>Złącza D-SUB</t>
  </si>
  <si>
    <t>Компоненты для D-Sub</t>
  </si>
  <si>
    <t>D-Sub Komponenty</t>
  </si>
  <si>
    <t>D-sub componente</t>
  </si>
  <si>
    <t>D-Sub alkatrészek</t>
  </si>
  <si>
    <t>Audio- / Video- / Arvutiühendused</t>
  </si>
  <si>
    <t>Audio / Video / Tietokoneliittimet</t>
  </si>
  <si>
    <t>Audio / Video / Datoru konektori</t>
  </si>
  <si>
    <t>Audio / Video / Computer connectoren</t>
  </si>
  <si>
    <t>Złącza Audio / Wideo / Komputerowe</t>
  </si>
  <si>
    <t>Аудио / Видео / компьютерные разъемы</t>
  </si>
  <si>
    <t>Audio / Video / Počítačové konektory</t>
  </si>
  <si>
    <t>Conectori audio/video pentru computere</t>
  </si>
  <si>
    <t>Audió- / Videó- / Számítógép-csatlakozók</t>
  </si>
  <si>
    <t>Tööstuslikud ühendused</t>
  </si>
  <si>
    <t>Teollisuusliittimet</t>
  </si>
  <si>
    <t>Industriālie savienotāji</t>
  </si>
  <si>
    <t>Industriele connectoren</t>
  </si>
  <si>
    <t>Złącza przemysłowe</t>
  </si>
  <si>
    <t>Промышленные разъемы</t>
  </si>
  <si>
    <t>Průmyslové konektory</t>
  </si>
  <si>
    <t>Conectori industriali</t>
  </si>
  <si>
    <t>Ipari csatlakozók</t>
  </si>
  <si>
    <t>Klemmliistud</t>
  </si>
  <si>
    <t>Kytkentäliittimet</t>
  </si>
  <si>
    <t>Terminālu savienojumi</t>
  </si>
  <si>
    <t>Aansluitklemmen</t>
  </si>
  <si>
    <t>Listwy łączeniowe</t>
  </si>
  <si>
    <t>Клеммные колодки</t>
  </si>
  <si>
    <t>Svorkovnice</t>
  </si>
  <si>
    <t>Blocuri terminale</t>
  </si>
  <si>
    <t>Sorkapcsok</t>
  </si>
  <si>
    <t>Vastupidavad ühendused</t>
  </si>
  <si>
    <t>Isot liittimet</t>
  </si>
  <si>
    <t>Augstas izturības savienotāji</t>
  </si>
  <si>
    <t>Złącza przemysłowe (HDC)</t>
  </si>
  <si>
    <t>Разъемы для больших нагрузок</t>
  </si>
  <si>
    <t>Konektory pro ztížené podmínky</t>
  </si>
  <si>
    <t>Nagyméretű csatlakozók</t>
  </si>
  <si>
    <t>Ümarad ühendused</t>
  </si>
  <si>
    <t>Pyöreät liittimet</t>
  </si>
  <si>
    <t>Cirkulārie savienotāji</t>
  </si>
  <si>
    <t>Ronde connectoren</t>
  </si>
  <si>
    <t>Złącza okrągłe</t>
  </si>
  <si>
    <t>Цилиндрические разъемы</t>
  </si>
  <si>
    <t>Kruhové konektory</t>
  </si>
  <si>
    <t>Conectori circulari</t>
  </si>
  <si>
    <t>Kerek csatlakozók</t>
  </si>
  <si>
    <t>Releed ja lülitid</t>
  </si>
  <si>
    <t>Releet ja kytkimet</t>
  </si>
  <si>
    <t>Releji un slēdži</t>
  </si>
  <si>
    <t>Relais &amp; Schakelaars</t>
  </si>
  <si>
    <t>Przekaźniki i Przełączniki</t>
  </si>
  <si>
    <t>Реле и Пеключатели</t>
  </si>
  <si>
    <t>Relé a spínače</t>
  </si>
  <si>
    <t>Relee şi Întrerupătoare</t>
  </si>
  <si>
    <t>Jelfogók és kapcsolók</t>
  </si>
  <si>
    <t>Trükkplaadi releed</t>
  </si>
  <si>
    <t>PCB releet</t>
  </si>
  <si>
    <t>PCB releji</t>
  </si>
  <si>
    <t>PCB Relais</t>
  </si>
  <si>
    <t>Przekaźniki do druku</t>
  </si>
  <si>
    <t>Реле на печатную плату</t>
  </si>
  <si>
    <t>Relé pro desky plošných spojů</t>
  </si>
  <si>
    <t>Releu PCB</t>
  </si>
  <si>
    <t>NYÁK-ba ültethető jelfogók</t>
  </si>
  <si>
    <t>Tööstuslikud releed</t>
  </si>
  <si>
    <t>Industrial releet</t>
  </si>
  <si>
    <t>Industriālie releji</t>
  </si>
  <si>
    <t>Industriele Relais</t>
  </si>
  <si>
    <t>Przekaźniki przemysłowe</t>
  </si>
  <si>
    <t>Промышленные реле</t>
  </si>
  <si>
    <t>Průmyslová relé</t>
  </si>
  <si>
    <t>Relee industriale</t>
  </si>
  <si>
    <t>Ipari jelfogók</t>
  </si>
  <si>
    <t>Herkonreleed / Herkonid / Magnetid</t>
  </si>
  <si>
    <t>Reed-releet/magneetit</t>
  </si>
  <si>
    <t>Herkonreleji / Herkoni / Magnēti</t>
  </si>
  <si>
    <t>Reed relais / Reed contacten / Magneten</t>
  </si>
  <si>
    <t>Przekaźniki kontaktronowe / Kontaktrony / Magnesy</t>
  </si>
  <si>
    <t>Герконовые  реле / Герконовые Контакты / Магниты</t>
  </si>
  <si>
    <t>Jazýčková relé / jazýčkové kontakty / magnety</t>
  </si>
  <si>
    <t>Relee  / Magneţi</t>
  </si>
  <si>
    <t>Reed jelfogók/ Reed érintekzők / Mágnesek</t>
  </si>
  <si>
    <t>Pooljuhtreleed</t>
  </si>
  <si>
    <t>Staattiset releet</t>
  </si>
  <si>
    <t>Pusvadītāju releji</t>
  </si>
  <si>
    <t>Solid State Relais</t>
  </si>
  <si>
    <t>Przekaźniki półprzewodnikowe</t>
  </si>
  <si>
    <t>Твердотельные реле</t>
  </si>
  <si>
    <t>Polovodičové relé</t>
  </si>
  <si>
    <t>Relee semiconductor</t>
  </si>
  <si>
    <t>Félvezető jelfogók</t>
  </si>
  <si>
    <t>Toitevõrgu lülitid</t>
  </si>
  <si>
    <t>Virtakytkimet</t>
  </si>
  <si>
    <t>Tīkla jaudas slēdži</t>
  </si>
  <si>
    <t>Netschakelaars</t>
  </si>
  <si>
    <t>Wyłączniki sieciowe</t>
  </si>
  <si>
    <t>Аварийные выключатели</t>
  </si>
  <si>
    <t>Síťové vypínače</t>
  </si>
  <si>
    <t>Dispozitive de întrerupere</t>
  </si>
  <si>
    <t>Készülék kapcsolók</t>
  </si>
  <si>
    <t>Mikrolülitid /</t>
  </si>
  <si>
    <t>Mikrokytkimet</t>
  </si>
  <si>
    <t>Mikroslēdži / Atsperslēdži</t>
  </si>
  <si>
    <t>Mikroprzełączniki</t>
  </si>
  <si>
    <t>Микропереключатели / мгновенного действия</t>
  </si>
  <si>
    <t>Mikrospínače</t>
  </si>
  <si>
    <t>Microcomutatoare / Încuietori cu siguranţă</t>
  </si>
  <si>
    <t>Mikrokapcsolók / Snap-lock rendszerek</t>
  </si>
  <si>
    <t>Miniatuursed lülitid / Trükkplaadilülitid</t>
  </si>
  <si>
    <t>Pienoiskytkimet</t>
  </si>
  <si>
    <t>Mikroslēdži / PCB slēdži</t>
  </si>
  <si>
    <t>Miniatuur schakelaars / Print schakelaars</t>
  </si>
  <si>
    <t>Przłączniki Miniaturowe / Przełączniki PCB</t>
  </si>
  <si>
    <t>Миниатюрные переключатели / PCB переключатели</t>
  </si>
  <si>
    <t>Miniaturní spínače / tlačítka pro desky plošných spojů</t>
  </si>
  <si>
    <t>Minicomutatoare / Printtaste</t>
  </si>
  <si>
    <t>Miniatűr kapcsolók / NYÁK-ba ültethető nyomógombok</t>
  </si>
  <si>
    <t>Kabel &amp; Installationsmaterial</t>
  </si>
  <si>
    <t>Kaablid ja installatsioonimaterjalid</t>
  </si>
  <si>
    <t>Johdot ja asennustarvikkeet</t>
  </si>
  <si>
    <t>Kabeļi un instalācijas materiāli</t>
  </si>
  <si>
    <t>Kabels &amp; Installatiemateriaal</t>
  </si>
  <si>
    <t>Kable i Materiały instalacyjne</t>
  </si>
  <si>
    <t>Кабели &amp; Материалы для установки</t>
  </si>
  <si>
    <t>Kabely a Instalační materiál</t>
  </si>
  <si>
    <t>Cabluri şi materiale de instalare</t>
  </si>
  <si>
    <t>Kábelek és szerelési anyagok</t>
  </si>
  <si>
    <t>Seadmete juhtmed</t>
  </si>
  <si>
    <t>Laitejohdot</t>
  </si>
  <si>
    <t>Iekārtu vadi</t>
  </si>
  <si>
    <t>Draad</t>
  </si>
  <si>
    <t>Przewody połączeniowe</t>
  </si>
  <si>
    <t>Монтажные провода</t>
  </si>
  <si>
    <t>Napájecí kabely</t>
  </si>
  <si>
    <t>Cabluri de circuit</t>
  </si>
  <si>
    <t>Készülékkábelek</t>
  </si>
  <si>
    <t>Valgustuse juhtimine / Lülitid</t>
  </si>
  <si>
    <t>Valaistusohjaimet</t>
  </si>
  <si>
    <t>Apgaismojuma vadība / slēdži</t>
  </si>
  <si>
    <t>Lighting Controls / Schakelaars</t>
  </si>
  <si>
    <t>Sterowania oświetleniem / Wyłączniki</t>
  </si>
  <si>
    <t>Регуляторы освещения / Коммутаторы</t>
  </si>
  <si>
    <t>Regulace světla / spínače</t>
  </si>
  <si>
    <t>Temporizatoare de lumină / Comutatoare</t>
  </si>
  <si>
    <t>Világításvezérlők / Kapcsolók</t>
  </si>
  <si>
    <t>Sidevõrgu kaablid / Juhtkaablid / Andmekaablid / Optilised kaablid</t>
  </si>
  <si>
    <t>Lähiverkkokaapelit</t>
  </si>
  <si>
    <t>Tīkla kabeļi / Vadības kabeļi / Datu kabeļi / Optiskie kabeļi</t>
  </si>
  <si>
    <t>Netwerkkabels / Stuurstroomkabels / Glasvezelkabels</t>
  </si>
  <si>
    <t>Kable sieciowe / Kable sterujące /  Kable do transmisji danych / Światłowody</t>
  </si>
  <si>
    <t>Сетевые кабели / Кабели управления / Кабели данных / Оптические кабели</t>
  </si>
  <si>
    <t>Síťové kabely / ovládací kabely / Datové kabely / kabely z optických vláken</t>
  </si>
  <si>
    <t>Cabluri de retea / Cabluri de control / Cabluri de date / Cabluri cu fibră optică</t>
  </si>
  <si>
    <t>Adathálózati kábel / Vezérlőkábel / Adatkábel / Üvegszálas kábel</t>
  </si>
  <si>
    <t>Koaksiaalkaablid / Helikaablid / Lintkaablid / Toitekaablid</t>
  </si>
  <si>
    <t>Koxi-kaapelit</t>
  </si>
  <si>
    <t>Koaksiālie kabeļi / Audio kabeļi / Plakani kabeļi / Barošanas kabeļi</t>
  </si>
  <si>
    <t>Coaxkabels / Audiokabels / Bandkabels / Voedingskabels</t>
  </si>
  <si>
    <t>Kable koncentryczne / Kable Audio / Kable Płaskie / Kable zasilające</t>
  </si>
  <si>
    <t>Коаксиальные кабели/ Адиокабели / Плоские кабели / Кабели для питания</t>
  </si>
  <si>
    <t>Koaxiální kabel / kabel Audio / plochý kabel / síťový kabel</t>
  </si>
  <si>
    <t>Cabluri coaxiale / Cabluri audio/ Cabluri tip bandă / Cabluri de alimentare</t>
  </si>
  <si>
    <t>Koaxiáliskábel / Audiókábel / Szalagkábel / Hálózatikábel</t>
  </si>
  <si>
    <t>Kaablisidemed / Kaablikinnitused</t>
  </si>
  <si>
    <t>Nippusiteet/ tuenta</t>
  </si>
  <si>
    <t>Kabeļu savilcēji / Kabeļu turētāji</t>
  </si>
  <si>
    <t>Kabelbinders / Kabelmontage</t>
  </si>
  <si>
    <t>Opaski zaciskowe / Mocowanie kabla</t>
  </si>
  <si>
    <t>Кабельные стяжки / Кабельное крепление</t>
  </si>
  <si>
    <t>Vázací pásky pro kabely / nosné prvky pro kabely</t>
  </si>
  <si>
    <t>Accesorii de legare a cablurilor / Suporţi de cablu</t>
  </si>
  <si>
    <t>Kábelkötözők / Kábelrögzítők</t>
  </si>
  <si>
    <t>Kytkentärimat</t>
  </si>
  <si>
    <t>Plakanspailes / apgaismes termināļi</t>
  </si>
  <si>
    <t>Kroonsteen strips / kroonklem</t>
  </si>
  <si>
    <t>Клеммные полосы / Клеммы для осветительного оборудования</t>
  </si>
  <si>
    <t>Pásková svorkovnice / svorky pro osvětlení</t>
  </si>
  <si>
    <t>Bloc terminal / lumină terminale</t>
  </si>
  <si>
    <t>Sorkapcsok / Gyorscsatlakozók</t>
  </si>
  <si>
    <t>Kaitseümbrised / Ventilaatorid / Trükkplaadid</t>
  </si>
  <si>
    <t>Kotelot/ tuulettimet/piirilevyt</t>
  </si>
  <si>
    <t>Korpusi / Ventilatori / PCB plates</t>
  </si>
  <si>
    <t>Behuizingen / Ventialtoren / Printkaarten</t>
  </si>
  <si>
    <t>Obudowy / Wentylatory / Płytki PCB</t>
  </si>
  <si>
    <t>Корпуса / Вентиляторы / Печатные платы</t>
  </si>
  <si>
    <t>Pouzdra / ventilátory / desky plošných spojů</t>
  </si>
  <si>
    <t>Carcase / Ventilatoare / Plăci de circuit</t>
  </si>
  <si>
    <t>Házak / Ventillátorok / NYÁK lapok</t>
  </si>
  <si>
    <t>Prototüüpimisplaadid ja trükkplaatide tootmine</t>
  </si>
  <si>
    <t>Proto-levyt</t>
  </si>
  <si>
    <t>Maketplates / PCB izgatavošana</t>
  </si>
  <si>
    <t>Protoype borden / PCB productie</t>
  </si>
  <si>
    <t>Płytki prototypowe  / produkcja PCB</t>
  </si>
  <si>
    <t>Лабораторные платы / Производство печатных плат</t>
  </si>
  <si>
    <t>Experimentální desky / výroba desek plošných spojů</t>
  </si>
  <si>
    <t>Plăci de laborator / Fabricaţie PCB</t>
  </si>
  <si>
    <t>Laborkártyák / Kész NYÁK-ok</t>
  </si>
  <si>
    <t>Kaitseümbriste tarvikud</t>
  </si>
  <si>
    <t>Kotelotarvikkeet</t>
  </si>
  <si>
    <t>Korpusu piederumi</t>
  </si>
  <si>
    <t>Behuizing accessoires</t>
  </si>
  <si>
    <t>Akcesoria do obudów</t>
  </si>
  <si>
    <t>Аксессуары для корпусов</t>
  </si>
  <si>
    <t>Skříně – příslušenství</t>
  </si>
  <si>
    <t>Accesorii pentru carcase</t>
  </si>
  <si>
    <t>Ház tartozékok</t>
  </si>
  <si>
    <t>19'' seadmekapid</t>
  </si>
  <si>
    <t>19'' Kotelot</t>
  </si>
  <si>
    <t>19-collu korpusi</t>
  </si>
  <si>
    <t>19" behuizingen</t>
  </si>
  <si>
    <t>Obudowy 19"</t>
  </si>
  <si>
    <t>19'' шкафы</t>
  </si>
  <si>
    <t>19" skříně</t>
  </si>
  <si>
    <t>19 "- echipamente</t>
  </si>
  <si>
    <t>19'' egységek</t>
  </si>
  <si>
    <t>Plastist ja metallist kaitseümbrised</t>
  </si>
  <si>
    <t>Muovi/metallikotelot</t>
  </si>
  <si>
    <t>Plastmasas / metāla korpusi</t>
  </si>
  <si>
    <t>Kunststof / metalen behuizingen</t>
  </si>
  <si>
    <t>Obudowy Plastikowe / Metalowe</t>
  </si>
  <si>
    <t>Пластиковые / металлические корпуса</t>
  </si>
  <si>
    <t>Plastová / kovová pouzdra</t>
  </si>
  <si>
    <t>Carcase din plastic / metal</t>
  </si>
  <si>
    <t>Műanyag- / Fémházak</t>
  </si>
  <si>
    <t>Ventilaatorid</t>
  </si>
  <si>
    <t>Tuulettimet</t>
  </si>
  <si>
    <t>Ventilatori</t>
  </si>
  <si>
    <t>Ventilatoren</t>
  </si>
  <si>
    <t>Wentylatory</t>
  </si>
  <si>
    <t>Вентиляторы</t>
  </si>
  <si>
    <t>Ventilátory</t>
  </si>
  <si>
    <t>Ventilatoare</t>
  </si>
  <si>
    <t>Ventillátorok</t>
  </si>
  <si>
    <t>Ventilaatorite lisatarvikud</t>
  </si>
  <si>
    <t>Tuulettimien tarvikkeet</t>
  </si>
  <si>
    <t>Ventilatoru piederumi</t>
  </si>
  <si>
    <t>Accessoires voor ventilatoren</t>
  </si>
  <si>
    <t>Akcesoria do wentylatorów</t>
  </si>
  <si>
    <t>Аксессуары для Воздуходувки</t>
  </si>
  <si>
    <t>Příslušenství pro ventilátory</t>
  </si>
  <si>
    <t>Accesorii pentru ventilatoare</t>
  </si>
  <si>
    <t>Ventilátor tartozékok</t>
  </si>
  <si>
    <t>Tööriistad ja mõõtevahendid</t>
  </si>
  <si>
    <t>Työkalut ja mittaus</t>
  </si>
  <si>
    <t>Instrumenti un mēriekārtas</t>
  </si>
  <si>
    <t>Gereedschap en meetinstrumenten</t>
  </si>
  <si>
    <t>Narzędzia  i Pomiary</t>
  </si>
  <si>
    <t>Инструменты &amp; измерителные приборы</t>
  </si>
  <si>
    <t>Nástroje a meřící technika</t>
  </si>
  <si>
    <t>Scule şi instrumente de măsură</t>
  </si>
  <si>
    <t>Szerszám és Méréstechnika</t>
  </si>
  <si>
    <t>Tööriistad</t>
  </si>
  <si>
    <t>Työkalut</t>
  </si>
  <si>
    <t>Instrumenti</t>
  </si>
  <si>
    <t>Gereedschap</t>
  </si>
  <si>
    <t>Narzędzia</t>
  </si>
  <si>
    <t>Инструменты</t>
  </si>
  <si>
    <t>Nářadí</t>
  </si>
  <si>
    <t>Scule</t>
  </si>
  <si>
    <t>Szerszámok</t>
  </si>
  <si>
    <t>Käsitööriistad</t>
  </si>
  <si>
    <t>Käsityökalut</t>
  </si>
  <si>
    <t>Rokas instrumenti</t>
  </si>
  <si>
    <t>Handgereedschap</t>
  </si>
  <si>
    <t>Narzędzia ręczne</t>
  </si>
  <si>
    <t>Ручной инструмент</t>
  </si>
  <si>
    <t>Ruční nářadí</t>
  </si>
  <si>
    <t>Scule de mâna</t>
  </si>
  <si>
    <t>Kéziszerszámok</t>
  </si>
  <si>
    <t>Elektrilised tööriistad</t>
  </si>
  <si>
    <t>Sähkötyökalut</t>
  </si>
  <si>
    <t>Elektroinstrumenti</t>
  </si>
  <si>
    <t>Elektrisch gereedschap</t>
  </si>
  <si>
    <t>Elektronarzędzia</t>
  </si>
  <si>
    <t>Электроинструменты</t>
  </si>
  <si>
    <t>Elektrické nářadí</t>
  </si>
  <si>
    <t>Instrumente electrice</t>
  </si>
  <si>
    <t>Elektromos szerszámok</t>
  </si>
  <si>
    <t>Akutööriistad</t>
  </si>
  <si>
    <t>Johdottomat työkalut</t>
  </si>
  <si>
    <t>Bezvadu elektroinstrumentu sistēmas</t>
  </si>
  <si>
    <t>Accuboor en schroefmachines</t>
  </si>
  <si>
    <t>Elektronarzędzia bezprzewodowe</t>
  </si>
  <si>
    <t>Беспроводной электроинструмент</t>
  </si>
  <si>
    <t>Bezšňůrové elektrické nářadí</t>
  </si>
  <si>
    <t>Instrumente şi sisteme electrice fără fir</t>
  </si>
  <si>
    <t>Vezetéknélküli elektromos szerszámok</t>
  </si>
  <si>
    <t>Karbid, sahtlid ja konteinerid</t>
  </si>
  <si>
    <t>Laatikot, säilytyslaatikot</t>
  </si>
  <si>
    <t>Kastes, atvilktnes un konteineri</t>
  </si>
  <si>
    <t>Assortiment dozen / Ladekasten / Transport en opslagdozen / Verpakkingsmateriaal</t>
  </si>
  <si>
    <t>Pudełka, Szuflady i Pojemniki</t>
  </si>
  <si>
    <t>Коробки, Ящики и Контейнеры</t>
  </si>
  <si>
    <t>Krabice, zásuvky a kontejnery</t>
  </si>
  <si>
    <t>Cutii, sertare şi containere</t>
  </si>
  <si>
    <t>Dobozok, fiókok és tartók</t>
  </si>
  <si>
    <t>ESD tooted</t>
  </si>
  <si>
    <t>ESD tuotteet</t>
  </si>
  <si>
    <t>ESD drošas preces</t>
  </si>
  <si>
    <t>ESD veilge producten</t>
  </si>
  <si>
    <t>Ochrona ESD</t>
  </si>
  <si>
    <t>Продукты ESD защиты</t>
  </si>
  <si>
    <t>ESD- bezpečnostní produkty</t>
  </si>
  <si>
    <t>ESD produse sigure</t>
  </si>
  <si>
    <t>ESD védett termékek</t>
  </si>
  <si>
    <t>Isiklikud kaitsevahendid</t>
  </si>
  <si>
    <t>Henkilösuoja</t>
  </si>
  <si>
    <t>Individuālās aizsardzības līdzekļi</t>
  </si>
  <si>
    <t>Persoonlijke bescherming</t>
  </si>
  <si>
    <t>Ochrona osobista</t>
  </si>
  <si>
    <t>Средства индивидуальной защиты</t>
  </si>
  <si>
    <t>Osobní ochrana</t>
  </si>
  <si>
    <t>Protecţie personală</t>
  </si>
  <si>
    <t>Egyéni védelem</t>
  </si>
  <si>
    <t>Suurendusklaasid ja mikroskoobid</t>
  </si>
  <si>
    <t>Suurennuslasit /Mikroskoopit</t>
  </si>
  <si>
    <t>Palielināmie stikli un mikroskopi</t>
  </si>
  <si>
    <t>Vergrootglazen / microscopen</t>
  </si>
  <si>
    <t>Lupy i Mikroskopy</t>
  </si>
  <si>
    <t>Лупы &amp; Микроскопы</t>
  </si>
  <si>
    <t>Lupy / mikroskopy</t>
  </si>
  <si>
    <t>Lupe / Microscoape</t>
  </si>
  <si>
    <t>Nagyítók / Mikroszkópok</t>
  </si>
  <si>
    <t>Raadioseadmed</t>
  </si>
  <si>
    <t>Radiolaitteet</t>
  </si>
  <si>
    <t>Rācijas</t>
  </si>
  <si>
    <t>Zendontvangers</t>
  </si>
  <si>
    <t>Urządzenia radiowe</t>
  </si>
  <si>
    <t>Радиоаппаратура</t>
  </si>
  <si>
    <t>Bezdrátová zařízení</t>
  </si>
  <si>
    <t>Aparate de radiocomunicaţie</t>
  </si>
  <si>
    <t>Rádió adó-vevő készülék</t>
  </si>
  <si>
    <t>Optilised abitööriistad</t>
  </si>
  <si>
    <t>Optiset apuvälineet</t>
  </si>
  <si>
    <t>Optiskie palīginstrumenti</t>
  </si>
  <si>
    <t>Optische apparaten</t>
  </si>
  <si>
    <t>Instrumenty optyczne</t>
  </si>
  <si>
    <t>Оптические вспомогательные инструменты</t>
  </si>
  <si>
    <t>Pomocné optické nástroje</t>
  </si>
  <si>
    <t>Scule optice auxiliare</t>
  </si>
  <si>
    <t>Optikai parancsadó egységek</t>
  </si>
  <si>
    <t>Jooteseadmed</t>
  </si>
  <si>
    <t>Juotos</t>
  </si>
  <si>
    <t>Lodēšana</t>
  </si>
  <si>
    <t>Solderen</t>
  </si>
  <si>
    <t>Lutowanie</t>
  </si>
  <si>
    <t>Паяльное оборудование</t>
  </si>
  <si>
    <t>Pájení</t>
  </si>
  <si>
    <t>Lipit / Cositorit</t>
  </si>
  <si>
    <t>Forrasztás</t>
  </si>
  <si>
    <t>Autonoomsed jootekolvid</t>
  </si>
  <si>
    <t>Juotosasemat</t>
  </si>
  <si>
    <t>Atsevišķi lodāmuri</t>
  </si>
  <si>
    <t>Losse soldeerbouten</t>
  </si>
  <si>
    <t>Kolby lutownicze</t>
  </si>
  <si>
    <t>Автономные Паяльники</t>
  </si>
  <si>
    <t>Páječky</t>
  </si>
  <si>
    <t>Aparat de cositorit fără fir</t>
  </si>
  <si>
    <t>Különálló forrasztópáka</t>
  </si>
  <si>
    <t>Joote- ja lahtijootejaamad</t>
  </si>
  <si>
    <t>Juotosasema, irroitus ja juottaminen</t>
  </si>
  <si>
    <t>Lodēšanas, atlodēšanas un karstā gaisa stacijas</t>
  </si>
  <si>
    <t>Solderen, desolderen en rework stations</t>
  </si>
  <si>
    <t>Stacje lutownicze, Stacje do rozlutowywania i Stacje naprawcze</t>
  </si>
  <si>
    <t>Пайка, Припои и Паяльные станции</t>
  </si>
  <si>
    <t>Stanice pro opravy, horkovzdušné pájení a odpájení</t>
  </si>
  <si>
    <t>Staţii de lipit, dezlipit şi lucru de revizuire</t>
  </si>
  <si>
    <t>Forrasztó- , kiforrasztó- és Rework-állomások</t>
  </si>
  <si>
    <t>Jooteaurude eemaldajad ja filtreerimisseadmed</t>
  </si>
  <si>
    <t>Juotoskaasuimuri</t>
  </si>
  <si>
    <t>Lodēšanas tvaiku atsūcēji un filtri</t>
  </si>
  <si>
    <t>Soldeerdampafzuiging en filtersystemen</t>
  </si>
  <si>
    <t>Pochłaniacze oparów lutowania i Systemy filtrowania</t>
  </si>
  <si>
    <t>Поглотители дыма при пайке и системы фильтров</t>
  </si>
  <si>
    <t>Zachycovač výparů z pájení / filtrační systémy</t>
  </si>
  <si>
    <t>Sisteme de absorbţie şi filtrare a vaporilor de la cositorire</t>
  </si>
  <si>
    <t>Forrasztófüst elszívó- és szűrőrendszerek</t>
  </si>
  <si>
    <t>Kolviotsad, lahtijootmis ja kuumaõhu kolbide otsikud</t>
  </si>
  <si>
    <t>Juottimen kärjet,kuumailma suuttimet</t>
  </si>
  <si>
    <t>Lodēšanas uzgaļi, atlodēšanas un karstā gaisa sprauslas</t>
  </si>
  <si>
    <t>Soldeerstiften, desoldeer en hetelucht mondstuken</t>
  </si>
  <si>
    <t>Groty lutownicze, końcówki do rozlutownic i dysze gorącego powietrza</t>
  </si>
  <si>
    <t>Паяльные наконечники, Демонтажные и  Насадки горячего воздуха</t>
  </si>
  <si>
    <t>Pájení, odpájení a horkovzdušné trysky</t>
  </si>
  <si>
    <t>Vârfuri pentru aparatele de cositorit , descositorit - şi jeturi pentru aer fierbinte</t>
  </si>
  <si>
    <t>Pákahegyek, kiforrasztó- és meleglevegő-adapterek</t>
  </si>
  <si>
    <t>Jootetarvikud ja varuosad</t>
  </si>
  <si>
    <t>Juottimen osia</t>
  </si>
  <si>
    <t>Lodēšanas piederumi un rezerves daļas</t>
  </si>
  <si>
    <t>Soldeer accessoires en vervangende onderdelen</t>
  </si>
  <si>
    <t>Akcesoria lutownicze i Części zamienne</t>
  </si>
  <si>
    <t>Принадлежности и запчасти для пайки</t>
  </si>
  <si>
    <t>Pájecí příslušenství a náhradní díly</t>
  </si>
  <si>
    <t>Piese si accesorii de cositorit</t>
  </si>
  <si>
    <t>Forrasztó kellékek és tartozékok</t>
  </si>
  <si>
    <t>Jootematerjalid</t>
  </si>
  <si>
    <t>Juotostarvikkeet</t>
  </si>
  <si>
    <t>Lodēšanas materiāli</t>
  </si>
  <si>
    <t>Soldeermaterialen</t>
  </si>
  <si>
    <t>Materiały lutownicze</t>
  </si>
  <si>
    <t>Материалы для пайки</t>
  </si>
  <si>
    <t>Materiály a nástroje pro pájení</t>
  </si>
  <si>
    <t>Materiale de cositorit</t>
  </si>
  <si>
    <t>Forrasztóanyagok</t>
  </si>
  <si>
    <t>Doseerimisseadmed</t>
  </si>
  <si>
    <t>Annostelulaitteet</t>
  </si>
  <si>
    <t>Padeves iekārtas</t>
  </si>
  <si>
    <t>Doseerapparatuur</t>
  </si>
  <si>
    <t>Systemy dozujące</t>
  </si>
  <si>
    <t>Оборудование для розлива</t>
  </si>
  <si>
    <t>Dávkovací zařízení</t>
  </si>
  <si>
    <t>Sisteme de dozare</t>
  </si>
  <si>
    <t>Adagolórendszerek</t>
  </si>
  <si>
    <t>Hooldus</t>
  </si>
  <si>
    <t>Ylläpito</t>
  </si>
  <si>
    <t>Apkope</t>
  </si>
  <si>
    <t>Onderhoud</t>
  </si>
  <si>
    <t>Konserwacja</t>
  </si>
  <si>
    <t>Обслуживание</t>
  </si>
  <si>
    <t>Údržba</t>
  </si>
  <si>
    <t>Intreţinere</t>
  </si>
  <si>
    <t>Karbantartás</t>
  </si>
  <si>
    <t>Puhastusvahendid, määrdeained ja kaitselakid</t>
  </si>
  <si>
    <t>Puhditimet ja suojalakat</t>
  </si>
  <si>
    <t>Tīrīšanas līdzekļi, smērvielas un aizsarglakas</t>
  </si>
  <si>
    <t>Reinigingsmiddelen, smeermiddelen en beschermende lakken</t>
  </si>
  <si>
    <t>Płyny czyszczące, Smary i Lakiery ochronne</t>
  </si>
  <si>
    <t>Очистители, Смазки и Защитные лаки</t>
  </si>
  <si>
    <t>Laky, čístící prostředky a brusný papír</t>
  </si>
  <si>
    <t>Soluţii de curăţat, lubrifiant şi lac de protecţie</t>
  </si>
  <si>
    <t>Tisztító-, kenőanyagok és védőlakk</t>
  </si>
  <si>
    <t>Puhastuslapid ja tarvikud</t>
  </si>
  <si>
    <t>Pyyheliinat</t>
  </si>
  <si>
    <t>Tīrīšanas lupatiņas un piederumi</t>
  </si>
  <si>
    <t>Reinigingsdoekjes en accessoires</t>
  </si>
  <si>
    <t>Ściereczki do czyszczenia i akcesoria</t>
  </si>
  <si>
    <t>Чистки одежды &amp; Аксессуары</t>
  </si>
  <si>
    <t>Čisticí utěrky a příslušenství</t>
  </si>
  <si>
    <t>Cârpe de curăţănie şi accesorii</t>
  </si>
  <si>
    <t>Tisztitókendők és tartozékok</t>
  </si>
  <si>
    <t>Liimid</t>
  </si>
  <si>
    <t>Liimat</t>
  </si>
  <si>
    <t>Līmes</t>
  </si>
  <si>
    <t>Lijmen</t>
  </si>
  <si>
    <t>Kleje</t>
  </si>
  <si>
    <t>Клеи</t>
  </si>
  <si>
    <t>Lepící technika</t>
  </si>
  <si>
    <t>Tehnologie Adeziv</t>
  </si>
  <si>
    <t>Ragasztástechnika</t>
  </si>
  <si>
    <t>Märgistamine</t>
  </si>
  <si>
    <t>Merkintä</t>
  </si>
  <si>
    <t>Marķēšana</t>
  </si>
  <si>
    <t>Etikettering</t>
  </si>
  <si>
    <t>Znakowanie</t>
  </si>
  <si>
    <t>Маркировка</t>
  </si>
  <si>
    <t>Testovací značky</t>
  </si>
  <si>
    <t>Marcare</t>
  </si>
  <si>
    <t>Jelöléstechnika</t>
  </si>
  <si>
    <t>Mehaanilised komponendid</t>
  </si>
  <si>
    <t>Mekaaniset komponentit</t>
  </si>
  <si>
    <t>Mehāniskās komponentes</t>
  </si>
  <si>
    <t>Mechanische componenten</t>
  </si>
  <si>
    <t>Elementy mechaniczne</t>
  </si>
  <si>
    <t>Механические компоненты</t>
  </si>
  <si>
    <t>Mechanické součástky</t>
  </si>
  <si>
    <t>Componente mecanice</t>
  </si>
  <si>
    <t>Mechanikai alkatrészek</t>
  </si>
  <si>
    <t>Kruvid, tüüblid ja vedrud</t>
  </si>
  <si>
    <t>Ruuvit, prikat ja jouset</t>
  </si>
  <si>
    <t>Skrūves, tapas un atsperes</t>
  </si>
  <si>
    <t>Schroeven, muurpluggen en veren</t>
  </si>
  <si>
    <t>Śruby, Kołki, Sprężyny</t>
  </si>
  <si>
    <t>Винты / Штифты / Пружины</t>
  </si>
  <si>
    <t>Šrouby, hmoždinky a pružiny</t>
  </si>
  <si>
    <t>Şuruburi, dibluri şi arcuri</t>
  </si>
  <si>
    <t>Csavarok, dübelek és rugók</t>
  </si>
  <si>
    <t>Paigaldustarvikud ja vahepuksid</t>
  </si>
  <si>
    <t>Asennustarvikkeet ja holkit</t>
  </si>
  <si>
    <t>Montāžas piederumi un distanceri</t>
  </si>
  <si>
    <t>Montage accessoires en afstandsstukken</t>
  </si>
  <si>
    <t>Elementy montażowe i Dystanse</t>
  </si>
  <si>
    <t>Монтажные принадлежности и Распорки</t>
  </si>
  <si>
    <t>Distanční šrouby a podložky</t>
  </si>
  <si>
    <t>Distanţiere şi suporţi pentru distanţiere</t>
  </si>
  <si>
    <t>Távtartók és távtartó csapok</t>
  </si>
  <si>
    <t>Hinged ja lukud</t>
  </si>
  <si>
    <t>Saranat ja lukot</t>
  </si>
  <si>
    <t>Eņģes un atslēgas</t>
  </si>
  <si>
    <t>Scharnieren en sloten</t>
  </si>
  <si>
    <t>Zawiasy i Zamki</t>
  </si>
  <si>
    <t>Петли &amp; Замок</t>
  </si>
  <si>
    <t>Závěsy / Zámky</t>
  </si>
  <si>
    <t>Balamale / încuietori</t>
  </si>
  <si>
    <t>Zsanérok / Zárak</t>
  </si>
  <si>
    <t>Teleskop- und Linearschienen</t>
  </si>
  <si>
    <t>Glissières pour mouvements télescopiques et linéaires</t>
  </si>
  <si>
    <t>Guide di movimento telescopiche e lineari</t>
  </si>
  <si>
    <t>Telescopic And Linear Motion Slides</t>
  </si>
  <si>
    <t>Teleskopiske og lineære føringsskinner</t>
  </si>
  <si>
    <r>
      <rPr>
        <sz val="11"/>
        <rFont val="Calibri"/>
        <family val="2"/>
      </rPr>
      <t>Teleskopiniai ir tiesiaeigio judesio slankikliai</t>
    </r>
  </si>
  <si>
    <t>Teleskopskinner og lineære bevegelsesskinner</t>
  </si>
  <si>
    <t>Teleskopskenor och skenor med linjär rörelse</t>
  </si>
  <si>
    <t>Teleskoop- ja lineaarliugurid</t>
  </si>
  <si>
    <t>Teleskooppiset liu'ut ja lineaariliu'ut</t>
  </si>
  <si>
    <t>Teleskopiski un lineāri kustības slīdņi</t>
  </si>
  <si>
    <t>Telescopische en lineaire geleidingssystemen</t>
  </si>
  <si>
    <t>Szyny teleskopowe i liniowe</t>
  </si>
  <si>
    <t>Телескопические и линейные направляющие</t>
  </si>
  <si>
    <t>Teleskopické a lineární posuvy</t>
  </si>
  <si>
    <t>Ghidaje liniare şi telescopice</t>
  </si>
  <si>
    <t>Teleszkópos és lineáris csúszószánok</t>
  </si>
  <si>
    <t>Rullikud ja rattad</t>
  </si>
  <si>
    <t>Pyörät</t>
  </si>
  <si>
    <t>Riteņi</t>
  </si>
  <si>
    <t>Zwenkwielen en tandwielen</t>
  </si>
  <si>
    <t>Rolki i Koła</t>
  </si>
  <si>
    <t>Ролики &amp; Колеса</t>
  </si>
  <si>
    <t>Válce / Kola</t>
  </si>
  <si>
    <t>Role / roţi</t>
  </si>
  <si>
    <t>Görgők / Kerekek</t>
  </si>
  <si>
    <t>Kuullaagrid</t>
  </si>
  <si>
    <t>Laakerit</t>
  </si>
  <si>
    <t>Lodīšu gultņi</t>
  </si>
  <si>
    <t>Kogellagers</t>
  </si>
  <si>
    <t>Łożyska kulkowe</t>
  </si>
  <si>
    <t>Шариковые подшипники</t>
  </si>
  <si>
    <t>Ložiska</t>
  </si>
  <si>
    <t>Rulmenţi cu bile</t>
  </si>
  <si>
    <t>Csapágyak</t>
  </si>
  <si>
    <t>Pooltooted</t>
  </si>
  <si>
    <t>Osavalmisteet</t>
  </si>
  <si>
    <t>Pusfabrikāti</t>
  </si>
  <si>
    <t>Halffabrikaten</t>
  </si>
  <si>
    <t>Półfabrykaty</t>
  </si>
  <si>
    <t>Полуфабрикаты</t>
  </si>
  <si>
    <t>Polotovary</t>
  </si>
  <si>
    <t>Produse semi-finite</t>
  </si>
  <si>
    <t>Félkész áru</t>
  </si>
  <si>
    <t>Labor-Netzgeräte &amp; Elektronische Lasten</t>
  </si>
  <si>
    <r>
      <rPr>
        <sz val="11"/>
        <rFont val="Calibri"/>
        <family val="2"/>
      </rPr>
      <t>Alimentations et charges électroniques de laboratoire</t>
    </r>
  </si>
  <si>
    <r>
      <rPr>
        <sz val="11"/>
        <rFont val="Calibri"/>
        <family val="2"/>
      </rPr>
      <t>Alimentatori da laboratorio e carichi elettronici</t>
    </r>
  </si>
  <si>
    <t>Laboratory Power Supplies &amp; Electronic Loads</t>
  </si>
  <si>
    <r>
      <rPr>
        <sz val="11"/>
        <rFont val="Calibri"/>
        <family val="2"/>
      </rPr>
      <t>Laboratoriestrømforsyninger og elektroniske laster</t>
    </r>
  </si>
  <si>
    <r>
      <rPr>
        <sz val="11"/>
        <rFont val="Calibri"/>
        <family val="2"/>
      </rPr>
      <t>Laboratoriniai maitinimo šaltiniai ir elektroninės apkrovos</t>
    </r>
  </si>
  <si>
    <r>
      <rPr>
        <sz val="11"/>
        <rFont val="Calibri"/>
        <family val="2"/>
      </rPr>
      <t>Laboratoriestrømforsyninger og elektroniske belastninger</t>
    </r>
  </si>
  <si>
    <t>Laboratorienätaggregat och elektronikbelastningar</t>
  </si>
  <si>
    <t>Laboratoorsed toiteplokid ja elektroonilised koormused</t>
  </si>
  <si>
    <r>
      <rPr>
        <sz val="11"/>
        <rFont val="Calibri"/>
        <family val="2"/>
      </rPr>
      <t>Laboratoriovirtalähteet &amp; elektroniset kuormat</t>
    </r>
  </si>
  <si>
    <t>Laboratorijas barošanas bloki un elektroniskās slodzes</t>
  </si>
  <si>
    <t>Laboratorium voedingen en elektronische belastingen</t>
  </si>
  <si>
    <t>Zasilacze laboratoryjne i Obciążenia elektroniczne</t>
  </si>
  <si>
    <t>Лабораторные блоки питания и электронные нагрузки</t>
  </si>
  <si>
    <t>Laboratorní zdroje a elektronické zátěže</t>
  </si>
  <si>
    <t>Surse de alimentare pentru laboratoarer &amp; sarcini electronice</t>
  </si>
  <si>
    <t>Labortápegységek és elektronikus terhelések</t>
  </si>
  <si>
    <t>Isolatsioonitrafod</t>
  </si>
  <si>
    <t>Suojamuuntajat</t>
  </si>
  <si>
    <t>Atdalošie transformatori</t>
  </si>
  <si>
    <t>Isolatietransformatoren</t>
  </si>
  <si>
    <t>Transformatory separujące</t>
  </si>
  <si>
    <t>Автотрансформаторы / Разделительные трансформаторы</t>
  </si>
  <si>
    <t>Oddělovací transformátory</t>
  </si>
  <si>
    <t>Transformatoare de izolare</t>
  </si>
  <si>
    <t>Leválasztó transzformátorok</t>
  </si>
  <si>
    <t>Laboratoorsed toiteplokid</t>
  </si>
  <si>
    <t>Labraus virtalähteet</t>
  </si>
  <si>
    <t>Laboratorijas barošanas bloki</t>
  </si>
  <si>
    <t>Laboratorium voedingen</t>
  </si>
  <si>
    <t>Zasilacze laboratoryjne</t>
  </si>
  <si>
    <t>Лабораторные источники питания</t>
  </si>
  <si>
    <t>Laboratorní zdroje</t>
  </si>
  <si>
    <t>Surse de alimentare pentru laboratoare</t>
  </si>
  <si>
    <t>Labortápegységek</t>
  </si>
  <si>
    <t>Laboriühendused ja mõõtetarvikud</t>
  </si>
  <si>
    <t>Labrausliittimet ja tarvikkeet</t>
  </si>
  <si>
    <t>Laboratorijas savienotāji un mērīšanas piederumi</t>
  </si>
  <si>
    <t>Banaanstekkers en meetaccessoires</t>
  </si>
  <si>
    <t>Złącza laboratoryjne oraz Akcesoria pomiarowe</t>
  </si>
  <si>
    <t>Лабораторные разъемы и аксессуары для измерения</t>
  </si>
  <si>
    <t>Laboratorní konektory a příslušenství pro měřící práce</t>
  </si>
  <si>
    <t>Cleme, cabluri şi accesorii pentru instrumentele de măsură</t>
  </si>
  <si>
    <t>Laboratóriumi csatlakozók és tartozékok</t>
  </si>
  <si>
    <t>Laboriühendused</t>
  </si>
  <si>
    <t>Labrausliittimet</t>
  </si>
  <si>
    <t>Laboratorijas savienotāji</t>
  </si>
  <si>
    <t>Banaanstekkers</t>
  </si>
  <si>
    <t>Złącza laboratoryjne</t>
  </si>
  <si>
    <t>Лабораторные разъемы / Соединения</t>
  </si>
  <si>
    <t>Laboratorní konektory</t>
  </si>
  <si>
    <t>Cleme, cabluri şi accesorii pentru laborator</t>
  </si>
  <si>
    <t>Laboratóriumi csatlakozók</t>
  </si>
  <si>
    <t>Testjuhtmed ja -otsikud</t>
  </si>
  <si>
    <t>Mittajohdot ja päät</t>
  </si>
  <si>
    <t>Testu vadi un tausti</t>
  </si>
  <si>
    <t>Meetsnoeren en meetprobes</t>
  </si>
  <si>
    <t>Przewody pomiarowe i Sondy</t>
  </si>
  <si>
    <t>Щупы и зонды</t>
  </si>
  <si>
    <t>Měřící kabely a sondy</t>
  </si>
  <si>
    <t>Cabluri pentru testere şi vârfuri pentru cabluri de testat</t>
  </si>
  <si>
    <t>Mérővezetékek és vizsgálófejek</t>
  </si>
  <si>
    <t>Mõõteseadmed</t>
  </si>
  <si>
    <t>Mittalaitteet</t>
  </si>
  <si>
    <t>Mērinstrumenti</t>
  </si>
  <si>
    <t>Meetinstrumenten</t>
  </si>
  <si>
    <t>Przyrządy pomiarowe</t>
  </si>
  <si>
    <t>Измерительные приборы</t>
  </si>
  <si>
    <t>Měřící přístroje</t>
  </si>
  <si>
    <t>Instrumente de măsură</t>
  </si>
  <si>
    <t>Mérőműszer</t>
  </si>
  <si>
    <t>Multimeetrid ja ampertangid</t>
  </si>
  <si>
    <t>Yleismittarit ja Virtapihdit</t>
  </si>
  <si>
    <t>Multimetri un dīcknaibles</t>
  </si>
  <si>
    <t>Multimeters &amp; stroomtangen</t>
  </si>
  <si>
    <t>Multimetry i Mierniki cęgowe</t>
  </si>
  <si>
    <t>Мультиметры и зажимные измерители тока</t>
  </si>
  <si>
    <t>Multimetry a proudové kleště</t>
  </si>
  <si>
    <t>Multimetre şi cleme de curent</t>
  </si>
  <si>
    <t>Multiméterek és lakatfogók</t>
  </si>
  <si>
    <t>Elektriku testseadmed</t>
  </si>
  <si>
    <t>Sähkötestausmittalaitteet</t>
  </si>
  <si>
    <t>Elektriķu instrumenti</t>
  </si>
  <si>
    <t>Installatietesters / stroomtangen / vermogensmeters</t>
  </si>
  <si>
    <t>Przyrządy pomiarowe dla elektryków</t>
  </si>
  <si>
    <t>Электроизмерительные приборы</t>
  </si>
  <si>
    <t>Elektrické zkoušečky</t>
  </si>
  <si>
    <t>Testere pentru echipamente electrice</t>
  </si>
  <si>
    <t>Elektromos vizsgáló berendezés</t>
  </si>
  <si>
    <t>Installatsioonitestrid</t>
  </si>
  <si>
    <t>Asennustesterit</t>
  </si>
  <si>
    <t>Instalācijas testeri</t>
  </si>
  <si>
    <t>Installatietesters</t>
  </si>
  <si>
    <t>Testery instalacji</t>
  </si>
  <si>
    <t>Инсталляционные тестеры</t>
  </si>
  <si>
    <t>Zkoušečky elektroinstalací</t>
  </si>
  <si>
    <t>Testere pentru instalaţii</t>
  </si>
  <si>
    <t>Szerelésvizsgáló készülék</t>
  </si>
  <si>
    <t>Energiatarbe mööteriistad</t>
  </si>
  <si>
    <t>Sähkönsyöttötesterit</t>
  </si>
  <si>
    <t>Jaudas testa instrumenti</t>
  </si>
  <si>
    <t>Vermogensmeters</t>
  </si>
  <si>
    <t>Mierniki mocy</t>
  </si>
  <si>
    <t>Силовые измерительные приборы</t>
  </si>
  <si>
    <t>Wattmetry</t>
  </si>
  <si>
    <t>Instrumente de performanţă</t>
  </si>
  <si>
    <t>Teljesítménymérő</t>
  </si>
  <si>
    <t>Ostsilloskoobid</t>
  </si>
  <si>
    <t>Oskilloskoopit</t>
  </si>
  <si>
    <t>Osciloskopi</t>
  </si>
  <si>
    <t>Oscilloscopen</t>
  </si>
  <si>
    <t>Oscyloskopy</t>
  </si>
  <si>
    <t>Осциллографы</t>
  </si>
  <si>
    <t>Osciloskopy</t>
  </si>
  <si>
    <t>Osciloscoape</t>
  </si>
  <si>
    <t>Oszcilloszkóp</t>
  </si>
  <si>
    <t>Spektri ja loogika analüsaatorid</t>
  </si>
  <si>
    <t>Spektri ja Logiikkaanalysaattorit</t>
  </si>
  <si>
    <t>Spektra un loģikas analizatori</t>
  </si>
  <si>
    <t>Analizatory widma i logiczne</t>
  </si>
  <si>
    <t>Спектральные и логические анализаторы</t>
  </si>
  <si>
    <t>Spektrální analyzátor</t>
  </si>
  <si>
    <t>Analizor de spectru</t>
  </si>
  <si>
    <t>Spektrum-analizátor</t>
  </si>
  <si>
    <t>Funktsiooni generaatorid ja sagedusmõõtjad</t>
  </si>
  <si>
    <t>Funktiogeneraattorit ja taajuuslaskimet</t>
  </si>
  <si>
    <t>Funkciju ģeneratori un frekvenču skaitītāji</t>
  </si>
  <si>
    <t>Function Generatoren en frequentietellers</t>
  </si>
  <si>
    <t>Generatory funkcji i Liczniki częstotliwości</t>
  </si>
  <si>
    <t>Генераторы функций и Частотомеры</t>
  </si>
  <si>
    <t>Generátory funkci a frekvenční čítače</t>
  </si>
  <si>
    <t>Generatoare de funcţii şi contor de frecvenţa</t>
  </si>
  <si>
    <t>Funkciógenerátorok és frekvenciaszámlálók</t>
  </si>
  <si>
    <t>Paneelmeetrid</t>
  </si>
  <si>
    <t>Paneelimittarit</t>
  </si>
  <si>
    <t>Panelmetri</t>
  </si>
  <si>
    <t>Paneelmeters</t>
  </si>
  <si>
    <t>Mierniki tablicowe</t>
  </si>
  <si>
    <t>Панельные измерители</t>
  </si>
  <si>
    <t>Panelové přístroje</t>
  </si>
  <si>
    <t>Aparate de măsură pentru panouri de comandă</t>
  </si>
  <si>
    <t>Beépíthető műszer</t>
  </si>
  <si>
    <t>Šundid ja voolutrafod</t>
  </si>
  <si>
    <t>Shuntit ja muuntimet</t>
  </si>
  <si>
    <t>Šuntu rezistori un pārveidotāji</t>
  </si>
  <si>
    <t>Shunt weerstanden en omvormers</t>
  </si>
  <si>
    <t>Rezystory bocznikowe i Przekładniki</t>
  </si>
  <si>
    <t>Шунтирующие резисторы &amp; Преобразователи</t>
  </si>
  <si>
    <t>Odporové bočníky a měniče</t>
  </si>
  <si>
    <t>Rezistenţe şunt şi transformatoare</t>
  </si>
  <si>
    <t>Sönt ellenállások és átalakítók</t>
  </si>
  <si>
    <t>Automaatika</t>
  </si>
  <si>
    <t>Automaatio</t>
  </si>
  <si>
    <t>Automātika</t>
  </si>
  <si>
    <t>Automatyka</t>
  </si>
  <si>
    <t>Автоматизация</t>
  </si>
  <si>
    <t>Automatizace</t>
  </si>
  <si>
    <t>Automatizare</t>
  </si>
  <si>
    <t>Automatizálás</t>
  </si>
  <si>
    <t>Moodulekraanid / Regulaatorid / PLC / HMI</t>
  </si>
  <si>
    <t>Prosessinäytöt/regulaattorit</t>
  </si>
  <si>
    <t>Procesu displeji / Regulatori / PLC / Cilvēka-mašīnas interfeisi</t>
  </si>
  <si>
    <t>Procesdisplays / procesregelaars / PLCs / HMI</t>
  </si>
  <si>
    <t>Wskaźniki procesów / Regulatory / PLC / HMI</t>
  </si>
  <si>
    <t>Дисплеи процессов / Регуляторы / PLC / HMI</t>
  </si>
  <si>
    <t>Procesní ukazatele / Ovladače / PLC / HMI</t>
  </si>
  <si>
    <t>Afişoare de proces / controler / PLC / HMI</t>
  </si>
  <si>
    <t>Folyamatkijelzők / Szabályozók / SPS / HMI</t>
  </si>
  <si>
    <t>PLC süsteemid</t>
  </si>
  <si>
    <t>Ohjelmoitavat logiikat</t>
  </si>
  <si>
    <t>PLC sistēmas</t>
  </si>
  <si>
    <t>PLC Systemen</t>
  </si>
  <si>
    <t>Systemy PLC</t>
  </si>
  <si>
    <t>PLC Системы</t>
  </si>
  <si>
    <t>Ovládání</t>
  </si>
  <si>
    <t>Controloare / Regloare</t>
  </si>
  <si>
    <t>Vezérlők</t>
  </si>
  <si>
    <t>Inimene-masin liides</t>
  </si>
  <si>
    <t>Ihmisrajapinnat</t>
  </si>
  <si>
    <t>Cilvēka-mašīnas interfeisi</t>
  </si>
  <si>
    <t>Human machine interfaces</t>
  </si>
  <si>
    <t>Interfejsy użytkownika</t>
  </si>
  <si>
    <t>Человеко-машинные интерфейсы</t>
  </si>
  <si>
    <t>HMI</t>
  </si>
  <si>
    <t>Interfeaţă om-maşină</t>
  </si>
  <si>
    <t>Protsessi kontrollerid</t>
  </si>
  <si>
    <t>Prosessiohjaimet</t>
  </si>
  <si>
    <t>Procesu kontrolieri</t>
  </si>
  <si>
    <t>Procesregelaars</t>
  </si>
  <si>
    <t>Regulatory procesów</t>
  </si>
  <si>
    <t>Контроллер процессов</t>
  </si>
  <si>
    <t>Procesní regulátor</t>
  </si>
  <si>
    <t>Regloare de proces</t>
  </si>
  <si>
    <t>Folyamatszabályozók</t>
  </si>
  <si>
    <t>Protsessi ekraanid</t>
  </si>
  <si>
    <t>Prosessinäytöt</t>
  </si>
  <si>
    <t>Procesu displeji</t>
  </si>
  <si>
    <t>Wskaźniki procesów</t>
  </si>
  <si>
    <t>Дисплеи процессов</t>
  </si>
  <si>
    <t>Procesní ukazatele</t>
  </si>
  <si>
    <t>Afişarea procesului</t>
  </si>
  <si>
    <t>Folyamatkijelzők</t>
  </si>
  <si>
    <t>Tööstuslik andmeside</t>
  </si>
  <si>
    <t>Teollisuusliikenne</t>
  </si>
  <si>
    <t>Industriālā komunikācija</t>
  </si>
  <si>
    <t>Industriele communicatie</t>
  </si>
  <si>
    <t>Magistrale przemysłowe</t>
  </si>
  <si>
    <t>Промышленная связь</t>
  </si>
  <si>
    <t>Průmyslová komunikace</t>
  </si>
  <si>
    <t>Comunicatie industrială</t>
  </si>
  <si>
    <t>Ipari kommunikáció</t>
  </si>
  <si>
    <t>I/O moodulid ja DIN-liistu releed</t>
  </si>
  <si>
    <t>I/O moduulit ja releet</t>
  </si>
  <si>
    <t>I/O moduļi un interfeisa releji</t>
  </si>
  <si>
    <t>I/O modules en interface relais</t>
  </si>
  <si>
    <t>Moduły we/wy i Moduły interfejsowe</t>
  </si>
  <si>
    <t>I/O модули и переключающие реле</t>
  </si>
  <si>
    <t>I / O moduly a relé rozhraní</t>
  </si>
  <si>
    <t>Modulele E/A şi relee de interfaţă</t>
  </si>
  <si>
    <t>E/A-Modul és interfész relé</t>
  </si>
  <si>
    <t>Liidese muundurid</t>
  </si>
  <si>
    <t>Liitäntämuunnos</t>
  </si>
  <si>
    <t>Interfeisa pārveidotāji</t>
  </si>
  <si>
    <t>Interface converters</t>
  </si>
  <si>
    <t>Przetworniki interfejsu</t>
  </si>
  <si>
    <t>Преобразователи интерфейсов</t>
  </si>
  <si>
    <t>Převodník rozhraní</t>
  </si>
  <si>
    <t>Convertor de interfaţă</t>
  </si>
  <si>
    <t>Interfész átalakító</t>
  </si>
  <si>
    <t>Mõõtemuundurid ja signaalimuundurid</t>
  </si>
  <si>
    <t>Signaalimuuntimet</t>
  </si>
  <si>
    <t>Mērīšanas pārveidotāji un signālu pārveidotāji</t>
  </si>
  <si>
    <t>Meet transducers and signaalomvormers</t>
  </si>
  <si>
    <t>Przetworniki pomiarowe i Przetworniki sygnałów</t>
  </si>
  <si>
    <t>Измерительные датчики и преобразователи сигналов</t>
  </si>
  <si>
    <t>Měřicí převodník a převodník signálu</t>
  </si>
  <si>
    <t>Traductor şi semnal converter</t>
  </si>
  <si>
    <t>Mérőátalakítók és jelátalakítók</t>
  </si>
  <si>
    <t>Täituri andurliides</t>
  </si>
  <si>
    <t>Muunnosanturi liitäntä</t>
  </si>
  <si>
    <t>Piedziņas sensoru interfeiss</t>
  </si>
  <si>
    <t>Actuator sensor interface</t>
  </si>
  <si>
    <t>Interfejsy czujnik-element wykonawczy</t>
  </si>
  <si>
    <t>Интерфейсы для датчиков</t>
  </si>
  <si>
    <t>Rozhraní snímače aktivátoru</t>
  </si>
  <si>
    <t>Interfaţă senzori de acţionare</t>
  </si>
  <si>
    <t>Aktuátor-érzékelő-interfész</t>
  </si>
  <si>
    <t>Tööstuslik andmeedastusvõrk</t>
  </si>
  <si>
    <t>Teollisuus Ethernet</t>
  </si>
  <si>
    <t>Industriālais Ethernet</t>
  </si>
  <si>
    <t>Industrieel ethernet</t>
  </si>
  <si>
    <t>Ethernet przemysłowy</t>
  </si>
  <si>
    <t>Промышленный Ethernet</t>
  </si>
  <si>
    <t>Průmyslový Ethernet</t>
  </si>
  <si>
    <t>Ethernet industrial</t>
  </si>
  <si>
    <t>Ipari Ethernet</t>
  </si>
  <si>
    <t>Andmete kaugedastus</t>
  </si>
  <si>
    <t>Kaukodatasiirto</t>
  </si>
  <si>
    <t>Attālināta datu pārraide</t>
  </si>
  <si>
    <t>Remote datatransmissie</t>
  </si>
  <si>
    <t>Systemy transmisji bezprzewodowej</t>
  </si>
  <si>
    <t>Дистанционной передача данных</t>
  </si>
  <si>
    <t>Dálkový přenos dat</t>
  </si>
  <si>
    <t>Transmisia de date la distanţă</t>
  </si>
  <si>
    <t>Adatátvitel</t>
  </si>
  <si>
    <t>Langaton tiedonsiirto</t>
  </si>
  <si>
    <t>Komunikacja bezprzewodowa</t>
  </si>
  <si>
    <t>Радиосвязь</t>
  </si>
  <si>
    <t>Bezdrátová komunikace</t>
  </si>
  <si>
    <t>Vezetéknélküli kommunikáció</t>
  </si>
  <si>
    <t>Andurid</t>
  </si>
  <si>
    <t>anturit</t>
  </si>
  <si>
    <t>Czujniki</t>
  </si>
  <si>
    <t>Датчики</t>
  </si>
  <si>
    <t>Snímače</t>
  </si>
  <si>
    <t>Senzori</t>
  </si>
  <si>
    <t>Érzékelők</t>
  </si>
  <si>
    <r>
      <rPr>
        <sz val="11"/>
        <rFont val="Calibri"/>
        <family val="2"/>
      </rPr>
      <t>Capteurs inductifs</t>
    </r>
  </si>
  <si>
    <r>
      <rPr>
        <sz val="11"/>
        <rFont val="Calibri"/>
        <family val="2"/>
      </rPr>
      <t>Sensori induttivi</t>
    </r>
  </si>
  <si>
    <t>Inductive Sensors</t>
  </si>
  <si>
    <r>
      <rPr>
        <sz val="11"/>
        <rFont val="Calibri"/>
        <family val="2"/>
      </rPr>
      <t>Induktive sensorer</t>
    </r>
  </si>
  <si>
    <r>
      <rPr>
        <sz val="11"/>
        <rFont val="Calibri"/>
        <family val="2"/>
      </rPr>
      <t>Indukciniai jutikliai</t>
    </r>
  </si>
  <si>
    <r>
      <rPr>
        <sz val="11"/>
        <rFont val="Calibri"/>
        <family val="2"/>
      </rPr>
      <t>Induktiva givare</t>
    </r>
  </si>
  <si>
    <r>
      <rPr>
        <sz val="11"/>
        <rFont val="Calibri"/>
        <family val="2"/>
      </rPr>
      <t>Induktiivandurid</t>
    </r>
  </si>
  <si>
    <r>
      <rPr>
        <sz val="11"/>
        <rFont val="Calibri"/>
        <family val="2"/>
      </rPr>
      <t>Induktiiviset anturit</t>
    </r>
  </si>
  <si>
    <r>
      <rPr>
        <sz val="11"/>
        <rFont val="Calibri"/>
        <family val="2"/>
      </rPr>
      <t>Indukcijas sensori</t>
    </r>
  </si>
  <si>
    <r>
      <rPr>
        <sz val="11"/>
        <rFont val="Calibri"/>
        <family val="2"/>
      </rPr>
      <t>Inductieve sensoren</t>
    </r>
  </si>
  <si>
    <t>Czujniki indukcyjne</t>
  </si>
  <si>
    <r>
      <rPr>
        <sz val="11"/>
        <rFont val="Calibri"/>
        <family val="2"/>
      </rPr>
      <t>Индуктивные датчики</t>
    </r>
  </si>
  <si>
    <r>
      <rPr>
        <sz val="11"/>
        <rFont val="Calibri"/>
        <family val="2"/>
      </rPr>
      <t>Indukční snímače</t>
    </r>
  </si>
  <si>
    <t>Senzori inductivi</t>
  </si>
  <si>
    <r>
      <rPr>
        <sz val="11"/>
        <rFont val="Calibri"/>
        <family val="2"/>
      </rPr>
      <t>Induktív érzékelők</t>
    </r>
  </si>
  <si>
    <r>
      <rPr>
        <sz val="11"/>
        <rFont val="Calibri"/>
        <family val="2"/>
      </rPr>
      <t>Indukčné senzory</t>
    </r>
  </si>
  <si>
    <r>
      <rPr>
        <sz val="11"/>
        <rFont val="Calibri"/>
        <family val="2"/>
      </rPr>
      <t>Capteurs capacitifs</t>
    </r>
  </si>
  <si>
    <r>
      <rPr>
        <sz val="11"/>
        <rFont val="Calibri"/>
        <family val="2"/>
      </rPr>
      <t>Sensori capacitivi</t>
    </r>
  </si>
  <si>
    <t>Capacitive Sensors</t>
  </si>
  <si>
    <r>
      <rPr>
        <sz val="11"/>
        <rFont val="Calibri"/>
        <family val="2"/>
      </rPr>
      <t>Kapacitetssensorer</t>
    </r>
  </si>
  <si>
    <r>
      <rPr>
        <sz val="11"/>
        <rFont val="Calibri"/>
        <family val="2"/>
      </rPr>
      <t>Talpiniai jutikliai</t>
    </r>
  </si>
  <si>
    <r>
      <rPr>
        <sz val="11"/>
        <rFont val="Calibri"/>
        <family val="2"/>
      </rPr>
      <t>Kapasitive sensorer</t>
    </r>
  </si>
  <si>
    <r>
      <rPr>
        <sz val="11"/>
        <rFont val="Calibri"/>
        <family val="2"/>
      </rPr>
      <t>Kapacitiva givare</t>
    </r>
  </si>
  <si>
    <r>
      <rPr>
        <sz val="11"/>
        <rFont val="Calibri"/>
        <family val="2"/>
      </rPr>
      <t>Mahtuvuslikud andurid</t>
    </r>
  </si>
  <si>
    <r>
      <rPr>
        <sz val="11"/>
        <rFont val="Calibri"/>
        <family val="2"/>
      </rPr>
      <t>Kapasitiiviset anturit</t>
    </r>
  </si>
  <si>
    <r>
      <rPr>
        <sz val="11"/>
        <rFont val="Calibri"/>
        <family val="2"/>
      </rPr>
      <t>Kapacitīvie sensori</t>
    </r>
  </si>
  <si>
    <r>
      <rPr>
        <sz val="11"/>
        <rFont val="Calibri"/>
        <family val="2"/>
      </rPr>
      <t>Capacitieve sensoren</t>
    </r>
  </si>
  <si>
    <r>
      <rPr>
        <sz val="11"/>
        <rFont val="Calibri"/>
        <family val="2"/>
      </rPr>
      <t>Czujniki pojemnościowe</t>
    </r>
  </si>
  <si>
    <r>
      <rPr>
        <sz val="11"/>
        <rFont val="Calibri"/>
        <family val="2"/>
      </rPr>
      <t>Емкостные датчики</t>
    </r>
  </si>
  <si>
    <r>
      <rPr>
        <sz val="11"/>
        <rFont val="Calibri"/>
        <family val="2"/>
      </rPr>
      <t>Kapacitní snímače</t>
    </r>
  </si>
  <si>
    <t>Senzori capacitivi</t>
  </si>
  <si>
    <r>
      <rPr>
        <sz val="11"/>
        <rFont val="Calibri"/>
        <family val="2"/>
      </rPr>
      <t>Kapacitív érzékelők</t>
    </r>
  </si>
  <si>
    <r>
      <rPr>
        <sz val="11"/>
        <rFont val="Calibri"/>
        <family val="2"/>
      </rPr>
      <t>Kapacitné senzory</t>
    </r>
  </si>
  <si>
    <r>
      <rPr>
        <sz val="11"/>
        <rFont val="Calibri"/>
        <family val="2"/>
      </rPr>
      <t>Capteurs à ultrasons</t>
    </r>
  </si>
  <si>
    <r>
      <rPr>
        <sz val="11"/>
        <rFont val="Calibri"/>
        <family val="2"/>
      </rPr>
      <t>Sensori a ultrasuoni</t>
    </r>
  </si>
  <si>
    <t>Ultrasonic Sensors</t>
  </si>
  <si>
    <r>
      <rPr>
        <sz val="11"/>
        <rFont val="Calibri"/>
        <family val="2"/>
      </rPr>
      <t>Ultralydssensorer</t>
    </r>
  </si>
  <si>
    <r>
      <rPr>
        <sz val="11"/>
        <rFont val="Calibri"/>
        <family val="2"/>
      </rPr>
      <t>Ultragarsiniai jutikliai</t>
    </r>
  </si>
  <si>
    <r>
      <rPr>
        <sz val="11"/>
        <rFont val="Calibri"/>
        <family val="2"/>
      </rPr>
      <t>Ultrasoniske sensorer</t>
    </r>
  </si>
  <si>
    <r>
      <rPr>
        <sz val="11"/>
        <rFont val="Calibri"/>
        <family val="2"/>
      </rPr>
      <t>Ultraljudsgivare</t>
    </r>
  </si>
  <si>
    <r>
      <rPr>
        <sz val="11"/>
        <rFont val="Calibri"/>
        <family val="2"/>
      </rPr>
      <t>Ultraheliandurid</t>
    </r>
  </si>
  <si>
    <r>
      <rPr>
        <sz val="11"/>
        <rFont val="Calibri"/>
        <family val="2"/>
      </rPr>
      <t>Ultraäänianturit</t>
    </r>
  </si>
  <si>
    <r>
      <rPr>
        <sz val="11"/>
        <rFont val="Calibri"/>
        <family val="2"/>
      </rPr>
      <t>Ultraskaņas sensori</t>
    </r>
  </si>
  <si>
    <r>
      <rPr>
        <sz val="11"/>
        <rFont val="Calibri"/>
        <family val="2"/>
      </rPr>
      <t>Ultrasoonsensoren</t>
    </r>
  </si>
  <si>
    <r>
      <rPr>
        <sz val="11"/>
        <rFont val="Calibri"/>
        <family val="2"/>
      </rPr>
      <t>Czujniki ultradźwiękowe</t>
    </r>
  </si>
  <si>
    <r>
      <rPr>
        <sz val="11"/>
        <rFont val="Calibri"/>
        <family val="2"/>
      </rPr>
      <t>Ультразвуковые датчики</t>
    </r>
  </si>
  <si>
    <r>
      <rPr>
        <sz val="11"/>
        <rFont val="Calibri"/>
        <family val="2"/>
      </rPr>
      <t>Ultrazvukové snímače</t>
    </r>
  </si>
  <si>
    <t>Senzori ultrasonici</t>
  </si>
  <si>
    <r>
      <rPr>
        <sz val="11"/>
        <rFont val="Calibri"/>
        <family val="2"/>
      </rPr>
      <t>Ultrahangos érzékelők</t>
    </r>
  </si>
  <si>
    <r>
      <rPr>
        <sz val="11"/>
        <rFont val="Calibri"/>
        <family val="2"/>
      </rPr>
      <t>Ultrazvukové senzory</t>
    </r>
  </si>
  <si>
    <t>Optilised andurid</t>
  </si>
  <si>
    <t>Optiset anturit</t>
  </si>
  <si>
    <t>Optiskie sensori</t>
  </si>
  <si>
    <t>Optische sensoren</t>
  </si>
  <si>
    <t>Czujniki optyczne</t>
  </si>
  <si>
    <t>Оптические датчики</t>
  </si>
  <si>
    <t>Optické snímače</t>
  </si>
  <si>
    <t>Senzori optici</t>
  </si>
  <si>
    <t>Optikai érzékelők</t>
  </si>
  <si>
    <t>Herkonid / Halli andurid</t>
  </si>
  <si>
    <t>Reed / Hall anturit</t>
  </si>
  <si>
    <t>Herkoni / Holla devēji</t>
  </si>
  <si>
    <t>Reed en Hall Sensoren</t>
  </si>
  <si>
    <t>Czujniki kontaktronowe / Halla</t>
  </si>
  <si>
    <t>Датчики Холла / Герконы</t>
  </si>
  <si>
    <t>Reed / Hall snímače</t>
  </si>
  <si>
    <t>Reed - / Hall senzori</t>
  </si>
  <si>
    <t>Reed- / Hall-érzékelők</t>
  </si>
  <si>
    <t>Asendi- / Nurgaandurid</t>
  </si>
  <si>
    <t>Asento/Kulmaanturit</t>
  </si>
  <si>
    <t>Stāvokļa / leņķa sensori</t>
  </si>
  <si>
    <t>Verplaatsing en hoek sensoren</t>
  </si>
  <si>
    <t>Czujniki pozycji / kąta</t>
  </si>
  <si>
    <t>Датчики Положения/ Угловые</t>
  </si>
  <si>
    <t>Snímače pojezdu</t>
  </si>
  <si>
    <t>Calea / unghi traductor</t>
  </si>
  <si>
    <t>Úthossz- / Szögelfordulás-mérők</t>
  </si>
  <si>
    <t>Pöörlevad enkoodrid</t>
  </si>
  <si>
    <t>Kiertoanturit</t>
  </si>
  <si>
    <t>Rotācijas devēji</t>
  </si>
  <si>
    <t>Rotatie encoders</t>
  </si>
  <si>
    <t>Enkodery</t>
  </si>
  <si>
    <t>Датчики вращения</t>
  </si>
  <si>
    <t>Enkodéry</t>
  </si>
  <si>
    <t>Codificator rotativ</t>
  </si>
  <si>
    <t>Forgásjeladó</t>
  </si>
  <si>
    <t>Lülitid / Arvestid / Seireseadmed / Juhtseadmed / Indikaatorid</t>
  </si>
  <si>
    <r>
      <rPr>
        <sz val="11"/>
        <rFont val="Calibri"/>
        <family val="2"/>
      </rPr>
      <t>Kytkentä- / annostelu- &amp; laskenta- / seuranta- / komento- / merkinantolaitteet</t>
    </r>
  </si>
  <si>
    <t>Komutācijas / Mērīšanas un uzskaites / Uzraudzības /  Vadības / Indikācijas ierīces</t>
  </si>
  <si>
    <t>Schakelen / meten en tellen / uitlezen / besturen / signaleren</t>
  </si>
  <si>
    <t>Przełączanie / Pomiary i zliczanie / Monitorowanie /Sterowanie / Urządzenia sygnalizujące</t>
  </si>
  <si>
    <t>Переключение / Измерительные &amp; Контроль / Мониторинг / Команда / Сигнальные устройства</t>
  </si>
  <si>
    <t>Spínací / Měřicí a počítací / Monitorováncí / Příkazové / Signalizační přístroje</t>
  </si>
  <si>
    <t>Comutare / de măsurare şi numărătoare / monitorizare / comanda / semnalizare</t>
  </si>
  <si>
    <t>Kapcsoló- / Mérő- és számláló- / Felügyeleti- / Parancsbeviteli- / Jelzőeszközök</t>
  </si>
  <si>
    <t>Viitereleed</t>
  </si>
  <si>
    <t>Viivereleet</t>
  </si>
  <si>
    <t>Laika releji</t>
  </si>
  <si>
    <t>Vertragingsrelais</t>
  </si>
  <si>
    <t>Przekaźniki czasowe</t>
  </si>
  <si>
    <t>Реле задержки времени</t>
  </si>
  <si>
    <t>Časové relé</t>
  </si>
  <si>
    <t>Releu de timp</t>
  </si>
  <si>
    <t>Időrelék</t>
  </si>
  <si>
    <t>Aegreleed</t>
  </si>
  <si>
    <t>Kelloreleet</t>
  </si>
  <si>
    <t>Pulksteņa releji</t>
  </si>
  <si>
    <t>Schakelklokken</t>
  </si>
  <si>
    <t>Zegary sterujące</t>
  </si>
  <si>
    <t>Реле времени</t>
  </si>
  <si>
    <t>Časovač</t>
  </si>
  <si>
    <t>Comutatoare de timp</t>
  </si>
  <si>
    <t>Kapcsolóórák</t>
  </si>
  <si>
    <t>Arvestid</t>
  </si>
  <si>
    <t>Mittarit</t>
  </si>
  <si>
    <t>Mērītāji</t>
  </si>
  <si>
    <t>Liczniki</t>
  </si>
  <si>
    <t>Измерители</t>
  </si>
  <si>
    <t>Počítadlo</t>
  </si>
  <si>
    <t>Contoare</t>
  </si>
  <si>
    <t>Számlálók</t>
  </si>
  <si>
    <t>Seirereleed /Moodulid</t>
  </si>
  <si>
    <t>Monitorointireleet</t>
  </si>
  <si>
    <t>Uzraudzības releji / moduļi</t>
  </si>
  <si>
    <t>Bewakingsrelais / Bewakingsmodules</t>
  </si>
  <si>
    <t>Przekaźniki nadzoru / Moduły</t>
  </si>
  <si>
    <t>Реле контроля / Модули</t>
  </si>
  <si>
    <t>Monitorovací relé / moduly</t>
  </si>
  <si>
    <t>Relee de monitorizare / module</t>
  </si>
  <si>
    <t>Felügyeletirelék / -modulok</t>
  </si>
  <si>
    <t>Ohutuskomponendid</t>
  </si>
  <si>
    <t>Turvakomponentit</t>
  </si>
  <si>
    <t>Drošības komponentes</t>
  </si>
  <si>
    <t>Veiligheisproducten</t>
  </si>
  <si>
    <t>Elementy bezpieczeństwa</t>
  </si>
  <si>
    <t>Компоненты безопасности</t>
  </si>
  <si>
    <t>Bezpečnostní prvky</t>
  </si>
  <si>
    <t>Componente de securitate</t>
  </si>
  <si>
    <t>Biztonsági alkatrészek</t>
  </si>
  <si>
    <t>Lõpulülitid</t>
  </si>
  <si>
    <t>Rajakytkimet</t>
  </si>
  <si>
    <t>Līmeņa slēdži</t>
  </si>
  <si>
    <t>Eindschakelaars</t>
  </si>
  <si>
    <t>Przełączniki krańcowe</t>
  </si>
  <si>
    <t>Концевые выключатели</t>
  </si>
  <si>
    <t>Polohový spínač</t>
  </si>
  <si>
    <t>Limitatoare</t>
  </si>
  <si>
    <t>Helyzetkapcsolók</t>
  </si>
  <si>
    <t>Juhtlülitid ja indikaatorid 22mm</t>
  </si>
  <si>
    <t>Ohjauskytkimet 22mm</t>
  </si>
  <si>
    <t>Kontrolslēdži un signālierīces 22 mm</t>
  </si>
  <si>
    <t>Schakelaars en signalering voor besturingen (22mm serie)</t>
  </si>
  <si>
    <t>Aparatura sterująca i sygnalizacyjna 22 mm</t>
  </si>
  <si>
    <t>Переключатели управления и сигнальные устройства 22 мм</t>
  </si>
  <si>
    <t>Ovládací a signalizační přístroje 22mm</t>
  </si>
  <si>
    <t>Comanda si semnalizatoare 22 mm</t>
  </si>
  <si>
    <t>Parancsbeviteli- és jelzőeszközök 22 mm</t>
  </si>
  <si>
    <t>Mootorid / Kontrollerid / Täiturid</t>
  </si>
  <si>
    <t>Moottorit/ ohjaimet</t>
  </si>
  <si>
    <t>Motori / Kontrolieri / Izpildmehānismi</t>
  </si>
  <si>
    <t>Motoren / Besturingen / Actuatoren</t>
  </si>
  <si>
    <t>Silniki / Sterowniki / Siłowniki</t>
  </si>
  <si>
    <t>Двигатели / Контроллеры / Приводы</t>
  </si>
  <si>
    <t>Technika pohonů</t>
  </si>
  <si>
    <t>Tehnologii de acţionare</t>
  </si>
  <si>
    <t>Meghajtástechnika</t>
  </si>
  <si>
    <t>Mootori kontrollerid</t>
  </si>
  <si>
    <t>Moottoriohjaimet</t>
  </si>
  <si>
    <t>Motoru kontrolieri</t>
  </si>
  <si>
    <t>Motorbesturingen</t>
  </si>
  <si>
    <t>Sterowanie silników</t>
  </si>
  <si>
    <t>Управление двигателями</t>
  </si>
  <si>
    <t>Ovladanie motorů</t>
  </si>
  <si>
    <t>Motoare de comandă</t>
  </si>
  <si>
    <t>Motorvezérlések</t>
  </si>
  <si>
    <t>Alalisvoolumootorid</t>
  </si>
  <si>
    <t>DC-virtamoottorit</t>
  </si>
  <si>
    <t>Līdzstrāvas motori</t>
  </si>
  <si>
    <t>Gelijkstroommotoren</t>
  </si>
  <si>
    <t>Silniki prądu stałego</t>
  </si>
  <si>
    <t>Двигатели постоянного тока</t>
  </si>
  <si>
    <t>Stejnosměrné motory</t>
  </si>
  <si>
    <t>Motoare de curent continu</t>
  </si>
  <si>
    <t>Egyenáramú motorok</t>
  </si>
  <si>
    <t>Sammmootorid ja servoajamid</t>
  </si>
  <si>
    <t>Askelmoottorit</t>
  </si>
  <si>
    <t>Soļu dzinēji un servodzinēji</t>
  </si>
  <si>
    <t>Servo en stappenmotoren</t>
  </si>
  <si>
    <t>Silniki krokowe i Napędy serwo</t>
  </si>
  <si>
    <t>Шаговых двигателей и Сервоприводы</t>
  </si>
  <si>
    <t>Krokové motory a servopohony</t>
  </si>
  <si>
    <t>Motoare cu pas şi servo Drive</t>
  </si>
  <si>
    <t>Léptetőmotorok és szervohajtások</t>
  </si>
  <si>
    <t>Vahelduvvoolu ja kolmefaasilised mootorid</t>
  </si>
  <si>
    <t>AC-virtamoottorit</t>
  </si>
  <si>
    <t>Maiņstrāvas un trīsfāzu motori</t>
  </si>
  <si>
    <t>Driefasen en wisselstroommotoren</t>
  </si>
  <si>
    <t>Silniki prądu przemiennego i trójfazowe</t>
  </si>
  <si>
    <t>Двигатели переменного тока и Трехфазные двигатели</t>
  </si>
  <si>
    <t>Striedavé a trojfázové motory</t>
  </si>
  <si>
    <t>Tensiune AC și motoare AC</t>
  </si>
  <si>
    <t>Váltakozó- és háromfázisú motorok</t>
  </si>
  <si>
    <t>Jõuülekanded</t>
  </si>
  <si>
    <t>Vaihteet</t>
  </si>
  <si>
    <t>Transmisijas</t>
  </si>
  <si>
    <t>Overbrengingen</t>
  </si>
  <si>
    <t>Napędy</t>
  </si>
  <si>
    <t>Трансмиссии</t>
  </si>
  <si>
    <t>Převodovka</t>
  </si>
  <si>
    <t>Aparate de acţionare</t>
  </si>
  <si>
    <t>Hajtómű</t>
  </si>
  <si>
    <t>Lineaarajamid</t>
  </si>
  <si>
    <t>Lineaariset asemat</t>
  </si>
  <si>
    <t>Lineārie dzinēji</t>
  </si>
  <si>
    <t>Lineaire motoren</t>
  </si>
  <si>
    <t>Silniki liniowe</t>
  </si>
  <si>
    <t>Линейные приводы</t>
  </si>
  <si>
    <t>Lineární pohony</t>
  </si>
  <si>
    <t>Aparate acţionări liniare</t>
  </si>
  <si>
    <t>Lineáris hajtások</t>
  </si>
  <si>
    <t>Täiturid</t>
  </si>
  <si>
    <t>Sovittimet</t>
  </si>
  <si>
    <t>Aktuatori</t>
  </si>
  <si>
    <t>Siłowniki</t>
  </si>
  <si>
    <t>Приводы</t>
  </si>
  <si>
    <t>Akční členy</t>
  </si>
  <si>
    <t>Elemente de acționare</t>
  </si>
  <si>
    <t>Aktuátorok</t>
  </si>
  <si>
    <t>Pneumaatika</t>
  </si>
  <si>
    <t>Paineilma</t>
  </si>
  <si>
    <t>Pneimatiskās ierīces</t>
  </si>
  <si>
    <t>Pneumatiek</t>
  </si>
  <si>
    <t>Pneumatyka</t>
  </si>
  <si>
    <t>Пневматика</t>
  </si>
  <si>
    <t>Pneumatické prvky</t>
  </si>
  <si>
    <t>Pneumatice</t>
  </si>
  <si>
    <t>Ventiilid</t>
  </si>
  <si>
    <t>Venttiilit</t>
  </si>
  <si>
    <t>Vārsti</t>
  </si>
  <si>
    <t>Kleppen</t>
  </si>
  <si>
    <t>Zawory</t>
  </si>
  <si>
    <t>Арматура</t>
  </si>
  <si>
    <t>Ventily</t>
  </si>
  <si>
    <t>Supape</t>
  </si>
  <si>
    <t>Szelep</t>
  </si>
  <si>
    <t>Actuatoren</t>
  </si>
  <si>
    <t>Pohony</t>
  </si>
  <si>
    <t>Drive-urile</t>
  </si>
  <si>
    <t>Meghajtás</t>
  </si>
  <si>
    <t>Ühendusdetailid / Kontrollventiilid</t>
  </si>
  <si>
    <t>Uzgaļi / Pretvārsti</t>
  </si>
  <si>
    <t>Koppelingen / Afsluiters</t>
  </si>
  <si>
    <t>Złączki i Akcesoria do zaworów</t>
  </si>
  <si>
    <t>Фитинги / Контрольные клапаны</t>
  </si>
  <si>
    <t>Konektory / zpětné ventily</t>
  </si>
  <si>
    <t>Conector / supape</t>
  </si>
  <si>
    <t>Konnektor / Elzárószelep</t>
  </si>
  <si>
    <t>Vaakumtehnoloogia</t>
  </si>
  <si>
    <t>Vakumitekniikka</t>
  </si>
  <si>
    <t>Vakuuma tehnoloģijas</t>
  </si>
  <si>
    <t>Vacuum techniek</t>
  </si>
  <si>
    <t>Technika próżniowa</t>
  </si>
  <si>
    <t>Вакуумная техника</t>
  </si>
  <si>
    <t>Vákuová technika</t>
  </si>
  <si>
    <t>Tehnologie de vacuum</t>
  </si>
  <si>
    <t>Vákumtechnika</t>
  </si>
  <si>
    <t>Õhukäitlussüsteemid</t>
  </si>
  <si>
    <t>Ilmankäsittelyjärjestelmät</t>
  </si>
  <si>
    <t>Gaisa apstrāde</t>
  </si>
  <si>
    <t>Luchtbehandeling</t>
  </si>
  <si>
    <t>Systemy jakości powietrza</t>
  </si>
  <si>
    <t>Система очистки воздуха</t>
  </si>
  <si>
    <t>Klimatizace</t>
  </si>
  <si>
    <t>Preparare aer</t>
  </si>
  <si>
    <t>Levegő-előkészítés</t>
  </si>
  <si>
    <t>Asendiandurid</t>
  </si>
  <si>
    <t>Asentoanturit paineilma</t>
  </si>
  <si>
    <t>Pneimatiskie pozīcijas sensori</t>
  </si>
  <si>
    <t>Positie sensoren</t>
  </si>
  <si>
    <t>Czujniki położenia do pneumatyki</t>
  </si>
  <si>
    <t>Позиционные датчики для пневматическогооборудования</t>
  </si>
  <si>
    <t>Snímače polohy pro pneumatiky</t>
  </si>
  <si>
    <t>Senzori de poziţie pentru pneumatice</t>
  </si>
  <si>
    <t>Helyzetkapcsolók a Pneumatikához</t>
  </si>
  <si>
    <t>Signaaliseadmed</t>
  </si>
  <si>
    <t>Merkinantolaitteet</t>
  </si>
  <si>
    <t>Signālu ģeneratori</t>
  </si>
  <si>
    <t>Signalering</t>
  </si>
  <si>
    <t>Sygnalizatory</t>
  </si>
  <si>
    <t>Сигналы</t>
  </si>
  <si>
    <t>Signalizační přístroje</t>
  </si>
  <si>
    <t>Emiţător de semnal</t>
  </si>
  <si>
    <t>Jeladó</t>
  </si>
  <si>
    <t>Optilise signaali generaatorid</t>
  </si>
  <si>
    <t>Optinen merkinanto</t>
  </si>
  <si>
    <t>Optisko signālu ģeneratori</t>
  </si>
  <si>
    <t>Signalering, optisch</t>
  </si>
  <si>
    <t>Sygnalizatory optyczne</t>
  </si>
  <si>
    <t>Генераторы оптического сигнала</t>
  </si>
  <si>
    <t>Optické signalizační přístroje</t>
  </si>
  <si>
    <t>Dispozitive de semnalizare optic</t>
  </si>
  <si>
    <t>Optikai jeladó</t>
  </si>
  <si>
    <t>Optilise- / Akustilise signaali generaatorid</t>
  </si>
  <si>
    <t>Optinen/akustinen merkinanto</t>
  </si>
  <si>
    <t>Optisko / akustisko signālu ģeneratori</t>
  </si>
  <si>
    <t>Signalering, optisch / akoestisch</t>
  </si>
  <si>
    <t>Sygnalizatory optyczne / akustyczne</t>
  </si>
  <si>
    <t>Генераторы оптических / акустических сигналов</t>
  </si>
  <si>
    <t>Opticko -akustický vysílač signálu</t>
  </si>
  <si>
    <t>Dispozitive de semnalizare optic şi acustic</t>
  </si>
  <si>
    <t>Optikai-akusztikus jeladó</t>
  </si>
  <si>
    <t>Akustilise signaali generaatorid</t>
  </si>
  <si>
    <t>Akustinen merkinanto</t>
  </si>
  <si>
    <t>Akustisko signālu ģeneratori</t>
  </si>
  <si>
    <t>Sygnalizatory akustyczne</t>
  </si>
  <si>
    <t>Генераторы акустических сигналов</t>
  </si>
  <si>
    <t>Sirény</t>
  </si>
  <si>
    <t>Dispozitive de semnalizare acustic</t>
  </si>
  <si>
    <t>Akusztikus jeladó</t>
  </si>
  <si>
    <t>Techniques de bâtiment</t>
  </si>
  <si>
    <t>Tecnologie per gli edifici</t>
  </si>
  <si>
    <t>Bygningsteknologi</t>
  </si>
  <si>
    <t>Protingo namo technologijos</t>
  </si>
  <si>
    <t>Bygningsteknologier</t>
  </si>
  <si>
    <t>Byggteknik</t>
  </si>
  <si>
    <r>
      <rPr>
        <sz val="11"/>
        <color theme="1"/>
        <rFont val="Calibri"/>
        <family val="2"/>
      </rPr>
      <t>Tehnoloogiate loomine</t>
    </r>
  </si>
  <si>
    <t>Rakennustekniikka</t>
  </si>
  <si>
    <r>
      <rPr>
        <sz val="11"/>
        <color theme="1"/>
        <rFont val="Calibri"/>
        <family val="2"/>
      </rPr>
      <t>Būvniecības tehnoloģijas</t>
    </r>
  </si>
  <si>
    <r>
      <rPr>
        <sz val="11"/>
        <color theme="1"/>
        <rFont val="Calibri"/>
        <family val="2"/>
      </rPr>
      <t>Bouwtechnologieën</t>
    </r>
  </si>
  <si>
    <t>Technika budowlana</t>
  </si>
  <si>
    <t>Строительные технологии</t>
  </si>
  <si>
    <t>Stavební technologie</t>
  </si>
  <si>
    <t>Tehnologii clădiri</t>
  </si>
  <si>
    <t>Épülettechnológiák</t>
  </si>
  <si>
    <t>Automatisation de la construction</t>
  </si>
  <si>
    <t>Automazione per gli edifici</t>
  </si>
  <si>
    <t>Bygningsautomatik</t>
  </si>
  <si>
    <t>Pastatų automatika</t>
  </si>
  <si>
    <t>Bygningsautomatisering</t>
  </si>
  <si>
    <t>Byggautomation</t>
  </si>
  <si>
    <r>
      <rPr>
        <sz val="11"/>
        <rFont val="Arial"/>
        <family val="2"/>
      </rPr>
      <t>Automaatika loomine</t>
    </r>
  </si>
  <si>
    <t>Rakennusautomaatio</t>
  </si>
  <si>
    <r>
      <rPr>
        <sz val="11"/>
        <rFont val="Arial"/>
        <family val="2"/>
      </rPr>
      <t>Būvniecības automatizācija</t>
    </r>
  </si>
  <si>
    <r>
      <rPr>
        <sz val="11"/>
        <rFont val="Arial"/>
        <family val="2"/>
      </rPr>
      <t>Gebouwautomatisering</t>
    </r>
  </si>
  <si>
    <t>Systemy automatyki budynków</t>
  </si>
  <si>
    <t>Строительная автоматизация</t>
  </si>
  <si>
    <t>Stavební automatizace</t>
  </si>
  <si>
    <t>Sisteme de automatizare clădiri</t>
  </si>
  <si>
    <t>Épületautomatizálás</t>
  </si>
  <si>
    <t>Sécurité des bâtiments</t>
  </si>
  <si>
    <t>Sicurezza degli edifici</t>
  </si>
  <si>
    <t>Bygningssikkerhed</t>
  </si>
  <si>
    <t>Apsaugos komponentai</t>
  </si>
  <si>
    <t>Bygningssikkerhet</t>
  </si>
  <si>
    <t>Byggsäkerhet</t>
  </si>
  <si>
    <r>
      <rPr>
        <sz val="11"/>
        <rFont val="Arial"/>
        <family val="2"/>
      </rPr>
      <t>Turvalisuse loomine</t>
    </r>
  </si>
  <si>
    <t>Rakennusturvallisuus</t>
  </si>
  <si>
    <r>
      <rPr>
        <sz val="11"/>
        <rFont val="Arial"/>
        <family val="2"/>
      </rPr>
      <t>Ēkas drošība</t>
    </r>
  </si>
  <si>
    <r>
      <rPr>
        <sz val="11"/>
        <rFont val="Arial"/>
        <family val="2"/>
      </rPr>
      <t>Gebouwbeveiliging</t>
    </r>
  </si>
  <si>
    <t>Bezpieczeństwo budynków</t>
  </si>
  <si>
    <t>Строительная безопасность</t>
  </si>
  <si>
    <t>Stavební bezpečnost</t>
  </si>
  <si>
    <t>Sisteme de securitate clădiri</t>
  </si>
  <si>
    <t>Épületbiztonság</t>
  </si>
  <si>
    <t>Systèmes de commutation à distance</t>
  </si>
  <si>
    <t>Sistemi di commutazione remoti</t>
  </si>
  <si>
    <t>Fjernstyrede switchsystemer</t>
  </si>
  <si>
    <t>Nuotolinio valdymo sistemos</t>
  </si>
  <si>
    <t>Eksterne vekslesystemer</t>
  </si>
  <si>
    <t>Fjärrstyrda switchsystem</t>
  </si>
  <si>
    <r>
      <rPr>
        <sz val="11"/>
        <rFont val="Arial"/>
        <family val="2"/>
      </rPr>
      <t>Kauglülitussüsteemid</t>
    </r>
  </si>
  <si>
    <t>Etäkytkentäjärjestelmät</t>
  </si>
  <si>
    <r>
      <rPr>
        <sz val="11"/>
        <rFont val="Arial"/>
        <family val="2"/>
      </rPr>
      <t>Attāli pārslēdzamas sistēmas</t>
    </r>
  </si>
  <si>
    <r>
      <rPr>
        <sz val="11"/>
        <rFont val="Arial"/>
        <family val="2"/>
      </rPr>
      <t>Op afstand bedienbare schakelsystemen</t>
    </r>
  </si>
  <si>
    <t>Systemy zdalnego przełączania</t>
  </si>
  <si>
    <t>Системы дистанционного переключения</t>
  </si>
  <si>
    <t>Dálkové přepínací systémy</t>
  </si>
  <si>
    <t>Sisteme de comutare la distanţă</t>
  </si>
  <si>
    <t>Távirányítós kapcsolórendszerek</t>
  </si>
  <si>
    <t>Unités de commande</t>
  </si>
  <si>
    <t>Unità di controllo</t>
  </si>
  <si>
    <t>Control Units</t>
  </si>
  <si>
    <t>Styreenheder</t>
  </si>
  <si>
    <t>Kontrolės prietaisai</t>
  </si>
  <si>
    <t>Kontrollenheter</t>
  </si>
  <si>
    <t>Styrenheter</t>
  </si>
  <si>
    <r>
      <rPr>
        <sz val="11"/>
        <rFont val="Calibri"/>
        <family val="2"/>
      </rPr>
      <t>Juhtseadmed</t>
    </r>
  </si>
  <si>
    <t>Ohjausyksiköt</t>
  </si>
  <si>
    <r>
      <rPr>
        <sz val="11"/>
        <rFont val="Calibri"/>
        <family val="2"/>
      </rPr>
      <t>Vadības ierīces</t>
    </r>
  </si>
  <si>
    <r>
      <rPr>
        <sz val="11"/>
        <rFont val="Calibri"/>
        <family val="2"/>
      </rPr>
      <t>Regeleenheden</t>
    </r>
  </si>
  <si>
    <t>Układy sterujące</t>
  </si>
  <si>
    <t>Блоки управления</t>
  </si>
  <si>
    <t>Řídicí jednotky</t>
  </si>
  <si>
    <t>Unităţi de comandă</t>
  </si>
  <si>
    <t>Vezérlőegységek</t>
  </si>
  <si>
    <t>Trafod</t>
  </si>
  <si>
    <t>Muuntajat</t>
  </si>
  <si>
    <t>Transformatori</t>
  </si>
  <si>
    <t>Transformatory</t>
  </si>
  <si>
    <t>Трансформаторы</t>
  </si>
  <si>
    <t>Transformátory</t>
  </si>
  <si>
    <t>Transformatoare</t>
  </si>
  <si>
    <t>Transzformátorok</t>
  </si>
  <si>
    <t>Trükkplaaditrafod</t>
  </si>
  <si>
    <t>Piirilevymuuntajat</t>
  </si>
  <si>
    <t>PCB transformatori</t>
  </si>
  <si>
    <t>Printtransformatoren</t>
  </si>
  <si>
    <t>Transformatory PCB</t>
  </si>
  <si>
    <t>PCB трансформаторы</t>
  </si>
  <si>
    <t>PCB transformátory</t>
  </si>
  <si>
    <t>Transformatoare de montat pe plăci</t>
  </si>
  <si>
    <t>NYÁK-ba ültethető transzformátorok</t>
  </si>
  <si>
    <t>Universaalsed trafod</t>
  </si>
  <si>
    <t>Yleismuuntajat</t>
  </si>
  <si>
    <t>Universālie transformatori</t>
  </si>
  <si>
    <t>Universele transformatoren</t>
  </si>
  <si>
    <t>Transformatory uniwersalne</t>
  </si>
  <si>
    <t>Универсальные  трансформаторы</t>
  </si>
  <si>
    <t>Univerzální transformátory</t>
  </si>
  <si>
    <t>Transformatoare universale</t>
  </si>
  <si>
    <t>Univerzális transzformátorok</t>
  </si>
  <si>
    <t>Kontrolltrafod</t>
  </si>
  <si>
    <t>Ohjausmuuntajat</t>
  </si>
  <si>
    <t>Vadības transformatori</t>
  </si>
  <si>
    <t>Stuurtransformatoren</t>
  </si>
  <si>
    <t>Transformatory sterujące</t>
  </si>
  <si>
    <t>Управляющие трансформаторы</t>
  </si>
  <si>
    <t>Ovládací transformátory</t>
  </si>
  <si>
    <t>Transformator de control</t>
  </si>
  <si>
    <t>Vezérlőtranszformátor</t>
  </si>
  <si>
    <t>Toroidtrafod</t>
  </si>
  <si>
    <t>Rengassydänmuuntajat</t>
  </si>
  <si>
    <t>Toroidālie transformatori</t>
  </si>
  <si>
    <t>Transformatory toroidalne</t>
  </si>
  <si>
    <t>Тороидальный трансформаторы</t>
  </si>
  <si>
    <t>Toroidní transformátory</t>
  </si>
  <si>
    <t>Transformatoare toroidale bobinate pe bază de ferită</t>
  </si>
  <si>
    <t>Gyűrűs vasmagos transzformátorok</t>
  </si>
  <si>
    <t>Ohutustrafod</t>
  </si>
  <si>
    <t>Drošības transformatori</t>
  </si>
  <si>
    <t>Veiligheidstransformatoren</t>
  </si>
  <si>
    <t>Transformatory bezpieczeństwa</t>
  </si>
  <si>
    <t>Защитные Трансформаторы</t>
  </si>
  <si>
    <t>Bezpečnostní transformátory</t>
  </si>
  <si>
    <t>Transformatoare de siguranţă</t>
  </si>
  <si>
    <t>Biztonsági transzformátorok</t>
  </si>
  <si>
    <t>Autotrafod / Eraldustrafod</t>
  </si>
  <si>
    <t>Eristysmuuntajat</t>
  </si>
  <si>
    <t>Autotransformatori / atdalošie transformatori</t>
  </si>
  <si>
    <t>Autotransformatoren / Isolatietransformatoren</t>
  </si>
  <si>
    <t>Autotransformatory / Transformatory separujące</t>
  </si>
  <si>
    <t>Autotransformatory</t>
  </si>
  <si>
    <t>Transformatoare de intrare / transformatoare adaptabile</t>
  </si>
  <si>
    <t>Előtét transzformátorok / Illesztő transzformátorok</t>
  </si>
  <si>
    <t>Autotrafod</t>
  </si>
  <si>
    <t>Säädettävät muuntajat</t>
  </si>
  <si>
    <t>Regulējami transformatori</t>
  </si>
  <si>
    <t>Transformatory regulowane</t>
  </si>
  <si>
    <t>Поворотные трансформаторы</t>
  </si>
  <si>
    <t>Regulační transformátory</t>
  </si>
  <si>
    <t>Transformatoare reglabile</t>
  </si>
  <si>
    <t>Szabályozó transzformátorok</t>
  </si>
  <si>
    <t>Patareid / Laadijad /</t>
  </si>
  <si>
    <t>Paristot/Laturit</t>
  </si>
  <si>
    <t>Baterijas / Lādētāji / Atjaunojamā enerģija</t>
  </si>
  <si>
    <t>Batterijen / Accus / Laders / Zon &amp; Wind energie</t>
  </si>
  <si>
    <t>Baterie / Ładowarki / Źródła odnawialne</t>
  </si>
  <si>
    <t>Батареи / Зарядные устройства / Возобновляемая энергия</t>
  </si>
  <si>
    <t>Baterie / Nabíječky / Akumulátory</t>
  </si>
  <si>
    <t>Acumulatori / incarcatoare / regenerare</t>
  </si>
  <si>
    <t>Telepek / Töltők / Megújuló</t>
  </si>
  <si>
    <t>Patareid</t>
  </si>
  <si>
    <t>Laiteparistot</t>
  </si>
  <si>
    <t>Baterijas</t>
  </si>
  <si>
    <t>Eenmalige batterijen</t>
  </si>
  <si>
    <t>Baterie</t>
  </si>
  <si>
    <t>Батареи</t>
  </si>
  <si>
    <t>Přístrojové baterie</t>
  </si>
  <si>
    <t>Baterii pentru aparate</t>
  </si>
  <si>
    <t>Készülék elemek</t>
  </si>
  <si>
    <t>Akud</t>
  </si>
  <si>
    <t>Ladattavat akut</t>
  </si>
  <si>
    <t>Akumulatori</t>
  </si>
  <si>
    <t>Oplaadbare batterijen</t>
  </si>
  <si>
    <t>Akumulatory</t>
  </si>
  <si>
    <t>Аккумуляторы</t>
  </si>
  <si>
    <t>Akumulátory</t>
  </si>
  <si>
    <t>Acumulatori</t>
  </si>
  <si>
    <t>Akkumlátorok</t>
  </si>
  <si>
    <t>Laadijad</t>
  </si>
  <si>
    <t>Latauslaittet</t>
  </si>
  <si>
    <t>Lādētāji</t>
  </si>
  <si>
    <t>Laders</t>
  </si>
  <si>
    <t>Ładowarki</t>
  </si>
  <si>
    <t>Зарядные устройства</t>
  </si>
  <si>
    <t>Nabíječky</t>
  </si>
  <si>
    <t>Încărcătoare</t>
  </si>
  <si>
    <t>Töltők</t>
  </si>
  <si>
    <t>Taastuvenergia</t>
  </si>
  <si>
    <t>Usiutuva energia</t>
  </si>
  <si>
    <t>Atjaunojamā enerģija</t>
  </si>
  <si>
    <t>Zon &amp; Wind energie</t>
  </si>
  <si>
    <t>Energia odnawialna</t>
  </si>
  <si>
    <t>Возобновляемые источники энергии</t>
  </si>
  <si>
    <t>Obnovitelné zdroje energie</t>
  </si>
  <si>
    <t>Energie Regenerabilă</t>
  </si>
  <si>
    <t>Megújuló energia</t>
  </si>
  <si>
    <t>Patareide ja akude tarvikud</t>
  </si>
  <si>
    <t>Paristotarvikkeet</t>
  </si>
  <si>
    <t>Bateriju un akumulatoru piederumi</t>
  </si>
  <si>
    <t>Eenmalige en oplaadbare batterij accessoires</t>
  </si>
  <si>
    <t>Akcesoria do baterii i akumulatorów</t>
  </si>
  <si>
    <t>Аксессуары для батарей / аккумуляторов</t>
  </si>
  <si>
    <t>Příslušenství pro přístrojové baterie a akumulátory</t>
  </si>
  <si>
    <t>Accesorii pentru baterii &amp; acumulatori</t>
  </si>
  <si>
    <t>Tartozék a készüléktelepekhez és akkukhoz</t>
  </si>
  <si>
    <t>Tööstuslikud toiteplokid DC/DC, AC/DC</t>
  </si>
  <si>
    <t>Teollisuusteholähteet</t>
  </si>
  <si>
    <t>Industriālā barošana DC/DC, AC/DC</t>
  </si>
  <si>
    <t>Industriele voedingen DC/DC, AC/DC</t>
  </si>
  <si>
    <t>Przetwornice przemysłowe DC/DC, AC/DC</t>
  </si>
  <si>
    <t>Промышленные источники питания DC/DC, AC/DC</t>
  </si>
  <si>
    <t>Průmyslový napájecí zdroj DC / DC, AC / DC</t>
  </si>
  <si>
    <t>Surse de alimentare industriale DC/DC, AC/DC</t>
  </si>
  <si>
    <t>Ipari töltőkészülék DC/DC, AC/DC</t>
  </si>
  <si>
    <t>DC/DC toiteplokid</t>
  </si>
  <si>
    <t>DC/DC Virtalähteet</t>
  </si>
  <si>
    <t>DC/DC barošanas bloki</t>
  </si>
  <si>
    <t>DC/DC voedingen</t>
  </si>
  <si>
    <t>Przetwornice DC/DC</t>
  </si>
  <si>
    <t>DC/DC Источники питания</t>
  </si>
  <si>
    <t>DC / DC napájecí zdroje</t>
  </si>
  <si>
    <t>Surse de alimentare DC/DC</t>
  </si>
  <si>
    <t>DC/DC töltőkészülék</t>
  </si>
  <si>
    <t>AC/DC toiteplokid</t>
  </si>
  <si>
    <t>AC/DC Virtalähteet</t>
  </si>
  <si>
    <t>AC/DC barošanas bloki</t>
  </si>
  <si>
    <t>AC/DC voedingen</t>
  </si>
  <si>
    <t>Przetwornice AC/DC</t>
  </si>
  <si>
    <t>AC/DC Источники питания</t>
  </si>
  <si>
    <t>AC / DC napájecí zdroje</t>
  </si>
  <si>
    <t>Surse de alimentare AC/DC</t>
  </si>
  <si>
    <t>AC/DC töltőkészülék</t>
  </si>
  <si>
    <t>DC/DC toiteplokid, trükkplaadile</t>
  </si>
  <si>
    <t>DC/DC Virtalähteet, PCB</t>
  </si>
  <si>
    <t>DC/DC barošanas bloki, PCB</t>
  </si>
  <si>
    <t>DC/DC voedingen, PCB</t>
  </si>
  <si>
    <t>Przetwornice DC/DC do druku</t>
  </si>
  <si>
    <t>DC/DC Источники питания, PCB</t>
  </si>
  <si>
    <t>DC / DC napájecí zdroje, PCB</t>
  </si>
  <si>
    <t>Surse de alimentare DC/DC, PCB</t>
  </si>
  <si>
    <t>DC/DC töltőkészülék, PCB</t>
  </si>
  <si>
    <t>AC/DC toiteplokid, trükkplaadile</t>
  </si>
  <si>
    <t>AC/DC Virtalähteet, PCB</t>
  </si>
  <si>
    <t>AC/DC barošanas bloki, PCB</t>
  </si>
  <si>
    <t>AC/DC voedingen, PCB</t>
  </si>
  <si>
    <t>Przetwornice AC/DC do druku</t>
  </si>
  <si>
    <t>AC/DC Источники питания, PCB</t>
  </si>
  <si>
    <t>AC / DC napájecí zdroje, PCB</t>
  </si>
  <si>
    <t>Surse de alimentare AC/DC, PCB</t>
  </si>
  <si>
    <t>AC/DC töltőkészülék, PCB</t>
  </si>
  <si>
    <t>Valgustehnoloogia</t>
  </si>
  <si>
    <t>Valaistustekniikka</t>
  </si>
  <si>
    <t>Apgaismošanas tehnoloģijas</t>
  </si>
  <si>
    <t>Lichttechniek</t>
  </si>
  <si>
    <t>Technika świetlna</t>
  </si>
  <si>
    <t>Светотехника</t>
  </si>
  <si>
    <t>Osvětlovací technika</t>
  </si>
  <si>
    <t>Tehnică de iluminat</t>
  </si>
  <si>
    <t>Világítástechnika</t>
  </si>
  <si>
    <t>Võimsad LEDid</t>
  </si>
  <si>
    <t>Teholedit</t>
  </si>
  <si>
    <t>Jaudas LED</t>
  </si>
  <si>
    <t>LED mocy</t>
  </si>
  <si>
    <t>Мощные светодиоды</t>
  </si>
  <si>
    <t>Výkonové LED diody</t>
  </si>
  <si>
    <t>Diode LED de putere</t>
  </si>
  <si>
    <t>Power LED-ek</t>
  </si>
  <si>
    <t>LED moodulid</t>
  </si>
  <si>
    <t>Led Moduulit</t>
  </si>
  <si>
    <t>LED moduļi</t>
  </si>
  <si>
    <t>Moduły LED</t>
  </si>
  <si>
    <t>Светодиодные модули</t>
  </si>
  <si>
    <t>LED moduly</t>
  </si>
  <si>
    <t>Module cu LED-uri</t>
  </si>
  <si>
    <t>LED Modulok</t>
  </si>
  <si>
    <t>LED valgustid</t>
  </si>
  <si>
    <t>LED Sovittimet</t>
  </si>
  <si>
    <t>LED turētāji</t>
  </si>
  <si>
    <t>LED Fittingen</t>
  </si>
  <si>
    <t>Źródła światła LED</t>
  </si>
  <si>
    <t>Арматура для светодиодных ламп</t>
  </si>
  <si>
    <t>LED světla</t>
  </si>
  <si>
    <t>Lumini cu LED-uri</t>
  </si>
  <si>
    <t>LED világítás</t>
  </si>
  <si>
    <t>LEDide toiteplokid</t>
  </si>
  <si>
    <t>LED Ohjaimet</t>
  </si>
  <si>
    <t>LED vadības iekārtas</t>
  </si>
  <si>
    <t>Sterowniki LED</t>
  </si>
  <si>
    <t>Драйверы светодиодов</t>
  </si>
  <si>
    <t>LED budiče</t>
  </si>
  <si>
    <t>LED driver</t>
  </si>
  <si>
    <t>LED meghajtó</t>
  </si>
  <si>
    <t>Elektroluminestseeruvad  paneelid</t>
  </si>
  <si>
    <t>Luminenssipaneelit</t>
  </si>
  <si>
    <t>Elektroluminiscences paneļi</t>
  </si>
  <si>
    <t>Elektroluminescentie panelen</t>
  </si>
  <si>
    <t>Panele elektroluminescencyjne</t>
  </si>
  <si>
    <t>Электролюминесцентные Панели</t>
  </si>
  <si>
    <t>Elektroluminiscenční fólie</t>
  </si>
  <si>
    <t>Folie electroluminescentă</t>
  </si>
  <si>
    <t>Elektrolumineszcens világító fóliák</t>
  </si>
  <si>
    <t>Võimsate LEDide tarvikud</t>
  </si>
  <si>
    <t>Tarvikkeet TehoLED</t>
  </si>
  <si>
    <t>Jaudas LED piederumi</t>
  </si>
  <si>
    <t>Accessoires voor power LEDs</t>
  </si>
  <si>
    <t>Akcesoria do LED mocy</t>
  </si>
  <si>
    <t>Аксессуары для мощных светодиодов</t>
  </si>
  <si>
    <t>Příslušenství pro výkonové LED</t>
  </si>
  <si>
    <t>Accesorii pentru diode LED de putere</t>
  </si>
  <si>
    <t>Tartozékok Power LED-ekhez</t>
  </si>
  <si>
    <t>Leuchtmittel</t>
  </si>
  <si>
    <t>Valgustid</t>
  </si>
  <si>
    <t>Gaismas avoti</t>
  </si>
  <si>
    <t>Lichtbronnen</t>
  </si>
  <si>
    <t>Źródła światła</t>
  </si>
  <si>
    <t>Автомобильные лампы</t>
  </si>
  <si>
    <t>Světelné zdroje</t>
  </si>
  <si>
    <t>Surse de lumină</t>
  </si>
  <si>
    <t>Fényforrások</t>
  </si>
  <si>
    <t>LED pirnid</t>
  </si>
  <si>
    <t>LED-lamput</t>
  </si>
  <si>
    <t>LED lampas</t>
  </si>
  <si>
    <t>LED Lampen</t>
  </si>
  <si>
    <t>Żarówki LED</t>
  </si>
  <si>
    <t>LED лампы</t>
  </si>
  <si>
    <t>LED žárovky</t>
  </si>
  <si>
    <t>Lămpi LED</t>
  </si>
  <si>
    <t>LED lámpák</t>
  </si>
  <si>
    <t>Halogeenpirnid</t>
  </si>
  <si>
    <t>Halogeenilamput</t>
  </si>
  <si>
    <t>Halogēnās lampas</t>
  </si>
  <si>
    <t>Halogen Lampen</t>
  </si>
  <si>
    <t>Żarówki halogenowe</t>
  </si>
  <si>
    <t>Галогеновые лампы</t>
  </si>
  <si>
    <t>Halogenové žárovky</t>
  </si>
  <si>
    <t>Lămpi cu halogen</t>
  </si>
  <si>
    <t>Halogénlámpák</t>
  </si>
  <si>
    <t>Luminofoortorud</t>
  </si>
  <si>
    <t>Loisteputket</t>
  </si>
  <si>
    <t>Fluorescentās lampas</t>
  </si>
  <si>
    <t>Fluorescent Lampen</t>
  </si>
  <si>
    <t>Świetlówki</t>
  </si>
  <si>
    <t>Люминесцентные лампы</t>
  </si>
  <si>
    <t>Zářivky</t>
  </si>
  <si>
    <t>Lămpi fluorescente</t>
  </si>
  <si>
    <t>Fénycsövek</t>
  </si>
  <si>
    <t>Autopirnid</t>
  </si>
  <si>
    <t>Autolamput</t>
  </si>
  <si>
    <t>Automašīnu lampas</t>
  </si>
  <si>
    <t>Autolampen</t>
  </si>
  <si>
    <t>Żarówki samochodowe</t>
  </si>
  <si>
    <t>Автомобильные лампочки</t>
  </si>
  <si>
    <t>Automobilové žárovky</t>
  </si>
  <si>
    <t>Becuri automotive</t>
  </si>
  <si>
    <t>Gépjármű izzók</t>
  </si>
  <si>
    <t>Lambipesad</t>
  </si>
  <si>
    <t>Lampunpitimet</t>
  </si>
  <si>
    <t>Lampu turētāji / ligzdas</t>
  </si>
  <si>
    <t>Lamphouders en fittingen</t>
  </si>
  <si>
    <t>Oprawki do lampek</t>
  </si>
  <si>
    <t>Ламподержатели / Розетки</t>
  </si>
  <si>
    <t>Objímky</t>
  </si>
  <si>
    <t>Socluri pentru Lămpi</t>
  </si>
  <si>
    <t>Izzófoglalatok</t>
  </si>
  <si>
    <t>Indikaatorlambid</t>
  </si>
  <si>
    <t>Merkkilamput</t>
  </si>
  <si>
    <t>Indikatoru lampas</t>
  </si>
  <si>
    <t>Indicatielampjes</t>
  </si>
  <si>
    <t>Lampki sygnalizacyjne</t>
  </si>
  <si>
    <t>Световые индикаторы</t>
  </si>
  <si>
    <t>Signální lampy</t>
  </si>
  <si>
    <t>Lămpi de semnalizare</t>
  </si>
  <si>
    <t>Jelzőlámpák</t>
  </si>
  <si>
    <t>Starterid ja ballastid</t>
  </si>
  <si>
    <t>Sytyttimet ja Kuormat</t>
  </si>
  <si>
    <t>Starteri un balasti</t>
  </si>
  <si>
    <t>Starters en voorschakelapparaten</t>
  </si>
  <si>
    <t>Startery i Stateczniki</t>
  </si>
  <si>
    <t>Стартеры и балласт</t>
  </si>
  <si>
    <t>Startery a předřadníky</t>
  </si>
  <si>
    <t>Ştarter şi balasturi</t>
  </si>
  <si>
    <t>Fénycsőgyújtó és előtét</t>
  </si>
  <si>
    <t>Taskulambid / Töökohavalgustid / Valgustid</t>
  </si>
  <si>
    <t>Valaisimet</t>
  </si>
  <si>
    <t>Lukturīši / Darba vieta / Lustras</t>
  </si>
  <si>
    <t>Zaklampen / Werkplekverlichting / Armaturen</t>
  </si>
  <si>
    <t>Latarki / Lampy robocze / Oprawy oświetleniowe</t>
  </si>
  <si>
    <t>Карманные фонари / Рабочее место / Светильники</t>
  </si>
  <si>
    <t>Svítilny / Pracovní lampy / Osvětlení</t>
  </si>
  <si>
    <t>Lanterne / lumini pentru locul de muncă / lampi</t>
  </si>
  <si>
    <t>Zseblámpák / Munkahely megvilágítások / Világítótestek</t>
  </si>
  <si>
    <t>Taskulambid</t>
  </si>
  <si>
    <t>Taskulamput</t>
  </si>
  <si>
    <t>Lukturīši</t>
  </si>
  <si>
    <t>Zaklampen</t>
  </si>
  <si>
    <t>Latarki</t>
  </si>
  <si>
    <t>Карманные фонари</t>
  </si>
  <si>
    <t>Baterky</t>
  </si>
  <si>
    <t>Lanterne</t>
  </si>
  <si>
    <t>Zseblámpák</t>
  </si>
  <si>
    <t>Kontorivalgustid</t>
  </si>
  <si>
    <t>Toimistolamput</t>
  </si>
  <si>
    <t>Biroja lampas</t>
  </si>
  <si>
    <t>Bureaulampen</t>
  </si>
  <si>
    <t>Lampy stołowe</t>
  </si>
  <si>
    <t>Офисные лампы</t>
  </si>
  <si>
    <t>Kancelářské lampy</t>
  </si>
  <si>
    <t>Lămpi de birou</t>
  </si>
  <si>
    <t>Irodai lámpák</t>
  </si>
  <si>
    <t>Tööstusvalgustid</t>
  </si>
  <si>
    <t>Konevalaistus</t>
  </si>
  <si>
    <t>Mašīnu lampas</t>
  </si>
  <si>
    <t>Machineverlichting en werkbankverlichting</t>
  </si>
  <si>
    <t>Lampy do maszyn</t>
  </si>
  <si>
    <t>Светодиодные светильники производств.</t>
  </si>
  <si>
    <t>Osvětlení přístrojů</t>
  </si>
  <si>
    <t>Lumini pentru aparate şi automate</t>
  </si>
  <si>
    <t>Géplámpák</t>
  </si>
  <si>
    <t>Välisvalgustid</t>
  </si>
  <si>
    <t>Ulkovalaistus</t>
  </si>
  <si>
    <t>Ārējais apgaismojums</t>
  </si>
  <si>
    <t>Buitenverlichting</t>
  </si>
  <si>
    <t>Oprawy oświetleniowe zewnętrzne</t>
  </si>
  <si>
    <t>Внешние осветительные приборы</t>
  </si>
  <si>
    <t>Venkovní světla</t>
  </si>
  <si>
    <t>Iluminat exterior</t>
  </si>
  <si>
    <t>Kültéri világítás</t>
  </si>
  <si>
    <t>Plug-in toiteplokid</t>
  </si>
  <si>
    <t>Pistokemuuntajat</t>
  </si>
  <si>
    <t>Barošanas adapteri</t>
  </si>
  <si>
    <t>Stekkervoedingen</t>
  </si>
  <si>
    <t>Zasilacze wtyczkowe</t>
  </si>
  <si>
    <t>Блоки питания с разъемным подключением</t>
  </si>
  <si>
    <t>Napájecí zdroje</t>
  </si>
  <si>
    <t>Unitate de alimentare</t>
  </si>
  <si>
    <t>Dugaszolható tápegységek</t>
  </si>
  <si>
    <t>USB toiteplokid</t>
  </si>
  <si>
    <t>USB- muuntajat</t>
  </si>
  <si>
    <t>USB barošanas avoti</t>
  </si>
  <si>
    <t>USB voedingen</t>
  </si>
  <si>
    <t>Zasilacze ze złączem USB</t>
  </si>
  <si>
    <t>USB Источники питания</t>
  </si>
  <si>
    <t>USB napájení</t>
  </si>
  <si>
    <t>USB-Sursă de alimentare</t>
  </si>
  <si>
    <t>USB tápellátás</t>
  </si>
  <si>
    <t>Arvutustehnika ja hobi</t>
  </si>
  <si>
    <t>Tietotekniikka ja harrastus</t>
  </si>
  <si>
    <t>Datortehnika un hobiji</t>
  </si>
  <si>
    <t>Informatyka i Hobby</t>
  </si>
  <si>
    <t>Компьютеры &amp; Хобби</t>
  </si>
  <si>
    <t>Počítače &amp; Hobby</t>
  </si>
  <si>
    <t>Calculatorare &amp; hobby</t>
  </si>
  <si>
    <t>Számítástechnika &amp; Hobbi</t>
  </si>
  <si>
    <t>Arvutustehnika ja lauaarvuti komponendid</t>
  </si>
  <si>
    <t>Tietokoneet ja komponentit</t>
  </si>
  <si>
    <t>Datortehnika un PC komponentes</t>
  </si>
  <si>
    <t>Computing &amp; PC componenten</t>
  </si>
  <si>
    <t>Informatyka i części do PC</t>
  </si>
  <si>
    <t>Компьютеры &amp; Компоненты</t>
  </si>
  <si>
    <t>Počítače a PC komponenty</t>
  </si>
  <si>
    <t>Calculatoare şi componente de PC</t>
  </si>
  <si>
    <t>Számítástechnika és tartozékok</t>
  </si>
  <si>
    <t>Sülearvutid / Tahvelarvutid / e-lugerid</t>
  </si>
  <si>
    <t>Kannettavat/  tabletit</t>
  </si>
  <si>
    <t>Portatīvie datori / planšetdatori / e-grāmatas</t>
  </si>
  <si>
    <t>Notebooki / Tablety / E-czytniki</t>
  </si>
  <si>
    <t>Портативные компьютеры / Планшеты / е-книги</t>
  </si>
  <si>
    <t>Notebooky / Tablety / eČítačky</t>
  </si>
  <si>
    <t>Notebook-uri / tablete / eReader</t>
  </si>
  <si>
    <t>Lauaarvutid / Serverid</t>
  </si>
  <si>
    <t>PC:t/ Serverit</t>
  </si>
  <si>
    <t>Datori / serveri</t>
  </si>
  <si>
    <t>PC / Serwer</t>
  </si>
  <si>
    <t>Компьютеры / Серверы</t>
  </si>
  <si>
    <t>PC / Servery</t>
  </si>
  <si>
    <t>PC / server</t>
  </si>
  <si>
    <t>Számítógép / Szerver</t>
  </si>
  <si>
    <t>Süle- , tahvelarvutite ja e-lugerite tarvikud</t>
  </si>
  <si>
    <t>Tarvikkeet PC</t>
  </si>
  <si>
    <t>Portatīvie datoru / planšetdatoru / e-grāmatu piederumi</t>
  </si>
  <si>
    <t>Accessoires Notebooks / Tablets / eReader</t>
  </si>
  <si>
    <t>Akcesoria do notebooków / Tabletów/ E-czytników</t>
  </si>
  <si>
    <t>Аксессуары для Портативных компьютеров / Планшетов / е-книги</t>
  </si>
  <si>
    <t>Příslušenství pro Notebooky / Tablety / Čtečky elektronických knih</t>
  </si>
  <si>
    <t>Accesorii pentru notebook-uri / tablete / eReader</t>
  </si>
  <si>
    <t>Tartozékok Notebookhoz / Tablethez / eReaderhez</t>
  </si>
  <si>
    <t>Kõvakettad / SSD / RAM</t>
  </si>
  <si>
    <t>Kovalevyt/SSD/RAM</t>
  </si>
  <si>
    <t>Cietie diski / SSD / RAM</t>
  </si>
  <si>
    <t>Twarde dyski / SSD / RAM</t>
  </si>
  <si>
    <t>Жесткие диски / SSD / RAM</t>
  </si>
  <si>
    <t>Pevné disky / SSD / RAM</t>
  </si>
  <si>
    <t>Hard disk-uri / SSD / RAM</t>
  </si>
  <si>
    <t>Merevlemez / SSD / RAM</t>
  </si>
  <si>
    <t>Emaplaadid / Protsessorid / Jahutid</t>
  </si>
  <si>
    <t>Emolevyt</t>
  </si>
  <si>
    <t>Mātesplates / procesori / ventilatori</t>
  </si>
  <si>
    <t>Moederborden / Processoren / Koelers</t>
  </si>
  <si>
    <t>Płyty główne / Procesory / Wentylatory</t>
  </si>
  <si>
    <t>Материнские платы / CPU / Кулеры</t>
  </si>
  <si>
    <t>Základní desky / CPU / chladič</t>
  </si>
  <si>
    <t>Placa de baza / CPU / radiator răcire</t>
  </si>
  <si>
    <t>Alaplap / CPU / Hűtő</t>
  </si>
  <si>
    <t>Laienduskaardid</t>
  </si>
  <si>
    <t>Laajennuskortit</t>
  </si>
  <si>
    <t>Paplašināšanas kartes</t>
  </si>
  <si>
    <t>Uitbreidingskaarten</t>
  </si>
  <si>
    <t>Karty rozszerzeń</t>
  </si>
  <si>
    <t>Платы расширения</t>
  </si>
  <si>
    <t>Rozšiřující karty</t>
  </si>
  <si>
    <t>Plăci de expansiune</t>
  </si>
  <si>
    <t>Bővítőkártyák</t>
  </si>
  <si>
    <t>Lauaarvuti korpused / Tarvikud</t>
  </si>
  <si>
    <t>PC-kotelot/Tarvikkeet</t>
  </si>
  <si>
    <t>Datoru korpusi / piederumi</t>
  </si>
  <si>
    <t>PC behuizingen / accessoires</t>
  </si>
  <si>
    <t>Obudowy PC / Akcesoria</t>
  </si>
  <si>
    <t>PC Кейсы / Аксессуары</t>
  </si>
  <si>
    <t>Počítačové skříně / příslušenství</t>
  </si>
  <si>
    <t>Carcase PC / accesorii</t>
  </si>
  <si>
    <t>Számítógépház / Tartozék</t>
  </si>
  <si>
    <t>Mälu- ja välisseadmed</t>
  </si>
  <si>
    <t>Tallennus/Oheislaitteet</t>
  </si>
  <si>
    <t>Atmiņa un perifērija</t>
  </si>
  <si>
    <t>Geheugens / Opslag &amp; Randapparatuur</t>
  </si>
  <si>
    <t>Pamięci i urządzenia peryferyjne</t>
  </si>
  <si>
    <t>Хранение &amp; Периферия</t>
  </si>
  <si>
    <t>Paměť a periferní zařízení</t>
  </si>
  <si>
    <t>Memorie şi periferice</t>
  </si>
  <si>
    <t>Memória és perifériák</t>
  </si>
  <si>
    <t>Monitorid / Hiired / Klaviatuurid</t>
  </si>
  <si>
    <t>Monitorit/Hiiret/Näppäimistö</t>
  </si>
  <si>
    <t>Monitori / peles / klaviatūras</t>
  </si>
  <si>
    <t>Monitoren / Muizen / Toetsenborden</t>
  </si>
  <si>
    <t>Monitory / Myszki / Klawiatury</t>
  </si>
  <si>
    <t>Мониторы / Мыши / Клавиатуры</t>
  </si>
  <si>
    <t>Monitory / Klávesnice / Myši</t>
  </si>
  <si>
    <t>Monitoare / mouse / Tastaturen</t>
  </si>
  <si>
    <t>Monitorok / Egerek / Billentyűzetek</t>
  </si>
  <si>
    <t>Võrgumäluseadmed (NAS) / Võrgukettad</t>
  </si>
  <si>
    <t>NAS-tallentimet</t>
  </si>
  <si>
    <t>Network Attached Storage (NAS) / cietņi</t>
  </si>
  <si>
    <t>NAS Sieciowa pamięć masowa</t>
  </si>
  <si>
    <t>Сетевые диски</t>
  </si>
  <si>
    <t>Síťové úložiště (NAS) / Mechaniky</t>
  </si>
  <si>
    <t>Memorie de reţea (NAS) / mecanisme</t>
  </si>
  <si>
    <t>Adathálózati tároló (NAS) / Merevlemez</t>
  </si>
  <si>
    <t>USB mälud / Mälukaardid / Disketid / Lindid</t>
  </si>
  <si>
    <t>USB-muistit/kortit/Levyt</t>
  </si>
  <si>
    <t>USB atmiņa / atmiņas kartes / diski / lentas</t>
  </si>
  <si>
    <t>USB geheugen / Geheugenkaarten / Disks / Tapes</t>
  </si>
  <si>
    <t>Pamięć USB / Karty pamięci / Dyskietki / Taśmy</t>
  </si>
  <si>
    <t>Карты памяти USB / Карты памяти / Диски / Ленты</t>
  </si>
  <si>
    <t>Paměti USB / paměťové karty / disky</t>
  </si>
  <si>
    <t>Carduri de memorie, USB stick / disk</t>
  </si>
  <si>
    <t>USB-memória / Memóriakártya / Adathordozó</t>
  </si>
  <si>
    <t>USB jaoturid / KVM lülitid / Video jaoturid</t>
  </si>
  <si>
    <t>USB-jakajat</t>
  </si>
  <si>
    <t>USB hubs / KVM komutatori / video dalītāji</t>
  </si>
  <si>
    <t>USB hubs / KVM switches / Video verderers</t>
  </si>
  <si>
    <t>Rozdzielacze USB / Przełączniki KVM / Rozdzielacze Video</t>
  </si>
  <si>
    <t>USB hubs / KVM Коммутаторы / Видео конекторы</t>
  </si>
  <si>
    <t>USB rozbočovače / Přepínače KVM / Video rozdělovače</t>
  </si>
  <si>
    <t>Hub-urile USB / Switch-uri KVM / expansiune video</t>
  </si>
  <si>
    <t>USB-Hub / KVM-Switch / Videosplitter</t>
  </si>
  <si>
    <t>Liidese konverterid / Laiendid</t>
  </si>
  <si>
    <t>Liityntämuuntimet</t>
  </si>
  <si>
    <t>Interfeisa pārveidotāji / pagarinātāji</t>
  </si>
  <si>
    <t>Konwertery interfejsu / Przedłużacze</t>
  </si>
  <si>
    <t>Преобразователи интерфейса  / Расширители</t>
  </si>
  <si>
    <t>Konvertory rozhraní / Rozšiřovače</t>
  </si>
  <si>
    <t>Interfată convertor / Extindere</t>
  </si>
  <si>
    <t>Csatlakozás-Konverter / Extender</t>
  </si>
  <si>
    <t>Skannerid / Vöötkoodi skannerid / Graafilised tahvlid</t>
  </si>
  <si>
    <t>Skannerit</t>
  </si>
  <si>
    <t>Skeneri / svītru kodu skeneri / grafiskās planšetes</t>
  </si>
  <si>
    <t>Skanery / Skanery kodów kreskowych / Tablety graficzne</t>
  </si>
  <si>
    <t>Сканеры / Сканеры штрих-кодов / Графические планшеты</t>
  </si>
  <si>
    <t>Skenery / Čtečky dokumentů / Grafické Tablety</t>
  </si>
  <si>
    <t>Scaner / documentului cititorul / Tabletă de schiţat</t>
  </si>
  <si>
    <t>Scanner / Kódolvasó / Grafikus tábla</t>
  </si>
  <si>
    <t>Arvutikõlarid / Veebikaamerad</t>
  </si>
  <si>
    <t>PC-kaiuttimet</t>
  </si>
  <si>
    <t>Datoru skaļruņi / web-kameras</t>
  </si>
  <si>
    <t>PC luisprekers / Webcams</t>
  </si>
  <si>
    <t>Głośniki do PC / Kamerki internetowe</t>
  </si>
  <si>
    <t>Колонки / Веб-камеры</t>
  </si>
  <si>
    <t>PC reproduktor / Webkamery</t>
  </si>
  <si>
    <t>Difuzoare pentru PC / camere web</t>
  </si>
  <si>
    <t>PC-hangszóró / Webkamera</t>
  </si>
  <si>
    <t>Sidevõrk / Telekommunikatsioon</t>
  </si>
  <si>
    <t>Verkko ja puhelintarvikkeet</t>
  </si>
  <si>
    <t>Tīkli / telekomunikācijas</t>
  </si>
  <si>
    <t>Netwerk &amp; Telecommunicatie</t>
  </si>
  <si>
    <t>Sieci i Telekomunikacja</t>
  </si>
  <si>
    <t>Сети  / Телекоммуникации</t>
  </si>
  <si>
    <t>Sítě a Telekomunikace</t>
  </si>
  <si>
    <t>Rețea și telecomunicații</t>
  </si>
  <si>
    <t>Adathálózat és telekommunikáció</t>
  </si>
  <si>
    <t>Juhtmevaba sidevõrk / Ruuterid / Tulemüür</t>
  </si>
  <si>
    <t>WLAN/reitittimet</t>
  </si>
  <si>
    <t>Wireless LAN / rūteri / ugunsmūri</t>
  </si>
  <si>
    <t>Sieci LAN bezprzewodowe / Routery / Firewall</t>
  </si>
  <si>
    <t>Беспроводной  LAN / Рутер / Firewall</t>
  </si>
  <si>
    <t>Bezdrátová síť LAN / Router / Firewall</t>
  </si>
  <si>
    <t>Wireless LAN / router / firewall</t>
  </si>
  <si>
    <t>Vezetéknélküli-LAN / Router / Tűzfal</t>
  </si>
  <si>
    <t>Switchid / Muundurid / Võrgukaardid</t>
  </si>
  <si>
    <t>Kytkimet/ muuntimet</t>
  </si>
  <si>
    <t>Komutatori / konverteri / tīkla interfeisa kartes</t>
  </si>
  <si>
    <t>Przełączniki / Konwertery / Karty Sieciowe</t>
  </si>
  <si>
    <t>Коммутаторы / Преобразователи /  Сетевые интерфейсные карты</t>
  </si>
  <si>
    <t>Přepínače / Převodníky / Síťové karty</t>
  </si>
  <si>
    <t>Switch-uri / convertoare / placă de reţea</t>
  </si>
  <si>
    <t>Switches / Konverter / Adathálózati kártyák</t>
  </si>
  <si>
    <t>Andmeserverid (NAS) / LAN elektrivõrgu vahendusel</t>
  </si>
  <si>
    <t>Network Attached Storage (NAC) / barošanas līnijas komunikācija</t>
  </si>
  <si>
    <t>Network Attached Storage (NAS) / Power-line Communicatie</t>
  </si>
  <si>
    <t>NAS Sieciowa pamięć masowa / Komunikacja po sieci energetycznej</t>
  </si>
  <si>
    <t>Устройства передачи данных через электросеть</t>
  </si>
  <si>
    <t>Síťové úložiště (NAS) / Elektrické vedení</t>
  </si>
  <si>
    <t>Memorie pentru Reţea (NAS) / Powerline</t>
  </si>
  <si>
    <t>Adathálózati tároló (NAS) / Powerline</t>
  </si>
  <si>
    <t>Lauatelefonide tooted / Peakomplektid</t>
  </si>
  <si>
    <t>Kuulokkeet</t>
  </si>
  <si>
    <t>Telefonijas produkti / Biroja austiņas</t>
  </si>
  <si>
    <t>Telefoons / Hoofdtelefoons</t>
  </si>
  <si>
    <t>Telefonia stacjonarna/Słuchawki biurowe</t>
  </si>
  <si>
    <t>Продукты телефонии   / Офисные наушники</t>
  </si>
  <si>
    <t>Síťové produkty / Headsety</t>
  </si>
  <si>
    <t>Produse pentru reţeaua fixă / Garnituri de telefonie</t>
  </si>
  <si>
    <t>Vezetéknélküli eszközök / Fejbeszélők</t>
  </si>
  <si>
    <t>Nutitelefonid / Mobiiltelefonid / Tarvikud</t>
  </si>
  <si>
    <t>Puhelintarvikkeet</t>
  </si>
  <si>
    <t>Viedtālruņi / Mobilie tālruņi / Piederumi</t>
  </si>
  <si>
    <t>Smartphones / Mobiele telefoons / Accessoires</t>
  </si>
  <si>
    <t>Smartfony / Telefony komórkowe / Akcesoria</t>
  </si>
  <si>
    <t>Смартфоны / Мобильные телефоны / Аксессуары</t>
  </si>
  <si>
    <t>Mobilní telefony / Příslušenství</t>
  </si>
  <si>
    <t>Telefoanele mobile / accesorii</t>
  </si>
  <si>
    <t>Mobiltelefonok / Tartozékok</t>
  </si>
  <si>
    <t>Võrgukaamerad / VoIP</t>
  </si>
  <si>
    <t>IP kamerat/VoIP</t>
  </si>
  <si>
    <t>IP kameras / IP telefonija</t>
  </si>
  <si>
    <t>Kamery internetowe IP / Telefony VoIP</t>
  </si>
  <si>
    <t>IP Камеры  /IP Камеры с микрофоном</t>
  </si>
  <si>
    <t>IP kamery / Voice-over-IP</t>
  </si>
  <si>
    <t>Camere IP / voce peste IP</t>
  </si>
  <si>
    <t>IP-Kamera / Voice-over-IP</t>
  </si>
  <si>
    <t>Võrgukaablid / Installatsioonimaterjalid</t>
  </si>
  <si>
    <t>Verkkokaapelit/asennustarvikkeet</t>
  </si>
  <si>
    <t>Tīkla kabeļi / Instalācijas materiāli</t>
  </si>
  <si>
    <t>Network kabels / Installatiemateriaal</t>
  </si>
  <si>
    <t>Kable sieciowe / Podzespoły instalacyjne</t>
  </si>
  <si>
    <t>Сетевые кабели / Монтажный материал</t>
  </si>
  <si>
    <t>Síťový kabel / Instalační materiál</t>
  </si>
  <si>
    <t>Cablu de retea / material de instalaţii</t>
  </si>
  <si>
    <t>Adathálózati kábel / Szerelési anyag</t>
  </si>
  <si>
    <t>Printerid ja tarvikud</t>
  </si>
  <si>
    <t>Kirjoittimet&amp; tarvikkeet</t>
  </si>
  <si>
    <t>Printeri un printeru materiāli</t>
  </si>
  <si>
    <t>Drukarki i Wyposażenie</t>
  </si>
  <si>
    <t>Принтеры и материалы для принтера</t>
  </si>
  <si>
    <t>Tiskárny a spotřební materiál</t>
  </si>
  <si>
    <t>Imprimante şi consumabile</t>
  </si>
  <si>
    <t>Nyomtató és tartozékai</t>
  </si>
  <si>
    <t>Printerid / Multifunktsionaalsed printerid</t>
  </si>
  <si>
    <t>Printterit/ monitoimi</t>
  </si>
  <si>
    <t>Printeri / Multifunkcionālie printeri</t>
  </si>
  <si>
    <t>Printers / Multifunctionele printers</t>
  </si>
  <si>
    <t>Drukarki / Urządzenia wielofunkcyjne</t>
  </si>
  <si>
    <t>Принтеры / Многофункциональные устройства</t>
  </si>
  <si>
    <t>Tiskárny / Multifunkční tiskárny</t>
  </si>
  <si>
    <t>Imprimante / imprimante multifunctionale</t>
  </si>
  <si>
    <t>Nyomtató / Multifunkciós nyomtató</t>
  </si>
  <si>
    <t>Etiketiprinterid</t>
  </si>
  <si>
    <t>Tarrakirjoittimet</t>
  </si>
  <si>
    <t>Uzlīmju printeri</t>
  </si>
  <si>
    <t>Labelprinters</t>
  </si>
  <si>
    <t>Drukarki etykiet</t>
  </si>
  <si>
    <t>Принтеры этикеток</t>
  </si>
  <si>
    <t>Tiskárny etiket</t>
  </si>
  <si>
    <t>Imprimantă pentru etichete</t>
  </si>
  <si>
    <t>Etikettnyomtató</t>
  </si>
  <si>
    <t>Värvikassetid / Trumlid</t>
  </si>
  <si>
    <t>Tonerit/ rummut</t>
  </si>
  <si>
    <t>Toneri / Cilindri</t>
  </si>
  <si>
    <t>Toners / Drums</t>
  </si>
  <si>
    <t>Tonery / Bębny</t>
  </si>
  <si>
    <t>Тонер / Барабаны</t>
  </si>
  <si>
    <t>Tonery / bubny</t>
  </si>
  <si>
    <t>Tonere / tamburi</t>
  </si>
  <si>
    <t>Toner / Festékdob</t>
  </si>
  <si>
    <t>Tindikassetid</t>
  </si>
  <si>
    <t>Väripatruunat</t>
  </si>
  <si>
    <t>Tintes kārtridži</t>
  </si>
  <si>
    <t>Inkt cartridges</t>
  </si>
  <si>
    <t>Kartridże atramentowe</t>
  </si>
  <si>
    <t>Струйные картриджи</t>
  </si>
  <si>
    <t>Inkoustové kazety</t>
  </si>
  <si>
    <t>Cartuşe de cerneală</t>
  </si>
  <si>
    <t>Tintapatron</t>
  </si>
  <si>
    <t>Tindilindid / Etiketiprinteri tarvikud</t>
  </si>
  <si>
    <t>Värinauhat</t>
  </si>
  <si>
    <t>Tintes lentes / Uzlīmju iekārtu piederumi</t>
  </si>
  <si>
    <t>Inktlinten / Labelprinter accessoires</t>
  </si>
  <si>
    <t>Taśmy / Akcesoria znakowarek</t>
  </si>
  <si>
    <t>Красящие ленты / Аксессуары для маркировочных машины</t>
  </si>
  <si>
    <t>Označovací pásky</t>
  </si>
  <si>
    <t>Benzi de etichetare</t>
  </si>
  <si>
    <t>Feliratszalag</t>
  </si>
  <si>
    <t>Paber / Kiled / Etiketid</t>
  </si>
  <si>
    <t>Paperi/taskut/tarrat</t>
  </si>
  <si>
    <t>Papīrs / Kodoskopu plēves / Uzlīmes</t>
  </si>
  <si>
    <t>Paper / Transparanten / Labels</t>
  </si>
  <si>
    <t>Papiery / Folie / Etykiety</t>
  </si>
  <si>
    <t>Бумажные / Прозрачные / Этикетки</t>
  </si>
  <si>
    <t>Papír / Fólie / Etikety</t>
  </si>
  <si>
    <t>Hârtie / folie / Etichete</t>
  </si>
  <si>
    <t>Papír / Fólia / Címke</t>
  </si>
  <si>
    <t>CD / DVD / Blu-ray kleebised</t>
  </si>
  <si>
    <t>CD/ DVD/ Blu-ray Tarrat</t>
  </si>
  <si>
    <t>CD/ DVD/ Blu-ray uzlīmes</t>
  </si>
  <si>
    <t>Etykiety do CD / DVD / Blu-ray</t>
  </si>
  <si>
    <t>CD/ DVD/ Blu-ray Этикетки</t>
  </si>
  <si>
    <t>Etikety na CD / DVD / Blu-ray</t>
  </si>
  <si>
    <t>Etichete pentru CD / DVD / Blu-ray</t>
  </si>
  <si>
    <t>Kaablid / Toiteplokid</t>
  </si>
  <si>
    <t>Johdot ja virtalähteet</t>
  </si>
  <si>
    <t>Kabeļi un barošanas avoti</t>
  </si>
  <si>
    <t>Kabels (geassembleerd) &amp; Voedingen</t>
  </si>
  <si>
    <t>Kable &amp; Zasilacze</t>
  </si>
  <si>
    <t>Кабели и блоки питания</t>
  </si>
  <si>
    <t>Kabely a napájecí zdroje</t>
  </si>
  <si>
    <t>Cablu şi alimentatoare de curent</t>
  </si>
  <si>
    <t>Kábel és tápellátás</t>
  </si>
  <si>
    <t>Arvutikaablid / Toitekaablid</t>
  </si>
  <si>
    <t>PC-verkko ja laitejohdot</t>
  </si>
  <si>
    <t>Datoru kabeļi / Barošanas kabeļi</t>
  </si>
  <si>
    <t>Computer kabels / Netsnoeren</t>
  </si>
  <si>
    <t>Kable komputerowe / Kable zasilające</t>
  </si>
  <si>
    <t>Компьютерные кабели / Силовые кабели</t>
  </si>
  <si>
    <t>Počítačové kabely / Napájecí kabely</t>
  </si>
  <si>
    <t>Cablu pentru calculator / cablu de alimentare</t>
  </si>
  <si>
    <t>Számítógép kábel / hálózati tápkábel</t>
  </si>
  <si>
    <t>Arvutivõrgu kaablid / Telefonikaablid</t>
  </si>
  <si>
    <t>Verkko ja puhelinjohdot</t>
  </si>
  <si>
    <t>Tīkla kabeļi / Telefonu kabeļi</t>
  </si>
  <si>
    <t>Netwerk kabels / Telefoon kabels</t>
  </si>
  <si>
    <t>Kable sieciowe / Kable telefoniczne</t>
  </si>
  <si>
    <t>Сетевые кабели / Телефонные кабели</t>
  </si>
  <si>
    <t>Síťový kabel / Telefonní kabel</t>
  </si>
  <si>
    <t>Cablu de retea / cablu de telefon</t>
  </si>
  <si>
    <t>Hálózati kábel / Telefonkábel</t>
  </si>
  <si>
    <t>Audiokaablid / Videokaablid</t>
  </si>
  <si>
    <t>Audio/ Video välijohdot</t>
  </si>
  <si>
    <t>Audio kabeļi / Video kabeļi</t>
  </si>
  <si>
    <t>Audio kabels / Video kabels</t>
  </si>
  <si>
    <t>Kable audio / video</t>
  </si>
  <si>
    <t>Аудио кабели / Видео кабели</t>
  </si>
  <si>
    <t>Audio kabel / Video kabel</t>
  </si>
  <si>
    <t>Cabluri audio / cabluri video</t>
  </si>
  <si>
    <t>Audiókábel / Videókábel</t>
  </si>
  <si>
    <t>Ühendused / Adapterid</t>
  </si>
  <si>
    <t>Liittimet/ sovittimet</t>
  </si>
  <si>
    <t>Konektori / Adapteri</t>
  </si>
  <si>
    <t>Connectoren / Adapters</t>
  </si>
  <si>
    <t>Złącza / Adaptery</t>
  </si>
  <si>
    <t>Разъемы / Адаптеры</t>
  </si>
  <si>
    <t>Konektor / Adaptér</t>
  </si>
  <si>
    <t>Plug-in / adaptor</t>
  </si>
  <si>
    <t>Csatlakozó / Adapter</t>
  </si>
  <si>
    <t>Katkematu pinge allikad</t>
  </si>
  <si>
    <t>UPS Virtavarmistuslaitteet</t>
  </si>
  <si>
    <t>UPS barošanas avoti</t>
  </si>
  <si>
    <t>UPS voedingen</t>
  </si>
  <si>
    <t>Zasilacze  UPS</t>
  </si>
  <si>
    <t>UPS Источники питания</t>
  </si>
  <si>
    <t>UPS zdroje</t>
  </si>
  <si>
    <t>UPS sursă de alimentare</t>
  </si>
  <si>
    <t>Szünetmentes tápegységek</t>
  </si>
  <si>
    <t>Jatkojohdot/suojat</t>
  </si>
  <si>
    <t>Pagarinātāji / Aizsardzības piederumi</t>
  </si>
  <si>
    <t>Stekkerdozen / Overspanningsbeveiliging</t>
  </si>
  <si>
    <t>Listwy zasilające / Urządzenia zabezpieczające</t>
  </si>
  <si>
    <t>Удлинители  / Защитные принадлежности</t>
  </si>
  <si>
    <t>Rozdvojky / Ochrana proti přepětí</t>
  </si>
  <si>
    <t>Benzi pentru prize / protecţie la supratensiuni</t>
  </si>
  <si>
    <t>Hálózati elosztók / túlfeszültségvédelem</t>
  </si>
  <si>
    <t>Akulaadijad / Toiteadapterid</t>
  </si>
  <si>
    <t>Akkulaturit</t>
  </si>
  <si>
    <t>Akumulatoru lādētāji / Tīkla adapteri</t>
  </si>
  <si>
    <t>Batterijladers / Voedingsadapters</t>
  </si>
  <si>
    <t>Ładowarki / Adaptery</t>
  </si>
  <si>
    <t>Зарядные устройства / Адаптеры питания</t>
  </si>
  <si>
    <t>Nabíječky / Adaptéry</t>
  </si>
  <si>
    <t>Încărcătoare / alimentatoare</t>
  </si>
  <si>
    <t>Töltők / tápegységek</t>
  </si>
  <si>
    <t>Tarkvara ja kontoritarbed</t>
  </si>
  <si>
    <t>Ohjelmisto ja toimistotarvikkeet</t>
  </si>
  <si>
    <t>Programmatūra un biroja preces</t>
  </si>
  <si>
    <t>Zaopatrzenie Oprogramowanie i Biuro</t>
  </si>
  <si>
    <t>Программное обеспечение &amp; Офисное оборудование</t>
  </si>
  <si>
    <t>Software a kancelářské potřeby</t>
  </si>
  <si>
    <t>software şi necesar birotică</t>
  </si>
  <si>
    <t>Programmok és irodaszerek</t>
  </si>
  <si>
    <t>Tarkvara</t>
  </si>
  <si>
    <t>Ohjelmistotarvikkeet</t>
  </si>
  <si>
    <t>Programmatūra</t>
  </si>
  <si>
    <t>Oprogramowanie</t>
  </si>
  <si>
    <t>Программное обеспечение</t>
  </si>
  <si>
    <t>Programmok</t>
  </si>
  <si>
    <t>Puhastamine</t>
  </si>
  <si>
    <t>Puhdistus</t>
  </si>
  <si>
    <t>Tīrīšana</t>
  </si>
  <si>
    <t>Reiniging / schoonmaken</t>
  </si>
  <si>
    <t>Sprzątanie</t>
  </si>
  <si>
    <t>Уборка</t>
  </si>
  <si>
    <t>Čisticí produkty</t>
  </si>
  <si>
    <t>Produse de curăţare</t>
  </si>
  <si>
    <t>Tisztító és takarító termékek</t>
  </si>
  <si>
    <t>Kartoteegid / Arhiveerimise süsteemid</t>
  </si>
  <si>
    <t>Arkistointijärjestelmät</t>
  </si>
  <si>
    <t>Failu / Arhivēšanas sistēmas</t>
  </si>
  <si>
    <t>Archivering / Archiveringssytemen</t>
  </si>
  <si>
    <t>Systemy archiwizowania i segregowania</t>
  </si>
  <si>
    <t>Файлы / Системы для архивирования</t>
  </si>
  <si>
    <t>Evidence / Archivácia</t>
  </si>
  <si>
    <t>Stocare / arhivare</t>
  </si>
  <si>
    <t>Rakodás / Archíválás</t>
  </si>
  <si>
    <t>Kontoritehnika</t>
  </si>
  <si>
    <t>Toimistotarvikkeet</t>
  </si>
  <si>
    <t>Biroja aprīkojums</t>
  </si>
  <si>
    <t>Kantoorapparatuur</t>
  </si>
  <si>
    <t>Sprzęt biurowy</t>
  </si>
  <si>
    <t>Офисное оборудование</t>
  </si>
  <si>
    <t>Vybavení kanceláří / příslušenství</t>
  </si>
  <si>
    <t>Aparate de birou / Birotica</t>
  </si>
  <si>
    <t>Irodaberendezés / Irodai tartozék</t>
  </si>
  <si>
    <t>Paberipurustajad / Laminaatorid / Köitmine</t>
  </si>
  <si>
    <t>Silppurit/Laminointikoneet</t>
  </si>
  <si>
    <t>Papīra smalcinātāji / Laminētāji / Iešūšanas iekārtas</t>
  </si>
  <si>
    <t>Shredders / Lamineren / Inbinden</t>
  </si>
  <si>
    <t>Niszczarki / Laminarki / Bindownice</t>
  </si>
  <si>
    <t>Шредеры / Ламинирование / Переплет</t>
  </si>
  <si>
    <t>Skartovací / Laminovací / Vázací přístroje</t>
  </si>
  <si>
    <t>Concasor / laminatoare / sisteme de brosurat</t>
  </si>
  <si>
    <t>Iratmegsemmisítő / Lamináló / Fűzőrendszerek</t>
  </si>
  <si>
    <t>Alused / Turvalukud</t>
  </si>
  <si>
    <t>Turvakaapit</t>
  </si>
  <si>
    <t>Paliktņi / Drošības atslēgas</t>
  </si>
  <si>
    <t>Bevestigingssystemen / Veiligheidssloten</t>
  </si>
  <si>
    <t>Zamki zabezpieczające</t>
  </si>
  <si>
    <t>Крепления / Замки безопасности</t>
  </si>
  <si>
    <t>Držáky / bezpečnostní zámky</t>
  </si>
  <si>
    <t>Suporţi / încuietori de securitate</t>
  </si>
  <si>
    <t>Tartók / Biztonsági lezárók</t>
  </si>
  <si>
    <t>Kalkulaatorid / Tõlkijad / Diktofonid</t>
  </si>
  <si>
    <t>Laskimet/Kääntäjät</t>
  </si>
  <si>
    <t>Kalkulatori / Tulkotāji / Diktofoni</t>
  </si>
  <si>
    <t>Rekenmachines / Vertaalcomputers / Dictafoons</t>
  </si>
  <si>
    <t>Kalkulatory / Translatory / Dyktafony</t>
  </si>
  <si>
    <t>Калькуляторы / Переводчики / Диктофоны</t>
  </si>
  <si>
    <t>Kalkulačky / Překladače / Diktafony</t>
  </si>
  <si>
    <t>Calculator / Traducător / înregistratoare de voce</t>
  </si>
  <si>
    <t>Zsebszámológép / Fordító / Diktafon</t>
  </si>
  <si>
    <t>Multimeedia / Esitlustehnika</t>
  </si>
  <si>
    <t>Esitystekniikka</t>
  </si>
  <si>
    <t>Multimediji / Prezentācijas</t>
  </si>
  <si>
    <t>Multimedia / Presentatie</t>
  </si>
  <si>
    <t>Multimedia / Prezentacje</t>
  </si>
  <si>
    <t>Мультимедиа / Презентация</t>
  </si>
  <si>
    <t>Multimédia a prezentace</t>
  </si>
  <si>
    <t>Multimedia şi de prezentare</t>
  </si>
  <si>
    <t>Multimédia és Prezentáció</t>
  </si>
  <si>
    <t>Televiisorid / Kuvarid / Meedia mängijad / DVB</t>
  </si>
  <si>
    <t>TV/näytöt/Mediatoistimet</t>
  </si>
  <si>
    <t>Televizori / Displeji / Mediju atskaņotāji / DVB</t>
  </si>
  <si>
    <t>TVs / Displays / Media spelers / DVB</t>
  </si>
  <si>
    <t>Telewizory / Wyświetlacze / Odtwarzacze / Dekodery DVB</t>
  </si>
  <si>
    <t>Телевизоры /Мониторы / Медиаплееры / DVB</t>
  </si>
  <si>
    <t>Televizory / Despleje / Mediální přehrávače / DVB</t>
  </si>
  <si>
    <t>Televizoare / afişoare / Media Player / DVB</t>
  </si>
  <si>
    <t>TV készülékek / kijelzők / médialejátszók / DVB</t>
  </si>
  <si>
    <t>Projektorid / Ekraanid / Tarvikud</t>
  </si>
  <si>
    <t>Projektorit/ kankaat</t>
  </si>
  <si>
    <t>Projektori / Projekcijas ekrāni / Piederumi</t>
  </si>
  <si>
    <t>Projectoren / Projectieschermen / Accessoires</t>
  </si>
  <si>
    <t>Projektory / Ekrany projekcyjne / Akcesoria</t>
  </si>
  <si>
    <t>Проекторы / Экраны проекционные / Аксессуары</t>
  </si>
  <si>
    <t>Projektory / Plátna / Příslušenství</t>
  </si>
  <si>
    <t>Proiectoare Office / ecrane / accesorii</t>
  </si>
  <si>
    <t>Projektorok / Vásznak / tartozékok</t>
  </si>
  <si>
    <t>Kaasaskantav audio / MP3 / Raadiod</t>
  </si>
  <si>
    <t>Kannettavat Audio/MP3</t>
  </si>
  <si>
    <t>Audiopleijeri / MP3 / Radio</t>
  </si>
  <si>
    <t>Draagbare audio / MP3 / Radio</t>
  </si>
  <si>
    <t>Przenośny sprzęt Audio / MP3 / Radio</t>
  </si>
  <si>
    <t>Aудиоплейеры / MP3 / Радио</t>
  </si>
  <si>
    <t>Přenosné audio / MP3 / Radio</t>
  </si>
  <si>
    <t>Audio portabile / MP3 / radio</t>
  </si>
  <si>
    <t>Portable Audio / MP3 / Radió</t>
  </si>
  <si>
    <t>HiFi / Kõlarid / Kõrvaklapid / Mikrofonid</t>
  </si>
  <si>
    <t>HiFi/ kaiuttimet/kuulokkeet</t>
  </si>
  <si>
    <t>HiFi / Skaļruņi / Austiņas / Mikrofoni</t>
  </si>
  <si>
    <t>HiFi / Luisprekers / Hoofdtelefoons / Microfoons</t>
  </si>
  <si>
    <t>HiFi / Głosniki / Słuchawki / Mikrofony</t>
  </si>
  <si>
    <t>HiFi / Динамики / Наушники / Микрофоны</t>
  </si>
  <si>
    <t>HiFi / Reproduktory / Sluchátka / Mikrofony</t>
  </si>
  <si>
    <t>HiFi / boxe / căşti audio / microfoane</t>
  </si>
  <si>
    <t>HiFi / hangszorók / fejhallgatók / mikrofonok</t>
  </si>
  <si>
    <t>Digitaalsed kaamerad / Tarvikud</t>
  </si>
  <si>
    <t>Digikamerat/tarvikkeet</t>
  </si>
  <si>
    <t>Digitālās fotokameras / Piederumi</t>
  </si>
  <si>
    <t>Digitale cameras / accessoires</t>
  </si>
  <si>
    <t>Kamery cyfrowe / Akcesoria</t>
  </si>
  <si>
    <t>Цифровые фотокамеры / Аксессуары</t>
  </si>
  <si>
    <t>Digitální fotoaparáty / Příslušenství</t>
  </si>
  <si>
    <t>Aparat digital de fotografiat / accesorii</t>
  </si>
  <si>
    <t>Digitális kamerák / tartozékok</t>
  </si>
  <si>
    <t>Videokaamerad / Tarvikud</t>
  </si>
  <si>
    <t>Videokamerat/tarvikkeet</t>
  </si>
  <si>
    <t>Video kameras / Piederumi</t>
  </si>
  <si>
    <t>Video cameras / accessoires</t>
  </si>
  <si>
    <t>Kamery video/Akcesoria</t>
  </si>
  <si>
    <t>Видеокамеры / Аксессуары</t>
  </si>
  <si>
    <t>Videokamery / Příslušenství</t>
  </si>
  <si>
    <t>Camere video / accesorii</t>
  </si>
  <si>
    <t>Videókamerák / tartozékok</t>
  </si>
  <si>
    <t>SAT / Digi vastuvõtjad / Antennid</t>
  </si>
  <si>
    <t>SAT / Digiboxit/Antennit</t>
  </si>
  <si>
    <t>SAT / Digitālie uztvērēji / Antenas</t>
  </si>
  <si>
    <t>SAT / Digitale ontvangers / Antennes</t>
  </si>
  <si>
    <t>SAT/Dekodery SAT / Anteny</t>
  </si>
  <si>
    <t>SAT /  Цифровые приемники / Антенны</t>
  </si>
  <si>
    <t>SAT / Digitální přijímač / Antény</t>
  </si>
  <si>
    <t>Satelit / receptor digital / antena</t>
  </si>
  <si>
    <t>SAT / Digitalreceiver / Antenna</t>
  </si>
  <si>
    <t>Navigatsioon / GPS</t>
  </si>
  <si>
    <t>Navigaattorit / GPS</t>
  </si>
  <si>
    <t>Navigācija / GPS</t>
  </si>
  <si>
    <t>Navigatie / GPS</t>
  </si>
  <si>
    <t>Nawigacje GPS</t>
  </si>
  <si>
    <t>Навигация / GPS</t>
  </si>
  <si>
    <t>Navigace / GPS</t>
  </si>
  <si>
    <t>Navigáció / GPS</t>
  </si>
  <si>
    <t>Vaba aeg ja hobid</t>
  </si>
  <si>
    <t>Harrastukset</t>
  </si>
  <si>
    <t>Atpūta un hobiji</t>
  </si>
  <si>
    <t>Vrije tijd &amp; Hobby</t>
  </si>
  <si>
    <t>Wypoczynek &amp; Hobby</t>
  </si>
  <si>
    <t>Досуг &amp; Хобби</t>
  </si>
  <si>
    <t>Volný čas a hobby</t>
  </si>
  <si>
    <t>Hobby-uri şi de agrement</t>
  </si>
  <si>
    <t>Szabadidő és hobby</t>
  </si>
  <si>
    <t>Vabaõhu tegevus / Sport / Vaba aeg / Heaolu</t>
  </si>
  <si>
    <t>Urheilu/ Fitness</t>
  </si>
  <si>
    <t>Āra aktivitātes / Sports / Fitness / Veselība</t>
  </si>
  <si>
    <t>Outdoor / Sport / Fitnes / Odnowa biologiczna</t>
  </si>
  <si>
    <t>На природе / Спорт / Фитнес / Здоровье</t>
  </si>
  <si>
    <t>În aer liber / sport / Fitness / Wellness</t>
  </si>
  <si>
    <t>Baterijos / įkrovikliai / atsinaujinantieji ištekliai</t>
  </si>
  <si>
    <t>L3D_706185</t>
  </si>
  <si>
    <t>E-Mobility</t>
  </si>
  <si>
    <t>lvl</t>
  </si>
  <si>
    <t>pim id</t>
  </si>
  <si>
    <t>cat id</t>
  </si>
  <si>
    <t>link</t>
  </si>
  <si>
    <t>count products</t>
  </si>
  <si>
    <t>cord</t>
  </si>
  <si>
    <t>pierre</t>
  </si>
  <si>
    <t>01_01</t>
  </si>
  <si>
    <t>01_01_01</t>
  </si>
  <si>
    <t>L3D_525222</t>
  </si>
  <si>
    <t>Diodes</t>
  </si>
  <si>
    <t>Dioden</t>
  </si>
  <si>
    <t>Diodes means in this case "Standard Diodes" which differs from Zener Diodes</t>
  </si>
  <si>
    <t>Why diode at the same level as zener diode ?</t>
  </si>
  <si>
    <t>01_01_01_15499</t>
  </si>
  <si>
    <t>Small Signal Diodes</t>
  </si>
  <si>
    <t>Kleinsignaldioden</t>
  </si>
  <si>
    <t>http://www.distrelec.ch/en/c/cat-15499</t>
  </si>
  <si>
    <t>01_01_01_DC-56884</t>
  </si>
  <si>
    <t>DC-56884</t>
  </si>
  <si>
    <t>Diode Arrays</t>
  </si>
  <si>
    <t>Diodennetzwerke</t>
  </si>
  <si>
    <t>http://www.distrelec.ch/en/c/cat-DC-56884</t>
  </si>
  <si>
    <t>01_01_01_DC-56885</t>
  </si>
  <si>
    <t>DC-56885</t>
  </si>
  <si>
    <t>Capacitance Diodes</t>
  </si>
  <si>
    <t>Kapazitätsdioden</t>
  </si>
  <si>
    <t>http://www.distrelec.ch/en/c/cat-DC-56885</t>
  </si>
  <si>
    <t>Why a category node for less than 10 products ?</t>
  </si>
  <si>
    <t>01_01_02</t>
  </si>
  <si>
    <t>01_01_02_20113</t>
  </si>
  <si>
    <t>Zener Diode Assortments</t>
  </si>
  <si>
    <t>Z-Dioden-Sortimente</t>
  </si>
  <si>
    <t>http://www.distrelec.ch/en/c/cat-20113</t>
  </si>
  <si>
    <t>01_01_02_21279</t>
  </si>
  <si>
    <t>Zener Diodes</t>
  </si>
  <si>
    <t>Zenerdioden</t>
  </si>
  <si>
    <t>http://www.distrelec.ch/en/c/cat-21279</t>
  </si>
  <si>
    <t>01_01_02_DC-56887</t>
  </si>
  <si>
    <t>DC-56887</t>
  </si>
  <si>
    <t>Reference Diodes</t>
  </si>
  <si>
    <t>Referenzdioden</t>
  </si>
  <si>
    <t>http://www.distrelec.ch/en/c/cat-DC-56887</t>
  </si>
  <si>
    <t>01_01_03</t>
  </si>
  <si>
    <t>Transient Suppressor Diodes</t>
  </si>
  <si>
    <t>01_01_03_43673</t>
  </si>
  <si>
    <t>Protection Diode Assortments</t>
  </si>
  <si>
    <t>Schutzdioden-Sortimente</t>
  </si>
  <si>
    <t>http://www.distrelec.ch/en/c/cat-43673</t>
  </si>
  <si>
    <t>Why a category link with only one product inside ?</t>
  </si>
  <si>
    <t>01_01_03_DC-56888</t>
  </si>
  <si>
    <t>DC-56888</t>
  </si>
  <si>
    <t>Transient Voltage Suppression Diodes</t>
  </si>
  <si>
    <t>Schutzdioden</t>
  </si>
  <si>
    <t>http://www.distrelec.ch/en/c/cat-DC-56888</t>
  </si>
  <si>
    <t>01_01_04</t>
  </si>
  <si>
    <t>Rectifier Diodes</t>
  </si>
  <si>
    <t>01_01_04_DC-56890</t>
  </si>
  <si>
    <t>DC-56890</t>
  </si>
  <si>
    <t>Rectifier Diodes, Standard</t>
  </si>
  <si>
    <t>Gleichrichterdioden, Standard</t>
  </si>
  <si>
    <t>http://www.distrelec.ch/en/c/cat-DC-56890</t>
  </si>
  <si>
    <t>01_01_04_DC-56891</t>
  </si>
  <si>
    <t>DC-56891</t>
  </si>
  <si>
    <t>Rectifier Diodes, Fast Recovery</t>
  </si>
  <si>
    <t>Gleichrichterdioden, Fast recovery</t>
  </si>
  <si>
    <t>http://www.distrelec.ch/en/c/cat-DC-56891</t>
  </si>
  <si>
    <t>01_01_05</t>
  </si>
  <si>
    <t>L3D_525226</t>
  </si>
  <si>
    <t>Bridge Rectifiers</t>
  </si>
  <si>
    <t>Brückengleichrichter</t>
  </si>
  <si>
    <t>01_01_05_20140</t>
  </si>
  <si>
    <t>http://www.distrelec.ch/en/c/cat-20140</t>
  </si>
  <si>
    <t>01_01_05_20142</t>
  </si>
  <si>
    <t>Bridge Rectifiers, Three Phase</t>
  </si>
  <si>
    <t>Brückengleichrichter, 3-phasig</t>
  </si>
  <si>
    <t>http://www.distrelec.ch/en/c/cat-20142</t>
  </si>
  <si>
    <t>01_01_06</t>
  </si>
  <si>
    <t>L3D_525228</t>
  </si>
  <si>
    <t>Small Signal Transistors</t>
  </si>
  <si>
    <t>Transistoren</t>
  </si>
  <si>
    <t>01_01_06_20129</t>
  </si>
  <si>
    <t>Active Bias Controllers</t>
  </si>
  <si>
    <t>Arbeitspunktregler</t>
  </si>
  <si>
    <t>http://www.distrelec.ch/en/c/cat-20129</t>
  </si>
  <si>
    <t>1 692</t>
  </si>
  <si>
    <t>01_01_06_20133</t>
  </si>
  <si>
    <t>Transistors with Resistors</t>
  </si>
  <si>
    <t>Transistoren mit Widerständen</t>
  </si>
  <si>
    <t>http://www.distrelec.ch/en/c/cat-20133</t>
  </si>
  <si>
    <t>01_01_06_DC-56893</t>
  </si>
  <si>
    <t>DC-56893</t>
  </si>
  <si>
    <t>Kleinleistungstransistoren</t>
  </si>
  <si>
    <t>http://www.distrelec.ch/en/c/cat-DC-56893</t>
  </si>
  <si>
    <t>01_01_07</t>
  </si>
  <si>
    <t>Small Signal FETs</t>
  </si>
  <si>
    <t>01_01_07_20662</t>
  </si>
  <si>
    <t>J-FETs</t>
  </si>
  <si>
    <t>http://www.distrelec.ch/en/c/cat-20662</t>
  </si>
  <si>
    <t>01_01_07_564234</t>
  </si>
  <si>
    <t>UniJ-FETs</t>
  </si>
  <si>
    <t>http://www.distrelec.ch/en/c/cat-564234</t>
  </si>
  <si>
    <t>01_01_07_DC-56897</t>
  </si>
  <si>
    <t>DC-56897</t>
  </si>
  <si>
    <t>Kleinleistungs-FETs</t>
  </si>
  <si>
    <t>http://www.distrelec.ch/en/c/cat-DC-56897</t>
  </si>
  <si>
    <t>01_01_08</t>
  </si>
  <si>
    <t>Power FETs</t>
  </si>
  <si>
    <t>01_01_08_20088</t>
  </si>
  <si>
    <t>High Side Power Switches</t>
  </si>
  <si>
    <t>Highside Power Switch</t>
  </si>
  <si>
    <t>http://www.distrelec.ch/en/c/cat-20088</t>
  </si>
  <si>
    <t>01_01_08_DC-56898</t>
  </si>
  <si>
    <t>DC-56898</t>
  </si>
  <si>
    <t>Leistungs-FETs</t>
  </si>
  <si>
    <t>http://www.distrelec.ch/en/c/cat-DC-56898</t>
  </si>
  <si>
    <t>01_01_08_DC-56899</t>
  </si>
  <si>
    <t>DC-56899</t>
  </si>
  <si>
    <t>Power FETs, Intelligent</t>
  </si>
  <si>
    <t>Leistungs-FETs, intelligent</t>
  </si>
  <si>
    <t>http://www.distrelec.ch/en/c/cat-DC-56899</t>
  </si>
  <si>
    <t>01_01_09</t>
  </si>
  <si>
    <t>Transistor Modules</t>
  </si>
  <si>
    <t>01_01_09_20681</t>
  </si>
  <si>
    <t>MOSFET Modules</t>
  </si>
  <si>
    <t>MOSFET-Module</t>
  </si>
  <si>
    <t>http://www.distrelec.ch/en/c/cat-20681</t>
  </si>
  <si>
    <t>01_01_09_DC-56914</t>
  </si>
  <si>
    <t>DC-56914</t>
  </si>
  <si>
    <t>IGBT Modules</t>
  </si>
  <si>
    <t>IGBT-Module</t>
  </si>
  <si>
    <t>http://www.distrelec.ch/en/c/cat-DC-56914</t>
  </si>
  <si>
    <t>01_01_10</t>
  </si>
  <si>
    <t>L3D_525235</t>
  </si>
  <si>
    <t>Thyristor Modules</t>
  </si>
  <si>
    <t>Thyristoren</t>
  </si>
  <si>
    <t>01_01_10_DC-56915</t>
  </si>
  <si>
    <t>DC-56915</t>
  </si>
  <si>
    <t>Thyristor-Module</t>
  </si>
  <si>
    <t>http://www.distrelec.ch/en/c/cat-DC-56915</t>
  </si>
  <si>
    <t>01_01_10_DC-56916</t>
  </si>
  <si>
    <t>DC-56916</t>
  </si>
  <si>
    <t>Thyristor Diode Modules</t>
  </si>
  <si>
    <t>Thyristor-Dioden-Module</t>
  </si>
  <si>
    <t>http://www.distrelec.ch/en/c/cat-DC-56916</t>
  </si>
  <si>
    <t>01_01_11</t>
  </si>
  <si>
    <t>L3D_525241</t>
  </si>
  <si>
    <t>Tubes</t>
  </si>
  <si>
    <t>Röhren</t>
  </si>
  <si>
    <t>01_01_11_DC-52959</t>
  </si>
  <si>
    <t>DC-52959</t>
  </si>
  <si>
    <t>Receiver Tubes</t>
  </si>
  <si>
    <t>Empfängerröhren</t>
  </si>
  <si>
    <t>http://www.distrelec.ch/en/c/cat-DC-52959</t>
  </si>
  <si>
    <t>01_01_11_DC-52960</t>
  </si>
  <si>
    <t>DC-52960</t>
  </si>
  <si>
    <t>Special Tubes</t>
  </si>
  <si>
    <t>Spezialröhren</t>
  </si>
  <si>
    <t>http://www.distrelec.ch/en/c/cat-DC-52960</t>
  </si>
  <si>
    <t>01_01_11_DC-52963</t>
  </si>
  <si>
    <t>DC-52963</t>
  </si>
  <si>
    <t>Cathode Ray Tubes</t>
  </si>
  <si>
    <t>Kathodenstrahlröhren</t>
  </si>
  <si>
    <t>http://www.distrelec.ch/en/c/cat-DC-52963</t>
  </si>
  <si>
    <t>01_01_11_DC-52967</t>
  </si>
  <si>
    <t>DC-52967</t>
  </si>
  <si>
    <t>Transmitter Tubes</t>
  </si>
  <si>
    <t>Senderöhren</t>
  </si>
  <si>
    <t>http://www.distrelec.ch/en/c/cat-DC-52967</t>
  </si>
  <si>
    <t>01_01_11_DC-52989</t>
  </si>
  <si>
    <t>DC-52989</t>
  </si>
  <si>
    <t>Tube Sockets</t>
  </si>
  <si>
    <t>Röhrenfassungen</t>
  </si>
  <si>
    <t>http://www.distrelec.ch/en/c/cat-DC-52989</t>
  </si>
  <si>
    <t>01_01_11_DC-74656</t>
  </si>
  <si>
    <t>DC-74656</t>
  </si>
  <si>
    <t>Audio tubes</t>
  </si>
  <si>
    <t>Audioröhren</t>
  </si>
  <si>
    <t>http://www.distrelec.ch/en/c/cat-DC-74656</t>
  </si>
  <si>
    <t>01_01_20138</t>
  </si>
  <si>
    <t>Thyristors</t>
  </si>
  <si>
    <t>http://www.distrelec.ch/en/c/cat-20138</t>
  </si>
  <si>
    <t>01_01_DC-56892</t>
  </si>
  <si>
    <t>DC-56892</t>
  </si>
  <si>
    <t>Schottky Diodes</t>
  </si>
  <si>
    <t>Schottky-Dioden</t>
  </si>
  <si>
    <t>http://www.distrelec.ch/en/c/cat-DC-56892</t>
  </si>
  <si>
    <t>01_01_DC-56894</t>
  </si>
  <si>
    <t>DC-56894</t>
  </si>
  <si>
    <t>HF Transistors</t>
  </si>
  <si>
    <t>HF-Transistoren</t>
  </si>
  <si>
    <t>http://www.distrelec.ch/en/c/cat-DC-56894</t>
  </si>
  <si>
    <t>01_01_DC-56895</t>
  </si>
  <si>
    <t>DC-56895</t>
  </si>
  <si>
    <t>Power Transistors</t>
  </si>
  <si>
    <t>Leistungstransistoren</t>
  </si>
  <si>
    <t>http://www.distrelec.ch/en/c/cat-DC-56895</t>
  </si>
  <si>
    <t>01_01_DC-56896</t>
  </si>
  <si>
    <t>DC-56896</t>
  </si>
  <si>
    <t>Darlington Transistors</t>
  </si>
  <si>
    <t>Darlington-Transistoren</t>
  </si>
  <si>
    <t>http://www.distrelec.ch/en/c/cat-DC-56896</t>
  </si>
  <si>
    <t>01_01_DC-56901</t>
  </si>
  <si>
    <t>DC-56901</t>
  </si>
  <si>
    <t>IGBTs</t>
  </si>
  <si>
    <t>http://www.distrelec.ch/en/c/cat-DC-56901</t>
  </si>
  <si>
    <t>01_01_DC-56904</t>
  </si>
  <si>
    <t>DC-56904</t>
  </si>
  <si>
    <t>Triacs</t>
  </si>
  <si>
    <t>TRIACs</t>
  </si>
  <si>
    <t>http://www.distrelec.ch/en/c/cat-DC-56904</t>
  </si>
  <si>
    <t>01_01_DC-56905</t>
  </si>
  <si>
    <t>DC-56905</t>
  </si>
  <si>
    <t>Trigger Components</t>
  </si>
  <si>
    <t>Triggerelemente</t>
  </si>
  <si>
    <t>http://www.distrelec.ch/en/c/cat-DC-56905</t>
  </si>
  <si>
    <t>01_01_DC-56913</t>
  </si>
  <si>
    <t>DC-56913</t>
  </si>
  <si>
    <t>Diode Modules</t>
  </si>
  <si>
    <t>Diodenmodule</t>
  </si>
  <si>
    <t>http://www.distrelec.ch/en/c/cat-DC-56913</t>
  </si>
  <si>
    <t>01_02</t>
  </si>
  <si>
    <t>01_02_01</t>
  </si>
  <si>
    <t>L3D_525242</t>
  </si>
  <si>
    <t>Timer and Oscillator Circuits</t>
  </si>
  <si>
    <t>Timer- und Oszillatorschaltungen</t>
  </si>
  <si>
    <t>01_02_01_21510</t>
  </si>
  <si>
    <t>Timer ICs</t>
  </si>
  <si>
    <t>Timer-ICs</t>
  </si>
  <si>
    <t>http://www.distrelec.ch/en/c/cat-21510</t>
  </si>
  <si>
    <t>01_02_01_21512</t>
  </si>
  <si>
    <t>PLL Circuits</t>
  </si>
  <si>
    <t>PLL-Schaltungen</t>
  </si>
  <si>
    <t>http://www.distrelec.ch/en/c/cat-21512</t>
  </si>
  <si>
    <t>01_02_01_21514</t>
  </si>
  <si>
    <t>Programmable Oscillators</t>
  </si>
  <si>
    <t>Oszillatorschaltungen</t>
  </si>
  <si>
    <t>http://www.distrelec.ch/en/c/cat-21514</t>
  </si>
  <si>
    <t>01_02_02</t>
  </si>
  <si>
    <t>L3D_525243</t>
  </si>
  <si>
    <t>Data Converters</t>
  </si>
  <si>
    <t>Datenwandler</t>
  </si>
  <si>
    <t>01_02_02_205942</t>
  </si>
  <si>
    <t>Touch Screen Controllers</t>
  </si>
  <si>
    <t>http://www.distrelec.ch/en/c/cat-205942</t>
  </si>
  <si>
    <t>01_02_02_21488</t>
  </si>
  <si>
    <t>A/D Converters</t>
  </si>
  <si>
    <t>AD-Wandler</t>
  </si>
  <si>
    <t>http://www.distrelec.ch/en/c/cat-21488</t>
  </si>
  <si>
    <t>01_02_02_21490</t>
  </si>
  <si>
    <t>D/A Converters</t>
  </si>
  <si>
    <t>DA-Wandler</t>
  </si>
  <si>
    <t>http://www.distrelec.ch/en/c/cat-21490</t>
  </si>
  <si>
    <t>01_02_02_21492</t>
  </si>
  <si>
    <t>Sine/Digital Converters</t>
  </si>
  <si>
    <t>Sinus/Digital-Wandler</t>
  </si>
  <si>
    <t>http://www.distrelec.ch/en/c/cat-21492</t>
  </si>
  <si>
    <t>01_02_02_21494</t>
  </si>
  <si>
    <t>Voltage/Frequency Converters</t>
  </si>
  <si>
    <t>Spannung-Frequenz-Wandler</t>
  </si>
  <si>
    <t>http://www.distrelec.ch/en/c/cat-21494</t>
  </si>
  <si>
    <t>01_02_02_21496</t>
  </si>
  <si>
    <t>RMS/DC Converters</t>
  </si>
  <si>
    <t>RMS/DC-Wandler</t>
  </si>
  <si>
    <t>http://www.distrelec.ch/en/c/cat-21496</t>
  </si>
  <si>
    <t>01_02_02_21498</t>
  </si>
  <si>
    <t>Voltage/Current Converters / Current/Voltage Converters</t>
  </si>
  <si>
    <t>Spannung-Strom Wandler / Strom-Spannung-Wandler</t>
  </si>
  <si>
    <t>http://www.distrelec.ch/en/c/cat-21498</t>
  </si>
  <si>
    <t>01_02_02_21500</t>
  </si>
  <si>
    <t>Measured Value Acquisition Systems</t>
  </si>
  <si>
    <t>Messwerterfassungssysteme</t>
  </si>
  <si>
    <t>http://www.distrelec.ch/en/c/cat-21500</t>
  </si>
  <si>
    <t>01_02_02_21504</t>
  </si>
  <si>
    <t>Capacitance/Digital Converters</t>
  </si>
  <si>
    <t>Kapazität-Digital-Wandler</t>
  </si>
  <si>
    <t>http://www.distrelec.ch/en/c/cat-21504</t>
  </si>
  <si>
    <t>01_02_03</t>
  </si>
  <si>
    <t>L3D_525244</t>
  </si>
  <si>
    <t>Sample &amp; Hold Circuits</t>
  </si>
  <si>
    <t>Sample- &amp; Hold-Schaltungen</t>
  </si>
  <si>
    <t>01_02_03_21506</t>
  </si>
  <si>
    <t>S&amp;H Circuit</t>
  </si>
  <si>
    <t>S&amp;H-Schaltungen</t>
  </si>
  <si>
    <t>http://www.distrelec.ch/en/c/cat-21506</t>
  </si>
  <si>
    <t>01_02_03_21508</t>
  </si>
  <si>
    <t>Switched-Capacitor Circuits</t>
  </si>
  <si>
    <t>Switched-Capacitor-Schaltungen</t>
  </si>
  <si>
    <t>http://www.distrelec.ch/en/c/cat-21508</t>
  </si>
  <si>
    <t>01_02_04</t>
  </si>
  <si>
    <t>L3D_525245</t>
  </si>
  <si>
    <t>Sensor Circuits</t>
  </si>
  <si>
    <t>Sensorschaltungen</t>
  </si>
  <si>
    <t>01_02_04_21516</t>
  </si>
  <si>
    <t>Pressure Sensors</t>
  </si>
  <si>
    <t>Drucksensoren</t>
  </si>
  <si>
    <t>http://www.distrelec.ch/en/c/cat-21516</t>
  </si>
  <si>
    <t>01_02_04_21518</t>
  </si>
  <si>
    <t>Light Sensors</t>
  </si>
  <si>
    <t>Lichtsensoren</t>
  </si>
  <si>
    <t>http://www.distrelec.ch/en/c/cat-21518</t>
  </si>
  <si>
    <t>01_02_04_21520</t>
  </si>
  <si>
    <t>http://www.distrelec.ch/en/c/cat-21520</t>
  </si>
  <si>
    <t>01_02_04_21621</t>
  </si>
  <si>
    <t>Voltage amplifiers for measuring transducers</t>
  </si>
  <si>
    <t>Spannungsverstärker für Messumformer</t>
  </si>
  <si>
    <t>http://www.distrelec.ch/en/c/cat-21621</t>
  </si>
  <si>
    <t>01_02_04_21623</t>
  </si>
  <si>
    <t>Opto-Switches</t>
  </si>
  <si>
    <t>Optoschalter</t>
  </si>
  <si>
    <t>http://www.distrelec.ch/en/c/cat-21623</t>
  </si>
  <si>
    <t>01_02_04_21625</t>
  </si>
  <si>
    <t>Hall Effect Switches</t>
  </si>
  <si>
    <t>Hall-Schalter</t>
  </si>
  <si>
    <t>http://www.distrelec.ch/en/c/cat-21625</t>
  </si>
  <si>
    <t>01_02_04_21627</t>
  </si>
  <si>
    <t>Hall Effect Sensors</t>
  </si>
  <si>
    <t>Hall-Sensoren</t>
  </si>
  <si>
    <t>http://www.distrelec.ch/en/c/cat-21627</t>
  </si>
  <si>
    <t>01_02_04_21629</t>
  </si>
  <si>
    <t>Magnets for Hall Effect Sensors</t>
  </si>
  <si>
    <t>Magnete für Hall-Sensoren</t>
  </si>
  <si>
    <t>http://www.distrelec.ch/en/c/cat-21629</t>
  </si>
  <si>
    <t>01_02_04_21633</t>
  </si>
  <si>
    <t>Magnetic Pattern Recognition Sensors</t>
  </si>
  <si>
    <t>Magnetspur-Sensoren</t>
  </si>
  <si>
    <t>http://www.distrelec.ch/en/c/cat-21633</t>
  </si>
  <si>
    <t>01_02_04_21635</t>
  </si>
  <si>
    <t>Magnetic Field Sensors</t>
  </si>
  <si>
    <t>Magnetfeld-Sensoren</t>
  </si>
  <si>
    <t>http://www.distrelec.ch/en/c/cat-21635</t>
  </si>
  <si>
    <t>01_02_04_21637</t>
  </si>
  <si>
    <t>Current Sensors</t>
  </si>
  <si>
    <t>Stromsensoren</t>
  </si>
  <si>
    <t>http://www.distrelec.ch/en/c/cat-21637</t>
  </si>
  <si>
    <t>01_02_04_21639</t>
  </si>
  <si>
    <t>Temperature Sensors, Discrete</t>
  </si>
  <si>
    <t>Temperatursensoren, diskret</t>
  </si>
  <si>
    <t>http://www.distrelec.ch/en/c/cat-21639</t>
  </si>
  <si>
    <t>01_02_04_21642</t>
  </si>
  <si>
    <t>Temperature Sensors, Analog</t>
  </si>
  <si>
    <t>Temperatursensoren, analog</t>
  </si>
  <si>
    <t>http://www.distrelec.ch/en/c/cat-21642</t>
  </si>
  <si>
    <t>01_02_04_21644</t>
  </si>
  <si>
    <t>Thermostats</t>
  </si>
  <si>
    <t>Thermostaten</t>
  </si>
  <si>
    <t>http://www.distrelec.ch/en/c/cat-21644</t>
  </si>
  <si>
    <t>01_02_04_21646</t>
  </si>
  <si>
    <t>Temperature Sensor Circuits</t>
  </si>
  <si>
    <t>Temperatursensor-Schaltungen</t>
  </si>
  <si>
    <t>http://www.distrelec.ch/en/c/cat-21646</t>
  </si>
  <si>
    <t>01_02_04_21650</t>
  </si>
  <si>
    <t>Acceleration Sensors</t>
  </si>
  <si>
    <t>Beschleunigungssensoren</t>
  </si>
  <si>
    <t>http://www.distrelec.ch/en/c/cat-21650</t>
  </si>
  <si>
    <t>01_02_04_21652</t>
  </si>
  <si>
    <t>Demo Boards</t>
  </si>
  <si>
    <t>Demoboards</t>
  </si>
  <si>
    <t>http://www.distrelec.ch/en/c/cat-21652</t>
  </si>
  <si>
    <t>01_02_04_21654</t>
  </si>
  <si>
    <t>Angular Speed Sensors</t>
  </si>
  <si>
    <t>Winkelgeschwindigkeitssensoren</t>
  </si>
  <si>
    <t>http://www.distrelec.ch/en/c/cat-21654</t>
  </si>
  <si>
    <t>01_02_04_21988</t>
  </si>
  <si>
    <t>Temperature Sensors, Digital</t>
  </si>
  <si>
    <t>Temperatursensoren, digital</t>
  </si>
  <si>
    <t>http://www.distrelec.ch/en/c/cat-21988</t>
  </si>
  <si>
    <t>01_02_04_227430</t>
  </si>
  <si>
    <t>Touch Sensor ICs</t>
  </si>
  <si>
    <t>http://www.distrelec.ch/en/c/cat-227430</t>
  </si>
  <si>
    <t>01_02_04_341456</t>
  </si>
  <si>
    <t>Flow Sensors</t>
  </si>
  <si>
    <t>Durchflusssensoren</t>
  </si>
  <si>
    <t>http://www.distrelec.ch/en/c/cat-341456</t>
  </si>
  <si>
    <t>01_02_04_37832</t>
  </si>
  <si>
    <t>Moisture Sensors</t>
  </si>
  <si>
    <t>Feuchtesensoren</t>
  </si>
  <si>
    <t>http://www.distrelec.ch/en/c/cat-37832</t>
  </si>
  <si>
    <t>01_02_04_37834</t>
  </si>
  <si>
    <t>Gas and Smoke Sensors</t>
  </si>
  <si>
    <t>Gas- und Rauchsensoren</t>
  </si>
  <si>
    <t>http://www.distrelec.ch/en/c/cat-37834</t>
  </si>
  <si>
    <t>01_02_05</t>
  </si>
  <si>
    <t>L3D_525246</t>
  </si>
  <si>
    <t>Interface Circuits</t>
  </si>
  <si>
    <t>Schnittstellenschaltungen</t>
  </si>
  <si>
    <t>01_02_05_21522</t>
  </si>
  <si>
    <t>Interface ICs</t>
  </si>
  <si>
    <t>Schnittstellen-ICs</t>
  </si>
  <si>
    <t>http://www.distrelec.ch/en/c/cat-21522</t>
  </si>
  <si>
    <t>01_02_05_21524</t>
  </si>
  <si>
    <t>Interface Isolators</t>
  </si>
  <si>
    <t>Interface-Isolatoren</t>
  </si>
  <si>
    <t>http://www.distrelec.ch/en/c/cat-21524</t>
  </si>
  <si>
    <t>01_02_06</t>
  </si>
  <si>
    <t>L3D_525248</t>
  </si>
  <si>
    <t>Amplifiers</t>
  </si>
  <si>
    <t>Verstärker</t>
  </si>
  <si>
    <t>01_02_06_203642</t>
  </si>
  <si>
    <t>Operational Amplifiers, Current Feedback</t>
  </si>
  <si>
    <t>Operationsverstärker, Stromrückkopplung</t>
  </si>
  <si>
    <t>http://www.distrelec.ch/en/c/cat-203642</t>
  </si>
  <si>
    <t>01_02_06_203643</t>
  </si>
  <si>
    <t>Operational Amplifiers, PGA/VGA</t>
  </si>
  <si>
    <t>Operationsverstärker, PGA/VGA</t>
  </si>
  <si>
    <t>http://www.distrelec.ch/en/c/cat-203643</t>
  </si>
  <si>
    <t>01_02_06_203645</t>
  </si>
  <si>
    <t>Special Function Amplifiers</t>
  </si>
  <si>
    <t>Verstärker mit Sonderfunktion</t>
  </si>
  <si>
    <t>http://www.distrelec.ch/en/c/cat-203645</t>
  </si>
  <si>
    <t>01_02_06_21526</t>
  </si>
  <si>
    <t>Operational Amplifiers</t>
  </si>
  <si>
    <t>Operationsverstärker</t>
  </si>
  <si>
    <t>http://www.distrelec.ch/en/c/cat-21526</t>
  </si>
  <si>
    <t>01_02_06_21528</t>
  </si>
  <si>
    <t>Isolation Amplifiers</t>
  </si>
  <si>
    <t>Isolationsverstärker</t>
  </si>
  <si>
    <t>http://www.distrelec.ch/en/c/cat-21528</t>
  </si>
  <si>
    <t>01_02_06_21530</t>
  </si>
  <si>
    <t>Buffers</t>
  </si>
  <si>
    <t>Leistungsbuffer</t>
  </si>
  <si>
    <t>http://www.distrelec.ch/en/c/cat-21530</t>
  </si>
  <si>
    <t>01_02_06_21532</t>
  </si>
  <si>
    <t>Differential Amplifiers</t>
  </si>
  <si>
    <t>Differenzverstärker</t>
  </si>
  <si>
    <t>http://www.distrelec.ch/en/c/cat-21532</t>
  </si>
  <si>
    <t>01_02_06_21536</t>
  </si>
  <si>
    <t>Instrumentation Amplifiers</t>
  </si>
  <si>
    <t>Instrumentenverstärker</t>
  </si>
  <si>
    <t>http://www.distrelec.ch/en/c/cat-21536</t>
  </si>
  <si>
    <t>01_02_07</t>
  </si>
  <si>
    <t>L3D_525254</t>
  </si>
  <si>
    <t>Driver Circuits</t>
  </si>
  <si>
    <t>Treiber-ICs</t>
  </si>
  <si>
    <t>01_02_07_21546</t>
  </si>
  <si>
    <t>Driver ICs</t>
  </si>
  <si>
    <t>http://www.distrelec.ch/en/c/cat-21546</t>
  </si>
  <si>
    <t>01_02_08</t>
  </si>
  <si>
    <t>L3D_525255</t>
  </si>
  <si>
    <t>Trigger Circuits</t>
  </si>
  <si>
    <t>Ansteuerschaltungen</t>
  </si>
  <si>
    <t>01_02_08_21550</t>
  </si>
  <si>
    <t>http://www.distrelec.ch/en/c/cat-21550</t>
  </si>
  <si>
    <t>01_02_08_21552</t>
  </si>
  <si>
    <t>Bridge Drivers</t>
  </si>
  <si>
    <t>Brückentreiber</t>
  </si>
  <si>
    <t>http://www.distrelec.ch/en/c/cat-21552</t>
  </si>
  <si>
    <t>01_02_08_21554</t>
  </si>
  <si>
    <t>Motor Drivers</t>
  </si>
  <si>
    <t>Motortreiber</t>
  </si>
  <si>
    <t>http://www.distrelec.ch/en/c/cat-21554</t>
  </si>
  <si>
    <t>01_02_08_21556</t>
  </si>
  <si>
    <t>Evaluation Boards</t>
  </si>
  <si>
    <t>Evaluationboards</t>
  </si>
  <si>
    <t>http://www.distrelec.ch/en/c/cat-21556</t>
  </si>
  <si>
    <t>01_02_09</t>
  </si>
  <si>
    <t>L3D_525256</t>
  </si>
  <si>
    <t>Optoelectronic Drivers</t>
  </si>
  <si>
    <t>Opto-Ansteuerschaltungen</t>
  </si>
  <si>
    <t>01_02_09_21558</t>
  </si>
  <si>
    <t>Laser Diode Driver</t>
  </si>
  <si>
    <t>Laserdiodentreiber</t>
  </si>
  <si>
    <t>http://www.distrelec.ch/en/c/cat-21558</t>
  </si>
  <si>
    <t>01_02_09_21560</t>
  </si>
  <si>
    <t>http://www.distrelec.ch/en/c/cat-21560</t>
  </si>
  <si>
    <t>01_02_09_21562</t>
  </si>
  <si>
    <t>Laser Diode Modules</t>
  </si>
  <si>
    <t>Laserdioden-Module</t>
  </si>
  <si>
    <t>http://www.distrelec.ch/en/c/cat-21562</t>
  </si>
  <si>
    <t>01_02_09_21564</t>
  </si>
  <si>
    <t>http://www.distrelec.ch/en/c/cat-21564</t>
  </si>
  <si>
    <t>01_02_09_21566</t>
  </si>
  <si>
    <t>Display Drivers</t>
  </si>
  <si>
    <t>Display-Treiber</t>
  </si>
  <si>
    <t>http://www.distrelec.ch/en/c/cat-21566</t>
  </si>
  <si>
    <t>01_02_10</t>
  </si>
  <si>
    <t>L3D_525257</t>
  </si>
  <si>
    <t>Voltage Regulators</t>
  </si>
  <si>
    <t>Energieverwaltung</t>
  </si>
  <si>
    <t>01_02_10_21568</t>
  </si>
  <si>
    <t>Voltage Regulators, Linear</t>
  </si>
  <si>
    <t>Spannungsregler, linear</t>
  </si>
  <si>
    <t>http://www.distrelec.ch/en/c/cat-21568</t>
  </si>
  <si>
    <t>01_02_10_21570</t>
  </si>
  <si>
    <t>Voltage Regulators, LDO</t>
  </si>
  <si>
    <t>Spannungsregler, LDO</t>
  </si>
  <si>
    <t>http://www.distrelec.ch/en/c/cat-21570</t>
  </si>
  <si>
    <t>01_02_11</t>
  </si>
  <si>
    <t>Switching Regulators</t>
  </si>
  <si>
    <t>01_02_11_21572</t>
  </si>
  <si>
    <t>Schaltregler</t>
  </si>
  <si>
    <t>http://www.distrelec.ch/en/c/cat-21572</t>
  </si>
  <si>
    <t>01_02_11_21574</t>
  </si>
  <si>
    <t>Switching Regulators-Peripheral</t>
  </si>
  <si>
    <t>Schaltregler-Peripherie</t>
  </si>
  <si>
    <t>http://www.distrelec.ch/en/c/cat-21574</t>
  </si>
  <si>
    <t>01_02_11_21576</t>
  </si>
  <si>
    <t>Accessories</t>
  </si>
  <si>
    <t>Zubehör</t>
  </si>
  <si>
    <t>http://www.distrelec.ch/en/c/cat-21576</t>
  </si>
  <si>
    <t>01_02_12</t>
  </si>
  <si>
    <t>Power Supply Circuits</t>
  </si>
  <si>
    <t>01_02_12_197930</t>
  </si>
  <si>
    <t>Current Source</t>
  </si>
  <si>
    <t>Stromquelle</t>
  </si>
  <si>
    <t>http://www.distrelec.ch/en/c/cat-197930</t>
  </si>
  <si>
    <t>01_02_12_21534</t>
  </si>
  <si>
    <t>Current Sense Amplifier</t>
  </si>
  <si>
    <t>Current Sense Verstärker</t>
  </si>
  <si>
    <t>http://www.distrelec.ch/en/c/cat-21534</t>
  </si>
  <si>
    <t>01_02_12_21582</t>
  </si>
  <si>
    <t>Watchdog ICs</t>
  </si>
  <si>
    <t>Watchdog-ICs</t>
  </si>
  <si>
    <t>http://www.distrelec.ch/en/c/cat-21582</t>
  </si>
  <si>
    <t>01_02_12_21584</t>
  </si>
  <si>
    <t>Switched-mode Power Supply ICs</t>
  </si>
  <si>
    <t>Schaltnetzteil-ICs</t>
  </si>
  <si>
    <t>http://www.distrelec.ch/en/c/cat-21584</t>
  </si>
  <si>
    <t>1 862</t>
  </si>
  <si>
    <t>01_02_12_21586</t>
  </si>
  <si>
    <t>PoE ICs</t>
  </si>
  <si>
    <t>PoE-ICs</t>
  </si>
  <si>
    <t>http://www.distrelec.ch/en/c/cat-21586</t>
  </si>
  <si>
    <t>01_02_12_21588</t>
  </si>
  <si>
    <t>PFC ICs</t>
  </si>
  <si>
    <t>PFC-ICs</t>
  </si>
  <si>
    <t>http://www.distrelec.ch/en/c/cat-21588</t>
  </si>
  <si>
    <t>01_02_12_21590</t>
  </si>
  <si>
    <t>Power Supply ICs</t>
  </si>
  <si>
    <t>Stromversorgungs-ICs</t>
  </si>
  <si>
    <t>http://www.distrelec.ch/en/c/cat-21590</t>
  </si>
  <si>
    <t>01_02_12_21592</t>
  </si>
  <si>
    <t>Voltage Detectors</t>
  </si>
  <si>
    <t>Spannungsdetektoren</t>
  </si>
  <si>
    <t>http://www.distrelec.ch/en/c/cat-21592</t>
  </si>
  <si>
    <t>01_02_12_260884</t>
  </si>
  <si>
    <t>Other Power Management</t>
  </si>
  <si>
    <t>http://www.distrelec.ch/en/c/cat-260884</t>
  </si>
  <si>
    <t>01_02_13</t>
  </si>
  <si>
    <t>L3D_525265</t>
  </si>
  <si>
    <t>HF Circuits</t>
  </si>
  <si>
    <t>HF-Schaltungen</t>
  </si>
  <si>
    <t>01_02_13_203649</t>
  </si>
  <si>
    <t>Radio ICs</t>
  </si>
  <si>
    <t>Funk-Schaltkreise</t>
  </si>
  <si>
    <t>http://www.distrelec.ch/en/c/cat-203649</t>
  </si>
  <si>
    <t>01_02_13_21603</t>
  </si>
  <si>
    <t>http://www.distrelec.ch/en/c/cat-21603</t>
  </si>
  <si>
    <t>01_02_13_21605</t>
  </si>
  <si>
    <t>Switches</t>
  </si>
  <si>
    <t>Schalter</t>
  </si>
  <si>
    <t>http://www.distrelec.ch/en/c/cat-21605</t>
  </si>
  <si>
    <t>01_02_13_21607</t>
  </si>
  <si>
    <t>Attenuators</t>
  </si>
  <si>
    <t>Dämpfungsglieder</t>
  </si>
  <si>
    <t>http://www.distrelec.ch/en/c/cat-21607</t>
  </si>
  <si>
    <t>01_02_14</t>
  </si>
  <si>
    <t>Power Management</t>
  </si>
  <si>
    <t>01_02_14_21580</t>
  </si>
  <si>
    <t>DC/DC Converters</t>
  </si>
  <si>
    <t>DC/DC-Konverter</t>
  </si>
  <si>
    <t>http://www.distrelec.ch/en/c/cat-21580</t>
  </si>
  <si>
    <t>01_02_14_353399</t>
  </si>
  <si>
    <t>http://www.distrelec.ch/en/c/cat-353399</t>
  </si>
  <si>
    <t>01_02_168450</t>
  </si>
  <si>
    <t>Filter Modules</t>
  </si>
  <si>
    <t>Filterbausteine</t>
  </si>
  <si>
    <t>http://www.distrelec.ch/en/c/cat-168450</t>
  </si>
  <si>
    <t>01_02_21538</t>
  </si>
  <si>
    <t>Comparators</t>
  </si>
  <si>
    <t>Komparatoren</t>
  </si>
  <si>
    <t>http://www.distrelec.ch/en/c/cat-21538</t>
  </si>
  <si>
    <t>01_02_21540</t>
  </si>
  <si>
    <t>Analogue Multiplexer</t>
  </si>
  <si>
    <t>Analog-Multiplexer</t>
  </si>
  <si>
    <t>http://www.distrelec.ch/en/c/cat-21540</t>
  </si>
  <si>
    <t>01_02_21542</t>
  </si>
  <si>
    <t>Analogue Switch</t>
  </si>
  <si>
    <t>Analogschalter</t>
  </si>
  <si>
    <t>http://www.distrelec.ch/en/c/cat-21542</t>
  </si>
  <si>
    <t>01_02_21544</t>
  </si>
  <si>
    <t>Multipliers</t>
  </si>
  <si>
    <t>Multiplizierer</t>
  </si>
  <si>
    <t>http://www.distrelec.ch/en/c/cat-21544</t>
  </si>
  <si>
    <t>01_02_21578</t>
  </si>
  <si>
    <t>Voltage References</t>
  </si>
  <si>
    <t>Spannungsreferenzen</t>
  </si>
  <si>
    <t>http://www.distrelec.ch/en/c/cat-21578</t>
  </si>
  <si>
    <t>01_02_21597</t>
  </si>
  <si>
    <t>Battery Charging ICs</t>
  </si>
  <si>
    <t>Batterielade-ICs</t>
  </si>
  <si>
    <t>http://www.distrelec.ch/en/c/cat-21597</t>
  </si>
  <si>
    <t>01_02_21599</t>
  </si>
  <si>
    <t>I²C Bus Circuits</t>
  </si>
  <si>
    <t>I²C-Bus-Schaltungen</t>
  </si>
  <si>
    <t>http://www.distrelec.ch/en/c/cat-21599</t>
  </si>
  <si>
    <t>01_02_21601</t>
  </si>
  <si>
    <t>Audio and Video ICs</t>
  </si>
  <si>
    <t>Audio- und Video-ICs</t>
  </si>
  <si>
    <t>http://www.distrelec.ch/en/c/cat-21601</t>
  </si>
  <si>
    <t>01_02_DC-58472</t>
  </si>
  <si>
    <t>DC-58472</t>
  </si>
  <si>
    <t>Force Sensors</t>
  </si>
  <si>
    <t>Kraftsensoren</t>
  </si>
  <si>
    <t>http://www.distrelec.ch/en/c/cat-DC-58472</t>
  </si>
  <si>
    <t>01_02_DC-74653</t>
  </si>
  <si>
    <t>DC-74653</t>
  </si>
  <si>
    <t>Magnet-Resistant Coupler</t>
  </si>
  <si>
    <t>Magnetoresistive Koppler</t>
  </si>
  <si>
    <t>http://www.distrelec.ch/en/c/cat-DC-74653</t>
  </si>
  <si>
    <t>01_03</t>
  </si>
  <si>
    <t>Digital Circuits / Development Tools / Quartz</t>
  </si>
  <si>
    <t>01_03_01</t>
  </si>
  <si>
    <t>L3D_525272</t>
  </si>
  <si>
    <t>Microcontrollers</t>
  </si>
  <si>
    <t>Mikrocontroller</t>
  </si>
  <si>
    <t>01_03_01_178070</t>
  </si>
  <si>
    <t>6800 Microcontrollers</t>
  </si>
  <si>
    <t>6800 Mikrocontroller</t>
  </si>
  <si>
    <t>http://www.distrelec.ch/en/c/cat-178070</t>
  </si>
  <si>
    <t>01_03_01_178071</t>
  </si>
  <si>
    <t>8051 Microcontrollers</t>
  </si>
  <si>
    <t>8051 Mikrocontroller</t>
  </si>
  <si>
    <t>http://www.distrelec.ch/en/c/cat-178071</t>
  </si>
  <si>
    <t>01_03_01_178072</t>
  </si>
  <si>
    <t>PIC Microcontrollers</t>
  </si>
  <si>
    <t>PIC Mikrocontroller</t>
  </si>
  <si>
    <t>http://www.distrelec.ch/en/c/cat-178072</t>
  </si>
  <si>
    <t>01_03_01_178075</t>
  </si>
  <si>
    <t>ST6/ST7 Microcontrollers</t>
  </si>
  <si>
    <t>ST6/ST7 Mikrocontroller</t>
  </si>
  <si>
    <t>http://www.distrelec.ch/en/c/cat-178075</t>
  </si>
  <si>
    <t>01_03_01_178076</t>
  </si>
  <si>
    <t>AVR Microcontrollers</t>
  </si>
  <si>
    <t>AVR Mikrocontroller</t>
  </si>
  <si>
    <t>http://www.distrelec.ch/en/c/cat-178076</t>
  </si>
  <si>
    <t>01_03_01_178077</t>
  </si>
  <si>
    <t>ARM Microcontrollers</t>
  </si>
  <si>
    <t>ARM Mikrocontroller</t>
  </si>
  <si>
    <t>http://www.distrelec.ch/en/c/cat-178077</t>
  </si>
  <si>
    <t>01_03_01_178078</t>
  </si>
  <si>
    <t>MSP430 Microcontrollers</t>
  </si>
  <si>
    <t>MSP430 Mikrocontroller</t>
  </si>
  <si>
    <t>http://www.distrelec.ch/en/c/cat-178078</t>
  </si>
  <si>
    <t>01_03_01_178079</t>
  </si>
  <si>
    <t>Miscellaneous Microcontrollers</t>
  </si>
  <si>
    <t>Diverse Mikrocontroller</t>
  </si>
  <si>
    <t>http://www.distrelec.ch/en/c/cat-178079</t>
  </si>
  <si>
    <t>01_03_01_235635</t>
  </si>
  <si>
    <t>STM8 Microcontroller</t>
  </si>
  <si>
    <t>STM8 Mikrocontroller</t>
  </si>
  <si>
    <t>http://www.distrelec.ch/en/c/cat-235635</t>
  </si>
  <si>
    <t>01_03_02</t>
  </si>
  <si>
    <t>L3D_525273</t>
  </si>
  <si>
    <t>Development Tools</t>
  </si>
  <si>
    <t>Entwicklungswerkzeuge</t>
  </si>
  <si>
    <t>01_03_02_178080</t>
  </si>
  <si>
    <t>Development Tools, 6800</t>
  </si>
  <si>
    <t>Entwicklungswerkzeuge, 6800</t>
  </si>
  <si>
    <t>http://www.distrelec.ch/en/c/cat-178080</t>
  </si>
  <si>
    <t>01_03_02_178081</t>
  </si>
  <si>
    <t>Development Tools, 8051</t>
  </si>
  <si>
    <t>Entwicklungswerkzeuge, 8051</t>
  </si>
  <si>
    <t>http://www.distrelec.ch/en/c/cat-178081</t>
  </si>
  <si>
    <t>01_03_02_178082</t>
  </si>
  <si>
    <t>Development Tools, PIC</t>
  </si>
  <si>
    <t>Entwicklungswerkzeuge, PIC</t>
  </si>
  <si>
    <t>http://www.distrelec.ch/en/c/cat-178082</t>
  </si>
  <si>
    <t>01_03_02_178083</t>
  </si>
  <si>
    <t>Development Tools, AVR</t>
  </si>
  <si>
    <t>Entwicklungswerkzeuge, AVR</t>
  </si>
  <si>
    <t>http://www.distrelec.ch/en/c/cat-178083</t>
  </si>
  <si>
    <t>01_03_02_178086</t>
  </si>
  <si>
    <t>Development Tools, ST6/ST7</t>
  </si>
  <si>
    <t>Entwicklungswerkzeuge, ST6/ST7</t>
  </si>
  <si>
    <t>http://www.distrelec.ch/en/c/cat-178086</t>
  </si>
  <si>
    <t>01_03_02_178087</t>
  </si>
  <si>
    <t>Development Tools, ARM</t>
  </si>
  <si>
    <t>Entwicklungswerkzeuge, ARM</t>
  </si>
  <si>
    <t>http://www.distrelec.ch/en/c/cat-178087</t>
  </si>
  <si>
    <t>01_03_02_178088</t>
  </si>
  <si>
    <t>Development Tools, MSP430</t>
  </si>
  <si>
    <t>Entwicklungswerkzeuge, MSP430</t>
  </si>
  <si>
    <t>http://www.distrelec.ch/en/c/cat-178088</t>
  </si>
  <si>
    <t>01_03_02_178089</t>
  </si>
  <si>
    <t>Development Tools, Miscellaneous</t>
  </si>
  <si>
    <t>Entwicklungswerkzeuge, Diverse</t>
  </si>
  <si>
    <t>http://www.distrelec.ch/en/c/cat-178089</t>
  </si>
  <si>
    <t>01_03_02_240155</t>
  </si>
  <si>
    <t>Development Tools, STM8</t>
  </si>
  <si>
    <t>Entwicklungswerkzeuge, STM8</t>
  </si>
  <si>
    <t>http://www.distrelec.ch/en/c/cat-240155</t>
  </si>
  <si>
    <t>01_03_03</t>
  </si>
  <si>
    <t>L3D_525274</t>
  </si>
  <si>
    <t>Programming Devices</t>
  </si>
  <si>
    <t>Programmiergeräte</t>
  </si>
  <si>
    <t>01_03_03_23897</t>
  </si>
  <si>
    <t>Programming Adapters</t>
  </si>
  <si>
    <t>Programmieradapter</t>
  </si>
  <si>
    <t>http://www.distrelec.ch/en/c/cat-23897</t>
  </si>
  <si>
    <t>01_03_03_DC-56562</t>
  </si>
  <si>
    <t>DC-56562</t>
  </si>
  <si>
    <t>Programmers</t>
  </si>
  <si>
    <t>http://www.distrelec.ch/en/c/cat-DC-56562</t>
  </si>
  <si>
    <t>01_03_04</t>
  </si>
  <si>
    <t>L3D_525275</t>
  </si>
  <si>
    <t>EPROM Erasing Devices</t>
  </si>
  <si>
    <t>EPROM-Löschgeräte</t>
  </si>
  <si>
    <t>01_03_04_23901</t>
  </si>
  <si>
    <t>UV Replacement Lamps</t>
  </si>
  <si>
    <t>UV-Ersatzlampen</t>
  </si>
  <si>
    <t>http://www.distrelec.ch/en/c/cat-23901</t>
  </si>
  <si>
    <t>01_03_04_DC-56564</t>
  </si>
  <si>
    <t>DC-56564</t>
  </si>
  <si>
    <t>EPROM Erasing Device</t>
  </si>
  <si>
    <t>http://www.distrelec.ch/en/c/cat-DC-56564</t>
  </si>
  <si>
    <t>01_03_05</t>
  </si>
  <si>
    <t>L3D_525283</t>
  </si>
  <si>
    <t>Communication Circuits</t>
  </si>
  <si>
    <t>Kommunikations-ICs</t>
  </si>
  <si>
    <t>01_03_05_29063</t>
  </si>
  <si>
    <t>Communication modules</t>
  </si>
  <si>
    <t>Kommunikations-Module</t>
  </si>
  <si>
    <t>http://www.distrelec.ch/en/c/cat-29063</t>
  </si>
  <si>
    <t>01_03_05_DC-56557</t>
  </si>
  <si>
    <t>DC-56557</t>
  </si>
  <si>
    <t>ICs for the communication</t>
  </si>
  <si>
    <t>http://www.distrelec.ch/en/c/cat-DC-56557</t>
  </si>
  <si>
    <t>01_03_29802</t>
  </si>
  <si>
    <t>Mixed Signal Arrays</t>
  </si>
  <si>
    <t>Mixed-Signal-Arrays</t>
  </si>
  <si>
    <t>http://www.distrelec.ch/en/c/cat-29802</t>
  </si>
  <si>
    <t>01_03_DC-56109</t>
  </si>
  <si>
    <t>DC-56109</t>
  </si>
  <si>
    <t>Digital Potentiometers</t>
  </si>
  <si>
    <t>Digitale Potentiometer</t>
  </si>
  <si>
    <t>http://www.distrelec.ch/en/c/cat-DC-56109</t>
  </si>
  <si>
    <t>01_03_DC-56538</t>
  </si>
  <si>
    <t>DC-56538</t>
  </si>
  <si>
    <t>SRAMs</t>
  </si>
  <si>
    <t>http://www.distrelec.ch/en/c/cat-DC-56538</t>
  </si>
  <si>
    <t>01_03_DC-56540</t>
  </si>
  <si>
    <t>DC-56540</t>
  </si>
  <si>
    <t>EPROMs</t>
  </si>
  <si>
    <t>http://www.distrelec.ch/en/c/cat-DC-56540</t>
  </si>
  <si>
    <t>01_03_DC-56542</t>
  </si>
  <si>
    <t>DC-56542</t>
  </si>
  <si>
    <t>EEPROMs</t>
  </si>
  <si>
    <t>http://www.distrelec.ch/en/c/cat-DC-56542</t>
  </si>
  <si>
    <t>01_03_DC-56543</t>
  </si>
  <si>
    <t>DC-56543</t>
  </si>
  <si>
    <t>Flash Memories</t>
  </si>
  <si>
    <t>FLASH-Speicher</t>
  </si>
  <si>
    <t>http://www.distrelec.ch/en/c/cat-DC-56543</t>
  </si>
  <si>
    <t>01_03_DC-56544</t>
  </si>
  <si>
    <t>DC-56544</t>
  </si>
  <si>
    <t>NV-RAM</t>
  </si>
  <si>
    <t>http://www.distrelec.ch/en/c/cat-DC-56544</t>
  </si>
  <si>
    <t>01_03_DC-56556</t>
  </si>
  <si>
    <t>DC-56556</t>
  </si>
  <si>
    <t>Electronic Identification</t>
  </si>
  <si>
    <t>Elektronische Identifikation</t>
  </si>
  <si>
    <t>http://www.distrelec.ch/en/c/cat-DC-56556</t>
  </si>
  <si>
    <t>01_03_DC-56565</t>
  </si>
  <si>
    <t>DC-56565</t>
  </si>
  <si>
    <t>Logic 74</t>
  </si>
  <si>
    <t>74er Logik</t>
  </si>
  <si>
    <t>http://www.distrelec.ch/en/c/cat-DC-56565</t>
  </si>
  <si>
    <t>01_03_DC-56566</t>
  </si>
  <si>
    <t>DC-56566</t>
  </si>
  <si>
    <t>Logic 4000</t>
  </si>
  <si>
    <t>4000er Logik</t>
  </si>
  <si>
    <t>http://www.distrelec.ch/en/c/cat-DC-56566</t>
  </si>
  <si>
    <t>01_03_DC-56567</t>
  </si>
  <si>
    <t>DC-56567</t>
  </si>
  <si>
    <t>Single/Dual Gate Logic</t>
  </si>
  <si>
    <t>Single/Dual Gate Logik</t>
  </si>
  <si>
    <t>http://www.distrelec.ch/en/c/cat-DC-56567</t>
  </si>
  <si>
    <t>01_03_DC-77719</t>
  </si>
  <si>
    <t>DC-77719</t>
  </si>
  <si>
    <t>Processors</t>
  </si>
  <si>
    <t>Prozessoren</t>
  </si>
  <si>
    <t>http://www.distrelec.ch/en/c/cat-DC-77719</t>
  </si>
  <si>
    <t>01_03_DC-90037</t>
  </si>
  <si>
    <t>DC-90037</t>
  </si>
  <si>
    <t>Quartz Crystals</t>
  </si>
  <si>
    <t>Quarze</t>
  </si>
  <si>
    <t>http://www.distrelec.ch/en/c/cat-DC-90037</t>
  </si>
  <si>
    <t>01_03_DC-90038</t>
  </si>
  <si>
    <t>DC-90038</t>
  </si>
  <si>
    <t>Oscillators</t>
  </si>
  <si>
    <t>Oszillatoren</t>
  </si>
  <si>
    <t>http://www.distrelec.ch/en/c/cat-DC-90038</t>
  </si>
  <si>
    <t>01_03_DC-90039</t>
  </si>
  <si>
    <t>DC-90039</t>
  </si>
  <si>
    <t>Resonators</t>
  </si>
  <si>
    <t>Resonatoren</t>
  </si>
  <si>
    <t>http://www.distrelec.ch/en/c/cat-DC-90039</t>
  </si>
  <si>
    <t>01_03_DC-91836</t>
  </si>
  <si>
    <t>DC-91836</t>
  </si>
  <si>
    <t>Programmable Logic</t>
  </si>
  <si>
    <t>Programmierbare Logik</t>
  </si>
  <si>
    <t>http://www.distrelec.ch/en/c/cat-DC-91836</t>
  </si>
  <si>
    <t>01_03_DC-91838</t>
  </si>
  <si>
    <t>DC-91838</t>
  </si>
  <si>
    <t>Clock and Calendar Circuits</t>
  </si>
  <si>
    <t>Uhren- und Kalenderschaltungen</t>
  </si>
  <si>
    <t>http://www.distrelec.ch/en/c/cat-DC-91838</t>
  </si>
  <si>
    <t>01_04</t>
  </si>
  <si>
    <t>01_04_01</t>
  </si>
  <si>
    <t>L3D_525288</t>
  </si>
  <si>
    <t>Installation Materials for Discrete Semiconductors</t>
  </si>
  <si>
    <t>Einbaumaterial für diskrete Halbleiter</t>
  </si>
  <si>
    <t>01_04_01_23927</t>
  </si>
  <si>
    <t>Assembly Disks</t>
  </si>
  <si>
    <t>Montagescheiben</t>
  </si>
  <si>
    <t>http://www.distrelec.ch/en/c/cat-23927</t>
  </si>
  <si>
    <t>01_04_01_23929</t>
  </si>
  <si>
    <t>Insulation Material</t>
  </si>
  <si>
    <t>Isoliermaterial</t>
  </si>
  <si>
    <t>http://www.distrelec.ch/en/c/cat-23929</t>
  </si>
  <si>
    <t>01_04_01_23931</t>
  </si>
  <si>
    <t>Mica Washers</t>
  </si>
  <si>
    <t>Glimmerscheiben</t>
  </si>
  <si>
    <t>http://www.distrelec.ch/en/c/cat-23931</t>
  </si>
  <si>
    <t>01_04_01_23933</t>
  </si>
  <si>
    <t>Clips</t>
  </si>
  <si>
    <t>Haltefedern</t>
  </si>
  <si>
    <t>http://www.distrelec.ch/en/c/cat-23933</t>
  </si>
  <si>
    <t>01_04_01_DC-52978</t>
  </si>
  <si>
    <t>DC-52978</t>
  </si>
  <si>
    <t>Transistor and Quartz Holders</t>
  </si>
  <si>
    <t>Transistor- und Quarz-Fassungen</t>
  </si>
  <si>
    <t>http://www.distrelec.ch/en/c/cat-DC-52978</t>
  </si>
  <si>
    <t>01_04_02</t>
  </si>
  <si>
    <t>L3D_525291</t>
  </si>
  <si>
    <t>Test Sockets and Test Clips</t>
  </si>
  <si>
    <t>Testfassungen und Testclips</t>
  </si>
  <si>
    <t>01_04_02_23936</t>
  </si>
  <si>
    <t>Test Clips</t>
  </si>
  <si>
    <t>Testclips</t>
  </si>
  <si>
    <t>http://www.distrelec.ch/en/c/cat-23936</t>
  </si>
  <si>
    <t>01_04_02_DC-52983</t>
  </si>
  <si>
    <t>DC-52983</t>
  </si>
  <si>
    <t>Test Sockets</t>
  </si>
  <si>
    <t>Testfassungen</t>
  </si>
  <si>
    <t>http://www.distrelec.ch/en/c/cat-DC-52983</t>
  </si>
  <si>
    <t>01_04_03</t>
  </si>
  <si>
    <t>L3D_525292</t>
  </si>
  <si>
    <t>Heat Sinks</t>
  </si>
  <si>
    <t>Kühlkörper und Lüftereinheiten</t>
  </si>
  <si>
    <t>01_04_03_23946</t>
  </si>
  <si>
    <t>Heat Sink with Fans</t>
  </si>
  <si>
    <t>Kühlkörper mit Lüftern</t>
  </si>
  <si>
    <t>http://www.distrelec.ch/en/c/cat-23946</t>
  </si>
  <si>
    <t>01_04_03_23948</t>
  </si>
  <si>
    <t>Fan Units</t>
  </si>
  <si>
    <t>Lüfteraggregate</t>
  </si>
  <si>
    <t>http://www.distrelec.ch/en/c/cat-23948</t>
  </si>
  <si>
    <t>01_04_03_23950</t>
  </si>
  <si>
    <t>Heat Sink Accessories</t>
  </si>
  <si>
    <t>Kühlkörper-Zubehör</t>
  </si>
  <si>
    <t>http://www.distrelec.ch/en/c/cat-23950</t>
  </si>
  <si>
    <t>01_04_03_DC-52984</t>
  </si>
  <si>
    <t>DC-52984</t>
  </si>
  <si>
    <t>Kühlkörper</t>
  </si>
  <si>
    <t>http://www.distrelec.ch/en/c/cat-DC-52984</t>
  </si>
  <si>
    <t>01_04_04</t>
  </si>
  <si>
    <t>L3D_525293</t>
  </si>
  <si>
    <t>Thermal Compounds and Adhesives</t>
  </si>
  <si>
    <t>Wärmeleitklebstoffe</t>
  </si>
  <si>
    <t>01_04_04_23957</t>
  </si>
  <si>
    <t>http://www.distrelec.ch/en/c/cat-23957</t>
  </si>
  <si>
    <t>01_04_04_DC-52985</t>
  </si>
  <si>
    <t>DC-52985</t>
  </si>
  <si>
    <t>Wärmeleitpaste und -kleber</t>
  </si>
  <si>
    <t>http://www.distrelec.ch/en/c/cat-DC-52985</t>
  </si>
  <si>
    <t>01_04_05</t>
  </si>
  <si>
    <t>L3D_525295</t>
  </si>
  <si>
    <t>Peltier and Heat Elements</t>
  </si>
  <si>
    <t>Peltier- und Heizelemente</t>
  </si>
  <si>
    <t>01_04_05_23962</t>
  </si>
  <si>
    <t>Peltier Controllers + Accessories</t>
  </si>
  <si>
    <t>Peltiercontroller + Zubehör</t>
  </si>
  <si>
    <t>http://www.distrelec.ch/en/c/cat-23962</t>
  </si>
  <si>
    <t>01_04_05_23964</t>
  </si>
  <si>
    <t>Heating Foils</t>
  </si>
  <si>
    <t>Heizfolien</t>
  </si>
  <si>
    <t>http://www.distrelec.ch/en/c/cat-23964</t>
  </si>
  <si>
    <t>01_04_05_23967</t>
  </si>
  <si>
    <t>Heating Foil Accessories</t>
  </si>
  <si>
    <t>Heizfolien-Zubehör</t>
  </si>
  <si>
    <t>http://www.distrelec.ch/en/c/cat-23967</t>
  </si>
  <si>
    <t>01_04_05_DC-52986</t>
  </si>
  <si>
    <t>DC-52986</t>
  </si>
  <si>
    <t>Peltier Elements</t>
  </si>
  <si>
    <t>Peltier-Elemente</t>
  </si>
  <si>
    <t>http://www.distrelec.ch/en/c/cat-DC-52986</t>
  </si>
  <si>
    <t>01_04_565444</t>
  </si>
  <si>
    <t>IC Sockets, SIL</t>
  </si>
  <si>
    <t>IC-Fassungen, SIL</t>
  </si>
  <si>
    <t>http://www.distrelec.ch/en/c/cat-565444</t>
  </si>
  <si>
    <t>01_04_DC-52979</t>
  </si>
  <si>
    <t>DC-52979</t>
  </si>
  <si>
    <t>Heat Conducting Films/Foils</t>
  </si>
  <si>
    <t>Wärmeleitfolien</t>
  </si>
  <si>
    <t>http://www.distrelec.ch/en/c/cat-DC-52979</t>
  </si>
  <si>
    <t>01_04_DC-52980</t>
  </si>
  <si>
    <t>DC-52980</t>
  </si>
  <si>
    <t>IC Sockets, DIL</t>
  </si>
  <si>
    <t>IC-Fassungen, DIL</t>
  </si>
  <si>
    <t>http://www.distrelec.ch/en/c/cat-DC-52980</t>
  </si>
  <si>
    <t>01_04_DC-52981</t>
  </si>
  <si>
    <t>DC-52981</t>
  </si>
  <si>
    <t>IC Sockets, PLCC</t>
  </si>
  <si>
    <t>IC-Fassungen, PLCC</t>
  </si>
  <si>
    <t>http://www.distrelec.ch/en/c/cat-DC-52981</t>
  </si>
  <si>
    <t>01_04_DC-97970</t>
  </si>
  <si>
    <t>DC-97970</t>
  </si>
  <si>
    <t>LED Light Guides</t>
  </si>
  <si>
    <t>LED-Lichtleiter</t>
  </si>
  <si>
    <t>http://www.distrelec.ch/en/c/cat-DC-97970</t>
  </si>
  <si>
    <t>01_05</t>
  </si>
  <si>
    <t>01_05_01</t>
  </si>
  <si>
    <t>L3D_525297</t>
  </si>
  <si>
    <t>LEDs</t>
  </si>
  <si>
    <t>01_05_01_24511</t>
  </si>
  <si>
    <t>LED-Arrays</t>
  </si>
  <si>
    <t>http://www.distrelec.ch/en/c/cat-24511</t>
  </si>
  <si>
    <t>01_05_01_24513</t>
  </si>
  <si>
    <t>LEDs, Subminiature</t>
  </si>
  <si>
    <t>Subminiatur-LEDs</t>
  </si>
  <si>
    <t>http://www.distrelec.ch/en/c/cat-24513</t>
  </si>
  <si>
    <t>01_05_01_24843</t>
  </si>
  <si>
    <t>LED Tester</t>
  </si>
  <si>
    <t>LED-Tester</t>
  </si>
  <si>
    <t>http://www.distrelec.ch/en/c/cat-24843</t>
  </si>
  <si>
    <t>01_05_01_523143</t>
  </si>
  <si>
    <t>LEDs, COB (Chip-On-Board)</t>
  </si>
  <si>
    <t>http://www.distrelec.ch/en/c/cat-523143</t>
  </si>
  <si>
    <t>01_05_01_DC-53046</t>
  </si>
  <si>
    <t>DC-53046</t>
  </si>
  <si>
    <t>LEDs, SMD</t>
  </si>
  <si>
    <t>SMD-LEDs</t>
  </si>
  <si>
    <t>http://www.distrelec.ch/en/c/cat-DC-53046</t>
  </si>
  <si>
    <t>01_05_01_DC-53047</t>
  </si>
  <si>
    <t>DC-53047</t>
  </si>
  <si>
    <t>LEDs, THT</t>
  </si>
  <si>
    <t>http://www.distrelec.ch/en/c/cat-DC-53047</t>
  </si>
  <si>
    <t>01_05_01_DC-53048</t>
  </si>
  <si>
    <t>DC-53048</t>
  </si>
  <si>
    <t>Symbol LEDs</t>
  </si>
  <si>
    <t>Symbol-LEDs</t>
  </si>
  <si>
    <t>http://www.distrelec.ch/en/c/cat-DC-53048</t>
  </si>
  <si>
    <t>01_05_01_DC-53052</t>
  </si>
  <si>
    <t>DC-53052</t>
  </si>
  <si>
    <t>Flashing LEDs</t>
  </si>
  <si>
    <t>Blink-LEDs</t>
  </si>
  <si>
    <t>http://www.distrelec.ch/en/c/cat-DC-53052</t>
  </si>
  <si>
    <t>01_05_01_DC-53053</t>
  </si>
  <si>
    <t>DC-53053</t>
  </si>
  <si>
    <t>LEDs with Series Resistors</t>
  </si>
  <si>
    <t>LEDs mit Vorwiderstand</t>
  </si>
  <si>
    <t>http://www.distrelec.ch/en/c/cat-DC-53053</t>
  </si>
  <si>
    <t>01_05_01_DC-53054</t>
  </si>
  <si>
    <t>DC-53054</t>
  </si>
  <si>
    <t>LEDs, Alternating Current</t>
  </si>
  <si>
    <t>Wechselstrom-LEDs</t>
  </si>
  <si>
    <t>http://www.distrelec.ch/en/c/cat-DC-53054</t>
  </si>
  <si>
    <t>01_05_01_DC-53055</t>
  </si>
  <si>
    <t>DC-53055</t>
  </si>
  <si>
    <t>LEDs, PCB</t>
  </si>
  <si>
    <t>Print-LEDs</t>
  </si>
  <si>
    <t>http://www.distrelec.ch/en/c/cat-DC-53055</t>
  </si>
  <si>
    <t>01_05_01_DC-53056</t>
  </si>
  <si>
    <t>DC-53056</t>
  </si>
  <si>
    <t>LEDs for Panel Mount</t>
  </si>
  <si>
    <t>LEDs in Fassung</t>
  </si>
  <si>
    <t>http://www.distrelec.ch/en/c/cat-DC-53056</t>
  </si>
  <si>
    <t>01_05_01_DC-53057</t>
  </si>
  <si>
    <t>DC-53057</t>
  </si>
  <si>
    <t>LED Clusters</t>
  </si>
  <si>
    <t>LED-Cluster</t>
  </si>
  <si>
    <t>http://www.distrelec.ch/en/c/cat-DC-53057</t>
  </si>
  <si>
    <t>01_05_02</t>
  </si>
  <si>
    <t>L3D_525305</t>
  </si>
  <si>
    <t>LED Bars and Displays</t>
  </si>
  <si>
    <t>LED-Leuchtflächen und -Displays</t>
  </si>
  <si>
    <t>01_05_02_24927</t>
  </si>
  <si>
    <t>Mounting Frames for LED Light Bars</t>
  </si>
  <si>
    <t>Leuchtflächen-Montagerahmen</t>
  </si>
  <si>
    <t>http://www.distrelec.ch/en/c/cat-24927</t>
  </si>
  <si>
    <t>01_05_02_DC-53059</t>
  </si>
  <si>
    <t>DC-53059</t>
  </si>
  <si>
    <t>LED Light Bars</t>
  </si>
  <si>
    <t>LED-Leuchtflächen</t>
  </si>
  <si>
    <t>http://www.distrelec.ch/en/c/cat-DC-53059</t>
  </si>
  <si>
    <t>01_05_02_DC-53061</t>
  </si>
  <si>
    <t>DC-53061</t>
  </si>
  <si>
    <t>LED Bar Graph Displays</t>
  </si>
  <si>
    <t>LED-Balkenanzeigen</t>
  </si>
  <si>
    <t>http://www.distrelec.ch/en/c/cat-DC-53061</t>
  </si>
  <si>
    <t>01_05_02_DC-53062</t>
  </si>
  <si>
    <t>DC-53062</t>
  </si>
  <si>
    <t>Segment LED Displays</t>
  </si>
  <si>
    <t>Segment LED-Anzeigen</t>
  </si>
  <si>
    <t>http://www.distrelec.ch/en/c/cat-DC-53062</t>
  </si>
  <si>
    <t>01_05_03</t>
  </si>
  <si>
    <t>L3D_525307</t>
  </si>
  <si>
    <t>LED Dot Matrix Displays</t>
  </si>
  <si>
    <t>LED-Punktmatrixanzeigen</t>
  </si>
  <si>
    <t>01_05_03_DC-53064</t>
  </si>
  <si>
    <t>DC-53064</t>
  </si>
  <si>
    <t>http://www.distrelec.ch/en/c/cat-DC-53064</t>
  </si>
  <si>
    <t>01_05_03_DC-53067</t>
  </si>
  <si>
    <t>DC-53067</t>
  </si>
  <si>
    <t>Intelligent LED Dot Matrix Displays</t>
  </si>
  <si>
    <t>LED-Punktmatrixanzeigen, intelligent</t>
  </si>
  <si>
    <t>http://www.distrelec.ch/en/c/cat-DC-53067</t>
  </si>
  <si>
    <t>01_05_04</t>
  </si>
  <si>
    <t>L3D_525302</t>
  </si>
  <si>
    <t>Mounting Materials for LEDs</t>
  </si>
  <si>
    <t>Leuchtdiodenhalter</t>
  </si>
  <si>
    <t>01_05_04_23975</t>
  </si>
  <si>
    <t>LED Reflectors</t>
  </si>
  <si>
    <t>Leuchtdiodenreflektoren</t>
  </si>
  <si>
    <t>http://www.distrelec.ch/en/c/cat-23975</t>
  </si>
  <si>
    <t>01_05_04_23978</t>
  </si>
  <si>
    <t>Spacers for LEDs</t>
  </si>
  <si>
    <t>Leuchtdiodendistanzhalter</t>
  </si>
  <si>
    <t>http://www.distrelec.ch/en/c/cat-23978</t>
  </si>
  <si>
    <t>01_05_04_44558</t>
  </si>
  <si>
    <t>Lenses for LEDs</t>
  </si>
  <si>
    <t>Linsen für LEDs</t>
  </si>
  <si>
    <t>http://www.distrelec.ch/en/c/cat-44558</t>
  </si>
  <si>
    <t>01_05_04_DC-52987</t>
  </si>
  <si>
    <t>DC-52987</t>
  </si>
  <si>
    <t>Holders and Clips for LEDs</t>
  </si>
  <si>
    <t>http://www.distrelec.ch/en/c/cat-DC-52987</t>
  </si>
  <si>
    <t>01_05_05</t>
  </si>
  <si>
    <t>L3D_525308</t>
  </si>
  <si>
    <t>LCD Displays</t>
  </si>
  <si>
    <t>LCD-Anzeigen</t>
  </si>
  <si>
    <t>01_05_05_24936</t>
  </si>
  <si>
    <t>LCD Dot Matrix</t>
  </si>
  <si>
    <t>LCD-Dotmatrix</t>
  </si>
  <si>
    <t>http://www.distrelec.ch/en/c/cat-24936</t>
  </si>
  <si>
    <t>01_05_05_24939</t>
  </si>
  <si>
    <t>LCD Backlights</t>
  </si>
  <si>
    <t>LCD-Backlights</t>
  </si>
  <si>
    <t>http://www.distrelec.ch/en/c/cat-24939</t>
  </si>
  <si>
    <t>01_05_05_24941</t>
  </si>
  <si>
    <t>LCD Accessories</t>
  </si>
  <si>
    <t>LCD-Zubehör</t>
  </si>
  <si>
    <t>http://www.distrelec.ch/en/c/cat-24941</t>
  </si>
  <si>
    <t>01_05_05_DC-53068</t>
  </si>
  <si>
    <t>DC-53068</t>
  </si>
  <si>
    <t>LCD, 7-Segment</t>
  </si>
  <si>
    <t>LCD-7-Segment</t>
  </si>
  <si>
    <t>http://www.distrelec.ch/en/c/cat-DC-53068</t>
  </si>
  <si>
    <t>01_05_05_DC-53070</t>
  </si>
  <si>
    <t>DC-53070</t>
  </si>
  <si>
    <t>LCD Graphic</t>
  </si>
  <si>
    <t>LCD-Grafik</t>
  </si>
  <si>
    <t>http://www.distrelec.ch/en/c/cat-DC-53070</t>
  </si>
  <si>
    <t>01_05_05_DC-53075</t>
  </si>
  <si>
    <t>DC-53075</t>
  </si>
  <si>
    <t>LCD-function modules</t>
  </si>
  <si>
    <t>LCD-Funktionsmodule</t>
  </si>
  <si>
    <t>http://www.distrelec.ch/en/c/cat-DC-53075</t>
  </si>
  <si>
    <t>01_05_06</t>
  </si>
  <si>
    <t>L3D_525309</t>
  </si>
  <si>
    <t>LCD Displays with Serial Interface</t>
  </si>
  <si>
    <t>LCD-Anzeigen mit serieller Schnittstelle</t>
  </si>
  <si>
    <t>01_05_06_DC-53073</t>
  </si>
  <si>
    <t>DC-53073</t>
  </si>
  <si>
    <t>Dot Matrix LCD, Serial</t>
  </si>
  <si>
    <t>LCD-Dotmatrix, seriell</t>
  </si>
  <si>
    <t>http://www.distrelec.ch/en/c/cat-DC-53073</t>
  </si>
  <si>
    <t>01_05_06_DC-53074</t>
  </si>
  <si>
    <t>DC-53074</t>
  </si>
  <si>
    <t>Graphic LCD, serial</t>
  </si>
  <si>
    <t>LCD-Grafik, seriell</t>
  </si>
  <si>
    <t>http://www.distrelec.ch/en/c/cat-DC-53074</t>
  </si>
  <si>
    <t>01_05_07</t>
  </si>
  <si>
    <t>L3D_525310</t>
  </si>
  <si>
    <t>LCD Displays and Touch Panels, Intelligent</t>
  </si>
  <si>
    <t>Intelligente LCD-Anzeigen und Touchpanels</t>
  </si>
  <si>
    <t>01_05_07_24957</t>
  </si>
  <si>
    <t>LCD touch panels</t>
  </si>
  <si>
    <t>LCD-Touchpanel</t>
  </si>
  <si>
    <t>http://www.distrelec.ch/en/c/cat-24957</t>
  </si>
  <si>
    <t>01_05_07_24959</t>
  </si>
  <si>
    <t>Intelligent LCD graphic displays</t>
  </si>
  <si>
    <t>Intelligente LCD-Grafikdisplays</t>
  </si>
  <si>
    <t>http://www.distrelec.ch/en/c/cat-24959</t>
  </si>
  <si>
    <t>01_05_07_24963</t>
  </si>
  <si>
    <t>http://www.distrelec.ch/en/c/cat-24963</t>
  </si>
  <si>
    <t>01_05_08</t>
  </si>
  <si>
    <t>L3D_525312</t>
  </si>
  <si>
    <t>LCD Displays, Bi-stable</t>
  </si>
  <si>
    <t>Bistabile LCD-Anzeigen</t>
  </si>
  <si>
    <t>01_05_08_DC-91841</t>
  </si>
  <si>
    <t>DC-91841</t>
  </si>
  <si>
    <t>Bi-stable LCD Displays</t>
  </si>
  <si>
    <t>Bistabile LC-Displays</t>
  </si>
  <si>
    <t>http://www.distrelec.ch/en/c/cat-DC-91841</t>
  </si>
  <si>
    <t>01_05_09</t>
  </si>
  <si>
    <t>L3D_525313</t>
  </si>
  <si>
    <t>TFT Displays</t>
  </si>
  <si>
    <t>TFT-Displays</t>
  </si>
  <si>
    <t>01_05_09_24988</t>
  </si>
  <si>
    <t>Cable Sets</t>
  </si>
  <si>
    <t>Kabelsätze</t>
  </si>
  <si>
    <t>http://www.distrelec.ch/en/c/cat-24988</t>
  </si>
  <si>
    <t>01_05_09_320014</t>
  </si>
  <si>
    <t>STN Displays</t>
  </si>
  <si>
    <t>STN-Displays</t>
  </si>
  <si>
    <t>http://www.distrelec.ch/en/c/cat-320014</t>
  </si>
  <si>
    <t>01_05_09_598460</t>
  </si>
  <si>
    <t>Display Driver Boards</t>
  </si>
  <si>
    <t>Display-Treiber-Platinen</t>
  </si>
  <si>
    <t>http://www.distrelec.ch/en/c/cat-598460</t>
  </si>
  <si>
    <t>01_05_09_DC-91843</t>
  </si>
  <si>
    <t>DC-91843</t>
  </si>
  <si>
    <t>http://www.distrelec.ch/en/c/cat-DC-91843</t>
  </si>
  <si>
    <t>01_05_10</t>
  </si>
  <si>
    <t>L3D_525314</t>
  </si>
  <si>
    <t>VFD Displays</t>
  </si>
  <si>
    <t>VFD-Displays</t>
  </si>
  <si>
    <t>01_05_10_25043</t>
  </si>
  <si>
    <t>Graphic VFD</t>
  </si>
  <si>
    <t>VFD-Grafik</t>
  </si>
  <si>
    <t>http://www.distrelec.ch/en/c/cat-25043</t>
  </si>
  <si>
    <t>01_05_10_DC-53079</t>
  </si>
  <si>
    <t>DC-53079</t>
  </si>
  <si>
    <t>VFD Text</t>
  </si>
  <si>
    <t>VFD-Text</t>
  </si>
  <si>
    <t>http://www.distrelec.ch/en/c/cat-DC-53079</t>
  </si>
  <si>
    <t>01_05_11</t>
  </si>
  <si>
    <t>L3D_525317</t>
  </si>
  <si>
    <t>IR Components</t>
  </si>
  <si>
    <t>IR-Komponenten</t>
  </si>
  <si>
    <t>01_05_11_25046</t>
  </si>
  <si>
    <t>IR Receivers</t>
  </si>
  <si>
    <t>IR-Empfänger</t>
  </si>
  <si>
    <t>http://www.distrelec.ch/en/c/cat-25046</t>
  </si>
  <si>
    <t>01_05_11_25048</t>
  </si>
  <si>
    <t>IR Conversion Card</t>
  </si>
  <si>
    <t>IR-Wandlerkarten</t>
  </si>
  <si>
    <t>http://www.distrelec.ch/en/c/cat-25048</t>
  </si>
  <si>
    <t>01_05_11_DC-53080</t>
  </si>
  <si>
    <t>DC-53080</t>
  </si>
  <si>
    <t>IR Phototransistors</t>
  </si>
  <si>
    <t>IR-Fototransistoren</t>
  </si>
  <si>
    <t>http://www.distrelec.ch/en/c/cat-DC-53080</t>
  </si>
  <si>
    <t>01_05_11_DC-53081</t>
  </si>
  <si>
    <t>DC-53081</t>
  </si>
  <si>
    <t>IR Photodiodes</t>
  </si>
  <si>
    <t>IR-Fotodioden</t>
  </si>
  <si>
    <t>http://www.distrelec.ch/en/c/cat-DC-53081</t>
  </si>
  <si>
    <t>01_05_11_DC-53082</t>
  </si>
  <si>
    <t>DC-53082</t>
  </si>
  <si>
    <t>IR LEDs</t>
  </si>
  <si>
    <t>IR-LEDs</t>
  </si>
  <si>
    <t>http://www.distrelec.ch/en/c/cat-DC-53082</t>
  </si>
  <si>
    <t>01_05_12</t>
  </si>
  <si>
    <t>L3D_525319</t>
  </si>
  <si>
    <t>01_05_12_25060</t>
  </si>
  <si>
    <t>Application boards</t>
  </si>
  <si>
    <t>Applikationsboards</t>
  </si>
  <si>
    <t>http://www.distrelec.ch/en/c/cat-25060</t>
  </si>
  <si>
    <t>01_05_12_25062</t>
  </si>
  <si>
    <t>http://www.distrelec.ch/en/c/cat-25062</t>
  </si>
  <si>
    <t>01_05_12_25064</t>
  </si>
  <si>
    <t>Ambient Light Sensors</t>
  </si>
  <si>
    <t>Umgebungslichtsensoren</t>
  </si>
  <si>
    <t>http://www.distrelec.ch/en/c/cat-25064</t>
  </si>
  <si>
    <t>01_05_12_25066</t>
  </si>
  <si>
    <t>IR proximity sensors</t>
  </si>
  <si>
    <t>IR-Näherungssensoren</t>
  </si>
  <si>
    <t>http://www.distrelec.ch/en/c/cat-25066</t>
  </si>
  <si>
    <t>01_05_12_25068</t>
  </si>
  <si>
    <t>Light sensors</t>
  </si>
  <si>
    <t>http://www.distrelec.ch/en/c/cat-25068</t>
  </si>
  <si>
    <t>01_05_12_25070</t>
  </si>
  <si>
    <t>CCD line arrays</t>
  </si>
  <si>
    <t>Zeilensensoren</t>
  </si>
  <si>
    <t>http://www.distrelec.ch/en/c/cat-25070</t>
  </si>
  <si>
    <t>01_05_12_25072</t>
  </si>
  <si>
    <t>UV photodiodes</t>
  </si>
  <si>
    <t>UV Photodioden</t>
  </si>
  <si>
    <t>http://www.distrelec.ch/en/c/cat-25072</t>
  </si>
  <si>
    <t>01_05_12_25074</t>
  </si>
  <si>
    <t>Accessories for UV photodiodes</t>
  </si>
  <si>
    <t>Zubehör für UV Photodioden</t>
  </si>
  <si>
    <t>http://www.distrelec.ch/en/c/cat-25074</t>
  </si>
  <si>
    <t>01_05_12_25076</t>
  </si>
  <si>
    <t>Pyroelectric infrared sensors</t>
  </si>
  <si>
    <t>Pyroelektrische Infrarot-Sensoren</t>
  </si>
  <si>
    <t>http://www.distrelec.ch/en/c/cat-25076</t>
  </si>
  <si>
    <t>01_05_12_25078</t>
  </si>
  <si>
    <t>Fresnel lenses for PIR sensors</t>
  </si>
  <si>
    <t>Fresnel-Linsen für PIR-Sensoren</t>
  </si>
  <si>
    <t>http://www.distrelec.ch/en/c/cat-25078</t>
  </si>
  <si>
    <t>01_05_12_25080</t>
  </si>
  <si>
    <t>Distance sensors</t>
  </si>
  <si>
    <t>Distanzsensoren</t>
  </si>
  <si>
    <t>http://www.distrelec.ch/en/c/cat-25080</t>
  </si>
  <si>
    <t>01_05_12_44553</t>
  </si>
  <si>
    <t>Bildsensoren</t>
  </si>
  <si>
    <t>http://www.distrelec.ch/en/c/cat-44553</t>
  </si>
  <si>
    <t>01_05_12_DC-77725</t>
  </si>
  <si>
    <t>DC-77725</t>
  </si>
  <si>
    <t>Colour Sensors</t>
  </si>
  <si>
    <t>Farbsensoren</t>
  </si>
  <si>
    <t>http://www.distrelec.ch/en/c/cat-DC-77725</t>
  </si>
  <si>
    <t>01_05_13</t>
  </si>
  <si>
    <t>Photovoltaic Resistors</t>
  </si>
  <si>
    <t>01_05_13_DC-53087</t>
  </si>
  <si>
    <t>DC-53087</t>
  </si>
  <si>
    <t>Light-dependent resistor</t>
  </si>
  <si>
    <t>Fotowiderstände</t>
  </si>
  <si>
    <t>http://www.distrelec.ch/en/c/cat-DC-53087</t>
  </si>
  <si>
    <t>01_05_14</t>
  </si>
  <si>
    <t>L3D_525323</t>
  </si>
  <si>
    <t>Optocoupler</t>
  </si>
  <si>
    <t>Optokoppler</t>
  </si>
  <si>
    <t>01_05_14_25233</t>
  </si>
  <si>
    <t>Optocouplers with IGBT/MOSFET Output</t>
  </si>
  <si>
    <t>Optokoppler mit IGBT/MOSFET-Ausgang</t>
  </si>
  <si>
    <t>http://www.distrelec.ch/en/c/cat-25233</t>
  </si>
  <si>
    <t>01_05_14_DC-53088</t>
  </si>
  <si>
    <t>DC-53088</t>
  </si>
  <si>
    <t>Optocouplers with Photo-Transistor Output</t>
  </si>
  <si>
    <t>Optokoppler mit Phototransistor-Ausgang</t>
  </si>
  <si>
    <t>http://www.distrelec.ch/en/c/cat-DC-53088</t>
  </si>
  <si>
    <t>01_05_14_DC-53089</t>
  </si>
  <si>
    <t>DC-53089</t>
  </si>
  <si>
    <t>Optocouplers with Photo-Darlington Output</t>
  </si>
  <si>
    <t>Optokoppler mit Photodarlington-Ausgang</t>
  </si>
  <si>
    <t>http://www.distrelec.ch/en/c/cat-DC-53089</t>
  </si>
  <si>
    <t>01_05_14_DC-53091</t>
  </si>
  <si>
    <t>DC-53091</t>
  </si>
  <si>
    <t>Optocouplers with AC Input</t>
  </si>
  <si>
    <t>Optokoppler mit AC-Eingang</t>
  </si>
  <si>
    <t>http://www.distrelec.ch/en/c/cat-DC-53091</t>
  </si>
  <si>
    <t>01_05_14_DC-53093</t>
  </si>
  <si>
    <t>DC-53093</t>
  </si>
  <si>
    <t>Optocouplers for High Speed / Logic</t>
  </si>
  <si>
    <t>Optokoppler für High Speed / Logik</t>
  </si>
  <si>
    <t>http://www.distrelec.ch/en/c/cat-DC-53093</t>
  </si>
  <si>
    <t>01_05_14_DC-53094</t>
  </si>
  <si>
    <t>DC-53094</t>
  </si>
  <si>
    <t>Optocouplers with Photo TRIAC Output</t>
  </si>
  <si>
    <t>Optokoppler mit Photo TRIAC-Ausgang</t>
  </si>
  <si>
    <t>http://www.distrelec.ch/en/c/cat-DC-53094</t>
  </si>
  <si>
    <t>01_05_14_DC-84808</t>
  </si>
  <si>
    <t>DC-84808</t>
  </si>
  <si>
    <t>Analog Opto-Isolators</t>
  </si>
  <si>
    <t>Analoge Optoisolatoren</t>
  </si>
  <si>
    <t>http://www.distrelec.ch/en/c/cat-DC-84808</t>
  </si>
  <si>
    <t>01_05_15</t>
  </si>
  <si>
    <t>L3D_525324</t>
  </si>
  <si>
    <t>Fork and Reflex Couplers</t>
  </si>
  <si>
    <t>Gabel- und Reflexkoppler</t>
  </si>
  <si>
    <t>01_05_15_25237</t>
  </si>
  <si>
    <t>Reflex coupler</t>
  </si>
  <si>
    <t>Reflexkoppler</t>
  </si>
  <si>
    <t>http://www.distrelec.ch/en/c/cat-25237</t>
  </si>
  <si>
    <t>01_05_15_DC-53084</t>
  </si>
  <si>
    <t>DC-53084</t>
  </si>
  <si>
    <t>Fork coupler</t>
  </si>
  <si>
    <t>Gabelkoppler</t>
  </si>
  <si>
    <t>http://www.distrelec.ch/en/c/cat-DC-53084</t>
  </si>
  <si>
    <t>01_05_16</t>
  </si>
  <si>
    <t>L3D_525322</t>
  </si>
  <si>
    <t>Laser</t>
  </si>
  <si>
    <t>01_05_16_25221</t>
  </si>
  <si>
    <t>Laser diodes</t>
  </si>
  <si>
    <t>Laserdioden</t>
  </si>
  <si>
    <t>http://www.distrelec.ch/en/c/cat-25221</t>
  </si>
  <si>
    <t>01_05_16_25223</t>
  </si>
  <si>
    <t>Lenses and optics for laser diodes</t>
  </si>
  <si>
    <t>Linsen und Optiken für Laserdioden</t>
  </si>
  <si>
    <t>http://www.distrelec.ch/en/c/cat-25223</t>
  </si>
  <si>
    <t>01_05_16_25225</t>
  </si>
  <si>
    <t>Laser pointers</t>
  </si>
  <si>
    <t>Laserpointer</t>
  </si>
  <si>
    <t>http://www.distrelec.ch/en/c/cat-25225</t>
  </si>
  <si>
    <t>01_05_16_29807</t>
  </si>
  <si>
    <t>Laser goggles</t>
  </si>
  <si>
    <t>Laserschutzbrillen</t>
  </si>
  <si>
    <t>http://www.distrelec.ch/en/c/cat-29807</t>
  </si>
  <si>
    <t>01_05_16_DC-53086</t>
  </si>
  <si>
    <t>DC-53086</t>
  </si>
  <si>
    <t>http://www.distrelec.ch/en/c/cat-DC-53086</t>
  </si>
  <si>
    <t>01_05_17</t>
  </si>
  <si>
    <t>L3D_525321</t>
  </si>
  <si>
    <t>Fibre Optic Components</t>
  </si>
  <si>
    <t>LWL-Komponenten</t>
  </si>
  <si>
    <t>01_05_17_25200</t>
  </si>
  <si>
    <t>Fibre Optic Connector</t>
  </si>
  <si>
    <t>LWL-Steckverbinder</t>
  </si>
  <si>
    <t>http://www.distrelec.ch/en/c/cat-25200</t>
  </si>
  <si>
    <t>01_05_17_25202</t>
  </si>
  <si>
    <t>Fibre Optic Cable</t>
  </si>
  <si>
    <t>LWL-Kabel</t>
  </si>
  <si>
    <t>http://www.distrelec.ch/en/c/cat-25202</t>
  </si>
  <si>
    <t>01_05_17_25204</t>
  </si>
  <si>
    <t>Fibre Optic Accessories</t>
  </si>
  <si>
    <t>LWL-Zubehör</t>
  </si>
  <si>
    <t>http://www.distrelec.ch/en/c/cat-25204</t>
  </si>
  <si>
    <t>01_05_17_DC-53085</t>
  </si>
  <si>
    <t>DC-53085</t>
  </si>
  <si>
    <t>Transmitters and Receivers</t>
  </si>
  <si>
    <t>Sender und Empfänger</t>
  </si>
  <si>
    <t>http://www.distrelec.ch/en/c/cat-DC-53085</t>
  </si>
  <si>
    <t>01_05_44540</t>
  </si>
  <si>
    <t>UV LEDs</t>
  </si>
  <si>
    <t>UV-LEDs</t>
  </si>
  <si>
    <t>http://www.distrelec.ch/en/c/cat-44540</t>
  </si>
  <si>
    <t>01_05_DC-52988</t>
  </si>
  <si>
    <t>DC-52988</t>
  </si>
  <si>
    <t>Display Accessories</t>
  </si>
  <si>
    <t>Display-Zubehör</t>
  </si>
  <si>
    <t>http://www.distrelec.ch/en/c/cat-DC-52988</t>
  </si>
  <si>
    <t>02_01</t>
  </si>
  <si>
    <t>02_01_01</t>
  </si>
  <si>
    <t>L3D_525329</t>
  </si>
  <si>
    <t>Aluminium Electrolytic Capacitors</t>
  </si>
  <si>
    <t>Aluminium-Elektrolytkondensatoren</t>
  </si>
  <si>
    <t>02_01_01_24441</t>
  </si>
  <si>
    <t>Aluminium Electrolytic Capacitors with Screw or Solder Connections</t>
  </si>
  <si>
    <t>Aluminium-Becherelkos, Schraub- und Lötanschlüsse</t>
  </si>
  <si>
    <t>http://www.distrelec.ch/en/c/cat-24441</t>
  </si>
  <si>
    <t>02_01_01_24443</t>
  </si>
  <si>
    <t>Accessories for Aluminium Electrolytic Capacitors</t>
  </si>
  <si>
    <t>Zubehör zu Alu-Becherelkos</t>
  </si>
  <si>
    <t>http://www.distrelec.ch/en/c/cat-24443</t>
  </si>
  <si>
    <t>02_01_01_357384</t>
  </si>
  <si>
    <t>Aluminium Electrolytic Capacitors, Extented Range</t>
  </si>
  <si>
    <t>http://www.distrelec.ch/en/c/cat-357384</t>
  </si>
  <si>
    <t>02_01_01_DC-59959</t>
  </si>
  <si>
    <t>DC-59959</t>
  </si>
  <si>
    <t>Aluminium Electrolytic Capacitors, SMD</t>
  </si>
  <si>
    <t>Aluminium-Becherelkos, SMD</t>
  </si>
  <si>
    <t>http://www.distrelec.ch/en/c/cat-DC-59959</t>
  </si>
  <si>
    <t>02_01_01_DC-59960</t>
  </si>
  <si>
    <t>DC-59960</t>
  </si>
  <si>
    <t>Aluminium Electrolytic Capacitors with Radial Connections</t>
  </si>
  <si>
    <t>Aluminium-Becherelkos mit radialen Anschlüssen</t>
  </si>
  <si>
    <t>http://www.distrelec.ch/en/c/cat-DC-59960</t>
  </si>
  <si>
    <t>02_01_01_DC-59961</t>
  </si>
  <si>
    <t>DC-59961</t>
  </si>
  <si>
    <t>Aluminium Electrolytic Capacitors with Radial Connections, Snap-in</t>
  </si>
  <si>
    <t>Aluminium-Becherelkos mit radialen Anschlüssen snap-in</t>
  </si>
  <si>
    <t>http://www.distrelec.ch/en/c/cat-DC-59961</t>
  </si>
  <si>
    <t>02_01_01_DC-59962</t>
  </si>
  <si>
    <t>DC-59962</t>
  </si>
  <si>
    <t>Aluminium Electrolytic Capacitors with Axial Connections</t>
  </si>
  <si>
    <t>Aluminium-Elkos mit axialen Anschlüssen</t>
  </si>
  <si>
    <t>http://www.distrelec.ch/en/c/cat-DC-59962</t>
  </si>
  <si>
    <t>02_01_02</t>
  </si>
  <si>
    <t>L3D_616574</t>
  </si>
  <si>
    <t>Polymer Capacitors</t>
  </si>
  <si>
    <t>Polymerkondensatoren</t>
  </si>
  <si>
    <t>02_01_02_191117</t>
  </si>
  <si>
    <t>Polymer Electrolytic Capacitors, SMD</t>
  </si>
  <si>
    <t>Polymer-Elkos, SMD</t>
  </si>
  <si>
    <t>http://www.distrelec.ch/en/c/cat-191117</t>
  </si>
  <si>
    <t>02_01_03</t>
  </si>
  <si>
    <t>L3D_616575</t>
  </si>
  <si>
    <t>Tantalum Capacitors</t>
  </si>
  <si>
    <t>Tantalkondensatoren</t>
  </si>
  <si>
    <t>02_01_03_DC-59956</t>
  </si>
  <si>
    <t>DC-59956</t>
  </si>
  <si>
    <t>Tantalum Electrolytic Capacitors, SMD</t>
  </si>
  <si>
    <t>Tantal-Elkos, SMD</t>
  </si>
  <si>
    <t>http://www.distrelec.ch/en/c/cat-DC-59956</t>
  </si>
  <si>
    <t>02_01_03_DC-59957</t>
  </si>
  <si>
    <t>DC-59957</t>
  </si>
  <si>
    <t>Tantalum Electrolytic Capacitors, Radial Connections</t>
  </si>
  <si>
    <t>Tantal-Elkos, radiale Anschlüsse</t>
  </si>
  <si>
    <t>http://www.distrelec.ch/en/c/cat-DC-59957</t>
  </si>
  <si>
    <t>02_01_03_DC-59958</t>
  </si>
  <si>
    <t>DC-59958</t>
  </si>
  <si>
    <t>Tantalum Electrolytic Capacitors, Axial Connections</t>
  </si>
  <si>
    <t>Tantal-Elkos, axiale Anschlüsse</t>
  </si>
  <si>
    <t>http://www.distrelec.ch/en/c/cat-DC-59958</t>
  </si>
  <si>
    <t>02_01_04</t>
  </si>
  <si>
    <t>L3D_525327</t>
  </si>
  <si>
    <t>Ceramic capacitors</t>
  </si>
  <si>
    <t>Keramikkondensatoren</t>
  </si>
  <si>
    <t>02_01_04_170941</t>
  </si>
  <si>
    <t>Ceramic Disk Capacitors</t>
  </si>
  <si>
    <t>Keramik-Scheibenkondensatoren</t>
  </si>
  <si>
    <t>http://www.distrelec.ch/en/c/cat-170941</t>
  </si>
  <si>
    <t>02_01_04_DC-59947</t>
  </si>
  <si>
    <t>DC-59947</t>
  </si>
  <si>
    <t>High Voltage Disc Capacitors, Leaded</t>
  </si>
  <si>
    <t>Hochspannungs-Scheibenkondensatoren, bedrahtet</t>
  </si>
  <si>
    <t>http://www.distrelec.ch/en/c/cat-DC-59947</t>
  </si>
  <si>
    <t>02_01_04_DC-59948</t>
  </si>
  <si>
    <t>DC-59948</t>
  </si>
  <si>
    <t>Multilayer Capacitors, SMD</t>
  </si>
  <si>
    <t>Vielschichtkondensatoren, SMD</t>
  </si>
  <si>
    <t>http://www.distrelec.ch/en/c/cat-DC-59948</t>
  </si>
  <si>
    <t>1 193</t>
  </si>
  <si>
    <t>02_01_04_DC-59949</t>
  </si>
  <si>
    <t>DC-59949</t>
  </si>
  <si>
    <t>Multilayer Capacitors, Leaded</t>
  </si>
  <si>
    <t>Vielschichtkondensatoren, bedrahtet</t>
  </si>
  <si>
    <t>http://www.distrelec.ch/en/c/cat-DC-59949</t>
  </si>
  <si>
    <t>02_01_04_DC-59950</t>
  </si>
  <si>
    <t>DC-59950</t>
  </si>
  <si>
    <t>Capacitor Arrays</t>
  </si>
  <si>
    <t>Kondensator-Netzwerke</t>
  </si>
  <si>
    <t>http://www.distrelec.ch/en/c/cat-DC-59950</t>
  </si>
  <si>
    <t>02_01_05</t>
  </si>
  <si>
    <t>L3D_525328</t>
  </si>
  <si>
    <t>Foil Capacitors</t>
  </si>
  <si>
    <t>Folienkondensatoren</t>
  </si>
  <si>
    <t>02_01_05_38163</t>
  </si>
  <si>
    <t>Polypropylene Capacitors, Axial</t>
  </si>
  <si>
    <t>Polypropylen-Kondensatoren, axial</t>
  </si>
  <si>
    <t>http://www.distrelec.ch/en/c/cat-38163</t>
  </si>
  <si>
    <t>02_01_05_DC-59951</t>
  </si>
  <si>
    <t>DC-59951</t>
  </si>
  <si>
    <t>Polyester Capacitors, SMD</t>
  </si>
  <si>
    <t>Polyester-Kondensatoren, SMD</t>
  </si>
  <si>
    <t>http://www.distrelec.ch/en/c/cat-DC-59951</t>
  </si>
  <si>
    <t>02_01_05_DC-59952</t>
  </si>
  <si>
    <t>DC-59952</t>
  </si>
  <si>
    <t>Polyester Capacitors</t>
  </si>
  <si>
    <t>Polyester-Kondensatoren</t>
  </si>
  <si>
    <t>http://www.distrelec.ch/en/c/cat-DC-59952</t>
  </si>
  <si>
    <t>02_01_05_DC-59953</t>
  </si>
  <si>
    <t>DC-59953</t>
  </si>
  <si>
    <t>Polyphenylene Capacitors, SMD</t>
  </si>
  <si>
    <t>Polypropylen-Kondensatoren, SMD</t>
  </si>
  <si>
    <t>http://www.distrelec.ch/en/c/cat-DC-59953</t>
  </si>
  <si>
    <t>02_01_05_DC-59954</t>
  </si>
  <si>
    <t>DC-59954</t>
  </si>
  <si>
    <t>Polypropylene Capacitors, Radial</t>
  </si>
  <si>
    <t>Polypropylen-Kondensatoren, radial</t>
  </si>
  <si>
    <t>http://www.distrelec.ch/en/c/cat-DC-59954</t>
  </si>
  <si>
    <t>02_01_05_DC-59955</t>
  </si>
  <si>
    <t>DC-59955</t>
  </si>
  <si>
    <t>Metal/Paper Capacitors</t>
  </si>
  <si>
    <t>Metall-/Papier-Kondensatoren</t>
  </si>
  <si>
    <t>http://www.distrelec.ch/en/c/cat-DC-59955</t>
  </si>
  <si>
    <t>02_01_06</t>
  </si>
  <si>
    <t>L3D_525330</t>
  </si>
  <si>
    <t>Power Capacitors</t>
  </si>
  <si>
    <t>Leistungskondensatoren</t>
  </si>
  <si>
    <t>02_01_06_261645</t>
  </si>
  <si>
    <t>DC-Link Film Capacitors</t>
  </si>
  <si>
    <t>DC-Link Kondensatoren (Zwischenkreis)</t>
  </si>
  <si>
    <t>http://www.distrelec.ch/en/c/cat-261645</t>
  </si>
  <si>
    <t>02_01_06_DC-59964</t>
  </si>
  <si>
    <t>DC-59964</t>
  </si>
  <si>
    <t>Super and Ultra Capacitors</t>
  </si>
  <si>
    <t>Super- und Ultracaps</t>
  </si>
  <si>
    <t>http://www.distrelec.ch/en/c/cat-DC-59964</t>
  </si>
  <si>
    <t>02_01_06_DC-59965</t>
  </si>
  <si>
    <t>DC-59965</t>
  </si>
  <si>
    <t>AC Capacitors for Energy Storage</t>
  </si>
  <si>
    <t>AC-Kondensatoren für die Energieelektronik</t>
  </si>
  <si>
    <t>http://www.distrelec.ch/en/c/cat-DC-59965</t>
  </si>
  <si>
    <t>02_01_06_DC-59966</t>
  </si>
  <si>
    <t>DC-59966</t>
  </si>
  <si>
    <t>Capacitors for Power Factor Correction</t>
  </si>
  <si>
    <t>Kondensatoren für die Blindstromkompensation</t>
  </si>
  <si>
    <t>http://www.distrelec.ch/en/c/cat-DC-59966</t>
  </si>
  <si>
    <t>02_01_06_DC-59967</t>
  </si>
  <si>
    <t>DC-59967</t>
  </si>
  <si>
    <t>Motor Capacitors</t>
  </si>
  <si>
    <t>Motorkondensatoren</t>
  </si>
  <si>
    <t>http://www.distrelec.ch/en/c/cat-DC-59967</t>
  </si>
  <si>
    <t>02_01_07</t>
  </si>
  <si>
    <t>L3D_525332</t>
  </si>
  <si>
    <t>Interference Suppression Capacitors</t>
  </si>
  <si>
    <t>Entstörkondensatoren</t>
  </si>
  <si>
    <t>02_01_07_177989</t>
  </si>
  <si>
    <t>X1 Capacitors</t>
  </si>
  <si>
    <t>X1-Kondensatoren</t>
  </si>
  <si>
    <t>http://www.distrelec.ch/en/c/cat-177989</t>
  </si>
  <si>
    <t>02_01_07_DC-59969</t>
  </si>
  <si>
    <t>DC-59969</t>
  </si>
  <si>
    <t>Ceramic Interference Suppression Capacitors, SMD and Leaded</t>
  </si>
  <si>
    <t>Keramische Entstörkondensatoren, SMD und bedrahtet</t>
  </si>
  <si>
    <t>http://www.distrelec.ch/en/c/cat-DC-59969</t>
  </si>
  <si>
    <t>02_01_07_DC-59970</t>
  </si>
  <si>
    <t>DC-59970</t>
  </si>
  <si>
    <t>X2 Capacitors</t>
  </si>
  <si>
    <t>X2-Kondensatoren</t>
  </si>
  <si>
    <t>http://www.distrelec.ch/en/c/cat-DC-59970</t>
  </si>
  <si>
    <t>02_01_07_DC-59971</t>
  </si>
  <si>
    <t>DC-59971</t>
  </si>
  <si>
    <t>Y Capacitors</t>
  </si>
  <si>
    <t>Y-Kondensatoren</t>
  </si>
  <si>
    <t>http://www.distrelec.ch/en/c/cat-DC-59971</t>
  </si>
  <si>
    <t>02_01_07_DC-59972</t>
  </si>
  <si>
    <t>DC-59972</t>
  </si>
  <si>
    <t>Feed-through Capacitors</t>
  </si>
  <si>
    <t>Durchführungskondensatoren</t>
  </si>
  <si>
    <t>http://www.distrelec.ch/en/c/cat-DC-59972</t>
  </si>
  <si>
    <t>02_01_07_DC-59973</t>
  </si>
  <si>
    <t>DC-59973</t>
  </si>
  <si>
    <t>RC and C Combinations</t>
  </si>
  <si>
    <t>RC- und C-Kombinationen</t>
  </si>
  <si>
    <t>http://www.distrelec.ch/en/c/cat-DC-59973</t>
  </si>
  <si>
    <t>02_01_08</t>
  </si>
  <si>
    <t>L3D_525326</t>
  </si>
  <si>
    <t>Assortments, Decades, Capacitors</t>
  </si>
  <si>
    <t>Sortiment, Dekaden, Kondensatoren</t>
  </si>
  <si>
    <t>02_01_08_272615</t>
  </si>
  <si>
    <t>Decades</t>
  </si>
  <si>
    <t>Dekaden</t>
  </si>
  <si>
    <t>http://www.distrelec.ch/en/c/cat-272615</t>
  </si>
  <si>
    <t>02_01_08_DC-59941</t>
  </si>
  <si>
    <t>DC-59941</t>
  </si>
  <si>
    <t>Electrolytic Capacitors</t>
  </si>
  <si>
    <t>Elektrolytkondensatoren</t>
  </si>
  <si>
    <t>http://www.distrelec.ch/en/c/cat-DC-59941</t>
  </si>
  <si>
    <t>02_01_08_DC-59942</t>
  </si>
  <si>
    <t>DC-59942</t>
  </si>
  <si>
    <t>http://www.distrelec.ch/en/c/cat-DC-59942</t>
  </si>
  <si>
    <t>02_01_08_DC-59943</t>
  </si>
  <si>
    <t>DC-59943</t>
  </si>
  <si>
    <t>Ceramic Capacitors</t>
  </si>
  <si>
    <t>http://www.distrelec.ch/en/c/cat-DC-59943</t>
  </si>
  <si>
    <t>02_01_08_DC-59944</t>
  </si>
  <si>
    <t>DC-59944</t>
  </si>
  <si>
    <t>http://www.distrelec.ch/en/c/cat-DC-59944</t>
  </si>
  <si>
    <t>02_01_DC-59968</t>
  </si>
  <si>
    <t>DC-59968</t>
  </si>
  <si>
    <t>Trimmer Capacitors</t>
  </si>
  <si>
    <t>Trimmkondensatoren</t>
  </si>
  <si>
    <t>http://www.distrelec.ch/en/c/cat-DC-59968</t>
  </si>
  <si>
    <t>02_02</t>
  </si>
  <si>
    <t>Resistors / Potentiometers</t>
  </si>
  <si>
    <t>02_02_01</t>
  </si>
  <si>
    <t>L3D_525333</t>
  </si>
  <si>
    <t>Assortments, Decades, Resistors</t>
  </si>
  <si>
    <t>Sortiment, Dekaden, Widerstände</t>
  </si>
  <si>
    <t>02_02_01_22010</t>
  </si>
  <si>
    <t>Ring Binder for Component Assortments</t>
  </si>
  <si>
    <t>Ringordner für Bauteilsortimente</t>
  </si>
  <si>
    <t>http://www.distrelec.ch/en/c/cat-22010</t>
  </si>
  <si>
    <t>02_02_01_22012</t>
  </si>
  <si>
    <t>Resistor Assortments, Leaded</t>
  </si>
  <si>
    <t>Widerstandssortimente, bedrahtet</t>
  </si>
  <si>
    <t>http://www.distrelec.ch/en/c/cat-22012</t>
  </si>
  <si>
    <t>02_02_01_272616</t>
  </si>
  <si>
    <t>http://www.distrelec.ch/en/c/cat-272616</t>
  </si>
  <si>
    <t>02_02_01_37069</t>
  </si>
  <si>
    <t>Colour Code Charts</t>
  </si>
  <si>
    <t>Farbcodes</t>
  </si>
  <si>
    <t>http://www.distrelec.ch/en/c/cat-37069</t>
  </si>
  <si>
    <t>02_02_01_DC-58390</t>
  </si>
  <si>
    <t>DC-58390</t>
  </si>
  <si>
    <t>Resistor Assortments, SMD</t>
  </si>
  <si>
    <t>Widerstandssortimente, SMD</t>
  </si>
  <si>
    <t>http://www.distrelec.ch/en/c/cat-DC-58390</t>
  </si>
  <si>
    <t>02_02_01_DC-62994</t>
  </si>
  <si>
    <t>DC-62994</t>
  </si>
  <si>
    <t>Power Resistors</t>
  </si>
  <si>
    <t>Leistungswiderstände</t>
  </si>
  <si>
    <t>http://www.distrelec.ch/en/c/cat-DC-62994</t>
  </si>
  <si>
    <t>02_02_02</t>
  </si>
  <si>
    <t>L3D_525334</t>
  </si>
  <si>
    <t>Varistors</t>
  </si>
  <si>
    <t>Varistoren</t>
  </si>
  <si>
    <t>02_02_02_22014</t>
  </si>
  <si>
    <t>Disk-shaped Varistors</t>
  </si>
  <si>
    <t>Metalloxid-Varistoren scheibenförmig</t>
  </si>
  <si>
    <t>http://www.distrelec.ch/en/c/cat-22014</t>
  </si>
  <si>
    <t>02_02_02_22016</t>
  </si>
  <si>
    <t>Metal Oxide Block Varistors</t>
  </si>
  <si>
    <t>Metalloxid-Blockvaristoren</t>
  </si>
  <si>
    <t>http://www.distrelec.ch/en/c/cat-22016</t>
  </si>
  <si>
    <t>02_02_02_DC-58392</t>
  </si>
  <si>
    <t>DC-58392</t>
  </si>
  <si>
    <t>SMD Varistors</t>
  </si>
  <si>
    <t>SMD-Varistoren</t>
  </si>
  <si>
    <t>http://www.distrelec.ch/en/c/cat-DC-58392</t>
  </si>
  <si>
    <t>02_02_03</t>
  </si>
  <si>
    <t>L3D_525335</t>
  </si>
  <si>
    <t>Surge Arresters</t>
  </si>
  <si>
    <t>Überspannungsableiter</t>
  </si>
  <si>
    <t>02_02_03_22018</t>
  </si>
  <si>
    <t>2-Electrode Arresters, SMD</t>
  </si>
  <si>
    <t>2-Elektroden-Ableiter SMD</t>
  </si>
  <si>
    <t>http://www.distrelec.ch/en/c/cat-22018</t>
  </si>
  <si>
    <t>02_02_03_DC-58395</t>
  </si>
  <si>
    <t>DC-58395</t>
  </si>
  <si>
    <t>2-Electrode Arresters</t>
  </si>
  <si>
    <t>2-Elektroden-Ableiter</t>
  </si>
  <si>
    <t>http://www.distrelec.ch/en/c/cat-DC-58395</t>
  </si>
  <si>
    <t>02_02_03_DC-58396</t>
  </si>
  <si>
    <t>DC-58396</t>
  </si>
  <si>
    <t>3-Electrode Arresters</t>
  </si>
  <si>
    <t>3-Elektroden-Ableiter</t>
  </si>
  <si>
    <t>http://www.distrelec.ch/en/c/cat-DC-58396</t>
  </si>
  <si>
    <t>02_02_03_DC-58398</t>
  </si>
  <si>
    <t>DC-58398</t>
  </si>
  <si>
    <t>Spark Gaps</t>
  </si>
  <si>
    <t>Schaltfunkenstrecken</t>
  </si>
  <si>
    <t>http://www.distrelec.ch/en/c/cat-DC-58398</t>
  </si>
  <si>
    <t>02_02_04</t>
  </si>
  <si>
    <t>L3D_525336</t>
  </si>
  <si>
    <t>NTC Resistors (High Temperature)</t>
  </si>
  <si>
    <t>NTC-Widerstände (hohe Temperatur)</t>
  </si>
  <si>
    <t>02_02_04_22020</t>
  </si>
  <si>
    <t>NTC Resistors in Protective Housing</t>
  </si>
  <si>
    <t>NTC-Widerstände im Schutzgehäuse</t>
  </si>
  <si>
    <t>http://www.distrelec.ch/en/c/cat-22020</t>
  </si>
  <si>
    <t>02_02_04_22022</t>
  </si>
  <si>
    <t>Coated-Disk NTC Resistors</t>
  </si>
  <si>
    <t>NTC-Widerstände scheibenförmig</t>
  </si>
  <si>
    <t>http://www.distrelec.ch/en/c/cat-22022</t>
  </si>
  <si>
    <t>02_02_04_22024</t>
  </si>
  <si>
    <t>NTC Resistors Bead Type</t>
  </si>
  <si>
    <t>NTC-Widerstände Perle</t>
  </si>
  <si>
    <t>http://www.distrelec.ch/en/c/cat-22024</t>
  </si>
  <si>
    <t>02_02_04_DC-58400</t>
  </si>
  <si>
    <t>DC-58400</t>
  </si>
  <si>
    <t>SMD Resistors</t>
  </si>
  <si>
    <t>SMD-Widerstände</t>
  </si>
  <si>
    <t>http://www.distrelec.ch/en/c/cat-DC-58400</t>
  </si>
  <si>
    <t>02_02_04_DC-58401</t>
  </si>
  <si>
    <t>DC-58401</t>
  </si>
  <si>
    <t>Leaded NTC Resistors (High Temperature)</t>
  </si>
  <si>
    <t>Bedrahtete NTC-Widerstände (Heissleiter)</t>
  </si>
  <si>
    <t>http://www.distrelec.ch/en/c/cat-DC-58401</t>
  </si>
  <si>
    <t>02_02_05</t>
  </si>
  <si>
    <t>L3D_525337</t>
  </si>
  <si>
    <t>PTC Resistors (Low Temperature)</t>
  </si>
  <si>
    <t>PTC-Widerstände (niedrige Temperatur)</t>
  </si>
  <si>
    <t>02_02_05_DC-58402</t>
  </si>
  <si>
    <t>DC-58402</t>
  </si>
  <si>
    <t>PTC Resistors, SMD (Low Temperature)</t>
  </si>
  <si>
    <t>SMD-PTC-Widerstände (Kaltleiter)</t>
  </si>
  <si>
    <t>http://www.distrelec.ch/en/c/cat-DC-58402</t>
  </si>
  <si>
    <t>02_02_05_DC-58403</t>
  </si>
  <si>
    <t>DC-58403</t>
  </si>
  <si>
    <t>Leaded PTC Resistors (Low Temperature)</t>
  </si>
  <si>
    <t>Bedrahtete PTC-Widerstände (Kaltleiter)</t>
  </si>
  <si>
    <t>http://www.distrelec.ch/en/c/cat-DC-58403</t>
  </si>
  <si>
    <t>02_02_06</t>
  </si>
  <si>
    <t>L3D_525338</t>
  </si>
  <si>
    <t>SMD and Film Resistors</t>
  </si>
  <si>
    <t>SMD- und Schichtwiderstände</t>
  </si>
  <si>
    <t>02_02_06_13691</t>
  </si>
  <si>
    <t>Metal Film Resistors, SMD</t>
  </si>
  <si>
    <t>Metallfilm-Widerstände, SMD</t>
  </si>
  <si>
    <t>http://www.distrelec.ch/en/c/cat-13691</t>
  </si>
  <si>
    <t>2 189</t>
  </si>
  <si>
    <t>02_02_06_13695</t>
  </si>
  <si>
    <t>Metal Oxide Film Resistors Axial Connections</t>
  </si>
  <si>
    <t>Metalloxydschicht-Widerstände, axiale Anschlüsse</t>
  </si>
  <si>
    <t>http://www.distrelec.ch/en/c/cat-13695</t>
  </si>
  <si>
    <t>02_02_06_13696</t>
  </si>
  <si>
    <t>Carbon Resistors, Axial Connections</t>
  </si>
  <si>
    <t>Kohle-Widerstände, axiale Anschlüsse</t>
  </si>
  <si>
    <t>http://www.distrelec.ch/en/c/cat-13696</t>
  </si>
  <si>
    <t>02_02_06_14084</t>
  </si>
  <si>
    <t>Metal Film Resistors, Axial Connections</t>
  </si>
  <si>
    <t>Metallfilm-Widerstände, axiale Anschlüsse</t>
  </si>
  <si>
    <t>http://www.distrelec.ch/en/c/cat-14084</t>
  </si>
  <si>
    <t>1 865</t>
  </si>
  <si>
    <t>02_02_06_16666</t>
  </si>
  <si>
    <t>Zero-ohm Resistors</t>
  </si>
  <si>
    <t>Null-Ohm-Widerstände</t>
  </si>
  <si>
    <t>http://www.distrelec.ch/en/c/cat-16666</t>
  </si>
  <si>
    <t>02_02_06_16668</t>
  </si>
  <si>
    <t>Metal Film Resistors, SMD on Reels</t>
  </si>
  <si>
    <t>Metallschicht-Widerstände, SMD, Rollenware</t>
  </si>
  <si>
    <t>http://www.distrelec.ch/en/c/cat-16668</t>
  </si>
  <si>
    <t>02_02_06_16672</t>
  </si>
  <si>
    <t>Metal Film Resistors in Ammo Pack</t>
  </si>
  <si>
    <t>Metallfilm-Widerstände im Ammopack</t>
  </si>
  <si>
    <t>http://www.distrelec.ch/en/c/cat-16672</t>
  </si>
  <si>
    <t>02_02_07</t>
  </si>
  <si>
    <t>L3D_525339</t>
  </si>
  <si>
    <t>Resistor Networks</t>
  </si>
  <si>
    <t>Widerstandsnetzwerke</t>
  </si>
  <si>
    <t>02_02_07_DC-58424</t>
  </si>
  <si>
    <t>DC-58424</t>
  </si>
  <si>
    <t>SMD networks</t>
  </si>
  <si>
    <t>Widerstandsnetzwerke SMD</t>
  </si>
  <si>
    <t>http://www.distrelec.ch/en/c/cat-DC-58424</t>
  </si>
  <si>
    <t>02_02_07_DC-58425</t>
  </si>
  <si>
    <t>DC-58425</t>
  </si>
  <si>
    <t>Single-in-line Networks</t>
  </si>
  <si>
    <t>Single-In-Line Widerstandsnetzwerke</t>
  </si>
  <si>
    <t>http://www.distrelec.ch/en/c/cat-DC-58425</t>
  </si>
  <si>
    <t>02_02_07_DC-58426</t>
  </si>
  <si>
    <t>DC-58426</t>
  </si>
  <si>
    <t>Dual-in-line Networks</t>
  </si>
  <si>
    <t>Dual-In-Line Widerstandsnetzwerke</t>
  </si>
  <si>
    <t>http://www.distrelec.ch/en/c/cat-DC-58426</t>
  </si>
  <si>
    <t>02_02_08</t>
  </si>
  <si>
    <t>L3D_525340</t>
  </si>
  <si>
    <t>Precision Resistors</t>
  </si>
  <si>
    <t>Präzisionswiderstände</t>
  </si>
  <si>
    <t>02_02_08_22026</t>
  </si>
  <si>
    <t>Metal Film Resistors SMD</t>
  </si>
  <si>
    <t>Metallschichtwiderstände SMD</t>
  </si>
  <si>
    <t>http://www.distrelec.ch/en/c/cat-22026</t>
  </si>
  <si>
    <t>02_02_08_38165</t>
  </si>
  <si>
    <t>High Resistance Resistors</t>
  </si>
  <si>
    <t>Hochohmwiderstände</t>
  </si>
  <si>
    <t>http://www.distrelec.ch/en/c/cat-38165</t>
  </si>
  <si>
    <t>02_02_08_DC-58408</t>
  </si>
  <si>
    <t>DC-58408</t>
  </si>
  <si>
    <t>Metal Film Resistors, Radial Connections</t>
  </si>
  <si>
    <t>Metallfolienwiderstände, radiale Anschlüsse</t>
  </si>
  <si>
    <t>http://www.distrelec.ch/en/c/cat-DC-58408</t>
  </si>
  <si>
    <t>2 608</t>
  </si>
  <si>
    <t>02_02_08_DC-58409</t>
  </si>
  <si>
    <t>DC-58409</t>
  </si>
  <si>
    <t>Metallschichtwiderstände, axiale Anschlüsse</t>
  </si>
  <si>
    <t>http://www.distrelec.ch/en/c/cat-DC-58409</t>
  </si>
  <si>
    <t>02_02_08_DC-58411</t>
  </si>
  <si>
    <t>DC-58411</t>
  </si>
  <si>
    <t>Precision Resistors SMD</t>
  </si>
  <si>
    <t>Präzisionswiderstände SMD</t>
  </si>
  <si>
    <t>http://www.distrelec.ch/en/c/cat-DC-58411</t>
  </si>
  <si>
    <t>1 098</t>
  </si>
  <si>
    <t>02_02_08_DC-58412</t>
  </si>
  <si>
    <t>DC-58412</t>
  </si>
  <si>
    <t>Resistors, Radial Connections</t>
  </si>
  <si>
    <t>Widerstände, radiale Anschlüsse</t>
  </si>
  <si>
    <t>http://www.distrelec.ch/en/c/cat-DC-58412</t>
  </si>
  <si>
    <t>02_02_08_DC-58413</t>
  </si>
  <si>
    <t>DC-58413</t>
  </si>
  <si>
    <t>Resistors, Screw Terminals</t>
  </si>
  <si>
    <t>Widerstände, Schraubanschluss</t>
  </si>
  <si>
    <t>http://www.distrelec.ch/en/c/cat-DC-58413</t>
  </si>
  <si>
    <t>02_02_09</t>
  </si>
  <si>
    <t>L3D_525341</t>
  </si>
  <si>
    <t>Wirewound Resistors</t>
  </si>
  <si>
    <t>Drahtwiderstände</t>
  </si>
  <si>
    <t>02_02_09_22029</t>
  </si>
  <si>
    <t>Wirewound Fusible Resistors</t>
  </si>
  <si>
    <t>Sicherungswiderstände</t>
  </si>
  <si>
    <t>http://www.distrelec.ch/en/c/cat-22029</t>
  </si>
  <si>
    <t>02_02_09_39415</t>
  </si>
  <si>
    <t>Wirewound Resistors with Silicone Coating</t>
  </si>
  <si>
    <t>Drahtwiderstände mit Silikonüberzug</t>
  </si>
  <si>
    <t>http://www.distrelec.ch/en/c/cat-39415</t>
  </si>
  <si>
    <t>02_02_09_DC-58410</t>
  </si>
  <si>
    <t>DC-58410</t>
  </si>
  <si>
    <t>Wirewound Resistors, Non-insulated</t>
  </si>
  <si>
    <t>Drahtwiderstände ohne Isolierung</t>
  </si>
  <si>
    <t>http://www.distrelec.ch/en/c/cat-DC-58410</t>
  </si>
  <si>
    <t>02_02_09_DC-58415</t>
  </si>
  <si>
    <t>DC-58415</t>
  </si>
  <si>
    <t>Wirewound Resistors, Non-inductive</t>
  </si>
  <si>
    <t>Low-Ohm Drahtwiderstände, induktionsarm, bis 5 W</t>
  </si>
  <si>
    <t>http://www.distrelec.ch/en/c/cat-DC-58415</t>
  </si>
  <si>
    <t>02_02_09_DC-58416</t>
  </si>
  <si>
    <t>DC-58416</t>
  </si>
  <si>
    <t>Wirewound Resistors with Ceramic Case</t>
  </si>
  <si>
    <t>Drahtwiderstände im Keramikgehäuse</t>
  </si>
  <si>
    <t>http://www.distrelec.ch/en/c/cat-DC-58416</t>
  </si>
  <si>
    <t>02_02_09_DC-58418</t>
  </si>
  <si>
    <t>DC-58418</t>
  </si>
  <si>
    <t>Wirewound Resistors with Vitreous Enamel Coating</t>
  </si>
  <si>
    <t>Drahtwiderstände mit Glasur-Umhüllung</t>
  </si>
  <si>
    <t>http://www.distrelec.ch/en/c/cat-DC-58418</t>
  </si>
  <si>
    <t>02_02_09_DC-58419</t>
  </si>
  <si>
    <t>DC-58419</t>
  </si>
  <si>
    <t>Wirewound Resistors with Vitreous Enamel Coating, Adjustable</t>
  </si>
  <si>
    <t>Drahtwiderstände mit Glasur-Umhüllung, einstellbar</t>
  </si>
  <si>
    <t>http://www.distrelec.ch/en/c/cat-DC-58419</t>
  </si>
  <si>
    <t>02_02_09_DC-58420</t>
  </si>
  <si>
    <t>DC-58420</t>
  </si>
  <si>
    <t>Wirewound Resistors with Cement Coating</t>
  </si>
  <si>
    <t>Drahtwiderstände mit Zementüberzug</t>
  </si>
  <si>
    <t>http://www.distrelec.ch/en/c/cat-DC-58420</t>
  </si>
  <si>
    <t>02_02_09_DC-58421</t>
  </si>
  <si>
    <t>DC-58421</t>
  </si>
  <si>
    <t>Wirewound Resistors with Cement Coating, Adjustable</t>
  </si>
  <si>
    <t>Drahtwiderstände mit Zementüberzug, einstellbar</t>
  </si>
  <si>
    <t>http://www.distrelec.ch/en/c/cat-DC-58421</t>
  </si>
  <si>
    <t>02_02_09_DC-58422</t>
  </si>
  <si>
    <t>DC-58422</t>
  </si>
  <si>
    <t>Wirewound Resistors in Aluminium Housing</t>
  </si>
  <si>
    <t>Drahtwiderstände in Aluminiumgehäuse</t>
  </si>
  <si>
    <t>http://www.distrelec.ch/en/c/cat-DC-58422</t>
  </si>
  <si>
    <t>02_02_09_DC-58423</t>
  </si>
  <si>
    <t>DC-58423</t>
  </si>
  <si>
    <t>Resistors for Heatsink Mounting, up to 300 W</t>
  </si>
  <si>
    <t>Widerstände für Kühlkörpermontage bis 300 W</t>
  </si>
  <si>
    <t>http://www.distrelec.ch/en/c/cat-DC-58423</t>
  </si>
  <si>
    <t>02_02_10</t>
  </si>
  <si>
    <t>L3D_632738</t>
  </si>
  <si>
    <t>Current Sense Resistors</t>
  </si>
  <si>
    <t>Strommesswiderstände</t>
  </si>
  <si>
    <t>02_02_10_632705</t>
  </si>
  <si>
    <t>Current Sense Resistors, Non-insulated</t>
  </si>
  <si>
    <t>Strommesswiderstände ohne Isolierung</t>
  </si>
  <si>
    <t>http://www.distrelec.ch/en/c/cat-632705</t>
  </si>
  <si>
    <t>02_02_11</t>
  </si>
  <si>
    <t>L3D_525342</t>
  </si>
  <si>
    <t>Potentiometers</t>
  </si>
  <si>
    <t>Potentiometer</t>
  </si>
  <si>
    <t>02_02_11_166744</t>
  </si>
  <si>
    <t>Digitalpotentiometer</t>
  </si>
  <si>
    <t>http://www.distrelec.ch/en/c/cat-166744</t>
  </si>
  <si>
    <t>02_02_11_DC-58427</t>
  </si>
  <si>
    <t>DC-58427</t>
  </si>
  <si>
    <t>Single-Turn Potentiometers, Carbon</t>
  </si>
  <si>
    <t>Eingang-Schichtpotentiometer, Kohle</t>
  </si>
  <si>
    <t>http://www.distrelec.ch/en/c/cat-DC-58427</t>
  </si>
  <si>
    <t>02_02_11_DC-58428</t>
  </si>
  <si>
    <t>DC-58428</t>
  </si>
  <si>
    <t>Single-Turn Potentiometers, Cermet</t>
  </si>
  <si>
    <t>Eingang-Schichtpotentiometer, Cermet</t>
  </si>
  <si>
    <t>http://www.distrelec.ch/en/c/cat-DC-58428</t>
  </si>
  <si>
    <t>02_02_11_DC-58429</t>
  </si>
  <si>
    <t>DC-58429</t>
  </si>
  <si>
    <t>Single-Turn Potentiometers, Conductive Plastic</t>
  </si>
  <si>
    <t>Eingang-Schichtpotentiometer, Leitplastik</t>
  </si>
  <si>
    <t>http://www.distrelec.ch/en/c/cat-DC-58429</t>
  </si>
  <si>
    <t>02_02_11_DC-58430</t>
  </si>
  <si>
    <t>DC-58430</t>
  </si>
  <si>
    <t>Multi-Turn Potentiometers, Conductive Plastic</t>
  </si>
  <si>
    <t>Mehrgang-Schichtpotentiometer, Leitplastik</t>
  </si>
  <si>
    <t>http://www.distrelec.ch/en/c/cat-DC-58430</t>
  </si>
  <si>
    <t>02_02_11_DC-58431</t>
  </si>
  <si>
    <t>DC-58431</t>
  </si>
  <si>
    <t>Single-Turn Potentiometers, Wirewound</t>
  </si>
  <si>
    <t>Eingang-Potentiometer, Draht</t>
  </si>
  <si>
    <t>http://www.distrelec.ch/en/c/cat-DC-58431</t>
  </si>
  <si>
    <t>02_02_11_DC-58432</t>
  </si>
  <si>
    <t>DC-58432</t>
  </si>
  <si>
    <t>Multi-Turn Potentiometers, Wirewound</t>
  </si>
  <si>
    <t>Mehrgang-Potentiometer, Draht</t>
  </si>
  <si>
    <t>http://www.distrelec.ch/en/c/cat-DC-58432</t>
  </si>
  <si>
    <t>02_02_11_DC-58433</t>
  </si>
  <si>
    <t>DC-58433</t>
  </si>
  <si>
    <t>High Performance Potentiometers, Wirewound</t>
  </si>
  <si>
    <t>Hochleistungspotentiometer, Draht</t>
  </si>
  <si>
    <t>http://www.distrelec.ch/en/c/cat-DC-58433</t>
  </si>
  <si>
    <t>02_02_11_DC-58434</t>
  </si>
  <si>
    <t>DC-58434</t>
  </si>
  <si>
    <t>Slide Potentiometers</t>
  </si>
  <si>
    <t>Schiebepotentiometer</t>
  </si>
  <si>
    <t>http://www.distrelec.ch/en/c/cat-DC-58434</t>
  </si>
  <si>
    <t>02_02_11_DC-58435</t>
  </si>
  <si>
    <t>DC-58435</t>
  </si>
  <si>
    <t>Potentiometer Accessories</t>
  </si>
  <si>
    <t>Zubehör zu Potentiometer</t>
  </si>
  <si>
    <t>http://www.distrelec.ch/en/c/cat-DC-58435</t>
  </si>
  <si>
    <t>02_02_12</t>
  </si>
  <si>
    <t>L3D_525343</t>
  </si>
  <si>
    <t>Trimmers</t>
  </si>
  <si>
    <t>Trimmer</t>
  </si>
  <si>
    <t>02_02_12_167501</t>
  </si>
  <si>
    <t>Adjustment screwdriver</t>
  </si>
  <si>
    <t>Abgleichschraubendreher</t>
  </si>
  <si>
    <t>http://www.distrelec.ch/en/c/cat-167501</t>
  </si>
  <si>
    <t>02_02_12_22087</t>
  </si>
  <si>
    <t>Potentiometer Mounting Adapters</t>
  </si>
  <si>
    <t>Adapter für Potentiometermontage</t>
  </si>
  <si>
    <t>http://www.distrelec.ch/en/c/cat-22087</t>
  </si>
  <si>
    <t>02_02_12_22089</t>
  </si>
  <si>
    <t>Adapter for Potentiometer</t>
  </si>
  <si>
    <t>Adapter für Potentiometer</t>
  </si>
  <si>
    <t>http://www.distrelec.ch/en/c/cat-22089</t>
  </si>
  <si>
    <t>02_02_12_DC-58436</t>
  </si>
  <si>
    <t>DC-58436</t>
  </si>
  <si>
    <t>Single-Turn Trimmer Potentiometer, Carbon</t>
  </si>
  <si>
    <t>Eingang-Schichttrimmer Kohle</t>
  </si>
  <si>
    <t>http://www.distrelec.ch/en/c/cat-DC-58436</t>
  </si>
  <si>
    <t>02_02_12_DC-58437</t>
  </si>
  <si>
    <t>DC-58437</t>
  </si>
  <si>
    <t>Single-Turn Trimmer Potentiometers, Cermet SMD</t>
  </si>
  <si>
    <t>Eingang-Schichttrimmer Cermet SMD</t>
  </si>
  <si>
    <t>http://www.distrelec.ch/en/c/cat-DC-58437</t>
  </si>
  <si>
    <t>02_02_12_DC-58438</t>
  </si>
  <si>
    <t>DC-58438</t>
  </si>
  <si>
    <t>Single-Turn Trimmer Potentiometers, Cermet</t>
  </si>
  <si>
    <t>Eingang-Schichttrimmer Cermet</t>
  </si>
  <si>
    <t>http://www.distrelec.ch/en/c/cat-DC-58438</t>
  </si>
  <si>
    <t>02_02_12_DC-58439</t>
  </si>
  <si>
    <t>DC-58439</t>
  </si>
  <si>
    <t>Multi-Turn Trimmer Potentiometers, Cermet SMD</t>
  </si>
  <si>
    <t>Mehrgang-Schichttrimmer Cermet SMD</t>
  </si>
  <si>
    <t>http://www.distrelec.ch/en/c/cat-DC-58439</t>
  </si>
  <si>
    <t>02_02_12_DC-58440</t>
  </si>
  <si>
    <t>DC-58440</t>
  </si>
  <si>
    <t>Multi-Turn Trimmer Potentiometers, Cermet</t>
  </si>
  <si>
    <t>Mehrgang-Schichttrimmer Cermet</t>
  </si>
  <si>
    <t>http://www.distrelec.ch/en/c/cat-DC-58440</t>
  </si>
  <si>
    <t>02_02_12_DC-58441</t>
  </si>
  <si>
    <t>DC-58441</t>
  </si>
  <si>
    <t>Multi-Turn Metal Foil Trimmer Potentiometers</t>
  </si>
  <si>
    <t>Mehrgang-Metallfolientrimmer</t>
  </si>
  <si>
    <t>http://www.distrelec.ch/en/c/cat-DC-58441</t>
  </si>
  <si>
    <t>02_03</t>
  </si>
  <si>
    <t>02_03_01</t>
  </si>
  <si>
    <t>L3D_525344</t>
  </si>
  <si>
    <t>Ferrites</t>
  </si>
  <si>
    <t>Ferrite</t>
  </si>
  <si>
    <t>02_03_01_181571</t>
  </si>
  <si>
    <t>ER Cores</t>
  </si>
  <si>
    <t>ER-Kerne</t>
  </si>
  <si>
    <t>http://www.distrelec.ch/en/c/cat-181571</t>
  </si>
  <si>
    <t>02_03_01_35489</t>
  </si>
  <si>
    <t>EQ/I Cores</t>
  </si>
  <si>
    <t>EQ-/I-Kerne</t>
  </si>
  <si>
    <t>http://www.distrelec.ch/en/c/cat-35489</t>
  </si>
  <si>
    <t>02_03_01_DC-56734</t>
  </si>
  <si>
    <t>DC-56734</t>
  </si>
  <si>
    <t>RM Cores</t>
  </si>
  <si>
    <t>RM-Kerne</t>
  </si>
  <si>
    <t>http://www.distrelec.ch/en/c/cat-DC-56734</t>
  </si>
  <si>
    <t>02_03_01_DC-56779</t>
  </si>
  <si>
    <t>DC-56779</t>
  </si>
  <si>
    <t>PM Cores</t>
  </si>
  <si>
    <t>PM-Kerne</t>
  </si>
  <si>
    <t>http://www.distrelec.ch/en/c/cat-DC-56779</t>
  </si>
  <si>
    <t>02_03_01_DC-56782</t>
  </si>
  <si>
    <t>DC-56782</t>
  </si>
  <si>
    <t>EP Cores</t>
  </si>
  <si>
    <t>EP-Kerne</t>
  </si>
  <si>
    <t>http://www.distrelec.ch/en/c/cat-DC-56782</t>
  </si>
  <si>
    <t>02_03_01_DC-56783</t>
  </si>
  <si>
    <t>DC-56783</t>
  </si>
  <si>
    <t>P Cores</t>
  </si>
  <si>
    <t>P-Kerne</t>
  </si>
  <si>
    <t>http://www.distrelec.ch/en/c/cat-DC-56783</t>
  </si>
  <si>
    <t>02_03_01_DC-56784</t>
  </si>
  <si>
    <t>DC-56784</t>
  </si>
  <si>
    <t>E Cores</t>
  </si>
  <si>
    <t>E-Kerne</t>
  </si>
  <si>
    <t>http://www.distrelec.ch/en/c/cat-DC-56784</t>
  </si>
  <si>
    <t>02_03_01_DC-56785</t>
  </si>
  <si>
    <t>DC-56785</t>
  </si>
  <si>
    <t>ELP Cores</t>
  </si>
  <si>
    <t>ELP-Kerne</t>
  </si>
  <si>
    <t>http://www.distrelec.ch/en/c/cat-DC-56785</t>
  </si>
  <si>
    <t>02_03_01_DC-56787</t>
  </si>
  <si>
    <t>DC-56787</t>
  </si>
  <si>
    <t>ETD Cores</t>
  </si>
  <si>
    <t>ETD-Kerne</t>
  </si>
  <si>
    <t>http://www.distrelec.ch/en/c/cat-DC-56787</t>
  </si>
  <si>
    <t>02_03_01_DC-56789</t>
  </si>
  <si>
    <t>DC-56789</t>
  </si>
  <si>
    <t>EFD Cores</t>
  </si>
  <si>
    <t>EFD-Kerne</t>
  </si>
  <si>
    <t>http://www.distrelec.ch/en/c/cat-DC-56789</t>
  </si>
  <si>
    <t>02_03_01_DC-56790</t>
  </si>
  <si>
    <t>DC-56790</t>
  </si>
  <si>
    <t>U/I Cores</t>
  </si>
  <si>
    <t>U-/I-Kerne</t>
  </si>
  <si>
    <t>http://www.distrelec.ch/en/c/cat-DC-56790</t>
  </si>
  <si>
    <t>02_03_01_DC-56791</t>
  </si>
  <si>
    <t>DC-56791</t>
  </si>
  <si>
    <t>Toroidal Cores</t>
  </si>
  <si>
    <t>Ringkerne</t>
  </si>
  <si>
    <t>http://www.distrelec.ch/en/c/cat-DC-56791</t>
  </si>
  <si>
    <t>02_03_01_DC-56792</t>
  </si>
  <si>
    <t>DC-56792</t>
  </si>
  <si>
    <t>Dual Aperture Cores</t>
  </si>
  <si>
    <t>Doppelloch-Kerne</t>
  </si>
  <si>
    <t>http://www.distrelec.ch/en/c/cat-DC-56792</t>
  </si>
  <si>
    <t>02_03_02</t>
  </si>
  <si>
    <t>L3D_525345</t>
  </si>
  <si>
    <t>EMI Ferrites</t>
  </si>
  <si>
    <t>EMI-Ferrite</t>
  </si>
  <si>
    <t>02_03_02_DC-56793</t>
  </si>
  <si>
    <t>DC-56793</t>
  </si>
  <si>
    <t>Ferrites for Cables</t>
  </si>
  <si>
    <t>Ferrite für Kabel</t>
  </si>
  <si>
    <t>http://www.distrelec.ch/en/c/cat-DC-56793</t>
  </si>
  <si>
    <t>02_03_02_DC-56794</t>
  </si>
  <si>
    <t>DC-56794</t>
  </si>
  <si>
    <t>Split Ferrites for Cables</t>
  </si>
  <si>
    <t>Klappferrite für Kabel</t>
  </si>
  <si>
    <t>http://www.distrelec.ch/en/c/cat-DC-56794</t>
  </si>
  <si>
    <t>02_03_02_DC-56795</t>
  </si>
  <si>
    <t>DC-56795</t>
  </si>
  <si>
    <t>Ferrite Assortment Boxes</t>
  </si>
  <si>
    <t>Ferrit Sortimentskoffer</t>
  </si>
  <si>
    <t>http://www.distrelec.ch/en/c/cat-DC-56795</t>
  </si>
  <si>
    <t>02_03_03</t>
  </si>
  <si>
    <t>L3D_525347</t>
  </si>
  <si>
    <t>02_03_03_30912</t>
  </si>
  <si>
    <t>LAN transformer SMD</t>
  </si>
  <si>
    <t>LAN-Übertrager SMD</t>
  </si>
  <si>
    <t>http://www.distrelec.ch/en/c/cat-30912</t>
  </si>
  <si>
    <t>02_03_03_DC-56797</t>
  </si>
  <si>
    <t>DC-56797</t>
  </si>
  <si>
    <t>Transformer, SMD</t>
  </si>
  <si>
    <t>Übertrager SMD</t>
  </si>
  <si>
    <t>http://www.distrelec.ch/en/c/cat-DC-56797</t>
  </si>
  <si>
    <t>02_03_03_DC-56800</t>
  </si>
  <si>
    <t>DC-56800</t>
  </si>
  <si>
    <t>Pulse Transformers with Radial Connections</t>
  </si>
  <si>
    <t>Zündübertrager mit radialen Anschlüssen</t>
  </si>
  <si>
    <t>http://www.distrelec.ch/en/c/cat-DC-56800</t>
  </si>
  <si>
    <t>02_03_03_DC-56801</t>
  </si>
  <si>
    <t>DC-56801</t>
  </si>
  <si>
    <t>Pulse Transformer</t>
  </si>
  <si>
    <t>Impulstransformatoren</t>
  </si>
  <si>
    <t>http://www.distrelec.ch/en/c/cat-DC-56801</t>
  </si>
  <si>
    <t>02_03_04</t>
  </si>
  <si>
    <t>L3D_525348</t>
  </si>
  <si>
    <t>Assortments, Decades, Inductors / Chokes</t>
  </si>
  <si>
    <t>Sortiment, Dekaden, Induktoren / Drosseln</t>
  </si>
  <si>
    <t>02_03_04_272620</t>
  </si>
  <si>
    <t>http://www.distrelec.ch/en/c/cat-272620</t>
  </si>
  <si>
    <t>02_03_04_DC-59945</t>
  </si>
  <si>
    <t>DC-59945</t>
  </si>
  <si>
    <t>Inductor Assortment Boxes</t>
  </si>
  <si>
    <t>Induktivitäts-Sortimentskoffer</t>
  </si>
  <si>
    <t>http://www.distrelec.ch/en/c/cat-DC-59945</t>
  </si>
  <si>
    <t>02_03_05</t>
  </si>
  <si>
    <t>L3D_525349</t>
  </si>
  <si>
    <t>Inductors / Chokes</t>
  </si>
  <si>
    <t>Induktivitäten / Drosseln</t>
  </si>
  <si>
    <t>02_03_05_527038</t>
  </si>
  <si>
    <t>Charging Coils / Inductors</t>
  </si>
  <si>
    <t>Ladespulen / Induktoren</t>
  </si>
  <si>
    <t>http://www.distrelec.ch/en/c/cat-527038</t>
  </si>
  <si>
    <t>02_03_05_DC-59974</t>
  </si>
  <si>
    <t>DC-59974</t>
  </si>
  <si>
    <t>Inductors / Chokes, SMD</t>
  </si>
  <si>
    <t>Induktivitäten / Drosseln, SMD</t>
  </si>
  <si>
    <t>http://www.distrelec.ch/en/c/cat-DC-59974</t>
  </si>
  <si>
    <t>2 033</t>
  </si>
  <si>
    <t>02_03_05_DC-59975</t>
  </si>
  <si>
    <t>DC-59975</t>
  </si>
  <si>
    <t>Inductors / Chokes, Radially Leaded</t>
  </si>
  <si>
    <t>Induktivitäten / Drosseln, radial bedrahtet</t>
  </si>
  <si>
    <t>http://www.distrelec.ch/en/c/cat-DC-59975</t>
  </si>
  <si>
    <t>02_03_05_DC-59976</t>
  </si>
  <si>
    <t>DC-59976</t>
  </si>
  <si>
    <t>Inductors / Chokes, Axially Leaded</t>
  </si>
  <si>
    <t>Induktivitäten / Drosseln, axial bedrahtet</t>
  </si>
  <si>
    <t>http://www.distrelec.ch/en/c/cat-DC-59976</t>
  </si>
  <si>
    <t>02_03_05_DC-59977</t>
  </si>
  <si>
    <t>DC-59977</t>
  </si>
  <si>
    <t>Inductors / Chokes, Toroidal</t>
  </si>
  <si>
    <t>Speicherdrosseln, Ringkern</t>
  </si>
  <si>
    <t>http://www.distrelec.ch/en/c/cat-DC-59977</t>
  </si>
  <si>
    <t>02_03_06</t>
  </si>
  <si>
    <t>L3D_525350</t>
  </si>
  <si>
    <t>Interference Suppression Filters / Mains Filters</t>
  </si>
  <si>
    <t>Entstörfilter / Netzfilter</t>
  </si>
  <si>
    <t>02_03_06_564740</t>
  </si>
  <si>
    <t>Accessories Filters</t>
  </si>
  <si>
    <t>Zubehör Filter</t>
  </si>
  <si>
    <t>http://www.distrelec.ch/en/c/cat-564740</t>
  </si>
  <si>
    <t>02_03_06_DC-59978</t>
  </si>
  <si>
    <t>DC-59978</t>
  </si>
  <si>
    <t>SMD Filters / SMD Ferrites</t>
  </si>
  <si>
    <t>SMD-Filter / SMD-Ferrite</t>
  </si>
  <si>
    <t>http://www.distrelec.ch/en/c/cat-DC-59978</t>
  </si>
  <si>
    <t>02_03_06_DC-59979</t>
  </si>
  <si>
    <t>DC-59979</t>
  </si>
  <si>
    <t>Leaded Filters</t>
  </si>
  <si>
    <t>Bedrahtete Filter</t>
  </si>
  <si>
    <t>http://www.distrelec.ch/en/c/cat-DC-59979</t>
  </si>
  <si>
    <t>02_03_06_DC-59980</t>
  </si>
  <si>
    <t>DC-59980</t>
  </si>
  <si>
    <t>Power Inlet with Mains Filter</t>
  </si>
  <si>
    <t>Gerätestecker mit Netzfilter</t>
  </si>
  <si>
    <t>http://www.distrelec.ch/en/c/cat-DC-59980</t>
  </si>
  <si>
    <t>02_03_06_DC-59981</t>
  </si>
  <si>
    <t>DC-59981</t>
  </si>
  <si>
    <t>Mains Filter for 1-Phase Systems</t>
  </si>
  <si>
    <t>Netzfilter für 1-Phasen-System</t>
  </si>
  <si>
    <t>http://www.distrelec.ch/en/c/cat-DC-59981</t>
  </si>
  <si>
    <t>02_03_06_DC-59982</t>
  </si>
  <si>
    <t>DC-59982</t>
  </si>
  <si>
    <t>Mains Filter for 3-Phase Systems</t>
  </si>
  <si>
    <t>Netzfilter für 3-Phasen-System</t>
  </si>
  <si>
    <t>http://www.distrelec.ch/en/c/cat-DC-59982</t>
  </si>
  <si>
    <t>02_03_648625</t>
  </si>
  <si>
    <t>Ferrite Foil</t>
  </si>
  <si>
    <t>Ferrit-Folien</t>
  </si>
  <si>
    <t>http://www.distrelec.ch/en/c/cat-648625</t>
  </si>
  <si>
    <t>02_03_DC-74742</t>
  </si>
  <si>
    <t>DC-74742</t>
  </si>
  <si>
    <t>Ferrite Rods</t>
  </si>
  <si>
    <t>Ferrit-Stäbe</t>
  </si>
  <si>
    <t>http://www.distrelec.ch/en/c/cat-DC-74742</t>
  </si>
  <si>
    <t>02_04</t>
  </si>
  <si>
    <t>02_04_01</t>
  </si>
  <si>
    <t>L3D_525352</t>
  </si>
  <si>
    <t>Fuses</t>
  </si>
  <si>
    <t>Sicherungen</t>
  </si>
  <si>
    <t>02_04_01_14278</t>
  </si>
  <si>
    <t>Fuses 5 x 20</t>
  </si>
  <si>
    <t>Sicherungen 5 x 20</t>
  </si>
  <si>
    <t>http://www.distrelec.ch/en/c/cat-14278</t>
  </si>
  <si>
    <t>02_04_01_14280</t>
  </si>
  <si>
    <t>Radial Miniature Fuses for Telecom Application</t>
  </si>
  <si>
    <t>Miniatur-Sicherungen radial für Telekom-Anwendung</t>
  </si>
  <si>
    <t>http://www.distrelec.ch/en/c/cat-14280</t>
  </si>
  <si>
    <t>02_04_01_14503</t>
  </si>
  <si>
    <t>Fuses 5 x 20 for Telecom Applications</t>
  </si>
  <si>
    <t>Sicherungen 5 x 20 für Telekom-Anwendung</t>
  </si>
  <si>
    <t>http://www.distrelec.ch/en/c/cat-14503</t>
  </si>
  <si>
    <t>02_04_01_318488</t>
  </si>
  <si>
    <t>Special Application Fuses</t>
  </si>
  <si>
    <t>Spezialsicherungen</t>
  </si>
  <si>
    <t>http://www.distrelec.ch/en/c/cat-318488</t>
  </si>
  <si>
    <t>02_04_01_DC-56817</t>
  </si>
  <si>
    <t>DC-56817</t>
  </si>
  <si>
    <t>Axial Miniature Fuses</t>
  </si>
  <si>
    <t>Miniatur-Sicherungen axial</t>
  </si>
  <si>
    <t>http://www.distrelec.ch/en/c/cat-DC-56817</t>
  </si>
  <si>
    <t>02_04_01_DC-56818</t>
  </si>
  <si>
    <t>DC-56818</t>
  </si>
  <si>
    <t>Radial Miniature Fuses</t>
  </si>
  <si>
    <t>Miniatur-Sicherungen radial</t>
  </si>
  <si>
    <t>http://www.distrelec.ch/en/c/cat-DC-56818</t>
  </si>
  <si>
    <t>02_04_01_DC-56822</t>
  </si>
  <si>
    <t>DC-56822</t>
  </si>
  <si>
    <t>Fuses 5 x 25, With Indicator</t>
  </si>
  <si>
    <t>Sicherungen 5 x 25, mit Kennmelder</t>
  </si>
  <si>
    <t>http://www.distrelec.ch/en/c/cat-DC-56822</t>
  </si>
  <si>
    <t>02_04_01_DC-56823</t>
  </si>
  <si>
    <t>DC-56823</t>
  </si>
  <si>
    <t>Fuses 6.3 x 32</t>
  </si>
  <si>
    <t>Sicherungen 6.3 x 32</t>
  </si>
  <si>
    <t>http://www.distrelec.ch/en/c/cat-DC-56823</t>
  </si>
  <si>
    <t>02_04_01_DC-56824</t>
  </si>
  <si>
    <t>DC-56824</t>
  </si>
  <si>
    <t>Short Circuit Protectors</t>
  </si>
  <si>
    <t>Short Circuit Protectoren</t>
  </si>
  <si>
    <t>http://www.distrelec.ch/en/c/cat-DC-56824</t>
  </si>
  <si>
    <t>02_04_01_DC-56848</t>
  </si>
  <si>
    <t>DC-56848</t>
  </si>
  <si>
    <t>Industrial Fuses</t>
  </si>
  <si>
    <t>Industrielle Sicherungen</t>
  </si>
  <si>
    <t>http://www.distrelec.ch/en/c/cat-DC-56848</t>
  </si>
  <si>
    <t>02_04_01_DC-56851</t>
  </si>
  <si>
    <t>DC-56851</t>
  </si>
  <si>
    <t>Semiconductor Fuses</t>
  </si>
  <si>
    <t>Halbleitersicherungen</t>
  </si>
  <si>
    <t>http://www.distrelec.ch/en/c/cat-DC-56851</t>
  </si>
  <si>
    <t>02_04_02</t>
  </si>
  <si>
    <t>L3D_525355</t>
  </si>
  <si>
    <t>SMD fuses</t>
  </si>
  <si>
    <t>SMD-Sicherung</t>
  </si>
  <si>
    <t>02_04_02_345630</t>
  </si>
  <si>
    <t>SMD Fuses, 5 x 20</t>
  </si>
  <si>
    <t>SMD-Sicherungen 5 x 20</t>
  </si>
  <si>
    <t>http://www.distrelec.ch/en/c/cat-345630</t>
  </si>
  <si>
    <t>02_04_02_357855</t>
  </si>
  <si>
    <t>SMD Fuses, 5.3 x 16</t>
  </si>
  <si>
    <t>SMD-Sicherungen 5.3 x 16</t>
  </si>
  <si>
    <t>http://www.distrelec.ch/en/c/cat-357855</t>
  </si>
  <si>
    <t>02_04_02_DC-56831</t>
  </si>
  <si>
    <t>DC-56831</t>
  </si>
  <si>
    <t>SMD Fuses, 6.1 x 2.7</t>
  </si>
  <si>
    <t>SMD-Sicherungen 6.1 x 2.7</t>
  </si>
  <si>
    <t>http://www.distrelec.ch/en/c/cat-DC-56831</t>
  </si>
  <si>
    <t>02_04_02_DC-56832</t>
  </si>
  <si>
    <t>DC-56832</t>
  </si>
  <si>
    <t>SMD Fuses, 7.4 x 3.1</t>
  </si>
  <si>
    <t>SMD-Sicherungen 7.4 x 3.1</t>
  </si>
  <si>
    <t>http://www.distrelec.ch/en/c/cat-DC-56832</t>
  </si>
  <si>
    <t>02_04_02_DC-56833</t>
  </si>
  <si>
    <t>DC-56833</t>
  </si>
  <si>
    <t>SMD Fuses, 9.8 x 5.3</t>
  </si>
  <si>
    <t>SMD-Sicherungen 9.8 x 5.3</t>
  </si>
  <si>
    <t>http://www.distrelec.ch/en/c/cat-DC-56833</t>
  </si>
  <si>
    <t>02_04_02_DC-56834</t>
  </si>
  <si>
    <t>DC-56834</t>
  </si>
  <si>
    <t>SMD Fuses, 11 x 4.6</t>
  </si>
  <si>
    <t>SMD-Sicherungen 11 x 4.6</t>
  </si>
  <si>
    <t>http://www.distrelec.ch/en/c/cat-DC-56834</t>
  </si>
  <si>
    <t>02_04_02_DC-62536</t>
  </si>
  <si>
    <t>DC-62536</t>
  </si>
  <si>
    <t>SMD Fuses, 3.2 x 1.6</t>
  </si>
  <si>
    <t>SMD-Sicherungen 3.2 x 1.6</t>
  </si>
  <si>
    <t>http://www.distrelec.ch/en/c/cat-DC-62536</t>
  </si>
  <si>
    <t>02_04_02_DC-85107</t>
  </si>
  <si>
    <t>DC-85107</t>
  </si>
  <si>
    <t>SMD Fuses, 10.1 x 3</t>
  </si>
  <si>
    <t>SMD-Sicherungen 10.1 x 3</t>
  </si>
  <si>
    <t>http://www.distrelec.ch/en/c/cat-DC-85107</t>
  </si>
  <si>
    <t>02_04_03</t>
  </si>
  <si>
    <t>L3D_525357</t>
  </si>
  <si>
    <t>Automotive fuses</t>
  </si>
  <si>
    <t>Kfz-Sicherungen und Sicherungshalter</t>
  </si>
  <si>
    <t>02_04_03_316834</t>
  </si>
  <si>
    <t>Automotive Fuse Link Japanese OTO Style</t>
  </si>
  <si>
    <t>Kfz-Sicherungseinsatz Typ OTO Japan</t>
  </si>
  <si>
    <t>http://www.distrelec.ch/en/c/cat-316834</t>
  </si>
  <si>
    <t>02_04_03_316838</t>
  </si>
  <si>
    <t>Automotive Fuse Link, normOTO Diode</t>
  </si>
  <si>
    <t>Kfz-Sicherungseinsatz, normOTO Diode</t>
  </si>
  <si>
    <t>http://www.distrelec.ch/en/c/cat-316838</t>
  </si>
  <si>
    <t>02_04_03_DC-56838</t>
  </si>
  <si>
    <t>DC-56838</t>
  </si>
  <si>
    <t>Automotive Fuse with Blade Connectors</t>
  </si>
  <si>
    <t>Kfz-Sicherungseinsatz mit Flachstecker</t>
  </si>
  <si>
    <t>http://www.distrelec.ch/en/c/cat-DC-56838</t>
  </si>
  <si>
    <t>02_04_03_DC-56840</t>
  </si>
  <si>
    <t>DC-56840</t>
  </si>
  <si>
    <t>Automotive Fuse Link with Screw Clips</t>
  </si>
  <si>
    <t>Kfz-Sicherungseinsatz mit Schraublaschen</t>
  </si>
  <si>
    <t>http://www.distrelec.ch/en/c/cat-DC-56840</t>
  </si>
  <si>
    <t>02_04_03_DC-56841</t>
  </si>
  <si>
    <t>DC-56841</t>
  </si>
  <si>
    <t>Automotive Fuse Link, Can Be Screwed</t>
  </si>
  <si>
    <t>Kfz-Sicherungseinsatz schraubbar</t>
  </si>
  <si>
    <t>http://www.distrelec.ch/en/c/cat-DC-56841</t>
  </si>
  <si>
    <t>02_04_03_DC-56842</t>
  </si>
  <si>
    <t>DC-56842</t>
  </si>
  <si>
    <t>Automotive PCB Fuses</t>
  </si>
  <si>
    <t>Kfz-Printsicherungen</t>
  </si>
  <si>
    <t>http://www.distrelec.ch/en/c/cat-DC-56842</t>
  </si>
  <si>
    <t>02_04_03_DC-56843</t>
  </si>
  <si>
    <t>DC-56843</t>
  </si>
  <si>
    <t>Automotive Fuse Strip</t>
  </si>
  <si>
    <t>Kfz-Sicherungsstreifen</t>
  </si>
  <si>
    <t>http://www.distrelec.ch/en/c/cat-DC-56843</t>
  </si>
  <si>
    <t>02_04_03_DC-56853</t>
  </si>
  <si>
    <t>DC-56853</t>
  </si>
  <si>
    <t>Thermal Automobile Circuit Breakers</t>
  </si>
  <si>
    <t>Kfz-Sicherungsautomaten mit thermischer Auslösung</t>
  </si>
  <si>
    <t>http://www.distrelec.ch/en/c/cat-DC-56853</t>
  </si>
  <si>
    <t>02_04_04</t>
  </si>
  <si>
    <t>L3D_525356</t>
  </si>
  <si>
    <t>Thermal fuses</t>
  </si>
  <si>
    <t>Temperatursicherungen</t>
  </si>
  <si>
    <t>02_04_04_DC-56835</t>
  </si>
  <si>
    <t>DC-56835</t>
  </si>
  <si>
    <t>Thermal Fuses, Axial</t>
  </si>
  <si>
    <t>Temperatursicherungen axial</t>
  </si>
  <si>
    <t>http://www.distrelec.ch/en/c/cat-DC-56835</t>
  </si>
  <si>
    <t>02_04_04_DC-56836</t>
  </si>
  <si>
    <t>DC-56836</t>
  </si>
  <si>
    <t>Thermal Fuses, Radial</t>
  </si>
  <si>
    <t>Temperatursicherungen radial</t>
  </si>
  <si>
    <t>http://www.distrelec.ch/en/c/cat-DC-56836</t>
  </si>
  <si>
    <t>02_04_05</t>
  </si>
  <si>
    <t>L3D_525359</t>
  </si>
  <si>
    <t>Resettables</t>
  </si>
  <si>
    <t>Rückstellbare Sicherungen</t>
  </si>
  <si>
    <t>02_04_05_587319</t>
  </si>
  <si>
    <t>Resettable Fuses with Axial Connections</t>
  </si>
  <si>
    <t>Resettables mit axialen Anschlüssen</t>
  </si>
  <si>
    <t>http://www.distrelec.ch/en/c/cat-587319</t>
  </si>
  <si>
    <t>02_04_05_DC-56846</t>
  </si>
  <si>
    <t>DC-56846</t>
  </si>
  <si>
    <t>Resettable Fuses with Radial Connections</t>
  </si>
  <si>
    <t>Resettables mit radialen Anschlüssen</t>
  </si>
  <si>
    <t>http://www.distrelec.ch/en/c/cat-DC-56846</t>
  </si>
  <si>
    <t>02_04_05_DC-56847</t>
  </si>
  <si>
    <t>DC-56847</t>
  </si>
  <si>
    <t>Resettable Fuses, SMD</t>
  </si>
  <si>
    <t>Resettables SMD</t>
  </si>
  <si>
    <t>http://www.distrelec.ch/en/c/cat-DC-56847</t>
  </si>
  <si>
    <t>02_04_06</t>
  </si>
  <si>
    <t>L3D_525358</t>
  </si>
  <si>
    <t>Appliance Circuit-Breaker</t>
  </si>
  <si>
    <t>Geräteschutzschalter</t>
  </si>
  <si>
    <t>02_04_06_DC-56852</t>
  </si>
  <si>
    <t>DC-56852</t>
  </si>
  <si>
    <t>Appliance circuit-breakers with thermal tripping</t>
  </si>
  <si>
    <t>Geräteschutzschalter mit thermischer Auslösung</t>
  </si>
  <si>
    <t>http://www.distrelec.ch/en/c/cat-DC-56852</t>
  </si>
  <si>
    <t>02_04_06_DC-56854</t>
  </si>
  <si>
    <t>DC-56854</t>
  </si>
  <si>
    <t>Appliance circuit-breakers with thermal and magnetic tripping</t>
  </si>
  <si>
    <t>Geräteschutzschalter mit thermischer und magnetischer Auslösung</t>
  </si>
  <si>
    <t>http://www.distrelec.ch/en/c/cat-DC-56854</t>
  </si>
  <si>
    <t>02_04_06_DC-56855</t>
  </si>
  <si>
    <t>DC-56855</t>
  </si>
  <si>
    <t>Rocker Switch with undervoltage tripping</t>
  </si>
  <si>
    <t>Wippenschalter mit Unterspannungsauslösung</t>
  </si>
  <si>
    <t>http://www.distrelec.ch/en/c/cat-DC-56855</t>
  </si>
  <si>
    <t>02_04_07</t>
  </si>
  <si>
    <t>L3D_525354</t>
  </si>
  <si>
    <t>Fuse Holders</t>
  </si>
  <si>
    <t>Sicherungshalter</t>
  </si>
  <si>
    <t>02_04_07_294147</t>
  </si>
  <si>
    <t>Holders for Solar Fuses</t>
  </si>
  <si>
    <t>Solarsicherungshalter</t>
  </si>
  <si>
    <t>http://www.distrelec.ch/en/c/cat-294147</t>
  </si>
  <si>
    <t>02_04_07_DC-56826</t>
  </si>
  <si>
    <t>DC-56826</t>
  </si>
  <si>
    <t>Holders for Micro Fuses</t>
  </si>
  <si>
    <t>Halter für Kleinstsicherungen</t>
  </si>
  <si>
    <t>http://www.distrelec.ch/en/c/cat-DC-56826</t>
  </si>
  <si>
    <t>02_04_07_DC-56827</t>
  </si>
  <si>
    <t>DC-56827</t>
  </si>
  <si>
    <t>Holders for Appliance Fuses</t>
  </si>
  <si>
    <t>Halter für Geräteschutzsicherungen</t>
  </si>
  <si>
    <t>http://www.distrelec.ch/en/c/cat-DC-56827</t>
  </si>
  <si>
    <t>02_04_07_DC-56828</t>
  </si>
  <si>
    <t>DC-56828</t>
  </si>
  <si>
    <t>Open Fuse Holders</t>
  </si>
  <si>
    <t>Offene Sicherungshalter</t>
  </si>
  <si>
    <t>http://www.distrelec.ch/en/c/cat-DC-56828</t>
  </si>
  <si>
    <t>02_04_07_DC-56845</t>
  </si>
  <si>
    <t>DC-56845</t>
  </si>
  <si>
    <t>Automotive Fuse Holders</t>
  </si>
  <si>
    <t>Kfz-Sicherungshalter</t>
  </si>
  <si>
    <t>http://www.distrelec.ch/en/c/cat-DC-56845</t>
  </si>
  <si>
    <t>02_04_DC-56816</t>
  </si>
  <si>
    <t>DC-56816</t>
  </si>
  <si>
    <t>Boxed fuse assortments</t>
  </si>
  <si>
    <t>Sortimentkästen</t>
  </si>
  <si>
    <t>http://www.distrelec.ch/en/c/cat-DC-56816</t>
  </si>
  <si>
    <t>02_557335</t>
  </si>
  <si>
    <t>Multilayer Aerials, SMD</t>
  </si>
  <si>
    <t>Multilayer-Antennen, SMD</t>
  </si>
  <si>
    <t>http://www.distrelec.ch/en/c/cat-557335</t>
  </si>
  <si>
    <t>Electromechanical Components</t>
  </si>
  <si>
    <t>03_01</t>
  </si>
  <si>
    <t>Relays</t>
  </si>
  <si>
    <t>03_01_01</t>
  </si>
  <si>
    <t>03_01_01_14349</t>
  </si>
  <si>
    <t>Signal relays</t>
  </si>
  <si>
    <t>Signalrelais</t>
  </si>
  <si>
    <t>http://www.distrelec.ch/en/c/cat-14349</t>
  </si>
  <si>
    <t>03_01_01_16752</t>
  </si>
  <si>
    <t>PCB Power relays</t>
  </si>
  <si>
    <t>Print-Leistungsrelais</t>
  </si>
  <si>
    <t>http://www.distrelec.ch/en/c/cat-16752</t>
  </si>
  <si>
    <t>1 275</t>
  </si>
  <si>
    <t>03_01_01_16754</t>
  </si>
  <si>
    <t>PCB Safety Relays</t>
  </si>
  <si>
    <t>Print-Sicherheitsrelais</t>
  </si>
  <si>
    <t>http://www.distrelec.ch/en/c/cat-16754</t>
  </si>
  <si>
    <t>03_01_01_16756</t>
  </si>
  <si>
    <t>Cradle Relays</t>
  </si>
  <si>
    <t>Kammrelais</t>
  </si>
  <si>
    <t>http://www.distrelec.ch/en/c/cat-16756</t>
  </si>
  <si>
    <t>03_01_01_16758</t>
  </si>
  <si>
    <t>Accessories for Relays</t>
  </si>
  <si>
    <t>Relaiszubehör</t>
  </si>
  <si>
    <t>http://www.distrelec.ch/en/c/cat-16758</t>
  </si>
  <si>
    <t>03_01_02</t>
  </si>
  <si>
    <t>03_01_02_19693</t>
  </si>
  <si>
    <t>Relay Accessories</t>
  </si>
  <si>
    <t>http://www.distrelec.ch/en/c/cat-19693</t>
  </si>
  <si>
    <t>03_01_02_DC-53169</t>
  </si>
  <si>
    <t>DC-53169</t>
  </si>
  <si>
    <t>Industrial relays plug-in &amp; DIN-rail</t>
  </si>
  <si>
    <t>Industrierelais für Sockel- &amp; DIN-Schiene</t>
  </si>
  <si>
    <t>http://www.distrelec.ch/en/c/cat-DC-53169</t>
  </si>
  <si>
    <t>03_01_02_DC-53170</t>
  </si>
  <si>
    <t>DC-53170</t>
  </si>
  <si>
    <t>Industrial relays for screw-down assembly</t>
  </si>
  <si>
    <t>Industrierelais für Schraubmontage</t>
  </si>
  <si>
    <t>http://www.distrelec.ch/en/c/cat-DC-53170</t>
  </si>
  <si>
    <t>03_01_03</t>
  </si>
  <si>
    <t>Reed relays / Reed contacts / Magnets</t>
  </si>
  <si>
    <t>03_01_03_19744</t>
  </si>
  <si>
    <t>Reed switches</t>
  </si>
  <si>
    <t>Reedkontakte</t>
  </si>
  <si>
    <t>http://www.distrelec.ch/en/c/cat-19744</t>
  </si>
  <si>
    <t>03_01_03_DC-53171</t>
  </si>
  <si>
    <t>DC-53171</t>
  </si>
  <si>
    <t>Reed relay</t>
  </si>
  <si>
    <t>Reedrelais</t>
  </si>
  <si>
    <t>http://www.distrelec.ch/en/c/cat-DC-53171</t>
  </si>
  <si>
    <t>03_01_03_DC-53172</t>
  </si>
  <si>
    <t>DC-53172</t>
  </si>
  <si>
    <t>Magnets</t>
  </si>
  <si>
    <t>Magnete</t>
  </si>
  <si>
    <t>http://www.distrelec.ch/en/c/cat-DC-53172</t>
  </si>
  <si>
    <t>03_01_04</t>
  </si>
  <si>
    <t>Semiconductor Relays</t>
  </si>
  <si>
    <t>03_01_04_19728</t>
  </si>
  <si>
    <t>Socket for semiconductor relay</t>
  </si>
  <si>
    <t>Sockel zu Halbleiterrelais</t>
  </si>
  <si>
    <t>http://www.distrelec.ch/en/c/cat-19728</t>
  </si>
  <si>
    <t>03_01_04_19737</t>
  </si>
  <si>
    <t>Heat sink for semiconductor relay</t>
  </si>
  <si>
    <t>Kühlkörper zu Halbleiterrelais</t>
  </si>
  <si>
    <t>http://www.distrelec.ch/en/c/cat-19737</t>
  </si>
  <si>
    <t>03_01_04_19746</t>
  </si>
  <si>
    <t>General accessory for semiconductor relays</t>
  </si>
  <si>
    <t>Allgemeines Zubehör zu Halbleiterrelais</t>
  </si>
  <si>
    <t>http://www.distrelec.ch/en/c/cat-19746</t>
  </si>
  <si>
    <t>03_01_04_DC-53173</t>
  </si>
  <si>
    <t>DC-53173</t>
  </si>
  <si>
    <t>Solid-state relays</t>
  </si>
  <si>
    <t>http://www.distrelec.ch/en/c/cat-DC-53173</t>
  </si>
  <si>
    <t>03_01_04_DC-53174</t>
  </si>
  <si>
    <t>DC-53174</t>
  </si>
  <si>
    <t>Solid State Relays Single Phase / Dual Phase</t>
  </si>
  <si>
    <t>Halbleiterrelais einphasig / zweiphasig</t>
  </si>
  <si>
    <t>http://www.distrelec.ch/en/c/cat-DC-53174</t>
  </si>
  <si>
    <t>03_01_04_DC-53175</t>
  </si>
  <si>
    <t>DC-53175</t>
  </si>
  <si>
    <t>Solid State Relays, Three Phase</t>
  </si>
  <si>
    <t>Halbleiterrelais dreiphasig</t>
  </si>
  <si>
    <t>http://www.distrelec.ch/en/c/cat-DC-53175</t>
  </si>
  <si>
    <t>03_02</t>
  </si>
  <si>
    <t>03_02_01</t>
  </si>
  <si>
    <t>IDC Connectors</t>
  </si>
  <si>
    <t>03_02_01_20359</t>
  </si>
  <si>
    <t>Ribbon Cable Connectors</t>
  </si>
  <si>
    <t>http://www.distrelec.ch/en/c/cat-20359</t>
  </si>
  <si>
    <t>03_02_01_20361</t>
  </si>
  <si>
    <t>Accessories for Ribbon Cable Connectors</t>
  </si>
  <si>
    <t>Zubehör zu Flachkabel-Steckverbinder</t>
  </si>
  <si>
    <t>http://www.distrelec.ch/en/c/cat-20361</t>
  </si>
  <si>
    <t>03_02_01_676098</t>
  </si>
  <si>
    <t>Contacts, Crimp Contacts</t>
  </si>
  <si>
    <t>Kontakte, Crimpkontakte</t>
  </si>
  <si>
    <t>http://www.distrelec.ch/en/c/cat-676098</t>
  </si>
  <si>
    <t>03_02_01_676136</t>
  </si>
  <si>
    <t>Flat Cable Connectors, Tools</t>
  </si>
  <si>
    <t>Schneidklemmtechnik, Werkzeuge</t>
  </si>
  <si>
    <t>http://www.distrelec.ch/en/c/cat-676136</t>
  </si>
  <si>
    <t>03_02_02</t>
  </si>
  <si>
    <t>D-SUB Connectors</t>
  </si>
  <si>
    <t>03_02_02_20403</t>
  </si>
  <si>
    <t>D-Sub Connectors</t>
  </si>
  <si>
    <t>D-Sub-Steckverbinder</t>
  </si>
  <si>
    <t>http://www.distrelec.ch/en/c/cat-20403</t>
  </si>
  <si>
    <t>03_02_02_20405</t>
  </si>
  <si>
    <t>D-Sub High Density Connectors</t>
  </si>
  <si>
    <t>D-Sub-High Density Steckverbinder</t>
  </si>
  <si>
    <t>http://www.distrelec.ch/en/c/cat-20405</t>
  </si>
  <si>
    <t>03_02_02_20407</t>
  </si>
  <si>
    <t>D-Sub Connectors with Hybrid Contacts</t>
  </si>
  <si>
    <t>D-Sub-Steckverbinder mit Mischkontakten</t>
  </si>
  <si>
    <t>http://www.distrelec.ch/en/c/cat-20407</t>
  </si>
  <si>
    <t>03_02_02_20409</t>
  </si>
  <si>
    <t>Accessories for D-Sub Connectors</t>
  </si>
  <si>
    <t>Zubehör zu D-Sub-Steckverbindern</t>
  </si>
  <si>
    <t>http://www.distrelec.ch/en/c/cat-20409</t>
  </si>
  <si>
    <t>03_02_02_20411</t>
  </si>
  <si>
    <t>D-Sub Covers</t>
  </si>
  <si>
    <t>D-Sub-Hauben</t>
  </si>
  <si>
    <t>http://www.distrelec.ch/en/c/cat-20411</t>
  </si>
  <si>
    <t>03_02_02_20413</t>
  </si>
  <si>
    <t>D-Sub Field Bus Connectors</t>
  </si>
  <si>
    <t>D-Sub Feldbus Steckverbinder</t>
  </si>
  <si>
    <t>http://www.distrelec.ch/en/c/cat-20413</t>
  </si>
  <si>
    <t>03_02_02_662607</t>
  </si>
  <si>
    <t>D-Sub Adapter, D-Sub Kits</t>
  </si>
  <si>
    <t>D-Sub Adapter, D-Sub Steckverbinder Sets</t>
  </si>
  <si>
    <t>http://www.distrelec.ch/en/c/cat-662607</t>
  </si>
  <si>
    <t>2 057</t>
  </si>
  <si>
    <t>03_02_02_675895</t>
  </si>
  <si>
    <t>http://www.distrelec.ch/en/c/cat-675895</t>
  </si>
  <si>
    <t>03_02_02_676144</t>
  </si>
  <si>
    <t>D-Sub Connectors, Tools</t>
  </si>
  <si>
    <t>D-Sub-Steckverbinder, Werkzeuge</t>
  </si>
  <si>
    <t>http://www.distrelec.ch/en/c/cat-676144</t>
  </si>
  <si>
    <t>03_02_03</t>
  </si>
  <si>
    <t>03_02_03_177589</t>
  </si>
  <si>
    <t>Aerial Connectors</t>
  </si>
  <si>
    <t>Antennen-Steckverbinder</t>
  </si>
  <si>
    <t>http://www.distrelec.ch/en/c/cat-177589</t>
  </si>
  <si>
    <t>03_02_03_197346</t>
  </si>
  <si>
    <t>Optical Connectors</t>
  </si>
  <si>
    <t>Optische Verbinder</t>
  </si>
  <si>
    <t>http://www.distrelec.ch/en/c/cat-197346</t>
  </si>
  <si>
    <t>03_02_03_20415</t>
  </si>
  <si>
    <t>USB and Firewire Connectors</t>
  </si>
  <si>
    <t>USB-Steckverbinder</t>
  </si>
  <si>
    <t>http://www.distrelec.ch/en/c/cat-20415</t>
  </si>
  <si>
    <t>03_02_03_26232</t>
  </si>
  <si>
    <t>DIN Audio Connectors</t>
  </si>
  <si>
    <t>DIN-Audiosteckverbinder</t>
  </si>
  <si>
    <t>http://www.distrelec.ch/en/c/cat-26232</t>
  </si>
  <si>
    <t>03_02_03_26234</t>
  </si>
  <si>
    <t>RCA Connectors</t>
  </si>
  <si>
    <t>Cinch-Steckverbinder</t>
  </si>
  <si>
    <t>http://www.distrelec.ch/en/c/cat-26234</t>
  </si>
  <si>
    <t>03_02_03_26236</t>
  </si>
  <si>
    <t>Jack Connectors</t>
  </si>
  <si>
    <t>Klinken-Steckverbinder</t>
  </si>
  <si>
    <t>http://www.distrelec.ch/en/c/cat-26236</t>
  </si>
  <si>
    <t>03_02_03_26238</t>
  </si>
  <si>
    <t>Loudspeaker Connectors</t>
  </si>
  <si>
    <t>Lautsprecher-Steckverbinder</t>
  </si>
  <si>
    <t>http://www.distrelec.ch/en/c/cat-26238</t>
  </si>
  <si>
    <t>03_02_03_272984</t>
  </si>
  <si>
    <t>Accessories for Audio / Video and Computer Connectors</t>
  </si>
  <si>
    <t>Zubehör zu Audio / Video und Computer Steckverbinder</t>
  </si>
  <si>
    <t>http://www.distrelec.ch/en/c/cat-272984</t>
  </si>
  <si>
    <t>03_02_03_676284</t>
  </si>
  <si>
    <t>Audio / Video / Computer Connectors, Tools</t>
  </si>
  <si>
    <t>Audio / Video / Computer Steckverbinder, Werkzeuge</t>
  </si>
  <si>
    <t>http://www.distrelec.ch/en/c/cat-676284</t>
  </si>
  <si>
    <t>03_02_03_DC-56153</t>
  </si>
  <si>
    <t>DC-56153</t>
  </si>
  <si>
    <t>XLR Connectors</t>
  </si>
  <si>
    <t>XLR-Steckverbinder</t>
  </si>
  <si>
    <t>http://www.distrelec.ch/en/c/cat-DC-56153</t>
  </si>
  <si>
    <t>03_02_03_DC-56158</t>
  </si>
  <si>
    <t>DC-56158</t>
  </si>
  <si>
    <t>Video Connectors</t>
  </si>
  <si>
    <t>Video-Steckverbinder</t>
  </si>
  <si>
    <t>http://www.distrelec.ch/en/c/cat-DC-56158</t>
  </si>
  <si>
    <t>03_02_03_DC-70079</t>
  </si>
  <si>
    <t>DC-70079</t>
  </si>
  <si>
    <t>Industrial Ethernet Connectors</t>
  </si>
  <si>
    <t>Steckverbinder Industrial Ethernet</t>
  </si>
  <si>
    <t>http://www.distrelec.ch/en/c/cat-DC-70079</t>
  </si>
  <si>
    <t>03_02_04</t>
  </si>
  <si>
    <t>Industrial plug connectors</t>
  </si>
  <si>
    <t>03_02_04_20661</t>
  </si>
  <si>
    <t>FFC/FPC Connectors</t>
  </si>
  <si>
    <t>FFC/FPC Steckverbinder</t>
  </si>
  <si>
    <t>http://www.distrelec.ch/en/c/cat-20661</t>
  </si>
  <si>
    <t>03_02_04_24055</t>
  </si>
  <si>
    <t>http://www.distrelec.ch/en/c/cat-24055</t>
  </si>
  <si>
    <t>03_02_04_273006</t>
  </si>
  <si>
    <t>Accessories for Industrial Connectors</t>
  </si>
  <si>
    <t>Zubehör zu Industriesteckverbinder</t>
  </si>
  <si>
    <t>http://www.distrelec.ch/en/c/cat-273006</t>
  </si>
  <si>
    <t>03_02_04_541357</t>
  </si>
  <si>
    <t>Industrial Connectors, Tools</t>
  </si>
  <si>
    <t>Industriesteckverbinder, Werkzeuge</t>
  </si>
  <si>
    <t>http://www.distrelec.ch/en/c/cat-541357</t>
  </si>
  <si>
    <t>03_02_04_541358</t>
  </si>
  <si>
    <t>Industrial Connectors, Design Kits</t>
  </si>
  <si>
    <t>Industriesteckverbinder, Design-Kits</t>
  </si>
  <si>
    <t>http://www.distrelec.ch/en/c/cat-541358</t>
  </si>
  <si>
    <t>03_02_04_554467</t>
  </si>
  <si>
    <t>Solar &amp; Battery Connectors</t>
  </si>
  <si>
    <t>Solar- &amp; Batteriesteckverbinder</t>
  </si>
  <si>
    <t>http://www.distrelec.ch/en/c/cat-554467</t>
  </si>
  <si>
    <t>03_02_04_648117</t>
  </si>
  <si>
    <t>Accessories for Industrial Connectors, Schroff</t>
  </si>
  <si>
    <t>Zubehör zu Industriesteckverbinder, Schroff</t>
  </si>
  <si>
    <t>http://www.distrelec.ch/en/c/cat-648117</t>
  </si>
  <si>
    <t>03_02_04_DC-53125</t>
  </si>
  <si>
    <t>DC-53125</t>
  </si>
  <si>
    <t>Connectors DIN 41612</t>
  </si>
  <si>
    <t>Steckverbinder DIN 41612</t>
  </si>
  <si>
    <t>http://www.distrelec.ch/en/c/cat-DC-53125</t>
  </si>
  <si>
    <t>03_02_04_DC-53126</t>
  </si>
  <si>
    <t>DC-53126</t>
  </si>
  <si>
    <t>Cable Housings to DIN 41612</t>
  </si>
  <si>
    <t>Kabelgehäuse zu DIN 41612</t>
  </si>
  <si>
    <t>http://www.distrelec.ch/en/c/cat-DC-53126</t>
  </si>
  <si>
    <t>03_02_04_DC-53127</t>
  </si>
  <si>
    <t>DC-53127</t>
  </si>
  <si>
    <t>Connectors DIN 41617, DIN 41618, DIN 41622</t>
  </si>
  <si>
    <t>Steckverbinder DIN 41617, DIN 41618, DIN 41622</t>
  </si>
  <si>
    <t>http://www.distrelec.ch/en/c/cat-DC-53127</t>
  </si>
  <si>
    <t>03_02_04_DC-53128</t>
  </si>
  <si>
    <t>DC-53128</t>
  </si>
  <si>
    <t>Multipole Connectors</t>
  </si>
  <si>
    <t>Vielfachsteckverbinder</t>
  </si>
  <si>
    <t>http://www.distrelec.ch/en/c/cat-DC-53128</t>
  </si>
  <si>
    <t>1 963</t>
  </si>
  <si>
    <t>03_02_04_DC-53129</t>
  </si>
  <si>
    <t>DC-53129</t>
  </si>
  <si>
    <t>Pin Headers and Sockets</t>
  </si>
  <si>
    <t>Stift- und Buchsenleisten</t>
  </si>
  <si>
    <t>http://www.distrelec.ch/en/c/cat-DC-53129</t>
  </si>
  <si>
    <t>1 189</t>
  </si>
  <si>
    <t>03_02_04_DC-53249</t>
  </si>
  <si>
    <t>DC-53249</t>
  </si>
  <si>
    <t>Memory Card Connectors</t>
  </si>
  <si>
    <t>Memory-Card-Steckverbinder</t>
  </si>
  <si>
    <t>http://www.distrelec.ch/en/c/cat-DC-53249</t>
  </si>
  <si>
    <t>03_02_05</t>
  </si>
  <si>
    <t>03_02_05_272962</t>
  </si>
  <si>
    <t>Accessories for PCB terminal blocks and plug systems</t>
  </si>
  <si>
    <t>Zubehör zu Printklemmen und -stecksystemen</t>
  </si>
  <si>
    <t>http://www.distrelec.ch/en/c/cat-272962</t>
  </si>
  <si>
    <t>03_02_05_DC-53130</t>
  </si>
  <si>
    <t>DC-53130</t>
  </si>
  <si>
    <t>PCB Terminal Blocks</t>
  </si>
  <si>
    <t>Printklemmen</t>
  </si>
  <si>
    <t>http://www.distrelec.ch/en/c/cat-DC-53130</t>
  </si>
  <si>
    <t>03_02_05_DC-53131</t>
  </si>
  <si>
    <t>DC-53131</t>
  </si>
  <si>
    <t>Pluggable Terminal Blocks</t>
  </si>
  <si>
    <t>Print-Steckverbinder</t>
  </si>
  <si>
    <t>http://www.distrelec.ch/en/c/cat-DC-53131</t>
  </si>
  <si>
    <t>03_02_06</t>
  </si>
  <si>
    <t>Heavy-duty Plug Connectors</t>
  </si>
  <si>
    <t>03_02_06_188798</t>
  </si>
  <si>
    <t>Connectors Han Yellock</t>
  </si>
  <si>
    <t>Steckverbinder Han Yellock</t>
  </si>
  <si>
    <t>http://www.distrelec.ch/en/c/cat-188798</t>
  </si>
  <si>
    <t>03_02_06_20451</t>
  </si>
  <si>
    <t>Heavy-duty Connectors, Amphenol</t>
  </si>
  <si>
    <t>Schwere Steckverbinder Amphenol</t>
  </si>
  <si>
    <t>http://www.distrelec.ch/en/c/cat-20451</t>
  </si>
  <si>
    <t>03_02_06_20453</t>
  </si>
  <si>
    <t>Heavy-duty Connectors, Harting Housing Size 3A</t>
  </si>
  <si>
    <t>Schwere Steckverbinder Harting Baugrösse 3A</t>
  </si>
  <si>
    <t>http://www.distrelec.ch/en/c/cat-20453</t>
  </si>
  <si>
    <t>03_02_06_20455</t>
  </si>
  <si>
    <t>Heavy-duty Connectors, Housing Size 10A/16A/6-24B</t>
  </si>
  <si>
    <t>Schwere Steckverbinder Baugrössen 10A/16A/6-24B</t>
  </si>
  <si>
    <t>http://www.distrelec.ch/en/c/cat-20455</t>
  </si>
  <si>
    <t>03_02_06_20457</t>
  </si>
  <si>
    <t>Accessories for Heavy-duty Connectors</t>
  </si>
  <si>
    <t>Zubehör für Schwere Steckverbinder</t>
  </si>
  <si>
    <t>http://www.distrelec.ch/en/c/cat-20457</t>
  </si>
  <si>
    <t>03_02_06_20459</t>
  </si>
  <si>
    <t>Connectors Han Modular</t>
  </si>
  <si>
    <t>Steckverbinder Han Modular</t>
  </si>
  <si>
    <t>http://www.distrelec.ch/en/c/cat-20459</t>
  </si>
  <si>
    <t>03_02_06_530868</t>
  </si>
  <si>
    <t>Heavy-duty Connectors, HEAVYCON EVO</t>
  </si>
  <si>
    <t>Schwere Steckverbinder HEAVYCON EVO</t>
  </si>
  <si>
    <t>http://www.distrelec.ch/en/c/cat-530868</t>
  </si>
  <si>
    <t>03_02_06_676107</t>
  </si>
  <si>
    <t>http://www.distrelec.ch/en/c/cat-676107</t>
  </si>
  <si>
    <t>03_02_06_676145</t>
  </si>
  <si>
    <t>Heavy-duty Connectors, Tools</t>
  </si>
  <si>
    <t>Schwere Steckverbinder, Werkzeuge</t>
  </si>
  <si>
    <t>http://www.distrelec.ch/en/c/cat-676145</t>
  </si>
  <si>
    <t>03_02_07</t>
  </si>
  <si>
    <t>03_02_07_20672</t>
  </si>
  <si>
    <t>DC Power Plugs and Jacks</t>
  </si>
  <si>
    <t>Hohlstecker und Fremdspannungsbuchsen</t>
  </si>
  <si>
    <t>http://www.distrelec.ch/en/c/cat-20672</t>
  </si>
  <si>
    <t>03_02_07_20674</t>
  </si>
  <si>
    <t>Industrial circular connectors, with different housing sizes</t>
  </si>
  <si>
    <t>Industrielle Rundsteckverbinder mit unterschiedlichen Gehäusegrössen</t>
  </si>
  <si>
    <t>http://www.distrelec.ch/en/c/cat-20674</t>
  </si>
  <si>
    <t>03_02_07_43388</t>
  </si>
  <si>
    <t>Accessories for Circular Connectors</t>
  </si>
  <si>
    <t>Zubehör für Rundsteckverbinder</t>
  </si>
  <si>
    <t>http://www.distrelec.ch/en/c/cat-43388</t>
  </si>
  <si>
    <t>03_02_07_578236</t>
  </si>
  <si>
    <t>Crimp Contacts</t>
  </si>
  <si>
    <t>http://www.distrelec.ch/en/c/cat-578236</t>
  </si>
  <si>
    <t>03_02_07_578296</t>
  </si>
  <si>
    <t>Circular Connectors, Tools</t>
  </si>
  <si>
    <t>Rundsteckverbinder, Werkzeuge</t>
  </si>
  <si>
    <t>http://www.distrelec.ch/en/c/cat-578296</t>
  </si>
  <si>
    <t>03_02_07_DC-53136</t>
  </si>
  <si>
    <t>DC-53136</t>
  </si>
  <si>
    <t>Subminiature and Miniature Circular Connectors</t>
  </si>
  <si>
    <t>Subminiatur- und Miniatur-Rundsteckverbinder</t>
  </si>
  <si>
    <t>http://www.distrelec.ch/en/c/cat-DC-53136</t>
  </si>
  <si>
    <t>1 077</t>
  </si>
  <si>
    <t>03_02_07_DC-53138</t>
  </si>
  <si>
    <t>DC-53138</t>
  </si>
  <si>
    <t>Industrial circular connectors</t>
  </si>
  <si>
    <t>Industrielle Rundsteckverbinder</t>
  </si>
  <si>
    <t>http://www.distrelec.ch/en/c/cat-DC-53138</t>
  </si>
  <si>
    <t>03_02_07_DC-53139</t>
  </si>
  <si>
    <t>DC-53139</t>
  </si>
  <si>
    <t>Circular plug connectors MIL</t>
  </si>
  <si>
    <t>Rundsteckverbinder nach MIL</t>
  </si>
  <si>
    <t>http://www.distrelec.ch/en/c/cat-DC-53139</t>
  </si>
  <si>
    <t>03_02_07_DC-53142</t>
  </si>
  <si>
    <t>DC-53142</t>
  </si>
  <si>
    <t>Sensor circular plug connectors</t>
  </si>
  <si>
    <t>Sensorsteckverbinder</t>
  </si>
  <si>
    <t>http://www.distrelec.ch/en/c/cat-DC-53142</t>
  </si>
  <si>
    <t>03_02_07_DC-53143</t>
  </si>
  <si>
    <t>DC-53143</t>
  </si>
  <si>
    <t>Automobile plug connector</t>
  </si>
  <si>
    <t>Kfz-Steckverbinder</t>
  </si>
  <si>
    <t>http://www.distrelec.ch/en/c/cat-DC-53143</t>
  </si>
  <si>
    <t>03_02_08</t>
  </si>
  <si>
    <t>L3D_525368</t>
  </si>
  <si>
    <t>Rectangular Connectors</t>
  </si>
  <si>
    <t>Rechtecksteckverbinder</t>
  </si>
  <si>
    <t>03_02_08_238422</t>
  </si>
  <si>
    <t>Accessories for Rectangular Connectors</t>
  </si>
  <si>
    <t>Zubehör für Rechtecksteckverbinder</t>
  </si>
  <si>
    <t>http://www.distrelec.ch/en/c/cat-238422</t>
  </si>
  <si>
    <t>03_02_08_DC-79749</t>
  </si>
  <si>
    <t>DC-79749</t>
  </si>
  <si>
    <t>Storensteckverbinder</t>
  </si>
  <si>
    <t>http://www.distrelec.ch/en/c/cat-DC-79749</t>
  </si>
  <si>
    <t>03_02_08_DC-79750</t>
  </si>
  <si>
    <t>DC-79750</t>
  </si>
  <si>
    <t>Solenoid Valve Connectors</t>
  </si>
  <si>
    <t>Ventilsteckverbinder</t>
  </si>
  <si>
    <t>http://www.distrelec.ch/en/c/cat-DC-79750</t>
  </si>
  <si>
    <t>03_02_09</t>
  </si>
  <si>
    <t>L3D_525369</t>
  </si>
  <si>
    <t>HF Connectors</t>
  </si>
  <si>
    <t>Koaxial-Steckverbinder</t>
  </si>
  <si>
    <t>03_02_09_20498</t>
  </si>
  <si>
    <t>HF-Steckverbinder</t>
  </si>
  <si>
    <t>http://www.distrelec.ch/en/c/cat-20498</t>
  </si>
  <si>
    <t>03_02_09_20500</t>
  </si>
  <si>
    <t>Accessories for HF Connectors</t>
  </si>
  <si>
    <t>Zubehör für HF-Steckverbinder</t>
  </si>
  <si>
    <t>http://www.distrelec.ch/en/c/cat-20500</t>
  </si>
  <si>
    <t>03_02_09_20502</t>
  </si>
  <si>
    <t>HF cables</t>
  </si>
  <si>
    <t>http://www.distrelec.ch/en/c/cat-20502</t>
  </si>
  <si>
    <t>does not exist</t>
  </si>
  <si>
    <t>Was deleted</t>
  </si>
  <si>
    <t>why a link to not existing category ?</t>
  </si>
  <si>
    <t>03_02_09_531709</t>
  </si>
  <si>
    <t>HF Adapters and Terminators</t>
  </si>
  <si>
    <t>HF-Adapter und Abschlüsse</t>
  </si>
  <si>
    <t>http://www.distrelec.ch/en/c/cat-531709</t>
  </si>
  <si>
    <t>03_02_09_676147</t>
  </si>
  <si>
    <t>Coaxial Connectors, Tools</t>
  </si>
  <si>
    <t>HF-Steckverbinder, Werkzeuge</t>
  </si>
  <si>
    <t>http://www.distrelec.ch/en/c/cat-676147</t>
  </si>
  <si>
    <t>03_03</t>
  </si>
  <si>
    <t>XXX</t>
  </si>
  <si>
    <t>Switches / Pushbuttons / Indicators / Knobs</t>
  </si>
  <si>
    <t>Schalter / Taster / Signalleuchten / Knöpfe</t>
  </si>
  <si>
    <t>03_03_01</t>
  </si>
  <si>
    <t>03_03_01_587677</t>
  </si>
  <si>
    <t>Accessories for Mains Power Switches</t>
  </si>
  <si>
    <t>Zubehör zu Geräteschalter</t>
  </si>
  <si>
    <t>http://www.distrelec.ch/en/c/cat-587677</t>
  </si>
  <si>
    <t>03_03_01_DC-59769</t>
  </si>
  <si>
    <t>DC-59769</t>
  </si>
  <si>
    <t>Foot-operated Switches</t>
  </si>
  <si>
    <t>Fussschalter</t>
  </si>
  <si>
    <t>http://www.distrelec.ch/en/c/cat-DC-59769</t>
  </si>
  <si>
    <t>03_03_01_DC-59770</t>
  </si>
  <si>
    <t>DC-59770</t>
  </si>
  <si>
    <t>Pull, Cord and Foot-operated In-line Switches</t>
  </si>
  <si>
    <t>Zugschalter, Schnur- und Tret-Zwischenschalter</t>
  </si>
  <si>
    <t>http://www.distrelec.ch/en/c/cat-DC-59770</t>
  </si>
  <si>
    <t>03_03_01_DC-59771</t>
  </si>
  <si>
    <t>DC-59771</t>
  </si>
  <si>
    <t>Rocker Switches</t>
  </si>
  <si>
    <t>Wippenschalter</t>
  </si>
  <si>
    <t>http://www.distrelec.ch/en/c/cat-DC-59771</t>
  </si>
  <si>
    <t>03_03_01_DC-59772</t>
  </si>
  <si>
    <t>DC-59772</t>
  </si>
  <si>
    <t>Industrial Toggle Switches</t>
  </si>
  <si>
    <t>Industrie-Kippschalter</t>
  </si>
  <si>
    <t>http://www.distrelec.ch/en/c/cat-DC-59772</t>
  </si>
  <si>
    <t>03_03_01_DC-59773</t>
  </si>
  <si>
    <t>DC-59773</t>
  </si>
  <si>
    <t>Push-button Switches</t>
  </si>
  <si>
    <t>Geräte-Druckschalter</t>
  </si>
  <si>
    <t>http://www.distrelec.ch/en/c/cat-DC-59773</t>
  </si>
  <si>
    <t>03_03_02</t>
  </si>
  <si>
    <t>Miniature Switches / PCB Keys</t>
  </si>
  <si>
    <t>03_03_02_23723</t>
  </si>
  <si>
    <t>Accessories for miniature toggle switches</t>
  </si>
  <si>
    <t>Zubehör zu Miniatur-Kippschalter</t>
  </si>
  <si>
    <t>http://www.distrelec.ch/en/c/cat-23723</t>
  </si>
  <si>
    <t>03_03_02_23725</t>
  </si>
  <si>
    <t>Accessories for miniature pushbutton/switch</t>
  </si>
  <si>
    <t>Zubehör zu Miniatur-Drucktaster/-schalter</t>
  </si>
  <si>
    <t>http://www.distrelec.ch/en/c/cat-23725</t>
  </si>
  <si>
    <t>03_03_02_638703</t>
  </si>
  <si>
    <t>Accessories for PCB switches</t>
  </si>
  <si>
    <t>Zubehör zu Printtasten</t>
  </si>
  <si>
    <t>http://www.distrelec.ch/en/c/cat-638703</t>
  </si>
  <si>
    <t>03_03_02_DC-59776</t>
  </si>
  <si>
    <t>DC-59776</t>
  </si>
  <si>
    <t>Miniature Toggle Switches</t>
  </si>
  <si>
    <t>Miniatur-Kippschalter</t>
  </si>
  <si>
    <t>http://www.distrelec.ch/en/c/cat-DC-59776</t>
  </si>
  <si>
    <t>03_03_02_DC-59777</t>
  </si>
  <si>
    <t>DC-59777</t>
  </si>
  <si>
    <t>Miniature push button</t>
  </si>
  <si>
    <t>Miniatur-Drucktaster/-schalter</t>
  </si>
  <si>
    <t>http://www.distrelec.ch/en/c/cat-DC-59777</t>
  </si>
  <si>
    <t>03_03_02_DC-59778</t>
  </si>
  <si>
    <t>DC-59778</t>
  </si>
  <si>
    <t>Slide switches</t>
  </si>
  <si>
    <t>Schiebeschalter</t>
  </si>
  <si>
    <t>http://www.distrelec.ch/en/c/cat-DC-59778</t>
  </si>
  <si>
    <t>03_03_02_DC-59779</t>
  </si>
  <si>
    <t>DC-59779</t>
  </si>
  <si>
    <t>PCB Switches</t>
  </si>
  <si>
    <t>Printtasten</t>
  </si>
  <si>
    <t>http://www.distrelec.ch/en/c/cat-DC-59779</t>
  </si>
  <si>
    <t>03_03_03</t>
  </si>
  <si>
    <t>L3D_525378</t>
  </si>
  <si>
    <t>Coding Switches / Keyboards / Joysticks</t>
  </si>
  <si>
    <t>Kodierschalter / Tastaturen / Joysticks</t>
  </si>
  <si>
    <t>03_03_03_23731</t>
  </si>
  <si>
    <t>Touch panels</t>
  </si>
  <si>
    <t>Touch Panels</t>
  </si>
  <si>
    <t>http://www.distrelec.ch/en/c/cat-23731</t>
  </si>
  <si>
    <t>03_03_03_668515</t>
  </si>
  <si>
    <t>Accessories for Coding Switches / Keyboards / Joysticks</t>
  </si>
  <si>
    <t>Zubehör zu Codierschalter / Einbautastaturen / Einbaujoysticks</t>
  </si>
  <si>
    <t>http://www.distrelec.ch/en/c/cat-668515</t>
  </si>
  <si>
    <t>03_03_03_DC-59780</t>
  </si>
  <si>
    <t>DC-59780</t>
  </si>
  <si>
    <t>DIL switch</t>
  </si>
  <si>
    <t>DIL-Schalter</t>
  </si>
  <si>
    <t>http://www.distrelec.ch/en/c/cat-DC-59780</t>
  </si>
  <si>
    <t>03_03_03_DC-59781</t>
  </si>
  <si>
    <t>DC-59781</t>
  </si>
  <si>
    <t>PCB Coding Switches</t>
  </si>
  <si>
    <t>Print-Codierschalter</t>
  </si>
  <si>
    <t>http://www.distrelec.ch/en/c/cat-DC-59781</t>
  </si>
  <si>
    <t>03_03_03_DC-59782</t>
  </si>
  <si>
    <t>DC-59782</t>
  </si>
  <si>
    <t>Flush-mounted encoding switch</t>
  </si>
  <si>
    <t>Einbau-Codierschalter</t>
  </si>
  <si>
    <t>http://www.distrelec.ch/en/c/cat-DC-59782</t>
  </si>
  <si>
    <t>03_03_03_DC-59783</t>
  </si>
  <si>
    <t>DC-59783</t>
  </si>
  <si>
    <t>Built-in Keypads</t>
  </si>
  <si>
    <t>Einbau-Tastaturen</t>
  </si>
  <si>
    <t>http://www.distrelec.ch/en/c/cat-DC-59783</t>
  </si>
  <si>
    <t>03_03_03_DC-59784</t>
  </si>
  <si>
    <t>DC-59784</t>
  </si>
  <si>
    <t>Built-in joysticks</t>
  </si>
  <si>
    <t>Einbau-Joysticks</t>
  </si>
  <si>
    <t>http://www.distrelec.ch/en/c/cat-DC-59784</t>
  </si>
  <si>
    <t>03_03_04</t>
  </si>
  <si>
    <t>L3D_525377</t>
  </si>
  <si>
    <t>Rotary Switches / Key-operated Switches / Encoders</t>
  </si>
  <si>
    <t>Drehschalter / Schlüsselschalter / Encoder</t>
  </si>
  <si>
    <t>03_03_04_238170</t>
  </si>
  <si>
    <t>Accessories for Rotary Switches</t>
  </si>
  <si>
    <t>Zubehör zu Drehschalter / Encoder</t>
  </si>
  <si>
    <t>http://www.distrelec.ch/en/c/cat-238170</t>
  </si>
  <si>
    <t>03_03_04_DC-59785</t>
  </si>
  <si>
    <t>DC-59785</t>
  </si>
  <si>
    <t>Rotary wafer switches</t>
  </si>
  <si>
    <t>Stufenschalter</t>
  </si>
  <si>
    <t>http://www.distrelec.ch/en/c/cat-DC-59785</t>
  </si>
  <si>
    <t>03_03_04_DC-59786</t>
  </si>
  <si>
    <t>DC-59786</t>
  </si>
  <si>
    <t>Encoder</t>
  </si>
  <si>
    <t>http://www.distrelec.ch/en/c/cat-DC-59786</t>
  </si>
  <si>
    <t>03_03_04_DC-59787</t>
  </si>
  <si>
    <t>DC-59787</t>
  </si>
  <si>
    <t>Rotary type and key operated switches</t>
  </si>
  <si>
    <t>Dreh- und Schlüsselschalter</t>
  </si>
  <si>
    <t>http://www.distrelec.ch/en/c/cat-DC-59787</t>
  </si>
  <si>
    <t>03_03_05</t>
  </si>
  <si>
    <t>L3D_525379</t>
  </si>
  <si>
    <t>Pushbutton Switches/ Indicator Lamps</t>
  </si>
  <si>
    <t>Einbauschalter / Signalleuchten</t>
  </si>
  <si>
    <t>03_03_05_23741</t>
  </si>
  <si>
    <t>Push-button Switches, Vandal-proof</t>
  </si>
  <si>
    <t>Einbautaster-/schalter vandalensicher</t>
  </si>
  <si>
    <t>http://www.distrelec.ch/en/c/cat-23741</t>
  </si>
  <si>
    <t>03_03_05_23743</t>
  </si>
  <si>
    <t>Indicators with LED</t>
  </si>
  <si>
    <t>Signalleuchten mit LED</t>
  </si>
  <si>
    <t>http://www.distrelec.ch/en/c/cat-23743</t>
  </si>
  <si>
    <t>03_03_05_670409</t>
  </si>
  <si>
    <t>Accessories for Push-button Switches/ Indicators</t>
  </si>
  <si>
    <t>Zubehör zu Einbautaster / Signalleuchten</t>
  </si>
  <si>
    <t>http://www.distrelec.ch/en/c/cat-670409</t>
  </si>
  <si>
    <t>03_03_05_DC-59788</t>
  </si>
  <si>
    <t>DC-59788</t>
  </si>
  <si>
    <t>Einbautaster-/schalter</t>
  </si>
  <si>
    <t>http://www.distrelec.ch/en/c/cat-DC-59788</t>
  </si>
  <si>
    <t>03_03_05_DC-59789</t>
  </si>
  <si>
    <t>DC-59789</t>
  </si>
  <si>
    <t>Indicators with Neon or Incandescent Lamps</t>
  </si>
  <si>
    <t>Signalleuchten mit Glimm- oder Glühlampe</t>
  </si>
  <si>
    <t>http://www.distrelec.ch/en/c/cat-DC-59789</t>
  </si>
  <si>
    <t>03_03_06</t>
  </si>
  <si>
    <t>L3D_525381</t>
  </si>
  <si>
    <t>Knobs</t>
  </si>
  <si>
    <t>Knöpfe</t>
  </si>
  <si>
    <t>03_03_06_164918</t>
  </si>
  <si>
    <t>Shaft Coupling</t>
  </si>
  <si>
    <t>Achskomponenten</t>
  </si>
  <si>
    <t>http://www.distrelec.ch/en/c/cat-164918</t>
  </si>
  <si>
    <t>03_03_06_23749</t>
  </si>
  <si>
    <t>Plastic rotary knobs</t>
  </si>
  <si>
    <t>Kunststoff-Drehknöpfe</t>
  </si>
  <si>
    <t>http://www.distrelec.ch/en/c/cat-23749</t>
  </si>
  <si>
    <t>03_03_06_670705</t>
  </si>
  <si>
    <t>Accessories for Knobs</t>
  </si>
  <si>
    <t>Zubehör zu Knöpfen</t>
  </si>
  <si>
    <t>http://www.distrelec.ch/en/c/cat-670705</t>
  </si>
  <si>
    <t>03_03_06_DC-59803</t>
  </si>
  <si>
    <t>DC-59803</t>
  </si>
  <si>
    <t>Instrument knobs</t>
  </si>
  <si>
    <t>Geräteknöpfe</t>
  </si>
  <si>
    <t>http://www.distrelec.ch/en/c/cat-DC-59803</t>
  </si>
  <si>
    <t>03_03_23747</t>
  </si>
  <si>
    <t>Control Switches and Indicators ‹ 22.5 mm</t>
  </si>
  <si>
    <t>Befehls- und Meldegeräte ‹ 22.5 mm</t>
  </si>
  <si>
    <t>http://www.distrelec.ch/en/c/cat-23747</t>
  </si>
  <si>
    <t>03_03_642460</t>
  </si>
  <si>
    <t>Accessories for Control Switches and Indicators ‹ 22.5 mm</t>
  </si>
  <si>
    <t>Zubehör für Befehls- und Meldegeräte ‹ 22.5 mm</t>
  </si>
  <si>
    <t>http://www.distrelec.ch/en/c/cat-642460</t>
  </si>
  <si>
    <t>03_03_668238</t>
  </si>
  <si>
    <t>Accessories for Microswitches / Snap-Action</t>
  </si>
  <si>
    <t>Zubehör zu Mikroschalter / Schnappschalter</t>
  </si>
  <si>
    <t>http://www.distrelec.ch/en/c/cat-668238</t>
  </si>
  <si>
    <t>03_03_676155</t>
  </si>
  <si>
    <t>Control Switches and Indicators ‹ 22.5 mm, Tools</t>
  </si>
  <si>
    <t>Befehls- und Meldegeräte ‹ 22.5 mm, Werkzeuge</t>
  </si>
  <si>
    <t>http://www.distrelec.ch/en/c/cat-676155</t>
  </si>
  <si>
    <t>03_03_DC-59774</t>
  </si>
  <si>
    <t>DC-59774</t>
  </si>
  <si>
    <t>Micro Switches</t>
  </si>
  <si>
    <t>Mikroschalter</t>
  </si>
  <si>
    <t>http://www.distrelec.ch/en/c/cat-DC-59774</t>
  </si>
  <si>
    <t>03_04</t>
  </si>
  <si>
    <t>PCB Boards</t>
  </si>
  <si>
    <t>03_04_01</t>
  </si>
  <si>
    <t>PCB Layout Software</t>
  </si>
  <si>
    <t>03_04_01_DC-56555</t>
  </si>
  <si>
    <t>DC-56555</t>
  </si>
  <si>
    <t>Platinenlayoutsoftware</t>
  </si>
  <si>
    <t>http://www.distrelec.ch/en/c/cat-DC-56555</t>
  </si>
  <si>
    <t>03_04_02</t>
  </si>
  <si>
    <t>Laboratory Cards / PCB Manufacturing</t>
  </si>
  <si>
    <t>03_04_02_DC-56139</t>
  </si>
  <si>
    <t>DC-56139</t>
  </si>
  <si>
    <t>Prototyping Boards</t>
  </si>
  <si>
    <t>Laborkarten</t>
  </si>
  <si>
    <t>http://www.distrelec.ch/en/c/cat-DC-56139</t>
  </si>
  <si>
    <t>03_04_02_DC-56142</t>
  </si>
  <si>
    <t>DC-56142</t>
  </si>
  <si>
    <t>Plug-in Card Blocks / Guides / Handles</t>
  </si>
  <si>
    <t>Leiterplattenzubehör</t>
  </si>
  <si>
    <t>http://www.distrelec.ch/en/c/cat-DC-56142</t>
  </si>
  <si>
    <t>03_04_02_DC-56145</t>
  </si>
  <si>
    <t>DC-56145</t>
  </si>
  <si>
    <t>PCB Production</t>
  </si>
  <si>
    <t>Leiterplattenherstellung</t>
  </si>
  <si>
    <t>http://www.distrelec.ch/en/c/cat-DC-56145</t>
  </si>
  <si>
    <t>Embedded / Wireless / Education</t>
  </si>
  <si>
    <t>04_01</t>
  </si>
  <si>
    <t>04_01_01</t>
  </si>
  <si>
    <t>L3D_525573</t>
  </si>
  <si>
    <t>Bluetooth</t>
  </si>
  <si>
    <t>04_01_01_23759</t>
  </si>
  <si>
    <t>Bluetooth aerials</t>
  </si>
  <si>
    <t>Bluetooth-Antennen</t>
  </si>
  <si>
    <t>http://www.distrelec.ch/en/c/cat-23759</t>
  </si>
  <si>
    <t>04_01_01_23761</t>
  </si>
  <si>
    <t>Bluetooth accessories</t>
  </si>
  <si>
    <t>Bluetooth-Zubehör</t>
  </si>
  <si>
    <t>http://www.distrelec.ch/en/c/cat-23761</t>
  </si>
  <si>
    <t>04_01_01_297641</t>
  </si>
  <si>
    <t>Bluetooth transceiver</t>
  </si>
  <si>
    <t>Bluetooth Transceiver</t>
  </si>
  <si>
    <t>http://www.distrelec.ch/en/c/cat-297641</t>
  </si>
  <si>
    <t>04_01_01_DC-77722</t>
  </si>
  <si>
    <t>DC-77722</t>
  </si>
  <si>
    <t>Bluetooth modules</t>
  </si>
  <si>
    <t>Bluetooth-Module</t>
  </si>
  <si>
    <t>http://www.distrelec.ch/en/c/cat-DC-77722</t>
  </si>
  <si>
    <t>04_01_02</t>
  </si>
  <si>
    <t>L3D_525574</t>
  </si>
  <si>
    <t>ZigBee</t>
  </si>
  <si>
    <t>ZigBee™</t>
  </si>
  <si>
    <t>04_01_02_247766</t>
  </si>
  <si>
    <t>ZigBee Chipset</t>
  </si>
  <si>
    <t>http://www.distrelec.ch/en/c/cat-247766</t>
  </si>
  <si>
    <t>04_01_02_DC-84794</t>
  </si>
  <si>
    <t>DC-84794</t>
  </si>
  <si>
    <t>ZigBee modules</t>
  </si>
  <si>
    <t>ZigBee-Module</t>
  </si>
  <si>
    <t>http://www.distrelec.ch/en/c/cat-DC-84794</t>
  </si>
  <si>
    <t>04_01_03</t>
  </si>
  <si>
    <t>L3D_525575</t>
  </si>
  <si>
    <t>WLAN</t>
  </si>
  <si>
    <t>04_01_03_23769</t>
  </si>
  <si>
    <t>WLAN accessories</t>
  </si>
  <si>
    <t>WLAN-Zubehör</t>
  </si>
  <si>
    <t>http://www.distrelec.ch/en/c/cat-23769</t>
  </si>
  <si>
    <t>04_01_03_66020</t>
  </si>
  <si>
    <t>WLAN Aerials</t>
  </si>
  <si>
    <t>WLAN-Antennen</t>
  </si>
  <si>
    <t>http://www.distrelec.ch/en/c/cat-66020</t>
  </si>
  <si>
    <t>04_01_03_DC-84795</t>
  </si>
  <si>
    <t>DC-84795</t>
  </si>
  <si>
    <t>WLAN modules</t>
  </si>
  <si>
    <t>WLAN-Module</t>
  </si>
  <si>
    <t>http://www.distrelec.ch/en/c/cat-DC-84795</t>
  </si>
  <si>
    <t>04_01_04</t>
  </si>
  <si>
    <t>L3D_525576</t>
  </si>
  <si>
    <t>GPS</t>
  </si>
  <si>
    <t>04_01_04_166913</t>
  </si>
  <si>
    <t>GPS aerials</t>
  </si>
  <si>
    <t>GPS-Antennen</t>
  </si>
  <si>
    <t>http://www.distrelec.ch/en/c/cat-166913</t>
  </si>
  <si>
    <t>04_01_04_23773</t>
  </si>
  <si>
    <t>GPS accessories</t>
  </si>
  <si>
    <t>GPS-Zubehör</t>
  </si>
  <si>
    <t>http://www.distrelec.ch/en/c/cat-23773</t>
  </si>
  <si>
    <t>04_01_04_DC-77723</t>
  </si>
  <si>
    <t>DC-77723</t>
  </si>
  <si>
    <t>GPS modules</t>
  </si>
  <si>
    <t>GPS-Module</t>
  </si>
  <si>
    <t>http://www.distrelec.ch/en/c/cat-DC-77723</t>
  </si>
  <si>
    <t>04_01_05</t>
  </si>
  <si>
    <t>L3D_525577</t>
  </si>
  <si>
    <t>ISM</t>
  </si>
  <si>
    <t>04_01_05_23779</t>
  </si>
  <si>
    <t>ISM radio transceiver</t>
  </si>
  <si>
    <t>ISM-Funk-Transceiver</t>
  </si>
  <si>
    <t>http://www.distrelec.ch/en/c/cat-23779</t>
  </si>
  <si>
    <t>04_01_05_23781</t>
  </si>
  <si>
    <t>ISM aerials</t>
  </si>
  <si>
    <t>ISM-Antennen</t>
  </si>
  <si>
    <t>http://www.distrelec.ch/en/c/cat-23781</t>
  </si>
  <si>
    <t>04_01_05_23783</t>
  </si>
  <si>
    <t>ISM accessories</t>
  </si>
  <si>
    <t>ISM-Zubehör</t>
  </si>
  <si>
    <t>http://www.distrelec.ch/en/c/cat-23783</t>
  </si>
  <si>
    <t>04_01_05_247749</t>
  </si>
  <si>
    <t>ISM IC</t>
  </si>
  <si>
    <t>http://www.distrelec.ch/en/c/cat-247749</t>
  </si>
  <si>
    <t>04_01_05_42780</t>
  </si>
  <si>
    <t>Aerials for 27 MHz/VHF/UHF</t>
  </si>
  <si>
    <t>Antennen für 27 MHz/VHF/UHF</t>
  </si>
  <si>
    <t>http://www.distrelec.ch/en/c/cat-42780</t>
  </si>
  <si>
    <t>04_01_05_DC-77724</t>
  </si>
  <si>
    <t>DC-77724</t>
  </si>
  <si>
    <t>ISM modules</t>
  </si>
  <si>
    <t>ISM-Module</t>
  </si>
  <si>
    <t>http://www.distrelec.ch/en/c/cat-DC-77724</t>
  </si>
  <si>
    <t>04_01_06</t>
  </si>
  <si>
    <t>L3D_525578</t>
  </si>
  <si>
    <t>GSM</t>
  </si>
  <si>
    <t>04_01_06_23787</t>
  </si>
  <si>
    <t>GSM aerials</t>
  </si>
  <si>
    <t>GSM-Antennen</t>
  </si>
  <si>
    <t>http://www.distrelec.ch/en/c/cat-23787</t>
  </si>
  <si>
    <t>04_01_06_23789</t>
  </si>
  <si>
    <t>GSM accessories</t>
  </si>
  <si>
    <t>GSM-Zubehör</t>
  </si>
  <si>
    <t>http://www.distrelec.ch/en/c/cat-23789</t>
  </si>
  <si>
    <t>04_01_06_247801</t>
  </si>
  <si>
    <t>GSM tools</t>
  </si>
  <si>
    <t>http://www.distrelec.ch/en/c/cat-247801</t>
  </si>
  <si>
    <t>04_01_06_DC-97969</t>
  </si>
  <si>
    <t>DC-97969</t>
  </si>
  <si>
    <t>GSM modules</t>
  </si>
  <si>
    <t>GSM-Module</t>
  </si>
  <si>
    <t>http://www.distrelec.ch/en/c/cat-DC-97969</t>
  </si>
  <si>
    <t>04_01_07</t>
  </si>
  <si>
    <t>L3D_525579</t>
  </si>
  <si>
    <t>RFID</t>
  </si>
  <si>
    <t>04_01_07_23793</t>
  </si>
  <si>
    <t>RFID aerials</t>
  </si>
  <si>
    <t>RFID-Antennen</t>
  </si>
  <si>
    <t>http://www.distrelec.ch/en/c/cat-23793</t>
  </si>
  <si>
    <t>04_01_07_23795</t>
  </si>
  <si>
    <t>RFID transponders</t>
  </si>
  <si>
    <t>RFID-Transponder</t>
  </si>
  <si>
    <t>http://www.distrelec.ch/en/c/cat-23795</t>
  </si>
  <si>
    <t>04_01_07_23797</t>
  </si>
  <si>
    <t>RFID accessories</t>
  </si>
  <si>
    <t>RFID-Zubehör</t>
  </si>
  <si>
    <t>http://www.distrelec.ch/en/c/cat-23797</t>
  </si>
  <si>
    <t>04_01_07_247820</t>
  </si>
  <si>
    <t>RFID IC</t>
  </si>
  <si>
    <t>http://www.distrelec.ch/en/c/cat-247820</t>
  </si>
  <si>
    <t>04_01_07_DC-86433</t>
  </si>
  <si>
    <t>DC-86433</t>
  </si>
  <si>
    <t>RFID readers</t>
  </si>
  <si>
    <t>RFID-Module</t>
  </si>
  <si>
    <t>http://www.distrelec.ch/en/c/cat-DC-86433</t>
  </si>
  <si>
    <t>04_02</t>
  </si>
  <si>
    <t>Kits / Prototyping &amp; Development Boards</t>
  </si>
  <si>
    <t>04_02_01</t>
  </si>
  <si>
    <t>L3D_525580</t>
  </si>
  <si>
    <t>Breadboards / Kits</t>
  </si>
  <si>
    <t>Experimentiersysteme / Bausätze</t>
  </si>
  <si>
    <t>04_02_01_178073</t>
  </si>
  <si>
    <t>Basic Stamp Microcontrollers</t>
  </si>
  <si>
    <t>Basic Stamp Microcontroller</t>
  </si>
  <si>
    <t>http://www.distrelec.ch/en/c/cat-178073</t>
  </si>
  <si>
    <t>04_02_01_178074</t>
  </si>
  <si>
    <t>Propeller Microcontrollers</t>
  </si>
  <si>
    <t>Propeller Microcontroller</t>
  </si>
  <si>
    <t>http://www.distrelec.ch/en/c/cat-178074</t>
  </si>
  <si>
    <t>04_02_01_178084</t>
  </si>
  <si>
    <t>Development Tools, Basic Stamp</t>
  </si>
  <si>
    <t>Entwicklungswerkzeuge, Basic Stamp</t>
  </si>
  <si>
    <t>http://www.distrelec.ch/en/c/cat-178084</t>
  </si>
  <si>
    <t>04_02_01_178085</t>
  </si>
  <si>
    <t>Development Tools, Propeller</t>
  </si>
  <si>
    <t>Entwicklungswerkzeuge, Propeller</t>
  </si>
  <si>
    <t>http://www.distrelec.ch/en/c/cat-178085</t>
  </si>
  <si>
    <t>04_02_01_DC-56147</t>
  </si>
  <si>
    <t>DC-56147</t>
  </si>
  <si>
    <t>Breadboards</t>
  </si>
  <si>
    <t>Experimentiersysteme</t>
  </si>
  <si>
    <t>http://www.distrelec.ch/en/c/cat-DC-56147</t>
  </si>
  <si>
    <t>04_02_01_DC-56148</t>
  </si>
  <si>
    <t>DC-56148</t>
  </si>
  <si>
    <t>Kits</t>
  </si>
  <si>
    <t>Bausätze</t>
  </si>
  <si>
    <t>http://www.distrelec.ch/en/c/cat-DC-56148</t>
  </si>
  <si>
    <t>04_03</t>
  </si>
  <si>
    <t>L2D_379636</t>
  </si>
  <si>
    <t>Technical- / Data Books</t>
  </si>
  <si>
    <t>Fach- und Datenbücher</t>
  </si>
  <si>
    <t>04_03_01</t>
  </si>
  <si>
    <t>L3D_525529</t>
  </si>
  <si>
    <t>Technical Books in German</t>
  </si>
  <si>
    <t>Fachbücher auf Deutsch</t>
  </si>
  <si>
    <t>04_03_01_DC-60236</t>
  </si>
  <si>
    <t>DC-60236</t>
  </si>
  <si>
    <t>Elektronik / Elektrotechnik</t>
  </si>
  <si>
    <t>http://www.distrelec.ch/en/c/cat-DC-60236</t>
  </si>
  <si>
    <t>04_03_01_DC-60237</t>
  </si>
  <si>
    <t>DC-60237</t>
  </si>
  <si>
    <t>Mikroprozessoren / PC-Technik</t>
  </si>
  <si>
    <t>http://www.distrelec.ch/en/c/cat-DC-60237</t>
  </si>
  <si>
    <t>04_03_01_DC-60238</t>
  </si>
  <si>
    <t>DC-60238</t>
  </si>
  <si>
    <t>Messen, Steuern, Regeln</t>
  </si>
  <si>
    <t>http://www.distrelec.ch/en/c/cat-DC-60238</t>
  </si>
  <si>
    <t>04_03_01_DC-60239</t>
  </si>
  <si>
    <t>DC-60239</t>
  </si>
  <si>
    <t>Kommunikation / Funk</t>
  </si>
  <si>
    <t>http://www.distrelec.ch/en/c/cat-DC-60239</t>
  </si>
  <si>
    <t>04_03_01_DC-60241</t>
  </si>
  <si>
    <t>DC-60241</t>
  </si>
  <si>
    <t>Hobby-Elektronik</t>
  </si>
  <si>
    <t>http://www.distrelec.ch/en/c/cat-DC-60241</t>
  </si>
  <si>
    <t>04_03_02</t>
  </si>
  <si>
    <t>L3D_525530</t>
  </si>
  <si>
    <t>Technical books in italian</t>
  </si>
  <si>
    <t>Fachbücher auf Italienisch</t>
  </si>
  <si>
    <t>04_03_02_DC-60242</t>
  </si>
  <si>
    <t>DC-60242</t>
  </si>
  <si>
    <t>Impianti elettrici</t>
  </si>
  <si>
    <t>http://www.distrelec.ch/en/c/cat-DC-60242</t>
  </si>
  <si>
    <t>04_03_02_DC-66837</t>
  </si>
  <si>
    <t>DC-66837</t>
  </si>
  <si>
    <t>Normativa e tabelle</t>
  </si>
  <si>
    <t>http://www.distrelec.ch/en/c/cat-DC-66837</t>
  </si>
  <si>
    <t>04_03_02_DC-66838</t>
  </si>
  <si>
    <t>DC-66838</t>
  </si>
  <si>
    <t>Tecnologia e componenti</t>
  </si>
  <si>
    <t>http://www.distrelec.ch/en/c/cat-DC-66838</t>
  </si>
  <si>
    <t>04_03_03</t>
  </si>
  <si>
    <t>L3D_525531</t>
  </si>
  <si>
    <t>Technical Books in French</t>
  </si>
  <si>
    <t>Fachbücher auf Französisch</t>
  </si>
  <si>
    <t>04_03_03_DC-70083</t>
  </si>
  <si>
    <t>DC-70083</t>
  </si>
  <si>
    <t>Documentation spécialisée, langue française</t>
  </si>
  <si>
    <t>http://www.distrelec.ch/en/c/cat-DC-70083</t>
  </si>
  <si>
    <t>04_03_03_DC-74733</t>
  </si>
  <si>
    <t>DC-74733</t>
  </si>
  <si>
    <t>Electronique / Electrotechnique</t>
  </si>
  <si>
    <t>http://www.distrelec.ch/en/c/cat-DC-74733</t>
  </si>
  <si>
    <t>04_03_03_DC-74734</t>
  </si>
  <si>
    <t>DC-74734</t>
  </si>
  <si>
    <t>Microprocesseurs / Technologie informatique</t>
  </si>
  <si>
    <t>http://www.distrelec.ch/en/c/cat-DC-74734</t>
  </si>
  <si>
    <t>04_03_04</t>
  </si>
  <si>
    <t>L3D_525532</t>
  </si>
  <si>
    <t>Technical Books in Swedish</t>
  </si>
  <si>
    <t>Fachbücher auf Schwedisch</t>
  </si>
  <si>
    <t>04_03_04_169333</t>
  </si>
  <si>
    <t>Elektronik / elektroteknik</t>
  </si>
  <si>
    <t>http://www.distrelec.ch/en/c/cat-169333</t>
  </si>
  <si>
    <t>04_03_05</t>
  </si>
  <si>
    <t>L3D_525533</t>
  </si>
  <si>
    <t>Technical Books in English</t>
  </si>
  <si>
    <t>Fachbücher auf Englisch</t>
  </si>
  <si>
    <t>04_03_05_169371</t>
  </si>
  <si>
    <t>Electronic / Electrical Engineering</t>
  </si>
  <si>
    <t>http://www.distrelec.ch/en/c/cat-169371</t>
  </si>
  <si>
    <t>04_03_DC-60243</t>
  </si>
  <si>
    <t>DC-60243</t>
  </si>
  <si>
    <t>Reference table</t>
  </si>
  <si>
    <t>Vergleichstabellen</t>
  </si>
  <si>
    <t>http://www.distrelec.ch/en/c/cat-DC-60243</t>
  </si>
  <si>
    <t>Power Supplies / Batteries / Transformers</t>
  </si>
  <si>
    <t>05_01</t>
  </si>
  <si>
    <t>05_01_01</t>
  </si>
  <si>
    <t>05_01_01_DC-56865</t>
  </si>
  <si>
    <t>DC-56865</t>
  </si>
  <si>
    <t>PCB transformers, short-circuit proof</t>
  </si>
  <si>
    <t>Leiterplattentransformatoren, kurzschlussfest</t>
  </si>
  <si>
    <t>http://www.distrelec.ch/en/c/cat-DC-56865</t>
  </si>
  <si>
    <t>05_01_01_DC-56866</t>
  </si>
  <si>
    <t>DC-56866</t>
  </si>
  <si>
    <t>PCB Transformers, Non Short-circuit Proof</t>
  </si>
  <si>
    <t>Leiterplattentransformatoren, nicht kurzschlussfest</t>
  </si>
  <si>
    <t>http://www.distrelec.ch/en/c/cat-DC-56866</t>
  </si>
  <si>
    <t>05_01_02</t>
  </si>
  <si>
    <t>Control transformers</t>
  </si>
  <si>
    <t>05_01_02_29976</t>
  </si>
  <si>
    <t>DIN rail snap-on device</t>
  </si>
  <si>
    <t>Aufschnappvorrichtung DIN-Schiene</t>
  </si>
  <si>
    <t>http://www.distrelec.ch/en/c/cat-29976</t>
  </si>
  <si>
    <t>05_01_02_DC-56868</t>
  </si>
  <si>
    <t>DC-56868</t>
  </si>
  <si>
    <t>Control transformers, single-phase</t>
  </si>
  <si>
    <t>Steuertransformatoren einphasig</t>
  </si>
  <si>
    <t>http://www.distrelec.ch/en/c/cat-DC-56868</t>
  </si>
  <si>
    <t>05_01_03</t>
  </si>
  <si>
    <t>Safety transformers</t>
  </si>
  <si>
    <t>05_01_03_43864</t>
  </si>
  <si>
    <t>http://www.distrelec.ch/en/c/cat-43864</t>
  </si>
  <si>
    <t>05_01_03_DC-56871</t>
  </si>
  <si>
    <t>DC-56871</t>
  </si>
  <si>
    <t>Lighting transformers</t>
  </si>
  <si>
    <t>Beleuchtungstransformatoren</t>
  </si>
  <si>
    <t>http://www.distrelec.ch/en/c/cat-DC-56871</t>
  </si>
  <si>
    <t>05_01_04</t>
  </si>
  <si>
    <t>05_01_04_DC-56873</t>
  </si>
  <si>
    <t>DC-56873</t>
  </si>
  <si>
    <t>Autotransformers</t>
  </si>
  <si>
    <t>Spartransformatoren</t>
  </si>
  <si>
    <t>http://www.distrelec.ch/en/c/cat-DC-56873</t>
  </si>
  <si>
    <t>05_01_04_DC-56874</t>
  </si>
  <si>
    <t>DC-56874</t>
  </si>
  <si>
    <t>Isolating transformers</t>
  </si>
  <si>
    <t>http://www.distrelec.ch/en/c/cat-DC-56874</t>
  </si>
  <si>
    <t>05_01_05</t>
  </si>
  <si>
    <t>05_01_05_30007</t>
  </si>
  <si>
    <t>Accessories for toroidal core variable transformers</t>
  </si>
  <si>
    <t>Zubehör Ringkern-Regeltransformatoren</t>
  </si>
  <si>
    <t>http://www.distrelec.ch/en/c/cat-30007</t>
  </si>
  <si>
    <t>05_01_05_DC-56875</t>
  </si>
  <si>
    <t>DC-56875</t>
  </si>
  <si>
    <t>Toroidal core variable transformers</t>
  </si>
  <si>
    <t>Ringkern-Regeltransformatoren</t>
  </si>
  <si>
    <t>http://www.distrelec.ch/en/c/cat-DC-56875</t>
  </si>
  <si>
    <t>05_01_161196</t>
  </si>
  <si>
    <t>Transformers for Noise Protection</t>
  </si>
  <si>
    <t>http://www.distrelec.ch/en/c/cat-161196</t>
  </si>
  <si>
    <t>05_01_DC-56867</t>
  </si>
  <si>
    <t>DC-56867</t>
  </si>
  <si>
    <t>Open-frame Transformers</t>
  </si>
  <si>
    <t>Transformatoren offen</t>
  </si>
  <si>
    <t>http://www.distrelec.ch/en/c/cat-DC-56867</t>
  </si>
  <si>
    <t>05_01_DC-56870</t>
  </si>
  <si>
    <t>DC-56870</t>
  </si>
  <si>
    <t>Ring Core Transformers incl. Assembly Set</t>
  </si>
  <si>
    <t>Ringkerntransformatoren inklusive Montageset</t>
  </si>
  <si>
    <t>http://www.distrelec.ch/en/c/cat-DC-56870</t>
  </si>
  <si>
    <t>05_01_DC-56876</t>
  </si>
  <si>
    <t>DC-56876</t>
  </si>
  <si>
    <t>Magnetic voltage stabiliser</t>
  </si>
  <si>
    <t>Magnetische Spannungskonstanthalter</t>
  </si>
  <si>
    <t>http://www.distrelec.ch/en/c/cat-DC-56876</t>
  </si>
  <si>
    <t>05_02</t>
  </si>
  <si>
    <t>Batteries / Rechargeable Batteries / Chargers / Solar &amp; Wind Energy</t>
  </si>
  <si>
    <t>05_02_01</t>
  </si>
  <si>
    <t>Batteries</t>
  </si>
  <si>
    <t>05_02_01_14495</t>
  </si>
  <si>
    <t>Standard Batteries</t>
  </si>
  <si>
    <t>http://www.distrelec.ch/en/c/cat-14495</t>
  </si>
  <si>
    <t>05_02_01_14529</t>
  </si>
  <si>
    <t>Hearing Aid Batteries</t>
  </si>
  <si>
    <t>Hörgerätebatterien</t>
  </si>
  <si>
    <t>http://www.distrelec.ch/en/c/cat-14529</t>
  </si>
  <si>
    <t>05_02_01_14665</t>
  </si>
  <si>
    <t>Lithium Batteries, Cylindrical Cells and Packs</t>
  </si>
  <si>
    <t>Lithium-Batterien, Rundzellen und Packs</t>
  </si>
  <si>
    <t>http://www.distrelec.ch/en/c/cat-14665</t>
  </si>
  <si>
    <t>05_02_01_15493</t>
  </si>
  <si>
    <t>Button cell batteries</t>
  </si>
  <si>
    <t>Knopfzellen-Batterien</t>
  </si>
  <si>
    <t>http://www.distrelec.ch/en/c/cat-15493</t>
  </si>
  <si>
    <t>05_02_01_15495</t>
  </si>
  <si>
    <t>Button cell batteries for PCB assembly</t>
  </si>
  <si>
    <t>Knopfzellen-Batterien für Printmontage</t>
  </si>
  <si>
    <t>http://www.distrelec.ch/en/c/cat-15495</t>
  </si>
  <si>
    <t>05_02_01_186861</t>
  </si>
  <si>
    <t>Photo Batteries</t>
  </si>
  <si>
    <t>Fotobatterien</t>
  </si>
  <si>
    <t>http://www.distrelec.ch/en/c/cat-186861</t>
  </si>
  <si>
    <t>05_02_01_44866</t>
  </si>
  <si>
    <t>Special batteries</t>
  </si>
  <si>
    <t>Spezialbatterien</t>
  </si>
  <si>
    <t>http://www.distrelec.ch/en/c/cat-44866</t>
  </si>
  <si>
    <t>05_02_02</t>
  </si>
  <si>
    <t>05_02_02_15669</t>
  </si>
  <si>
    <t>NiMH Rechargeable Batteries</t>
  </si>
  <si>
    <t>NiMH-Akkumulatoren</t>
  </si>
  <si>
    <t>http://www.distrelec.ch/en/c/cat-15669</t>
  </si>
  <si>
    <t>05_02_02_15671</t>
  </si>
  <si>
    <t>Rechargeable Battery Packs, NiMH</t>
  </si>
  <si>
    <t>Akkupacks, NiMH</t>
  </si>
  <si>
    <t>http://www.distrelec.ch/en/c/cat-15671</t>
  </si>
  <si>
    <t>05_02_02_15673</t>
  </si>
  <si>
    <t>Rechargeable Battery Packs, Button Cells, NiMH</t>
  </si>
  <si>
    <t>Knopfzellen-Akkupacks, NiMH</t>
  </si>
  <si>
    <t>http://www.distrelec.ch/en/c/cat-15673</t>
  </si>
  <si>
    <t>05_02_02_15674</t>
  </si>
  <si>
    <t>Lithium Rechargeable Batteries</t>
  </si>
  <si>
    <t>Lithium-Akkumulatoren</t>
  </si>
  <si>
    <t>http://www.distrelec.ch/en/c/cat-15674</t>
  </si>
  <si>
    <t>05_02_02_15675</t>
  </si>
  <si>
    <t>Lithium Rechargeable Battery Packs</t>
  </si>
  <si>
    <t>Lithium Akkupacks</t>
  </si>
  <si>
    <t>http://www.distrelec.ch/en/c/cat-15675</t>
  </si>
  <si>
    <t>05_02_02_15676</t>
  </si>
  <si>
    <t>NiMH Spare Rechargeable Batteries Telephone/Video</t>
  </si>
  <si>
    <t>NiMH-Austauschakkus Telefon/Video</t>
  </si>
  <si>
    <t>http://www.distrelec.ch/en/c/cat-15676</t>
  </si>
  <si>
    <t>05_02_02_15677</t>
  </si>
  <si>
    <t>NiCd Rechargeable Batteries</t>
  </si>
  <si>
    <t>NiCd-Akkumulatoren</t>
  </si>
  <si>
    <t>http://www.distrelec.ch/en/c/cat-15677</t>
  </si>
  <si>
    <t>05_02_02_15678</t>
  </si>
  <si>
    <t>Lead-acid Rechargeable Batteries</t>
  </si>
  <si>
    <t>Bleiakkumulatoren</t>
  </si>
  <si>
    <t>http://www.distrelec.ch/en/c/cat-15678</t>
  </si>
  <si>
    <t>05_02_02_442141</t>
  </si>
  <si>
    <t>NiZn Rechargeable Batteries</t>
  </si>
  <si>
    <t>NiZn-Akkumulatoren</t>
  </si>
  <si>
    <t>http://www.distrelec.ch/en/c/cat-442141</t>
  </si>
  <si>
    <t>05_02_03</t>
  </si>
  <si>
    <t>Accessories for Batteries / Rechargeable Batteries</t>
  </si>
  <si>
    <t>05_02_03_16198</t>
  </si>
  <si>
    <t>Batterie- / Akku-Zubehör</t>
  </si>
  <si>
    <t>http://www.distrelec.ch/en/c/cat-16198</t>
  </si>
  <si>
    <t>05_02_03_28574</t>
  </si>
  <si>
    <t>Battery soldering lugs</t>
  </si>
  <si>
    <t>Batterielötfahnen</t>
  </si>
  <si>
    <t>http://www.distrelec.ch/en/c/cat-28574</t>
  </si>
  <si>
    <t>05_02_03_28576</t>
  </si>
  <si>
    <t>Battery holder</t>
  </si>
  <si>
    <t>Batteriehalter</t>
  </si>
  <si>
    <t>http://www.distrelec.ch/en/c/cat-28576</t>
  </si>
  <si>
    <t>05_02_03_28699</t>
  </si>
  <si>
    <t>Battery tester</t>
  </si>
  <si>
    <t>Batterietester</t>
  </si>
  <si>
    <t>http://www.distrelec.ch/en/c/cat-28699</t>
  </si>
  <si>
    <t>05_02_04</t>
  </si>
  <si>
    <t>05_02_04_16243</t>
  </si>
  <si>
    <t>Chargers, Li-Polymer/Li-ion</t>
  </si>
  <si>
    <t>Ladegeräte Li-Polymer/Li-Ion</t>
  </si>
  <si>
    <t>http://www.distrelec.ch/en/c/cat-16243</t>
  </si>
  <si>
    <t>05_02_04_DC-56942</t>
  </si>
  <si>
    <t>DC-56942</t>
  </si>
  <si>
    <t>Chargers NiMH / NiCd / NiZn</t>
  </si>
  <si>
    <t>Ladegeräte NiMH / NiCd / NiZn</t>
  </si>
  <si>
    <t>http://www.distrelec.ch/en/c/cat-DC-56942</t>
  </si>
  <si>
    <t>05_02_04_DC-56943</t>
  </si>
  <si>
    <t>DC-56943</t>
  </si>
  <si>
    <t>Chargers, Lead-acid</t>
  </si>
  <si>
    <t>Ladegeräte Blei</t>
  </si>
  <si>
    <t>http://www.distrelec.ch/en/c/cat-DC-56943</t>
  </si>
  <si>
    <t>05_02_05</t>
  </si>
  <si>
    <t>Solar &amp; Wind Energy</t>
  </si>
  <si>
    <t>05_02_05_DC-56944</t>
  </si>
  <si>
    <t>DC-56944</t>
  </si>
  <si>
    <t>Solar cells</t>
  </si>
  <si>
    <t>Solarzellen</t>
  </si>
  <si>
    <t>http://www.distrelec.ch/en/c/cat-DC-56944</t>
  </si>
  <si>
    <t>05_02_05_DC-56946</t>
  </si>
  <si>
    <t>DC-56946</t>
  </si>
  <si>
    <t>Akkumulatoren</t>
  </si>
  <si>
    <t>http://www.distrelec.ch/en/c/cat-DC-56946</t>
  </si>
  <si>
    <t>05_02_05_DC-56947</t>
  </si>
  <si>
    <t>DC-56947</t>
  </si>
  <si>
    <t>Inverter</t>
  </si>
  <si>
    <t>Wechselrichter</t>
  </si>
  <si>
    <t>http://www.distrelec.ch/en/c/cat-DC-56947</t>
  </si>
  <si>
    <t>05_02_05_DC-74803</t>
  </si>
  <si>
    <t>DC-74803</t>
  </si>
  <si>
    <t>Energy saving lamps for solar technology</t>
  </si>
  <si>
    <t>Energiesparlampen für Solartechnik</t>
  </si>
  <si>
    <t>http://www.distrelec.ch/en/c/cat-DC-74803</t>
  </si>
  <si>
    <t>05_02_05_DC-96142</t>
  </si>
  <si>
    <t>DC-96142</t>
  </si>
  <si>
    <t>Charge Controllers</t>
  </si>
  <si>
    <t>Laderegler</t>
  </si>
  <si>
    <t>http://www.distrelec.ch/en/c/cat-DC-96142</t>
  </si>
  <si>
    <t>05_02_05_DC-96158</t>
  </si>
  <si>
    <t>DC-96158</t>
  </si>
  <si>
    <t>http://www.distrelec.ch/en/c/cat-DC-96158</t>
  </si>
  <si>
    <t>05_02_05_DC-96165</t>
  </si>
  <si>
    <t>DC-96165</t>
  </si>
  <si>
    <t>Solar Power Systems</t>
  </si>
  <si>
    <t>Solar-Inselsysteme</t>
  </si>
  <si>
    <t>http://www.distrelec.ch/en/c/cat-DC-96165</t>
  </si>
  <si>
    <t>05_03</t>
  </si>
  <si>
    <t>Power Supplies</t>
  </si>
  <si>
    <t>05_03_01</t>
  </si>
  <si>
    <t>05_03_01_170866</t>
  </si>
  <si>
    <t>DC/DC Converters, Stand-alone</t>
  </si>
  <si>
    <t>DC/DC-Wandler, freistehend</t>
  </si>
  <si>
    <t>http://www.distrelec.ch/en/c/cat-170866</t>
  </si>
  <si>
    <t>05_03_01_573072</t>
  </si>
  <si>
    <t>19'' DC/DC Power supply modules</t>
  </si>
  <si>
    <t>19" DC/DC-Wandler mit galvanischer Trennung für Leiterplattenmontage</t>
  </si>
  <si>
    <t>http://www.distrelec.ch/en/c/cat-573072</t>
  </si>
  <si>
    <t>05_03_01_DC-56694</t>
  </si>
  <si>
    <t>DC-56694</t>
  </si>
  <si>
    <t>DC/DC converter with galvanic isolation PCB assembly</t>
  </si>
  <si>
    <t>DC/DC-Wandler mit galvanischer Trennung für Leiterplattenmontage</t>
  </si>
  <si>
    <t>http://www.distrelec.ch/en/c/cat-DC-56694</t>
  </si>
  <si>
    <t>05_03_01_DC-56695</t>
  </si>
  <si>
    <t>DC-56695</t>
  </si>
  <si>
    <t>DC/DC Converters without Galvanic Isolation</t>
  </si>
  <si>
    <t>Schaltregler ohne galvanische Trennung</t>
  </si>
  <si>
    <t>http://www.distrelec.ch/en/c/cat-DC-56695</t>
  </si>
  <si>
    <t>05_03_02</t>
  </si>
  <si>
    <t>AC/DC Converters</t>
  </si>
  <si>
    <t>05_03_02_19881</t>
  </si>
  <si>
    <t>Buffer modules</t>
  </si>
  <si>
    <t>Puffermodule</t>
  </si>
  <si>
    <t>http://www.distrelec.ch/en/c/cat-19881</t>
  </si>
  <si>
    <t>05_03_02_19883</t>
  </si>
  <si>
    <t>Uncoupling modules</t>
  </si>
  <si>
    <t>Entkopplungsmodule</t>
  </si>
  <si>
    <t>http://www.distrelec.ch/en/c/cat-19883</t>
  </si>
  <si>
    <t>05_03_02_19885</t>
  </si>
  <si>
    <t>Diagnosis modules</t>
  </si>
  <si>
    <t>Diagnosemodule</t>
  </si>
  <si>
    <t>http://www.distrelec.ch/en/c/cat-19885</t>
  </si>
  <si>
    <t>05_03_02_19887</t>
  </si>
  <si>
    <t>Uninterruptible power supplies</t>
  </si>
  <si>
    <t>Unterbrechungsfreie Stromversorgungen</t>
  </si>
  <si>
    <t>http://www.distrelec.ch/en/c/cat-19887</t>
  </si>
  <si>
    <t>05_03_02_19889</t>
  </si>
  <si>
    <t>Accessories for AC/DC converter</t>
  </si>
  <si>
    <t>Zubehör für AC/DC-Wandler</t>
  </si>
  <si>
    <t>http://www.distrelec.ch/en/c/cat-19889</t>
  </si>
  <si>
    <t>05_03_02_DC-56697</t>
  </si>
  <si>
    <t>DC-56697</t>
  </si>
  <si>
    <t>Switching power supplies, cast</t>
  </si>
  <si>
    <t>Schaltnetzteile, vergossen</t>
  </si>
  <si>
    <t>http://www.distrelec.ch/en/c/cat-DC-56697</t>
  </si>
  <si>
    <t>05_03_02_DC-56698</t>
  </si>
  <si>
    <t>DC-56698</t>
  </si>
  <si>
    <t>Switched-mode Power Supplies, Open-frame and Enclosed</t>
  </si>
  <si>
    <t>Schaltnetzteile, open frame und mit Gehäuse</t>
  </si>
  <si>
    <t>http://www.distrelec.ch/en/c/cat-DC-56698</t>
  </si>
  <si>
    <t>05_03_02_DC-56699</t>
  </si>
  <si>
    <t>DC-56699</t>
  </si>
  <si>
    <t>19" Switched-mode Power Supply Modules</t>
  </si>
  <si>
    <t>19''- Schaltnetzteilmodule</t>
  </si>
  <si>
    <t>http://www.distrelec.ch/en/c/cat-DC-56699</t>
  </si>
  <si>
    <t>05_03_02_DC-56700</t>
  </si>
  <si>
    <t>DC-56700</t>
  </si>
  <si>
    <t>Linear DC power supply, open frame and cast</t>
  </si>
  <si>
    <t>Lineare Gleichstromversorgungen, open frame und vergossen</t>
  </si>
  <si>
    <t>http://www.distrelec.ch/en/c/cat-DC-56700</t>
  </si>
  <si>
    <t>05_03_02_DC-56701</t>
  </si>
  <si>
    <t>DC-56701</t>
  </si>
  <si>
    <t>Industrial DC power supply, conventional</t>
  </si>
  <si>
    <t>Industrielle Gleichstromversorgungen, konventionell</t>
  </si>
  <si>
    <t>http://www.distrelec.ch/en/c/cat-DC-56701</t>
  </si>
  <si>
    <t>05_03_02_DC-56702</t>
  </si>
  <si>
    <t>DC-56702</t>
  </si>
  <si>
    <t>Industrial DC Power Supplies, Switched Mode, DIN Rail Mounting</t>
  </si>
  <si>
    <t>Industrielle Gleichstromversorgungen, getaktet, für Hutschienenmontage</t>
  </si>
  <si>
    <t>http://www.distrelec.ch/en/c/cat-DC-56702</t>
  </si>
  <si>
    <t>05_03_DC-66896</t>
  </si>
  <si>
    <t>DC-66896</t>
  </si>
  <si>
    <t>Electronic loads</t>
  </si>
  <si>
    <t>Elektronische Lasten</t>
  </si>
  <si>
    <t>http://www.distrelec.ch/en/c/cat-DC-66896</t>
  </si>
  <si>
    <t>05_04</t>
  </si>
  <si>
    <t>Laboratory Power Supplies / Plug-in Power Supplies / DC/AC Converters</t>
  </si>
  <si>
    <t>05_04_01</t>
  </si>
  <si>
    <t>05_04_01_170085</t>
  </si>
  <si>
    <t>Laboratory Power Supply, Accessories</t>
  </si>
  <si>
    <t>Labornetzgeräte, Zubehör</t>
  </si>
  <si>
    <t>http://www.distrelec.ch/en/c/cat-170085</t>
  </si>
  <si>
    <t>05_04_01_338964</t>
  </si>
  <si>
    <t>Source Measurement Units</t>
  </si>
  <si>
    <t>Quellmessgeräte</t>
  </si>
  <si>
    <t>http://www.distrelec.ch/en/c/cat-338964</t>
  </si>
  <si>
    <t>05_04_01_DC-59606</t>
  </si>
  <si>
    <t>DC-59606</t>
  </si>
  <si>
    <t>Labornetzgeräte</t>
  </si>
  <si>
    <t>http://www.distrelec.ch/en/c/cat-DC-59606</t>
  </si>
  <si>
    <t>05_04_25879</t>
  </si>
  <si>
    <t>Inverters</t>
  </si>
  <si>
    <t>http://www.distrelec.ch/en/c/cat-25879</t>
  </si>
  <si>
    <t>05_04_25889</t>
  </si>
  <si>
    <t>AC/DC Plug-in Power Supplies</t>
  </si>
  <si>
    <t>AC/DC-Steckernetzgeräte</t>
  </si>
  <si>
    <t>http://www.distrelec.ch/en/c/cat-25889</t>
  </si>
  <si>
    <t>05_04_25893</t>
  </si>
  <si>
    <t>Power Supply, USB</t>
  </si>
  <si>
    <t>Stromversorgung, USB</t>
  </si>
  <si>
    <t>http://www.distrelec.ch/en/c/cat-25893</t>
  </si>
  <si>
    <t>05_04_25897</t>
  </si>
  <si>
    <t>Fixed-voltage Power Supplies</t>
  </si>
  <si>
    <t>Festspannungsnetzgeräte</t>
  </si>
  <si>
    <t>http://www.distrelec.ch/en/c/cat-25897</t>
  </si>
  <si>
    <t>05_04_25907</t>
  </si>
  <si>
    <t>Isolating Transformer</t>
  </si>
  <si>
    <t>Wechselstromnetzgeräte</t>
  </si>
  <si>
    <t>http://www.distrelec.ch/en/c/cat-25907</t>
  </si>
  <si>
    <t>05_04_DC-59656</t>
  </si>
  <si>
    <t>DC-59656</t>
  </si>
  <si>
    <t>http://www.distrelec.ch/en/c/cat-DC-59656</t>
  </si>
  <si>
    <t>Test &amp; Measurement</t>
  </si>
  <si>
    <t>06_01</t>
  </si>
  <si>
    <t>Measuring Leads / Laboratory Plug Connectors</t>
  </si>
  <si>
    <t>06_01_207461</t>
  </si>
  <si>
    <t>Laboratory cables</t>
  </si>
  <si>
    <t>Laborkabel</t>
  </si>
  <si>
    <t>http://www.distrelec.ch/en/c/cat-207461</t>
  </si>
  <si>
    <t>06_01_217352</t>
  </si>
  <si>
    <t>Laboratory Plugs</t>
  </si>
  <si>
    <t>Laborstecker</t>
  </si>
  <si>
    <t>http://www.distrelec.ch/en/c/cat-217352</t>
  </si>
  <si>
    <t>06_01_217354</t>
  </si>
  <si>
    <t>Laboratory Sockets</t>
  </si>
  <si>
    <t>Laborbuchsen</t>
  </si>
  <si>
    <t>http://www.distrelec.ch/en/c/cat-217354</t>
  </si>
  <si>
    <t>06_01_217355</t>
  </si>
  <si>
    <t>Pins, Hooks and Clips</t>
  </si>
  <si>
    <t>Prüfspitzen, Krokodilklemmen und Klemmprüfspitzen</t>
  </si>
  <si>
    <t>http://www.distrelec.ch/en/c/cat-217355</t>
  </si>
  <si>
    <t>06_01_24051</t>
  </si>
  <si>
    <t>Laboratory plug connectors</t>
  </si>
  <si>
    <t>http://www.distrelec.ch/en/c/cat-24051</t>
  </si>
  <si>
    <t>06_01_24053</t>
  </si>
  <si>
    <t>Test Lead Holders</t>
  </si>
  <si>
    <t>Laborkabelhalter</t>
  </si>
  <si>
    <t>http://www.distrelec.ch/en/c/cat-24053</t>
  </si>
  <si>
    <t>06_01_389470</t>
  </si>
  <si>
    <t>Spring contacts</t>
  </si>
  <si>
    <t>Federkontakte</t>
  </si>
  <si>
    <t>http://www.distrelec.ch/en/c/cat-389470</t>
  </si>
  <si>
    <t>06_01_472007</t>
  </si>
  <si>
    <t>Test Leads</t>
  </si>
  <si>
    <t>Messleitungen</t>
  </si>
  <si>
    <t>http://www.distrelec.ch/en/c/cat-472007</t>
  </si>
  <si>
    <t>06_01_514138</t>
  </si>
  <si>
    <t>Binding Posts</t>
  </si>
  <si>
    <t>Polklemmen</t>
  </si>
  <si>
    <t>http://www.distrelec.ch/en/c/cat-514138</t>
  </si>
  <si>
    <t>06_02</t>
  </si>
  <si>
    <t>Multimeters / Current Clamp Meters</t>
  </si>
  <si>
    <t>06_02_01</t>
  </si>
  <si>
    <t>L3D_525582</t>
  </si>
  <si>
    <t>Multimeters</t>
  </si>
  <si>
    <t>Multimeter</t>
  </si>
  <si>
    <t>06_02_01_15883</t>
  </si>
  <si>
    <t>Multimeters Handheld, Digital</t>
  </si>
  <si>
    <t>Multimeter, digital</t>
  </si>
  <si>
    <t>http://www.distrelec.ch/en/c/cat-15883</t>
  </si>
  <si>
    <t>06_02_01_DC-59620</t>
  </si>
  <si>
    <t>DC-59620</t>
  </si>
  <si>
    <t>Multimeters Handheld, Analogue</t>
  </si>
  <si>
    <t>Multimeter, analog</t>
  </si>
  <si>
    <t>http://www.distrelec.ch/en/c/cat-DC-59620</t>
  </si>
  <si>
    <t>06_02_01_DC-59621</t>
  </si>
  <si>
    <t>DC-59621</t>
  </si>
  <si>
    <t>Modular measuring systems, Hameg</t>
  </si>
  <si>
    <t>Modulare Messsysteme, Hameg</t>
  </si>
  <si>
    <t>http://www.distrelec.ch/en/c/cat-DC-59621</t>
  </si>
  <si>
    <t>06_02_01_DC-62546</t>
  </si>
  <si>
    <t>DC-62546</t>
  </si>
  <si>
    <t>Multimeters, Benchtop</t>
  </si>
  <si>
    <t>Tischmultimeter</t>
  </si>
  <si>
    <t>http://www.distrelec.ch/en/c/cat-DC-62546</t>
  </si>
  <si>
    <t>06_02_01_DC-62547</t>
  </si>
  <si>
    <t>DC-62547</t>
  </si>
  <si>
    <t>Multimeters, Kits</t>
  </si>
  <si>
    <t>Messgeräte-Sets</t>
  </si>
  <si>
    <t>http://www.distrelec.ch/en/c/cat-DC-62547</t>
  </si>
  <si>
    <t>06_02_02</t>
  </si>
  <si>
    <t>L3D_525583</t>
  </si>
  <si>
    <t>Current Clamp Meters</t>
  </si>
  <si>
    <t>Stromzangen</t>
  </si>
  <si>
    <t>06_02_02_28158</t>
  </si>
  <si>
    <t>mA Process Clamp Meters</t>
  </si>
  <si>
    <t>mA-Prozess-Stromzangen</t>
  </si>
  <si>
    <t>http://www.distrelec.ch/en/c/cat-28158</t>
  </si>
  <si>
    <t>06_02_02_28160</t>
  </si>
  <si>
    <t>Zangen-Multimeter</t>
  </si>
  <si>
    <t>http://www.distrelec.ch/en/c/cat-28160</t>
  </si>
  <si>
    <t>06_02_02_28162</t>
  </si>
  <si>
    <t>Power Clamp Meters</t>
  </si>
  <si>
    <t>Leistungsmesszangen</t>
  </si>
  <si>
    <t>http://www.distrelec.ch/en/c/cat-28162</t>
  </si>
  <si>
    <t>06_02_02_28164</t>
  </si>
  <si>
    <t>Power Quality Clamp Meters</t>
  </si>
  <si>
    <t>Netzqualitätsmesszangen</t>
  </si>
  <si>
    <t>http://www.distrelec.ch/en/c/cat-28164</t>
  </si>
  <si>
    <t>06_02_02_28166</t>
  </si>
  <si>
    <t>Split core-type transformers</t>
  </si>
  <si>
    <t>Zangen-Stromwandler</t>
  </si>
  <si>
    <t>http://www.distrelec.ch/en/c/cat-28166</t>
  </si>
  <si>
    <t>06_02_02_29360</t>
  </si>
  <si>
    <t>Current Clamp Adapter</t>
  </si>
  <si>
    <t>Stromzangen-Adapter</t>
  </si>
  <si>
    <t>http://www.distrelec.ch/en/c/cat-29360</t>
  </si>
  <si>
    <t>06_02_02_DC-74836</t>
  </si>
  <si>
    <t>DC-74836</t>
  </si>
  <si>
    <t>Leakage Current Clamp Meters</t>
  </si>
  <si>
    <t>Leckstromzangen</t>
  </si>
  <si>
    <t>http://www.distrelec.ch/en/c/cat-DC-74836</t>
  </si>
  <si>
    <t>06_02_02_DC-95576</t>
  </si>
  <si>
    <t>DC-95576</t>
  </si>
  <si>
    <t>Earth Clamp Meters</t>
  </si>
  <si>
    <t>Erdungsprüfzangen</t>
  </si>
  <si>
    <t>http://www.distrelec.ch/en/c/cat-DC-95576</t>
  </si>
  <si>
    <t>06_02_03</t>
  </si>
  <si>
    <t>L3D_525584</t>
  </si>
  <si>
    <t>Accessories Multimeters / Current Clamps</t>
  </si>
  <si>
    <t>Zubehör für Multimeter und Stromzangen</t>
  </si>
  <si>
    <t>06_02_03_217971</t>
  </si>
  <si>
    <t>Accessories, Keysight</t>
  </si>
  <si>
    <t>Zubehör, Keysight</t>
  </si>
  <si>
    <t>http://www.distrelec.ch/en/c/cat-217971</t>
  </si>
  <si>
    <t>06_02_03_246448</t>
  </si>
  <si>
    <t>Batteries / Charger</t>
  </si>
  <si>
    <t>Batterien / Ladegeräte</t>
  </si>
  <si>
    <t>http://www.distrelec.ch/en/c/cat-246448</t>
  </si>
  <si>
    <t>06_02_03_246460</t>
  </si>
  <si>
    <t>Holster / Carrying Case / Hard Case</t>
  </si>
  <si>
    <t>Holster / Taschen / Koffer</t>
  </si>
  <si>
    <t>http://www.distrelec.ch/en/c/cat-246460</t>
  </si>
  <si>
    <t>06_02_03_246462</t>
  </si>
  <si>
    <t>Crocodile Clips</t>
  </si>
  <si>
    <t>http://www.distrelec.ch/en/c/cat-246462</t>
  </si>
  <si>
    <t>06_02_03_246464</t>
  </si>
  <si>
    <t>Test Leads / Probes</t>
  </si>
  <si>
    <t>Messleitungen / Messspitzen</t>
  </si>
  <si>
    <t>http://www.distrelec.ch/en/c/cat-246464</t>
  </si>
  <si>
    <t>06_02_03_246468</t>
  </si>
  <si>
    <t>http://www.distrelec.ch/en/c/cat-246468</t>
  </si>
  <si>
    <t>06_02_03_246470</t>
  </si>
  <si>
    <t>Software / Cables</t>
  </si>
  <si>
    <t>Software / Kabel</t>
  </si>
  <si>
    <t>http://www.distrelec.ch/en/c/cat-246470</t>
  </si>
  <si>
    <t>06_02_03_246474</t>
  </si>
  <si>
    <t>Temperature Probes</t>
  </si>
  <si>
    <t>Temperaturfühler</t>
  </si>
  <si>
    <t>http://www.distrelec.ch/en/c/cat-246474</t>
  </si>
  <si>
    <t>06_02_03_331206</t>
  </si>
  <si>
    <t>Accessories, Keithley</t>
  </si>
  <si>
    <t>Zubehör, Keithley</t>
  </si>
  <si>
    <t>http://www.distrelec.ch/en/c/cat-331206</t>
  </si>
  <si>
    <t>06_02_03_DC-59617</t>
  </si>
  <si>
    <t>DC-59617</t>
  </si>
  <si>
    <t>General Purpose Accessories</t>
  </si>
  <si>
    <t>Zubehör allgemein</t>
  </si>
  <si>
    <t>http://www.distrelec.ch/en/c/cat-DC-59617</t>
  </si>
  <si>
    <t>06_03</t>
  </si>
  <si>
    <t>L3D_525585</t>
  </si>
  <si>
    <t>Temperature and Environmental Monitoring</t>
  </si>
  <si>
    <t>Messgeräte für Temperatur- und Umgebungsüberwachungssysteme</t>
  </si>
  <si>
    <t>06_03_277172</t>
  </si>
  <si>
    <t>Moisture measurement devices</t>
  </si>
  <si>
    <t>Feuchtemessgeräte</t>
  </si>
  <si>
    <t>http://www.distrelec.ch/en/c/cat-277172</t>
  </si>
  <si>
    <t>06_03_29370</t>
  </si>
  <si>
    <t>Thermo &amp; Hygrometer accessory</t>
  </si>
  <si>
    <t>Zubehör Thermo-Hygrometer</t>
  </si>
  <si>
    <t>http://www.distrelec.ch/en/c/cat-29370</t>
  </si>
  <si>
    <t>06_03_29387</t>
  </si>
  <si>
    <t>Thermal Imaging Cameras</t>
  </si>
  <si>
    <t>Wärmebildkameras</t>
  </si>
  <si>
    <t>http://www.distrelec.ch/en/c/cat-29387</t>
  </si>
  <si>
    <t>06_03_304376</t>
  </si>
  <si>
    <t>Moisture measurement accessories</t>
  </si>
  <si>
    <t>Zubehör Feuchtemessgeräte</t>
  </si>
  <si>
    <t>http://www.distrelec.ch/en/c/cat-304376</t>
  </si>
  <si>
    <t>06_03_44870</t>
  </si>
  <si>
    <t>O₂ measuring devices</t>
  </si>
  <si>
    <t>O₂-Messgeräte</t>
  </si>
  <si>
    <t>http://www.distrelec.ch/en/c/cat-44870</t>
  </si>
  <si>
    <t>06_03_44872</t>
  </si>
  <si>
    <t>Leak detectors</t>
  </si>
  <si>
    <t>Lecksuch-Messgeräte</t>
  </si>
  <si>
    <t>http://www.distrelec.ch/en/c/cat-44872</t>
  </si>
  <si>
    <t>06_03_44874</t>
  </si>
  <si>
    <t>Vibration Meters</t>
  </si>
  <si>
    <t>Vibrationsmessgeräte</t>
  </si>
  <si>
    <t>http://www.distrelec.ch/en/c/cat-44874</t>
  </si>
  <si>
    <t>06_03_44876</t>
  </si>
  <si>
    <t>Force measuring devices</t>
  </si>
  <si>
    <t>Kraftmessgeräte</t>
  </si>
  <si>
    <t>http://www.distrelec.ch/en/c/cat-44876</t>
  </si>
  <si>
    <t>06_03_528290</t>
  </si>
  <si>
    <t>Accessories Thermal Imaging Cameras</t>
  </si>
  <si>
    <t>Zubehör Wärmebildkameras</t>
  </si>
  <si>
    <t>http://www.distrelec.ch/en/c/cat-528290</t>
  </si>
  <si>
    <t>06_03_585919</t>
  </si>
  <si>
    <t>Thickness Gauges</t>
  </si>
  <si>
    <t>Dickenmesser</t>
  </si>
  <si>
    <t>http://www.distrelec.ch/en/c/cat-585919</t>
  </si>
  <si>
    <t>06_03_DC-59622</t>
  </si>
  <si>
    <t>DC-59622</t>
  </si>
  <si>
    <t>Thermal measuring instruments with sensor</t>
  </si>
  <si>
    <t>Thermo-Messgeräte, mit Messfühler</t>
  </si>
  <si>
    <t>http://www.distrelec.ch/en/c/cat-DC-59622</t>
  </si>
  <si>
    <t>06_03_DC-59623</t>
  </si>
  <si>
    <t>DC-59623</t>
  </si>
  <si>
    <t>Thermal measuring instruments, non-contact</t>
  </si>
  <si>
    <t>Thermo-Messgeräte, berührungslos</t>
  </si>
  <si>
    <t>http://www.distrelec.ch/en/c/cat-DC-59623</t>
  </si>
  <si>
    <t>06_03_DC-59624</t>
  </si>
  <si>
    <t>DC-59624</t>
  </si>
  <si>
    <t>Thermo-hygrometer</t>
  </si>
  <si>
    <t>Thermo-Hygrometer</t>
  </si>
  <si>
    <t>http://www.distrelec.ch/en/c/cat-DC-59624</t>
  </si>
  <si>
    <t>06_03_DC-59625</t>
  </si>
  <si>
    <t>DC-59625</t>
  </si>
  <si>
    <t>Air flow measuring instruments / Air quality measurement devices</t>
  </si>
  <si>
    <t>Luftströmungsmessgeräte / Luftqualitätsmessgeräte</t>
  </si>
  <si>
    <t>http://www.distrelec.ch/en/c/cat-DC-59625</t>
  </si>
  <si>
    <t>06_03_DC-59626</t>
  </si>
  <si>
    <t>DC-59626</t>
  </si>
  <si>
    <t>Pressure gauges</t>
  </si>
  <si>
    <t>Druckmessgeräte</t>
  </si>
  <si>
    <t>http://www.distrelec.ch/en/c/cat-DC-59626</t>
  </si>
  <si>
    <t>06_03_DC-59627</t>
  </si>
  <si>
    <t>DC-59627</t>
  </si>
  <si>
    <t>CO/CO2-meters</t>
  </si>
  <si>
    <t>CO/CO₂-Messgeräte</t>
  </si>
  <si>
    <t>http://www.distrelec.ch/en/c/cat-DC-59627</t>
  </si>
  <si>
    <t>06_03_DC-59628</t>
  </si>
  <si>
    <t>DC-59628</t>
  </si>
  <si>
    <t>Water quality meters</t>
  </si>
  <si>
    <t>Wasserqualitätsmessgeräte</t>
  </si>
  <si>
    <t>http://www.distrelec.ch/en/c/cat-DC-59628</t>
  </si>
  <si>
    <t>06_03_DC-59629</t>
  </si>
  <si>
    <t>DC-59629</t>
  </si>
  <si>
    <t>pH measuring instruments</t>
  </si>
  <si>
    <t>pH-Messgeräte</t>
  </si>
  <si>
    <t>http://www.distrelec.ch/en/c/cat-DC-59629</t>
  </si>
  <si>
    <t>06_03_DC-59630</t>
  </si>
  <si>
    <t>DC-59630</t>
  </si>
  <si>
    <t>Sound level meter</t>
  </si>
  <si>
    <t>Schallpegelmessgeräte</t>
  </si>
  <si>
    <t>http://www.distrelec.ch/en/c/cat-DC-59630</t>
  </si>
  <si>
    <t>06_03_DC-59631</t>
  </si>
  <si>
    <t>DC-59631</t>
  </si>
  <si>
    <t>Luxmeter</t>
  </si>
  <si>
    <t>Lux-Messgeräte</t>
  </si>
  <si>
    <t>http://www.distrelec.ch/en/c/cat-DC-59631</t>
  </si>
  <si>
    <t>06_03_DC-59632</t>
  </si>
  <si>
    <t>DC-59632</t>
  </si>
  <si>
    <t>Electric smog meter</t>
  </si>
  <si>
    <t>Elektrosmog-Messgeräte</t>
  </si>
  <si>
    <t>http://www.distrelec.ch/en/c/cat-DC-59632</t>
  </si>
  <si>
    <t>06_03_DC-59633</t>
  </si>
  <si>
    <t>DC-59633</t>
  </si>
  <si>
    <t>Tachometer</t>
  </si>
  <si>
    <t>Drehzahlmessgeräte</t>
  </si>
  <si>
    <t>http://www.distrelec.ch/en/c/cat-DC-59633</t>
  </si>
  <si>
    <t>06_03_DC-59634</t>
  </si>
  <si>
    <t>DC-59634</t>
  </si>
  <si>
    <t>UV-meter</t>
  </si>
  <si>
    <t>UV-Messgeräte</t>
  </si>
  <si>
    <t>http://www.distrelec.ch/en/c/cat-DC-59634</t>
  </si>
  <si>
    <t>06_03_DC-59635</t>
  </si>
  <si>
    <t>DC-59635</t>
  </si>
  <si>
    <t>Scales</t>
  </si>
  <si>
    <t>Waagen</t>
  </si>
  <si>
    <t>http://www.distrelec.ch/en/c/cat-DC-59635</t>
  </si>
  <si>
    <t>06_03_DC-59636</t>
  </si>
  <si>
    <t>DC-59636</t>
  </si>
  <si>
    <t>Watches</t>
  </si>
  <si>
    <t>Uhren</t>
  </si>
  <si>
    <t>http://www.distrelec.ch/en/c/cat-DC-59636</t>
  </si>
  <si>
    <t>06_03_DC-60398</t>
  </si>
  <si>
    <t>DC-60398</t>
  </si>
  <si>
    <t>Thermal-/Gas-adhesive-strips</t>
  </si>
  <si>
    <t>Thermo-/Gasklebstreifen</t>
  </si>
  <si>
    <t>http://www.distrelec.ch/en/c/cat-DC-60398</t>
  </si>
  <si>
    <t>06_03_DC-77771</t>
  </si>
  <si>
    <t>DC-77771</t>
  </si>
  <si>
    <t>Inspection Cameras &amp; Endoscopes</t>
  </si>
  <si>
    <t>Untersuchungskameras und Endoskope</t>
  </si>
  <si>
    <t>http://www.distrelec.ch/en/c/cat-DC-77771</t>
  </si>
  <si>
    <t>06_03_DD-25289</t>
  </si>
  <si>
    <t>DD-25289</t>
  </si>
  <si>
    <t>Weather Stations</t>
  </si>
  <si>
    <t>Wetterstationen</t>
  </si>
  <si>
    <t>http://www.distrelec.ch/en/c/cat-DD-25289</t>
  </si>
  <si>
    <t>06_04</t>
  </si>
  <si>
    <t>Oscilloscopes / Generators / Calibrators / LCR Measuring / Decades</t>
  </si>
  <si>
    <t>06_04_01</t>
  </si>
  <si>
    <t>Oscilloscopes / Spectrum Analysers</t>
  </si>
  <si>
    <t>06_04_01_272515</t>
  </si>
  <si>
    <t>Accessories Oscilloscopes</t>
  </si>
  <si>
    <t>Zubehör Oszilloskope</t>
  </si>
  <si>
    <t>http://www.distrelec.ch/en/c/cat-272515</t>
  </si>
  <si>
    <t>06_04_01_272517</t>
  </si>
  <si>
    <t>Logic Analyser</t>
  </si>
  <si>
    <t>Logikanalysatoren</t>
  </si>
  <si>
    <t>http://www.distrelec.ch/en/c/cat-272517</t>
  </si>
  <si>
    <t>06_04_01_272519</t>
  </si>
  <si>
    <t>Accessories Spectrum and Logic Analyser</t>
  </si>
  <si>
    <t>Zubehör Spektrum- und Logikanalysatoren</t>
  </si>
  <si>
    <t>http://www.distrelec.ch/en/c/cat-272519</t>
  </si>
  <si>
    <t>06_04_01_29058</t>
  </si>
  <si>
    <t>Oscilloscopes Handheld</t>
  </si>
  <si>
    <t>Oszilloskope, Handgeräte</t>
  </si>
  <si>
    <t>http://www.distrelec.ch/en/c/cat-29058</t>
  </si>
  <si>
    <t>06_04_01_29061</t>
  </si>
  <si>
    <t>Oscilloscopes Bench Types</t>
  </si>
  <si>
    <t>Oszilloskope, Tischgeräte</t>
  </si>
  <si>
    <t>http://www.distrelec.ch/en/c/cat-29061</t>
  </si>
  <si>
    <t>06_04_01_29065</t>
  </si>
  <si>
    <t>Oscilloscopes Analogue</t>
  </si>
  <si>
    <t>Oszilloskope, analog</t>
  </si>
  <si>
    <t>http://www.distrelec.ch/en/c/cat-29065</t>
  </si>
  <si>
    <t>06_04_01_29067</t>
  </si>
  <si>
    <t>PC Oscilloscopes</t>
  </si>
  <si>
    <t>Oszilloskope, PC</t>
  </si>
  <si>
    <t>http://www.distrelec.ch/en/c/cat-29067</t>
  </si>
  <si>
    <t>06_04_01_29075</t>
  </si>
  <si>
    <t>Spectrum Analyser</t>
  </si>
  <si>
    <t>Spektrumanalysatoren</t>
  </si>
  <si>
    <t>http://www.distrelec.ch/en/c/cat-29075</t>
  </si>
  <si>
    <t>06_04_01_685807</t>
  </si>
  <si>
    <t>Automotive PC Oscilloscopes</t>
  </si>
  <si>
    <t>PC-Oszilloskope für Kfz</t>
  </si>
  <si>
    <t>http://www.distrelec.ch/en/c/cat-685807</t>
  </si>
  <si>
    <t>06_04_01_DC-59651</t>
  </si>
  <si>
    <t>DC-59651</t>
  </si>
  <si>
    <t>Probes</t>
  </si>
  <si>
    <t>Tastköpfe</t>
  </si>
  <si>
    <t>http://www.distrelec.ch/en/c/cat-DC-59651</t>
  </si>
  <si>
    <t>06_04_02</t>
  </si>
  <si>
    <t>Generators</t>
  </si>
  <si>
    <t>06_04_02_272521</t>
  </si>
  <si>
    <t>Frequency counters</t>
  </si>
  <si>
    <t>Frequenzzähler</t>
  </si>
  <si>
    <t>http://www.distrelec.ch/en/c/cat-272521</t>
  </si>
  <si>
    <t>06_04_02_29110</t>
  </si>
  <si>
    <t>Accessories Function generators and frequency counters</t>
  </si>
  <si>
    <t>Zubehör Funktionsgeneratoren und Frequenzzähler</t>
  </si>
  <si>
    <t>http://www.distrelec.ch/en/c/cat-29110</t>
  </si>
  <si>
    <t>06_04_02_DC-59652</t>
  </si>
  <si>
    <t>DC-59652</t>
  </si>
  <si>
    <t>Function generators</t>
  </si>
  <si>
    <t>Funktionsgeneratoren</t>
  </si>
  <si>
    <t>http://www.distrelec.ch/en/c/cat-DC-59652</t>
  </si>
  <si>
    <t>06_04_272523</t>
  </si>
  <si>
    <t>Accessories Calibrators</t>
  </si>
  <si>
    <t>Zubehör Kalibratoren</t>
  </si>
  <si>
    <t>http://www.distrelec.ch/en/c/cat-272523</t>
  </si>
  <si>
    <t>06_04_272554</t>
  </si>
  <si>
    <t>Accessories LCR-measuring instruments</t>
  </si>
  <si>
    <t>Zubehör LCR Messgeräte</t>
  </si>
  <si>
    <t>http://www.distrelec.ch/en/c/cat-272554</t>
  </si>
  <si>
    <t>06_04_DC-59653</t>
  </si>
  <si>
    <t>DC-59653</t>
  </si>
  <si>
    <t>Calibrators</t>
  </si>
  <si>
    <t>Kalibratoren</t>
  </si>
  <si>
    <t>http://www.distrelec.ch/en/c/cat-DC-59653</t>
  </si>
  <si>
    <t>06_04_DC-59654</t>
  </si>
  <si>
    <t>DC-59654</t>
  </si>
  <si>
    <t>LCR-measuring instruments</t>
  </si>
  <si>
    <t>LCR-Messgeräte</t>
  </si>
  <si>
    <t>http://www.distrelec.ch/en/c/cat-DC-59654</t>
  </si>
  <si>
    <t>06_05</t>
  </si>
  <si>
    <t>Electrical Test Instruments / Wattmeter</t>
  </si>
  <si>
    <t>06_05_01</t>
  </si>
  <si>
    <t>06_05_01_26703</t>
  </si>
  <si>
    <t>Non-contact Voltage Testers</t>
  </si>
  <si>
    <t>Berührungslose Spannungsprüfer</t>
  </si>
  <si>
    <t>http://www.distrelec.ch/en/c/cat-26703</t>
  </si>
  <si>
    <t>06_05_01_26705</t>
  </si>
  <si>
    <t>Continuity testers</t>
  </si>
  <si>
    <t>Durchgangstester</t>
  </si>
  <si>
    <t>http://www.distrelec.ch/en/c/cat-26705</t>
  </si>
  <si>
    <t>06_05_01_26707</t>
  </si>
  <si>
    <t>Cable Locator</t>
  </si>
  <si>
    <t>Leitungssucher</t>
  </si>
  <si>
    <t>http://www.distrelec.ch/en/c/cat-26707</t>
  </si>
  <si>
    <t>06_05_01_26709</t>
  </si>
  <si>
    <t>Electrical tester</t>
  </si>
  <si>
    <t>Elektrotester</t>
  </si>
  <si>
    <t>http://www.distrelec.ch/en/c/cat-26709</t>
  </si>
  <si>
    <t>06_05_01_522725</t>
  </si>
  <si>
    <t>Motor Tester</t>
  </si>
  <si>
    <t>Motortester</t>
  </si>
  <si>
    <t>http://www.distrelec.ch/en/c/cat-522725</t>
  </si>
  <si>
    <t>06_05_01_522726</t>
  </si>
  <si>
    <t>Battery Tester</t>
  </si>
  <si>
    <t>http://www.distrelec.ch/en/c/cat-522726</t>
  </si>
  <si>
    <t>06_05_01_DC-59661</t>
  </si>
  <si>
    <t>DC-59661</t>
  </si>
  <si>
    <t>Voltage and continuity checker</t>
  </si>
  <si>
    <t>Spannungs- und Durchgangsprüfer</t>
  </si>
  <si>
    <t>http://www.distrelec.ch/en/c/cat-DC-59661</t>
  </si>
  <si>
    <t>06_05_01_DC-59662</t>
  </si>
  <si>
    <t>DC-59662</t>
  </si>
  <si>
    <t>Rotating field measuring instruments</t>
  </si>
  <si>
    <t>Drehfeldmessgeräte</t>
  </si>
  <si>
    <t>http://www.distrelec.ch/en/c/cat-DC-59662</t>
  </si>
  <si>
    <t>06_05_01_DC-59663</t>
  </si>
  <si>
    <t>DC-59663</t>
  </si>
  <si>
    <t>Cable length measuring instrument</t>
  </si>
  <si>
    <t>Kabellängenmessgeräte</t>
  </si>
  <si>
    <t>http://www.distrelec.ch/en/c/cat-DC-59663</t>
  </si>
  <si>
    <t>06_05_02</t>
  </si>
  <si>
    <t>Installations Testers</t>
  </si>
  <si>
    <t>06_05_02_232561</t>
  </si>
  <si>
    <t>Solar Energy Instruments</t>
  </si>
  <si>
    <t>Solarenergie-Instrumente</t>
  </si>
  <si>
    <t>http://www.distrelec.ch/en/c/cat-232561</t>
  </si>
  <si>
    <t>06_05_02_27522</t>
  </si>
  <si>
    <t>Installation testers</t>
  </si>
  <si>
    <t>http://www.distrelec.ch/en/c/cat-27522</t>
  </si>
  <si>
    <t>06_05_02_27526</t>
  </si>
  <si>
    <t>Earth testing devices</t>
  </si>
  <si>
    <t>Erdungsprüfgeräte</t>
  </si>
  <si>
    <t>http://www.distrelec.ch/en/c/cat-27526</t>
  </si>
  <si>
    <t>06_05_02_27528</t>
  </si>
  <si>
    <t>Earth measuring device accessories</t>
  </si>
  <si>
    <t>Zubehör Erdungsmessgeräte</t>
  </si>
  <si>
    <t>http://www.distrelec.ch/en/c/cat-27528</t>
  </si>
  <si>
    <t>06_05_02_27531</t>
  </si>
  <si>
    <t>Universal bag for testing equipment for machinery and systems</t>
  </si>
  <si>
    <t>Universaltasche für Prüfgeräte für Maschinen und Anlagen</t>
  </si>
  <si>
    <t>http://www.distrelec.ch/en/c/cat-27531</t>
  </si>
  <si>
    <t>06_05_02_DC-59664</t>
  </si>
  <si>
    <t>DC-59664</t>
  </si>
  <si>
    <t>Insulation Testers</t>
  </si>
  <si>
    <t>Isolationsmessgeräte</t>
  </si>
  <si>
    <t>http://www.distrelec.ch/en/c/cat-DC-59664</t>
  </si>
  <si>
    <t>06_05_02_DC-59667</t>
  </si>
  <si>
    <t>DC-59667</t>
  </si>
  <si>
    <t>RCD testing instrument</t>
  </si>
  <si>
    <t>FI-Prüfgeräte</t>
  </si>
  <si>
    <t>http://www.distrelec.ch/en/c/cat-DC-59667</t>
  </si>
  <si>
    <t>06_05_02_DC-74834</t>
  </si>
  <si>
    <t>DC-74834</t>
  </si>
  <si>
    <t>Portable Appliance and Production Facility Tester</t>
  </si>
  <si>
    <t>Prüfgeräte für Geräte und Betriebsmittel</t>
  </si>
  <si>
    <t>http://www.distrelec.ch/en/c/cat-DC-74834</t>
  </si>
  <si>
    <t>06_05_02_DC-74835</t>
  </si>
  <si>
    <t>DC-74835</t>
  </si>
  <si>
    <t>Machine and Production Facility Testers</t>
  </si>
  <si>
    <t>Prüfgeräte für Maschinen und Anlagen</t>
  </si>
  <si>
    <t>http://www.distrelec.ch/en/c/cat-DC-74835</t>
  </si>
  <si>
    <t>06_05_03</t>
  </si>
  <si>
    <t>Wattmeters</t>
  </si>
  <si>
    <t>06_05_03_28175</t>
  </si>
  <si>
    <t>Wattmeter</t>
  </si>
  <si>
    <t>http://www.distrelec.ch/en/c/cat-28175</t>
  </si>
  <si>
    <t>06_05_03_28177</t>
  </si>
  <si>
    <t>Ergometer</t>
  </si>
  <si>
    <t>Energiezähler</t>
  </si>
  <si>
    <t>http://www.distrelec.ch/en/c/cat-28177</t>
  </si>
  <si>
    <t>06_05_03_DC-59670</t>
  </si>
  <si>
    <t>DC-59670</t>
  </si>
  <si>
    <t>http://www.distrelec.ch/en/c/cat-DC-59670</t>
  </si>
  <si>
    <t>06_06</t>
  </si>
  <si>
    <t>L2-3D_527501</t>
  </si>
  <si>
    <t>Telecom / LAN Measuring Instruments</t>
  </si>
  <si>
    <t>Telekommunikations- und LAN-Messgeräte</t>
  </si>
  <si>
    <t>06_06_205165</t>
  </si>
  <si>
    <t>Fiber optic measuring instrument</t>
  </si>
  <si>
    <t>Glasfasertester</t>
  </si>
  <si>
    <t>http://www.distrelec.ch/en/c/cat-205165</t>
  </si>
  <si>
    <t>06_06_205243</t>
  </si>
  <si>
    <t>PC and Multimedia cable tester</t>
  </si>
  <si>
    <t>PC- und Multimedia-Kabeltester</t>
  </si>
  <si>
    <t>http://www.distrelec.ch/en/c/cat-205243</t>
  </si>
  <si>
    <t>06_06_DC-59673</t>
  </si>
  <si>
    <t>DC-59673</t>
  </si>
  <si>
    <t>Telecom measuring instrument</t>
  </si>
  <si>
    <t>Telekom-Messgeräte</t>
  </si>
  <si>
    <t>http://www.distrelec.ch/en/c/cat-DC-59673</t>
  </si>
  <si>
    <t>06_06_DC-59674</t>
  </si>
  <si>
    <t>DC-59674</t>
  </si>
  <si>
    <t>LAN measuring instrument</t>
  </si>
  <si>
    <t>LAN-Messgeräte</t>
  </si>
  <si>
    <t>http://www.distrelec.ch/en/c/cat-DC-59674</t>
  </si>
  <si>
    <t>06_07</t>
  </si>
  <si>
    <t>L2-3D_527496</t>
  </si>
  <si>
    <t>Data Acquisition / PC Measuring Instruments</t>
  </si>
  <si>
    <t>Datenlogger und PC-Messtechnik</t>
  </si>
  <si>
    <t>06_07_01</t>
  </si>
  <si>
    <t>L3D_525599</t>
  </si>
  <si>
    <t>Data Loggers</t>
  </si>
  <si>
    <t>Datenlogger</t>
  </si>
  <si>
    <t>06_07_01_31112</t>
  </si>
  <si>
    <t>Data logger</t>
  </si>
  <si>
    <t>http://www.distrelec.ch/en/c/cat-31112</t>
  </si>
  <si>
    <t>06_07_01_31114</t>
  </si>
  <si>
    <t>Accessories Data logger</t>
  </si>
  <si>
    <t>Zubehör Datenlogger</t>
  </si>
  <si>
    <t>http://www.distrelec.ch/en/c/cat-31114</t>
  </si>
  <si>
    <t>06_07_02</t>
  </si>
  <si>
    <t>L3D_525598</t>
  </si>
  <si>
    <t>I/O cards</t>
  </si>
  <si>
    <t>I/O-Karten</t>
  </si>
  <si>
    <t>06_07_02_31118</t>
  </si>
  <si>
    <t>Digital I/O ISA cards</t>
  </si>
  <si>
    <t>Digitale I/O ISA-Karten</t>
  </si>
  <si>
    <t>http://www.distrelec.ch/en/c/cat-31118</t>
  </si>
  <si>
    <t>06_07_02_31126</t>
  </si>
  <si>
    <t>Accessories for PCI cards</t>
  </si>
  <si>
    <t>Zubehör zu PCI-Karten</t>
  </si>
  <si>
    <t>http://www.distrelec.ch/en/c/cat-31126</t>
  </si>
  <si>
    <t>06_07_02_DC-59682</t>
  </si>
  <si>
    <t>DC-59682</t>
  </si>
  <si>
    <t>Digital I/O PCI cards</t>
  </si>
  <si>
    <t>Digitale I/O PCI-Karten</t>
  </si>
  <si>
    <t>http://www.distrelec.ch/en/c/cat-DC-59682</t>
  </si>
  <si>
    <t>06_07_02_DC-59683</t>
  </si>
  <si>
    <t>DC-59683</t>
  </si>
  <si>
    <t>Analogue I/O PCI cards</t>
  </si>
  <si>
    <t>Analoge I/O PCI-Karten</t>
  </si>
  <si>
    <t>http://www.distrelec.ch/en/c/cat-DC-59683</t>
  </si>
  <si>
    <t>06_07_02_DC-59684</t>
  </si>
  <si>
    <t>DC-59684</t>
  </si>
  <si>
    <t>Serial PCI interface cards</t>
  </si>
  <si>
    <t>Serielle PCI-Schnittstellen-Karten</t>
  </si>
  <si>
    <t>http://www.distrelec.ch/en/c/cat-DC-59684</t>
  </si>
  <si>
    <t>06_07_02_DC-59685</t>
  </si>
  <si>
    <t>DC-59685</t>
  </si>
  <si>
    <t>Meter / watchdog PCI cards</t>
  </si>
  <si>
    <t>Zähler / Watchdog PCI-Karten</t>
  </si>
  <si>
    <t>http://www.distrelec.ch/en/c/cat-DC-59685</t>
  </si>
  <si>
    <t>06_07_31128</t>
  </si>
  <si>
    <t>Measuring and control software</t>
  </si>
  <si>
    <t>Mess- und Steuersoftware</t>
  </si>
  <si>
    <t>http://www.distrelec.ch/en/c/cat-31128</t>
  </si>
  <si>
    <t>06_07_31130</t>
  </si>
  <si>
    <t>Measuring and controlling via USB</t>
  </si>
  <si>
    <t>Messen und steuern via USB</t>
  </si>
  <si>
    <t>http://www.distrelec.ch/en/c/cat-31130</t>
  </si>
  <si>
    <t>06_07_31132</t>
  </si>
  <si>
    <t>Measuring and controlling via RS-232/RS-485</t>
  </si>
  <si>
    <t>Messen und steuern via RS-232/RS-485</t>
  </si>
  <si>
    <t>http://www.distrelec.ch/en/c/cat-31132</t>
  </si>
  <si>
    <t>06_08</t>
  </si>
  <si>
    <t>06_08_26468</t>
  </si>
  <si>
    <t>Digital Panel Meters</t>
  </si>
  <si>
    <t>Digitale Anzeigeinstrumente</t>
  </si>
  <si>
    <t>http://www.distrelec.ch/en/c/cat-26468</t>
  </si>
  <si>
    <t>06_08_26470</t>
  </si>
  <si>
    <t>Shunt resistors and converters</t>
  </si>
  <si>
    <t>http://www.distrelec.ch/en/c/cat-26470</t>
  </si>
  <si>
    <t>06_08_DC-59697</t>
  </si>
  <si>
    <t>DC-59697</t>
  </si>
  <si>
    <t>Analogue Panel Meters</t>
  </si>
  <si>
    <t>Analoge Anzeigeinstrumente</t>
  </si>
  <si>
    <t>http://www.distrelec.ch/en/c/cat-DC-59697</t>
  </si>
  <si>
    <t>07_01</t>
  </si>
  <si>
    <t>07_01_01</t>
  </si>
  <si>
    <t>Process displays</t>
  </si>
  <si>
    <t>07_01_01_21226</t>
  </si>
  <si>
    <t>Accessories process displays</t>
  </si>
  <si>
    <t>Zubehör Prozessanzeigen</t>
  </si>
  <si>
    <t>http://www.distrelec.ch/en/c/cat-21226</t>
  </si>
  <si>
    <t>07_01_01_DC-56683</t>
  </si>
  <si>
    <t>DC-56683</t>
  </si>
  <si>
    <t>Displays</t>
  </si>
  <si>
    <t>Anzeigen</t>
  </si>
  <si>
    <t>http://www.distrelec.ch/en/c/cat-DC-56683</t>
  </si>
  <si>
    <t>07_01_01_DC-56684</t>
  </si>
  <si>
    <t>DC-56684</t>
  </si>
  <si>
    <t>Recorders</t>
  </si>
  <si>
    <t>Schreiber</t>
  </si>
  <si>
    <t>http://www.distrelec.ch/en/c/cat-DC-56684</t>
  </si>
  <si>
    <t>07_01_02</t>
  </si>
  <si>
    <t>Process Regulators</t>
  </si>
  <si>
    <t>07_01_02_21238</t>
  </si>
  <si>
    <t>Accessories regulator</t>
  </si>
  <si>
    <t>Zubehör Regler</t>
  </si>
  <si>
    <t>http://www.distrelec.ch/en/c/cat-21238</t>
  </si>
  <si>
    <t>07_01_02_DC-56685</t>
  </si>
  <si>
    <t>DC-56685</t>
  </si>
  <si>
    <t>Controllers</t>
  </si>
  <si>
    <t>Regler</t>
  </si>
  <si>
    <t>http://www.distrelec.ch/en/c/cat-DC-56685</t>
  </si>
  <si>
    <t>07_01_02_DC-56688</t>
  </si>
  <si>
    <t>DC-56688</t>
  </si>
  <si>
    <t>Thermostat regulator</t>
  </si>
  <si>
    <t>Thermostatregler</t>
  </si>
  <si>
    <t>http://www.distrelec.ch/en/c/cat-DC-56688</t>
  </si>
  <si>
    <t>07_01_03</t>
  </si>
  <si>
    <t>07_01_03_616192</t>
  </si>
  <si>
    <t>Distibuted I/O</t>
  </si>
  <si>
    <t>Dezentrale Peripherie</t>
  </si>
  <si>
    <t>http://www.distrelec.ch/en/c/cat-616192</t>
  </si>
  <si>
    <t>07_01_03_646931</t>
  </si>
  <si>
    <t>Starter Kits Controls</t>
  </si>
  <si>
    <t>Einsteigersets Steuerungen</t>
  </si>
  <si>
    <t>http://www.distrelec.ch/en/c/cat-646931</t>
  </si>
  <si>
    <t>07_01_03_DC-56689</t>
  </si>
  <si>
    <t>DC-56689</t>
  </si>
  <si>
    <t>Controls</t>
  </si>
  <si>
    <t>http://www.distrelec.ch/en/c/cat-DC-56689</t>
  </si>
  <si>
    <t>07_01_03_DC-56690</t>
  </si>
  <si>
    <t>DC-56690</t>
  </si>
  <si>
    <t>Accessories controls</t>
  </si>
  <si>
    <t>Zubehör Steuerungen</t>
  </si>
  <si>
    <t>http://www.distrelec.ch/en/c/cat-DC-56690</t>
  </si>
  <si>
    <t>07_01_04</t>
  </si>
  <si>
    <t>07_01_04_21261</t>
  </si>
  <si>
    <t>Accessories, human machine interfaces</t>
  </si>
  <si>
    <t>Zubehör Human Machine Interfaces</t>
  </si>
  <si>
    <t>http://www.distrelec.ch/en/c/cat-21261</t>
  </si>
  <si>
    <t>07_01_04_DC-56691</t>
  </si>
  <si>
    <t>DC-56691</t>
  </si>
  <si>
    <t>Display and operating device</t>
  </si>
  <si>
    <t>Anzeige-/Bediengeräte</t>
  </si>
  <si>
    <t>http://www.distrelec.ch/en/c/cat-DC-56691</t>
  </si>
  <si>
    <t>07_02</t>
  </si>
  <si>
    <t>07_02_01</t>
  </si>
  <si>
    <t>I/O Modules and Switching Relays</t>
  </si>
  <si>
    <t>07_02_01_23280</t>
  </si>
  <si>
    <t>Accessory for I/O Modules and Interface Relays</t>
  </si>
  <si>
    <t>Zubehör zu E/A-Module und Koppelrelais</t>
  </si>
  <si>
    <t>http://www.distrelec.ch/en/c/cat-23280</t>
  </si>
  <si>
    <t>07_02_01_DC-57828</t>
  </si>
  <si>
    <t>DC-57828</t>
  </si>
  <si>
    <t>E/A-Module und Koppelrelais</t>
  </si>
  <si>
    <t>http://www.distrelec.ch/en/c/cat-DC-57828</t>
  </si>
  <si>
    <t>07_02_02</t>
  </si>
  <si>
    <t>Measuring Transducer and Signal Converters</t>
  </si>
  <si>
    <t>07_02_02_23307</t>
  </si>
  <si>
    <t>Accessories for measuring transducer and signal converter</t>
  </si>
  <si>
    <t>Zubehör zu Messumformer und Signalwandler</t>
  </si>
  <si>
    <t>http://www.distrelec.ch/en/c/cat-23307</t>
  </si>
  <si>
    <t>07_02_02_DC-57829</t>
  </si>
  <si>
    <t>DC-57829</t>
  </si>
  <si>
    <t>Passive signal separators</t>
  </si>
  <si>
    <t>Passive Signaltrenner</t>
  </si>
  <si>
    <t>http://www.distrelec.ch/en/c/cat-DC-57829</t>
  </si>
  <si>
    <t>07_02_02_DC-57830</t>
  </si>
  <si>
    <t>DC-57830</t>
  </si>
  <si>
    <t>Temperature measuring transducers</t>
  </si>
  <si>
    <t>Temperaturmessumformer</t>
  </si>
  <si>
    <t>http://www.distrelec.ch/en/c/cat-DC-57830</t>
  </si>
  <si>
    <t>07_02_02_DC-57831</t>
  </si>
  <si>
    <t>DC-57831</t>
  </si>
  <si>
    <t>Universal and standard signal converters</t>
  </si>
  <si>
    <t>Universal- und Normsignalwandler</t>
  </si>
  <si>
    <t>http://www.distrelec.ch/en/c/cat-DC-57831</t>
  </si>
  <si>
    <t>07_02_02_DC-57832</t>
  </si>
  <si>
    <t>DC-57832</t>
  </si>
  <si>
    <t>Standard signal generators</t>
  </si>
  <si>
    <t>Normsignalgeber</t>
  </si>
  <si>
    <t>http://www.distrelec.ch/en/c/cat-DC-57832</t>
  </si>
  <si>
    <t>07_02_02_DC-57834</t>
  </si>
  <si>
    <t>DC-57834</t>
  </si>
  <si>
    <t>Measuring transducers for path and angle</t>
  </si>
  <si>
    <t>Messumformer für Weg und Winkel</t>
  </si>
  <si>
    <t>http://www.distrelec.ch/en/c/cat-DC-57834</t>
  </si>
  <si>
    <t>07_02_02_DC-57835</t>
  </si>
  <si>
    <t>DC-57835</t>
  </si>
  <si>
    <t>Frequency signal converters</t>
  </si>
  <si>
    <t>Frequenz-Signalwandler</t>
  </si>
  <si>
    <t>http://www.distrelec.ch/en/c/cat-DC-57835</t>
  </si>
  <si>
    <t>07_02_02_DC-57836</t>
  </si>
  <si>
    <t>DC-57836</t>
  </si>
  <si>
    <t>Measuring transducers for current and network values</t>
  </si>
  <si>
    <t>Messumformer für Strom und Netzgrössen</t>
  </si>
  <si>
    <t>http://www.distrelec.ch/en/c/cat-DC-57836</t>
  </si>
  <si>
    <t>07_02_03</t>
  </si>
  <si>
    <t>07_02_03_23311</t>
  </si>
  <si>
    <t>Accessories for Interface converter</t>
  </si>
  <si>
    <t>Zubehör zu Schnittstellenwandler</t>
  </si>
  <si>
    <t>http://www.distrelec.ch/en/c/cat-23311</t>
  </si>
  <si>
    <t>07_02_03_DC-57837</t>
  </si>
  <si>
    <t>DC-57837</t>
  </si>
  <si>
    <t>Serial interface converter &amp; repeater</t>
  </si>
  <si>
    <t>Serielle Schnittstellenwandler &amp; Repeater</t>
  </si>
  <si>
    <t>http://www.distrelec.ch/en/c/cat-DC-57837</t>
  </si>
  <si>
    <t>07_02_04</t>
  </si>
  <si>
    <t>07_02_04_23313</t>
  </si>
  <si>
    <t>Wall lead-through</t>
  </si>
  <si>
    <t>Wanddurchführungen</t>
  </si>
  <si>
    <t>http://www.distrelec.ch/en/c/cat-23313</t>
  </si>
  <si>
    <t>07_02_04_23315</t>
  </si>
  <si>
    <t>Patch cable</t>
  </si>
  <si>
    <t>Patchkabel</t>
  </si>
  <si>
    <t>http://www.distrelec.ch/en/c/cat-23315</t>
  </si>
  <si>
    <t>07_02_04_23317</t>
  </si>
  <si>
    <t>Outlets</t>
  </si>
  <si>
    <t>http://www.distrelec.ch/en/c/cat-23317</t>
  </si>
  <si>
    <t>07_02_04_23319</t>
  </si>
  <si>
    <t>Accessories for Industrial Ethernet</t>
  </si>
  <si>
    <t>Zubehör zu Industrial Ethernet</t>
  </si>
  <si>
    <t>http://www.distrelec.ch/en/c/cat-23319</t>
  </si>
  <si>
    <t>07_02_04_DC-91681</t>
  </si>
  <si>
    <t>DC-91681</t>
  </si>
  <si>
    <t>Ethernet media converter</t>
  </si>
  <si>
    <t>Ethernet Medienkonverter</t>
  </si>
  <si>
    <t>http://www.distrelec.ch/en/c/cat-DC-91681</t>
  </si>
  <si>
    <t>07_02_04_DC-91682</t>
  </si>
  <si>
    <t>DC-91682</t>
  </si>
  <si>
    <t>Ethernet device server</t>
  </si>
  <si>
    <t>Ethernet Geräteserver</t>
  </si>
  <si>
    <t>http://www.distrelec.ch/en/c/cat-DC-91682</t>
  </si>
  <si>
    <t>07_02_04_DC-91683</t>
  </si>
  <si>
    <t>DC-91683</t>
  </si>
  <si>
    <t>Ethernet switches</t>
  </si>
  <si>
    <t>Ethernet Switches</t>
  </si>
  <si>
    <t>http://www.distrelec.ch/en/c/cat-DC-91683</t>
  </si>
  <si>
    <t>07_02_05</t>
  </si>
  <si>
    <t>Long-distance data transmission</t>
  </si>
  <si>
    <t>07_02_05_244501</t>
  </si>
  <si>
    <t>Accessories for Long-distance Data Transmission</t>
  </si>
  <si>
    <t>Zubehör zu Datenfernübertragung</t>
  </si>
  <si>
    <t>http://www.distrelec.ch/en/c/cat-244501</t>
  </si>
  <si>
    <t>07_02_05_DC-90656</t>
  </si>
  <si>
    <t>DC-90656</t>
  </si>
  <si>
    <t>Radio transmission systems</t>
  </si>
  <si>
    <t>Funkübertragungssysteme</t>
  </si>
  <si>
    <t>http://www.distrelec.ch/en/c/cat-DC-90656</t>
  </si>
  <si>
    <t>07_02_05_DC-94400</t>
  </si>
  <si>
    <t>DC-94400</t>
  </si>
  <si>
    <t>Remote Access and Modems</t>
  </si>
  <si>
    <t>Fernwartung und Modems</t>
  </si>
  <si>
    <t>http://www.distrelec.ch/en/c/cat-DC-94400</t>
  </si>
  <si>
    <t>07_02_06</t>
  </si>
  <si>
    <t>07_02_06_23321</t>
  </si>
  <si>
    <t>Power Supply AS-I</t>
  </si>
  <si>
    <t>AS-I Netzteile</t>
  </si>
  <si>
    <t>http://www.distrelec.ch/en/c/cat-23321</t>
  </si>
  <si>
    <t>07_02_06_23323</t>
  </si>
  <si>
    <t>AS-I addressing and diagnosis devices</t>
  </si>
  <si>
    <t>AS-I Diagnosegeräte</t>
  </si>
  <si>
    <t>http://www.distrelec.ch/en/c/cat-23323</t>
  </si>
  <si>
    <t>07_02_06_23326</t>
  </si>
  <si>
    <t>AS-I Accessories</t>
  </si>
  <si>
    <t>AS-I Zubehör</t>
  </si>
  <si>
    <t>http://www.distrelec.ch/en/c/cat-23326</t>
  </si>
  <si>
    <t>07_02_06_DC-57840</t>
  </si>
  <si>
    <t>DC-57840</t>
  </si>
  <si>
    <t>http://www.distrelec.ch/en/c/cat-DC-57840</t>
  </si>
  <si>
    <t>07_03</t>
  </si>
  <si>
    <t>07_03_01</t>
  </si>
  <si>
    <t>Inductive sensors</t>
  </si>
  <si>
    <t>07_03_01_30455</t>
  </si>
  <si>
    <t>Accessories for Inductive Proximity Sensors</t>
  </si>
  <si>
    <t>Zubehör für induktive Sensoren</t>
  </si>
  <si>
    <t>http://www.distrelec.ch/en/c/cat-30455</t>
  </si>
  <si>
    <t>07_03_01_DC-58458</t>
  </si>
  <si>
    <t>DC-58458</t>
  </si>
  <si>
    <t>Inductive Proximity Sensors</t>
  </si>
  <si>
    <t>Induktive Näherungssensoren</t>
  </si>
  <si>
    <t>http://www.distrelec.ch/en/c/cat-DC-58458</t>
  </si>
  <si>
    <t>07_03_02</t>
  </si>
  <si>
    <t>Optical sensors</t>
  </si>
  <si>
    <t>07_03_02_30477</t>
  </si>
  <si>
    <t>Accessories for Optical Sensors</t>
  </si>
  <si>
    <t>Zubehör für optische Sensoren</t>
  </si>
  <si>
    <t>http://www.distrelec.ch/en/c/cat-30477</t>
  </si>
  <si>
    <t>07_03_02_30479</t>
  </si>
  <si>
    <t>Optical Fibres</t>
  </si>
  <si>
    <t>Lichtwellenleiter</t>
  </si>
  <si>
    <t>http://www.distrelec.ch/en/c/cat-30479</t>
  </si>
  <si>
    <t>07_03_02_30504</t>
  </si>
  <si>
    <t>Cameras</t>
  </si>
  <si>
    <t>Kameras</t>
  </si>
  <si>
    <t>http://www.distrelec.ch/en/c/cat-30504</t>
  </si>
  <si>
    <t>07_03_02_DC-58461</t>
  </si>
  <si>
    <t>DC-58461</t>
  </si>
  <si>
    <t>http://www.distrelec.ch/en/c/cat-DC-58461</t>
  </si>
  <si>
    <t>07_03_03</t>
  </si>
  <si>
    <t>Reed/Hall sensors</t>
  </si>
  <si>
    <t>07_03_03_205130</t>
  </si>
  <si>
    <t>Accessories for Reed/Hall Sensors</t>
  </si>
  <si>
    <t>Zubehör für Reed-/Hallsensoren</t>
  </si>
  <si>
    <t>http://www.distrelec.ch/en/c/cat-205130</t>
  </si>
  <si>
    <t>07_03_03_DC-58462</t>
  </si>
  <si>
    <t>DC-58462</t>
  </si>
  <si>
    <t>Reed Sensors</t>
  </si>
  <si>
    <t>Reedsensoren</t>
  </si>
  <si>
    <t>http://www.distrelec.ch/en/c/cat-DC-58462</t>
  </si>
  <si>
    <t>07_03_03_DC-58463</t>
  </si>
  <si>
    <t>DC-58463</t>
  </si>
  <si>
    <t>Hall-Effect Sensors</t>
  </si>
  <si>
    <t>Hallsensoren</t>
  </si>
  <si>
    <t>http://www.distrelec.ch/en/c/cat-DC-58463</t>
  </si>
  <si>
    <t>07_03_04</t>
  </si>
  <si>
    <t>Travel/Angle Sensors</t>
  </si>
  <si>
    <t>07_03_04_30720</t>
  </si>
  <si>
    <t>Draw Wire Encoders</t>
  </si>
  <si>
    <t>Seilzüge</t>
  </si>
  <si>
    <t>http://www.distrelec.ch/en/c/cat-30720</t>
  </si>
  <si>
    <t>07_03_04_30786</t>
  </si>
  <si>
    <t>Accessories for Travel/Angle Sensors</t>
  </si>
  <si>
    <t>Zubehör für Weg-/Winkelaufnehmer</t>
  </si>
  <si>
    <t>http://www.distrelec.ch/en/c/cat-30786</t>
  </si>
  <si>
    <t>07_03_04_DC-58464</t>
  </si>
  <si>
    <t>DC-58464</t>
  </si>
  <si>
    <t>Linear Position Sensors</t>
  </si>
  <si>
    <t>Wegaufnehmer</t>
  </si>
  <si>
    <t>http://www.distrelec.ch/en/c/cat-DC-58464</t>
  </si>
  <si>
    <t>07_03_04_DC-58465</t>
  </si>
  <si>
    <t>DC-58465</t>
  </si>
  <si>
    <t>Angular Position Sensors</t>
  </si>
  <si>
    <t>Winkelaufnehmer</t>
  </si>
  <si>
    <t>http://www.distrelec.ch/en/c/cat-DC-58465</t>
  </si>
  <si>
    <t>07_03_05</t>
  </si>
  <si>
    <t>Rotary encoders</t>
  </si>
  <si>
    <t>07_03_05_30801</t>
  </si>
  <si>
    <t>Accessories for Rotary Encoders</t>
  </si>
  <si>
    <t>Zubehör für Drehgeber</t>
  </si>
  <si>
    <t>http://www.distrelec.ch/en/c/cat-30801</t>
  </si>
  <si>
    <t>07_03_05_30806</t>
  </si>
  <si>
    <t>Length Measuring Systems</t>
  </si>
  <si>
    <t>Längenmesssysteme</t>
  </si>
  <si>
    <t>http://www.distrelec.ch/en/c/cat-30806</t>
  </si>
  <si>
    <t>07_03_05_DC-58466</t>
  </si>
  <si>
    <t>DC-58466</t>
  </si>
  <si>
    <t>http://www.distrelec.ch/en/c/cat-DC-58466</t>
  </si>
  <si>
    <t>07_03_06</t>
  </si>
  <si>
    <t>L3D_525491</t>
  </si>
  <si>
    <t>Flow sensors</t>
  </si>
  <si>
    <t>07_03_06_30877</t>
  </si>
  <si>
    <t>Accessories for Flow Sensors</t>
  </si>
  <si>
    <t>Zubehör für Durchflusssensoren</t>
  </si>
  <si>
    <t>http://www.distrelec.ch/en/c/cat-30877</t>
  </si>
  <si>
    <t>07_03_06_DC-58470</t>
  </si>
  <si>
    <t>DC-58470</t>
  </si>
  <si>
    <t>http://www.distrelec.ch/en/c/cat-DC-58470</t>
  </si>
  <si>
    <t>07_03_07</t>
  </si>
  <si>
    <t>L3D_525492</t>
  </si>
  <si>
    <t>Pressure sensors</t>
  </si>
  <si>
    <t>07_03_07_30941</t>
  </si>
  <si>
    <t>Accessories for Pressure Sensors</t>
  </si>
  <si>
    <t>Zubehör für Drucksensoren</t>
  </si>
  <si>
    <t>http://www.distrelec.ch/en/c/cat-30941</t>
  </si>
  <si>
    <t>07_03_07_DC-58471</t>
  </si>
  <si>
    <t>DC-58471</t>
  </si>
  <si>
    <t>http://www.distrelec.ch/en/c/cat-DC-58471</t>
  </si>
  <si>
    <t>07_03_08</t>
  </si>
  <si>
    <t>L3D_525493</t>
  </si>
  <si>
    <t>Temperature sensors</t>
  </si>
  <si>
    <t>Temperatursensoren</t>
  </si>
  <si>
    <t>07_03_08_30965</t>
  </si>
  <si>
    <t>Miniature Temperature Sensors</t>
  </si>
  <si>
    <t>Miniatur-Temperatursensoren</t>
  </si>
  <si>
    <t>http://www.distrelec.ch/en/c/cat-30965</t>
  </si>
  <si>
    <t>07_03_08_30984</t>
  </si>
  <si>
    <t>Accessories Resistance Thermometers</t>
  </si>
  <si>
    <t>Zubehör Widerstandsthermometer</t>
  </si>
  <si>
    <t>http://www.distrelec.ch/en/c/cat-30984</t>
  </si>
  <si>
    <t>07_03_08_31015</t>
  </si>
  <si>
    <t>Thermocouples</t>
  </si>
  <si>
    <t>Thermoelemente</t>
  </si>
  <si>
    <t>http://www.distrelec.ch/en/c/cat-31015</t>
  </si>
  <si>
    <t>07_03_08_31018</t>
  </si>
  <si>
    <t>Thermocouple Plugs and Leads</t>
  </si>
  <si>
    <t>Thermoelementstecker und -leitungen</t>
  </si>
  <si>
    <t>http://www.distrelec.ch/en/c/cat-31018</t>
  </si>
  <si>
    <t>07_03_08_31022</t>
  </si>
  <si>
    <t>Thermostate</t>
  </si>
  <si>
    <t>http://www.distrelec.ch/en/c/cat-31022</t>
  </si>
  <si>
    <t>07_03_08_31024</t>
  </si>
  <si>
    <t>Accessories Thermostats</t>
  </si>
  <si>
    <t>Zubehör Thermostate</t>
  </si>
  <si>
    <t>http://www.distrelec.ch/en/c/cat-31024</t>
  </si>
  <si>
    <t>07_03_08_DC-58473</t>
  </si>
  <si>
    <t>DC-58473</t>
  </si>
  <si>
    <t>Resistance Thermometer in Housing or with Protective Pocket</t>
  </si>
  <si>
    <t>Widerstandsthermometer im Gehäuse</t>
  </si>
  <si>
    <t>http://www.distrelec.ch/en/c/cat-DC-58473</t>
  </si>
  <si>
    <t>07_03_09</t>
  </si>
  <si>
    <t>L3D_525500</t>
  </si>
  <si>
    <t>Sensor Distributors</t>
  </si>
  <si>
    <t>Sensorverteiler</t>
  </si>
  <si>
    <t>07_03_09_31068</t>
  </si>
  <si>
    <t>Accessories for Sensor Distributors</t>
  </si>
  <si>
    <t>Zubehör für Sensorverteiler</t>
  </si>
  <si>
    <t>http://www.distrelec.ch/en/c/cat-31068</t>
  </si>
  <si>
    <t>07_03_09_DC-58482</t>
  </si>
  <si>
    <t>DC-58482</t>
  </si>
  <si>
    <t>Distributor</t>
  </si>
  <si>
    <t>Verteiler</t>
  </si>
  <si>
    <t>http://www.distrelec.ch/en/c/cat-DC-58482</t>
  </si>
  <si>
    <t>07_03_205139</t>
  </si>
  <si>
    <t>Accessories for pH/Redox/Conductivity Sensors</t>
  </si>
  <si>
    <t>Zubehör für pH-Redox-Leitfähigkeitssensoren</t>
  </si>
  <si>
    <t>http://www.distrelec.ch/en/c/cat-205139</t>
  </si>
  <si>
    <t>07_03_247537</t>
  </si>
  <si>
    <t>Torque/Force Sensors</t>
  </si>
  <si>
    <t>Drehmoment-/Kraftsensoren</t>
  </si>
  <si>
    <t>http://www.distrelec.ch/en/c/cat-247537</t>
  </si>
  <si>
    <t>07_03_31040</t>
  </si>
  <si>
    <t>CO&lt;sub&gt;2&lt;/sub&gt; Sensors</t>
  </si>
  <si>
    <t>CO&lt;sub&gt;2&lt;/sub&gt;-Sensoren</t>
  </si>
  <si>
    <t>http://www.distrelec.ch/en/c/cat-31040</t>
  </si>
  <si>
    <t>07_03_DC-58459</t>
  </si>
  <si>
    <t>DC-58459</t>
  </si>
  <si>
    <t>Capacitive Proximity Sensors</t>
  </si>
  <si>
    <t>Kapazitive Näherungssensoren</t>
  </si>
  <si>
    <t>http://www.distrelec.ch/en/c/cat-DC-58459</t>
  </si>
  <si>
    <t>07_03_DC-58460</t>
  </si>
  <si>
    <t>DC-58460</t>
  </si>
  <si>
    <t>Ultrasonic Proximity Sensors</t>
  </si>
  <si>
    <t>Ultraschallnäherungssensoren</t>
  </si>
  <si>
    <t>http://www.distrelec.ch/en/c/cat-DC-58460</t>
  </si>
  <si>
    <t>07_03_DC-58467</t>
  </si>
  <si>
    <t>DC-58467</t>
  </si>
  <si>
    <t>Rotational Speed Sensors</t>
  </si>
  <si>
    <t>Drehgeschwindigkeitssensoren</t>
  </si>
  <si>
    <t>http://www.distrelec.ch/en/c/cat-DC-58467</t>
  </si>
  <si>
    <t>07_03_DC-58469</t>
  </si>
  <si>
    <t>DC-58469</t>
  </si>
  <si>
    <t>Liquid Level Sensors</t>
  </si>
  <si>
    <t>Flüssigkeitsstandsensoren</t>
  </si>
  <si>
    <t>http://www.distrelec.ch/en/c/cat-DC-58469</t>
  </si>
  <si>
    <t>07_03_DC-58474</t>
  </si>
  <si>
    <t>DC-58474</t>
  </si>
  <si>
    <t>Humidity Sensors</t>
  </si>
  <si>
    <t>Feuchtigkeitssensoren</t>
  </si>
  <si>
    <t>http://www.distrelec.ch/en/c/cat-DC-58474</t>
  </si>
  <si>
    <t>07_03_DC-58476</t>
  </si>
  <si>
    <t>DC-58476</t>
  </si>
  <si>
    <t>Climatic Sensors</t>
  </si>
  <si>
    <t>Klimasensoren</t>
  </si>
  <si>
    <t>http://www.distrelec.ch/en/c/cat-DC-58476</t>
  </si>
  <si>
    <t>07_03_DC-58477</t>
  </si>
  <si>
    <t>DC-58477</t>
  </si>
  <si>
    <t>pH/Redox/Conductivity Sensors</t>
  </si>
  <si>
    <t>pH-Redox-Leitfähigkeitssensoren</t>
  </si>
  <si>
    <t>http://www.distrelec.ch/en/c/cat-DC-58477</t>
  </si>
  <si>
    <t>07_03_DC-58479</t>
  </si>
  <si>
    <t>DC-58479</t>
  </si>
  <si>
    <t>Current Transducers</t>
  </si>
  <si>
    <t>Stromwandler</t>
  </si>
  <si>
    <t>http://www.distrelec.ch/en/c/cat-DC-58479</t>
  </si>
  <si>
    <t>07_03_DC-58480</t>
  </si>
  <si>
    <t>DC-58480</t>
  </si>
  <si>
    <t>Sensor Tester</t>
  </si>
  <si>
    <t>Sensortester</t>
  </si>
  <si>
    <t>http://www.distrelec.ch/en/c/cat-DC-58480</t>
  </si>
  <si>
    <t>07_03_DC-77827</t>
  </si>
  <si>
    <t>DC-77827</t>
  </si>
  <si>
    <t>Acceleration Sensors / Inclinometers</t>
  </si>
  <si>
    <t>Beschleunigungssensoren / Neigungssensoren</t>
  </si>
  <si>
    <t>http://www.distrelec.ch/en/c/cat-DC-77827</t>
  </si>
  <si>
    <t>07_04</t>
  </si>
  <si>
    <t>07_04_01</t>
  </si>
  <si>
    <t>Clock relays</t>
  </si>
  <si>
    <t>07_04_01_28407</t>
  </si>
  <si>
    <t>Accessories for time switches</t>
  </si>
  <si>
    <t>Zubehör für Schaltuhren</t>
  </si>
  <si>
    <t>http://www.distrelec.ch/en/c/cat-28407</t>
  </si>
  <si>
    <t>07_04_01_DC-58343</t>
  </si>
  <si>
    <t>DC-58343</t>
  </si>
  <si>
    <t>Plug-in socket timer type</t>
  </si>
  <si>
    <t>Steckdosenschaltuhren</t>
  </si>
  <si>
    <t>http://www.distrelec.ch/en/c/cat-DC-58343</t>
  </si>
  <si>
    <t>07_04_01_DC-58344</t>
  </si>
  <si>
    <t>DC-58344</t>
  </si>
  <si>
    <t>Timer clock modules</t>
  </si>
  <si>
    <t>Zeitschaltuhrmodule</t>
  </si>
  <si>
    <t>http://www.distrelec.ch/en/c/cat-DC-58344</t>
  </si>
  <si>
    <t>07_04_01_DC-58345</t>
  </si>
  <si>
    <t>DC-58345</t>
  </si>
  <si>
    <t>Timer clocks for DIN-assembly / control panel assembly</t>
  </si>
  <si>
    <t>Zeitschaltuhren für DIN-Montage / Schalttafeleinbau</t>
  </si>
  <si>
    <t>http://www.distrelec.ch/en/c/cat-DC-58345</t>
  </si>
  <si>
    <t>07_04_02</t>
  </si>
  <si>
    <t>07_04_02_28410</t>
  </si>
  <si>
    <t>Accessories for Counters/Meters, Electromechanical</t>
  </si>
  <si>
    <t>Zubehör für Zähler, elektromechanisch</t>
  </si>
  <si>
    <t>http://www.distrelec.ch/en/c/cat-28410</t>
  </si>
  <si>
    <t>07_04_02_28412</t>
  </si>
  <si>
    <t>Accessories for Counters/Meters and Tachometers, Electronic</t>
  </si>
  <si>
    <t>Zubehör für Zähler und Tachometer, elektronisch</t>
  </si>
  <si>
    <t>http://www.distrelec.ch/en/c/cat-28412</t>
  </si>
  <si>
    <t>07_04_02_DC-58346</t>
  </si>
  <si>
    <t>DC-58346</t>
  </si>
  <si>
    <t>Pulse Counters/Summators, Electromechanical</t>
  </si>
  <si>
    <t>Impuls-/Summenzähler, elektromechanisch</t>
  </si>
  <si>
    <t>http://www.distrelec.ch/en/c/cat-DC-58346</t>
  </si>
  <si>
    <t>07_04_02_DC-58347</t>
  </si>
  <si>
    <t>DC-58347</t>
  </si>
  <si>
    <t>Hour Counters/Meters, Electromechanical</t>
  </si>
  <si>
    <t>Betriebsstundenzähler, elektromechanisch</t>
  </si>
  <si>
    <t>http://www.distrelec.ch/en/c/cat-DC-58347</t>
  </si>
  <si>
    <t>07_04_02_DC-58348</t>
  </si>
  <si>
    <t>DC-58348</t>
  </si>
  <si>
    <t>Pulse Counters/Summators, Electronic</t>
  </si>
  <si>
    <t>Impuls-/Summenzähler, elektronisch</t>
  </si>
  <si>
    <t>http://www.distrelec.ch/en/c/cat-DC-58348</t>
  </si>
  <si>
    <t>07_04_02_DC-58349</t>
  </si>
  <si>
    <t>DC-58349</t>
  </si>
  <si>
    <t>Hour Meter, Electronic</t>
  </si>
  <si>
    <t>Betriebsstundenzähler, elektronisch</t>
  </si>
  <si>
    <t>http://www.distrelec.ch/en/c/cat-DC-58349</t>
  </si>
  <si>
    <t>07_04_02_DC-58350</t>
  </si>
  <si>
    <t>DC-58350</t>
  </si>
  <si>
    <t>Tachometers, Electronic</t>
  </si>
  <si>
    <t>Tachometer, elektronisch</t>
  </si>
  <si>
    <t>http://www.distrelec.ch/en/c/cat-DC-58350</t>
  </si>
  <si>
    <t>07_04_02_DC-58351</t>
  </si>
  <si>
    <t>DC-58351</t>
  </si>
  <si>
    <t>Multifunction Counters, Electronic</t>
  </si>
  <si>
    <t>Multifunktionszähler, elektronisch</t>
  </si>
  <si>
    <t>http://www.distrelec.ch/en/c/cat-DC-58351</t>
  </si>
  <si>
    <t>07_04_02_DC-58352</t>
  </si>
  <si>
    <t>DC-58352</t>
  </si>
  <si>
    <t>Energy Meters, Power Monitoring Devices</t>
  </si>
  <si>
    <t>Energiezähler, Leistungsmessgeräte</t>
  </si>
  <si>
    <t>http://www.distrelec.ch/en/c/cat-DC-58352</t>
  </si>
  <si>
    <t>07_04_03</t>
  </si>
  <si>
    <t>Monitoring relays / modules</t>
  </si>
  <si>
    <t>07_04_03_28414</t>
  </si>
  <si>
    <t>Accessories for monitoring relays</t>
  </si>
  <si>
    <t>Zubehör für Überwachungsrelais</t>
  </si>
  <si>
    <t>http://www.distrelec.ch/en/c/cat-28414</t>
  </si>
  <si>
    <t>07_04_03_DC-58353</t>
  </si>
  <si>
    <t>DC-58353</t>
  </si>
  <si>
    <t>Current monitoring relays</t>
  </si>
  <si>
    <t>Stromüberwachungsrelais</t>
  </si>
  <si>
    <t>http://www.distrelec.ch/en/c/cat-DC-58353</t>
  </si>
  <si>
    <t>07_04_03_DC-58354</t>
  </si>
  <si>
    <t>DC-58354</t>
  </si>
  <si>
    <t>Voltage monitoring relay</t>
  </si>
  <si>
    <t>Spannungsüberwachungsrelais</t>
  </si>
  <si>
    <t>http://www.distrelec.ch/en/c/cat-DC-58354</t>
  </si>
  <si>
    <t>07_04_03_DC-58355</t>
  </si>
  <si>
    <t>DC-58355</t>
  </si>
  <si>
    <t>Mains / phase monitoring relays</t>
  </si>
  <si>
    <t>Netz-/Phasenüberwachungsrelais</t>
  </si>
  <si>
    <t>http://www.distrelec.ch/en/c/cat-DC-58355</t>
  </si>
  <si>
    <t>07_04_03_DC-58356</t>
  </si>
  <si>
    <t>DC-58356</t>
  </si>
  <si>
    <t>Motor monitoring relays</t>
  </si>
  <si>
    <t>Motorüberwachungsrelais</t>
  </si>
  <si>
    <t>http://www.distrelec.ch/en/c/cat-DC-58356</t>
  </si>
  <si>
    <t>07_04_03_DC-58357</t>
  </si>
  <si>
    <t>DC-58357</t>
  </si>
  <si>
    <t>Speed Monitoring Relays</t>
  </si>
  <si>
    <t>Drehzahlüberwachungsrelais</t>
  </si>
  <si>
    <t>http://www.distrelec.ch/en/c/cat-DC-58357</t>
  </si>
  <si>
    <t>07_04_03_DC-58358</t>
  </si>
  <si>
    <t>DC-58358</t>
  </si>
  <si>
    <t>Display modules</t>
  </si>
  <si>
    <t>Anzeigemodule</t>
  </si>
  <si>
    <t>http://www.distrelec.ch/en/c/cat-DC-58358</t>
  </si>
  <si>
    <t>07_04_03_DC-77828</t>
  </si>
  <si>
    <t>DC-77828</t>
  </si>
  <si>
    <t>Level Monitoring Relays</t>
  </si>
  <si>
    <t>Füllstandsüberwachungsrelais</t>
  </si>
  <si>
    <t>http://www.distrelec.ch/en/c/cat-DC-77828</t>
  </si>
  <si>
    <t>07_04_03_DC-77831</t>
  </si>
  <si>
    <t>DC-77831</t>
  </si>
  <si>
    <t>Temperature Supervisory Relays</t>
  </si>
  <si>
    <t>Temperaturüberwachungsrelais</t>
  </si>
  <si>
    <t>http://www.distrelec.ch/en/c/cat-DC-77831</t>
  </si>
  <si>
    <t>07_04_03_DC-77832</t>
  </si>
  <si>
    <t>DC-77832</t>
  </si>
  <si>
    <t>Limit value switch</t>
  </si>
  <si>
    <t>Grenzwertschalter</t>
  </si>
  <si>
    <t>http://www.distrelec.ch/en/c/cat-DC-77832</t>
  </si>
  <si>
    <t>07_04_04</t>
  </si>
  <si>
    <t>Safety components</t>
  </si>
  <si>
    <t>07_04_04_28417</t>
  </si>
  <si>
    <t>Accessories for safety position switches</t>
  </si>
  <si>
    <t>Zubehör für Sicherheits-Positionsschalter</t>
  </si>
  <si>
    <t>http://www.distrelec.ch/en/c/cat-28417</t>
  </si>
  <si>
    <t>07_04_04_558259</t>
  </si>
  <si>
    <t>Accessories for Safety Components</t>
  </si>
  <si>
    <t>Zubehör für Sicherheitskomponenten</t>
  </si>
  <si>
    <t>http://www.distrelec.ch/en/c/cat-558259</t>
  </si>
  <si>
    <t>07_04_04_DC-58359</t>
  </si>
  <si>
    <t>DC-58359</t>
  </si>
  <si>
    <t>Safety switching devices</t>
  </si>
  <si>
    <t>Sicherheitsschaltgeräte</t>
  </si>
  <si>
    <t>http://www.distrelec.ch/en/c/cat-DC-58359</t>
  </si>
  <si>
    <t>07_04_04_DC-58362</t>
  </si>
  <si>
    <t>DC-58362</t>
  </si>
  <si>
    <t>Safety cable control switches</t>
  </si>
  <si>
    <t>Sicherheitsseilzugschalter</t>
  </si>
  <si>
    <t>http://www.distrelec.ch/en/c/cat-DC-58362</t>
  </si>
  <si>
    <t>07_04_04_DC-97942</t>
  </si>
  <si>
    <t>DC-97942</t>
  </si>
  <si>
    <t>Zero-contact safety switch</t>
  </si>
  <si>
    <t>Berührungslose Sicherheitsschalter</t>
  </si>
  <si>
    <t>http://www.distrelec.ch/en/c/cat-DC-97942</t>
  </si>
  <si>
    <t>07_04_04_DC-97959</t>
  </si>
  <si>
    <t>DC-97959</t>
  </si>
  <si>
    <t>Safety position switches</t>
  </si>
  <si>
    <t>Sicherheitspositionsschalter</t>
  </si>
  <si>
    <t>http://www.distrelec.ch/en/c/cat-DC-97959</t>
  </si>
  <si>
    <t>07_04_05</t>
  </si>
  <si>
    <t>07_04_05_28420</t>
  </si>
  <si>
    <t>Accessories for Limit Switches</t>
  </si>
  <si>
    <t>Zubehör für Positionsschalter</t>
  </si>
  <si>
    <t>http://www.distrelec.ch/en/c/cat-28420</t>
  </si>
  <si>
    <t>07_04_05_DC-97960</t>
  </si>
  <si>
    <t>DC-97960</t>
  </si>
  <si>
    <t>http://www.distrelec.ch/en/c/cat-DC-97960</t>
  </si>
  <si>
    <t>07_04_06</t>
  </si>
  <si>
    <t>Control switches and signalling devices 22 mm</t>
  </si>
  <si>
    <t>07_04_06_DC-58363</t>
  </si>
  <si>
    <t>DC-58363</t>
  </si>
  <si>
    <t>Control switches and signalling devices</t>
  </si>
  <si>
    <t>Befehls- und Meldegeräte</t>
  </si>
  <si>
    <t>http://www.distrelec.ch/en/c/cat-DC-58363</t>
  </si>
  <si>
    <t>07_04_06_DC-58364</t>
  </si>
  <si>
    <t>DC-58364</t>
  </si>
  <si>
    <t>Accessories for control and signalling units</t>
  </si>
  <si>
    <t>Zubehör für Befehls- und Meldegeräte</t>
  </si>
  <si>
    <t>http://www.distrelec.ch/en/c/cat-DC-58364</t>
  </si>
  <si>
    <t>Same final category url as cat-12347; cat-632372; cat-632373</t>
  </si>
  <si>
    <t>07_04_07</t>
  </si>
  <si>
    <t>L3D_525508</t>
  </si>
  <si>
    <t>Cam Type Switches</t>
  </si>
  <si>
    <t>Nockenschalter</t>
  </si>
  <si>
    <t>07_04_07_DC-58368</t>
  </si>
  <si>
    <t>DC-58368</t>
  </si>
  <si>
    <t>Cam type switch</t>
  </si>
  <si>
    <t>http://www.distrelec.ch/en/c/cat-DC-58368</t>
  </si>
  <si>
    <t>07_04_07_DC-58369</t>
  </si>
  <si>
    <t>DC-58369</t>
  </si>
  <si>
    <t>Accessories for cam contactors</t>
  </si>
  <si>
    <t>Zubehör Nockenschalter</t>
  </si>
  <si>
    <t>http://www.distrelec.ch/en/c/cat-DC-58369</t>
  </si>
  <si>
    <t>07_04_08</t>
  </si>
  <si>
    <t>L3D_525509</t>
  </si>
  <si>
    <t>Contactors</t>
  </si>
  <si>
    <t>Schütze</t>
  </si>
  <si>
    <t>07_04_08_529303</t>
  </si>
  <si>
    <t>Auxiliary switches</t>
  </si>
  <si>
    <t>Hilfsschalter</t>
  </si>
  <si>
    <t>http://www.distrelec.ch/en/c/cat-529303</t>
  </si>
  <si>
    <t>07_04_08_DC-58371</t>
  </si>
  <si>
    <t>DC-58371</t>
  </si>
  <si>
    <t>http://www.distrelec.ch/en/c/cat-DC-58371</t>
  </si>
  <si>
    <t>07_04_08_DC-58372</t>
  </si>
  <si>
    <t>DC-58372</t>
  </si>
  <si>
    <t>Accessories for contactors</t>
  </si>
  <si>
    <t>Zubehör für Schütze</t>
  </si>
  <si>
    <t>http://www.distrelec.ch/en/c/cat-DC-58372</t>
  </si>
  <si>
    <t>07_04_09</t>
  </si>
  <si>
    <t>L3D_525510</t>
  </si>
  <si>
    <t>Power switches / Overload relays / Compact starters</t>
  </si>
  <si>
    <t>Leistungsschalter / Überlastrelais / Kompaktstarter</t>
  </si>
  <si>
    <t>07_04_09_28428</t>
  </si>
  <si>
    <t>Accessories for circuit-breakers</t>
  </si>
  <si>
    <t>Zubehör für Leistungsschalter</t>
  </si>
  <si>
    <t>http://www.distrelec.ch/en/c/cat-28428</t>
  </si>
  <si>
    <t>07_04_09_28430</t>
  </si>
  <si>
    <t>Accessories for motor protective relays</t>
  </si>
  <si>
    <t>Zubehör für Motorschutzrelais</t>
  </si>
  <si>
    <t>http://www.distrelec.ch/en/c/cat-28430</t>
  </si>
  <si>
    <t>07_04_09_DC-58374</t>
  </si>
  <si>
    <t>DC-58374</t>
  </si>
  <si>
    <t>Power switches</t>
  </si>
  <si>
    <t>Leistungsschalter</t>
  </si>
  <si>
    <t>http://www.distrelec.ch/en/c/cat-DC-58374</t>
  </si>
  <si>
    <t>07_04_09_DC-58375</t>
  </si>
  <si>
    <t>DC-58375</t>
  </si>
  <si>
    <t>Protective motor relay</t>
  </si>
  <si>
    <t>Motorschutzrelais</t>
  </si>
  <si>
    <t>http://www.distrelec.ch/en/c/cat-DC-58375</t>
  </si>
  <si>
    <t>07_04_09_DC-84907</t>
  </si>
  <si>
    <t>DC-84907</t>
  </si>
  <si>
    <t>Compact starters</t>
  </si>
  <si>
    <t>Kompaktstarter</t>
  </si>
  <si>
    <t>http://www.distrelec.ch/en/c/cat-DC-84907</t>
  </si>
  <si>
    <t>07_04_10</t>
  </si>
  <si>
    <t>07_04_10_28404</t>
  </si>
  <si>
    <t>Accessories for time relays</t>
  </si>
  <si>
    <t>Zubehör für Zeitrelais</t>
  </si>
  <si>
    <t>http://www.distrelec.ch/en/c/cat-28404</t>
  </si>
  <si>
    <t>07_04_10_DC-58339</t>
  </si>
  <si>
    <t>DC-58339</t>
  </si>
  <si>
    <t>Time lag relays for DIN-rail mounting</t>
  </si>
  <si>
    <t>Zeitrelais für DIN-Schienenmontage</t>
  </si>
  <si>
    <t>http://www.distrelec.ch/en/c/cat-DC-58339</t>
  </si>
  <si>
    <t>07_04_10_DC-58340</t>
  </si>
  <si>
    <t>DC-58340</t>
  </si>
  <si>
    <t>Time lag relays for plug-in assembly</t>
  </si>
  <si>
    <t>Zeitrelais für Steckmontage</t>
  </si>
  <si>
    <t>http://www.distrelec.ch/en/c/cat-DC-58340</t>
  </si>
  <si>
    <t>07_04_10_DC-58341</t>
  </si>
  <si>
    <t>DC-58341</t>
  </si>
  <si>
    <t>Time lag relays for control panel / front panel mounting</t>
  </si>
  <si>
    <t>Zeitrelais für Schalttafel- / Frontplatteneinbau</t>
  </si>
  <si>
    <t>http://www.distrelec.ch/en/c/cat-DC-58341</t>
  </si>
  <si>
    <t>07_05</t>
  </si>
  <si>
    <t>07_05_01</t>
  </si>
  <si>
    <t>Motor controllers</t>
  </si>
  <si>
    <t>07_05_01_28254</t>
  </si>
  <si>
    <t>Accessories for Frequency Converters</t>
  </si>
  <si>
    <t>Zubehör Frequenzumrichter</t>
  </si>
  <si>
    <t>http://www.distrelec.ch/en/c/cat-28254</t>
  </si>
  <si>
    <t>07_05_01_28270</t>
  </si>
  <si>
    <t>Accessories for Stepper Motor Controllers</t>
  </si>
  <si>
    <t>Zubehör Schrittmotorsteuerungen</t>
  </si>
  <si>
    <t>http://www.distrelec.ch/en/c/cat-28270</t>
  </si>
  <si>
    <t>07_05_01_282931</t>
  </si>
  <si>
    <t>Accessories for DC Motor Controllers</t>
  </si>
  <si>
    <t>Zubehör DC-Motorsteuerungen</t>
  </si>
  <si>
    <t>http://www.distrelec.ch/en/c/cat-282931</t>
  </si>
  <si>
    <t>07_05_01_DC-56978</t>
  </si>
  <si>
    <t>DC-56978</t>
  </si>
  <si>
    <t>Soft Starters</t>
  </si>
  <si>
    <t>Sanftanlaufgeräte</t>
  </si>
  <si>
    <t>http://www.distrelec.ch/en/c/cat-DC-56978</t>
  </si>
  <si>
    <t>07_05_01_DC-56979</t>
  </si>
  <si>
    <t>DC-56979</t>
  </si>
  <si>
    <t>Frequency Converters</t>
  </si>
  <si>
    <t>Frequenzumrichter</t>
  </si>
  <si>
    <t>http://www.distrelec.ch/en/c/cat-DC-56979</t>
  </si>
  <si>
    <t>07_05_01_DC-56980</t>
  </si>
  <si>
    <t>DC-56980</t>
  </si>
  <si>
    <t>Stepper Motor Controllers</t>
  </si>
  <si>
    <t>Schrittmotorsteuerungen</t>
  </si>
  <si>
    <t>http://www.distrelec.ch/en/c/cat-DC-56980</t>
  </si>
  <si>
    <t>07_05_01_DC-56981</t>
  </si>
  <si>
    <t>DC-56981</t>
  </si>
  <si>
    <t>DC Motor Controllers</t>
  </si>
  <si>
    <t>DC-Motorsteuerungen</t>
  </si>
  <si>
    <t>http://www.distrelec.ch/en/c/cat-DC-56981</t>
  </si>
  <si>
    <t>07_05_02</t>
  </si>
  <si>
    <t>07_05_02_DC-56982</t>
  </si>
  <si>
    <t>DC-56982</t>
  </si>
  <si>
    <t>Ironless DC Motors with/without Gear Drive</t>
  </si>
  <si>
    <t>Eisenlose DC-Motoren mit/ohne Getriebe</t>
  </si>
  <si>
    <t>http://www.distrelec.ch/en/c/cat-DC-56982</t>
  </si>
  <si>
    <t>07_05_02_DC-56983</t>
  </si>
  <si>
    <t>DC-56983</t>
  </si>
  <si>
    <t>Iron-Core DC Motors with Gear Drive</t>
  </si>
  <si>
    <t>Eisenanker-DC-Motoren mit Getriebe</t>
  </si>
  <si>
    <t>http://www.distrelec.ch/en/c/cat-DC-56983</t>
  </si>
  <si>
    <t>07_05_02_DC-56984</t>
  </si>
  <si>
    <t>DC-56984</t>
  </si>
  <si>
    <t>Brushless DC motors</t>
  </si>
  <si>
    <t>Bürstenlose DC-Motoren</t>
  </si>
  <si>
    <t>http://www.distrelec.ch/en/c/cat-DC-56984</t>
  </si>
  <si>
    <t>07_05_03</t>
  </si>
  <si>
    <t>Stepper motors and servo drives</t>
  </si>
  <si>
    <t>07_05_03_28331</t>
  </si>
  <si>
    <t>Accessories for permanent-magnet stepper motors</t>
  </si>
  <si>
    <t>Zubehör zu Permanentmagnet-Schrittmotoren</t>
  </si>
  <si>
    <t>http://www.distrelec.ch/en/c/cat-28331</t>
  </si>
  <si>
    <t>07_05_03_28334</t>
  </si>
  <si>
    <t>Accessories for hybrid stepper motors</t>
  </si>
  <si>
    <t>Zubehör zu Hybrid-Schrittmotoren</t>
  </si>
  <si>
    <t>http://www.distrelec.ch/en/c/cat-28334</t>
  </si>
  <si>
    <t>07_05_03_28336</t>
  </si>
  <si>
    <t>Accessories for permanent-magnet linear motors</t>
  </si>
  <si>
    <t>Zubehör zu Permanentmagnet-Linearmotoren</t>
  </si>
  <si>
    <t>http://www.distrelec.ch/en/c/cat-28336</t>
  </si>
  <si>
    <t>07_05_03_28378</t>
  </si>
  <si>
    <t>Accessories for servo drives</t>
  </si>
  <si>
    <t>Zubehör zu Servoantriebe</t>
  </si>
  <si>
    <t>http://www.distrelec.ch/en/c/cat-28378</t>
  </si>
  <si>
    <t>07_05_03_DC-56985</t>
  </si>
  <si>
    <t>DC-56985</t>
  </si>
  <si>
    <t>Permanent-magnet stepper motors</t>
  </si>
  <si>
    <t>Permanentmagnet-Schrittmotoren</t>
  </si>
  <si>
    <t>http://www.distrelec.ch/en/c/cat-DC-56985</t>
  </si>
  <si>
    <t>07_05_03_DC-56986</t>
  </si>
  <si>
    <t>DC-56986</t>
  </si>
  <si>
    <t>Hybrid Stepper Motors</t>
  </si>
  <si>
    <t>Hybrid-Schrittmotoren</t>
  </si>
  <si>
    <t>http://www.distrelec.ch/en/c/cat-DC-56986</t>
  </si>
  <si>
    <t>07_05_03_DC-93366</t>
  </si>
  <si>
    <t>DC-93366</t>
  </si>
  <si>
    <t>Servo drives</t>
  </si>
  <si>
    <t>Servoantriebe</t>
  </si>
  <si>
    <t>http://www.distrelec.ch/en/c/cat-DC-93366</t>
  </si>
  <si>
    <t>07_05_04</t>
  </si>
  <si>
    <t>07_05_04_28384</t>
  </si>
  <si>
    <t>Gear drives</t>
  </si>
  <si>
    <t>http://www.distrelec.ch/en/c/cat-28384</t>
  </si>
  <si>
    <t>07_05_04_28386</t>
  </si>
  <si>
    <t>http://www.distrelec.ch/en/c/cat-28386</t>
  </si>
  <si>
    <t>07_05_04_DC-56988</t>
  </si>
  <si>
    <t>DC-56988</t>
  </si>
  <si>
    <t>AC motors with/without speed regulator, gear drive</t>
  </si>
  <si>
    <t>AC-Motoren mit/ohne Drehzahlregelung, Getriebe</t>
  </si>
  <si>
    <t>http://www.distrelec.ch/en/c/cat-DC-56988</t>
  </si>
  <si>
    <t>07_05_05</t>
  </si>
  <si>
    <t>07_05_05_184812</t>
  </si>
  <si>
    <t>Shaft couplings</t>
  </si>
  <si>
    <t>Wellenkupplungen</t>
  </si>
  <si>
    <t>http://www.distrelec.ch/en/c/cat-184812</t>
  </si>
  <si>
    <t>07_05_05_184814</t>
  </si>
  <si>
    <t>Belt transmissions</t>
  </si>
  <si>
    <t>http://www.distrelec.ch/en/c/cat-184814</t>
  </si>
  <si>
    <t>07_05_06</t>
  </si>
  <si>
    <t>Linear drives</t>
  </si>
  <si>
    <t>07_05_06_35984</t>
  </si>
  <si>
    <t>Industrial linear drivers/electric cylinders</t>
  </si>
  <si>
    <t>Industrielle Linearmotoren/Elektrozylinder</t>
  </si>
  <si>
    <t>http://www.distrelec.ch/en/c/cat-35984</t>
  </si>
  <si>
    <t>07_05_06_35986</t>
  </si>
  <si>
    <t>Slide Units</t>
  </si>
  <si>
    <t>Schlitteneinheiten</t>
  </si>
  <si>
    <t>http://www.distrelec.ch/en/c/cat-35986</t>
  </si>
  <si>
    <t>07_05_06_493777</t>
  </si>
  <si>
    <t>Accessories for Linear Drivers and Slide Units</t>
  </si>
  <si>
    <t>Zubehör Linearmotoren und Schlitteneinheiten</t>
  </si>
  <si>
    <t>http://www.distrelec.ch/en/c/cat-493777</t>
  </si>
  <si>
    <t>07_05_06_575053</t>
  </si>
  <si>
    <t>Swivel Tables</t>
  </si>
  <si>
    <t>Schwenktische</t>
  </si>
  <si>
    <t>http://www.distrelec.ch/en/c/cat-575053</t>
  </si>
  <si>
    <t>07_05_06_DC-56987</t>
  </si>
  <si>
    <t>DC-56987</t>
  </si>
  <si>
    <t>Permanent-magnet linear motors</t>
  </si>
  <si>
    <t>Permanentmagnet-Linearmotoren</t>
  </si>
  <si>
    <t>http://www.distrelec.ch/en/c/cat-DC-56987</t>
  </si>
  <si>
    <t>07_05_07</t>
  </si>
  <si>
    <t>07_05_07_357417</t>
  </si>
  <si>
    <t>Rotary Solenoids</t>
  </si>
  <si>
    <t>Drehmagnete</t>
  </si>
  <si>
    <t>http://www.distrelec.ch/en/c/cat-357417</t>
  </si>
  <si>
    <t>07_05_07_357419</t>
  </si>
  <si>
    <t>Holding Solenoids</t>
  </si>
  <si>
    <t>Haftmagnete</t>
  </si>
  <si>
    <t>http://www.distrelec.ch/en/c/cat-357419</t>
  </si>
  <si>
    <t>07_05_07_357421</t>
  </si>
  <si>
    <t>Solenoid Actuators</t>
  </si>
  <si>
    <t>Hubmagnete</t>
  </si>
  <si>
    <t>http://www.distrelec.ch/en/c/cat-357421</t>
  </si>
  <si>
    <t>07_06</t>
  </si>
  <si>
    <t>07_06_01</t>
  </si>
  <si>
    <t>07_06_01_25187</t>
  </si>
  <si>
    <t>http://www.distrelec.ch/en/c/cat-25187</t>
  </si>
  <si>
    <t>07_06_01_25257</t>
  </si>
  <si>
    <t>Connecting plates</t>
  </si>
  <si>
    <t>Anschlussplatten</t>
  </si>
  <si>
    <t>http://www.distrelec.ch/en/c/cat-25257</t>
  </si>
  <si>
    <t>07_06_01_25262</t>
  </si>
  <si>
    <t>Two-hand controls</t>
  </si>
  <si>
    <t>Zweihandsteuerungen</t>
  </si>
  <si>
    <t>http://www.distrelec.ch/en/c/cat-25262</t>
  </si>
  <si>
    <t>07_06_01_25265</t>
  </si>
  <si>
    <t>Silencers</t>
  </si>
  <si>
    <t>Schalldämpfer</t>
  </si>
  <si>
    <t>http://www.distrelec.ch/en/c/cat-25265</t>
  </si>
  <si>
    <t>07_06_01_DC-88302</t>
  </si>
  <si>
    <t>DC-88302</t>
  </si>
  <si>
    <t>Solenoids</t>
  </si>
  <si>
    <t>Magnetventile</t>
  </si>
  <si>
    <t>http://www.distrelec.ch/en/c/cat-DC-88302</t>
  </si>
  <si>
    <t>07_06_01_DC-91686</t>
  </si>
  <si>
    <t>DC-91686</t>
  </si>
  <si>
    <t>Process valves</t>
  </si>
  <si>
    <t>Prozessventile</t>
  </si>
  <si>
    <t>http://www.distrelec.ch/en/c/cat-DC-91686</t>
  </si>
  <si>
    <t>07_06_01_DC-91687</t>
  </si>
  <si>
    <t>DC-91687</t>
  </si>
  <si>
    <t>Pneumatic valves</t>
  </si>
  <si>
    <t>Pneumatische Ventile</t>
  </si>
  <si>
    <t>http://www.distrelec.ch/en/c/cat-DC-91687</t>
  </si>
  <si>
    <t>07_06_01_DC-91688</t>
  </si>
  <si>
    <t>DC-91688</t>
  </si>
  <si>
    <t>Mechanical valves</t>
  </si>
  <si>
    <t>Mechanische Ventile</t>
  </si>
  <si>
    <t>http://www.distrelec.ch/en/c/cat-DC-91688</t>
  </si>
  <si>
    <t>07_06_01_DC-91689</t>
  </si>
  <si>
    <t>DC-91689</t>
  </si>
  <si>
    <t>Logic valves</t>
  </si>
  <si>
    <t>Logikventile</t>
  </si>
  <si>
    <t>http://www.distrelec.ch/en/c/cat-DC-91689</t>
  </si>
  <si>
    <t>07_06_02</t>
  </si>
  <si>
    <t>07_06_02_25246</t>
  </si>
  <si>
    <t>Cylinder accessories</t>
  </si>
  <si>
    <t>Zylinder-Zubehör</t>
  </si>
  <si>
    <t>http://www.distrelec.ch/en/c/cat-25246</t>
  </si>
  <si>
    <t>07_06_02_25251</t>
  </si>
  <si>
    <t>Stroke-arresting device</t>
  </si>
  <si>
    <t>Hubbegrenzung</t>
  </si>
  <si>
    <t>http://www.distrelec.ch/en/c/cat-25251</t>
  </si>
  <si>
    <t>07_06_02_25668</t>
  </si>
  <si>
    <t>Shock absorber</t>
  </si>
  <si>
    <t>Stossdämpfer</t>
  </si>
  <si>
    <t>http://www.distrelec.ch/en/c/cat-25668</t>
  </si>
  <si>
    <t>07_06_02_491693</t>
  </si>
  <si>
    <t>Shock absorber accessories</t>
  </si>
  <si>
    <t>Zubehör Stossdämpfer</t>
  </si>
  <si>
    <t>http://www.distrelec.ch/en/c/cat-491693</t>
  </si>
  <si>
    <t>07_06_02_DC-91690</t>
  </si>
  <si>
    <t>DC-91690</t>
  </si>
  <si>
    <t>Cylinders</t>
  </si>
  <si>
    <t>Zylinder</t>
  </si>
  <si>
    <t>http://www.distrelec.ch/en/c/cat-DC-91690</t>
  </si>
  <si>
    <t>2 367</t>
  </si>
  <si>
    <t>07_06_02_DC-91691</t>
  </si>
  <si>
    <t>DC-91691</t>
  </si>
  <si>
    <t>Carriages, swivel tables and grippers</t>
  </si>
  <si>
    <t>Schlitten, Schwenktische und Greifer</t>
  </si>
  <si>
    <t>http://www.distrelec.ch/en/c/cat-DC-91691</t>
  </si>
  <si>
    <t>07_06_03</t>
  </si>
  <si>
    <t>07_06_03_DC-91694</t>
  </si>
  <si>
    <t>DC-91694</t>
  </si>
  <si>
    <t>Fittings and Hoses</t>
  </si>
  <si>
    <t>Steckverbinder und Schläuche</t>
  </si>
  <si>
    <t>http://www.distrelec.ch/en/c/cat-DC-91694</t>
  </si>
  <si>
    <t>07_06_03_DC-91695</t>
  </si>
  <si>
    <t>DC-91695</t>
  </si>
  <si>
    <t>Restrictor, one-way and quick exhaust valves</t>
  </si>
  <si>
    <t>Drossel-, Rückschlag- und Schnellentlüftungsventile</t>
  </si>
  <si>
    <t>http://www.distrelec.ch/en/c/cat-DC-91695</t>
  </si>
  <si>
    <t>07_06_04</t>
  </si>
  <si>
    <t>Vacuum technology</t>
  </si>
  <si>
    <t>07_06_04_25213</t>
  </si>
  <si>
    <t>http://www.distrelec.ch/en/c/cat-25213</t>
  </si>
  <si>
    <t>07_06_04_25217</t>
  </si>
  <si>
    <t>Vacuum suction</t>
  </si>
  <si>
    <t>Vakuumsauger</t>
  </si>
  <si>
    <t>http://www.distrelec.ch/en/c/cat-25217</t>
  </si>
  <si>
    <t>07_06_04_DC-88448</t>
  </si>
  <si>
    <t>DC-88448</t>
  </si>
  <si>
    <t>Vacuum generators</t>
  </si>
  <si>
    <t>Vakuumerzeuger</t>
  </si>
  <si>
    <t>http://www.distrelec.ch/en/c/cat-DC-88448</t>
  </si>
  <si>
    <t>07_06_04_DC-91696</t>
  </si>
  <si>
    <t>DC-91696</t>
  </si>
  <si>
    <t>Vacuum filters</t>
  </si>
  <si>
    <t>Vakuumfilter</t>
  </si>
  <si>
    <t>http://www.distrelec.ch/en/c/cat-DC-91696</t>
  </si>
  <si>
    <t>07_06_05</t>
  </si>
  <si>
    <t>Air treatment system</t>
  </si>
  <si>
    <t>07_06_05_25359</t>
  </si>
  <si>
    <t>http://www.distrelec.ch/en/c/cat-25359</t>
  </si>
  <si>
    <t>07_06_05_25361</t>
  </si>
  <si>
    <t>Manometer</t>
  </si>
  <si>
    <t>http://www.distrelec.ch/en/c/cat-25361</t>
  </si>
  <si>
    <t>07_06_05_25367</t>
  </si>
  <si>
    <t>Pressure amplifier</t>
  </si>
  <si>
    <t>Druckverstärker</t>
  </si>
  <si>
    <t>http://www.distrelec.ch/en/c/cat-25367</t>
  </si>
  <si>
    <t>07_06_05_491662</t>
  </si>
  <si>
    <t>Air Amplifier</t>
  </si>
  <si>
    <t>Volumenstromverstärker</t>
  </si>
  <si>
    <t>http://www.distrelec.ch/en/c/cat-491662</t>
  </si>
  <si>
    <t>07_06_05_DC-88304</t>
  </si>
  <si>
    <t>DC-88304</t>
  </si>
  <si>
    <t>Filters, Controllers and Lubricators</t>
  </si>
  <si>
    <t>Filter, Regler und Öler</t>
  </si>
  <si>
    <t>http://www.distrelec.ch/en/c/cat-DC-88304</t>
  </si>
  <si>
    <t>07_06_05_DC-91693</t>
  </si>
  <si>
    <t>DC-91693</t>
  </si>
  <si>
    <t>Electropneumatic controllers</t>
  </si>
  <si>
    <t>Elektropneumatische Regler</t>
  </si>
  <si>
    <t>http://www.distrelec.ch/en/c/cat-DC-91693</t>
  </si>
  <si>
    <t>07_06_06</t>
  </si>
  <si>
    <t>Position Sensors</t>
  </si>
  <si>
    <t>07_06_06_25674</t>
  </si>
  <si>
    <t>http://www.distrelec.ch/en/c/cat-25674</t>
  </si>
  <si>
    <t>07_06_06_DC-91692</t>
  </si>
  <si>
    <t>DC-91692</t>
  </si>
  <si>
    <t>Signal Generators</t>
  </si>
  <si>
    <t>http://www.distrelec.ch/en/c/cat-DC-91692</t>
  </si>
  <si>
    <t>07_07</t>
  </si>
  <si>
    <t>07_07_01</t>
  </si>
  <si>
    <t>Optical signal generators</t>
  </si>
  <si>
    <t>07_07_01_24814</t>
  </si>
  <si>
    <t>http://www.distrelec.ch/en/c/cat-24814</t>
  </si>
  <si>
    <t>07_07_01_DC-57844</t>
  </si>
  <si>
    <t>DC-57844</t>
  </si>
  <si>
    <t>Warning/ Flashing Beacons</t>
  </si>
  <si>
    <t>Warn- / Blitzleuchten</t>
  </si>
  <si>
    <t>http://www.distrelec.ch/en/c/cat-DC-57844</t>
  </si>
  <si>
    <t>07_07_01_DC-57845</t>
  </si>
  <si>
    <t>DC-57845</t>
  </si>
  <si>
    <t>Stacking Beacons</t>
  </si>
  <si>
    <t>Signalsäulen</t>
  </si>
  <si>
    <t>http://www.distrelec.ch/en/c/cat-DC-57845</t>
  </si>
  <si>
    <t>07_07_01_DC-57846</t>
  </si>
  <si>
    <t>DC-57846</t>
  </si>
  <si>
    <t>Rotating Reflector Beacons</t>
  </si>
  <si>
    <t>Drehspiegelleuchten</t>
  </si>
  <si>
    <t>http://www.distrelec.ch/en/c/cat-DC-57846</t>
  </si>
  <si>
    <t>07_07_02</t>
  </si>
  <si>
    <t>Optical/acoustic signal generators</t>
  </si>
  <si>
    <t>07_07_02_DC-57847</t>
  </si>
  <si>
    <t>DC-57847</t>
  </si>
  <si>
    <t>Warning lights/buzzers</t>
  </si>
  <si>
    <t>Warnlicht-Summer</t>
  </si>
  <si>
    <t>http://www.distrelec.ch/en/c/cat-DC-57847</t>
  </si>
  <si>
    <t>07_07_03</t>
  </si>
  <si>
    <t>Acoustic signal generators</t>
  </si>
  <si>
    <t>07_07_03_24817</t>
  </si>
  <si>
    <t>http://www.distrelec.ch/en/c/cat-24817</t>
  </si>
  <si>
    <t>07_07_03_DC-57848</t>
  </si>
  <si>
    <t>DC-57848</t>
  </si>
  <si>
    <t>Signalling Horns and Sirens for Wall Mounting</t>
  </si>
  <si>
    <t>Signalhupen und Sirenen für Wandmontage</t>
  </si>
  <si>
    <t>http://www.distrelec.ch/en/c/cat-DC-57848</t>
  </si>
  <si>
    <t>07_07_03_DC-57849</t>
  </si>
  <si>
    <t>DC-57849</t>
  </si>
  <si>
    <t>Bells</t>
  </si>
  <si>
    <t>Läutewerke</t>
  </si>
  <si>
    <t>http://www.distrelec.ch/en/c/cat-DC-57849</t>
  </si>
  <si>
    <t>07_07_03_DC-57850</t>
  </si>
  <si>
    <t>DC-57850</t>
  </si>
  <si>
    <t>Signal generators for control panels</t>
  </si>
  <si>
    <t>Signalgeber Schalttafel</t>
  </si>
  <si>
    <t>http://www.distrelec.ch/en/c/cat-DC-57850</t>
  </si>
  <si>
    <t>07_07_03_DC-57851</t>
  </si>
  <si>
    <t>DC-57851</t>
  </si>
  <si>
    <t>Signal generators for PCBs</t>
  </si>
  <si>
    <t>Signalgeber Leiterplatten</t>
  </si>
  <si>
    <t>http://www.distrelec.ch/en/c/cat-DC-57851</t>
  </si>
  <si>
    <t>07_07_03_DC-57852</t>
  </si>
  <si>
    <t>DC-57852</t>
  </si>
  <si>
    <t>Loudspeakers</t>
  </si>
  <si>
    <t>Lautsprecher</t>
  </si>
  <si>
    <t>http://www.distrelec.ch/en/c/cat-DC-57852</t>
  </si>
  <si>
    <t>Electrical Engineering / Cables</t>
  </si>
  <si>
    <t>08_01</t>
  </si>
  <si>
    <t>Fuses / Circuit Breakers / RCD and Over-voltage Protection</t>
  </si>
  <si>
    <t>08_01_01</t>
  </si>
  <si>
    <t>08_01_01_24889</t>
  </si>
  <si>
    <t>http://www.distrelec.ch/en/c/cat-24889</t>
  </si>
  <si>
    <t>08_01_01_24891</t>
  </si>
  <si>
    <t>Accessories for Fuses</t>
  </si>
  <si>
    <t>Zubehör zu Sicherungen</t>
  </si>
  <si>
    <t>http://www.distrelec.ch/en/c/cat-24891</t>
  </si>
  <si>
    <t>08_01_01_24893</t>
  </si>
  <si>
    <t>Circuit Breakers</t>
  </si>
  <si>
    <t>http://www.distrelec.ch/en/c/cat-24893</t>
  </si>
  <si>
    <t>08_01_01_24895</t>
  </si>
  <si>
    <t>RCDs</t>
  </si>
  <si>
    <t>FI-Schutzschalter</t>
  </si>
  <si>
    <t>http://www.distrelec.ch/en/c/cat-24895</t>
  </si>
  <si>
    <t>08_01_01_24897</t>
  </si>
  <si>
    <t>Accessories for Line Protection / RCDs</t>
  </si>
  <si>
    <t>Zubehör zu Leitungs- /FI-Schutzschalter</t>
  </si>
  <si>
    <t>http://www.distrelec.ch/en/c/cat-24897</t>
  </si>
  <si>
    <t>08_01_01_24899</t>
  </si>
  <si>
    <t>Over-voltage Protection</t>
  </si>
  <si>
    <t>Überspannungsschutz</t>
  </si>
  <si>
    <t>http://www.distrelec.ch/en/c/cat-24899</t>
  </si>
  <si>
    <t>08_02</t>
  </si>
  <si>
    <t>Enclosures / Fans / Heating Devices</t>
  </si>
  <si>
    <t>08_02_01</t>
  </si>
  <si>
    <t>08_02_01_177867</t>
  </si>
  <si>
    <t>19" Cabinets / Laboratory racks</t>
  </si>
  <si>
    <t>19"-Gehäuse/Labor-Racks</t>
  </si>
  <si>
    <t>http://www.distrelec.ch/en/c/cat-177867</t>
  </si>
  <si>
    <t>08_02_01_177870</t>
  </si>
  <si>
    <t>19" Cases</t>
  </si>
  <si>
    <t>19"-Gehäuse</t>
  </si>
  <si>
    <t>http://www.distrelec.ch/en/c/cat-177870</t>
  </si>
  <si>
    <t>08_02_01_177871</t>
  </si>
  <si>
    <t>19" Subracks</t>
  </si>
  <si>
    <t>19''-Baugruppenträger</t>
  </si>
  <si>
    <t>http://www.distrelec.ch/en/c/cat-177871</t>
  </si>
  <si>
    <t>08_02_01_177878</t>
  </si>
  <si>
    <t>19" plug-in units</t>
  </si>
  <si>
    <t>19"-Plug-in Einheiten</t>
  </si>
  <si>
    <t>http://www.distrelec.ch/en/c/cat-177878</t>
  </si>
  <si>
    <t>08_02_01_360554</t>
  </si>
  <si>
    <t>19'' Accessories</t>
  </si>
  <si>
    <t>19"-Zubehör</t>
  </si>
  <si>
    <t>http://www.distrelec.ch/en/c/cat-360554</t>
  </si>
  <si>
    <t>08_02_01_530364</t>
  </si>
  <si>
    <t>Panels</t>
  </si>
  <si>
    <t>Panele</t>
  </si>
  <si>
    <t>http://www.distrelec.ch/en/c/cat-530364</t>
  </si>
  <si>
    <t>08_02_01_558512</t>
  </si>
  <si>
    <t>Desktop Cases</t>
  </si>
  <si>
    <t>Desktopgehäuse</t>
  </si>
  <si>
    <t>http://www.distrelec.ch/en/c/cat-558512</t>
  </si>
  <si>
    <t>08_02_01_559700</t>
  </si>
  <si>
    <t>Mounting plates</t>
  </si>
  <si>
    <t>Montageplatten</t>
  </si>
  <si>
    <t>http://www.distrelec.ch/en/c/cat-559700</t>
  </si>
  <si>
    <t>08_02_01_568072</t>
  </si>
  <si>
    <t>Handles</t>
  </si>
  <si>
    <t>Griffe</t>
  </si>
  <si>
    <t>http://www.distrelec.ch/en/c/cat-568072</t>
  </si>
  <si>
    <t>08_02_01_573687</t>
  </si>
  <si>
    <t>Backplanes</t>
  </si>
  <si>
    <t>http://www.distrelec.ch/en/c/cat-573687</t>
  </si>
  <si>
    <t>08_02_01_573689</t>
  </si>
  <si>
    <t>Test adaptors</t>
  </si>
  <si>
    <t>Testadapter</t>
  </si>
  <si>
    <t>http://www.distrelec.ch/en/c/cat-573689</t>
  </si>
  <si>
    <t>08_02_01_575331</t>
  </si>
  <si>
    <t>Brackets</t>
  </si>
  <si>
    <t>Winkel</t>
  </si>
  <si>
    <t>http://www.distrelec.ch/en/c/cat-575331</t>
  </si>
  <si>
    <t>08_02_01_575391</t>
  </si>
  <si>
    <t>Enclosure Rails</t>
  </si>
  <si>
    <t>Gehäuseschienen</t>
  </si>
  <si>
    <t>http://www.distrelec.ch/en/c/cat-575391</t>
  </si>
  <si>
    <t>08_02_01_576830</t>
  </si>
  <si>
    <t>Guide Rails</t>
  </si>
  <si>
    <t>Führungsschienen</t>
  </si>
  <si>
    <t>http://www.distrelec.ch/en/c/cat-576830</t>
  </si>
  <si>
    <t>08_02_01_579026</t>
  </si>
  <si>
    <t>Cover Plates</t>
  </si>
  <si>
    <t>Abdeckplatten</t>
  </si>
  <si>
    <t>http://www.distrelec.ch/en/c/cat-579026</t>
  </si>
  <si>
    <t>08_02_01_579322</t>
  </si>
  <si>
    <t>U-Profiles</t>
  </si>
  <si>
    <t>U-Profile</t>
  </si>
  <si>
    <t>http://www.distrelec.ch/en/c/cat-579322</t>
  </si>
  <si>
    <t>08_02_01_582738</t>
  </si>
  <si>
    <t>Screws</t>
  </si>
  <si>
    <t>Schrauben</t>
  </si>
  <si>
    <t>http://www.distrelec.ch/en/c/cat-582738</t>
  </si>
  <si>
    <t>08_02_01_634374</t>
  </si>
  <si>
    <t>Assembly kits</t>
  </si>
  <si>
    <t>Montagesätze</t>
  </si>
  <si>
    <t>http://www.distrelec.ch/en/c/cat-634374</t>
  </si>
  <si>
    <t>08_02_02</t>
  </si>
  <si>
    <t>08_02_02_177886</t>
  </si>
  <si>
    <t>Plastic Enclosures</t>
  </si>
  <si>
    <t>Kunststoffgehäuse</t>
  </si>
  <si>
    <t>http://www.distrelec.ch/en/c/cat-177886</t>
  </si>
  <si>
    <t>08_02_02_177889</t>
  </si>
  <si>
    <t>Metal Enclosures</t>
  </si>
  <si>
    <t>Metallgehäuse</t>
  </si>
  <si>
    <t>http://www.distrelec.ch/en/c/cat-177889</t>
  </si>
  <si>
    <t>08_02_02_25277</t>
  </si>
  <si>
    <t>Plastic Enclosure with Mains Plug</t>
  </si>
  <si>
    <t>Kunststoffgehäuse mit Netzstecker</t>
  </si>
  <si>
    <t>http://www.distrelec.ch/en/c/cat-25277</t>
  </si>
  <si>
    <t>08_02_02_25279</t>
  </si>
  <si>
    <t>Device Housing with Aluminium Front Panel</t>
  </si>
  <si>
    <t>Gerätegehäuse mit Alu-Frontplatte</t>
  </si>
  <si>
    <t>http://www.distrelec.ch/en/c/cat-25279</t>
  </si>
  <si>
    <t>08_02_02_25281</t>
  </si>
  <si>
    <t>Accessories for Enclosures</t>
  </si>
  <si>
    <t>Zubehör für Gehäuse</t>
  </si>
  <si>
    <t>http://www.distrelec.ch/en/c/cat-25281</t>
  </si>
  <si>
    <t>08_02_02_25285</t>
  </si>
  <si>
    <t>Plastic Enclosures for DIN Rail Mounting</t>
  </si>
  <si>
    <t>Kunststoffgehäuse zur Montage auf DIN-Schiene</t>
  </si>
  <si>
    <t>http://www.distrelec.ch/en/c/cat-25285</t>
  </si>
  <si>
    <t>08_02_02_25287</t>
  </si>
  <si>
    <t>Profile Enclosures, Clamshell Type</t>
  </si>
  <si>
    <t>Profilgehäuse 2-schalig</t>
  </si>
  <si>
    <t>http://www.distrelec.ch/en/c/cat-25287</t>
  </si>
  <si>
    <t>08_02_02_558565</t>
  </si>
  <si>
    <t>Wall Mounted Metal Cases</t>
  </si>
  <si>
    <t>Metallgehäuse mit Wandmontage</t>
  </si>
  <si>
    <t>http://www.distrelec.ch/en/c/cat-558565</t>
  </si>
  <si>
    <t>08_02_03</t>
  </si>
  <si>
    <t>08_02_03_25291</t>
  </si>
  <si>
    <t>Enclosure Feet</t>
  </si>
  <si>
    <t>Gehäusefüsse</t>
  </si>
  <si>
    <t>http://www.distrelec.ch/en/c/cat-25291</t>
  </si>
  <si>
    <t>08_02_03_25293</t>
  </si>
  <si>
    <t>http://www.distrelec.ch/en/c/cat-25293</t>
  </si>
  <si>
    <t>08_02_03_25297</t>
  </si>
  <si>
    <t>Mounting Rail Holders</t>
  </si>
  <si>
    <t>Tragschienenhalter</t>
  </si>
  <si>
    <t>http://www.distrelec.ch/en/c/cat-25297</t>
  </si>
  <si>
    <t>08_02_03_25299</t>
  </si>
  <si>
    <t>Pressure Compensating Elements</t>
  </si>
  <si>
    <t>Druckausgleichselemente</t>
  </si>
  <si>
    <t>http://www.distrelec.ch/en/c/cat-25299</t>
  </si>
  <si>
    <t>08_02_03_25301</t>
  </si>
  <si>
    <t>Bushings</t>
  </si>
  <si>
    <t>Durchführungen</t>
  </si>
  <si>
    <t>http://www.distrelec.ch/en/c/cat-25301</t>
  </si>
  <si>
    <t>08_02_03_25303</t>
  </si>
  <si>
    <t>EMC Screening Gaskets</t>
  </si>
  <si>
    <t>EMV-Abschirmdichtungen</t>
  </si>
  <si>
    <t>http://www.distrelec.ch/en/c/cat-25303</t>
  </si>
  <si>
    <t>08_02_03_25307</t>
  </si>
  <si>
    <t>19” Cable Management</t>
  </si>
  <si>
    <t>19" Kabelmanagement</t>
  </si>
  <si>
    <t>http://www.distrelec.ch/en/c/cat-25307</t>
  </si>
  <si>
    <t>08_02_03_25309</t>
  </si>
  <si>
    <t>Interface Flaps</t>
  </si>
  <si>
    <t>Schnittstellenklappen</t>
  </si>
  <si>
    <t>http://www.distrelec.ch/en/c/cat-25309</t>
  </si>
  <si>
    <t>08_02_03_25311</t>
  </si>
  <si>
    <t>USB Extensions</t>
  </si>
  <si>
    <t>USB-Verlängerungen</t>
  </si>
  <si>
    <t>http://www.distrelec.ch/en/c/cat-25311</t>
  </si>
  <si>
    <t>08_02_04</t>
  </si>
  <si>
    <t>08_02_04_177890</t>
  </si>
  <si>
    <t>Axial Fans</t>
  </si>
  <si>
    <t>Axiallüfter</t>
  </si>
  <si>
    <t>http://www.distrelec.ch/en/c/cat-177890</t>
  </si>
  <si>
    <t>08_02_04_177892</t>
  </si>
  <si>
    <t>Radial Fans</t>
  </si>
  <si>
    <t>Radiallüfter</t>
  </si>
  <si>
    <t>http://www.distrelec.ch/en/c/cat-177892</t>
  </si>
  <si>
    <t>08_02_04_25317</t>
  </si>
  <si>
    <t>Cross-flow Blowers</t>
  </si>
  <si>
    <t>Querstromlüfter</t>
  </si>
  <si>
    <t>http://www.distrelec.ch/en/c/cat-25317</t>
  </si>
  <si>
    <t>08_02_04_25321</t>
  </si>
  <si>
    <t>Filter Fans</t>
  </si>
  <si>
    <t>Filterlüfter</t>
  </si>
  <si>
    <t>http://www.distrelec.ch/en/c/cat-25321</t>
  </si>
  <si>
    <t>08_02_04_25325</t>
  </si>
  <si>
    <t>Ventilation Fans</t>
  </si>
  <si>
    <t>Entlüftungsventilatoren</t>
  </si>
  <si>
    <t>http://www.distrelec.ch/en/c/cat-25325</t>
  </si>
  <si>
    <t>08_02_05</t>
  </si>
  <si>
    <t>08_02_05_25323</t>
  </si>
  <si>
    <t>Accessories for Filter Fans</t>
  </si>
  <si>
    <t>Zubehör zu Filterlüfter</t>
  </si>
  <si>
    <t>http://www.distrelec.ch/en/c/cat-25323</t>
  </si>
  <si>
    <t>08_02_05_25327</t>
  </si>
  <si>
    <t>Accessories for Exhaust Fans</t>
  </si>
  <si>
    <t>Zubehör zu Entlüftungsventilatoren</t>
  </si>
  <si>
    <t>http://www.distrelec.ch/en/c/cat-25327</t>
  </si>
  <si>
    <t>08_02_05_25331</t>
  </si>
  <si>
    <t>http://www.distrelec.ch/en/c/cat-25331</t>
  </si>
  <si>
    <t>08_02_05_25333</t>
  </si>
  <si>
    <t>Ventilation Grid</t>
  </si>
  <si>
    <t>Lüftungsgitter</t>
  </si>
  <si>
    <t>http://www.distrelec.ch/en/c/cat-25333</t>
  </si>
  <si>
    <t>08_02_06</t>
  </si>
  <si>
    <t>L3D_525405</t>
  </si>
  <si>
    <t>Heating devices</t>
  </si>
  <si>
    <t>Heizgeräte</t>
  </si>
  <si>
    <t>08_02_06_25339</t>
  </si>
  <si>
    <t>Heaters and Heating Fans</t>
  </si>
  <si>
    <t>Heizelemente und Heizgebläse</t>
  </si>
  <si>
    <t>http://www.distrelec.ch/en/c/cat-25339</t>
  </si>
  <si>
    <t>08_02_06_25341</t>
  </si>
  <si>
    <t>http://www.distrelec.ch/en/c/cat-25341</t>
  </si>
  <si>
    <t>08_02_06_25343</t>
  </si>
  <si>
    <t>Hygrostats</t>
  </si>
  <si>
    <t>Hygrostate</t>
  </si>
  <si>
    <t>http://www.distrelec.ch/en/c/cat-25343</t>
  </si>
  <si>
    <t>08_02_06_25345</t>
  </si>
  <si>
    <t>Peltier Cooling Devices</t>
  </si>
  <si>
    <t>Peltier-Kühlgeräte</t>
  </si>
  <si>
    <t>http://www.distrelec.ch/en/c/cat-25345</t>
  </si>
  <si>
    <t>08_02_06_601938</t>
  </si>
  <si>
    <t>Heating Devices, Accessories</t>
  </si>
  <si>
    <t>Heizgeräte, Zubehör</t>
  </si>
  <si>
    <t>http://www.distrelec.ch/en/c/cat-601938</t>
  </si>
  <si>
    <t>08_02_25349</t>
  </si>
  <si>
    <t>Speed Controller</t>
  </si>
  <si>
    <t>Drehzahlregler</t>
  </si>
  <si>
    <t>http://www.distrelec.ch/en/c/cat-25349</t>
  </si>
  <si>
    <t>08_02_25353</t>
  </si>
  <si>
    <t>Time-delay Switch</t>
  </si>
  <si>
    <t>Verzögerungsschalter</t>
  </si>
  <si>
    <t>http://www.distrelec.ch/en/c/cat-25353</t>
  </si>
  <si>
    <t>08_03</t>
  </si>
  <si>
    <t>08_03_01</t>
  </si>
  <si>
    <t>Terminal strip / light terminals</t>
  </si>
  <si>
    <t>08_03_01_20903</t>
  </si>
  <si>
    <t>Fuse terminals</t>
  </si>
  <si>
    <t>Sicherungsklemmen</t>
  </si>
  <si>
    <t>http://www.distrelec.ch/en/c/cat-20903</t>
  </si>
  <si>
    <t>08_03_01_20911</t>
  </si>
  <si>
    <t>Socket terminal</t>
  </si>
  <si>
    <t>Dosenklemmen</t>
  </si>
  <si>
    <t>http://www.distrelec.ch/en/c/cat-20911</t>
  </si>
  <si>
    <t>08_03_01_21306</t>
  </si>
  <si>
    <t>Lighting Terminal</t>
  </si>
  <si>
    <t>Leuchtenklemmen</t>
  </si>
  <si>
    <t>http://www.distrelec.ch/en/c/cat-21306</t>
  </si>
  <si>
    <t>08_03_01_21309</t>
  </si>
  <si>
    <t>Branching boxes, cable junction boxes</t>
  </si>
  <si>
    <t>Abzweigdosen, Kabelabzweigkästen</t>
  </si>
  <si>
    <t>http://www.distrelec.ch/en/c/cat-21309</t>
  </si>
  <si>
    <t>08_03_01_21311</t>
  </si>
  <si>
    <t>Accessories for socket terminals</t>
  </si>
  <si>
    <t>Zubehör zu Dosenklemmen</t>
  </si>
  <si>
    <t>http://www.distrelec.ch/en/c/cat-21311</t>
  </si>
  <si>
    <t>08_03_01_DC-56650</t>
  </si>
  <si>
    <t>DC-56650</t>
  </si>
  <si>
    <t>Terminal strips</t>
  </si>
  <si>
    <t>Klemmenleisten</t>
  </si>
  <si>
    <t>http://www.distrelec.ch/en/c/cat-DC-56650</t>
  </si>
  <si>
    <t>08_03_02</t>
  </si>
  <si>
    <t>08_03_02_20919</t>
  </si>
  <si>
    <t>http://www.distrelec.ch/en/c/cat-20919</t>
  </si>
  <si>
    <t>08_03_02_20921</t>
  </si>
  <si>
    <t>Accessories for terminal blocks</t>
  </si>
  <si>
    <t>Zubehör zu Reihenklemmen</t>
  </si>
  <si>
    <t>http://www.distrelec.ch/en/c/cat-20921</t>
  </si>
  <si>
    <t>08_03_02_20922</t>
  </si>
  <si>
    <t>Jumpers for terminal blocks</t>
  </si>
  <si>
    <t>Brücken zu Reihenklemmen</t>
  </si>
  <si>
    <t>http://www.distrelec.ch/en/c/cat-20922</t>
  </si>
  <si>
    <t>08_03_02_20926</t>
  </si>
  <si>
    <t>Terminal Block Marking Strips</t>
  </si>
  <si>
    <t>Zackbänder für Klemmenbeschriftung</t>
  </si>
  <si>
    <t>http://www.distrelec.ch/en/c/cat-20926</t>
  </si>
  <si>
    <t>08_03_02_20927</t>
  </si>
  <si>
    <t>Clamping Yoke for Shield Terminals</t>
  </si>
  <si>
    <t>Schirmanschlussklemmen</t>
  </si>
  <si>
    <t>http://www.distrelec.ch/en/c/cat-20927</t>
  </si>
  <si>
    <t>08_03_02_20931</t>
  </si>
  <si>
    <t>Accessories for Shield Terminals</t>
  </si>
  <si>
    <t>Zubehör zu Schirmanschlussklemmen</t>
  </si>
  <si>
    <t>http://www.distrelec.ch/en/c/cat-20931</t>
  </si>
  <si>
    <t>08_03_02_20933</t>
  </si>
  <si>
    <t>Mounting rail</t>
  </si>
  <si>
    <t>Tragschienen</t>
  </si>
  <si>
    <t>http://www.distrelec.ch/en/c/cat-20933</t>
  </si>
  <si>
    <t>08_03_02_20935</t>
  </si>
  <si>
    <t>Accessories for mounting rails</t>
  </si>
  <si>
    <t>Zubehör zu Tragschienen</t>
  </si>
  <si>
    <t>http://www.distrelec.ch/en/c/cat-20935</t>
  </si>
  <si>
    <t>08_03_02_20937</t>
  </si>
  <si>
    <t>Equipotential Distributor Module</t>
  </si>
  <si>
    <t>Potentialverteiler-Module</t>
  </si>
  <si>
    <t>http://www.distrelec.ch/en/c/cat-20937</t>
  </si>
  <si>
    <t>08_03_02_20938</t>
  </si>
  <si>
    <t>Interface module</t>
  </si>
  <si>
    <t>Interface-Module</t>
  </si>
  <si>
    <t>http://www.distrelec.ch/en/c/cat-20938</t>
  </si>
  <si>
    <t>08_03_03</t>
  </si>
  <si>
    <t>L3D_525388</t>
  </si>
  <si>
    <t>Insulating and Heat-shrink Tubing</t>
  </si>
  <si>
    <t>Schutzrohre und Schrumpfschlauch</t>
  </si>
  <si>
    <t>08_03_03_20950</t>
  </si>
  <si>
    <t>Conduit Tubing</t>
  </si>
  <si>
    <t>Kabelschläuche</t>
  </si>
  <si>
    <t>http://www.distrelec.ch/en/c/cat-20950</t>
  </si>
  <si>
    <t>08_03_03_20952</t>
  </si>
  <si>
    <t>Tube-end sleeve</t>
  </si>
  <si>
    <t>Rohrendtüllen</t>
  </si>
  <si>
    <t>http://www.distrelec.ch/en/c/cat-20952</t>
  </si>
  <si>
    <t>1 883</t>
  </si>
  <si>
    <t>08_03_03_20954</t>
  </si>
  <si>
    <t>Pipe cutter</t>
  </si>
  <si>
    <t>Rohrschneider</t>
  </si>
  <si>
    <t>http://www.distrelec.ch/en/c/cat-20954</t>
  </si>
  <si>
    <t>08_03_03_20956</t>
  </si>
  <si>
    <t>Conduit Fittings</t>
  </si>
  <si>
    <t>Anschlussarmaturen</t>
  </si>
  <si>
    <t>http://www.distrelec.ch/en/c/cat-20956</t>
  </si>
  <si>
    <t>08_03_03_20960</t>
  </si>
  <si>
    <t>System holders and tube clips</t>
  </si>
  <si>
    <t>Systemhalter und Rohrschellen</t>
  </si>
  <si>
    <t>http://www.distrelec.ch/en/c/cat-20960</t>
  </si>
  <si>
    <t>08_03_03_20961</t>
  </si>
  <si>
    <t>Rails for system holders</t>
  </si>
  <si>
    <t>Schienen für Systemhalter</t>
  </si>
  <si>
    <t>http://www.distrelec.ch/en/c/cat-20961</t>
  </si>
  <si>
    <t>08_03_03_20962</t>
  </si>
  <si>
    <t>Connecting sleeves and distributors</t>
  </si>
  <si>
    <t>Verbindungsmuffen und Verteiler</t>
  </si>
  <si>
    <t>http://www.distrelec.ch/en/c/cat-20962</t>
  </si>
  <si>
    <t>08_03_03_20963</t>
  </si>
  <si>
    <t>Fittings to Solid Metal Tubes</t>
  </si>
  <si>
    <t>Befestigungen für Metallrohre</t>
  </si>
  <si>
    <t>http://www.distrelec.ch/en/c/cat-20963</t>
  </si>
  <si>
    <t>08_03_03_20965</t>
  </si>
  <si>
    <t>Protective conduits</t>
  </si>
  <si>
    <t>Metallschutzschläuche</t>
  </si>
  <si>
    <t>http://www.distrelec.ch/en/c/cat-20965</t>
  </si>
  <si>
    <t>08_03_03_20966</t>
  </si>
  <si>
    <t>Screw Fittings for Protective Conduits</t>
  </si>
  <si>
    <t>Verschraubungen für Metallschutzschläuche</t>
  </si>
  <si>
    <t>http://www.distrelec.ch/en/c/cat-20966</t>
  </si>
  <si>
    <t>08_03_03_20967</t>
  </si>
  <si>
    <t>Spiral Wrap Tubing</t>
  </si>
  <si>
    <t>Spiralschläuche</t>
  </si>
  <si>
    <t>http://www.distrelec.ch/en/c/cat-20967</t>
  </si>
  <si>
    <t>08_03_03_20968</t>
  </si>
  <si>
    <t>Spiral sleeves divided up lengthways</t>
  </si>
  <si>
    <t>Schutzschläuche längsgeteilt</t>
  </si>
  <si>
    <t>http://www.distrelec.ch/en/c/cat-20968</t>
  </si>
  <si>
    <t>08_03_03_20969</t>
  </si>
  <si>
    <t>Braided cable sleeve</t>
  </si>
  <si>
    <t>Geflechtschläuche</t>
  </si>
  <si>
    <t>http://www.distrelec.ch/en/c/cat-20969</t>
  </si>
  <si>
    <t>08_03_03_20971</t>
  </si>
  <si>
    <t>Hot cutting tool</t>
  </si>
  <si>
    <t>Heiss-Schneidegeräte</t>
  </si>
  <si>
    <t>http://www.distrelec.ch/en/c/cat-20971</t>
  </si>
  <si>
    <t>08_03_03_20973</t>
  </si>
  <si>
    <t>Threading tool</t>
  </si>
  <si>
    <t>Einfädelwerkzeuge</t>
  </si>
  <si>
    <t>http://www.distrelec.ch/en/c/cat-20973</t>
  </si>
  <si>
    <t>08_03_03_20975</t>
  </si>
  <si>
    <t>Shielding braid</t>
  </si>
  <si>
    <t>Abschirmgeflecht</t>
  </si>
  <si>
    <t>http://www.distrelec.ch/en/c/cat-20975</t>
  </si>
  <si>
    <t>08_03_03_20977</t>
  </si>
  <si>
    <t>Insulating sleeves</t>
  </si>
  <si>
    <t>Isolierschläuche</t>
  </si>
  <si>
    <t>http://www.distrelec.ch/en/c/cat-20977</t>
  </si>
  <si>
    <t>08_03_03_20978</t>
  </si>
  <si>
    <t>Edge-protection profiles, heat-shrinkable</t>
  </si>
  <si>
    <t>Kantenschutzprofile wärmeschrumpfend</t>
  </si>
  <si>
    <t>http://www.distrelec.ch/en/c/cat-20978</t>
  </si>
  <si>
    <t>08_03_03_20981</t>
  </si>
  <si>
    <t>Edge-protection profile</t>
  </si>
  <si>
    <t>Kantenschutzprofile</t>
  </si>
  <si>
    <t>http://www.distrelec.ch/en/c/cat-20981</t>
  </si>
  <si>
    <t>08_03_03_20982</t>
  </si>
  <si>
    <t>Heat-shrink Tubing</t>
  </si>
  <si>
    <t>Schrumpfschläuche</t>
  </si>
  <si>
    <t>http://www.distrelec.ch/en/c/cat-20982</t>
  </si>
  <si>
    <t>08_03_03_20984</t>
  </si>
  <si>
    <t>Heat-shrinkable sleeves with screening</t>
  </si>
  <si>
    <t>Schrumpfschläuche mit Abschirmung</t>
  </si>
  <si>
    <t>http://www.distrelec.ch/en/c/cat-20984</t>
  </si>
  <si>
    <t>08_03_03_20988</t>
  </si>
  <si>
    <t>Accessories for heat-shrinkable sleeves</t>
  </si>
  <si>
    <t>Zubehör zu Schrumpfschläuchen</t>
  </si>
  <si>
    <t>http://www.distrelec.ch/en/c/cat-20988</t>
  </si>
  <si>
    <t>08_03_03_20989</t>
  </si>
  <si>
    <t>Heat-shrinkable sleeves, can be labelled</t>
  </si>
  <si>
    <t>http://www.distrelec.ch/en/c/cat-20989</t>
  </si>
  <si>
    <t>Deleted productline</t>
  </si>
  <si>
    <t>08_03_03_20990</t>
  </si>
  <si>
    <t>Heat-shrink Tubing in Spool Boxes</t>
  </si>
  <si>
    <t>Schrumpfschläuche in Boxen</t>
  </si>
  <si>
    <t>http://www.distrelec.ch/en/c/cat-20990</t>
  </si>
  <si>
    <t>08_03_03_20991</t>
  </si>
  <si>
    <t>Heat-shrink Tubing, Assortment</t>
  </si>
  <si>
    <t>Schrumpfschläuche im Sortiment</t>
  </si>
  <si>
    <t>http://www.distrelec.ch/en/c/cat-20991</t>
  </si>
  <si>
    <t>08_03_03_20992</t>
  </si>
  <si>
    <t>Plug housing, heat-shrinkable</t>
  </si>
  <si>
    <t>Steckergehäuse wärmeschrumpfend</t>
  </si>
  <si>
    <t>http://www.distrelec.ch/en/c/cat-20992</t>
  </si>
  <si>
    <t>08_03_03_20993</t>
  </si>
  <si>
    <t>Heat-shrinkable end caps</t>
  </si>
  <si>
    <t>Endkappen wärmeschrumpfend</t>
  </si>
  <si>
    <t>http://www.distrelec.ch/en/c/cat-20993</t>
  </si>
  <si>
    <t>08_03_03_20994</t>
  </si>
  <si>
    <t>Heat Shrink Breakout Boots</t>
  </si>
  <si>
    <t>Aufteilkappen wärmeschrumpfend</t>
  </si>
  <si>
    <t>http://www.distrelec.ch/en/c/cat-20994</t>
  </si>
  <si>
    <t>08_03_04</t>
  </si>
  <si>
    <t>L3D_525389</t>
  </si>
  <si>
    <t>Cable trunking</t>
  </si>
  <si>
    <t>Kabelkanal</t>
  </si>
  <si>
    <t>08_03_04_21039</t>
  </si>
  <si>
    <t>Cable loop holder</t>
  </si>
  <si>
    <t>Kabelbündelhalter</t>
  </si>
  <si>
    <t>http://www.distrelec.ch/en/c/cat-21039</t>
  </si>
  <si>
    <t>08_03_04_21042</t>
  </si>
  <si>
    <t>Installation Ducts</t>
  </si>
  <si>
    <t>Installationskanäle</t>
  </si>
  <si>
    <t>http://www.distrelec.ch/en/c/cat-21042</t>
  </si>
  <si>
    <t>08_03_04_21043</t>
  </si>
  <si>
    <t>Cable Ducts</t>
  </si>
  <si>
    <t>Brüstungskanäle</t>
  </si>
  <si>
    <t>http://www.distrelec.ch/en/c/cat-21043</t>
  </si>
  <si>
    <t>08_03_04_21044</t>
  </si>
  <si>
    <t>Floor Cable Conduits</t>
  </si>
  <si>
    <t>Kabelbrücken</t>
  </si>
  <si>
    <t>http://www.distrelec.ch/en/c/cat-21044</t>
  </si>
  <si>
    <t>08_03_04_21045</t>
  </si>
  <si>
    <t>Cable channels made of steel</t>
  </si>
  <si>
    <t>Kabelkanäle aus Stahl</t>
  </si>
  <si>
    <t>http://www.distrelec.ch/en/c/cat-21045</t>
  </si>
  <si>
    <t>08_03_04_DC-56657</t>
  </si>
  <si>
    <t>DC-56657</t>
  </si>
  <si>
    <t>Kabelkanäle</t>
  </si>
  <si>
    <t>http://www.distrelec.ch/en/c/cat-DC-56657</t>
  </si>
  <si>
    <t>08_03_05</t>
  </si>
  <si>
    <t>L3D_525390</t>
  </si>
  <si>
    <t>Cable Glands</t>
  </si>
  <si>
    <t>Kabelverschraubungen</t>
  </si>
  <si>
    <t>08_03_05_21047</t>
  </si>
  <si>
    <t>Cable Glands, Brass</t>
  </si>
  <si>
    <t>Kabelverschraubungen Messing</t>
  </si>
  <si>
    <t>http://www.distrelec.ch/en/c/cat-21047</t>
  </si>
  <si>
    <t>08_03_05_21048</t>
  </si>
  <si>
    <t>Lock Nuts, Brass</t>
  </si>
  <si>
    <t>Muttern Messing</t>
  </si>
  <si>
    <t>http://www.distrelec.ch/en/c/cat-21048</t>
  </si>
  <si>
    <t>08_03_05_21049</t>
  </si>
  <si>
    <t>Blanking Plugs, Brass</t>
  </si>
  <si>
    <t>Verschlusszapfen Messing</t>
  </si>
  <si>
    <t>http://www.distrelec.ch/en/c/cat-21049</t>
  </si>
  <si>
    <t>08_03_05_21050</t>
  </si>
  <si>
    <t>Reductions</t>
  </si>
  <si>
    <t>Reduktionen</t>
  </si>
  <si>
    <t>http://www.distrelec.ch/en/c/cat-21050</t>
  </si>
  <si>
    <t>08_03_05_21051</t>
  </si>
  <si>
    <t>Reducing adapters</t>
  </si>
  <si>
    <t>Übergangsstücke</t>
  </si>
  <si>
    <t>http://www.distrelec.ch/en/c/cat-21051</t>
  </si>
  <si>
    <t>08_03_05_21052</t>
  </si>
  <si>
    <t>Expansions</t>
  </si>
  <si>
    <t>Erweiterungen</t>
  </si>
  <si>
    <t>http://www.distrelec.ch/en/c/cat-21052</t>
  </si>
  <si>
    <t>08_03_05_21053</t>
  </si>
  <si>
    <t>Cable Glands, Plastic</t>
  </si>
  <si>
    <t>Kabelverschraubungen Kunststoff</t>
  </si>
  <si>
    <t>http://www.distrelec.ch/en/c/cat-21053</t>
  </si>
  <si>
    <t>08_03_05_21054</t>
  </si>
  <si>
    <t>Lock Nuts, Plastic</t>
  </si>
  <si>
    <t>Muttern Kunststoff</t>
  </si>
  <si>
    <t>http://www.distrelec.ch/en/c/cat-21054</t>
  </si>
  <si>
    <t>08_03_05_21055</t>
  </si>
  <si>
    <t>Blanking Plugs, Plastic</t>
  </si>
  <si>
    <t>Verschlusszapfen Kunststoff</t>
  </si>
  <si>
    <t>http://www.distrelec.ch/en/c/cat-21055</t>
  </si>
  <si>
    <t>08_03_05_21056</t>
  </si>
  <si>
    <t>Cable glands brass for round Flat cable</t>
  </si>
  <si>
    <t>Kabelverschraubungen Messing für abgerundete Flachkabel</t>
  </si>
  <si>
    <t>http://www.distrelec.ch/en/c/cat-21056</t>
  </si>
  <si>
    <t>08_03_05_21057</t>
  </si>
  <si>
    <t>Cable glands brass for ASI cable</t>
  </si>
  <si>
    <t>Kabelverschraubungen Messing für ASI-Kabel</t>
  </si>
  <si>
    <t>http://www.distrelec.ch/en/c/cat-21057</t>
  </si>
  <si>
    <t>08_03_05_21058</t>
  </si>
  <si>
    <t>Cable glands plastic for round Flat cable</t>
  </si>
  <si>
    <t>Kabelverschraubungen Kunststoff für abgerundete Flachkabel</t>
  </si>
  <si>
    <t>http://www.distrelec.ch/en/c/cat-21058</t>
  </si>
  <si>
    <t>08_03_05_21059</t>
  </si>
  <si>
    <t>Cable glands plastic for ASI cable</t>
  </si>
  <si>
    <t>Kabelverschraubungen Kunststoff für ASI-Kabel</t>
  </si>
  <si>
    <t>http://www.distrelec.ch/en/c/cat-21059</t>
  </si>
  <si>
    <t>08_03_05_21060</t>
  </si>
  <si>
    <t>Self-sealing grommets</t>
  </si>
  <si>
    <t>Würgenippel</t>
  </si>
  <si>
    <t>http://www.distrelec.ch/en/c/cat-21060</t>
  </si>
  <si>
    <t>08_03_05_21062</t>
  </si>
  <si>
    <t>Socket Wrenches for Cable Glands</t>
  </si>
  <si>
    <t>Steckschlüssel für Kabelverschraubungen</t>
  </si>
  <si>
    <t>http://www.distrelec.ch/en/c/cat-21062</t>
  </si>
  <si>
    <t>08_03_06</t>
  </si>
  <si>
    <t>L3D_525391</t>
  </si>
  <si>
    <t>Cable Grommets</t>
  </si>
  <si>
    <t>Kabeldurchführungen</t>
  </si>
  <si>
    <t>08_03_06_163707</t>
  </si>
  <si>
    <t>Strain Relief</t>
  </si>
  <si>
    <t>Zugentlastungen</t>
  </si>
  <si>
    <t>http://www.distrelec.ch/en/c/cat-163707</t>
  </si>
  <si>
    <t>08_03_06_21066</t>
  </si>
  <si>
    <t>Cable Entry Frames</t>
  </si>
  <si>
    <t>Kabeleinführungsleisten</t>
  </si>
  <si>
    <t>http://www.distrelec.ch/en/c/cat-21066</t>
  </si>
  <si>
    <t>08_03_06_21068</t>
  </si>
  <si>
    <t>Blanking plate</t>
  </si>
  <si>
    <t>Blindplatten</t>
  </si>
  <si>
    <t>http://www.distrelec.ch/en/c/cat-21068</t>
  </si>
  <si>
    <t>08_03_06_21069</t>
  </si>
  <si>
    <t>Snap-on frame</t>
  </si>
  <si>
    <t>Aufschnapprahmen</t>
  </si>
  <si>
    <t>http://www.distrelec.ch/en/c/cat-21069</t>
  </si>
  <si>
    <t>08_03_06_21070</t>
  </si>
  <si>
    <t>Flange housing</t>
  </si>
  <si>
    <t>Flanschgehäuse</t>
  </si>
  <si>
    <t>http://www.distrelec.ch/en/c/cat-21070</t>
  </si>
  <si>
    <t>08_03_06_21071</t>
  </si>
  <si>
    <t>Split Cable Glands</t>
  </si>
  <si>
    <t>Kabelverschraubungen teilbar</t>
  </si>
  <si>
    <t>http://www.distrelec.ch/en/c/cat-21071</t>
  </si>
  <si>
    <t>08_03_06_21072</t>
  </si>
  <si>
    <t>Hexogonal Nut</t>
  </si>
  <si>
    <t>Muttern</t>
  </si>
  <si>
    <t>http://www.distrelec.ch/en/c/cat-21072</t>
  </si>
  <si>
    <t>08_03_06_21073</t>
  </si>
  <si>
    <t>Kabeldurchführungstüllen</t>
  </si>
  <si>
    <t>http://www.distrelec.ch/en/c/cat-21073</t>
  </si>
  <si>
    <t>08_03_06_21074</t>
  </si>
  <si>
    <t>Plug</t>
  </si>
  <si>
    <t>Stopfen</t>
  </si>
  <si>
    <t>http://www.distrelec.ch/en/c/cat-21074</t>
  </si>
  <si>
    <t>08_03_06_21075</t>
  </si>
  <si>
    <t>Kabeldurchführungsformteile</t>
  </si>
  <si>
    <t>http://www.distrelec.ch/en/c/cat-21075</t>
  </si>
  <si>
    <t>08_03_06_21078</t>
  </si>
  <si>
    <t>Strain Relief Bars</t>
  </si>
  <si>
    <t>Zugentlastungsleisten</t>
  </si>
  <si>
    <t>http://www.distrelec.ch/en/c/cat-21078</t>
  </si>
  <si>
    <t>08_03_06_21079</t>
  </si>
  <si>
    <t>Cable Shield Clips</t>
  </si>
  <si>
    <t>Schirmklammern</t>
  </si>
  <si>
    <t>http://www.distrelec.ch/en/c/cat-21079</t>
  </si>
  <si>
    <t>08_03_06_21081</t>
  </si>
  <si>
    <t>Bend Protection Sleeves</t>
  </si>
  <si>
    <t>Knickschutztüllen</t>
  </si>
  <si>
    <t>http://www.distrelec.ch/en/c/cat-21081</t>
  </si>
  <si>
    <t>08_03_06_21083</t>
  </si>
  <si>
    <t>Cable Grommets, Rubber</t>
  </si>
  <si>
    <t>Kabeldurchführungen Gummi</t>
  </si>
  <si>
    <t>http://www.distrelec.ch/en/c/cat-21083</t>
  </si>
  <si>
    <t>08_03_06_21084</t>
  </si>
  <si>
    <t>Cable Grommet with Strain Relief Cable Tie</t>
  </si>
  <si>
    <t>Kabeldurchführungstüllen mit Zugentlastungsbinder</t>
  </si>
  <si>
    <t>http://www.distrelec.ch/en/c/cat-21084</t>
  </si>
  <si>
    <t>08_03_06_21085</t>
  </si>
  <si>
    <t>Flexible Chloroprene Tubing</t>
  </si>
  <si>
    <t>Chloroprentüllen dehnbar</t>
  </si>
  <si>
    <t>http://www.distrelec.ch/en/c/cat-21085</t>
  </si>
  <si>
    <t>08_03_06_21087</t>
  </si>
  <si>
    <t>Mounting tool</t>
  </si>
  <si>
    <t>Verarbeitungswerkzeuge</t>
  </si>
  <si>
    <t>http://www.distrelec.ch/en/c/cat-21087</t>
  </si>
  <si>
    <t>08_03_06_21088</t>
  </si>
  <si>
    <t>Lubricant</t>
  </si>
  <si>
    <t>Gleitmittel</t>
  </si>
  <si>
    <t>http://www.distrelec.ch/en/c/cat-21088</t>
  </si>
  <si>
    <t>08_03_06_21090</t>
  </si>
  <si>
    <t>Cable Bushing</t>
  </si>
  <si>
    <t>http://www.distrelec.ch/en/c/cat-21090</t>
  </si>
  <si>
    <t>08_03_06_21091</t>
  </si>
  <si>
    <t>Dummy Hole Covering</t>
  </si>
  <si>
    <t>Lochabdeckungen</t>
  </si>
  <si>
    <t>http://www.distrelec.ch/en/c/cat-21091</t>
  </si>
  <si>
    <t>08_03_06_44144</t>
  </si>
  <si>
    <t>Cable gland Roxtec</t>
  </si>
  <si>
    <t>Kabelverschraubungen Roxtec</t>
  </si>
  <si>
    <t>http://www.distrelec.ch/en/c/cat-44144</t>
  </si>
  <si>
    <t>08_03_07</t>
  </si>
  <si>
    <t>L3D_525392</t>
  </si>
  <si>
    <t>Cable Lugs / Crimp Terminals</t>
  </si>
  <si>
    <t>Kabelschuhe / Crimpanschlüsse</t>
  </si>
  <si>
    <t>08_03_07_21095</t>
  </si>
  <si>
    <t>Push-on blades / blade receptacles insulated and fully insulated</t>
  </si>
  <si>
    <t>Flachstecker / Flachsteckhülsen isoliert und vollisoliert</t>
  </si>
  <si>
    <t>http://www.distrelec.ch/en/c/cat-21095</t>
  </si>
  <si>
    <t>08_03_07_21097</t>
  </si>
  <si>
    <t>Push-on blade, blank, with M4 hole</t>
  </si>
  <si>
    <t>Flachstecker blank, mit Bohrung M4</t>
  </si>
  <si>
    <t>http://www.distrelec.ch/en/c/cat-21097</t>
  </si>
  <si>
    <t>08_03_07_21098</t>
  </si>
  <si>
    <t>Blade Receptacles, Uninsulated</t>
  </si>
  <si>
    <t>Flachsteckhülsen blank</t>
  </si>
  <si>
    <t>http://www.distrelec.ch/en/c/cat-21098</t>
  </si>
  <si>
    <t>08_03_07_21099</t>
  </si>
  <si>
    <t>Isolierhülsen</t>
  </si>
  <si>
    <t>http://www.distrelec.ch/en/c/cat-21099</t>
  </si>
  <si>
    <t>08_03_07_21100</t>
  </si>
  <si>
    <t>Flat plug connectors</t>
  </si>
  <si>
    <t>Flachsteckverbinder</t>
  </si>
  <si>
    <t>http://www.distrelec.ch/en/c/cat-21100</t>
  </si>
  <si>
    <t>08_03_07_21101</t>
  </si>
  <si>
    <t>Covering cap</t>
  </si>
  <si>
    <t>Abdeckkappen</t>
  </si>
  <si>
    <t>http://www.distrelec.ch/en/c/cat-21101</t>
  </si>
  <si>
    <t>08_03_07_21102</t>
  </si>
  <si>
    <t>Ring cable lugs and fork-type cable lugs insulated</t>
  </si>
  <si>
    <t>Ringkabelschuhe und Gabelkabelschuhe isoliert</t>
  </si>
  <si>
    <t>http://www.distrelec.ch/en/c/cat-21102</t>
  </si>
  <si>
    <t>08_03_07_21103</t>
  </si>
  <si>
    <t>Ring cable lugs and fork-type cable lugs, blank</t>
  </si>
  <si>
    <t>Ringkabelschuhe und Gabelkabelschuhe blank</t>
  </si>
  <si>
    <t>http://www.distrelec.ch/en/c/cat-21103</t>
  </si>
  <si>
    <t>08_03_07_21104</t>
  </si>
  <si>
    <t>Soldering tag</t>
  </si>
  <si>
    <t>Lötösen</t>
  </si>
  <si>
    <t>http://www.distrelec.ch/en/c/cat-21104</t>
  </si>
  <si>
    <t>08_03_07_21105</t>
  </si>
  <si>
    <t>Insulated pin-type cable lugs</t>
  </si>
  <si>
    <t>Stiftkabelschuhe isoliert</t>
  </si>
  <si>
    <t>http://www.distrelec.ch/en/c/cat-21105</t>
  </si>
  <si>
    <t>08_03_07_21106</t>
  </si>
  <si>
    <t>Pin-type cable lugs, blank</t>
  </si>
  <si>
    <t>Stiftkabelschuhe blank</t>
  </si>
  <si>
    <t>http://www.distrelec.ch/en/c/cat-21106</t>
  </si>
  <si>
    <t>08_03_07_21108</t>
  </si>
  <si>
    <t>Assortment</t>
  </si>
  <si>
    <t>Sortimente</t>
  </si>
  <si>
    <t>http://www.distrelec.ch/en/c/cat-21108</t>
  </si>
  <si>
    <t>08_03_07_21109</t>
  </si>
  <si>
    <t>Round connector insulated</t>
  </si>
  <si>
    <t>Rundsteckverbinder isoliert</t>
  </si>
  <si>
    <t>http://www.distrelec.ch/en/c/cat-21109</t>
  </si>
  <si>
    <t>08_03_07_21110</t>
  </si>
  <si>
    <t>Crimping cable lug</t>
  </si>
  <si>
    <t>Presskabelschuhe</t>
  </si>
  <si>
    <t>http://www.distrelec.ch/en/c/cat-21110</t>
  </si>
  <si>
    <t>08_03_07_21111</t>
  </si>
  <si>
    <t>Butt Splice Connector, Insulated/Non-insulated</t>
  </si>
  <si>
    <t>Stossverbinder blank/isoliert</t>
  </si>
  <si>
    <t>http://www.distrelec.ch/en/c/cat-21111</t>
  </si>
  <si>
    <t>08_03_07_21112</t>
  </si>
  <si>
    <t>Crimping pliers</t>
  </si>
  <si>
    <t>Presszangen</t>
  </si>
  <si>
    <t>http://www.distrelec.ch/en/c/cat-21112</t>
  </si>
  <si>
    <t>08_03_07_21113</t>
  </si>
  <si>
    <t>Cast-resin bushing</t>
  </si>
  <si>
    <t>Giessharzmuffen</t>
  </si>
  <si>
    <t>http://www.distrelec.ch/en/c/cat-21113</t>
  </si>
  <si>
    <t>08_03_07_21114</t>
  </si>
  <si>
    <t>Heat-shrinking solder sleeves</t>
  </si>
  <si>
    <t>Wärmeschrumpfende Lötmuffen</t>
  </si>
  <si>
    <t>http://www.distrelec.ch/en/c/cat-21114</t>
  </si>
  <si>
    <t>08_03_07_21115</t>
  </si>
  <si>
    <t>Splice Connectors, Coloured</t>
  </si>
  <si>
    <t>Kabelverbinder farbig</t>
  </si>
  <si>
    <t>http://www.distrelec.ch/en/c/cat-21115</t>
  </si>
  <si>
    <t>08_03_07_21116</t>
  </si>
  <si>
    <t>“Link Connector” cable connector</t>
  </si>
  <si>
    <t>Kabelverbinder "Link Connector"</t>
  </si>
  <si>
    <t>http://www.distrelec.ch/en/c/cat-21116</t>
  </si>
  <si>
    <t>08_03_08</t>
  </si>
  <si>
    <t>L3D_525393</t>
  </si>
  <si>
    <t>Bootlace Ferrules</t>
  </si>
  <si>
    <t>Aderendhülsen</t>
  </si>
  <si>
    <t>08_03_08_21120</t>
  </si>
  <si>
    <t>Bootlace Ferrules, Uninsulated</t>
  </si>
  <si>
    <t>Aderendhülsen ohne Kunststoffkragen</t>
  </si>
  <si>
    <t>http://www.distrelec.ch/en/c/cat-21120</t>
  </si>
  <si>
    <t>08_03_08_21121</t>
  </si>
  <si>
    <t>Bootlace Ferrules, Insulated</t>
  </si>
  <si>
    <t>Aderendhülsen mit Kunststoffkragen</t>
  </si>
  <si>
    <t>http://www.distrelec.ch/en/c/cat-21121</t>
  </si>
  <si>
    <t>08_03_08_21123</t>
  </si>
  <si>
    <t>Bootlace Ferrule Assortments</t>
  </si>
  <si>
    <t>Aderendhülsen im Sortiment</t>
  </si>
  <si>
    <t>http://www.distrelec.ch/en/c/cat-21123</t>
  </si>
  <si>
    <t>08_03_08_21124</t>
  </si>
  <si>
    <t>Stripping and crimping tool</t>
  </si>
  <si>
    <t>Abisolier- und Crimpwerkzeuge</t>
  </si>
  <si>
    <t>http://www.distrelec.ch/en/c/cat-21124</t>
  </si>
  <si>
    <t>08_03_09</t>
  </si>
  <si>
    <t>L3D_525394</t>
  </si>
  <si>
    <t>Mains Plugs / Device Plugs</t>
  </si>
  <si>
    <t>Netzstecker / Gerätedosen</t>
  </si>
  <si>
    <t>08_03_09_208720</t>
  </si>
  <si>
    <t>Travel Adapter</t>
  </si>
  <si>
    <t>Reiseadapter</t>
  </si>
  <si>
    <t>http://www.distrelec.ch/en/c/cat-208720</t>
  </si>
  <si>
    <t>08_03_09_21128</t>
  </si>
  <si>
    <t>Mains Plugs</t>
  </si>
  <si>
    <t>Netzstecker</t>
  </si>
  <si>
    <t>http://www.distrelec.ch/en/c/cat-21128</t>
  </si>
  <si>
    <t>08_03_09_21129</t>
  </si>
  <si>
    <t>Branch plug and Adapter</t>
  </si>
  <si>
    <t>Abzweigstecker und Adapter</t>
  </si>
  <si>
    <t>http://www.distrelec.ch/en/c/cat-21129</t>
  </si>
  <si>
    <t>08_03_09_21130</t>
  </si>
  <si>
    <t>Mains plug CEE 16 / 32 A</t>
  </si>
  <si>
    <t>Netzstecker CEE 16 / 32 A</t>
  </si>
  <si>
    <t>http://www.distrelec.ch/en/c/cat-21130</t>
  </si>
  <si>
    <t>08_03_09_21135</t>
  </si>
  <si>
    <t>CEE socket combination</t>
  </si>
  <si>
    <t>CEE Steckdosenkombinationen</t>
  </si>
  <si>
    <t>http://www.distrelec.ch/en/c/cat-21135</t>
  </si>
  <si>
    <t>08_03_09_21136</t>
  </si>
  <si>
    <t>Device plug / device socket cable connection</t>
  </si>
  <si>
    <t>Gerätestecker / Gerätedosen Kabelanschluss</t>
  </si>
  <si>
    <t>http://www.distrelec.ch/en/c/cat-21136</t>
  </si>
  <si>
    <t>08_03_09_21137</t>
  </si>
  <si>
    <t>Device plug / device socket cable flush-mounted</t>
  </si>
  <si>
    <t>Gerätestecker / Gerätedosen Einbau</t>
  </si>
  <si>
    <t>http://www.distrelec.ch/en/c/cat-21137</t>
  </si>
  <si>
    <t>08_03_09_21138</t>
  </si>
  <si>
    <t>Flush-mounted Sockets</t>
  </si>
  <si>
    <t>Einbausteckdosen</t>
  </si>
  <si>
    <t>http://www.distrelec.ch/en/c/cat-21138</t>
  </si>
  <si>
    <t>08_03_09_21139</t>
  </si>
  <si>
    <t>Plug 10 /16 A, flush-mounted with fuse holder</t>
  </si>
  <si>
    <t>Gerätestecker 10 / 16 A, Einbau mit Sicherungshalter</t>
  </si>
  <si>
    <t>http://www.distrelec.ch/en/c/cat-21139</t>
  </si>
  <si>
    <t>08_03_09_21140</t>
  </si>
  <si>
    <t>Plug combi-modules</t>
  </si>
  <si>
    <t>Stecker-Kombimodule</t>
  </si>
  <si>
    <t>http://www.distrelec.ch/en/c/cat-21140</t>
  </si>
  <si>
    <t>08_03_09_21141</t>
  </si>
  <si>
    <t>Accessories for device plugs</t>
  </si>
  <si>
    <t>Zubehör zu Gerätestecker</t>
  </si>
  <si>
    <t>http://www.distrelec.ch/en/c/cat-21141</t>
  </si>
  <si>
    <t>08_03_10</t>
  </si>
  <si>
    <t>L3D_525395</t>
  </si>
  <si>
    <t>Mains Cable Assemblies / Cable Reels / Outlet Strips</t>
  </si>
  <si>
    <t>Netzkabel / Kabelrollen / Steckdoseneinheiten</t>
  </si>
  <si>
    <t>08_03_10_196033</t>
  </si>
  <si>
    <t>Energy saving devices</t>
  </si>
  <si>
    <t>Energiesparende Geräte</t>
  </si>
  <si>
    <t>http://www.distrelec.ch/en/c/cat-196033</t>
  </si>
  <si>
    <t>08_03_10_21156</t>
  </si>
  <si>
    <t>Installation systems Gesis</t>
  </si>
  <si>
    <t>Installationssysteme Gesis</t>
  </si>
  <si>
    <t>http://www.distrelec.ch/en/c/cat-21156</t>
  </si>
  <si>
    <t>08_03_10_21161</t>
  </si>
  <si>
    <t>Extension Cable Reels</t>
  </si>
  <si>
    <t>Kabeltrommeln</t>
  </si>
  <si>
    <t>http://www.distrelec.ch/en/c/cat-21161</t>
  </si>
  <si>
    <t>08_03_10_21163</t>
  </si>
  <si>
    <t>Multiple socket outlet</t>
  </si>
  <si>
    <t>Steckdosenleisten</t>
  </si>
  <si>
    <t>http://www.distrelec.ch/en/c/cat-21163</t>
  </si>
  <si>
    <t>08_03_10_21165</t>
  </si>
  <si>
    <t>Accessories for multiple socket outlets</t>
  </si>
  <si>
    <t>Zubehör für Mehrfachsteckdosen</t>
  </si>
  <si>
    <t>http://www.distrelec.ch/en/c/cat-21165</t>
  </si>
  <si>
    <t>08_03_10_260866</t>
  </si>
  <si>
    <t>Connecting systems for tables</t>
  </si>
  <si>
    <t>Anschlusssysteme für Tische</t>
  </si>
  <si>
    <t>http://www.distrelec.ch/en/c/cat-260866</t>
  </si>
  <si>
    <t>08_03_10_260873</t>
  </si>
  <si>
    <t>Accessories for connecting systems for tables</t>
  </si>
  <si>
    <t>Zubehör zu Anschlusssysteme für Tische</t>
  </si>
  <si>
    <t>http://www.distrelec.ch/en/c/cat-260873</t>
  </si>
  <si>
    <t>08_03_10_586863</t>
  </si>
  <si>
    <t>Accessories Gesis</t>
  </si>
  <si>
    <t>Zubehör Gesis</t>
  </si>
  <si>
    <t>http://www.distrelec.ch/en/c/cat-586863</t>
  </si>
  <si>
    <t>08_03_11</t>
  </si>
  <si>
    <t>08_03_11_21173</t>
  </si>
  <si>
    <t>Mains idler switch</t>
  </si>
  <si>
    <t>http://www.distrelec.ch/en/c/cat-21173</t>
  </si>
  <si>
    <t>08_03_11_21180</t>
  </si>
  <si>
    <t>Light Controllers</t>
  </si>
  <si>
    <t>Lichtsteuergeräte</t>
  </si>
  <si>
    <t>http://www.distrelec.ch/en/c/cat-21180</t>
  </si>
  <si>
    <t>08_03_11_21183</t>
  </si>
  <si>
    <t>Switchgear cabinet socket</t>
  </si>
  <si>
    <t>Schaltschrank-Steckdosen</t>
  </si>
  <si>
    <t>http://www.distrelec.ch/en/c/cat-21183</t>
  </si>
  <si>
    <t>08_03_11_21186</t>
  </si>
  <si>
    <t>Switches and buttons</t>
  </si>
  <si>
    <t>Schalter und Taster</t>
  </si>
  <si>
    <t>http://www.distrelec.ch/en/c/cat-21186</t>
  </si>
  <si>
    <t>08_03_11_21191</t>
  </si>
  <si>
    <t>Twilight switch</t>
  </si>
  <si>
    <t>Dämmerungsschalter</t>
  </si>
  <si>
    <t>http://www.distrelec.ch/en/c/cat-21191</t>
  </si>
  <si>
    <t>08_03_11_21193</t>
  </si>
  <si>
    <t>Switches for surface mounting</t>
  </si>
  <si>
    <t>Schalter für Aufputzmontage</t>
  </si>
  <si>
    <t>http://www.distrelec.ch/en/c/cat-21193</t>
  </si>
  <si>
    <t>08_03_11_21194</t>
  </si>
  <si>
    <t>Sockets for surface/flush mounting</t>
  </si>
  <si>
    <t>Steckdosen Aufputz-/Unterputzmontage</t>
  </si>
  <si>
    <t>http://www.distrelec.ch/en/c/cat-21194</t>
  </si>
  <si>
    <t>08_03_11_21196</t>
  </si>
  <si>
    <t>Accessories for switches and sockets</t>
  </si>
  <si>
    <t>Zubehör zu Schalter und Dosen</t>
  </si>
  <si>
    <t>http://www.distrelec.ch/en/c/cat-21196</t>
  </si>
  <si>
    <t>08_03_11_21197</t>
  </si>
  <si>
    <t>Switch + socket combinations</t>
  </si>
  <si>
    <t>Kombinationen Schalter + Dose</t>
  </si>
  <si>
    <t>http://www.distrelec.ch/en/c/cat-21197</t>
  </si>
  <si>
    <t>08_03_12</t>
  </si>
  <si>
    <t>08_03_12_205168</t>
  </si>
  <si>
    <t>Home Automation</t>
  </si>
  <si>
    <t>Heimautomation</t>
  </si>
  <si>
    <t>http://www.distrelec.ch/en/c/cat-205168</t>
  </si>
  <si>
    <t>08_03_12_21201</t>
  </si>
  <si>
    <t>Remote switching device</t>
  </si>
  <si>
    <t>Fernschalter</t>
  </si>
  <si>
    <t>http://www.distrelec.ch/en/c/cat-21201</t>
  </si>
  <si>
    <t>08_03_12_21203</t>
  </si>
  <si>
    <t>Radio bus system</t>
  </si>
  <si>
    <t>Funkbussysteme</t>
  </si>
  <si>
    <t>http://www.distrelec.ch/en/c/cat-21203</t>
  </si>
  <si>
    <t>08_03_12_21206</t>
  </si>
  <si>
    <t>Room thermostat</t>
  </si>
  <si>
    <t>Raumthermostate</t>
  </si>
  <si>
    <t>http://www.distrelec.ch/en/c/cat-21206</t>
  </si>
  <si>
    <t>08_03_12_21208</t>
  </si>
  <si>
    <t>Motion sensor, miniature</t>
  </si>
  <si>
    <t>Bewegungssensoren Miniatur</t>
  </si>
  <si>
    <t>http://www.distrelec.ch/en/c/cat-21208</t>
  </si>
  <si>
    <t>08_03_12_647636</t>
  </si>
  <si>
    <t>Temperature sensor THERMASGARD</t>
  </si>
  <si>
    <t>Temperatursensoren THERMASGARD</t>
  </si>
  <si>
    <t>http://www.distrelec.ch/en/c/cat-647636</t>
  </si>
  <si>
    <t>08_03_12_647637</t>
  </si>
  <si>
    <t>Accessories for building automation</t>
  </si>
  <si>
    <t>Zubehör Gebäudeautomatik</t>
  </si>
  <si>
    <t>http://www.distrelec.ch/en/c/cat-647637</t>
  </si>
  <si>
    <t>08_03_12_647770</t>
  </si>
  <si>
    <t>Measuring transducer THERMASGARD</t>
  </si>
  <si>
    <t>Messwertgeber THERMASGARD</t>
  </si>
  <si>
    <t>http://www.distrelec.ch/en/c/cat-647770</t>
  </si>
  <si>
    <t>08_03_12_647771</t>
  </si>
  <si>
    <t>Humidity sensor and transmitter HYGRASGARD</t>
  </si>
  <si>
    <t>Feuchtesensoren, Feuchtemesswertgeber</t>
  </si>
  <si>
    <t>http://www.distrelec.ch/en/c/cat-647771</t>
  </si>
  <si>
    <t>08_03_12_647772</t>
  </si>
  <si>
    <t>Humidity and temperature sensor HYGRASGARD</t>
  </si>
  <si>
    <t>Feuchte- und Temperatursensoren HYGRASGARD</t>
  </si>
  <si>
    <t>http://www.distrelec.ch/en/c/cat-647772</t>
  </si>
  <si>
    <t>08_03_12_647773</t>
  </si>
  <si>
    <t>Humidity controller and hygrostat HYGRASREG</t>
  </si>
  <si>
    <t>Feuchteregler und Hygrostat HYGRASREG</t>
  </si>
  <si>
    <t>http://www.distrelec.ch/en/c/cat-647773</t>
  </si>
  <si>
    <t>08_03_12_647774</t>
  </si>
  <si>
    <t>Electronic airflow monitor RHEASGARD</t>
  </si>
  <si>
    <t>Elektronische Luftstrommesser RHEASGARD</t>
  </si>
  <si>
    <t>http://www.distrelec.ch/en/c/cat-647774</t>
  </si>
  <si>
    <t>08_03_12_647997</t>
  </si>
  <si>
    <t>Motion sensors KYMASGARD</t>
  </si>
  <si>
    <t>Bewegungssensoren KYMASGARD</t>
  </si>
  <si>
    <t>http://www.distrelec.ch/en/c/cat-647997</t>
  </si>
  <si>
    <t>08_03_12_647998</t>
  </si>
  <si>
    <t>Air quality CO2 and VOC sensor AERASGARD</t>
  </si>
  <si>
    <t>CO₂- und VOC-Luftqualitätssensoren AERASGARD</t>
  </si>
  <si>
    <t>http://www.distrelec.ch/en/c/cat-647998</t>
  </si>
  <si>
    <t>08_03_12_647999</t>
  </si>
  <si>
    <t>Pressure measuring PREMASGARD</t>
  </si>
  <si>
    <t>Druckmessgeräte PREMASGARD</t>
  </si>
  <si>
    <t>http://www.distrelec.ch/en/c/cat-647999</t>
  </si>
  <si>
    <t>08_03_12_648119</t>
  </si>
  <si>
    <t>Pressute controller PREMASREG</t>
  </si>
  <si>
    <t>Druckregler PREMASREG</t>
  </si>
  <si>
    <t>http://www.distrelec.ch/en/c/cat-648119</t>
  </si>
  <si>
    <t>08_03_12_648131</t>
  </si>
  <si>
    <t>Temperature controller THERMASREG</t>
  </si>
  <si>
    <t>Temperaturregler THERMASREG</t>
  </si>
  <si>
    <t>http://www.distrelec.ch/en/c/cat-648131</t>
  </si>
  <si>
    <t>08_03_12_649228</t>
  </si>
  <si>
    <t>Deleted</t>
  </si>
  <si>
    <t>http://www.distrelec.ch/en/c/cat-649228</t>
  </si>
  <si>
    <t>08_03_12_649229</t>
  </si>
  <si>
    <t>Screw-in thermometer THERMASGARD</t>
  </si>
  <si>
    <t>Einschraubthermometer THERMASGARD</t>
  </si>
  <si>
    <t>http://www.distrelec.ch/en/c/cat-649229</t>
  </si>
  <si>
    <t>08_03_12_655553</t>
  </si>
  <si>
    <t>Room light intensity sensor PHOTASGARD</t>
  </si>
  <si>
    <t>Lichtstärkemessgeräte für Raumbeleuchtung</t>
  </si>
  <si>
    <t>http://www.distrelec.ch/en/c/cat-655553</t>
  </si>
  <si>
    <t>08_03_12_656561</t>
  </si>
  <si>
    <t>Radio signal receiver KYMASGARD</t>
  </si>
  <si>
    <t>Funksignalempfänger</t>
  </si>
  <si>
    <t>http://www.distrelec.ch/en/c/cat-656561</t>
  </si>
  <si>
    <t>08_04</t>
  </si>
  <si>
    <t>08_04_01</t>
  </si>
  <si>
    <t>08_04_01_13207</t>
  </si>
  <si>
    <t>Infrared heaters</t>
  </si>
  <si>
    <t>Infrarotstrahler</t>
  </si>
  <si>
    <t>http://www.distrelec.ch/en/c/cat-13207</t>
  </si>
  <si>
    <t>08_04_01_13211</t>
  </si>
  <si>
    <t>http://www.distrelec.ch/en/c/cat-13211</t>
  </si>
  <si>
    <t>08_04_01_13254</t>
  </si>
  <si>
    <t>TFT monitors</t>
  </si>
  <si>
    <t>TFT-Monitore</t>
  </si>
  <si>
    <t>http://www.distrelec.ch/en/c/cat-13254</t>
  </si>
  <si>
    <t>08_04_01_13270</t>
  </si>
  <si>
    <t>Protective housings and brackets</t>
  </si>
  <si>
    <t>Schutzgehäuse und Halterungen</t>
  </si>
  <si>
    <t>http://www.distrelec.ch/en/c/cat-13270</t>
  </si>
  <si>
    <t>08_04_01_13277</t>
  </si>
  <si>
    <t>Recording systems</t>
  </si>
  <si>
    <t>Aufzeichnungssysteme</t>
  </si>
  <si>
    <t>http://www.distrelec.ch/en/c/cat-13277</t>
  </si>
  <si>
    <t>08_04_01_13324</t>
  </si>
  <si>
    <t>Tool</t>
  </si>
  <si>
    <t>http://www.distrelec.ch/en/c/cat-13324</t>
  </si>
  <si>
    <t>08_04_01_13327</t>
  </si>
  <si>
    <t>Alarm technology accessories</t>
  </si>
  <si>
    <t>Alarmtechnik-Zubehör</t>
  </si>
  <si>
    <t>http://www.distrelec.ch/en/c/cat-13327</t>
  </si>
  <si>
    <t>08_04_01_13396</t>
  </si>
  <si>
    <t>Transmission systems</t>
  </si>
  <si>
    <t>Übertragungssysteme</t>
  </si>
  <si>
    <t>http://www.distrelec.ch/en/c/cat-13396</t>
  </si>
  <si>
    <t>08_04_01_13420</t>
  </si>
  <si>
    <t>Wireless video systems</t>
  </si>
  <si>
    <t>Funk-Videosysteme</t>
  </si>
  <si>
    <t>http://www.distrelec.ch/en/c/cat-13420</t>
  </si>
  <si>
    <t>08_04_01_13429</t>
  </si>
  <si>
    <t>Alarm systems</t>
  </si>
  <si>
    <t>Alarmsysteme</t>
  </si>
  <si>
    <t>http://www.distrelec.ch/en/c/cat-13429</t>
  </si>
  <si>
    <t>08_04_01_21211</t>
  </si>
  <si>
    <t>Motion Detectors</t>
  </si>
  <si>
    <t>Bewegungsmelder</t>
  </si>
  <si>
    <t>http://www.distrelec.ch/en/c/cat-21211</t>
  </si>
  <si>
    <t>08_04_01_226243</t>
  </si>
  <si>
    <t>Safes and money management</t>
  </si>
  <si>
    <t>Safes und Geldverwaltung</t>
  </si>
  <si>
    <t>http://www.distrelec.ch/en/c/cat-226243</t>
  </si>
  <si>
    <t>08_04_01_35827</t>
  </si>
  <si>
    <t>Power supply unit</t>
  </si>
  <si>
    <t>Netzteile</t>
  </si>
  <si>
    <t>http://www.distrelec.ch/en/c/cat-35827</t>
  </si>
  <si>
    <t>08_04_309354</t>
  </si>
  <si>
    <t>Presence detector</t>
  </si>
  <si>
    <t>Präsenzmelder</t>
  </si>
  <si>
    <t>http://www.distrelec.ch/en/c/cat-309354</t>
  </si>
  <si>
    <t>08_04_309357</t>
  </si>
  <si>
    <t>Accessories for presence detectors</t>
  </si>
  <si>
    <t>Zubehör für Präsenzmelder</t>
  </si>
  <si>
    <t>http://www.distrelec.ch/en/c/cat-309357</t>
  </si>
  <si>
    <t>08_05</t>
  </si>
  <si>
    <t>Cables / Wires / Accessories</t>
  </si>
  <si>
    <t>08_05_01</t>
  </si>
  <si>
    <t>08_05_01_23444</t>
  </si>
  <si>
    <t>Enamelled copper stranded wire</t>
  </si>
  <si>
    <t>Kupferlacklitzen</t>
  </si>
  <si>
    <t>http://www.distrelec.ch/en/c/cat-23444</t>
  </si>
  <si>
    <t>08_05_01_23446</t>
  </si>
  <si>
    <t>Readymade Wire-wrap Wires</t>
  </si>
  <si>
    <t>http://www.distrelec.ch/en/c/cat-23446</t>
  </si>
  <si>
    <t>08_05_01_23448</t>
  </si>
  <si>
    <t>Ready-made wire-wrap</t>
  </si>
  <si>
    <t>Wire-Wrap-Drähte</t>
  </si>
  <si>
    <t>http://www.distrelec.ch/en/c/cat-23448</t>
  </si>
  <si>
    <t>08_05_01_23450</t>
  </si>
  <si>
    <t>Resistor Wires</t>
  </si>
  <si>
    <t>Widerstandsdraht</t>
  </si>
  <si>
    <t>http://www.distrelec.ch/en/c/cat-23450</t>
  </si>
  <si>
    <t>08_05_01_37944</t>
  </si>
  <si>
    <t>Earthing Straps</t>
  </si>
  <si>
    <t>Erdungsbänder</t>
  </si>
  <si>
    <t>http://www.distrelec.ch/en/c/cat-37944</t>
  </si>
  <si>
    <t>08_05_01_DC-59828</t>
  </si>
  <si>
    <t>DC-59828</t>
  </si>
  <si>
    <t>Stranded Wires</t>
  </si>
  <si>
    <t>Litzen</t>
  </si>
  <si>
    <t>http://www.distrelec.ch/en/c/cat-DC-59828</t>
  </si>
  <si>
    <t>1 343</t>
  </si>
  <si>
    <t>08_05_01_DC-59829</t>
  </si>
  <si>
    <t>DC-59829</t>
  </si>
  <si>
    <t>Wires</t>
  </si>
  <si>
    <t>Drähte</t>
  </si>
  <si>
    <t>http://www.distrelec.ch/en/c/cat-DC-59829</t>
  </si>
  <si>
    <t>08_05_02</t>
  </si>
  <si>
    <t>Network cables / control cables / data cables / optical fibre cables</t>
  </si>
  <si>
    <t>08_05_02_12435</t>
  </si>
  <si>
    <t>Network cable in metres</t>
  </si>
  <si>
    <t>Netzwerkkabel Meterware</t>
  </si>
  <si>
    <t>http://www.distrelec.ch/en/c/cat-12435</t>
  </si>
  <si>
    <t>08_05_02_23459</t>
  </si>
  <si>
    <t>Spiral cable</t>
  </si>
  <si>
    <t>Spiralkabel</t>
  </si>
  <si>
    <t>http://www.distrelec.ch/en/c/cat-23459</t>
  </si>
  <si>
    <t>08_05_02_23461</t>
  </si>
  <si>
    <t>Fiber optic</t>
  </si>
  <si>
    <t>Lichtleiter</t>
  </si>
  <si>
    <t>http://www.distrelec.ch/en/c/cat-23461</t>
  </si>
  <si>
    <t>08_05_02_23463</t>
  </si>
  <si>
    <t>Accessories for light strips</t>
  </si>
  <si>
    <t>Zubehör zu Lichtleiter</t>
  </si>
  <si>
    <t>http://www.distrelec.ch/en/c/cat-23463</t>
  </si>
  <si>
    <t>08_05_02_DC-59830</t>
  </si>
  <si>
    <t>DC-59830</t>
  </si>
  <si>
    <t>Mains cable</t>
  </si>
  <si>
    <t>Netzkabel</t>
  </si>
  <si>
    <t>http://www.distrelec.ch/en/c/cat-DC-59830</t>
  </si>
  <si>
    <t>08_05_02_DC-59831</t>
  </si>
  <si>
    <t>DC-59831</t>
  </si>
  <si>
    <t>Control Cables</t>
  </si>
  <si>
    <t>Steuerkabel</t>
  </si>
  <si>
    <t>http://www.distrelec.ch/en/c/cat-DC-59831</t>
  </si>
  <si>
    <t>08_05_02_DC-59832</t>
  </si>
  <si>
    <t>DC-59832</t>
  </si>
  <si>
    <t>Signal cables and data cables</t>
  </si>
  <si>
    <t>Signal- und Datenkabel</t>
  </si>
  <si>
    <t>http://www.distrelec.ch/en/c/cat-DC-59832</t>
  </si>
  <si>
    <t>08_05_02_DC-59836</t>
  </si>
  <si>
    <t>DC-59836</t>
  </si>
  <si>
    <t>LAN and field bus cable</t>
  </si>
  <si>
    <t>LAN- und Feldbuskabel</t>
  </si>
  <si>
    <t>http://www.distrelec.ch/en/c/cat-DC-59836</t>
  </si>
  <si>
    <t>08_05_02_DC-89688</t>
  </si>
  <si>
    <t>DC-89688</t>
  </si>
  <si>
    <t>Drag chain cable</t>
  </si>
  <si>
    <t>Schleppkettenkabel</t>
  </si>
  <si>
    <t>http://www.distrelec.ch/en/c/cat-DC-89688</t>
  </si>
  <si>
    <t>08_05_03</t>
  </si>
  <si>
    <t>Coaxial cables / audio cables / flat cables</t>
  </si>
  <si>
    <t>08_05_03_23467</t>
  </si>
  <si>
    <t>Combi-cable</t>
  </si>
  <si>
    <t>Kombikabel</t>
  </si>
  <si>
    <t>http://www.distrelec.ch/en/c/cat-23467</t>
  </si>
  <si>
    <t>08_05_03_23470</t>
  </si>
  <si>
    <t>Connecting cable, jumper</t>
  </si>
  <si>
    <t>Verbindungskabel, Jumper</t>
  </si>
  <si>
    <t>http://www.distrelec.ch/en/c/cat-23470</t>
  </si>
  <si>
    <t>08_05_03_23472</t>
  </si>
  <si>
    <t>Accessories for connecting cables, jumpers</t>
  </si>
  <si>
    <t>Zubehör zu Verbindungskabel, Jumper</t>
  </si>
  <si>
    <t>http://www.distrelec.ch/en/c/cat-23472</t>
  </si>
  <si>
    <t>08_05_03_543944</t>
  </si>
  <si>
    <t>Video cables</t>
  </si>
  <si>
    <t>Videokabel</t>
  </si>
  <si>
    <t>http://www.distrelec.ch/en/c/cat-543944</t>
  </si>
  <si>
    <t>08_05_03_DC-59837</t>
  </si>
  <si>
    <t>DC-59837</t>
  </si>
  <si>
    <t>Coaxial cable</t>
  </si>
  <si>
    <t>Koaxialkabel</t>
  </si>
  <si>
    <t>http://www.distrelec.ch/en/c/cat-DC-59837</t>
  </si>
  <si>
    <t>08_05_03_DC-59838</t>
  </si>
  <si>
    <t>DC-59838</t>
  </si>
  <si>
    <t>Audio cable</t>
  </si>
  <si>
    <t>Audiokabel</t>
  </si>
  <si>
    <t>http://www.distrelec.ch/en/c/cat-DC-59838</t>
  </si>
  <si>
    <t>08_05_03_DC-59839</t>
  </si>
  <si>
    <t>DC-59839</t>
  </si>
  <si>
    <t>Flat Ribbon Cables</t>
  </si>
  <si>
    <t>Flachbandkabel</t>
  </si>
  <si>
    <t>http://www.distrelec.ch/en/c/cat-DC-59839</t>
  </si>
  <si>
    <t>08_05_03_DC-59840</t>
  </si>
  <si>
    <t>DC-59840</t>
  </si>
  <si>
    <t>Round Flat Cables</t>
  </si>
  <si>
    <t>Flachrundkabel</t>
  </si>
  <si>
    <t>http://www.distrelec.ch/en/c/cat-DC-59840</t>
  </si>
  <si>
    <t>08_05_04</t>
  </si>
  <si>
    <t>08_05_04_166294</t>
  </si>
  <si>
    <t>Heating Cable</t>
  </si>
  <si>
    <t>Heizkabel</t>
  </si>
  <si>
    <t>http://www.distrelec.ch/en/c/cat-166294</t>
  </si>
  <si>
    <t>08_05_04_23474</t>
  </si>
  <si>
    <t>Cable Ties with Marking Tags</t>
  </si>
  <si>
    <t>Kabelbinder mit Markierfeld</t>
  </si>
  <si>
    <t>http://www.distrelec.ch/en/c/cat-23474</t>
  </si>
  <si>
    <t>08_05_04_23476</t>
  </si>
  <si>
    <t>Cable Tie Mounts</t>
  </si>
  <si>
    <t>Kabelbinderhalter</t>
  </si>
  <si>
    <t>http://www.distrelec.ch/en/c/cat-23476</t>
  </si>
  <si>
    <t>08_05_04_23478</t>
  </si>
  <si>
    <t>Material for Equipotential Bonding</t>
  </si>
  <si>
    <t>Material für Potentialausgleich</t>
  </si>
  <si>
    <t>http://www.distrelec.ch/en/c/cat-23478</t>
  </si>
  <si>
    <t>08_05_04_23480</t>
  </si>
  <si>
    <t>Assortments</t>
  </si>
  <si>
    <t>http://www.distrelec.ch/en/c/cat-23480</t>
  </si>
  <si>
    <t>08_05_04_23482</t>
  </si>
  <si>
    <t>Cable Tie Tensioning Tools</t>
  </si>
  <si>
    <t>Kabelbinderzangen</t>
  </si>
  <si>
    <t>http://www.distrelec.ch/en/c/cat-23482</t>
  </si>
  <si>
    <t>08_05_04_565095</t>
  </si>
  <si>
    <t>Cable Tie Assortments</t>
  </si>
  <si>
    <t>Kabelbindersortimente</t>
  </si>
  <si>
    <t>http://www.distrelec.ch/en/c/cat-565095</t>
  </si>
  <si>
    <t>08_05_04_589259</t>
  </si>
  <si>
    <t>Cable Clamps</t>
  </si>
  <si>
    <t>Nagelbriden</t>
  </si>
  <si>
    <t>http://www.distrelec.ch/en/c/cat-589259</t>
  </si>
  <si>
    <t>08_05_04_DC-59841</t>
  </si>
  <si>
    <t>DC-59841</t>
  </si>
  <si>
    <t>Cable Ties</t>
  </si>
  <si>
    <t>Kabelbinder</t>
  </si>
  <si>
    <t>http://www.distrelec.ch/en/c/cat-DC-59841</t>
  </si>
  <si>
    <t>08_05_04_DC-59842</t>
  </si>
  <si>
    <t>DC-59842</t>
  </si>
  <si>
    <t>Cable Supports</t>
  </si>
  <si>
    <t>Kabelbriden</t>
  </si>
  <si>
    <t>http://www.distrelec.ch/en/c/cat-DC-59842</t>
  </si>
  <si>
    <t>Lighting</t>
  </si>
  <si>
    <t>09_01</t>
  </si>
  <si>
    <t>LED Lighting Technology</t>
  </si>
  <si>
    <t>09_01_01</t>
  </si>
  <si>
    <t>09_01_01_DC-53049</t>
  </si>
  <si>
    <t>DC-53049</t>
  </si>
  <si>
    <t>AC Power LEDs</t>
  </si>
  <si>
    <t>http://www.distrelec.ch/en/c/cat-DC-53049</t>
  </si>
  <si>
    <t>09_01_01_DC-90914</t>
  </si>
  <si>
    <t>DC-90914</t>
  </si>
  <si>
    <t>http://www.distrelec.ch/en/c/cat-DC-90914</t>
  </si>
  <si>
    <t>09_01_02</t>
  </si>
  <si>
    <t>LED spots</t>
  </si>
  <si>
    <t>09_01_02_19487</t>
  </si>
  <si>
    <t>LED Spotlights</t>
  </si>
  <si>
    <t>http://www.distrelec.ch/en/c/cat-19487</t>
  </si>
  <si>
    <t>09_01_03</t>
  </si>
  <si>
    <t>09_01_03_19533</t>
  </si>
  <si>
    <t>http://www.distrelec.ch/en/c/cat-19533</t>
  </si>
  <si>
    <t>09_01_03_19535</t>
  </si>
  <si>
    <t>LED Strips and Linear Fixtures, DC</t>
  </si>
  <si>
    <t>LED-Module, DC</t>
  </si>
  <si>
    <t>http://www.distrelec.ch/en/c/cat-19535</t>
  </si>
  <si>
    <t>09_01_03_19537</t>
  </si>
  <si>
    <t>Light guide LED modules</t>
  </si>
  <si>
    <t>Lichtleiter-LED-Module</t>
  </si>
  <si>
    <t>http://www.distrelec.ch/en/c/cat-19537</t>
  </si>
  <si>
    <t>09_01_03_19539</t>
  </si>
  <si>
    <t>Accessories for LED Modules</t>
  </si>
  <si>
    <t>Zubehör zu LED-Module</t>
  </si>
  <si>
    <t>http://www.distrelec.ch/en/c/cat-19539</t>
  </si>
  <si>
    <t>09_01_03_DC-90920</t>
  </si>
  <si>
    <t>DC-90920</t>
  </si>
  <si>
    <t>LED Strips, DC</t>
  </si>
  <si>
    <t>LED-Streifen, DC</t>
  </si>
  <si>
    <t>http://www.distrelec.ch/en/c/cat-DC-90920</t>
  </si>
  <si>
    <t>09_01_04</t>
  </si>
  <si>
    <t>09_01_04_19497</t>
  </si>
  <si>
    <t>LED lamps</t>
  </si>
  <si>
    <t>http://www.distrelec.ch/en/c/cat-19497</t>
  </si>
  <si>
    <t>09_01_04_19503</t>
  </si>
  <si>
    <t>Accessories for LED lights</t>
  </si>
  <si>
    <t>Zubehör zu LED-Leuchten</t>
  </si>
  <si>
    <t>http://www.distrelec.ch/en/c/cat-19503</t>
  </si>
  <si>
    <t>09_01_05</t>
  </si>
  <si>
    <t>Accessory for Super-bright LEDs</t>
  </si>
  <si>
    <t>09_01_05_29852</t>
  </si>
  <si>
    <t>Mounting Accessories for Power LEDs</t>
  </si>
  <si>
    <t>Montagehilfen für Power-LEDs</t>
  </si>
  <si>
    <t>http://www.distrelec.ch/en/c/cat-29852</t>
  </si>
  <si>
    <t>09_01_05_DC-84809</t>
  </si>
  <si>
    <t>DC-84809</t>
  </si>
  <si>
    <t>Optiken für LEDs</t>
  </si>
  <si>
    <t>http://www.distrelec.ch/en/c/cat-DC-84809</t>
  </si>
  <si>
    <t>09_01_06</t>
  </si>
  <si>
    <t>09_01_06_19525</t>
  </si>
  <si>
    <t>LED Colour Controllers</t>
  </si>
  <si>
    <t>LED-Farbsteuerungen</t>
  </si>
  <si>
    <t>http://www.distrelec.ch/en/c/cat-19525</t>
  </si>
  <si>
    <t>09_01_06_19527</t>
  </si>
  <si>
    <t>Accessories for LED Power Supplies</t>
  </si>
  <si>
    <t>Zubehör zu LED-Versorger</t>
  </si>
  <si>
    <t>http://www.distrelec.ch/en/c/cat-19527</t>
  </si>
  <si>
    <t>09_01_06_DC-84810</t>
  </si>
  <si>
    <t>DC-84810</t>
  </si>
  <si>
    <t>LED Power Supply</t>
  </si>
  <si>
    <t>LED-Stromversorger</t>
  </si>
  <si>
    <t>http://www.distrelec.ch/en/c/cat-DC-84810</t>
  </si>
  <si>
    <t>09_01_06_DC-90922</t>
  </si>
  <si>
    <t>DC-90922</t>
  </si>
  <si>
    <t>LED power supply</t>
  </si>
  <si>
    <t>LED-Spannungsversorger</t>
  </si>
  <si>
    <t>http://www.distrelec.ch/en/c/cat-DC-90922</t>
  </si>
  <si>
    <t>09_01_07</t>
  </si>
  <si>
    <t>EL Panels</t>
  </si>
  <si>
    <t>09_01_07_19520</t>
  </si>
  <si>
    <t>EL inverter</t>
  </si>
  <si>
    <t>EL-Inverter</t>
  </si>
  <si>
    <t>http://www.distrelec.ch/en/c/cat-19520</t>
  </si>
  <si>
    <t>09_01_07_DC-53060</t>
  </si>
  <si>
    <t>DC-53060</t>
  </si>
  <si>
    <t>EL panel</t>
  </si>
  <si>
    <t>EL-Leuchtflächen</t>
  </si>
  <si>
    <t>http://www.distrelec.ch/en/c/cat-DC-53060</t>
  </si>
  <si>
    <t>09_01_07_DC-90923</t>
  </si>
  <si>
    <t>DC-90923</t>
  </si>
  <si>
    <t>EL light cable</t>
  </si>
  <si>
    <t>http://www.distrelec.ch/en/c/cat-DC-90923</t>
  </si>
  <si>
    <t>09_02</t>
  </si>
  <si>
    <t>Lamps / Indicator Lamps / Lamp Holders</t>
  </si>
  <si>
    <t>09_02_01</t>
  </si>
  <si>
    <t>Illuminants</t>
  </si>
  <si>
    <t>09_02_01_159785</t>
  </si>
  <si>
    <t>Accessories for fluorescent lamps</t>
  </si>
  <si>
    <t>Zubehör für Fluoreszenzlampen</t>
  </si>
  <si>
    <t>http://www.distrelec.ch/en/c/cat-159785</t>
  </si>
  <si>
    <t>09_02_01_159804</t>
  </si>
  <si>
    <t>Gas discharge lamps</t>
  </si>
  <si>
    <t>Gasentladungslampen</t>
  </si>
  <si>
    <t>http://www.distrelec.ch/en/c/cat-159804</t>
  </si>
  <si>
    <t>09_02_01_159814</t>
  </si>
  <si>
    <t>Neon lights</t>
  </si>
  <si>
    <t>Neonlampen</t>
  </si>
  <si>
    <t>http://www.distrelec.ch/en/c/cat-159814</t>
  </si>
  <si>
    <t>09_02_01_16333</t>
  </si>
  <si>
    <t>Halogen lamps</t>
  </si>
  <si>
    <t>http://www.distrelec.ch/en/c/cat-16333</t>
  </si>
  <si>
    <t>09_02_01_16339</t>
  </si>
  <si>
    <t>Light bulbs</t>
  </si>
  <si>
    <t>Glühlampen</t>
  </si>
  <si>
    <t>http://www.distrelec.ch/en/c/cat-16339</t>
  </si>
  <si>
    <t>09_02_01_16341</t>
  </si>
  <si>
    <t>Fluorescent lamps</t>
  </si>
  <si>
    <t>http://www.distrelec.ch/en/c/cat-16341</t>
  </si>
  <si>
    <t>09_02_01_16343</t>
  </si>
  <si>
    <t>http://www.distrelec.ch/en/c/cat-16343</t>
  </si>
  <si>
    <t>09_02_01_16437</t>
  </si>
  <si>
    <t>Starters and ballast for fluorescent lamps</t>
  </si>
  <si>
    <t>Starter und Vorschaltgeräte für Leuchtstofflampen</t>
  </si>
  <si>
    <t>http://www.distrelec.ch/en/c/cat-16437</t>
  </si>
  <si>
    <t>09_02_01_16443</t>
  </si>
  <si>
    <t>Transformers for halogen lamps</t>
  </si>
  <si>
    <t>Transformatoren für Halogenlampen</t>
  </si>
  <si>
    <t>http://www.distrelec.ch/en/c/cat-16443</t>
  </si>
  <si>
    <t>09_02_01_16445</t>
  </si>
  <si>
    <t>Connector for low-volt halogen lamps</t>
  </si>
  <si>
    <t>Steckverbinder für Niedervolt Halogenlampen</t>
  </si>
  <si>
    <t>http://www.distrelec.ch/en/c/cat-16445</t>
  </si>
  <si>
    <t>09_02_01_37951</t>
  </si>
  <si>
    <t>Car bulbs</t>
  </si>
  <si>
    <t>Fahrzeuglampen</t>
  </si>
  <si>
    <t>http://www.distrelec.ch/en/c/cat-37951</t>
  </si>
  <si>
    <t>09_02_01_442368</t>
  </si>
  <si>
    <t>Accessories for LED Lamps</t>
  </si>
  <si>
    <t>Zubehör für LED-Lampen</t>
  </si>
  <si>
    <t>http://www.distrelec.ch/en/c/cat-442368</t>
  </si>
  <si>
    <t>09_02_01_65930</t>
  </si>
  <si>
    <t>Accessories for halogen spotlights</t>
  </si>
  <si>
    <t>Zubehör für Halogenspots</t>
  </si>
  <si>
    <t>http://www.distrelec.ch/en/c/cat-65930</t>
  </si>
  <si>
    <t>09_02_02</t>
  </si>
  <si>
    <t>Miniature and Pilot Lamps</t>
  </si>
  <si>
    <t>09_02_02_160147</t>
  </si>
  <si>
    <t>Incandescent lamps, Midget flange socket</t>
  </si>
  <si>
    <t>Glühlampen, Midget flange Sockel</t>
  </si>
  <si>
    <t>http://www.distrelec.ch/en/c/cat-160147</t>
  </si>
  <si>
    <t>09_02_02_16499</t>
  </si>
  <si>
    <t>Incandescent lamps, bayonet cap</t>
  </si>
  <si>
    <t>Glühlampen, Bajonettsockel</t>
  </si>
  <si>
    <t>http://www.distrelec.ch/en/c/cat-16499</t>
  </si>
  <si>
    <t>09_02_02_16500</t>
  </si>
  <si>
    <t>Glow lamps, bayonet cap</t>
  </si>
  <si>
    <t>Glimmlampen, Bajonettsockel</t>
  </si>
  <si>
    <t>http://www.distrelec.ch/en/c/cat-16500</t>
  </si>
  <si>
    <t>09_02_02_16501</t>
  </si>
  <si>
    <t>LED Indicator Lamps, Bayonet Fitting</t>
  </si>
  <si>
    <t>LED-Signallampen, Bajonettsockel</t>
  </si>
  <si>
    <t>http://www.distrelec.ch/en/c/cat-16501</t>
  </si>
  <si>
    <t>09_02_02_16502</t>
  </si>
  <si>
    <t>Incandescent lamps, screw base</t>
  </si>
  <si>
    <t>Glühlampen, Schraubsockel</t>
  </si>
  <si>
    <t>http://www.distrelec.ch/en/c/cat-16502</t>
  </si>
  <si>
    <t>09_02_02_16503</t>
  </si>
  <si>
    <t>Glow lamps, screw base</t>
  </si>
  <si>
    <t>Glimmlampen, Schraubsockel</t>
  </si>
  <si>
    <t>http://www.distrelec.ch/en/c/cat-16503</t>
  </si>
  <si>
    <t>09_02_02_16504</t>
  </si>
  <si>
    <t>LED signal lamps, screw base</t>
  </si>
  <si>
    <t>LED-Signallampen, Schraubsockel</t>
  </si>
  <si>
    <t>http://www.distrelec.ch/en/c/cat-16504</t>
  </si>
  <si>
    <t>09_02_02_16505</t>
  </si>
  <si>
    <t>Telephone lamps, T-shape holder</t>
  </si>
  <si>
    <t>Telefonlampen, T-Sockel</t>
  </si>
  <si>
    <t>http://www.distrelec.ch/en/c/cat-16505</t>
  </si>
  <si>
    <t>09_02_02_16506</t>
  </si>
  <si>
    <t>LED telephone lamps, T-base</t>
  </si>
  <si>
    <t>LED-Telefonlampen, T-Sockel</t>
  </si>
  <si>
    <t>http://www.distrelec.ch/en/c/cat-16506</t>
  </si>
  <si>
    <t>09_02_02_16508</t>
  </si>
  <si>
    <t>Incandescent lamps, Midget-grooved base</t>
  </si>
  <si>
    <t>Glühlampen, Midget-grooved Sockel</t>
  </si>
  <si>
    <t>http://www.distrelec.ch/en/c/cat-16508</t>
  </si>
  <si>
    <t>09_02_02_16510</t>
  </si>
  <si>
    <t>LED Indicator Lamps, Midget Groove Base</t>
  </si>
  <si>
    <t>LED-Signallampen, Midget-grooved Sockel</t>
  </si>
  <si>
    <t>http://www.distrelec.ch/en/c/cat-16510</t>
  </si>
  <si>
    <t>09_02_02_16512</t>
  </si>
  <si>
    <t>Signal lamps, wire lead</t>
  </si>
  <si>
    <t>Signallampen, Drahtanschluss</t>
  </si>
  <si>
    <t>http://www.distrelec.ch/en/c/cat-16512</t>
  </si>
  <si>
    <t>09_02_02_16514</t>
  </si>
  <si>
    <t>LED signal lamps, wire lead</t>
  </si>
  <si>
    <t>LED-Signallampen, Drahtanschluss</t>
  </si>
  <si>
    <t>http://www.distrelec.ch/en/c/cat-16514</t>
  </si>
  <si>
    <t>09_02_02_16516</t>
  </si>
  <si>
    <t>Incandescent Lamps, Festoon</t>
  </si>
  <si>
    <t>Glühlampen, Soffitten</t>
  </si>
  <si>
    <t>http://www.distrelec.ch/en/c/cat-16516</t>
  </si>
  <si>
    <t>09_02_02_16518</t>
  </si>
  <si>
    <t>LED Signal Lamps, Festoon</t>
  </si>
  <si>
    <t>LED-Signallampen, Soffitten</t>
  </si>
  <si>
    <t>http://www.distrelec.ch/en/c/cat-16518</t>
  </si>
  <si>
    <t>09_02_02_16520</t>
  </si>
  <si>
    <t>Incandescent lamps, W2x4.6d</t>
  </si>
  <si>
    <t>Glühlampen, W2x4.6d</t>
  </si>
  <si>
    <t>http://www.distrelec.ch/en/c/cat-16520</t>
  </si>
  <si>
    <t>09_02_02_16522</t>
  </si>
  <si>
    <t>Incandescent lamps, W2.1x9.5d</t>
  </si>
  <si>
    <t>Glühlampen, W2.1x9.5d</t>
  </si>
  <si>
    <t>http://www.distrelec.ch/en/c/cat-16522</t>
  </si>
  <si>
    <t>09_02_02_16524</t>
  </si>
  <si>
    <t>LED signal lamps, W2x4.6d</t>
  </si>
  <si>
    <t>LED-Signallampen, W2x4.6d</t>
  </si>
  <si>
    <t>http://www.distrelec.ch/en/c/cat-16524</t>
  </si>
  <si>
    <t>09_02_02_16526</t>
  </si>
  <si>
    <t>LED signal lamps, E14</t>
  </si>
  <si>
    <t>http://www.distrelec.ch/en/c/cat-16526</t>
  </si>
  <si>
    <t>09_02_02_19414</t>
  </si>
  <si>
    <t>Lamp extractor</t>
  </si>
  <si>
    <t>Lampenzieher</t>
  </si>
  <si>
    <t>http://www.distrelec.ch/en/c/cat-19414</t>
  </si>
  <si>
    <t>09_02_03</t>
  </si>
  <si>
    <t>09_02_03_16569</t>
  </si>
  <si>
    <t>Holders for halogen lamps</t>
  </si>
  <si>
    <t>Fassungen für Halogenlampen</t>
  </si>
  <si>
    <t>http://www.distrelec.ch/en/c/cat-16569</t>
  </si>
  <si>
    <t>09_02_03_16571</t>
  </si>
  <si>
    <t>Retaining springs for halogen lamps</t>
  </si>
  <si>
    <t>Haltefedern für Halogenlampen</t>
  </si>
  <si>
    <t>http://www.distrelec.ch/en/c/cat-16571</t>
  </si>
  <si>
    <t>09_02_03_16573</t>
  </si>
  <si>
    <t>Holders for incandescent lamps</t>
  </si>
  <si>
    <t>Fassungen für Glühlampen</t>
  </si>
  <si>
    <t>http://www.distrelec.ch/en/c/cat-16573</t>
  </si>
  <si>
    <t>09_02_03_16575</t>
  </si>
  <si>
    <t>Lamp holders, holders for signal lamps</t>
  </si>
  <si>
    <t>Fassungen für Signallampen</t>
  </si>
  <si>
    <t>http://www.distrelec.ch/en/c/cat-16575</t>
  </si>
  <si>
    <t>09_02_03_65940</t>
  </si>
  <si>
    <t>Holders for fluorescent lights</t>
  </si>
  <si>
    <t>Fassungen für Fluoreszenzlampen</t>
  </si>
  <si>
    <t>http://www.distrelec.ch/en/c/cat-65940</t>
  </si>
  <si>
    <t>09_03</t>
  </si>
  <si>
    <t>Torches / Workplace Lighting / Light Fixtures</t>
  </si>
  <si>
    <t>09_03_01</t>
  </si>
  <si>
    <t>09_03_01_162657</t>
  </si>
  <si>
    <t>Head Torches</t>
  </si>
  <si>
    <t>Stirnlampen</t>
  </si>
  <si>
    <t>http://www.distrelec.ch/en/c/cat-162657</t>
  </si>
  <si>
    <t>09_03_01_197307</t>
  </si>
  <si>
    <t>Hobby and Leisure Torches</t>
  </si>
  <si>
    <t>Hobby- und Freizeitlampen</t>
  </si>
  <si>
    <t>http://www.distrelec.ch/en/c/cat-197307</t>
  </si>
  <si>
    <t>09_03_01_197309</t>
  </si>
  <si>
    <t>Key Fob Torches</t>
  </si>
  <si>
    <t>Schlüsselanhänger mit Licht</t>
  </si>
  <si>
    <t>http://www.distrelec.ch/en/c/cat-197309</t>
  </si>
  <si>
    <t>09_03_01_26684</t>
  </si>
  <si>
    <t>Accessories for torches</t>
  </si>
  <si>
    <t>Zubehör für Taschenlampen</t>
  </si>
  <si>
    <t>http://www.distrelec.ch/en/c/cat-26684</t>
  </si>
  <si>
    <t>09_03_01_DC-59846</t>
  </si>
  <si>
    <t>DC-59846</t>
  </si>
  <si>
    <t>Torches for Battery Operations</t>
  </si>
  <si>
    <t>Taschenlampen für Batteriebetrieb</t>
  </si>
  <si>
    <t>http://www.distrelec.ch/en/c/cat-DC-59846</t>
  </si>
  <si>
    <t>09_03_01_DC-59847</t>
  </si>
  <si>
    <t>DC-59847</t>
  </si>
  <si>
    <t>Torches, Rechargeable</t>
  </si>
  <si>
    <t>Akkuleuchten</t>
  </si>
  <si>
    <t>http://www.distrelec.ch/en/c/cat-DC-59847</t>
  </si>
  <si>
    <t>09_03_01_DD-15567</t>
  </si>
  <si>
    <t>DD-15567</t>
  </si>
  <si>
    <t>Camping lamps</t>
  </si>
  <si>
    <t>Camping-Lampen</t>
  </si>
  <si>
    <t>http://www.distrelec.ch/en/c/cat-DD-15567</t>
  </si>
  <si>
    <t>09_03_02</t>
  </si>
  <si>
    <t>09_03_02_16321</t>
  </si>
  <si>
    <t>Desktop Lamps</t>
  </si>
  <si>
    <t>Tischleuchten</t>
  </si>
  <si>
    <t>http://www.distrelec.ch/en/c/cat-16321</t>
  </si>
  <si>
    <t>09_03_02_16325</t>
  </si>
  <si>
    <t>Wall and Ceiling Light Fixtures</t>
  </si>
  <si>
    <t>Wand- und Deckenleuchten</t>
  </si>
  <si>
    <t>http://www.distrelec.ch/en/c/cat-16325</t>
  </si>
  <si>
    <t>09_03_02_16429</t>
  </si>
  <si>
    <t>Table feet</t>
  </si>
  <si>
    <t>Tischfüsse</t>
  </si>
  <si>
    <t>http://www.distrelec.ch/en/c/cat-16429</t>
  </si>
  <si>
    <t>09_03_02_16431</t>
  </si>
  <si>
    <t>Light strips</t>
  </si>
  <si>
    <t>Lichtleisten</t>
  </si>
  <si>
    <t>http://www.distrelec.ch/en/c/cat-16431</t>
  </si>
  <si>
    <t>09_03_02_16439</t>
  </si>
  <si>
    <t>Decoration lights</t>
  </si>
  <si>
    <t>Leuchten zur Dekoration</t>
  </si>
  <si>
    <t>http://www.distrelec.ch/en/c/cat-16439</t>
  </si>
  <si>
    <t>09_03_02_164422</t>
  </si>
  <si>
    <t>Accessories for table lamps</t>
  </si>
  <si>
    <t>Zubehör für Tischleuchten</t>
  </si>
  <si>
    <t>http://www.distrelec.ch/en/c/cat-164422</t>
  </si>
  <si>
    <t>09_03_02_19495</t>
  </si>
  <si>
    <t>LED Machine Lamps</t>
  </si>
  <si>
    <t>LED-Maschinenleuchten</t>
  </si>
  <si>
    <t>http://www.distrelec.ch/en/c/cat-19495</t>
  </si>
  <si>
    <t>09_03_02_19499</t>
  </si>
  <si>
    <t>LED Flush Mounted Fixtures</t>
  </si>
  <si>
    <t>LED-Einbauleuchten</t>
  </si>
  <si>
    <t>http://www.distrelec.ch/en/c/cat-19499</t>
  </si>
  <si>
    <t>09_03_02_19501</t>
  </si>
  <si>
    <t>LED recess-mounted frame</t>
  </si>
  <si>
    <t>LED-Einbaurahmen</t>
  </si>
  <si>
    <t>http://www.distrelec.ch/en/c/cat-19501</t>
  </si>
  <si>
    <t>09_03_02_197915</t>
  </si>
  <si>
    <t>Accessories for Control Cabinet Luminaires</t>
  </si>
  <si>
    <t>Zubehör für Schaltschrankleuchten</t>
  </si>
  <si>
    <t>http://www.distrelec.ch/en/c/cat-197915</t>
  </si>
  <si>
    <t>09_03_02_65924</t>
  </si>
  <si>
    <t>Halogen spotlights</t>
  </si>
  <si>
    <t>Halogenspots</t>
  </si>
  <si>
    <t>http://www.distrelec.ch/en/c/cat-65924</t>
  </si>
  <si>
    <t>09_03_02_DC-59848</t>
  </si>
  <si>
    <t>DC-59848</t>
  </si>
  <si>
    <t>Floodlights</t>
  </si>
  <si>
    <t>Strahler</t>
  </si>
  <si>
    <t>http://www.distrelec.ch/en/c/cat-DC-59848</t>
  </si>
  <si>
    <t>09_03_02_DC-86432</t>
  </si>
  <si>
    <t>DC-86432</t>
  </si>
  <si>
    <t>Exterior lights</t>
  </si>
  <si>
    <t>http://www.distrelec.ch/en/c/cat-DC-86432</t>
  </si>
  <si>
    <t>09_03_02_DC-90054</t>
  </si>
  <si>
    <t>DC-90054</t>
  </si>
  <si>
    <t>Control Cabinet Luminaires</t>
  </si>
  <si>
    <t>Schaltschrankleuchten</t>
  </si>
  <si>
    <t>http://www.distrelec.ch/en/c/cat-DC-90054</t>
  </si>
  <si>
    <t>09_03_191122</t>
  </si>
  <si>
    <t>Workplace Lamps</t>
  </si>
  <si>
    <t>Arbeitsleuchten</t>
  </si>
  <si>
    <t>http://www.distrelec.ch/en/c/cat-191122</t>
  </si>
  <si>
    <t>Tools / Soldering</t>
  </si>
  <si>
    <t>10_01</t>
  </si>
  <si>
    <t>10_01_01</t>
  </si>
  <si>
    <t>L3D_525408</t>
  </si>
  <si>
    <t>Tool Storage, Organizers</t>
  </si>
  <si>
    <t>Werkzeugaufbewahrung</t>
  </si>
  <si>
    <t>10_01_01_170006</t>
  </si>
  <si>
    <t>Toolbags and toolboxes, Raaco</t>
  </si>
  <si>
    <t>Werkzeugtaschen und -koffer Raaco</t>
  </si>
  <si>
    <t>http://www.distrelec.ch/en/c/cat-170006</t>
  </si>
  <si>
    <t>10_01_01_170008</t>
  </si>
  <si>
    <t>Toolbags and toolboxes, Plano</t>
  </si>
  <si>
    <t>Werkzeugtaschen und -koffer Plano</t>
  </si>
  <si>
    <t>http://www.distrelec.ch/en/c/cat-170008</t>
  </si>
  <si>
    <t>10_01_01_170011</t>
  </si>
  <si>
    <t>Toolbags and toolboxes, Proskit</t>
  </si>
  <si>
    <t>Werkzeugtaschen und -koffer Proskit</t>
  </si>
  <si>
    <t>http://www.distrelec.ch/en/c/cat-170011</t>
  </si>
  <si>
    <t>10_01_01_170013</t>
  </si>
  <si>
    <t>Toolbags and toolboxes, Chicago Case</t>
  </si>
  <si>
    <t>Werkzeugtaschen und -koffer Chicago Case</t>
  </si>
  <si>
    <t>http://www.distrelec.ch/en/c/cat-170013</t>
  </si>
  <si>
    <t>10_01_01_170015</t>
  </si>
  <si>
    <t>Tool pouches</t>
  </si>
  <si>
    <t>Werkzeugetuis</t>
  </si>
  <si>
    <t>http://www.distrelec.ch/en/c/cat-170015</t>
  </si>
  <si>
    <t>10_01_01_21692</t>
  </si>
  <si>
    <t>Tool carrying systems</t>
  </si>
  <si>
    <t>Werkzeug-Trag-Systeme</t>
  </si>
  <si>
    <t>http://www.distrelec.ch/en/c/cat-21692</t>
  </si>
  <si>
    <t>10_01_01_21694</t>
  </si>
  <si>
    <t>Workshop trolleys - accessories</t>
  </si>
  <si>
    <t>Werkstattwagen - Zubehör</t>
  </si>
  <si>
    <t>http://www.distrelec.ch/en/c/cat-21694</t>
  </si>
  <si>
    <t>10_01_01_21696</t>
  </si>
  <si>
    <t>Workshop trolleys - drawer systems</t>
  </si>
  <si>
    <t>Werkstattwagen - Schubfacheinrichtungen</t>
  </si>
  <si>
    <t>http://www.distrelec.ch/en/c/cat-21696</t>
  </si>
  <si>
    <t>10_01_01_DC-95580</t>
  </si>
  <si>
    <t>DC-95580</t>
  </si>
  <si>
    <t>Tool Cases and Bags, Parat</t>
  </si>
  <si>
    <t>Werkzeugtaschen und -koffer, Parat</t>
  </si>
  <si>
    <t>http://www.distrelec.ch/en/c/cat-DC-95580</t>
  </si>
  <si>
    <t>10_01_01_DC-95581</t>
  </si>
  <si>
    <t>DC-95581</t>
  </si>
  <si>
    <t>Accessories for Parat Tool Cases</t>
  </si>
  <si>
    <t>Zubehör zu Parat-Werkzeugkoffer</t>
  </si>
  <si>
    <t>http://www.distrelec.ch/en/c/cat-DC-95581</t>
  </si>
  <si>
    <t>10_01_01_DC-95582</t>
  </si>
  <si>
    <t>DC-95582</t>
  </si>
  <si>
    <t>Tool Cases and Kits, Bernstein</t>
  </si>
  <si>
    <t>Werkzeugtaschen und -koffer, Bernstein</t>
  </si>
  <si>
    <t>http://www.distrelec.ch/en/c/cat-DC-95582</t>
  </si>
  <si>
    <t>10_01_01_DC-95583</t>
  </si>
  <si>
    <t>DC-95583</t>
  </si>
  <si>
    <t>Tool Cases and Bags, GT-Line</t>
  </si>
  <si>
    <t>Werkzeugtaschen und -koffer, GT-Line</t>
  </si>
  <si>
    <t>http://www.distrelec.ch/en/c/cat-DC-95583</t>
  </si>
  <si>
    <t>10_01_01_DC-95584</t>
  </si>
  <si>
    <t>DC-95584</t>
  </si>
  <si>
    <t>Tool Bags, CK</t>
  </si>
  <si>
    <t>Werkzeugtaschen, CK</t>
  </si>
  <si>
    <t>http://www.distrelec.ch/en/c/cat-DC-95584</t>
  </si>
  <si>
    <t>10_01_01_DC-95585</t>
  </si>
  <si>
    <t>DC-95585</t>
  </si>
  <si>
    <t>Tool Kits</t>
  </si>
  <si>
    <t>Werkzeugsätze</t>
  </si>
  <si>
    <t>http://www.distrelec.ch/en/c/cat-DC-95585</t>
  </si>
  <si>
    <t>10_01_01_DC-95586</t>
  </si>
  <si>
    <t>DC-95586</t>
  </si>
  <si>
    <t>Workshop trolleys</t>
  </si>
  <si>
    <t>Werkstattwagen</t>
  </si>
  <si>
    <t>http://www.distrelec.ch/en/c/cat-DC-95586</t>
  </si>
  <si>
    <t>10_01_02</t>
  </si>
  <si>
    <t>L3D_525409</t>
  </si>
  <si>
    <t>Screwdrivers</t>
  </si>
  <si>
    <t>Schraubendreher</t>
  </si>
  <si>
    <t>10_01_02_21702</t>
  </si>
  <si>
    <t>Screwdrivers (assortment)</t>
  </si>
  <si>
    <t>Schraubendreher (Sätze)</t>
  </si>
  <si>
    <t>http://www.distrelec.ch/en/c/cat-21702</t>
  </si>
  <si>
    <t>10_01_02_21704</t>
  </si>
  <si>
    <t>Screwdrivers (torque)</t>
  </si>
  <si>
    <t>Schraubendreher (Drehmoment)</t>
  </si>
  <si>
    <t>http://www.distrelec.ch/en/c/cat-21704</t>
  </si>
  <si>
    <t>10_01_02_21708</t>
  </si>
  <si>
    <t>Screwdrivers (interchangeable blades)</t>
  </si>
  <si>
    <t>Schraubendreher (Wechselklingen)</t>
  </si>
  <si>
    <t>http://www.distrelec.ch/en/c/cat-21708</t>
  </si>
  <si>
    <t>10_01_02_21722</t>
  </si>
  <si>
    <t>Ratchet screwdriver set</t>
  </si>
  <si>
    <t>Knarrenschraubendrehersätze</t>
  </si>
  <si>
    <t>http://www.distrelec.ch/en/c/cat-21722</t>
  </si>
  <si>
    <t>10_01_02_21724</t>
  </si>
  <si>
    <t>Screw extractor set</t>
  </si>
  <si>
    <t>Schraubenausdrehersätze</t>
  </si>
  <si>
    <t>http://www.distrelec.ch/en/c/cat-21724</t>
  </si>
  <si>
    <t>10_01_02_220917</t>
  </si>
  <si>
    <t>Accessories for Screwdrivers</t>
  </si>
  <si>
    <t>Zubehör Schraubendreher</t>
  </si>
  <si>
    <t>http://www.distrelec.ch/en/c/cat-220917</t>
  </si>
  <si>
    <t>10_01_02_DC-95587</t>
  </si>
  <si>
    <t>DC-95587</t>
  </si>
  <si>
    <t>http://www.distrelec.ch/en/c/cat-DC-95587</t>
  </si>
  <si>
    <t>10_01_03</t>
  </si>
  <si>
    <t>L3D_525410</t>
  </si>
  <si>
    <t>Bit</t>
  </si>
  <si>
    <t>Bits</t>
  </si>
  <si>
    <t>10_01_03_21716</t>
  </si>
  <si>
    <t>Bit holder</t>
  </si>
  <si>
    <t>Bithalter</t>
  </si>
  <si>
    <t>http://www.distrelec.ch/en/c/cat-21716</t>
  </si>
  <si>
    <t>10_01_03_21718</t>
  </si>
  <si>
    <t>Bit assortments</t>
  </si>
  <si>
    <t>Bit-Sortimente</t>
  </si>
  <si>
    <t>http://www.distrelec.ch/en/c/cat-21718</t>
  </si>
  <si>
    <t>10_01_03_21720</t>
  </si>
  <si>
    <t>http://www.distrelec.ch/en/c/cat-21720</t>
  </si>
  <si>
    <t>10_01_04</t>
  </si>
  <si>
    <t>L3D_525411</t>
  </si>
  <si>
    <t>Wrenches / Spanners</t>
  </si>
  <si>
    <t>Schraubenschlüssel</t>
  </si>
  <si>
    <t>10_01_04_21729</t>
  </si>
  <si>
    <t>Adjustable wrenches</t>
  </si>
  <si>
    <t>Rollgabelschlüssel</t>
  </si>
  <si>
    <t>http://www.distrelec.ch/en/c/cat-21729</t>
  </si>
  <si>
    <t>10_01_04_21739</t>
  </si>
  <si>
    <t>Universal key</t>
  </si>
  <si>
    <t>Universalschlüssel</t>
  </si>
  <si>
    <t>http://www.distrelec.ch/en/c/cat-21739</t>
  </si>
  <si>
    <t>10_01_04_279754</t>
  </si>
  <si>
    <t>Inserts</t>
  </si>
  <si>
    <t>Einsätze</t>
  </si>
  <si>
    <t>http://www.distrelec.ch/en/c/cat-279754</t>
  </si>
  <si>
    <t>10_01_04_DC-95588</t>
  </si>
  <si>
    <t>DC-95588</t>
  </si>
  <si>
    <t>Spanner</t>
  </si>
  <si>
    <t>http://www.distrelec.ch/en/c/cat-DC-95588</t>
  </si>
  <si>
    <t>10_01_04_DC-95589</t>
  </si>
  <si>
    <t>DC-95589</t>
  </si>
  <si>
    <t>Socket Wrenches</t>
  </si>
  <si>
    <t>Steckschlüssel</t>
  </si>
  <si>
    <t>http://www.distrelec.ch/en/c/cat-DC-95589</t>
  </si>
  <si>
    <t>10_01_04_DC-95590</t>
  </si>
  <si>
    <t>DC-95590</t>
  </si>
  <si>
    <t>Torque Wrenches</t>
  </si>
  <si>
    <t>Drehmomentschlüssel</t>
  </si>
  <si>
    <t>http://www.distrelec.ch/en/c/cat-DC-95590</t>
  </si>
  <si>
    <t>10_01_05</t>
  </si>
  <si>
    <t>L3D_525412</t>
  </si>
  <si>
    <t>Hex Keys</t>
  </si>
  <si>
    <t>Stiftschlüssel</t>
  </si>
  <si>
    <t>10_01_05_21733</t>
  </si>
  <si>
    <t>Hex and Torx Keys</t>
  </si>
  <si>
    <t>Winkelstiftschlüssel</t>
  </si>
  <si>
    <t>http://www.distrelec.ch/en/c/cat-21733</t>
  </si>
  <si>
    <t>10_01_05_21735</t>
  </si>
  <si>
    <t>Hex Key Sets PocketStar</t>
  </si>
  <si>
    <t>Winkelstiftschlüsselsätze PocketStar</t>
  </si>
  <si>
    <t>http://www.distrelec.ch/en/c/cat-21735</t>
  </si>
  <si>
    <t>10_01_05_21737</t>
  </si>
  <si>
    <t>Hex Keys with T Handle</t>
  </si>
  <si>
    <t>Stiftschlüssel mit Quergriff</t>
  </si>
  <si>
    <t>http://www.distrelec.ch/en/c/cat-21737</t>
  </si>
  <si>
    <t>10_01_06</t>
  </si>
  <si>
    <t>L3D_525413</t>
  </si>
  <si>
    <t>Clamping Tools</t>
  </si>
  <si>
    <t>Abzieher und Schraubstöcke</t>
  </si>
  <si>
    <t>10_01_06_21747</t>
  </si>
  <si>
    <t>Vice</t>
  </si>
  <si>
    <t>Schraubstöcke</t>
  </si>
  <si>
    <t>http://www.distrelec.ch/en/c/cat-21747</t>
  </si>
  <si>
    <t>10_01_06_21749</t>
  </si>
  <si>
    <t>Vice combinations</t>
  </si>
  <si>
    <t>Schraubstock-Kombinationen</t>
  </si>
  <si>
    <t>http://www.distrelec.ch/en/c/cat-21749</t>
  </si>
  <si>
    <t>10_01_06_21751</t>
  </si>
  <si>
    <t>Glue press</t>
  </si>
  <si>
    <t>Leimzwingen</t>
  </si>
  <si>
    <t>http://www.distrelec.ch/en/c/cat-21751</t>
  </si>
  <si>
    <t>10_01_06_DC-95591</t>
  </si>
  <si>
    <t>DC-95591</t>
  </si>
  <si>
    <t>Pullers and Extractors</t>
  </si>
  <si>
    <t>Abzieher und Spannwerkzeuge</t>
  </si>
  <si>
    <t>http://www.distrelec.ch/en/c/cat-DC-95591</t>
  </si>
  <si>
    <t>10_01_07</t>
  </si>
  <si>
    <t>L3D_525414</t>
  </si>
  <si>
    <t>Striking Tools</t>
  </si>
  <si>
    <t>Schlagwerkzeuge</t>
  </si>
  <si>
    <t>10_01_07_21761</t>
  </si>
  <si>
    <t>Slot chisel</t>
  </si>
  <si>
    <t>Schlitzmeissel</t>
  </si>
  <si>
    <t>http://www.distrelec.ch/en/c/cat-21761</t>
  </si>
  <si>
    <t>10_01_07_21765</t>
  </si>
  <si>
    <t>Pry Bar</t>
  </si>
  <si>
    <t>Sprengeisen</t>
  </si>
  <si>
    <t>http://www.distrelec.ch/en/c/cat-21765</t>
  </si>
  <si>
    <t>10_01_07_21767</t>
  </si>
  <si>
    <t>Pin punch sets</t>
  </si>
  <si>
    <t>Splintentreibersätze</t>
  </si>
  <si>
    <t>http://www.distrelec.ch/en/c/cat-21767</t>
  </si>
  <si>
    <t>10_01_07_21769</t>
  </si>
  <si>
    <t>Pin punch</t>
  </si>
  <si>
    <t>Splintentreiber</t>
  </si>
  <si>
    <t>http://www.distrelec.ch/en/c/cat-21769</t>
  </si>
  <si>
    <t>10_01_07_21771</t>
  </si>
  <si>
    <t>Centre punch</t>
  </si>
  <si>
    <t>Körner</t>
  </si>
  <si>
    <t>http://www.distrelec.ch/en/c/cat-21771</t>
  </si>
  <si>
    <t>10_01_07_21775</t>
  </si>
  <si>
    <t>Nylon inserts for hammers</t>
  </si>
  <si>
    <t>Nyloneinsätze zu Hammer</t>
  </si>
  <si>
    <t>http://www.distrelec.ch/en/c/cat-21775</t>
  </si>
  <si>
    <t>10_01_07_21777</t>
  </si>
  <si>
    <t>Electrician's cutting tool</t>
  </si>
  <si>
    <t>Elektrikermeissel</t>
  </si>
  <si>
    <t>http://www.distrelec.ch/en/c/cat-21777</t>
  </si>
  <si>
    <t>10_01_07_DC-95592</t>
  </si>
  <si>
    <t>DC-95592</t>
  </si>
  <si>
    <t>Hammers</t>
  </si>
  <si>
    <t>Hammer</t>
  </si>
  <si>
    <t>http://www.distrelec.ch/en/c/cat-DC-95592</t>
  </si>
  <si>
    <t>10_01_08</t>
  </si>
  <si>
    <t>L3D_525415</t>
  </si>
  <si>
    <t>Files / Scrapers</t>
  </si>
  <si>
    <t>Feilen / Schaber</t>
  </si>
  <si>
    <t>10_01_08_21781</t>
  </si>
  <si>
    <t>File set</t>
  </si>
  <si>
    <t>Feilensets</t>
  </si>
  <si>
    <t>http://www.distrelec.ch/en/c/cat-21781</t>
  </si>
  <si>
    <t>10_01_08_21783</t>
  </si>
  <si>
    <t>Three-square scraper</t>
  </si>
  <si>
    <t>Dreikantschaber</t>
  </si>
  <si>
    <t>http://www.distrelec.ch/en/c/cat-21783</t>
  </si>
  <si>
    <t>10_01_08_21785</t>
  </si>
  <si>
    <t>Hand Scrapers</t>
  </si>
  <si>
    <t>Handschaber</t>
  </si>
  <si>
    <t>http://www.distrelec.ch/en/c/cat-21785</t>
  </si>
  <si>
    <t>10_01_08_DC-95595</t>
  </si>
  <si>
    <t>DC-95595</t>
  </si>
  <si>
    <t>File</t>
  </si>
  <si>
    <t>Feilen</t>
  </si>
  <si>
    <t>http://www.distrelec.ch/en/c/cat-DC-95595</t>
  </si>
  <si>
    <t>10_01_09</t>
  </si>
  <si>
    <t>L3D_525416</t>
  </si>
  <si>
    <t>Saws</t>
  </si>
  <si>
    <t>Sägen</t>
  </si>
  <si>
    <t>10_01_09_21787</t>
  </si>
  <si>
    <t>Saw</t>
  </si>
  <si>
    <t>http://www.distrelec.ch/en/c/cat-21787</t>
  </si>
  <si>
    <t>10_01_09_21789</t>
  </si>
  <si>
    <t>Mitre box</t>
  </si>
  <si>
    <t>Schneidladen</t>
  </si>
  <si>
    <t>http://www.distrelec.ch/en/c/cat-21789</t>
  </si>
  <si>
    <t>10_01_10</t>
  </si>
  <si>
    <t>L3D_525417</t>
  </si>
  <si>
    <t>Cutting Tools</t>
  </si>
  <si>
    <t>Schneidwerkzeuge</t>
  </si>
  <si>
    <t>10_01_10_21797</t>
  </si>
  <si>
    <t>Knives</t>
  </si>
  <si>
    <t>Messer</t>
  </si>
  <si>
    <t>http://www.distrelec.ch/en/c/cat-21797</t>
  </si>
  <si>
    <t>10_01_10_DC-95597</t>
  </si>
  <si>
    <t>DC-95597</t>
  </si>
  <si>
    <t>Scissors</t>
  </si>
  <si>
    <t>Scheren</t>
  </si>
  <si>
    <t>http://www.distrelec.ch/en/c/cat-DC-95597</t>
  </si>
  <si>
    <t>10_01_10_DC-95601</t>
  </si>
  <si>
    <t>DC-95601</t>
  </si>
  <si>
    <t>http://www.distrelec.ch/en/c/cat-DC-95601</t>
  </si>
  <si>
    <t>10_01_11</t>
  </si>
  <si>
    <t>L3D_525419</t>
  </si>
  <si>
    <t>Pliers</t>
  </si>
  <si>
    <t>Zangen</t>
  </si>
  <si>
    <t>10_01_11_21801</t>
  </si>
  <si>
    <t>Pneumatic Wire Strippers</t>
  </si>
  <si>
    <t>Pneumatische Seitenschneider</t>
  </si>
  <si>
    <t>http://www.distrelec.ch/en/c/cat-21801</t>
  </si>
  <si>
    <t>10_01_11_21803</t>
  </si>
  <si>
    <t>Pincers</t>
  </si>
  <si>
    <t>Kneifzangen</t>
  </si>
  <si>
    <t>http://www.distrelec.ch/en/c/cat-21803</t>
  </si>
  <si>
    <t>10_01_11_21805</t>
  </si>
  <si>
    <t>Water Pump Pliers</t>
  </si>
  <si>
    <t>Wasserpumpenzangen</t>
  </si>
  <si>
    <t>http://www.distrelec.ch/en/c/cat-21805</t>
  </si>
  <si>
    <t>10_01_11_21811</t>
  </si>
  <si>
    <t>Circlip pliers</t>
  </si>
  <si>
    <t>Sicherungsringzangen</t>
  </si>
  <si>
    <t>http://www.distrelec.ch/en/c/cat-21811</t>
  </si>
  <si>
    <t>10_01_11_21813</t>
  </si>
  <si>
    <t>Revolver hole puncher/blind-riveting pliers</t>
  </si>
  <si>
    <t>Revolverlochzangen/Blindnietzangen</t>
  </si>
  <si>
    <t>http://www.distrelec.ch/en/c/cat-21813</t>
  </si>
  <si>
    <t>10_01_11_21815</t>
  </si>
  <si>
    <t>Stripping pliers</t>
  </si>
  <si>
    <t>Abisolierzangen</t>
  </si>
  <si>
    <t>http://www.distrelec.ch/en/c/cat-21815</t>
  </si>
  <si>
    <t>10_01_11_21823</t>
  </si>
  <si>
    <t>Punch Down Tools</t>
  </si>
  <si>
    <t>Anlegewerkzeuge</t>
  </si>
  <si>
    <t>http://www.distrelec.ch/en/c/cat-21823</t>
  </si>
  <si>
    <t>10_01_11_234116</t>
  </si>
  <si>
    <t>Gripping Pliers</t>
  </si>
  <si>
    <t>Greifzangen</t>
  </si>
  <si>
    <t>http://www.distrelec.ch/en/c/cat-234116</t>
  </si>
  <si>
    <t>10_01_11_234117</t>
  </si>
  <si>
    <t>Gripping Pliers, Electronics</t>
  </si>
  <si>
    <t>Greifzangen, Elektronik</t>
  </si>
  <si>
    <t>http://www.distrelec.ch/en/c/cat-234117</t>
  </si>
  <si>
    <t>10_01_11_234119</t>
  </si>
  <si>
    <t>Cutting Pliers</t>
  </si>
  <si>
    <t>Seitenschneider</t>
  </si>
  <si>
    <t>http://www.distrelec.ch/en/c/cat-234119</t>
  </si>
  <si>
    <t>10_01_11_234120</t>
  </si>
  <si>
    <t>Cutting Pliers, Electronics</t>
  </si>
  <si>
    <t>Schneidzangen, Elektronik</t>
  </si>
  <si>
    <t>http://www.distrelec.ch/en/c/cat-234120</t>
  </si>
  <si>
    <t>10_01_11_234122</t>
  </si>
  <si>
    <t>Bolt Cutters</t>
  </si>
  <si>
    <t>Bolzenschneider</t>
  </si>
  <si>
    <t>http://www.distrelec.ch/en/c/cat-234122</t>
  </si>
  <si>
    <t>10_01_11_234124</t>
  </si>
  <si>
    <t>Pliers Sets</t>
  </si>
  <si>
    <t>Zangen-Sets</t>
  </si>
  <si>
    <t>http://www.distrelec.ch/en/c/cat-234124</t>
  </si>
  <si>
    <t>10_01_11_234125</t>
  </si>
  <si>
    <t>Pliers Sets, Electronics</t>
  </si>
  <si>
    <t>Zangen-Sets, Elektronik</t>
  </si>
  <si>
    <t>http://www.distrelec.ch/en/c/cat-234125</t>
  </si>
  <si>
    <t>10_01_11_234126</t>
  </si>
  <si>
    <t>Combination Pliers</t>
  </si>
  <si>
    <t>Kombizangen</t>
  </si>
  <si>
    <t>http://www.distrelec.ch/en/c/cat-234126</t>
  </si>
  <si>
    <t>10_01_11_235491</t>
  </si>
  <si>
    <t>Pliers Accessories</t>
  </si>
  <si>
    <t>Zangen Zubehör</t>
  </si>
  <si>
    <t>http://www.distrelec.ch/en/c/cat-235491</t>
  </si>
  <si>
    <t>10_01_11_235492</t>
  </si>
  <si>
    <t>Special Pliers</t>
  </si>
  <si>
    <t>Spezialzangen</t>
  </si>
  <si>
    <t>http://www.distrelec.ch/en/c/cat-235492</t>
  </si>
  <si>
    <t>10_01_11_240563</t>
  </si>
  <si>
    <t>Electricians pliers</t>
  </si>
  <si>
    <t>Verdrahtungszangen</t>
  </si>
  <si>
    <t>http://www.distrelec.ch/en/c/cat-240563</t>
  </si>
  <si>
    <t>10_01_11_596529</t>
  </si>
  <si>
    <t>Tyco Connectors Tools</t>
  </si>
  <si>
    <t>Anschlusswerkzeuge von Tyco</t>
  </si>
  <si>
    <t>http://www.distrelec.ch/en/c/cat-596529</t>
  </si>
  <si>
    <t>10_01_11_DC-95600</t>
  </si>
  <si>
    <t>DC-95600</t>
  </si>
  <si>
    <t>Cable cutter</t>
  </si>
  <si>
    <t>Kabelschneider</t>
  </si>
  <si>
    <t>http://www.distrelec.ch/en/c/cat-DC-95600</t>
  </si>
  <si>
    <t>10_01_11_DC-95602</t>
  </si>
  <si>
    <t>DC-95602</t>
  </si>
  <si>
    <t>Stripping tools</t>
  </si>
  <si>
    <t>Abisolierwerkzeuge</t>
  </si>
  <si>
    <t>http://www.distrelec.ch/en/c/cat-DC-95602</t>
  </si>
  <si>
    <t>10_01_11_DC-95603</t>
  </si>
  <si>
    <t>DC-95603</t>
  </si>
  <si>
    <t>Crimp pliers</t>
  </si>
  <si>
    <t>Crimpzangen</t>
  </si>
  <si>
    <t>http://www.distrelec.ch/en/c/cat-DC-95603</t>
  </si>
  <si>
    <t>10_01_11_DC-95604</t>
  </si>
  <si>
    <t>DC-95604</t>
  </si>
  <si>
    <t>Crimping assortment</t>
  </si>
  <si>
    <t>Crimp-Sortimente</t>
  </si>
  <si>
    <t>http://www.distrelec.ch/en/c/cat-DC-95604</t>
  </si>
  <si>
    <t>10_01_11_DC-95605</t>
  </si>
  <si>
    <t>DC-95605</t>
  </si>
  <si>
    <t>Cable Tie Guns, Spreading Pliers</t>
  </si>
  <si>
    <t>Kabeltüllen-/Kabelbinderzangen</t>
  </si>
  <si>
    <t>http://www.distrelec.ch/en/c/cat-DC-95605</t>
  </si>
  <si>
    <t>10_01_12</t>
  </si>
  <si>
    <t>L3D_525420</t>
  </si>
  <si>
    <t>Punching Tools</t>
  </si>
  <si>
    <t>Blechlocher</t>
  </si>
  <si>
    <t>10_01_12_21791</t>
  </si>
  <si>
    <t>Replacement screws for plate punches</t>
  </si>
  <si>
    <t>Ersatzschrauben zu Blechlocher</t>
  </si>
  <si>
    <t>http://www.distrelec.ch/en/c/cat-21791</t>
  </si>
  <si>
    <t>10_01_12_DC-95596</t>
  </si>
  <si>
    <t>DC-95596</t>
  </si>
  <si>
    <t>Plate punch</t>
  </si>
  <si>
    <t>http://www.distrelec.ch/en/c/cat-DC-95596</t>
  </si>
  <si>
    <t>10_01_13</t>
  </si>
  <si>
    <t>L3D_525422</t>
  </si>
  <si>
    <t>Special / Miscellaneous Tools</t>
  </si>
  <si>
    <t>Spezialwerkzeuge</t>
  </si>
  <si>
    <t>10_01_13_162945</t>
  </si>
  <si>
    <t>Brushes</t>
  </si>
  <si>
    <t>Bürsten</t>
  </si>
  <si>
    <t>http://www.distrelec.ch/en/c/cat-162945</t>
  </si>
  <si>
    <t>10_01_13_163102</t>
  </si>
  <si>
    <t>Chisel</t>
  </si>
  <si>
    <t>Stechbeitel</t>
  </si>
  <si>
    <t>http://www.distrelec.ch/en/c/cat-163102</t>
  </si>
  <si>
    <t>10_01_13_21712</t>
  </si>
  <si>
    <t>Adjustment Tool Sets</t>
  </si>
  <si>
    <t>Einstellwerkzeug-Sätze</t>
  </si>
  <si>
    <t>http://www.distrelec.ch/en/c/cat-21712</t>
  </si>
  <si>
    <t>10_01_13_21773</t>
  </si>
  <si>
    <t>Awls</t>
  </si>
  <si>
    <t>Vorstechahle</t>
  </si>
  <si>
    <t>http://www.distrelec.ch/en/c/cat-21773</t>
  </si>
  <si>
    <t>10_01_13_21795</t>
  </si>
  <si>
    <t>Multipurpose Tools</t>
  </si>
  <si>
    <t>Mehrzweckwerkzeuge</t>
  </si>
  <si>
    <t>http://www.distrelec.ch/en/c/cat-21795</t>
  </si>
  <si>
    <t>10_01_13_DC-95606</t>
  </si>
  <si>
    <t>DC-95606</t>
  </si>
  <si>
    <t>Hilfswerkzeuge</t>
  </si>
  <si>
    <t>http://www.distrelec.ch/en/c/cat-DC-95606</t>
  </si>
  <si>
    <t>10_01_13_DC-95607</t>
  </si>
  <si>
    <t>DC-95607</t>
  </si>
  <si>
    <t>IC accessory</t>
  </si>
  <si>
    <t>IC-Hilfswerkzeuge</t>
  </si>
  <si>
    <t>http://www.distrelec.ch/en/c/cat-DC-95607</t>
  </si>
  <si>
    <t>10_01_13_DC-95608</t>
  </si>
  <si>
    <t>DC-95608</t>
  </si>
  <si>
    <t>Wire Wrapping Tools</t>
  </si>
  <si>
    <t>Wickelwerkzeuge</t>
  </si>
  <si>
    <t>http://www.distrelec.ch/en/c/cat-DC-95608</t>
  </si>
  <si>
    <t>10_01_14</t>
  </si>
  <si>
    <t>L3D_525423</t>
  </si>
  <si>
    <t>Measuring Tools</t>
  </si>
  <si>
    <t>Messwerkzeuge</t>
  </si>
  <si>
    <t>10_01_14_21865</t>
  </si>
  <si>
    <t>Dial gauge stands</t>
  </si>
  <si>
    <t>Messuhrenständer</t>
  </si>
  <si>
    <t>http://www.distrelec.ch/en/c/cat-21865</t>
  </si>
  <si>
    <t>10_01_14_21867</t>
  </si>
  <si>
    <t>Feeler gauge</t>
  </si>
  <si>
    <t>Fühlerlehren</t>
  </si>
  <si>
    <t>http://www.distrelec.ch/en/c/cat-21867</t>
  </si>
  <si>
    <t>10_01_14_21869</t>
  </si>
  <si>
    <t>Ruler</t>
  </si>
  <si>
    <t>Meter</t>
  </si>
  <si>
    <t>http://www.distrelec.ch/en/c/cat-21869</t>
  </si>
  <si>
    <t>10_01_14_21871</t>
  </si>
  <si>
    <t>Spirit levels</t>
  </si>
  <si>
    <t>Wasserwaagen</t>
  </si>
  <si>
    <t>http://www.distrelec.ch/en/c/cat-21871</t>
  </si>
  <si>
    <t>10_01_14_DC-95537</t>
  </si>
  <si>
    <t>DC-95537</t>
  </si>
  <si>
    <t>Measuring tools</t>
  </si>
  <si>
    <t>http://www.distrelec.ch/en/c/cat-DC-95537</t>
  </si>
  <si>
    <t>10_01_DC-95593</t>
  </si>
  <si>
    <t>DC-95593</t>
  </si>
  <si>
    <t>Staplers</t>
  </si>
  <si>
    <t>Tacker</t>
  </si>
  <si>
    <t>http://www.distrelec.ch/en/c/cat-DC-95593</t>
  </si>
  <si>
    <t>10_01_DC-95598</t>
  </si>
  <si>
    <t>DC-95598</t>
  </si>
  <si>
    <t>Tweezers</t>
  </si>
  <si>
    <t>Pinzetten</t>
  </si>
  <si>
    <t>http://www.distrelec.ch/en/c/cat-DC-95598</t>
  </si>
  <si>
    <t>10_02</t>
  </si>
  <si>
    <t>10_02_01</t>
  </si>
  <si>
    <t>L3D_525424</t>
  </si>
  <si>
    <t>Heat Guns</t>
  </si>
  <si>
    <t>Heissluftgebläse</t>
  </si>
  <si>
    <t>10_02_01_238412</t>
  </si>
  <si>
    <t>Accessories for heat guns</t>
  </si>
  <si>
    <t>Heissluftgebläse Zubehör</t>
  </si>
  <si>
    <t>http://www.distrelec.ch/en/c/cat-238412</t>
  </si>
  <si>
    <t>10_02_01_DC-95609</t>
  </si>
  <si>
    <t>DC-95609</t>
  </si>
  <si>
    <t>http://www.distrelec.ch/en/c/cat-DC-95609</t>
  </si>
  <si>
    <t>10_02_02</t>
  </si>
  <si>
    <t>L3D_525426</t>
  </si>
  <si>
    <t>Miniature Drilling and Grinding Tools</t>
  </si>
  <si>
    <t>Miniatur-Drehwerkzeuge</t>
  </si>
  <si>
    <t>10_02_02_21825</t>
  </si>
  <si>
    <t>Accessories for mini drills and sanding machines</t>
  </si>
  <si>
    <t>Kleinbohr- und Schleifgeräte Zubehör</t>
  </si>
  <si>
    <t>http://www.distrelec.ch/en/c/cat-21825</t>
  </si>
  <si>
    <t>10_02_02_660450</t>
  </si>
  <si>
    <t>Accessorie Kits and Attachments for Miniature Rotary Tools</t>
  </si>
  <si>
    <t>Zubehör-Kits und Aufsätze für Mini-Rotationswerkzeuge</t>
  </si>
  <si>
    <t>http://www.distrelec.ch/en/c/cat-660450</t>
  </si>
  <si>
    <t>10_02_02_DC-95525</t>
  </si>
  <si>
    <t>DC-95525</t>
  </si>
  <si>
    <t>Miniature Rotary Tools</t>
  </si>
  <si>
    <t>Kleinbohr- und Schleifgeräte</t>
  </si>
  <si>
    <t>http://www.distrelec.ch/en/c/cat-DC-95525</t>
  </si>
  <si>
    <t>10_02_03</t>
  </si>
  <si>
    <t>L3D_525427</t>
  </si>
  <si>
    <t>Cordless Drills / Drivers</t>
  </si>
  <si>
    <t>Elektrowerkzeugsysteme, kabellos</t>
  </si>
  <si>
    <t>10_02_03_38104</t>
  </si>
  <si>
    <t>Accessories for cordless tools</t>
  </si>
  <si>
    <t>Zubehör zu Akku-Maschinen</t>
  </si>
  <si>
    <t>http://www.distrelec.ch/en/c/cat-38104</t>
  </si>
  <si>
    <t>10_02_03_DC-95526</t>
  </si>
  <si>
    <t>DC-95526</t>
  </si>
  <si>
    <t>Small cordless screwdriver</t>
  </si>
  <si>
    <t>Klein-Akku-Schrauber</t>
  </si>
  <si>
    <t>http://www.distrelec.ch/en/c/cat-DC-95526</t>
  </si>
  <si>
    <t>10_02_03_DC-95527</t>
  </si>
  <si>
    <t>DC-95527</t>
  </si>
  <si>
    <t>Cordless drill/driver</t>
  </si>
  <si>
    <t>Akku-Bohrschrauber</t>
  </si>
  <si>
    <t>http://www.distrelec.ch/en/c/cat-DC-95527</t>
  </si>
  <si>
    <t>10_02_04</t>
  </si>
  <si>
    <t>L3D_525428</t>
  </si>
  <si>
    <t>Power Drills</t>
  </si>
  <si>
    <t>Bohrmaschinen</t>
  </si>
  <si>
    <t>10_02_04_21827</t>
  </si>
  <si>
    <t>Table drill machines</t>
  </si>
  <si>
    <t>Tischbohrmaschinen</t>
  </si>
  <si>
    <t>http://www.distrelec.ch/en/c/cat-21827</t>
  </si>
  <si>
    <t>10_02_04_21829</t>
  </si>
  <si>
    <t>Accessories for bench drills</t>
  </si>
  <si>
    <t>Zubehör zu Tischbohrmaschinen</t>
  </si>
  <si>
    <t>http://www.distrelec.ch/en/c/cat-21829</t>
  </si>
  <si>
    <t>10_02_04_DC-95528</t>
  </si>
  <si>
    <t>DC-95528</t>
  </si>
  <si>
    <t>Power drill</t>
  </si>
  <si>
    <t>http://www.distrelec.ch/en/c/cat-DC-95528</t>
  </si>
  <si>
    <t>10_02_05</t>
  </si>
  <si>
    <t>L3D_525429</t>
  </si>
  <si>
    <t>Drill Bits / Hole Saws</t>
  </si>
  <si>
    <t>Bohrer / Lochsägen</t>
  </si>
  <si>
    <t>10_02_05_21831</t>
  </si>
  <si>
    <t>Drill set</t>
  </si>
  <si>
    <t>Bohrersets</t>
  </si>
  <si>
    <t>http://www.distrelec.ch/en/c/cat-21831</t>
  </si>
  <si>
    <t>10_02_05_21833</t>
  </si>
  <si>
    <t>Single drills</t>
  </si>
  <si>
    <t>Einzelbohrer</t>
  </si>
  <si>
    <t>http://www.distrelec.ch/en/c/cat-21833</t>
  </si>
  <si>
    <t>10_02_05_21835</t>
  </si>
  <si>
    <t>Step drill</t>
  </si>
  <si>
    <t>Stufenbohrer</t>
  </si>
  <si>
    <t>http://www.distrelec.ch/en/c/cat-21835</t>
  </si>
  <si>
    <t>10_02_05_21837</t>
  </si>
  <si>
    <t>Conical Drill Bits</t>
  </si>
  <si>
    <t>Blechschälbohrer</t>
  </si>
  <si>
    <t>http://www.distrelec.ch/en/c/cat-21837</t>
  </si>
  <si>
    <t>10_02_05_21839</t>
  </si>
  <si>
    <t>Spot facers</t>
  </si>
  <si>
    <t>Senker</t>
  </si>
  <si>
    <t>http://www.distrelec.ch/en/c/cat-21839</t>
  </si>
  <si>
    <t>10_02_05_21841</t>
  </si>
  <si>
    <t>Screw tap</t>
  </si>
  <si>
    <t>Gewindebohrer</t>
  </si>
  <si>
    <t>http://www.distrelec.ch/en/c/cat-21841</t>
  </si>
  <si>
    <t>10_02_05_21843</t>
  </si>
  <si>
    <t>Hole saw</t>
  </si>
  <si>
    <t>Lochsägen</t>
  </si>
  <si>
    <t>http://www.distrelec.ch/en/c/cat-21843</t>
  </si>
  <si>
    <t>10_02_05_224027</t>
  </si>
  <si>
    <t>Hole saw accessories</t>
  </si>
  <si>
    <t>Lochsägen Zubehör</t>
  </si>
  <si>
    <t>http://www.distrelec.ch/en/c/cat-224027</t>
  </si>
  <si>
    <t>10_02_05_DC-95530</t>
  </si>
  <si>
    <t>DC-95530</t>
  </si>
  <si>
    <t>Drill sharpener</t>
  </si>
  <si>
    <t>Bohrerschärfgerät</t>
  </si>
  <si>
    <t>http://www.distrelec.ch/en/c/cat-DC-95530</t>
  </si>
  <si>
    <t>10_02_06</t>
  </si>
  <si>
    <t>L3D_525430</t>
  </si>
  <si>
    <t>Angle Grinding Machines</t>
  </si>
  <si>
    <t>Winkelschleifmaschinen</t>
  </si>
  <si>
    <t>10_02_06_21845</t>
  </si>
  <si>
    <t>Accessories for sanding machines</t>
  </si>
  <si>
    <t>Zubehör zu Schleifmaschinen</t>
  </si>
  <si>
    <t>http://www.distrelec.ch/en/c/cat-21845</t>
  </si>
  <si>
    <t>10_02_06_DC-95531</t>
  </si>
  <si>
    <t>DC-95531</t>
  </si>
  <si>
    <t>Angle grinding machines</t>
  </si>
  <si>
    <t>http://www.distrelec.ch/en/c/cat-DC-95531</t>
  </si>
  <si>
    <t>10_02_07</t>
  </si>
  <si>
    <t>L3D_525431</t>
  </si>
  <si>
    <t>Grinding Machines and Oscillators</t>
  </si>
  <si>
    <t>Schleifmaschinen und Oszillatoren</t>
  </si>
  <si>
    <t>10_02_07_207994</t>
  </si>
  <si>
    <t>Oszillierer</t>
  </si>
  <si>
    <t>http://www.distrelec.ch/en/c/cat-207994</t>
  </si>
  <si>
    <t>10_02_07_21849</t>
  </si>
  <si>
    <t>Accessories for Oscillators</t>
  </si>
  <si>
    <t>Zubehör zu Oszillierern</t>
  </si>
  <si>
    <t>http://www.distrelec.ch/en/c/cat-21849</t>
  </si>
  <si>
    <t>10_02_07_21851</t>
  </si>
  <si>
    <t>Disk grinding tools</t>
  </si>
  <si>
    <t>Tellerschleifgeräte</t>
  </si>
  <si>
    <t>http://www.distrelec.ch/en/c/cat-21851</t>
  </si>
  <si>
    <t>10_02_07_DC-95532</t>
  </si>
  <si>
    <t>DC-95532</t>
  </si>
  <si>
    <t>Grinding machines</t>
  </si>
  <si>
    <t>Schleifmaschinen</t>
  </si>
  <si>
    <t>http://www.distrelec.ch/en/c/cat-DC-95532</t>
  </si>
  <si>
    <t>10_02_08</t>
  </si>
  <si>
    <t>L3D_525432</t>
  </si>
  <si>
    <t>Jigsaws and Circular Saws</t>
  </si>
  <si>
    <t>Stichsägen und Kreissägen</t>
  </si>
  <si>
    <t>10_02_08_21855</t>
  </si>
  <si>
    <t>Accessories for jigsaws and circular saws</t>
  </si>
  <si>
    <t>Zubehör zu Stich- und Kreissägen</t>
  </si>
  <si>
    <t>http://www.distrelec.ch/en/c/cat-21855</t>
  </si>
  <si>
    <t>10_02_08_DC-95533</t>
  </si>
  <si>
    <t>DC-95533</t>
  </si>
  <si>
    <t>Stich- und Kreissägen</t>
  </si>
  <si>
    <t>http://www.distrelec.ch/en/c/cat-DC-95533</t>
  </si>
  <si>
    <t>10_02_08_DC-95534</t>
  </si>
  <si>
    <t>DC-95534</t>
  </si>
  <si>
    <t>Vacuum cleaner</t>
  </si>
  <si>
    <t>Sauger</t>
  </si>
  <si>
    <t>http://www.distrelec.ch/en/c/cat-DC-95534</t>
  </si>
  <si>
    <t>10_02_09</t>
  </si>
  <si>
    <t>L3D_525433</t>
  </si>
  <si>
    <t>Lathes and Milling Machines</t>
  </si>
  <si>
    <t>Dreh- und Fräsmaschinen</t>
  </si>
  <si>
    <t>10_02_09_21857</t>
  </si>
  <si>
    <t>Lathe accessories</t>
  </si>
  <si>
    <t>Drehmaschinen Zubehör</t>
  </si>
  <si>
    <t>http://www.distrelec.ch/en/c/cat-21857</t>
  </si>
  <si>
    <t>10_02_09_21859</t>
  </si>
  <si>
    <t>Drilling and milling tool</t>
  </si>
  <si>
    <t>Bohr- und Fräswerk</t>
  </si>
  <si>
    <t>http://www.distrelec.ch/en/c/cat-21859</t>
  </si>
  <si>
    <t>10_02_09_21861</t>
  </si>
  <si>
    <t>Drilling and milling accessories</t>
  </si>
  <si>
    <t>Bohr- und Fräswerk Zubehör</t>
  </si>
  <si>
    <t>http://www.distrelec.ch/en/c/cat-21861</t>
  </si>
  <si>
    <t>10_02_09_DC-95535</t>
  </si>
  <si>
    <t>DC-95535</t>
  </si>
  <si>
    <t>Lathes</t>
  </si>
  <si>
    <t>Drehmaschinen</t>
  </si>
  <si>
    <t>http://www.distrelec.ch/en/c/cat-DC-95535</t>
  </si>
  <si>
    <t>10_02_10</t>
  </si>
  <si>
    <t>L3D_525434</t>
  </si>
  <si>
    <t>Pneumatic Tools</t>
  </si>
  <si>
    <t>Druckluftwerkzeuge</t>
  </si>
  <si>
    <t>10_02_10_21863</t>
  </si>
  <si>
    <t>Accessories for compressors</t>
  </si>
  <si>
    <t>Zubehör zu Kompressoren</t>
  </si>
  <si>
    <t>http://www.distrelec.ch/en/c/cat-21863</t>
  </si>
  <si>
    <t>10_02_10_DC-95536</t>
  </si>
  <si>
    <t>DC-95536</t>
  </si>
  <si>
    <t>Compressors</t>
  </si>
  <si>
    <t>Kompressoren</t>
  </si>
  <si>
    <t>http://www.distrelec.ch/en/c/cat-DC-95536</t>
  </si>
  <si>
    <t>10_02_11</t>
  </si>
  <si>
    <t>10_02_11_21873</t>
  </si>
  <si>
    <t>Laser measuring devices</t>
  </si>
  <si>
    <t>Laser-Messwerkzeuge</t>
  </si>
  <si>
    <t>http://www.distrelec.ch/en/c/cat-21873</t>
  </si>
  <si>
    <t>10_02_11_21875</t>
  </si>
  <si>
    <t>Stands</t>
  </si>
  <si>
    <t>Stative</t>
  </si>
  <si>
    <t>http://www.distrelec.ch/en/c/cat-21875</t>
  </si>
  <si>
    <t>10_02_11_21877</t>
  </si>
  <si>
    <t>Distance measuring devices</t>
  </si>
  <si>
    <t>Distanzmessgeräte</t>
  </si>
  <si>
    <t>http://www.distrelec.ch/en/c/cat-21877</t>
  </si>
  <si>
    <t>10_02_11_21879</t>
  </si>
  <si>
    <t>Metal detectors</t>
  </si>
  <si>
    <t>Metallsuchgeräte</t>
  </si>
  <si>
    <t>http://www.distrelec.ch/en/c/cat-21879</t>
  </si>
  <si>
    <t>10_02_11_222970</t>
  </si>
  <si>
    <t>Accessories for laser measuring tools</t>
  </si>
  <si>
    <t>Laser-Messwerkzeuge Zubehör</t>
  </si>
  <si>
    <t>http://www.distrelec.ch/en/c/cat-222970</t>
  </si>
  <si>
    <t>10_02_11_303248</t>
  </si>
  <si>
    <t>Altimeter</t>
  </si>
  <si>
    <t>http://www.distrelec.ch/en/c/cat-303248</t>
  </si>
  <si>
    <t>10_02_11_303264</t>
  </si>
  <si>
    <t>Levels</t>
  </si>
  <si>
    <t>Nivellierer</t>
  </si>
  <si>
    <t>http://www.distrelec.ch/en/c/cat-303264</t>
  </si>
  <si>
    <t>10_02_12</t>
  </si>
  <si>
    <t>L3D_613393</t>
  </si>
  <si>
    <t>3D Printers</t>
  </si>
  <si>
    <t>3D-Drucker</t>
  </si>
  <si>
    <t>10_02_12_602999</t>
  </si>
  <si>
    <t>Unassembled 3D Printer Kit</t>
  </si>
  <si>
    <t>3D-Drucker-Bausatz, unmontiert</t>
  </si>
  <si>
    <t>http://www.distrelec.ch/en/c/cat-602999</t>
  </si>
  <si>
    <t>10_02_12_603005</t>
  </si>
  <si>
    <t>Assembled 3D Printer</t>
  </si>
  <si>
    <t>Fertiger 3D-Drucker</t>
  </si>
  <si>
    <t>http://www.distrelec.ch/en/c/cat-603005</t>
  </si>
  <si>
    <t>10_02_12_603007</t>
  </si>
  <si>
    <t>3D Scanner</t>
  </si>
  <si>
    <t>3D-Scanner</t>
  </si>
  <si>
    <t>http://www.distrelec.ch/en/c/cat-603007</t>
  </si>
  <si>
    <t>10_02_12_603008</t>
  </si>
  <si>
    <t>3D Printer Filament</t>
  </si>
  <si>
    <t>Filament für 3D-Drucker</t>
  </si>
  <si>
    <t>http://www.distrelec.ch/en/c/cat-603008</t>
  </si>
  <si>
    <t>10_02_12_603058</t>
  </si>
  <si>
    <t>Accessories For 3D Printer</t>
  </si>
  <si>
    <t>Zubehör für 3D-Drucker</t>
  </si>
  <si>
    <t>http://www.distrelec.ch/en/c/cat-603058</t>
  </si>
  <si>
    <t>10_02_197148</t>
  </si>
  <si>
    <t>Electric Screwdriver</t>
  </si>
  <si>
    <t>Elektroschrauber</t>
  </si>
  <si>
    <t>http://www.distrelec.ch/en/c/cat-197148</t>
  </si>
  <si>
    <t>10_03</t>
  </si>
  <si>
    <t>10_03_01</t>
  </si>
  <si>
    <t>Soldering irons</t>
  </si>
  <si>
    <t>10_03_01_29112</t>
  </si>
  <si>
    <t>Mains Powered Soldering Irons</t>
  </si>
  <si>
    <t>Netzspannungslötkolben</t>
  </si>
  <si>
    <t>http://www.distrelec.ch/en/c/cat-29112</t>
  </si>
  <si>
    <t>10_03_01_29114</t>
  </si>
  <si>
    <t>Gas Soldering Irons</t>
  </si>
  <si>
    <t>Gaslötkolben</t>
  </si>
  <si>
    <t>http://www.distrelec.ch/en/c/cat-29114</t>
  </si>
  <si>
    <t>10_03_01_29116</t>
  </si>
  <si>
    <t>Battery Powered Soldering Irons</t>
  </si>
  <si>
    <t>Akku-Lötkolben</t>
  </si>
  <si>
    <t>http://www.distrelec.ch/en/c/cat-29116</t>
  </si>
  <si>
    <t>10_03_02</t>
  </si>
  <si>
    <t>Soldering stations</t>
  </si>
  <si>
    <t>10_03_02_29119</t>
  </si>
  <si>
    <t>Lötstationen</t>
  </si>
  <si>
    <t>http://www.distrelec.ch/en/c/cat-29119</t>
  </si>
  <si>
    <t>10_03_02_29187</t>
  </si>
  <si>
    <t>Rework, Hot Air and Desoldering Stations</t>
  </si>
  <si>
    <t>Rework-, Heissluft- und Entlötstationen</t>
  </si>
  <si>
    <t>http://www.distrelec.ch/en/c/cat-29187</t>
  </si>
  <si>
    <t>10_03_03</t>
  </si>
  <si>
    <t>Solder Fume Extractor / Filter Systems</t>
  </si>
  <si>
    <t>10_03_03_557671</t>
  </si>
  <si>
    <t>Fume Extraction Accessories</t>
  </si>
  <si>
    <t>Lötdampfabsaugung, Zubehör</t>
  </si>
  <si>
    <t>http://www.distrelec.ch/en/c/cat-557671</t>
  </si>
  <si>
    <t>10_03_03_558535</t>
  </si>
  <si>
    <t>Solder Tip Extraction</t>
  </si>
  <si>
    <t>Lötdampfabsaugung</t>
  </si>
  <si>
    <t>http://www.distrelec.ch/en/c/cat-558535</t>
  </si>
  <si>
    <t>10_03_03_DC-59719</t>
  </si>
  <si>
    <t>DC-59719</t>
  </si>
  <si>
    <t>Volume Extraction</t>
  </si>
  <si>
    <t>Flächenabsaugsysteme</t>
  </si>
  <si>
    <t>http://www.distrelec.ch/en/c/cat-DC-59719</t>
  </si>
  <si>
    <t>10_03_04</t>
  </si>
  <si>
    <t>Soldering Tips</t>
  </si>
  <si>
    <t>10_03_04_29235</t>
  </si>
  <si>
    <t>Soldering tips, Desoldering and Hot Air Nozzles, Weller</t>
  </si>
  <si>
    <t>Lötspitzen, Entlöt- und Heissluftdüsen, Weller</t>
  </si>
  <si>
    <t>http://www.distrelec.ch/en/c/cat-29235</t>
  </si>
  <si>
    <t>10_03_04_493173</t>
  </si>
  <si>
    <t>Soldering tips, Desoldering and Hot Air Nozzles, Ersa</t>
  </si>
  <si>
    <t>Lötspitzen, Entlöt- und Heissluftdüsen, Ersa</t>
  </si>
  <si>
    <t>http://www.distrelec.ch/en/c/cat-493173</t>
  </si>
  <si>
    <t>10_03_04_493174</t>
  </si>
  <si>
    <t>Soldering tips, Desoldering and Hot Air Nozzles, Metcal/OKi</t>
  </si>
  <si>
    <t>Lötspitzen, Entlöt- und Heissluftdüsen, Metcal/OKi</t>
  </si>
  <si>
    <t>http://www.distrelec.ch/en/c/cat-493174</t>
  </si>
  <si>
    <t>10_03_04_493175</t>
  </si>
  <si>
    <t>Soldering tips, Desoldering and Hot Air Nozzles, Xytronic</t>
  </si>
  <si>
    <t>Lötspitzen, Entlöt- und Heissluftdüsen, Xytronic</t>
  </si>
  <si>
    <t>http://www.distrelec.ch/en/c/cat-493175</t>
  </si>
  <si>
    <t>10_03_04_493201</t>
  </si>
  <si>
    <t>http://www.distrelec.ch/en/c/cat-493201</t>
  </si>
  <si>
    <t>10_03_04_495111</t>
  </si>
  <si>
    <t>Soldering tips, Desoldering and Hot Air Nozzles, Portasol</t>
  </si>
  <si>
    <t>Lötspitzen, Entlöt- und Heissluftdüsen, Portasol</t>
  </si>
  <si>
    <t>http://www.distrelec.ch/en/c/cat-495111</t>
  </si>
  <si>
    <t>10_03_05</t>
  </si>
  <si>
    <t>Soldering Materials and Tools</t>
  </si>
  <si>
    <t>10_03_05_29210</t>
  </si>
  <si>
    <t>Desoldering Pumps</t>
  </si>
  <si>
    <t>Lötzinn-Absauger</t>
  </si>
  <si>
    <t>http://www.distrelec.ch/en/c/cat-29210</t>
  </si>
  <si>
    <t>10_03_05_29212</t>
  </si>
  <si>
    <t>Desoldering Braids</t>
  </si>
  <si>
    <t>Entlötlitzen</t>
  </si>
  <si>
    <t>http://www.distrelec.ch/en/c/cat-29212</t>
  </si>
  <si>
    <t>10_03_05_29214</t>
  </si>
  <si>
    <t>Soldering tip cleaner</t>
  </si>
  <si>
    <t>Lötspitzenreiniger</t>
  </si>
  <si>
    <t>http://www.distrelec.ch/en/c/cat-29214</t>
  </si>
  <si>
    <t>10_03_05_29216</t>
  </si>
  <si>
    <t>Solder Wire</t>
  </si>
  <si>
    <t>Lötdrähte</t>
  </si>
  <si>
    <t>http://www.distrelec.ch/en/c/cat-29216</t>
  </si>
  <si>
    <t>10_03_05_29218</t>
  </si>
  <si>
    <t>Flux-powder</t>
  </si>
  <si>
    <t>Flussmittel</t>
  </si>
  <si>
    <t>http://www.distrelec.ch/en/c/cat-29218</t>
  </si>
  <si>
    <t>10_03_05_29220</t>
  </si>
  <si>
    <t>Vacuum grabbers</t>
  </si>
  <si>
    <t>Vakuum-Greifer</t>
  </si>
  <si>
    <t>http://www.distrelec.ch/en/c/cat-29220</t>
  </si>
  <si>
    <t>10_03_05_29222</t>
  </si>
  <si>
    <t>http://www.distrelec.ch/en/c/cat-29222</t>
  </si>
  <si>
    <t>10_03_05_30885</t>
  </si>
  <si>
    <t>Solder Pastes</t>
  </si>
  <si>
    <t>Lotpasten</t>
  </si>
  <si>
    <t>http://www.distrelec.ch/en/c/cat-30885</t>
  </si>
  <si>
    <t>10_03_05_30910</t>
  </si>
  <si>
    <t>Solder Bar</t>
  </si>
  <si>
    <t>Barrenlot</t>
  </si>
  <si>
    <t>http://www.distrelec.ch/en/c/cat-30910</t>
  </si>
  <si>
    <t>10_03_05_DC-59722</t>
  </si>
  <si>
    <t>DC-59722</t>
  </si>
  <si>
    <t>Component and PCB Holders</t>
  </si>
  <si>
    <t>Bestückungs- und Lötrahmen</t>
  </si>
  <si>
    <t>http://www.distrelec.ch/en/c/cat-DC-59722</t>
  </si>
  <si>
    <t>10_03_05_DC-59723</t>
  </si>
  <si>
    <t>DC-59723</t>
  </si>
  <si>
    <t>Aids</t>
  </si>
  <si>
    <t>Hilfsmittel</t>
  </si>
  <si>
    <t>http://www.distrelec.ch/en/c/cat-DC-59723</t>
  </si>
  <si>
    <t>10_03_06</t>
  </si>
  <si>
    <t>Accessories and replacement parts</t>
  </si>
  <si>
    <t>10_03_06_29241</t>
  </si>
  <si>
    <t>Zubehör und Ersatzteile</t>
  </si>
  <si>
    <t>http://www.distrelec.ch/en/c/cat-29241</t>
  </si>
  <si>
    <t>10_03_07</t>
  </si>
  <si>
    <t>Soldering baths</t>
  </si>
  <si>
    <t>10_03_07_29191</t>
  </si>
  <si>
    <t>Mains voltage soldering baths</t>
  </si>
  <si>
    <t>Netzspannungslötbäder</t>
  </si>
  <si>
    <t>http://www.distrelec.ch/en/c/cat-29191</t>
  </si>
  <si>
    <t>10_03_07_29193</t>
  </si>
  <si>
    <t>Soldering baths for soldering stations</t>
  </si>
  <si>
    <t>Lötbäder zu Lötstationen</t>
  </si>
  <si>
    <t>http://www.distrelec.ch/en/c/cat-29193</t>
  </si>
  <si>
    <t>10_03_08</t>
  </si>
  <si>
    <t>Heating systems</t>
  </si>
  <si>
    <t>10_03_08_29198</t>
  </si>
  <si>
    <t>Heating Plates</t>
  </si>
  <si>
    <t>Heizplatten</t>
  </si>
  <si>
    <t>http://www.distrelec.ch/en/c/cat-29198</t>
  </si>
  <si>
    <t>10_03_08_29200</t>
  </si>
  <si>
    <t>Hot Air Pre-heater Systems</t>
  </si>
  <si>
    <t>Heissluftunterheizungen</t>
  </si>
  <si>
    <t>http://www.distrelec.ch/en/c/cat-29200</t>
  </si>
  <si>
    <t>10_03_09</t>
  </si>
  <si>
    <t>Dispensing Equipments</t>
  </si>
  <si>
    <t>10_03_09_29204</t>
  </si>
  <si>
    <t>Dispensing Devices</t>
  </si>
  <si>
    <t>Dosiergeräte</t>
  </si>
  <si>
    <t>http://www.distrelec.ch/en/c/cat-29204</t>
  </si>
  <si>
    <t>10_03_09_29206</t>
  </si>
  <si>
    <t>Dispensing Needles and Cartridges</t>
  </si>
  <si>
    <t>Dosiernadeln und Kartuschen</t>
  </si>
  <si>
    <t>http://www.distrelec.ch/en/c/cat-29206</t>
  </si>
  <si>
    <t>10_03_10</t>
  </si>
  <si>
    <t>L3D_525447</t>
  </si>
  <si>
    <t>Production Equipments for Prototypes and Low-volume Series</t>
  </si>
  <si>
    <t>Produktionssysteme für Prototypen und kleinvolumige Reihen</t>
  </si>
  <si>
    <t>10_03_10_30054</t>
  </si>
  <si>
    <t>Sieve and template printers</t>
  </si>
  <si>
    <t>Sieb- und Schablonendrucker</t>
  </si>
  <si>
    <t>http://www.distrelec.ch/en/c/cat-30054</t>
  </si>
  <si>
    <t>10_03_10_30056</t>
  </si>
  <si>
    <t>Assembly systems</t>
  </si>
  <si>
    <t>Bestückungssysteme</t>
  </si>
  <si>
    <t>http://www.distrelec.ch/en/c/cat-30056</t>
  </si>
  <si>
    <t>10_03_10_30058</t>
  </si>
  <si>
    <t>Reflow ovens</t>
  </si>
  <si>
    <t>Reflow Ofen</t>
  </si>
  <si>
    <t>http://www.distrelec.ch/en/c/cat-30058</t>
  </si>
  <si>
    <t>Workplace / Maintenance / Mechanical Components</t>
  </si>
  <si>
    <t>11_01</t>
  </si>
  <si>
    <t>Workplace Equipments</t>
  </si>
  <si>
    <t>11_01_01</t>
  </si>
  <si>
    <t>Assortment boxes / Drawer units / Transport and storage containers / Packaging</t>
  </si>
  <si>
    <t>11_01_01_166047</t>
  </si>
  <si>
    <t>Transport equipment</t>
  </si>
  <si>
    <t>Transportmittel</t>
  </si>
  <si>
    <t>http://www.distrelec.ch/en/c/cat-166047</t>
  </si>
  <si>
    <t>11_01_01_221656</t>
  </si>
  <si>
    <t>Accessories for assortment boxes</t>
  </si>
  <si>
    <t>Zubehör für Sortimentsboxen</t>
  </si>
  <si>
    <t>http://www.distrelec.ch/en/c/cat-221656</t>
  </si>
  <si>
    <t>11_01_01_244573</t>
  </si>
  <si>
    <t>Transport and storage containers / Packaging</t>
  </si>
  <si>
    <t>Transport- und Lagerbehälter</t>
  </si>
  <si>
    <t>http://www.distrelec.ch/en/c/cat-244573</t>
  </si>
  <si>
    <t>11_01_01_30728</t>
  </si>
  <si>
    <t>Drawer cabinet</t>
  </si>
  <si>
    <t>Schubladenmagazine</t>
  </si>
  <si>
    <t>http://www.distrelec.ch/en/c/cat-30728</t>
  </si>
  <si>
    <t>11_01_01_30730</t>
  </si>
  <si>
    <t>Accessories for drawer magazines</t>
  </si>
  <si>
    <t>Zubehör zu Schubladenmagazinen</t>
  </si>
  <si>
    <t>http://www.distrelec.ch/en/c/cat-30730</t>
  </si>
  <si>
    <t>11_01_01_309361</t>
  </si>
  <si>
    <t>Accessories for transport and storage containers</t>
  </si>
  <si>
    <t>Zubehör zu Transport- und Lagerbehälter</t>
  </si>
  <si>
    <t>http://www.distrelec.ch/en/c/cat-309361</t>
  </si>
  <si>
    <t>11_01_01_DC-95518</t>
  </si>
  <si>
    <t>DC-95518</t>
  </si>
  <si>
    <t>Assortment boxes</t>
  </si>
  <si>
    <t>Sortimentsboxen</t>
  </si>
  <si>
    <t>http://www.distrelec.ch/en/c/cat-DC-95518</t>
  </si>
  <si>
    <t>11_01_01_DC-95521</t>
  </si>
  <si>
    <t>DC-95521</t>
  </si>
  <si>
    <t>Protective case</t>
  </si>
  <si>
    <t>Schutzkoffer</t>
  </si>
  <si>
    <t>http://www.distrelec.ch/en/c/cat-DC-95521</t>
  </si>
  <si>
    <t>11_01_01_DC-95522</t>
  </si>
  <si>
    <t>DC-95522</t>
  </si>
  <si>
    <t>ESD packaging materials</t>
  </si>
  <si>
    <t>ESD-Verpackungsmaterial</t>
  </si>
  <si>
    <t>http://www.distrelec.ch/en/c/cat-DC-95522</t>
  </si>
  <si>
    <t>11_01_02</t>
  </si>
  <si>
    <t>Magnifying Glasses / Microscopes</t>
  </si>
  <si>
    <t>11_01_02_204833</t>
  </si>
  <si>
    <t>Digital Microscopes</t>
  </si>
  <si>
    <t>Digitalmikroskope</t>
  </si>
  <si>
    <t>http://www.distrelec.ch/en/c/cat-204833</t>
  </si>
  <si>
    <t>11_01_02_30735</t>
  </si>
  <si>
    <t>Accessories for illuminated magnifiers</t>
  </si>
  <si>
    <t>Zubehör zu Lupenleuchten</t>
  </si>
  <si>
    <t>http://www.distrelec.ch/en/c/cat-30735</t>
  </si>
  <si>
    <t>11_01_02_DC-95623</t>
  </si>
  <si>
    <t>DC-95623</t>
  </si>
  <si>
    <t>Magnifying glasses</t>
  </si>
  <si>
    <t>Lupen</t>
  </si>
  <si>
    <t>http://www.distrelec.ch/en/c/cat-DC-95623</t>
  </si>
  <si>
    <t>11_01_02_DC-95624</t>
  </si>
  <si>
    <t>DC-95624</t>
  </si>
  <si>
    <t>Microscopes</t>
  </si>
  <si>
    <t>Mikroskope</t>
  </si>
  <si>
    <t>http://www.distrelec.ch/en/c/cat-DC-95624</t>
  </si>
  <si>
    <t>11_01_02_DC-95625</t>
  </si>
  <si>
    <t>DC-95625</t>
  </si>
  <si>
    <t>Magnifying Glass Lamps</t>
  </si>
  <si>
    <t>Lupenleuchten</t>
  </si>
  <si>
    <t>http://www.distrelec.ch/en/c/cat-DC-95625</t>
  </si>
  <si>
    <t>11_01_03</t>
  </si>
  <si>
    <t>L3D_525450</t>
  </si>
  <si>
    <t>Desks / Chairs / Floor coverings</t>
  </si>
  <si>
    <t>Einrichtung</t>
  </si>
  <si>
    <t>11_01_03_165884</t>
  </si>
  <si>
    <t>Treston accessories</t>
  </si>
  <si>
    <t>Zubehör Treston</t>
  </si>
  <si>
    <t>http://www.distrelec.ch/en/c/cat-165884</t>
  </si>
  <si>
    <t>11_01_03_166037</t>
  </si>
  <si>
    <t>Chairs</t>
  </si>
  <si>
    <t>Stühle</t>
  </si>
  <si>
    <t>http://www.distrelec.ch/en/c/cat-166037</t>
  </si>
  <si>
    <t>11_01_03_30738</t>
  </si>
  <si>
    <t>Tables and table superstructural parts</t>
  </si>
  <si>
    <t>Tische und Aufbauten</t>
  </si>
  <si>
    <t>http://www.distrelec.ch/en/c/cat-30738</t>
  </si>
  <si>
    <t>11_01_03_30740</t>
  </si>
  <si>
    <t>Drawer storage cabinet</t>
  </si>
  <si>
    <t>Schubladenschränke</t>
  </si>
  <si>
    <t>http://www.distrelec.ch/en/c/cat-30740</t>
  </si>
  <si>
    <t>11_01_03_30742</t>
  </si>
  <si>
    <t>Accessories Elabo</t>
  </si>
  <si>
    <t>Zubehör Elabo</t>
  </si>
  <si>
    <t>http://www.distrelec.ch/en/c/cat-30742</t>
  </si>
  <si>
    <t>11_01_03_30745</t>
  </si>
  <si>
    <t>Accessories Lista</t>
  </si>
  <si>
    <t>Zubehör Lista</t>
  </si>
  <si>
    <t>http://www.distrelec.ch/en/c/cat-30745</t>
  </si>
  <si>
    <t>11_01_03_35865</t>
  </si>
  <si>
    <t>Tidiness and order in the workplace</t>
  </si>
  <si>
    <t>Ordnung am Arbeitsplatz</t>
  </si>
  <si>
    <t>http://www.distrelec.ch/en/c/cat-35865</t>
  </si>
  <si>
    <t>11_01_03_DC-95783</t>
  </si>
  <si>
    <t>DC-95783</t>
  </si>
  <si>
    <t>Floor coverings</t>
  </si>
  <si>
    <t>Bodenbeläge</t>
  </si>
  <si>
    <t>http://www.distrelec.ch/en/c/cat-DC-95783</t>
  </si>
  <si>
    <t>11_01_04</t>
  </si>
  <si>
    <t>Earthing systems</t>
  </si>
  <si>
    <t>11_01_04_219482</t>
  </si>
  <si>
    <t>Earthing mats Accessories</t>
  </si>
  <si>
    <t>Erdungsmatten Zubehör</t>
  </si>
  <si>
    <t>http://www.distrelec.ch/en/c/cat-219482</t>
  </si>
  <si>
    <t>11_01_04_30749</t>
  </si>
  <si>
    <t>Earth cables</t>
  </si>
  <si>
    <t>Erdungskabel</t>
  </si>
  <si>
    <t>http://www.distrelec.ch/en/c/cat-30749</t>
  </si>
  <si>
    <t>11_01_04_30751</t>
  </si>
  <si>
    <t>Wristbands</t>
  </si>
  <si>
    <t>Armbänder</t>
  </si>
  <si>
    <t>http://www.distrelec.ch/en/c/cat-30751</t>
  </si>
  <si>
    <t>11_01_04_30753</t>
  </si>
  <si>
    <t>Earthing modules</t>
  </si>
  <si>
    <t>Erdungsbausteine</t>
  </si>
  <si>
    <t>http://www.distrelec.ch/en/c/cat-30753</t>
  </si>
  <si>
    <t>11_01_04_30755</t>
  </si>
  <si>
    <t>Earth testers</t>
  </si>
  <si>
    <t>http://www.distrelec.ch/en/c/cat-30755</t>
  </si>
  <si>
    <t>11_01_04_30757</t>
  </si>
  <si>
    <t>Ionizers</t>
  </si>
  <si>
    <t>Ionisatoren</t>
  </si>
  <si>
    <t>http://www.distrelec.ch/en/c/cat-30757</t>
  </si>
  <si>
    <t>11_01_04_30759</t>
  </si>
  <si>
    <t>ESD Accessories</t>
  </si>
  <si>
    <t>ESD-Zubehör</t>
  </si>
  <si>
    <t>http://www.distrelec.ch/en/c/cat-30759</t>
  </si>
  <si>
    <t>11_01_04_DC-95516</t>
  </si>
  <si>
    <t>DC-95516</t>
  </si>
  <si>
    <t>Earthing mats</t>
  </si>
  <si>
    <t>Erdungsmatten</t>
  </si>
  <si>
    <t>http://www.distrelec.ch/en/c/cat-DC-95516</t>
  </si>
  <si>
    <t>11_01_05</t>
  </si>
  <si>
    <t>L3D_525452</t>
  </si>
  <si>
    <t>Containers / straps</t>
  </si>
  <si>
    <t>Behälter und Bänder</t>
  </si>
  <si>
    <t>11_01_05_30761</t>
  </si>
  <si>
    <t>Container</t>
  </si>
  <si>
    <t>Behälter</t>
  </si>
  <si>
    <t>http://www.distrelec.ch/en/c/cat-30761</t>
  </si>
  <si>
    <t>11_01_05_DC-95524</t>
  </si>
  <si>
    <t>DC-95524</t>
  </si>
  <si>
    <t>Tension belts</t>
  </si>
  <si>
    <t>Gurte</t>
  </si>
  <si>
    <t>http://www.distrelec.ch/en/c/cat-DC-95524</t>
  </si>
  <si>
    <t>11_01_06</t>
  </si>
  <si>
    <t>Work Clothes / Gloves / Goggles</t>
  </si>
  <si>
    <t>11_01_06_30764</t>
  </si>
  <si>
    <t>Safety clothing</t>
  </si>
  <si>
    <t>Schutzkleidung</t>
  </si>
  <si>
    <t>http://www.distrelec.ch/en/c/cat-30764</t>
  </si>
  <si>
    <t>11_01_06_30766</t>
  </si>
  <si>
    <t>Protective masks</t>
  </si>
  <si>
    <t>Schutzmasken</t>
  </si>
  <si>
    <t>http://www.distrelec.ch/en/c/cat-30766</t>
  </si>
  <si>
    <t>11_01_06_30768</t>
  </si>
  <si>
    <t>Shoes</t>
  </si>
  <si>
    <t>Schuhe</t>
  </si>
  <si>
    <t>http://www.distrelec.ch/en/c/cat-30768</t>
  </si>
  <si>
    <t>11_01_06_30770</t>
  </si>
  <si>
    <t>Hearing protectors</t>
  </si>
  <si>
    <t>Gehörschutz</t>
  </si>
  <si>
    <t>http://www.distrelec.ch/en/c/cat-30770</t>
  </si>
  <si>
    <t>11_01_06_30772</t>
  </si>
  <si>
    <t>Goggles</t>
  </si>
  <si>
    <t>Schutzbrillen</t>
  </si>
  <si>
    <t>http://www.distrelec.ch/en/c/cat-30772</t>
  </si>
  <si>
    <t>11_01_06_343107</t>
  </si>
  <si>
    <t>Gloves</t>
  </si>
  <si>
    <t>Handschuhe</t>
  </si>
  <si>
    <t>http://www.distrelec.ch/en/c/cat-343107</t>
  </si>
  <si>
    <t>11_02</t>
  </si>
  <si>
    <t>Maintenance / Chemicals / Adhesives / Labelling</t>
  </si>
  <si>
    <t>11_02_01</t>
  </si>
  <si>
    <t>11_02_01_DC-95632</t>
  </si>
  <si>
    <t>DC-95632</t>
  </si>
  <si>
    <t>Ultrasonic Cleaners</t>
  </si>
  <si>
    <t>Ultraschallreiniger</t>
  </si>
  <si>
    <t>http://www.distrelec.ch/en/c/cat-DC-95632</t>
  </si>
  <si>
    <t>11_02_01_DC-95633</t>
  </si>
  <si>
    <t>DC-95633</t>
  </si>
  <si>
    <t>Cleaner set</t>
  </si>
  <si>
    <t>Reinigungssets</t>
  </si>
  <si>
    <t>http://www.distrelec.ch/en/c/cat-DC-95633</t>
  </si>
  <si>
    <t>11_02_01_DC-95634</t>
  </si>
  <si>
    <t>DC-95634</t>
  </si>
  <si>
    <t>Hand cleaner</t>
  </si>
  <si>
    <t>Handreiniger und Spendersysteme</t>
  </si>
  <si>
    <t>http://www.distrelec.ch/en/c/cat-DC-95634</t>
  </si>
  <si>
    <t>11_02_01_DC-95636</t>
  </si>
  <si>
    <t>DC-95636</t>
  </si>
  <si>
    <t>Cleaning cloths</t>
  </si>
  <si>
    <t>Reinigungstücher</t>
  </si>
  <si>
    <t>http://www.distrelec.ch/en/c/cat-DC-95636</t>
  </si>
  <si>
    <t>11_02_01_DC-95637</t>
  </si>
  <si>
    <t>DC-95637</t>
  </si>
  <si>
    <t>Skin care</t>
  </si>
  <si>
    <t>Hautpflege</t>
  </si>
  <si>
    <t>http://www.distrelec.ch/en/c/cat-DC-95637</t>
  </si>
  <si>
    <t>11_02_01_DC-95638</t>
  </si>
  <si>
    <t>DC-95638</t>
  </si>
  <si>
    <t>Sprays, Fluids, Pastes</t>
  </si>
  <si>
    <t>Sprays, Flüssigkeiten, Pasten</t>
  </si>
  <si>
    <t>http://www.distrelec.ch/en/c/cat-DC-95638</t>
  </si>
  <si>
    <t>11_02_02</t>
  </si>
  <si>
    <t>11_02_02_30159</t>
  </si>
  <si>
    <t>Thread locking and thread seals, lubricator</t>
  </si>
  <si>
    <t>Gewindesicherungen und -dichtungen, Öler</t>
  </si>
  <si>
    <t>http://www.distrelec.ch/en/c/cat-30159</t>
  </si>
  <si>
    <t>11_02_02_309352</t>
  </si>
  <si>
    <t>Accessories for Adhesives</t>
  </si>
  <si>
    <t>Zubehör für Klebstoffe</t>
  </si>
  <si>
    <t>http://www.distrelec.ch/en/c/cat-309352</t>
  </si>
  <si>
    <t>11_02_02_DC-95648</t>
  </si>
  <si>
    <t>DC-95648</t>
  </si>
  <si>
    <t>Sealing compounds</t>
  </si>
  <si>
    <t>Vergussmassen</t>
  </si>
  <si>
    <t>http://www.distrelec.ch/en/c/cat-DC-95648</t>
  </si>
  <si>
    <t>11_02_02_DC-95649</t>
  </si>
  <si>
    <t>DC-95649</t>
  </si>
  <si>
    <t>Adhesive</t>
  </si>
  <si>
    <t>Klebstoffe</t>
  </si>
  <si>
    <t>http://www.distrelec.ch/en/c/cat-DC-95649</t>
  </si>
  <si>
    <t>11_02_02_DC-95651</t>
  </si>
  <si>
    <t>DC-95651</t>
  </si>
  <si>
    <t>Adhesive guns</t>
  </si>
  <si>
    <t>Klebepistolen</t>
  </si>
  <si>
    <t>http://www.distrelec.ch/en/c/cat-DC-95651</t>
  </si>
  <si>
    <t>11_02_02_DC-95652</t>
  </si>
  <si>
    <t>DC-95652</t>
  </si>
  <si>
    <t>Adhesive tapes</t>
  </si>
  <si>
    <t>http://www.distrelec.ch/en/c/cat-DC-95652</t>
  </si>
  <si>
    <t>11_02_03</t>
  </si>
  <si>
    <t>11_02_03_304352</t>
  </si>
  <si>
    <t>Marker</t>
  </si>
  <si>
    <t>Markierstifte</t>
  </si>
  <si>
    <t>http://www.distrelec.ch/en/c/cat-304352</t>
  </si>
  <si>
    <t>11_02_03_DC-95653</t>
  </si>
  <si>
    <t>DC-95653</t>
  </si>
  <si>
    <t>Cable marker</t>
  </si>
  <si>
    <t>Kabelmarkierer</t>
  </si>
  <si>
    <t>http://www.distrelec.ch/en/c/cat-DC-95653</t>
  </si>
  <si>
    <t>11_02_03_DC-95654</t>
  </si>
  <si>
    <t>DC-95654</t>
  </si>
  <si>
    <t>Labels</t>
  </si>
  <si>
    <t>Etiketten</t>
  </si>
  <si>
    <t>http://www.distrelec.ch/en/c/cat-DC-95654</t>
  </si>
  <si>
    <t>11_02_03_DC-95655</t>
  </si>
  <si>
    <t>DC-95655</t>
  </si>
  <si>
    <t>Test Labels</t>
  </si>
  <si>
    <t>Prüfplaketten und Warnkleber</t>
  </si>
  <si>
    <t>http://www.distrelec.ch/en/c/cat-DC-95655</t>
  </si>
  <si>
    <t>11_03</t>
  </si>
  <si>
    <t>Mechanical Components</t>
  </si>
  <si>
    <t>11_03_01</t>
  </si>
  <si>
    <t>Screws / dowels / springs</t>
  </si>
  <si>
    <t>11_03_01_177959</t>
  </si>
  <si>
    <t>http://www.distrelec.ch/en/c/cat-177959</t>
  </si>
  <si>
    <t>11_03_01_177960</t>
  </si>
  <si>
    <t>Nuts</t>
  </si>
  <si>
    <t>http://www.distrelec.ch/en/c/cat-177960</t>
  </si>
  <si>
    <t>11_03_01_177961</t>
  </si>
  <si>
    <t>Washers</t>
  </si>
  <si>
    <t>Unterlegscheiben</t>
  </si>
  <si>
    <t>http://www.distrelec.ch/en/c/cat-177961</t>
  </si>
  <si>
    <t>11_03_01_DC-84385</t>
  </si>
  <si>
    <t>DC-84385</t>
  </si>
  <si>
    <t>Assortment of screws and retaining rings</t>
  </si>
  <si>
    <t>Schrauben-, Sicherungsring- und Federn-Sortimente</t>
  </si>
  <si>
    <t>http://www.distrelec.ch/en/c/cat-DC-84385</t>
  </si>
  <si>
    <t>11_03_01_DC-84386</t>
  </si>
  <si>
    <t>DC-84386</t>
  </si>
  <si>
    <t>Dowel</t>
  </si>
  <si>
    <t>Dübel</t>
  </si>
  <si>
    <t>http://www.distrelec.ch/en/c/cat-DC-84386</t>
  </si>
  <si>
    <t>11_03_02</t>
  </si>
  <si>
    <t>11_03_02_DC-56120</t>
  </si>
  <si>
    <t>DC-56120</t>
  </si>
  <si>
    <t>Assembly parts and spacer blocks plastic</t>
  </si>
  <si>
    <t>Montage- und Distanzteile</t>
  </si>
  <si>
    <t>http://www.distrelec.ch/en/c/cat-DC-56120</t>
  </si>
  <si>
    <t>11_03_02_DC-56121</t>
  </si>
  <si>
    <t>DC-56121</t>
  </si>
  <si>
    <t>Assembly parts and spacer blocks metal</t>
  </si>
  <si>
    <t>Distanzbolzen-Sets</t>
  </si>
  <si>
    <t>http://www.distrelec.ch/en/c/cat-DC-56121</t>
  </si>
  <si>
    <t>11_03_03</t>
  </si>
  <si>
    <t>Hinges / Locks</t>
  </si>
  <si>
    <t>11_03_03_DC-84390</t>
  </si>
  <si>
    <t>DC-84390</t>
  </si>
  <si>
    <t>Locks</t>
  </si>
  <si>
    <t>Schlösser</t>
  </si>
  <si>
    <t>http://www.distrelec.ch/en/c/cat-DC-84390</t>
  </si>
  <si>
    <t>11_03_03_DC-84391</t>
  </si>
  <si>
    <t>DC-84391</t>
  </si>
  <si>
    <t>Interlocks / locks / hinges</t>
  </si>
  <si>
    <t>Verriegelungen / Verschlüsse / Scharniere</t>
  </si>
  <si>
    <t>http://www.distrelec.ch/en/c/cat-DC-84391</t>
  </si>
  <si>
    <t>11_03_03_DC-84392</t>
  </si>
  <si>
    <t>DC-84392</t>
  </si>
  <si>
    <t>Magnetic locks / magnets</t>
  </si>
  <si>
    <t>Magnetverschlüsse / Magnete</t>
  </si>
  <si>
    <t>http://www.distrelec.ch/en/c/cat-DC-84392</t>
  </si>
  <si>
    <t>11_03_04</t>
  </si>
  <si>
    <t>11_03_04_DC-84394</t>
  </si>
  <si>
    <t>DC-84394</t>
  </si>
  <si>
    <t>Ball bearing</t>
  </si>
  <si>
    <t>http://www.distrelec.ch/en/c/cat-DC-84394</t>
  </si>
  <si>
    <t>11_03_05</t>
  </si>
  <si>
    <t>L3D_525464</t>
  </si>
  <si>
    <t>Vibration dampers</t>
  </si>
  <si>
    <t>Schwingungsdämpfer</t>
  </si>
  <si>
    <t>11_03_05_DC-84396</t>
  </si>
  <si>
    <t>DC-84396</t>
  </si>
  <si>
    <t>Damping elements</t>
  </si>
  <si>
    <t>Dämpfungselemente</t>
  </si>
  <si>
    <t>http://www.distrelec.ch/en/c/cat-DC-84396</t>
  </si>
  <si>
    <t>11_03_05_DC-84397</t>
  </si>
  <si>
    <t>DC-84397</t>
  </si>
  <si>
    <t>Damping machine feet</t>
  </si>
  <si>
    <t>Maschinenfüsse</t>
  </si>
  <si>
    <t>http://www.distrelec.ch/en/c/cat-DC-84397</t>
  </si>
  <si>
    <t>11_03_06</t>
  </si>
  <si>
    <t>Semi-finished products</t>
  </si>
  <si>
    <t>11_03_06_DC-84399</t>
  </si>
  <si>
    <t>DC-84399</t>
  </si>
  <si>
    <t>Metal semi-finished products</t>
  </si>
  <si>
    <t>Metall-Halbzeuge</t>
  </si>
  <si>
    <t>http://www.distrelec.ch/en/c/cat-DC-84399</t>
  </si>
  <si>
    <t>11_03_06_DC-84400</t>
  </si>
  <si>
    <t>DC-84400</t>
  </si>
  <si>
    <t>Plastic semi-finished products</t>
  </si>
  <si>
    <t>Kunststoff-Halbzeuge</t>
  </si>
  <si>
    <t>http://www.distrelec.ch/en/c/cat-DC-84400</t>
  </si>
  <si>
    <t>11_03_07</t>
  </si>
  <si>
    <t>L3D_525467</t>
  </si>
  <si>
    <t>O-rings / shaft seals</t>
  </si>
  <si>
    <t>O-Ringe und Simmerringe</t>
  </si>
  <si>
    <t>11_03_07_DC-84395</t>
  </si>
  <si>
    <t>DC-84395</t>
  </si>
  <si>
    <t>O-Ringe / Simmerringe</t>
  </si>
  <si>
    <t>http://www.distrelec.ch/en/c/cat-DC-84395</t>
  </si>
  <si>
    <t>11_03_08</t>
  </si>
  <si>
    <t>Protective Caps and Bumpers</t>
  </si>
  <si>
    <t>Delete, no longer in the assortment</t>
  </si>
  <si>
    <t>11_03_08_12758</t>
  </si>
  <si>
    <t>Push-fit bumpers</t>
  </si>
  <si>
    <t>http://www.distrelec.ch/en/c/cat-12758</t>
  </si>
  <si>
    <t>11_03_08_12760</t>
  </si>
  <si>
    <t>Bumpons</t>
  </si>
  <si>
    <t>http://www.distrelec.ch/en/c/cat-12760</t>
  </si>
  <si>
    <t>11_03_08_15456</t>
  </si>
  <si>
    <t>Protective plugs</t>
  </si>
  <si>
    <t>http://www.distrelec.ch/en/c/cat-15456</t>
  </si>
  <si>
    <t>11_03_08_7318</t>
  </si>
  <si>
    <t>Equipment bumper</t>
  </si>
  <si>
    <t>http://www.distrelec.ch/en/c/cat-7318</t>
  </si>
  <si>
    <t>11_03_08_MG-40761</t>
  </si>
  <si>
    <t>MG-40761</t>
  </si>
  <si>
    <t>Protective caps</t>
  </si>
  <si>
    <t>http://www.distrelec.ch/en/c/cat-MG-40761</t>
  </si>
  <si>
    <t>11_03_08_MG-40794</t>
  </si>
  <si>
    <t>MG-40794</t>
  </si>
  <si>
    <t>Sliders</t>
  </si>
  <si>
    <t>http://www.distrelec.ch/en/c/cat-MG-40794</t>
  </si>
  <si>
    <t>11_03_184806</t>
  </si>
  <si>
    <t>Gas springs</t>
  </si>
  <si>
    <t>Gasdruckfedern</t>
  </si>
  <si>
    <t>http://www.distrelec.ch/en/c/cat-184806</t>
  </si>
  <si>
    <t>11_03_25295</t>
  </si>
  <si>
    <t>Telescopic Slides</t>
  </si>
  <si>
    <t>Teleskopschienen</t>
  </si>
  <si>
    <t>http://www.distrelec.ch/en/c/cat-25295</t>
  </si>
  <si>
    <t>11_03_661997</t>
  </si>
  <si>
    <t>Linear Motion Slides</t>
  </si>
  <si>
    <t>Linearschienen</t>
  </si>
  <si>
    <t>http://www.distrelec.ch/en/c/cat-661997</t>
  </si>
  <si>
    <t>11_03_661999</t>
  </si>
  <si>
    <t>Accessories For Telescopic And Linear Motion Slides</t>
  </si>
  <si>
    <t>Zubehör für Teleskop- und Linearschienen</t>
  </si>
  <si>
    <t>http://www.distrelec.ch/en/c/cat-661999</t>
  </si>
  <si>
    <t>11_03_DC-84388</t>
  </si>
  <si>
    <t>DC-84388</t>
  </si>
  <si>
    <t>Chains and Ropes</t>
  </si>
  <si>
    <t>Ketten und Seile</t>
  </si>
  <si>
    <t>http://www.distrelec.ch/en/c/cat-DC-84388</t>
  </si>
  <si>
    <t>11_03_DC-84393</t>
  </si>
  <si>
    <t>DC-84393</t>
  </si>
  <si>
    <t>Castors / wheels</t>
  </si>
  <si>
    <t>http://www.distrelec.ch/en/c/cat-DC-84393</t>
  </si>
  <si>
    <t>11_03_DC-84398</t>
  </si>
  <si>
    <t>DC-84398</t>
  </si>
  <si>
    <t>Rose+Krieger pipe coupling system</t>
  </si>
  <si>
    <t>Rohrverbindungssysteme</t>
  </si>
  <si>
    <t>http://www.distrelec.ch/en/c/cat-DC-84398</t>
  </si>
  <si>
    <t>Cable Assemblies / Audio / Video</t>
  </si>
  <si>
    <t>12_01</t>
  </si>
  <si>
    <t>12_01_167322</t>
  </si>
  <si>
    <t>PA Equipment</t>
  </si>
  <si>
    <t>PA-Ausrüstung</t>
  </si>
  <si>
    <t>http://www.distrelec.ch/en/c/cat-167322</t>
  </si>
  <si>
    <t>12_01_167509</t>
  </si>
  <si>
    <t>Headphones</t>
  </si>
  <si>
    <t>Kopfhörer</t>
  </si>
  <si>
    <t>http://www.distrelec.ch/en/c/cat-167509</t>
  </si>
  <si>
    <t>12_01_169050</t>
  </si>
  <si>
    <t>Dynamic Microphone Elements</t>
  </si>
  <si>
    <t>Dynamische Mikrofonelemente</t>
  </si>
  <si>
    <t>http://www.distrelec.ch/en/c/cat-169050</t>
  </si>
  <si>
    <t>12_01_169060</t>
  </si>
  <si>
    <t>Condenser Microphone Elements</t>
  </si>
  <si>
    <t>Kondensatormikrofonelemente</t>
  </si>
  <si>
    <t>http://www.distrelec.ch/en/c/cat-169060</t>
  </si>
  <si>
    <t>12_01_178111</t>
  </si>
  <si>
    <t>Audio Adapters</t>
  </si>
  <si>
    <t>Audioadapter</t>
  </si>
  <si>
    <t>http://www.distrelec.ch/en/c/cat-178111</t>
  </si>
  <si>
    <t>12_01_185450</t>
  </si>
  <si>
    <t>http://www.distrelec.ch/en/c/cat-185450</t>
  </si>
  <si>
    <t>12_01_26240</t>
  </si>
  <si>
    <t>Passive Adapters and Audio Transformers</t>
  </si>
  <si>
    <t>Passiv-Adapter und Audio-Transformatoren</t>
  </si>
  <si>
    <t>http://www.distrelec.ch/en/c/cat-26240</t>
  </si>
  <si>
    <t>12_01_DC-56155</t>
  </si>
  <si>
    <t>DC-56155</t>
  </si>
  <si>
    <t>Loudspeaker accessories</t>
  </si>
  <si>
    <t>Lautsprecher Zubehör</t>
  </si>
  <si>
    <t>http://www.distrelec.ch/en/c/cat-DC-56155</t>
  </si>
  <si>
    <t>12_02</t>
  </si>
  <si>
    <t>12_02_167634</t>
  </si>
  <si>
    <t>Wireless Link Systems</t>
  </si>
  <si>
    <t>Funkverbindungssysteme</t>
  </si>
  <si>
    <t>http://www.distrelec.ch/en/c/cat-167634</t>
  </si>
  <si>
    <t>12_02_168447</t>
  </si>
  <si>
    <t>Video Products</t>
  </si>
  <si>
    <t>Videoprodukte</t>
  </si>
  <si>
    <t>http://www.distrelec.ch/en/c/cat-168447</t>
  </si>
  <si>
    <t>12_02_169288</t>
  </si>
  <si>
    <t>Wall Brackets</t>
  </si>
  <si>
    <t>Wandhalterungen</t>
  </si>
  <si>
    <t>http://www.distrelec.ch/en/c/cat-169288</t>
  </si>
  <si>
    <t>12_02_178130</t>
  </si>
  <si>
    <t>Video Adapters</t>
  </si>
  <si>
    <t>Videoadapter</t>
  </si>
  <si>
    <t>http://www.distrelec.ch/en/c/cat-178130</t>
  </si>
  <si>
    <t>12_02_26225</t>
  </si>
  <si>
    <t>TFT-Bildschirme</t>
  </si>
  <si>
    <t>http://www.distrelec.ch/en/c/cat-26225</t>
  </si>
  <si>
    <t>12_02_DC-56159</t>
  </si>
  <si>
    <t>DC-56159</t>
  </si>
  <si>
    <t>Camera Modules</t>
  </si>
  <si>
    <t>Kameramodule</t>
  </si>
  <si>
    <t>http://www.distrelec.ch/en/c/cat-DC-56159</t>
  </si>
  <si>
    <t>12_03</t>
  </si>
  <si>
    <t>12_03_177591</t>
  </si>
  <si>
    <t>Aerial Outlets</t>
  </si>
  <si>
    <t>Antennensteckdosen</t>
  </si>
  <si>
    <t>http://www.distrelec.ch/en/c/cat-177591</t>
  </si>
  <si>
    <t>12_03_42782</t>
  </si>
  <si>
    <t>Radio /TV Aerials</t>
  </si>
  <si>
    <t>Radio/TV-Antennen</t>
  </si>
  <si>
    <t>http://www.distrelec.ch/en/c/cat-42782</t>
  </si>
  <si>
    <t>12_03_43024</t>
  </si>
  <si>
    <t>Aerial Filters</t>
  </si>
  <si>
    <t>Antennenweichen</t>
  </si>
  <si>
    <t>http://www.distrelec.ch/en/c/cat-43024</t>
  </si>
  <si>
    <t>12_03_43058</t>
  </si>
  <si>
    <t>Aerial Amplifiers</t>
  </si>
  <si>
    <t>Antennenverstärker</t>
  </si>
  <si>
    <t>http://www.distrelec.ch/en/c/cat-43058</t>
  </si>
  <si>
    <t>12_03_43060</t>
  </si>
  <si>
    <t>Aerial Switches</t>
  </si>
  <si>
    <t>http://www.distrelec.ch/en/c/cat-43060</t>
  </si>
  <si>
    <t>12_03_43154</t>
  </si>
  <si>
    <t>Distribution Amplifiers</t>
  </si>
  <si>
    <t>Verteilverstärker</t>
  </si>
  <si>
    <t>http://www.distrelec.ch/en/c/cat-43154</t>
  </si>
  <si>
    <t>12_03_43318</t>
  </si>
  <si>
    <t>Power Supply Units</t>
  </si>
  <si>
    <t>Stromversorgungseinheiten</t>
  </si>
  <si>
    <t>http://www.distrelec.ch/en/c/cat-43318</t>
  </si>
  <si>
    <t>12_03_43354</t>
  </si>
  <si>
    <t>Splitters / Distribution Boxes</t>
  </si>
  <si>
    <t>Verteilerdosen</t>
  </si>
  <si>
    <t>http://www.distrelec.ch/en/c/cat-43354</t>
  </si>
  <si>
    <t>12_03_43418</t>
  </si>
  <si>
    <t>Satellite Dishes and LNB</t>
  </si>
  <si>
    <t>Parabolantennen und LNBs</t>
  </si>
  <si>
    <t>http://www.distrelec.ch/en/c/cat-43418</t>
  </si>
  <si>
    <t>12_03_43452</t>
  </si>
  <si>
    <t>Satellite Receivers</t>
  </si>
  <si>
    <t>Receiver</t>
  </si>
  <si>
    <t>http://www.distrelec.ch/en/c/cat-43452</t>
  </si>
  <si>
    <t>12_03_43518</t>
  </si>
  <si>
    <t>CATV Distribution Units</t>
  </si>
  <si>
    <t>Verteilzentralen</t>
  </si>
  <si>
    <t>http://www.distrelec.ch/en/c/cat-43518</t>
  </si>
  <si>
    <t>12_03_43527</t>
  </si>
  <si>
    <t>Aerial Mounting Accessories</t>
  </si>
  <si>
    <t>Antennenmontageelemente</t>
  </si>
  <si>
    <t>http://www.distrelec.ch/en/c/cat-43527</t>
  </si>
  <si>
    <t>12_04</t>
  </si>
  <si>
    <t>12_04_189035</t>
  </si>
  <si>
    <t>Antennas / Satellite cables / RF cables</t>
  </si>
  <si>
    <t>Antennenkabel / Satellitenkabel / HF-Kabel</t>
  </si>
  <si>
    <t>http://www.distrelec.ch/en/c/cat-189035</t>
  </si>
  <si>
    <t>12_04_189075</t>
  </si>
  <si>
    <t>Audio cables</t>
  </si>
  <si>
    <t>http://www.distrelec.ch/en/c/cat-189075</t>
  </si>
  <si>
    <t>12_04_189076</t>
  </si>
  <si>
    <t>Monitor cables</t>
  </si>
  <si>
    <t>Monitorkabel</t>
  </si>
  <si>
    <t>http://www.distrelec.ch/en/c/cat-189076</t>
  </si>
  <si>
    <t>12_04_189077</t>
  </si>
  <si>
    <t>Telephone cables</t>
  </si>
  <si>
    <t>Telefonkabel</t>
  </si>
  <si>
    <t>http://www.distrelec.ch/en/c/cat-189077</t>
  </si>
  <si>
    <t>12_04_189078</t>
  </si>
  <si>
    <t>http://www.distrelec.ch/en/c/cat-189078</t>
  </si>
  <si>
    <t>12_04_190122</t>
  </si>
  <si>
    <t>Datalink / Modem cables</t>
  </si>
  <si>
    <t>Datalink / Modemkabel</t>
  </si>
  <si>
    <t>http://www.distrelec.ch/en/c/cat-190122</t>
  </si>
  <si>
    <t>12_04_190137</t>
  </si>
  <si>
    <t>D-Sub / PS/2 cables</t>
  </si>
  <si>
    <t>D-Sub / PS/2 Kabel</t>
  </si>
  <si>
    <t>http://www.distrelec.ch/en/c/cat-190137</t>
  </si>
  <si>
    <t>12_04_190139</t>
  </si>
  <si>
    <t>FireWire / Thunderbolt cables</t>
  </si>
  <si>
    <t>FireWire / Thunderbolt Kabel</t>
  </si>
  <si>
    <t>http://www.distrelec.ch/en/c/cat-190139</t>
  </si>
  <si>
    <t>12_04_190140</t>
  </si>
  <si>
    <t>KVM cables</t>
  </si>
  <si>
    <t>KVM Kabel</t>
  </si>
  <si>
    <t>http://www.distrelec.ch/en/c/cat-190140</t>
  </si>
  <si>
    <t>12_04_190141</t>
  </si>
  <si>
    <t>Patch cords fibre optical</t>
  </si>
  <si>
    <t>Patchkabel LWL</t>
  </si>
  <si>
    <t>http://www.distrelec.ch/en/c/cat-190141</t>
  </si>
  <si>
    <t>12_04_190142</t>
  </si>
  <si>
    <t>Patch cords RJ45</t>
  </si>
  <si>
    <t>Patchkabel RJ45</t>
  </si>
  <si>
    <t>http://www.distrelec.ch/en/c/cat-190142</t>
  </si>
  <si>
    <t>12_04_190143</t>
  </si>
  <si>
    <t>Power cords internal</t>
  </si>
  <si>
    <t>Powerkabel intern</t>
  </si>
  <si>
    <t>http://www.distrelec.ch/en/c/cat-190143</t>
  </si>
  <si>
    <t>12_04_190144</t>
  </si>
  <si>
    <t>SATA / SAS / IDE cables</t>
  </si>
  <si>
    <t>SATA / SAS / IDE Kabel</t>
  </si>
  <si>
    <t>http://www.distrelec.ch/en/c/cat-190144</t>
  </si>
  <si>
    <t>12_04_190145</t>
  </si>
  <si>
    <t>SCSI cables</t>
  </si>
  <si>
    <t>SCSI Kabel</t>
  </si>
  <si>
    <t>http://www.distrelec.ch/en/c/cat-190145</t>
  </si>
  <si>
    <t>12_04_190146</t>
  </si>
  <si>
    <t>USB cables</t>
  </si>
  <si>
    <t>USB Kabel</t>
  </si>
  <si>
    <t>http://www.distrelec.ch/en/c/cat-190146</t>
  </si>
  <si>
    <t>12_04_206791</t>
  </si>
  <si>
    <t>Cables for Sensors</t>
  </si>
  <si>
    <t>Kabel für Sensoren</t>
  </si>
  <si>
    <t>http://www.distrelec.ch/en/c/cat-206791</t>
  </si>
  <si>
    <t>12_04_207388</t>
  </si>
  <si>
    <t>Industrial flat cables</t>
  </si>
  <si>
    <t>Flachkabel Industrie</t>
  </si>
  <si>
    <t>http://www.distrelec.ch/en/c/cat-207388</t>
  </si>
  <si>
    <t>12_04_207390</t>
  </si>
  <si>
    <t>Power cords</t>
  </si>
  <si>
    <t>http://www.distrelec.ch/en/c/cat-207390</t>
  </si>
  <si>
    <t>Computing / Office</t>
  </si>
  <si>
    <t>13_01</t>
  </si>
  <si>
    <t>13_01_12398</t>
  </si>
  <si>
    <t>PCs CH</t>
  </si>
  <si>
    <t>PCs Schweizer Markt</t>
  </si>
  <si>
    <t>http://www.distrelec.ch/en/c/cat-12398</t>
  </si>
  <si>
    <t>13_01_12407</t>
  </si>
  <si>
    <t>Original Laptop/PC accessories</t>
  </si>
  <si>
    <t>Notebook/PC, Originalzubehör</t>
  </si>
  <si>
    <t>http://www.distrelec.ch/en/c/cat-12407</t>
  </si>
  <si>
    <t>13_01_12410</t>
  </si>
  <si>
    <t>Laptop bags</t>
  </si>
  <si>
    <t>Notebook-Taschen</t>
  </si>
  <si>
    <t>http://www.distrelec.ch/en/c/cat-12410</t>
  </si>
  <si>
    <t>13_01_12417</t>
  </si>
  <si>
    <t>Mobile interface cards</t>
  </si>
  <si>
    <t>Mobile Schnittstellenkarten</t>
  </si>
  <si>
    <t>http://www.distrelec.ch/en/c/cat-12417</t>
  </si>
  <si>
    <t>13_01_12426</t>
  </si>
  <si>
    <t>Bluetooth headset</t>
  </si>
  <si>
    <t>Bluetooth-Headsets</t>
  </si>
  <si>
    <t>http://www.distrelec.ch/en/c/cat-12426</t>
  </si>
  <si>
    <t>13_01_12502</t>
  </si>
  <si>
    <t>Industrial PC systems</t>
  </si>
  <si>
    <t>Industrie PC-Systeme</t>
  </si>
  <si>
    <t>http://www.distrelec.ch/en/c/cat-12502</t>
  </si>
  <si>
    <t>13_01_14506</t>
  </si>
  <si>
    <t>http://www.distrelec.ch/en/c/cat-14506</t>
  </si>
  <si>
    <t>13_01_171348</t>
  </si>
  <si>
    <t>LTE (4G) / UMTS (3G) / GSM</t>
  </si>
  <si>
    <t>http://www.distrelec.ch/en/c/cat-171348</t>
  </si>
  <si>
    <t>13_01_171751</t>
  </si>
  <si>
    <t>GPS Navigation</t>
  </si>
  <si>
    <t>GPS Strassen Navigation</t>
  </si>
  <si>
    <t>http://www.distrelec.ch/en/c/cat-171751</t>
  </si>
  <si>
    <t>13_01_178172</t>
  </si>
  <si>
    <t>eBook Readers</t>
  </si>
  <si>
    <t>eBook Reader</t>
  </si>
  <si>
    <t>http://www.distrelec.ch/en/c/cat-178172</t>
  </si>
  <si>
    <t>13_01_195762</t>
  </si>
  <si>
    <t>Driving aids</t>
  </si>
  <si>
    <t>Fahrhilfen</t>
  </si>
  <si>
    <t>http://www.distrelec.ch/en/c/cat-195762</t>
  </si>
  <si>
    <t>13_01_216333</t>
  </si>
  <si>
    <t>iPhone/iPad accessories</t>
  </si>
  <si>
    <t>iPhone/iPad Zubehör</t>
  </si>
  <si>
    <t>http://www.distrelec.ch/en/c/cat-216333</t>
  </si>
  <si>
    <t>13_01_25143 PCs Italien</t>
  </si>
  <si>
    <t>25143 PCs Italien</t>
  </si>
  <si>
    <t>PCs IT</t>
  </si>
  <si>
    <t>http://www.distrelec.ch/en/c/cat-25143 PCs Italien</t>
  </si>
  <si>
    <t>Only exists on Italian site</t>
  </si>
  <si>
    <t>Same landing page ?</t>
  </si>
  <si>
    <t>13_01_25144 PCs Deutschland</t>
  </si>
  <si>
    <t>25144 PCs Deutschland</t>
  </si>
  <si>
    <t>PCs DE</t>
  </si>
  <si>
    <t>http://www.distrelec.ch/en/c/cat-25144 PCs Deutschland</t>
  </si>
  <si>
    <t>Only exists on German site</t>
  </si>
  <si>
    <t>13_01_271495</t>
  </si>
  <si>
    <t>Notebook Batteries</t>
  </si>
  <si>
    <t>Notebook-Akkus</t>
  </si>
  <si>
    <t>http://www.distrelec.ch/en/c/cat-271495</t>
  </si>
  <si>
    <t>13_01_33738</t>
  </si>
  <si>
    <t>Laptops/Netbooks</t>
  </si>
  <si>
    <t>Notebooks/Netbooks/Tablets Schweizer Markt</t>
  </si>
  <si>
    <t>http://www.distrelec.ch/en/c/cat-33738</t>
  </si>
  <si>
    <t>13_01_376314</t>
  </si>
  <si>
    <t>Tablets</t>
  </si>
  <si>
    <t>http://www.distrelec.ch/en/c/cat-376314</t>
  </si>
  <si>
    <t>13_01_37878_DE</t>
  </si>
  <si>
    <t>37878_DE</t>
  </si>
  <si>
    <t>Laptops/Netbooks DE</t>
  </si>
  <si>
    <t>Notebooks/Netbooks/Tablets Deutscher Markt</t>
  </si>
  <si>
    <t>http://www.distrelec.ch/en/c/cat-37878_DE</t>
  </si>
  <si>
    <t>13_01_37879_IT</t>
  </si>
  <si>
    <t>37879_IT</t>
  </si>
  <si>
    <t>Laptops/netbooks IT</t>
  </si>
  <si>
    <t>Notebooks/Netbooks/Tablets Italienischer Markt</t>
  </si>
  <si>
    <t>http://www.distrelec.ch/en/c/cat-37879_IT</t>
  </si>
  <si>
    <t>13_01_39417</t>
  </si>
  <si>
    <t>Smartphones/mobiles</t>
  </si>
  <si>
    <t>Smartphones/Mobiltelefone</t>
  </si>
  <si>
    <t>http://www.distrelec.ch/en/c/cat-39417</t>
  </si>
  <si>
    <t>13_01_514198</t>
  </si>
  <si>
    <t>Tablet accessories</t>
  </si>
  <si>
    <t>Tablet Zubehör</t>
  </si>
  <si>
    <t>http://www.distrelec.ch/en/c/cat-514198</t>
  </si>
  <si>
    <t>13_01_625063</t>
  </si>
  <si>
    <t>GPS outdoor navigation</t>
  </si>
  <si>
    <t>GPS Outdoor Navigation</t>
  </si>
  <si>
    <t>http://www.distrelec.ch/en/c/cat-625063</t>
  </si>
  <si>
    <t>13_01_690268</t>
  </si>
  <si>
    <t>Mobile Powerbanks</t>
  </si>
  <si>
    <t>http://www.distrelec.ch/en/c/cat-690268</t>
  </si>
  <si>
    <t>13_01_DD-17177</t>
  </si>
  <si>
    <t>DD-17177</t>
  </si>
  <si>
    <t>Bluetooth-Adapter</t>
  </si>
  <si>
    <t>http://www.distrelec.ch/en/c/cat-DD-17177</t>
  </si>
  <si>
    <t>13_01_DD-20082</t>
  </si>
  <si>
    <t>DD-20082</t>
  </si>
  <si>
    <t>Smartphone/Organiser/Mobile phone accessories</t>
  </si>
  <si>
    <t>Smartphone-/Organizer-/Handy-Zubehör</t>
  </si>
  <si>
    <t>http://www.distrelec.ch/en/c/cat-DD-20082</t>
  </si>
  <si>
    <t>13_01_DD-25216</t>
  </si>
  <si>
    <t>DD-25216</t>
  </si>
  <si>
    <t>GPS for PDAs/Notebooks</t>
  </si>
  <si>
    <t>GPS für PDA/Notebooks</t>
  </si>
  <si>
    <t>http://www.distrelec.ch/en/c/cat-DD-25216</t>
  </si>
  <si>
    <t>13_01_DD-25255</t>
  </si>
  <si>
    <t>DD-25255</t>
  </si>
  <si>
    <t>GPS maps</t>
  </si>
  <si>
    <t>GPS-Karten</t>
  </si>
  <si>
    <t>http://www.distrelec.ch/en/c/cat-DD-25255</t>
  </si>
  <si>
    <t>13_01_DD-4551</t>
  </si>
  <si>
    <t>DD-4551</t>
  </si>
  <si>
    <t>Laptop accessories</t>
  </si>
  <si>
    <t>Notebook Optionen</t>
  </si>
  <si>
    <t>http://www.distrelec.ch/en/c/cat-DD-4551</t>
  </si>
  <si>
    <t>13_02</t>
  </si>
  <si>
    <t>Drucker und Kopierer</t>
  </si>
  <si>
    <t>13_02_11973</t>
  </si>
  <si>
    <t>Printer accessories</t>
  </si>
  <si>
    <t>Druckerzubehör</t>
  </si>
  <si>
    <t>http://www.distrelec.ch/en/c/cat-11973</t>
  </si>
  <si>
    <t>13_02_159991</t>
  </si>
  <si>
    <t>Printers</t>
  </si>
  <si>
    <t>Drucker</t>
  </si>
  <si>
    <t>http://www.distrelec.ch/en/c/cat-159991</t>
  </si>
  <si>
    <t>13_02_171014</t>
  </si>
  <si>
    <t>Multifunction printer</t>
  </si>
  <si>
    <t>Drucker Multifunktion</t>
  </si>
  <si>
    <t>http://www.distrelec.ch/en/c/cat-171014</t>
  </si>
  <si>
    <t>13_02_DD-19617</t>
  </si>
  <si>
    <t>DD-19617</t>
  </si>
  <si>
    <t>Dot-matrix printer</t>
  </si>
  <si>
    <t>Nadeldrucker</t>
  </si>
  <si>
    <t>http://www.distrelec.ch/en/c/cat-DD-19617</t>
  </si>
  <si>
    <t>13_02_DD-19618</t>
  </si>
  <si>
    <t>DD-19618</t>
  </si>
  <si>
    <t>Disc Burner/Printers</t>
  </si>
  <si>
    <t>Druckroboter</t>
  </si>
  <si>
    <t>http://www.distrelec.ch/en/c/cat-DD-19618</t>
  </si>
  <si>
    <t>13_03</t>
  </si>
  <si>
    <t>13_03_12081</t>
  </si>
  <si>
    <t>Keyboards</t>
  </si>
  <si>
    <t>Tastaturen</t>
  </si>
  <si>
    <t>http://www.distrelec.ch/en/c/cat-12081</t>
  </si>
  <si>
    <t>13_03_12085</t>
  </si>
  <si>
    <t>Joysticks and Gamepads</t>
  </si>
  <si>
    <t>Joysticks und Gamepads</t>
  </si>
  <si>
    <t>http://www.distrelec.ch/en/c/cat-12085</t>
  </si>
  <si>
    <t>13_03_12087</t>
  </si>
  <si>
    <t>Document readers</t>
  </si>
  <si>
    <t>Belegleser</t>
  </si>
  <si>
    <t>http://www.distrelec.ch/en/c/cat-12087</t>
  </si>
  <si>
    <t>13_03_12089</t>
  </si>
  <si>
    <t>Barcode Scanners and Imagers</t>
  </si>
  <si>
    <t>Barcode Scanner und Imager</t>
  </si>
  <si>
    <t>http://www.distrelec.ch/en/c/cat-12089</t>
  </si>
  <si>
    <t>13_03_12091</t>
  </si>
  <si>
    <t>Disk drives</t>
  </si>
  <si>
    <t>Diskettenlaufwerke</t>
  </si>
  <si>
    <t>http://www.distrelec.ch/en/c/cat-12091</t>
  </si>
  <si>
    <t>13_03_12093</t>
  </si>
  <si>
    <t>Backup hard disk drives</t>
  </si>
  <si>
    <t>Backup Festplattenlaufwerke</t>
  </si>
  <si>
    <t>http://www.distrelec.ch/en/c/cat-12093</t>
  </si>
  <si>
    <t>13_03_12095</t>
  </si>
  <si>
    <t>Peripheral accessories</t>
  </si>
  <si>
    <t>Zubehör Peripherie</t>
  </si>
  <si>
    <t>http://www.distrelec.ch/en/c/cat-12095</t>
  </si>
  <si>
    <t>13_03_DD-5305</t>
  </si>
  <si>
    <t>DD-5305</t>
  </si>
  <si>
    <t>Monitors</t>
  </si>
  <si>
    <t>TFT Bildschirme</t>
  </si>
  <si>
    <t>http://www.distrelec.ch/en/c/cat-DD-5305</t>
  </si>
  <si>
    <t>13_03_DD-5336</t>
  </si>
  <si>
    <t>DD-5336</t>
  </si>
  <si>
    <t>PC card drives</t>
  </si>
  <si>
    <t>PC-Card-Laufwerke</t>
  </si>
  <si>
    <t>http://www.distrelec.ch/en/c/cat-DD-5336</t>
  </si>
  <si>
    <t>13_03_DD-5378</t>
  </si>
  <si>
    <t>DD-5378</t>
  </si>
  <si>
    <t>Scanners</t>
  </si>
  <si>
    <t>Scanner</t>
  </si>
  <si>
    <t>http://www.distrelec.ch/en/c/cat-DD-5378</t>
  </si>
  <si>
    <t>13_03_DD-5392</t>
  </si>
  <si>
    <t>DD-5392</t>
  </si>
  <si>
    <t>Pen tablets</t>
  </si>
  <si>
    <t>Stifttabletts</t>
  </si>
  <si>
    <t>http://www.distrelec.ch/en/c/cat-DD-5392</t>
  </si>
  <si>
    <t>13_03_DD-5397</t>
  </si>
  <si>
    <t>DD-5397</t>
  </si>
  <si>
    <t>Mice</t>
  </si>
  <si>
    <t>Mäuse</t>
  </si>
  <si>
    <t>http://www.distrelec.ch/en/c/cat-DD-5397</t>
  </si>
  <si>
    <t>13_03_DD-9468</t>
  </si>
  <si>
    <t>DD-9468</t>
  </si>
  <si>
    <t>Optical disc drives Burner</t>
  </si>
  <si>
    <t>Optische Laufwerke, Brenner</t>
  </si>
  <si>
    <t>http://www.distrelec.ch/en/c/cat-DD-9468</t>
  </si>
  <si>
    <t>13_04</t>
  </si>
  <si>
    <t>13_04_12274</t>
  </si>
  <si>
    <t>Projectors</t>
  </si>
  <si>
    <t>Projektoren / Beamer</t>
  </si>
  <si>
    <t>http://www.distrelec.ch/en/c/cat-12274</t>
  </si>
  <si>
    <t>13_04_12288</t>
  </si>
  <si>
    <t>Presenters</t>
  </si>
  <si>
    <t>Präsentation</t>
  </si>
  <si>
    <t>http://www.distrelec.ch/en/c/cat-12288</t>
  </si>
  <si>
    <t>13_04_12294</t>
  </si>
  <si>
    <t>Projection screens</t>
  </si>
  <si>
    <t>Projektionswände</t>
  </si>
  <si>
    <t>http://www.distrelec.ch/en/c/cat-12294</t>
  </si>
  <si>
    <t>13_04_12297</t>
  </si>
  <si>
    <t>Digital cameras</t>
  </si>
  <si>
    <t>Digitalkameras</t>
  </si>
  <si>
    <t>http://www.distrelec.ch/en/c/cat-12297</t>
  </si>
  <si>
    <t>13_04_12340</t>
  </si>
  <si>
    <t>Digital camera cases</t>
  </si>
  <si>
    <t>Digitalkamera-Taschen</t>
  </si>
  <si>
    <t>http://www.distrelec.ch/en/c/cat-12340</t>
  </si>
  <si>
    <t>13_04_12344</t>
  </si>
  <si>
    <t>Digital camera accessories</t>
  </si>
  <si>
    <t>Digitalkamera Zubehör</t>
  </si>
  <si>
    <t>http://www.distrelec.ch/en/c/cat-12344</t>
  </si>
  <si>
    <t>13_04_12347</t>
  </si>
  <si>
    <t>http://www.distrelec.ch/en/c/cat-12347</t>
  </si>
  <si>
    <t>13_04_12360</t>
  </si>
  <si>
    <t>Multimedia Home</t>
  </si>
  <si>
    <t>http://www.distrelec.ch/en/c/cat-12360</t>
  </si>
  <si>
    <t>13_04_12363</t>
  </si>
  <si>
    <t>Television / Public displays</t>
  </si>
  <si>
    <t>TV-Geräte / Public Displays</t>
  </si>
  <si>
    <t>http://www.distrelec.ch/en/c/cat-12363</t>
  </si>
  <si>
    <t>13_04_12369</t>
  </si>
  <si>
    <t>Multimedia center</t>
  </si>
  <si>
    <t>Multimedia-Center</t>
  </si>
  <si>
    <t>http://www.distrelec.ch/en/c/cat-12369</t>
  </si>
  <si>
    <t>13_04_12372</t>
  </si>
  <si>
    <t>MP3/Multimedia players</t>
  </si>
  <si>
    <t>MP3-/Multimedia-Player</t>
  </si>
  <si>
    <t>http://www.distrelec.ch/en/c/cat-12372</t>
  </si>
  <si>
    <t>13_04_207561</t>
  </si>
  <si>
    <t>Replacement bulbs for projectors</t>
  </si>
  <si>
    <t>Projektor Ersatzlampen</t>
  </si>
  <si>
    <t>http://www.distrelec.ch/en/c/cat-207561</t>
  </si>
  <si>
    <t>13_04_218688</t>
  </si>
  <si>
    <t>Radio</t>
  </si>
  <si>
    <t>Radios</t>
  </si>
  <si>
    <t>http://www.distrelec.ch/en/c/cat-218688</t>
  </si>
  <si>
    <t>13_04_283005</t>
  </si>
  <si>
    <t>Sound cards</t>
  </si>
  <si>
    <t>Soundkarten</t>
  </si>
  <si>
    <t>http://www.distrelec.ch/en/c/cat-283005</t>
  </si>
  <si>
    <t>13_04_283013</t>
  </si>
  <si>
    <t>Portable speakers</t>
  </si>
  <si>
    <t>Portable Lautsprecher</t>
  </si>
  <si>
    <t>http://www.distrelec.ch/en/c/cat-283013</t>
  </si>
  <si>
    <t>13_04_33211</t>
  </si>
  <si>
    <t>Slide scanners</t>
  </si>
  <si>
    <t>Diascanner</t>
  </si>
  <si>
    <t>http://www.distrelec.ch/en/c/cat-33211</t>
  </si>
  <si>
    <t>13_04_632296</t>
  </si>
  <si>
    <t>Camera Stand</t>
  </si>
  <si>
    <t>Kamerastative</t>
  </si>
  <si>
    <t>http://www.distrelec.ch/en/c/cat-632296</t>
  </si>
  <si>
    <t>13_04_632369</t>
  </si>
  <si>
    <t>Bags &amp; Straps</t>
  </si>
  <si>
    <t>Taschen und Tragegurte</t>
  </si>
  <si>
    <t>http://www.distrelec.ch/en/c/cat-632369</t>
  </si>
  <si>
    <t>13_04_632370</t>
  </si>
  <si>
    <t>Filters</t>
  </si>
  <si>
    <t>Filter</t>
  </si>
  <si>
    <t>http://www.distrelec.ch/en/c/cat-632370</t>
  </si>
  <si>
    <t>13_04_632371</t>
  </si>
  <si>
    <t>Optics Binoculars</t>
  </si>
  <si>
    <t>Ferngläser</t>
  </si>
  <si>
    <t>http://www.distrelec.ch/en/c/cat-632371</t>
  </si>
  <si>
    <t>13_04_632372</t>
  </si>
  <si>
    <t>Objective Lenses</t>
  </si>
  <si>
    <t>Objektivlinsen</t>
  </si>
  <si>
    <t>http://www.distrelec.ch/en/c/cat-632372</t>
  </si>
  <si>
    <t>13_04_632373</t>
  </si>
  <si>
    <t>Reinigung</t>
  </si>
  <si>
    <t>http://www.distrelec.ch/en/c/cat-632373</t>
  </si>
  <si>
    <t>13_04_632374</t>
  </si>
  <si>
    <t>Studio</t>
  </si>
  <si>
    <t>http://www.distrelec.ch/en/c/cat-632374</t>
  </si>
  <si>
    <t>13_04_632375</t>
  </si>
  <si>
    <t>Beleuchtung</t>
  </si>
  <si>
    <t>http://www.distrelec.ch/en/c/cat-632375</t>
  </si>
  <si>
    <t>13_04_632376</t>
  </si>
  <si>
    <t>Chargers and Batteries</t>
  </si>
  <si>
    <t>Batterien und Ladegeräte</t>
  </si>
  <si>
    <t>http://www.distrelec.ch/en/c/cat-632376</t>
  </si>
  <si>
    <t>13_04_634884</t>
  </si>
  <si>
    <t>Portable DVD player</t>
  </si>
  <si>
    <t>Portable DVD-Player</t>
  </si>
  <si>
    <t>http://www.distrelec.ch/en/c/cat-634884</t>
  </si>
  <si>
    <t>13_04_DD-13937</t>
  </si>
  <si>
    <t>DD-13937</t>
  </si>
  <si>
    <t>Digital video cameras</t>
  </si>
  <si>
    <t>Digitale Videokameras</t>
  </si>
  <si>
    <t>http://www.distrelec.ch/en/c/cat-DD-13937</t>
  </si>
  <si>
    <t>13_04_DD-22846</t>
  </si>
  <si>
    <t>DD-22846</t>
  </si>
  <si>
    <t>Actioncam</t>
  </si>
  <si>
    <t>http://www.distrelec.ch/en/c/cat-DD-22846</t>
  </si>
  <si>
    <t>13_04_DD-4430</t>
  </si>
  <si>
    <t>DD-4430</t>
  </si>
  <si>
    <t>WebCams</t>
  </si>
  <si>
    <t>http://www.distrelec.ch/en/c/cat-DD-4430</t>
  </si>
  <si>
    <t>13_04_DD-4439</t>
  </si>
  <si>
    <t>DD-4439</t>
  </si>
  <si>
    <t>Video interfaces</t>
  </si>
  <si>
    <t>Video-Schnittsysteme</t>
  </si>
  <si>
    <t>http://www.distrelec.ch/en/c/cat-DD-4439</t>
  </si>
  <si>
    <t>13_04_DD-4449</t>
  </si>
  <si>
    <t>DD-4449</t>
  </si>
  <si>
    <t>DVB Adapter</t>
  </si>
  <si>
    <t>http://www.distrelec.ch/en/c/cat-DD-4449</t>
  </si>
  <si>
    <t>13_04_DD-4454</t>
  </si>
  <si>
    <t>DD-4454</t>
  </si>
  <si>
    <t>Video cards</t>
  </si>
  <si>
    <t>Grafikkarten</t>
  </si>
  <si>
    <t>http://www.distrelec.ch/en/c/cat-DD-4454</t>
  </si>
  <si>
    <t>13_04_DD-4469</t>
  </si>
  <si>
    <t>DD-4469</t>
  </si>
  <si>
    <t>VGA-TV converters/switching boxes</t>
  </si>
  <si>
    <t>VGA-TV Konverter/Umschaltboxen</t>
  </si>
  <si>
    <t>http://www.distrelec.ch/en/c/cat-DD-4469</t>
  </si>
  <si>
    <t>13_04_DD-4481</t>
  </si>
  <si>
    <t>DD-4481</t>
  </si>
  <si>
    <t>Sound systems</t>
  </si>
  <si>
    <t>Musik Equipment</t>
  </si>
  <si>
    <t>http://www.distrelec.ch/en/c/cat-DD-4481</t>
  </si>
  <si>
    <t>13_04_DD-4494</t>
  </si>
  <si>
    <t>DD-4494</t>
  </si>
  <si>
    <t>PC Loudspeakers</t>
  </si>
  <si>
    <t>PC Lautsprecher</t>
  </si>
  <si>
    <t>http://www.distrelec.ch/en/c/cat-DD-4494</t>
  </si>
  <si>
    <t>13_05</t>
  </si>
  <si>
    <t>13_05_11840</t>
  </si>
  <si>
    <t>Memory modules</t>
  </si>
  <si>
    <t>Speichermodule</t>
  </si>
  <si>
    <t>http://www.distrelec.ch/en/c/cat-11840</t>
  </si>
  <si>
    <t>1 125</t>
  </si>
  <si>
    <t>13_05_11843</t>
  </si>
  <si>
    <t>PC Power Supply Units</t>
  </si>
  <si>
    <t>PC-Netzteile</t>
  </si>
  <si>
    <t>http://www.distrelec.ch/en/c/cat-11843</t>
  </si>
  <si>
    <t>13_05_11847</t>
  </si>
  <si>
    <t>Coolers</t>
  </si>
  <si>
    <t>http://www.distrelec.ch/en/c/cat-11847</t>
  </si>
  <si>
    <t>13_05_11890</t>
  </si>
  <si>
    <t>SCSI &amp; SAS controllers</t>
  </si>
  <si>
    <t>Controller SCSI &amp; SAS</t>
  </si>
  <si>
    <t>http://www.distrelec.ch/en/c/cat-11890</t>
  </si>
  <si>
    <t>13_05_12001</t>
  </si>
  <si>
    <t>ATA &amp; SATA controllers</t>
  </si>
  <si>
    <t>Controller ATA &amp; SATA</t>
  </si>
  <si>
    <t>http://www.distrelec.ch/en/c/cat-12001</t>
  </si>
  <si>
    <t>13_05_12006</t>
  </si>
  <si>
    <t>Serial/parallel interface cards</t>
  </si>
  <si>
    <t>Schnittstellen-Karten seriell/parallel</t>
  </si>
  <si>
    <t>http://www.distrelec.ch/en/c/cat-12006</t>
  </si>
  <si>
    <t>13_05_12009</t>
  </si>
  <si>
    <t>USB/FireWire interface cards</t>
  </si>
  <si>
    <t>Schnittstellen-Karten USB/FireWire</t>
  </si>
  <si>
    <t>http://www.distrelec.ch/en/c/cat-12009</t>
  </si>
  <si>
    <t>13_05_12012</t>
  </si>
  <si>
    <t>PC cases</t>
  </si>
  <si>
    <t>PC-Gehäuse</t>
  </si>
  <si>
    <t>http://www.distrelec.ch/en/c/cat-12012</t>
  </si>
  <si>
    <t>13_05_12014</t>
  </si>
  <si>
    <t>Hard disk enclosures</t>
  </si>
  <si>
    <t>Harddisk-Gehäuse</t>
  </si>
  <si>
    <t>http://www.distrelec.ch/en/c/cat-12014</t>
  </si>
  <si>
    <t>13_05_12021</t>
  </si>
  <si>
    <t>Hard disc - mobile racks</t>
  </si>
  <si>
    <t>Harddisk-Einschubgehäuse und Docking Stations</t>
  </si>
  <si>
    <t>http://www.distrelec.ch/en/c/cat-12021</t>
  </si>
  <si>
    <t>13_05_12024</t>
  </si>
  <si>
    <t>Connecting panels</t>
  </si>
  <si>
    <t>Anschluss-Panel</t>
  </si>
  <si>
    <t>http://www.distrelec.ch/en/c/cat-12024</t>
  </si>
  <si>
    <t>13_05_12027</t>
  </si>
  <si>
    <t>http://www.distrelec.ch/en/c/cat-12027</t>
  </si>
  <si>
    <t>13_05_343865</t>
  </si>
  <si>
    <t>Axial Fans for Computers</t>
  </si>
  <si>
    <t>Axiallüfter für Rechner</t>
  </si>
  <si>
    <t>http://www.distrelec.ch/en/c/cat-343865</t>
  </si>
  <si>
    <t>13_05_DD-2276</t>
  </si>
  <si>
    <t>DD-2276</t>
  </si>
  <si>
    <t>http://www.distrelec.ch/en/c/cat-DD-2276</t>
  </si>
  <si>
    <t>13_05_DD-2280</t>
  </si>
  <si>
    <t>DD-2280</t>
  </si>
  <si>
    <t>Motherboards</t>
  </si>
  <si>
    <t>Mainboard</t>
  </si>
  <si>
    <t>http://www.distrelec.ch/en/c/cat-DD-2280</t>
  </si>
  <si>
    <t>13_06</t>
  </si>
  <si>
    <t>Software &amp; Lizenzen</t>
  </si>
  <si>
    <t>13_06_171425</t>
  </si>
  <si>
    <t>Adobe</t>
  </si>
  <si>
    <t>http://www.distrelec.ch/en/c/cat-171425</t>
  </si>
  <si>
    <t>13_06_171426</t>
  </si>
  <si>
    <t>Autodesk</t>
  </si>
  <si>
    <t>http://www.distrelec.ch/en/c/cat-171426</t>
  </si>
  <si>
    <t>13_06_171427</t>
  </si>
  <si>
    <t>Corel</t>
  </si>
  <si>
    <t>http://www.distrelec.ch/en/c/cat-171427</t>
  </si>
  <si>
    <t>Empty productline - can hybris filter this?</t>
  </si>
  <si>
    <t>Same final category final url as 13_06</t>
  </si>
  <si>
    <t>13_06_171428</t>
  </si>
  <si>
    <t>Filemaker</t>
  </si>
  <si>
    <t>http://www.distrelec.ch/en/c/cat-171428</t>
  </si>
  <si>
    <t>13_06_171429</t>
  </si>
  <si>
    <t>McAfee</t>
  </si>
  <si>
    <t>http://www.distrelec.ch/en/c/cat-171429</t>
  </si>
  <si>
    <t>13_06_171430</t>
  </si>
  <si>
    <t>Microsoft</t>
  </si>
  <si>
    <t>http://www.distrelec.ch/en/c/cat-171430</t>
  </si>
  <si>
    <t>13_06_171431</t>
  </si>
  <si>
    <t>Norman</t>
  </si>
  <si>
    <t>http://www.distrelec.ch/en/c/cat-171431</t>
  </si>
  <si>
    <t>13_06_171432</t>
  </si>
  <si>
    <t>Symantec</t>
  </si>
  <si>
    <t>http://www.distrelec.ch/en/c/cat-171432</t>
  </si>
  <si>
    <t>13_06_171433</t>
  </si>
  <si>
    <t>Kaspersky</t>
  </si>
  <si>
    <t>http://www.distrelec.ch/en/c/cat-171433</t>
  </si>
  <si>
    <t>13_06_171434</t>
  </si>
  <si>
    <t>Nuance</t>
  </si>
  <si>
    <t>http://www.distrelec.ch/en/c/cat-171434</t>
  </si>
  <si>
    <t>13_06_171435</t>
  </si>
  <si>
    <t>Quark</t>
  </si>
  <si>
    <t>http://www.distrelec.ch/en/c/cat-171435</t>
  </si>
  <si>
    <t>13_06_171436</t>
  </si>
  <si>
    <t>Linux</t>
  </si>
  <si>
    <t>http://www.distrelec.ch/en/c/cat-171436</t>
  </si>
  <si>
    <t>13_06_171437</t>
  </si>
  <si>
    <t>Acronis</t>
  </si>
  <si>
    <t>http://www.distrelec.ch/en/c/cat-171437</t>
  </si>
  <si>
    <t>13_06_171438</t>
  </si>
  <si>
    <t>Nero</t>
  </si>
  <si>
    <t>http://www.distrelec.ch/en/c/cat-171438</t>
  </si>
  <si>
    <t>13_06_171439</t>
  </si>
  <si>
    <t>Roxio</t>
  </si>
  <si>
    <t>http://www.distrelec.ch/en/c/cat-171439</t>
  </si>
  <si>
    <t>13_06_171440</t>
  </si>
  <si>
    <t>Abby</t>
  </si>
  <si>
    <t>http://www.distrelec.ch/en/c/cat-171440</t>
  </si>
  <si>
    <t>13_06_171441</t>
  </si>
  <si>
    <t>Data Becker</t>
  </si>
  <si>
    <t>http://www.distrelec.ch/en/c/cat-171441</t>
  </si>
  <si>
    <t>13_06_171442</t>
  </si>
  <si>
    <t>Sage</t>
  </si>
  <si>
    <t>http://www.distrelec.ch/en/c/cat-171442</t>
  </si>
  <si>
    <t>13_06_171443</t>
  </si>
  <si>
    <t>Twix</t>
  </si>
  <si>
    <t>http://www.distrelec.ch/en/c/cat-171443</t>
  </si>
  <si>
    <t>13_06_171445</t>
  </si>
  <si>
    <t>Zweckform</t>
  </si>
  <si>
    <t>http://www.distrelec.ch/en/c/cat-171445</t>
  </si>
  <si>
    <t>13_06_171446</t>
  </si>
  <si>
    <t>Embarcadero</t>
  </si>
  <si>
    <t>http://www.distrelec.ch/en/c/cat-171446</t>
  </si>
  <si>
    <t>13_06_582477</t>
  </si>
  <si>
    <t>Crealogix</t>
  </si>
  <si>
    <t>http://www.distrelec.ch/en/c/cat-582477</t>
  </si>
  <si>
    <t>13_07</t>
  </si>
  <si>
    <t>Datenträger</t>
  </si>
  <si>
    <t>13_07_12052</t>
  </si>
  <si>
    <t>Drive cleaning products</t>
  </si>
  <si>
    <t>Laufwerk-Reinigungsprodukte</t>
  </si>
  <si>
    <t>http://www.distrelec.ch/en/c/cat-12052</t>
  </si>
  <si>
    <t>13_07_12118</t>
  </si>
  <si>
    <t>Adapters &amp; protection boxes</t>
  </si>
  <si>
    <t>Adapter &amp; Schutzboxen</t>
  </si>
  <si>
    <t>http://www.distrelec.ch/en/c/cat-12118</t>
  </si>
  <si>
    <t>13_07_212190</t>
  </si>
  <si>
    <t>Solid State Drives (SSD)</t>
  </si>
  <si>
    <t>http://www.distrelec.ch/en/c/cat-212190</t>
  </si>
  <si>
    <t>13_07_DD-10747</t>
  </si>
  <si>
    <t>DD-10747</t>
  </si>
  <si>
    <t>External hard disk drives</t>
  </si>
  <si>
    <t>Externe Festplatten</t>
  </si>
  <si>
    <t>http://www.distrelec.ch/en/c/cat-DD-10747</t>
  </si>
  <si>
    <t>13_07_DD-16487</t>
  </si>
  <si>
    <t>DD-16487</t>
  </si>
  <si>
    <t>USB memory</t>
  </si>
  <si>
    <t>USB Speicher</t>
  </si>
  <si>
    <t>http://www.distrelec.ch/en/c/cat-DD-16487</t>
  </si>
  <si>
    <t>13_07_DD-2351</t>
  </si>
  <si>
    <t>DD-2351</t>
  </si>
  <si>
    <t>Hard disks</t>
  </si>
  <si>
    <t>Interne Festplatten</t>
  </si>
  <si>
    <t>http://www.distrelec.ch/en/c/cat-DD-2351</t>
  </si>
  <si>
    <t>13_07_DD-2363</t>
  </si>
  <si>
    <t>DD-2363</t>
  </si>
  <si>
    <t>Memory card</t>
  </si>
  <si>
    <t>Speicherkarten</t>
  </si>
  <si>
    <t>http://www.distrelec.ch/en/c/cat-DD-2363</t>
  </si>
  <si>
    <t>13_07_DD-3863</t>
  </si>
  <si>
    <t>DD-3863</t>
  </si>
  <si>
    <t>Data tapes</t>
  </si>
  <si>
    <t>Data Tapes</t>
  </si>
  <si>
    <t>http://www.distrelec.ch/en/c/cat-DD-3863</t>
  </si>
  <si>
    <t>13_07_DD-3874</t>
  </si>
  <si>
    <t>DD-3874</t>
  </si>
  <si>
    <t>CD / DVD / Blu-ray</t>
  </si>
  <si>
    <t>CD/DVD/Blu-ray</t>
  </si>
  <si>
    <t>http://www.distrelec.ch/en/c/cat-DD-3874</t>
  </si>
  <si>
    <t>13_07_DD-8778</t>
  </si>
  <si>
    <t>DD-8778</t>
  </si>
  <si>
    <t>Disk / diskettes</t>
  </si>
  <si>
    <t>Disc/Disketten</t>
  </si>
  <si>
    <t>http://www.distrelec.ch/en/c/cat-DD-8778</t>
  </si>
  <si>
    <t>13_08</t>
  </si>
  <si>
    <t>Verbrauchsmaterial</t>
  </si>
  <si>
    <t>13_08_11851</t>
  </si>
  <si>
    <t>Ink cartridges, original</t>
  </si>
  <si>
    <t>Tinte Original</t>
  </si>
  <si>
    <t>http://www.distrelec.ch/en/c/cat-11851</t>
  </si>
  <si>
    <t>1 174</t>
  </si>
  <si>
    <t>13_08_11880</t>
  </si>
  <si>
    <t>Toner cartridges, original</t>
  </si>
  <si>
    <t>Toner Original</t>
  </si>
  <si>
    <t>http://www.distrelec.ch/en/c/cat-11880</t>
  </si>
  <si>
    <t>1 329</t>
  </si>
  <si>
    <t>13_08_11899</t>
  </si>
  <si>
    <t>Papers</t>
  </si>
  <si>
    <t>Papier</t>
  </si>
  <si>
    <t>http://www.distrelec.ch/en/c/cat-11899</t>
  </si>
  <si>
    <t>13_08_11912</t>
  </si>
  <si>
    <t>Film</t>
  </si>
  <si>
    <t>Folien</t>
  </si>
  <si>
    <t>http://www.distrelec.ch/en/c/cat-11912</t>
  </si>
  <si>
    <t>13_08_11966</t>
  </si>
  <si>
    <t>http://www.distrelec.ch/en/c/cat-11966</t>
  </si>
  <si>
    <t>13_08_11977</t>
  </si>
  <si>
    <t>Ink/paper sets</t>
  </si>
  <si>
    <t>Tinte/Papiersets</t>
  </si>
  <si>
    <t>http://www.distrelec.ch/en/c/cat-11977</t>
  </si>
  <si>
    <t>13_08_11991</t>
  </si>
  <si>
    <t>Paper rolls</t>
  </si>
  <si>
    <t>Rollenpapier</t>
  </si>
  <si>
    <t>http://www.distrelec.ch/en/c/cat-11991</t>
  </si>
  <si>
    <t>13_08_12184</t>
  </si>
  <si>
    <t>Ink cartridges, compatible</t>
  </si>
  <si>
    <t>Tinte Kompatibel</t>
  </si>
  <si>
    <t>http://www.distrelec.ch/en/c/cat-12184</t>
  </si>
  <si>
    <t>13_08_12187</t>
  </si>
  <si>
    <t>Toner cartridges, compatible</t>
  </si>
  <si>
    <t>Toner Kompatibel</t>
  </si>
  <si>
    <t>http://www.distrelec.ch/en/c/cat-12187</t>
  </si>
  <si>
    <t>13_08_12198</t>
  </si>
  <si>
    <t>Transfer films for textile</t>
  </si>
  <si>
    <t>Transferfolie für Textil</t>
  </si>
  <si>
    <t>http://www.distrelec.ch/en/c/cat-12198</t>
  </si>
  <si>
    <t>13_08_12207</t>
  </si>
  <si>
    <t>Paying-in slips</t>
  </si>
  <si>
    <t>Einzahlungsscheine</t>
  </si>
  <si>
    <t>http://www.distrelec.ch/en/c/cat-12207</t>
  </si>
  <si>
    <t>13_08_12211</t>
  </si>
  <si>
    <t>Special labels</t>
  </si>
  <si>
    <t>Spezialetiketten</t>
  </si>
  <si>
    <t>http://www.distrelec.ch/en/c/cat-12211</t>
  </si>
  <si>
    <t>13_08_12381</t>
  </si>
  <si>
    <t>CD/DVD labelling kits</t>
  </si>
  <si>
    <t>CD/DVD Beschriftungs-Sets</t>
  </si>
  <si>
    <t>http://www.distrelec.ch/en/c/cat-12381</t>
  </si>
  <si>
    <t>13_08_12386</t>
  </si>
  <si>
    <t>CD/DVD labels and inlays</t>
  </si>
  <si>
    <t>CD/DVD Etiketten und Einleger</t>
  </si>
  <si>
    <t>http://www.distrelec.ch/en/c/cat-12386</t>
  </si>
  <si>
    <t>13_08_12389</t>
  </si>
  <si>
    <t>Business card</t>
  </si>
  <si>
    <t>Visitenkarten</t>
  </si>
  <si>
    <t>http://www.distrelec.ch/en/c/cat-12389</t>
  </si>
  <si>
    <t>13_08_16737</t>
  </si>
  <si>
    <t>Toner filters</t>
  </si>
  <si>
    <t>Feinstaubfilter für Laserdrucker und Kopierer</t>
  </si>
  <si>
    <t>http://www.distrelec.ch/en/c/cat-16737</t>
  </si>
  <si>
    <t>13_08_19686</t>
  </si>
  <si>
    <t>Ink ribbons</t>
  </si>
  <si>
    <t>Farbbänder</t>
  </si>
  <si>
    <t>http://www.distrelec.ch/en/c/cat-19686</t>
  </si>
  <si>
    <t>13_08_542174</t>
  </si>
  <si>
    <t>Laminating films</t>
  </si>
  <si>
    <t>Laminierfolien</t>
  </si>
  <si>
    <t>http://www.distrelec.ch/en/c/cat-542174</t>
  </si>
  <si>
    <t>13_08_578084</t>
  </si>
  <si>
    <t>Laser printer replacement parts</t>
  </si>
  <si>
    <t>Laserdrucker Ersatzteile</t>
  </si>
  <si>
    <t>http://www.distrelec.ch/en/c/cat-578084</t>
  </si>
  <si>
    <t>13_09</t>
  </si>
  <si>
    <t>Office-Zubehör</t>
  </si>
  <si>
    <t>13_09_11762</t>
  </si>
  <si>
    <t>Labelling machine</t>
  </si>
  <si>
    <t>Beschriftungsgeräte</t>
  </si>
  <si>
    <t>http://www.distrelec.ch/en/c/cat-11762</t>
  </si>
  <si>
    <t>13_09_11764</t>
  </si>
  <si>
    <t>Label printer</t>
  </si>
  <si>
    <t>http://www.distrelec.ch/en/c/cat-11764</t>
  </si>
  <si>
    <t>13_09_11766</t>
  </si>
  <si>
    <t>Labelling machine accessories</t>
  </si>
  <si>
    <t>Beschriftungsgeräte Zubehör</t>
  </si>
  <si>
    <t>http://www.distrelec.ch/en/c/cat-11766</t>
  </si>
  <si>
    <t>13_09_11768</t>
  </si>
  <si>
    <t>Label printer accessories</t>
  </si>
  <si>
    <t>Etikettendrucker-Zubehör</t>
  </si>
  <si>
    <t>http://www.distrelec.ch/en/c/cat-11768</t>
  </si>
  <si>
    <t>13_09_11975</t>
  </si>
  <si>
    <t>Shredders</t>
  </si>
  <si>
    <t>Aktenvernichter</t>
  </si>
  <si>
    <t>http://www.distrelec.ch/en/c/cat-11975</t>
  </si>
  <si>
    <t>13_09_11981</t>
  </si>
  <si>
    <t>Cutting machines</t>
  </si>
  <si>
    <t>Schneidemaschinen</t>
  </si>
  <si>
    <t>http://www.distrelec.ch/en/c/cat-11981</t>
  </si>
  <si>
    <t>13_09_12069</t>
  </si>
  <si>
    <t>Laminators</t>
  </si>
  <si>
    <t>Laminiergeräte</t>
  </si>
  <si>
    <t>http://www.distrelec.ch/en/c/cat-12069</t>
  </si>
  <si>
    <t>13_09_12077</t>
  </si>
  <si>
    <t>Binding machines</t>
  </si>
  <si>
    <t>Bindesysteme</t>
  </si>
  <si>
    <t>http://www.distrelec.ch/en/c/cat-12077</t>
  </si>
  <si>
    <t>13_09_12107</t>
  </si>
  <si>
    <t>Translators</t>
  </si>
  <si>
    <t>Uebersetzer</t>
  </si>
  <si>
    <t>http://www.distrelec.ch/en/c/cat-12107</t>
  </si>
  <si>
    <t>13_09_12159</t>
  </si>
  <si>
    <t>Monitor filters</t>
  </si>
  <si>
    <t>Bildschirmfilter</t>
  </si>
  <si>
    <t>http://www.distrelec.ch/en/c/cat-12159</t>
  </si>
  <si>
    <t>13_09_12162</t>
  </si>
  <si>
    <t>Swivelling arms and brackets</t>
  </si>
  <si>
    <t>Schwenkarme und Halterungen</t>
  </si>
  <si>
    <t>http://www.distrelec.ch/en/c/cat-12162</t>
  </si>
  <si>
    <t>13_09_12181</t>
  </si>
  <si>
    <t>CPU brackets</t>
  </si>
  <si>
    <t>CPU-Ständer</t>
  </si>
  <si>
    <t>http://www.distrelec.ch/en/c/cat-12181</t>
  </si>
  <si>
    <t>13_09_12204</t>
  </si>
  <si>
    <t>Filing and Storage</t>
  </si>
  <si>
    <t>Ablagesysteme</t>
  </si>
  <si>
    <t>http://www.distrelec.ch/en/c/cat-12204</t>
  </si>
  <si>
    <t>13_09_175663</t>
  </si>
  <si>
    <t>Office supplies</t>
  </si>
  <si>
    <t>Bürobedarf</t>
  </si>
  <si>
    <t>http://www.distrelec.ch/en/c/cat-175663</t>
  </si>
  <si>
    <t>13_09_197870</t>
  </si>
  <si>
    <t>Ergonomics</t>
  </si>
  <si>
    <t>Ergonomie</t>
  </si>
  <si>
    <t>http://www.distrelec.ch/en/c/cat-197870</t>
  </si>
  <si>
    <t>13_09_20652</t>
  </si>
  <si>
    <t>Binding machine accessories</t>
  </si>
  <si>
    <t>Bindesystem Zubehör</t>
  </si>
  <si>
    <t>http://www.distrelec.ch/en/c/cat-20652</t>
  </si>
  <si>
    <t>13_09_207280</t>
  </si>
  <si>
    <t>Shredder accessories</t>
  </si>
  <si>
    <t>Aktenvernichter Zubehör</t>
  </si>
  <si>
    <t>http://www.distrelec.ch/en/c/cat-207280</t>
  </si>
  <si>
    <t>13_09_25665</t>
  </si>
  <si>
    <t>Dictaphones</t>
  </si>
  <si>
    <t>Diktiergeräte</t>
  </si>
  <si>
    <t>http://www.distrelec.ch/en/c/cat-25665</t>
  </si>
  <si>
    <t>13_09_26436</t>
  </si>
  <si>
    <t>Air cleaners</t>
  </si>
  <si>
    <t>Luftreiniger</t>
  </si>
  <si>
    <t>http://www.distrelec.ch/en/c/cat-26436</t>
  </si>
  <si>
    <t>13_09_670795</t>
  </si>
  <si>
    <t>Labelling tape</t>
  </si>
  <si>
    <t>http://www.distrelec.ch/en/c/cat-670795</t>
  </si>
  <si>
    <t>13_09_6795</t>
  </si>
  <si>
    <t>Monitor/notebook stands</t>
  </si>
  <si>
    <t>Monitor-/Notebook-Ständer</t>
  </si>
  <si>
    <t>http://www.distrelec.ch/en/c/cat-6795</t>
  </si>
  <si>
    <t>13_09_DD-11985</t>
  </si>
  <si>
    <t>DD-11985</t>
  </si>
  <si>
    <t>CD-R / DVD case and folder</t>
  </si>
  <si>
    <t>CD-R/DVD Etui und Ordner</t>
  </si>
  <si>
    <t>http://www.distrelec.ch/en/c/cat-DD-11985</t>
  </si>
  <si>
    <t>13_09_DD-4002</t>
  </si>
  <si>
    <t>DD-4002</t>
  </si>
  <si>
    <t>Cleaning products</t>
  </si>
  <si>
    <t>http://www.distrelec.ch/en/c/cat-DD-4002</t>
  </si>
  <si>
    <t>13_09_DD-701</t>
  </si>
  <si>
    <t>DD-701</t>
  </si>
  <si>
    <t>PC furniture</t>
  </si>
  <si>
    <t>PC-Möbel</t>
  </si>
  <si>
    <t>http://www.distrelec.ch/en/c/cat-DD-701</t>
  </si>
  <si>
    <t>13_09_DD-726</t>
  </si>
  <si>
    <t>DD-726</t>
  </si>
  <si>
    <t>LAN and server furniture</t>
  </si>
  <si>
    <t>LAN- und Servermöbel</t>
  </si>
  <si>
    <t>http://www.distrelec.ch/en/c/cat-DD-726</t>
  </si>
  <si>
    <t>13_09_DD-751</t>
  </si>
  <si>
    <t>DD-751</t>
  </si>
  <si>
    <t>Mouse pads and wrist rests</t>
  </si>
  <si>
    <t>Mausmatten und Gelenkauflagen</t>
  </si>
  <si>
    <t>http://www.distrelec.ch/en/c/cat-DD-751</t>
  </si>
  <si>
    <t>13_09_DD-7582</t>
  </si>
  <si>
    <t>DD-7582</t>
  </si>
  <si>
    <t>CD/DVD Sleeves and Boxes</t>
  </si>
  <si>
    <t>Versandboxen und CD-Hüllen</t>
  </si>
  <si>
    <t>http://www.distrelec.ch/en/c/cat-DD-7582</t>
  </si>
  <si>
    <t>13_09_DD-764</t>
  </si>
  <si>
    <t>DD-764</t>
  </si>
  <si>
    <t>Pocket Calculators</t>
  </si>
  <si>
    <t>Taschenrechner</t>
  </si>
  <si>
    <t>http://www.distrelec.ch/en/c/cat-DD-764</t>
  </si>
  <si>
    <t>13_09_DD-820</t>
  </si>
  <si>
    <t>DD-820</t>
  </si>
  <si>
    <t>Security Locks</t>
  </si>
  <si>
    <t>Sicherheitsschlösser</t>
  </si>
  <si>
    <t>http://www.distrelec.ch/en/c/cat-DD-820</t>
  </si>
  <si>
    <t>13_10</t>
  </si>
  <si>
    <t>Telekommunikation</t>
  </si>
  <si>
    <t>13_10_12038</t>
  </si>
  <si>
    <t>Conference systems</t>
  </si>
  <si>
    <t>Konferenz-Systeme</t>
  </si>
  <si>
    <t>http://www.distrelec.ch/en/c/cat-12038</t>
  </si>
  <si>
    <t>13_10_12047</t>
  </si>
  <si>
    <t>DECT Cordless Telephones</t>
  </si>
  <si>
    <t>DECT Schnurlos-Telefone</t>
  </si>
  <si>
    <t>http://www.distrelec.ch/en/c/cat-12047</t>
  </si>
  <si>
    <t>13_10_12060</t>
  </si>
  <si>
    <t>http://www.distrelec.ch/en/c/cat-12060</t>
  </si>
  <si>
    <t>13_10_12066</t>
  </si>
  <si>
    <t>Desktop Telephones</t>
  </si>
  <si>
    <t>Tischtelefone</t>
  </si>
  <si>
    <t>http://www.distrelec.ch/en/c/cat-12066</t>
  </si>
  <si>
    <t>13_10_12455</t>
  </si>
  <si>
    <t>Telephone/fax cables</t>
  </si>
  <si>
    <t>Kabel Telefon/Fax</t>
  </si>
  <si>
    <t>http://www.distrelec.ch/en/c/cat-12455</t>
  </si>
  <si>
    <t>13_10_12457</t>
  </si>
  <si>
    <t>Connectors/adapters for telephones/fax machines</t>
  </si>
  <si>
    <t>Stecker/Adapter für Telefon/Fax</t>
  </si>
  <si>
    <t>http://www.distrelec.ch/en/c/cat-12457</t>
  </si>
  <si>
    <t>13_10_12459</t>
  </si>
  <si>
    <t>Outlets and Patch Panels</t>
  </si>
  <si>
    <t>Dosen und Rangierfelder</t>
  </si>
  <si>
    <t>http://www.distrelec.ch/en/c/cat-12459</t>
  </si>
  <si>
    <t>13_10_DD-1353</t>
  </si>
  <si>
    <t>DD-1353</t>
  </si>
  <si>
    <t>Modems</t>
  </si>
  <si>
    <t>Modem</t>
  </si>
  <si>
    <t>http://www.distrelec.ch/en/c/cat-DD-1353</t>
  </si>
  <si>
    <t>13_10_DD-1370</t>
  </si>
  <si>
    <t>DD-1370</t>
  </si>
  <si>
    <t>ISDN Terminal Adapter</t>
  </si>
  <si>
    <t>http://www.distrelec.ch/en/c/cat-DD-1370</t>
  </si>
  <si>
    <t>13_10_DD-7681</t>
  </si>
  <si>
    <t>DD-7681</t>
  </si>
  <si>
    <t>Fax Machines</t>
  </si>
  <si>
    <t>Faxgeräte</t>
  </si>
  <si>
    <t>http://www.distrelec.ch/en/c/cat-DD-7681</t>
  </si>
  <si>
    <t>13_10_DD-7683</t>
  </si>
  <si>
    <t>DD-7683</t>
  </si>
  <si>
    <t>Headsets</t>
  </si>
  <si>
    <t>Sprechgarnituren</t>
  </si>
  <si>
    <t>http://www.distrelec.ch/en/c/cat-DD-7683</t>
  </si>
  <si>
    <t>13_11</t>
  </si>
  <si>
    <t>Netzwerkprodukte</t>
  </si>
  <si>
    <t>13_11_12138</t>
  </si>
  <si>
    <t>Video Servers</t>
  </si>
  <si>
    <t>IP-Videoserver (Video-Encoder)</t>
  </si>
  <si>
    <t>http://www.distrelec.ch/en/c/cat-12138</t>
  </si>
  <si>
    <t>13_11_12143</t>
  </si>
  <si>
    <t>Serial Server &amp; I/O Server</t>
  </si>
  <si>
    <t>Serial Device Server / USB Server</t>
  </si>
  <si>
    <t>http://www.distrelec.ch/en/c/cat-12143</t>
  </si>
  <si>
    <t>13_11_12148</t>
  </si>
  <si>
    <t>Converters / PoE</t>
  </si>
  <si>
    <t>Konverter / PoE</t>
  </si>
  <si>
    <t>http://www.distrelec.ch/en/c/cat-12148</t>
  </si>
  <si>
    <t>13_11_12221</t>
  </si>
  <si>
    <t>Accessories / miscellaneous</t>
  </si>
  <si>
    <t>Zubehör / Diverses</t>
  </si>
  <si>
    <t>http://www.distrelec.ch/en/c/cat-12221</t>
  </si>
  <si>
    <t>13_11_12251</t>
  </si>
  <si>
    <t>Switch modules</t>
  </si>
  <si>
    <t>Switch Modules</t>
  </si>
  <si>
    <t>http://www.distrelec.ch/en/c/cat-12251</t>
  </si>
  <si>
    <t>13_11_12277</t>
  </si>
  <si>
    <t>WLAN aerials</t>
  </si>
  <si>
    <t>http://www.distrelec.ch/en/c/cat-12277</t>
  </si>
  <si>
    <t>13_11_558885</t>
  </si>
  <si>
    <t>I/O Server</t>
  </si>
  <si>
    <t>http://www.distrelec.ch/en/c/cat-558885</t>
  </si>
  <si>
    <t>13_11_DD-25785</t>
  </si>
  <si>
    <t>DD-25785</t>
  </si>
  <si>
    <t>Voice-over-IP (VoIP)</t>
  </si>
  <si>
    <t>http://www.distrelec.ch/en/c/cat-DD-25785</t>
  </si>
  <si>
    <t>13_11_DD-25787</t>
  </si>
  <si>
    <t>DD-25787</t>
  </si>
  <si>
    <t>Print server</t>
  </si>
  <si>
    <t>Print Server</t>
  </si>
  <si>
    <t>http://www.distrelec.ch/en/c/cat-DD-25787</t>
  </si>
  <si>
    <t>13_11_DD-26074</t>
  </si>
  <si>
    <t>DD-26074</t>
  </si>
  <si>
    <t>Powerline LAN</t>
  </si>
  <si>
    <t>Powerline</t>
  </si>
  <si>
    <t>http://www.distrelec.ch/en/c/cat-DD-26074</t>
  </si>
  <si>
    <t>13_11_DD-26075</t>
  </si>
  <si>
    <t>DD-26075</t>
  </si>
  <si>
    <t>Firewall / VPN</t>
  </si>
  <si>
    <t>http://www.distrelec.ch/en/c/cat-DD-26075</t>
  </si>
  <si>
    <t>13_11_DD-2814</t>
  </si>
  <si>
    <t>DD-2814</t>
  </si>
  <si>
    <t>Network Interface Cards</t>
  </si>
  <si>
    <t>Netzwerkkarten</t>
  </si>
  <si>
    <t>http://www.distrelec.ch/en/c/cat-DD-2814</t>
  </si>
  <si>
    <t>13_11_DD-2846</t>
  </si>
  <si>
    <t>DD-2846</t>
  </si>
  <si>
    <t>http://www.distrelec.ch/en/c/cat-DD-2846</t>
  </si>
  <si>
    <t>13_11_DD-2875</t>
  </si>
  <si>
    <t>DD-2875</t>
  </si>
  <si>
    <t>Netzwerk-Kameras (IP-Kameras)</t>
  </si>
  <si>
    <t>http://www.distrelec.ch/en/c/cat-DD-2875</t>
  </si>
  <si>
    <t>13_11_DD-2939</t>
  </si>
  <si>
    <t>DD-2939</t>
  </si>
  <si>
    <t>Plugs / Adapters / Outlets / Panels</t>
  </si>
  <si>
    <t>Stecker / Adapter / Dosen / Panel</t>
  </si>
  <si>
    <t>http://www.distrelec.ch/en/c/cat-DD-2939</t>
  </si>
  <si>
    <t>13_11_DD-7679</t>
  </si>
  <si>
    <t>DD-7679</t>
  </si>
  <si>
    <t>Wireless-LAN / Router / DSL</t>
  </si>
  <si>
    <t>http://www.distrelec.ch/en/c/cat-DD-7679</t>
  </si>
  <si>
    <t>13_11_DD-7786</t>
  </si>
  <si>
    <t>DD-7786</t>
  </si>
  <si>
    <t>Storage Server / NAS</t>
  </si>
  <si>
    <t>http://www.distrelec.ch/en/c/cat-DD-7786</t>
  </si>
  <si>
    <t>13_12</t>
  </si>
  <si>
    <t>Datenkommunikation</t>
  </si>
  <si>
    <t>13_12_11893</t>
  </si>
  <si>
    <t>Accessories KVM switches</t>
  </si>
  <si>
    <t>KVM-Switch Zubehör</t>
  </si>
  <si>
    <t>http://www.distrelec.ch/en/c/cat-11893</t>
  </si>
  <si>
    <t>13_12_12156</t>
  </si>
  <si>
    <t>Video switch</t>
  </si>
  <si>
    <t>Video-Switch</t>
  </si>
  <si>
    <t>http://www.distrelec.ch/en/c/cat-12156</t>
  </si>
  <si>
    <t>13_12_12171</t>
  </si>
  <si>
    <t>Extender for video/KVM/USB/RS232</t>
  </si>
  <si>
    <t>Extender für Video / KVM / USB / RS232</t>
  </si>
  <si>
    <t>http://www.distrelec.ch/en/c/cat-12171</t>
  </si>
  <si>
    <t>13_12_12254</t>
  </si>
  <si>
    <t>Converter for USB and video</t>
  </si>
  <si>
    <t>Konverter für USB &amp; Video</t>
  </si>
  <si>
    <t>http://www.distrelec.ch/en/c/cat-12254</t>
  </si>
  <si>
    <t>13_12_12308</t>
  </si>
  <si>
    <t>Accessories/miscellaneous</t>
  </si>
  <si>
    <t>http://www.distrelec.ch/en/c/cat-12308</t>
  </si>
  <si>
    <t>13_12_12312</t>
  </si>
  <si>
    <t>USB and FireWire hubs</t>
  </si>
  <si>
    <t>USB und FireWire-Hubs</t>
  </si>
  <si>
    <t>http://www.distrelec.ch/en/c/cat-12312</t>
  </si>
  <si>
    <t>13_12_162182</t>
  </si>
  <si>
    <t>KVM switches</t>
  </si>
  <si>
    <t>KVM-Switches</t>
  </si>
  <si>
    <t>http://www.distrelec.ch/en/c/cat-162182</t>
  </si>
  <si>
    <t>13_12_163174</t>
  </si>
  <si>
    <t>Memory Duplicators</t>
  </si>
  <si>
    <t>Datenträger-Kopierstationen</t>
  </si>
  <si>
    <t>http://www.distrelec.ch/en/c/cat-163174</t>
  </si>
  <si>
    <t>13_12_DD-1822</t>
  </si>
  <si>
    <t>DD-1822</t>
  </si>
  <si>
    <t>Video distributor</t>
  </si>
  <si>
    <t>Video-Verteiler</t>
  </si>
  <si>
    <t>http://www.distrelec.ch/en/c/cat-DD-1822</t>
  </si>
  <si>
    <t>13_12_DD-1848</t>
  </si>
  <si>
    <t>DD-1848</t>
  </si>
  <si>
    <t>Interface protection system</t>
  </si>
  <si>
    <t>Schnittstellenschutz</t>
  </si>
  <si>
    <t>http://www.distrelec.ch/en/c/cat-DD-1848</t>
  </si>
  <si>
    <t>13_12323</t>
  </si>
  <si>
    <t>Connectors/adapters for PC's</t>
  </si>
  <si>
    <t>Stecker/Adapter für PC</t>
  </si>
  <si>
    <t>http://www.distrelec.ch/en/c/cat-12323</t>
  </si>
  <si>
    <t>13_14</t>
  </si>
  <si>
    <t>Stromversorgung</t>
  </si>
  <si>
    <t>13_14_12269</t>
  </si>
  <si>
    <t>Miscellaneous Power Supplies</t>
  </si>
  <si>
    <t>Diverses Stromversorgung</t>
  </si>
  <si>
    <t>http://www.distrelec.ch/en/c/cat-12269</t>
  </si>
  <si>
    <t>13_14_12506</t>
  </si>
  <si>
    <t>APC accessories</t>
  </si>
  <si>
    <t>Zubehör zu APC Stromversorgung</t>
  </si>
  <si>
    <t>http://www.distrelec.ch/en/c/cat-12506</t>
  </si>
  <si>
    <t>13_14_12508</t>
  </si>
  <si>
    <t>EATON MGE Accessories</t>
  </si>
  <si>
    <t>Zubehör zu EATON MGE Stromversorgung</t>
  </si>
  <si>
    <t>http://www.distrelec.ch/en/c/cat-12508</t>
  </si>
  <si>
    <t>13_14_191924</t>
  </si>
  <si>
    <t>AEG accessories</t>
  </si>
  <si>
    <t>Zubehör zu AEG Stromversorgung</t>
  </si>
  <si>
    <t>http://www.distrelec.ch/en/c/cat-191924</t>
  </si>
  <si>
    <t>13_14_DD-19558</t>
  </si>
  <si>
    <t>DD-19558</t>
  </si>
  <si>
    <t>Mains adapter</t>
  </si>
  <si>
    <t>Netzadapter</t>
  </si>
  <si>
    <t>http://www.distrelec.ch/en/c/cat-DD-19558</t>
  </si>
  <si>
    <t>13_14_DD-22608</t>
  </si>
  <si>
    <t>DD-22608</t>
  </si>
  <si>
    <t>Uninterruptible power supply</t>
  </si>
  <si>
    <t>Stromversorgung USV</t>
  </si>
  <si>
    <t>http://www.distrelec.ch/en/c/cat-DD-22608</t>
  </si>
  <si>
    <t>13_14_DD-22612</t>
  </si>
  <si>
    <t>DD-22612</t>
  </si>
  <si>
    <t>Controllable multiple socket connectors</t>
  </si>
  <si>
    <t>Steuerbare Steckdosenleisten</t>
  </si>
  <si>
    <t>http://www.distrelec.ch/en/c/cat-DD-22612</t>
  </si>
  <si>
    <t>13_14_DD-22613</t>
  </si>
  <si>
    <t>DD-22613</t>
  </si>
  <si>
    <t>Surge suppressors</t>
  </si>
  <si>
    <t>http://www.distrelec.ch/en/c/cat-DD-22613</t>
  </si>
  <si>
    <t>Potentiomètres</t>
  </si>
  <si>
    <t>Potenziometri</t>
  </si>
  <si>
    <t>Potentiometre</t>
  </si>
  <si>
    <t>Potenciometrai</t>
  </si>
  <si>
    <t>Potensiometre</t>
  </si>
  <si>
    <t>Potentiometrar</t>
  </si>
  <si>
    <t>Potentsiomeetrid</t>
  </si>
  <si>
    <t>Potentiometrit</t>
  </si>
  <si>
    <t>Potenciometri</t>
  </si>
  <si>
    <t>Potencjometry</t>
  </si>
  <si>
    <t>Потенциометры</t>
  </si>
  <si>
    <t>Potenciometry</t>
  </si>
  <si>
    <t>Potencióméter</t>
  </si>
  <si>
    <t xml:space="preserve"> Trimmer</t>
  </si>
  <si>
    <t xml:space="preserve"> trimmers</t>
  </si>
  <si>
    <t xml:space="preserve"> Trimmers</t>
  </si>
  <si>
    <t xml:space="preserve"> trimmere</t>
  </si>
  <si>
    <t xml:space="preserve"> paderinamieji rezistoriai</t>
  </si>
  <si>
    <t xml:space="preserve"> trimrar</t>
  </si>
  <si>
    <t xml:space="preserve"> Trimmerid</t>
  </si>
  <si>
    <t xml:space="preserve"> trimmerit</t>
  </si>
  <si>
    <t xml:space="preserve"> trimmeri</t>
  </si>
  <si>
    <t xml:space="preserve"> Potencjometry dostrojcze</t>
  </si>
  <si>
    <t xml:space="preserve"> Триммеры</t>
  </si>
  <si>
    <t xml:space="preserve"> Trimmery</t>
  </si>
  <si>
    <t xml:space="preserve"> trimere</t>
  </si>
  <si>
    <t>xxx</t>
  </si>
  <si>
    <t>Villanyszerelési alkatrészek</t>
  </si>
  <si>
    <t>Alimentatoare</t>
  </si>
  <si>
    <t>Блоки питания</t>
  </si>
  <si>
    <t>Zasilanie</t>
  </si>
  <si>
    <t>Voedingen</t>
  </si>
  <si>
    <t>Barošanas bloki</t>
  </si>
  <si>
    <t>Virtalähteet</t>
  </si>
  <si>
    <t>Toiteplokid</t>
  </si>
  <si>
    <t>Strömförsörjning</t>
  </si>
  <si>
    <t>Strømforsyning</t>
  </si>
  <si>
    <t>Strømforsyninger</t>
  </si>
  <si>
    <t>Alimentatori</t>
  </si>
  <si>
    <t>Alimentations</t>
  </si>
  <si>
    <t>Maitinimo šaltiniai</t>
  </si>
  <si>
    <t>Translation Missing</t>
  </si>
  <si>
    <t>Messtechnik</t>
  </si>
  <si>
    <t>Transistors</t>
  </si>
  <si>
    <t>Installation materials for discrete semiconductors</t>
  </si>
  <si>
    <t>Heat Sinks and Fan Units</t>
  </si>
  <si>
    <t>Intelligent LCD displays and touch panels</t>
  </si>
  <si>
    <t>Trimmer Resistors</t>
  </si>
  <si>
    <t>SMD Fuses</t>
  </si>
  <si>
    <t>Automotive Fuses and Fuse Holders</t>
  </si>
  <si>
    <t>Thermal Fuses</t>
  </si>
  <si>
    <t>Resettable Fuses</t>
  </si>
  <si>
    <t>Appliance Circuit Breakers</t>
  </si>
  <si>
    <t>Coaxial Connectors</t>
  </si>
  <si>
    <t>Push-button Switches / Indicators</t>
  </si>
  <si>
    <t>Technical Books in Italian</t>
  </si>
  <si>
    <t>Telescopic and Linear Motion Slides</t>
  </si>
  <si>
    <t>Power-line Communication</t>
  </si>
  <si>
    <t>Ponts redresseurs</t>
  </si>
  <si>
    <t>Circuits timer et d'oscillateurs</t>
  </si>
  <si>
    <t>Convertisseurs de données</t>
  </si>
  <si>
    <t>Circuits Sample &amp; Hold</t>
  </si>
  <si>
    <t>Circuits de capteur</t>
  </si>
  <si>
    <t>Circuits d'interface</t>
  </si>
  <si>
    <t>Amplificateurs</t>
  </si>
  <si>
    <t>Circuits pilotes</t>
  </si>
  <si>
    <t>Circuits d'asservissement</t>
  </si>
  <si>
    <t>Circuit d'asservissement optique</t>
  </si>
  <si>
    <t>Gestion de l'alimentation</t>
  </si>
  <si>
    <t>Circuits HF</t>
  </si>
  <si>
    <t>Microcontrôleurs</t>
  </si>
  <si>
    <t>Outils de développement</t>
  </si>
  <si>
    <t>Programmateurs</t>
  </si>
  <si>
    <t>Effaceurs d'EPROM</t>
  </si>
  <si>
    <t>Circuits de communication</t>
  </si>
  <si>
    <t>Matériel de montage pour semi-conducteurs discrets</t>
  </si>
  <si>
    <t>Socles test et clips de test</t>
  </si>
  <si>
    <t>Refroidisseurs et appareils de ventilation</t>
  </si>
  <si>
    <t>Pâtes et colles thermoconductrices</t>
  </si>
  <si>
    <t>Peltier et éléments de chauffage</t>
  </si>
  <si>
    <t>LED</t>
  </si>
  <si>
    <t>Histogrammes et affichages LED</t>
  </si>
  <si>
    <t>Affichages matriciels LED</t>
  </si>
  <si>
    <t>Supports pour LED</t>
  </si>
  <si>
    <t>Affichages LCD</t>
  </si>
  <si>
    <t>Affichages LCD avec interface série</t>
  </si>
  <si>
    <t>Affichages LCD intelligents et panneaux tactiles</t>
  </si>
  <si>
    <t>Affichages LCD bistables</t>
  </si>
  <si>
    <t>Affichages TFT</t>
  </si>
  <si>
    <t>Affichages VFD</t>
  </si>
  <si>
    <t>Composants IR</t>
  </si>
  <si>
    <t>Capteurs de lumière</t>
  </si>
  <si>
    <t>Optocoupleur</t>
  </si>
  <si>
    <t>Coupleurs à fourche et réflexion</t>
  </si>
  <si>
    <t>Composants fibre optique</t>
  </si>
  <si>
    <t>Condensateurs électrolytiques aluminium</t>
  </si>
  <si>
    <t>Condensateurs polymère</t>
  </si>
  <si>
    <t>Condensateurs tantale</t>
  </si>
  <si>
    <t>Condensateurs céramiques</t>
  </si>
  <si>
    <t>Condensateurs à film</t>
  </si>
  <si>
    <t>Condensateurs de puissance</t>
  </si>
  <si>
    <t>Condensateurs de déparasitage</t>
  </si>
  <si>
    <t>Assortiments, décades, condensateurs</t>
  </si>
  <si>
    <t>Assortiments, décades, résistances</t>
  </si>
  <si>
    <t>Varistances</t>
  </si>
  <si>
    <t>Parafoudres</t>
  </si>
  <si>
    <t>Résistances CTN (haute température)</t>
  </si>
  <si>
    <t>Résistances PTC (basse température)</t>
  </si>
  <si>
    <t>Résistances à couche et CMS</t>
  </si>
  <si>
    <t>Réseaux de résistances</t>
  </si>
  <si>
    <t>Résistances de précision</t>
  </si>
  <si>
    <t>Résistances bobinées</t>
  </si>
  <si>
    <t>Résistances de détection de courant</t>
  </si>
  <si>
    <t>Potentiomètre</t>
  </si>
  <si>
    <t>Résistances Trimmer</t>
  </si>
  <si>
    <t>Ferrites EMI</t>
  </si>
  <si>
    <t>Assortiments, décades, inducteurs / bobines</t>
  </si>
  <si>
    <t>Inductances / Bobines</t>
  </si>
  <si>
    <t>Filtres antiparasites / Filtres secteur</t>
  </si>
  <si>
    <t>Fusibles</t>
  </si>
  <si>
    <t>Fusible SMD</t>
  </si>
  <si>
    <t>Fusibles et porte-fusibles pour véhicules à moteur</t>
  </si>
  <si>
    <t>Fusibles thermiques</t>
  </si>
  <si>
    <t>Fusibles réarmables</t>
  </si>
  <si>
    <t>Disjoncteur</t>
  </si>
  <si>
    <t>Porte-fusibles</t>
  </si>
  <si>
    <t>Connecteurs rectangulaires</t>
  </si>
  <si>
    <t>Connecteurs coaxiaux</t>
  </si>
  <si>
    <t>Relais pour circuits imprimés</t>
  </si>
  <si>
    <t>Interrupteurs codés / Claviers / Joysticks</t>
  </si>
  <si>
    <t>Interrupteurs rotatifs / Interrupteurs rotatifs et à clé / Encodeurs</t>
  </si>
  <si>
    <t>Boutons-poussoirs pour appareils / Lampes de signalisation</t>
  </si>
  <si>
    <t>Boutons</t>
  </si>
  <si>
    <t>Platines de connexion / Kits</t>
  </si>
  <si>
    <t>Librairie technique</t>
  </si>
  <si>
    <t>Librairie technique en allemand</t>
  </si>
  <si>
    <t>Librairie technique en italien</t>
  </si>
  <si>
    <t>Librairie technique en français</t>
  </si>
  <si>
    <t>Librairie technique en suédois</t>
  </si>
  <si>
    <t>Librairie technique en anglais</t>
  </si>
  <si>
    <t>Alimentations et charges électroniques de laboratoire</t>
  </si>
  <si>
    <t>Capteurs inductifs</t>
  </si>
  <si>
    <t>Capteurs capacitifs</t>
  </si>
  <si>
    <t>Capteurs à ultrasons</t>
  </si>
  <si>
    <t>Courants porteurs en ligne</t>
  </si>
  <si>
    <t>Diodi</t>
  </si>
  <si>
    <t>Raddrizzatori a ponte</t>
  </si>
  <si>
    <t>Transistori</t>
  </si>
  <si>
    <t>Tiristori</t>
  </si>
  <si>
    <t>Circuiti timer e oscillatore</t>
  </si>
  <si>
    <t>Convertitori dati</t>
  </si>
  <si>
    <t>Circuiti Sample and Hold</t>
  </si>
  <si>
    <t>Circuiti di rilevamento</t>
  </si>
  <si>
    <t>Circuiti di interfaccia</t>
  </si>
  <si>
    <t>Amplificatori</t>
  </si>
  <si>
    <t>IC driver</t>
  </si>
  <si>
    <t>Circuiti di comando</t>
  </si>
  <si>
    <t>Circuiti ottici di comando</t>
  </si>
  <si>
    <t>Gestione alimentazione</t>
  </si>
  <si>
    <t>Circuiti HF</t>
  </si>
  <si>
    <t>Microcontroller</t>
  </si>
  <si>
    <t>Tool di sviluppo</t>
  </si>
  <si>
    <t>Programmatori</t>
  </si>
  <si>
    <t>Cancellatori di EPROM</t>
  </si>
  <si>
    <t>Circuiti di comunicazione</t>
  </si>
  <si>
    <t>Materiale di montaggio per semiconduttori discreti</t>
  </si>
  <si>
    <t>Zoccoli di test e clip di test</t>
  </si>
  <si>
    <t>Dissipatori e gruppi di aerazione</t>
  </si>
  <si>
    <t>Paste termoconduttive e adesivi</t>
  </si>
  <si>
    <t>Elementi raffreddanti e riscaldanti</t>
  </si>
  <si>
    <t>Barre e display a LED</t>
  </si>
  <si>
    <t>Display LED a matrice di punti</t>
  </si>
  <si>
    <t>Mezzi ausiliari di montaggio per LED</t>
  </si>
  <si>
    <t>Display LCD</t>
  </si>
  <si>
    <t>Display LCD con interfaccia seriale</t>
  </si>
  <si>
    <t>Display LCD intelligenti e touch panel</t>
  </si>
  <si>
    <t>Display LCD bistabili</t>
  </si>
  <si>
    <t>Display TFT</t>
  </si>
  <si>
    <t>Display VFD</t>
  </si>
  <si>
    <t>Componenti IR</t>
  </si>
  <si>
    <t>Accoppiatore ottico</t>
  </si>
  <si>
    <t>Accoppiatori a forcella e a riflessione</t>
  </si>
  <si>
    <t>Componenti per fibre ottiche</t>
  </si>
  <si>
    <t>Condensatore in alluminio</t>
  </si>
  <si>
    <t>Condensatore polimerici</t>
  </si>
  <si>
    <t>Condensatore al tantalio</t>
  </si>
  <si>
    <t>Condensatori ceramici</t>
  </si>
  <si>
    <t>Condensatori a film</t>
  </si>
  <si>
    <t>Condensatori di potenza</t>
  </si>
  <si>
    <t>Condensatori antiradiodisturbo</t>
  </si>
  <si>
    <t>Assortimenti, decadi, condensatori</t>
  </si>
  <si>
    <t>Assortimenti, decadi, resistenze</t>
  </si>
  <si>
    <t>Varistori</t>
  </si>
  <si>
    <t>Scaricatori di sovratensione</t>
  </si>
  <si>
    <t>Resistenze NTC (alta temperatura)</t>
  </si>
  <si>
    <t>Resistenze PTC (bassa temperatura)</t>
  </si>
  <si>
    <t>Resistenze a film e SMD</t>
  </si>
  <si>
    <t>Reti resistive</t>
  </si>
  <si>
    <t>Resistenze di precisione</t>
  </si>
  <si>
    <t>Resistenze a filo</t>
  </si>
  <si>
    <t>Resistenze rilevatrici di corrente</t>
  </si>
  <si>
    <t>Potenziometro</t>
  </si>
  <si>
    <t>Resistenze trimmer</t>
  </si>
  <si>
    <t>Ferriti</t>
  </si>
  <si>
    <t>Ferriti EMI</t>
  </si>
  <si>
    <t>Assortimenti, decadi, induttori / bobine</t>
  </si>
  <si>
    <t>Induttori / Bobine</t>
  </si>
  <si>
    <t>Filtri antidisturbo / Filtri di rete</t>
  </si>
  <si>
    <t>Fusibili</t>
  </si>
  <si>
    <t>Fusibili SMD</t>
  </si>
  <si>
    <t>Fusibili e portafusibili per veicoli</t>
  </si>
  <si>
    <t>Termofusibili</t>
  </si>
  <si>
    <t>Fusibili resettabili</t>
  </si>
  <si>
    <t>Dispositivo di protezione per apparecchi</t>
  </si>
  <si>
    <t>Portafusibili</t>
  </si>
  <si>
    <t>Connettori rettangolari</t>
  </si>
  <si>
    <t>Connettori coassiali</t>
  </si>
  <si>
    <t>Interruttori di codifica / Tastiere / Joystick</t>
  </si>
  <si>
    <t>Commutatori rotativi / Interruttori con chiave / Codificatori</t>
  </si>
  <si>
    <t>Interruttori a pulsante / Indicatori</t>
  </si>
  <si>
    <t>Manopole</t>
  </si>
  <si>
    <t>Sistemi sperimentali / Kit</t>
  </si>
  <si>
    <t>Pubblicazioni tecniche / di dati</t>
  </si>
  <si>
    <t>Pubblicazioni tecniche in tedesco</t>
  </si>
  <si>
    <t>Pubblicazioni tecniche in italiano</t>
  </si>
  <si>
    <t>Pubblicazioni tecniche in francese</t>
  </si>
  <si>
    <t>Pubblicazioni tecniche in svedese</t>
  </si>
  <si>
    <t>Pubblicazioni tecniche in inglese</t>
  </si>
  <si>
    <t>Alimentatori da laboratorio e carichi elettronici</t>
  </si>
  <si>
    <t>Sensori induttivi</t>
  </si>
  <si>
    <t>Sensori capacitivi</t>
  </si>
  <si>
    <t>Sensori a ultrasuoni</t>
  </si>
  <si>
    <t>Informatizzazione degli edifici</t>
  </si>
  <si>
    <t>Tecnologia per gli edifici</t>
  </si>
  <si>
    <t>Comunicazioni Power-line (su rete elettrica)</t>
  </si>
  <si>
    <t>Elfa Distrelec Online Shop</t>
  </si>
  <si>
    <t>Dioder</t>
  </si>
  <si>
    <t>Ensretterbroer</t>
  </si>
  <si>
    <t>Transistorer</t>
  </si>
  <si>
    <t>Tyristorer</t>
  </si>
  <si>
    <t>Rør</t>
  </si>
  <si>
    <t>Timer- og oscillator-strømkredse</t>
  </si>
  <si>
    <t>Dataomformere</t>
  </si>
  <si>
    <t>Sample &amp; hold-strømkredse</t>
  </si>
  <si>
    <t>Sensorstrømkredse</t>
  </si>
  <si>
    <t>Interface kredse</t>
  </si>
  <si>
    <t>Forstærkere</t>
  </si>
  <si>
    <t>Driver-strømkredse</t>
  </si>
  <si>
    <t>Udløserstrømkredse</t>
  </si>
  <si>
    <t>Optoelektroniske drivere</t>
  </si>
  <si>
    <t>Effektstyring</t>
  </si>
  <si>
    <t>HF-strømkredse</t>
  </si>
  <si>
    <t>Microcontrollere</t>
  </si>
  <si>
    <t>Udviklingsværktøj</t>
  </si>
  <si>
    <t>Programmeringsenheder</t>
  </si>
  <si>
    <t>EPROM-sletteenheder</t>
  </si>
  <si>
    <t>Kommunikations-IC</t>
  </si>
  <si>
    <t>Halvleder Tilbehør</t>
  </si>
  <si>
    <t>Installationsmateriale til diskrete halvledere</t>
  </si>
  <si>
    <t>Testsokler  og testclips</t>
  </si>
  <si>
    <t>Køleelementer og ventilatorer</t>
  </si>
  <si>
    <t>Varmeledende pasta og lim</t>
  </si>
  <si>
    <t>Peltier- og varmeelementer</t>
  </si>
  <si>
    <t>LED'er</t>
  </si>
  <si>
    <t>LED-bjælker og -display</t>
  </si>
  <si>
    <t>LED-punktmatrixdisplay</t>
  </si>
  <si>
    <t>Monteringsmaterialer til dioder</t>
  </si>
  <si>
    <t>LCD-display</t>
  </si>
  <si>
    <t>LCD-display med Seriel Interface</t>
  </si>
  <si>
    <t>Intelligente LCD-displays og touch-paneler (berøringsfølsomme skærme)</t>
  </si>
  <si>
    <t>Bi-stabile LCD-display</t>
  </si>
  <si>
    <t>TFT-display</t>
  </si>
  <si>
    <t>VFD-display</t>
  </si>
  <si>
    <t>Lyssensorer</t>
  </si>
  <si>
    <t>Optokobler</t>
  </si>
  <si>
    <t>Gaffel- og reflekskoblere</t>
  </si>
  <si>
    <t>Optiske fiberkomponenter</t>
  </si>
  <si>
    <t>Aluminiums-elektrolytkondensatorer</t>
  </si>
  <si>
    <t>Polymerkondensatorer</t>
  </si>
  <si>
    <t>Tantalkondensatorer</t>
  </si>
  <si>
    <t>Keramiske kondensatorer</t>
  </si>
  <si>
    <t>Foliekondensatorer</t>
  </si>
  <si>
    <t>Effektkondensatorer</t>
  </si>
  <si>
    <t>Støjdæmpningskondensatorer</t>
  </si>
  <si>
    <t>Sortiment, dekader, kondensatorer</t>
  </si>
  <si>
    <t>Sortiment , deader,modstande</t>
  </si>
  <si>
    <t>Varistorer</t>
  </si>
  <si>
    <t>Overspændingsafledere</t>
  </si>
  <si>
    <t>NTC-modstande (højtemperatur)</t>
  </si>
  <si>
    <t>PTC-modstanden (lavtemperatur)</t>
  </si>
  <si>
    <t>SMD- og filmmodstande</t>
  </si>
  <si>
    <t>Modstandsnetværk</t>
  </si>
  <si>
    <t>Præcisionsmodstande</t>
  </si>
  <si>
    <t>Trådviklede modstande</t>
  </si>
  <si>
    <t>Current Sense modstande</t>
  </si>
  <si>
    <t>Trimmemodstande</t>
  </si>
  <si>
    <t>Ferritter</t>
  </si>
  <si>
    <t>EMI-ferritter</t>
  </si>
  <si>
    <t>Sortiment, dekader, drosselspoler/chokere</t>
  </si>
  <si>
    <t>Induktionsspoler/chokere</t>
  </si>
  <si>
    <t>Støjdæmpningsfiltre/hovedledningsfiltre</t>
  </si>
  <si>
    <t>Sikringer</t>
  </si>
  <si>
    <t>SMD-sikring</t>
  </si>
  <si>
    <t>Bilsikringer og sikringsholdere</t>
  </si>
  <si>
    <t>Termosikring</t>
  </si>
  <si>
    <t>Selvnulstillende sikringer</t>
  </si>
  <si>
    <t>Automatsikringer</t>
  </si>
  <si>
    <t>Sikringsholdere</t>
  </si>
  <si>
    <t>Stik</t>
  </si>
  <si>
    <t>Heavy-duty stik</t>
  </si>
  <si>
    <t>Rektangulære stik ST</t>
  </si>
  <si>
    <t>Koaksialstik</t>
  </si>
  <si>
    <t>Kodeswitche/tastaturer/joystick</t>
  </si>
  <si>
    <t>Drejeafbrydere/nøgleafbrydere/encodere</t>
  </si>
  <si>
    <t>Trykknapafbrydere/indikatorer</t>
  </si>
  <si>
    <t>Knapper</t>
  </si>
  <si>
    <t>Print-designsoftware</t>
  </si>
  <si>
    <t>Prototypetavler/Printfremstilling</t>
  </si>
  <si>
    <t>Prototypebundkort/sæt</t>
  </si>
  <si>
    <t>Tekniske bøger/databøger</t>
  </si>
  <si>
    <t>Tekniske bøger på tysk</t>
  </si>
  <si>
    <t>Tekniske bøger på italiensk</t>
  </si>
  <si>
    <t>Tekniske bøger på fransk</t>
  </si>
  <si>
    <t>Tekniske bøger på svensk</t>
  </si>
  <si>
    <t>Tekniske bøger på engelsk</t>
  </si>
  <si>
    <t>Batterier/opladere/vedvarende energi</t>
  </si>
  <si>
    <t>Laboratoriestrømforsyninger og elektroniske belastninger</t>
  </si>
  <si>
    <t>Elektroniske DC-belastninger</t>
  </si>
  <si>
    <t>Installationstestere</t>
  </si>
  <si>
    <t>HMI-Human Machine Interface</t>
  </si>
  <si>
    <t>Interface convertere</t>
  </si>
  <si>
    <t>Induktive sensorer</t>
  </si>
  <si>
    <t>Kapacitetssensorer</t>
  </si>
  <si>
    <t>Ultralydssensorer</t>
  </si>
  <si>
    <t>Positionsafbrydere</t>
  </si>
  <si>
    <t>Kontrolafbrydere og indikator elementer 22 mm</t>
  </si>
  <si>
    <t>Kabinetter/ventilatorer/Printkort</t>
  </si>
  <si>
    <t>Tilbehør til ventilatorer</t>
  </si>
  <si>
    <t>Tilbehør  til effektdioder</t>
  </si>
  <si>
    <t>SAT/digitale modtagere/antenner</t>
  </si>
  <si>
    <t>Etiketprintere</t>
  </si>
  <si>
    <t>Software &amp; kontorudstyr</t>
  </si>
  <si>
    <t>Ledningsbåret kommunikation</t>
  </si>
  <si>
    <t>Brolikerettere</t>
  </si>
  <si>
    <t>Tidsstyring- og oscillatorkretser</t>
  </si>
  <si>
    <t>Avsøk-og-hold-kretser</t>
  </si>
  <si>
    <t>Sensorkretser</t>
  </si>
  <si>
    <t>Grensesnittkretser</t>
  </si>
  <si>
    <t>Forsterkere</t>
  </si>
  <si>
    <t>Driverkretser</t>
  </si>
  <si>
    <t>Triggerkretser</t>
  </si>
  <si>
    <t>Strømstyring</t>
  </si>
  <si>
    <t>HF-kretser</t>
  </si>
  <si>
    <t>Mikrokontrollere</t>
  </si>
  <si>
    <t>Utviklingsverktøy</t>
  </si>
  <si>
    <t>Programmeringsenheter</t>
  </si>
  <si>
    <t>EPROM-sletteenhet</t>
  </si>
  <si>
    <t>Kommunikasjonskretser</t>
  </si>
  <si>
    <t>Installasjonsmateriell for diskrete halvledere</t>
  </si>
  <si>
    <t>Testsokler og testklemmer</t>
  </si>
  <si>
    <t>Kjølelementer og vifteenheter</t>
  </si>
  <si>
    <t>Lysdiodemoduler</t>
  </si>
  <si>
    <t>LED-punktmatriseskjermer</t>
  </si>
  <si>
    <t>Monteringsmaterialer for LED-er</t>
  </si>
  <si>
    <t>LCD-skjermer</t>
  </si>
  <si>
    <t>LCD-skjermer med serielt grensesnitt</t>
  </si>
  <si>
    <t>Intelligente LCD-skjermer og berøringsskjermer</t>
  </si>
  <si>
    <t>Bistabile LCD-skjermer</t>
  </si>
  <si>
    <t>TFT-skjermer</t>
  </si>
  <si>
    <t>VFD-skjermer</t>
  </si>
  <si>
    <t>IR-komponenter</t>
  </si>
  <si>
    <t>Gaffel- og reflekskoblinger</t>
  </si>
  <si>
    <t>Fiberoptiske komponenter</t>
  </si>
  <si>
    <t>Aluminiumelektrolytter</t>
  </si>
  <si>
    <t>Tantalumkondensatorer</t>
  </si>
  <si>
    <t>Støydempingskondensatorer</t>
  </si>
  <si>
    <t>Sortiment, dekader, motstander</t>
  </si>
  <si>
    <t>Overspenningsavledere</t>
  </si>
  <si>
    <t>NTC-motstander (høy temperatur)</t>
  </si>
  <si>
    <t>PTC-motstander (lav temperatur)</t>
  </si>
  <si>
    <t>Overflatemonterte motstander og filmmotstander</t>
  </si>
  <si>
    <t>Motstandsnettverk</t>
  </si>
  <si>
    <t>Presisjonsmotstander</t>
  </si>
  <si>
    <t>Trådviklede motstander</t>
  </si>
  <si>
    <t>Strømfølermotstander</t>
  </si>
  <si>
    <t>Potensiometer</t>
  </si>
  <si>
    <t>Trimmer-motstander</t>
  </si>
  <si>
    <t>Sortiment, dekader, induktorer/drosler</t>
  </si>
  <si>
    <t>Induktorer/drosler</t>
  </si>
  <si>
    <t>Interferensdempingsfilter/nettfilter</t>
  </si>
  <si>
    <t>SMD-sikringer</t>
  </si>
  <si>
    <t>Temperatursikringer</t>
  </si>
  <si>
    <t>Automatsikring for apparater</t>
  </si>
  <si>
    <t>D-Sub-komponenter</t>
  </si>
  <si>
    <t>Rektangulære kontakter</t>
  </si>
  <si>
    <t>Koaksiale kontakter</t>
  </si>
  <si>
    <t>Kodebrytere/tastaturer/joysticker</t>
  </si>
  <si>
    <t>Dreiebrytere/nøkkelbrytere/kodere</t>
  </si>
  <si>
    <t>Trykknappbrytere/indikatorer</t>
  </si>
  <si>
    <t>Trådløs kommunikasjon</t>
  </si>
  <si>
    <t>Utvidelseskort/sett</t>
  </si>
  <si>
    <t>Tekniske bøker og databøker</t>
  </si>
  <si>
    <t>Tekniske bøker på tysk</t>
  </si>
  <si>
    <t>Tekniske bøker på italiensk</t>
  </si>
  <si>
    <t>Tekniske bøker på fransk</t>
  </si>
  <si>
    <t>Tekniske bøker på svensk</t>
  </si>
  <si>
    <t>Tekniske bøker på engelsk</t>
  </si>
  <si>
    <t>Kapasitive sensorer</t>
  </si>
  <si>
    <t>Ultrasoniske sensorer</t>
  </si>
  <si>
    <t>Powerline-kommunikasjon</t>
  </si>
  <si>
    <t>Likriktarbryggor</t>
  </si>
  <si>
    <t>Rör</t>
  </si>
  <si>
    <t>Timer- och oscillatorkretsar</t>
  </si>
  <si>
    <t>Sample &amp; Hold-kretsar</t>
  </si>
  <si>
    <t>Gränssnittskretsar</t>
  </si>
  <si>
    <t>Drivkretsar</t>
  </si>
  <si>
    <t>Drivkretsar för optoelektronik</t>
  </si>
  <si>
    <t>Ström och effekthantering</t>
  </si>
  <si>
    <t>HF-kretsar</t>
  </si>
  <si>
    <t>Microcontroller-kretsar</t>
  </si>
  <si>
    <t>Utvecklingsverktyg</t>
  </si>
  <si>
    <t>Kommunikationskretsar</t>
  </si>
  <si>
    <t>Lysdioder, LED</t>
  </si>
  <si>
    <t>LED-punktmatrisdisplayer</t>
  </si>
  <si>
    <t>VFD-displayer</t>
  </si>
  <si>
    <t>Optokopplare</t>
  </si>
  <si>
    <t>Fiberoptikkomponenter</t>
  </si>
  <si>
    <t>Aluminiumelektrolyter</t>
  </si>
  <si>
    <t>Keramiska kondensatorer</t>
  </si>
  <si>
    <t>Avstörningskondensatorer</t>
  </si>
  <si>
    <t>Sortiment, dekader, motstånd</t>
  </si>
  <si>
    <t>NTC-motstånd (hög temperatur)</t>
  </si>
  <si>
    <t>PTC-motstånd (låg temperatur)</t>
  </si>
  <si>
    <t>Motståndsnät</t>
  </si>
  <si>
    <t>Precisionsmotstånd</t>
  </si>
  <si>
    <t>Trådlindade motstånd</t>
  </si>
  <si>
    <t>Strömavkänningsmotstånd</t>
  </si>
  <si>
    <t>Potentiometrar, Trimpotentiometrar</t>
  </si>
  <si>
    <t>Trimpotentiometrar</t>
  </si>
  <si>
    <t>Ferriter / Induktanser / Filter</t>
  </si>
  <si>
    <t>Ferritkärnor</t>
  </si>
  <si>
    <t>Sortiment, dekader, induktanser / drosslar</t>
  </si>
  <si>
    <t>Induktanser / Drosslar</t>
  </si>
  <si>
    <t>Avstörningsfilter / Nätfilter</t>
  </si>
  <si>
    <t>Säkringar och automatsäkringar för apparater</t>
  </si>
  <si>
    <t>Säkringar</t>
  </si>
  <si>
    <t>SMD-säkring</t>
  </si>
  <si>
    <t>Fordonssäkringar och säkringshållare</t>
  </si>
  <si>
    <t>Termiska säkringar</t>
  </si>
  <si>
    <t>Återställningsbara säkringar</t>
  </si>
  <si>
    <t>Automatsäkringar</t>
  </si>
  <si>
    <t>Säkringshållare</t>
  </si>
  <si>
    <t>Rektangulära kontaktdon</t>
  </si>
  <si>
    <t>Koaxialkontakter</t>
  </si>
  <si>
    <t>Mikrogapströmställare</t>
  </si>
  <si>
    <t>Kodomkopplare/Tangentbord/Joysticks</t>
  </si>
  <si>
    <t>Vridomkopplare/Nyckelomkopplare/Kodare</t>
  </si>
  <si>
    <t>Trycknappsomkopplare/Indikeringslampor</t>
  </si>
  <si>
    <t>Vred</t>
  </si>
  <si>
    <t>Programvara för kretskortlayout</t>
  </si>
  <si>
    <t>Labkort/kretskortstillverkning</t>
  </si>
  <si>
    <t>Kopplingsdäck och byggsatser</t>
  </si>
  <si>
    <t>Teknik-/Databöcker</t>
  </si>
  <si>
    <t>Teknikböcker på tyska</t>
  </si>
  <si>
    <t>Teknikböcker på italienska</t>
  </si>
  <si>
    <t>Teknikböcker på franska</t>
  </si>
  <si>
    <t>Teknikböcker på svenska</t>
  </si>
  <si>
    <t>Teknikböcker på engelska</t>
  </si>
  <si>
    <t>Laboratorienätaggregat och elektroniska laster</t>
  </si>
  <si>
    <t>Elektroniska DC-laster</t>
  </si>
  <si>
    <t>Laboratoriekontakter och mättillbehör</t>
  </si>
  <si>
    <t>Mätsladdar och testpinnar</t>
  </si>
  <si>
    <t>Effektmätinstrument</t>
  </si>
  <si>
    <t>Panelinstrument</t>
  </si>
  <si>
    <t>Panelinstrument, analoga</t>
  </si>
  <si>
    <t>Panelinstrument, digitala</t>
  </si>
  <si>
    <t>Människa-maskingränssnitt, HMI</t>
  </si>
  <si>
    <t>Processregulatorer</t>
  </si>
  <si>
    <t>Processdisplayer</t>
  </si>
  <si>
    <t>A/S-gränssnitt</t>
  </si>
  <si>
    <t>Induktiva givare</t>
  </si>
  <si>
    <t>Kapacitiva givare</t>
  </si>
  <si>
    <t>Ultraljudsgivare</t>
  </si>
  <si>
    <t>Tungelement/Hallsensorer</t>
  </si>
  <si>
    <t>Rotationsgivare</t>
  </si>
  <si>
    <t>Finsäkringar / Automatsäkringar</t>
  </si>
  <si>
    <t>Inkapslingar/Fläktar/Kretskort</t>
  </si>
  <si>
    <t>Tillbehör till inkapslingar</t>
  </si>
  <si>
    <t>Plast-/Metallådor</t>
  </si>
  <si>
    <t>Tillbehör till fläktar</t>
  </si>
  <si>
    <t>Doseringsutrustning</t>
  </si>
  <si>
    <t>Skruv, plugg och fjädrar</t>
  </si>
  <si>
    <t>Teleskopskenor och linjära rörelsskenor</t>
  </si>
  <si>
    <t>Halvfabrikat</t>
  </si>
  <si>
    <t>Switch/Omvandlare/Nätverksgränssnittskort</t>
  </si>
  <si>
    <t>Elnätskommunikation</t>
  </si>
  <si>
    <t>Plain Old Telephone Service produkter  / Kontorsheadset</t>
  </si>
  <si>
    <t>NAS (Network Attached Storage) /Drive</t>
  </si>
  <si>
    <t>Dioodid</t>
  </si>
  <si>
    <t>Sildalaldid</t>
  </si>
  <si>
    <t>Kõrgsagedus transistorid</t>
  </si>
  <si>
    <t>Türistorid</t>
  </si>
  <si>
    <t>Elektronlambid</t>
  </si>
  <si>
    <t>Taimeri ning ostsillaatori ahelad</t>
  </si>
  <si>
    <t>Data konverterid</t>
  </si>
  <si>
    <t>Sample ja hold ahelad</t>
  </si>
  <si>
    <t>Anduriahelad</t>
  </si>
  <si>
    <t>Liidese ahelad</t>
  </si>
  <si>
    <t>Võimendid</t>
  </si>
  <si>
    <t>Draiveri ahelad</t>
  </si>
  <si>
    <t>Käivitusahelad</t>
  </si>
  <si>
    <t>Optoelektroonika draiverid</t>
  </si>
  <si>
    <t>Energiahaldus</t>
  </si>
  <si>
    <t>HF ahelad</t>
  </si>
  <si>
    <t>Mikrokontrollerid</t>
  </si>
  <si>
    <t>Arendusvahendid</t>
  </si>
  <si>
    <t>Programmeerimisseadmed</t>
  </si>
  <si>
    <t>EPROMi kustutusseadmed</t>
  </si>
  <si>
    <t>Sideahelad</t>
  </si>
  <si>
    <t>Aktiivkomponentide installatsioonimaterjalid</t>
  </si>
  <si>
    <t>Testpesad ja testhaaratsid</t>
  </si>
  <si>
    <t>Radiaatorid ja ventilaatoriplokid</t>
  </si>
  <si>
    <t>Soojust juhtivad segud ja liimid</t>
  </si>
  <si>
    <t>Jahutus ja soojendus elemendid</t>
  </si>
  <si>
    <t>LEDid</t>
  </si>
  <si>
    <t>LED ribad ja ekraanid</t>
  </si>
  <si>
    <t>LED punkt-maatriks ekraanid</t>
  </si>
  <si>
    <t>LEDide paigaldusmaterjalid</t>
  </si>
  <si>
    <t>LCD ekraanid</t>
  </si>
  <si>
    <t>LCD ekraanid järjestikliidesega</t>
  </si>
  <si>
    <t>Intelligentsed LCD ekraanid ja puutepaneelid</t>
  </si>
  <si>
    <t>Bi-stabiilsed LCD ekraanid</t>
  </si>
  <si>
    <t>TFT ekraanid</t>
  </si>
  <si>
    <t>VFD ekraanid</t>
  </si>
  <si>
    <t>Infrapuna komponendid</t>
  </si>
  <si>
    <t>Valgusandurid</t>
  </si>
  <si>
    <t>Optopaarid</t>
  </si>
  <si>
    <t>Hark optopaarid ja peegeldusega optopaarid</t>
  </si>
  <si>
    <t>Laserid</t>
  </si>
  <si>
    <t>Fiiberoptika komponendid</t>
  </si>
  <si>
    <t>Elektrolüütkondensaatorid</t>
  </si>
  <si>
    <t>Keraamilised kondensaatorid</t>
  </si>
  <si>
    <t>Kihtkondensaatorid</t>
  </si>
  <si>
    <t>Jõukondensaatorid</t>
  </si>
  <si>
    <t>Häired mahasuruvad kondensaatorid</t>
  </si>
  <si>
    <t>Kondensaatorite valikkomplektid, dekaadid</t>
  </si>
  <si>
    <t>Takistite valikkomplektid, dekaadid</t>
  </si>
  <si>
    <t>Varistorid</t>
  </si>
  <si>
    <t>Liigpingepiirikud</t>
  </si>
  <si>
    <t>NTC takistid (kõrge temperatuur)</t>
  </si>
  <si>
    <t>PTC takistid (madal temperatuur)</t>
  </si>
  <si>
    <t>SMD ja kihttakistid</t>
  </si>
  <si>
    <t>Takistusmaatriksid</t>
  </si>
  <si>
    <t>Täppistakistid</t>
  </si>
  <si>
    <t>Traattakistid</t>
  </si>
  <si>
    <t>Trimmertakistid</t>
  </si>
  <si>
    <t>Ferriidid</t>
  </si>
  <si>
    <t>EMI ferriidid</t>
  </si>
  <si>
    <t>Induktiivsuste valikkomplektid, dekaadid</t>
  </si>
  <si>
    <t>Induktiivpoolid / Drosselid</t>
  </si>
  <si>
    <t>Häirete summutsfiltrid / toitevõrgu filtrid</t>
  </si>
  <si>
    <t>Sulavkaitsmed</t>
  </si>
  <si>
    <t>SMD sulavkaitsmed</t>
  </si>
  <si>
    <t>Autokaitsmed ja kaitsmehoidjad</t>
  </si>
  <si>
    <t>Termokaitsmed</t>
  </si>
  <si>
    <t>Automaatkaitsmed</t>
  </si>
  <si>
    <t>Elektriseadmete kaitsmed</t>
  </si>
  <si>
    <t>Kaitsmehoidjad</t>
  </si>
  <si>
    <t>Nelinurksed ühendused</t>
  </si>
  <si>
    <t>Koaksiaalkaabli ühendused</t>
  </si>
  <si>
    <t>Kodeerimise lülitid / Sõrmistikud / Juhtkangid</t>
  </si>
  <si>
    <t>Pöördlülitid / Lukklülitid / Koodrid</t>
  </si>
  <si>
    <t>Surulülitid / Indikaatorid</t>
  </si>
  <si>
    <t>Nupud</t>
  </si>
  <si>
    <t>Makettplaadid / Konstruktorid</t>
  </si>
  <si>
    <t>Tehniline kirjandus</t>
  </si>
  <si>
    <t>Saksakeelne tehniline kirjandus</t>
  </si>
  <si>
    <t>Itaaliakeelne tehniline kirjandus</t>
  </si>
  <si>
    <t>Prantsuskeelne tehniline kirjandus</t>
  </si>
  <si>
    <t>Rootsikeelne tehniline kirjandus</t>
  </si>
  <si>
    <t>Ingliskeelne tehniline kirjandus</t>
  </si>
  <si>
    <t>Induktiivandurid</t>
  </si>
  <si>
    <t>Mahtuvuslikud andurid</t>
  </si>
  <si>
    <t>Ultraheliandurid</t>
  </si>
  <si>
    <t>Automaatika loomine</t>
  </si>
  <si>
    <t>Tehnoloogiate loomine</t>
  </si>
  <si>
    <t>Turvalisuse loomine</t>
  </si>
  <si>
    <t>Kauglülitussüsteemid</t>
  </si>
  <si>
    <t>Juhtseadmed</t>
  </si>
  <si>
    <t>LAN elektrivõrgu vahendusel</t>
  </si>
  <si>
    <t>Diodit</t>
  </si>
  <si>
    <t>Tasasuuntaussillat</t>
  </si>
  <si>
    <t>Transistorit</t>
  </si>
  <si>
    <t>Tyristorit</t>
  </si>
  <si>
    <t>Putket</t>
  </si>
  <si>
    <t>Ajastin ja värähtelypiirit</t>
  </si>
  <si>
    <t>Datamuuntimet</t>
  </si>
  <si>
    <t>Näyte ja pidä-piirit</t>
  </si>
  <si>
    <t>Anturipiirit</t>
  </si>
  <si>
    <t>Liitäntäpiirit</t>
  </si>
  <si>
    <t>Vahvistimet</t>
  </si>
  <si>
    <t>Ohjainpiirit</t>
  </si>
  <si>
    <t>Liipaisupiirit</t>
  </si>
  <si>
    <t>Opto-ohjaimet</t>
  </si>
  <si>
    <t>Tehonvalvonta</t>
  </si>
  <si>
    <t>Korkeataajuuspiirit</t>
  </si>
  <si>
    <t>Mikro-ohjaimet</t>
  </si>
  <si>
    <t>Kehitystyökalut</t>
  </si>
  <si>
    <t>Ohjelmoitavat</t>
  </si>
  <si>
    <t>EPROM pyyhintä</t>
  </si>
  <si>
    <t>Liikennöintipiirit</t>
  </si>
  <si>
    <t>Asennustarvikkeet pienpuolijohteille</t>
  </si>
  <si>
    <t>Testikannat ja klipsit</t>
  </si>
  <si>
    <t>Jäähdytystarvikkeet</t>
  </si>
  <si>
    <t>Lämpötahnat ja liimat</t>
  </si>
  <si>
    <t>Peltier elementit</t>
  </si>
  <si>
    <t>Ledit</t>
  </si>
  <si>
    <t>LED pylväät</t>
  </si>
  <si>
    <t>LED Dot Matriisi näytöt</t>
  </si>
  <si>
    <t>LED asennusmateriaalit</t>
  </si>
  <si>
    <t>LCD näytöt</t>
  </si>
  <si>
    <t>LCD näytöt sarjaväylällä</t>
  </si>
  <si>
    <t>LCD Älykkäät</t>
  </si>
  <si>
    <t>LCD näytöt Bi-stabiilit</t>
  </si>
  <si>
    <t>TFT näytöt</t>
  </si>
  <si>
    <t>VFD näytöt</t>
  </si>
  <si>
    <t>IR-komponentit</t>
  </si>
  <si>
    <t>Valotunnistimet</t>
  </si>
  <si>
    <t>Optokytkin</t>
  </si>
  <si>
    <t>Haarukka ja valoverhokytkimet</t>
  </si>
  <si>
    <t>Valokuitu komponentit</t>
  </si>
  <si>
    <t>Alumiini elektrolyytit</t>
  </si>
  <si>
    <t>Polymeerikondensaattorit</t>
  </si>
  <si>
    <t>Tantaalikondensaattorit</t>
  </si>
  <si>
    <t>Keraamiset kondensaattorit</t>
  </si>
  <si>
    <t>Kalvokondensaattorit</t>
  </si>
  <si>
    <t>Tehokondensaattorit</t>
  </si>
  <si>
    <t>Häiriöpoistokondensaattorit</t>
  </si>
  <si>
    <t>Valikoimat, Dekaadit</t>
  </si>
  <si>
    <t>Varistorit</t>
  </si>
  <si>
    <t>Ylijänniteansat</t>
  </si>
  <si>
    <t>NTC vastukset</t>
  </si>
  <si>
    <t>PTC vastukset</t>
  </si>
  <si>
    <t>Pintaliitos ja MK vastukset</t>
  </si>
  <si>
    <t>Vastusverkot</t>
  </si>
  <si>
    <t>Tarkkuusvatukset</t>
  </si>
  <si>
    <t>Lankavastukset</t>
  </si>
  <si>
    <t>Virrantunnistusvastus</t>
  </si>
  <si>
    <t>Säätövastukset</t>
  </si>
  <si>
    <t>Ferriitit</t>
  </si>
  <si>
    <t>EMI Ferriitit</t>
  </si>
  <si>
    <t>Kelat/ kuristimet</t>
  </si>
  <si>
    <t>Verkkovirtasuotimet</t>
  </si>
  <si>
    <t>Sulakkeet</t>
  </si>
  <si>
    <t>Pintaliitossulakkeet</t>
  </si>
  <si>
    <t>Autosulakkeet ja pitimet</t>
  </si>
  <si>
    <t>Lämpösulakkeet</t>
  </si>
  <si>
    <t>Nollattavat sulakkeet</t>
  </si>
  <si>
    <t>Laitesulake</t>
  </si>
  <si>
    <t>Sulakepitimet</t>
  </si>
  <si>
    <t>Neliöliittimet</t>
  </si>
  <si>
    <t>Koxiliittimet</t>
  </si>
  <si>
    <t>Koodatut kytkimet</t>
  </si>
  <si>
    <t>Kiertokytkimet</t>
  </si>
  <si>
    <t>Painokytkimet</t>
  </si>
  <si>
    <t>Nupit</t>
  </si>
  <si>
    <t>Koekytkentälevyt</t>
  </si>
  <si>
    <t>Tekniset kirjat</t>
  </si>
  <si>
    <t>Tekniset kirjat Saksaksi</t>
  </si>
  <si>
    <t>Tekniset kirjat Italiaksi</t>
  </si>
  <si>
    <t>Tekniset kirjat Ranska</t>
  </si>
  <si>
    <t>Tekniset kirjat Ruotsiksi</t>
  </si>
  <si>
    <t>Tekniset kirjat Englanniksi</t>
  </si>
  <si>
    <t>Laboratoriovirtalähteet &amp; elektroniset kuormat</t>
  </si>
  <si>
    <t>Induktiiviset anturit</t>
  </si>
  <si>
    <t>Kapasitiiviset anturit</t>
  </si>
  <si>
    <t>Ultraäänianturit</t>
  </si>
  <si>
    <t>Kytkentä- / annostelu- &amp; laskenta- / seuranta- / komento- / merkinantolaitteet</t>
  </si>
  <si>
    <t>Diožu tilti</t>
  </si>
  <si>
    <t>Augstfrekvences tranzistori</t>
  </si>
  <si>
    <t>Elektronu lampas</t>
  </si>
  <si>
    <t>Taimeri un taktētāji</t>
  </si>
  <si>
    <t>Datu konvertori</t>
  </si>
  <si>
    <t>Diskretizācijas shēmas</t>
  </si>
  <si>
    <t>Sensoru mikroshēmas</t>
  </si>
  <si>
    <t>Interfeisu mikroshēmas</t>
  </si>
  <si>
    <t>Pastiprinātāji</t>
  </si>
  <si>
    <t>Draiveru mikroshēmas</t>
  </si>
  <si>
    <t>Trigeru mikroshēmas</t>
  </si>
  <si>
    <t>Optoelektroniskie draiveri</t>
  </si>
  <si>
    <t>Barošanas pārvaldīšana</t>
  </si>
  <si>
    <t>Augstfrekvences mikroshēmas</t>
  </si>
  <si>
    <t>Mikrokontrolieri</t>
  </si>
  <si>
    <t>Izstrādes rīki</t>
  </si>
  <si>
    <t>Programmēšanas ierīces</t>
  </si>
  <si>
    <t>EPROM dzēšanas ierīces</t>
  </si>
  <si>
    <t>Komunikāciju mikroshēmas</t>
  </si>
  <si>
    <t>Diskrēto pusvadītāju montāžas materiāli</t>
  </si>
  <si>
    <t>Testu ligzdas un spailes</t>
  </si>
  <si>
    <t>Radiatori un ventilatori</t>
  </si>
  <si>
    <t>Termopastas</t>
  </si>
  <si>
    <t>Peltjē un siltuma elementi</t>
  </si>
  <si>
    <t>LED diodes</t>
  </si>
  <si>
    <t>LED joslu indikatori un displeji</t>
  </si>
  <si>
    <t>LED punktmatricu displeji</t>
  </si>
  <si>
    <t>LED montāžas materiāli</t>
  </si>
  <si>
    <t>LCD displeji</t>
  </si>
  <si>
    <t>LCD displeji ar seriālo interfeisu</t>
  </si>
  <si>
    <t>Inteliģentie LCD displeji un skārienjūtīgie paneļi</t>
  </si>
  <si>
    <t>Bistabilie LCD displeji</t>
  </si>
  <si>
    <t>TFT displeji</t>
  </si>
  <si>
    <t>VFD displeji</t>
  </si>
  <si>
    <t>IR komponentes</t>
  </si>
  <si>
    <t>Gaismas sensori</t>
  </si>
  <si>
    <t>Optroni</t>
  </si>
  <si>
    <t>Optiskās barjeras</t>
  </si>
  <si>
    <t>Lāzeri</t>
  </si>
  <si>
    <t>Optisko šķiedru komponentes</t>
  </si>
  <si>
    <t>Elektrolītiskie kondensatori</t>
  </si>
  <si>
    <t>Keramiskie kondensatori</t>
  </si>
  <si>
    <t>Plēves kondensatori</t>
  </si>
  <si>
    <t>Jaudas kondensatori</t>
  </si>
  <si>
    <t>Traucējumu slāpēšanas kondensatori</t>
  </si>
  <si>
    <t>Kondensatoru komplekti</t>
  </si>
  <si>
    <t>Rezistoru komplekti</t>
  </si>
  <si>
    <t>Izlādņi</t>
  </si>
  <si>
    <t>NTC termistori (augstas temperatūras)</t>
  </si>
  <si>
    <t>PTC termistori (zemas temperatūras)</t>
  </si>
  <si>
    <t>SMD un plēves rezistori</t>
  </si>
  <si>
    <t>Rezistoru masīvi</t>
  </si>
  <si>
    <t>Precīzie rezistori</t>
  </si>
  <si>
    <t>Stieples rezistori</t>
  </si>
  <si>
    <t>Pieskaņošanas pretestības</t>
  </si>
  <si>
    <t>Ferīti</t>
  </si>
  <si>
    <t>Traucējumu slāpēšanas ferīti</t>
  </si>
  <si>
    <t>Induktoru / droseļu komplekti</t>
  </si>
  <si>
    <t>Induktori / droseles</t>
  </si>
  <si>
    <t>Traucējumu slāpēšanas filtri / Tīkla filtri</t>
  </si>
  <si>
    <t>Drošinātāji</t>
  </si>
  <si>
    <t>SMD drošinātāji</t>
  </si>
  <si>
    <t>Auto drošinātāji un turētāji</t>
  </si>
  <si>
    <t>Termodrošinātaji</t>
  </si>
  <si>
    <t>Drošinatāji automāti</t>
  </si>
  <si>
    <t>Ierīču jaudas slēdži</t>
  </si>
  <si>
    <t>Drošinātāju turētāji</t>
  </si>
  <si>
    <t>Taisnstūra savienotāji</t>
  </si>
  <si>
    <t>Koaksiālie savienotāji</t>
  </si>
  <si>
    <t>Kodēšanas slēdži / Tastatūras / Kursorsviras</t>
  </si>
  <si>
    <t>Grozāmie slēdži / Slēdži ar atslēgu / Enkoderi</t>
  </si>
  <si>
    <t>Pogas slēdži / Indikatori</t>
  </si>
  <si>
    <t>Regulatoru pogas</t>
  </si>
  <si>
    <t>Maketēšanas plates / Komplekti</t>
  </si>
  <si>
    <t>Tehniskās / datu grāmatas</t>
  </si>
  <si>
    <t>Tehniskās grāmatas vācu valodā</t>
  </si>
  <si>
    <t>Tehniskās grāmatas itāļu valodā</t>
  </si>
  <si>
    <t>Tehniskās grāmatas franču valodā</t>
  </si>
  <si>
    <t>Tehniskās grāmatas zviedru valodā</t>
  </si>
  <si>
    <t>Tehniskās grāmatas angļu valodā</t>
  </si>
  <si>
    <t>Indukcijas sensori</t>
  </si>
  <si>
    <t>Kapacitīvie sensori</t>
  </si>
  <si>
    <t>Ultraskaņas sensori</t>
  </si>
  <si>
    <t>Būvniecības automatizācija</t>
  </si>
  <si>
    <t>Būvniecības tehnoloģijas</t>
  </si>
  <si>
    <t>Ēkas drošība</t>
  </si>
  <si>
    <t>Attāli pārslēdzamas sistēmas</t>
  </si>
  <si>
    <t>Vadības ierīces</t>
  </si>
  <si>
    <t>Barošanas līnijas komunikācija</t>
  </si>
  <si>
    <t>Bruggelijkrichters</t>
  </si>
  <si>
    <t>Buizen</t>
  </si>
  <si>
    <t>Timer en oscillator ICs</t>
  </si>
  <si>
    <t>Data omvormers</t>
  </si>
  <si>
    <t>Sample &amp; Hold componenten</t>
  </si>
  <si>
    <t>Sensor componenten</t>
  </si>
  <si>
    <t>Versterkers</t>
  </si>
  <si>
    <t>Trigger ICs</t>
  </si>
  <si>
    <t>Optocouplers</t>
  </si>
  <si>
    <t>HF componenten</t>
  </si>
  <si>
    <t>Ontwikkelkits</t>
  </si>
  <si>
    <t>Programmeer apparatuur</t>
  </si>
  <si>
    <t>EPROM wissers</t>
  </si>
  <si>
    <t>Communicatie componenten</t>
  </si>
  <si>
    <t>Montagemateriaal voor discrete halfgeleiders</t>
  </si>
  <si>
    <t>Meetpennen en test clips</t>
  </si>
  <si>
    <t>Koelelementen en ventilator units</t>
  </si>
  <si>
    <t>Koelpasta en lijmen</t>
  </si>
  <si>
    <t>Peltier-elementen</t>
  </si>
  <si>
    <t>Montage materiaal voor LEDs</t>
  </si>
  <si>
    <t>LCD displays</t>
  </si>
  <si>
    <t>LCD displays met seriele interface</t>
  </si>
  <si>
    <t>Intelligente LCD displays en aanraakschermen</t>
  </si>
  <si>
    <t>Bi-stabiele LCD displays</t>
  </si>
  <si>
    <t>IR componenten</t>
  </si>
  <si>
    <t>Licht sensors</t>
  </si>
  <si>
    <t>Vork- en reflectiekoppelaars</t>
  </si>
  <si>
    <t>Glasvezel componenten</t>
  </si>
  <si>
    <t>Elektrolytische condensatoren / elcos</t>
  </si>
  <si>
    <t>Polymeer elco</t>
  </si>
  <si>
    <t>Tantaal elcos</t>
  </si>
  <si>
    <t>Keramische condensatoren</t>
  </si>
  <si>
    <t>Folie condensatoren</t>
  </si>
  <si>
    <t>Vermogens condensatoren</t>
  </si>
  <si>
    <t>Ontstoorcondensatoren</t>
  </si>
  <si>
    <t>Assortimenten, decadebanken, condensatoren</t>
  </si>
  <si>
    <t>Assortimenten, decadebanken, weerstanden</t>
  </si>
  <si>
    <t>Overspanningsafleiders</t>
  </si>
  <si>
    <t>NTC weerstanden (hoge temperaturen)</t>
  </si>
  <si>
    <t>PTC weerstanden (lage temperaturen)</t>
  </si>
  <si>
    <t>SMD and metaalfilmweerstanden</t>
  </si>
  <si>
    <t>Weerstandsnetwerken</t>
  </si>
  <si>
    <t>Precisie weerstanden</t>
  </si>
  <si>
    <t>Draadgewonden weerstanden</t>
  </si>
  <si>
    <t>Regelbare weerstanden</t>
  </si>
  <si>
    <t>Ferrietkernen</t>
  </si>
  <si>
    <t>EMI Ferrietkernen</t>
  </si>
  <si>
    <t>Assortimenten, decadebanken, smoorspoelen / spoelen</t>
  </si>
  <si>
    <t>Smoorspoelen / Spoelen</t>
  </si>
  <si>
    <t>Ontstoorfilters / Netfilters</t>
  </si>
  <si>
    <t>Zekeringen</t>
  </si>
  <si>
    <t>SMD zekeringen</t>
  </si>
  <si>
    <t>Auto zekeringen en zekeringhouders</t>
  </si>
  <si>
    <t>Thermische zekeringen</t>
  </si>
  <si>
    <t>Zelfherstelbare zekeringen</t>
  </si>
  <si>
    <t>Zekeringautomaten</t>
  </si>
  <si>
    <t>Zekeringhouders</t>
  </si>
  <si>
    <t>Rechthoekige connectoren</t>
  </si>
  <si>
    <t>Coax connectoren</t>
  </si>
  <si>
    <t>Code schakelaars / Toetsenborden / Joysticks</t>
  </si>
  <si>
    <t>Draai schakelaars / Sleutel schakelaars / Encoders</t>
  </si>
  <si>
    <t>Druktoets schakelaars / Indicatoren</t>
  </si>
  <si>
    <t>Knoppen</t>
  </si>
  <si>
    <t>Draadloze communicatie</t>
  </si>
  <si>
    <t>Experimenteerborden / Kits</t>
  </si>
  <si>
    <t>Technische en data boeken</t>
  </si>
  <si>
    <t>Technische en data boeken, Duits</t>
  </si>
  <si>
    <t>Technische en data boeken, Italiaans</t>
  </si>
  <si>
    <t>Technische en data boeken, Frans</t>
  </si>
  <si>
    <t>Technische en data boeken, Zweeds</t>
  </si>
  <si>
    <t>Technische en data boeken, Engels</t>
  </si>
  <si>
    <t>Primaire batterijen</t>
  </si>
  <si>
    <t>Meettransducers en signaalomvormers</t>
  </si>
  <si>
    <t>Inductieve sensoren</t>
  </si>
  <si>
    <t>Capacitieve sensoren</t>
  </si>
  <si>
    <t>Ultrasoonsensoren</t>
  </si>
  <si>
    <t>Gebouwautomatisering</t>
  </si>
  <si>
    <t>Bouwtechnologieën</t>
  </si>
  <si>
    <t>Gebouwbeveiliging</t>
  </si>
  <si>
    <t>Op afstand bedienbare schakelsystemen</t>
  </si>
  <si>
    <t>Regeleenheden</t>
  </si>
  <si>
    <t>Power-line Communicatie</t>
  </si>
  <si>
    <t>Diody</t>
  </si>
  <si>
    <t>Mostki prostownicze</t>
  </si>
  <si>
    <t>Tranzystory</t>
  </si>
  <si>
    <t>Tyrystory</t>
  </si>
  <si>
    <t>Lampy elektronowe</t>
  </si>
  <si>
    <t>Timery i Układy oscylatorów</t>
  </si>
  <si>
    <t>Przetworniki danych</t>
  </si>
  <si>
    <t>Układy typu Sample&amp;Hold</t>
  </si>
  <si>
    <t>Układy czujników</t>
  </si>
  <si>
    <t>Układy scalone interfejsów</t>
  </si>
  <si>
    <t>Wzmacniacze</t>
  </si>
  <si>
    <t>Układy sterowania</t>
  </si>
  <si>
    <t>Układy wyzwalające</t>
  </si>
  <si>
    <t>Optoelektroniczne układy sterowania</t>
  </si>
  <si>
    <t>Sterowanie zasilaniem</t>
  </si>
  <si>
    <t>Układy wysokiej częstotliwości</t>
  </si>
  <si>
    <t>Mikrokontrolery</t>
  </si>
  <si>
    <t>Narzędzia do prac rozwojowych</t>
  </si>
  <si>
    <t>Programatory</t>
  </si>
  <si>
    <t>Urządzenia kasujące EPROM</t>
  </si>
  <si>
    <t>Układy komunikacyjne</t>
  </si>
  <si>
    <t>Materiał do montażu półprzewodników dyskretnych</t>
  </si>
  <si>
    <t>Oprawki i Klamry testowe</t>
  </si>
  <si>
    <t>Radiatory i Wentylatory</t>
  </si>
  <si>
    <t>Pasty i kleje termoprzewodzące</t>
  </si>
  <si>
    <t>Elementy grzejne i Ogniwa Peltiera</t>
  </si>
  <si>
    <t>Linijki LED i Wyświetlacze</t>
  </si>
  <si>
    <t>Matryce punktowe LED</t>
  </si>
  <si>
    <t>Materiały montażowe dla LED</t>
  </si>
  <si>
    <t>Wyświetlacze LCD</t>
  </si>
  <si>
    <t>Wyświetlacze LCD z interfejsem szeregowym</t>
  </si>
  <si>
    <t>Inteligentne wyświetlacze LCD i Panele dotykowe</t>
  </si>
  <si>
    <t>Bistabilne wyświetlacze LCD</t>
  </si>
  <si>
    <t>Wyświetlacze TFT</t>
  </si>
  <si>
    <t>Wyświetlacze VFD</t>
  </si>
  <si>
    <t>Elementy IR</t>
  </si>
  <si>
    <t>Czujniki światła</t>
  </si>
  <si>
    <t>Transoptory</t>
  </si>
  <si>
    <t>Transoptory szczelinowe i odbiciowe</t>
  </si>
  <si>
    <t>Lasery</t>
  </si>
  <si>
    <t>Elementy światłowodowe</t>
  </si>
  <si>
    <t>Kondensatory elektrolityczne</t>
  </si>
  <si>
    <t>Kondensatory polimerowe</t>
  </si>
  <si>
    <t>Kondensatory tantalowe</t>
  </si>
  <si>
    <t>Kondensatory ceramiczne</t>
  </si>
  <si>
    <t>Kondensatory foliowe</t>
  </si>
  <si>
    <t>Kondensatory mocy</t>
  </si>
  <si>
    <t>Kondensatory przeciwzakłóceniowe</t>
  </si>
  <si>
    <t>Zestawy, Dekady, Kondensatory</t>
  </si>
  <si>
    <t>Zestawy, Dekady, Rezystory</t>
  </si>
  <si>
    <t>Warystory</t>
  </si>
  <si>
    <t>Ochronniki przepięciowe</t>
  </si>
  <si>
    <t>Termistory NTC</t>
  </si>
  <si>
    <t>Termistory PTC</t>
  </si>
  <si>
    <t>Rezystory warstwowe i SMD</t>
  </si>
  <si>
    <t>Drabinki rezystorowe</t>
  </si>
  <si>
    <t>Rezystory precyzyjne</t>
  </si>
  <si>
    <t>Rezystory drutowe</t>
  </si>
  <si>
    <t>Rezystory Current Sense</t>
  </si>
  <si>
    <t>Potencjometr</t>
  </si>
  <si>
    <t>Potencjometry dostrojcze</t>
  </si>
  <si>
    <t>Ferryty</t>
  </si>
  <si>
    <t>Ferryty EMI</t>
  </si>
  <si>
    <t>Zestawy, Dekady, Cewki, Dławiki</t>
  </si>
  <si>
    <t>Cewki / Dławiki</t>
  </si>
  <si>
    <t>Filtry Przeciwzakłóceniowe / Filtry sieciowe</t>
  </si>
  <si>
    <t>Bezpieczniki</t>
  </si>
  <si>
    <t>Bezpieczniki SMD</t>
  </si>
  <si>
    <t>Bezpieczniki samochodowe i Oprawki Bezpiecznikowe</t>
  </si>
  <si>
    <t>Zabezpieczenia termiczne</t>
  </si>
  <si>
    <t>Bezpieczniki resetowalne</t>
  </si>
  <si>
    <t>Wyłącznik do urządzeń</t>
  </si>
  <si>
    <t>Oprawki bezpiecznikowe</t>
  </si>
  <si>
    <t>Złącza czworokątne</t>
  </si>
  <si>
    <t>Złącza koncentryczne</t>
  </si>
  <si>
    <t>Przełączniki kodujące / Klawiatury / Joysticki</t>
  </si>
  <si>
    <t>Przełączniki obrotowe / Przełączniki z kluczem / Przełączniki kodujące</t>
  </si>
  <si>
    <t>Przełączniki przyciskowe / Lampki sygnalizacyjne</t>
  </si>
  <si>
    <t>Pokrętła</t>
  </si>
  <si>
    <t>Zestawy prototypowe</t>
  </si>
  <si>
    <t>Literatura techniczna i katalogi</t>
  </si>
  <si>
    <t>Literatura techniczna w języku niemieckim</t>
  </si>
  <si>
    <t>Literatura techniczna w języku włoskim</t>
  </si>
  <si>
    <t>Literatura techniczna w języku francuskim</t>
  </si>
  <si>
    <t>Literatura techniczna w języku szwedzkim</t>
  </si>
  <si>
    <t>Literatura techniczna w języku angielskim</t>
  </si>
  <si>
    <t>Czujniki pojemnościowe</t>
  </si>
  <si>
    <t>Czujniki ultradźwiękowe</t>
  </si>
  <si>
    <t>Komunikacja po sieci energetycznej</t>
  </si>
  <si>
    <t>Диоды</t>
  </si>
  <si>
    <t>Диодные мосты</t>
  </si>
  <si>
    <t>Tранзисторы</t>
  </si>
  <si>
    <t>Тиристоры</t>
  </si>
  <si>
    <t>Газоразрядные(газонаполннные) лампы ((ЭЛТ))*</t>
  </si>
  <si>
    <t>Таймеры и осциляторы</t>
  </si>
  <si>
    <t>Конвертеры данных</t>
  </si>
  <si>
    <t>Устройство выборки и хранения</t>
  </si>
  <si>
    <t>Сенсорные микросхемы</t>
  </si>
  <si>
    <t>Интерфейсные микросхемы</t>
  </si>
  <si>
    <t>Усилители</t>
  </si>
  <si>
    <t>Схемы управления электронными компонентами</t>
  </si>
  <si>
    <t>Тригерные микросхемы</t>
  </si>
  <si>
    <t>Оптоэлектронные драйверы </t>
  </si>
  <si>
    <t>Силовое управление</t>
  </si>
  <si>
    <t>ВЧ микросхемы</t>
  </si>
  <si>
    <t>Микроконтроллеры</t>
  </si>
  <si>
    <t>Средсва для разработки</t>
  </si>
  <si>
    <t>Программируемые устройства</t>
  </si>
  <si>
    <t>EPROM запоминающее устройство</t>
  </si>
  <si>
    <t>Схемы связи</t>
  </si>
  <si>
    <t>Дискретные полупроводники</t>
  </si>
  <si>
    <t>Тестовые гнёзда и зажимы</t>
  </si>
  <si>
    <t>Радиаторы и вентиляторы</t>
  </si>
  <si>
    <t>Термокомпаунды и клей</t>
  </si>
  <si>
    <t>Пельтье и нагревательные элементы</t>
  </si>
  <si>
    <t>LED диоды</t>
  </si>
  <si>
    <t>Светодиодные полосы и дисплеи</t>
  </si>
  <si>
    <t>LED точечный матричный дисплеи</t>
  </si>
  <si>
    <t>Системы монтажа для LED</t>
  </si>
  <si>
    <t>LCD Дисплеи</t>
  </si>
  <si>
    <t>LCD Дисплеи с серийным (последовательным)интерфейсом</t>
  </si>
  <si>
    <t>Интелектуальные LCD дисплеи и паненели с сенсорным вводом</t>
  </si>
  <si>
    <t>Вистабильные LCD дисплеи</t>
  </si>
  <si>
    <t>TFT Дисплеи</t>
  </si>
  <si>
    <t>VFD Дисплеи</t>
  </si>
  <si>
    <t>ИК компонента (инфракрасные)</t>
  </si>
  <si>
    <t>Датчики света</t>
  </si>
  <si>
    <t>Оптические  соединители</t>
  </si>
  <si>
    <t>Вилочные и рефлексные соединители</t>
  </si>
  <si>
    <t>Лазер</t>
  </si>
  <si>
    <t>Стекловолоконные компоненты</t>
  </si>
  <si>
    <t>Электролитические конденсаторы</t>
  </si>
  <si>
    <t>Полимерные электрол.конденсаторы</t>
  </si>
  <si>
    <t>Танталовые электролитич. конденсаторы</t>
  </si>
  <si>
    <t>Керамические конденсаторы</t>
  </si>
  <si>
    <t>Слюдяные конденсаторы</t>
  </si>
  <si>
    <t>Конденсаторы мощности</t>
  </si>
  <si>
    <t>Конденсаторы подавления помех</t>
  </si>
  <si>
    <t>Изделия, декадные переключатели, конденсаторы</t>
  </si>
  <si>
    <t>Изделия, декадные переключатели, резисторы</t>
  </si>
  <si>
    <t>Варисторы</t>
  </si>
  <si>
    <t>Разрядники</t>
  </si>
  <si>
    <t>NTC резисторы (высокотемпературные)</t>
  </si>
  <si>
    <t>PTC резисторы (низкотемпературные)</t>
  </si>
  <si>
    <t>Керамические Резисторы SMD и пленочные Резисторы</t>
  </si>
  <si>
    <t>Резисторные сборки</t>
  </si>
  <si>
    <t>Точные Резисторы</t>
  </si>
  <si>
    <t>Проволочные резисторы</t>
  </si>
  <si>
    <t>Резисторы для измерения силы тока</t>
  </si>
  <si>
    <t>Потенциометр</t>
  </si>
  <si>
    <t>Подстроечные резисторы</t>
  </si>
  <si>
    <t>Ферриты</t>
  </si>
  <si>
    <t>Ферритовые сердечники</t>
  </si>
  <si>
    <t>Комплекты , Декадные переключатели, Индукторы / дроссели</t>
  </si>
  <si>
    <t>Индукторы  / Дроссели</t>
  </si>
  <si>
    <t>Фильтры подавления помех</t>
  </si>
  <si>
    <t>Предохранители</t>
  </si>
  <si>
    <t>SMD Предохранители</t>
  </si>
  <si>
    <t>Автомобильные предохранители и Держатели предохранителей</t>
  </si>
  <si>
    <t>Тепловые Предохранители</t>
  </si>
  <si>
    <t>Самовосстанавливающиеся предохранители</t>
  </si>
  <si>
    <t>Прерыватель цепи для приборов</t>
  </si>
  <si>
    <t>Держатели предохранителей</t>
  </si>
  <si>
    <t>Прямоугольные разъемы</t>
  </si>
  <si>
    <t>Коаксиальные соединители</t>
  </si>
  <si>
    <t>Кодируемые переключатели / Клавиатуры / Джойстики</t>
  </si>
  <si>
    <t>Поворотные переключатели / Основные выключатели / Кодеры</t>
  </si>
  <si>
    <t>Кнопочные переключатели / Индикаторы</t>
  </si>
  <si>
    <t>Регуляторы/ручки</t>
  </si>
  <si>
    <t>Макеты  / Комплекты</t>
  </si>
  <si>
    <t>Техническая литература</t>
  </si>
  <si>
    <t>Технические книги на немецком языке</t>
  </si>
  <si>
    <t>Технические книги на итальянской языке</t>
  </si>
  <si>
    <t>Технические книги на французском языке</t>
  </si>
  <si>
    <t>Технические книги на шведском языке</t>
  </si>
  <si>
    <t>Технические Книги на английском языке</t>
  </si>
  <si>
    <t>Индуктивные датчики</t>
  </si>
  <si>
    <t>Емкостные датчики</t>
  </si>
  <si>
    <t>Ультразвуковые датчики</t>
  </si>
  <si>
    <t>Můstkové usměrňovače</t>
  </si>
  <si>
    <t>Tranzistory</t>
  </si>
  <si>
    <t>Tyristory</t>
  </si>
  <si>
    <t>Elektronky</t>
  </si>
  <si>
    <t>Časovací a oscilační obvody</t>
  </si>
  <si>
    <t>Převodníky dat</t>
  </si>
  <si>
    <t>Vzorkovací a tvarovací obvody</t>
  </si>
  <si>
    <t>Snímací obvody</t>
  </si>
  <si>
    <t>Obvody rozhraní</t>
  </si>
  <si>
    <t>Operační zesilovače</t>
  </si>
  <si>
    <t>Budicí obvody</t>
  </si>
  <si>
    <t>Spouštěcí obvody</t>
  </si>
  <si>
    <t>Optoelektronické budiče</t>
  </si>
  <si>
    <t>Integrované obvody pro nabíjení akumulátorů</t>
  </si>
  <si>
    <t>Vysokofrekvenční obvody</t>
  </si>
  <si>
    <t>Mikrokontroléry</t>
  </si>
  <si>
    <t>Vývojové nástroje</t>
  </si>
  <si>
    <t>Programovací zařízení</t>
  </si>
  <si>
    <t>Zařízení pro mazání pamětí EPROM</t>
  </si>
  <si>
    <t>Komunikační obvody</t>
  </si>
  <si>
    <t>Instalační materiály pro diskrétní polovodiče</t>
  </si>
  <si>
    <t>Testovací patice a testovací svorky</t>
  </si>
  <si>
    <t>Chladiče a ventilátorové jednotky</t>
  </si>
  <si>
    <t>Tepelně vodivé směsi a lepidla</t>
  </si>
  <si>
    <t>Tepelné prvky a prvky využívající Peltierův princip</t>
  </si>
  <si>
    <t>LED diody</t>
  </si>
  <si>
    <t>Světelné tyče s LED diodami</t>
  </si>
  <si>
    <t>Bodové maticové LED displeje</t>
  </si>
  <si>
    <t>Montážní materiály pro LED diody</t>
  </si>
  <si>
    <t>LCD displeje</t>
  </si>
  <si>
    <t>LCD displeje se sériovým rozhraním</t>
  </si>
  <si>
    <t>Inteligentní LCD displeje a dotykové panely</t>
  </si>
  <si>
    <t>Bistabilní LCD displeje</t>
  </si>
  <si>
    <t>TFT displeje</t>
  </si>
  <si>
    <t>VFD displeje</t>
  </si>
  <si>
    <t>Součásti využívající infračervené záření</t>
  </si>
  <si>
    <t>Světelná čidla</t>
  </si>
  <si>
    <t>Optrony</t>
  </si>
  <si>
    <t>Vidlicový a odrazový vazební člen</t>
  </si>
  <si>
    <t>Součásti pro optická vlákna</t>
  </si>
  <si>
    <t>Hliníkové elektrolytické kondenzátory</t>
  </si>
  <si>
    <t>Polymerové kondenzátory</t>
  </si>
  <si>
    <t>Tantalové kondenzátory</t>
  </si>
  <si>
    <t>Keramické kondenzátory</t>
  </si>
  <si>
    <t>Fóliové kondenzátory</t>
  </si>
  <si>
    <t>Výkonové kondenzátory</t>
  </si>
  <si>
    <t>Odrušovací kondenzátory</t>
  </si>
  <si>
    <t>Sortiment, dekády,kondenzátory</t>
  </si>
  <si>
    <t>Sortiment, dekády, rezistory</t>
  </si>
  <si>
    <t>Varistory</t>
  </si>
  <si>
    <t>Omezovače přepětí</t>
  </si>
  <si>
    <t>Rezistory NTC (pro vysoké teploty)</t>
  </si>
  <si>
    <t>Rezistory PTC (nízka teplota)</t>
  </si>
  <si>
    <t>Rezistory SMD a vrstvové</t>
  </si>
  <si>
    <t>Rezistorové sítě</t>
  </si>
  <si>
    <t>Přesné rezistory</t>
  </si>
  <si>
    <t>Drátové rezistory</t>
  </si>
  <si>
    <t>Rezistory ke snímání proudu</t>
  </si>
  <si>
    <t>Trimmery</t>
  </si>
  <si>
    <t>Ferity</t>
  </si>
  <si>
    <t>Ferity EMI</t>
  </si>
  <si>
    <t>Sortiment, Dekády, Induktory / tlmivky</t>
  </si>
  <si>
    <t>Induktory / tlumivky</t>
  </si>
  <si>
    <t>Odrušovací filtry / síťové filtry</t>
  </si>
  <si>
    <t>Pojistky</t>
  </si>
  <si>
    <t>Pojistky SMD</t>
  </si>
  <si>
    <t>Automobilové pojistky a držáky pojistek</t>
  </si>
  <si>
    <t>Tepelné pojistky</t>
  </si>
  <si>
    <t>Vratné pojistky</t>
  </si>
  <si>
    <t>Přístrojové jističe</t>
  </si>
  <si>
    <t>Držáky pojistek</t>
  </si>
  <si>
    <t>Obdélníkové konektory</t>
  </si>
  <si>
    <t>Koaxiální konektory</t>
  </si>
  <si>
    <t>Kódovací spínače / klávesnice / pákové ovladače</t>
  </si>
  <si>
    <t>Otočné spínače / spínače ovládané klíčem / kodéry</t>
  </si>
  <si>
    <t>Tlačítkové spínače / kontrolky</t>
  </si>
  <si>
    <t>Knoflíky</t>
  </si>
  <si>
    <t>Experimentální systémy / Sestavy</t>
  </si>
  <si>
    <t>Technické a záznamové knihy</t>
  </si>
  <si>
    <t>Odborné knihy v německém jazyce</t>
  </si>
  <si>
    <t>Odborné knihy v italském jazyce</t>
  </si>
  <si>
    <t>Odborné knihy ve francouzském jazyce</t>
  </si>
  <si>
    <t>Odborné knihy ve švédském jazyce</t>
  </si>
  <si>
    <t>Odborné knihy v anglickém jazyce</t>
  </si>
  <si>
    <t>Indukční snímače</t>
  </si>
  <si>
    <t>Kapacitní snímače</t>
  </si>
  <si>
    <t>Ultrazvukové snímače</t>
  </si>
  <si>
    <t>Elektrické vedení</t>
  </si>
  <si>
    <t>Diode</t>
  </si>
  <si>
    <t>Punţi redresoare</t>
  </si>
  <si>
    <t>Tranzistori HF</t>
  </si>
  <si>
    <t>Tuburi</t>
  </si>
  <si>
    <t>Cronometre şi oscilatoare de circuite</t>
  </si>
  <si>
    <t>Convertoare de date</t>
  </si>
  <si>
    <t>Circuite S&amp;H</t>
  </si>
  <si>
    <t>Senzori de circuite</t>
  </si>
  <si>
    <t>Circuite de interfaţă</t>
  </si>
  <si>
    <t>Amplificator</t>
  </si>
  <si>
    <t>Conductori ICs</t>
  </si>
  <si>
    <t>Circuite de control</t>
  </si>
  <si>
    <t>Circuite de optocontrol</t>
  </si>
  <si>
    <t>Management energetic</t>
  </si>
  <si>
    <t>Circuite RF</t>
  </si>
  <si>
    <t>Microcontrolere</t>
  </si>
  <si>
    <t>Instrumente de dezvoltare</t>
  </si>
  <si>
    <t>Dispozitive de programare</t>
  </si>
  <si>
    <t>Radiere EPROM</t>
  </si>
  <si>
    <t>Comunicare ICs</t>
  </si>
  <si>
    <t>Materiale de instalare pentru semiconductori discreţi</t>
  </si>
  <si>
    <t>Testere IC</t>
  </si>
  <si>
    <t>Radiatoare şi unităţi</t>
  </si>
  <si>
    <t>Adezivi termoconductori</t>
  </si>
  <si>
    <t>Elementele Peltier şi de încălzire</t>
  </si>
  <si>
    <t>LED-uri</t>
  </si>
  <si>
    <t>LED iluminare panouri şi afişează</t>
  </si>
  <si>
    <t>Afişaje cu matrice punct LED</t>
  </si>
  <si>
    <t>Suporţi de diode</t>
  </si>
  <si>
    <t>Afişaje LCD</t>
  </si>
  <si>
    <t>Afişaje LCD cu interfaţă serială</t>
  </si>
  <si>
    <t>Inteligent LCD display şi touch panel</t>
  </si>
  <si>
    <t>Iesire LCDs</t>
  </si>
  <si>
    <t>Monitoare TFT</t>
  </si>
  <si>
    <t>Monitoare VFD</t>
  </si>
  <si>
    <t>Componente IR</t>
  </si>
  <si>
    <t>Senzori de lumina</t>
  </si>
  <si>
    <t>Optocuple</t>
  </si>
  <si>
    <t>Cuplori reflex şi furculiţă</t>
  </si>
  <si>
    <t>Laseri</t>
  </si>
  <si>
    <t>Componente de fibră optică</t>
  </si>
  <si>
    <t>Condensatori electrolitici şi cu aluminiu</t>
  </si>
  <si>
    <t>Condensatori polimerici</t>
  </si>
  <si>
    <t>Condensatori cu tantal</t>
  </si>
  <si>
    <t>Condensatori cu polipropilenă</t>
  </si>
  <si>
    <t>Condensatori de putere</t>
  </si>
  <si>
    <t>Condensatori de filtrare</t>
  </si>
  <si>
    <t>Condensatori, sortimente, decade</t>
  </si>
  <si>
    <t>Rezistori, sortiment, decenii</t>
  </si>
  <si>
    <t>Protectoare de supratensiune</t>
  </si>
  <si>
    <t>Rezistori NTC (temperatură înaltă)</t>
  </si>
  <si>
    <t>Rezistenţe PTC (temperatură scăzută)</t>
  </si>
  <si>
    <t>Rezistenţe SMD şi stratificate</t>
  </si>
  <si>
    <t>Reţele de rezistori</t>
  </si>
  <si>
    <t>Rezistori de precizie</t>
  </si>
  <si>
    <t>Rezistori cu sîrmă</t>
  </si>
  <si>
    <t>Rezistori cu senzori de curent</t>
  </si>
  <si>
    <t>Trimere</t>
  </si>
  <si>
    <t>Ferite</t>
  </si>
  <si>
    <t>Ferite EMI</t>
  </si>
  <si>
    <t>Inductoare / Sortimente / Decade / Bobine</t>
  </si>
  <si>
    <t>Inductoare şi bobine</t>
  </si>
  <si>
    <t>Filtre de zgomot / Filtre de reţea</t>
  </si>
  <si>
    <t>Siguranţe</t>
  </si>
  <si>
    <t>Siguranţe SMD</t>
  </si>
  <si>
    <t>Siguranţe auto şi suporţi de siguranţe</t>
  </si>
  <si>
    <t>Siguranţe termice</t>
  </si>
  <si>
    <t>Siguranţe resetabile</t>
  </si>
  <si>
    <t>Suporţi de siguranţe</t>
  </si>
  <si>
    <t>Conectori dreptunghiulari</t>
  </si>
  <si>
    <t>Conectori coaxiali</t>
  </si>
  <si>
    <t>Comutatoare cu cod / Tastaturi / Joystick-uri</t>
  </si>
  <si>
    <t>Comutatoare rotative / Întrerupătoare cu cheie / Codificatoare</t>
  </si>
  <si>
    <t>Comutatoare de perete / lumini de semnal</t>
  </si>
  <si>
    <t>Butoane</t>
  </si>
  <si>
    <t>ZigBee ™</t>
  </si>
  <si>
    <t>WI-FI</t>
  </si>
  <si>
    <t>Sisteme experimentale / kituri</t>
  </si>
  <si>
    <t>Cărţi de specialitate tehnice şi de date</t>
  </si>
  <si>
    <t>Cărţi de specialitate în limba germană</t>
  </si>
  <si>
    <t>Cărţi de specialitate în limba italiană</t>
  </si>
  <si>
    <t>Cărţi de specialitate în limba franceză</t>
  </si>
  <si>
    <t>Cărţi de specialitate în limba suedeză</t>
  </si>
  <si>
    <t>Cărţi de specialitate în limba engleză</t>
  </si>
  <si>
    <t>Diódák</t>
  </si>
  <si>
    <t>Hídegyenirányítók</t>
  </si>
  <si>
    <t>Tranzisztorok</t>
  </si>
  <si>
    <t>Tirisztorok</t>
  </si>
  <si>
    <t>Elektroncsövek</t>
  </si>
  <si>
    <t>Időzitő- és oszcillátor áramkörök</t>
  </si>
  <si>
    <t>Adatkonverterek</t>
  </si>
  <si>
    <t>Mintavevő- és tartó áramkör</t>
  </si>
  <si>
    <t>Szenzor áramkörök</t>
  </si>
  <si>
    <t>Illesztő áramkörök</t>
  </si>
  <si>
    <t>Erősítők</t>
  </si>
  <si>
    <t>Meghajtó IC-k</t>
  </si>
  <si>
    <t>Vezérlő áramkörök</t>
  </si>
  <si>
    <t>Opto-vezérlő áramkörök</t>
  </si>
  <si>
    <t>Energiagazdálkodás</t>
  </si>
  <si>
    <t>RF áramkörök</t>
  </si>
  <si>
    <t>Mikrocontrollerek</t>
  </si>
  <si>
    <t>Fejlesztőeszközök</t>
  </si>
  <si>
    <t>Programozó eszközök</t>
  </si>
  <si>
    <t>EPROM-törlő eszközök</t>
  </si>
  <si>
    <t>Kommunikációs IC-k</t>
  </si>
  <si>
    <t>Építőelemek diszkrét félvezetőkhöz</t>
  </si>
  <si>
    <t>Tesztfoglalatok és tesztcsipeszek</t>
  </si>
  <si>
    <t>Hütőbordák és ventillátorok</t>
  </si>
  <si>
    <t>Hővezető paszták</t>
  </si>
  <si>
    <t>Peltier- és fütőelemek</t>
  </si>
  <si>
    <t>LED-ek</t>
  </si>
  <si>
    <t>LED háttérvilágítások és kijelzők</t>
  </si>
  <si>
    <t>LED pontmátrix kijelzők</t>
  </si>
  <si>
    <t>Világítódióda foglalatok</t>
  </si>
  <si>
    <t>LCD kijelzők</t>
  </si>
  <si>
    <t>LCD kijelzők soros porttal</t>
  </si>
  <si>
    <t>Inteligens LCD kijelzők és érintőköpernyők</t>
  </si>
  <si>
    <t>Bistabil LCD kijelzők</t>
  </si>
  <si>
    <t>TFT-kijelzők</t>
  </si>
  <si>
    <t>VFD-kijelzők</t>
  </si>
  <si>
    <t>Infravörös alkatrészek</t>
  </si>
  <si>
    <t>Fényérzékelők</t>
  </si>
  <si>
    <t>Optikai kapuk</t>
  </si>
  <si>
    <t>Villás- és reflexiós-kapuk</t>
  </si>
  <si>
    <t>Lézerek</t>
  </si>
  <si>
    <t>Üvegszál alkatrészek</t>
  </si>
  <si>
    <t>Aluminium-elektrolit kondenzátorok</t>
  </si>
  <si>
    <t>Polimerkondenzátorok</t>
  </si>
  <si>
    <t>Tantálkondenzátorok</t>
  </si>
  <si>
    <t>Kerámiakondenzátorok</t>
  </si>
  <si>
    <t>Fóliakondenzátorok</t>
  </si>
  <si>
    <t>Teljesítménykondenzátorok</t>
  </si>
  <si>
    <t>Kondenzátor készletek</t>
  </si>
  <si>
    <t>Ellenállás készletek</t>
  </si>
  <si>
    <t>Varisztorok</t>
  </si>
  <si>
    <t>Túlfeszültség levezetők</t>
  </si>
  <si>
    <t>NTC-ellenállások (magas hőmérsékletre)</t>
  </si>
  <si>
    <t>PTC-ellenállások (alacsony feszültségre)</t>
  </si>
  <si>
    <t>SMD és filmréteg ellenállások</t>
  </si>
  <si>
    <t>Ellenállás hálózatok</t>
  </si>
  <si>
    <t>Preciziós ellenállások</t>
  </si>
  <si>
    <t>Huzalellenállások</t>
  </si>
  <si>
    <t>Áram érzékelő ellenállások</t>
  </si>
  <si>
    <t>Ferritek</t>
  </si>
  <si>
    <t>EMI-Ferritek</t>
  </si>
  <si>
    <t>Induktivítás / fojtótekercs készletek</t>
  </si>
  <si>
    <t>Induktivítások / fojtótekercsek</t>
  </si>
  <si>
    <t>Interferencia szűrő / Hálózati szűrő</t>
  </si>
  <si>
    <t>Biztosítékok</t>
  </si>
  <si>
    <t>SMD biztosítékok</t>
  </si>
  <si>
    <t>Jármű biztosítékok és foglalatok</t>
  </si>
  <si>
    <t>Hőbiztosítékok</t>
  </si>
  <si>
    <t>Visszaállítható biztosítékok</t>
  </si>
  <si>
    <t>Készülékvédő biztosítékok</t>
  </si>
  <si>
    <t>Biztosíték foglaltok</t>
  </si>
  <si>
    <t>Négyszögletes csatlakozók</t>
  </si>
  <si>
    <t>Koaxiális csatlakozók</t>
  </si>
  <si>
    <t>Kódolókapcsolók / Billentyűzetek / Joystick-ok</t>
  </si>
  <si>
    <t>Forgókapcsolók / Kulcsoskapcsolók / Encoder</t>
  </si>
  <si>
    <t>Beépíthető kapcsolók / Jelzőfények</t>
  </si>
  <si>
    <t>Nyomógomb</t>
  </si>
  <si>
    <t>Kisérleti rendszer / Építőelemek</t>
  </si>
  <si>
    <t>Szakkönyvek</t>
  </si>
  <si>
    <t>Szakkönyvek németül</t>
  </si>
  <si>
    <t>Szakkönyvek olaszul</t>
  </si>
  <si>
    <t>Szakkönyvek franciául</t>
  </si>
  <si>
    <t>Szakkönyvek svédül</t>
  </si>
  <si>
    <t>Szakkönyvek angolul</t>
  </si>
  <si>
    <t>Induktív érzékelők</t>
  </si>
  <si>
    <t>Kapacitív érzékelők</t>
  </si>
  <si>
    <t>Ultrahangos érzékelők</t>
  </si>
  <si>
    <t>Diskrétne polovodiče / elektrónky</t>
  </si>
  <si>
    <t>Diódy</t>
  </si>
  <si>
    <t>Mostíkové usmerňovače</t>
  </si>
  <si>
    <t>Vysokofrekvenčné tranzistory</t>
  </si>
  <si>
    <t>Analógové obvody</t>
  </si>
  <si>
    <t>Časovacie a oscilačné obvody</t>
  </si>
  <si>
    <t>Prevodníky dát</t>
  </si>
  <si>
    <t>Vzorkovacia a tvarovacie obvody</t>
  </si>
  <si>
    <t>Snímacie obvody</t>
  </si>
  <si>
    <t>Obvody rozhrania</t>
  </si>
  <si>
    <t>Operačné zosilňovače</t>
  </si>
  <si>
    <t>Budiace obvody</t>
  </si>
  <si>
    <t>Spúšťacie obvody</t>
  </si>
  <si>
    <t>Integrované obvody pre nabíjanie akumulátorov</t>
  </si>
  <si>
    <t>vysokofrekvenčné obvody</t>
  </si>
  <si>
    <t>Digitálne obvody / Vývojové nástroje</t>
  </si>
  <si>
    <t>Programovacie zariadenia</t>
  </si>
  <si>
    <t>Zariadenie pre mazanie pamäťou EPROM</t>
  </si>
  <si>
    <t>Komunikačné obvody</t>
  </si>
  <si>
    <t>Montážny materiál pre polovodiče</t>
  </si>
  <si>
    <t>Inštalačné materiály pre diskrétne polovodiče</t>
  </si>
  <si>
    <t>Testovacie pätice a testovacie svorky</t>
  </si>
  <si>
    <t>Tepelne vodivé zmesi a lepidlá</t>
  </si>
  <si>
    <t>Tepelné prvky a prvky využívajúce Peltierov princíp</t>
  </si>
  <si>
    <t>LED diódy</t>
  </si>
  <si>
    <t>Svetelné tyče s LED diódami</t>
  </si>
  <si>
    <t>Montážne materiály pre LED diódy</t>
  </si>
  <si>
    <t>LCD displeje so sériovým rozhraním</t>
  </si>
  <si>
    <t>Inteligentné LCD displeje a dotykové panely</t>
  </si>
  <si>
    <t>Súčasti využívajúce infračervené žiarenie</t>
  </si>
  <si>
    <t>Svetelná čidlá</t>
  </si>
  <si>
    <t>Vidlicový a odrazový väzobný člen</t>
  </si>
  <si>
    <t>Súčasti pre optické vlákna</t>
  </si>
  <si>
    <t>Frekvenčné regulátory a časovače</t>
  </si>
  <si>
    <t>Polymérové ​​kondenzátory</t>
  </si>
  <si>
    <t>Odrušovacie kondenzátory</t>
  </si>
  <si>
    <t>Sortiment,dekády,rezistory</t>
  </si>
  <si>
    <t>Obmedzovače prepätia</t>
  </si>
  <si>
    <t>NTC rezistory (vysoká teplota)</t>
  </si>
  <si>
    <t>Rezistorové siete</t>
  </si>
  <si>
    <t>Presné rezistory</t>
  </si>
  <si>
    <t>Drôtové rezistory</t>
  </si>
  <si>
    <t>Rezistory snímaniu prúdu</t>
  </si>
  <si>
    <t>Potenciometer, Trimmer</t>
  </si>
  <si>
    <t>Potenciometer</t>
  </si>
  <si>
    <t>Ferity / induktory / filter</t>
  </si>
  <si>
    <t>Induktory / tlmivky</t>
  </si>
  <si>
    <t>Odrušovacie filtre / sieťový filter</t>
  </si>
  <si>
    <t>Poistky a ističe pre zariadenia</t>
  </si>
  <si>
    <t>Poistky</t>
  </si>
  <si>
    <t>SMD poistky</t>
  </si>
  <si>
    <t>Automobilové poistky a držiaky poistiek</t>
  </si>
  <si>
    <t>Tepelné poistky</t>
  </si>
  <si>
    <t>Vratné poistky</t>
  </si>
  <si>
    <t>Prístrojové ističe</t>
  </si>
  <si>
    <t>Držiaky poistiek</t>
  </si>
  <si>
    <t>Viacvrstvové antény, SMD</t>
  </si>
  <si>
    <t>Konektory pre ploché káble</t>
  </si>
  <si>
    <t>D-sub-komponenty</t>
  </si>
  <si>
    <t>Priemyslové konektory</t>
  </si>
  <si>
    <t>Konektory na sťažené podminky</t>
  </si>
  <si>
    <t>Obdĺžnikové konektory</t>
  </si>
  <si>
    <t>Koaxiálny konektor</t>
  </si>
  <si>
    <t>Relé pre dosky plošných spojov</t>
  </si>
  <si>
    <t>Priemyselné relé</t>
  </si>
  <si>
    <t>Jazýčkové relé / jazýčkové kontakty / magnety</t>
  </si>
  <si>
    <t>Sieťové vypínače</t>
  </si>
  <si>
    <t>Miniatúrne spínače / tlačidlá pre dosky plošných spojov</t>
  </si>
  <si>
    <t>Kódovací spínače / klávesnica / pákové ovládače</t>
  </si>
  <si>
    <t>Otočné spínače / spínače ovládané kľúčom / kódery</t>
  </si>
  <si>
    <t>Tlačidlové spínače / kontrolky</t>
  </si>
  <si>
    <t>Gombíky</t>
  </si>
  <si>
    <t>Softvér pre návrhy dosiek plošných spojov</t>
  </si>
  <si>
    <t>Experimentálne dosky / výroba dosiek plošných spojov</t>
  </si>
  <si>
    <t>Bezdrôtová komunikácia</t>
  </si>
  <si>
    <t>Experimentálne systémy / Zostavy</t>
  </si>
  <si>
    <t>Odborné knihy v nemeckom jazyku</t>
  </si>
  <si>
    <t>Odborné knihy v talianskom jazyku</t>
  </si>
  <si>
    <t>Odborné knihy vo francúzskom jazyku</t>
  </si>
  <si>
    <t>Odborné knihy vo švédskom jazyku</t>
  </si>
  <si>
    <t>Odborné knihy v anglickom jazyku</t>
  </si>
  <si>
    <t>Univerzálne transformátory</t>
  </si>
  <si>
    <t>Ovládacie transformátory</t>
  </si>
  <si>
    <t>Toroidné transformátory</t>
  </si>
  <si>
    <t>Bezpečnostné transformátory</t>
  </si>
  <si>
    <t>Autotransformátory</t>
  </si>
  <si>
    <t>Regulačné transformátory</t>
  </si>
  <si>
    <t>Batérie / Nabíjačky / Akumulátory</t>
  </si>
  <si>
    <t>Prístrojové batérie</t>
  </si>
  <si>
    <t>Nabíjačky</t>
  </si>
  <si>
    <t>Menič</t>
  </si>
  <si>
    <t>Obnoviteľné zdroje energie</t>
  </si>
  <si>
    <t>Príslušenstvo pre prístrojové batérie a akumulátory</t>
  </si>
  <si>
    <t>Priemyselný napájací zdroj DC / DC, AC / DC</t>
  </si>
  <si>
    <t>DC / DC napájacie zdroje</t>
  </si>
  <si>
    <t>AC / DC napájacie zdroje</t>
  </si>
  <si>
    <t>DC / DC napájacie zdroje, PCB</t>
  </si>
  <si>
    <t>AC / DC napájacie zdroje, PCB</t>
  </si>
  <si>
    <t>Neprerušiteľný zdroj napájania</t>
  </si>
  <si>
    <t>Laboratórne zdroje a elektronické záťaže</t>
  </si>
  <si>
    <t>Elektronické záťaže</t>
  </si>
  <si>
    <t>Pevné zdroja napätie</t>
  </si>
  <si>
    <t>Oddeľovacie transformátory</t>
  </si>
  <si>
    <t>Laboratórne zdroje</t>
  </si>
  <si>
    <t>Merače zdrojov</t>
  </si>
  <si>
    <t>Laboratórne konektory a príslušenstvo pre meracie práce</t>
  </si>
  <si>
    <t>Laboratórne konektory</t>
  </si>
  <si>
    <t>Držiak laboratórnych káblov</t>
  </si>
  <si>
    <t>Meracie káble a sondy</t>
  </si>
  <si>
    <t>Meracie prístroje</t>
  </si>
  <si>
    <t>Multimetre a prúdové kliešte</t>
  </si>
  <si>
    <t>Elektrické skúšačky</t>
  </si>
  <si>
    <t>Skúšačky elektroinštalácií</t>
  </si>
  <si>
    <t>Wattmetre</t>
  </si>
  <si>
    <t>Spektrálny analyzátor</t>
  </si>
  <si>
    <t>Generátory funkcii a frekvenčné čítače</t>
  </si>
  <si>
    <t>Panelové prístroje</t>
  </si>
  <si>
    <t>Analógové meracie prístroje</t>
  </si>
  <si>
    <t>Digitálne meracie prístroje</t>
  </si>
  <si>
    <t>Odporové bočníky a meniče</t>
  </si>
  <si>
    <t>Procesné ukazovatele / Ovládače / PLC / HMI</t>
  </si>
  <si>
    <t>Ovládanie</t>
  </si>
  <si>
    <t>Procesný regulátor</t>
  </si>
  <si>
    <t>Procesné ukazovatele</t>
  </si>
  <si>
    <t>Priemyselná komunikácia</t>
  </si>
  <si>
    <t>I / O moduly a relé rozhrania</t>
  </si>
  <si>
    <t>Prevodník rozhrania</t>
  </si>
  <si>
    <t>Merací prevodník a prevodník signálu</t>
  </si>
  <si>
    <t>Rozhrania snímača aktivátora</t>
  </si>
  <si>
    <t>Priemyselný Ethernet</t>
  </si>
  <si>
    <t>Diaľkový prenos dát</t>
  </si>
  <si>
    <t>Indukčné snímače</t>
  </si>
  <si>
    <t>Kapacitné snímače</t>
  </si>
  <si>
    <t>Snímače pojazdu</t>
  </si>
  <si>
    <t>Spínacie / Meracie a počítacie / Monitorovacie / Príkazové / Signalizačné prístroje</t>
  </si>
  <si>
    <t>Monitorovacie relé / moduly</t>
  </si>
  <si>
    <t>Bezpečnostné prvky</t>
  </si>
  <si>
    <t>Ovládacie a signalizačné prístroje 22mm</t>
  </si>
  <si>
    <t>Technika pohonov</t>
  </si>
  <si>
    <t>Ovladanie motorov</t>
  </si>
  <si>
    <t>Jednosmerné motory</t>
  </si>
  <si>
    <t>Prevodovka</t>
  </si>
  <si>
    <t>Lineárne pohony</t>
  </si>
  <si>
    <t>Akčné členy</t>
  </si>
  <si>
    <t>Konektory / spätné ventily</t>
  </si>
  <si>
    <t>Klimatizácia</t>
  </si>
  <si>
    <t>Snímače polohy pre pneumatiky</t>
  </si>
  <si>
    <t>Signalizačné prístroje</t>
  </si>
  <si>
    <t>Optické signalizačné prístroje</t>
  </si>
  <si>
    <t>Opticko -akustický vysielač signálu</t>
  </si>
  <si>
    <t>Istič, THD</t>
  </si>
  <si>
    <t>Poistky / prúdové chrániče / prepäťová ochrana</t>
  </si>
  <si>
    <t>Púzdra / ventilátory / dosky plošných spojov</t>
  </si>
  <si>
    <t>Skrine - príslušenstvo</t>
  </si>
  <si>
    <t>19 "skrine</t>
  </si>
  <si>
    <t>Plastová / kovová púzdra</t>
  </si>
  <si>
    <t>Príslušenstvo pre ventilátor</t>
  </si>
  <si>
    <t>Káble a inštalačný materiál</t>
  </si>
  <si>
    <t>Napájacie káble</t>
  </si>
  <si>
    <t>Regulácia Svetlá / spínače</t>
  </si>
  <si>
    <t>Sieťový kábel / ovládací kábel / dátový kábel / optický kábel</t>
  </si>
  <si>
    <t>Koaxiálny kábel / Audio kábel  / plochý kábel / napájací kábel</t>
  </si>
  <si>
    <t>Viazacie pásky pre káble / nosné prvky pre káble</t>
  </si>
  <si>
    <t>Pásková svorkovnice / svorky pre osvetlenie</t>
  </si>
  <si>
    <t>Osvetľovacia technika</t>
  </si>
  <si>
    <t>LED bodové svetlá</t>
  </si>
  <si>
    <t>LED svetlá</t>
  </si>
  <si>
    <t>Elektroluminiscenčné fólie</t>
  </si>
  <si>
    <t>Príslušenstvo pre výkonové LED</t>
  </si>
  <si>
    <t>Svetelné zdroje</t>
  </si>
  <si>
    <t>LED žiarovky</t>
  </si>
  <si>
    <t>Halogénové žiarovky</t>
  </si>
  <si>
    <t>Žiarivky</t>
  </si>
  <si>
    <t>Automobilové žiarovky</t>
  </si>
  <si>
    <t>Signálne lampy</t>
  </si>
  <si>
    <t>Štartéry a predradníky</t>
  </si>
  <si>
    <t>Svietidlá / Pracovné lampy /Osvetlenie</t>
  </si>
  <si>
    <t>Kancelárske lampy</t>
  </si>
  <si>
    <t>Pracovné lampy</t>
  </si>
  <si>
    <t>Osvetlenie prístrojov</t>
  </si>
  <si>
    <t>Nástenné a stropné svietidlá</t>
  </si>
  <si>
    <t>Vonkajšie svetlá</t>
  </si>
  <si>
    <t>Napájacie zdroje</t>
  </si>
  <si>
    <t>USB napájanie</t>
  </si>
  <si>
    <t>Náradie</t>
  </si>
  <si>
    <t>Ručné náradie</t>
  </si>
  <si>
    <t>Elektrické náradie</t>
  </si>
  <si>
    <t>Bezšnúrové elektrické náradie</t>
  </si>
  <si>
    <t>Spájkovanie</t>
  </si>
  <si>
    <t>Spájkovačky</t>
  </si>
  <si>
    <t>Stanice pre opravy, teplovzdušné spájkovanie a odspájkovanie</t>
  </si>
  <si>
    <t>Zachytávač výparov zo spájkovania a filtračné systémy</t>
  </si>
  <si>
    <t>Spájkovanie, odspájkovanie a teplovzdušné dýzy</t>
  </si>
  <si>
    <t>Spájkovacie príslušenstvo a náhradné diely</t>
  </si>
  <si>
    <t>Spájkovacie materiály</t>
  </si>
  <si>
    <t>Dávkovacie zariadenie</t>
  </si>
  <si>
    <t>Laky, čistiace prostriedky a brúsny papier</t>
  </si>
  <si>
    <t>Čistiace utierky a príslušenstvo</t>
  </si>
  <si>
    <t>Tesniace zmesi</t>
  </si>
  <si>
    <t>Lepiace pásky</t>
  </si>
  <si>
    <t>Lepiaca technika</t>
  </si>
  <si>
    <t>Krabice, zásuvky a kontajnery</t>
  </si>
  <si>
    <t>ESD- bezpečnostné produkty</t>
  </si>
  <si>
    <t>Osobná ochrana</t>
  </si>
  <si>
    <t>Testovacie značky</t>
  </si>
  <si>
    <t>Mechanické súčiastky</t>
  </si>
  <si>
    <t>Šroby, hmoždinky a pružiny</t>
  </si>
  <si>
    <t>Dištančné skrutky a podložky</t>
  </si>
  <si>
    <t>Závesy / Zámky</t>
  </si>
  <si>
    <t>Valce / Kolesá</t>
  </si>
  <si>
    <t>Ložiská</t>
  </si>
  <si>
    <t>Káble a napájacie zdroje</t>
  </si>
  <si>
    <t>Počítačové káble / Napájacie káble</t>
  </si>
  <si>
    <t>Sieťový kábel / Telefónny kábel</t>
  </si>
  <si>
    <t>Audio kábel / Video kábel</t>
  </si>
  <si>
    <t>Rozdvojky / Ochrana proti prepätiu</t>
  </si>
  <si>
    <t>Multimédia a prezentácie</t>
  </si>
  <si>
    <t>Televízory / Despleje / Mediálne prehrávače / DVB</t>
  </si>
  <si>
    <t>Prenosné audio / MP3 / Radio</t>
  </si>
  <si>
    <t>HiFi / Reproduktory / Slúchadlá / Mikrofóny</t>
  </si>
  <si>
    <t>Digitálne fotoaparáty / Príslušenstvo</t>
  </si>
  <si>
    <t>Videokamery / Príslušenstvo</t>
  </si>
  <si>
    <t>SAT / Digitálny prijímač / Antény</t>
  </si>
  <si>
    <t>Navigácie / GPS</t>
  </si>
  <si>
    <t>PC / Servre</t>
  </si>
  <si>
    <t>Príslušenstvo pre Notebooky / Tablety / Čítačky elektronických kníh</t>
  </si>
  <si>
    <t>Projektory / Plátna / Príslušenstvo</t>
  </si>
  <si>
    <t>Základné dosky / CPU / chladič</t>
  </si>
  <si>
    <t>Rozširujúce karty</t>
  </si>
  <si>
    <t>Počítačové skrine / príslušenstvo</t>
  </si>
  <si>
    <t>Tlačiarne a spotrebný materiál</t>
  </si>
  <si>
    <t>Tlačiarne / Multifunkčné tlačiarne</t>
  </si>
  <si>
    <t>Tlačiarne etikiet</t>
  </si>
  <si>
    <t>Atramentové kazety</t>
  </si>
  <si>
    <t>Označovacie pásky</t>
  </si>
  <si>
    <t>Papier / Fólie / Etikety</t>
  </si>
  <si>
    <t>Softvér a kancelárske potreby</t>
  </si>
  <si>
    <t>Softvér</t>
  </si>
  <si>
    <t>Čistiace produkty</t>
  </si>
  <si>
    <t>Evidencia / Archivácia</t>
  </si>
  <si>
    <t>Vybavenie kancelárií / príslušenstvo</t>
  </si>
  <si>
    <t>Skartovacie / Laminovacie / Viazacie prístroje</t>
  </si>
  <si>
    <t>Držiaky / bezpečnostné zámky</t>
  </si>
  <si>
    <t>Kalkulačky / Prekladače / Diktafóny</t>
  </si>
  <si>
    <t>Siete a Telekomunikácie</t>
  </si>
  <si>
    <t>Bezdrôtová sieť LAN / Router / Firewall</t>
  </si>
  <si>
    <t>Prepínače / Prevodníky / Sieťové karty</t>
  </si>
  <si>
    <t>Elektrické vedenia</t>
  </si>
  <si>
    <t>Sieťové produkty / Headsety</t>
  </si>
  <si>
    <t>Mobilné telefóny / Príslušenstvo</t>
  </si>
  <si>
    <t>Sieťový kábel / Inštalačný materiál</t>
  </si>
  <si>
    <t>Pamäť a periférne zariadenia</t>
  </si>
  <si>
    <t>Sieťové uložiská (NAS) / Mechaniky</t>
  </si>
  <si>
    <t>Pamäte USB / pamäťové karty / disky</t>
  </si>
  <si>
    <t>USB rozbočovače / Prepínače KVM / Video rozdelovače</t>
  </si>
  <si>
    <t>Konvertory rozhrania / Rozširovače</t>
  </si>
  <si>
    <t>Skenery / Čítačky dokumentov / Grafické Tablety</t>
  </si>
  <si>
    <t>Nabíjačky / Adaptéry</t>
  </si>
  <si>
    <t>Voľný čas a hobby</t>
  </si>
  <si>
    <t>Outdoor / Šport / Fitness / Wellness</t>
  </si>
  <si>
    <t>Diodai</t>
  </si>
  <si>
    <t>Tiltiniai lygintuvai</t>
  </si>
  <si>
    <t>HF tranzistoriai</t>
  </si>
  <si>
    <t>Tiristoriai</t>
  </si>
  <si>
    <t>Lempos</t>
  </si>
  <si>
    <t>Analoginės schemos</t>
  </si>
  <si>
    <t>Laikmačių ir oscilatorių grandinės</t>
  </si>
  <si>
    <t>Duomenų keitikliai</t>
  </si>
  <si>
    <t>Reikšmių fiksavimo grandinės</t>
  </si>
  <si>
    <t>Jutiklių grandinės</t>
  </si>
  <si>
    <t>Sąsajų grandinės</t>
  </si>
  <si>
    <t>Stiprintuvai</t>
  </si>
  <si>
    <t>Valdiklių grandinės</t>
  </si>
  <si>
    <t>Trigerių grandinės</t>
  </si>
  <si>
    <t>Valdikliai, optoelektronika</t>
  </si>
  <si>
    <t>Maitinimo valdymas</t>
  </si>
  <si>
    <t>HF grandinės</t>
  </si>
  <si>
    <t>Mikrovaldikliai</t>
  </si>
  <si>
    <t>Programavimo įrankiai</t>
  </si>
  <si>
    <t>Programavimo įrenginiai</t>
  </si>
  <si>
    <t>EPROM trynimo įrenginiai</t>
  </si>
  <si>
    <t>Ryšio grandinės</t>
  </si>
  <si>
    <t>Puslaidininkių montavimo priemonės</t>
  </si>
  <si>
    <t>Puslaidininkių montavimo priedai</t>
  </si>
  <si>
    <t>Testavimo lizdai ir testavimo spaustukai</t>
  </si>
  <si>
    <t>Radiatoriai ir ventiliatorių blokai</t>
  </si>
  <si>
    <t>Termopasta ir klijai</t>
  </si>
  <si>
    <t>Peltjė ir šilumos elementai</t>
  </si>
  <si>
    <t>Šviesos diodai</t>
  </si>
  <si>
    <t>LED juostos ir ekranai</t>
  </si>
  <si>
    <t>LED taškinės matricos ekranai</t>
  </si>
  <si>
    <t>Šviesos diodų montavimo medžiagos</t>
  </si>
  <si>
    <t>LCD ekranai</t>
  </si>
  <si>
    <t>LCD ekranai su skaitmenine sąsaja</t>
  </si>
  <si>
    <t>Išmanieji LCD ekranai ir liečiami ekranai</t>
  </si>
  <si>
    <t>Dvispalviai LCD ekranai</t>
  </si>
  <si>
    <t>TFT ekranai</t>
  </si>
  <si>
    <t>VFD ekranai</t>
  </si>
  <si>
    <t>IR komponentai</t>
  </si>
  <si>
    <t>Šviesos jutikliai</t>
  </si>
  <si>
    <t>Optronai</t>
  </si>
  <si>
    <t>U formos ir atspindžio optiniai komponentai</t>
  </si>
  <si>
    <t>Lazeriai</t>
  </si>
  <si>
    <t>Šviesolaidiniai komponentai</t>
  </si>
  <si>
    <t>Elektrolitiniai kondensatoriai</t>
  </si>
  <si>
    <t>Polimeriniai kondensatoriai</t>
  </si>
  <si>
    <t>Tantalo kondensatoriai</t>
  </si>
  <si>
    <t>Keraminiai kondensatoriai</t>
  </si>
  <si>
    <t>Plėveliniai kondensatoriai</t>
  </si>
  <si>
    <t>Maitinimo kondensatoriai</t>
  </si>
  <si>
    <t>Trukdžių slopinimo kondensatoriai</t>
  </si>
  <si>
    <t>Rinkiniai, dekados, kondensatoriai</t>
  </si>
  <si>
    <t>Rinkiniai, dekados, rezistoriai</t>
  </si>
  <si>
    <t>Varistoriai</t>
  </si>
  <si>
    <t>Viršįtampių ribotuvai</t>
  </si>
  <si>
    <t>NTC rezistoriai (aukštos temperatūros)</t>
  </si>
  <si>
    <t>PTC rezistoriai (žemos temperatūros)</t>
  </si>
  <si>
    <t>SMD ir juostiniai rezistoriai</t>
  </si>
  <si>
    <t>Rezistorių tinklai</t>
  </si>
  <si>
    <t>Preciziniai rezistoriai</t>
  </si>
  <si>
    <t>Vieliniai rezistoriai</t>
  </si>
  <si>
    <t>Srovės jutiminiai resistoriai</t>
  </si>
  <si>
    <t>Derinimo rezistoriai</t>
  </si>
  <si>
    <t>Feritai</t>
  </si>
  <si>
    <t>EMI feritai</t>
  </si>
  <si>
    <t>Rinkiniai, dekados, induktoriai / droseliai</t>
  </si>
  <si>
    <t>Induktoriai / droseliai</t>
  </si>
  <si>
    <t>Trukdžių slopinimo filtrai / maitinimo filtrai</t>
  </si>
  <si>
    <t>Saugikliai ir grandinės pertraukikliai</t>
  </si>
  <si>
    <t>Saugikliai</t>
  </si>
  <si>
    <t>SMD saugikliai</t>
  </si>
  <si>
    <t>Automobilių saugikliai ir saugiklių laikikliai</t>
  </si>
  <si>
    <t>Šiluminiai saugikliai</t>
  </si>
  <si>
    <t>Saugikliai su perkrovimo funkcija</t>
  </si>
  <si>
    <t>Prietaisų grandinių pertraukikliai</t>
  </si>
  <si>
    <t>Saugiklių laikikliai</t>
  </si>
  <si>
    <t>Plokščių kabelių jungtys</t>
  </si>
  <si>
    <t>D-SUB komponentai</t>
  </si>
  <si>
    <t>Audio / Video / Kompiuterių jungtys</t>
  </si>
  <si>
    <t>Ypač atsparios pramoninės jungtys</t>
  </si>
  <si>
    <t>Stačiakampės jungtys</t>
  </si>
  <si>
    <t>Koaksialinės jungtys</t>
  </si>
  <si>
    <t>Puslaidininkinės relės</t>
  </si>
  <si>
    <t>Mikrojungikliai / greito suveikimo jungikliai</t>
  </si>
  <si>
    <t>Kodavimo jungikliai / klaviatūros / valdymo svirtys</t>
  </si>
  <si>
    <t>Sukamieji jungikliai / raktu valdomi jungikliai / kodavimo įrenginiai</t>
  </si>
  <si>
    <t>Mygtukai / indikatoriai</t>
  </si>
  <si>
    <t>Rankenėlės</t>
  </si>
  <si>
    <t>„Bluetooth“</t>
  </si>
  <si>
    <t>„ZigBee™“</t>
  </si>
  <si>
    <t>Elektroninės schemos / Schemų rinkiniai</t>
  </si>
  <si>
    <t>Techninės knygos</t>
  </si>
  <si>
    <t>Techninės knygos vokiečių k.</t>
  </si>
  <si>
    <t>Techninės knygos italų k.</t>
  </si>
  <si>
    <t>Techninės knygos prancūzų k.</t>
  </si>
  <si>
    <t>Techninės knygos švedų k.</t>
  </si>
  <si>
    <t>Techninės knygos anglų k.</t>
  </si>
  <si>
    <t>Autotransformatoriai / Izoliuojantieji transformatoriai</t>
  </si>
  <si>
    <t>Baterijos / įkrovikliai / atsinaujinančios energetikos komponentai</t>
  </si>
  <si>
    <t>Inverteriai</t>
  </si>
  <si>
    <t>Elektroninės apkrovos</t>
  </si>
  <si>
    <t>Pastovios įtampos maitinimo šaltiniai</t>
  </si>
  <si>
    <t>Izoliuojantys transformatoriai</t>
  </si>
  <si>
    <t>Matuojantys maitinimo šaltiniai</t>
  </si>
  <si>
    <t>Laboratorinių kabelių laikikliai</t>
  </si>
  <si>
    <t>Galios testavimo prietaisai</t>
  </si>
  <si>
    <t>Matavimo prietaisai elektros skydams</t>
  </si>
  <si>
    <t>Analoginiai matuokliai elektros skydams</t>
  </si>
  <si>
    <t>Skaitmeniniai matuokliai elektros skydams</t>
  </si>
  <si>
    <t>Šuntai ir parametrų keitikliai</t>
  </si>
  <si>
    <t>Procesų ekranai / Reguliatoriai / PLV / HMI</t>
  </si>
  <si>
    <t>PLV sistemos</t>
  </si>
  <si>
    <t>Procesų valdikliai</t>
  </si>
  <si>
    <t>I/O moduliai ir sąsajų relės</t>
  </si>
  <si>
    <t>Vykdiklių-jutiklių sąsajos</t>
  </si>
  <si>
    <t>Pramoninės komunikacijos prietaisai</t>
  </si>
  <si>
    <t>Induktyviniai artumo jutikliai</t>
  </si>
  <si>
    <t>Talpuminiai artumo jutikliai</t>
  </si>
  <si>
    <t>Ultragarsiniai jutikliai</t>
  </si>
  <si>
    <t>Enkoderiai</t>
  </si>
  <si>
    <t>Kontaktoriai / Jungikliai / Laiko relės / Funkcinės relės / Saugos komponentai</t>
  </si>
  <si>
    <t>Relės su laikmačiais</t>
  </si>
  <si>
    <t>Matavimo ir valdymo relės</t>
  </si>
  <si>
    <t>Valdymo jungikliai ir indikatoriai 22 mm</t>
  </si>
  <si>
    <t>DC varikliai</t>
  </si>
  <si>
    <t>Žingsniniai varikliai ir servo pavaros</t>
  </si>
  <si>
    <t>Pneumo cilindrai / solenoidai / vykdymo įtaisai</t>
  </si>
  <si>
    <t>Pneumatinės jungtys / vožtuvai</t>
  </si>
  <si>
    <t>Vakuumo technika</t>
  </si>
  <si>
    <t>Oro paruošimo komponentai</t>
  </si>
  <si>
    <t>Padėties jutikliai pneumatikai</t>
  </si>
  <si>
    <t>Garsiniai ir šviesos signalai</t>
  </si>
  <si>
    <t>Šviesos signalai</t>
  </si>
  <si>
    <t>Šviesos / garsiniai kombinuoti signalai</t>
  </si>
  <si>
    <t>Garsiniai signalai</t>
  </si>
  <si>
    <t>Saugikliai / RCD / apsauga nuo viršįtampių</t>
  </si>
  <si>
    <t>Montavimo dėžutės, spintos / ventiliatoriai / PCB plokštės</t>
  </si>
  <si>
    <t>19'' Montavimo spintos</t>
  </si>
  <si>
    <t>Plastikinės / metalinės dėžutės</t>
  </si>
  <si>
    <t>Apšvietimo valdikliai / Perjungėjai</t>
  </si>
  <si>
    <t>Tinklo kabeliai / valdymo kabeliai / duomenų kabeliai / šviesolaidiniai kabeliai</t>
  </si>
  <si>
    <t>Koaksialiniai kabeliai / audio kabeliai / plokšti kabeliai / maitinimo kabeliai</t>
  </si>
  <si>
    <t>Gnybtų žymėjimo juostos / apšvietimo gnybtai</t>
  </si>
  <si>
    <t>LED komponentai</t>
  </si>
  <si>
    <t>LED lemputės</t>
  </si>
  <si>
    <t>LED moduliai</t>
  </si>
  <si>
    <t>LED jungtys</t>
  </si>
  <si>
    <t>LED valdikliai</t>
  </si>
  <si>
    <t>Elektroliuminescencinės plokštės</t>
  </si>
  <si>
    <t>LED priedai</t>
  </si>
  <si>
    <t>LED lempos</t>
  </si>
  <si>
    <t>Žibintai / darbo vietos apšvietimas / šviestuvai</t>
  </si>
  <si>
    <t>Darbo vietos lempos</t>
  </si>
  <si>
    <t>Sienų ir lubų apšvietimo įranga</t>
  </si>
  <si>
    <t>AC/DC kištukiniai maitinimo šaltiniai</t>
  </si>
  <si>
    <t>Akumuliatoriniai įrankiai</t>
  </si>
  <si>
    <t>Litavimo, lydmetalio šalinimo ir perlitavimo stotelės</t>
  </si>
  <si>
    <t>Lydmetalio padavimo įranga</t>
  </si>
  <si>
    <t>Priežiūros priemonės</t>
  </si>
  <si>
    <t>Sandarinimo medžiagos</t>
  </si>
  <si>
    <t>Lipnios juostos</t>
  </si>
  <si>
    <t>Dėžės, spintos su stalčiais ir konteineriai</t>
  </si>
  <si>
    <t>ESD prekės</t>
  </si>
  <si>
    <t>Montavimo priedai ir tarpinės</t>
  </si>
  <si>
    <t>Teleskopiniai ir linijiniai bėgeliai</t>
  </si>
  <si>
    <t>Ratukai įrangai</t>
  </si>
  <si>
    <t>Kompiuterių kabeliai / Maitinimo kabeliai</t>
  </si>
  <si>
    <t>Tinklo kabeliai / Telefoniniai kabeliai</t>
  </si>
  <si>
    <t>Audio kabeliai / Video kabeliai</t>
  </si>
  <si>
    <t>Šakotuvai / Apsauginiai priedai</t>
  </si>
  <si>
    <t>Multimedija / Priedai</t>
  </si>
  <si>
    <t>Televizoriai / Ekranai / Medijos failų leistuvai / DVB</t>
  </si>
  <si>
    <t>Nešiojamoji garso įranga / MP3 / Radijos</t>
  </si>
  <si>
    <t>„HiFi“ / Garsiakalbiai / Ausinės / Mikrofonai</t>
  </si>
  <si>
    <t>Skaitmeniniai fotoaparatai / Priedai</t>
  </si>
  <si>
    <t>Vaizdo kameros / Priedai</t>
  </si>
  <si>
    <t>SAT / Skaitmeniniai imtuvai / Antenos</t>
  </si>
  <si>
    <t>Kompiuterijos ir PC komponentai</t>
  </si>
  <si>
    <t>Nešiojami kompiuteriai / planšetės / el. skaitytuvai</t>
  </si>
  <si>
    <t>Nešiojamų kompiuterių priedai</t>
  </si>
  <si>
    <t>Projektoriai / Projekcijų ekranai / Priedai</t>
  </si>
  <si>
    <t>Spausdintuvai / Daugiafunkciai spausdintuvai</t>
  </si>
  <si>
    <t>Dažų juostos / Ženklinimo mašinų priedai</t>
  </si>
  <si>
    <t>Popierius / Plėvelės / Etiketės</t>
  </si>
  <si>
    <t>Smulkintuvai / Laminavimas / Įrišimas</t>
  </si>
  <si>
    <t>Laikikliai / Apsauginiai užraktai</t>
  </si>
  <si>
    <t>Skaičiuotuvai / Vertimo įrenginiai / Diktofonai</t>
  </si>
  <si>
    <t>Belaidis LAN / Maršrutizatoriai / Ugniasienė</t>
  </si>
  <si>
    <t>Linijos komunikatoriai</t>
  </si>
  <si>
    <t>Fiksuoto ryšio telefonai / Biuro ausinės</t>
  </si>
  <si>
    <t>Išmanieji telefonai / Mobilieji įrenginiai / Priedai</t>
  </si>
  <si>
    <t>IP kameros / Balso perdavimas per IP</t>
  </si>
  <si>
    <t>Tinklo kabeliai / Instaliavimo medžiagos</t>
  </si>
  <si>
    <t>Baterijų įkrovikliai / Maitinimo adapteriai</t>
  </si>
  <si>
    <t>Hobis ir laisvalaikis</t>
  </si>
  <si>
    <t>Turizmas / Sportas / Kūno rengyba / Sveikata</t>
  </si>
  <si>
    <t>Tiedonsiirto sähköverkossa</t>
  </si>
  <si>
    <t>kuulokkeet kiinteään ja mobiili puhelin verkkoon</t>
  </si>
  <si>
    <t>Elektromechanische Bauelemente</t>
  </si>
  <si>
    <t>Composants électromécaniques</t>
  </si>
  <si>
    <t>Componenti elettromeccanici</t>
  </si>
  <si>
    <t>Elektromekaniske komponenter</t>
  </si>
  <si>
    <r>
      <rPr>
        <sz val="11"/>
        <color theme="1"/>
        <rFont val="Calibri"/>
        <family val="2"/>
      </rPr>
      <t>Elektromechaniniai komponentai</t>
    </r>
  </si>
  <si>
    <t>Elektromekaniska komponenter</t>
  </si>
  <si>
    <r>
      <rPr>
        <sz val="11"/>
        <color theme="1"/>
        <rFont val="Calibri"/>
        <family val="2"/>
      </rPr>
      <t>Elektromehaanilised komponendid</t>
    </r>
  </si>
  <si>
    <t>Sähkömekaaniset komponentit</t>
  </si>
  <si>
    <r>
      <rPr>
        <sz val="11"/>
        <color theme="1"/>
        <rFont val="Calibri"/>
        <family val="2"/>
      </rPr>
      <t>Elektromehāniskie komponenti</t>
    </r>
  </si>
  <si>
    <r>
      <rPr>
        <sz val="11"/>
        <color theme="1"/>
        <rFont val="Calibri"/>
        <family val="2"/>
      </rPr>
      <t>Elektromechanische componenten</t>
    </r>
  </si>
  <si>
    <t>Elementy elektromechaniczne</t>
  </si>
  <si>
    <r>
      <rPr>
        <sz val="11"/>
        <color theme="1"/>
        <rFont val="Calibri"/>
        <family val="2"/>
      </rPr>
      <t>Электромеханические компоненты</t>
    </r>
  </si>
  <si>
    <r>
      <rPr>
        <sz val="11"/>
        <color theme="1"/>
        <rFont val="Calibri"/>
        <family val="2"/>
      </rPr>
      <t>Elektromechanické součástky</t>
    </r>
  </si>
  <si>
    <r>
      <rPr>
        <sz val="11"/>
        <color theme="1"/>
        <rFont val="Calibri"/>
        <family val="2"/>
      </rPr>
      <t>Componente electromecanice</t>
    </r>
  </si>
  <si>
    <t>Elektromechanikus alkatrészek</t>
  </si>
  <si>
    <r>
      <rPr>
        <sz val="11"/>
        <color theme="1"/>
        <rFont val="Calibri"/>
        <family val="2"/>
      </rPr>
      <t>Elektromechanické súčiastky</t>
    </r>
  </si>
  <si>
    <t>Embedded / Drahtlos / Schulung</t>
  </si>
  <si>
    <t>Systèmes embarqués et wireless / Education</t>
  </si>
  <si>
    <r>
      <rPr>
        <sz val="11"/>
        <color theme="1"/>
        <rFont val="Calibri"/>
        <family val="2"/>
      </rPr>
      <t>Integrato/Wireless/Formazione</t>
    </r>
  </si>
  <si>
    <r>
      <rPr>
        <sz val="11"/>
        <color theme="1"/>
        <rFont val="Calibri"/>
        <family val="2"/>
      </rPr>
      <t>Integreret / Trådløs / Uddannelse</t>
    </r>
  </si>
  <si>
    <r>
      <rPr>
        <sz val="11"/>
        <color theme="1"/>
        <rFont val="Calibri"/>
        <family val="2"/>
      </rPr>
      <t>Integruoti / Belaidžiai / Ugdomieji</t>
    </r>
  </si>
  <si>
    <t>Moduler / Trådløst / Utdanning</t>
  </si>
  <si>
    <t>Embedded / Wireless / Utbildning</t>
  </si>
  <si>
    <r>
      <rPr>
        <sz val="11"/>
        <color theme="1"/>
        <rFont val="Calibri"/>
        <family val="2"/>
      </rPr>
      <t>Manussüsteemid / juhtmevaba side / haridus</t>
    </r>
  </si>
  <si>
    <t>Sulautetut / Langattomat / Koulutus</t>
  </si>
  <si>
    <r>
      <rPr>
        <sz val="11"/>
        <color theme="1"/>
        <rFont val="Calibri"/>
        <family val="2"/>
      </rPr>
      <t>Iegultie risinājumi / bezvadu risinājumi / izglītība</t>
    </r>
  </si>
  <si>
    <r>
      <rPr>
        <sz val="11"/>
        <color theme="1"/>
        <rFont val="Calibri"/>
        <family val="2"/>
      </rPr>
      <t>Geïntegreerd / draadloos / onderwijs</t>
    </r>
  </si>
  <si>
    <t>Zestawy ćwiczeniowe / Technika bezprzewodowa / Edukacja</t>
  </si>
  <si>
    <r>
      <rPr>
        <sz val="11"/>
        <color theme="1"/>
        <rFont val="Calibri"/>
        <family val="2"/>
      </rPr>
      <t>Встроенные / Беспроводные / Учебные</t>
    </r>
  </si>
  <si>
    <r>
      <rPr>
        <sz val="11"/>
        <color theme="1"/>
        <rFont val="Calibri"/>
        <family val="2"/>
      </rPr>
      <t>Integrované technologie / bezdrátové technologie / vzdělávání</t>
    </r>
  </si>
  <si>
    <r>
      <rPr>
        <sz val="11"/>
        <color theme="1"/>
        <rFont val="Calibri"/>
        <family val="2"/>
      </rPr>
      <t>Integrat/Wireless/Educaţie</t>
    </r>
  </si>
  <si>
    <t>Wireless / Fejlesztés / Szakirodalom</t>
  </si>
  <si>
    <r>
      <rPr>
        <sz val="11"/>
        <color theme="1"/>
        <rFont val="Calibri"/>
        <family val="2"/>
      </rPr>
      <t>Zabudované/Bezdrôtové/Vzdelávania</t>
    </r>
  </si>
  <si>
    <t>Stromversorgungen / Batterien / Transformatoren</t>
  </si>
  <si>
    <t>Alimentations / Batteries / Transformateurs</t>
  </si>
  <si>
    <t>Alimentatori / Batterie / Trasformatori</t>
  </si>
  <si>
    <t>Strømforsyninger / Batterier / Transformere</t>
  </si>
  <si>
    <t>Baterijos / Transformatoriai / Maitinimo šaltiniai</t>
  </si>
  <si>
    <t>Strømforsyninger / Batterier / Transformatorer</t>
  </si>
  <si>
    <t>Strömförsörjning / Batterier / Transformatorer</t>
  </si>
  <si>
    <t>Patareid / Trafod / Toiteplokid</t>
  </si>
  <si>
    <t>Virtalähteet / Akut / Muuntajat</t>
  </si>
  <si>
    <t>Baterijas / Transformatori / Barošanas avoti</t>
  </si>
  <si>
    <t>Voedingen / Batterijen / Transformatoren</t>
  </si>
  <si>
    <t>Zasilacze / Baterie / Transformatory</t>
  </si>
  <si>
    <t>Источники питания / Батареи / Трансформатор</t>
  </si>
  <si>
    <t>Napájecí zdroje / Baterie / transformátory</t>
  </si>
  <si>
    <r>
      <rPr>
        <sz val="11"/>
        <color theme="1"/>
        <rFont val="Calibri"/>
        <family val="2"/>
      </rPr>
      <t>Surse de energie/Baterii/Transformatoare</t>
    </r>
  </si>
  <si>
    <t>Tápegységek / Telepek / Transzformátorok</t>
  </si>
  <si>
    <t>Napájacie zdroje / Batérie / Transformátory</t>
  </si>
  <si>
    <r>
      <rPr>
        <sz val="11"/>
        <color theme="1"/>
        <rFont val="Calibri"/>
        <family val="2"/>
      </rPr>
      <t>Tests et mesures</t>
    </r>
  </si>
  <si>
    <r>
      <rPr>
        <sz val="11"/>
        <color theme="1"/>
        <rFont val="Calibri"/>
        <family val="2"/>
      </rPr>
      <t>Test e misurazioni</t>
    </r>
  </si>
  <si>
    <r>
      <rPr>
        <sz val="11"/>
        <color theme="1"/>
        <rFont val="Calibri"/>
        <family val="2"/>
      </rPr>
      <t>Måleteknik</t>
    </r>
  </si>
  <si>
    <r>
      <rPr>
        <sz val="11"/>
        <color theme="1"/>
        <rFont val="Calibri"/>
        <family val="2"/>
      </rPr>
      <t>Testavimas ir matavimas</t>
    </r>
  </si>
  <si>
    <r>
      <rPr>
        <sz val="11"/>
        <color theme="1"/>
        <rFont val="Calibri"/>
        <family val="2"/>
      </rPr>
      <t>Test og måling</t>
    </r>
  </si>
  <si>
    <r>
      <rPr>
        <sz val="11"/>
        <color theme="1"/>
        <rFont val="Calibri"/>
        <family val="2"/>
      </rPr>
      <t>Test och mätning</t>
    </r>
  </si>
  <si>
    <r>
      <rPr>
        <sz val="11"/>
        <color theme="1"/>
        <rFont val="Calibri"/>
        <family val="2"/>
      </rPr>
      <t>Testimine ja mõõtmine</t>
    </r>
  </si>
  <si>
    <r>
      <rPr>
        <sz val="11"/>
        <color theme="1"/>
        <rFont val="Calibri"/>
        <family val="2"/>
      </rPr>
      <t>Testaus ja mittaus</t>
    </r>
  </si>
  <si>
    <r>
      <rPr>
        <sz val="11"/>
        <color theme="1"/>
        <rFont val="Calibri"/>
        <family val="2"/>
      </rPr>
      <t>Testēšana un mērījumi</t>
    </r>
  </si>
  <si>
    <r>
      <rPr>
        <sz val="11"/>
        <color theme="1"/>
        <rFont val="Calibri"/>
        <family val="2"/>
      </rPr>
      <t>Testen en meten</t>
    </r>
  </si>
  <si>
    <r>
      <rPr>
        <sz val="11"/>
        <color theme="1"/>
        <rFont val="Calibri"/>
        <family val="2"/>
      </rPr>
      <t>Aparatura kontrolno-pomiarowa</t>
    </r>
  </si>
  <si>
    <r>
      <rPr>
        <sz val="11"/>
        <color theme="1"/>
        <rFont val="Calibri"/>
        <family val="2"/>
      </rPr>
      <t>Испытания и измерения</t>
    </r>
  </si>
  <si>
    <r>
      <rPr>
        <sz val="11"/>
        <color theme="1"/>
        <rFont val="Calibri"/>
        <family val="2"/>
      </rPr>
      <t>Testování a měření</t>
    </r>
  </si>
  <si>
    <r>
      <rPr>
        <sz val="11"/>
        <color theme="1"/>
        <rFont val="Calibri"/>
        <family val="2"/>
      </rPr>
      <t>Testare şi măsurare</t>
    </r>
  </si>
  <si>
    <r>
      <rPr>
        <sz val="11"/>
        <color theme="1"/>
        <rFont val="Calibri"/>
        <family val="2"/>
      </rPr>
      <t>Méréstechnika</t>
    </r>
  </si>
  <si>
    <r>
      <rPr>
        <sz val="11"/>
        <color theme="1"/>
        <rFont val="Calibri"/>
        <family val="2"/>
      </rPr>
      <t>Test a meranie</t>
    </r>
  </si>
  <si>
    <t>Elektrotechnik / Kabel (nicht konfektioniert)</t>
  </si>
  <si>
    <r>
      <rPr>
        <sz val="11"/>
        <color theme="1"/>
        <rFont val="Calibri"/>
        <family val="2"/>
      </rPr>
      <t>Electrotechnique / Câbles</t>
    </r>
  </si>
  <si>
    <r>
      <rPr>
        <sz val="11"/>
        <color theme="1"/>
        <rFont val="Calibri"/>
        <family val="2"/>
      </rPr>
      <t>Ingegneria elettrica/Cavi</t>
    </r>
  </si>
  <si>
    <r>
      <rPr>
        <sz val="11"/>
        <color theme="1"/>
        <rFont val="Calibri"/>
        <family val="2"/>
      </rPr>
      <t>Elektroteknik / Kabler</t>
    </r>
  </si>
  <si>
    <r>
      <rPr>
        <sz val="11"/>
        <color theme="1"/>
        <rFont val="Calibri"/>
        <family val="2"/>
      </rPr>
      <t>Elektros inžinerija / Kabeliai</t>
    </r>
  </si>
  <si>
    <r>
      <rPr>
        <sz val="11"/>
        <color theme="1"/>
        <rFont val="Calibri"/>
        <family val="2"/>
      </rPr>
      <t>Elektrotehnika / kaablid</t>
    </r>
  </si>
  <si>
    <r>
      <rPr>
        <sz val="11"/>
        <color theme="1"/>
        <rFont val="Calibri"/>
        <family val="2"/>
      </rPr>
      <t>Sähkötekniikka / Kaapelit</t>
    </r>
  </si>
  <si>
    <r>
      <rPr>
        <sz val="11"/>
        <color theme="1"/>
        <rFont val="Calibri"/>
        <family val="2"/>
      </rPr>
      <t>Elektroinženierija/kabeļi Cables</t>
    </r>
  </si>
  <si>
    <r>
      <rPr>
        <sz val="11"/>
        <color theme="1"/>
        <rFont val="Calibri"/>
        <family val="2"/>
      </rPr>
      <t>Elektrotechniek / kabels</t>
    </r>
  </si>
  <si>
    <r>
      <rPr>
        <sz val="11"/>
        <color theme="1"/>
        <rFont val="Calibri"/>
        <family val="2"/>
      </rPr>
      <t>Elektrotechnika/Kable</t>
    </r>
  </si>
  <si>
    <r>
      <rPr>
        <sz val="11"/>
        <color theme="1"/>
        <rFont val="Calibri"/>
        <family val="2"/>
      </rPr>
      <t>Электротехника / Кабели</t>
    </r>
  </si>
  <si>
    <r>
      <rPr>
        <sz val="11"/>
        <color theme="1"/>
        <rFont val="Calibri"/>
        <family val="2"/>
      </rPr>
      <t>Elektrotechnika / kabely</t>
    </r>
  </si>
  <si>
    <r>
      <rPr>
        <sz val="11"/>
        <color theme="1"/>
        <rFont val="Calibri"/>
        <family val="2"/>
      </rPr>
      <t>Inginerie electrică/Cabluri</t>
    </r>
  </si>
  <si>
    <r>
      <rPr>
        <sz val="11"/>
        <color theme="1"/>
        <rFont val="Calibri"/>
        <family val="2"/>
      </rPr>
      <t>Elektrotechnika / Kábelek</t>
    </r>
  </si>
  <si>
    <r>
      <rPr>
        <sz val="11"/>
        <color theme="1"/>
        <rFont val="Calibri"/>
        <family val="2"/>
      </rPr>
      <t>Elektrotechnika/Káble</t>
    </r>
  </si>
  <si>
    <t>Licht</t>
  </si>
  <si>
    <t>Illuminazione</t>
  </si>
  <si>
    <t>Belysning</t>
  </si>
  <si>
    <t>Apšvietimas</t>
  </si>
  <si>
    <t>Lys</t>
  </si>
  <si>
    <t>Ljus</t>
  </si>
  <si>
    <t>Valgustus</t>
  </si>
  <si>
    <t>Valaistus</t>
  </si>
  <si>
    <t>Apgaismojums</t>
  </si>
  <si>
    <t>Verlichting</t>
  </si>
  <si>
    <t>Światło</t>
  </si>
  <si>
    <t>Освещение</t>
  </si>
  <si>
    <t>Osvětlení</t>
  </si>
  <si>
    <r>
      <rPr>
        <sz val="11"/>
        <color theme="1"/>
        <rFont val="Calibri"/>
        <family val="2"/>
      </rPr>
      <t>Iluminare</t>
    </r>
  </si>
  <si>
    <t>Fény</t>
  </si>
  <si>
    <t>Osvetlenie</t>
  </si>
  <si>
    <t>Werkzeuge / Löttechnik</t>
  </si>
  <si>
    <t>Outils / Soudage</t>
  </si>
  <si>
    <t>Utensileria / Saldatura</t>
  </si>
  <si>
    <t>Værktøj / Loddeteknik</t>
  </si>
  <si>
    <r>
      <rPr>
        <sz val="11"/>
        <color theme="1"/>
        <rFont val="Calibri"/>
        <family val="2"/>
      </rPr>
      <t>Įrankiai / Litavimas</t>
    </r>
  </si>
  <si>
    <t>Verktøy / Lodding</t>
  </si>
  <si>
    <t>Verktyg / Lödning</t>
  </si>
  <si>
    <r>
      <rPr>
        <sz val="11"/>
        <color theme="1"/>
        <rFont val="Calibri"/>
        <family val="2"/>
      </rPr>
      <t>Tööriistad / jootmine</t>
    </r>
  </si>
  <si>
    <t>Työkalut / Juotostekniikka</t>
  </si>
  <si>
    <r>
      <rPr>
        <sz val="11"/>
        <color theme="1"/>
        <rFont val="Calibri"/>
        <family val="2"/>
      </rPr>
      <t>Instrumenti/lodēšana</t>
    </r>
  </si>
  <si>
    <r>
      <rPr>
        <sz val="11"/>
        <color theme="1"/>
        <rFont val="Calibri"/>
        <family val="2"/>
      </rPr>
      <t>Gereedschap / solderen</t>
    </r>
  </si>
  <si>
    <t>Narzędzia / Lutowanie</t>
  </si>
  <si>
    <r>
      <rPr>
        <sz val="11"/>
        <color theme="1"/>
        <rFont val="Calibri"/>
        <family val="2"/>
      </rPr>
      <t>Инструменты / Пайка</t>
    </r>
  </si>
  <si>
    <r>
      <rPr>
        <sz val="11"/>
        <color theme="1"/>
        <rFont val="Calibri"/>
        <family val="2"/>
      </rPr>
      <t>Nástroje / pájení</t>
    </r>
  </si>
  <si>
    <r>
      <rPr>
        <sz val="11"/>
        <color theme="1"/>
        <rFont val="Calibri"/>
        <family val="2"/>
      </rPr>
      <t>Scule/Sudură</t>
    </r>
  </si>
  <si>
    <t>Szerszámok / Forrasztástechnika</t>
  </si>
  <si>
    <r>
      <rPr>
        <sz val="11"/>
        <color theme="1"/>
        <rFont val="Calibri"/>
        <family val="2"/>
      </rPr>
      <t>Nástroje/Spájkovanie</t>
    </r>
  </si>
  <si>
    <t>Arbeitsplatz / Wartung / Mechanik</t>
  </si>
  <si>
    <t>Poste de travail / Maintenance / Composants mécaniques</t>
  </si>
  <si>
    <t>Postazione di lavoro / Manutenzione / Meccanica</t>
  </si>
  <si>
    <t>Arbejdsplads / Vedligeholdelse / Mekanik</t>
  </si>
  <si>
    <r>
      <rPr>
        <sz val="11"/>
        <color theme="1"/>
        <rFont val="Calibri"/>
        <family val="2"/>
      </rPr>
      <t>Darbo vietos / Techninės priežiūros / Mechaniniai komponentai</t>
    </r>
  </si>
  <si>
    <t>Arbeidsplass / Vedlikehold / Mekanikk</t>
  </si>
  <si>
    <t>Arbetsplats / Underhåll / Mekanik</t>
  </si>
  <si>
    <r>
      <rPr>
        <sz val="11"/>
        <color theme="1"/>
        <rFont val="Calibri"/>
        <family val="2"/>
      </rPr>
      <t>Tööpaik / hooldus / mehaanilised komponendid</t>
    </r>
  </si>
  <si>
    <t>Työpisteet / Huolto / Mekaniikka</t>
  </si>
  <si>
    <r>
      <rPr>
        <sz val="11"/>
        <color theme="1"/>
        <rFont val="Calibri"/>
        <family val="2"/>
      </rPr>
      <t>Darbvieta/apkope/mehāniskie komponenti</t>
    </r>
  </si>
  <si>
    <r>
      <rPr>
        <sz val="11"/>
        <color theme="1"/>
        <rFont val="Calibri"/>
        <family val="2"/>
      </rPr>
      <t>Werkplaats / onderhoud / mechanische componenten</t>
    </r>
  </si>
  <si>
    <t>Stanowisko pracy / Serwis / Mechanika</t>
  </si>
  <si>
    <r>
      <rPr>
        <sz val="11"/>
        <color theme="1"/>
        <rFont val="Calibri"/>
        <family val="2"/>
      </rPr>
      <t>Рабочее место / Техническое обслуживание / Механические компоненты</t>
    </r>
  </si>
  <si>
    <r>
      <rPr>
        <sz val="11"/>
        <color theme="1"/>
        <rFont val="Calibri"/>
        <family val="2"/>
      </rPr>
      <t>Pracoviště / údržba / mechanické součástky</t>
    </r>
  </si>
  <si>
    <r>
      <rPr>
        <sz val="11"/>
        <color theme="1"/>
        <rFont val="Calibri"/>
        <family val="2"/>
      </rPr>
      <t>Loc de muncă/Întreţinere/Componente mecanice</t>
    </r>
  </si>
  <si>
    <t>Munkahely / Karbantartás / Mechanika</t>
  </si>
  <si>
    <r>
      <rPr>
        <sz val="11"/>
        <color theme="1"/>
        <rFont val="Calibri"/>
        <family val="2"/>
      </rPr>
      <t>Pracovisko/Údržba/Mechanické súčiastky</t>
    </r>
  </si>
  <si>
    <t>Kabel (konfektioniert) / Audio- / Videotechnik</t>
  </si>
  <si>
    <r>
      <rPr>
        <sz val="11"/>
        <color theme="1"/>
        <rFont val="Calibri"/>
        <family val="2"/>
      </rPr>
      <t>Câbles confectionnés / Audio / Vidéo</t>
    </r>
  </si>
  <si>
    <r>
      <rPr>
        <sz val="11"/>
        <color theme="1"/>
        <rFont val="Calibri"/>
        <family val="2"/>
      </rPr>
      <t>Gruppi di cavi/Audio/Video</t>
    </r>
  </si>
  <si>
    <r>
      <rPr>
        <sz val="11"/>
        <color theme="1"/>
        <rFont val="Calibri"/>
        <family val="2"/>
      </rPr>
      <t>Kabelteknik / Audio / Video</t>
    </r>
  </si>
  <si>
    <r>
      <rPr>
        <sz val="11"/>
        <color theme="1"/>
        <rFont val="Calibri"/>
        <family val="2"/>
      </rPr>
      <t>Kabelių rinkiniai / Garsas / Vaizdas</t>
    </r>
  </si>
  <si>
    <r>
      <rPr>
        <sz val="11"/>
        <color theme="1"/>
        <rFont val="Calibri"/>
        <family val="2"/>
      </rPr>
      <t>Kaablikoostud / heli / video</t>
    </r>
  </si>
  <si>
    <r>
      <rPr>
        <sz val="11"/>
        <color theme="1"/>
        <rFont val="Calibri"/>
        <family val="2"/>
      </rPr>
      <t>Kaapelisarjat / Audio- / Video-</t>
    </r>
  </si>
  <si>
    <r>
      <rPr>
        <sz val="11"/>
        <color theme="1"/>
        <rFont val="Calibri"/>
        <family val="2"/>
      </rPr>
      <t>Kabeļu montāžas/audio/video</t>
    </r>
  </si>
  <si>
    <r>
      <rPr>
        <sz val="11"/>
        <color theme="1"/>
        <rFont val="Calibri"/>
        <family val="2"/>
      </rPr>
      <t>Bekabeling / audio / video</t>
    </r>
  </si>
  <si>
    <r>
      <rPr>
        <sz val="11"/>
        <color theme="1"/>
        <rFont val="Calibri"/>
        <family val="2"/>
      </rPr>
      <t>Zespoły kablowe/Audio/Wideo</t>
    </r>
  </si>
  <si>
    <r>
      <rPr>
        <sz val="11"/>
        <color theme="1"/>
        <rFont val="Calibri"/>
        <family val="2"/>
      </rPr>
      <t>Кабельные сборки / Аудио / Видео</t>
    </r>
  </si>
  <si>
    <r>
      <rPr>
        <sz val="11"/>
        <color theme="1"/>
        <rFont val="Calibri"/>
        <family val="2"/>
      </rPr>
      <t>Kabelové sestavy / audio / video</t>
    </r>
  </si>
  <si>
    <r>
      <rPr>
        <sz val="11"/>
        <color theme="1"/>
        <rFont val="Calibri"/>
        <family val="2"/>
      </rPr>
      <t>Ansambluri cablu/Audio/Video</t>
    </r>
  </si>
  <si>
    <r>
      <rPr>
        <sz val="11"/>
        <color theme="1"/>
        <rFont val="Calibri"/>
        <family val="2"/>
      </rPr>
      <t>Kábelszerelvények / Audió / Videó</t>
    </r>
  </si>
  <si>
    <r>
      <rPr>
        <sz val="11"/>
        <color theme="1"/>
        <rFont val="Calibri"/>
        <family val="2"/>
      </rPr>
      <t>Káblové zostavy/Audio/Video</t>
    </r>
  </si>
  <si>
    <t>Computer / Bürobedarf</t>
  </si>
  <si>
    <t>Informatique / Bureau</t>
  </si>
  <si>
    <t>Computing/Ufficio</t>
  </si>
  <si>
    <t>IT / Kontor</t>
  </si>
  <si>
    <t>Kompiuterių sistemos / Biuras</t>
  </si>
  <si>
    <t>Databehandling / kontorutstyr</t>
  </si>
  <si>
    <t>Tietokoneet / Toimistotuotteet</t>
  </si>
  <si>
    <t>Datošana/Birojs</t>
  </si>
  <si>
    <t>Computers en kantoorapparatuur</t>
  </si>
  <si>
    <t>Sprzęt komputerowy/Urządzenia biurowe</t>
  </si>
  <si>
    <t>Вычислительная техника / Офисные принадлежности</t>
  </si>
  <si>
    <t>Výpočetní technika / kancelářské vybavení</t>
  </si>
  <si>
    <t>Calcul/Birou</t>
  </si>
  <si>
    <t>Számítástechnika / Iroda</t>
  </si>
  <si>
    <t>Výpočtová technika/Kancelárske potreby</t>
  </si>
  <si>
    <t>Kabel og strømforsyninger</t>
  </si>
  <si>
    <t>Elektroteknik / kablar</t>
  </si>
  <si>
    <t>Kablage / ljud / bild</t>
  </si>
  <si>
    <t xml:space="preserve">Datorer / kontor </t>
  </si>
  <si>
    <t>Elektroteknikk / kabler</t>
  </si>
  <si>
    <t>Kabelenheter / lyd / video</t>
  </si>
  <si>
    <t>Linjära kretsar</t>
  </si>
  <si>
    <t>Förstärkare</t>
  </si>
  <si>
    <t>Omvandlare</t>
  </si>
  <si>
    <t>Trigg-kretsar</t>
  </si>
  <si>
    <t>Programmerare</t>
  </si>
  <si>
    <t>EPROM-raderare</t>
  </si>
  <si>
    <t>Monteringsmaterial för lysdioder, LED</t>
  </si>
  <si>
    <t>Ljussensorer</t>
  </si>
  <si>
    <t>Läsgafflar och reflexdetektorer</t>
  </si>
  <si>
    <t>LCD-displayer</t>
  </si>
  <si>
    <t>LCD-displayer, seriella</t>
  </si>
  <si>
    <t>LCD-displayer, intelligenta</t>
  </si>
  <si>
    <t>LCD-displayer, bistabila</t>
  </si>
  <si>
    <t>TFT-displayer</t>
  </si>
  <si>
    <t>LED-displayer/-moduler</t>
  </si>
  <si>
    <t>Kristaller, Oscillatorer</t>
  </si>
  <si>
    <t>Kylelement</t>
  </si>
  <si>
    <t>Värmepastor och -lim</t>
  </si>
  <si>
    <t>Peltier- och värmefolieelement</t>
  </si>
  <si>
    <t>Monteringsmaterial för diskreta halvledare</t>
  </si>
  <si>
    <t>Testsocklar och testklämmor</t>
  </si>
  <si>
    <t>SMD- och filmmotstånd</t>
  </si>
  <si>
    <t>Överspänningsskydd</t>
  </si>
  <si>
    <t>Avstörningsferriter, EMI</t>
  </si>
  <si>
    <t>Shuntmotstånd och strömtransformatorer</t>
  </si>
  <si>
    <t>Hållare för labkabel</t>
  </si>
  <si>
    <t>Nätaggregat, fast utspänning</t>
  </si>
  <si>
    <t>SMU – källmätare</t>
  </si>
  <si>
    <t>Eltestinstrument</t>
  </si>
  <si>
    <t>Installationsprovare</t>
  </si>
  <si>
    <t>Toroidkärnetransformatorer</t>
  </si>
  <si>
    <t>Autotransformatorer/Isolerade transformatorer</t>
  </si>
  <si>
    <t>Batterier/Laddare/Förnyelsebart</t>
  </si>
  <si>
    <t>Växelriktare</t>
  </si>
  <si>
    <t>Förnyelsebar energi</t>
  </si>
  <si>
    <t>Industriaggregat DC/DC, AC/DC</t>
  </si>
  <si>
    <t>Batterieliminatorer</t>
  </si>
  <si>
    <t>Batterieliminatorer och fristående nätaggregat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</si>
</sst>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0"/>
      <color rgb="FF0061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Arial"/>
      <family val="2"/>
    </font>
    <font>
      <sz val="1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9C6500"/>
      <name val="Arial"/>
      <family val="2"/>
    </font>
    <font>
      <sz val="10"/>
      <color rgb="FF9C65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7">
    <xf numFmtId="0" fontId="0" fillId="0" borderId="0"/>
    <xf numFmtId="0" fontId="5" fillId="2" borderId="0" applyNumberFormat="0" applyBorder="0" applyAlignment="0" applyProtection="0"/>
    <xf numFmtId="0" fontId="4" fillId="0" borderId="0"/>
    <xf numFmtId="0" fontId="3" fillId="0" borderId="0"/>
    <xf numFmtId="0" fontId="4" fillId="0" borderId="0"/>
    <xf numFmtId="0" fontId="5" fillId="2" borderId="0" applyNumberFormat="0" applyBorder="0" applyAlignment="0" applyProtection="0"/>
    <xf numFmtId="0" fontId="13" fillId="4" borderId="0" applyNumberFormat="0" applyBorder="0" applyAlignment="0" applyProtection="0"/>
  </cellStyleXfs>
  <cellXfs count="51">
    <xf numFmtId="0" fontId="0" fillId="0" borderId="0" xfId="0"/>
    <xf numFmtId="0" fontId="6" fillId="0" borderId="0" xfId="0" applyFont="1" applyAlignment="1">
      <alignment vertical="top"/>
    </xf>
    <xf numFmtId="0" fontId="7" fillId="3" borderId="1" xfId="0" applyFont="1" applyFill="1" applyBorder="1" applyAlignment="1">
      <alignment vertical="top" wrapText="1" shrinkToFit="1"/>
    </xf>
    <xf numFmtId="0" fontId="7" fillId="3" borderId="1" xfId="0" applyFont="1" applyFill="1" applyBorder="1" applyAlignment="1">
      <alignment horizontal="left" vertical="top" wrapText="1" shrinkToFit="1"/>
    </xf>
    <xf numFmtId="0" fontId="7" fillId="3" borderId="1" xfId="0" applyFont="1" applyFill="1" applyBorder="1" applyAlignment="1">
      <alignment vertical="top"/>
    </xf>
    <xf numFmtId="0" fontId="0" fillId="0" borderId="1" xfId="0" applyBorder="1"/>
    <xf numFmtId="0" fontId="8" fillId="0" borderId="0" xfId="0" applyFont="1" applyAlignment="1">
      <alignment vertical="top"/>
    </xf>
    <xf numFmtId="0" fontId="6" fillId="0" borderId="0" xfId="0" applyFont="1" applyAlignment="1">
      <alignment horizontal="left" vertical="top"/>
    </xf>
    <xf numFmtId="0" fontId="5" fillId="2" borderId="2" xfId="1" applyBorder="1"/>
    <xf numFmtId="0" fontId="8" fillId="0" borderId="0" xfId="0" applyFont="1" applyAlignment="1">
      <alignment horizontal="left" vertical="top"/>
    </xf>
    <xf numFmtId="0" fontId="5" fillId="2" borderId="3" xfId="1" applyBorder="1"/>
    <xf numFmtId="0" fontId="8" fillId="0" borderId="0" xfId="0" applyFont="1" applyAlignment="1">
      <alignment horizontal="left" vertical="top"/>
    </xf>
    <xf numFmtId="0" fontId="7" fillId="3" borderId="1" xfId="0" applyFont="1" applyFill="1" applyBorder="1" applyAlignment="1">
      <alignment horizontal="center" vertical="top" wrapText="1" shrinkToFit="1"/>
    </xf>
    <xf numFmtId="0" fontId="13" fillId="4" borderId="1" xfId="6" applyBorder="1"/>
    <xf numFmtId="0" fontId="13" fillId="4" borderId="0" xfId="6" applyAlignment="1">
      <alignment horizontal="left" vertical="top"/>
    </xf>
    <xf numFmtId="0" fontId="13" fillId="4" borderId="3" xfId="6" applyBorder="1"/>
    <xf numFmtId="0" fontId="13" fillId="4" borderId="2" xfId="6" applyBorder="1"/>
    <xf numFmtId="0" fontId="13" fillId="4" borderId="0" xfId="6" applyAlignment="1">
      <alignment vertical="top"/>
    </xf>
    <xf numFmtId="0" fontId="0" fillId="5" borderId="1" xfId="0" applyFill="1" applyBorder="1"/>
    <xf numFmtId="0" fontId="10" fillId="5" borderId="1" xfId="0" applyFont="1" applyFill="1" applyBorder="1"/>
    <xf numFmtId="0" fontId="5" fillId="5" borderId="3" xfId="1" applyFill="1" applyBorder="1"/>
    <xf numFmtId="0" fontId="5" fillId="5" borderId="2" xfId="1" applyFill="1" applyBorder="1"/>
    <xf numFmtId="0" fontId="6" fillId="5" borderId="0" xfId="0" applyFont="1" applyFill="1" applyAlignment="1">
      <alignment vertical="top"/>
    </xf>
    <xf numFmtId="0" fontId="0" fillId="5" borderId="1" xfId="0" applyFill="1" applyBorder="1" applyAlignment="1">
      <alignment horizontal="center"/>
    </xf>
    <xf numFmtId="0" fontId="13" fillId="4" borderId="1" xfId="6" applyBorder="1" applyAlignment="1">
      <alignment horizontal="center"/>
    </xf>
    <xf numFmtId="0" fontId="0" fillId="0" borderId="1" xfId="0" applyBorder="1" applyAlignment="1">
      <alignment horizontal="center"/>
    </xf>
    <xf numFmtId="0" fontId="6" fillId="0" borderId="0" xfId="0" applyFont="1" applyAlignment="1">
      <alignment horizontal="center" vertical="top"/>
    </xf>
    <xf numFmtId="0" fontId="0" fillId="6" borderId="0" xfId="0" applyFill="1"/>
    <xf numFmtId="0" fontId="0" fillId="7" borderId="1" xfId="0" applyFill="1" applyBorder="1"/>
    <xf numFmtId="0" fontId="13" fillId="7" borderId="1" xfId="6" applyFill="1" applyBorder="1"/>
    <xf numFmtId="0" fontId="7" fillId="3" borderId="1" xfId="0" applyFont="1" applyFill="1" applyBorder="1" applyAlignment="1">
      <alignment horizontal="center" vertical="top" wrapText="1" shrinkToFit="1"/>
    </xf>
    <xf numFmtId="0" fontId="9" fillId="7" borderId="1" xfId="6" applyFont="1" applyFill="1" applyBorder="1"/>
    <xf numFmtId="0" fontId="13" fillId="7" borderId="1" xfId="6" applyFill="1" applyBorder="1" applyAlignment="1">
      <alignment horizontal="center"/>
    </xf>
    <xf numFmtId="0" fontId="14" fillId="7" borderId="1" xfId="6" applyFont="1" applyFill="1" applyBorder="1"/>
    <xf numFmtId="0" fontId="6" fillId="0" borderId="1" xfId="0" applyFont="1" applyBorder="1" applyAlignment="1">
      <alignment vertical="top"/>
    </xf>
    <xf numFmtId="0" fontId="5" fillId="5" borderId="1" xfId="1" applyFill="1" applyBorder="1"/>
    <xf numFmtId="0" fontId="6" fillId="5" borderId="1" xfId="0" applyFont="1" applyFill="1" applyBorder="1" applyAlignment="1">
      <alignment vertical="top"/>
    </xf>
    <xf numFmtId="0" fontId="13" fillId="7" borderId="1" xfId="6" applyFill="1" applyBorder="1" applyAlignment="1">
      <alignment horizontal="left" vertical="top"/>
    </xf>
    <xf numFmtId="0" fontId="13" fillId="7" borderId="1" xfId="6" applyFill="1" applyBorder="1" applyAlignment="1">
      <alignment vertical="top"/>
    </xf>
    <xf numFmtId="0" fontId="5" fillId="2" borderId="1" xfId="1" applyBorder="1"/>
    <xf numFmtId="0" fontId="0" fillId="6" borderId="1" xfId="0" applyFill="1" applyBorder="1"/>
    <xf numFmtId="0" fontId="0" fillId="0" borderId="1" xfId="0" applyFill="1" applyBorder="1"/>
    <xf numFmtId="0" fontId="9" fillId="7" borderId="1" xfId="0" applyFont="1" applyFill="1" applyBorder="1"/>
    <xf numFmtId="0" fontId="4" fillId="7" borderId="1" xfId="4" applyFont="1" applyFill="1" applyBorder="1"/>
    <xf numFmtId="0" fontId="13" fillId="4" borderId="1" xfId="6" applyBorder="1" applyAlignment="1">
      <alignment vertical="top"/>
    </xf>
    <xf numFmtId="0" fontId="12" fillId="7" borderId="1" xfId="0" applyFont="1" applyFill="1" applyBorder="1"/>
    <xf numFmtId="0" fontId="2" fillId="8" borderId="0" xfId="4" applyFont="1" applyFill="1"/>
    <xf numFmtId="0" fontId="4" fillId="8" borderId="0" xfId="4" applyFill="1"/>
    <xf numFmtId="0" fontId="0" fillId="9" borderId="0" xfId="0" applyFill="1"/>
    <xf numFmtId="0" fontId="8" fillId="0" borderId="0" xfId="0" applyFont="1" applyAlignment="1">
      <alignment horizontal="left" vertical="top"/>
    </xf>
    <xf numFmtId="0" fontId="7" fillId="3" borderId="1" xfId="0" applyFont="1" applyFill="1" applyBorder="1" applyAlignment="1">
      <alignment horizontal="center" vertical="top" wrapText="1" shrinkToFit="1"/>
    </xf>
  </cellXfs>
  <cellStyles count="7">
    <cellStyle name="Good" xfId="1" builtinId="26"/>
    <cellStyle name="Good 2" xfId="5"/>
    <cellStyle name="Neutral" xfId="6" builtinId="28"/>
    <cellStyle name="Normal" xfId="0" builtinId="0"/>
    <cellStyle name="Normal 2" xfId="4"/>
    <cellStyle name="Normal 3" xfId="3"/>
    <cellStyle name="Standard 3" xfId="2"/>
  </cellStyles>
  <dxfs count="0"/>
  <tableStyles count="0" defaultTableStyle="TableStyleMedium9" defaultPivotStyle="PivotStyleLight16"/>
  <colors>
    <mruColors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igros.net/projekte/suppliernet-ng/pim/OnlineKataloge%20FM/Realisierung/Kategoriebaeume/G&#252;ltige%20Kategorie-%20und%20Klassifikationsb&#228;ume/PIM-TP6-Kategorie-_und_Klassifikationsbaum-SportXX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rläuterungen"/>
      <sheetName val="SportXX - Kategorien"/>
      <sheetName val="SportXX - Klassifikationen"/>
      <sheetName val="Auswahllisten"/>
      <sheetName val="Dimensionen"/>
      <sheetName val="Admi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4">
          <cell r="A4" t="str">
            <v>ja</v>
          </cell>
          <cell r="B4" t="str">
            <v>A = Auswahlfeld</v>
          </cell>
          <cell r="C4">
            <v>1</v>
          </cell>
        </row>
        <row r="5">
          <cell r="A5" t="str">
            <v>nein</v>
          </cell>
          <cell r="B5" t="str">
            <v>N = nummerisch ganzzahlig</v>
          </cell>
          <cell r="C5">
            <v>2</v>
          </cell>
        </row>
        <row r="6">
          <cell r="B6" t="str">
            <v>F = Fliesskommazahl</v>
          </cell>
          <cell r="C6">
            <v>3</v>
          </cell>
        </row>
        <row r="7">
          <cell r="B7" t="str">
            <v>T = Text</v>
          </cell>
          <cell r="C7">
            <v>4</v>
          </cell>
        </row>
        <row r="8">
          <cell r="B8" t="str">
            <v>B = Boolean</v>
          </cell>
          <cell r="C8">
            <v>5</v>
          </cell>
        </row>
        <row r="9">
          <cell r="C9">
            <v>6</v>
          </cell>
        </row>
        <row r="10">
          <cell r="C10">
            <v>7</v>
          </cell>
        </row>
        <row r="11">
          <cell r="C11">
            <v>8</v>
          </cell>
        </row>
        <row r="12">
          <cell r="C12">
            <v>9</v>
          </cell>
        </row>
        <row r="13">
          <cell r="C13">
            <v>10</v>
          </cell>
        </row>
        <row r="14">
          <cell r="C14">
            <v>11</v>
          </cell>
        </row>
        <row r="15">
          <cell r="C15">
            <v>12</v>
          </cell>
        </row>
        <row r="16">
          <cell r="C16">
            <v>13</v>
          </cell>
        </row>
        <row r="17">
          <cell r="C17">
            <v>14</v>
          </cell>
        </row>
        <row r="18">
          <cell r="C18">
            <v>15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outlinePr summaryBelow="0"/>
    <pageSetUpPr fitToPage="1"/>
  </sheetPr>
  <dimension ref="A1:AR373"/>
  <sheetViews>
    <sheetView tabSelected="1" zoomScale="75" zoomScaleNormal="75" zoomScalePageLayoutView="75" workbookViewId="0">
      <pane xSplit="6" ySplit="5" topLeftCell="N123" activePane="bottomRight" state="frozen"/>
      <selection pane="topRight" activeCell="G1" sqref="G1"/>
      <selection pane="bottomLeft" activeCell="A6" sqref="A6"/>
      <selection pane="bottomRight" activeCell="O169" sqref="O169"/>
    </sheetView>
  </sheetViews>
  <sheetFormatPr defaultColWidth="11.42578125" defaultRowHeight="12.75" x14ac:dyDescent="0.25"/>
  <cols>
    <col min="1" max="1" width="12.140625" style="26" bestFit="1" customWidth="1"/>
    <col min="2" max="3" width="12.140625" style="7" bestFit="1" customWidth="1"/>
    <col min="4" max="4" width="13.85546875" style="7" customWidth="1"/>
    <col min="5" max="6" width="5.140625" style="1" bestFit="1" customWidth="1"/>
    <col min="7" max="24" width="65.42578125" style="1" customWidth="1"/>
    <col min="25" max="25" width="89.140625" style="1" customWidth="1"/>
    <col min="26" max="43" width="76" style="1" customWidth="1"/>
    <col min="44" max="44" width="121.42578125" style="1" customWidth="1"/>
    <col min="45" max="16384" width="11.42578125" style="1"/>
  </cols>
  <sheetData>
    <row r="1" spans="1:44" ht="15.75" x14ac:dyDescent="0.25">
      <c r="A1" s="49" t="s">
        <v>0</v>
      </c>
      <c r="B1" s="49"/>
      <c r="C1" s="6"/>
      <c r="D1" s="9"/>
      <c r="E1" s="6"/>
      <c r="F1" s="6"/>
      <c r="G1" s="6"/>
      <c r="H1" s="28" t="s">
        <v>13548</v>
      </c>
    </row>
    <row r="4" spans="1:44" s="34" customFormat="1" ht="12.75" customHeight="1" x14ac:dyDescent="0.25">
      <c r="A4" s="50" t="s">
        <v>15</v>
      </c>
      <c r="B4" s="50"/>
      <c r="C4" s="50"/>
      <c r="D4" s="50"/>
      <c r="E4" s="50"/>
      <c r="F4" s="50"/>
      <c r="G4" s="30" t="s">
        <v>2099</v>
      </c>
      <c r="H4" s="30" t="s">
        <v>2100</v>
      </c>
      <c r="I4" s="30" t="s">
        <v>2101</v>
      </c>
      <c r="J4" s="30" t="s">
        <v>2102</v>
      </c>
      <c r="K4" s="30" t="s">
        <v>2103</v>
      </c>
      <c r="L4" s="30" t="s">
        <v>2104</v>
      </c>
      <c r="M4" s="30" t="s">
        <v>2105</v>
      </c>
      <c r="N4" s="30" t="s">
        <v>2106</v>
      </c>
      <c r="O4" s="30" t="s">
        <v>2107</v>
      </c>
      <c r="P4" s="30" t="s">
        <v>2108</v>
      </c>
      <c r="Q4" s="30" t="s">
        <v>2109</v>
      </c>
      <c r="R4" s="30" t="s">
        <v>2110</v>
      </c>
      <c r="S4" s="30" t="s">
        <v>2111</v>
      </c>
      <c r="T4" s="30" t="s">
        <v>2112</v>
      </c>
      <c r="U4" s="30" t="s">
        <v>2150</v>
      </c>
      <c r="V4" s="30" t="s">
        <v>2143</v>
      </c>
      <c r="W4" s="30" t="s">
        <v>2144</v>
      </c>
      <c r="X4" s="30" t="s">
        <v>2145</v>
      </c>
      <c r="Y4" s="2" t="s">
        <v>14</v>
      </c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 t="s">
        <v>16</v>
      </c>
    </row>
    <row r="5" spans="1:44" s="34" customFormat="1" x14ac:dyDescent="0.25">
      <c r="A5" s="30">
        <v>0</v>
      </c>
      <c r="B5" s="3">
        <v>1</v>
      </c>
      <c r="C5" s="3">
        <v>2</v>
      </c>
      <c r="D5" s="3">
        <v>3</v>
      </c>
      <c r="E5" s="3">
        <v>4</v>
      </c>
      <c r="F5" s="3">
        <v>5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4" t="s">
        <v>2128</v>
      </c>
      <c r="Z5" s="4" t="s">
        <v>2129</v>
      </c>
      <c r="AA5" s="4" t="s">
        <v>2130</v>
      </c>
      <c r="AB5" s="4" t="s">
        <v>2131</v>
      </c>
      <c r="AC5" s="4" t="s">
        <v>2132</v>
      </c>
      <c r="AD5" s="4" t="s">
        <v>2133</v>
      </c>
      <c r="AE5" s="4" t="s">
        <v>2134</v>
      </c>
      <c r="AF5" s="4" t="s">
        <v>2135</v>
      </c>
      <c r="AG5" s="4" t="s">
        <v>2136</v>
      </c>
      <c r="AH5" s="4" t="s">
        <v>2137</v>
      </c>
      <c r="AI5" s="4" t="s">
        <v>2138</v>
      </c>
      <c r="AJ5" s="4" t="s">
        <v>2139</v>
      </c>
      <c r="AK5" s="4" t="s">
        <v>2140</v>
      </c>
      <c r="AL5" s="4" t="s">
        <v>2141</v>
      </c>
      <c r="AM5" s="4" t="s">
        <v>2142</v>
      </c>
      <c r="AN5" s="4" t="s">
        <v>2149</v>
      </c>
      <c r="AO5" s="4" t="s">
        <v>2146</v>
      </c>
      <c r="AP5" s="4" t="s">
        <v>2147</v>
      </c>
      <c r="AQ5" s="4" t="s">
        <v>2148</v>
      </c>
      <c r="AR5" s="4" t="s">
        <v>17</v>
      </c>
    </row>
    <row r="6" spans="1:44" s="36" customFormat="1" ht="15" x14ac:dyDescent="0.25">
      <c r="A6" s="23" t="s">
        <v>53</v>
      </c>
      <c r="B6" s="18"/>
      <c r="C6" s="18"/>
      <c r="D6" s="18"/>
      <c r="E6" s="18"/>
      <c r="F6" s="18"/>
      <c r="G6" s="19" t="s">
        <v>1202</v>
      </c>
      <c r="H6" s="5" t="s">
        <v>715</v>
      </c>
      <c r="I6" s="19" t="s">
        <v>2408</v>
      </c>
      <c r="J6" s="5" t="s">
        <v>1202</v>
      </c>
      <c r="K6" s="5" t="s">
        <v>13742</v>
      </c>
      <c r="L6" s="5" t="s">
        <v>1435</v>
      </c>
      <c r="M6" s="5" t="s">
        <v>1674</v>
      </c>
      <c r="N6" s="5" t="s">
        <v>1875</v>
      </c>
      <c r="O6" s="5" t="s">
        <v>2409</v>
      </c>
      <c r="P6" s="5" t="s">
        <v>2410</v>
      </c>
      <c r="Q6" s="5" t="s">
        <v>2411</v>
      </c>
      <c r="R6" s="5" t="s">
        <v>1202</v>
      </c>
      <c r="S6" s="5" t="s">
        <v>2412</v>
      </c>
      <c r="T6" s="5" t="s">
        <v>2413</v>
      </c>
      <c r="U6" s="5" t="s">
        <v>1202</v>
      </c>
      <c r="V6" s="5" t="s">
        <v>2414</v>
      </c>
      <c r="W6" s="5" t="s">
        <v>1202</v>
      </c>
      <c r="X6" s="5" t="s">
        <v>1202</v>
      </c>
      <c r="Y6" s="35" t="str">
        <f>IF(OR($A6&lt;&gt;"", $G6=""),"",CONCATENATE(";",EscStr(CONCATENATE("NavNode_",getCategoryLevelAsString($B6))),";",EscStr($J6),";",IF($B6&lt;&gt;"","""MainNavNode""",EscStr(CONCATENATE("NavNode_",getSuperCategory($B6, getCategoryLevelAsNumber($B6))))),";"))</f>
        <v/>
      </c>
      <c r="Z6" s="35" t="str">
        <f>IF(getCategoryLevelAsString($B6)="L0D_324785","",IF(G6="",CONCATENATE(";",EscStr(CONCATENATE("NavNode_",getCategoryLevelAsString($B6))),";",EscStr($J6),";"),CONCATENATE(";",EscStr(CONCATENATE("NavNode_",getCategoryLevelAsString($B6))),";",EscStr(G6),";")))</f>
        <v/>
      </c>
      <c r="AA6" s="35" t="str">
        <f>IF(getCategoryLevelAsString($B6)="L0D_324785","",IF(H6="",CONCATENATE(";",EscStr(CONCATENATE("NavNode_",getCategoryLevelAsString($B6))),";",EscStr($J6),";"),CONCATENATE(";",EscStr(CONCATENATE("NavNode_",getCategoryLevelAsString($B6))),";",EscStr(H6),";")))</f>
        <v/>
      </c>
      <c r="AB6" s="35" t="str">
        <f>IF(getCategoryLevelAsString($B6)="L0D_324785","",IF(I6="",CONCATENATE(";",EscStr(CONCATENATE("NavNode_",getCategoryLevelAsString($B6))),";",EscStr($J6),";"),CONCATENATE(";",EscStr(CONCATENATE("NavNode_",getCategoryLevelAsString($B6))),";",EscStr(I6),";")))</f>
        <v/>
      </c>
      <c r="AC6" s="35" t="str">
        <f>IF(getCategoryLevelAsString($B6)="L0D_324785","",IF(J6="",CONCATENATE(";",EscStr(CONCATENATE("NavNode_",getCategoryLevelAsString($B6))),";",EscStr($J6),";"),CONCATENATE(";",EscStr(CONCATENATE("NavNode_",getCategoryLevelAsString($B6))),";",EscStr(J6),";")))</f>
        <v/>
      </c>
      <c r="AD6" s="35" t="str">
        <f>IF(getCategoryLevelAsString($B6)="L0D_324785","",IF(K6="",CONCATENATE(";",EscStr(CONCATENATE("NavNode_",getCategoryLevelAsString($B6))),";",EscStr($J6),";"),CONCATENATE(";",EscStr(CONCATENATE("NavNode_",getCategoryLevelAsString($B6))),";",EscStr(K6),";")))</f>
        <v/>
      </c>
      <c r="AE6" s="35" t="str">
        <f>IF(getCategoryLevelAsString($B6)="L0D_324785","",IF(L6="",CONCATENATE(";",EscStr(CONCATENATE("NavNode_",getCategoryLevelAsString($B6))),";",EscStr($J6),";"),CONCATENATE(";",EscStr(CONCATENATE("NavNode_",getCategoryLevelAsString($B6))),";",EscStr(L6),";")))</f>
        <v/>
      </c>
      <c r="AF6" s="35" t="str">
        <f>IF(getCategoryLevelAsString($B6)="L0D_324785","",IF(M6="",CONCATENATE(";",EscStr(CONCATENATE("NavNode_",getCategoryLevelAsString($B6))),";",EscStr($J6),";"),CONCATENATE(";",EscStr(CONCATENATE("NavNode_",getCategoryLevelAsString($B6))),";",EscStr(M6),";")))</f>
        <v/>
      </c>
      <c r="AG6" s="35" t="str">
        <f>IF(getCategoryLevelAsString($B6)="L0D_324785","",IF(N6="",CONCATENATE(";",EscStr(CONCATENATE("NavNode_",getCategoryLevelAsString($B6))),";",EscStr($J6),";"),CONCATENATE(";",EscStr(CONCATENATE("NavNode_",getCategoryLevelAsString($B6))),";",EscStr(N6),";")))</f>
        <v/>
      </c>
      <c r="AH6" s="35" t="str">
        <f>IF(getCategoryLevelAsString($B6)="L0D_324785","",IF(O6="",CONCATENATE(";",EscStr(CONCATENATE("NavNode_",getCategoryLevelAsString($B6))),";",EscStr($J6),";"),CONCATENATE(";",EscStr(CONCATENATE("NavNode_",getCategoryLevelAsString($B6))),";",EscStr(O6),";")))</f>
        <v/>
      </c>
      <c r="AI6" s="35" t="str">
        <f>IF(getCategoryLevelAsString($B6)="L0D_324785","",IF(P6="",CONCATENATE(";",EscStr(CONCATENATE("NavNode_",getCategoryLevelAsString($B6))),";",EscStr($J6),";"),CONCATENATE(";",EscStr(CONCATENATE("NavNode_",getCategoryLevelAsString($B6))),";",EscStr(P6),";")))</f>
        <v/>
      </c>
      <c r="AJ6" s="35" t="str">
        <f>IF(getCategoryLevelAsString($B6)="L0D_324785","",IF(Q6="",CONCATENATE(";",EscStr(CONCATENATE("NavNode_",getCategoryLevelAsString($B6))),";",EscStr($J6),";"),CONCATENATE(";",EscStr(CONCATENATE("NavNode_",getCategoryLevelAsString($B6))),";",EscStr(Q6),";")))</f>
        <v/>
      </c>
      <c r="AK6" s="35" t="str">
        <f>IF(getCategoryLevelAsString($B6)="L0D_324785","",IF(R6="",CONCATENATE(";",EscStr(CONCATENATE("NavNode_",getCategoryLevelAsString($B6))),";",EscStr($J6),";"),CONCATENATE(";",EscStr(CONCATENATE("NavNode_",getCategoryLevelAsString($B6))),";",EscStr(R6),";")))</f>
        <v/>
      </c>
      <c r="AL6" s="35" t="str">
        <f>IF(getCategoryLevelAsString($B6)="L0D_324785","",IF(S6="",CONCATENATE(";",EscStr(CONCATENATE("NavNode_",getCategoryLevelAsString($B6))),";",EscStr($J6),";"),CONCATENATE(";",EscStr(CONCATENATE("NavNode_",getCategoryLevelAsString($B6))),";",EscStr(S6),";")))</f>
        <v/>
      </c>
      <c r="AM6" s="35" t="str">
        <f>IF(getCategoryLevelAsString($B6)="L0D_324785","",IF(T6="",CONCATENATE(";",EscStr(CONCATENATE("NavNode_",getCategoryLevelAsString($B6))),";",EscStr($J6),";"),CONCATENATE(";",EscStr(CONCATENATE("NavNode_",getCategoryLevelAsString($B6))),";",EscStr(T6),";")))</f>
        <v/>
      </c>
      <c r="AN6" s="35" t="str">
        <f>IF(getCategoryLevelAsString($B6)="L0D_324785","",IF(U6="",CONCATENATE(";",EscStr(CONCATENATE("NavNode_",getCategoryLevelAsString($B6))),";",EscStr($J6),";"),CONCATENATE(";",EscStr(CONCATENATE("NavNode_",getCategoryLevelAsString($B6))),";",EscStr(U6),";")))</f>
        <v/>
      </c>
      <c r="AO6" s="35" t="str">
        <f>IF(getCategoryLevelAsString($B6)="L0D_324785","",IF(V6="",CONCATENATE(";",EscStr(CONCATENATE("NavNode_",getCategoryLevelAsString($B6))),";",EscStr($J6),";"),CONCATENATE(";",EscStr(CONCATENATE("NavNode_",getCategoryLevelAsString($B6))),";",EscStr(V6),";")))</f>
        <v/>
      </c>
      <c r="AP6" s="35" t="str">
        <f>IF(getCategoryLevelAsString($B6)="L0D_324785","",IF(W6="",CONCATENATE(";",EscStr(CONCATENATE("NavNode_",getCategoryLevelAsString($B6))),";",EscStr($J6),";"),CONCATENATE(";",EscStr(CONCATENATE("NavNode_",getCategoryLevelAsString($B6))),";",EscStr(W6),";")))</f>
        <v/>
      </c>
      <c r="AQ6" s="35" t="str">
        <f>IF(getCategoryLevelAsString($B6)="L0D_324785","",IF(X6="",CONCATENATE(";",EscStr(CONCATENATE("NavNode_",getCategoryLevelAsString($B6))),";",EscStr($J6),";"),CONCATENATE(";",EscStr(CONCATENATE("NavNode_",getCategoryLevelAsString($B6))),";",EscStr(X6),";")))</f>
        <v/>
      </c>
      <c r="AR6" s="35" t="str">
        <f>IF(OR($A6&lt;&gt;"", $G6=""),"",CONCATENATE(";",EscStr(CONCATENATE("NavEntry_",getCategoryLevelAsString($B6))),";",EscStr(CONCATENATE($J6," Navigation Entry")),";",EscStr(CONCATENATE("cat-",getCategoryLevelAsString($B6))),";",EscStr(CONCATENATE("NavNode_",getCategoryLevelAsString($B6))),";"))</f>
        <v/>
      </c>
    </row>
    <row r="7" spans="1:44" s="38" customFormat="1" ht="14.25" x14ac:dyDescent="0.2">
      <c r="A7" s="32"/>
      <c r="B7" s="29" t="s">
        <v>2</v>
      </c>
      <c r="C7" s="37"/>
      <c r="E7" s="29"/>
      <c r="F7" s="29"/>
      <c r="G7" s="29" t="s">
        <v>363</v>
      </c>
      <c r="H7" s="29" t="s">
        <v>364</v>
      </c>
      <c r="I7" s="29" t="s">
        <v>365</v>
      </c>
      <c r="J7" s="33" t="s">
        <v>2</v>
      </c>
      <c r="K7" s="29" t="s">
        <v>1204</v>
      </c>
      <c r="L7" s="29" t="s">
        <v>1437</v>
      </c>
      <c r="M7" s="29" t="s">
        <v>1204</v>
      </c>
      <c r="N7" s="29" t="s">
        <v>1876</v>
      </c>
      <c r="O7" s="29" t="s">
        <v>2424</v>
      </c>
      <c r="P7" s="29" t="s">
        <v>2425</v>
      </c>
      <c r="Q7" s="29" t="s">
        <v>2426</v>
      </c>
      <c r="R7" s="29" t="s">
        <v>2427</v>
      </c>
      <c r="S7" s="29" t="s">
        <v>2428</v>
      </c>
      <c r="T7" s="29" t="s">
        <v>2429</v>
      </c>
      <c r="U7" s="29" t="s">
        <v>2430</v>
      </c>
      <c r="V7" s="29" t="s">
        <v>2431</v>
      </c>
      <c r="W7" s="29" t="s">
        <v>2432</v>
      </c>
      <c r="X7" s="29" t="s">
        <v>2430</v>
      </c>
      <c r="Y7" s="39" t="str">
        <f>IF(OR($A7&lt;&gt;"", $G7=""),"",CONCATENATE(";",EscStr(CONCATENATE("NavNode_",getCategoryLevelAsString($B7))),";",EscStr($J7),";",IF($B7&lt;&gt;"","""MainCategoryNavNode""",EscStr(CONCATENATE("NavNode_",getSuperCategory($B7, getCategoryLevelAsNumber($B7))))),";"))</f>
        <v>;"NavNode_Active Components";"Active Components";"MainCategoryNavNode";</v>
      </c>
      <c r="Z7" s="39" t="str">
        <f>IF(getCategoryLevelAsString($B7)="L0D_324785","",IF(G7="",CONCATENATE(";",EscStr(CONCATENATE("NavNode_",getCategoryLevelAsString($B7))),";",EscStr($J7),";"),CONCATENATE(";",EscStr(CONCATENATE("NavNode_",getCategoryLevelAsString($B7))),";",EscStr(G7),";")))</f>
        <v>;"NavNode_Active Components";"Aktive Bauelemente";</v>
      </c>
      <c r="AA7" s="39" t="str">
        <f>IF(getCategoryLevelAsString($B7)="L0D_324785","",IF(H7="",CONCATENATE(";",EscStr(CONCATENATE("NavNode_",getCategoryLevelAsString($B7))),";",EscStr($J7),";"),CONCATENATE(";",EscStr(CONCATENATE("NavNode_",getCategoryLevelAsString($B7))),";",EscStr(H7),";")))</f>
        <v>;"NavNode_Active Components";"Composants actifs";</v>
      </c>
      <c r="AB7" s="39" t="str">
        <f>IF(getCategoryLevelAsString($B7)="L0D_324785","",IF(I7="",CONCATENATE(";",EscStr(CONCATENATE("NavNode_",getCategoryLevelAsString($B7))),";",EscStr($J7),";"),CONCATENATE(";",EscStr(CONCATENATE("NavNode_",getCategoryLevelAsString($B7))),";",EscStr(I7),";")))</f>
        <v>;"NavNode_Active Components";"Componenti attivi";</v>
      </c>
      <c r="AC7" s="39" t="str">
        <f>IF(getCategoryLevelAsString($B7)="L0D_324785","",IF(J7="",CONCATENATE(";",EscStr(CONCATENATE("NavNode_",getCategoryLevelAsString($B7))),";",EscStr($J7),";"),CONCATENATE(";",EscStr(CONCATENATE("NavNode_",getCategoryLevelAsString($B7))),";",EscStr(J7),";")))</f>
        <v>;"NavNode_Active Components";"Active Components";</v>
      </c>
      <c r="AD7" s="39" t="str">
        <f>IF(getCategoryLevelAsString($B7)="L0D_324785","",IF(K7="",CONCATENATE(";",EscStr(CONCATENATE("NavNode_",getCategoryLevelAsString($B7))),";",EscStr($J7),";"),CONCATENATE(";",EscStr(CONCATENATE("NavNode_",getCategoryLevelAsString($B7))),";",EscStr(K7),";")))</f>
        <v>;"NavNode_Active Components";"Aktive komponenter";</v>
      </c>
      <c r="AE7" s="39" t="str">
        <f>IF(getCategoryLevelAsString($B7)="L0D_324785","",IF(L7="",CONCATENATE(";",EscStr(CONCATENATE("NavNode_",getCategoryLevelAsString($B7))),";",EscStr($J7),";"),CONCATENATE(";",EscStr(CONCATENATE("NavNode_",getCategoryLevelAsString($B7))),";",EscStr(L7),";")))</f>
        <v>;"NavNode_Active Components";"Aktyvieji komponentai";</v>
      </c>
      <c r="AF7" s="39" t="str">
        <f>IF(getCategoryLevelAsString($B7)="L0D_324785","",IF(M7="",CONCATENATE(";",EscStr(CONCATENATE("NavNode_",getCategoryLevelAsString($B7))),";",EscStr($J7),";"),CONCATENATE(";",EscStr(CONCATENATE("NavNode_",getCategoryLevelAsString($B7))),";",EscStr(M7),";")))</f>
        <v>;"NavNode_Active Components";"Aktive komponenter";</v>
      </c>
      <c r="AG7" s="39" t="str">
        <f>IF(getCategoryLevelAsString($B7)="L0D_324785","",IF(N7="",CONCATENATE(";",EscStr(CONCATENATE("NavNode_",getCategoryLevelAsString($B7))),";",EscStr($J7),";"),CONCATENATE(";",EscStr(CONCATENATE("NavNode_",getCategoryLevelAsString($B7))),";",EscStr(N7),";")))</f>
        <v>;"NavNode_Active Components";"Aktiva komponenter";</v>
      </c>
      <c r="AH7" s="39" t="str">
        <f>IF(getCategoryLevelAsString($B7)="L0D_324785","",IF(O7="",CONCATENATE(";",EscStr(CONCATENATE("NavNode_",getCategoryLevelAsString($B7))),";",EscStr($J7),";"),CONCATENATE(";",EscStr(CONCATENATE("NavNode_",getCategoryLevelAsString($B7))),";",EscStr(O7),";")))</f>
        <v>;"NavNode_Active Components";"Aktiivkomponendid";</v>
      </c>
      <c r="AI7" s="39" t="str">
        <f>IF(getCategoryLevelAsString($B7)="L0D_324785","",IF(P7="",CONCATENATE(";",EscStr(CONCATENATE("NavNode_",getCategoryLevelAsString($B7))),";",EscStr($J7),";"),CONCATENATE(";",EscStr(CONCATENATE("NavNode_",getCategoryLevelAsString($B7))),";",EscStr(P7),";")))</f>
        <v>;"NavNode_Active Components";"Aktiiviset komponentit";</v>
      </c>
      <c r="AJ7" s="39" t="str">
        <f>IF(getCategoryLevelAsString($B7)="L0D_324785","",IF(Q7="",CONCATENATE(";",EscStr(CONCATENATE("NavNode_",getCategoryLevelAsString($B7))),";",EscStr($J7),";"),CONCATENATE(";",EscStr(CONCATENATE("NavNode_",getCategoryLevelAsString($B7))),";",EscStr(Q7),";")))</f>
        <v>;"NavNode_Active Components";"Aktīvās komponentes";</v>
      </c>
      <c r="AK7" s="39" t="str">
        <f>IF(getCategoryLevelAsString($B7)="L0D_324785","",IF(R7="",CONCATENATE(";",EscStr(CONCATENATE("NavNode_",getCategoryLevelAsString($B7))),";",EscStr($J7),";"),CONCATENATE(";",EscStr(CONCATENATE("NavNode_",getCategoryLevelAsString($B7))),";",EscStr(R7),";")))</f>
        <v>;"NavNode_Active Components";"Actieve componenten";</v>
      </c>
      <c r="AL7" s="39" t="str">
        <f>IF(getCategoryLevelAsString($B7)="L0D_324785","",IF(S7="",CONCATENATE(";",EscStr(CONCATENATE("NavNode_",getCategoryLevelAsString($B7))),";",EscStr($J7),";"),CONCATENATE(";",EscStr(CONCATENATE("NavNode_",getCategoryLevelAsString($B7))),";",EscStr(S7),";")))</f>
        <v>;"NavNode_Active Components";"Elementy aktywne";</v>
      </c>
      <c r="AM7" s="39" t="str">
        <f>IF(getCategoryLevelAsString($B7)="L0D_324785","",IF(T7="",CONCATENATE(";",EscStr(CONCATENATE("NavNode_",getCategoryLevelAsString($B7))),";",EscStr($J7),";"),CONCATENATE(";",EscStr(CONCATENATE("NavNode_",getCategoryLevelAsString($B7))),";",EscStr(T7),";")))</f>
        <v>;"NavNode_Active Components";"Активные компоненты";</v>
      </c>
      <c r="AN7" s="39" t="str">
        <f>IF(getCategoryLevelAsString($B7)="L0D_324785","",IF(U7="",CONCATENATE(";",EscStr(CONCATENATE("NavNode_",getCategoryLevelAsString($B7))),";",EscStr($J7),";"),CONCATENATE(";",EscStr(CONCATENATE("NavNode_",getCategoryLevelAsString($B7))),";",EscStr(U7),";")))</f>
        <v>;"NavNode_Active Components";"Aktivní prvky";</v>
      </c>
      <c r="AO7" s="39" t="str">
        <f>IF(getCategoryLevelAsString($B7)="L0D_324785","",IF(V7="",CONCATENATE(";",EscStr(CONCATENATE("NavNode_",getCategoryLevelAsString($B7))),";",EscStr($J7),";"),CONCATENATE(";",EscStr(CONCATENATE("NavNode_",getCategoryLevelAsString($B7))),";",EscStr(V7),";")))</f>
        <v>;"NavNode_Active Components";"Componente active";</v>
      </c>
      <c r="AP7" s="39" t="str">
        <f>IF(getCategoryLevelAsString($B7)="L0D_324785","",IF(W7="",CONCATENATE(";",EscStr(CONCATENATE("NavNode_",getCategoryLevelAsString($B7))),";",EscStr($J7),";"),CONCATENATE(";",EscStr(CONCATENATE("NavNode_",getCategoryLevelAsString($B7))),";",EscStr(W7),";")))</f>
        <v>;"NavNode_Active Components";"Aktív alkatrészek";</v>
      </c>
      <c r="AQ7" s="39" t="str">
        <f>IF(getCategoryLevelAsString($B7)="L0D_324785","",IF(X7="",CONCATENATE(";",EscStr(CONCATENATE("NavNode_",getCategoryLevelAsString($B7))),";",EscStr($J7),";"),CONCATENATE(";",EscStr(CONCATENATE("NavNode_",getCategoryLevelAsString($B7))),";",EscStr(X7),";")))</f>
        <v>;"NavNode_Active Components";"Aktivní prvky";</v>
      </c>
      <c r="AR7" s="39" t="str">
        <f>IF(OR($A7&lt;&gt;"", $G7=""),"",CONCATENATE(";",EscStr(CONCATENATE("NavEntry_",getCategoryLevelAsString($B7))),";",EscStr(CONCATENATE($J7," Navigation Entry")),";",EscStr(CONCATENATE("cat-",getCategoryLevelAsString($B7))),";",EscStr(CONCATENATE("NavNode_",getCategoryLevelAsString($B7))),";"))</f>
        <v>;"NavEntry_Active Components";"Active Components Navigation Entry";"cat-Active Components";"NavNode_Active Components";</v>
      </c>
    </row>
    <row r="8" spans="1:44" s="34" customFormat="1" ht="15" x14ac:dyDescent="0.25">
      <c r="A8" s="25"/>
      <c r="B8" s="5"/>
      <c r="C8" s="5" t="s">
        <v>132</v>
      </c>
      <c r="D8" s="5"/>
      <c r="E8" s="5"/>
      <c r="F8" s="5"/>
      <c r="G8" s="5" t="s">
        <v>373</v>
      </c>
      <c r="H8" s="5" t="s">
        <v>374</v>
      </c>
      <c r="I8" s="5" t="s">
        <v>375</v>
      </c>
      <c r="J8" s="5" t="s">
        <v>133</v>
      </c>
      <c r="K8" s="5" t="s">
        <v>1205</v>
      </c>
      <c r="L8" s="5" t="s">
        <v>1438</v>
      </c>
      <c r="M8" s="5" t="s">
        <v>1205</v>
      </c>
      <c r="N8" s="5" t="s">
        <v>1877</v>
      </c>
      <c r="O8" s="5" t="s">
        <v>2433</v>
      </c>
      <c r="P8" s="5" t="s">
        <v>2434</v>
      </c>
      <c r="Q8" s="5" t="s">
        <v>2435</v>
      </c>
      <c r="R8" s="5" t="s">
        <v>2436</v>
      </c>
      <c r="S8" s="5" t="s">
        <v>2437</v>
      </c>
      <c r="T8" s="5" t="s">
        <v>2438</v>
      </c>
      <c r="U8" s="5" t="s">
        <v>2439</v>
      </c>
      <c r="V8" s="5" t="s">
        <v>2440</v>
      </c>
      <c r="W8" s="5" t="s">
        <v>2441</v>
      </c>
      <c r="X8" s="5" t="s">
        <v>14794</v>
      </c>
      <c r="Y8" s="39" t="str">
        <f>IF(OR($A8&lt;&gt;"", $G8=""),"",CONCATENATE(";",EscStr(CONCATENATE("NavNode_",getCategoryLevelAsString($B8))),";",EscStr($J8),";",IF($B8&lt;&gt;"","""MainCategoryNavNode""",EscStr(CONCATENATE("NavNode_",getSuperCategory($B8, getCategoryLevelAsNumber($B8))))),";"))</f>
        <v>;"NavNode_L2-3D_525337";"Discrete Semiconductors / Tubes";"NavNode_Active Components";</v>
      </c>
      <c r="Z8" s="39" t="str">
        <f>IF(getCategoryLevelAsString($B8)="L0D_324785","",IF(G8="",CONCATENATE(";",EscStr(CONCATENATE("NavNode_",getCategoryLevelAsString($B8))),";",EscStr($J8),";"),CONCATENATE(";",EscStr(CONCATENATE("NavNode_",getCategoryLevelAsString($B8))),";",EscStr(G8),";")))</f>
        <v>;"NavNode_L2-3D_525337";"Diskrete Halbleiter / Röhren";</v>
      </c>
      <c r="AA8" s="39" t="str">
        <f>IF(getCategoryLevelAsString($B8)="L0D_324785","",IF(H8="",CONCATENATE(";",EscStr(CONCATENATE("NavNode_",getCategoryLevelAsString($B8))),";",EscStr($J8),";"),CONCATENATE(";",EscStr(CONCATENATE("NavNode_",getCategoryLevelAsString($B8))),";",EscStr(H8),";")))</f>
        <v>;"NavNode_L2-3D_525337";"Semi-conducteurs discrets / tubes";</v>
      </c>
      <c r="AB8" s="39" t="str">
        <f>IF(getCategoryLevelAsString($B8)="L0D_324785","",IF(I8="",CONCATENATE(";",EscStr(CONCATENATE("NavNode_",getCategoryLevelAsString($B8))),";",EscStr($J8),";"),CONCATENATE(";",EscStr(CONCATENATE("NavNode_",getCategoryLevelAsString($B8))),";",EscStr(I8),";")))</f>
        <v>;"NavNode_L2-3D_525337";"Semiconduttori discreti / Valvole";</v>
      </c>
      <c r="AC8" s="39" t="str">
        <f>IF(getCategoryLevelAsString($B8)="L0D_324785","",IF(J8="",CONCATENATE(";",EscStr(CONCATENATE("NavNode_",getCategoryLevelAsString($B8))),";",EscStr($J8),";"),CONCATENATE(";",EscStr(CONCATENATE("NavNode_",getCategoryLevelAsString($B8))),";",EscStr(J8),";")))</f>
        <v>;"NavNode_L2-3D_525337";"Discrete Semiconductors / Tubes";</v>
      </c>
      <c r="AD8" s="39" t="str">
        <f>IF(getCategoryLevelAsString($B8)="L0D_324785","",IF(K8="",CONCATENATE(";",EscStr(CONCATENATE("NavNode_",getCategoryLevelAsString($B8))),";",EscStr($J8),";"),CONCATENATE(";",EscStr(CONCATENATE("NavNode_",getCategoryLevelAsString($B8))),";",EscStr(K8),";")))</f>
        <v>;"NavNode_L2-3D_525337";"Diskrete halvledere/rør";</v>
      </c>
      <c r="AE8" s="39" t="str">
        <f>IF(getCategoryLevelAsString($B8)="L0D_324785","",IF(L8="",CONCATENATE(";",EscStr(CONCATENATE("NavNode_",getCategoryLevelAsString($B8))),";",EscStr($J8),";"),CONCATENATE(";",EscStr(CONCATENATE("NavNode_",getCategoryLevelAsString($B8))),";",EscStr(L8),";")))</f>
        <v>;"NavNode_L2-3D_525337";"Diskretiniai puslaidininkiai / lempos";</v>
      </c>
      <c r="AF8" s="39" t="str">
        <f>IF(getCategoryLevelAsString($B8)="L0D_324785","",IF(M8="",CONCATENATE(";",EscStr(CONCATENATE("NavNode_",getCategoryLevelAsString($B8))),";",EscStr($J8),";"),CONCATENATE(";",EscStr(CONCATENATE("NavNode_",getCategoryLevelAsString($B8))),";",EscStr(M8),";")))</f>
        <v>;"NavNode_L2-3D_525337";"Diskrete halvledere/rør";</v>
      </c>
      <c r="AG8" s="39" t="str">
        <f>IF(getCategoryLevelAsString($B8)="L0D_324785","",IF(N8="",CONCATENATE(";",EscStr(CONCATENATE("NavNode_",getCategoryLevelAsString($B8))),";",EscStr($J8),";"),CONCATENATE(";",EscStr(CONCATENATE("NavNode_",getCategoryLevelAsString($B8))),";",EscStr(N8),";")))</f>
        <v>;"NavNode_L2-3D_525337";"Diskreta halvledare/rör";</v>
      </c>
      <c r="AH8" s="39" t="str">
        <f>IF(getCategoryLevelAsString($B8)="L0D_324785","",IF(O8="",CONCATENATE(";",EscStr(CONCATENATE("NavNode_",getCategoryLevelAsString($B8))),";",EscStr($J8),";"),CONCATENATE(";",EscStr(CONCATENATE("NavNode_",getCategoryLevelAsString($B8))),";",EscStr(O8),";")))</f>
        <v>;"NavNode_L2-3D_525337";"Diskreetsed pooljuhid / Elektronlambid";</v>
      </c>
      <c r="AI8" s="39" t="str">
        <f>IF(getCategoryLevelAsString($B8)="L0D_324785","",IF(P8="",CONCATENATE(";",EscStr(CONCATENATE("NavNode_",getCategoryLevelAsString($B8))),";",EscStr($J8),";"),CONCATENATE(";",EscStr(CONCATENATE("NavNode_",getCategoryLevelAsString($B8))),";",EscStr(P8),";")))</f>
        <v>;"NavNode_L2-3D_525337";"Puolijohteet/Elektroniputket";</v>
      </c>
      <c r="AJ8" s="39" t="str">
        <f>IF(getCategoryLevelAsString($B8)="L0D_324785","",IF(Q8="",CONCATENATE(";",EscStr(CONCATENATE("NavNode_",getCategoryLevelAsString($B8))),";",EscStr($J8),";"),CONCATENATE(";",EscStr(CONCATENATE("NavNode_",getCategoryLevelAsString($B8))),";",EscStr(Q8),";")))</f>
        <v>;"NavNode_L2-3D_525337";"Diskrētie pusvadītāji / lampas";</v>
      </c>
      <c r="AK8" s="39" t="str">
        <f>IF(getCategoryLevelAsString($B8)="L0D_324785","",IF(R8="",CONCATENATE(";",EscStr(CONCATENATE("NavNode_",getCategoryLevelAsString($B8))),";",EscStr($J8),";"),CONCATENATE(";",EscStr(CONCATENATE("NavNode_",getCategoryLevelAsString($B8))),";",EscStr(R8),";")))</f>
        <v>;"NavNode_L2-3D_525337";"Discrete halfgeleiders / buizen";</v>
      </c>
      <c r="AL8" s="39" t="str">
        <f>IF(getCategoryLevelAsString($B8)="L0D_324785","",IF(S8="",CONCATENATE(";",EscStr(CONCATENATE("NavNode_",getCategoryLevelAsString($B8))),";",EscStr($J8),";"),CONCATENATE(";",EscStr(CONCATENATE("NavNode_",getCategoryLevelAsString($B8))),";",EscStr(S8),";")))</f>
        <v>;"NavNode_L2-3D_525337";"Elementy półprzewodnikowe dyskretne / Lampy elektronowe";</v>
      </c>
      <c r="AM8" s="39" t="str">
        <f>IF(getCategoryLevelAsString($B8)="L0D_324785","",IF(T8="",CONCATENATE(";",EscStr(CONCATENATE("NavNode_",getCategoryLevelAsString($B8))),";",EscStr($J8),";"),CONCATENATE(";",EscStr(CONCATENATE("NavNode_",getCategoryLevelAsString($B8))),";",EscStr(T8),";")))</f>
        <v>;"NavNode_L2-3D_525337";"Дискретные полупроводники / Лампы";</v>
      </c>
      <c r="AN8" s="39" t="str">
        <f>IF(getCategoryLevelAsString($B8)="L0D_324785","",IF(U8="",CONCATENATE(";",EscStr(CONCATENATE("NavNode_",getCategoryLevelAsString($B8))),";",EscStr($J8),";"),CONCATENATE(";",EscStr(CONCATENATE("NavNode_",getCategoryLevelAsString($B8))),";",EscStr(U8),";")))</f>
        <v>;"NavNode_L2-3D_525337";"Diskrétní polovodiče / elektronky";</v>
      </c>
      <c r="AO8" s="39" t="str">
        <f>IF(getCategoryLevelAsString($B8)="L0D_324785","",IF(V8="",CONCATENATE(";",EscStr(CONCATENATE("NavNode_",getCategoryLevelAsString($B8))),";",EscStr($J8),";"),CONCATENATE(";",EscStr(CONCATENATE("NavNode_",getCategoryLevelAsString($B8))),";",EscStr(V8),";")))</f>
        <v>;"NavNode_L2-3D_525337";"Semiconductori discreţi / Tuburi";</v>
      </c>
      <c r="AP8" s="39" t="str">
        <f>IF(getCategoryLevelAsString($B8)="L0D_324785","",IF(W8="",CONCATENATE(";",EscStr(CONCATENATE("NavNode_",getCategoryLevelAsString($B8))),";",EscStr($J8),";"),CONCATENATE(";",EscStr(CONCATENATE("NavNode_",getCategoryLevelAsString($B8))),";",EscStr(W8),";")))</f>
        <v>;"NavNode_L2-3D_525337";"Diszkrét félvezetők / Elektroncsövek";</v>
      </c>
      <c r="AQ8" s="39" t="str">
        <f>IF(getCategoryLevelAsString($B8)="L0D_324785","",IF(X8="",CONCATENATE(";",EscStr(CONCATENATE("NavNode_",getCategoryLevelAsString($B8))),";",EscStr($J8),";"),CONCATENATE(";",EscStr(CONCATENATE("NavNode_",getCategoryLevelAsString($B8))),";",EscStr(X8),";")))</f>
        <v>;"NavNode_L2-3D_525337";"Diskrétne polovodiče / elektrónky";</v>
      </c>
      <c r="AR8" s="39" t="str">
        <f>IF(OR($A8&lt;&gt;"", $G8=""),"",CONCATENATE(";",EscStr(CONCATENATE("NavEntry_",getCategoryLevelAsString($B8))),";",EscStr(CONCATENATE($J8," Navigation Entry")),";",EscStr(CONCATENATE("cat-",getCategoryLevelAsString($B8))),";",EscStr(CONCATENATE("NavNode_",getCategoryLevelAsString($B8))),";"))</f>
        <v>;"NavEntry_L2-3D_525337";"Discrete Semiconductors / Tubes Navigation Entry";"cat-L2-3D_525337";"NavNode_L2-3D_525337";</v>
      </c>
    </row>
    <row r="9" spans="1:44" s="34" customFormat="1" ht="15" x14ac:dyDescent="0.25">
      <c r="A9" s="25"/>
      <c r="B9" s="5"/>
      <c r="C9" s="5"/>
      <c r="D9" s="5" t="s">
        <v>4694</v>
      </c>
      <c r="E9" s="5"/>
      <c r="F9" s="5"/>
      <c r="G9" s="5" t="s">
        <v>4696</v>
      </c>
      <c r="H9" s="5" t="s">
        <v>4695</v>
      </c>
      <c r="I9" s="5" t="s">
        <v>13652</v>
      </c>
      <c r="J9" s="5" t="s">
        <v>4695</v>
      </c>
      <c r="K9" s="5" t="s">
        <v>13743</v>
      </c>
      <c r="L9" s="5" t="s">
        <v>15054</v>
      </c>
      <c r="M9" s="5" t="s">
        <v>13743</v>
      </c>
      <c r="N9" s="5" t="s">
        <v>13743</v>
      </c>
      <c r="O9" s="5" t="s">
        <v>14005</v>
      </c>
      <c r="P9" s="5" t="s">
        <v>14097</v>
      </c>
      <c r="Q9" s="5" t="s">
        <v>4695</v>
      </c>
      <c r="R9" s="5" t="s">
        <v>4696</v>
      </c>
      <c r="S9" s="5" t="s">
        <v>14356</v>
      </c>
      <c r="T9" s="5" t="s">
        <v>14445</v>
      </c>
      <c r="U9" s="5" t="s">
        <v>14356</v>
      </c>
      <c r="V9" s="5" t="s">
        <v>14623</v>
      </c>
      <c r="W9" s="5" t="s">
        <v>14707</v>
      </c>
      <c r="X9" s="5" t="s">
        <v>14795</v>
      </c>
      <c r="Y9" s="39" t="str">
        <f>IF(OR($A9&lt;&gt;"", $G9=""),"",CONCATENATE(";",EscStr(CONCATENATE("NavNode_",getCategoryLevelAsString($B9))),";",EscStr($J9),";",IF($B9&lt;&gt;"","""MainCategoryNavNode""",EscStr(CONCATENATE("NavNode_",getSuperCategory($B9, getCategoryLevelAsNumber($B9))))),";"))</f>
        <v>;"NavNode_L3D_525222";"Diodes";"NavNode_L2-3D_525337";</v>
      </c>
      <c r="Z9" s="39" t="str">
        <f>IF(getCategoryLevelAsString($B9)="L0D_324785","",IF(G9="",CONCATENATE(";",EscStr(CONCATENATE("NavNode_",getCategoryLevelAsString($B9))),";",EscStr($J9),";"),CONCATENATE(";",EscStr(CONCATENATE("NavNode_",getCategoryLevelAsString($B9))),";",EscStr(G9),";")))</f>
        <v>;"NavNode_L3D_525222";"Dioden";</v>
      </c>
      <c r="AA9" s="39" t="str">
        <f>IF(getCategoryLevelAsString($B9)="L0D_324785","",IF(H9="",CONCATENATE(";",EscStr(CONCATENATE("NavNode_",getCategoryLevelAsString($B9))),";",EscStr($J9),";"),CONCATENATE(";",EscStr(CONCATENATE("NavNode_",getCategoryLevelAsString($B9))),";",EscStr(H9),";")))</f>
        <v>;"NavNode_L3D_525222";"Diodes";</v>
      </c>
      <c r="AB9" s="39" t="str">
        <f>IF(getCategoryLevelAsString($B9)="L0D_324785","",IF(I9="",CONCATENATE(";",EscStr(CONCATENATE("NavNode_",getCategoryLevelAsString($B9))),";",EscStr($J9),";"),CONCATENATE(";",EscStr(CONCATENATE("NavNode_",getCategoryLevelAsString($B9))),";",EscStr(I9),";")))</f>
        <v>;"NavNode_L3D_525222";"Diodi";</v>
      </c>
      <c r="AC9" s="39" t="str">
        <f>IF(getCategoryLevelAsString($B9)="L0D_324785","",IF(J9="",CONCATENATE(";",EscStr(CONCATENATE("NavNode_",getCategoryLevelAsString($B9))),";",EscStr($J9),";"),CONCATENATE(";",EscStr(CONCATENATE("NavNode_",getCategoryLevelAsString($B9))),";",EscStr(J9),";")))</f>
        <v>;"NavNode_L3D_525222";"Diodes";</v>
      </c>
      <c r="AD9" s="39" t="str">
        <f>IF(getCategoryLevelAsString($B9)="L0D_324785","",IF(K9="",CONCATENATE(";",EscStr(CONCATENATE("NavNode_",getCategoryLevelAsString($B9))),";",EscStr($J9),";"),CONCATENATE(";",EscStr(CONCATENATE("NavNode_",getCategoryLevelAsString($B9))),";",EscStr(K9),";")))</f>
        <v>;"NavNode_L3D_525222";"Dioder";</v>
      </c>
      <c r="AE9" s="39" t="str">
        <f>IF(getCategoryLevelAsString($B9)="L0D_324785","",IF(L9="",CONCATENATE(";",EscStr(CONCATENATE("NavNode_",getCategoryLevelAsString($B9))),";",EscStr($J9),";"),CONCATENATE(";",EscStr(CONCATENATE("NavNode_",getCategoryLevelAsString($B9))),";",EscStr(L9),";")))</f>
        <v>;"NavNode_L3D_525222";"Diodai";</v>
      </c>
      <c r="AF9" s="39" t="str">
        <f>IF(getCategoryLevelAsString($B9)="L0D_324785","",IF(M9="",CONCATENATE(";",EscStr(CONCATENATE("NavNode_",getCategoryLevelAsString($B9))),";",EscStr($J9),";"),CONCATENATE(";",EscStr(CONCATENATE("NavNode_",getCategoryLevelAsString($B9))),";",EscStr(M9),";")))</f>
        <v>;"NavNode_L3D_525222";"Dioder";</v>
      </c>
      <c r="AG9" s="39" t="str">
        <f>IF(getCategoryLevelAsString($B9)="L0D_324785","",IF(N9="",CONCATENATE(";",EscStr(CONCATENATE("NavNode_",getCategoryLevelAsString($B9))),";",EscStr($J9),";"),CONCATENATE(";",EscStr(CONCATENATE("NavNode_",getCategoryLevelAsString($B9))),";",EscStr(N9),";")))</f>
        <v>;"NavNode_L3D_525222";"Dioder";</v>
      </c>
      <c r="AH9" s="39" t="str">
        <f>IF(getCategoryLevelAsString($B9)="L0D_324785","",IF(O9="",CONCATENATE(";",EscStr(CONCATENATE("NavNode_",getCategoryLevelAsString($B9))),";",EscStr($J9),";"),CONCATENATE(";",EscStr(CONCATENATE("NavNode_",getCategoryLevelAsString($B9))),";",EscStr(O9),";")))</f>
        <v>;"NavNode_L3D_525222";"Dioodid";</v>
      </c>
      <c r="AI9" s="39" t="str">
        <f>IF(getCategoryLevelAsString($B9)="L0D_324785","",IF(P9="",CONCATENATE(";",EscStr(CONCATENATE("NavNode_",getCategoryLevelAsString($B9))),";",EscStr($J9),";"),CONCATENATE(";",EscStr(CONCATENATE("NavNode_",getCategoryLevelAsString($B9))),";",EscStr(P9),";")))</f>
        <v>;"NavNode_L3D_525222";"Diodit";</v>
      </c>
      <c r="AJ9" s="39" t="str">
        <f>IF(getCategoryLevelAsString($B9)="L0D_324785","",IF(Q9="",CONCATENATE(";",EscStr(CONCATENATE("NavNode_",getCategoryLevelAsString($B9))),";",EscStr($J9),";"),CONCATENATE(";",EscStr(CONCATENATE("NavNode_",getCategoryLevelAsString($B9))),";",EscStr(Q9),";")))</f>
        <v>;"NavNode_L3D_525222";"Diodes";</v>
      </c>
      <c r="AK9" s="39" t="str">
        <f>IF(getCategoryLevelAsString($B9)="L0D_324785","",IF(R9="",CONCATENATE(";",EscStr(CONCATENATE("NavNode_",getCategoryLevelAsString($B9))),";",EscStr($J9),";"),CONCATENATE(";",EscStr(CONCATENATE("NavNode_",getCategoryLevelAsString($B9))),";",EscStr(R9),";")))</f>
        <v>;"NavNode_L3D_525222";"Dioden";</v>
      </c>
      <c r="AL9" s="39" t="str">
        <f>IF(getCategoryLevelAsString($B9)="L0D_324785","",IF(S9="",CONCATENATE(";",EscStr(CONCATENATE("NavNode_",getCategoryLevelAsString($B9))),";",EscStr($J9),";"),CONCATENATE(";",EscStr(CONCATENATE("NavNode_",getCategoryLevelAsString($B9))),";",EscStr(S9),";")))</f>
        <v>;"NavNode_L3D_525222";"Diody";</v>
      </c>
      <c r="AM9" s="39" t="str">
        <f>IF(getCategoryLevelAsString($B9)="L0D_324785","",IF(T9="",CONCATENATE(";",EscStr(CONCATENATE("NavNode_",getCategoryLevelAsString($B9))),";",EscStr($J9),";"),CONCATENATE(";",EscStr(CONCATENATE("NavNode_",getCategoryLevelAsString($B9))),";",EscStr(T9),";")))</f>
        <v>;"NavNode_L3D_525222";"Диоды";</v>
      </c>
      <c r="AN9" s="39" t="str">
        <f>IF(getCategoryLevelAsString($B9)="L0D_324785","",IF(U9="",CONCATENATE(";",EscStr(CONCATENATE("NavNode_",getCategoryLevelAsString($B9))),";",EscStr($J9),";"),CONCATENATE(";",EscStr(CONCATENATE("NavNode_",getCategoryLevelAsString($B9))),";",EscStr(U9),";")))</f>
        <v>;"NavNode_L3D_525222";"Diody";</v>
      </c>
      <c r="AO9" s="39" t="str">
        <f>IF(getCategoryLevelAsString($B9)="L0D_324785","",IF(V9="",CONCATENATE(";",EscStr(CONCATENATE("NavNode_",getCategoryLevelAsString($B9))),";",EscStr($J9),";"),CONCATENATE(";",EscStr(CONCATENATE("NavNode_",getCategoryLevelAsString($B9))),";",EscStr(V9),";")))</f>
        <v>;"NavNode_L3D_525222";"Diode";</v>
      </c>
      <c r="AP9" s="39" t="str">
        <f>IF(getCategoryLevelAsString($B9)="L0D_324785","",IF(W9="",CONCATENATE(";",EscStr(CONCATENATE("NavNode_",getCategoryLevelAsString($B9))),";",EscStr($J9),";"),CONCATENATE(";",EscStr(CONCATENATE("NavNode_",getCategoryLevelAsString($B9))),";",EscStr(W9),";")))</f>
        <v>;"NavNode_L3D_525222";"Diódák";</v>
      </c>
      <c r="AQ9" s="39" t="str">
        <f>IF(getCategoryLevelAsString($B9)="L0D_324785","",IF(X9="",CONCATENATE(";",EscStr(CONCATENATE("NavNode_",getCategoryLevelAsString($B9))),";",EscStr($J9),";"),CONCATENATE(";",EscStr(CONCATENATE("NavNode_",getCategoryLevelAsString($B9))),";",EscStr(X9),";")))</f>
        <v>;"NavNode_L3D_525222";"Diódy";</v>
      </c>
      <c r="AR9" s="39" t="str">
        <f>IF(OR($A9&lt;&gt;"", $G9=""),"",CONCATENATE(";",EscStr(CONCATENATE("NavEntry_",getCategoryLevelAsString($B9))),";",EscStr(CONCATENATE($J9," Navigation Entry")),";",EscStr(CONCATENATE("cat-",getCategoryLevelAsString($B9))),";",EscStr(CONCATENATE("NavNode_",getCategoryLevelAsString($B9))),";"))</f>
        <v>;"NavEntry_L3D_525222";"Diodes Navigation Entry";"cat-L3D_525222";"NavNode_L3D_525222";</v>
      </c>
    </row>
    <row r="10" spans="1:44" s="34" customFormat="1" ht="15" x14ac:dyDescent="0.25">
      <c r="A10" s="25"/>
      <c r="B10" s="5"/>
      <c r="C10" s="5"/>
      <c r="D10" s="5" t="s">
        <v>4753</v>
      </c>
      <c r="E10" s="5"/>
      <c r="F10" s="5"/>
      <c r="G10" s="5" t="s">
        <v>4755</v>
      </c>
      <c r="H10" s="5" t="s">
        <v>13565</v>
      </c>
      <c r="I10" s="5" t="s">
        <v>13653</v>
      </c>
      <c r="J10" s="5" t="s">
        <v>4754</v>
      </c>
      <c r="K10" s="5" t="s">
        <v>13744</v>
      </c>
      <c r="L10" s="5" t="s">
        <v>15055</v>
      </c>
      <c r="M10" s="5" t="s">
        <v>13850</v>
      </c>
      <c r="N10" s="5" t="s">
        <v>13917</v>
      </c>
      <c r="O10" s="5" t="s">
        <v>14006</v>
      </c>
      <c r="P10" s="5" t="s">
        <v>14098</v>
      </c>
      <c r="Q10" s="5" t="s">
        <v>14185</v>
      </c>
      <c r="R10" s="5" t="s">
        <v>14274</v>
      </c>
      <c r="S10" s="5" t="s">
        <v>14357</v>
      </c>
      <c r="T10" s="5" t="s">
        <v>14446</v>
      </c>
      <c r="U10" s="5" t="s">
        <v>14535</v>
      </c>
      <c r="V10" s="5" t="s">
        <v>14624</v>
      </c>
      <c r="W10" s="5" t="s">
        <v>14708</v>
      </c>
      <c r="X10" s="5" t="s">
        <v>14796</v>
      </c>
      <c r="Y10" s="39" t="str">
        <f>IF(OR($A10&lt;&gt;"", $G10=""),"",CONCATENATE(";",EscStr(CONCATENATE("NavNode_",getCategoryLevelAsString($B10))),";",EscStr($J10),";",IF($B10&lt;&gt;"","""MainCategoryNavNode""",EscStr(CONCATENATE("NavNode_",getSuperCategory($B10, getCategoryLevelAsNumber($B10))))),";"))</f>
        <v>;"NavNode_L3D_525226";"Bridge Rectifiers";"NavNode_L2-3D_525337";</v>
      </c>
      <c r="Z10" s="39" t="str">
        <f>IF(getCategoryLevelAsString($B10)="L0D_324785","",IF(G10="",CONCATENATE(";",EscStr(CONCATENATE("NavNode_",getCategoryLevelAsString($B10))),";",EscStr($J10),";"),CONCATENATE(";",EscStr(CONCATENATE("NavNode_",getCategoryLevelAsString($B10))),";",EscStr(G10),";")))</f>
        <v>;"NavNode_L3D_525226";"Brückengleichrichter";</v>
      </c>
      <c r="AA10" s="39" t="str">
        <f>IF(getCategoryLevelAsString($B10)="L0D_324785","",IF(H10="",CONCATENATE(";",EscStr(CONCATENATE("NavNode_",getCategoryLevelAsString($B10))),";",EscStr($J10),";"),CONCATENATE(";",EscStr(CONCATENATE("NavNode_",getCategoryLevelAsString($B10))),";",EscStr(H10),";")))</f>
        <v>;"NavNode_L3D_525226";"Ponts redresseurs";</v>
      </c>
      <c r="AB10" s="39" t="str">
        <f>IF(getCategoryLevelAsString($B10)="L0D_324785","",IF(I10="",CONCATENATE(";",EscStr(CONCATENATE("NavNode_",getCategoryLevelAsString($B10))),";",EscStr($J10),";"),CONCATENATE(";",EscStr(CONCATENATE("NavNode_",getCategoryLevelAsString($B10))),";",EscStr(I10),";")))</f>
        <v>;"NavNode_L3D_525226";"Raddrizzatori a ponte";</v>
      </c>
      <c r="AC10" s="39" t="str">
        <f>IF(getCategoryLevelAsString($B10)="L0D_324785","",IF(J10="",CONCATENATE(";",EscStr(CONCATENATE("NavNode_",getCategoryLevelAsString($B10))),";",EscStr($J10),";"),CONCATENATE(";",EscStr(CONCATENATE("NavNode_",getCategoryLevelAsString($B10))),";",EscStr(J10),";")))</f>
        <v>;"NavNode_L3D_525226";"Bridge Rectifiers";</v>
      </c>
      <c r="AD10" s="39" t="str">
        <f>IF(getCategoryLevelAsString($B10)="L0D_324785","",IF(K10="",CONCATENATE(";",EscStr(CONCATENATE("NavNode_",getCategoryLevelAsString($B10))),";",EscStr($J10),";"),CONCATENATE(";",EscStr(CONCATENATE("NavNode_",getCategoryLevelAsString($B10))),";",EscStr(K10),";")))</f>
        <v>;"NavNode_L3D_525226";"Ensretterbroer";</v>
      </c>
      <c r="AE10" s="39" t="str">
        <f>IF(getCategoryLevelAsString($B10)="L0D_324785","",IF(L10="",CONCATENATE(";",EscStr(CONCATENATE("NavNode_",getCategoryLevelAsString($B10))),";",EscStr($J10),";"),CONCATENATE(";",EscStr(CONCATENATE("NavNode_",getCategoryLevelAsString($B10))),";",EscStr(L10),";")))</f>
        <v>;"NavNode_L3D_525226";"Tiltiniai lygintuvai";</v>
      </c>
      <c r="AF10" s="39" t="str">
        <f>IF(getCategoryLevelAsString($B10)="L0D_324785","",IF(M10="",CONCATENATE(";",EscStr(CONCATENATE("NavNode_",getCategoryLevelAsString($B10))),";",EscStr($J10),";"),CONCATENATE(";",EscStr(CONCATENATE("NavNode_",getCategoryLevelAsString($B10))),";",EscStr(M10),";")))</f>
        <v>;"NavNode_L3D_525226";"Brolikerettere";</v>
      </c>
      <c r="AG10" s="39" t="str">
        <f>IF(getCategoryLevelAsString($B10)="L0D_324785","",IF(N10="",CONCATENATE(";",EscStr(CONCATENATE("NavNode_",getCategoryLevelAsString($B10))),";",EscStr($J10),";"),CONCATENATE(";",EscStr(CONCATENATE("NavNode_",getCategoryLevelAsString($B10))),";",EscStr(N10),";")))</f>
        <v>;"NavNode_L3D_525226";"Likriktarbryggor";</v>
      </c>
      <c r="AH10" s="39" t="str">
        <f>IF(getCategoryLevelAsString($B10)="L0D_324785","",IF(O10="",CONCATENATE(";",EscStr(CONCATENATE("NavNode_",getCategoryLevelAsString($B10))),";",EscStr($J10),";"),CONCATENATE(";",EscStr(CONCATENATE("NavNode_",getCategoryLevelAsString($B10))),";",EscStr(O10),";")))</f>
        <v>;"NavNode_L3D_525226";"Sildalaldid";</v>
      </c>
      <c r="AI10" s="39" t="str">
        <f>IF(getCategoryLevelAsString($B10)="L0D_324785","",IF(P10="",CONCATENATE(";",EscStr(CONCATENATE("NavNode_",getCategoryLevelAsString($B10))),";",EscStr($J10),";"),CONCATENATE(";",EscStr(CONCATENATE("NavNode_",getCategoryLevelAsString($B10))),";",EscStr(P10),";")))</f>
        <v>;"NavNode_L3D_525226";"Tasasuuntaussillat";</v>
      </c>
      <c r="AJ10" s="39" t="str">
        <f>IF(getCategoryLevelAsString($B10)="L0D_324785","",IF(Q10="",CONCATENATE(";",EscStr(CONCATENATE("NavNode_",getCategoryLevelAsString($B10))),";",EscStr($J10),";"),CONCATENATE(";",EscStr(CONCATENATE("NavNode_",getCategoryLevelAsString($B10))),";",EscStr(Q10),";")))</f>
        <v>;"NavNode_L3D_525226";"Diožu tilti";</v>
      </c>
      <c r="AK10" s="39" t="str">
        <f>IF(getCategoryLevelAsString($B10)="L0D_324785","",IF(R10="",CONCATENATE(";",EscStr(CONCATENATE("NavNode_",getCategoryLevelAsString($B10))),";",EscStr($J10),";"),CONCATENATE(";",EscStr(CONCATENATE("NavNode_",getCategoryLevelAsString($B10))),";",EscStr(R10),";")))</f>
        <v>;"NavNode_L3D_525226";"Bruggelijkrichters";</v>
      </c>
      <c r="AL10" s="39" t="str">
        <f>IF(getCategoryLevelAsString($B10)="L0D_324785","",IF(S10="",CONCATENATE(";",EscStr(CONCATENATE("NavNode_",getCategoryLevelAsString($B10))),";",EscStr($J10),";"),CONCATENATE(";",EscStr(CONCATENATE("NavNode_",getCategoryLevelAsString($B10))),";",EscStr(S10),";")))</f>
        <v>;"NavNode_L3D_525226";"Mostki prostownicze";</v>
      </c>
      <c r="AM10" s="39" t="str">
        <f>IF(getCategoryLevelAsString($B10)="L0D_324785","",IF(T10="",CONCATENATE(";",EscStr(CONCATENATE("NavNode_",getCategoryLevelAsString($B10))),";",EscStr($J10),";"),CONCATENATE(";",EscStr(CONCATENATE("NavNode_",getCategoryLevelAsString($B10))),";",EscStr(T10),";")))</f>
        <v>;"NavNode_L3D_525226";"Диодные мосты";</v>
      </c>
      <c r="AN10" s="39" t="str">
        <f>IF(getCategoryLevelAsString($B10)="L0D_324785","",IF(U10="",CONCATENATE(";",EscStr(CONCATENATE("NavNode_",getCategoryLevelAsString($B10))),";",EscStr($J10),";"),CONCATENATE(";",EscStr(CONCATENATE("NavNode_",getCategoryLevelAsString($B10))),";",EscStr(U10),";")))</f>
        <v>;"NavNode_L3D_525226";"Můstkové usměrňovače";</v>
      </c>
      <c r="AO10" s="39" t="str">
        <f>IF(getCategoryLevelAsString($B10)="L0D_324785","",IF(V10="",CONCATENATE(";",EscStr(CONCATENATE("NavNode_",getCategoryLevelAsString($B10))),";",EscStr($J10),";"),CONCATENATE(";",EscStr(CONCATENATE("NavNode_",getCategoryLevelAsString($B10))),";",EscStr(V10),";")))</f>
        <v>;"NavNode_L3D_525226";"Punţi redresoare";</v>
      </c>
      <c r="AP10" s="39" t="str">
        <f>IF(getCategoryLevelAsString($B10)="L0D_324785","",IF(W10="",CONCATENATE(";",EscStr(CONCATENATE("NavNode_",getCategoryLevelAsString($B10))),";",EscStr($J10),";"),CONCATENATE(";",EscStr(CONCATENATE("NavNode_",getCategoryLevelAsString($B10))),";",EscStr(W10),";")))</f>
        <v>;"NavNode_L3D_525226";"Hídegyenirányítók";</v>
      </c>
      <c r="AQ10" s="39" t="str">
        <f>IF(getCategoryLevelAsString($B10)="L0D_324785","",IF(X10="",CONCATENATE(";",EscStr(CONCATENATE("NavNode_",getCategoryLevelAsString($B10))),";",EscStr($J10),";"),CONCATENATE(";",EscStr(CONCATENATE("NavNode_",getCategoryLevelAsString($B10))),";",EscStr(X10),";")))</f>
        <v>;"NavNode_L3D_525226";"Mostíkové usmerňovače";</v>
      </c>
      <c r="AR10" s="39" t="str">
        <f>IF(OR($A10&lt;&gt;"", $G10=""),"",CONCATENATE(";",EscStr(CONCATENATE("NavEntry_",getCategoryLevelAsString($B10))),";",EscStr(CONCATENATE($J10," Navigation Entry")),";",EscStr(CONCATENATE("cat-",getCategoryLevelAsString($B10))),";",EscStr(CONCATENATE("NavNode_",getCategoryLevelAsString($B10))),";"))</f>
        <v>;"NavEntry_L3D_525226";"Bridge Rectifiers Navigation Entry";"cat-L3D_525226";"NavNode_L3D_525226";</v>
      </c>
    </row>
    <row r="11" spans="1:44" s="34" customFormat="1" ht="15" x14ac:dyDescent="0.25">
      <c r="A11" s="25"/>
      <c r="B11" s="5"/>
      <c r="C11" s="5"/>
      <c r="D11" s="5" t="s">
        <v>4763</v>
      </c>
      <c r="E11" s="5"/>
      <c r="F11" s="5"/>
      <c r="G11" s="5" t="s">
        <v>4765</v>
      </c>
      <c r="H11" s="5" t="s">
        <v>13550</v>
      </c>
      <c r="I11" s="5" t="s">
        <v>13654</v>
      </c>
      <c r="J11" s="40" t="s">
        <v>13550</v>
      </c>
      <c r="K11" s="5" t="s">
        <v>13745</v>
      </c>
      <c r="L11" s="5" t="s">
        <v>15056</v>
      </c>
      <c r="M11" s="5" t="s">
        <v>13745</v>
      </c>
      <c r="N11" s="5" t="s">
        <v>13745</v>
      </c>
      <c r="O11" s="5" t="s">
        <v>14007</v>
      </c>
      <c r="P11" s="5" t="s">
        <v>14099</v>
      </c>
      <c r="Q11" s="5" t="s">
        <v>14186</v>
      </c>
      <c r="R11" s="5" t="s">
        <v>4765</v>
      </c>
      <c r="S11" s="5" t="s">
        <v>14358</v>
      </c>
      <c r="T11" s="5" t="s">
        <v>14447</v>
      </c>
      <c r="U11" s="5" t="s">
        <v>14536</v>
      </c>
      <c r="V11" s="5" t="s">
        <v>14625</v>
      </c>
      <c r="W11" s="5" t="s">
        <v>14709</v>
      </c>
      <c r="X11" s="5" t="s">
        <v>14797</v>
      </c>
      <c r="Y11" s="39" t="str">
        <f>IF(OR($A11&lt;&gt;"", $G11=""),"",CONCATENATE(";",EscStr(CONCATENATE("NavNode_",getCategoryLevelAsString($B11))),";",EscStr($J11),";",IF($B11&lt;&gt;"","""MainCategoryNavNode""",EscStr(CONCATENATE("NavNode_",getSuperCategory($B11, getCategoryLevelAsNumber($B11))))),";"))</f>
        <v>;"NavNode_L3D_525228";"Transistors";"NavNode_L2-3D_525337";</v>
      </c>
      <c r="Z11" s="39" t="str">
        <f>IF(getCategoryLevelAsString($B11)="L0D_324785","",IF(G11="",CONCATENATE(";",EscStr(CONCATENATE("NavNode_",getCategoryLevelAsString($B11))),";",EscStr($J11),";"),CONCATENATE(";",EscStr(CONCATENATE("NavNode_",getCategoryLevelAsString($B11))),";",EscStr(G11),";")))</f>
        <v>;"NavNode_L3D_525228";"Transistoren";</v>
      </c>
      <c r="AA11" s="39" t="str">
        <f>IF(getCategoryLevelAsString($B11)="L0D_324785","",IF(H11="",CONCATENATE(";",EscStr(CONCATENATE("NavNode_",getCategoryLevelAsString($B11))),";",EscStr($J11),";"),CONCATENATE(";",EscStr(CONCATENATE("NavNode_",getCategoryLevelAsString($B11))),";",EscStr(H11),";")))</f>
        <v>;"NavNode_L3D_525228";"Transistors";</v>
      </c>
      <c r="AB11" s="39" t="str">
        <f>IF(getCategoryLevelAsString($B11)="L0D_324785","",IF(I11="",CONCATENATE(";",EscStr(CONCATENATE("NavNode_",getCategoryLevelAsString($B11))),";",EscStr($J11),";"),CONCATENATE(";",EscStr(CONCATENATE("NavNode_",getCategoryLevelAsString($B11))),";",EscStr(I11),";")))</f>
        <v>;"NavNode_L3D_525228";"Transistori";</v>
      </c>
      <c r="AC11" s="39" t="str">
        <f>IF(getCategoryLevelAsString($B11)="L0D_324785","",IF(J11="",CONCATENATE(";",EscStr(CONCATENATE("NavNode_",getCategoryLevelAsString($B11))),";",EscStr($J11),";"),CONCATENATE(";",EscStr(CONCATENATE("NavNode_",getCategoryLevelAsString($B11))),";",EscStr(J11),";")))</f>
        <v>;"NavNode_L3D_525228";"Transistors";</v>
      </c>
      <c r="AD11" s="39" t="str">
        <f>IF(getCategoryLevelAsString($B11)="L0D_324785","",IF(K11="",CONCATENATE(";",EscStr(CONCATENATE("NavNode_",getCategoryLevelAsString($B11))),";",EscStr($J11),";"),CONCATENATE(";",EscStr(CONCATENATE("NavNode_",getCategoryLevelAsString($B11))),";",EscStr(K11),";")))</f>
        <v>;"NavNode_L3D_525228";"Transistorer";</v>
      </c>
      <c r="AE11" s="39" t="str">
        <f>IF(getCategoryLevelAsString($B11)="L0D_324785","",IF(L11="",CONCATENATE(";",EscStr(CONCATENATE("NavNode_",getCategoryLevelAsString($B11))),";",EscStr($J11),";"),CONCATENATE(";",EscStr(CONCATENATE("NavNode_",getCategoryLevelAsString($B11))),";",EscStr(L11),";")))</f>
        <v>;"NavNode_L3D_525228";"HF tranzistoriai";</v>
      </c>
      <c r="AF11" s="39" t="str">
        <f>IF(getCategoryLevelAsString($B11)="L0D_324785","",IF(M11="",CONCATENATE(";",EscStr(CONCATENATE("NavNode_",getCategoryLevelAsString($B11))),";",EscStr($J11),";"),CONCATENATE(";",EscStr(CONCATENATE("NavNode_",getCategoryLevelAsString($B11))),";",EscStr(M11),";")))</f>
        <v>;"NavNode_L3D_525228";"Transistorer";</v>
      </c>
      <c r="AG11" s="39" t="str">
        <f>IF(getCategoryLevelAsString($B11)="L0D_324785","",IF(N11="",CONCATENATE(";",EscStr(CONCATENATE("NavNode_",getCategoryLevelAsString($B11))),";",EscStr($J11),";"),CONCATENATE(";",EscStr(CONCATENATE("NavNode_",getCategoryLevelAsString($B11))),";",EscStr(N11),";")))</f>
        <v>;"NavNode_L3D_525228";"Transistorer";</v>
      </c>
      <c r="AH11" s="39" t="str">
        <f>IF(getCategoryLevelAsString($B11)="L0D_324785","",IF(O11="",CONCATENATE(";",EscStr(CONCATENATE("NavNode_",getCategoryLevelAsString($B11))),";",EscStr($J11),";"),CONCATENATE(";",EscStr(CONCATENATE("NavNode_",getCategoryLevelAsString($B11))),";",EscStr(O11),";")))</f>
        <v>;"NavNode_L3D_525228";"Kõrgsagedus transistorid";</v>
      </c>
      <c r="AI11" s="39" t="str">
        <f>IF(getCategoryLevelAsString($B11)="L0D_324785","",IF(P11="",CONCATENATE(";",EscStr(CONCATENATE("NavNode_",getCategoryLevelAsString($B11))),";",EscStr($J11),";"),CONCATENATE(";",EscStr(CONCATENATE("NavNode_",getCategoryLevelAsString($B11))),";",EscStr(P11),";")))</f>
        <v>;"NavNode_L3D_525228";"Transistorit";</v>
      </c>
      <c r="AJ11" s="39" t="str">
        <f>IF(getCategoryLevelAsString($B11)="L0D_324785","",IF(Q11="",CONCATENATE(";",EscStr(CONCATENATE("NavNode_",getCategoryLevelAsString($B11))),";",EscStr($J11),";"),CONCATENATE(";",EscStr(CONCATENATE("NavNode_",getCategoryLevelAsString($B11))),";",EscStr(Q11),";")))</f>
        <v>;"NavNode_L3D_525228";"Augstfrekvences tranzistori";</v>
      </c>
      <c r="AK11" s="39" t="str">
        <f>IF(getCategoryLevelAsString($B11)="L0D_324785","",IF(R11="",CONCATENATE(";",EscStr(CONCATENATE("NavNode_",getCategoryLevelAsString($B11))),";",EscStr($J11),";"),CONCATENATE(";",EscStr(CONCATENATE("NavNode_",getCategoryLevelAsString($B11))),";",EscStr(R11),";")))</f>
        <v>;"NavNode_L3D_525228";"Transistoren";</v>
      </c>
      <c r="AL11" s="39" t="str">
        <f>IF(getCategoryLevelAsString($B11)="L0D_324785","",IF(S11="",CONCATENATE(";",EscStr(CONCATENATE("NavNode_",getCategoryLevelAsString($B11))),";",EscStr($J11),";"),CONCATENATE(";",EscStr(CONCATENATE("NavNode_",getCategoryLevelAsString($B11))),";",EscStr(S11),";")))</f>
        <v>;"NavNode_L3D_525228";"Tranzystory";</v>
      </c>
      <c r="AM11" s="39" t="str">
        <f>IF(getCategoryLevelAsString($B11)="L0D_324785","",IF(T11="",CONCATENATE(";",EscStr(CONCATENATE("NavNode_",getCategoryLevelAsString($B11))),";",EscStr($J11),";"),CONCATENATE(";",EscStr(CONCATENATE("NavNode_",getCategoryLevelAsString($B11))),";",EscStr(T11),";")))</f>
        <v>;"NavNode_L3D_525228";"Tранзисторы";</v>
      </c>
      <c r="AN11" s="39" t="str">
        <f>IF(getCategoryLevelAsString($B11)="L0D_324785","",IF(U11="",CONCATENATE(";",EscStr(CONCATENATE("NavNode_",getCategoryLevelAsString($B11))),";",EscStr($J11),";"),CONCATENATE(";",EscStr(CONCATENATE("NavNode_",getCategoryLevelAsString($B11))),";",EscStr(U11),";")))</f>
        <v>;"NavNode_L3D_525228";"Tranzistory";</v>
      </c>
      <c r="AO11" s="39" t="str">
        <f>IF(getCategoryLevelAsString($B11)="L0D_324785","",IF(V11="",CONCATENATE(";",EscStr(CONCATENATE("NavNode_",getCategoryLevelAsString($B11))),";",EscStr($J11),";"),CONCATENATE(";",EscStr(CONCATENATE("NavNode_",getCategoryLevelAsString($B11))),";",EscStr(V11),";")))</f>
        <v>;"NavNode_L3D_525228";"Tranzistori HF";</v>
      </c>
      <c r="AP11" s="39" t="str">
        <f>IF(getCategoryLevelAsString($B11)="L0D_324785","",IF(W11="",CONCATENATE(";",EscStr(CONCATENATE("NavNode_",getCategoryLevelAsString($B11))),";",EscStr($J11),";"),CONCATENATE(";",EscStr(CONCATENATE("NavNode_",getCategoryLevelAsString($B11))),";",EscStr(W11),";")))</f>
        <v>;"NavNode_L3D_525228";"Tranzisztorok";</v>
      </c>
      <c r="AQ11" s="39" t="str">
        <f>IF(getCategoryLevelAsString($B11)="L0D_324785","",IF(X11="",CONCATENATE(";",EscStr(CONCATENATE("NavNode_",getCategoryLevelAsString($B11))),";",EscStr($J11),";"),CONCATENATE(";",EscStr(CONCATENATE("NavNode_",getCategoryLevelAsString($B11))),";",EscStr(X11),";")))</f>
        <v>;"NavNode_L3D_525228";"Vysokofrekvenčné tranzistory";</v>
      </c>
      <c r="AR11" s="39" t="str">
        <f>IF(OR($A11&lt;&gt;"", $G11=""),"",CONCATENATE(";",EscStr(CONCATENATE("NavEntry_",getCategoryLevelAsString($B11))),";",EscStr(CONCATENATE($J11," Navigation Entry")),";",EscStr(CONCATENATE("cat-",getCategoryLevelAsString($B11))),";",EscStr(CONCATENATE("NavNode_",getCategoryLevelAsString($B11))),";"))</f>
        <v>;"NavEntry_L3D_525228";"Transistors Navigation Entry";"cat-L3D_525228";"NavNode_L3D_525228";</v>
      </c>
    </row>
    <row r="12" spans="1:44" s="34" customFormat="1" ht="15" x14ac:dyDescent="0.25">
      <c r="A12" s="25"/>
      <c r="B12" s="5"/>
      <c r="C12" s="5"/>
      <c r="D12" s="5" t="s">
        <v>4818</v>
      </c>
      <c r="E12" s="5"/>
      <c r="F12" s="5"/>
      <c r="G12" s="5" t="s">
        <v>4820</v>
      </c>
      <c r="H12" s="5" t="s">
        <v>4865</v>
      </c>
      <c r="I12" s="5" t="s">
        <v>13655</v>
      </c>
      <c r="J12" s="40" t="s">
        <v>4865</v>
      </c>
      <c r="K12" s="5" t="s">
        <v>13746</v>
      </c>
      <c r="L12" s="5" t="s">
        <v>15057</v>
      </c>
      <c r="M12" s="5" t="s">
        <v>13746</v>
      </c>
      <c r="N12" s="5" t="s">
        <v>13746</v>
      </c>
      <c r="O12" s="5" t="s">
        <v>14008</v>
      </c>
      <c r="P12" s="5" t="s">
        <v>14100</v>
      </c>
      <c r="Q12" s="5" t="s">
        <v>13655</v>
      </c>
      <c r="R12" s="5" t="s">
        <v>4820</v>
      </c>
      <c r="S12" s="5" t="s">
        <v>14359</v>
      </c>
      <c r="T12" s="5" t="s">
        <v>14448</v>
      </c>
      <c r="U12" s="5" t="s">
        <v>14537</v>
      </c>
      <c r="V12" s="5" t="s">
        <v>13655</v>
      </c>
      <c r="W12" s="5" t="s">
        <v>14710</v>
      </c>
      <c r="X12" s="5" t="s">
        <v>14537</v>
      </c>
      <c r="Y12" s="39" t="str">
        <f>IF(OR($A12&lt;&gt;"", $G12=""),"",CONCATENATE(";",EscStr(CONCATENATE("NavNode_",getCategoryLevelAsString($B12))),";",EscStr($J12),";",IF($B12&lt;&gt;"","""MainCategoryNavNode""",EscStr(CONCATENATE("NavNode_",getSuperCategory($B12, getCategoryLevelAsNumber($B12))))),";"))</f>
        <v>;"NavNode_L3D_525235";"Thyristors";"NavNode_L2-3D_525337";</v>
      </c>
      <c r="Z12" s="39" t="str">
        <f>IF(getCategoryLevelAsString($B12)="L0D_324785","",IF(G12="",CONCATENATE(";",EscStr(CONCATENATE("NavNode_",getCategoryLevelAsString($B12))),";",EscStr($J12),";"),CONCATENATE(";",EscStr(CONCATENATE("NavNode_",getCategoryLevelAsString($B12))),";",EscStr(G12),";")))</f>
        <v>;"NavNode_L3D_525235";"Thyristoren";</v>
      </c>
      <c r="AA12" s="39" t="str">
        <f>IF(getCategoryLevelAsString($B12)="L0D_324785","",IF(H12="",CONCATENATE(";",EscStr(CONCATENATE("NavNode_",getCategoryLevelAsString($B12))),";",EscStr($J12),";"),CONCATENATE(";",EscStr(CONCATENATE("NavNode_",getCategoryLevelAsString($B12))),";",EscStr(H12),";")))</f>
        <v>;"NavNode_L3D_525235";"Thyristors";</v>
      </c>
      <c r="AB12" s="39" t="str">
        <f>IF(getCategoryLevelAsString($B12)="L0D_324785","",IF(I12="",CONCATENATE(";",EscStr(CONCATENATE("NavNode_",getCategoryLevelAsString($B12))),";",EscStr($J12),";"),CONCATENATE(";",EscStr(CONCATENATE("NavNode_",getCategoryLevelAsString($B12))),";",EscStr(I12),";")))</f>
        <v>;"NavNode_L3D_525235";"Tiristori";</v>
      </c>
      <c r="AC12" s="39" t="str">
        <f>IF(getCategoryLevelAsString($B12)="L0D_324785","",IF(J12="",CONCATENATE(";",EscStr(CONCATENATE("NavNode_",getCategoryLevelAsString($B12))),";",EscStr($J12),";"),CONCATENATE(";",EscStr(CONCATENATE("NavNode_",getCategoryLevelAsString($B12))),";",EscStr(J12),";")))</f>
        <v>;"NavNode_L3D_525235";"Thyristors";</v>
      </c>
      <c r="AD12" s="39" t="str">
        <f>IF(getCategoryLevelAsString($B12)="L0D_324785","",IF(K12="",CONCATENATE(";",EscStr(CONCATENATE("NavNode_",getCategoryLevelAsString($B12))),";",EscStr($J12),";"),CONCATENATE(";",EscStr(CONCATENATE("NavNode_",getCategoryLevelAsString($B12))),";",EscStr(K12),";")))</f>
        <v>;"NavNode_L3D_525235";"Tyristorer";</v>
      </c>
      <c r="AE12" s="39" t="str">
        <f>IF(getCategoryLevelAsString($B12)="L0D_324785","",IF(L12="",CONCATENATE(";",EscStr(CONCATENATE("NavNode_",getCategoryLevelAsString($B12))),";",EscStr($J12),";"),CONCATENATE(";",EscStr(CONCATENATE("NavNode_",getCategoryLevelAsString($B12))),";",EscStr(L12),";")))</f>
        <v>;"NavNode_L3D_525235";"Tiristoriai";</v>
      </c>
      <c r="AF12" s="39" t="str">
        <f>IF(getCategoryLevelAsString($B12)="L0D_324785","",IF(M12="",CONCATENATE(";",EscStr(CONCATENATE("NavNode_",getCategoryLevelAsString($B12))),";",EscStr($J12),";"),CONCATENATE(";",EscStr(CONCATENATE("NavNode_",getCategoryLevelAsString($B12))),";",EscStr(M12),";")))</f>
        <v>;"NavNode_L3D_525235";"Tyristorer";</v>
      </c>
      <c r="AG12" s="39" t="str">
        <f>IF(getCategoryLevelAsString($B12)="L0D_324785","",IF(N12="",CONCATENATE(";",EscStr(CONCATENATE("NavNode_",getCategoryLevelAsString($B12))),";",EscStr($J12),";"),CONCATENATE(";",EscStr(CONCATENATE("NavNode_",getCategoryLevelAsString($B12))),";",EscStr(N12),";")))</f>
        <v>;"NavNode_L3D_525235";"Tyristorer";</v>
      </c>
      <c r="AH12" s="39" t="str">
        <f>IF(getCategoryLevelAsString($B12)="L0D_324785","",IF(O12="",CONCATENATE(";",EscStr(CONCATENATE("NavNode_",getCategoryLevelAsString($B12))),";",EscStr($J12),";"),CONCATENATE(";",EscStr(CONCATENATE("NavNode_",getCategoryLevelAsString($B12))),";",EscStr(O12),";")))</f>
        <v>;"NavNode_L3D_525235";"Türistorid";</v>
      </c>
      <c r="AI12" s="39" t="str">
        <f>IF(getCategoryLevelAsString($B12)="L0D_324785","",IF(P12="",CONCATENATE(";",EscStr(CONCATENATE("NavNode_",getCategoryLevelAsString($B12))),";",EscStr($J12),";"),CONCATENATE(";",EscStr(CONCATENATE("NavNode_",getCategoryLevelAsString($B12))),";",EscStr(P12),";")))</f>
        <v>;"NavNode_L3D_525235";"Tyristorit";</v>
      </c>
      <c r="AJ12" s="39" t="str">
        <f>IF(getCategoryLevelAsString($B12)="L0D_324785","",IF(Q12="",CONCATENATE(";",EscStr(CONCATENATE("NavNode_",getCategoryLevelAsString($B12))),";",EscStr($J12),";"),CONCATENATE(";",EscStr(CONCATENATE("NavNode_",getCategoryLevelAsString($B12))),";",EscStr(Q12),";")))</f>
        <v>;"NavNode_L3D_525235";"Tiristori";</v>
      </c>
      <c r="AK12" s="39" t="str">
        <f>IF(getCategoryLevelAsString($B12)="L0D_324785","",IF(R12="",CONCATENATE(";",EscStr(CONCATENATE("NavNode_",getCategoryLevelAsString($B12))),";",EscStr($J12),";"),CONCATENATE(";",EscStr(CONCATENATE("NavNode_",getCategoryLevelAsString($B12))),";",EscStr(R12),";")))</f>
        <v>;"NavNode_L3D_525235";"Thyristoren";</v>
      </c>
      <c r="AL12" s="39" t="str">
        <f>IF(getCategoryLevelAsString($B12)="L0D_324785","",IF(S12="",CONCATENATE(";",EscStr(CONCATENATE("NavNode_",getCategoryLevelAsString($B12))),";",EscStr($J12),";"),CONCATENATE(";",EscStr(CONCATENATE("NavNode_",getCategoryLevelAsString($B12))),";",EscStr(S12),";")))</f>
        <v>;"NavNode_L3D_525235";"Tyrystory";</v>
      </c>
      <c r="AM12" s="39" t="str">
        <f>IF(getCategoryLevelAsString($B12)="L0D_324785","",IF(T12="",CONCATENATE(";",EscStr(CONCATENATE("NavNode_",getCategoryLevelAsString($B12))),";",EscStr($J12),";"),CONCATENATE(";",EscStr(CONCATENATE("NavNode_",getCategoryLevelAsString($B12))),";",EscStr(T12),";")))</f>
        <v>;"NavNode_L3D_525235";"Тиристоры";</v>
      </c>
      <c r="AN12" s="39" t="str">
        <f>IF(getCategoryLevelAsString($B12)="L0D_324785","",IF(U12="",CONCATENATE(";",EscStr(CONCATENATE("NavNode_",getCategoryLevelAsString($B12))),";",EscStr($J12),";"),CONCATENATE(";",EscStr(CONCATENATE("NavNode_",getCategoryLevelAsString($B12))),";",EscStr(U12),";")))</f>
        <v>;"NavNode_L3D_525235";"Tyristory";</v>
      </c>
      <c r="AO12" s="39" t="str">
        <f>IF(getCategoryLevelAsString($B12)="L0D_324785","",IF(V12="",CONCATENATE(";",EscStr(CONCATENATE("NavNode_",getCategoryLevelAsString($B12))),";",EscStr($J12),";"),CONCATENATE(";",EscStr(CONCATENATE("NavNode_",getCategoryLevelAsString($B12))),";",EscStr(V12),";")))</f>
        <v>;"NavNode_L3D_525235";"Tiristori";</v>
      </c>
      <c r="AP12" s="39" t="str">
        <f>IF(getCategoryLevelAsString($B12)="L0D_324785","",IF(W12="",CONCATENATE(";",EscStr(CONCATENATE("NavNode_",getCategoryLevelAsString($B12))),";",EscStr($J12),";"),CONCATENATE(";",EscStr(CONCATENATE("NavNode_",getCategoryLevelAsString($B12))),";",EscStr(W12),";")))</f>
        <v>;"NavNode_L3D_525235";"Tirisztorok";</v>
      </c>
      <c r="AQ12" s="39" t="str">
        <f>IF(getCategoryLevelAsString($B12)="L0D_324785","",IF(X12="",CONCATENATE(";",EscStr(CONCATENATE("NavNode_",getCategoryLevelAsString($B12))),";",EscStr($J12),";"),CONCATENATE(";",EscStr(CONCATENATE("NavNode_",getCategoryLevelAsString($B12))),";",EscStr(X12),";")))</f>
        <v>;"NavNode_L3D_525235";"Tyristory";</v>
      </c>
      <c r="AR12" s="39" t="str">
        <f>IF(OR($A12&lt;&gt;"", $G12=""),"",CONCATENATE(";",EscStr(CONCATENATE("NavEntry_",getCategoryLevelAsString($B12))),";",EscStr(CONCATENATE($J12," Navigation Entry")),";",EscStr(CONCATENATE("cat-",getCategoryLevelAsString($B12))),";",EscStr(CONCATENATE("NavNode_",getCategoryLevelAsString($B12))),";"))</f>
        <v>;"NavEntry_L3D_525235";"Thyristors Navigation Entry";"cat-L3D_525235";"NavNode_L3D_525235";</v>
      </c>
    </row>
    <row r="13" spans="1:44" s="34" customFormat="1" ht="15" x14ac:dyDescent="0.25">
      <c r="A13" s="25"/>
      <c r="B13" s="5"/>
      <c r="C13" s="5"/>
      <c r="D13" s="5" t="s">
        <v>4831</v>
      </c>
      <c r="E13" s="5"/>
      <c r="F13" s="5"/>
      <c r="G13" s="5" t="s">
        <v>4833</v>
      </c>
      <c r="H13" s="5" t="s">
        <v>4832</v>
      </c>
      <c r="I13" s="5" t="s">
        <v>312</v>
      </c>
      <c r="J13" s="5" t="s">
        <v>4832</v>
      </c>
      <c r="K13" s="5" t="s">
        <v>13747</v>
      </c>
      <c r="L13" s="5" t="s">
        <v>15058</v>
      </c>
      <c r="M13" s="5" t="s">
        <v>13747</v>
      </c>
      <c r="N13" s="5" t="s">
        <v>13918</v>
      </c>
      <c r="O13" s="5" t="s">
        <v>14009</v>
      </c>
      <c r="P13" s="5" t="s">
        <v>14101</v>
      </c>
      <c r="Q13" s="5" t="s">
        <v>14187</v>
      </c>
      <c r="R13" s="5" t="s">
        <v>14275</v>
      </c>
      <c r="S13" s="5" t="s">
        <v>14360</v>
      </c>
      <c r="T13" s="5" t="s">
        <v>14449</v>
      </c>
      <c r="U13" s="5" t="s">
        <v>14538</v>
      </c>
      <c r="V13" s="5" t="s">
        <v>14626</v>
      </c>
      <c r="W13" s="5" t="s">
        <v>14711</v>
      </c>
      <c r="X13" s="5" t="s">
        <v>14538</v>
      </c>
      <c r="Y13" s="39" t="str">
        <f>IF(OR($A13&lt;&gt;"", $G13=""),"",CONCATENATE(";",EscStr(CONCATENATE("NavNode_",getCategoryLevelAsString($B13))),";",EscStr($J13),";",IF($B13&lt;&gt;"","""MainCategoryNavNode""",EscStr(CONCATENATE("NavNode_",getSuperCategory($B13, getCategoryLevelAsNumber($B13))))),";"))</f>
        <v>;"NavNode_L3D_525241";"Tubes";"NavNode_L2-3D_525337";</v>
      </c>
      <c r="Z13" s="39" t="str">
        <f>IF(getCategoryLevelAsString($B13)="L0D_324785","",IF(G13="",CONCATENATE(";",EscStr(CONCATENATE("NavNode_",getCategoryLevelAsString($B13))),";",EscStr($J13),";"),CONCATENATE(";",EscStr(CONCATENATE("NavNode_",getCategoryLevelAsString($B13))),";",EscStr(G13),";")))</f>
        <v>;"NavNode_L3D_525241";"Röhren";</v>
      </c>
      <c r="AA13" s="39" t="str">
        <f>IF(getCategoryLevelAsString($B13)="L0D_324785","",IF(H13="",CONCATENATE(";",EscStr(CONCATENATE("NavNode_",getCategoryLevelAsString($B13))),";",EscStr($J13),";"),CONCATENATE(";",EscStr(CONCATENATE("NavNode_",getCategoryLevelAsString($B13))),";",EscStr(H13),";")))</f>
        <v>;"NavNode_L3D_525241";"Tubes";</v>
      </c>
      <c r="AB13" s="39" t="str">
        <f>IF(getCategoryLevelAsString($B13)="L0D_324785","",IF(I13="",CONCATENATE(";",EscStr(CONCATENATE("NavNode_",getCategoryLevelAsString($B13))),";",EscStr($J13),";"),CONCATENATE(";",EscStr(CONCATENATE("NavNode_",getCategoryLevelAsString($B13))),";",EscStr(I13),";")))</f>
        <v>;"NavNode_L3D_525241";"Valvole";</v>
      </c>
      <c r="AC13" s="39" t="str">
        <f>IF(getCategoryLevelAsString($B13)="L0D_324785","",IF(J13="",CONCATENATE(";",EscStr(CONCATENATE("NavNode_",getCategoryLevelAsString($B13))),";",EscStr($J13),";"),CONCATENATE(";",EscStr(CONCATENATE("NavNode_",getCategoryLevelAsString($B13))),";",EscStr(J13),";")))</f>
        <v>;"NavNode_L3D_525241";"Tubes";</v>
      </c>
      <c r="AD13" s="39" t="str">
        <f>IF(getCategoryLevelAsString($B13)="L0D_324785","",IF(K13="",CONCATENATE(";",EscStr(CONCATENATE("NavNode_",getCategoryLevelAsString($B13))),";",EscStr($J13),";"),CONCATENATE(";",EscStr(CONCATENATE("NavNode_",getCategoryLevelAsString($B13))),";",EscStr(K13),";")))</f>
        <v>;"NavNode_L3D_525241";"Rør";</v>
      </c>
      <c r="AE13" s="39" t="str">
        <f>IF(getCategoryLevelAsString($B13)="L0D_324785","",IF(L13="",CONCATENATE(";",EscStr(CONCATENATE("NavNode_",getCategoryLevelAsString($B13))),";",EscStr($J13),";"),CONCATENATE(";",EscStr(CONCATENATE("NavNode_",getCategoryLevelAsString($B13))),";",EscStr(L13),";")))</f>
        <v>;"NavNode_L3D_525241";"Lempos";</v>
      </c>
      <c r="AF13" s="39" t="str">
        <f>IF(getCategoryLevelAsString($B13)="L0D_324785","",IF(M13="",CONCATENATE(";",EscStr(CONCATENATE("NavNode_",getCategoryLevelAsString($B13))),";",EscStr($J13),";"),CONCATENATE(";",EscStr(CONCATENATE("NavNode_",getCategoryLevelAsString($B13))),";",EscStr(M13),";")))</f>
        <v>;"NavNode_L3D_525241";"Rør";</v>
      </c>
      <c r="AG13" s="39" t="str">
        <f>IF(getCategoryLevelAsString($B13)="L0D_324785","",IF(N13="",CONCATENATE(";",EscStr(CONCATENATE("NavNode_",getCategoryLevelAsString($B13))),";",EscStr($J13),";"),CONCATENATE(";",EscStr(CONCATENATE("NavNode_",getCategoryLevelAsString($B13))),";",EscStr(N13),";")))</f>
        <v>;"NavNode_L3D_525241";"Rör";</v>
      </c>
      <c r="AH13" s="39" t="str">
        <f>IF(getCategoryLevelAsString($B13)="L0D_324785","",IF(O13="",CONCATENATE(";",EscStr(CONCATENATE("NavNode_",getCategoryLevelAsString($B13))),";",EscStr($J13),";"),CONCATENATE(";",EscStr(CONCATENATE("NavNode_",getCategoryLevelAsString($B13))),";",EscStr(O13),";")))</f>
        <v>;"NavNode_L3D_525241";"Elektronlambid";</v>
      </c>
      <c r="AI13" s="39" t="str">
        <f>IF(getCategoryLevelAsString($B13)="L0D_324785","",IF(P13="",CONCATENATE(";",EscStr(CONCATENATE("NavNode_",getCategoryLevelAsString($B13))),";",EscStr($J13),";"),CONCATENATE(";",EscStr(CONCATENATE("NavNode_",getCategoryLevelAsString($B13))),";",EscStr(P13),";")))</f>
        <v>;"NavNode_L3D_525241";"Putket";</v>
      </c>
      <c r="AJ13" s="39" t="str">
        <f>IF(getCategoryLevelAsString($B13)="L0D_324785","",IF(Q13="",CONCATENATE(";",EscStr(CONCATENATE("NavNode_",getCategoryLevelAsString($B13))),";",EscStr($J13),";"),CONCATENATE(";",EscStr(CONCATENATE("NavNode_",getCategoryLevelAsString($B13))),";",EscStr(Q13),";")))</f>
        <v>;"NavNode_L3D_525241";"Elektronu lampas";</v>
      </c>
      <c r="AK13" s="39" t="str">
        <f>IF(getCategoryLevelAsString($B13)="L0D_324785","",IF(R13="",CONCATENATE(";",EscStr(CONCATENATE("NavNode_",getCategoryLevelAsString($B13))),";",EscStr($J13),";"),CONCATENATE(";",EscStr(CONCATENATE("NavNode_",getCategoryLevelAsString($B13))),";",EscStr(R13),";")))</f>
        <v>;"NavNode_L3D_525241";"Buizen";</v>
      </c>
      <c r="AL13" s="39" t="str">
        <f>IF(getCategoryLevelAsString($B13)="L0D_324785","",IF(S13="",CONCATENATE(";",EscStr(CONCATENATE("NavNode_",getCategoryLevelAsString($B13))),";",EscStr($J13),";"),CONCATENATE(";",EscStr(CONCATENATE("NavNode_",getCategoryLevelAsString($B13))),";",EscStr(S13),";")))</f>
        <v>;"NavNode_L3D_525241";"Lampy elektronowe";</v>
      </c>
      <c r="AM13" s="39" t="str">
        <f>IF(getCategoryLevelAsString($B13)="L0D_324785","",IF(T13="",CONCATENATE(";",EscStr(CONCATENATE("NavNode_",getCategoryLevelAsString($B13))),";",EscStr($J13),";"),CONCATENATE(";",EscStr(CONCATENATE("NavNode_",getCategoryLevelAsString($B13))),";",EscStr(T13),";")))</f>
        <v>;"NavNode_L3D_525241";"Газоразрядные(газонаполннные) лампы ((ЭЛТ))*";</v>
      </c>
      <c r="AN13" s="39" t="str">
        <f>IF(getCategoryLevelAsString($B13)="L0D_324785","",IF(U13="",CONCATENATE(";",EscStr(CONCATENATE("NavNode_",getCategoryLevelAsString($B13))),";",EscStr($J13),";"),CONCATENATE(";",EscStr(CONCATENATE("NavNode_",getCategoryLevelAsString($B13))),";",EscStr(U13),";")))</f>
        <v>;"NavNode_L3D_525241";"Elektronky";</v>
      </c>
      <c r="AO13" s="39" t="str">
        <f>IF(getCategoryLevelAsString($B13)="L0D_324785","",IF(V13="",CONCATENATE(";",EscStr(CONCATENATE("NavNode_",getCategoryLevelAsString($B13))),";",EscStr($J13),";"),CONCATENATE(";",EscStr(CONCATENATE("NavNode_",getCategoryLevelAsString($B13))),";",EscStr(V13),";")))</f>
        <v>;"NavNode_L3D_525241";"Tuburi";</v>
      </c>
      <c r="AP13" s="39" t="str">
        <f>IF(getCategoryLevelAsString($B13)="L0D_324785","",IF(W13="",CONCATENATE(";",EscStr(CONCATENATE("NavNode_",getCategoryLevelAsString($B13))),";",EscStr($J13),";"),CONCATENATE(";",EscStr(CONCATENATE("NavNode_",getCategoryLevelAsString($B13))),";",EscStr(W13),";")))</f>
        <v>;"NavNode_L3D_525241";"Elektroncsövek";</v>
      </c>
      <c r="AQ13" s="39" t="str">
        <f>IF(getCategoryLevelAsString($B13)="L0D_324785","",IF(X13="",CONCATENATE(";",EscStr(CONCATENATE("NavNode_",getCategoryLevelAsString($B13))),";",EscStr($J13),";"),CONCATENATE(";",EscStr(CONCATENATE("NavNode_",getCategoryLevelAsString($B13))),";",EscStr(X13),";")))</f>
        <v>;"NavNode_L3D_525241";"Elektronky";</v>
      </c>
      <c r="AR13" s="39" t="str">
        <f>IF(OR($A13&lt;&gt;"", $G13=""),"",CONCATENATE(";",EscStr(CONCATENATE("NavEntry_",getCategoryLevelAsString($B13))),";",EscStr(CONCATENATE($J13," Navigation Entry")),";",EscStr(CONCATENATE("cat-",getCategoryLevelAsString($B13))),";",EscStr(CONCATENATE("NavNode_",getCategoryLevelAsString($B13))),";"))</f>
        <v>;"NavEntry_L3D_525241";"Tubes Navigation Entry";"cat-L3D_525241";"NavNode_L3D_525241";</v>
      </c>
    </row>
    <row r="14" spans="1:44" s="34" customFormat="1" ht="15" x14ac:dyDescent="0.25">
      <c r="A14" s="25"/>
      <c r="B14" s="5"/>
      <c r="C14" s="5" t="s">
        <v>127</v>
      </c>
      <c r="D14" s="5"/>
      <c r="E14" s="5"/>
      <c r="F14" s="5"/>
      <c r="G14" s="5" t="s">
        <v>366</v>
      </c>
      <c r="H14" s="5" t="s">
        <v>367</v>
      </c>
      <c r="I14" s="5" t="s">
        <v>368</v>
      </c>
      <c r="J14" s="5" t="s">
        <v>128</v>
      </c>
      <c r="K14" s="5" t="s">
        <v>1206</v>
      </c>
      <c r="L14" s="5" t="s">
        <v>15059</v>
      </c>
      <c r="M14" s="5" t="s">
        <v>1675</v>
      </c>
      <c r="N14" s="46" t="s">
        <v>15419</v>
      </c>
      <c r="O14" s="5" t="s">
        <v>2442</v>
      </c>
      <c r="P14" s="5" t="s">
        <v>2443</v>
      </c>
      <c r="Q14" s="5" t="s">
        <v>2444</v>
      </c>
      <c r="R14" s="5" t="s">
        <v>2445</v>
      </c>
      <c r="S14" s="5" t="s">
        <v>2446</v>
      </c>
      <c r="T14" s="5" t="s">
        <v>2447</v>
      </c>
      <c r="U14" s="5" t="s">
        <v>2448</v>
      </c>
      <c r="V14" s="5" t="s">
        <v>2449</v>
      </c>
      <c r="W14" s="5" t="s">
        <v>2450</v>
      </c>
      <c r="X14" s="5" t="s">
        <v>14798</v>
      </c>
      <c r="Y14" s="39" t="str">
        <f>IF(OR($A14&lt;&gt;"", $G14=""),"",CONCATENATE(";",EscStr(CONCATENATE("NavNode_",getCategoryLevelAsString($B14))),";",EscStr($J14),";",IF($B14&lt;&gt;"","""MainCategoryNavNode""",EscStr(CONCATENATE("NavNode_",getSuperCategory($B14, getCategoryLevelAsNumber($B14))))),";"))</f>
        <v>;"NavNode_L2-3D_525338";"Analogue Circuits";"NavNode_Active Components";</v>
      </c>
      <c r="Z14" s="39" t="str">
        <f>IF(getCategoryLevelAsString($B14)="L0D_324785","",IF(G14="",CONCATENATE(";",EscStr(CONCATENATE("NavNode_",getCategoryLevelAsString($B14))),";",EscStr($J14),";"),CONCATENATE(";",EscStr(CONCATENATE("NavNode_",getCategoryLevelAsString($B14))),";",EscStr(G14),";")))</f>
        <v>;"NavNode_L2-3D_525338";"Analoge Schaltungen";</v>
      </c>
      <c r="AA14" s="39" t="str">
        <f>IF(getCategoryLevelAsString($B14)="L0D_324785","",IF(H14="",CONCATENATE(";",EscStr(CONCATENATE("NavNode_",getCategoryLevelAsString($B14))),";",EscStr($J14),";"),CONCATENATE(";",EscStr(CONCATENATE("NavNode_",getCategoryLevelAsString($B14))),";",EscStr(H14),";")))</f>
        <v>;"NavNode_L2-3D_525338";"Circuits analogiques";</v>
      </c>
      <c r="AB14" s="39" t="str">
        <f>IF(getCategoryLevelAsString($B14)="L0D_324785","",IF(I14="",CONCATENATE(";",EscStr(CONCATENATE("NavNode_",getCategoryLevelAsString($B14))),";",EscStr($J14),";"),CONCATENATE(";",EscStr(CONCATENATE("NavNode_",getCategoryLevelAsString($B14))),";",EscStr(I14),";")))</f>
        <v>;"NavNode_L2-3D_525338";"Circuiti analogici";</v>
      </c>
      <c r="AC14" s="39" t="str">
        <f>IF(getCategoryLevelAsString($B14)="L0D_324785","",IF(J14="",CONCATENATE(";",EscStr(CONCATENATE("NavNode_",getCategoryLevelAsString($B14))),";",EscStr($J14),";"),CONCATENATE(";",EscStr(CONCATENATE("NavNode_",getCategoryLevelAsString($B14))),";",EscStr(J14),";")))</f>
        <v>;"NavNode_L2-3D_525338";"Analogue Circuits";</v>
      </c>
      <c r="AD14" s="39" t="str">
        <f>IF(getCategoryLevelAsString($B14)="L0D_324785","",IF(K14="",CONCATENATE(";",EscStr(CONCATENATE("NavNode_",getCategoryLevelAsString($B14))),";",EscStr($J14),";"),CONCATENATE(";",EscStr(CONCATENATE("NavNode_",getCategoryLevelAsString($B14))),";",EscStr(K14),";")))</f>
        <v>;"NavNode_L2-3D_525338";"Analoge strømkredse";</v>
      </c>
      <c r="AE14" s="39" t="str">
        <f>IF(getCategoryLevelAsString($B14)="L0D_324785","",IF(L14="",CONCATENATE(";",EscStr(CONCATENATE("NavNode_",getCategoryLevelAsString($B14))),";",EscStr($J14),";"),CONCATENATE(";",EscStr(CONCATENATE("NavNode_",getCategoryLevelAsString($B14))),";",EscStr(L14),";")))</f>
        <v>;"NavNode_L2-3D_525338";"Analoginės schemos";</v>
      </c>
      <c r="AF14" s="39" t="str">
        <f>IF(getCategoryLevelAsString($B14)="L0D_324785","",IF(M14="",CONCATENATE(";",EscStr(CONCATENATE("NavNode_",getCategoryLevelAsString($B14))),";",EscStr($J14),";"),CONCATENATE(";",EscStr(CONCATENATE("NavNode_",getCategoryLevelAsString($B14))),";",EscStr(M14),";")))</f>
        <v>;"NavNode_L2-3D_525338";"Analoge kretser";</v>
      </c>
      <c r="AG14" s="39" t="str">
        <f>IF(getCategoryLevelAsString($B14)="L0D_324785","",IF(N14="",CONCATENATE(";",EscStr(CONCATENATE("NavNode_",getCategoryLevelAsString($B14))),";",EscStr($J14),";"),CONCATENATE(";",EscStr(CONCATENATE("NavNode_",getCategoryLevelAsString($B14))),";",EscStr(N14),";")))</f>
        <v>;"NavNode_L2-3D_525338";"Linjära kretsar";</v>
      </c>
      <c r="AH14" s="39" t="str">
        <f>IF(getCategoryLevelAsString($B14)="L0D_324785","",IF(O14="",CONCATENATE(";",EscStr(CONCATENATE("NavNode_",getCategoryLevelAsString($B14))),";",EscStr($J14),";"),CONCATENATE(";",EscStr(CONCATENATE("NavNode_",getCategoryLevelAsString($B14))),";",EscStr(O14),";")))</f>
        <v>;"NavNode_L2-3D_525338";"Analoogahelad";</v>
      </c>
      <c r="AI14" s="39" t="str">
        <f>IF(getCategoryLevelAsString($B14)="L0D_324785","",IF(P14="",CONCATENATE(";",EscStr(CONCATENATE("NavNode_",getCategoryLevelAsString($B14))),";",EscStr($J14),";"),CONCATENATE(";",EscStr(CONCATENATE("NavNode_",getCategoryLevelAsString($B14))),";",EscStr(P14),";")))</f>
        <v>;"NavNode_L2-3D_525338";"Analogipiirit";</v>
      </c>
      <c r="AJ14" s="39" t="str">
        <f>IF(getCategoryLevelAsString($B14)="L0D_324785","",IF(Q14="",CONCATENATE(";",EscStr(CONCATENATE("NavNode_",getCategoryLevelAsString($B14))),";",EscStr($J14),";"),CONCATENATE(";",EscStr(CONCATENATE("NavNode_",getCategoryLevelAsString($B14))),";",EscStr(Q14),";")))</f>
        <v>;"NavNode_L2-3D_525338";"Analogās mikroshēmas";</v>
      </c>
      <c r="AK14" s="39" t="str">
        <f>IF(getCategoryLevelAsString($B14)="L0D_324785","",IF(R14="",CONCATENATE(";",EscStr(CONCATENATE("NavNode_",getCategoryLevelAsString($B14))),";",EscStr($J14),";"),CONCATENATE(";",EscStr(CONCATENATE("NavNode_",getCategoryLevelAsString($B14))),";",EscStr(R14),";")))</f>
        <v>;"NavNode_L2-3D_525338";"Analoge ICs";</v>
      </c>
      <c r="AL14" s="39" t="str">
        <f>IF(getCategoryLevelAsString($B14)="L0D_324785","",IF(S14="",CONCATENATE(";",EscStr(CONCATENATE("NavNode_",getCategoryLevelAsString($B14))),";",EscStr($J14),";"),CONCATENATE(";",EscStr(CONCATENATE("NavNode_",getCategoryLevelAsString($B14))),";",EscStr(S14),";")))</f>
        <v>;"NavNode_L2-3D_525338";"Układy analogowe";</v>
      </c>
      <c r="AM14" s="39" t="str">
        <f>IF(getCategoryLevelAsString($B14)="L0D_324785","",IF(T14="",CONCATENATE(";",EscStr(CONCATENATE("NavNode_",getCategoryLevelAsString($B14))),";",EscStr($J14),";"),CONCATENATE(";",EscStr(CONCATENATE("NavNode_",getCategoryLevelAsString($B14))),";",EscStr(T14),";")))</f>
        <v>;"NavNode_L2-3D_525338";"Аналоговые микросхемы";</v>
      </c>
      <c r="AN14" s="39" t="str">
        <f>IF(getCategoryLevelAsString($B14)="L0D_324785","",IF(U14="",CONCATENATE(";",EscStr(CONCATENATE("NavNode_",getCategoryLevelAsString($B14))),";",EscStr($J14),";"),CONCATENATE(";",EscStr(CONCATENATE("NavNode_",getCategoryLevelAsString($B14))),";",EscStr(U14),";")))</f>
        <v>;"NavNode_L2-3D_525338";"Analogové obvody";</v>
      </c>
      <c r="AO14" s="39" t="str">
        <f>IF(getCategoryLevelAsString($B14)="L0D_324785","",IF(V14="",CONCATENATE(";",EscStr(CONCATENATE("NavNode_",getCategoryLevelAsString($B14))),";",EscStr($J14),";"),CONCATENATE(";",EscStr(CONCATENATE("NavNode_",getCategoryLevelAsString($B14))),";",EscStr(V14),";")))</f>
        <v>;"NavNode_L2-3D_525338";"Circuite analogice";</v>
      </c>
      <c r="AP14" s="39" t="str">
        <f>IF(getCategoryLevelAsString($B14)="L0D_324785","",IF(W14="",CONCATENATE(";",EscStr(CONCATENATE("NavNode_",getCategoryLevelAsString($B14))),";",EscStr($J14),";"),CONCATENATE(";",EscStr(CONCATENATE("NavNode_",getCategoryLevelAsString($B14))),";",EscStr(W14),";")))</f>
        <v>;"NavNode_L2-3D_525338";"Analóg áramkörök";</v>
      </c>
      <c r="AQ14" s="39" t="str">
        <f>IF(getCategoryLevelAsString($B14)="L0D_324785","",IF(X14="",CONCATENATE(";",EscStr(CONCATENATE("NavNode_",getCategoryLevelAsString($B14))),";",EscStr($J14),";"),CONCATENATE(";",EscStr(CONCATENATE("NavNode_",getCategoryLevelAsString($B14))),";",EscStr(X14),";")))</f>
        <v>;"NavNode_L2-3D_525338";"Analógové obvody";</v>
      </c>
      <c r="AR14" s="39" t="str">
        <f>IF(OR($A14&lt;&gt;"", $G14=""),"",CONCATENATE(";",EscStr(CONCATENATE("NavEntry_",getCategoryLevelAsString($B14))),";",EscStr(CONCATENATE($J14," Navigation Entry")),";",EscStr(CONCATENATE("cat-",getCategoryLevelAsString($B14))),";",EscStr(CONCATENATE("NavNode_",getCategoryLevelAsString($B14))),";"))</f>
        <v>;"NavEntry_L2-3D_525338";"Analogue Circuits Navigation Entry";"cat-L2-3D_525338";"NavNode_L2-3D_525338";</v>
      </c>
    </row>
    <row r="15" spans="1:44" s="34" customFormat="1" ht="15" x14ac:dyDescent="0.25">
      <c r="A15" s="25"/>
      <c r="B15" s="5"/>
      <c r="C15" s="5"/>
      <c r="D15" s="5" t="s">
        <v>4908</v>
      </c>
      <c r="E15" s="5"/>
      <c r="F15" s="5"/>
      <c r="G15" s="5" t="s">
        <v>4910</v>
      </c>
      <c r="H15" s="5" t="s">
        <v>13566</v>
      </c>
      <c r="I15" s="5" t="s">
        <v>13656</v>
      </c>
      <c r="J15" s="5" t="s">
        <v>4909</v>
      </c>
      <c r="K15" s="5" t="s">
        <v>13748</v>
      </c>
      <c r="L15" s="5" t="s">
        <v>15060</v>
      </c>
      <c r="M15" s="5" t="s">
        <v>13851</v>
      </c>
      <c r="N15" s="5" t="s">
        <v>13919</v>
      </c>
      <c r="O15" s="5" t="s">
        <v>14010</v>
      </c>
      <c r="P15" s="5" t="s">
        <v>14102</v>
      </c>
      <c r="Q15" s="5" t="s">
        <v>14188</v>
      </c>
      <c r="R15" s="5" t="s">
        <v>14276</v>
      </c>
      <c r="S15" s="5" t="s">
        <v>14361</v>
      </c>
      <c r="T15" s="5" t="s">
        <v>14450</v>
      </c>
      <c r="U15" s="5" t="s">
        <v>14539</v>
      </c>
      <c r="V15" s="5" t="s">
        <v>14627</v>
      </c>
      <c r="W15" s="5" t="s">
        <v>14712</v>
      </c>
      <c r="X15" s="5" t="s">
        <v>14799</v>
      </c>
      <c r="Y15" s="39" t="str">
        <f>IF(OR($A15&lt;&gt;"", $G15=""),"",CONCATENATE(";",EscStr(CONCATENATE("NavNode_",getCategoryLevelAsString($B15))),";",EscStr($J15),";",IF($B15&lt;&gt;"","""MainCategoryNavNode""",EscStr(CONCATENATE("NavNode_",getSuperCategory($B15, getCategoryLevelAsNumber($B15))))),";"))</f>
        <v>;"NavNode_L3D_525242";"Timer and Oscillator Circuits";"NavNode_L2-3D_525338";</v>
      </c>
      <c r="Z15" s="39" t="str">
        <f>IF(getCategoryLevelAsString($B15)="L0D_324785","",IF(G15="",CONCATENATE(";",EscStr(CONCATENATE("NavNode_",getCategoryLevelAsString($B15))),";",EscStr($J15),";"),CONCATENATE(";",EscStr(CONCATENATE("NavNode_",getCategoryLevelAsString($B15))),";",EscStr(G15),";")))</f>
        <v>;"NavNode_L3D_525242";"Timer- und Oszillatorschaltungen";</v>
      </c>
      <c r="AA15" s="39" t="str">
        <f>IF(getCategoryLevelAsString($B15)="L0D_324785","",IF(H15="",CONCATENATE(";",EscStr(CONCATENATE("NavNode_",getCategoryLevelAsString($B15))),";",EscStr($J15),";"),CONCATENATE(";",EscStr(CONCATENATE("NavNode_",getCategoryLevelAsString($B15))),";",EscStr(H15),";")))</f>
        <v>;"NavNode_L3D_525242";"Circuits timer et d'oscillateurs";</v>
      </c>
      <c r="AB15" s="39" t="str">
        <f>IF(getCategoryLevelAsString($B15)="L0D_324785","",IF(I15="",CONCATENATE(";",EscStr(CONCATENATE("NavNode_",getCategoryLevelAsString($B15))),";",EscStr($J15),";"),CONCATENATE(";",EscStr(CONCATENATE("NavNode_",getCategoryLevelAsString($B15))),";",EscStr(I15),";")))</f>
        <v>;"NavNode_L3D_525242";"Circuiti timer e oscillatore";</v>
      </c>
      <c r="AC15" s="39" t="str">
        <f>IF(getCategoryLevelAsString($B15)="L0D_324785","",IF(J15="",CONCATENATE(";",EscStr(CONCATENATE("NavNode_",getCategoryLevelAsString($B15))),";",EscStr($J15),";"),CONCATENATE(";",EscStr(CONCATENATE("NavNode_",getCategoryLevelAsString($B15))),";",EscStr(J15),";")))</f>
        <v>;"NavNode_L3D_525242";"Timer and Oscillator Circuits";</v>
      </c>
      <c r="AD15" s="39" t="str">
        <f>IF(getCategoryLevelAsString($B15)="L0D_324785","",IF(K15="",CONCATENATE(";",EscStr(CONCATENATE("NavNode_",getCategoryLevelAsString($B15))),";",EscStr($J15),";"),CONCATENATE(";",EscStr(CONCATENATE("NavNode_",getCategoryLevelAsString($B15))),";",EscStr(K15),";")))</f>
        <v>;"NavNode_L3D_525242";"Timer- og oscillator-strømkredse";</v>
      </c>
      <c r="AE15" s="39" t="str">
        <f>IF(getCategoryLevelAsString($B15)="L0D_324785","",IF(L15="",CONCATENATE(";",EscStr(CONCATENATE("NavNode_",getCategoryLevelAsString($B15))),";",EscStr($J15),";"),CONCATENATE(";",EscStr(CONCATENATE("NavNode_",getCategoryLevelAsString($B15))),";",EscStr(L15),";")))</f>
        <v>;"NavNode_L3D_525242";"Laikmačių ir oscilatorių grandinės";</v>
      </c>
      <c r="AF15" s="39" t="str">
        <f>IF(getCategoryLevelAsString($B15)="L0D_324785","",IF(M15="",CONCATENATE(";",EscStr(CONCATENATE("NavNode_",getCategoryLevelAsString($B15))),";",EscStr($J15),";"),CONCATENATE(";",EscStr(CONCATENATE("NavNode_",getCategoryLevelAsString($B15))),";",EscStr(M15),";")))</f>
        <v>;"NavNode_L3D_525242";"Tidsstyring- og oscillatorkretser";</v>
      </c>
      <c r="AG15" s="39" t="str">
        <f>IF(getCategoryLevelAsString($B15)="L0D_324785","",IF(N15="",CONCATENATE(";",EscStr(CONCATENATE("NavNode_",getCategoryLevelAsString($B15))),";",EscStr($J15),";"),CONCATENATE(";",EscStr(CONCATENATE("NavNode_",getCategoryLevelAsString($B15))),";",EscStr(N15),";")))</f>
        <v>;"NavNode_L3D_525242";"Timer- och oscillatorkretsar";</v>
      </c>
      <c r="AH15" s="39" t="str">
        <f>IF(getCategoryLevelAsString($B15)="L0D_324785","",IF(O15="",CONCATENATE(";",EscStr(CONCATENATE("NavNode_",getCategoryLevelAsString($B15))),";",EscStr($J15),";"),CONCATENATE(";",EscStr(CONCATENATE("NavNode_",getCategoryLevelAsString($B15))),";",EscStr(O15),";")))</f>
        <v>;"NavNode_L3D_525242";"Taimeri ning ostsillaatori ahelad";</v>
      </c>
      <c r="AI15" s="39" t="str">
        <f>IF(getCategoryLevelAsString($B15)="L0D_324785","",IF(P15="",CONCATENATE(";",EscStr(CONCATENATE("NavNode_",getCategoryLevelAsString($B15))),";",EscStr($J15),";"),CONCATENATE(";",EscStr(CONCATENATE("NavNode_",getCategoryLevelAsString($B15))),";",EscStr(P15),";")))</f>
        <v>;"NavNode_L3D_525242";"Ajastin ja värähtelypiirit";</v>
      </c>
      <c r="AJ15" s="39" t="str">
        <f>IF(getCategoryLevelAsString($B15)="L0D_324785","",IF(Q15="",CONCATENATE(";",EscStr(CONCATENATE("NavNode_",getCategoryLevelAsString($B15))),";",EscStr($J15),";"),CONCATENATE(";",EscStr(CONCATENATE("NavNode_",getCategoryLevelAsString($B15))),";",EscStr(Q15),";")))</f>
        <v>;"NavNode_L3D_525242";"Taimeri un taktētāji";</v>
      </c>
      <c r="AK15" s="39" t="str">
        <f>IF(getCategoryLevelAsString($B15)="L0D_324785","",IF(R15="",CONCATENATE(";",EscStr(CONCATENATE("NavNode_",getCategoryLevelAsString($B15))),";",EscStr($J15),";"),CONCATENATE(";",EscStr(CONCATENATE("NavNode_",getCategoryLevelAsString($B15))),";",EscStr(R15),";")))</f>
        <v>;"NavNode_L3D_525242";"Timer en oscillator ICs";</v>
      </c>
      <c r="AL15" s="39" t="str">
        <f>IF(getCategoryLevelAsString($B15)="L0D_324785","",IF(S15="",CONCATENATE(";",EscStr(CONCATENATE("NavNode_",getCategoryLevelAsString($B15))),";",EscStr($J15),";"),CONCATENATE(";",EscStr(CONCATENATE("NavNode_",getCategoryLevelAsString($B15))),";",EscStr(S15),";")))</f>
        <v>;"NavNode_L3D_525242";"Timery i Układy oscylatorów";</v>
      </c>
      <c r="AM15" s="39" t="str">
        <f>IF(getCategoryLevelAsString($B15)="L0D_324785","",IF(T15="",CONCATENATE(";",EscStr(CONCATENATE("NavNode_",getCategoryLevelAsString($B15))),";",EscStr($J15),";"),CONCATENATE(";",EscStr(CONCATENATE("NavNode_",getCategoryLevelAsString($B15))),";",EscStr(T15),";")))</f>
        <v>;"NavNode_L3D_525242";"Таймеры и осциляторы";</v>
      </c>
      <c r="AN15" s="39" t="str">
        <f>IF(getCategoryLevelAsString($B15)="L0D_324785","",IF(U15="",CONCATENATE(";",EscStr(CONCATENATE("NavNode_",getCategoryLevelAsString($B15))),";",EscStr($J15),";"),CONCATENATE(";",EscStr(CONCATENATE("NavNode_",getCategoryLevelAsString($B15))),";",EscStr(U15),";")))</f>
        <v>;"NavNode_L3D_525242";"Časovací a oscilační obvody";</v>
      </c>
      <c r="AO15" s="39" t="str">
        <f>IF(getCategoryLevelAsString($B15)="L0D_324785","",IF(V15="",CONCATENATE(";",EscStr(CONCATENATE("NavNode_",getCategoryLevelAsString($B15))),";",EscStr($J15),";"),CONCATENATE(";",EscStr(CONCATENATE("NavNode_",getCategoryLevelAsString($B15))),";",EscStr(V15),";")))</f>
        <v>;"NavNode_L3D_525242";"Cronometre şi oscilatoare de circuite";</v>
      </c>
      <c r="AP15" s="39" t="str">
        <f>IF(getCategoryLevelAsString($B15)="L0D_324785","",IF(W15="",CONCATENATE(";",EscStr(CONCATENATE("NavNode_",getCategoryLevelAsString($B15))),";",EscStr($J15),";"),CONCATENATE(";",EscStr(CONCATENATE("NavNode_",getCategoryLevelAsString($B15))),";",EscStr(W15),";")))</f>
        <v>;"NavNode_L3D_525242";"Időzitő- és oszcillátor áramkörök";</v>
      </c>
      <c r="AQ15" s="39" t="str">
        <f>IF(getCategoryLevelAsString($B15)="L0D_324785","",IF(X15="",CONCATENATE(";",EscStr(CONCATENATE("NavNode_",getCategoryLevelAsString($B15))),";",EscStr($J15),";"),CONCATENATE(";",EscStr(CONCATENATE("NavNode_",getCategoryLevelAsString($B15))),";",EscStr(X15),";")))</f>
        <v>;"NavNode_L3D_525242";"Časovacie a oscilačné obvody";</v>
      </c>
      <c r="AR15" s="39" t="str">
        <f>IF(OR($A15&lt;&gt;"", $G15=""),"",CONCATENATE(";",EscStr(CONCATENATE("NavEntry_",getCategoryLevelAsString($B15))),";",EscStr(CONCATENATE($J15," Navigation Entry")),";",EscStr(CONCATENATE("cat-",getCategoryLevelAsString($B15))),";",EscStr(CONCATENATE("NavNode_",getCategoryLevelAsString($B15))),";"))</f>
        <v>;"NavEntry_L3D_525242";"Timer and Oscillator Circuits Navigation Entry";"cat-L3D_525242";"NavNode_L3D_525242";</v>
      </c>
    </row>
    <row r="16" spans="1:44" s="34" customFormat="1" ht="15" x14ac:dyDescent="0.25">
      <c r="A16" s="25"/>
      <c r="B16" s="5"/>
      <c r="C16" s="5"/>
      <c r="D16" s="5" t="s">
        <v>4924</v>
      </c>
      <c r="E16" s="5"/>
      <c r="F16" s="5"/>
      <c r="G16" s="5" t="s">
        <v>4926</v>
      </c>
      <c r="H16" s="5" t="s">
        <v>13567</v>
      </c>
      <c r="I16" s="5" t="s">
        <v>13657</v>
      </c>
      <c r="J16" s="5" t="s">
        <v>4925</v>
      </c>
      <c r="K16" s="5" t="s">
        <v>13749</v>
      </c>
      <c r="L16" s="5" t="s">
        <v>15061</v>
      </c>
      <c r="M16" s="5" t="s">
        <v>13749</v>
      </c>
      <c r="N16" s="46" t="s">
        <v>15421</v>
      </c>
      <c r="O16" s="5" t="s">
        <v>14011</v>
      </c>
      <c r="P16" s="5" t="s">
        <v>14103</v>
      </c>
      <c r="Q16" s="5" t="s">
        <v>14189</v>
      </c>
      <c r="R16" s="5" t="s">
        <v>14277</v>
      </c>
      <c r="S16" s="5" t="s">
        <v>14362</v>
      </c>
      <c r="T16" s="5" t="s">
        <v>14451</v>
      </c>
      <c r="U16" s="5" t="s">
        <v>14540</v>
      </c>
      <c r="V16" s="5" t="s">
        <v>14628</v>
      </c>
      <c r="W16" s="5" t="s">
        <v>14713</v>
      </c>
      <c r="X16" s="5" t="s">
        <v>14800</v>
      </c>
      <c r="Y16" s="39" t="str">
        <f>IF(OR($A16&lt;&gt;"", $G16=""),"",CONCATENATE(";",EscStr(CONCATENATE("NavNode_",getCategoryLevelAsString($B16))),";",EscStr($J16),";",IF($B16&lt;&gt;"","""MainCategoryNavNode""",EscStr(CONCATENATE("NavNode_",getSuperCategory($B16, getCategoryLevelAsNumber($B16))))),";"))</f>
        <v>;"NavNode_L3D_525243";"Data Converters";"NavNode_L2-3D_525338";</v>
      </c>
      <c r="Z16" s="39" t="str">
        <f>IF(getCategoryLevelAsString($B16)="L0D_324785","",IF(G16="",CONCATENATE(";",EscStr(CONCATENATE("NavNode_",getCategoryLevelAsString($B16))),";",EscStr($J16),";"),CONCATENATE(";",EscStr(CONCATENATE("NavNode_",getCategoryLevelAsString($B16))),";",EscStr(G16),";")))</f>
        <v>;"NavNode_L3D_525243";"Datenwandler";</v>
      </c>
      <c r="AA16" s="39" t="str">
        <f>IF(getCategoryLevelAsString($B16)="L0D_324785","",IF(H16="",CONCATENATE(";",EscStr(CONCATENATE("NavNode_",getCategoryLevelAsString($B16))),";",EscStr($J16),";"),CONCATENATE(";",EscStr(CONCATENATE("NavNode_",getCategoryLevelAsString($B16))),";",EscStr(H16),";")))</f>
        <v>;"NavNode_L3D_525243";"Convertisseurs de données";</v>
      </c>
      <c r="AB16" s="39" t="str">
        <f>IF(getCategoryLevelAsString($B16)="L0D_324785","",IF(I16="",CONCATENATE(";",EscStr(CONCATENATE("NavNode_",getCategoryLevelAsString($B16))),";",EscStr($J16),";"),CONCATENATE(";",EscStr(CONCATENATE("NavNode_",getCategoryLevelAsString($B16))),";",EscStr(I16),";")))</f>
        <v>;"NavNode_L3D_525243";"Convertitori dati";</v>
      </c>
      <c r="AC16" s="39" t="str">
        <f>IF(getCategoryLevelAsString($B16)="L0D_324785","",IF(J16="",CONCATENATE(";",EscStr(CONCATENATE("NavNode_",getCategoryLevelAsString($B16))),";",EscStr($J16),";"),CONCATENATE(";",EscStr(CONCATENATE("NavNode_",getCategoryLevelAsString($B16))),";",EscStr(J16),";")))</f>
        <v>;"NavNode_L3D_525243";"Data Converters";</v>
      </c>
      <c r="AD16" s="39" t="str">
        <f>IF(getCategoryLevelAsString($B16)="L0D_324785","",IF(K16="",CONCATENATE(";",EscStr(CONCATENATE("NavNode_",getCategoryLevelAsString($B16))),";",EscStr($J16),";"),CONCATENATE(";",EscStr(CONCATENATE("NavNode_",getCategoryLevelAsString($B16))),";",EscStr(K16),";")))</f>
        <v>;"NavNode_L3D_525243";"Dataomformere";</v>
      </c>
      <c r="AE16" s="39" t="str">
        <f>IF(getCategoryLevelAsString($B16)="L0D_324785","",IF(L16="",CONCATENATE(";",EscStr(CONCATENATE("NavNode_",getCategoryLevelAsString($B16))),";",EscStr($J16),";"),CONCATENATE(";",EscStr(CONCATENATE("NavNode_",getCategoryLevelAsString($B16))),";",EscStr(L16),";")))</f>
        <v>;"NavNode_L3D_525243";"Duomenų keitikliai";</v>
      </c>
      <c r="AF16" s="39" t="str">
        <f>IF(getCategoryLevelAsString($B16)="L0D_324785","",IF(M16="",CONCATENATE(";",EscStr(CONCATENATE("NavNode_",getCategoryLevelAsString($B16))),";",EscStr($J16),";"),CONCATENATE(";",EscStr(CONCATENATE("NavNode_",getCategoryLevelAsString($B16))),";",EscStr(M16),";")))</f>
        <v>;"NavNode_L3D_525243";"Dataomformere";</v>
      </c>
      <c r="AG16" s="39" t="str">
        <f>IF(getCategoryLevelAsString($B16)="L0D_324785","",IF(N16="",CONCATENATE(";",EscStr(CONCATENATE("NavNode_",getCategoryLevelAsString($B16))),";",EscStr($J16),";"),CONCATENATE(";",EscStr(CONCATENATE("NavNode_",getCategoryLevelAsString($B16))),";",EscStr(N16),";")))</f>
        <v>;"NavNode_L3D_525243";"Omvandlare";</v>
      </c>
      <c r="AH16" s="39" t="str">
        <f>IF(getCategoryLevelAsString($B16)="L0D_324785","",IF(O16="",CONCATENATE(";",EscStr(CONCATENATE("NavNode_",getCategoryLevelAsString($B16))),";",EscStr($J16),";"),CONCATENATE(";",EscStr(CONCATENATE("NavNode_",getCategoryLevelAsString($B16))),";",EscStr(O16),";")))</f>
        <v>;"NavNode_L3D_525243";"Data konverterid";</v>
      </c>
      <c r="AI16" s="39" t="str">
        <f>IF(getCategoryLevelAsString($B16)="L0D_324785","",IF(P16="",CONCATENATE(";",EscStr(CONCATENATE("NavNode_",getCategoryLevelAsString($B16))),";",EscStr($J16),";"),CONCATENATE(";",EscStr(CONCATENATE("NavNode_",getCategoryLevelAsString($B16))),";",EscStr(P16),";")))</f>
        <v>;"NavNode_L3D_525243";"Datamuuntimet";</v>
      </c>
      <c r="AJ16" s="39" t="str">
        <f>IF(getCategoryLevelAsString($B16)="L0D_324785","",IF(Q16="",CONCATENATE(";",EscStr(CONCATENATE("NavNode_",getCategoryLevelAsString($B16))),";",EscStr($J16),";"),CONCATENATE(";",EscStr(CONCATENATE("NavNode_",getCategoryLevelAsString($B16))),";",EscStr(Q16),";")))</f>
        <v>;"NavNode_L3D_525243";"Datu konvertori";</v>
      </c>
      <c r="AK16" s="39" t="str">
        <f>IF(getCategoryLevelAsString($B16)="L0D_324785","",IF(R16="",CONCATENATE(";",EscStr(CONCATENATE("NavNode_",getCategoryLevelAsString($B16))),";",EscStr($J16),";"),CONCATENATE(";",EscStr(CONCATENATE("NavNode_",getCategoryLevelAsString($B16))),";",EscStr(R16),";")))</f>
        <v>;"NavNode_L3D_525243";"Data omvormers";</v>
      </c>
      <c r="AL16" s="39" t="str">
        <f>IF(getCategoryLevelAsString($B16)="L0D_324785","",IF(S16="",CONCATENATE(";",EscStr(CONCATENATE("NavNode_",getCategoryLevelAsString($B16))),";",EscStr($J16),";"),CONCATENATE(";",EscStr(CONCATENATE("NavNode_",getCategoryLevelAsString($B16))),";",EscStr(S16),";")))</f>
        <v>;"NavNode_L3D_525243";"Przetworniki danych";</v>
      </c>
      <c r="AM16" s="39" t="str">
        <f>IF(getCategoryLevelAsString($B16)="L0D_324785","",IF(T16="",CONCATENATE(";",EscStr(CONCATENATE("NavNode_",getCategoryLevelAsString($B16))),";",EscStr($J16),";"),CONCATENATE(";",EscStr(CONCATENATE("NavNode_",getCategoryLevelAsString($B16))),";",EscStr(T16),";")))</f>
        <v>;"NavNode_L3D_525243";"Конвертеры данных";</v>
      </c>
      <c r="AN16" s="39" t="str">
        <f>IF(getCategoryLevelAsString($B16)="L0D_324785","",IF(U16="",CONCATENATE(";",EscStr(CONCATENATE("NavNode_",getCategoryLevelAsString($B16))),";",EscStr($J16),";"),CONCATENATE(";",EscStr(CONCATENATE("NavNode_",getCategoryLevelAsString($B16))),";",EscStr(U16),";")))</f>
        <v>;"NavNode_L3D_525243";"Převodníky dat";</v>
      </c>
      <c r="AO16" s="39" t="str">
        <f>IF(getCategoryLevelAsString($B16)="L0D_324785","",IF(V16="",CONCATENATE(";",EscStr(CONCATENATE("NavNode_",getCategoryLevelAsString($B16))),";",EscStr($J16),";"),CONCATENATE(";",EscStr(CONCATENATE("NavNode_",getCategoryLevelAsString($B16))),";",EscStr(V16),";")))</f>
        <v>;"NavNode_L3D_525243";"Convertoare de date";</v>
      </c>
      <c r="AP16" s="39" t="str">
        <f>IF(getCategoryLevelAsString($B16)="L0D_324785","",IF(W16="",CONCATENATE(";",EscStr(CONCATENATE("NavNode_",getCategoryLevelAsString($B16))),";",EscStr($J16),";"),CONCATENATE(";",EscStr(CONCATENATE("NavNode_",getCategoryLevelAsString($B16))),";",EscStr(W16),";")))</f>
        <v>;"NavNode_L3D_525243";"Adatkonverterek";</v>
      </c>
      <c r="AQ16" s="39" t="str">
        <f>IF(getCategoryLevelAsString($B16)="L0D_324785","",IF(X16="",CONCATENATE(";",EscStr(CONCATENATE("NavNode_",getCategoryLevelAsString($B16))),";",EscStr($J16),";"),CONCATENATE(";",EscStr(CONCATENATE("NavNode_",getCategoryLevelAsString($B16))),";",EscStr(X16),";")))</f>
        <v>;"NavNode_L3D_525243";"Prevodníky dát";</v>
      </c>
      <c r="AR16" s="39" t="str">
        <f>IF(OR($A16&lt;&gt;"", $G16=""),"",CONCATENATE(";",EscStr(CONCATENATE("NavEntry_",getCategoryLevelAsString($B16))),";",EscStr(CONCATENATE($J16," Navigation Entry")),";",EscStr(CONCATENATE("cat-",getCategoryLevelAsString($B16))),";",EscStr(CONCATENATE("NavNode_",getCategoryLevelAsString($B16))),";"))</f>
        <v>;"NavEntry_L3D_525243";"Data Converters Navigation Entry";"cat-L3D_525243";"NavNode_L3D_525243";</v>
      </c>
    </row>
    <row r="17" spans="1:44" s="34" customFormat="1" ht="15" x14ac:dyDescent="0.25">
      <c r="A17" s="25"/>
      <c r="B17" s="5"/>
      <c r="C17" s="5"/>
      <c r="D17" s="5" t="s">
        <v>4963</v>
      </c>
      <c r="E17" s="5"/>
      <c r="F17" s="5"/>
      <c r="G17" s="5" t="s">
        <v>4965</v>
      </c>
      <c r="H17" s="5" t="s">
        <v>13568</v>
      </c>
      <c r="I17" s="5" t="s">
        <v>13658</v>
      </c>
      <c r="J17" s="5" t="s">
        <v>4964</v>
      </c>
      <c r="K17" s="5" t="s">
        <v>13750</v>
      </c>
      <c r="L17" s="5" t="s">
        <v>15062</v>
      </c>
      <c r="M17" s="5" t="s">
        <v>13852</v>
      </c>
      <c r="N17" s="5" t="s">
        <v>13920</v>
      </c>
      <c r="O17" s="5" t="s">
        <v>14012</v>
      </c>
      <c r="P17" s="5" t="s">
        <v>14104</v>
      </c>
      <c r="Q17" s="5" t="s">
        <v>14190</v>
      </c>
      <c r="R17" s="5" t="s">
        <v>14278</v>
      </c>
      <c r="S17" s="5" t="s">
        <v>14363</v>
      </c>
      <c r="T17" s="5" t="s">
        <v>14452</v>
      </c>
      <c r="U17" s="5" t="s">
        <v>14541</v>
      </c>
      <c r="V17" s="5" t="s">
        <v>14629</v>
      </c>
      <c r="W17" s="5" t="s">
        <v>14714</v>
      </c>
      <c r="X17" s="5" t="s">
        <v>14801</v>
      </c>
      <c r="Y17" s="39" t="str">
        <f>IF(OR($A17&lt;&gt;"", $G17=""),"",CONCATENATE(";",EscStr(CONCATENATE("NavNode_",getCategoryLevelAsString($B17))),";",EscStr($J17),";",IF($B17&lt;&gt;"","""MainCategoryNavNode""",EscStr(CONCATENATE("NavNode_",getSuperCategory($B17, getCategoryLevelAsNumber($B17))))),";"))</f>
        <v>;"NavNode_L3D_525244";"Sample &amp; Hold Circuits";"NavNode_L2-3D_525338";</v>
      </c>
      <c r="Z17" s="39" t="str">
        <f>IF(getCategoryLevelAsString($B17)="L0D_324785","",IF(G17="",CONCATENATE(";",EscStr(CONCATENATE("NavNode_",getCategoryLevelAsString($B17))),";",EscStr($J17),";"),CONCATENATE(";",EscStr(CONCATENATE("NavNode_",getCategoryLevelAsString($B17))),";",EscStr(G17),";")))</f>
        <v>;"NavNode_L3D_525244";"Sample- &amp; Hold-Schaltungen";</v>
      </c>
      <c r="AA17" s="39" t="str">
        <f>IF(getCategoryLevelAsString($B17)="L0D_324785","",IF(H17="",CONCATENATE(";",EscStr(CONCATENATE("NavNode_",getCategoryLevelAsString($B17))),";",EscStr($J17),";"),CONCATENATE(";",EscStr(CONCATENATE("NavNode_",getCategoryLevelAsString($B17))),";",EscStr(H17),";")))</f>
        <v>;"NavNode_L3D_525244";"Circuits Sample &amp; Hold";</v>
      </c>
      <c r="AB17" s="39" t="str">
        <f>IF(getCategoryLevelAsString($B17)="L0D_324785","",IF(I17="",CONCATENATE(";",EscStr(CONCATENATE("NavNode_",getCategoryLevelAsString($B17))),";",EscStr($J17),";"),CONCATENATE(";",EscStr(CONCATENATE("NavNode_",getCategoryLevelAsString($B17))),";",EscStr(I17),";")))</f>
        <v>;"NavNode_L3D_525244";"Circuiti Sample and Hold";</v>
      </c>
      <c r="AC17" s="39" t="str">
        <f>IF(getCategoryLevelAsString($B17)="L0D_324785","",IF(J17="",CONCATENATE(";",EscStr(CONCATENATE("NavNode_",getCategoryLevelAsString($B17))),";",EscStr($J17),";"),CONCATENATE(";",EscStr(CONCATENATE("NavNode_",getCategoryLevelAsString($B17))),";",EscStr(J17),";")))</f>
        <v>;"NavNode_L3D_525244";"Sample &amp; Hold Circuits";</v>
      </c>
      <c r="AD17" s="39" t="str">
        <f>IF(getCategoryLevelAsString($B17)="L0D_324785","",IF(K17="",CONCATENATE(";",EscStr(CONCATENATE("NavNode_",getCategoryLevelAsString($B17))),";",EscStr($J17),";"),CONCATENATE(";",EscStr(CONCATENATE("NavNode_",getCategoryLevelAsString($B17))),";",EscStr(K17),";")))</f>
        <v>;"NavNode_L3D_525244";"Sample &amp; hold-strømkredse";</v>
      </c>
      <c r="AE17" s="39" t="str">
        <f>IF(getCategoryLevelAsString($B17)="L0D_324785","",IF(L17="",CONCATENATE(";",EscStr(CONCATENATE("NavNode_",getCategoryLevelAsString($B17))),";",EscStr($J17),";"),CONCATENATE(";",EscStr(CONCATENATE("NavNode_",getCategoryLevelAsString($B17))),";",EscStr(L17),";")))</f>
        <v>;"NavNode_L3D_525244";"Reikšmių fiksavimo grandinės";</v>
      </c>
      <c r="AF17" s="39" t="str">
        <f>IF(getCategoryLevelAsString($B17)="L0D_324785","",IF(M17="",CONCATENATE(";",EscStr(CONCATENATE("NavNode_",getCategoryLevelAsString($B17))),";",EscStr($J17),";"),CONCATENATE(";",EscStr(CONCATENATE("NavNode_",getCategoryLevelAsString($B17))),";",EscStr(M17),";")))</f>
        <v>;"NavNode_L3D_525244";"Avsøk-og-hold-kretser";</v>
      </c>
      <c r="AG17" s="39" t="str">
        <f>IF(getCategoryLevelAsString($B17)="L0D_324785","",IF(N17="",CONCATENATE(";",EscStr(CONCATENATE("NavNode_",getCategoryLevelAsString($B17))),";",EscStr($J17),";"),CONCATENATE(";",EscStr(CONCATENATE("NavNode_",getCategoryLevelAsString($B17))),";",EscStr(N17),";")))</f>
        <v>;"NavNode_L3D_525244";"Sample &amp; Hold-kretsar";</v>
      </c>
      <c r="AH17" s="39" t="str">
        <f>IF(getCategoryLevelAsString($B17)="L0D_324785","",IF(O17="",CONCATENATE(";",EscStr(CONCATENATE("NavNode_",getCategoryLevelAsString($B17))),";",EscStr($J17),";"),CONCATENATE(";",EscStr(CONCATENATE("NavNode_",getCategoryLevelAsString($B17))),";",EscStr(O17),";")))</f>
        <v>;"NavNode_L3D_525244";"Sample ja hold ahelad";</v>
      </c>
      <c r="AI17" s="39" t="str">
        <f>IF(getCategoryLevelAsString($B17)="L0D_324785","",IF(P17="",CONCATENATE(";",EscStr(CONCATENATE("NavNode_",getCategoryLevelAsString($B17))),";",EscStr($J17),";"),CONCATENATE(";",EscStr(CONCATENATE("NavNode_",getCategoryLevelAsString($B17))),";",EscStr(P17),";")))</f>
        <v>;"NavNode_L3D_525244";"Näyte ja pidä-piirit";</v>
      </c>
      <c r="AJ17" s="39" t="str">
        <f>IF(getCategoryLevelAsString($B17)="L0D_324785","",IF(Q17="",CONCATENATE(";",EscStr(CONCATENATE("NavNode_",getCategoryLevelAsString($B17))),";",EscStr($J17),";"),CONCATENATE(";",EscStr(CONCATENATE("NavNode_",getCategoryLevelAsString($B17))),";",EscStr(Q17),";")))</f>
        <v>;"NavNode_L3D_525244";"Diskretizācijas shēmas";</v>
      </c>
      <c r="AK17" s="39" t="str">
        <f>IF(getCategoryLevelAsString($B17)="L0D_324785","",IF(R17="",CONCATENATE(";",EscStr(CONCATENATE("NavNode_",getCategoryLevelAsString($B17))),";",EscStr($J17),";"),CONCATENATE(";",EscStr(CONCATENATE("NavNode_",getCategoryLevelAsString($B17))),";",EscStr(R17),";")))</f>
        <v>;"NavNode_L3D_525244";"Sample &amp; Hold componenten";</v>
      </c>
      <c r="AL17" s="39" t="str">
        <f>IF(getCategoryLevelAsString($B17)="L0D_324785","",IF(S17="",CONCATENATE(";",EscStr(CONCATENATE("NavNode_",getCategoryLevelAsString($B17))),";",EscStr($J17),";"),CONCATENATE(";",EscStr(CONCATENATE("NavNode_",getCategoryLevelAsString($B17))),";",EscStr(S17),";")))</f>
        <v>;"NavNode_L3D_525244";"Układy typu Sample&amp;Hold";</v>
      </c>
      <c r="AM17" s="39" t="str">
        <f>IF(getCategoryLevelAsString($B17)="L0D_324785","",IF(T17="",CONCATENATE(";",EscStr(CONCATENATE("NavNode_",getCategoryLevelAsString($B17))),";",EscStr($J17),";"),CONCATENATE(";",EscStr(CONCATENATE("NavNode_",getCategoryLevelAsString($B17))),";",EscStr(T17),";")))</f>
        <v>;"NavNode_L3D_525244";"Устройство выборки и хранения";</v>
      </c>
      <c r="AN17" s="39" t="str">
        <f>IF(getCategoryLevelAsString($B17)="L0D_324785","",IF(U17="",CONCATENATE(";",EscStr(CONCATENATE("NavNode_",getCategoryLevelAsString($B17))),";",EscStr($J17),";"),CONCATENATE(";",EscStr(CONCATENATE("NavNode_",getCategoryLevelAsString($B17))),";",EscStr(U17),";")))</f>
        <v>;"NavNode_L3D_525244";"Vzorkovací a tvarovací obvody";</v>
      </c>
      <c r="AO17" s="39" t="str">
        <f>IF(getCategoryLevelAsString($B17)="L0D_324785","",IF(V17="",CONCATENATE(";",EscStr(CONCATENATE("NavNode_",getCategoryLevelAsString($B17))),";",EscStr($J17),";"),CONCATENATE(";",EscStr(CONCATENATE("NavNode_",getCategoryLevelAsString($B17))),";",EscStr(V17),";")))</f>
        <v>;"NavNode_L3D_525244";"Circuite S&amp;H";</v>
      </c>
      <c r="AP17" s="39" t="str">
        <f>IF(getCategoryLevelAsString($B17)="L0D_324785","",IF(W17="",CONCATENATE(";",EscStr(CONCATENATE("NavNode_",getCategoryLevelAsString($B17))),";",EscStr($J17),";"),CONCATENATE(";",EscStr(CONCATENATE("NavNode_",getCategoryLevelAsString($B17))),";",EscStr(W17),";")))</f>
        <v>;"NavNode_L3D_525244";"Mintavevő- és tartó áramkör";</v>
      </c>
      <c r="AQ17" s="39" t="str">
        <f>IF(getCategoryLevelAsString($B17)="L0D_324785","",IF(X17="",CONCATENATE(";",EscStr(CONCATENATE("NavNode_",getCategoryLevelAsString($B17))),";",EscStr($J17),";"),CONCATENATE(";",EscStr(CONCATENATE("NavNode_",getCategoryLevelAsString($B17))),";",EscStr(X17),";")))</f>
        <v>;"NavNode_L3D_525244";"Vzorkovacia a tvarovacie obvody";</v>
      </c>
      <c r="AR17" s="39" t="str">
        <f>IF(OR($A17&lt;&gt;"", $G17=""),"",CONCATENATE(";",EscStr(CONCATENATE("NavEntry_",getCategoryLevelAsString($B17))),";",EscStr(CONCATENATE($J17," Navigation Entry")),";",EscStr(CONCATENATE("cat-",getCategoryLevelAsString($B17))),";",EscStr(CONCATENATE("NavNode_",getCategoryLevelAsString($B17))),";"))</f>
        <v>;"NavEntry_L3D_525244";"Sample &amp; Hold Circuits Navigation Entry";"cat-L3D_525244";"NavNode_L3D_525244";</v>
      </c>
    </row>
    <row r="18" spans="1:44" s="34" customFormat="1" ht="15" x14ac:dyDescent="0.25">
      <c r="A18" s="25"/>
      <c r="B18" s="5"/>
      <c r="C18" s="5"/>
      <c r="D18" s="5" t="s">
        <v>4975</v>
      </c>
      <c r="E18" s="5"/>
      <c r="F18" s="5"/>
      <c r="G18" s="5" t="s">
        <v>4977</v>
      </c>
      <c r="H18" s="5" t="s">
        <v>13569</v>
      </c>
      <c r="I18" s="5" t="s">
        <v>13659</v>
      </c>
      <c r="J18" s="5" t="s">
        <v>4976</v>
      </c>
      <c r="K18" s="5" t="s">
        <v>13751</v>
      </c>
      <c r="L18" s="5" t="s">
        <v>15063</v>
      </c>
      <c r="M18" s="5" t="s">
        <v>13853</v>
      </c>
      <c r="N18" s="46" t="s">
        <v>1308</v>
      </c>
      <c r="O18" s="5" t="s">
        <v>14013</v>
      </c>
      <c r="P18" s="5" t="s">
        <v>14105</v>
      </c>
      <c r="Q18" s="5" t="s">
        <v>14191</v>
      </c>
      <c r="R18" s="5" t="s">
        <v>14279</v>
      </c>
      <c r="S18" s="5" t="s">
        <v>14364</v>
      </c>
      <c r="T18" s="5" t="s">
        <v>14453</v>
      </c>
      <c r="U18" s="5" t="s">
        <v>14542</v>
      </c>
      <c r="V18" s="5" t="s">
        <v>14630</v>
      </c>
      <c r="W18" s="5" t="s">
        <v>14715</v>
      </c>
      <c r="X18" s="5" t="s">
        <v>14802</v>
      </c>
      <c r="Y18" s="39" t="str">
        <f>IF(OR($A18&lt;&gt;"", $G18=""),"",CONCATENATE(";",EscStr(CONCATENATE("NavNode_",getCategoryLevelAsString($B18))),";",EscStr($J18),";",IF($B18&lt;&gt;"","""MainCategoryNavNode""",EscStr(CONCATENATE("NavNode_",getSuperCategory($B18, getCategoryLevelAsNumber($B18))))),";"))</f>
        <v>;"NavNode_L3D_525245";"Sensor Circuits";"NavNode_L2-3D_525338";</v>
      </c>
      <c r="Z18" s="39" t="str">
        <f>IF(getCategoryLevelAsString($B18)="L0D_324785","",IF(G18="",CONCATENATE(";",EscStr(CONCATENATE("NavNode_",getCategoryLevelAsString($B18))),";",EscStr($J18),";"),CONCATENATE(";",EscStr(CONCATENATE("NavNode_",getCategoryLevelAsString($B18))),";",EscStr(G18),";")))</f>
        <v>;"NavNode_L3D_525245";"Sensorschaltungen";</v>
      </c>
      <c r="AA18" s="39" t="str">
        <f>IF(getCategoryLevelAsString($B18)="L0D_324785","",IF(H18="",CONCATENATE(";",EscStr(CONCATENATE("NavNode_",getCategoryLevelAsString($B18))),";",EscStr($J18),";"),CONCATENATE(";",EscStr(CONCATENATE("NavNode_",getCategoryLevelAsString($B18))),";",EscStr(H18),";")))</f>
        <v>;"NavNode_L3D_525245";"Circuits de capteur";</v>
      </c>
      <c r="AB18" s="39" t="str">
        <f>IF(getCategoryLevelAsString($B18)="L0D_324785","",IF(I18="",CONCATENATE(";",EscStr(CONCATENATE("NavNode_",getCategoryLevelAsString($B18))),";",EscStr($J18),";"),CONCATENATE(";",EscStr(CONCATENATE("NavNode_",getCategoryLevelAsString($B18))),";",EscStr(I18),";")))</f>
        <v>;"NavNode_L3D_525245";"Circuiti di rilevamento";</v>
      </c>
      <c r="AC18" s="39" t="str">
        <f>IF(getCategoryLevelAsString($B18)="L0D_324785","",IF(J18="",CONCATENATE(";",EscStr(CONCATENATE("NavNode_",getCategoryLevelAsString($B18))),";",EscStr($J18),";"),CONCATENATE(";",EscStr(CONCATENATE("NavNode_",getCategoryLevelAsString($B18))),";",EscStr(J18),";")))</f>
        <v>;"NavNode_L3D_525245";"Sensor Circuits";</v>
      </c>
      <c r="AD18" s="39" t="str">
        <f>IF(getCategoryLevelAsString($B18)="L0D_324785","",IF(K18="",CONCATENATE(";",EscStr(CONCATENATE("NavNode_",getCategoryLevelAsString($B18))),";",EscStr($J18),";"),CONCATENATE(";",EscStr(CONCATENATE("NavNode_",getCategoryLevelAsString($B18))),";",EscStr(K18),";")))</f>
        <v>;"NavNode_L3D_525245";"Sensorstrømkredse";</v>
      </c>
      <c r="AE18" s="39" t="str">
        <f>IF(getCategoryLevelAsString($B18)="L0D_324785","",IF(L18="",CONCATENATE(";",EscStr(CONCATENATE("NavNode_",getCategoryLevelAsString($B18))),";",EscStr($J18),";"),CONCATENATE(";",EscStr(CONCATENATE("NavNode_",getCategoryLevelAsString($B18))),";",EscStr(L18),";")))</f>
        <v>;"NavNode_L3D_525245";"Jutiklių grandinės";</v>
      </c>
      <c r="AF18" s="39" t="str">
        <f>IF(getCategoryLevelAsString($B18)="L0D_324785","",IF(M18="",CONCATENATE(";",EscStr(CONCATENATE("NavNode_",getCategoryLevelAsString($B18))),";",EscStr($J18),";"),CONCATENATE(";",EscStr(CONCATENATE("NavNode_",getCategoryLevelAsString($B18))),";",EscStr(M18),";")))</f>
        <v>;"NavNode_L3D_525245";"Sensorkretser";</v>
      </c>
      <c r="AG18" s="39" t="str">
        <f>IF(getCategoryLevelAsString($B18)="L0D_324785","",IF(N18="",CONCATENATE(";",EscStr(CONCATENATE("NavNode_",getCategoryLevelAsString($B18))),";",EscStr($J18),";"),CONCATENATE(";",EscStr(CONCATENATE("NavNode_",getCategoryLevelAsString($B18))),";",EscStr(N18),";")))</f>
        <v>;"NavNode_L3D_525245";"Sensorer";</v>
      </c>
      <c r="AH18" s="39" t="str">
        <f>IF(getCategoryLevelAsString($B18)="L0D_324785","",IF(O18="",CONCATENATE(";",EscStr(CONCATENATE("NavNode_",getCategoryLevelAsString($B18))),";",EscStr($J18),";"),CONCATENATE(";",EscStr(CONCATENATE("NavNode_",getCategoryLevelAsString($B18))),";",EscStr(O18),";")))</f>
        <v>;"NavNode_L3D_525245";"Anduriahelad";</v>
      </c>
      <c r="AI18" s="39" t="str">
        <f>IF(getCategoryLevelAsString($B18)="L0D_324785","",IF(P18="",CONCATENATE(";",EscStr(CONCATENATE("NavNode_",getCategoryLevelAsString($B18))),";",EscStr($J18),";"),CONCATENATE(";",EscStr(CONCATENATE("NavNode_",getCategoryLevelAsString($B18))),";",EscStr(P18),";")))</f>
        <v>;"NavNode_L3D_525245";"Anturipiirit";</v>
      </c>
      <c r="AJ18" s="39" t="str">
        <f>IF(getCategoryLevelAsString($B18)="L0D_324785","",IF(Q18="",CONCATENATE(";",EscStr(CONCATENATE("NavNode_",getCategoryLevelAsString($B18))),";",EscStr($J18),";"),CONCATENATE(";",EscStr(CONCATENATE("NavNode_",getCategoryLevelAsString($B18))),";",EscStr(Q18),";")))</f>
        <v>;"NavNode_L3D_525245";"Sensoru mikroshēmas";</v>
      </c>
      <c r="AK18" s="39" t="str">
        <f>IF(getCategoryLevelAsString($B18)="L0D_324785","",IF(R18="",CONCATENATE(";",EscStr(CONCATENATE("NavNode_",getCategoryLevelAsString($B18))),";",EscStr($J18),";"),CONCATENATE(";",EscStr(CONCATENATE("NavNode_",getCategoryLevelAsString($B18))),";",EscStr(R18),";")))</f>
        <v>;"NavNode_L3D_525245";"Sensor componenten";</v>
      </c>
      <c r="AL18" s="39" t="str">
        <f>IF(getCategoryLevelAsString($B18)="L0D_324785","",IF(S18="",CONCATENATE(";",EscStr(CONCATENATE("NavNode_",getCategoryLevelAsString($B18))),";",EscStr($J18),";"),CONCATENATE(";",EscStr(CONCATENATE("NavNode_",getCategoryLevelAsString($B18))),";",EscStr(S18),";")))</f>
        <v>;"NavNode_L3D_525245";"Układy czujników";</v>
      </c>
      <c r="AM18" s="39" t="str">
        <f>IF(getCategoryLevelAsString($B18)="L0D_324785","",IF(T18="",CONCATENATE(";",EscStr(CONCATENATE("NavNode_",getCategoryLevelAsString($B18))),";",EscStr($J18),";"),CONCATENATE(";",EscStr(CONCATENATE("NavNode_",getCategoryLevelAsString($B18))),";",EscStr(T18),";")))</f>
        <v>;"NavNode_L3D_525245";"Сенсорные микросхемы";</v>
      </c>
      <c r="AN18" s="39" t="str">
        <f>IF(getCategoryLevelAsString($B18)="L0D_324785","",IF(U18="",CONCATENATE(";",EscStr(CONCATENATE("NavNode_",getCategoryLevelAsString($B18))),";",EscStr($J18),";"),CONCATENATE(";",EscStr(CONCATENATE("NavNode_",getCategoryLevelAsString($B18))),";",EscStr(U18),";")))</f>
        <v>;"NavNode_L3D_525245";"Snímací obvody";</v>
      </c>
      <c r="AO18" s="39" t="str">
        <f>IF(getCategoryLevelAsString($B18)="L0D_324785","",IF(V18="",CONCATENATE(";",EscStr(CONCATENATE("NavNode_",getCategoryLevelAsString($B18))),";",EscStr($J18),";"),CONCATENATE(";",EscStr(CONCATENATE("NavNode_",getCategoryLevelAsString($B18))),";",EscStr(V18),";")))</f>
        <v>;"NavNode_L3D_525245";"Senzori de circuite";</v>
      </c>
      <c r="AP18" s="39" t="str">
        <f>IF(getCategoryLevelAsString($B18)="L0D_324785","",IF(W18="",CONCATENATE(";",EscStr(CONCATENATE("NavNode_",getCategoryLevelAsString($B18))),";",EscStr($J18),";"),CONCATENATE(";",EscStr(CONCATENATE("NavNode_",getCategoryLevelAsString($B18))),";",EscStr(W18),";")))</f>
        <v>;"NavNode_L3D_525245";"Szenzor áramkörök";</v>
      </c>
      <c r="AQ18" s="39" t="str">
        <f>IF(getCategoryLevelAsString($B18)="L0D_324785","",IF(X18="",CONCATENATE(";",EscStr(CONCATENATE("NavNode_",getCategoryLevelAsString($B18))),";",EscStr($J18),";"),CONCATENATE(";",EscStr(CONCATENATE("NavNode_",getCategoryLevelAsString($B18))),";",EscStr(X18),";")))</f>
        <v>;"NavNode_L3D_525245";"Snímacie obvody";</v>
      </c>
      <c r="AR18" s="39" t="str">
        <f>IF(OR($A18&lt;&gt;"", $G18=""),"",CONCATENATE(";",EscStr(CONCATENATE("NavEntry_",getCategoryLevelAsString($B18))),";",EscStr(CONCATENATE($J18," Navigation Entry")),";",EscStr(CONCATENATE("cat-",getCategoryLevelAsString($B18))),";",EscStr(CONCATENATE("NavNode_",getCategoryLevelAsString($B18))),";"))</f>
        <v>;"NavEntry_L3D_525245";"Sensor Circuits Navigation Entry";"cat-L3D_525245";"NavNode_L3D_525245";</v>
      </c>
    </row>
    <row r="19" spans="1:44" s="34" customFormat="1" ht="15" x14ac:dyDescent="0.25">
      <c r="A19" s="25"/>
      <c r="B19" s="5"/>
      <c r="C19" s="5"/>
      <c r="D19" s="5" t="s">
        <v>5068</v>
      </c>
      <c r="E19" s="5"/>
      <c r="F19" s="5"/>
      <c r="G19" s="5" t="s">
        <v>5070</v>
      </c>
      <c r="H19" s="5" t="s">
        <v>13570</v>
      </c>
      <c r="I19" s="5" t="s">
        <v>13660</v>
      </c>
      <c r="J19" s="5" t="s">
        <v>5069</v>
      </c>
      <c r="K19" s="5" t="s">
        <v>13752</v>
      </c>
      <c r="L19" s="5" t="s">
        <v>15064</v>
      </c>
      <c r="M19" s="5" t="s">
        <v>13854</v>
      </c>
      <c r="N19" s="5" t="s">
        <v>13921</v>
      </c>
      <c r="O19" s="5" t="s">
        <v>14014</v>
      </c>
      <c r="P19" s="5" t="s">
        <v>14106</v>
      </c>
      <c r="Q19" s="5" t="s">
        <v>14192</v>
      </c>
      <c r="R19" s="5" t="s">
        <v>5072</v>
      </c>
      <c r="S19" s="5" t="s">
        <v>14365</v>
      </c>
      <c r="T19" s="5" t="s">
        <v>14454</v>
      </c>
      <c r="U19" s="5" t="s">
        <v>14543</v>
      </c>
      <c r="V19" s="5" t="s">
        <v>14631</v>
      </c>
      <c r="W19" s="5" t="s">
        <v>14716</v>
      </c>
      <c r="X19" s="5" t="s">
        <v>14803</v>
      </c>
      <c r="Y19" s="39" t="str">
        <f>IF(OR($A19&lt;&gt;"", $G19=""),"",CONCATENATE(";",EscStr(CONCATENATE("NavNode_",getCategoryLevelAsString($B19))),";",EscStr($J19),";",IF($B19&lt;&gt;"","""MainCategoryNavNode""",EscStr(CONCATENATE("NavNode_",getSuperCategory($B19, getCategoryLevelAsNumber($B19))))),";"))</f>
        <v>;"NavNode_L3D_525246";"Interface Circuits";"NavNode_L2-3D_525338";</v>
      </c>
      <c r="Z19" s="39" t="str">
        <f>IF(getCategoryLevelAsString($B19)="L0D_324785","",IF(G19="",CONCATENATE(";",EscStr(CONCATENATE("NavNode_",getCategoryLevelAsString($B19))),";",EscStr($J19),";"),CONCATENATE(";",EscStr(CONCATENATE("NavNode_",getCategoryLevelAsString($B19))),";",EscStr(G19),";")))</f>
        <v>;"NavNode_L3D_525246";"Schnittstellenschaltungen";</v>
      </c>
      <c r="AA19" s="39" t="str">
        <f>IF(getCategoryLevelAsString($B19)="L0D_324785","",IF(H19="",CONCATENATE(";",EscStr(CONCATENATE("NavNode_",getCategoryLevelAsString($B19))),";",EscStr($J19),";"),CONCATENATE(";",EscStr(CONCATENATE("NavNode_",getCategoryLevelAsString($B19))),";",EscStr(H19),";")))</f>
        <v>;"NavNode_L3D_525246";"Circuits d'interface";</v>
      </c>
      <c r="AB19" s="39" t="str">
        <f>IF(getCategoryLevelAsString($B19)="L0D_324785","",IF(I19="",CONCATENATE(";",EscStr(CONCATENATE("NavNode_",getCategoryLevelAsString($B19))),";",EscStr($J19),";"),CONCATENATE(";",EscStr(CONCATENATE("NavNode_",getCategoryLevelAsString($B19))),";",EscStr(I19),";")))</f>
        <v>;"NavNode_L3D_525246";"Circuiti di interfaccia";</v>
      </c>
      <c r="AC19" s="39" t="str">
        <f>IF(getCategoryLevelAsString($B19)="L0D_324785","",IF(J19="",CONCATENATE(";",EscStr(CONCATENATE("NavNode_",getCategoryLevelAsString($B19))),";",EscStr($J19),";"),CONCATENATE(";",EscStr(CONCATENATE("NavNode_",getCategoryLevelAsString($B19))),";",EscStr(J19),";")))</f>
        <v>;"NavNode_L3D_525246";"Interface Circuits";</v>
      </c>
      <c r="AD19" s="39" t="str">
        <f>IF(getCategoryLevelAsString($B19)="L0D_324785","",IF(K19="",CONCATENATE(";",EscStr(CONCATENATE("NavNode_",getCategoryLevelAsString($B19))),";",EscStr($J19),";"),CONCATENATE(";",EscStr(CONCATENATE("NavNode_",getCategoryLevelAsString($B19))),";",EscStr(K19),";")))</f>
        <v>;"NavNode_L3D_525246";"Interface kredse";</v>
      </c>
      <c r="AE19" s="39" t="str">
        <f>IF(getCategoryLevelAsString($B19)="L0D_324785","",IF(L19="",CONCATENATE(";",EscStr(CONCATENATE("NavNode_",getCategoryLevelAsString($B19))),";",EscStr($J19),";"),CONCATENATE(";",EscStr(CONCATENATE("NavNode_",getCategoryLevelAsString($B19))),";",EscStr(L19),";")))</f>
        <v>;"NavNode_L3D_525246";"Sąsajų grandinės";</v>
      </c>
      <c r="AF19" s="39" t="str">
        <f>IF(getCategoryLevelAsString($B19)="L0D_324785","",IF(M19="",CONCATENATE(";",EscStr(CONCATENATE("NavNode_",getCategoryLevelAsString($B19))),";",EscStr($J19),";"),CONCATENATE(";",EscStr(CONCATENATE("NavNode_",getCategoryLevelAsString($B19))),";",EscStr(M19),";")))</f>
        <v>;"NavNode_L3D_525246";"Grensesnittkretser";</v>
      </c>
      <c r="AG19" s="39" t="str">
        <f>IF(getCategoryLevelAsString($B19)="L0D_324785","",IF(N19="",CONCATENATE(";",EscStr(CONCATENATE("NavNode_",getCategoryLevelAsString($B19))),";",EscStr($J19),";"),CONCATENATE(";",EscStr(CONCATENATE("NavNode_",getCategoryLevelAsString($B19))),";",EscStr(N19),";")))</f>
        <v>;"NavNode_L3D_525246";"Gränssnittskretsar";</v>
      </c>
      <c r="AH19" s="39" t="str">
        <f>IF(getCategoryLevelAsString($B19)="L0D_324785","",IF(O19="",CONCATENATE(";",EscStr(CONCATENATE("NavNode_",getCategoryLevelAsString($B19))),";",EscStr($J19),";"),CONCATENATE(";",EscStr(CONCATENATE("NavNode_",getCategoryLevelAsString($B19))),";",EscStr(O19),";")))</f>
        <v>;"NavNode_L3D_525246";"Liidese ahelad";</v>
      </c>
      <c r="AI19" s="39" t="str">
        <f>IF(getCategoryLevelAsString($B19)="L0D_324785","",IF(P19="",CONCATENATE(";",EscStr(CONCATENATE("NavNode_",getCategoryLevelAsString($B19))),";",EscStr($J19),";"),CONCATENATE(";",EscStr(CONCATENATE("NavNode_",getCategoryLevelAsString($B19))),";",EscStr(P19),";")))</f>
        <v>;"NavNode_L3D_525246";"Liitäntäpiirit";</v>
      </c>
      <c r="AJ19" s="39" t="str">
        <f>IF(getCategoryLevelAsString($B19)="L0D_324785","",IF(Q19="",CONCATENATE(";",EscStr(CONCATENATE("NavNode_",getCategoryLevelAsString($B19))),";",EscStr($J19),";"),CONCATENATE(";",EscStr(CONCATENATE("NavNode_",getCategoryLevelAsString($B19))),";",EscStr(Q19),";")))</f>
        <v>;"NavNode_L3D_525246";"Interfeisu mikroshēmas";</v>
      </c>
      <c r="AK19" s="39" t="str">
        <f>IF(getCategoryLevelAsString($B19)="L0D_324785","",IF(R19="",CONCATENATE(";",EscStr(CONCATENATE("NavNode_",getCategoryLevelAsString($B19))),";",EscStr($J19),";"),CONCATENATE(";",EscStr(CONCATENATE("NavNode_",getCategoryLevelAsString($B19))),";",EscStr(R19),";")))</f>
        <v>;"NavNode_L3D_525246";"Interface ICs";</v>
      </c>
      <c r="AL19" s="39" t="str">
        <f>IF(getCategoryLevelAsString($B19)="L0D_324785","",IF(S19="",CONCATENATE(";",EscStr(CONCATENATE("NavNode_",getCategoryLevelAsString($B19))),";",EscStr($J19),";"),CONCATENATE(";",EscStr(CONCATENATE("NavNode_",getCategoryLevelAsString($B19))),";",EscStr(S19),";")))</f>
        <v>;"NavNode_L3D_525246";"Układy scalone interfejsów";</v>
      </c>
      <c r="AM19" s="39" t="str">
        <f>IF(getCategoryLevelAsString($B19)="L0D_324785","",IF(T19="",CONCATENATE(";",EscStr(CONCATENATE("NavNode_",getCategoryLevelAsString($B19))),";",EscStr($J19),";"),CONCATENATE(";",EscStr(CONCATENATE("NavNode_",getCategoryLevelAsString($B19))),";",EscStr(T19),";")))</f>
        <v>;"NavNode_L3D_525246";"Интерфейсные микросхемы";</v>
      </c>
      <c r="AN19" s="39" t="str">
        <f>IF(getCategoryLevelAsString($B19)="L0D_324785","",IF(U19="",CONCATENATE(";",EscStr(CONCATENATE("NavNode_",getCategoryLevelAsString($B19))),";",EscStr($J19),";"),CONCATENATE(";",EscStr(CONCATENATE("NavNode_",getCategoryLevelAsString($B19))),";",EscStr(U19),";")))</f>
        <v>;"NavNode_L3D_525246";"Obvody rozhraní";</v>
      </c>
      <c r="AO19" s="39" t="str">
        <f>IF(getCategoryLevelAsString($B19)="L0D_324785","",IF(V19="",CONCATENATE(";",EscStr(CONCATENATE("NavNode_",getCategoryLevelAsString($B19))),";",EscStr($J19),";"),CONCATENATE(";",EscStr(CONCATENATE("NavNode_",getCategoryLevelAsString($B19))),";",EscStr(V19),";")))</f>
        <v>;"NavNode_L3D_525246";"Circuite de interfaţă";</v>
      </c>
      <c r="AP19" s="39" t="str">
        <f>IF(getCategoryLevelAsString($B19)="L0D_324785","",IF(W19="",CONCATENATE(";",EscStr(CONCATENATE("NavNode_",getCategoryLevelAsString($B19))),";",EscStr($J19),";"),CONCATENATE(";",EscStr(CONCATENATE("NavNode_",getCategoryLevelAsString($B19))),";",EscStr(W19),";")))</f>
        <v>;"NavNode_L3D_525246";"Illesztő áramkörök";</v>
      </c>
      <c r="AQ19" s="39" t="str">
        <f>IF(getCategoryLevelAsString($B19)="L0D_324785","",IF(X19="",CONCATENATE(";",EscStr(CONCATENATE("NavNode_",getCategoryLevelAsString($B19))),";",EscStr($J19),";"),CONCATENATE(";",EscStr(CONCATENATE("NavNode_",getCategoryLevelAsString($B19))),";",EscStr(X19),";")))</f>
        <v>;"NavNode_L3D_525246";"Obvody rozhrania";</v>
      </c>
      <c r="AR19" s="39" t="str">
        <f>IF(OR($A19&lt;&gt;"", $G19=""),"",CONCATENATE(";",EscStr(CONCATENATE("NavEntry_",getCategoryLevelAsString($B19))),";",EscStr(CONCATENATE($J19," Navigation Entry")),";",EscStr(CONCATENATE("cat-",getCategoryLevelAsString($B19))),";",EscStr(CONCATENATE("NavNode_",getCategoryLevelAsString($B19))),";"))</f>
        <v>;"NavEntry_L3D_525246";"Interface Circuits Navigation Entry";"cat-L3D_525246";"NavNode_L3D_525246";</v>
      </c>
    </row>
    <row r="20" spans="1:44" s="34" customFormat="1" ht="15" x14ac:dyDescent="0.25">
      <c r="A20" s="25"/>
      <c r="B20" s="5"/>
      <c r="C20" s="5"/>
      <c r="D20" s="5" t="s">
        <v>5080</v>
      </c>
      <c r="E20" s="5"/>
      <c r="F20" s="5"/>
      <c r="G20" s="5" t="s">
        <v>5082</v>
      </c>
      <c r="H20" s="5" t="s">
        <v>13571</v>
      </c>
      <c r="I20" s="5" t="s">
        <v>13661</v>
      </c>
      <c r="J20" s="5" t="s">
        <v>5081</v>
      </c>
      <c r="K20" s="5" t="s">
        <v>13753</v>
      </c>
      <c r="L20" s="5" t="s">
        <v>15065</v>
      </c>
      <c r="M20" s="5" t="s">
        <v>13855</v>
      </c>
      <c r="N20" s="46" t="s">
        <v>15420</v>
      </c>
      <c r="O20" s="5" t="s">
        <v>14015</v>
      </c>
      <c r="P20" s="5" t="s">
        <v>14107</v>
      </c>
      <c r="Q20" s="5" t="s">
        <v>14193</v>
      </c>
      <c r="R20" s="5" t="s">
        <v>14280</v>
      </c>
      <c r="S20" s="5" t="s">
        <v>14366</v>
      </c>
      <c r="T20" s="5" t="s">
        <v>14455</v>
      </c>
      <c r="U20" s="5" t="s">
        <v>14544</v>
      </c>
      <c r="V20" s="5" t="s">
        <v>14632</v>
      </c>
      <c r="W20" s="5" t="s">
        <v>14717</v>
      </c>
      <c r="X20" s="5" t="s">
        <v>14804</v>
      </c>
      <c r="Y20" s="39" t="str">
        <f>IF(OR($A20&lt;&gt;"", $G20=""),"",CONCATENATE(";",EscStr(CONCATENATE("NavNode_",getCategoryLevelAsString($B20))),";",EscStr($J20),";",IF($B20&lt;&gt;"","""MainCategoryNavNode""",EscStr(CONCATENATE("NavNode_",getSuperCategory($B20, getCategoryLevelAsNumber($B20))))),";"))</f>
        <v>;"NavNode_L3D_525248";"Amplifiers";"NavNode_L2-3D_525338";</v>
      </c>
      <c r="Z20" s="39" t="str">
        <f>IF(getCategoryLevelAsString($B20)="L0D_324785","",IF(G20="",CONCATENATE(";",EscStr(CONCATENATE("NavNode_",getCategoryLevelAsString($B20))),";",EscStr($J20),";"),CONCATENATE(";",EscStr(CONCATENATE("NavNode_",getCategoryLevelAsString($B20))),";",EscStr(G20),";")))</f>
        <v>;"NavNode_L3D_525248";"Verstärker";</v>
      </c>
      <c r="AA20" s="39" t="str">
        <f>IF(getCategoryLevelAsString($B20)="L0D_324785","",IF(H20="",CONCATENATE(";",EscStr(CONCATENATE("NavNode_",getCategoryLevelAsString($B20))),";",EscStr($J20),";"),CONCATENATE(";",EscStr(CONCATENATE("NavNode_",getCategoryLevelAsString($B20))),";",EscStr(H20),";")))</f>
        <v>;"NavNode_L3D_525248";"Amplificateurs";</v>
      </c>
      <c r="AB20" s="39" t="str">
        <f>IF(getCategoryLevelAsString($B20)="L0D_324785","",IF(I20="",CONCATENATE(";",EscStr(CONCATENATE("NavNode_",getCategoryLevelAsString($B20))),";",EscStr($J20),";"),CONCATENATE(";",EscStr(CONCATENATE("NavNode_",getCategoryLevelAsString($B20))),";",EscStr(I20),";")))</f>
        <v>;"NavNode_L3D_525248";"Amplificatori";</v>
      </c>
      <c r="AC20" s="39" t="str">
        <f>IF(getCategoryLevelAsString($B20)="L0D_324785","",IF(J20="",CONCATENATE(";",EscStr(CONCATENATE("NavNode_",getCategoryLevelAsString($B20))),";",EscStr($J20),";"),CONCATENATE(";",EscStr(CONCATENATE("NavNode_",getCategoryLevelAsString($B20))),";",EscStr(J20),";")))</f>
        <v>;"NavNode_L3D_525248";"Amplifiers";</v>
      </c>
      <c r="AD20" s="39" t="str">
        <f>IF(getCategoryLevelAsString($B20)="L0D_324785","",IF(K20="",CONCATENATE(";",EscStr(CONCATENATE("NavNode_",getCategoryLevelAsString($B20))),";",EscStr($J20),";"),CONCATENATE(";",EscStr(CONCATENATE("NavNode_",getCategoryLevelAsString($B20))),";",EscStr(K20),";")))</f>
        <v>;"NavNode_L3D_525248";"Forstærkere";</v>
      </c>
      <c r="AE20" s="39" t="str">
        <f>IF(getCategoryLevelAsString($B20)="L0D_324785","",IF(L20="",CONCATENATE(";",EscStr(CONCATENATE("NavNode_",getCategoryLevelAsString($B20))),";",EscStr($J20),";"),CONCATENATE(";",EscStr(CONCATENATE("NavNode_",getCategoryLevelAsString($B20))),";",EscStr(L20),";")))</f>
        <v>;"NavNode_L3D_525248";"Stiprintuvai";</v>
      </c>
      <c r="AF20" s="39" t="str">
        <f>IF(getCategoryLevelAsString($B20)="L0D_324785","",IF(M20="",CONCATENATE(";",EscStr(CONCATENATE("NavNode_",getCategoryLevelAsString($B20))),";",EscStr($J20),";"),CONCATENATE(";",EscStr(CONCATENATE("NavNode_",getCategoryLevelAsString($B20))),";",EscStr(M20),";")))</f>
        <v>;"NavNode_L3D_525248";"Forsterkere";</v>
      </c>
      <c r="AG20" s="39" t="str">
        <f>IF(getCategoryLevelAsString($B20)="L0D_324785","",IF(N20="",CONCATENATE(";",EscStr(CONCATENATE("NavNode_",getCategoryLevelAsString($B20))),";",EscStr($J20),";"),CONCATENATE(";",EscStr(CONCATENATE("NavNode_",getCategoryLevelAsString($B20))),";",EscStr(N20),";")))</f>
        <v>;"NavNode_L3D_525248";"Förstärkare";</v>
      </c>
      <c r="AH20" s="39" t="str">
        <f>IF(getCategoryLevelAsString($B20)="L0D_324785","",IF(O20="",CONCATENATE(";",EscStr(CONCATENATE("NavNode_",getCategoryLevelAsString($B20))),";",EscStr($J20),";"),CONCATENATE(";",EscStr(CONCATENATE("NavNode_",getCategoryLevelAsString($B20))),";",EscStr(O20),";")))</f>
        <v>;"NavNode_L3D_525248";"Võimendid";</v>
      </c>
      <c r="AI20" s="39" t="str">
        <f>IF(getCategoryLevelAsString($B20)="L0D_324785","",IF(P20="",CONCATENATE(";",EscStr(CONCATENATE("NavNode_",getCategoryLevelAsString($B20))),";",EscStr($J20),";"),CONCATENATE(";",EscStr(CONCATENATE("NavNode_",getCategoryLevelAsString($B20))),";",EscStr(P20),";")))</f>
        <v>;"NavNode_L3D_525248";"Vahvistimet";</v>
      </c>
      <c r="AJ20" s="39" t="str">
        <f>IF(getCategoryLevelAsString($B20)="L0D_324785","",IF(Q20="",CONCATENATE(";",EscStr(CONCATENATE("NavNode_",getCategoryLevelAsString($B20))),";",EscStr($J20),";"),CONCATENATE(";",EscStr(CONCATENATE("NavNode_",getCategoryLevelAsString($B20))),";",EscStr(Q20),";")))</f>
        <v>;"NavNode_L3D_525248";"Pastiprinātāji";</v>
      </c>
      <c r="AK20" s="39" t="str">
        <f>IF(getCategoryLevelAsString($B20)="L0D_324785","",IF(R20="",CONCATENATE(";",EscStr(CONCATENATE("NavNode_",getCategoryLevelAsString($B20))),";",EscStr($J20),";"),CONCATENATE(";",EscStr(CONCATENATE("NavNode_",getCategoryLevelAsString($B20))),";",EscStr(R20),";")))</f>
        <v>;"NavNode_L3D_525248";"Versterkers";</v>
      </c>
      <c r="AL20" s="39" t="str">
        <f>IF(getCategoryLevelAsString($B20)="L0D_324785","",IF(S20="",CONCATENATE(";",EscStr(CONCATENATE("NavNode_",getCategoryLevelAsString($B20))),";",EscStr($J20),";"),CONCATENATE(";",EscStr(CONCATENATE("NavNode_",getCategoryLevelAsString($B20))),";",EscStr(S20),";")))</f>
        <v>;"NavNode_L3D_525248";"Wzmacniacze";</v>
      </c>
      <c r="AM20" s="39" t="str">
        <f>IF(getCategoryLevelAsString($B20)="L0D_324785","",IF(T20="",CONCATENATE(";",EscStr(CONCATENATE("NavNode_",getCategoryLevelAsString($B20))),";",EscStr($J20),";"),CONCATENATE(";",EscStr(CONCATENATE("NavNode_",getCategoryLevelAsString($B20))),";",EscStr(T20),";")))</f>
        <v>;"NavNode_L3D_525248";"Усилители";</v>
      </c>
      <c r="AN20" s="39" t="str">
        <f>IF(getCategoryLevelAsString($B20)="L0D_324785","",IF(U20="",CONCATENATE(";",EscStr(CONCATENATE("NavNode_",getCategoryLevelAsString($B20))),";",EscStr($J20),";"),CONCATENATE(";",EscStr(CONCATENATE("NavNode_",getCategoryLevelAsString($B20))),";",EscStr(U20),";")))</f>
        <v>;"NavNode_L3D_525248";"Operační zesilovače";</v>
      </c>
      <c r="AO20" s="39" t="str">
        <f>IF(getCategoryLevelAsString($B20)="L0D_324785","",IF(V20="",CONCATENATE(";",EscStr(CONCATENATE("NavNode_",getCategoryLevelAsString($B20))),";",EscStr($J20),";"),CONCATENATE(";",EscStr(CONCATENATE("NavNode_",getCategoryLevelAsString($B20))),";",EscStr(V20),";")))</f>
        <v>;"NavNode_L3D_525248";"Amplificator";</v>
      </c>
      <c r="AP20" s="39" t="str">
        <f>IF(getCategoryLevelAsString($B20)="L0D_324785","",IF(W20="",CONCATENATE(";",EscStr(CONCATENATE("NavNode_",getCategoryLevelAsString($B20))),";",EscStr($J20),";"),CONCATENATE(";",EscStr(CONCATENATE("NavNode_",getCategoryLevelAsString($B20))),";",EscStr(W20),";")))</f>
        <v>;"NavNode_L3D_525248";"Erősítők";</v>
      </c>
      <c r="AQ20" s="39" t="str">
        <f>IF(getCategoryLevelAsString($B20)="L0D_324785","",IF(X20="",CONCATENATE(";",EscStr(CONCATENATE("NavNode_",getCategoryLevelAsString($B20))),";",EscStr($J20),";"),CONCATENATE(";",EscStr(CONCATENATE("NavNode_",getCategoryLevelAsString($B20))),";",EscStr(X20),";")))</f>
        <v>;"NavNode_L3D_525248";"Operačné zosilňovače";</v>
      </c>
      <c r="AR20" s="39" t="str">
        <f>IF(OR($A20&lt;&gt;"", $G20=""),"",CONCATENATE(";",EscStr(CONCATENATE("NavEntry_",getCategoryLevelAsString($B20))),";",EscStr(CONCATENATE($J20," Navigation Entry")),";",EscStr(CONCATENATE("cat-",getCategoryLevelAsString($B20))),";",EscStr(CONCATENATE("NavNode_",getCategoryLevelAsString($B20))),";"))</f>
        <v>;"NavEntry_L3D_525248";"Amplifiers Navigation Entry";"cat-L3D_525248";"NavNode_L3D_525248";</v>
      </c>
    </row>
    <row r="21" spans="1:44" s="34" customFormat="1" ht="15" x14ac:dyDescent="0.25">
      <c r="A21" s="25"/>
      <c r="B21" s="5"/>
      <c r="C21" s="5"/>
      <c r="D21" s="5" t="s">
        <v>5116</v>
      </c>
      <c r="E21" s="5"/>
      <c r="F21" s="5"/>
      <c r="G21" s="5" t="s">
        <v>5118</v>
      </c>
      <c r="H21" s="5" t="s">
        <v>13572</v>
      </c>
      <c r="I21" s="5" t="s">
        <v>13662</v>
      </c>
      <c r="J21" s="5" t="s">
        <v>5117</v>
      </c>
      <c r="K21" s="5" t="s">
        <v>13754</v>
      </c>
      <c r="L21" s="5" t="s">
        <v>15066</v>
      </c>
      <c r="M21" s="5" t="s">
        <v>13856</v>
      </c>
      <c r="N21" s="5" t="s">
        <v>13922</v>
      </c>
      <c r="O21" s="5" t="s">
        <v>14016</v>
      </c>
      <c r="P21" s="5" t="s">
        <v>14108</v>
      </c>
      <c r="Q21" s="5" t="s">
        <v>14194</v>
      </c>
      <c r="R21" s="5" t="s">
        <v>5120</v>
      </c>
      <c r="S21" s="5" t="s">
        <v>14367</v>
      </c>
      <c r="T21" s="5" t="s">
        <v>14456</v>
      </c>
      <c r="U21" s="5" t="s">
        <v>14545</v>
      </c>
      <c r="V21" s="5" t="s">
        <v>14633</v>
      </c>
      <c r="W21" s="5" t="s">
        <v>14718</v>
      </c>
      <c r="X21" s="5" t="s">
        <v>14805</v>
      </c>
      <c r="Y21" s="39" t="str">
        <f>IF(OR($A21&lt;&gt;"", $G21=""),"",CONCATENATE(";",EscStr(CONCATENATE("NavNode_",getCategoryLevelAsString($B21))),";",EscStr($J21),";",IF($B21&lt;&gt;"","""MainCategoryNavNode""",EscStr(CONCATENATE("NavNode_",getSuperCategory($B21, getCategoryLevelAsNumber($B21))))),";"))</f>
        <v>;"NavNode_L3D_525254";"Driver Circuits";"NavNode_L2-3D_525338";</v>
      </c>
      <c r="Z21" s="39" t="str">
        <f>IF(getCategoryLevelAsString($B21)="L0D_324785","",IF(G21="",CONCATENATE(";",EscStr(CONCATENATE("NavNode_",getCategoryLevelAsString($B21))),";",EscStr($J21),";"),CONCATENATE(";",EscStr(CONCATENATE("NavNode_",getCategoryLevelAsString($B21))),";",EscStr(G21),";")))</f>
        <v>;"NavNode_L3D_525254";"Treiber-ICs";</v>
      </c>
      <c r="AA21" s="39" t="str">
        <f>IF(getCategoryLevelAsString($B21)="L0D_324785","",IF(H21="",CONCATENATE(";",EscStr(CONCATENATE("NavNode_",getCategoryLevelAsString($B21))),";",EscStr($J21),";"),CONCATENATE(";",EscStr(CONCATENATE("NavNode_",getCategoryLevelAsString($B21))),";",EscStr(H21),";")))</f>
        <v>;"NavNode_L3D_525254";"Circuits pilotes";</v>
      </c>
      <c r="AB21" s="39" t="str">
        <f>IF(getCategoryLevelAsString($B21)="L0D_324785","",IF(I21="",CONCATENATE(";",EscStr(CONCATENATE("NavNode_",getCategoryLevelAsString($B21))),";",EscStr($J21),";"),CONCATENATE(";",EscStr(CONCATENATE("NavNode_",getCategoryLevelAsString($B21))),";",EscStr(I21),";")))</f>
        <v>;"NavNode_L3D_525254";"IC driver";</v>
      </c>
      <c r="AC21" s="39" t="str">
        <f>IF(getCategoryLevelAsString($B21)="L0D_324785","",IF(J21="",CONCATENATE(";",EscStr(CONCATENATE("NavNode_",getCategoryLevelAsString($B21))),";",EscStr($J21),";"),CONCATENATE(";",EscStr(CONCATENATE("NavNode_",getCategoryLevelAsString($B21))),";",EscStr(J21),";")))</f>
        <v>;"NavNode_L3D_525254";"Driver Circuits";</v>
      </c>
      <c r="AD21" s="39" t="str">
        <f>IF(getCategoryLevelAsString($B21)="L0D_324785","",IF(K21="",CONCATENATE(";",EscStr(CONCATENATE("NavNode_",getCategoryLevelAsString($B21))),";",EscStr($J21),";"),CONCATENATE(";",EscStr(CONCATENATE("NavNode_",getCategoryLevelAsString($B21))),";",EscStr(K21),";")))</f>
        <v>;"NavNode_L3D_525254";"Driver-strømkredse";</v>
      </c>
      <c r="AE21" s="39" t="str">
        <f>IF(getCategoryLevelAsString($B21)="L0D_324785","",IF(L21="",CONCATENATE(";",EscStr(CONCATENATE("NavNode_",getCategoryLevelAsString($B21))),";",EscStr($J21),";"),CONCATENATE(";",EscStr(CONCATENATE("NavNode_",getCategoryLevelAsString($B21))),";",EscStr(L21),";")))</f>
        <v>;"NavNode_L3D_525254";"Valdiklių grandinės";</v>
      </c>
      <c r="AF21" s="39" t="str">
        <f>IF(getCategoryLevelAsString($B21)="L0D_324785","",IF(M21="",CONCATENATE(";",EscStr(CONCATENATE("NavNode_",getCategoryLevelAsString($B21))),";",EscStr($J21),";"),CONCATENATE(";",EscStr(CONCATENATE("NavNode_",getCategoryLevelAsString($B21))),";",EscStr(M21),";")))</f>
        <v>;"NavNode_L3D_525254";"Driverkretser";</v>
      </c>
      <c r="AG21" s="39" t="str">
        <f>IF(getCategoryLevelAsString($B21)="L0D_324785","",IF(N21="",CONCATENATE(";",EscStr(CONCATENATE("NavNode_",getCategoryLevelAsString($B21))),";",EscStr($J21),";"),CONCATENATE(";",EscStr(CONCATENATE("NavNode_",getCategoryLevelAsString($B21))),";",EscStr(N21),";")))</f>
        <v>;"NavNode_L3D_525254";"Drivkretsar";</v>
      </c>
      <c r="AH21" s="39" t="str">
        <f>IF(getCategoryLevelAsString($B21)="L0D_324785","",IF(O21="",CONCATENATE(";",EscStr(CONCATENATE("NavNode_",getCategoryLevelAsString($B21))),";",EscStr($J21),";"),CONCATENATE(";",EscStr(CONCATENATE("NavNode_",getCategoryLevelAsString($B21))),";",EscStr(O21),";")))</f>
        <v>;"NavNode_L3D_525254";"Draiveri ahelad";</v>
      </c>
      <c r="AI21" s="39" t="str">
        <f>IF(getCategoryLevelAsString($B21)="L0D_324785","",IF(P21="",CONCATENATE(";",EscStr(CONCATENATE("NavNode_",getCategoryLevelAsString($B21))),";",EscStr($J21),";"),CONCATENATE(";",EscStr(CONCATENATE("NavNode_",getCategoryLevelAsString($B21))),";",EscStr(P21),";")))</f>
        <v>;"NavNode_L3D_525254";"Ohjainpiirit";</v>
      </c>
      <c r="AJ21" s="39" t="str">
        <f>IF(getCategoryLevelAsString($B21)="L0D_324785","",IF(Q21="",CONCATENATE(";",EscStr(CONCATENATE("NavNode_",getCategoryLevelAsString($B21))),";",EscStr($J21),";"),CONCATENATE(";",EscStr(CONCATENATE("NavNode_",getCategoryLevelAsString($B21))),";",EscStr(Q21),";")))</f>
        <v>;"NavNode_L3D_525254";"Draiveru mikroshēmas";</v>
      </c>
      <c r="AK21" s="39" t="str">
        <f>IF(getCategoryLevelAsString($B21)="L0D_324785","",IF(R21="",CONCATENATE(";",EscStr(CONCATENATE("NavNode_",getCategoryLevelAsString($B21))),";",EscStr($J21),";"),CONCATENATE(";",EscStr(CONCATENATE("NavNode_",getCategoryLevelAsString($B21))),";",EscStr(R21),";")))</f>
        <v>;"NavNode_L3D_525254";"Driver ICs";</v>
      </c>
      <c r="AL21" s="39" t="str">
        <f>IF(getCategoryLevelAsString($B21)="L0D_324785","",IF(S21="",CONCATENATE(";",EscStr(CONCATENATE("NavNode_",getCategoryLevelAsString($B21))),";",EscStr($J21),";"),CONCATENATE(";",EscStr(CONCATENATE("NavNode_",getCategoryLevelAsString($B21))),";",EscStr(S21),";")))</f>
        <v>;"NavNode_L3D_525254";"Układy sterowania";</v>
      </c>
      <c r="AM21" s="39" t="str">
        <f>IF(getCategoryLevelAsString($B21)="L0D_324785","",IF(T21="",CONCATENATE(";",EscStr(CONCATENATE("NavNode_",getCategoryLevelAsString($B21))),";",EscStr($J21),";"),CONCATENATE(";",EscStr(CONCATENATE("NavNode_",getCategoryLevelAsString($B21))),";",EscStr(T21),";")))</f>
        <v>;"NavNode_L3D_525254";"Схемы управления электронными компонентами";</v>
      </c>
      <c r="AN21" s="39" t="str">
        <f>IF(getCategoryLevelAsString($B21)="L0D_324785","",IF(U21="",CONCATENATE(";",EscStr(CONCATENATE("NavNode_",getCategoryLevelAsString($B21))),";",EscStr($J21),";"),CONCATENATE(";",EscStr(CONCATENATE("NavNode_",getCategoryLevelAsString($B21))),";",EscStr(U21),";")))</f>
        <v>;"NavNode_L3D_525254";"Budicí obvody";</v>
      </c>
      <c r="AO21" s="39" t="str">
        <f>IF(getCategoryLevelAsString($B21)="L0D_324785","",IF(V21="",CONCATENATE(";",EscStr(CONCATENATE("NavNode_",getCategoryLevelAsString($B21))),";",EscStr($J21),";"),CONCATENATE(";",EscStr(CONCATENATE("NavNode_",getCategoryLevelAsString($B21))),";",EscStr(V21),";")))</f>
        <v>;"NavNode_L3D_525254";"Conductori ICs";</v>
      </c>
      <c r="AP21" s="39" t="str">
        <f>IF(getCategoryLevelAsString($B21)="L0D_324785","",IF(W21="",CONCATENATE(";",EscStr(CONCATENATE("NavNode_",getCategoryLevelAsString($B21))),";",EscStr($J21),";"),CONCATENATE(";",EscStr(CONCATENATE("NavNode_",getCategoryLevelAsString($B21))),";",EscStr(W21),";")))</f>
        <v>;"NavNode_L3D_525254";"Meghajtó IC-k";</v>
      </c>
      <c r="AQ21" s="39" t="str">
        <f>IF(getCategoryLevelAsString($B21)="L0D_324785","",IF(X21="",CONCATENATE(";",EscStr(CONCATENATE("NavNode_",getCategoryLevelAsString($B21))),";",EscStr($J21),";"),CONCATENATE(";",EscStr(CONCATENATE("NavNode_",getCategoryLevelAsString($B21))),";",EscStr(X21),";")))</f>
        <v>;"NavNode_L3D_525254";"Budiace obvody";</v>
      </c>
      <c r="AR21" s="39" t="str">
        <f>IF(OR($A21&lt;&gt;"", $G21=""),"",CONCATENATE(";",EscStr(CONCATENATE("NavEntry_",getCategoryLevelAsString($B21))),";",EscStr(CONCATENATE($J21," Navigation Entry")),";",EscStr(CONCATENATE("cat-",getCategoryLevelAsString($B21))),";",EscStr(CONCATENATE("NavNode_",getCategoryLevelAsString($B21))),";"))</f>
        <v>;"NavEntry_L3D_525254";"Driver Circuits Navigation Entry";"cat-L3D_525254";"NavNode_L3D_525254";</v>
      </c>
    </row>
    <row r="22" spans="1:44" s="34" customFormat="1" ht="15" x14ac:dyDescent="0.25">
      <c r="A22" s="25"/>
      <c r="B22" s="5"/>
      <c r="C22" s="5"/>
      <c r="D22" s="5" t="s">
        <v>5123</v>
      </c>
      <c r="E22" s="5"/>
      <c r="F22" s="5"/>
      <c r="G22" s="5" t="s">
        <v>5125</v>
      </c>
      <c r="H22" s="5" t="s">
        <v>13573</v>
      </c>
      <c r="I22" s="5" t="s">
        <v>13663</v>
      </c>
      <c r="J22" s="5" t="s">
        <v>5124</v>
      </c>
      <c r="K22" s="5" t="s">
        <v>13755</v>
      </c>
      <c r="L22" s="5" t="s">
        <v>15067</v>
      </c>
      <c r="M22" s="5" t="s">
        <v>13857</v>
      </c>
      <c r="N22" s="46" t="s">
        <v>15422</v>
      </c>
      <c r="O22" s="5" t="s">
        <v>14017</v>
      </c>
      <c r="P22" s="5" t="s">
        <v>14109</v>
      </c>
      <c r="Q22" s="5" t="s">
        <v>14195</v>
      </c>
      <c r="R22" s="5" t="s">
        <v>14281</v>
      </c>
      <c r="S22" s="5" t="s">
        <v>14368</v>
      </c>
      <c r="T22" s="5" t="s">
        <v>14457</v>
      </c>
      <c r="U22" s="5" t="s">
        <v>14546</v>
      </c>
      <c r="V22" s="5" t="s">
        <v>14634</v>
      </c>
      <c r="W22" s="5" t="s">
        <v>14719</v>
      </c>
      <c r="X22" s="5" t="s">
        <v>14806</v>
      </c>
      <c r="Y22" s="39" t="str">
        <f>IF(OR($A22&lt;&gt;"", $G22=""),"",CONCATENATE(";",EscStr(CONCATENATE("NavNode_",getCategoryLevelAsString($B22))),";",EscStr($J22),";",IF($B22&lt;&gt;"","""MainCategoryNavNode""",EscStr(CONCATENATE("NavNode_",getSuperCategory($B22, getCategoryLevelAsNumber($B22))))),";"))</f>
        <v>;"NavNode_L3D_525255";"Trigger Circuits";"NavNode_L2-3D_525338";</v>
      </c>
      <c r="Z22" s="39" t="str">
        <f>IF(getCategoryLevelAsString($B22)="L0D_324785","",IF(G22="",CONCATENATE(";",EscStr(CONCATENATE("NavNode_",getCategoryLevelAsString($B22))),";",EscStr($J22),";"),CONCATENATE(";",EscStr(CONCATENATE("NavNode_",getCategoryLevelAsString($B22))),";",EscStr(G22),";")))</f>
        <v>;"NavNode_L3D_525255";"Ansteuerschaltungen";</v>
      </c>
      <c r="AA22" s="39" t="str">
        <f>IF(getCategoryLevelAsString($B22)="L0D_324785","",IF(H22="",CONCATENATE(";",EscStr(CONCATENATE("NavNode_",getCategoryLevelAsString($B22))),";",EscStr($J22),";"),CONCATENATE(";",EscStr(CONCATENATE("NavNode_",getCategoryLevelAsString($B22))),";",EscStr(H22),";")))</f>
        <v>;"NavNode_L3D_525255";"Circuits d'asservissement";</v>
      </c>
      <c r="AB22" s="39" t="str">
        <f>IF(getCategoryLevelAsString($B22)="L0D_324785","",IF(I22="",CONCATENATE(";",EscStr(CONCATENATE("NavNode_",getCategoryLevelAsString($B22))),";",EscStr($J22),";"),CONCATENATE(";",EscStr(CONCATENATE("NavNode_",getCategoryLevelAsString($B22))),";",EscStr(I22),";")))</f>
        <v>;"NavNode_L3D_525255";"Circuiti di comando";</v>
      </c>
      <c r="AC22" s="39" t="str">
        <f>IF(getCategoryLevelAsString($B22)="L0D_324785","",IF(J22="",CONCATENATE(";",EscStr(CONCATENATE("NavNode_",getCategoryLevelAsString($B22))),";",EscStr($J22),";"),CONCATENATE(";",EscStr(CONCATENATE("NavNode_",getCategoryLevelAsString($B22))),";",EscStr(J22),";")))</f>
        <v>;"NavNode_L3D_525255";"Trigger Circuits";</v>
      </c>
      <c r="AD22" s="39" t="str">
        <f>IF(getCategoryLevelAsString($B22)="L0D_324785","",IF(K22="",CONCATENATE(";",EscStr(CONCATENATE("NavNode_",getCategoryLevelAsString($B22))),";",EscStr($J22),";"),CONCATENATE(";",EscStr(CONCATENATE("NavNode_",getCategoryLevelAsString($B22))),";",EscStr(K22),";")))</f>
        <v>;"NavNode_L3D_525255";"Udløserstrømkredse";</v>
      </c>
      <c r="AE22" s="39" t="str">
        <f>IF(getCategoryLevelAsString($B22)="L0D_324785","",IF(L22="",CONCATENATE(";",EscStr(CONCATENATE("NavNode_",getCategoryLevelAsString($B22))),";",EscStr($J22),";"),CONCATENATE(";",EscStr(CONCATENATE("NavNode_",getCategoryLevelAsString($B22))),";",EscStr(L22),";")))</f>
        <v>;"NavNode_L3D_525255";"Trigerių grandinės";</v>
      </c>
      <c r="AF22" s="39" t="str">
        <f>IF(getCategoryLevelAsString($B22)="L0D_324785","",IF(M22="",CONCATENATE(";",EscStr(CONCATENATE("NavNode_",getCategoryLevelAsString($B22))),";",EscStr($J22),";"),CONCATENATE(";",EscStr(CONCATENATE("NavNode_",getCategoryLevelAsString($B22))),";",EscStr(M22),";")))</f>
        <v>;"NavNode_L3D_525255";"Triggerkretser";</v>
      </c>
      <c r="AG22" s="39" t="str">
        <f>IF(getCategoryLevelAsString($B22)="L0D_324785","",IF(N22="",CONCATENATE(";",EscStr(CONCATENATE("NavNode_",getCategoryLevelAsString($B22))),";",EscStr($J22),";"),CONCATENATE(";",EscStr(CONCATENATE("NavNode_",getCategoryLevelAsString($B22))),";",EscStr(N22),";")))</f>
        <v>;"NavNode_L3D_525255";"Trigg-kretsar";</v>
      </c>
      <c r="AH22" s="39" t="str">
        <f>IF(getCategoryLevelAsString($B22)="L0D_324785","",IF(O22="",CONCATENATE(";",EscStr(CONCATENATE("NavNode_",getCategoryLevelAsString($B22))),";",EscStr($J22),";"),CONCATENATE(";",EscStr(CONCATENATE("NavNode_",getCategoryLevelAsString($B22))),";",EscStr(O22),";")))</f>
        <v>;"NavNode_L3D_525255";"Käivitusahelad";</v>
      </c>
      <c r="AI22" s="39" t="str">
        <f>IF(getCategoryLevelAsString($B22)="L0D_324785","",IF(P22="",CONCATENATE(";",EscStr(CONCATENATE("NavNode_",getCategoryLevelAsString($B22))),";",EscStr($J22),";"),CONCATENATE(";",EscStr(CONCATENATE("NavNode_",getCategoryLevelAsString($B22))),";",EscStr(P22),";")))</f>
        <v>;"NavNode_L3D_525255";"Liipaisupiirit";</v>
      </c>
      <c r="AJ22" s="39" t="str">
        <f>IF(getCategoryLevelAsString($B22)="L0D_324785","",IF(Q22="",CONCATENATE(";",EscStr(CONCATENATE("NavNode_",getCategoryLevelAsString($B22))),";",EscStr($J22),";"),CONCATENATE(";",EscStr(CONCATENATE("NavNode_",getCategoryLevelAsString($B22))),";",EscStr(Q22),";")))</f>
        <v>;"NavNode_L3D_525255";"Trigeru mikroshēmas";</v>
      </c>
      <c r="AK22" s="39" t="str">
        <f>IF(getCategoryLevelAsString($B22)="L0D_324785","",IF(R22="",CONCATENATE(";",EscStr(CONCATENATE("NavNode_",getCategoryLevelAsString($B22))),";",EscStr($J22),";"),CONCATENATE(";",EscStr(CONCATENATE("NavNode_",getCategoryLevelAsString($B22))),";",EscStr(R22),";")))</f>
        <v>;"NavNode_L3D_525255";"Trigger ICs";</v>
      </c>
      <c r="AL22" s="39" t="str">
        <f>IF(getCategoryLevelAsString($B22)="L0D_324785","",IF(S22="",CONCATENATE(";",EscStr(CONCATENATE("NavNode_",getCategoryLevelAsString($B22))),";",EscStr($J22),";"),CONCATENATE(";",EscStr(CONCATENATE("NavNode_",getCategoryLevelAsString($B22))),";",EscStr(S22),";")))</f>
        <v>;"NavNode_L3D_525255";"Układy wyzwalające";</v>
      </c>
      <c r="AM22" s="39" t="str">
        <f>IF(getCategoryLevelAsString($B22)="L0D_324785","",IF(T22="",CONCATENATE(";",EscStr(CONCATENATE("NavNode_",getCategoryLevelAsString($B22))),";",EscStr($J22),";"),CONCATENATE(";",EscStr(CONCATENATE("NavNode_",getCategoryLevelAsString($B22))),";",EscStr(T22),";")))</f>
        <v>;"NavNode_L3D_525255";"Тригерные микросхемы";</v>
      </c>
      <c r="AN22" s="39" t="str">
        <f>IF(getCategoryLevelAsString($B22)="L0D_324785","",IF(U22="",CONCATENATE(";",EscStr(CONCATENATE("NavNode_",getCategoryLevelAsString($B22))),";",EscStr($J22),";"),CONCATENATE(";",EscStr(CONCATENATE("NavNode_",getCategoryLevelAsString($B22))),";",EscStr(U22),";")))</f>
        <v>;"NavNode_L3D_525255";"Spouštěcí obvody";</v>
      </c>
      <c r="AO22" s="39" t="str">
        <f>IF(getCategoryLevelAsString($B22)="L0D_324785","",IF(V22="",CONCATENATE(";",EscStr(CONCATENATE("NavNode_",getCategoryLevelAsString($B22))),";",EscStr($J22),";"),CONCATENATE(";",EscStr(CONCATENATE("NavNode_",getCategoryLevelAsString($B22))),";",EscStr(V22),";")))</f>
        <v>;"NavNode_L3D_525255";"Circuite de control";</v>
      </c>
      <c r="AP22" s="39" t="str">
        <f>IF(getCategoryLevelAsString($B22)="L0D_324785","",IF(W22="",CONCATENATE(";",EscStr(CONCATENATE("NavNode_",getCategoryLevelAsString($B22))),";",EscStr($J22),";"),CONCATENATE(";",EscStr(CONCATENATE("NavNode_",getCategoryLevelAsString($B22))),";",EscStr(W22),";")))</f>
        <v>;"NavNode_L3D_525255";"Vezérlő áramkörök";</v>
      </c>
      <c r="AQ22" s="39" t="str">
        <f>IF(getCategoryLevelAsString($B22)="L0D_324785","",IF(X22="",CONCATENATE(";",EscStr(CONCATENATE("NavNode_",getCategoryLevelAsString($B22))),";",EscStr($J22),";"),CONCATENATE(";",EscStr(CONCATENATE("NavNode_",getCategoryLevelAsString($B22))),";",EscStr(X22),";")))</f>
        <v>;"NavNode_L3D_525255";"Spúšťacie obvody";</v>
      </c>
      <c r="AR22" s="39" t="str">
        <f>IF(OR($A22&lt;&gt;"", $G22=""),"",CONCATENATE(";",EscStr(CONCATENATE("NavEntry_",getCategoryLevelAsString($B22))),";",EscStr(CONCATENATE($J22," Navigation Entry")),";",EscStr(CONCATENATE("cat-",getCategoryLevelAsString($B22))),";",EscStr(CONCATENATE("NavNode_",getCategoryLevelAsString($B22))),";"))</f>
        <v>;"NavEntry_L3D_525255";"Trigger Circuits Navigation Entry";"cat-L3D_525255";"NavNode_L3D_525255";</v>
      </c>
    </row>
    <row r="23" spans="1:44" s="34" customFormat="1" ht="15" x14ac:dyDescent="0.25">
      <c r="A23" s="25"/>
      <c r="B23" s="5"/>
      <c r="C23" s="5"/>
      <c r="D23" s="5" t="s">
        <v>5141</v>
      </c>
      <c r="E23" s="5"/>
      <c r="F23" s="5"/>
      <c r="G23" s="5" t="s">
        <v>5143</v>
      </c>
      <c r="H23" s="5" t="s">
        <v>13574</v>
      </c>
      <c r="I23" s="5" t="s">
        <v>13664</v>
      </c>
      <c r="J23" s="5" t="s">
        <v>5142</v>
      </c>
      <c r="K23" s="5" t="s">
        <v>13756</v>
      </c>
      <c r="L23" s="5" t="s">
        <v>15068</v>
      </c>
      <c r="M23" s="5" t="s">
        <v>13756</v>
      </c>
      <c r="N23" s="5" t="s">
        <v>13923</v>
      </c>
      <c r="O23" s="5" t="s">
        <v>14018</v>
      </c>
      <c r="P23" s="5" t="s">
        <v>14110</v>
      </c>
      <c r="Q23" s="5" t="s">
        <v>14196</v>
      </c>
      <c r="R23" s="5" t="s">
        <v>14282</v>
      </c>
      <c r="S23" s="5" t="s">
        <v>14369</v>
      </c>
      <c r="T23" s="5" t="s">
        <v>14458</v>
      </c>
      <c r="U23" s="5" t="s">
        <v>14547</v>
      </c>
      <c r="V23" s="5" t="s">
        <v>14635</v>
      </c>
      <c r="W23" s="5" t="s">
        <v>14720</v>
      </c>
      <c r="X23" s="5" t="s">
        <v>14547</v>
      </c>
      <c r="Y23" s="39" t="str">
        <f>IF(OR($A23&lt;&gt;"", $G23=""),"",CONCATENATE(";",EscStr(CONCATENATE("NavNode_",getCategoryLevelAsString($B23))),";",EscStr($J23),";",IF($B23&lt;&gt;"","""MainCategoryNavNode""",EscStr(CONCATENATE("NavNode_",getSuperCategory($B23, getCategoryLevelAsNumber($B23))))),";"))</f>
        <v>;"NavNode_L3D_525256";"Optoelectronic Drivers";"NavNode_L2-3D_525338";</v>
      </c>
      <c r="Z23" s="39" t="str">
        <f>IF(getCategoryLevelAsString($B23)="L0D_324785","",IF(G23="",CONCATENATE(";",EscStr(CONCATENATE("NavNode_",getCategoryLevelAsString($B23))),";",EscStr($J23),";"),CONCATENATE(";",EscStr(CONCATENATE("NavNode_",getCategoryLevelAsString($B23))),";",EscStr(G23),";")))</f>
        <v>;"NavNode_L3D_525256";"Opto-Ansteuerschaltungen";</v>
      </c>
      <c r="AA23" s="39" t="str">
        <f>IF(getCategoryLevelAsString($B23)="L0D_324785","",IF(H23="",CONCATENATE(";",EscStr(CONCATENATE("NavNode_",getCategoryLevelAsString($B23))),";",EscStr($J23),";"),CONCATENATE(";",EscStr(CONCATENATE("NavNode_",getCategoryLevelAsString($B23))),";",EscStr(H23),";")))</f>
        <v>;"NavNode_L3D_525256";"Circuit d'asservissement optique";</v>
      </c>
      <c r="AB23" s="39" t="str">
        <f>IF(getCategoryLevelAsString($B23)="L0D_324785","",IF(I23="",CONCATENATE(";",EscStr(CONCATENATE("NavNode_",getCategoryLevelAsString($B23))),";",EscStr($J23),";"),CONCATENATE(";",EscStr(CONCATENATE("NavNode_",getCategoryLevelAsString($B23))),";",EscStr(I23),";")))</f>
        <v>;"NavNode_L3D_525256";"Circuiti ottici di comando";</v>
      </c>
      <c r="AC23" s="39" t="str">
        <f>IF(getCategoryLevelAsString($B23)="L0D_324785","",IF(J23="",CONCATENATE(";",EscStr(CONCATENATE("NavNode_",getCategoryLevelAsString($B23))),";",EscStr($J23),";"),CONCATENATE(";",EscStr(CONCATENATE("NavNode_",getCategoryLevelAsString($B23))),";",EscStr(J23),";")))</f>
        <v>;"NavNode_L3D_525256";"Optoelectronic Drivers";</v>
      </c>
      <c r="AD23" s="39" t="str">
        <f>IF(getCategoryLevelAsString($B23)="L0D_324785","",IF(K23="",CONCATENATE(";",EscStr(CONCATENATE("NavNode_",getCategoryLevelAsString($B23))),";",EscStr($J23),";"),CONCATENATE(";",EscStr(CONCATENATE("NavNode_",getCategoryLevelAsString($B23))),";",EscStr(K23),";")))</f>
        <v>;"NavNode_L3D_525256";"Optoelektroniske drivere";</v>
      </c>
      <c r="AE23" s="39" t="str">
        <f>IF(getCategoryLevelAsString($B23)="L0D_324785","",IF(L23="",CONCATENATE(";",EscStr(CONCATENATE("NavNode_",getCategoryLevelAsString($B23))),";",EscStr($J23),";"),CONCATENATE(";",EscStr(CONCATENATE("NavNode_",getCategoryLevelAsString($B23))),";",EscStr(L23),";")))</f>
        <v>;"NavNode_L3D_525256";"Valdikliai, optoelektronika";</v>
      </c>
      <c r="AF23" s="39" t="str">
        <f>IF(getCategoryLevelAsString($B23)="L0D_324785","",IF(M23="",CONCATENATE(";",EscStr(CONCATENATE("NavNode_",getCategoryLevelAsString($B23))),";",EscStr($J23),";"),CONCATENATE(";",EscStr(CONCATENATE("NavNode_",getCategoryLevelAsString($B23))),";",EscStr(M23),";")))</f>
        <v>;"NavNode_L3D_525256";"Optoelektroniske drivere";</v>
      </c>
      <c r="AG23" s="39" t="str">
        <f>IF(getCategoryLevelAsString($B23)="L0D_324785","",IF(N23="",CONCATENATE(";",EscStr(CONCATENATE("NavNode_",getCategoryLevelAsString($B23))),";",EscStr($J23),";"),CONCATENATE(";",EscStr(CONCATENATE("NavNode_",getCategoryLevelAsString($B23))),";",EscStr(N23),";")))</f>
        <v>;"NavNode_L3D_525256";"Drivkretsar för optoelektronik";</v>
      </c>
      <c r="AH23" s="39" t="str">
        <f>IF(getCategoryLevelAsString($B23)="L0D_324785","",IF(O23="",CONCATENATE(";",EscStr(CONCATENATE("NavNode_",getCategoryLevelAsString($B23))),";",EscStr($J23),";"),CONCATENATE(";",EscStr(CONCATENATE("NavNode_",getCategoryLevelAsString($B23))),";",EscStr(O23),";")))</f>
        <v>;"NavNode_L3D_525256";"Optoelektroonika draiverid";</v>
      </c>
      <c r="AI23" s="39" t="str">
        <f>IF(getCategoryLevelAsString($B23)="L0D_324785","",IF(P23="",CONCATENATE(";",EscStr(CONCATENATE("NavNode_",getCategoryLevelAsString($B23))),";",EscStr($J23),";"),CONCATENATE(";",EscStr(CONCATENATE("NavNode_",getCategoryLevelAsString($B23))),";",EscStr(P23),";")))</f>
        <v>;"NavNode_L3D_525256";"Opto-ohjaimet";</v>
      </c>
      <c r="AJ23" s="39" t="str">
        <f>IF(getCategoryLevelAsString($B23)="L0D_324785","",IF(Q23="",CONCATENATE(";",EscStr(CONCATENATE("NavNode_",getCategoryLevelAsString($B23))),";",EscStr($J23),";"),CONCATENATE(";",EscStr(CONCATENATE("NavNode_",getCategoryLevelAsString($B23))),";",EscStr(Q23),";")))</f>
        <v>;"NavNode_L3D_525256";"Optoelektroniskie draiveri";</v>
      </c>
      <c r="AK23" s="39" t="str">
        <f>IF(getCategoryLevelAsString($B23)="L0D_324785","",IF(R23="",CONCATENATE(";",EscStr(CONCATENATE("NavNode_",getCategoryLevelAsString($B23))),";",EscStr($J23),";"),CONCATENATE(";",EscStr(CONCATENATE("NavNode_",getCategoryLevelAsString($B23))),";",EscStr(R23),";")))</f>
        <v>;"NavNode_L3D_525256";"Optocouplers";</v>
      </c>
      <c r="AL23" s="39" t="str">
        <f>IF(getCategoryLevelAsString($B23)="L0D_324785","",IF(S23="",CONCATENATE(";",EscStr(CONCATENATE("NavNode_",getCategoryLevelAsString($B23))),";",EscStr($J23),";"),CONCATENATE(";",EscStr(CONCATENATE("NavNode_",getCategoryLevelAsString($B23))),";",EscStr(S23),";")))</f>
        <v>;"NavNode_L3D_525256";"Optoelektroniczne układy sterowania";</v>
      </c>
      <c r="AM23" s="39" t="str">
        <f>IF(getCategoryLevelAsString($B23)="L0D_324785","",IF(T23="",CONCATENATE(";",EscStr(CONCATENATE("NavNode_",getCategoryLevelAsString($B23))),";",EscStr($J23),";"),CONCATENATE(";",EscStr(CONCATENATE("NavNode_",getCategoryLevelAsString($B23))),";",EscStr(T23),";")))</f>
        <v>;"NavNode_L3D_525256";"Оптоэлектронные драйверы ";</v>
      </c>
      <c r="AN23" s="39" t="str">
        <f>IF(getCategoryLevelAsString($B23)="L0D_324785","",IF(U23="",CONCATENATE(";",EscStr(CONCATENATE("NavNode_",getCategoryLevelAsString($B23))),";",EscStr($J23),";"),CONCATENATE(";",EscStr(CONCATENATE("NavNode_",getCategoryLevelAsString($B23))),";",EscStr(U23),";")))</f>
        <v>;"NavNode_L3D_525256";"Optoelektronické budiče";</v>
      </c>
      <c r="AO23" s="39" t="str">
        <f>IF(getCategoryLevelAsString($B23)="L0D_324785","",IF(V23="",CONCATENATE(";",EscStr(CONCATENATE("NavNode_",getCategoryLevelAsString($B23))),";",EscStr($J23),";"),CONCATENATE(";",EscStr(CONCATENATE("NavNode_",getCategoryLevelAsString($B23))),";",EscStr(V23),";")))</f>
        <v>;"NavNode_L3D_525256";"Circuite de optocontrol";</v>
      </c>
      <c r="AP23" s="39" t="str">
        <f>IF(getCategoryLevelAsString($B23)="L0D_324785","",IF(W23="",CONCATENATE(";",EscStr(CONCATENATE("NavNode_",getCategoryLevelAsString($B23))),";",EscStr($J23),";"),CONCATENATE(";",EscStr(CONCATENATE("NavNode_",getCategoryLevelAsString($B23))),";",EscStr(W23),";")))</f>
        <v>;"NavNode_L3D_525256";"Opto-vezérlő áramkörök";</v>
      </c>
      <c r="AQ23" s="39" t="str">
        <f>IF(getCategoryLevelAsString($B23)="L0D_324785","",IF(X23="",CONCATENATE(";",EscStr(CONCATENATE("NavNode_",getCategoryLevelAsString($B23))),";",EscStr($J23),";"),CONCATENATE(";",EscStr(CONCATENATE("NavNode_",getCategoryLevelAsString($B23))),";",EscStr(X23),";")))</f>
        <v>;"NavNode_L3D_525256";"Optoelektronické budiče";</v>
      </c>
      <c r="AR23" s="39" t="str">
        <f>IF(OR($A23&lt;&gt;"", $G23=""),"",CONCATENATE(";",EscStr(CONCATENATE("NavEntry_",getCategoryLevelAsString($B23))),";",EscStr(CONCATENATE($J23," Navigation Entry")),";",EscStr(CONCATENATE("cat-",getCategoryLevelAsString($B23))),";",EscStr(CONCATENATE("NavNode_",getCategoryLevelAsString($B23))),";"))</f>
        <v>;"NavEntry_L3D_525256";"Optoelectronic Drivers Navigation Entry";"cat-L3D_525256";"NavNode_L3D_525256";</v>
      </c>
    </row>
    <row r="24" spans="1:44" s="34" customFormat="1" ht="15" x14ac:dyDescent="0.25">
      <c r="A24" s="25"/>
      <c r="B24" s="5"/>
      <c r="C24" s="5"/>
      <c r="D24" s="5" t="s">
        <v>5161</v>
      </c>
      <c r="E24" s="5"/>
      <c r="F24" s="5"/>
      <c r="G24" s="5" t="s">
        <v>5163</v>
      </c>
      <c r="H24" s="5" t="s">
        <v>13575</v>
      </c>
      <c r="I24" s="5" t="s">
        <v>13665</v>
      </c>
      <c r="J24" s="40" t="s">
        <v>5242</v>
      </c>
      <c r="K24" s="5" t="s">
        <v>13757</v>
      </c>
      <c r="L24" s="5" t="s">
        <v>15069</v>
      </c>
      <c r="M24" s="5" t="s">
        <v>13858</v>
      </c>
      <c r="N24" s="5" t="s">
        <v>13924</v>
      </c>
      <c r="O24" s="5" t="s">
        <v>14019</v>
      </c>
      <c r="P24" s="5" t="s">
        <v>14111</v>
      </c>
      <c r="Q24" s="5" t="s">
        <v>14197</v>
      </c>
      <c r="R24" s="5" t="s">
        <v>5242</v>
      </c>
      <c r="S24" s="5" t="s">
        <v>14370</v>
      </c>
      <c r="T24" s="5" t="s">
        <v>14459</v>
      </c>
      <c r="U24" s="5" t="s">
        <v>14548</v>
      </c>
      <c r="V24" s="5" t="s">
        <v>14636</v>
      </c>
      <c r="W24" s="5" t="s">
        <v>14721</v>
      </c>
      <c r="X24" s="5" t="s">
        <v>14807</v>
      </c>
      <c r="Y24" s="39" t="str">
        <f>IF(OR($A24&lt;&gt;"", $G24=""),"",CONCATENATE(";",EscStr(CONCATENATE("NavNode_",getCategoryLevelAsString($B24))),";",EscStr($J24),";",IF($B24&lt;&gt;"","""MainCategoryNavNode""",EscStr(CONCATENATE("NavNode_",getSuperCategory($B24, getCategoryLevelAsNumber($B24))))),";"))</f>
        <v>;"NavNode_L3D_525257";"Power Management";"NavNode_L2-3D_525338";</v>
      </c>
      <c r="Z24" s="39" t="str">
        <f>IF(getCategoryLevelAsString($B24)="L0D_324785","",IF(G24="",CONCATENATE(";",EscStr(CONCATENATE("NavNode_",getCategoryLevelAsString($B24))),";",EscStr($J24),";"),CONCATENATE(";",EscStr(CONCATENATE("NavNode_",getCategoryLevelAsString($B24))),";",EscStr(G24),";")))</f>
        <v>;"NavNode_L3D_525257";"Energieverwaltung";</v>
      </c>
      <c r="AA24" s="39" t="str">
        <f>IF(getCategoryLevelAsString($B24)="L0D_324785","",IF(H24="",CONCATENATE(";",EscStr(CONCATENATE("NavNode_",getCategoryLevelAsString($B24))),";",EscStr($J24),";"),CONCATENATE(";",EscStr(CONCATENATE("NavNode_",getCategoryLevelAsString($B24))),";",EscStr(H24),";")))</f>
        <v>;"NavNode_L3D_525257";"Gestion de l'alimentation";</v>
      </c>
      <c r="AB24" s="39" t="str">
        <f>IF(getCategoryLevelAsString($B24)="L0D_324785","",IF(I24="",CONCATENATE(";",EscStr(CONCATENATE("NavNode_",getCategoryLevelAsString($B24))),";",EscStr($J24),";"),CONCATENATE(";",EscStr(CONCATENATE("NavNode_",getCategoryLevelAsString($B24))),";",EscStr(I24),";")))</f>
        <v>;"NavNode_L3D_525257";"Gestione alimentazione";</v>
      </c>
      <c r="AC24" s="39" t="str">
        <f>IF(getCategoryLevelAsString($B24)="L0D_324785","",IF(J24="",CONCATENATE(";",EscStr(CONCATENATE("NavNode_",getCategoryLevelAsString($B24))),";",EscStr($J24),";"),CONCATENATE(";",EscStr(CONCATENATE("NavNode_",getCategoryLevelAsString($B24))),";",EscStr(J24),";")))</f>
        <v>;"NavNode_L3D_525257";"Power Management";</v>
      </c>
      <c r="AD24" s="39" t="str">
        <f>IF(getCategoryLevelAsString($B24)="L0D_324785","",IF(K24="",CONCATENATE(";",EscStr(CONCATENATE("NavNode_",getCategoryLevelAsString($B24))),";",EscStr($J24),";"),CONCATENATE(";",EscStr(CONCATENATE("NavNode_",getCategoryLevelAsString($B24))),";",EscStr(K24),";")))</f>
        <v>;"NavNode_L3D_525257";"Effektstyring";</v>
      </c>
      <c r="AE24" s="39" t="str">
        <f>IF(getCategoryLevelAsString($B24)="L0D_324785","",IF(L24="",CONCATENATE(";",EscStr(CONCATENATE("NavNode_",getCategoryLevelAsString($B24))),";",EscStr($J24),";"),CONCATENATE(";",EscStr(CONCATENATE("NavNode_",getCategoryLevelAsString($B24))),";",EscStr(L24),";")))</f>
        <v>;"NavNode_L3D_525257";"Maitinimo valdymas";</v>
      </c>
      <c r="AF24" s="39" t="str">
        <f>IF(getCategoryLevelAsString($B24)="L0D_324785","",IF(M24="",CONCATENATE(";",EscStr(CONCATENATE("NavNode_",getCategoryLevelAsString($B24))),";",EscStr($J24),";"),CONCATENATE(";",EscStr(CONCATENATE("NavNode_",getCategoryLevelAsString($B24))),";",EscStr(M24),";")))</f>
        <v>;"NavNode_L3D_525257";"Strømstyring";</v>
      </c>
      <c r="AG24" s="39" t="str">
        <f>IF(getCategoryLevelAsString($B24)="L0D_324785","",IF(N24="",CONCATENATE(";",EscStr(CONCATENATE("NavNode_",getCategoryLevelAsString($B24))),";",EscStr($J24),";"),CONCATENATE(";",EscStr(CONCATENATE("NavNode_",getCategoryLevelAsString($B24))),";",EscStr(N24),";")))</f>
        <v>;"NavNode_L3D_525257";"Ström och effekthantering";</v>
      </c>
      <c r="AH24" s="39" t="str">
        <f>IF(getCategoryLevelAsString($B24)="L0D_324785","",IF(O24="",CONCATENATE(";",EscStr(CONCATENATE("NavNode_",getCategoryLevelAsString($B24))),";",EscStr($J24),";"),CONCATENATE(";",EscStr(CONCATENATE("NavNode_",getCategoryLevelAsString($B24))),";",EscStr(O24),";")))</f>
        <v>;"NavNode_L3D_525257";"Energiahaldus";</v>
      </c>
      <c r="AI24" s="39" t="str">
        <f>IF(getCategoryLevelAsString($B24)="L0D_324785","",IF(P24="",CONCATENATE(";",EscStr(CONCATENATE("NavNode_",getCategoryLevelAsString($B24))),";",EscStr($J24),";"),CONCATENATE(";",EscStr(CONCATENATE("NavNode_",getCategoryLevelAsString($B24))),";",EscStr(P24),";")))</f>
        <v>;"NavNode_L3D_525257";"Tehonvalvonta";</v>
      </c>
      <c r="AJ24" s="39" t="str">
        <f>IF(getCategoryLevelAsString($B24)="L0D_324785","",IF(Q24="",CONCATENATE(";",EscStr(CONCATENATE("NavNode_",getCategoryLevelAsString($B24))),";",EscStr($J24),";"),CONCATENATE(";",EscStr(CONCATENATE("NavNode_",getCategoryLevelAsString($B24))),";",EscStr(Q24),";")))</f>
        <v>;"NavNode_L3D_525257";"Barošanas pārvaldīšana";</v>
      </c>
      <c r="AK24" s="39" t="str">
        <f>IF(getCategoryLevelAsString($B24)="L0D_324785","",IF(R24="",CONCATENATE(";",EscStr(CONCATENATE("NavNode_",getCategoryLevelAsString($B24))),";",EscStr($J24),";"),CONCATENATE(";",EscStr(CONCATENATE("NavNode_",getCategoryLevelAsString($B24))),";",EscStr(R24),";")))</f>
        <v>;"NavNode_L3D_525257";"Power Management";</v>
      </c>
      <c r="AL24" s="39" t="str">
        <f>IF(getCategoryLevelAsString($B24)="L0D_324785","",IF(S24="",CONCATENATE(";",EscStr(CONCATENATE("NavNode_",getCategoryLevelAsString($B24))),";",EscStr($J24),";"),CONCATENATE(";",EscStr(CONCATENATE("NavNode_",getCategoryLevelAsString($B24))),";",EscStr(S24),";")))</f>
        <v>;"NavNode_L3D_525257";"Sterowanie zasilaniem";</v>
      </c>
      <c r="AM24" s="39" t="str">
        <f>IF(getCategoryLevelAsString($B24)="L0D_324785","",IF(T24="",CONCATENATE(";",EscStr(CONCATENATE("NavNode_",getCategoryLevelAsString($B24))),";",EscStr($J24),";"),CONCATENATE(";",EscStr(CONCATENATE("NavNode_",getCategoryLevelAsString($B24))),";",EscStr(T24),";")))</f>
        <v>;"NavNode_L3D_525257";"Силовое управление";</v>
      </c>
      <c r="AN24" s="39" t="str">
        <f>IF(getCategoryLevelAsString($B24)="L0D_324785","",IF(U24="",CONCATENATE(";",EscStr(CONCATENATE("NavNode_",getCategoryLevelAsString($B24))),";",EscStr($J24),";"),CONCATENATE(";",EscStr(CONCATENATE("NavNode_",getCategoryLevelAsString($B24))),";",EscStr(U24),";")))</f>
        <v>;"NavNode_L3D_525257";"Integrované obvody pro nabíjení akumulátorů";</v>
      </c>
      <c r="AO24" s="39" t="str">
        <f>IF(getCategoryLevelAsString($B24)="L0D_324785","",IF(V24="",CONCATENATE(";",EscStr(CONCATENATE("NavNode_",getCategoryLevelAsString($B24))),";",EscStr($J24),";"),CONCATENATE(";",EscStr(CONCATENATE("NavNode_",getCategoryLevelAsString($B24))),";",EscStr(V24),";")))</f>
        <v>;"NavNode_L3D_525257";"Management energetic";</v>
      </c>
      <c r="AP24" s="39" t="str">
        <f>IF(getCategoryLevelAsString($B24)="L0D_324785","",IF(W24="",CONCATENATE(";",EscStr(CONCATENATE("NavNode_",getCategoryLevelAsString($B24))),";",EscStr($J24),";"),CONCATENATE(";",EscStr(CONCATENATE("NavNode_",getCategoryLevelAsString($B24))),";",EscStr(W24),";")))</f>
        <v>;"NavNode_L3D_525257";"Energiagazdálkodás";</v>
      </c>
      <c r="AQ24" s="39" t="str">
        <f>IF(getCategoryLevelAsString($B24)="L0D_324785","",IF(X24="",CONCATENATE(";",EscStr(CONCATENATE("NavNode_",getCategoryLevelAsString($B24))),";",EscStr($J24),";"),CONCATENATE(";",EscStr(CONCATENATE("NavNode_",getCategoryLevelAsString($B24))),";",EscStr(X24),";")))</f>
        <v>;"NavNode_L3D_525257";"Integrované obvody pre nabíjanie akumulátorov";</v>
      </c>
      <c r="AR24" s="39" t="str">
        <f>IF(OR($A24&lt;&gt;"", $G24=""),"",CONCATENATE(";",EscStr(CONCATENATE("NavEntry_",getCategoryLevelAsString($B24))),";",EscStr(CONCATENATE($J24," Navigation Entry")),";",EscStr(CONCATENATE("cat-",getCategoryLevelAsString($B24))),";",EscStr(CONCATENATE("NavNode_",getCategoryLevelAsString($B24))),";"))</f>
        <v>;"NavEntry_L3D_525257";"Power Management Navigation Entry";"cat-L3D_525257";"NavNode_L3D_525257";</v>
      </c>
    </row>
    <row r="25" spans="1:44" s="34" customFormat="1" ht="15" x14ac:dyDescent="0.25">
      <c r="A25" s="25"/>
      <c r="B25" s="5"/>
      <c r="C25" s="5"/>
      <c r="D25" s="5" t="s">
        <v>5224</v>
      </c>
      <c r="E25" s="5"/>
      <c r="F25" s="5"/>
      <c r="G25" s="5" t="s">
        <v>5226</v>
      </c>
      <c r="H25" s="5" t="s">
        <v>13576</v>
      </c>
      <c r="I25" s="5" t="s">
        <v>13666</v>
      </c>
      <c r="J25" s="5" t="s">
        <v>5225</v>
      </c>
      <c r="K25" s="5" t="s">
        <v>13758</v>
      </c>
      <c r="L25" s="5" t="s">
        <v>15070</v>
      </c>
      <c r="M25" s="5" t="s">
        <v>13859</v>
      </c>
      <c r="N25" s="5" t="s">
        <v>13925</v>
      </c>
      <c r="O25" s="5" t="s">
        <v>14020</v>
      </c>
      <c r="P25" s="5" t="s">
        <v>14112</v>
      </c>
      <c r="Q25" s="5" t="s">
        <v>14198</v>
      </c>
      <c r="R25" s="5" t="s">
        <v>14283</v>
      </c>
      <c r="S25" s="5" t="s">
        <v>14371</v>
      </c>
      <c r="T25" s="5" t="s">
        <v>14460</v>
      </c>
      <c r="U25" s="5" t="s">
        <v>14549</v>
      </c>
      <c r="V25" s="5" t="s">
        <v>14637</v>
      </c>
      <c r="W25" s="5" t="s">
        <v>14722</v>
      </c>
      <c r="X25" s="5" t="s">
        <v>14808</v>
      </c>
      <c r="Y25" s="39" t="str">
        <f>IF(OR($A25&lt;&gt;"", $G25=""),"",CONCATENATE(";",EscStr(CONCATENATE("NavNode_",getCategoryLevelAsString($B25))),";",EscStr($J25),";",IF($B25&lt;&gt;"","""MainCategoryNavNode""",EscStr(CONCATENATE("NavNode_",getSuperCategory($B25, getCategoryLevelAsNumber($B25))))),";"))</f>
        <v>;"NavNode_L3D_525265";"HF Circuits";"NavNode_L2-3D_525338";</v>
      </c>
      <c r="Z25" s="39" t="str">
        <f>IF(getCategoryLevelAsString($B25)="L0D_324785","",IF(G25="",CONCATENATE(";",EscStr(CONCATENATE("NavNode_",getCategoryLevelAsString($B25))),";",EscStr($J25),";"),CONCATENATE(";",EscStr(CONCATENATE("NavNode_",getCategoryLevelAsString($B25))),";",EscStr(G25),";")))</f>
        <v>;"NavNode_L3D_525265";"HF-Schaltungen";</v>
      </c>
      <c r="AA25" s="39" t="str">
        <f>IF(getCategoryLevelAsString($B25)="L0D_324785","",IF(H25="",CONCATENATE(";",EscStr(CONCATENATE("NavNode_",getCategoryLevelAsString($B25))),";",EscStr($J25),";"),CONCATENATE(";",EscStr(CONCATENATE("NavNode_",getCategoryLevelAsString($B25))),";",EscStr(H25),";")))</f>
        <v>;"NavNode_L3D_525265";"Circuits HF";</v>
      </c>
      <c r="AB25" s="39" t="str">
        <f>IF(getCategoryLevelAsString($B25)="L0D_324785","",IF(I25="",CONCATENATE(";",EscStr(CONCATENATE("NavNode_",getCategoryLevelAsString($B25))),";",EscStr($J25),";"),CONCATENATE(";",EscStr(CONCATENATE("NavNode_",getCategoryLevelAsString($B25))),";",EscStr(I25),";")))</f>
        <v>;"NavNode_L3D_525265";"Circuiti HF";</v>
      </c>
      <c r="AC25" s="39" t="str">
        <f>IF(getCategoryLevelAsString($B25)="L0D_324785","",IF(J25="",CONCATENATE(";",EscStr(CONCATENATE("NavNode_",getCategoryLevelAsString($B25))),";",EscStr($J25),";"),CONCATENATE(";",EscStr(CONCATENATE("NavNode_",getCategoryLevelAsString($B25))),";",EscStr(J25),";")))</f>
        <v>;"NavNode_L3D_525265";"HF Circuits";</v>
      </c>
      <c r="AD25" s="39" t="str">
        <f>IF(getCategoryLevelAsString($B25)="L0D_324785","",IF(K25="",CONCATENATE(";",EscStr(CONCATENATE("NavNode_",getCategoryLevelAsString($B25))),";",EscStr($J25),";"),CONCATENATE(";",EscStr(CONCATENATE("NavNode_",getCategoryLevelAsString($B25))),";",EscStr(K25),";")))</f>
        <v>;"NavNode_L3D_525265";"HF-strømkredse";</v>
      </c>
      <c r="AE25" s="39" t="str">
        <f>IF(getCategoryLevelAsString($B25)="L0D_324785","",IF(L25="",CONCATENATE(";",EscStr(CONCATENATE("NavNode_",getCategoryLevelAsString($B25))),";",EscStr($J25),";"),CONCATENATE(";",EscStr(CONCATENATE("NavNode_",getCategoryLevelAsString($B25))),";",EscStr(L25),";")))</f>
        <v>;"NavNode_L3D_525265";"HF grandinės";</v>
      </c>
      <c r="AF25" s="39" t="str">
        <f>IF(getCategoryLevelAsString($B25)="L0D_324785","",IF(M25="",CONCATENATE(";",EscStr(CONCATENATE("NavNode_",getCategoryLevelAsString($B25))),";",EscStr($J25),";"),CONCATENATE(";",EscStr(CONCATENATE("NavNode_",getCategoryLevelAsString($B25))),";",EscStr(M25),";")))</f>
        <v>;"NavNode_L3D_525265";"HF-kretser";</v>
      </c>
      <c r="AG25" s="39" t="str">
        <f>IF(getCategoryLevelAsString($B25)="L0D_324785","",IF(N25="",CONCATENATE(";",EscStr(CONCATENATE("NavNode_",getCategoryLevelAsString($B25))),";",EscStr($J25),";"),CONCATENATE(";",EscStr(CONCATENATE("NavNode_",getCategoryLevelAsString($B25))),";",EscStr(N25),";")))</f>
        <v>;"NavNode_L3D_525265";"HF-kretsar";</v>
      </c>
      <c r="AH25" s="39" t="str">
        <f>IF(getCategoryLevelAsString($B25)="L0D_324785","",IF(O25="",CONCATENATE(";",EscStr(CONCATENATE("NavNode_",getCategoryLevelAsString($B25))),";",EscStr($J25),";"),CONCATENATE(";",EscStr(CONCATENATE("NavNode_",getCategoryLevelAsString($B25))),";",EscStr(O25),";")))</f>
        <v>;"NavNode_L3D_525265";"HF ahelad";</v>
      </c>
      <c r="AI25" s="39" t="str">
        <f>IF(getCategoryLevelAsString($B25)="L0D_324785","",IF(P25="",CONCATENATE(";",EscStr(CONCATENATE("NavNode_",getCategoryLevelAsString($B25))),";",EscStr($J25),";"),CONCATENATE(";",EscStr(CONCATENATE("NavNode_",getCategoryLevelAsString($B25))),";",EscStr(P25),";")))</f>
        <v>;"NavNode_L3D_525265";"Korkeataajuuspiirit";</v>
      </c>
      <c r="AJ25" s="39" t="str">
        <f>IF(getCategoryLevelAsString($B25)="L0D_324785","",IF(Q25="",CONCATENATE(";",EscStr(CONCATENATE("NavNode_",getCategoryLevelAsString($B25))),";",EscStr($J25),";"),CONCATENATE(";",EscStr(CONCATENATE("NavNode_",getCategoryLevelAsString($B25))),";",EscStr(Q25),";")))</f>
        <v>;"NavNode_L3D_525265";"Augstfrekvences mikroshēmas";</v>
      </c>
      <c r="AK25" s="39" t="str">
        <f>IF(getCategoryLevelAsString($B25)="L0D_324785","",IF(R25="",CONCATENATE(";",EscStr(CONCATENATE("NavNode_",getCategoryLevelAsString($B25))),";",EscStr($J25),";"),CONCATENATE(";",EscStr(CONCATENATE("NavNode_",getCategoryLevelAsString($B25))),";",EscStr(R25),";")))</f>
        <v>;"NavNode_L3D_525265";"HF componenten";</v>
      </c>
      <c r="AL25" s="39" t="str">
        <f>IF(getCategoryLevelAsString($B25)="L0D_324785","",IF(S25="",CONCATENATE(";",EscStr(CONCATENATE("NavNode_",getCategoryLevelAsString($B25))),";",EscStr($J25),";"),CONCATENATE(";",EscStr(CONCATENATE("NavNode_",getCategoryLevelAsString($B25))),";",EscStr(S25),";")))</f>
        <v>;"NavNode_L3D_525265";"Układy wysokiej częstotliwości";</v>
      </c>
      <c r="AM25" s="39" t="str">
        <f>IF(getCategoryLevelAsString($B25)="L0D_324785","",IF(T25="",CONCATENATE(";",EscStr(CONCATENATE("NavNode_",getCategoryLevelAsString($B25))),";",EscStr($J25),";"),CONCATENATE(";",EscStr(CONCATENATE("NavNode_",getCategoryLevelAsString($B25))),";",EscStr(T25),";")))</f>
        <v>;"NavNode_L3D_525265";"ВЧ микросхемы";</v>
      </c>
      <c r="AN25" s="39" t="str">
        <f>IF(getCategoryLevelAsString($B25)="L0D_324785","",IF(U25="",CONCATENATE(";",EscStr(CONCATENATE("NavNode_",getCategoryLevelAsString($B25))),";",EscStr($J25),";"),CONCATENATE(";",EscStr(CONCATENATE("NavNode_",getCategoryLevelAsString($B25))),";",EscStr(U25),";")))</f>
        <v>;"NavNode_L3D_525265";"Vysokofrekvenční obvody";</v>
      </c>
      <c r="AO25" s="39" t="str">
        <f>IF(getCategoryLevelAsString($B25)="L0D_324785","",IF(V25="",CONCATENATE(";",EscStr(CONCATENATE("NavNode_",getCategoryLevelAsString($B25))),";",EscStr($J25),";"),CONCATENATE(";",EscStr(CONCATENATE("NavNode_",getCategoryLevelAsString($B25))),";",EscStr(V25),";")))</f>
        <v>;"NavNode_L3D_525265";"Circuite RF";</v>
      </c>
      <c r="AP25" s="39" t="str">
        <f>IF(getCategoryLevelAsString($B25)="L0D_324785","",IF(W25="",CONCATENATE(";",EscStr(CONCATENATE("NavNode_",getCategoryLevelAsString($B25))),";",EscStr($J25),";"),CONCATENATE(";",EscStr(CONCATENATE("NavNode_",getCategoryLevelAsString($B25))),";",EscStr(W25),";")))</f>
        <v>;"NavNode_L3D_525265";"RF áramkörök";</v>
      </c>
      <c r="AQ25" s="39" t="str">
        <f>IF(getCategoryLevelAsString($B25)="L0D_324785","",IF(X25="",CONCATENATE(";",EscStr(CONCATENATE("NavNode_",getCategoryLevelAsString($B25))),";",EscStr($J25),";"),CONCATENATE(";",EscStr(CONCATENATE("NavNode_",getCategoryLevelAsString($B25))),";",EscStr(X25),";")))</f>
        <v>;"NavNode_L3D_525265";"vysokofrekvenčné obvody";</v>
      </c>
      <c r="AR25" s="39" t="str">
        <f>IF(OR($A25&lt;&gt;"", $G25=""),"",CONCATENATE(";",EscStr(CONCATENATE("NavEntry_",getCategoryLevelAsString($B25))),";",EscStr(CONCATENATE($J25," Navigation Entry")),";",EscStr(CONCATENATE("cat-",getCategoryLevelAsString($B25))),";",EscStr(CONCATENATE("NavNode_",getCategoryLevelAsString($B25))),";"))</f>
        <v>;"NavEntry_L3D_525265";"HF Circuits Navigation Entry";"cat-L3D_525265";"NavNode_L3D_525265";</v>
      </c>
    </row>
    <row r="26" spans="1:44" s="34" customFormat="1" ht="15" x14ac:dyDescent="0.25">
      <c r="A26" s="25"/>
      <c r="B26" s="5"/>
      <c r="C26" s="5" t="s">
        <v>131</v>
      </c>
      <c r="D26" s="5"/>
      <c r="E26" s="5"/>
      <c r="F26" s="5"/>
      <c r="G26" s="5" t="s">
        <v>943</v>
      </c>
      <c r="H26" s="5" t="s">
        <v>739</v>
      </c>
      <c r="I26" s="5" t="s">
        <v>643</v>
      </c>
      <c r="J26" s="5" t="s">
        <v>372</v>
      </c>
      <c r="K26" s="5" t="s">
        <v>1207</v>
      </c>
      <c r="L26" s="5" t="s">
        <v>1440</v>
      </c>
      <c r="M26" s="5" t="s">
        <v>1676</v>
      </c>
      <c r="N26" s="5" t="s">
        <v>1879</v>
      </c>
      <c r="O26" s="5" t="s">
        <v>2451</v>
      </c>
      <c r="P26" s="5" t="s">
        <v>2452</v>
      </c>
      <c r="Q26" s="5" t="s">
        <v>2453</v>
      </c>
      <c r="R26" s="5" t="s">
        <v>2454</v>
      </c>
      <c r="S26" s="5" t="s">
        <v>2455</v>
      </c>
      <c r="T26" s="5" t="s">
        <v>2456</v>
      </c>
      <c r="U26" s="5" t="s">
        <v>2457</v>
      </c>
      <c r="V26" s="5" t="s">
        <v>2458</v>
      </c>
      <c r="W26" s="5" t="s">
        <v>2459</v>
      </c>
      <c r="X26" s="5" t="s">
        <v>14809</v>
      </c>
      <c r="Y26" s="39" t="str">
        <f>IF(OR($A26&lt;&gt;"", $G26=""),"",CONCATENATE(";",EscStr(CONCATENATE("NavNode_",getCategoryLevelAsString($B26))),";",EscStr($J26),";",IF($B26&lt;&gt;"","""MainCategoryNavNode""",EscStr(CONCATENATE("NavNode_",getSuperCategory($B26, getCategoryLevelAsNumber($B26))))),";"))</f>
        <v>;"NavNode_L2-3D_525339";"Digital Circuits / Development Tools";"NavNode_Active Components";</v>
      </c>
      <c r="Z26" s="39" t="str">
        <f>IF(getCategoryLevelAsString($B26)="L0D_324785","",IF(G26="",CONCATENATE(";",EscStr(CONCATENATE("NavNode_",getCategoryLevelAsString($B26))),";",EscStr($J26),";"),CONCATENATE(";",EscStr(CONCATENATE("NavNode_",getCategoryLevelAsString($B26))),";",EscStr(G26),";")))</f>
        <v>;"NavNode_L2-3D_525339";"Digitale Schaltungen/Entwicklungswerkzeuge";</v>
      </c>
      <c r="AA26" s="39" t="str">
        <f>IF(getCategoryLevelAsString($B26)="L0D_324785","",IF(H26="",CONCATENATE(";",EscStr(CONCATENATE("NavNode_",getCategoryLevelAsString($B26))),";",EscStr($J26),";"),CONCATENATE(";",EscStr(CONCATENATE("NavNode_",getCategoryLevelAsString($B26))),";",EscStr(H26),";")))</f>
        <v>;"NavNode_L2-3D_525339";"Circuits numériques / Outils de développement";</v>
      </c>
      <c r="AB26" s="39" t="str">
        <f>IF(getCategoryLevelAsString($B26)="L0D_324785","",IF(I26="",CONCATENATE(";",EscStr(CONCATENATE("NavNode_",getCategoryLevelAsString($B26))),";",EscStr($J26),";"),CONCATENATE(";",EscStr(CONCATENATE("NavNode_",getCategoryLevelAsString($B26))),";",EscStr(I26),";")))</f>
        <v>;"NavNode_L2-3D_525339";"Circuiti digitali / Tool di sviluppo";</v>
      </c>
      <c r="AC26" s="39" t="str">
        <f>IF(getCategoryLevelAsString($B26)="L0D_324785","",IF(J26="",CONCATENATE(";",EscStr(CONCATENATE("NavNode_",getCategoryLevelAsString($B26))),";",EscStr($J26),";"),CONCATENATE(";",EscStr(CONCATENATE("NavNode_",getCategoryLevelAsString($B26))),";",EscStr(J26),";")))</f>
        <v>;"NavNode_L2-3D_525339";"Digital Circuits / Development Tools";</v>
      </c>
      <c r="AD26" s="39" t="str">
        <f>IF(getCategoryLevelAsString($B26)="L0D_324785","",IF(K26="",CONCATENATE(";",EscStr(CONCATENATE("NavNode_",getCategoryLevelAsString($B26))),";",EscStr($J26),";"),CONCATENATE(";",EscStr(CONCATENATE("NavNode_",getCategoryLevelAsString($B26))),";",EscStr(K26),";")))</f>
        <v>;"NavNode_L2-3D_525339";"Digitale strømkredse/udviklingsværktøj";</v>
      </c>
      <c r="AE26" s="39" t="str">
        <f>IF(getCategoryLevelAsString($B26)="L0D_324785","",IF(L26="",CONCATENATE(";",EscStr(CONCATENATE("NavNode_",getCategoryLevelAsString($B26))),";",EscStr($J26),";"),CONCATENATE(";",EscStr(CONCATENATE("NavNode_",getCategoryLevelAsString($B26))),";",EscStr(L26),";")))</f>
        <v>;"NavNode_L2-3D_525339";"Skaitmeninės grandinės / programavimo įrankiai";</v>
      </c>
      <c r="AF26" s="39" t="str">
        <f>IF(getCategoryLevelAsString($B26)="L0D_324785","",IF(M26="",CONCATENATE(";",EscStr(CONCATENATE("NavNode_",getCategoryLevelAsString($B26))),";",EscStr($J26),";"),CONCATENATE(";",EscStr(CONCATENATE("NavNode_",getCategoryLevelAsString($B26))),";",EscStr(M26),";")))</f>
        <v>;"NavNode_L2-3D_525339";"Digitale kretser / utviklingsverktøy";</v>
      </c>
      <c r="AG26" s="39" t="str">
        <f>IF(getCategoryLevelAsString($B26)="L0D_324785","",IF(N26="",CONCATENATE(";",EscStr(CONCATENATE("NavNode_",getCategoryLevelAsString($B26))),";",EscStr($J26),";"),CONCATENATE(";",EscStr(CONCATENATE("NavNode_",getCategoryLevelAsString($B26))),";",EscStr(N26),";")))</f>
        <v>;"NavNode_L2-3D_525339";"Digitala kretsar/Utvecklingsverktyg";</v>
      </c>
      <c r="AH26" s="39" t="str">
        <f>IF(getCategoryLevelAsString($B26)="L0D_324785","",IF(O26="",CONCATENATE(";",EscStr(CONCATENATE("NavNode_",getCategoryLevelAsString($B26))),";",EscStr($J26),";"),CONCATENATE(";",EscStr(CONCATENATE("NavNode_",getCategoryLevelAsString($B26))),";",EscStr(O26),";")))</f>
        <v>;"NavNode_L2-3D_525339";"Digitaalahelad / Arendusvahendid";</v>
      </c>
      <c r="AI26" s="39" t="str">
        <f>IF(getCategoryLevelAsString($B26)="L0D_324785","",IF(P26="",CONCATENATE(";",EscStr(CONCATENATE("NavNode_",getCategoryLevelAsString($B26))),";",EscStr($J26),";"),CONCATENATE(";",EscStr(CONCATENATE("NavNode_",getCategoryLevelAsString($B26))),";",EscStr(P26),";")))</f>
        <v>;"NavNode_L2-3D_525339";"Digitaliset piirit/Kehitystyökalut";</v>
      </c>
      <c r="AJ26" s="39" t="str">
        <f>IF(getCategoryLevelAsString($B26)="L0D_324785","",IF(Q26="",CONCATENATE(";",EscStr(CONCATENATE("NavNode_",getCategoryLevelAsString($B26))),";",EscStr($J26),";"),CONCATENATE(";",EscStr(CONCATENATE("NavNode_",getCategoryLevelAsString($B26))),";",EscStr(Q26),";")))</f>
        <v>;"NavNode_L2-3D_525339";"Digitālās mikroshēmas / Izstrādes rīki";</v>
      </c>
      <c r="AK26" s="39" t="str">
        <f>IF(getCategoryLevelAsString($B26)="L0D_324785","",IF(R26="",CONCATENATE(";",EscStr(CONCATENATE("NavNode_",getCategoryLevelAsString($B26))),";",EscStr($J26),";"),CONCATENATE(";",EscStr(CONCATENATE("NavNode_",getCategoryLevelAsString($B26))),";",EscStr(R26),";")))</f>
        <v>;"NavNode_L2-3D_525339";"Digitale ICs / Ontwikkelkits";</v>
      </c>
      <c r="AL26" s="39" t="str">
        <f>IF(getCategoryLevelAsString($B26)="L0D_324785","",IF(S26="",CONCATENATE(";",EscStr(CONCATENATE("NavNode_",getCategoryLevelAsString($B26))),";",EscStr($J26),";"),CONCATENATE(";",EscStr(CONCATENATE("NavNode_",getCategoryLevelAsString($B26))),";",EscStr(S26),";")))</f>
        <v>;"NavNode_L2-3D_525339";"Układy cyfrowe / Narzędzia do prac rozwojowych";</v>
      </c>
      <c r="AM26" s="39" t="str">
        <f>IF(getCategoryLevelAsString($B26)="L0D_324785","",IF(T26="",CONCATENATE(";",EscStr(CONCATENATE("NavNode_",getCategoryLevelAsString($B26))),";",EscStr($J26),";"),CONCATENATE(";",EscStr(CONCATENATE("NavNode_",getCategoryLevelAsString($B26))),";",EscStr(T26),";")))</f>
        <v>;"NavNode_L2-3D_525339";"Цифровая микросхема  / Средства для разработки";</v>
      </c>
      <c r="AN26" s="39" t="str">
        <f>IF(getCategoryLevelAsString($B26)="L0D_324785","",IF(U26="",CONCATENATE(";",EscStr(CONCATENATE("NavNode_",getCategoryLevelAsString($B26))),";",EscStr($J26),";"),CONCATENATE(";",EscStr(CONCATENATE("NavNode_",getCategoryLevelAsString($B26))),";",EscStr(U26),";")))</f>
        <v>;"NavNode_L2-3D_525339";"Digitální obvody / Vývojové nástroje";</v>
      </c>
      <c r="AO26" s="39" t="str">
        <f>IF(getCategoryLevelAsString($B26)="L0D_324785","",IF(V26="",CONCATENATE(";",EscStr(CONCATENATE("NavNode_",getCategoryLevelAsString($B26))),";",EscStr($J26),";"),CONCATENATE(";",EscStr(CONCATENATE("NavNode_",getCategoryLevelAsString($B26))),";",EscStr(V26),";")))</f>
        <v>;"NavNode_L2-3D_525339";"Circuite digitale / Instrumente de dezvoltare";</v>
      </c>
      <c r="AP26" s="39" t="str">
        <f>IF(getCategoryLevelAsString($B26)="L0D_324785","",IF(W26="",CONCATENATE(";",EscStr(CONCATENATE("NavNode_",getCategoryLevelAsString($B26))),";",EscStr($J26),";"),CONCATENATE(";",EscStr(CONCATENATE("NavNode_",getCategoryLevelAsString($B26))),";",EscStr(W26),";")))</f>
        <v>;"NavNode_L2-3D_525339";"Digitális áramkörök/fejlesztőeszközök";</v>
      </c>
      <c r="AQ26" s="39" t="str">
        <f>IF(getCategoryLevelAsString($B26)="L0D_324785","",IF(X26="",CONCATENATE(";",EscStr(CONCATENATE("NavNode_",getCategoryLevelAsString($B26))),";",EscStr($J26),";"),CONCATENATE(";",EscStr(CONCATENATE("NavNode_",getCategoryLevelAsString($B26))),";",EscStr(X26),";")))</f>
        <v>;"NavNode_L2-3D_525339";"Digitálne obvody / Vývojové nástroje";</v>
      </c>
      <c r="AR26" s="39" t="str">
        <f>IF(OR($A26&lt;&gt;"", $G26=""),"",CONCATENATE(";",EscStr(CONCATENATE("NavEntry_",getCategoryLevelAsString($B26))),";",EscStr(CONCATENATE($J26," Navigation Entry")),";",EscStr(CONCATENATE("cat-",getCategoryLevelAsString($B26))),";",EscStr(CONCATENATE("NavNode_",getCategoryLevelAsString($B26))),";"))</f>
        <v>;"NavEntry_L2-3D_525339";"Digital Circuits / Development Tools Navigation Entry";"cat-L2-3D_525339";"NavNode_L2-3D_525339";</v>
      </c>
    </row>
    <row r="27" spans="1:44" s="34" customFormat="1" ht="15" x14ac:dyDescent="0.25">
      <c r="A27" s="25"/>
      <c r="B27" s="5"/>
      <c r="C27" s="5"/>
      <c r="D27" s="5" t="s">
        <v>5298</v>
      </c>
      <c r="E27" s="5"/>
      <c r="F27" s="5"/>
      <c r="G27" s="5" t="s">
        <v>5300</v>
      </c>
      <c r="H27" s="5" t="s">
        <v>13577</v>
      </c>
      <c r="I27" s="5" t="s">
        <v>13667</v>
      </c>
      <c r="J27" s="5" t="s">
        <v>5299</v>
      </c>
      <c r="K27" s="5" t="s">
        <v>13759</v>
      </c>
      <c r="L27" s="5" t="s">
        <v>15071</v>
      </c>
      <c r="M27" s="5" t="s">
        <v>13860</v>
      </c>
      <c r="N27" s="5" t="s">
        <v>13926</v>
      </c>
      <c r="O27" s="5" t="s">
        <v>14021</v>
      </c>
      <c r="P27" s="5" t="s">
        <v>14113</v>
      </c>
      <c r="Q27" s="5" t="s">
        <v>14199</v>
      </c>
      <c r="R27" s="5" t="s">
        <v>5299</v>
      </c>
      <c r="S27" s="5" t="s">
        <v>14372</v>
      </c>
      <c r="T27" s="5" t="s">
        <v>14461</v>
      </c>
      <c r="U27" s="5" t="s">
        <v>14550</v>
      </c>
      <c r="V27" s="5" t="s">
        <v>14638</v>
      </c>
      <c r="W27" s="5" t="s">
        <v>14723</v>
      </c>
      <c r="X27" s="5" t="s">
        <v>14550</v>
      </c>
      <c r="Y27" s="39" t="str">
        <f>IF(OR($A27&lt;&gt;"", $G27=""),"",CONCATENATE(";",EscStr(CONCATENATE("NavNode_",getCategoryLevelAsString($B27))),";",EscStr($J27),";",IF($B27&lt;&gt;"","""MainCategoryNavNode""",EscStr(CONCATENATE("NavNode_",getSuperCategory($B27, getCategoryLevelAsNumber($B27))))),";"))</f>
        <v>;"NavNode_L3D_525272";"Microcontrollers";"NavNode_L2-3D_525339";</v>
      </c>
      <c r="Z27" s="39" t="str">
        <f>IF(getCategoryLevelAsString($B27)="L0D_324785","",IF(G27="",CONCATENATE(";",EscStr(CONCATENATE("NavNode_",getCategoryLevelAsString($B27))),";",EscStr($J27),";"),CONCATENATE(";",EscStr(CONCATENATE("NavNode_",getCategoryLevelAsString($B27))),";",EscStr(G27),";")))</f>
        <v>;"NavNode_L3D_525272";"Mikrocontroller";</v>
      </c>
      <c r="AA27" s="39" t="str">
        <f>IF(getCategoryLevelAsString($B27)="L0D_324785","",IF(H27="",CONCATENATE(";",EscStr(CONCATENATE("NavNode_",getCategoryLevelAsString($B27))),";",EscStr($J27),";"),CONCATENATE(";",EscStr(CONCATENATE("NavNode_",getCategoryLevelAsString($B27))),";",EscStr(H27),";")))</f>
        <v>;"NavNode_L3D_525272";"Microcontrôleurs";</v>
      </c>
      <c r="AB27" s="39" t="str">
        <f>IF(getCategoryLevelAsString($B27)="L0D_324785","",IF(I27="",CONCATENATE(";",EscStr(CONCATENATE("NavNode_",getCategoryLevelAsString($B27))),";",EscStr($J27),";"),CONCATENATE(";",EscStr(CONCATENATE("NavNode_",getCategoryLevelAsString($B27))),";",EscStr(I27),";")))</f>
        <v>;"NavNode_L3D_525272";"Microcontroller";</v>
      </c>
      <c r="AC27" s="39" t="str">
        <f>IF(getCategoryLevelAsString($B27)="L0D_324785","",IF(J27="",CONCATENATE(";",EscStr(CONCATENATE("NavNode_",getCategoryLevelAsString($B27))),";",EscStr($J27),";"),CONCATENATE(";",EscStr(CONCATENATE("NavNode_",getCategoryLevelAsString($B27))),";",EscStr(J27),";")))</f>
        <v>;"NavNode_L3D_525272";"Microcontrollers";</v>
      </c>
      <c r="AD27" s="39" t="str">
        <f>IF(getCategoryLevelAsString($B27)="L0D_324785","",IF(K27="",CONCATENATE(";",EscStr(CONCATENATE("NavNode_",getCategoryLevelAsString($B27))),";",EscStr($J27),";"),CONCATENATE(";",EscStr(CONCATENATE("NavNode_",getCategoryLevelAsString($B27))),";",EscStr(K27),";")))</f>
        <v>;"NavNode_L3D_525272";"Microcontrollere";</v>
      </c>
      <c r="AE27" s="39" t="str">
        <f>IF(getCategoryLevelAsString($B27)="L0D_324785","",IF(L27="",CONCATENATE(";",EscStr(CONCATENATE("NavNode_",getCategoryLevelAsString($B27))),";",EscStr($J27),";"),CONCATENATE(";",EscStr(CONCATENATE("NavNode_",getCategoryLevelAsString($B27))),";",EscStr(L27),";")))</f>
        <v>;"NavNode_L3D_525272";"Mikrovaldikliai";</v>
      </c>
      <c r="AF27" s="39" t="str">
        <f>IF(getCategoryLevelAsString($B27)="L0D_324785","",IF(M27="",CONCATENATE(";",EscStr(CONCATENATE("NavNode_",getCategoryLevelAsString($B27))),";",EscStr($J27),";"),CONCATENATE(";",EscStr(CONCATENATE("NavNode_",getCategoryLevelAsString($B27))),";",EscStr(M27),";")))</f>
        <v>;"NavNode_L3D_525272";"Mikrokontrollere";</v>
      </c>
      <c r="AG27" s="39" t="str">
        <f>IF(getCategoryLevelAsString($B27)="L0D_324785","",IF(N27="",CONCATENATE(";",EscStr(CONCATENATE("NavNode_",getCategoryLevelAsString($B27))),";",EscStr($J27),";"),CONCATENATE(";",EscStr(CONCATENATE("NavNode_",getCategoryLevelAsString($B27))),";",EscStr(N27),";")))</f>
        <v>;"NavNode_L3D_525272";"Microcontroller-kretsar";</v>
      </c>
      <c r="AH27" s="39" t="str">
        <f>IF(getCategoryLevelAsString($B27)="L0D_324785","",IF(O27="",CONCATENATE(";",EscStr(CONCATENATE("NavNode_",getCategoryLevelAsString($B27))),";",EscStr($J27),";"),CONCATENATE(";",EscStr(CONCATENATE("NavNode_",getCategoryLevelAsString($B27))),";",EscStr(O27),";")))</f>
        <v>;"NavNode_L3D_525272";"Mikrokontrollerid";</v>
      </c>
      <c r="AI27" s="39" t="str">
        <f>IF(getCategoryLevelAsString($B27)="L0D_324785","",IF(P27="",CONCATENATE(";",EscStr(CONCATENATE("NavNode_",getCategoryLevelAsString($B27))),";",EscStr($J27),";"),CONCATENATE(";",EscStr(CONCATENATE("NavNode_",getCategoryLevelAsString($B27))),";",EscStr(P27),";")))</f>
        <v>;"NavNode_L3D_525272";"Mikro-ohjaimet";</v>
      </c>
      <c r="AJ27" s="39" t="str">
        <f>IF(getCategoryLevelAsString($B27)="L0D_324785","",IF(Q27="",CONCATENATE(";",EscStr(CONCATENATE("NavNode_",getCategoryLevelAsString($B27))),";",EscStr($J27),";"),CONCATENATE(";",EscStr(CONCATENATE("NavNode_",getCategoryLevelAsString($B27))),";",EscStr(Q27),";")))</f>
        <v>;"NavNode_L3D_525272";"Mikrokontrolieri";</v>
      </c>
      <c r="AK27" s="39" t="str">
        <f>IF(getCategoryLevelAsString($B27)="L0D_324785","",IF(R27="",CONCATENATE(";",EscStr(CONCATENATE("NavNode_",getCategoryLevelAsString($B27))),";",EscStr($J27),";"),CONCATENATE(";",EscStr(CONCATENATE("NavNode_",getCategoryLevelAsString($B27))),";",EscStr(R27),";")))</f>
        <v>;"NavNode_L3D_525272";"Microcontrollers";</v>
      </c>
      <c r="AL27" s="39" t="str">
        <f>IF(getCategoryLevelAsString($B27)="L0D_324785","",IF(S27="",CONCATENATE(";",EscStr(CONCATENATE("NavNode_",getCategoryLevelAsString($B27))),";",EscStr($J27),";"),CONCATENATE(";",EscStr(CONCATENATE("NavNode_",getCategoryLevelAsString($B27))),";",EscStr(S27),";")))</f>
        <v>;"NavNode_L3D_525272";"Mikrokontrolery";</v>
      </c>
      <c r="AM27" s="39" t="str">
        <f>IF(getCategoryLevelAsString($B27)="L0D_324785","",IF(T27="",CONCATENATE(";",EscStr(CONCATENATE("NavNode_",getCategoryLevelAsString($B27))),";",EscStr($J27),";"),CONCATENATE(";",EscStr(CONCATENATE("NavNode_",getCategoryLevelAsString($B27))),";",EscStr(T27),";")))</f>
        <v>;"NavNode_L3D_525272";"Микроконтроллеры";</v>
      </c>
      <c r="AN27" s="39" t="str">
        <f>IF(getCategoryLevelAsString($B27)="L0D_324785","",IF(U27="",CONCATENATE(";",EscStr(CONCATENATE("NavNode_",getCategoryLevelAsString($B27))),";",EscStr($J27),";"),CONCATENATE(";",EscStr(CONCATENATE("NavNode_",getCategoryLevelAsString($B27))),";",EscStr(U27),";")))</f>
        <v>;"NavNode_L3D_525272";"Mikrokontroléry";</v>
      </c>
      <c r="AO27" s="39" t="str">
        <f>IF(getCategoryLevelAsString($B27)="L0D_324785","",IF(V27="",CONCATENATE(";",EscStr(CONCATENATE("NavNode_",getCategoryLevelAsString($B27))),";",EscStr($J27),";"),CONCATENATE(";",EscStr(CONCATENATE("NavNode_",getCategoryLevelAsString($B27))),";",EscStr(V27),";")))</f>
        <v>;"NavNode_L3D_525272";"Microcontrolere";</v>
      </c>
      <c r="AP27" s="39" t="str">
        <f>IF(getCategoryLevelAsString($B27)="L0D_324785","",IF(W27="",CONCATENATE(";",EscStr(CONCATENATE("NavNode_",getCategoryLevelAsString($B27))),";",EscStr($J27),";"),CONCATENATE(";",EscStr(CONCATENATE("NavNode_",getCategoryLevelAsString($B27))),";",EscStr(W27),";")))</f>
        <v>;"NavNode_L3D_525272";"Mikrocontrollerek";</v>
      </c>
      <c r="AQ27" s="39" t="str">
        <f>IF(getCategoryLevelAsString($B27)="L0D_324785","",IF(X27="",CONCATENATE(";",EscStr(CONCATENATE("NavNode_",getCategoryLevelAsString($B27))),";",EscStr($J27),";"),CONCATENATE(";",EscStr(CONCATENATE("NavNode_",getCategoryLevelAsString($B27))),";",EscStr(X27),";")))</f>
        <v>;"NavNode_L3D_525272";"Mikrokontroléry";</v>
      </c>
      <c r="AR27" s="39" t="str">
        <f>IF(OR($A27&lt;&gt;"", $G27=""),"",CONCATENATE(";",EscStr(CONCATENATE("NavEntry_",getCategoryLevelAsString($B27))),";",EscStr(CONCATENATE($J27," Navigation Entry")),";",EscStr(CONCATENATE("cat-",getCategoryLevelAsString($B27))),";",EscStr(CONCATENATE("NavNode_",getCategoryLevelAsString($B27))),";"))</f>
        <v>;"NavEntry_L3D_525272";"Microcontrollers Navigation Entry";"cat-L3D_525272";"NavNode_L3D_525272";</v>
      </c>
    </row>
    <row r="28" spans="1:44" s="34" customFormat="1" ht="15" x14ac:dyDescent="0.25">
      <c r="A28" s="25"/>
      <c r="B28" s="5"/>
      <c r="C28" s="5"/>
      <c r="D28" s="5" t="s">
        <v>5338</v>
      </c>
      <c r="E28" s="5"/>
      <c r="F28" s="5"/>
      <c r="G28" s="5" t="s">
        <v>5340</v>
      </c>
      <c r="H28" s="5" t="s">
        <v>13578</v>
      </c>
      <c r="I28" s="5" t="s">
        <v>13668</v>
      </c>
      <c r="J28" s="5" t="s">
        <v>5339</v>
      </c>
      <c r="K28" s="5" t="s">
        <v>13760</v>
      </c>
      <c r="L28" s="5" t="s">
        <v>15072</v>
      </c>
      <c r="M28" s="5" t="s">
        <v>13861</v>
      </c>
      <c r="N28" s="5" t="s">
        <v>13927</v>
      </c>
      <c r="O28" s="5" t="s">
        <v>14022</v>
      </c>
      <c r="P28" s="5" t="s">
        <v>14114</v>
      </c>
      <c r="Q28" s="5" t="s">
        <v>14200</v>
      </c>
      <c r="R28" s="5" t="s">
        <v>14284</v>
      </c>
      <c r="S28" s="5" t="s">
        <v>14373</v>
      </c>
      <c r="T28" s="5" t="s">
        <v>14462</v>
      </c>
      <c r="U28" s="5" t="s">
        <v>14551</v>
      </c>
      <c r="V28" s="5" t="s">
        <v>14639</v>
      </c>
      <c r="W28" s="5" t="s">
        <v>14724</v>
      </c>
      <c r="X28" s="5" t="s">
        <v>14551</v>
      </c>
      <c r="Y28" s="39" t="str">
        <f>IF(OR($A28&lt;&gt;"", $G28=""),"",CONCATENATE(";",EscStr(CONCATENATE("NavNode_",getCategoryLevelAsString($B28))),";",EscStr($J28),";",IF($B28&lt;&gt;"","""MainCategoryNavNode""",EscStr(CONCATENATE("NavNode_",getSuperCategory($B28, getCategoryLevelAsNumber($B28))))),";"))</f>
        <v>;"NavNode_L3D_525273";"Development Tools";"NavNode_L2-3D_525339";</v>
      </c>
      <c r="Z28" s="39" t="str">
        <f>IF(getCategoryLevelAsString($B28)="L0D_324785","",IF(G28="",CONCATENATE(";",EscStr(CONCATENATE("NavNode_",getCategoryLevelAsString($B28))),";",EscStr($J28),";"),CONCATENATE(";",EscStr(CONCATENATE("NavNode_",getCategoryLevelAsString($B28))),";",EscStr(G28),";")))</f>
        <v>;"NavNode_L3D_525273";"Entwicklungswerkzeuge";</v>
      </c>
      <c r="AA28" s="39" t="str">
        <f>IF(getCategoryLevelAsString($B28)="L0D_324785","",IF(H28="",CONCATENATE(";",EscStr(CONCATENATE("NavNode_",getCategoryLevelAsString($B28))),";",EscStr($J28),";"),CONCATENATE(";",EscStr(CONCATENATE("NavNode_",getCategoryLevelAsString($B28))),";",EscStr(H28),";")))</f>
        <v>;"NavNode_L3D_525273";"Outils de développement";</v>
      </c>
      <c r="AB28" s="39" t="str">
        <f>IF(getCategoryLevelAsString($B28)="L0D_324785","",IF(I28="",CONCATENATE(";",EscStr(CONCATENATE("NavNode_",getCategoryLevelAsString($B28))),";",EscStr($J28),";"),CONCATENATE(";",EscStr(CONCATENATE("NavNode_",getCategoryLevelAsString($B28))),";",EscStr(I28),";")))</f>
        <v>;"NavNode_L3D_525273";"Tool di sviluppo";</v>
      </c>
      <c r="AC28" s="39" t="str">
        <f>IF(getCategoryLevelAsString($B28)="L0D_324785","",IF(J28="",CONCATENATE(";",EscStr(CONCATENATE("NavNode_",getCategoryLevelAsString($B28))),";",EscStr($J28),";"),CONCATENATE(";",EscStr(CONCATENATE("NavNode_",getCategoryLevelAsString($B28))),";",EscStr(J28),";")))</f>
        <v>;"NavNode_L3D_525273";"Development Tools";</v>
      </c>
      <c r="AD28" s="39" t="str">
        <f>IF(getCategoryLevelAsString($B28)="L0D_324785","",IF(K28="",CONCATENATE(";",EscStr(CONCATENATE("NavNode_",getCategoryLevelAsString($B28))),";",EscStr($J28),";"),CONCATENATE(";",EscStr(CONCATENATE("NavNode_",getCategoryLevelAsString($B28))),";",EscStr(K28),";")))</f>
        <v>;"NavNode_L3D_525273";"Udviklingsværktøj";</v>
      </c>
      <c r="AE28" s="39" t="str">
        <f>IF(getCategoryLevelAsString($B28)="L0D_324785","",IF(L28="",CONCATENATE(";",EscStr(CONCATENATE("NavNode_",getCategoryLevelAsString($B28))),";",EscStr($J28),";"),CONCATENATE(";",EscStr(CONCATENATE("NavNode_",getCategoryLevelAsString($B28))),";",EscStr(L28),";")))</f>
        <v>;"NavNode_L3D_525273";"Programavimo įrankiai";</v>
      </c>
      <c r="AF28" s="39" t="str">
        <f>IF(getCategoryLevelAsString($B28)="L0D_324785","",IF(M28="",CONCATENATE(";",EscStr(CONCATENATE("NavNode_",getCategoryLevelAsString($B28))),";",EscStr($J28),";"),CONCATENATE(";",EscStr(CONCATENATE("NavNode_",getCategoryLevelAsString($B28))),";",EscStr(M28),";")))</f>
        <v>;"NavNode_L3D_525273";"Utviklingsverktøy";</v>
      </c>
      <c r="AG28" s="39" t="str">
        <f>IF(getCategoryLevelAsString($B28)="L0D_324785","",IF(N28="",CONCATENATE(";",EscStr(CONCATENATE("NavNode_",getCategoryLevelAsString($B28))),";",EscStr($J28),";"),CONCATENATE(";",EscStr(CONCATENATE("NavNode_",getCategoryLevelAsString($B28))),";",EscStr(N28),";")))</f>
        <v>;"NavNode_L3D_525273";"Utvecklingsverktyg";</v>
      </c>
      <c r="AH28" s="39" t="str">
        <f>IF(getCategoryLevelAsString($B28)="L0D_324785","",IF(O28="",CONCATENATE(";",EscStr(CONCATENATE("NavNode_",getCategoryLevelAsString($B28))),";",EscStr($J28),";"),CONCATENATE(";",EscStr(CONCATENATE("NavNode_",getCategoryLevelAsString($B28))),";",EscStr(O28),";")))</f>
        <v>;"NavNode_L3D_525273";"Arendusvahendid";</v>
      </c>
      <c r="AI28" s="39" t="str">
        <f>IF(getCategoryLevelAsString($B28)="L0D_324785","",IF(P28="",CONCATENATE(";",EscStr(CONCATENATE("NavNode_",getCategoryLevelAsString($B28))),";",EscStr($J28),";"),CONCATENATE(";",EscStr(CONCATENATE("NavNode_",getCategoryLevelAsString($B28))),";",EscStr(P28),";")))</f>
        <v>;"NavNode_L3D_525273";"Kehitystyökalut";</v>
      </c>
      <c r="AJ28" s="39" t="str">
        <f>IF(getCategoryLevelAsString($B28)="L0D_324785","",IF(Q28="",CONCATENATE(";",EscStr(CONCATENATE("NavNode_",getCategoryLevelAsString($B28))),";",EscStr($J28),";"),CONCATENATE(";",EscStr(CONCATENATE("NavNode_",getCategoryLevelAsString($B28))),";",EscStr(Q28),";")))</f>
        <v>;"NavNode_L3D_525273";"Izstrādes rīki";</v>
      </c>
      <c r="AK28" s="39" t="str">
        <f>IF(getCategoryLevelAsString($B28)="L0D_324785","",IF(R28="",CONCATENATE(";",EscStr(CONCATENATE("NavNode_",getCategoryLevelAsString($B28))),";",EscStr($J28),";"),CONCATENATE(";",EscStr(CONCATENATE("NavNode_",getCategoryLevelAsString($B28))),";",EscStr(R28),";")))</f>
        <v>;"NavNode_L3D_525273";"Ontwikkelkits";</v>
      </c>
      <c r="AL28" s="39" t="str">
        <f>IF(getCategoryLevelAsString($B28)="L0D_324785","",IF(S28="",CONCATENATE(";",EscStr(CONCATENATE("NavNode_",getCategoryLevelAsString($B28))),";",EscStr($J28),";"),CONCATENATE(";",EscStr(CONCATENATE("NavNode_",getCategoryLevelAsString($B28))),";",EscStr(S28),";")))</f>
        <v>;"NavNode_L3D_525273";"Narzędzia do prac rozwojowych";</v>
      </c>
      <c r="AM28" s="39" t="str">
        <f>IF(getCategoryLevelAsString($B28)="L0D_324785","",IF(T28="",CONCATENATE(";",EscStr(CONCATENATE("NavNode_",getCategoryLevelAsString($B28))),";",EscStr($J28),";"),CONCATENATE(";",EscStr(CONCATENATE("NavNode_",getCategoryLevelAsString($B28))),";",EscStr(T28),";")))</f>
        <v>;"NavNode_L3D_525273";"Средсва для разработки";</v>
      </c>
      <c r="AN28" s="39" t="str">
        <f>IF(getCategoryLevelAsString($B28)="L0D_324785","",IF(U28="",CONCATENATE(";",EscStr(CONCATENATE("NavNode_",getCategoryLevelAsString($B28))),";",EscStr($J28),";"),CONCATENATE(";",EscStr(CONCATENATE("NavNode_",getCategoryLevelAsString($B28))),";",EscStr(U28),";")))</f>
        <v>;"NavNode_L3D_525273";"Vývojové nástroje";</v>
      </c>
      <c r="AO28" s="39" t="str">
        <f>IF(getCategoryLevelAsString($B28)="L0D_324785","",IF(V28="",CONCATENATE(";",EscStr(CONCATENATE("NavNode_",getCategoryLevelAsString($B28))),";",EscStr($J28),";"),CONCATENATE(";",EscStr(CONCATENATE("NavNode_",getCategoryLevelAsString($B28))),";",EscStr(V28),";")))</f>
        <v>;"NavNode_L3D_525273";"Instrumente de dezvoltare";</v>
      </c>
      <c r="AP28" s="39" t="str">
        <f>IF(getCategoryLevelAsString($B28)="L0D_324785","",IF(W28="",CONCATENATE(";",EscStr(CONCATENATE("NavNode_",getCategoryLevelAsString($B28))),";",EscStr($J28),";"),CONCATENATE(";",EscStr(CONCATENATE("NavNode_",getCategoryLevelAsString($B28))),";",EscStr(W28),";")))</f>
        <v>;"NavNode_L3D_525273";"Fejlesztőeszközök";</v>
      </c>
      <c r="AQ28" s="39" t="str">
        <f>IF(getCategoryLevelAsString($B28)="L0D_324785","",IF(X28="",CONCATENATE(";",EscStr(CONCATENATE("NavNode_",getCategoryLevelAsString($B28))),";",EscStr($J28),";"),CONCATENATE(";",EscStr(CONCATENATE("NavNode_",getCategoryLevelAsString($B28))),";",EscStr(X28),";")))</f>
        <v>;"NavNode_L3D_525273";"Vývojové nástroje";</v>
      </c>
      <c r="AR28" s="39" t="str">
        <f>IF(OR($A28&lt;&gt;"", $G28=""),"",CONCATENATE(";",EscStr(CONCATENATE("NavEntry_",getCategoryLevelAsString($B28))),";",EscStr(CONCATENATE($J28," Navigation Entry")),";",EscStr(CONCATENATE("cat-",getCategoryLevelAsString($B28))),";",EscStr(CONCATENATE("NavNode_",getCategoryLevelAsString($B28))),";"))</f>
        <v>;"NavEntry_L3D_525273";"Development Tools Navigation Entry";"cat-L3D_525273";"NavNode_L3D_525273";</v>
      </c>
    </row>
    <row r="29" spans="1:44" s="34" customFormat="1" ht="15" x14ac:dyDescent="0.25">
      <c r="A29" s="25"/>
      <c r="B29" s="5"/>
      <c r="C29" s="5"/>
      <c r="D29" s="5" t="s">
        <v>5378</v>
      </c>
      <c r="E29" s="5"/>
      <c r="F29" s="5"/>
      <c r="G29" s="5" t="s">
        <v>5380</v>
      </c>
      <c r="H29" s="5" t="s">
        <v>13579</v>
      </c>
      <c r="I29" s="5" t="s">
        <v>13669</v>
      </c>
      <c r="J29" s="5" t="s">
        <v>5379</v>
      </c>
      <c r="K29" s="5" t="s">
        <v>13761</v>
      </c>
      <c r="L29" s="5" t="s">
        <v>15073</v>
      </c>
      <c r="M29" s="5" t="s">
        <v>13862</v>
      </c>
      <c r="N29" s="47" t="s">
        <v>15423</v>
      </c>
      <c r="O29" s="5" t="s">
        <v>14023</v>
      </c>
      <c r="P29" s="5" t="s">
        <v>14115</v>
      </c>
      <c r="Q29" s="5" t="s">
        <v>14201</v>
      </c>
      <c r="R29" s="5" t="s">
        <v>14285</v>
      </c>
      <c r="S29" s="5" t="s">
        <v>14374</v>
      </c>
      <c r="T29" s="5" t="s">
        <v>14463</v>
      </c>
      <c r="U29" s="5" t="s">
        <v>14552</v>
      </c>
      <c r="V29" s="5" t="s">
        <v>14640</v>
      </c>
      <c r="W29" s="5" t="s">
        <v>14725</v>
      </c>
      <c r="X29" s="5" t="s">
        <v>14810</v>
      </c>
      <c r="Y29" s="39" t="str">
        <f>IF(OR($A29&lt;&gt;"", $G29=""),"",CONCATENATE(";",EscStr(CONCATENATE("NavNode_",getCategoryLevelAsString($B29))),";",EscStr($J29),";",IF($B29&lt;&gt;"","""MainCategoryNavNode""",EscStr(CONCATENATE("NavNode_",getSuperCategory($B29, getCategoryLevelAsNumber($B29))))),";"))</f>
        <v>;"NavNode_L3D_525274";"Programming Devices";"NavNode_L2-3D_525339";</v>
      </c>
      <c r="Z29" s="39" t="str">
        <f>IF(getCategoryLevelAsString($B29)="L0D_324785","",IF(G29="",CONCATENATE(";",EscStr(CONCATENATE("NavNode_",getCategoryLevelAsString($B29))),";",EscStr($J29),";"),CONCATENATE(";",EscStr(CONCATENATE("NavNode_",getCategoryLevelAsString($B29))),";",EscStr(G29),";")))</f>
        <v>;"NavNode_L3D_525274";"Programmiergeräte";</v>
      </c>
      <c r="AA29" s="39" t="str">
        <f>IF(getCategoryLevelAsString($B29)="L0D_324785","",IF(H29="",CONCATENATE(";",EscStr(CONCATENATE("NavNode_",getCategoryLevelAsString($B29))),";",EscStr($J29),";"),CONCATENATE(";",EscStr(CONCATENATE("NavNode_",getCategoryLevelAsString($B29))),";",EscStr(H29),";")))</f>
        <v>;"NavNode_L3D_525274";"Programmateurs";</v>
      </c>
      <c r="AB29" s="39" t="str">
        <f>IF(getCategoryLevelAsString($B29)="L0D_324785","",IF(I29="",CONCATENATE(";",EscStr(CONCATENATE("NavNode_",getCategoryLevelAsString($B29))),";",EscStr($J29),";"),CONCATENATE(";",EscStr(CONCATENATE("NavNode_",getCategoryLevelAsString($B29))),";",EscStr(I29),";")))</f>
        <v>;"NavNode_L3D_525274";"Programmatori";</v>
      </c>
      <c r="AC29" s="39" t="str">
        <f>IF(getCategoryLevelAsString($B29)="L0D_324785","",IF(J29="",CONCATENATE(";",EscStr(CONCATENATE("NavNode_",getCategoryLevelAsString($B29))),";",EscStr($J29),";"),CONCATENATE(";",EscStr(CONCATENATE("NavNode_",getCategoryLevelAsString($B29))),";",EscStr(J29),";")))</f>
        <v>;"NavNode_L3D_525274";"Programming Devices";</v>
      </c>
      <c r="AD29" s="39" t="str">
        <f>IF(getCategoryLevelAsString($B29)="L0D_324785","",IF(K29="",CONCATENATE(";",EscStr(CONCATENATE("NavNode_",getCategoryLevelAsString($B29))),";",EscStr($J29),";"),CONCATENATE(";",EscStr(CONCATENATE("NavNode_",getCategoryLevelAsString($B29))),";",EscStr(K29),";")))</f>
        <v>;"NavNode_L3D_525274";"Programmeringsenheder";</v>
      </c>
      <c r="AE29" s="39" t="str">
        <f>IF(getCategoryLevelAsString($B29)="L0D_324785","",IF(L29="",CONCATENATE(";",EscStr(CONCATENATE("NavNode_",getCategoryLevelAsString($B29))),";",EscStr($J29),";"),CONCATENATE(";",EscStr(CONCATENATE("NavNode_",getCategoryLevelAsString($B29))),";",EscStr(L29),";")))</f>
        <v>;"NavNode_L3D_525274";"Programavimo įrenginiai";</v>
      </c>
      <c r="AF29" s="39" t="str">
        <f>IF(getCategoryLevelAsString($B29)="L0D_324785","",IF(M29="",CONCATENATE(";",EscStr(CONCATENATE("NavNode_",getCategoryLevelAsString($B29))),";",EscStr($J29),";"),CONCATENATE(";",EscStr(CONCATENATE("NavNode_",getCategoryLevelAsString($B29))),";",EscStr(M29),";")))</f>
        <v>;"NavNode_L3D_525274";"Programmeringsenheter";</v>
      </c>
      <c r="AG29" s="39" t="str">
        <f>IF(getCategoryLevelAsString($B29)="L0D_324785","",IF(N29="",CONCATENATE(";",EscStr(CONCATENATE("NavNode_",getCategoryLevelAsString($B29))),";",EscStr($J29),";"),CONCATENATE(";",EscStr(CONCATENATE("NavNode_",getCategoryLevelAsString($B29))),";",EscStr(N29),";")))</f>
        <v>;"NavNode_L3D_525274";"Programmerare";</v>
      </c>
      <c r="AH29" s="39" t="str">
        <f>IF(getCategoryLevelAsString($B29)="L0D_324785","",IF(O29="",CONCATENATE(";",EscStr(CONCATENATE("NavNode_",getCategoryLevelAsString($B29))),";",EscStr($J29),";"),CONCATENATE(";",EscStr(CONCATENATE("NavNode_",getCategoryLevelAsString($B29))),";",EscStr(O29),";")))</f>
        <v>;"NavNode_L3D_525274";"Programmeerimisseadmed";</v>
      </c>
      <c r="AI29" s="39" t="str">
        <f>IF(getCategoryLevelAsString($B29)="L0D_324785","",IF(P29="",CONCATENATE(";",EscStr(CONCATENATE("NavNode_",getCategoryLevelAsString($B29))),";",EscStr($J29),";"),CONCATENATE(";",EscStr(CONCATENATE("NavNode_",getCategoryLevelAsString($B29))),";",EscStr(P29),";")))</f>
        <v>;"NavNode_L3D_525274";"Ohjelmoitavat";</v>
      </c>
      <c r="AJ29" s="39" t="str">
        <f>IF(getCategoryLevelAsString($B29)="L0D_324785","",IF(Q29="",CONCATENATE(";",EscStr(CONCATENATE("NavNode_",getCategoryLevelAsString($B29))),";",EscStr($J29),";"),CONCATENATE(";",EscStr(CONCATENATE("NavNode_",getCategoryLevelAsString($B29))),";",EscStr(Q29),";")))</f>
        <v>;"NavNode_L3D_525274";"Programmēšanas ierīces";</v>
      </c>
      <c r="AK29" s="39" t="str">
        <f>IF(getCategoryLevelAsString($B29)="L0D_324785","",IF(R29="",CONCATENATE(";",EscStr(CONCATENATE("NavNode_",getCategoryLevelAsString($B29))),";",EscStr($J29),";"),CONCATENATE(";",EscStr(CONCATENATE("NavNode_",getCategoryLevelAsString($B29))),";",EscStr(R29),";")))</f>
        <v>;"NavNode_L3D_525274";"Programmeer apparatuur";</v>
      </c>
      <c r="AL29" s="39" t="str">
        <f>IF(getCategoryLevelAsString($B29)="L0D_324785","",IF(S29="",CONCATENATE(";",EscStr(CONCATENATE("NavNode_",getCategoryLevelAsString($B29))),";",EscStr($J29),";"),CONCATENATE(";",EscStr(CONCATENATE("NavNode_",getCategoryLevelAsString($B29))),";",EscStr(S29),";")))</f>
        <v>;"NavNode_L3D_525274";"Programatory";</v>
      </c>
      <c r="AM29" s="39" t="str">
        <f>IF(getCategoryLevelAsString($B29)="L0D_324785","",IF(T29="",CONCATENATE(";",EscStr(CONCATENATE("NavNode_",getCategoryLevelAsString($B29))),";",EscStr($J29),";"),CONCATENATE(";",EscStr(CONCATENATE("NavNode_",getCategoryLevelAsString($B29))),";",EscStr(T29),";")))</f>
        <v>;"NavNode_L3D_525274";"Программируемые устройства";</v>
      </c>
      <c r="AN29" s="39" t="str">
        <f>IF(getCategoryLevelAsString($B29)="L0D_324785","",IF(U29="",CONCATENATE(";",EscStr(CONCATENATE("NavNode_",getCategoryLevelAsString($B29))),";",EscStr($J29),";"),CONCATENATE(";",EscStr(CONCATENATE("NavNode_",getCategoryLevelAsString($B29))),";",EscStr(U29),";")))</f>
        <v>;"NavNode_L3D_525274";"Programovací zařízení";</v>
      </c>
      <c r="AO29" s="39" t="str">
        <f>IF(getCategoryLevelAsString($B29)="L0D_324785","",IF(V29="",CONCATENATE(";",EscStr(CONCATENATE("NavNode_",getCategoryLevelAsString($B29))),";",EscStr($J29),";"),CONCATENATE(";",EscStr(CONCATENATE("NavNode_",getCategoryLevelAsString($B29))),";",EscStr(V29),";")))</f>
        <v>;"NavNode_L3D_525274";"Dispozitive de programare";</v>
      </c>
      <c r="AP29" s="39" t="str">
        <f>IF(getCategoryLevelAsString($B29)="L0D_324785","",IF(W29="",CONCATENATE(";",EscStr(CONCATENATE("NavNode_",getCategoryLevelAsString($B29))),";",EscStr($J29),";"),CONCATENATE(";",EscStr(CONCATENATE("NavNode_",getCategoryLevelAsString($B29))),";",EscStr(W29),";")))</f>
        <v>;"NavNode_L3D_525274";"Programozó eszközök";</v>
      </c>
      <c r="AQ29" s="39" t="str">
        <f>IF(getCategoryLevelAsString($B29)="L0D_324785","",IF(X29="",CONCATENATE(";",EscStr(CONCATENATE("NavNode_",getCategoryLevelAsString($B29))),";",EscStr($J29),";"),CONCATENATE(";",EscStr(CONCATENATE("NavNode_",getCategoryLevelAsString($B29))),";",EscStr(X29),";")))</f>
        <v>;"NavNode_L3D_525274";"Programovacie zariadenia";</v>
      </c>
      <c r="AR29" s="39" t="str">
        <f>IF(OR($A29&lt;&gt;"", $G29=""),"",CONCATENATE(";",EscStr(CONCATENATE("NavEntry_",getCategoryLevelAsString($B29))),";",EscStr(CONCATENATE($J29," Navigation Entry")),";",EscStr(CONCATENATE("cat-",getCategoryLevelAsString($B29))),";",EscStr(CONCATENATE("NavNode_",getCategoryLevelAsString($B29))),";"))</f>
        <v>;"NavEntry_L3D_525274";"Programming Devices Navigation Entry";"cat-L3D_525274";"NavNode_L3D_525274";</v>
      </c>
    </row>
    <row r="30" spans="1:44" s="34" customFormat="1" ht="15" x14ac:dyDescent="0.25">
      <c r="A30" s="25"/>
      <c r="B30" s="5"/>
      <c r="C30" s="5"/>
      <c r="D30" s="5" t="s">
        <v>5390</v>
      </c>
      <c r="E30" s="5"/>
      <c r="F30" s="5"/>
      <c r="G30" s="5" t="s">
        <v>5392</v>
      </c>
      <c r="H30" s="5" t="s">
        <v>13580</v>
      </c>
      <c r="I30" s="5" t="s">
        <v>13670</v>
      </c>
      <c r="J30" s="5" t="s">
        <v>5391</v>
      </c>
      <c r="K30" s="5" t="s">
        <v>13762</v>
      </c>
      <c r="L30" s="5" t="s">
        <v>15074</v>
      </c>
      <c r="M30" s="5" t="s">
        <v>13863</v>
      </c>
      <c r="N30" s="47" t="s">
        <v>15424</v>
      </c>
      <c r="O30" s="5" t="s">
        <v>14024</v>
      </c>
      <c r="P30" s="5" t="s">
        <v>14116</v>
      </c>
      <c r="Q30" s="5" t="s">
        <v>14202</v>
      </c>
      <c r="R30" s="5" t="s">
        <v>14286</v>
      </c>
      <c r="S30" s="5" t="s">
        <v>14375</v>
      </c>
      <c r="T30" s="5" t="s">
        <v>14464</v>
      </c>
      <c r="U30" s="5" t="s">
        <v>14553</v>
      </c>
      <c r="V30" s="5" t="s">
        <v>14641</v>
      </c>
      <c r="W30" s="5" t="s">
        <v>14726</v>
      </c>
      <c r="X30" s="5" t="s">
        <v>14811</v>
      </c>
      <c r="Y30" s="39" t="str">
        <f>IF(OR($A30&lt;&gt;"", $G30=""),"",CONCATENATE(";",EscStr(CONCATENATE("NavNode_",getCategoryLevelAsString($B30))),";",EscStr($J30),";",IF($B30&lt;&gt;"","""MainCategoryNavNode""",EscStr(CONCATENATE("NavNode_",getSuperCategory($B30, getCategoryLevelAsNumber($B30))))),";"))</f>
        <v>;"NavNode_L3D_525275";"EPROM Erasing Devices";"NavNode_L2-3D_525339";</v>
      </c>
      <c r="Z30" s="39" t="str">
        <f>IF(getCategoryLevelAsString($B30)="L0D_324785","",IF(G30="",CONCATENATE(";",EscStr(CONCATENATE("NavNode_",getCategoryLevelAsString($B30))),";",EscStr($J30),";"),CONCATENATE(";",EscStr(CONCATENATE("NavNode_",getCategoryLevelAsString($B30))),";",EscStr(G30),";")))</f>
        <v>;"NavNode_L3D_525275";"EPROM-Löschgeräte";</v>
      </c>
      <c r="AA30" s="39" t="str">
        <f>IF(getCategoryLevelAsString($B30)="L0D_324785","",IF(H30="",CONCATENATE(";",EscStr(CONCATENATE("NavNode_",getCategoryLevelAsString($B30))),";",EscStr($J30),";"),CONCATENATE(";",EscStr(CONCATENATE("NavNode_",getCategoryLevelAsString($B30))),";",EscStr(H30),";")))</f>
        <v>;"NavNode_L3D_525275";"Effaceurs d'EPROM";</v>
      </c>
      <c r="AB30" s="39" t="str">
        <f>IF(getCategoryLevelAsString($B30)="L0D_324785","",IF(I30="",CONCATENATE(";",EscStr(CONCATENATE("NavNode_",getCategoryLevelAsString($B30))),";",EscStr($J30),";"),CONCATENATE(";",EscStr(CONCATENATE("NavNode_",getCategoryLevelAsString($B30))),";",EscStr(I30),";")))</f>
        <v>;"NavNode_L3D_525275";"Cancellatori di EPROM";</v>
      </c>
      <c r="AC30" s="39" t="str">
        <f>IF(getCategoryLevelAsString($B30)="L0D_324785","",IF(J30="",CONCATENATE(";",EscStr(CONCATENATE("NavNode_",getCategoryLevelAsString($B30))),";",EscStr($J30),";"),CONCATENATE(";",EscStr(CONCATENATE("NavNode_",getCategoryLevelAsString($B30))),";",EscStr(J30),";")))</f>
        <v>;"NavNode_L3D_525275";"EPROM Erasing Devices";</v>
      </c>
      <c r="AD30" s="39" t="str">
        <f>IF(getCategoryLevelAsString($B30)="L0D_324785","",IF(K30="",CONCATENATE(";",EscStr(CONCATENATE("NavNode_",getCategoryLevelAsString($B30))),";",EscStr($J30),";"),CONCATENATE(";",EscStr(CONCATENATE("NavNode_",getCategoryLevelAsString($B30))),";",EscStr(K30),";")))</f>
        <v>;"NavNode_L3D_525275";"EPROM-sletteenheder";</v>
      </c>
      <c r="AE30" s="39" t="str">
        <f>IF(getCategoryLevelAsString($B30)="L0D_324785","",IF(L30="",CONCATENATE(";",EscStr(CONCATENATE("NavNode_",getCategoryLevelAsString($B30))),";",EscStr($J30),";"),CONCATENATE(";",EscStr(CONCATENATE("NavNode_",getCategoryLevelAsString($B30))),";",EscStr(L30),";")))</f>
        <v>;"NavNode_L3D_525275";"EPROM trynimo įrenginiai";</v>
      </c>
      <c r="AF30" s="39" t="str">
        <f>IF(getCategoryLevelAsString($B30)="L0D_324785","",IF(M30="",CONCATENATE(";",EscStr(CONCATENATE("NavNode_",getCategoryLevelAsString($B30))),";",EscStr($J30),";"),CONCATENATE(";",EscStr(CONCATENATE("NavNode_",getCategoryLevelAsString($B30))),";",EscStr(M30),";")))</f>
        <v>;"NavNode_L3D_525275";"EPROM-sletteenhet";</v>
      </c>
      <c r="AG30" s="39" t="str">
        <f>IF(getCategoryLevelAsString($B30)="L0D_324785","",IF(N30="",CONCATENATE(";",EscStr(CONCATENATE("NavNode_",getCategoryLevelAsString($B30))),";",EscStr($J30),";"),CONCATENATE(";",EscStr(CONCATENATE("NavNode_",getCategoryLevelAsString($B30))),";",EscStr(N30),";")))</f>
        <v>;"NavNode_L3D_525275";"EPROM-raderare";</v>
      </c>
      <c r="AH30" s="39" t="str">
        <f>IF(getCategoryLevelAsString($B30)="L0D_324785","",IF(O30="",CONCATENATE(";",EscStr(CONCATENATE("NavNode_",getCategoryLevelAsString($B30))),";",EscStr($J30),";"),CONCATENATE(";",EscStr(CONCATENATE("NavNode_",getCategoryLevelAsString($B30))),";",EscStr(O30),";")))</f>
        <v>;"NavNode_L3D_525275";"EPROMi kustutusseadmed";</v>
      </c>
      <c r="AI30" s="39" t="str">
        <f>IF(getCategoryLevelAsString($B30)="L0D_324785","",IF(P30="",CONCATENATE(";",EscStr(CONCATENATE("NavNode_",getCategoryLevelAsString($B30))),";",EscStr($J30),";"),CONCATENATE(";",EscStr(CONCATENATE("NavNode_",getCategoryLevelAsString($B30))),";",EscStr(P30),";")))</f>
        <v>;"NavNode_L3D_525275";"EPROM pyyhintä";</v>
      </c>
      <c r="AJ30" s="39" t="str">
        <f>IF(getCategoryLevelAsString($B30)="L0D_324785","",IF(Q30="",CONCATENATE(";",EscStr(CONCATENATE("NavNode_",getCategoryLevelAsString($B30))),";",EscStr($J30),";"),CONCATENATE(";",EscStr(CONCATENATE("NavNode_",getCategoryLevelAsString($B30))),";",EscStr(Q30),";")))</f>
        <v>;"NavNode_L3D_525275";"EPROM dzēšanas ierīces";</v>
      </c>
      <c r="AK30" s="39" t="str">
        <f>IF(getCategoryLevelAsString($B30)="L0D_324785","",IF(R30="",CONCATENATE(";",EscStr(CONCATENATE("NavNode_",getCategoryLevelAsString($B30))),";",EscStr($J30),";"),CONCATENATE(";",EscStr(CONCATENATE("NavNode_",getCategoryLevelAsString($B30))),";",EscStr(R30),";")))</f>
        <v>;"NavNode_L3D_525275";"EPROM wissers";</v>
      </c>
      <c r="AL30" s="39" t="str">
        <f>IF(getCategoryLevelAsString($B30)="L0D_324785","",IF(S30="",CONCATENATE(";",EscStr(CONCATENATE("NavNode_",getCategoryLevelAsString($B30))),";",EscStr($J30),";"),CONCATENATE(";",EscStr(CONCATENATE("NavNode_",getCategoryLevelAsString($B30))),";",EscStr(S30),";")))</f>
        <v>;"NavNode_L3D_525275";"Urządzenia kasujące EPROM";</v>
      </c>
      <c r="AM30" s="39" t="str">
        <f>IF(getCategoryLevelAsString($B30)="L0D_324785","",IF(T30="",CONCATENATE(";",EscStr(CONCATENATE("NavNode_",getCategoryLevelAsString($B30))),";",EscStr($J30),";"),CONCATENATE(";",EscStr(CONCATENATE("NavNode_",getCategoryLevelAsString($B30))),";",EscStr(T30),";")))</f>
        <v>;"NavNode_L3D_525275";"EPROM запоминающее устройство";</v>
      </c>
      <c r="AN30" s="39" t="str">
        <f>IF(getCategoryLevelAsString($B30)="L0D_324785","",IF(U30="",CONCATENATE(";",EscStr(CONCATENATE("NavNode_",getCategoryLevelAsString($B30))),";",EscStr($J30),";"),CONCATENATE(";",EscStr(CONCATENATE("NavNode_",getCategoryLevelAsString($B30))),";",EscStr(U30),";")))</f>
        <v>;"NavNode_L3D_525275";"Zařízení pro mazání pamětí EPROM";</v>
      </c>
      <c r="AO30" s="39" t="str">
        <f>IF(getCategoryLevelAsString($B30)="L0D_324785","",IF(V30="",CONCATENATE(";",EscStr(CONCATENATE("NavNode_",getCategoryLevelAsString($B30))),";",EscStr($J30),";"),CONCATENATE(";",EscStr(CONCATENATE("NavNode_",getCategoryLevelAsString($B30))),";",EscStr(V30),";")))</f>
        <v>;"NavNode_L3D_525275";"Radiere EPROM";</v>
      </c>
      <c r="AP30" s="39" t="str">
        <f>IF(getCategoryLevelAsString($B30)="L0D_324785","",IF(W30="",CONCATENATE(";",EscStr(CONCATENATE("NavNode_",getCategoryLevelAsString($B30))),";",EscStr($J30),";"),CONCATENATE(";",EscStr(CONCATENATE("NavNode_",getCategoryLevelAsString($B30))),";",EscStr(W30),";")))</f>
        <v>;"NavNode_L3D_525275";"EPROM-törlő eszközök";</v>
      </c>
      <c r="AQ30" s="39" t="str">
        <f>IF(getCategoryLevelAsString($B30)="L0D_324785","",IF(X30="",CONCATENATE(";",EscStr(CONCATENATE("NavNode_",getCategoryLevelAsString($B30))),";",EscStr($J30),";"),CONCATENATE(";",EscStr(CONCATENATE("NavNode_",getCategoryLevelAsString($B30))),";",EscStr(X30),";")))</f>
        <v>;"NavNode_L3D_525275";"Zariadenie pre mazanie pamäťou EPROM";</v>
      </c>
      <c r="AR30" s="39" t="str">
        <f>IF(OR($A30&lt;&gt;"", $G30=""),"",CONCATENATE(";",EscStr(CONCATENATE("NavEntry_",getCategoryLevelAsString($B30))),";",EscStr(CONCATENATE($J30," Navigation Entry")),";",EscStr(CONCATENATE("cat-",getCategoryLevelAsString($B30))),";",EscStr(CONCATENATE("NavNode_",getCategoryLevelAsString($B30))),";"))</f>
        <v>;"NavEntry_L3D_525275";"EPROM Erasing Devices Navigation Entry";"cat-L3D_525275";"NavNode_L3D_525275";</v>
      </c>
    </row>
    <row r="31" spans="1:44" s="34" customFormat="1" ht="15" x14ac:dyDescent="0.25">
      <c r="A31" s="25"/>
      <c r="B31" s="5"/>
      <c r="C31" s="5"/>
      <c r="D31" s="5" t="s">
        <v>5402</v>
      </c>
      <c r="E31" s="5"/>
      <c r="F31" s="5"/>
      <c r="G31" s="5" t="s">
        <v>5404</v>
      </c>
      <c r="H31" s="5" t="s">
        <v>13581</v>
      </c>
      <c r="I31" s="5" t="s">
        <v>13671</v>
      </c>
      <c r="J31" s="41" t="s">
        <v>5403</v>
      </c>
      <c r="K31" s="5" t="s">
        <v>13763</v>
      </c>
      <c r="L31" s="5" t="s">
        <v>15075</v>
      </c>
      <c r="M31" s="5" t="s">
        <v>13864</v>
      </c>
      <c r="N31" s="5" t="s">
        <v>13928</v>
      </c>
      <c r="O31" s="5" t="s">
        <v>14025</v>
      </c>
      <c r="P31" s="5" t="s">
        <v>14117</v>
      </c>
      <c r="Q31" s="5" t="s">
        <v>14203</v>
      </c>
      <c r="R31" s="5" t="s">
        <v>14287</v>
      </c>
      <c r="S31" s="5" t="s">
        <v>14376</v>
      </c>
      <c r="T31" s="5" t="s">
        <v>14465</v>
      </c>
      <c r="U31" s="5" t="s">
        <v>14554</v>
      </c>
      <c r="V31" s="5" t="s">
        <v>14642</v>
      </c>
      <c r="W31" s="5" t="s">
        <v>14727</v>
      </c>
      <c r="X31" s="5" t="s">
        <v>14812</v>
      </c>
      <c r="Y31" s="39" t="str">
        <f>IF(OR($A31&lt;&gt;"", $G31=""),"",CONCATENATE(";",EscStr(CONCATENATE("NavNode_",getCategoryLevelAsString($B31))),";",EscStr($J31),";",IF($B31&lt;&gt;"","""MainCategoryNavNode""",EscStr(CONCATENATE("NavNode_",getSuperCategory($B31, getCategoryLevelAsNumber($B31))))),";"))</f>
        <v>;"NavNode_L3D_525283";"Communication Circuits";"NavNode_L2-3D_525339";</v>
      </c>
      <c r="Z31" s="39" t="str">
        <f>IF(getCategoryLevelAsString($B31)="L0D_324785","",IF(G31="",CONCATENATE(";",EscStr(CONCATENATE("NavNode_",getCategoryLevelAsString($B31))),";",EscStr($J31),";"),CONCATENATE(";",EscStr(CONCATENATE("NavNode_",getCategoryLevelAsString($B31))),";",EscStr(G31),";")))</f>
        <v>;"NavNode_L3D_525283";"Kommunikations-ICs";</v>
      </c>
      <c r="AA31" s="39" t="str">
        <f>IF(getCategoryLevelAsString($B31)="L0D_324785","",IF(H31="",CONCATENATE(";",EscStr(CONCATENATE("NavNode_",getCategoryLevelAsString($B31))),";",EscStr($J31),";"),CONCATENATE(";",EscStr(CONCATENATE("NavNode_",getCategoryLevelAsString($B31))),";",EscStr(H31),";")))</f>
        <v>;"NavNode_L3D_525283";"Circuits de communication";</v>
      </c>
      <c r="AB31" s="39" t="str">
        <f>IF(getCategoryLevelAsString($B31)="L0D_324785","",IF(I31="",CONCATENATE(";",EscStr(CONCATENATE("NavNode_",getCategoryLevelAsString($B31))),";",EscStr($J31),";"),CONCATENATE(";",EscStr(CONCATENATE("NavNode_",getCategoryLevelAsString($B31))),";",EscStr(I31),";")))</f>
        <v>;"NavNode_L3D_525283";"Circuiti di comunicazione";</v>
      </c>
      <c r="AC31" s="39" t="str">
        <f>IF(getCategoryLevelAsString($B31)="L0D_324785","",IF(J31="",CONCATENATE(";",EscStr(CONCATENATE("NavNode_",getCategoryLevelAsString($B31))),";",EscStr($J31),";"),CONCATENATE(";",EscStr(CONCATENATE("NavNode_",getCategoryLevelAsString($B31))),";",EscStr(J31),";")))</f>
        <v>;"NavNode_L3D_525283";"Communication Circuits";</v>
      </c>
      <c r="AD31" s="39" t="str">
        <f>IF(getCategoryLevelAsString($B31)="L0D_324785","",IF(K31="",CONCATENATE(";",EscStr(CONCATENATE("NavNode_",getCategoryLevelAsString($B31))),";",EscStr($J31),";"),CONCATENATE(";",EscStr(CONCATENATE("NavNode_",getCategoryLevelAsString($B31))),";",EscStr(K31),";")))</f>
        <v>;"NavNode_L3D_525283";"Kommunikations-IC";</v>
      </c>
      <c r="AE31" s="39" t="str">
        <f>IF(getCategoryLevelAsString($B31)="L0D_324785","",IF(L31="",CONCATENATE(";",EscStr(CONCATENATE("NavNode_",getCategoryLevelAsString($B31))),";",EscStr($J31),";"),CONCATENATE(";",EscStr(CONCATENATE("NavNode_",getCategoryLevelAsString($B31))),";",EscStr(L31),";")))</f>
        <v>;"NavNode_L3D_525283";"Ryšio grandinės";</v>
      </c>
      <c r="AF31" s="39" t="str">
        <f>IF(getCategoryLevelAsString($B31)="L0D_324785","",IF(M31="",CONCATENATE(";",EscStr(CONCATENATE("NavNode_",getCategoryLevelAsString($B31))),";",EscStr($J31),";"),CONCATENATE(";",EscStr(CONCATENATE("NavNode_",getCategoryLevelAsString($B31))),";",EscStr(M31),";")))</f>
        <v>;"NavNode_L3D_525283";"Kommunikasjonskretser";</v>
      </c>
      <c r="AG31" s="39" t="str">
        <f>IF(getCategoryLevelAsString($B31)="L0D_324785","",IF(N31="",CONCATENATE(";",EscStr(CONCATENATE("NavNode_",getCategoryLevelAsString($B31))),";",EscStr($J31),";"),CONCATENATE(";",EscStr(CONCATENATE("NavNode_",getCategoryLevelAsString($B31))),";",EscStr(N31),";")))</f>
        <v>;"NavNode_L3D_525283";"Kommunikationskretsar";</v>
      </c>
      <c r="AH31" s="39" t="str">
        <f>IF(getCategoryLevelAsString($B31)="L0D_324785","",IF(O31="",CONCATENATE(";",EscStr(CONCATENATE("NavNode_",getCategoryLevelAsString($B31))),";",EscStr($J31),";"),CONCATENATE(";",EscStr(CONCATENATE("NavNode_",getCategoryLevelAsString($B31))),";",EscStr(O31),";")))</f>
        <v>;"NavNode_L3D_525283";"Sideahelad";</v>
      </c>
      <c r="AI31" s="39" t="str">
        <f>IF(getCategoryLevelAsString($B31)="L0D_324785","",IF(P31="",CONCATENATE(";",EscStr(CONCATENATE("NavNode_",getCategoryLevelAsString($B31))),";",EscStr($J31),";"),CONCATENATE(";",EscStr(CONCATENATE("NavNode_",getCategoryLevelAsString($B31))),";",EscStr(P31),";")))</f>
        <v>;"NavNode_L3D_525283";"Liikennöintipiirit";</v>
      </c>
      <c r="AJ31" s="39" t="str">
        <f>IF(getCategoryLevelAsString($B31)="L0D_324785","",IF(Q31="",CONCATENATE(";",EscStr(CONCATENATE("NavNode_",getCategoryLevelAsString($B31))),";",EscStr($J31),";"),CONCATENATE(";",EscStr(CONCATENATE("NavNode_",getCategoryLevelAsString($B31))),";",EscStr(Q31),";")))</f>
        <v>;"NavNode_L3D_525283";"Komunikāciju mikroshēmas";</v>
      </c>
      <c r="AK31" s="39" t="str">
        <f>IF(getCategoryLevelAsString($B31)="L0D_324785","",IF(R31="",CONCATENATE(";",EscStr(CONCATENATE("NavNode_",getCategoryLevelAsString($B31))),";",EscStr($J31),";"),CONCATENATE(";",EscStr(CONCATENATE("NavNode_",getCategoryLevelAsString($B31))),";",EscStr(R31),";")))</f>
        <v>;"NavNode_L3D_525283";"Communicatie componenten";</v>
      </c>
      <c r="AL31" s="39" t="str">
        <f>IF(getCategoryLevelAsString($B31)="L0D_324785","",IF(S31="",CONCATENATE(";",EscStr(CONCATENATE("NavNode_",getCategoryLevelAsString($B31))),";",EscStr($J31),";"),CONCATENATE(";",EscStr(CONCATENATE("NavNode_",getCategoryLevelAsString($B31))),";",EscStr(S31),";")))</f>
        <v>;"NavNode_L3D_525283";"Układy komunikacyjne";</v>
      </c>
      <c r="AM31" s="39" t="str">
        <f>IF(getCategoryLevelAsString($B31)="L0D_324785","",IF(T31="",CONCATENATE(";",EscStr(CONCATENATE("NavNode_",getCategoryLevelAsString($B31))),";",EscStr($J31),";"),CONCATENATE(";",EscStr(CONCATENATE("NavNode_",getCategoryLevelAsString($B31))),";",EscStr(T31),";")))</f>
        <v>;"NavNode_L3D_525283";"Схемы связи";</v>
      </c>
      <c r="AN31" s="39" t="str">
        <f>IF(getCategoryLevelAsString($B31)="L0D_324785","",IF(U31="",CONCATENATE(";",EscStr(CONCATENATE("NavNode_",getCategoryLevelAsString($B31))),";",EscStr($J31),";"),CONCATENATE(";",EscStr(CONCATENATE("NavNode_",getCategoryLevelAsString($B31))),";",EscStr(U31),";")))</f>
        <v>;"NavNode_L3D_525283";"Komunikační obvody";</v>
      </c>
      <c r="AO31" s="39" t="str">
        <f>IF(getCategoryLevelAsString($B31)="L0D_324785","",IF(V31="",CONCATENATE(";",EscStr(CONCATENATE("NavNode_",getCategoryLevelAsString($B31))),";",EscStr($J31),";"),CONCATENATE(";",EscStr(CONCATENATE("NavNode_",getCategoryLevelAsString($B31))),";",EscStr(V31),";")))</f>
        <v>;"NavNode_L3D_525283";"Comunicare ICs";</v>
      </c>
      <c r="AP31" s="39" t="str">
        <f>IF(getCategoryLevelAsString($B31)="L0D_324785","",IF(W31="",CONCATENATE(";",EscStr(CONCATENATE("NavNode_",getCategoryLevelAsString($B31))),";",EscStr($J31),";"),CONCATENATE(";",EscStr(CONCATENATE("NavNode_",getCategoryLevelAsString($B31))),";",EscStr(W31),";")))</f>
        <v>;"NavNode_L3D_525283";"Kommunikációs IC-k";</v>
      </c>
      <c r="AQ31" s="39" t="str">
        <f>IF(getCategoryLevelAsString($B31)="L0D_324785","",IF(X31="",CONCATENATE(";",EscStr(CONCATENATE("NavNode_",getCategoryLevelAsString($B31))),";",EscStr($J31),";"),CONCATENATE(";",EscStr(CONCATENATE("NavNode_",getCategoryLevelAsString($B31))),";",EscStr(X31),";")))</f>
        <v>;"NavNode_L3D_525283";"Komunikačné obvody";</v>
      </c>
      <c r="AR31" s="39" t="str">
        <f>IF(OR($A31&lt;&gt;"", $G31=""),"",CONCATENATE(";",EscStr(CONCATENATE("NavEntry_",getCategoryLevelAsString($B31))),";",EscStr(CONCATENATE($J31," Navigation Entry")),";",EscStr(CONCATENATE("cat-",getCategoryLevelAsString($B31))),";",EscStr(CONCATENATE("NavNode_",getCategoryLevelAsString($B31))),";"))</f>
        <v>;"NavEntry_L3D_525283";"Communication Circuits Navigation Entry";"cat-L3D_525283";"NavNode_L3D_525283";</v>
      </c>
    </row>
    <row r="32" spans="1:44" s="34" customFormat="1" ht="15" x14ac:dyDescent="0.25">
      <c r="A32" s="25"/>
      <c r="B32" s="5"/>
      <c r="C32" s="5" t="s">
        <v>129</v>
      </c>
      <c r="D32" s="5"/>
      <c r="E32" s="5"/>
      <c r="F32" s="5"/>
      <c r="G32" s="5" t="s">
        <v>369</v>
      </c>
      <c r="H32" s="5" t="s">
        <v>370</v>
      </c>
      <c r="I32" s="5" t="s">
        <v>371</v>
      </c>
      <c r="J32" s="5" t="s">
        <v>130</v>
      </c>
      <c r="K32" s="5" t="s">
        <v>13764</v>
      </c>
      <c r="L32" s="5" t="s">
        <v>15076</v>
      </c>
      <c r="M32" s="5" t="s">
        <v>1679</v>
      </c>
      <c r="N32" s="5" t="s">
        <v>1881</v>
      </c>
      <c r="O32" s="5" t="s">
        <v>2475</v>
      </c>
      <c r="P32" s="5" t="s">
        <v>2476</v>
      </c>
      <c r="Q32" s="5" t="s">
        <v>2477</v>
      </c>
      <c r="R32" s="5" t="s">
        <v>2478</v>
      </c>
      <c r="S32" s="5" t="s">
        <v>2479</v>
      </c>
      <c r="T32" s="5" t="s">
        <v>2480</v>
      </c>
      <c r="U32" s="5" t="s">
        <v>2481</v>
      </c>
      <c r="V32" s="5" t="s">
        <v>2482</v>
      </c>
      <c r="W32" s="5" t="s">
        <v>2483</v>
      </c>
      <c r="X32" s="5" t="s">
        <v>14813</v>
      </c>
      <c r="Y32" s="39" t="str">
        <f>IF(OR($A32&lt;&gt;"", $G32=""),"",CONCATENATE(";",EscStr(CONCATENATE("NavNode_",getCategoryLevelAsString($B32))),";",EscStr($J32),";",IF($B32&lt;&gt;"","""MainCategoryNavNode""",EscStr(CONCATENATE("NavNode_",getSuperCategory($B32, getCategoryLevelAsNumber($B32))))),";"))</f>
        <v>;"NavNode_L2-3D_525340";"Assembly Material for Semiconductors";"NavNode_Active Components";</v>
      </c>
      <c r="Z32" s="39" t="str">
        <f>IF(getCategoryLevelAsString($B32)="L0D_324785","",IF(G32="",CONCATENATE(";",EscStr(CONCATENATE("NavNode_",getCategoryLevelAsString($B32))),";",EscStr($J32),";"),CONCATENATE(";",EscStr(CONCATENATE("NavNode_",getCategoryLevelAsString($B32))),";",EscStr(G32),";")))</f>
        <v>;"NavNode_L2-3D_525340";"Montagematerial für Halbleiter";</v>
      </c>
      <c r="AA32" s="39" t="str">
        <f>IF(getCategoryLevelAsString($B32)="L0D_324785","",IF(H32="",CONCATENATE(";",EscStr(CONCATENATE("NavNode_",getCategoryLevelAsString($B32))),";",EscStr($J32),";"),CONCATENATE(";",EscStr(CONCATENATE("NavNode_",getCategoryLevelAsString($B32))),";",EscStr(H32),";")))</f>
        <v>;"NavNode_L2-3D_525340";"Matériel de montage pour semi-conducteur";</v>
      </c>
      <c r="AB32" s="39" t="str">
        <f>IF(getCategoryLevelAsString($B32)="L0D_324785","",IF(I32="",CONCATENATE(";",EscStr(CONCATENATE("NavNode_",getCategoryLevelAsString($B32))),";",EscStr($J32),";"),CONCATENATE(";",EscStr(CONCATENATE("NavNode_",getCategoryLevelAsString($B32))),";",EscStr(I32),";")))</f>
        <v>;"NavNode_L2-3D_525340";"Materiale di montaggio per semiconduttori";</v>
      </c>
      <c r="AC32" s="39" t="str">
        <f>IF(getCategoryLevelAsString($B32)="L0D_324785","",IF(J32="",CONCATENATE(";",EscStr(CONCATENATE("NavNode_",getCategoryLevelAsString($B32))),";",EscStr($J32),";"),CONCATENATE(";",EscStr(CONCATENATE("NavNode_",getCategoryLevelAsString($B32))),";",EscStr(J32),";")))</f>
        <v>;"NavNode_L2-3D_525340";"Assembly Material for Semiconductors";</v>
      </c>
      <c r="AD32" s="39" t="str">
        <f>IF(getCategoryLevelAsString($B32)="L0D_324785","",IF(K32="",CONCATENATE(";",EscStr(CONCATENATE("NavNode_",getCategoryLevelAsString($B32))),";",EscStr($J32),";"),CONCATENATE(";",EscStr(CONCATENATE("NavNode_",getCategoryLevelAsString($B32))),";",EscStr(K32),";")))</f>
        <v>;"NavNode_L2-3D_525340";"Halvleder Tilbehør";</v>
      </c>
      <c r="AE32" s="39" t="str">
        <f>IF(getCategoryLevelAsString($B32)="L0D_324785","",IF(L32="",CONCATENATE(";",EscStr(CONCATENATE("NavNode_",getCategoryLevelAsString($B32))),";",EscStr($J32),";"),CONCATENATE(";",EscStr(CONCATENATE("NavNode_",getCategoryLevelAsString($B32))),";",EscStr(L32),";")))</f>
        <v>;"NavNode_L2-3D_525340";"Puslaidininkių montavimo priemonės";</v>
      </c>
      <c r="AF32" s="39" t="str">
        <f>IF(getCategoryLevelAsString($B32)="L0D_324785","",IF(M32="",CONCATENATE(";",EscStr(CONCATENATE("NavNode_",getCategoryLevelAsString($B32))),";",EscStr($J32),";"),CONCATENATE(";",EscStr(CONCATENATE("NavNode_",getCategoryLevelAsString($B32))),";",EscStr(M32),";")))</f>
        <v>;"NavNode_L2-3D_525340";"Monteringsmaterialer for halvledere";</v>
      </c>
      <c r="AG32" s="39" t="str">
        <f>IF(getCategoryLevelAsString($B32)="L0D_324785","",IF(N32="",CONCATENATE(";",EscStr(CONCATENATE("NavNode_",getCategoryLevelAsString($B32))),";",EscStr($J32),";"),CONCATENATE(";",EscStr(CONCATENATE("NavNode_",getCategoryLevelAsString($B32))),";",EscStr(N32),";")))</f>
        <v>;"NavNode_L2-3D_525340";"Monteringsmaterial för halvledare";</v>
      </c>
      <c r="AH32" s="39" t="str">
        <f>IF(getCategoryLevelAsString($B32)="L0D_324785","",IF(O32="",CONCATENATE(";",EscStr(CONCATENATE("NavNode_",getCategoryLevelAsString($B32))),";",EscStr($J32),";"),CONCATENATE(";",EscStr(CONCATENATE("NavNode_",getCategoryLevelAsString($B32))),";",EscStr(O32),";")))</f>
        <v>;"NavNode_L2-3D_525340";"Pooljuhtide paigaldusmaterjalid";</v>
      </c>
      <c r="AI32" s="39" t="str">
        <f>IF(getCategoryLevelAsString($B32)="L0D_324785","",IF(P32="",CONCATENATE(";",EscStr(CONCATENATE("NavNode_",getCategoryLevelAsString($B32))),";",EscStr($J32),";"),CONCATENATE(";",EscStr(CONCATENATE("NavNode_",getCategoryLevelAsString($B32))),";",EscStr(P32),";")))</f>
        <v>;"NavNode_L2-3D_525340";"Puolijohteiden asennustarvikkeet";</v>
      </c>
      <c r="AJ32" s="39" t="str">
        <f>IF(getCategoryLevelAsString($B32)="L0D_324785","",IF(Q32="",CONCATENATE(";",EscStr(CONCATENATE("NavNode_",getCategoryLevelAsString($B32))),";",EscStr($J32),";"),CONCATENATE(";",EscStr(CONCATENATE("NavNode_",getCategoryLevelAsString($B32))),";",EscStr(Q32),";")))</f>
        <v>;"NavNode_L2-3D_525340";"Pusvadītāju montāžas materiāli";</v>
      </c>
      <c r="AK32" s="39" t="str">
        <f>IF(getCategoryLevelAsString($B32)="L0D_324785","",IF(R32="",CONCATENATE(";",EscStr(CONCATENATE("NavNode_",getCategoryLevelAsString($B32))),";",EscStr($J32),";"),CONCATENATE(";",EscStr(CONCATENATE("NavNode_",getCategoryLevelAsString($B32))),";",EscStr(R32),";")))</f>
        <v>;"NavNode_L2-3D_525340";"Montagemateriaal voor halfgeleiders";</v>
      </c>
      <c r="AL32" s="39" t="str">
        <f>IF(getCategoryLevelAsString($B32)="L0D_324785","",IF(S32="",CONCATENATE(";",EscStr(CONCATENATE("NavNode_",getCategoryLevelAsString($B32))),";",EscStr($J32),";"),CONCATENATE(";",EscStr(CONCATENATE("NavNode_",getCategoryLevelAsString($B32))),";",EscStr(S32),";")))</f>
        <v>;"NavNode_L2-3D_525340";"Materiały montażowe dla półprzewodników";</v>
      </c>
      <c r="AM32" s="39" t="str">
        <f>IF(getCategoryLevelAsString($B32)="L0D_324785","",IF(T32="",CONCATENATE(";",EscStr(CONCATENATE("NavNode_",getCategoryLevelAsString($B32))),";",EscStr($J32),";"),CONCATENATE(";",EscStr(CONCATENATE("NavNode_",getCategoryLevelAsString($B32))),";",EscStr(T32),";")))</f>
        <v>;"NavNode_L2-3D_525340";"Установочные материалы для полупроводников";</v>
      </c>
      <c r="AN32" s="39" t="str">
        <f>IF(getCategoryLevelAsString($B32)="L0D_324785","",IF(U32="",CONCATENATE(";",EscStr(CONCATENATE("NavNode_",getCategoryLevelAsString($B32))),";",EscStr($J32),";"),CONCATENATE(";",EscStr(CONCATENATE("NavNode_",getCategoryLevelAsString($B32))),";",EscStr(U32),";")))</f>
        <v>;"NavNode_L2-3D_525340";"Montážní materiál pro polovodiče";</v>
      </c>
      <c r="AO32" s="39" t="str">
        <f>IF(getCategoryLevelAsString($B32)="L0D_324785","",IF(V32="",CONCATENATE(";",EscStr(CONCATENATE("NavNode_",getCategoryLevelAsString($B32))),";",EscStr($J32),";"),CONCATENATE(";",EscStr(CONCATENATE("NavNode_",getCategoryLevelAsString($B32))),";",EscStr(V32),";")))</f>
        <v>;"NavNode_L2-3D_525340";"Materiale de montare pentru semiconductoare";</v>
      </c>
      <c r="AP32" s="39" t="str">
        <f>IF(getCategoryLevelAsString($B32)="L0D_324785","",IF(W32="",CONCATENATE(";",EscStr(CONCATENATE("NavNode_",getCategoryLevelAsString($B32))),";",EscStr($J32),";"),CONCATENATE(";",EscStr(CONCATENATE("NavNode_",getCategoryLevelAsString($B32))),";",EscStr(W32),";")))</f>
        <v>;"NavNode_L2-3D_525340";"Építőelemek félvezetőkhöz";</v>
      </c>
      <c r="AQ32" s="39" t="str">
        <f>IF(getCategoryLevelAsString($B32)="L0D_324785","",IF(X32="",CONCATENATE(";",EscStr(CONCATENATE("NavNode_",getCategoryLevelAsString($B32))),";",EscStr($J32),";"),CONCATENATE(";",EscStr(CONCATENATE("NavNode_",getCategoryLevelAsString($B32))),";",EscStr(X32),";")))</f>
        <v>;"NavNode_L2-3D_525340";"Montážny materiál pre polovodiče";</v>
      </c>
      <c r="AR32" s="39" t="str">
        <f>IF(OR($A32&lt;&gt;"", $G32=""),"",CONCATENATE(";",EscStr(CONCATENATE("NavEntry_",getCategoryLevelAsString($B32))),";",EscStr(CONCATENATE($J32," Navigation Entry")),";",EscStr(CONCATENATE("cat-",getCategoryLevelAsString($B32))),";",EscStr(CONCATENATE("NavNode_",getCategoryLevelAsString($B32))),";"))</f>
        <v>;"NavEntry_L2-3D_525340";"Assembly Material for Semiconductors Navigation Entry";"cat-L2-3D_525340";"NavNode_L2-3D_525340";</v>
      </c>
    </row>
    <row r="33" spans="1:44" s="34" customFormat="1" ht="15" x14ac:dyDescent="0.25">
      <c r="A33" s="25"/>
      <c r="B33" s="5"/>
      <c r="C33" s="5"/>
      <c r="D33" s="5" t="s">
        <v>5495</v>
      </c>
      <c r="E33" s="5"/>
      <c r="F33" s="5"/>
      <c r="G33" s="5" t="s">
        <v>5497</v>
      </c>
      <c r="H33" s="5" t="s">
        <v>13582</v>
      </c>
      <c r="I33" s="5" t="s">
        <v>13672</v>
      </c>
      <c r="J33" s="41" t="s">
        <v>13551</v>
      </c>
      <c r="K33" s="5" t="s">
        <v>13765</v>
      </c>
      <c r="L33" s="5" t="s">
        <v>15077</v>
      </c>
      <c r="M33" s="5" t="s">
        <v>13865</v>
      </c>
      <c r="N33" s="47" t="s">
        <v>15438</v>
      </c>
      <c r="O33" s="5" t="s">
        <v>14026</v>
      </c>
      <c r="P33" s="5" t="s">
        <v>14118</v>
      </c>
      <c r="Q33" s="5" t="s">
        <v>14204</v>
      </c>
      <c r="R33" s="5" t="s">
        <v>14288</v>
      </c>
      <c r="S33" s="5" t="s">
        <v>14377</v>
      </c>
      <c r="T33" s="5" t="s">
        <v>14466</v>
      </c>
      <c r="U33" s="5" t="s">
        <v>14555</v>
      </c>
      <c r="V33" s="5" t="s">
        <v>14643</v>
      </c>
      <c r="W33" s="5" t="s">
        <v>14728</v>
      </c>
      <c r="X33" s="5" t="s">
        <v>14814</v>
      </c>
      <c r="Y33" s="39" t="str">
        <f>IF(OR($A33&lt;&gt;"", $G33=""),"",CONCATENATE(";",EscStr(CONCATENATE("NavNode_",getCategoryLevelAsString($B33))),";",EscStr($J33),";",IF($B33&lt;&gt;"","""MainCategoryNavNode""",EscStr(CONCATENATE("NavNode_",getSuperCategory($B33, getCategoryLevelAsNumber($B33))))),";"))</f>
        <v>;"NavNode_L3D_525288";"Installation materials for discrete semiconductors";"NavNode_L2-3D_525340";</v>
      </c>
      <c r="Z33" s="39" t="str">
        <f>IF(getCategoryLevelAsString($B33)="L0D_324785","",IF(G33="",CONCATENATE(";",EscStr(CONCATENATE("NavNode_",getCategoryLevelAsString($B33))),";",EscStr($J33),";"),CONCATENATE(";",EscStr(CONCATENATE("NavNode_",getCategoryLevelAsString($B33))),";",EscStr(G33),";")))</f>
        <v>;"NavNode_L3D_525288";"Einbaumaterial für diskrete Halbleiter";</v>
      </c>
      <c r="AA33" s="39" t="str">
        <f>IF(getCategoryLevelAsString($B33)="L0D_324785","",IF(H33="",CONCATENATE(";",EscStr(CONCATENATE("NavNode_",getCategoryLevelAsString($B33))),";",EscStr($J33),";"),CONCATENATE(";",EscStr(CONCATENATE("NavNode_",getCategoryLevelAsString($B33))),";",EscStr(H33),";")))</f>
        <v>;"NavNode_L3D_525288";"Matériel de montage pour semi-conducteurs discrets";</v>
      </c>
      <c r="AB33" s="39" t="str">
        <f>IF(getCategoryLevelAsString($B33)="L0D_324785","",IF(I33="",CONCATENATE(";",EscStr(CONCATENATE("NavNode_",getCategoryLevelAsString($B33))),";",EscStr($J33),";"),CONCATENATE(";",EscStr(CONCATENATE("NavNode_",getCategoryLevelAsString($B33))),";",EscStr(I33),";")))</f>
        <v>;"NavNode_L3D_525288";"Materiale di montaggio per semiconduttori discreti";</v>
      </c>
      <c r="AC33" s="39" t="str">
        <f>IF(getCategoryLevelAsString($B33)="L0D_324785","",IF(J33="",CONCATENATE(";",EscStr(CONCATENATE("NavNode_",getCategoryLevelAsString($B33))),";",EscStr($J33),";"),CONCATENATE(";",EscStr(CONCATENATE("NavNode_",getCategoryLevelAsString($B33))),";",EscStr(J33),";")))</f>
        <v>;"NavNode_L3D_525288";"Installation materials for discrete semiconductors";</v>
      </c>
      <c r="AD33" s="39" t="str">
        <f>IF(getCategoryLevelAsString($B33)="L0D_324785","",IF(K33="",CONCATENATE(";",EscStr(CONCATENATE("NavNode_",getCategoryLevelAsString($B33))),";",EscStr($J33),";"),CONCATENATE(";",EscStr(CONCATENATE("NavNode_",getCategoryLevelAsString($B33))),";",EscStr(K33),";")))</f>
        <v>;"NavNode_L3D_525288";"Installationsmateriale til diskrete halvledere";</v>
      </c>
      <c r="AE33" s="39" t="str">
        <f>IF(getCategoryLevelAsString($B33)="L0D_324785","",IF(L33="",CONCATENATE(";",EscStr(CONCATENATE("NavNode_",getCategoryLevelAsString($B33))),";",EscStr($J33),";"),CONCATENATE(";",EscStr(CONCATENATE("NavNode_",getCategoryLevelAsString($B33))),";",EscStr(L33),";")))</f>
        <v>;"NavNode_L3D_525288";"Puslaidininkių montavimo priedai";</v>
      </c>
      <c r="AF33" s="39" t="str">
        <f>IF(getCategoryLevelAsString($B33)="L0D_324785","",IF(M33="",CONCATENATE(";",EscStr(CONCATENATE("NavNode_",getCategoryLevelAsString($B33))),";",EscStr($J33),";"),CONCATENATE(";",EscStr(CONCATENATE("NavNode_",getCategoryLevelAsString($B33))),";",EscStr(M33),";")))</f>
        <v>;"NavNode_L3D_525288";"Installasjonsmateriell for diskrete halvledere";</v>
      </c>
      <c r="AG33" s="39" t="str">
        <f>IF(getCategoryLevelAsString($B33)="L0D_324785","",IF(N33="",CONCATENATE(";",EscStr(CONCATENATE("NavNode_",getCategoryLevelAsString($B33))),";",EscStr($J33),";"),CONCATENATE(";",EscStr(CONCATENATE("NavNode_",getCategoryLevelAsString($B33))),";",EscStr(N33),";")))</f>
        <v>;"NavNode_L3D_525288";"Monteringsmaterial för diskreta halvledare";</v>
      </c>
      <c r="AH33" s="39" t="str">
        <f>IF(getCategoryLevelAsString($B33)="L0D_324785","",IF(O33="",CONCATENATE(";",EscStr(CONCATENATE("NavNode_",getCategoryLevelAsString($B33))),";",EscStr($J33),";"),CONCATENATE(";",EscStr(CONCATENATE("NavNode_",getCategoryLevelAsString($B33))),";",EscStr(O33),";")))</f>
        <v>;"NavNode_L3D_525288";"Aktiivkomponentide installatsioonimaterjalid";</v>
      </c>
      <c r="AI33" s="39" t="str">
        <f>IF(getCategoryLevelAsString($B33)="L0D_324785","",IF(P33="",CONCATENATE(";",EscStr(CONCATENATE("NavNode_",getCategoryLevelAsString($B33))),";",EscStr($J33),";"),CONCATENATE(";",EscStr(CONCATENATE("NavNode_",getCategoryLevelAsString($B33))),";",EscStr(P33),";")))</f>
        <v>;"NavNode_L3D_525288";"Asennustarvikkeet pienpuolijohteille";</v>
      </c>
      <c r="AJ33" s="39" t="str">
        <f>IF(getCategoryLevelAsString($B33)="L0D_324785","",IF(Q33="",CONCATENATE(";",EscStr(CONCATENATE("NavNode_",getCategoryLevelAsString($B33))),";",EscStr($J33),";"),CONCATENATE(";",EscStr(CONCATENATE("NavNode_",getCategoryLevelAsString($B33))),";",EscStr(Q33),";")))</f>
        <v>;"NavNode_L3D_525288";"Diskrēto pusvadītāju montāžas materiāli";</v>
      </c>
      <c r="AK33" s="39" t="str">
        <f>IF(getCategoryLevelAsString($B33)="L0D_324785","",IF(R33="",CONCATENATE(";",EscStr(CONCATENATE("NavNode_",getCategoryLevelAsString($B33))),";",EscStr($J33),";"),CONCATENATE(";",EscStr(CONCATENATE("NavNode_",getCategoryLevelAsString($B33))),";",EscStr(R33),";")))</f>
        <v>;"NavNode_L3D_525288";"Montagemateriaal voor discrete halfgeleiders";</v>
      </c>
      <c r="AL33" s="39" t="str">
        <f>IF(getCategoryLevelAsString($B33)="L0D_324785","",IF(S33="",CONCATENATE(";",EscStr(CONCATENATE("NavNode_",getCategoryLevelAsString($B33))),";",EscStr($J33),";"),CONCATENATE(";",EscStr(CONCATENATE("NavNode_",getCategoryLevelAsString($B33))),";",EscStr(S33),";")))</f>
        <v>;"NavNode_L3D_525288";"Materiał do montażu półprzewodników dyskretnych";</v>
      </c>
      <c r="AM33" s="39" t="str">
        <f>IF(getCategoryLevelAsString($B33)="L0D_324785","",IF(T33="",CONCATENATE(";",EscStr(CONCATENATE("NavNode_",getCategoryLevelAsString($B33))),";",EscStr($J33),";"),CONCATENATE(";",EscStr(CONCATENATE("NavNode_",getCategoryLevelAsString($B33))),";",EscStr(T33),";")))</f>
        <v>;"NavNode_L3D_525288";"Дискретные полупроводники";</v>
      </c>
      <c r="AN33" s="39" t="str">
        <f>IF(getCategoryLevelAsString($B33)="L0D_324785","",IF(U33="",CONCATENATE(";",EscStr(CONCATENATE("NavNode_",getCategoryLevelAsString($B33))),";",EscStr($J33),";"),CONCATENATE(";",EscStr(CONCATENATE("NavNode_",getCategoryLevelAsString($B33))),";",EscStr(U33),";")))</f>
        <v>;"NavNode_L3D_525288";"Instalační materiály pro diskrétní polovodiče";</v>
      </c>
      <c r="AO33" s="39" t="str">
        <f>IF(getCategoryLevelAsString($B33)="L0D_324785","",IF(V33="",CONCATENATE(";",EscStr(CONCATENATE("NavNode_",getCategoryLevelAsString($B33))),";",EscStr($J33),";"),CONCATENATE(";",EscStr(CONCATENATE("NavNode_",getCategoryLevelAsString($B33))),";",EscStr(V33),";")))</f>
        <v>;"NavNode_L3D_525288";"Materiale de instalare pentru semiconductori discreţi";</v>
      </c>
      <c r="AP33" s="39" t="str">
        <f>IF(getCategoryLevelAsString($B33)="L0D_324785","",IF(W33="",CONCATENATE(";",EscStr(CONCATENATE("NavNode_",getCategoryLevelAsString($B33))),";",EscStr($J33),";"),CONCATENATE(";",EscStr(CONCATENATE("NavNode_",getCategoryLevelAsString($B33))),";",EscStr(W33),";")))</f>
        <v>;"NavNode_L3D_525288";"Építőelemek diszkrét félvezetőkhöz";</v>
      </c>
      <c r="AQ33" s="39" t="str">
        <f>IF(getCategoryLevelAsString($B33)="L0D_324785","",IF(X33="",CONCATENATE(";",EscStr(CONCATENATE("NavNode_",getCategoryLevelAsString($B33))),";",EscStr($J33),";"),CONCATENATE(";",EscStr(CONCATENATE("NavNode_",getCategoryLevelAsString($B33))),";",EscStr(X33),";")))</f>
        <v>;"NavNode_L3D_525288";"Inštalačné materiály pre diskrétne polovodiče";</v>
      </c>
      <c r="AR33" s="39" t="str">
        <f>IF(OR($A33&lt;&gt;"", $G33=""),"",CONCATENATE(";",EscStr(CONCATENATE("NavEntry_",getCategoryLevelAsString($B33))),";",EscStr(CONCATENATE($J33," Navigation Entry")),";",EscStr(CONCATENATE("cat-",getCategoryLevelAsString($B33))),";",EscStr(CONCATENATE("NavNode_",getCategoryLevelAsString($B33))),";"))</f>
        <v>;"NavEntry_L3D_525288";"Installation materials for discrete semiconductors Navigation Entry";"cat-L3D_525288";"NavNode_L3D_525288";</v>
      </c>
    </row>
    <row r="34" spans="1:44" s="34" customFormat="1" ht="15" x14ac:dyDescent="0.25">
      <c r="A34" s="25"/>
      <c r="B34" s="5"/>
      <c r="C34" s="5"/>
      <c r="D34" s="5" t="s">
        <v>5520</v>
      </c>
      <c r="E34" s="5"/>
      <c r="F34" s="5"/>
      <c r="G34" s="5" t="s">
        <v>5522</v>
      </c>
      <c r="H34" s="5" t="s">
        <v>13583</v>
      </c>
      <c r="I34" s="5" t="s">
        <v>13673</v>
      </c>
      <c r="J34" s="5" t="s">
        <v>5521</v>
      </c>
      <c r="K34" s="5" t="s">
        <v>13766</v>
      </c>
      <c r="L34" s="5" t="s">
        <v>15078</v>
      </c>
      <c r="M34" s="5" t="s">
        <v>13866</v>
      </c>
      <c r="N34" s="47" t="s">
        <v>15439</v>
      </c>
      <c r="O34" s="5" t="s">
        <v>14027</v>
      </c>
      <c r="P34" s="5" t="s">
        <v>14119</v>
      </c>
      <c r="Q34" s="5" t="s">
        <v>14205</v>
      </c>
      <c r="R34" s="5" t="s">
        <v>14289</v>
      </c>
      <c r="S34" s="5" t="s">
        <v>14378</v>
      </c>
      <c r="T34" s="5" t="s">
        <v>14467</v>
      </c>
      <c r="U34" s="5" t="s">
        <v>14556</v>
      </c>
      <c r="V34" s="5" t="s">
        <v>14644</v>
      </c>
      <c r="W34" s="5" t="s">
        <v>14729</v>
      </c>
      <c r="X34" s="5" t="s">
        <v>14815</v>
      </c>
      <c r="Y34" s="39" t="str">
        <f>IF(OR($A34&lt;&gt;"", $G34=""),"",CONCATENATE(";",EscStr(CONCATENATE("NavNode_",getCategoryLevelAsString($B34))),";",EscStr($J34),";",IF($B34&lt;&gt;"","""MainCategoryNavNode""",EscStr(CONCATENATE("NavNode_",getSuperCategory($B34, getCategoryLevelAsNumber($B34))))),";"))</f>
        <v>;"NavNode_L3D_525291";"Test Sockets and Test Clips";"NavNode_L2-3D_525340";</v>
      </c>
      <c r="Z34" s="39" t="str">
        <f>IF(getCategoryLevelAsString($B34)="L0D_324785","",IF(G34="",CONCATENATE(";",EscStr(CONCATENATE("NavNode_",getCategoryLevelAsString($B34))),";",EscStr($J34),";"),CONCATENATE(";",EscStr(CONCATENATE("NavNode_",getCategoryLevelAsString($B34))),";",EscStr(G34),";")))</f>
        <v>;"NavNode_L3D_525291";"Testfassungen und Testclips";</v>
      </c>
      <c r="AA34" s="39" t="str">
        <f>IF(getCategoryLevelAsString($B34)="L0D_324785","",IF(H34="",CONCATENATE(";",EscStr(CONCATENATE("NavNode_",getCategoryLevelAsString($B34))),";",EscStr($J34),";"),CONCATENATE(";",EscStr(CONCATENATE("NavNode_",getCategoryLevelAsString($B34))),";",EscStr(H34),";")))</f>
        <v>;"NavNode_L3D_525291";"Socles test et clips de test";</v>
      </c>
      <c r="AB34" s="39" t="str">
        <f>IF(getCategoryLevelAsString($B34)="L0D_324785","",IF(I34="",CONCATENATE(";",EscStr(CONCATENATE("NavNode_",getCategoryLevelAsString($B34))),";",EscStr($J34),";"),CONCATENATE(";",EscStr(CONCATENATE("NavNode_",getCategoryLevelAsString($B34))),";",EscStr(I34),";")))</f>
        <v>;"NavNode_L3D_525291";"Zoccoli di test e clip di test";</v>
      </c>
      <c r="AC34" s="39" t="str">
        <f>IF(getCategoryLevelAsString($B34)="L0D_324785","",IF(J34="",CONCATENATE(";",EscStr(CONCATENATE("NavNode_",getCategoryLevelAsString($B34))),";",EscStr($J34),";"),CONCATENATE(";",EscStr(CONCATENATE("NavNode_",getCategoryLevelAsString($B34))),";",EscStr(J34),";")))</f>
        <v>;"NavNode_L3D_525291";"Test Sockets and Test Clips";</v>
      </c>
      <c r="AD34" s="39" t="str">
        <f>IF(getCategoryLevelAsString($B34)="L0D_324785","",IF(K34="",CONCATENATE(";",EscStr(CONCATENATE("NavNode_",getCategoryLevelAsString($B34))),";",EscStr($J34),";"),CONCATENATE(";",EscStr(CONCATENATE("NavNode_",getCategoryLevelAsString($B34))),";",EscStr(K34),";")))</f>
        <v>;"NavNode_L3D_525291";"Testsokler  og testclips";</v>
      </c>
      <c r="AE34" s="39" t="str">
        <f>IF(getCategoryLevelAsString($B34)="L0D_324785","",IF(L34="",CONCATENATE(";",EscStr(CONCATENATE("NavNode_",getCategoryLevelAsString($B34))),";",EscStr($J34),";"),CONCATENATE(";",EscStr(CONCATENATE("NavNode_",getCategoryLevelAsString($B34))),";",EscStr(L34),";")))</f>
        <v>;"NavNode_L3D_525291";"Testavimo lizdai ir testavimo spaustukai";</v>
      </c>
      <c r="AF34" s="39" t="str">
        <f>IF(getCategoryLevelAsString($B34)="L0D_324785","",IF(M34="",CONCATENATE(";",EscStr(CONCATENATE("NavNode_",getCategoryLevelAsString($B34))),";",EscStr($J34),";"),CONCATENATE(";",EscStr(CONCATENATE("NavNode_",getCategoryLevelAsString($B34))),";",EscStr(M34),";")))</f>
        <v>;"NavNode_L3D_525291";"Testsokler og testklemmer";</v>
      </c>
      <c r="AG34" s="39" t="str">
        <f>IF(getCategoryLevelAsString($B34)="L0D_324785","",IF(N34="",CONCATENATE(";",EscStr(CONCATENATE("NavNode_",getCategoryLevelAsString($B34))),";",EscStr($J34),";"),CONCATENATE(";",EscStr(CONCATENATE("NavNode_",getCategoryLevelAsString($B34))),";",EscStr(N34),";")))</f>
        <v>;"NavNode_L3D_525291";"Testsocklar och testklämmor";</v>
      </c>
      <c r="AH34" s="39" t="str">
        <f>IF(getCategoryLevelAsString($B34)="L0D_324785","",IF(O34="",CONCATENATE(";",EscStr(CONCATENATE("NavNode_",getCategoryLevelAsString($B34))),";",EscStr($J34),";"),CONCATENATE(";",EscStr(CONCATENATE("NavNode_",getCategoryLevelAsString($B34))),";",EscStr(O34),";")))</f>
        <v>;"NavNode_L3D_525291";"Testpesad ja testhaaratsid";</v>
      </c>
      <c r="AI34" s="39" t="str">
        <f>IF(getCategoryLevelAsString($B34)="L0D_324785","",IF(P34="",CONCATENATE(";",EscStr(CONCATENATE("NavNode_",getCategoryLevelAsString($B34))),";",EscStr($J34),";"),CONCATENATE(";",EscStr(CONCATENATE("NavNode_",getCategoryLevelAsString($B34))),";",EscStr(P34),";")))</f>
        <v>;"NavNode_L3D_525291";"Testikannat ja klipsit";</v>
      </c>
      <c r="AJ34" s="39" t="str">
        <f>IF(getCategoryLevelAsString($B34)="L0D_324785","",IF(Q34="",CONCATENATE(";",EscStr(CONCATENATE("NavNode_",getCategoryLevelAsString($B34))),";",EscStr($J34),";"),CONCATENATE(";",EscStr(CONCATENATE("NavNode_",getCategoryLevelAsString($B34))),";",EscStr(Q34),";")))</f>
        <v>;"NavNode_L3D_525291";"Testu ligzdas un spailes";</v>
      </c>
      <c r="AK34" s="39" t="str">
        <f>IF(getCategoryLevelAsString($B34)="L0D_324785","",IF(R34="",CONCATENATE(";",EscStr(CONCATENATE("NavNode_",getCategoryLevelAsString($B34))),";",EscStr($J34),";"),CONCATENATE(";",EscStr(CONCATENATE("NavNode_",getCategoryLevelAsString($B34))),";",EscStr(R34),";")))</f>
        <v>;"NavNode_L3D_525291";"Meetpennen en test clips";</v>
      </c>
      <c r="AL34" s="39" t="str">
        <f>IF(getCategoryLevelAsString($B34)="L0D_324785","",IF(S34="",CONCATENATE(";",EscStr(CONCATENATE("NavNode_",getCategoryLevelAsString($B34))),";",EscStr($J34),";"),CONCATENATE(";",EscStr(CONCATENATE("NavNode_",getCategoryLevelAsString($B34))),";",EscStr(S34),";")))</f>
        <v>;"NavNode_L3D_525291";"Oprawki i Klamry testowe";</v>
      </c>
      <c r="AM34" s="39" t="str">
        <f>IF(getCategoryLevelAsString($B34)="L0D_324785","",IF(T34="",CONCATENATE(";",EscStr(CONCATENATE("NavNode_",getCategoryLevelAsString($B34))),";",EscStr($J34),";"),CONCATENATE(";",EscStr(CONCATENATE("NavNode_",getCategoryLevelAsString($B34))),";",EscStr(T34),";")))</f>
        <v>;"NavNode_L3D_525291";"Тестовые гнёзда и зажимы";</v>
      </c>
      <c r="AN34" s="39" t="str">
        <f>IF(getCategoryLevelAsString($B34)="L0D_324785","",IF(U34="",CONCATENATE(";",EscStr(CONCATENATE("NavNode_",getCategoryLevelAsString($B34))),";",EscStr($J34),";"),CONCATENATE(";",EscStr(CONCATENATE("NavNode_",getCategoryLevelAsString($B34))),";",EscStr(U34),";")))</f>
        <v>;"NavNode_L3D_525291";"Testovací patice a testovací svorky";</v>
      </c>
      <c r="AO34" s="39" t="str">
        <f>IF(getCategoryLevelAsString($B34)="L0D_324785","",IF(V34="",CONCATENATE(";",EscStr(CONCATENATE("NavNode_",getCategoryLevelAsString($B34))),";",EscStr($J34),";"),CONCATENATE(";",EscStr(CONCATENATE("NavNode_",getCategoryLevelAsString($B34))),";",EscStr(V34),";")))</f>
        <v>;"NavNode_L3D_525291";"Testere IC";</v>
      </c>
      <c r="AP34" s="39" t="str">
        <f>IF(getCategoryLevelAsString($B34)="L0D_324785","",IF(W34="",CONCATENATE(";",EscStr(CONCATENATE("NavNode_",getCategoryLevelAsString($B34))),";",EscStr($J34),";"),CONCATENATE(";",EscStr(CONCATENATE("NavNode_",getCategoryLevelAsString($B34))),";",EscStr(W34),";")))</f>
        <v>;"NavNode_L3D_525291";"Tesztfoglalatok és tesztcsipeszek";</v>
      </c>
      <c r="AQ34" s="39" t="str">
        <f>IF(getCategoryLevelAsString($B34)="L0D_324785","",IF(X34="",CONCATENATE(";",EscStr(CONCATENATE("NavNode_",getCategoryLevelAsString($B34))),";",EscStr($J34),";"),CONCATENATE(";",EscStr(CONCATENATE("NavNode_",getCategoryLevelAsString($B34))),";",EscStr(X34),";")))</f>
        <v>;"NavNode_L3D_525291";"Testovacie pätice a testovacie svorky";</v>
      </c>
      <c r="AR34" s="39" t="str">
        <f>IF(OR($A34&lt;&gt;"", $G34=""),"",CONCATENATE(";",EscStr(CONCATENATE("NavEntry_",getCategoryLevelAsString($B34))),";",EscStr(CONCATENATE($J34," Navigation Entry")),";",EscStr(CONCATENATE("cat-",getCategoryLevelAsString($B34))),";",EscStr(CONCATENATE("NavNode_",getCategoryLevelAsString($B34))),";"))</f>
        <v>;"NavEntry_L3D_525291";"Test Sockets and Test Clips Navigation Entry";"cat-L3D_525291";"NavNode_L3D_525291";</v>
      </c>
    </row>
    <row r="35" spans="1:44" s="34" customFormat="1" ht="15" x14ac:dyDescent="0.25">
      <c r="A35" s="25"/>
      <c r="B35" s="5"/>
      <c r="C35" s="5"/>
      <c r="D35" s="5" t="s">
        <v>5533</v>
      </c>
      <c r="E35" s="5"/>
      <c r="F35" s="5"/>
      <c r="G35" s="5" t="s">
        <v>5535</v>
      </c>
      <c r="H35" s="5" t="s">
        <v>13584</v>
      </c>
      <c r="I35" s="5" t="s">
        <v>13674</v>
      </c>
      <c r="J35" s="40" t="s">
        <v>13552</v>
      </c>
      <c r="K35" s="5" t="s">
        <v>13767</v>
      </c>
      <c r="L35" s="5" t="s">
        <v>15079</v>
      </c>
      <c r="M35" s="5" t="s">
        <v>13867</v>
      </c>
      <c r="N35" s="46" t="s">
        <v>15435</v>
      </c>
      <c r="O35" s="5" t="s">
        <v>14028</v>
      </c>
      <c r="P35" s="5" t="s">
        <v>14120</v>
      </c>
      <c r="Q35" s="5" t="s">
        <v>14206</v>
      </c>
      <c r="R35" s="5" t="s">
        <v>14290</v>
      </c>
      <c r="S35" s="5" t="s">
        <v>14379</v>
      </c>
      <c r="T35" s="5" t="s">
        <v>14468</v>
      </c>
      <c r="U35" s="5" t="s">
        <v>14557</v>
      </c>
      <c r="V35" s="5" t="s">
        <v>14645</v>
      </c>
      <c r="W35" s="5" t="s">
        <v>14730</v>
      </c>
      <c r="X35" s="5" t="s">
        <v>14557</v>
      </c>
      <c r="Y35" s="39" t="str">
        <f>IF(OR($A35&lt;&gt;"", $G35=""),"",CONCATENATE(";",EscStr(CONCATENATE("NavNode_",getCategoryLevelAsString($B35))),";",EscStr($J35),";",IF($B35&lt;&gt;"","""MainCategoryNavNode""",EscStr(CONCATENATE("NavNode_",getSuperCategory($B35, getCategoryLevelAsNumber($B35))))),";"))</f>
        <v>;"NavNode_L3D_525292";"Heat Sinks and Fan Units";"NavNode_L2-3D_525340";</v>
      </c>
      <c r="Z35" s="39" t="str">
        <f>IF(getCategoryLevelAsString($B35)="L0D_324785","",IF(G35="",CONCATENATE(";",EscStr(CONCATENATE("NavNode_",getCategoryLevelAsString($B35))),";",EscStr($J35),";"),CONCATENATE(";",EscStr(CONCATENATE("NavNode_",getCategoryLevelAsString($B35))),";",EscStr(G35),";")))</f>
        <v>;"NavNode_L3D_525292";"Kühlkörper und Lüftereinheiten";</v>
      </c>
      <c r="AA35" s="39" t="str">
        <f>IF(getCategoryLevelAsString($B35)="L0D_324785","",IF(H35="",CONCATENATE(";",EscStr(CONCATENATE("NavNode_",getCategoryLevelAsString($B35))),";",EscStr($J35),";"),CONCATENATE(";",EscStr(CONCATENATE("NavNode_",getCategoryLevelAsString($B35))),";",EscStr(H35),";")))</f>
        <v>;"NavNode_L3D_525292";"Refroidisseurs et appareils de ventilation";</v>
      </c>
      <c r="AB35" s="39" t="str">
        <f>IF(getCategoryLevelAsString($B35)="L0D_324785","",IF(I35="",CONCATENATE(";",EscStr(CONCATENATE("NavNode_",getCategoryLevelAsString($B35))),";",EscStr($J35),";"),CONCATENATE(";",EscStr(CONCATENATE("NavNode_",getCategoryLevelAsString($B35))),";",EscStr(I35),";")))</f>
        <v>;"NavNode_L3D_525292";"Dissipatori e gruppi di aerazione";</v>
      </c>
      <c r="AC35" s="39" t="str">
        <f>IF(getCategoryLevelAsString($B35)="L0D_324785","",IF(J35="",CONCATENATE(";",EscStr(CONCATENATE("NavNode_",getCategoryLevelAsString($B35))),";",EscStr($J35),";"),CONCATENATE(";",EscStr(CONCATENATE("NavNode_",getCategoryLevelAsString($B35))),";",EscStr(J35),";")))</f>
        <v>;"NavNode_L3D_525292";"Heat Sinks and Fan Units";</v>
      </c>
      <c r="AD35" s="39" t="str">
        <f>IF(getCategoryLevelAsString($B35)="L0D_324785","",IF(K35="",CONCATENATE(";",EscStr(CONCATENATE("NavNode_",getCategoryLevelAsString($B35))),";",EscStr($J35),";"),CONCATENATE(";",EscStr(CONCATENATE("NavNode_",getCategoryLevelAsString($B35))),";",EscStr(K35),";")))</f>
        <v>;"NavNode_L3D_525292";"Køleelementer og ventilatorer";</v>
      </c>
      <c r="AE35" s="39" t="str">
        <f>IF(getCategoryLevelAsString($B35)="L0D_324785","",IF(L35="",CONCATENATE(";",EscStr(CONCATENATE("NavNode_",getCategoryLevelAsString($B35))),";",EscStr($J35),";"),CONCATENATE(";",EscStr(CONCATENATE("NavNode_",getCategoryLevelAsString($B35))),";",EscStr(L35),";")))</f>
        <v>;"NavNode_L3D_525292";"Radiatoriai ir ventiliatorių blokai";</v>
      </c>
      <c r="AF35" s="39" t="str">
        <f>IF(getCategoryLevelAsString($B35)="L0D_324785","",IF(M35="",CONCATENATE(";",EscStr(CONCATENATE("NavNode_",getCategoryLevelAsString($B35))),";",EscStr($J35),";"),CONCATENATE(";",EscStr(CONCATENATE("NavNode_",getCategoryLevelAsString($B35))),";",EscStr(M35),";")))</f>
        <v>;"NavNode_L3D_525292";"Kjølelementer og vifteenheter";</v>
      </c>
      <c r="AG35" s="39" t="str">
        <f>IF(getCategoryLevelAsString($B35)="L0D_324785","",IF(N35="",CONCATENATE(";",EscStr(CONCATENATE("NavNode_",getCategoryLevelAsString($B35))),";",EscStr($J35),";"),CONCATENATE(";",EscStr(CONCATENATE("NavNode_",getCategoryLevelAsString($B35))),";",EscStr(N35),";")))</f>
        <v>;"NavNode_L3D_525292";"Kylelement";</v>
      </c>
      <c r="AH35" s="39" t="str">
        <f>IF(getCategoryLevelAsString($B35)="L0D_324785","",IF(O35="",CONCATENATE(";",EscStr(CONCATENATE("NavNode_",getCategoryLevelAsString($B35))),";",EscStr($J35),";"),CONCATENATE(";",EscStr(CONCATENATE("NavNode_",getCategoryLevelAsString($B35))),";",EscStr(O35),";")))</f>
        <v>;"NavNode_L3D_525292";"Radiaatorid ja ventilaatoriplokid";</v>
      </c>
      <c r="AI35" s="39" t="str">
        <f>IF(getCategoryLevelAsString($B35)="L0D_324785","",IF(P35="",CONCATENATE(";",EscStr(CONCATENATE("NavNode_",getCategoryLevelAsString($B35))),";",EscStr($J35),";"),CONCATENATE(";",EscStr(CONCATENATE("NavNode_",getCategoryLevelAsString($B35))),";",EscStr(P35),";")))</f>
        <v>;"NavNode_L3D_525292";"Jäähdytystarvikkeet";</v>
      </c>
      <c r="AJ35" s="39" t="str">
        <f>IF(getCategoryLevelAsString($B35)="L0D_324785","",IF(Q35="",CONCATENATE(";",EscStr(CONCATENATE("NavNode_",getCategoryLevelAsString($B35))),";",EscStr($J35),";"),CONCATENATE(";",EscStr(CONCATENATE("NavNode_",getCategoryLevelAsString($B35))),";",EscStr(Q35),";")))</f>
        <v>;"NavNode_L3D_525292";"Radiatori un ventilatori";</v>
      </c>
      <c r="AK35" s="39" t="str">
        <f>IF(getCategoryLevelAsString($B35)="L0D_324785","",IF(R35="",CONCATENATE(";",EscStr(CONCATENATE("NavNode_",getCategoryLevelAsString($B35))),";",EscStr($J35),";"),CONCATENATE(";",EscStr(CONCATENATE("NavNode_",getCategoryLevelAsString($B35))),";",EscStr(R35),";")))</f>
        <v>;"NavNode_L3D_525292";"Koelelementen en ventilator units";</v>
      </c>
      <c r="AL35" s="39" t="str">
        <f>IF(getCategoryLevelAsString($B35)="L0D_324785","",IF(S35="",CONCATENATE(";",EscStr(CONCATENATE("NavNode_",getCategoryLevelAsString($B35))),";",EscStr($J35),";"),CONCATENATE(";",EscStr(CONCATENATE("NavNode_",getCategoryLevelAsString($B35))),";",EscStr(S35),";")))</f>
        <v>;"NavNode_L3D_525292";"Radiatory i Wentylatory";</v>
      </c>
      <c r="AM35" s="39" t="str">
        <f>IF(getCategoryLevelAsString($B35)="L0D_324785","",IF(T35="",CONCATENATE(";",EscStr(CONCATENATE("NavNode_",getCategoryLevelAsString($B35))),";",EscStr($J35),";"),CONCATENATE(";",EscStr(CONCATENATE("NavNode_",getCategoryLevelAsString($B35))),";",EscStr(T35),";")))</f>
        <v>;"NavNode_L3D_525292";"Радиаторы и вентиляторы";</v>
      </c>
      <c r="AN35" s="39" t="str">
        <f>IF(getCategoryLevelAsString($B35)="L0D_324785","",IF(U35="",CONCATENATE(";",EscStr(CONCATENATE("NavNode_",getCategoryLevelAsString($B35))),";",EscStr($J35),";"),CONCATENATE(";",EscStr(CONCATENATE("NavNode_",getCategoryLevelAsString($B35))),";",EscStr(U35),";")))</f>
        <v>;"NavNode_L3D_525292";"Chladiče a ventilátorové jednotky";</v>
      </c>
      <c r="AO35" s="39" t="str">
        <f>IF(getCategoryLevelAsString($B35)="L0D_324785","",IF(V35="",CONCATENATE(";",EscStr(CONCATENATE("NavNode_",getCategoryLevelAsString($B35))),";",EscStr($J35),";"),CONCATENATE(";",EscStr(CONCATENATE("NavNode_",getCategoryLevelAsString($B35))),";",EscStr(V35),";")))</f>
        <v>;"NavNode_L3D_525292";"Radiatoare şi unităţi";</v>
      </c>
      <c r="AP35" s="39" t="str">
        <f>IF(getCategoryLevelAsString($B35)="L0D_324785","",IF(W35="",CONCATENATE(";",EscStr(CONCATENATE("NavNode_",getCategoryLevelAsString($B35))),";",EscStr($J35),";"),CONCATENATE(";",EscStr(CONCATENATE("NavNode_",getCategoryLevelAsString($B35))),";",EscStr(W35),";")))</f>
        <v>;"NavNode_L3D_525292";"Hütőbordák és ventillátorok";</v>
      </c>
      <c r="AQ35" s="39" t="str">
        <f>IF(getCategoryLevelAsString($B35)="L0D_324785","",IF(X35="",CONCATENATE(";",EscStr(CONCATENATE("NavNode_",getCategoryLevelAsString($B35))),";",EscStr($J35),";"),CONCATENATE(";",EscStr(CONCATENATE("NavNode_",getCategoryLevelAsString($B35))),";",EscStr(X35),";")))</f>
        <v>;"NavNode_L3D_525292";"Chladiče a ventilátorové jednotky";</v>
      </c>
      <c r="AR35" s="39" t="str">
        <f>IF(OR($A35&lt;&gt;"", $G35=""),"",CONCATENATE(";",EscStr(CONCATENATE("NavEntry_",getCategoryLevelAsString($B35))),";",EscStr(CONCATENATE($J35," Navigation Entry")),";",EscStr(CONCATENATE("cat-",getCategoryLevelAsString($B35))),";",EscStr(CONCATENATE("NavNode_",getCategoryLevelAsString($B35))),";"))</f>
        <v>;"NavEntry_L3D_525292";"Heat Sinks and Fan Units Navigation Entry";"cat-L3D_525292";"NavNode_L3D_525292";</v>
      </c>
    </row>
    <row r="36" spans="1:44" s="34" customFormat="1" ht="15" x14ac:dyDescent="0.25">
      <c r="A36" s="25"/>
      <c r="B36" s="5"/>
      <c r="C36" s="5"/>
      <c r="D36" s="5" t="s">
        <v>5553</v>
      </c>
      <c r="E36" s="5"/>
      <c r="F36" s="5"/>
      <c r="G36" s="5" t="s">
        <v>5555</v>
      </c>
      <c r="H36" s="5" t="s">
        <v>13585</v>
      </c>
      <c r="I36" s="5" t="s">
        <v>13675</v>
      </c>
      <c r="J36" s="5" t="s">
        <v>5554</v>
      </c>
      <c r="K36" s="5" t="s">
        <v>13768</v>
      </c>
      <c r="L36" s="5" t="s">
        <v>15080</v>
      </c>
      <c r="M36" s="5" t="s">
        <v>13768</v>
      </c>
      <c r="N36" s="47" t="s">
        <v>15436</v>
      </c>
      <c r="O36" s="5" t="s">
        <v>14029</v>
      </c>
      <c r="P36" s="5" t="s">
        <v>14121</v>
      </c>
      <c r="Q36" s="5" t="s">
        <v>14207</v>
      </c>
      <c r="R36" s="5" t="s">
        <v>14291</v>
      </c>
      <c r="S36" s="5" t="s">
        <v>14380</v>
      </c>
      <c r="T36" s="5" t="s">
        <v>14469</v>
      </c>
      <c r="U36" s="5" t="s">
        <v>14558</v>
      </c>
      <c r="V36" s="5" t="s">
        <v>14646</v>
      </c>
      <c r="W36" s="5" t="s">
        <v>14731</v>
      </c>
      <c r="X36" s="5" t="s">
        <v>14816</v>
      </c>
      <c r="Y36" s="39" t="str">
        <f>IF(OR($A36&lt;&gt;"", $G36=""),"",CONCATENATE(";",EscStr(CONCATENATE("NavNode_",getCategoryLevelAsString($B36))),";",EscStr($J36),";",IF($B36&lt;&gt;"","""MainCategoryNavNode""",EscStr(CONCATENATE("NavNode_",getSuperCategory($B36, getCategoryLevelAsNumber($B36))))),";"))</f>
        <v>;"NavNode_L3D_525293";"Thermal Compounds and Adhesives";"NavNode_L2-3D_525340";</v>
      </c>
      <c r="Z36" s="39" t="str">
        <f>IF(getCategoryLevelAsString($B36)="L0D_324785","",IF(G36="",CONCATENATE(";",EscStr(CONCATENATE("NavNode_",getCategoryLevelAsString($B36))),";",EscStr($J36),";"),CONCATENATE(";",EscStr(CONCATENATE("NavNode_",getCategoryLevelAsString($B36))),";",EscStr(G36),";")))</f>
        <v>;"NavNode_L3D_525293";"Wärmeleitklebstoffe";</v>
      </c>
      <c r="AA36" s="39" t="str">
        <f>IF(getCategoryLevelAsString($B36)="L0D_324785","",IF(H36="",CONCATENATE(";",EscStr(CONCATENATE("NavNode_",getCategoryLevelAsString($B36))),";",EscStr($J36),";"),CONCATENATE(";",EscStr(CONCATENATE("NavNode_",getCategoryLevelAsString($B36))),";",EscStr(H36),";")))</f>
        <v>;"NavNode_L3D_525293";"Pâtes et colles thermoconductrices";</v>
      </c>
      <c r="AB36" s="39" t="str">
        <f>IF(getCategoryLevelAsString($B36)="L0D_324785","",IF(I36="",CONCATENATE(";",EscStr(CONCATENATE("NavNode_",getCategoryLevelAsString($B36))),";",EscStr($J36),";"),CONCATENATE(";",EscStr(CONCATENATE("NavNode_",getCategoryLevelAsString($B36))),";",EscStr(I36),";")))</f>
        <v>;"NavNode_L3D_525293";"Paste termoconduttive e adesivi";</v>
      </c>
      <c r="AC36" s="39" t="str">
        <f>IF(getCategoryLevelAsString($B36)="L0D_324785","",IF(J36="",CONCATENATE(";",EscStr(CONCATENATE("NavNode_",getCategoryLevelAsString($B36))),";",EscStr($J36),";"),CONCATENATE(";",EscStr(CONCATENATE("NavNode_",getCategoryLevelAsString($B36))),";",EscStr(J36),";")))</f>
        <v>;"NavNode_L3D_525293";"Thermal Compounds and Adhesives";</v>
      </c>
      <c r="AD36" s="39" t="str">
        <f>IF(getCategoryLevelAsString($B36)="L0D_324785","",IF(K36="",CONCATENATE(";",EscStr(CONCATENATE("NavNode_",getCategoryLevelAsString($B36))),";",EscStr($J36),";"),CONCATENATE(";",EscStr(CONCATENATE("NavNode_",getCategoryLevelAsString($B36))),";",EscStr(K36),";")))</f>
        <v>;"NavNode_L3D_525293";"Varmeledende pasta og lim";</v>
      </c>
      <c r="AE36" s="39" t="str">
        <f>IF(getCategoryLevelAsString($B36)="L0D_324785","",IF(L36="",CONCATENATE(";",EscStr(CONCATENATE("NavNode_",getCategoryLevelAsString($B36))),";",EscStr($J36),";"),CONCATENATE(";",EscStr(CONCATENATE("NavNode_",getCategoryLevelAsString($B36))),";",EscStr(L36),";")))</f>
        <v>;"NavNode_L3D_525293";"Termopasta ir klijai";</v>
      </c>
      <c r="AF36" s="39" t="str">
        <f>IF(getCategoryLevelAsString($B36)="L0D_324785","",IF(M36="",CONCATENATE(";",EscStr(CONCATENATE("NavNode_",getCategoryLevelAsString($B36))),";",EscStr($J36),";"),CONCATENATE(";",EscStr(CONCATENATE("NavNode_",getCategoryLevelAsString($B36))),";",EscStr(M36),";")))</f>
        <v>;"NavNode_L3D_525293";"Varmeledende pasta og lim";</v>
      </c>
      <c r="AG36" s="39" t="str">
        <f>IF(getCategoryLevelAsString($B36)="L0D_324785","",IF(N36="",CONCATENATE(";",EscStr(CONCATENATE("NavNode_",getCategoryLevelAsString($B36))),";",EscStr($J36),";"),CONCATENATE(";",EscStr(CONCATENATE("NavNode_",getCategoryLevelAsString($B36))),";",EscStr(N36),";")))</f>
        <v>;"NavNode_L3D_525293";"Värmepastor och -lim";</v>
      </c>
      <c r="AH36" s="39" t="str">
        <f>IF(getCategoryLevelAsString($B36)="L0D_324785","",IF(O36="",CONCATENATE(";",EscStr(CONCATENATE("NavNode_",getCategoryLevelAsString($B36))),";",EscStr($J36),";"),CONCATENATE(";",EscStr(CONCATENATE("NavNode_",getCategoryLevelAsString($B36))),";",EscStr(O36),";")))</f>
        <v>;"NavNode_L3D_525293";"Soojust juhtivad segud ja liimid";</v>
      </c>
      <c r="AI36" s="39" t="str">
        <f>IF(getCategoryLevelAsString($B36)="L0D_324785","",IF(P36="",CONCATENATE(";",EscStr(CONCATENATE("NavNode_",getCategoryLevelAsString($B36))),";",EscStr($J36),";"),CONCATENATE(";",EscStr(CONCATENATE("NavNode_",getCategoryLevelAsString($B36))),";",EscStr(P36),";")))</f>
        <v>;"NavNode_L3D_525293";"Lämpötahnat ja liimat";</v>
      </c>
      <c r="AJ36" s="39" t="str">
        <f>IF(getCategoryLevelAsString($B36)="L0D_324785","",IF(Q36="",CONCATENATE(";",EscStr(CONCATENATE("NavNode_",getCategoryLevelAsString($B36))),";",EscStr($J36),";"),CONCATENATE(";",EscStr(CONCATENATE("NavNode_",getCategoryLevelAsString($B36))),";",EscStr(Q36),";")))</f>
        <v>;"NavNode_L3D_525293";"Termopastas";</v>
      </c>
      <c r="AK36" s="39" t="str">
        <f>IF(getCategoryLevelAsString($B36)="L0D_324785","",IF(R36="",CONCATENATE(";",EscStr(CONCATENATE("NavNode_",getCategoryLevelAsString($B36))),";",EscStr($J36),";"),CONCATENATE(";",EscStr(CONCATENATE("NavNode_",getCategoryLevelAsString($B36))),";",EscStr(R36),";")))</f>
        <v>;"NavNode_L3D_525293";"Koelpasta en lijmen";</v>
      </c>
      <c r="AL36" s="39" t="str">
        <f>IF(getCategoryLevelAsString($B36)="L0D_324785","",IF(S36="",CONCATENATE(";",EscStr(CONCATENATE("NavNode_",getCategoryLevelAsString($B36))),";",EscStr($J36),";"),CONCATENATE(";",EscStr(CONCATENATE("NavNode_",getCategoryLevelAsString($B36))),";",EscStr(S36),";")))</f>
        <v>;"NavNode_L3D_525293";"Pasty i kleje termoprzewodzące";</v>
      </c>
      <c r="AM36" s="39" t="str">
        <f>IF(getCategoryLevelAsString($B36)="L0D_324785","",IF(T36="",CONCATENATE(";",EscStr(CONCATENATE("NavNode_",getCategoryLevelAsString($B36))),";",EscStr($J36),";"),CONCATENATE(";",EscStr(CONCATENATE("NavNode_",getCategoryLevelAsString($B36))),";",EscStr(T36),";")))</f>
        <v>;"NavNode_L3D_525293";"Термокомпаунды и клей";</v>
      </c>
      <c r="AN36" s="39" t="str">
        <f>IF(getCategoryLevelAsString($B36)="L0D_324785","",IF(U36="",CONCATENATE(";",EscStr(CONCATENATE("NavNode_",getCategoryLevelAsString($B36))),";",EscStr($J36),";"),CONCATENATE(";",EscStr(CONCATENATE("NavNode_",getCategoryLevelAsString($B36))),";",EscStr(U36),";")))</f>
        <v>;"NavNode_L3D_525293";"Tepelně vodivé směsi a lepidla";</v>
      </c>
      <c r="AO36" s="39" t="str">
        <f>IF(getCategoryLevelAsString($B36)="L0D_324785","",IF(V36="",CONCATENATE(";",EscStr(CONCATENATE("NavNode_",getCategoryLevelAsString($B36))),";",EscStr($J36),";"),CONCATENATE(";",EscStr(CONCATENATE("NavNode_",getCategoryLevelAsString($B36))),";",EscStr(V36),";")))</f>
        <v>;"NavNode_L3D_525293";"Adezivi termoconductori";</v>
      </c>
      <c r="AP36" s="39" t="str">
        <f>IF(getCategoryLevelAsString($B36)="L0D_324785","",IF(W36="",CONCATENATE(";",EscStr(CONCATENATE("NavNode_",getCategoryLevelAsString($B36))),";",EscStr($J36),";"),CONCATENATE(";",EscStr(CONCATENATE("NavNode_",getCategoryLevelAsString($B36))),";",EscStr(W36),";")))</f>
        <v>;"NavNode_L3D_525293";"Hővezető paszták";</v>
      </c>
      <c r="AQ36" s="39" t="str">
        <f>IF(getCategoryLevelAsString($B36)="L0D_324785","",IF(X36="",CONCATENATE(";",EscStr(CONCATENATE("NavNode_",getCategoryLevelAsString($B36))),";",EscStr($J36),";"),CONCATENATE(";",EscStr(CONCATENATE("NavNode_",getCategoryLevelAsString($B36))),";",EscStr(X36),";")))</f>
        <v>;"NavNode_L3D_525293";"Tepelne vodivé zmesi a lepidlá";</v>
      </c>
      <c r="AR36" s="39" t="str">
        <f>IF(OR($A36&lt;&gt;"", $G36=""),"",CONCATENATE(";",EscStr(CONCATENATE("NavEntry_",getCategoryLevelAsString($B36))),";",EscStr(CONCATENATE($J36," Navigation Entry")),";",EscStr(CONCATENATE("cat-",getCategoryLevelAsString($B36))),";",EscStr(CONCATENATE("NavNode_",getCategoryLevelAsString($B36))),";"))</f>
        <v>;"NavEntry_L3D_525293";"Thermal Compounds and Adhesives Navigation Entry";"cat-L3D_525293";"NavNode_L3D_525293";</v>
      </c>
    </row>
    <row r="37" spans="1:44" s="34" customFormat="1" ht="15" x14ac:dyDescent="0.25">
      <c r="A37" s="25"/>
      <c r="B37" s="5"/>
      <c r="C37" s="5"/>
      <c r="D37" s="5" t="s">
        <v>5563</v>
      </c>
      <c r="E37" s="5"/>
      <c r="F37" s="5"/>
      <c r="G37" s="5" t="s">
        <v>5565</v>
      </c>
      <c r="H37" s="5" t="s">
        <v>13586</v>
      </c>
      <c r="I37" s="5" t="s">
        <v>13676</v>
      </c>
      <c r="J37" s="5" t="s">
        <v>5564</v>
      </c>
      <c r="K37" s="5" t="s">
        <v>13769</v>
      </c>
      <c r="L37" s="5" t="s">
        <v>15081</v>
      </c>
      <c r="M37" s="5" t="s">
        <v>13769</v>
      </c>
      <c r="N37" s="47" t="s">
        <v>15437</v>
      </c>
      <c r="O37" s="5" t="s">
        <v>14030</v>
      </c>
      <c r="P37" s="5" t="s">
        <v>14122</v>
      </c>
      <c r="Q37" s="5" t="s">
        <v>14208</v>
      </c>
      <c r="R37" s="5" t="s">
        <v>14292</v>
      </c>
      <c r="S37" s="5" t="s">
        <v>14381</v>
      </c>
      <c r="T37" s="5" t="s">
        <v>14470</v>
      </c>
      <c r="U37" s="5" t="s">
        <v>14559</v>
      </c>
      <c r="V37" s="5" t="s">
        <v>14647</v>
      </c>
      <c r="W37" s="5" t="s">
        <v>14732</v>
      </c>
      <c r="X37" s="5" t="s">
        <v>14817</v>
      </c>
      <c r="Y37" s="39" t="str">
        <f>IF(OR($A37&lt;&gt;"", $G37=""),"",CONCATENATE(";",EscStr(CONCATENATE("NavNode_",getCategoryLevelAsString($B37))),";",EscStr($J37),";",IF($B37&lt;&gt;"","""MainCategoryNavNode""",EscStr(CONCATENATE("NavNode_",getSuperCategory($B37, getCategoryLevelAsNumber($B37))))),";"))</f>
        <v>;"NavNode_L3D_525295";"Peltier and Heat Elements";"NavNode_L2-3D_525340";</v>
      </c>
      <c r="Z37" s="39" t="str">
        <f>IF(getCategoryLevelAsString($B37)="L0D_324785","",IF(G37="",CONCATENATE(";",EscStr(CONCATENATE("NavNode_",getCategoryLevelAsString($B37))),";",EscStr($J37),";"),CONCATENATE(";",EscStr(CONCATENATE("NavNode_",getCategoryLevelAsString($B37))),";",EscStr(G37),";")))</f>
        <v>;"NavNode_L3D_525295";"Peltier- und Heizelemente";</v>
      </c>
      <c r="AA37" s="39" t="str">
        <f>IF(getCategoryLevelAsString($B37)="L0D_324785","",IF(H37="",CONCATENATE(";",EscStr(CONCATENATE("NavNode_",getCategoryLevelAsString($B37))),";",EscStr($J37),";"),CONCATENATE(";",EscStr(CONCATENATE("NavNode_",getCategoryLevelAsString($B37))),";",EscStr(H37),";")))</f>
        <v>;"NavNode_L3D_525295";"Peltier et éléments de chauffage";</v>
      </c>
      <c r="AB37" s="39" t="str">
        <f>IF(getCategoryLevelAsString($B37)="L0D_324785","",IF(I37="",CONCATENATE(";",EscStr(CONCATENATE("NavNode_",getCategoryLevelAsString($B37))),";",EscStr($J37),";"),CONCATENATE(";",EscStr(CONCATENATE("NavNode_",getCategoryLevelAsString($B37))),";",EscStr(I37),";")))</f>
        <v>;"NavNode_L3D_525295";"Elementi raffreddanti e riscaldanti";</v>
      </c>
      <c r="AC37" s="39" t="str">
        <f>IF(getCategoryLevelAsString($B37)="L0D_324785","",IF(J37="",CONCATENATE(";",EscStr(CONCATENATE("NavNode_",getCategoryLevelAsString($B37))),";",EscStr($J37),";"),CONCATENATE(";",EscStr(CONCATENATE("NavNode_",getCategoryLevelAsString($B37))),";",EscStr(J37),";")))</f>
        <v>;"NavNode_L3D_525295";"Peltier and Heat Elements";</v>
      </c>
      <c r="AD37" s="39" t="str">
        <f>IF(getCategoryLevelAsString($B37)="L0D_324785","",IF(K37="",CONCATENATE(";",EscStr(CONCATENATE("NavNode_",getCategoryLevelAsString($B37))),";",EscStr($J37),";"),CONCATENATE(";",EscStr(CONCATENATE("NavNode_",getCategoryLevelAsString($B37))),";",EscStr(K37),";")))</f>
        <v>;"NavNode_L3D_525295";"Peltier- og varmeelementer";</v>
      </c>
      <c r="AE37" s="39" t="str">
        <f>IF(getCategoryLevelAsString($B37)="L0D_324785","",IF(L37="",CONCATENATE(";",EscStr(CONCATENATE("NavNode_",getCategoryLevelAsString($B37))),";",EscStr($J37),";"),CONCATENATE(";",EscStr(CONCATENATE("NavNode_",getCategoryLevelAsString($B37))),";",EscStr(L37),";")))</f>
        <v>;"NavNode_L3D_525295";"Peltjė ir šilumos elementai";</v>
      </c>
      <c r="AF37" s="39" t="str">
        <f>IF(getCategoryLevelAsString($B37)="L0D_324785","",IF(M37="",CONCATENATE(";",EscStr(CONCATENATE("NavNode_",getCategoryLevelAsString($B37))),";",EscStr($J37),";"),CONCATENATE(";",EscStr(CONCATENATE("NavNode_",getCategoryLevelAsString($B37))),";",EscStr(M37),";")))</f>
        <v>;"NavNode_L3D_525295";"Peltier- og varmeelementer";</v>
      </c>
      <c r="AG37" s="39" t="str">
        <f>IF(getCategoryLevelAsString($B37)="L0D_324785","",IF(N37="",CONCATENATE(";",EscStr(CONCATENATE("NavNode_",getCategoryLevelAsString($B37))),";",EscStr($J37),";"),CONCATENATE(";",EscStr(CONCATENATE("NavNode_",getCategoryLevelAsString($B37))),";",EscStr(N37),";")))</f>
        <v>;"NavNode_L3D_525295";"Peltier- och värmefolieelement";</v>
      </c>
      <c r="AH37" s="39" t="str">
        <f>IF(getCategoryLevelAsString($B37)="L0D_324785","",IF(O37="",CONCATENATE(";",EscStr(CONCATENATE("NavNode_",getCategoryLevelAsString($B37))),";",EscStr($J37),";"),CONCATENATE(";",EscStr(CONCATENATE("NavNode_",getCategoryLevelAsString($B37))),";",EscStr(O37),";")))</f>
        <v>;"NavNode_L3D_525295";"Jahutus ja soojendus elemendid";</v>
      </c>
      <c r="AI37" s="39" t="str">
        <f>IF(getCategoryLevelAsString($B37)="L0D_324785","",IF(P37="",CONCATENATE(";",EscStr(CONCATENATE("NavNode_",getCategoryLevelAsString($B37))),";",EscStr($J37),";"),CONCATENATE(";",EscStr(CONCATENATE("NavNode_",getCategoryLevelAsString($B37))),";",EscStr(P37),";")))</f>
        <v>;"NavNode_L3D_525295";"Peltier elementit";</v>
      </c>
      <c r="AJ37" s="39" t="str">
        <f>IF(getCategoryLevelAsString($B37)="L0D_324785","",IF(Q37="",CONCATENATE(";",EscStr(CONCATENATE("NavNode_",getCategoryLevelAsString($B37))),";",EscStr($J37),";"),CONCATENATE(";",EscStr(CONCATENATE("NavNode_",getCategoryLevelAsString($B37))),";",EscStr(Q37),";")))</f>
        <v>;"NavNode_L3D_525295";"Peltjē un siltuma elementi";</v>
      </c>
      <c r="AK37" s="39" t="str">
        <f>IF(getCategoryLevelAsString($B37)="L0D_324785","",IF(R37="",CONCATENATE(";",EscStr(CONCATENATE("NavNode_",getCategoryLevelAsString($B37))),";",EscStr($J37),";"),CONCATENATE(";",EscStr(CONCATENATE("NavNode_",getCategoryLevelAsString($B37))),";",EscStr(R37),";")))</f>
        <v>;"NavNode_L3D_525295";"Peltier-elementen";</v>
      </c>
      <c r="AL37" s="39" t="str">
        <f>IF(getCategoryLevelAsString($B37)="L0D_324785","",IF(S37="",CONCATENATE(";",EscStr(CONCATENATE("NavNode_",getCategoryLevelAsString($B37))),";",EscStr($J37),";"),CONCATENATE(";",EscStr(CONCATENATE("NavNode_",getCategoryLevelAsString($B37))),";",EscStr(S37),";")))</f>
        <v>;"NavNode_L3D_525295";"Elementy grzejne i Ogniwa Peltiera";</v>
      </c>
      <c r="AM37" s="39" t="str">
        <f>IF(getCategoryLevelAsString($B37)="L0D_324785","",IF(T37="",CONCATENATE(";",EscStr(CONCATENATE("NavNode_",getCategoryLevelAsString($B37))),";",EscStr($J37),";"),CONCATENATE(";",EscStr(CONCATENATE("NavNode_",getCategoryLevelAsString($B37))),";",EscStr(T37),";")))</f>
        <v>;"NavNode_L3D_525295";"Пельтье и нагревательные элементы";</v>
      </c>
      <c r="AN37" s="39" t="str">
        <f>IF(getCategoryLevelAsString($B37)="L0D_324785","",IF(U37="",CONCATENATE(";",EscStr(CONCATENATE("NavNode_",getCategoryLevelAsString($B37))),";",EscStr($J37),";"),CONCATENATE(";",EscStr(CONCATENATE("NavNode_",getCategoryLevelAsString($B37))),";",EscStr(U37),";")))</f>
        <v>;"NavNode_L3D_525295";"Tepelné prvky a prvky využívající Peltierův princip";</v>
      </c>
      <c r="AO37" s="39" t="str">
        <f>IF(getCategoryLevelAsString($B37)="L0D_324785","",IF(V37="",CONCATENATE(";",EscStr(CONCATENATE("NavNode_",getCategoryLevelAsString($B37))),";",EscStr($J37),";"),CONCATENATE(";",EscStr(CONCATENATE("NavNode_",getCategoryLevelAsString($B37))),";",EscStr(V37),";")))</f>
        <v>;"NavNode_L3D_525295";"Elementele Peltier şi de încălzire";</v>
      </c>
      <c r="AP37" s="39" t="str">
        <f>IF(getCategoryLevelAsString($B37)="L0D_324785","",IF(W37="",CONCATENATE(";",EscStr(CONCATENATE("NavNode_",getCategoryLevelAsString($B37))),";",EscStr($J37),";"),CONCATENATE(";",EscStr(CONCATENATE("NavNode_",getCategoryLevelAsString($B37))),";",EscStr(W37),";")))</f>
        <v>;"NavNode_L3D_525295";"Peltier- és fütőelemek";</v>
      </c>
      <c r="AQ37" s="39" t="str">
        <f>IF(getCategoryLevelAsString($B37)="L0D_324785","",IF(X37="",CONCATENATE(";",EscStr(CONCATENATE("NavNode_",getCategoryLevelAsString($B37))),";",EscStr($J37),";"),CONCATENATE(";",EscStr(CONCATENATE("NavNode_",getCategoryLevelAsString($B37))),";",EscStr(X37),";")))</f>
        <v>;"NavNode_L3D_525295";"Tepelné prvky a prvky využívajúce Peltierov princíp";</v>
      </c>
      <c r="AR37" s="39" t="str">
        <f>IF(OR($A37&lt;&gt;"", $G37=""),"",CONCATENATE(";",EscStr(CONCATENATE("NavEntry_",getCategoryLevelAsString($B37))),";",EscStr(CONCATENATE($J37," Navigation Entry")),";",EscStr(CONCATENATE("cat-",getCategoryLevelAsString($B37))),";",EscStr(CONCATENATE("NavNode_",getCategoryLevelAsString($B37))),";"))</f>
        <v>;"NavEntry_L3D_525295";"Peltier and Heat Elements Navigation Entry";"cat-L3D_525295";"NavNode_L3D_525295";</v>
      </c>
    </row>
    <row r="38" spans="1:44" s="34" customFormat="1" ht="15" x14ac:dyDescent="0.25">
      <c r="A38" s="25"/>
      <c r="B38" s="5"/>
      <c r="C38" s="5" t="s">
        <v>134</v>
      </c>
      <c r="D38" s="5"/>
      <c r="E38" s="5"/>
      <c r="F38" s="5"/>
      <c r="G38" s="5" t="s">
        <v>376</v>
      </c>
      <c r="H38" s="5" t="s">
        <v>377</v>
      </c>
      <c r="I38" s="5" t="s">
        <v>378</v>
      </c>
      <c r="J38" s="5" t="s">
        <v>135</v>
      </c>
      <c r="K38" s="5" t="s">
        <v>376</v>
      </c>
      <c r="L38" s="5" t="s">
        <v>1441</v>
      </c>
      <c r="M38" s="5" t="s">
        <v>1677</v>
      </c>
      <c r="N38" s="5" t="s">
        <v>376</v>
      </c>
      <c r="O38" s="5" t="s">
        <v>2460</v>
      </c>
      <c r="P38" s="5" t="s">
        <v>2461</v>
      </c>
      <c r="Q38" s="5" t="s">
        <v>1441</v>
      </c>
      <c r="R38" s="5" t="s">
        <v>2462</v>
      </c>
      <c r="S38" s="5" t="s">
        <v>1441</v>
      </c>
      <c r="T38" s="5" t="s">
        <v>2463</v>
      </c>
      <c r="U38" s="5" t="s">
        <v>1441</v>
      </c>
      <c r="V38" s="5" t="s">
        <v>2464</v>
      </c>
      <c r="W38" s="5" t="s">
        <v>2465</v>
      </c>
      <c r="X38" s="5" t="s">
        <v>1441</v>
      </c>
      <c r="Y38" s="39" t="str">
        <f>IF(OR($A38&lt;&gt;"", $G38=""),"",CONCATENATE(";",EscStr(CONCATENATE("NavNode_",getCategoryLevelAsString($B38))),";",EscStr($J38),";",IF($B38&lt;&gt;"","""MainCategoryNavNode""",EscStr(CONCATENATE("NavNode_",getSuperCategory($B38, getCategoryLevelAsNumber($B38))))),";"))</f>
        <v>;"NavNode_L2-3D_525341";"Optoelectronics";"NavNode_Active Components";</v>
      </c>
      <c r="Z38" s="39" t="str">
        <f>IF(getCategoryLevelAsString($B38)="L0D_324785","",IF(G38="",CONCATENATE(";",EscStr(CONCATENATE("NavNode_",getCategoryLevelAsString($B38))),";",EscStr($J38),";"),CONCATENATE(";",EscStr(CONCATENATE("NavNode_",getCategoryLevelAsString($B38))),";",EscStr(G38),";")))</f>
        <v>;"NavNode_L2-3D_525341";"Optoelektronik";</v>
      </c>
      <c r="AA38" s="39" t="str">
        <f>IF(getCategoryLevelAsString($B38)="L0D_324785","",IF(H38="",CONCATENATE(";",EscStr(CONCATENATE("NavNode_",getCategoryLevelAsString($B38))),";",EscStr($J38),";"),CONCATENATE(";",EscStr(CONCATENATE("NavNode_",getCategoryLevelAsString($B38))),";",EscStr(H38),";")))</f>
        <v>;"NavNode_L2-3D_525341";"Composants optoélectroniques";</v>
      </c>
      <c r="AB38" s="39" t="str">
        <f>IF(getCategoryLevelAsString($B38)="L0D_324785","",IF(I38="",CONCATENATE(";",EscStr(CONCATENATE("NavNode_",getCategoryLevelAsString($B38))),";",EscStr($J38),";"),CONCATENATE(";",EscStr(CONCATENATE("NavNode_",getCategoryLevelAsString($B38))),";",EscStr(I38),";")))</f>
        <v>;"NavNode_L2-3D_525341";"Optoelettronica";</v>
      </c>
      <c r="AC38" s="39" t="str">
        <f>IF(getCategoryLevelAsString($B38)="L0D_324785","",IF(J38="",CONCATENATE(";",EscStr(CONCATENATE("NavNode_",getCategoryLevelAsString($B38))),";",EscStr($J38),";"),CONCATENATE(";",EscStr(CONCATENATE("NavNode_",getCategoryLevelAsString($B38))),";",EscStr(J38),";")))</f>
        <v>;"NavNode_L2-3D_525341";"Optoelectronics";</v>
      </c>
      <c r="AD38" s="39" t="str">
        <f>IF(getCategoryLevelAsString($B38)="L0D_324785","",IF(K38="",CONCATENATE(";",EscStr(CONCATENATE("NavNode_",getCategoryLevelAsString($B38))),";",EscStr($J38),";"),CONCATENATE(";",EscStr(CONCATENATE("NavNode_",getCategoryLevelAsString($B38))),";",EscStr(K38),";")))</f>
        <v>;"NavNode_L2-3D_525341";"Optoelektronik";</v>
      </c>
      <c r="AE38" s="39" t="str">
        <f>IF(getCategoryLevelAsString($B38)="L0D_324785","",IF(L38="",CONCATENATE(";",EscStr(CONCATENATE("NavNode_",getCategoryLevelAsString($B38))),";",EscStr($J38),";"),CONCATENATE(";",EscStr(CONCATENATE("NavNode_",getCategoryLevelAsString($B38))),";",EscStr(L38),";")))</f>
        <v>;"NavNode_L2-3D_525341";"Optoelektronika";</v>
      </c>
      <c r="AF38" s="39" t="str">
        <f>IF(getCategoryLevelAsString($B38)="L0D_324785","",IF(M38="",CONCATENATE(";",EscStr(CONCATENATE("NavNode_",getCategoryLevelAsString($B38))),";",EscStr($J38),";"),CONCATENATE(";",EscStr(CONCATENATE("NavNode_",getCategoryLevelAsString($B38))),";",EscStr(M38),";")))</f>
        <v>;"NavNode_L2-3D_525341";"Optoelektronikk";</v>
      </c>
      <c r="AG38" s="39" t="str">
        <f>IF(getCategoryLevelAsString($B38)="L0D_324785","",IF(N38="",CONCATENATE(";",EscStr(CONCATENATE("NavNode_",getCategoryLevelAsString($B38))),";",EscStr($J38),";"),CONCATENATE(";",EscStr(CONCATENATE("NavNode_",getCategoryLevelAsString($B38))),";",EscStr(N38),";")))</f>
        <v>;"NavNode_L2-3D_525341";"Optoelektronik";</v>
      </c>
      <c r="AH38" s="39" t="str">
        <f>IF(getCategoryLevelAsString($B38)="L0D_324785","",IF(O38="",CONCATENATE(";",EscStr(CONCATENATE("NavNode_",getCategoryLevelAsString($B38))),";",EscStr($J38),";"),CONCATENATE(";",EscStr(CONCATENATE("NavNode_",getCategoryLevelAsString($B38))),";",EscStr(O38),";")))</f>
        <v>;"NavNode_L2-3D_525341";"Optoelektroonika";</v>
      </c>
      <c r="AI38" s="39" t="str">
        <f>IF(getCategoryLevelAsString($B38)="L0D_324785","",IF(P38="",CONCATENATE(";",EscStr(CONCATENATE("NavNode_",getCategoryLevelAsString($B38))),";",EscStr($J38),";"),CONCATENATE(";",EscStr(CONCATENATE("NavNode_",getCategoryLevelAsString($B38))),";",EscStr(P38),";")))</f>
        <v>;"NavNode_L2-3D_525341";"Optoelektroniikka";</v>
      </c>
      <c r="AJ38" s="39" t="str">
        <f>IF(getCategoryLevelAsString($B38)="L0D_324785","",IF(Q38="",CONCATENATE(";",EscStr(CONCATENATE("NavNode_",getCategoryLevelAsString($B38))),";",EscStr($J38),";"),CONCATENATE(";",EscStr(CONCATENATE("NavNode_",getCategoryLevelAsString($B38))),";",EscStr(Q38),";")))</f>
        <v>;"NavNode_L2-3D_525341";"Optoelektronika";</v>
      </c>
      <c r="AK38" s="39" t="str">
        <f>IF(getCategoryLevelAsString($B38)="L0D_324785","",IF(R38="",CONCATENATE(";",EscStr(CONCATENATE("NavNode_",getCategoryLevelAsString($B38))),";",EscStr($J38),";"),CONCATENATE(";",EscStr(CONCATENATE("NavNode_",getCategoryLevelAsString($B38))),";",EscStr(R38),";")))</f>
        <v>;"NavNode_L2-3D_525341";"Opto-elektronica";</v>
      </c>
      <c r="AL38" s="39" t="str">
        <f>IF(getCategoryLevelAsString($B38)="L0D_324785","",IF(S38="",CONCATENATE(";",EscStr(CONCATENATE("NavNode_",getCategoryLevelAsString($B38))),";",EscStr($J38),";"),CONCATENATE(";",EscStr(CONCATENATE("NavNode_",getCategoryLevelAsString($B38))),";",EscStr(S38),";")))</f>
        <v>;"NavNode_L2-3D_525341";"Optoelektronika";</v>
      </c>
      <c r="AM38" s="39" t="str">
        <f>IF(getCategoryLevelAsString($B38)="L0D_324785","",IF(T38="",CONCATENATE(";",EscStr(CONCATENATE("NavNode_",getCategoryLevelAsString($B38))),";",EscStr($J38),";"),CONCATENATE(";",EscStr(CONCATENATE("NavNode_",getCategoryLevelAsString($B38))),";",EscStr(T38),";")))</f>
        <v>;"NavNode_L2-3D_525341";"Оптоэлектроника";</v>
      </c>
      <c r="AN38" s="39" t="str">
        <f>IF(getCategoryLevelAsString($B38)="L0D_324785","",IF(U38="",CONCATENATE(";",EscStr(CONCATENATE("NavNode_",getCategoryLevelAsString($B38))),";",EscStr($J38),";"),CONCATENATE(";",EscStr(CONCATENATE("NavNode_",getCategoryLevelAsString($B38))),";",EscStr(U38),";")))</f>
        <v>;"NavNode_L2-3D_525341";"Optoelektronika";</v>
      </c>
      <c r="AO38" s="39" t="str">
        <f>IF(getCategoryLevelAsString($B38)="L0D_324785","",IF(V38="",CONCATENATE(";",EscStr(CONCATENATE("NavNode_",getCategoryLevelAsString($B38))),";",EscStr($J38),";"),CONCATENATE(";",EscStr(CONCATENATE("NavNode_",getCategoryLevelAsString($B38))),";",EscStr(V38),";")))</f>
        <v>;"NavNode_L2-3D_525341";"Optoelectronice";</v>
      </c>
      <c r="AP38" s="39" t="str">
        <f>IF(getCategoryLevelAsString($B38)="L0D_324785","",IF(W38="",CONCATENATE(";",EscStr(CONCATENATE("NavNode_",getCategoryLevelAsString($B38))),";",EscStr($J38),";"),CONCATENATE(";",EscStr(CONCATENATE("NavNode_",getCategoryLevelAsString($B38))),";",EscStr(W38),";")))</f>
        <v>;"NavNode_L2-3D_525341";"Optóelektronika";</v>
      </c>
      <c r="AQ38" s="39" t="str">
        <f>IF(getCategoryLevelAsString($B38)="L0D_324785","",IF(X38="",CONCATENATE(";",EscStr(CONCATENATE("NavNode_",getCategoryLevelAsString($B38))),";",EscStr($J38),";"),CONCATENATE(";",EscStr(CONCATENATE("NavNode_",getCategoryLevelAsString($B38))),";",EscStr(X38),";")))</f>
        <v>;"NavNode_L2-3D_525341";"Optoelektronika";</v>
      </c>
      <c r="AR38" s="39" t="str">
        <f>IF(OR($A38&lt;&gt;"", $G38=""),"",CONCATENATE(";",EscStr(CONCATENATE("NavEntry_",getCategoryLevelAsString($B38))),";",EscStr(CONCATENATE($J38," Navigation Entry")),";",EscStr(CONCATENATE("cat-",getCategoryLevelAsString($B38))),";",EscStr(CONCATENATE("NavNode_",getCategoryLevelAsString($B38))),";"))</f>
        <v>;"NavEntry_L2-3D_525341";"Optoelectronics Navigation Entry";"cat-L2-3D_525341";"NavNode_L2-3D_525341";</v>
      </c>
    </row>
    <row r="39" spans="1:44" s="34" customFormat="1" ht="15" x14ac:dyDescent="0.25">
      <c r="A39" s="25"/>
      <c r="B39" s="5"/>
      <c r="C39" s="5"/>
      <c r="D39" s="5" t="s">
        <v>5609</v>
      </c>
      <c r="E39" s="5"/>
      <c r="F39" s="5"/>
      <c r="G39" s="5" t="s">
        <v>5610</v>
      </c>
      <c r="H39" s="5" t="s">
        <v>13587</v>
      </c>
      <c r="I39" s="5" t="s">
        <v>13587</v>
      </c>
      <c r="J39" s="5" t="s">
        <v>5610</v>
      </c>
      <c r="K39" s="5" t="s">
        <v>13770</v>
      </c>
      <c r="L39" s="5" t="s">
        <v>15082</v>
      </c>
      <c r="M39" s="5" t="s">
        <v>13587</v>
      </c>
      <c r="N39" s="5" t="s">
        <v>13929</v>
      </c>
      <c r="O39" s="5" t="s">
        <v>14031</v>
      </c>
      <c r="P39" s="5" t="s">
        <v>14123</v>
      </c>
      <c r="Q39" s="5" t="s">
        <v>14209</v>
      </c>
      <c r="R39" s="5" t="s">
        <v>5610</v>
      </c>
      <c r="S39" s="5" t="s">
        <v>13587</v>
      </c>
      <c r="T39" s="5" t="s">
        <v>14471</v>
      </c>
      <c r="U39" s="5" t="s">
        <v>14560</v>
      </c>
      <c r="V39" s="5" t="s">
        <v>14648</v>
      </c>
      <c r="W39" s="5" t="s">
        <v>14733</v>
      </c>
      <c r="X39" s="5" t="s">
        <v>14818</v>
      </c>
      <c r="Y39" s="39" t="str">
        <f>IF(OR($A39&lt;&gt;"", $G39=""),"",CONCATENATE(";",EscStr(CONCATENATE("NavNode_",getCategoryLevelAsString($B39))),";",EscStr($J39),";",IF($B39&lt;&gt;"","""MainCategoryNavNode""",EscStr(CONCATENATE("NavNode_",getSuperCategory($B39, getCategoryLevelAsNumber($B39))))),";"))</f>
        <v>;"NavNode_L3D_525297";"LEDs";"NavNode_L2-3D_525341";</v>
      </c>
      <c r="Z39" s="39" t="str">
        <f>IF(getCategoryLevelAsString($B39)="L0D_324785","",IF(G39="",CONCATENATE(";",EscStr(CONCATENATE("NavNode_",getCategoryLevelAsString($B39))),";",EscStr($J39),";"),CONCATENATE(";",EscStr(CONCATENATE("NavNode_",getCategoryLevelAsString($B39))),";",EscStr(G39),";")))</f>
        <v>;"NavNode_L3D_525297";"LEDs";</v>
      </c>
      <c r="AA39" s="39" t="str">
        <f>IF(getCategoryLevelAsString($B39)="L0D_324785","",IF(H39="",CONCATENATE(";",EscStr(CONCATENATE("NavNode_",getCategoryLevelAsString($B39))),";",EscStr($J39),";"),CONCATENATE(";",EscStr(CONCATENATE("NavNode_",getCategoryLevelAsString($B39))),";",EscStr(H39),";")))</f>
        <v>;"NavNode_L3D_525297";"LED";</v>
      </c>
      <c r="AB39" s="39" t="str">
        <f>IF(getCategoryLevelAsString($B39)="L0D_324785","",IF(I39="",CONCATENATE(";",EscStr(CONCATENATE("NavNode_",getCategoryLevelAsString($B39))),";",EscStr($J39),";"),CONCATENATE(";",EscStr(CONCATENATE("NavNode_",getCategoryLevelAsString($B39))),";",EscStr(I39),";")))</f>
        <v>;"NavNode_L3D_525297";"LED";</v>
      </c>
      <c r="AC39" s="39" t="str">
        <f>IF(getCategoryLevelAsString($B39)="L0D_324785","",IF(J39="",CONCATENATE(";",EscStr(CONCATENATE("NavNode_",getCategoryLevelAsString($B39))),";",EscStr($J39),";"),CONCATENATE(";",EscStr(CONCATENATE("NavNode_",getCategoryLevelAsString($B39))),";",EscStr(J39),";")))</f>
        <v>;"NavNode_L3D_525297";"LEDs";</v>
      </c>
      <c r="AD39" s="39" t="str">
        <f>IF(getCategoryLevelAsString($B39)="L0D_324785","",IF(K39="",CONCATENATE(";",EscStr(CONCATENATE("NavNode_",getCategoryLevelAsString($B39))),";",EscStr($J39),";"),CONCATENATE(";",EscStr(CONCATENATE("NavNode_",getCategoryLevelAsString($B39))),";",EscStr(K39),";")))</f>
        <v>;"NavNode_L3D_525297";"LED'er";</v>
      </c>
      <c r="AE39" s="39" t="str">
        <f>IF(getCategoryLevelAsString($B39)="L0D_324785","",IF(L39="",CONCATENATE(";",EscStr(CONCATENATE("NavNode_",getCategoryLevelAsString($B39))),";",EscStr($J39),";"),CONCATENATE(";",EscStr(CONCATENATE("NavNode_",getCategoryLevelAsString($B39))),";",EscStr(L39),";")))</f>
        <v>;"NavNode_L3D_525297";"Šviesos diodai";</v>
      </c>
      <c r="AF39" s="39" t="str">
        <f>IF(getCategoryLevelAsString($B39)="L0D_324785","",IF(M39="",CONCATENATE(";",EscStr(CONCATENATE("NavNode_",getCategoryLevelAsString($B39))),";",EscStr($J39),";"),CONCATENATE(";",EscStr(CONCATENATE("NavNode_",getCategoryLevelAsString($B39))),";",EscStr(M39),";")))</f>
        <v>;"NavNode_L3D_525297";"LED";</v>
      </c>
      <c r="AG39" s="39" t="str">
        <f>IF(getCategoryLevelAsString($B39)="L0D_324785","",IF(N39="",CONCATENATE(";",EscStr(CONCATENATE("NavNode_",getCategoryLevelAsString($B39))),";",EscStr($J39),";"),CONCATENATE(";",EscStr(CONCATENATE("NavNode_",getCategoryLevelAsString($B39))),";",EscStr(N39),";")))</f>
        <v>;"NavNode_L3D_525297";"Lysdioder, LED";</v>
      </c>
      <c r="AH39" s="39" t="str">
        <f>IF(getCategoryLevelAsString($B39)="L0D_324785","",IF(O39="",CONCATENATE(";",EscStr(CONCATENATE("NavNode_",getCategoryLevelAsString($B39))),";",EscStr($J39),";"),CONCATENATE(";",EscStr(CONCATENATE("NavNode_",getCategoryLevelAsString($B39))),";",EscStr(O39),";")))</f>
        <v>;"NavNode_L3D_525297";"LEDid";</v>
      </c>
      <c r="AI39" s="39" t="str">
        <f>IF(getCategoryLevelAsString($B39)="L0D_324785","",IF(P39="",CONCATENATE(";",EscStr(CONCATENATE("NavNode_",getCategoryLevelAsString($B39))),";",EscStr($J39),";"),CONCATENATE(";",EscStr(CONCATENATE("NavNode_",getCategoryLevelAsString($B39))),";",EscStr(P39),";")))</f>
        <v>;"NavNode_L3D_525297";"Ledit";</v>
      </c>
      <c r="AJ39" s="39" t="str">
        <f>IF(getCategoryLevelAsString($B39)="L0D_324785","",IF(Q39="",CONCATENATE(";",EscStr(CONCATENATE("NavNode_",getCategoryLevelAsString($B39))),";",EscStr($J39),";"),CONCATENATE(";",EscStr(CONCATENATE("NavNode_",getCategoryLevelAsString($B39))),";",EscStr(Q39),";")))</f>
        <v>;"NavNode_L3D_525297";"LED diodes";</v>
      </c>
      <c r="AK39" s="39" t="str">
        <f>IF(getCategoryLevelAsString($B39)="L0D_324785","",IF(R39="",CONCATENATE(";",EscStr(CONCATENATE("NavNode_",getCategoryLevelAsString($B39))),";",EscStr($J39),";"),CONCATENATE(";",EscStr(CONCATENATE("NavNode_",getCategoryLevelAsString($B39))),";",EscStr(R39),";")))</f>
        <v>;"NavNode_L3D_525297";"LEDs";</v>
      </c>
      <c r="AL39" s="39" t="str">
        <f>IF(getCategoryLevelAsString($B39)="L0D_324785","",IF(S39="",CONCATENATE(";",EscStr(CONCATENATE("NavNode_",getCategoryLevelAsString($B39))),";",EscStr($J39),";"),CONCATENATE(";",EscStr(CONCATENATE("NavNode_",getCategoryLevelAsString($B39))),";",EscStr(S39),";")))</f>
        <v>;"NavNode_L3D_525297";"LED";</v>
      </c>
      <c r="AM39" s="39" t="str">
        <f>IF(getCategoryLevelAsString($B39)="L0D_324785","",IF(T39="",CONCATENATE(";",EscStr(CONCATENATE("NavNode_",getCategoryLevelAsString($B39))),";",EscStr($J39),";"),CONCATENATE(";",EscStr(CONCATENATE("NavNode_",getCategoryLevelAsString($B39))),";",EscStr(T39),";")))</f>
        <v>;"NavNode_L3D_525297";"LED диоды";</v>
      </c>
      <c r="AN39" s="39" t="str">
        <f>IF(getCategoryLevelAsString($B39)="L0D_324785","",IF(U39="",CONCATENATE(";",EscStr(CONCATENATE("NavNode_",getCategoryLevelAsString($B39))),";",EscStr($J39),";"),CONCATENATE(";",EscStr(CONCATENATE("NavNode_",getCategoryLevelAsString($B39))),";",EscStr(U39),";")))</f>
        <v>;"NavNode_L3D_525297";"LED diody";</v>
      </c>
      <c r="AO39" s="39" t="str">
        <f>IF(getCategoryLevelAsString($B39)="L0D_324785","",IF(V39="",CONCATENATE(";",EscStr(CONCATENATE("NavNode_",getCategoryLevelAsString($B39))),";",EscStr($J39),";"),CONCATENATE(";",EscStr(CONCATENATE("NavNode_",getCategoryLevelAsString($B39))),";",EscStr(V39),";")))</f>
        <v>;"NavNode_L3D_525297";"LED-uri";</v>
      </c>
      <c r="AP39" s="39" t="str">
        <f>IF(getCategoryLevelAsString($B39)="L0D_324785","",IF(W39="",CONCATENATE(";",EscStr(CONCATENATE("NavNode_",getCategoryLevelAsString($B39))),";",EscStr($J39),";"),CONCATENATE(";",EscStr(CONCATENATE("NavNode_",getCategoryLevelAsString($B39))),";",EscStr(W39),";")))</f>
        <v>;"NavNode_L3D_525297";"LED-ek";</v>
      </c>
      <c r="AQ39" s="39" t="str">
        <f>IF(getCategoryLevelAsString($B39)="L0D_324785","",IF(X39="",CONCATENATE(";",EscStr(CONCATENATE("NavNode_",getCategoryLevelAsString($B39))),";",EscStr($J39),";"),CONCATENATE(";",EscStr(CONCATENATE("NavNode_",getCategoryLevelAsString($B39))),";",EscStr(X39),";")))</f>
        <v>;"NavNode_L3D_525297";"LED diódy";</v>
      </c>
      <c r="AR39" s="39" t="str">
        <f>IF(OR($A39&lt;&gt;"", $G39=""),"",CONCATENATE(";",EscStr(CONCATENATE("NavEntry_",getCategoryLevelAsString($B39))),";",EscStr(CONCATENATE($J39," Navigation Entry")),";",EscStr(CONCATENATE("cat-",getCategoryLevelAsString($B39))),";",EscStr(CONCATENATE("NavNode_",getCategoryLevelAsString($B39))),";"))</f>
        <v>;"NavEntry_L3D_525297";"LEDs Navigation Entry";"cat-L3D_525297";"NavNode_L3D_525297";</v>
      </c>
    </row>
    <row r="40" spans="1:44" s="34" customFormat="1" ht="15" x14ac:dyDescent="0.25">
      <c r="A40" s="25"/>
      <c r="B40" s="5"/>
      <c r="C40" s="5"/>
      <c r="D40" s="5" t="s">
        <v>5670</v>
      </c>
      <c r="E40" s="5"/>
      <c r="F40" s="5"/>
      <c r="G40" s="5" t="s">
        <v>5672</v>
      </c>
      <c r="H40" s="5" t="s">
        <v>13588</v>
      </c>
      <c r="I40" s="5" t="s">
        <v>13677</v>
      </c>
      <c r="J40" s="5" t="s">
        <v>5671</v>
      </c>
      <c r="K40" s="5" t="s">
        <v>13771</v>
      </c>
      <c r="L40" s="5" t="s">
        <v>15083</v>
      </c>
      <c r="M40" s="5" t="s">
        <v>13868</v>
      </c>
      <c r="N40" s="47" t="s">
        <v>15433</v>
      </c>
      <c r="O40" s="5" t="s">
        <v>14032</v>
      </c>
      <c r="P40" s="5" t="s">
        <v>14124</v>
      </c>
      <c r="Q40" s="5" t="s">
        <v>14210</v>
      </c>
      <c r="R40" s="5" t="s">
        <v>5671</v>
      </c>
      <c r="S40" s="5" t="s">
        <v>14382</v>
      </c>
      <c r="T40" s="5" t="s">
        <v>14472</v>
      </c>
      <c r="U40" s="5" t="s">
        <v>14561</v>
      </c>
      <c r="V40" s="5" t="s">
        <v>14649</v>
      </c>
      <c r="W40" s="5" t="s">
        <v>14734</v>
      </c>
      <c r="X40" s="5" t="s">
        <v>14819</v>
      </c>
      <c r="Y40" s="39" t="str">
        <f>IF(OR($A40&lt;&gt;"", $G40=""),"",CONCATENATE(";",EscStr(CONCATENATE("NavNode_",getCategoryLevelAsString($B40))),";",EscStr($J40),";",IF($B40&lt;&gt;"","""MainCategoryNavNode""",EscStr(CONCATENATE("NavNode_",getSuperCategory($B40, getCategoryLevelAsNumber($B40))))),";"))</f>
        <v>;"NavNode_L3D_525305";"LED Bars and Displays";"NavNode_L2-3D_525341";</v>
      </c>
      <c r="Z40" s="39" t="str">
        <f>IF(getCategoryLevelAsString($B40)="L0D_324785","",IF(G40="",CONCATENATE(";",EscStr(CONCATENATE("NavNode_",getCategoryLevelAsString($B40))),";",EscStr($J40),";"),CONCATENATE(";",EscStr(CONCATENATE("NavNode_",getCategoryLevelAsString($B40))),";",EscStr(G40),";")))</f>
        <v>;"NavNode_L3D_525305";"LED-Leuchtflächen und -Displays";</v>
      </c>
      <c r="AA40" s="39" t="str">
        <f>IF(getCategoryLevelAsString($B40)="L0D_324785","",IF(H40="",CONCATENATE(";",EscStr(CONCATENATE("NavNode_",getCategoryLevelAsString($B40))),";",EscStr($J40),";"),CONCATENATE(";",EscStr(CONCATENATE("NavNode_",getCategoryLevelAsString($B40))),";",EscStr(H40),";")))</f>
        <v>;"NavNode_L3D_525305";"Histogrammes et affichages LED";</v>
      </c>
      <c r="AB40" s="39" t="str">
        <f>IF(getCategoryLevelAsString($B40)="L0D_324785","",IF(I40="",CONCATENATE(";",EscStr(CONCATENATE("NavNode_",getCategoryLevelAsString($B40))),";",EscStr($J40),";"),CONCATENATE(";",EscStr(CONCATENATE("NavNode_",getCategoryLevelAsString($B40))),";",EscStr(I40),";")))</f>
        <v>;"NavNode_L3D_525305";"Barre e display a LED";</v>
      </c>
      <c r="AC40" s="39" t="str">
        <f>IF(getCategoryLevelAsString($B40)="L0D_324785","",IF(J40="",CONCATENATE(";",EscStr(CONCATENATE("NavNode_",getCategoryLevelAsString($B40))),";",EscStr($J40),";"),CONCATENATE(";",EscStr(CONCATENATE("NavNode_",getCategoryLevelAsString($B40))),";",EscStr(J40),";")))</f>
        <v>;"NavNode_L3D_525305";"LED Bars and Displays";</v>
      </c>
      <c r="AD40" s="39" t="str">
        <f>IF(getCategoryLevelAsString($B40)="L0D_324785","",IF(K40="",CONCATENATE(";",EscStr(CONCATENATE("NavNode_",getCategoryLevelAsString($B40))),";",EscStr($J40),";"),CONCATENATE(";",EscStr(CONCATENATE("NavNode_",getCategoryLevelAsString($B40))),";",EscStr(K40),";")))</f>
        <v>;"NavNode_L3D_525305";"LED-bjælker og -display";</v>
      </c>
      <c r="AE40" s="39" t="str">
        <f>IF(getCategoryLevelAsString($B40)="L0D_324785","",IF(L40="",CONCATENATE(";",EscStr(CONCATENATE("NavNode_",getCategoryLevelAsString($B40))),";",EscStr($J40),";"),CONCATENATE(";",EscStr(CONCATENATE("NavNode_",getCategoryLevelAsString($B40))),";",EscStr(L40),";")))</f>
        <v>;"NavNode_L3D_525305";"LED juostos ir ekranai";</v>
      </c>
      <c r="AF40" s="39" t="str">
        <f>IF(getCategoryLevelAsString($B40)="L0D_324785","",IF(M40="",CONCATENATE(";",EscStr(CONCATENATE("NavNode_",getCategoryLevelAsString($B40))),";",EscStr($J40),";"),CONCATENATE(";",EscStr(CONCATENATE("NavNode_",getCategoryLevelAsString($B40))),";",EscStr(M40),";")))</f>
        <v>;"NavNode_L3D_525305";"Lysdiodemoduler";</v>
      </c>
      <c r="AG40" s="39" t="str">
        <f>IF(getCategoryLevelAsString($B40)="L0D_324785","",IF(N40="",CONCATENATE(";",EscStr(CONCATENATE("NavNode_",getCategoryLevelAsString($B40))),";",EscStr($J40),";"),CONCATENATE(";",EscStr(CONCATENATE("NavNode_",getCategoryLevelAsString($B40))),";",EscStr(N40),";")))</f>
        <v>;"NavNode_L3D_525305";"LED-displayer/-moduler";</v>
      </c>
      <c r="AH40" s="39" t="str">
        <f>IF(getCategoryLevelAsString($B40)="L0D_324785","",IF(O40="",CONCATENATE(";",EscStr(CONCATENATE("NavNode_",getCategoryLevelAsString($B40))),";",EscStr($J40),";"),CONCATENATE(";",EscStr(CONCATENATE("NavNode_",getCategoryLevelAsString($B40))),";",EscStr(O40),";")))</f>
        <v>;"NavNode_L3D_525305";"LED ribad ja ekraanid";</v>
      </c>
      <c r="AI40" s="39" t="str">
        <f>IF(getCategoryLevelAsString($B40)="L0D_324785","",IF(P40="",CONCATENATE(";",EscStr(CONCATENATE("NavNode_",getCategoryLevelAsString($B40))),";",EscStr($J40),";"),CONCATENATE(";",EscStr(CONCATENATE("NavNode_",getCategoryLevelAsString($B40))),";",EscStr(P40),";")))</f>
        <v>;"NavNode_L3D_525305";"LED pylväät";</v>
      </c>
      <c r="AJ40" s="39" t="str">
        <f>IF(getCategoryLevelAsString($B40)="L0D_324785","",IF(Q40="",CONCATENATE(";",EscStr(CONCATENATE("NavNode_",getCategoryLevelAsString($B40))),";",EscStr($J40),";"),CONCATENATE(";",EscStr(CONCATENATE("NavNode_",getCategoryLevelAsString($B40))),";",EscStr(Q40),";")))</f>
        <v>;"NavNode_L3D_525305";"LED joslu indikatori un displeji";</v>
      </c>
      <c r="AK40" s="39" t="str">
        <f>IF(getCategoryLevelAsString($B40)="L0D_324785","",IF(R40="",CONCATENATE(";",EscStr(CONCATENATE("NavNode_",getCategoryLevelAsString($B40))),";",EscStr($J40),";"),CONCATENATE(";",EscStr(CONCATENATE("NavNode_",getCategoryLevelAsString($B40))),";",EscStr(R40),";")))</f>
        <v>;"NavNode_L3D_525305";"LED Bars and Displays";</v>
      </c>
      <c r="AL40" s="39" t="str">
        <f>IF(getCategoryLevelAsString($B40)="L0D_324785","",IF(S40="",CONCATENATE(";",EscStr(CONCATENATE("NavNode_",getCategoryLevelAsString($B40))),";",EscStr($J40),";"),CONCATENATE(";",EscStr(CONCATENATE("NavNode_",getCategoryLevelAsString($B40))),";",EscStr(S40),";")))</f>
        <v>;"NavNode_L3D_525305";"Linijki LED i Wyświetlacze";</v>
      </c>
      <c r="AM40" s="39" t="str">
        <f>IF(getCategoryLevelAsString($B40)="L0D_324785","",IF(T40="",CONCATENATE(";",EscStr(CONCATENATE("NavNode_",getCategoryLevelAsString($B40))),";",EscStr($J40),";"),CONCATENATE(";",EscStr(CONCATENATE("NavNode_",getCategoryLevelAsString($B40))),";",EscStr(T40),";")))</f>
        <v>;"NavNode_L3D_525305";"Светодиодные полосы и дисплеи";</v>
      </c>
      <c r="AN40" s="39" t="str">
        <f>IF(getCategoryLevelAsString($B40)="L0D_324785","",IF(U40="",CONCATENATE(";",EscStr(CONCATENATE("NavNode_",getCategoryLevelAsString($B40))),";",EscStr($J40),";"),CONCATENATE(";",EscStr(CONCATENATE("NavNode_",getCategoryLevelAsString($B40))),";",EscStr(U40),";")))</f>
        <v>;"NavNode_L3D_525305";"Světelné tyče s LED diodami";</v>
      </c>
      <c r="AO40" s="39" t="str">
        <f>IF(getCategoryLevelAsString($B40)="L0D_324785","",IF(V40="",CONCATENATE(";",EscStr(CONCATENATE("NavNode_",getCategoryLevelAsString($B40))),";",EscStr($J40),";"),CONCATENATE(";",EscStr(CONCATENATE("NavNode_",getCategoryLevelAsString($B40))),";",EscStr(V40),";")))</f>
        <v>;"NavNode_L3D_525305";"LED iluminare panouri şi afişează";</v>
      </c>
      <c r="AP40" s="39" t="str">
        <f>IF(getCategoryLevelAsString($B40)="L0D_324785","",IF(W40="",CONCATENATE(";",EscStr(CONCATENATE("NavNode_",getCategoryLevelAsString($B40))),";",EscStr($J40),";"),CONCATENATE(";",EscStr(CONCATENATE("NavNode_",getCategoryLevelAsString($B40))),";",EscStr(W40),";")))</f>
        <v>;"NavNode_L3D_525305";"LED háttérvilágítások és kijelzők";</v>
      </c>
      <c r="AQ40" s="39" t="str">
        <f>IF(getCategoryLevelAsString($B40)="L0D_324785","",IF(X40="",CONCATENATE(";",EscStr(CONCATENATE("NavNode_",getCategoryLevelAsString($B40))),";",EscStr($J40),";"),CONCATENATE(";",EscStr(CONCATENATE("NavNode_",getCategoryLevelAsString($B40))),";",EscStr(X40),";")))</f>
        <v>;"NavNode_L3D_525305";"Svetelné tyče s LED diódami";</v>
      </c>
      <c r="AR40" s="39" t="str">
        <f>IF(OR($A40&lt;&gt;"", $G40=""),"",CONCATENATE(";",EscStr(CONCATENATE("NavEntry_",getCategoryLevelAsString($B40))),";",EscStr(CONCATENATE($J40," Navigation Entry")),";",EscStr(CONCATENATE("cat-",getCategoryLevelAsString($B40))),";",EscStr(CONCATENATE("NavNode_",getCategoryLevelAsString($B40))),";"))</f>
        <v>;"NavEntry_L3D_525305";"LED Bars and Displays Navigation Entry";"cat-L3D_525305";"NavNode_L3D_525305";</v>
      </c>
    </row>
    <row r="41" spans="1:44" s="34" customFormat="1" ht="15" x14ac:dyDescent="0.25">
      <c r="A41" s="25"/>
      <c r="B41" s="5"/>
      <c r="C41" s="5"/>
      <c r="D41" s="5" t="s">
        <v>5693</v>
      </c>
      <c r="E41" s="5"/>
      <c r="F41" s="5"/>
      <c r="G41" s="5" t="s">
        <v>5695</v>
      </c>
      <c r="H41" s="5" t="s">
        <v>13589</v>
      </c>
      <c r="I41" s="5" t="s">
        <v>13678</v>
      </c>
      <c r="J41" s="5" t="s">
        <v>5694</v>
      </c>
      <c r="K41" s="5" t="s">
        <v>13772</v>
      </c>
      <c r="L41" s="5" t="s">
        <v>15084</v>
      </c>
      <c r="M41" s="5" t="s">
        <v>13869</v>
      </c>
      <c r="N41" s="5" t="s">
        <v>13930</v>
      </c>
      <c r="O41" s="5" t="s">
        <v>14033</v>
      </c>
      <c r="P41" s="5" t="s">
        <v>14125</v>
      </c>
      <c r="Q41" s="5" t="s">
        <v>14211</v>
      </c>
      <c r="R41" s="5" t="s">
        <v>5694</v>
      </c>
      <c r="S41" s="5" t="s">
        <v>14383</v>
      </c>
      <c r="T41" s="5" t="s">
        <v>14473</v>
      </c>
      <c r="U41" s="5" t="s">
        <v>14562</v>
      </c>
      <c r="V41" s="5" t="s">
        <v>14650</v>
      </c>
      <c r="W41" s="5" t="s">
        <v>14735</v>
      </c>
      <c r="X41" s="5" t="s">
        <v>14562</v>
      </c>
      <c r="Y41" s="39" t="str">
        <f>IF(OR($A41&lt;&gt;"", $G41=""),"",CONCATENATE(";",EscStr(CONCATENATE("NavNode_",getCategoryLevelAsString($B41))),";",EscStr($J41),";",IF($B41&lt;&gt;"","""MainCategoryNavNode""",EscStr(CONCATENATE("NavNode_",getSuperCategory($B41, getCategoryLevelAsNumber($B41))))),";"))</f>
        <v>;"NavNode_L3D_525307";"LED Dot Matrix Displays";"NavNode_L2-3D_525341";</v>
      </c>
      <c r="Z41" s="39" t="str">
        <f>IF(getCategoryLevelAsString($B41)="L0D_324785","",IF(G41="",CONCATENATE(";",EscStr(CONCATENATE("NavNode_",getCategoryLevelAsString($B41))),";",EscStr($J41),";"),CONCATENATE(";",EscStr(CONCATENATE("NavNode_",getCategoryLevelAsString($B41))),";",EscStr(G41),";")))</f>
        <v>;"NavNode_L3D_525307";"LED-Punktmatrixanzeigen";</v>
      </c>
      <c r="AA41" s="39" t="str">
        <f>IF(getCategoryLevelAsString($B41)="L0D_324785","",IF(H41="",CONCATENATE(";",EscStr(CONCATENATE("NavNode_",getCategoryLevelAsString($B41))),";",EscStr($J41),";"),CONCATENATE(";",EscStr(CONCATENATE("NavNode_",getCategoryLevelAsString($B41))),";",EscStr(H41),";")))</f>
        <v>;"NavNode_L3D_525307";"Affichages matriciels LED";</v>
      </c>
      <c r="AB41" s="39" t="str">
        <f>IF(getCategoryLevelAsString($B41)="L0D_324785","",IF(I41="",CONCATENATE(";",EscStr(CONCATENATE("NavNode_",getCategoryLevelAsString($B41))),";",EscStr($J41),";"),CONCATENATE(";",EscStr(CONCATENATE("NavNode_",getCategoryLevelAsString($B41))),";",EscStr(I41),";")))</f>
        <v>;"NavNode_L3D_525307";"Display LED a matrice di punti";</v>
      </c>
      <c r="AC41" s="39" t="str">
        <f>IF(getCategoryLevelAsString($B41)="L0D_324785","",IF(J41="",CONCATENATE(";",EscStr(CONCATENATE("NavNode_",getCategoryLevelAsString($B41))),";",EscStr($J41),";"),CONCATENATE(";",EscStr(CONCATENATE("NavNode_",getCategoryLevelAsString($B41))),";",EscStr(J41),";")))</f>
        <v>;"NavNode_L3D_525307";"LED Dot Matrix Displays";</v>
      </c>
      <c r="AD41" s="39" t="str">
        <f>IF(getCategoryLevelAsString($B41)="L0D_324785","",IF(K41="",CONCATENATE(";",EscStr(CONCATENATE("NavNode_",getCategoryLevelAsString($B41))),";",EscStr($J41),";"),CONCATENATE(";",EscStr(CONCATENATE("NavNode_",getCategoryLevelAsString($B41))),";",EscStr(K41),";")))</f>
        <v>;"NavNode_L3D_525307";"LED-punktmatrixdisplay";</v>
      </c>
      <c r="AE41" s="39" t="str">
        <f>IF(getCategoryLevelAsString($B41)="L0D_324785","",IF(L41="",CONCATENATE(";",EscStr(CONCATENATE("NavNode_",getCategoryLevelAsString($B41))),";",EscStr($J41),";"),CONCATENATE(";",EscStr(CONCATENATE("NavNode_",getCategoryLevelAsString($B41))),";",EscStr(L41),";")))</f>
        <v>;"NavNode_L3D_525307";"LED taškinės matricos ekranai";</v>
      </c>
      <c r="AF41" s="39" t="str">
        <f>IF(getCategoryLevelAsString($B41)="L0D_324785","",IF(M41="",CONCATENATE(";",EscStr(CONCATENATE("NavNode_",getCategoryLevelAsString($B41))),";",EscStr($J41),";"),CONCATENATE(";",EscStr(CONCATENATE("NavNode_",getCategoryLevelAsString($B41))),";",EscStr(M41),";")))</f>
        <v>;"NavNode_L3D_525307";"LED-punktmatriseskjermer";</v>
      </c>
      <c r="AG41" s="39" t="str">
        <f>IF(getCategoryLevelAsString($B41)="L0D_324785","",IF(N41="",CONCATENATE(";",EscStr(CONCATENATE("NavNode_",getCategoryLevelAsString($B41))),";",EscStr($J41),";"),CONCATENATE(";",EscStr(CONCATENATE("NavNode_",getCategoryLevelAsString($B41))),";",EscStr(N41),";")))</f>
        <v>;"NavNode_L3D_525307";"LED-punktmatrisdisplayer";</v>
      </c>
      <c r="AH41" s="39" t="str">
        <f>IF(getCategoryLevelAsString($B41)="L0D_324785","",IF(O41="",CONCATENATE(";",EscStr(CONCATENATE("NavNode_",getCategoryLevelAsString($B41))),";",EscStr($J41),";"),CONCATENATE(";",EscStr(CONCATENATE("NavNode_",getCategoryLevelAsString($B41))),";",EscStr(O41),";")))</f>
        <v>;"NavNode_L3D_525307";"LED punkt-maatriks ekraanid";</v>
      </c>
      <c r="AI41" s="39" t="str">
        <f>IF(getCategoryLevelAsString($B41)="L0D_324785","",IF(P41="",CONCATENATE(";",EscStr(CONCATENATE("NavNode_",getCategoryLevelAsString($B41))),";",EscStr($J41),";"),CONCATENATE(";",EscStr(CONCATENATE("NavNode_",getCategoryLevelAsString($B41))),";",EscStr(P41),";")))</f>
        <v>;"NavNode_L3D_525307";"LED Dot Matriisi näytöt";</v>
      </c>
      <c r="AJ41" s="39" t="str">
        <f>IF(getCategoryLevelAsString($B41)="L0D_324785","",IF(Q41="",CONCATENATE(";",EscStr(CONCATENATE("NavNode_",getCategoryLevelAsString($B41))),";",EscStr($J41),";"),CONCATENATE(";",EscStr(CONCATENATE("NavNode_",getCategoryLevelAsString($B41))),";",EscStr(Q41),";")))</f>
        <v>;"NavNode_L3D_525307";"LED punktmatricu displeji";</v>
      </c>
      <c r="AK41" s="39" t="str">
        <f>IF(getCategoryLevelAsString($B41)="L0D_324785","",IF(R41="",CONCATENATE(";",EscStr(CONCATENATE("NavNode_",getCategoryLevelAsString($B41))),";",EscStr($J41),";"),CONCATENATE(";",EscStr(CONCATENATE("NavNode_",getCategoryLevelAsString($B41))),";",EscStr(R41),";")))</f>
        <v>;"NavNode_L3D_525307";"LED Dot Matrix Displays";</v>
      </c>
      <c r="AL41" s="39" t="str">
        <f>IF(getCategoryLevelAsString($B41)="L0D_324785","",IF(S41="",CONCATENATE(";",EscStr(CONCATENATE("NavNode_",getCategoryLevelAsString($B41))),";",EscStr($J41),";"),CONCATENATE(";",EscStr(CONCATENATE("NavNode_",getCategoryLevelAsString($B41))),";",EscStr(S41),";")))</f>
        <v>;"NavNode_L3D_525307";"Matryce punktowe LED";</v>
      </c>
      <c r="AM41" s="39" t="str">
        <f>IF(getCategoryLevelAsString($B41)="L0D_324785","",IF(T41="",CONCATENATE(";",EscStr(CONCATENATE("NavNode_",getCategoryLevelAsString($B41))),";",EscStr($J41),";"),CONCATENATE(";",EscStr(CONCATENATE("NavNode_",getCategoryLevelAsString($B41))),";",EscStr(T41),";")))</f>
        <v>;"NavNode_L3D_525307";"LED точечный матричный дисплеи";</v>
      </c>
      <c r="AN41" s="39" t="str">
        <f>IF(getCategoryLevelAsString($B41)="L0D_324785","",IF(U41="",CONCATENATE(";",EscStr(CONCATENATE("NavNode_",getCategoryLevelAsString($B41))),";",EscStr($J41),";"),CONCATENATE(";",EscStr(CONCATENATE("NavNode_",getCategoryLevelAsString($B41))),";",EscStr(U41),";")))</f>
        <v>;"NavNode_L3D_525307";"Bodové maticové LED displeje";</v>
      </c>
      <c r="AO41" s="39" t="str">
        <f>IF(getCategoryLevelAsString($B41)="L0D_324785","",IF(V41="",CONCATENATE(";",EscStr(CONCATENATE("NavNode_",getCategoryLevelAsString($B41))),";",EscStr($J41),";"),CONCATENATE(";",EscStr(CONCATENATE("NavNode_",getCategoryLevelAsString($B41))),";",EscStr(V41),";")))</f>
        <v>;"NavNode_L3D_525307";"Afişaje cu matrice punct LED";</v>
      </c>
      <c r="AP41" s="39" t="str">
        <f>IF(getCategoryLevelAsString($B41)="L0D_324785","",IF(W41="",CONCATENATE(";",EscStr(CONCATENATE("NavNode_",getCategoryLevelAsString($B41))),";",EscStr($J41),";"),CONCATENATE(";",EscStr(CONCATENATE("NavNode_",getCategoryLevelAsString($B41))),";",EscStr(W41),";")))</f>
        <v>;"NavNode_L3D_525307";"LED pontmátrix kijelzők";</v>
      </c>
      <c r="AQ41" s="39" t="str">
        <f>IF(getCategoryLevelAsString($B41)="L0D_324785","",IF(X41="",CONCATENATE(";",EscStr(CONCATENATE("NavNode_",getCategoryLevelAsString($B41))),";",EscStr($J41),";"),CONCATENATE(";",EscStr(CONCATENATE("NavNode_",getCategoryLevelAsString($B41))),";",EscStr(X41),";")))</f>
        <v>;"NavNode_L3D_525307";"Bodové maticové LED displeje";</v>
      </c>
      <c r="AR41" s="39" t="str">
        <f>IF(OR($A41&lt;&gt;"", $G41=""),"",CONCATENATE(";",EscStr(CONCATENATE("NavEntry_",getCategoryLevelAsString($B41))),";",EscStr(CONCATENATE($J41," Navigation Entry")),";",EscStr(CONCATENATE("cat-",getCategoryLevelAsString($B41))),";",EscStr(CONCATENATE("NavNode_",getCategoryLevelAsString($B41))),";"))</f>
        <v>;"NavEntry_L3D_525307";"LED Dot Matrix Displays Navigation Entry";"cat-L3D_525307";"NavNode_L3D_525307";</v>
      </c>
    </row>
    <row r="42" spans="1:44" s="34" customFormat="1" ht="15" x14ac:dyDescent="0.25">
      <c r="A42" s="25"/>
      <c r="B42" s="5"/>
      <c r="C42" s="5"/>
      <c r="D42" s="5" t="s">
        <v>5705</v>
      </c>
      <c r="E42" s="5"/>
      <c r="F42" s="5"/>
      <c r="G42" s="5" t="s">
        <v>5707</v>
      </c>
      <c r="H42" s="5" t="s">
        <v>13590</v>
      </c>
      <c r="I42" s="5" t="s">
        <v>13679</v>
      </c>
      <c r="J42" s="5" t="s">
        <v>5706</v>
      </c>
      <c r="K42" s="5" t="s">
        <v>13773</v>
      </c>
      <c r="L42" s="5" t="s">
        <v>15085</v>
      </c>
      <c r="M42" s="5" t="s">
        <v>13870</v>
      </c>
      <c r="N42" s="47" t="s">
        <v>15425</v>
      </c>
      <c r="O42" s="5" t="s">
        <v>14034</v>
      </c>
      <c r="P42" s="5" t="s">
        <v>14126</v>
      </c>
      <c r="Q42" s="5" t="s">
        <v>14212</v>
      </c>
      <c r="R42" s="5" t="s">
        <v>14293</v>
      </c>
      <c r="S42" s="5" t="s">
        <v>14384</v>
      </c>
      <c r="T42" s="5" t="s">
        <v>14474</v>
      </c>
      <c r="U42" s="5" t="s">
        <v>14563</v>
      </c>
      <c r="V42" s="5" t="s">
        <v>14651</v>
      </c>
      <c r="W42" s="5" t="s">
        <v>14736</v>
      </c>
      <c r="X42" s="5" t="s">
        <v>14820</v>
      </c>
      <c r="Y42" s="39" t="str">
        <f>IF(OR($A42&lt;&gt;"", $G42=""),"",CONCATENATE(";",EscStr(CONCATENATE("NavNode_",getCategoryLevelAsString($B42))),";",EscStr($J42),";",IF($B42&lt;&gt;"","""MainCategoryNavNode""",EscStr(CONCATENATE("NavNode_",getSuperCategory($B42, getCategoryLevelAsNumber($B42))))),";"))</f>
        <v>;"NavNode_L3D_525302";"Mounting Materials for LEDs";"NavNode_L2-3D_525341";</v>
      </c>
      <c r="Z42" s="39" t="str">
        <f>IF(getCategoryLevelAsString($B42)="L0D_324785","",IF(G42="",CONCATENATE(";",EscStr(CONCATENATE("NavNode_",getCategoryLevelAsString($B42))),";",EscStr($J42),";"),CONCATENATE(";",EscStr(CONCATENATE("NavNode_",getCategoryLevelAsString($B42))),";",EscStr(G42),";")))</f>
        <v>;"NavNode_L3D_525302";"Leuchtdiodenhalter";</v>
      </c>
      <c r="AA42" s="39" t="str">
        <f>IF(getCategoryLevelAsString($B42)="L0D_324785","",IF(H42="",CONCATENATE(";",EscStr(CONCATENATE("NavNode_",getCategoryLevelAsString($B42))),";",EscStr($J42),";"),CONCATENATE(";",EscStr(CONCATENATE("NavNode_",getCategoryLevelAsString($B42))),";",EscStr(H42),";")))</f>
        <v>;"NavNode_L3D_525302";"Supports pour LED";</v>
      </c>
      <c r="AB42" s="39" t="str">
        <f>IF(getCategoryLevelAsString($B42)="L0D_324785","",IF(I42="",CONCATENATE(";",EscStr(CONCATENATE("NavNode_",getCategoryLevelAsString($B42))),";",EscStr($J42),";"),CONCATENATE(";",EscStr(CONCATENATE("NavNode_",getCategoryLevelAsString($B42))),";",EscStr(I42),";")))</f>
        <v>;"NavNode_L3D_525302";"Mezzi ausiliari di montaggio per LED";</v>
      </c>
      <c r="AC42" s="39" t="str">
        <f>IF(getCategoryLevelAsString($B42)="L0D_324785","",IF(J42="",CONCATENATE(";",EscStr(CONCATENATE("NavNode_",getCategoryLevelAsString($B42))),";",EscStr($J42),";"),CONCATENATE(";",EscStr(CONCATENATE("NavNode_",getCategoryLevelAsString($B42))),";",EscStr(J42),";")))</f>
        <v>;"NavNode_L3D_525302";"Mounting Materials for LEDs";</v>
      </c>
      <c r="AD42" s="39" t="str">
        <f>IF(getCategoryLevelAsString($B42)="L0D_324785","",IF(K42="",CONCATENATE(";",EscStr(CONCATENATE("NavNode_",getCategoryLevelAsString($B42))),";",EscStr($J42),";"),CONCATENATE(";",EscStr(CONCATENATE("NavNode_",getCategoryLevelAsString($B42))),";",EscStr(K42),";")))</f>
        <v>;"NavNode_L3D_525302";"Monteringsmaterialer til dioder";</v>
      </c>
      <c r="AE42" s="39" t="str">
        <f>IF(getCategoryLevelAsString($B42)="L0D_324785","",IF(L42="",CONCATENATE(";",EscStr(CONCATENATE("NavNode_",getCategoryLevelAsString($B42))),";",EscStr($J42),";"),CONCATENATE(";",EscStr(CONCATENATE("NavNode_",getCategoryLevelAsString($B42))),";",EscStr(L42),";")))</f>
        <v>;"NavNode_L3D_525302";"Šviesos diodų montavimo medžiagos";</v>
      </c>
      <c r="AF42" s="39" t="str">
        <f>IF(getCategoryLevelAsString($B42)="L0D_324785","",IF(M42="",CONCATENATE(";",EscStr(CONCATENATE("NavNode_",getCategoryLevelAsString($B42))),";",EscStr($J42),";"),CONCATENATE(";",EscStr(CONCATENATE("NavNode_",getCategoryLevelAsString($B42))),";",EscStr(M42),";")))</f>
        <v>;"NavNode_L3D_525302";"Monteringsmaterialer for LED-er";</v>
      </c>
      <c r="AG42" s="39" t="str">
        <f>IF(getCategoryLevelAsString($B42)="L0D_324785","",IF(N42="",CONCATENATE(";",EscStr(CONCATENATE("NavNode_",getCategoryLevelAsString($B42))),";",EscStr($J42),";"),CONCATENATE(";",EscStr(CONCATENATE("NavNode_",getCategoryLevelAsString($B42))),";",EscStr(N42),";")))</f>
        <v>;"NavNode_L3D_525302";"Monteringsmaterial för lysdioder, LED";</v>
      </c>
      <c r="AH42" s="39" t="str">
        <f>IF(getCategoryLevelAsString($B42)="L0D_324785","",IF(O42="",CONCATENATE(";",EscStr(CONCATENATE("NavNode_",getCategoryLevelAsString($B42))),";",EscStr($J42),";"),CONCATENATE(";",EscStr(CONCATENATE("NavNode_",getCategoryLevelAsString($B42))),";",EscStr(O42),";")))</f>
        <v>;"NavNode_L3D_525302";"LEDide paigaldusmaterjalid";</v>
      </c>
      <c r="AI42" s="39" t="str">
        <f>IF(getCategoryLevelAsString($B42)="L0D_324785","",IF(P42="",CONCATENATE(";",EscStr(CONCATENATE("NavNode_",getCategoryLevelAsString($B42))),";",EscStr($J42),";"),CONCATENATE(";",EscStr(CONCATENATE("NavNode_",getCategoryLevelAsString($B42))),";",EscStr(P42),";")))</f>
        <v>;"NavNode_L3D_525302";"LED asennusmateriaalit";</v>
      </c>
      <c r="AJ42" s="39" t="str">
        <f>IF(getCategoryLevelAsString($B42)="L0D_324785","",IF(Q42="",CONCATENATE(";",EscStr(CONCATENATE("NavNode_",getCategoryLevelAsString($B42))),";",EscStr($J42),";"),CONCATENATE(";",EscStr(CONCATENATE("NavNode_",getCategoryLevelAsString($B42))),";",EscStr(Q42),";")))</f>
        <v>;"NavNode_L3D_525302";"LED montāžas materiāli";</v>
      </c>
      <c r="AK42" s="39" t="str">
        <f>IF(getCategoryLevelAsString($B42)="L0D_324785","",IF(R42="",CONCATENATE(";",EscStr(CONCATENATE("NavNode_",getCategoryLevelAsString($B42))),";",EscStr($J42),";"),CONCATENATE(";",EscStr(CONCATENATE("NavNode_",getCategoryLevelAsString($B42))),";",EscStr(R42),";")))</f>
        <v>;"NavNode_L3D_525302";"Montage materiaal voor LEDs";</v>
      </c>
      <c r="AL42" s="39" t="str">
        <f>IF(getCategoryLevelAsString($B42)="L0D_324785","",IF(S42="",CONCATENATE(";",EscStr(CONCATENATE("NavNode_",getCategoryLevelAsString($B42))),";",EscStr($J42),";"),CONCATENATE(";",EscStr(CONCATENATE("NavNode_",getCategoryLevelAsString($B42))),";",EscStr(S42),";")))</f>
        <v>;"NavNode_L3D_525302";"Materiały montażowe dla LED";</v>
      </c>
      <c r="AM42" s="39" t="str">
        <f>IF(getCategoryLevelAsString($B42)="L0D_324785","",IF(T42="",CONCATENATE(";",EscStr(CONCATENATE("NavNode_",getCategoryLevelAsString($B42))),";",EscStr($J42),";"),CONCATENATE(";",EscStr(CONCATENATE("NavNode_",getCategoryLevelAsString($B42))),";",EscStr(T42),";")))</f>
        <v>;"NavNode_L3D_525302";"Системы монтажа для LED";</v>
      </c>
      <c r="AN42" s="39" t="str">
        <f>IF(getCategoryLevelAsString($B42)="L0D_324785","",IF(U42="",CONCATENATE(";",EscStr(CONCATENATE("NavNode_",getCategoryLevelAsString($B42))),";",EscStr($J42),";"),CONCATENATE(";",EscStr(CONCATENATE("NavNode_",getCategoryLevelAsString($B42))),";",EscStr(U42),";")))</f>
        <v>;"NavNode_L3D_525302";"Montážní materiály pro LED diody";</v>
      </c>
      <c r="AO42" s="39" t="str">
        <f>IF(getCategoryLevelAsString($B42)="L0D_324785","",IF(V42="",CONCATENATE(";",EscStr(CONCATENATE("NavNode_",getCategoryLevelAsString($B42))),";",EscStr($J42),";"),CONCATENATE(";",EscStr(CONCATENATE("NavNode_",getCategoryLevelAsString($B42))),";",EscStr(V42),";")))</f>
        <v>;"NavNode_L3D_525302";"Suporţi de diode";</v>
      </c>
      <c r="AP42" s="39" t="str">
        <f>IF(getCategoryLevelAsString($B42)="L0D_324785","",IF(W42="",CONCATENATE(";",EscStr(CONCATENATE("NavNode_",getCategoryLevelAsString($B42))),";",EscStr($J42),";"),CONCATENATE(";",EscStr(CONCATENATE("NavNode_",getCategoryLevelAsString($B42))),";",EscStr(W42),";")))</f>
        <v>;"NavNode_L3D_525302";"Világítódióda foglalatok";</v>
      </c>
      <c r="AQ42" s="39" t="str">
        <f>IF(getCategoryLevelAsString($B42)="L0D_324785","",IF(X42="",CONCATENATE(";",EscStr(CONCATENATE("NavNode_",getCategoryLevelAsString($B42))),";",EscStr($J42),";"),CONCATENATE(";",EscStr(CONCATENATE("NavNode_",getCategoryLevelAsString($B42))),";",EscStr(X42),";")))</f>
        <v>;"NavNode_L3D_525302";"Montážne materiály pre LED diódy";</v>
      </c>
      <c r="AR42" s="39" t="str">
        <f>IF(OR($A42&lt;&gt;"", $G42=""),"",CONCATENATE(";",EscStr(CONCATENATE("NavEntry_",getCategoryLevelAsString($B42))),";",EscStr(CONCATENATE($J42," Navigation Entry")),";",EscStr(CONCATENATE("cat-",getCategoryLevelAsString($B42))),";",EscStr(CONCATENATE("NavNode_",getCategoryLevelAsString($B42))),";"))</f>
        <v>;"NavEntry_L3D_525302";"Mounting Materials for LEDs Navigation Entry";"cat-L3D_525302";"NavNode_L3D_525302";</v>
      </c>
    </row>
    <row r="43" spans="1:44" s="34" customFormat="1" ht="15" x14ac:dyDescent="0.25">
      <c r="A43" s="25"/>
      <c r="B43" s="5"/>
      <c r="C43" s="5"/>
      <c r="D43" s="5" t="s">
        <v>5725</v>
      </c>
      <c r="E43" s="5"/>
      <c r="F43" s="5"/>
      <c r="G43" s="5" t="s">
        <v>5727</v>
      </c>
      <c r="H43" s="5" t="s">
        <v>13591</v>
      </c>
      <c r="I43" s="5" t="s">
        <v>13680</v>
      </c>
      <c r="J43" s="5" t="s">
        <v>5726</v>
      </c>
      <c r="K43" s="5" t="s">
        <v>13774</v>
      </c>
      <c r="L43" s="5" t="s">
        <v>15086</v>
      </c>
      <c r="M43" s="5" t="s">
        <v>13871</v>
      </c>
      <c r="N43" s="46" t="s">
        <v>15428</v>
      </c>
      <c r="O43" s="5" t="s">
        <v>14035</v>
      </c>
      <c r="P43" s="5" t="s">
        <v>14127</v>
      </c>
      <c r="Q43" s="5" t="s">
        <v>14213</v>
      </c>
      <c r="R43" s="5" t="s">
        <v>14294</v>
      </c>
      <c r="S43" s="5" t="s">
        <v>14385</v>
      </c>
      <c r="T43" s="5" t="s">
        <v>14475</v>
      </c>
      <c r="U43" s="5" t="s">
        <v>14564</v>
      </c>
      <c r="V43" s="5" t="s">
        <v>14652</v>
      </c>
      <c r="W43" s="5" t="s">
        <v>14737</v>
      </c>
      <c r="X43" s="5" t="s">
        <v>14564</v>
      </c>
      <c r="Y43" s="39" t="str">
        <f>IF(OR($A43&lt;&gt;"", $G43=""),"",CONCATENATE(";",EscStr(CONCATENATE("NavNode_",getCategoryLevelAsString($B43))),";",EscStr($J43),";",IF($B43&lt;&gt;"","""MainCategoryNavNode""",EscStr(CONCATENATE("NavNode_",getSuperCategory($B43, getCategoryLevelAsNumber($B43))))),";"))</f>
        <v>;"NavNode_L3D_525308";"LCD Displays";"NavNode_L2-3D_525341";</v>
      </c>
      <c r="Z43" s="39" t="str">
        <f>IF(getCategoryLevelAsString($B43)="L0D_324785","",IF(G43="",CONCATENATE(";",EscStr(CONCATENATE("NavNode_",getCategoryLevelAsString($B43))),";",EscStr($J43),";"),CONCATENATE(";",EscStr(CONCATENATE("NavNode_",getCategoryLevelAsString($B43))),";",EscStr(G43),";")))</f>
        <v>;"NavNode_L3D_525308";"LCD-Anzeigen";</v>
      </c>
      <c r="AA43" s="39" t="str">
        <f>IF(getCategoryLevelAsString($B43)="L0D_324785","",IF(H43="",CONCATENATE(";",EscStr(CONCATENATE("NavNode_",getCategoryLevelAsString($B43))),";",EscStr($J43),";"),CONCATENATE(";",EscStr(CONCATENATE("NavNode_",getCategoryLevelAsString($B43))),";",EscStr(H43),";")))</f>
        <v>;"NavNode_L3D_525308";"Affichages LCD";</v>
      </c>
      <c r="AB43" s="39" t="str">
        <f>IF(getCategoryLevelAsString($B43)="L0D_324785","",IF(I43="",CONCATENATE(";",EscStr(CONCATENATE("NavNode_",getCategoryLevelAsString($B43))),";",EscStr($J43),";"),CONCATENATE(";",EscStr(CONCATENATE("NavNode_",getCategoryLevelAsString($B43))),";",EscStr(I43),";")))</f>
        <v>;"NavNode_L3D_525308";"Display LCD";</v>
      </c>
      <c r="AC43" s="39" t="str">
        <f>IF(getCategoryLevelAsString($B43)="L0D_324785","",IF(J43="",CONCATENATE(";",EscStr(CONCATENATE("NavNode_",getCategoryLevelAsString($B43))),";",EscStr($J43),";"),CONCATENATE(";",EscStr(CONCATENATE("NavNode_",getCategoryLevelAsString($B43))),";",EscStr(J43),";")))</f>
        <v>;"NavNode_L3D_525308";"LCD Displays";</v>
      </c>
      <c r="AD43" s="39" t="str">
        <f>IF(getCategoryLevelAsString($B43)="L0D_324785","",IF(K43="",CONCATENATE(";",EscStr(CONCATENATE("NavNode_",getCategoryLevelAsString($B43))),";",EscStr($J43),";"),CONCATENATE(";",EscStr(CONCATENATE("NavNode_",getCategoryLevelAsString($B43))),";",EscStr(K43),";")))</f>
        <v>;"NavNode_L3D_525308";"LCD-display";</v>
      </c>
      <c r="AE43" s="39" t="str">
        <f>IF(getCategoryLevelAsString($B43)="L0D_324785","",IF(L43="",CONCATENATE(";",EscStr(CONCATENATE("NavNode_",getCategoryLevelAsString($B43))),";",EscStr($J43),";"),CONCATENATE(";",EscStr(CONCATENATE("NavNode_",getCategoryLevelAsString($B43))),";",EscStr(L43),";")))</f>
        <v>;"NavNode_L3D_525308";"LCD ekranai";</v>
      </c>
      <c r="AF43" s="39" t="str">
        <f>IF(getCategoryLevelAsString($B43)="L0D_324785","",IF(M43="",CONCATENATE(";",EscStr(CONCATENATE("NavNode_",getCategoryLevelAsString($B43))),";",EscStr($J43),";"),CONCATENATE(";",EscStr(CONCATENATE("NavNode_",getCategoryLevelAsString($B43))),";",EscStr(M43),";")))</f>
        <v>;"NavNode_L3D_525308";"LCD-skjermer";</v>
      </c>
      <c r="AG43" s="39" t="str">
        <f>IF(getCategoryLevelAsString($B43)="L0D_324785","",IF(N43="",CONCATENATE(";",EscStr(CONCATENATE("NavNode_",getCategoryLevelAsString($B43))),";",EscStr($J43),";"),CONCATENATE(";",EscStr(CONCATENATE("NavNode_",getCategoryLevelAsString($B43))),";",EscStr(N43),";")))</f>
        <v>;"NavNode_L3D_525308";"LCD-displayer";</v>
      </c>
      <c r="AH43" s="39" t="str">
        <f>IF(getCategoryLevelAsString($B43)="L0D_324785","",IF(O43="",CONCATENATE(";",EscStr(CONCATENATE("NavNode_",getCategoryLevelAsString($B43))),";",EscStr($J43),";"),CONCATENATE(";",EscStr(CONCATENATE("NavNode_",getCategoryLevelAsString($B43))),";",EscStr(O43),";")))</f>
        <v>;"NavNode_L3D_525308";"LCD ekraanid";</v>
      </c>
      <c r="AI43" s="39" t="str">
        <f>IF(getCategoryLevelAsString($B43)="L0D_324785","",IF(P43="",CONCATENATE(";",EscStr(CONCATENATE("NavNode_",getCategoryLevelAsString($B43))),";",EscStr($J43),";"),CONCATENATE(";",EscStr(CONCATENATE("NavNode_",getCategoryLevelAsString($B43))),";",EscStr(P43),";")))</f>
        <v>;"NavNode_L3D_525308";"LCD näytöt";</v>
      </c>
      <c r="AJ43" s="39" t="str">
        <f>IF(getCategoryLevelAsString($B43)="L0D_324785","",IF(Q43="",CONCATENATE(";",EscStr(CONCATENATE("NavNode_",getCategoryLevelAsString($B43))),";",EscStr($J43),";"),CONCATENATE(";",EscStr(CONCATENATE("NavNode_",getCategoryLevelAsString($B43))),";",EscStr(Q43),";")))</f>
        <v>;"NavNode_L3D_525308";"LCD displeji";</v>
      </c>
      <c r="AK43" s="39" t="str">
        <f>IF(getCategoryLevelAsString($B43)="L0D_324785","",IF(R43="",CONCATENATE(";",EscStr(CONCATENATE("NavNode_",getCategoryLevelAsString($B43))),";",EscStr($J43),";"),CONCATENATE(";",EscStr(CONCATENATE("NavNode_",getCategoryLevelAsString($B43))),";",EscStr(R43),";")))</f>
        <v>;"NavNode_L3D_525308";"LCD displays";</v>
      </c>
      <c r="AL43" s="39" t="str">
        <f>IF(getCategoryLevelAsString($B43)="L0D_324785","",IF(S43="",CONCATENATE(";",EscStr(CONCATENATE("NavNode_",getCategoryLevelAsString($B43))),";",EscStr($J43),";"),CONCATENATE(";",EscStr(CONCATENATE("NavNode_",getCategoryLevelAsString($B43))),";",EscStr(S43),";")))</f>
        <v>;"NavNode_L3D_525308";"Wyświetlacze LCD";</v>
      </c>
      <c r="AM43" s="39" t="str">
        <f>IF(getCategoryLevelAsString($B43)="L0D_324785","",IF(T43="",CONCATENATE(";",EscStr(CONCATENATE("NavNode_",getCategoryLevelAsString($B43))),";",EscStr($J43),";"),CONCATENATE(";",EscStr(CONCATENATE("NavNode_",getCategoryLevelAsString($B43))),";",EscStr(T43),";")))</f>
        <v>;"NavNode_L3D_525308";"LCD Дисплеи";</v>
      </c>
      <c r="AN43" s="39" t="str">
        <f>IF(getCategoryLevelAsString($B43)="L0D_324785","",IF(U43="",CONCATENATE(";",EscStr(CONCATENATE("NavNode_",getCategoryLevelAsString($B43))),";",EscStr($J43),";"),CONCATENATE(";",EscStr(CONCATENATE("NavNode_",getCategoryLevelAsString($B43))),";",EscStr(U43),";")))</f>
        <v>;"NavNode_L3D_525308";"LCD displeje";</v>
      </c>
      <c r="AO43" s="39" t="str">
        <f>IF(getCategoryLevelAsString($B43)="L0D_324785","",IF(V43="",CONCATENATE(";",EscStr(CONCATENATE("NavNode_",getCategoryLevelAsString($B43))),";",EscStr($J43),";"),CONCATENATE(";",EscStr(CONCATENATE("NavNode_",getCategoryLevelAsString($B43))),";",EscStr(V43),";")))</f>
        <v>;"NavNode_L3D_525308";"Afişaje LCD";</v>
      </c>
      <c r="AP43" s="39" t="str">
        <f>IF(getCategoryLevelAsString($B43)="L0D_324785","",IF(W43="",CONCATENATE(";",EscStr(CONCATENATE("NavNode_",getCategoryLevelAsString($B43))),";",EscStr($J43),";"),CONCATENATE(";",EscStr(CONCATENATE("NavNode_",getCategoryLevelAsString($B43))),";",EscStr(W43),";")))</f>
        <v>;"NavNode_L3D_525308";"LCD kijelzők";</v>
      </c>
      <c r="AQ43" s="39" t="str">
        <f>IF(getCategoryLevelAsString($B43)="L0D_324785","",IF(X43="",CONCATENATE(";",EscStr(CONCATENATE("NavNode_",getCategoryLevelAsString($B43))),";",EscStr($J43),";"),CONCATENATE(";",EscStr(CONCATENATE("NavNode_",getCategoryLevelAsString($B43))),";",EscStr(X43),";")))</f>
        <v>;"NavNode_L3D_525308";"LCD displeje";</v>
      </c>
      <c r="AR43" s="39" t="str">
        <f>IF(OR($A43&lt;&gt;"", $G43=""),"",CONCATENATE(";",EscStr(CONCATENATE("NavEntry_",getCategoryLevelAsString($B43))),";",EscStr(CONCATENATE($J43," Navigation Entry")),";",EscStr(CONCATENATE("cat-",getCategoryLevelAsString($B43))),";",EscStr(CONCATENATE("NavNode_",getCategoryLevelAsString($B43))),";"))</f>
        <v>;"NavEntry_L3D_525308";"LCD Displays Navigation Entry";"cat-L3D_525308";"NavNode_L3D_525308";</v>
      </c>
    </row>
    <row r="44" spans="1:44" s="34" customFormat="1" ht="15" x14ac:dyDescent="0.25">
      <c r="A44" s="25"/>
      <c r="B44" s="5"/>
      <c r="C44" s="5"/>
      <c r="D44" s="5" t="s">
        <v>5756</v>
      </c>
      <c r="E44" s="5"/>
      <c r="F44" s="5"/>
      <c r="G44" s="5" t="s">
        <v>5758</v>
      </c>
      <c r="H44" s="5" t="s">
        <v>13592</v>
      </c>
      <c r="I44" s="5" t="s">
        <v>13681</v>
      </c>
      <c r="J44" s="5" t="s">
        <v>5757</v>
      </c>
      <c r="K44" s="5" t="s">
        <v>13775</v>
      </c>
      <c r="L44" s="5" t="s">
        <v>15087</v>
      </c>
      <c r="M44" s="5" t="s">
        <v>13872</v>
      </c>
      <c r="N44" s="47" t="s">
        <v>15429</v>
      </c>
      <c r="O44" s="5" t="s">
        <v>14036</v>
      </c>
      <c r="P44" s="5" t="s">
        <v>14128</v>
      </c>
      <c r="Q44" s="5" t="s">
        <v>14214</v>
      </c>
      <c r="R44" s="5" t="s">
        <v>14295</v>
      </c>
      <c r="S44" s="5" t="s">
        <v>14386</v>
      </c>
      <c r="T44" s="5" t="s">
        <v>14476</v>
      </c>
      <c r="U44" s="5" t="s">
        <v>14565</v>
      </c>
      <c r="V44" s="5" t="s">
        <v>14653</v>
      </c>
      <c r="W44" s="5" t="s">
        <v>14738</v>
      </c>
      <c r="X44" s="5" t="s">
        <v>14821</v>
      </c>
      <c r="Y44" s="39" t="str">
        <f>IF(OR($A44&lt;&gt;"", $G44=""),"",CONCATENATE(";",EscStr(CONCATENATE("NavNode_",getCategoryLevelAsString($B44))),";",EscStr($J44),";",IF($B44&lt;&gt;"","""MainCategoryNavNode""",EscStr(CONCATENATE("NavNode_",getSuperCategory($B44, getCategoryLevelAsNumber($B44))))),";"))</f>
        <v>;"NavNode_L3D_525309";"LCD Displays with Serial Interface";"NavNode_L2-3D_525341";</v>
      </c>
      <c r="Z44" s="39" t="str">
        <f>IF(getCategoryLevelAsString($B44)="L0D_324785","",IF(G44="",CONCATENATE(";",EscStr(CONCATENATE("NavNode_",getCategoryLevelAsString($B44))),";",EscStr($J44),";"),CONCATENATE(";",EscStr(CONCATENATE("NavNode_",getCategoryLevelAsString($B44))),";",EscStr(G44),";")))</f>
        <v>;"NavNode_L3D_525309";"LCD-Anzeigen mit serieller Schnittstelle";</v>
      </c>
      <c r="AA44" s="39" t="str">
        <f>IF(getCategoryLevelAsString($B44)="L0D_324785","",IF(H44="",CONCATENATE(";",EscStr(CONCATENATE("NavNode_",getCategoryLevelAsString($B44))),";",EscStr($J44),";"),CONCATENATE(";",EscStr(CONCATENATE("NavNode_",getCategoryLevelAsString($B44))),";",EscStr(H44),";")))</f>
        <v>;"NavNode_L3D_525309";"Affichages LCD avec interface série";</v>
      </c>
      <c r="AB44" s="39" t="str">
        <f>IF(getCategoryLevelAsString($B44)="L0D_324785","",IF(I44="",CONCATENATE(";",EscStr(CONCATENATE("NavNode_",getCategoryLevelAsString($B44))),";",EscStr($J44),";"),CONCATENATE(";",EscStr(CONCATENATE("NavNode_",getCategoryLevelAsString($B44))),";",EscStr(I44),";")))</f>
        <v>;"NavNode_L3D_525309";"Display LCD con interfaccia seriale";</v>
      </c>
      <c r="AC44" s="39" t="str">
        <f>IF(getCategoryLevelAsString($B44)="L0D_324785","",IF(J44="",CONCATENATE(";",EscStr(CONCATENATE("NavNode_",getCategoryLevelAsString($B44))),";",EscStr($J44),";"),CONCATENATE(";",EscStr(CONCATENATE("NavNode_",getCategoryLevelAsString($B44))),";",EscStr(J44),";")))</f>
        <v>;"NavNode_L3D_525309";"LCD Displays with Serial Interface";</v>
      </c>
      <c r="AD44" s="39" t="str">
        <f>IF(getCategoryLevelAsString($B44)="L0D_324785","",IF(K44="",CONCATENATE(";",EscStr(CONCATENATE("NavNode_",getCategoryLevelAsString($B44))),";",EscStr($J44),";"),CONCATENATE(";",EscStr(CONCATENATE("NavNode_",getCategoryLevelAsString($B44))),";",EscStr(K44),";")))</f>
        <v>;"NavNode_L3D_525309";"LCD-display med Seriel Interface";</v>
      </c>
      <c r="AE44" s="39" t="str">
        <f>IF(getCategoryLevelAsString($B44)="L0D_324785","",IF(L44="",CONCATENATE(";",EscStr(CONCATENATE("NavNode_",getCategoryLevelAsString($B44))),";",EscStr($J44),";"),CONCATENATE(";",EscStr(CONCATENATE("NavNode_",getCategoryLevelAsString($B44))),";",EscStr(L44),";")))</f>
        <v>;"NavNode_L3D_525309";"LCD ekranai su skaitmenine sąsaja";</v>
      </c>
      <c r="AF44" s="39" t="str">
        <f>IF(getCategoryLevelAsString($B44)="L0D_324785","",IF(M44="",CONCATENATE(";",EscStr(CONCATENATE("NavNode_",getCategoryLevelAsString($B44))),";",EscStr($J44),";"),CONCATENATE(";",EscStr(CONCATENATE("NavNode_",getCategoryLevelAsString($B44))),";",EscStr(M44),";")))</f>
        <v>;"NavNode_L3D_525309";"LCD-skjermer med serielt grensesnitt";</v>
      </c>
      <c r="AG44" s="39" t="str">
        <f>IF(getCategoryLevelAsString($B44)="L0D_324785","",IF(N44="",CONCATENATE(";",EscStr(CONCATENATE("NavNode_",getCategoryLevelAsString($B44))),";",EscStr($J44),";"),CONCATENATE(";",EscStr(CONCATENATE("NavNode_",getCategoryLevelAsString($B44))),";",EscStr(N44),";")))</f>
        <v>;"NavNode_L3D_525309";"LCD-displayer, seriella";</v>
      </c>
      <c r="AH44" s="39" t="str">
        <f>IF(getCategoryLevelAsString($B44)="L0D_324785","",IF(O44="",CONCATENATE(";",EscStr(CONCATENATE("NavNode_",getCategoryLevelAsString($B44))),";",EscStr($J44),";"),CONCATENATE(";",EscStr(CONCATENATE("NavNode_",getCategoryLevelAsString($B44))),";",EscStr(O44),";")))</f>
        <v>;"NavNode_L3D_525309";"LCD ekraanid järjestikliidesega";</v>
      </c>
      <c r="AI44" s="39" t="str">
        <f>IF(getCategoryLevelAsString($B44)="L0D_324785","",IF(P44="",CONCATENATE(";",EscStr(CONCATENATE("NavNode_",getCategoryLevelAsString($B44))),";",EscStr($J44),";"),CONCATENATE(";",EscStr(CONCATENATE("NavNode_",getCategoryLevelAsString($B44))),";",EscStr(P44),";")))</f>
        <v>;"NavNode_L3D_525309";"LCD näytöt sarjaväylällä";</v>
      </c>
      <c r="AJ44" s="39" t="str">
        <f>IF(getCategoryLevelAsString($B44)="L0D_324785","",IF(Q44="",CONCATENATE(";",EscStr(CONCATENATE("NavNode_",getCategoryLevelAsString($B44))),";",EscStr($J44),";"),CONCATENATE(";",EscStr(CONCATENATE("NavNode_",getCategoryLevelAsString($B44))),";",EscStr(Q44),";")))</f>
        <v>;"NavNode_L3D_525309";"LCD displeji ar seriālo interfeisu";</v>
      </c>
      <c r="AK44" s="39" t="str">
        <f>IF(getCategoryLevelAsString($B44)="L0D_324785","",IF(R44="",CONCATENATE(";",EscStr(CONCATENATE("NavNode_",getCategoryLevelAsString($B44))),";",EscStr($J44),";"),CONCATENATE(";",EscStr(CONCATENATE("NavNode_",getCategoryLevelAsString($B44))),";",EscStr(R44),";")))</f>
        <v>;"NavNode_L3D_525309";"LCD displays met seriele interface";</v>
      </c>
      <c r="AL44" s="39" t="str">
        <f>IF(getCategoryLevelAsString($B44)="L0D_324785","",IF(S44="",CONCATENATE(";",EscStr(CONCATENATE("NavNode_",getCategoryLevelAsString($B44))),";",EscStr($J44),";"),CONCATENATE(";",EscStr(CONCATENATE("NavNode_",getCategoryLevelAsString($B44))),";",EscStr(S44),";")))</f>
        <v>;"NavNode_L3D_525309";"Wyświetlacze LCD z interfejsem szeregowym";</v>
      </c>
      <c r="AM44" s="39" t="str">
        <f>IF(getCategoryLevelAsString($B44)="L0D_324785","",IF(T44="",CONCATENATE(";",EscStr(CONCATENATE("NavNode_",getCategoryLevelAsString($B44))),";",EscStr($J44),";"),CONCATENATE(";",EscStr(CONCATENATE("NavNode_",getCategoryLevelAsString($B44))),";",EscStr(T44),";")))</f>
        <v>;"NavNode_L3D_525309";"LCD Дисплеи с серийным (последовательным)интерфейсом";</v>
      </c>
      <c r="AN44" s="39" t="str">
        <f>IF(getCategoryLevelAsString($B44)="L0D_324785","",IF(U44="",CONCATENATE(";",EscStr(CONCATENATE("NavNode_",getCategoryLevelAsString($B44))),";",EscStr($J44),";"),CONCATENATE(";",EscStr(CONCATENATE("NavNode_",getCategoryLevelAsString($B44))),";",EscStr(U44),";")))</f>
        <v>;"NavNode_L3D_525309";"LCD displeje se sériovým rozhraním";</v>
      </c>
      <c r="AO44" s="39" t="str">
        <f>IF(getCategoryLevelAsString($B44)="L0D_324785","",IF(V44="",CONCATENATE(";",EscStr(CONCATENATE("NavNode_",getCategoryLevelAsString($B44))),";",EscStr($J44),";"),CONCATENATE(";",EscStr(CONCATENATE("NavNode_",getCategoryLevelAsString($B44))),";",EscStr(V44),";")))</f>
        <v>;"NavNode_L3D_525309";"Afişaje LCD cu interfaţă serială";</v>
      </c>
      <c r="AP44" s="39" t="str">
        <f>IF(getCategoryLevelAsString($B44)="L0D_324785","",IF(W44="",CONCATENATE(";",EscStr(CONCATENATE("NavNode_",getCategoryLevelAsString($B44))),";",EscStr($J44),";"),CONCATENATE(";",EscStr(CONCATENATE("NavNode_",getCategoryLevelAsString($B44))),";",EscStr(W44),";")))</f>
        <v>;"NavNode_L3D_525309";"LCD kijelzők soros porttal";</v>
      </c>
      <c r="AQ44" s="39" t="str">
        <f>IF(getCategoryLevelAsString($B44)="L0D_324785","",IF(X44="",CONCATENATE(";",EscStr(CONCATENATE("NavNode_",getCategoryLevelAsString($B44))),";",EscStr($J44),";"),CONCATENATE(";",EscStr(CONCATENATE("NavNode_",getCategoryLevelAsString($B44))),";",EscStr(X44),";")))</f>
        <v>;"NavNode_L3D_525309";"LCD displeje so sériovým rozhraním";</v>
      </c>
      <c r="AR44" s="39" t="str">
        <f>IF(OR($A44&lt;&gt;"", $G44=""),"",CONCATENATE(";",EscStr(CONCATENATE("NavEntry_",getCategoryLevelAsString($B44))),";",EscStr(CONCATENATE($J44," Navigation Entry")),";",EscStr(CONCATENATE("cat-",getCategoryLevelAsString($B44))),";",EscStr(CONCATENATE("NavNode_",getCategoryLevelAsString($B44))),";"))</f>
        <v>;"NavEntry_L3D_525309";"LCD Displays with Serial Interface Navigation Entry";"cat-L3D_525309";"NavNode_L3D_525309";</v>
      </c>
    </row>
    <row r="45" spans="1:44" s="34" customFormat="1" ht="15" x14ac:dyDescent="0.25">
      <c r="A45" s="25"/>
      <c r="B45" s="5"/>
      <c r="C45" s="5"/>
      <c r="D45" s="5" t="s">
        <v>5770</v>
      </c>
      <c r="E45" s="5"/>
      <c r="F45" s="5"/>
      <c r="G45" s="5" t="s">
        <v>5772</v>
      </c>
      <c r="H45" s="5" t="s">
        <v>13593</v>
      </c>
      <c r="I45" s="5" t="s">
        <v>13682</v>
      </c>
      <c r="J45" s="40" t="s">
        <v>13553</v>
      </c>
      <c r="K45" s="5" t="s">
        <v>13776</v>
      </c>
      <c r="L45" s="5" t="s">
        <v>15088</v>
      </c>
      <c r="M45" s="5" t="s">
        <v>13873</v>
      </c>
      <c r="N45" s="47" t="s">
        <v>15430</v>
      </c>
      <c r="O45" s="5" t="s">
        <v>14037</v>
      </c>
      <c r="P45" s="5" t="s">
        <v>14129</v>
      </c>
      <c r="Q45" s="5" t="s">
        <v>14215</v>
      </c>
      <c r="R45" s="5" t="s">
        <v>14296</v>
      </c>
      <c r="S45" s="5" t="s">
        <v>14387</v>
      </c>
      <c r="T45" s="5" t="s">
        <v>14477</v>
      </c>
      <c r="U45" s="5" t="s">
        <v>14566</v>
      </c>
      <c r="V45" s="5" t="s">
        <v>14654</v>
      </c>
      <c r="W45" s="5" t="s">
        <v>14739</v>
      </c>
      <c r="X45" s="5" t="s">
        <v>14822</v>
      </c>
      <c r="Y45" s="39" t="str">
        <f>IF(OR($A45&lt;&gt;"", $G45=""),"",CONCATENATE(";",EscStr(CONCATENATE("NavNode_",getCategoryLevelAsString($B45))),";",EscStr($J45),";",IF($B45&lt;&gt;"","""MainCategoryNavNode""",EscStr(CONCATENATE("NavNode_",getSuperCategory($B45, getCategoryLevelAsNumber($B45))))),";"))</f>
        <v>;"NavNode_L3D_525310";"Intelligent LCD displays and touch panels";"NavNode_L2-3D_525341";</v>
      </c>
      <c r="Z45" s="39" t="str">
        <f>IF(getCategoryLevelAsString($B45)="L0D_324785","",IF(G45="",CONCATENATE(";",EscStr(CONCATENATE("NavNode_",getCategoryLevelAsString($B45))),";",EscStr($J45),";"),CONCATENATE(";",EscStr(CONCATENATE("NavNode_",getCategoryLevelAsString($B45))),";",EscStr(G45),";")))</f>
        <v>;"NavNode_L3D_525310";"Intelligente LCD-Anzeigen und Touchpanels";</v>
      </c>
      <c r="AA45" s="39" t="str">
        <f>IF(getCategoryLevelAsString($B45)="L0D_324785","",IF(H45="",CONCATENATE(";",EscStr(CONCATENATE("NavNode_",getCategoryLevelAsString($B45))),";",EscStr($J45),";"),CONCATENATE(";",EscStr(CONCATENATE("NavNode_",getCategoryLevelAsString($B45))),";",EscStr(H45),";")))</f>
        <v>;"NavNode_L3D_525310";"Affichages LCD intelligents et panneaux tactiles";</v>
      </c>
      <c r="AB45" s="39" t="str">
        <f>IF(getCategoryLevelAsString($B45)="L0D_324785","",IF(I45="",CONCATENATE(";",EscStr(CONCATENATE("NavNode_",getCategoryLevelAsString($B45))),";",EscStr($J45),";"),CONCATENATE(";",EscStr(CONCATENATE("NavNode_",getCategoryLevelAsString($B45))),";",EscStr(I45),";")))</f>
        <v>;"NavNode_L3D_525310";"Display LCD intelligenti e touch panel";</v>
      </c>
      <c r="AC45" s="39" t="str">
        <f>IF(getCategoryLevelAsString($B45)="L0D_324785","",IF(J45="",CONCATENATE(";",EscStr(CONCATENATE("NavNode_",getCategoryLevelAsString($B45))),";",EscStr($J45),";"),CONCATENATE(";",EscStr(CONCATENATE("NavNode_",getCategoryLevelAsString($B45))),";",EscStr(J45),";")))</f>
        <v>;"NavNode_L3D_525310";"Intelligent LCD displays and touch panels";</v>
      </c>
      <c r="AD45" s="39" t="str">
        <f>IF(getCategoryLevelAsString($B45)="L0D_324785","",IF(K45="",CONCATENATE(";",EscStr(CONCATENATE("NavNode_",getCategoryLevelAsString($B45))),";",EscStr($J45),";"),CONCATENATE(";",EscStr(CONCATENATE("NavNode_",getCategoryLevelAsString($B45))),";",EscStr(K45),";")))</f>
        <v>;"NavNode_L3D_525310";"Intelligente LCD-displays og touch-paneler (berøringsfølsomme skærme)";</v>
      </c>
      <c r="AE45" s="39" t="str">
        <f>IF(getCategoryLevelAsString($B45)="L0D_324785","",IF(L45="",CONCATENATE(";",EscStr(CONCATENATE("NavNode_",getCategoryLevelAsString($B45))),";",EscStr($J45),";"),CONCATENATE(";",EscStr(CONCATENATE("NavNode_",getCategoryLevelAsString($B45))),";",EscStr(L45),";")))</f>
        <v>;"NavNode_L3D_525310";"Išmanieji LCD ekranai ir liečiami ekranai";</v>
      </c>
      <c r="AF45" s="39" t="str">
        <f>IF(getCategoryLevelAsString($B45)="L0D_324785","",IF(M45="",CONCATENATE(";",EscStr(CONCATENATE("NavNode_",getCategoryLevelAsString($B45))),";",EscStr($J45),";"),CONCATENATE(";",EscStr(CONCATENATE("NavNode_",getCategoryLevelAsString($B45))),";",EscStr(M45),";")))</f>
        <v>;"NavNode_L3D_525310";"Intelligente LCD-skjermer og berøringsskjermer";</v>
      </c>
      <c r="AG45" s="39" t="str">
        <f>IF(getCategoryLevelAsString($B45)="L0D_324785","",IF(N45="",CONCATENATE(";",EscStr(CONCATENATE("NavNode_",getCategoryLevelAsString($B45))),";",EscStr($J45),";"),CONCATENATE(";",EscStr(CONCATENATE("NavNode_",getCategoryLevelAsString($B45))),";",EscStr(N45),";")))</f>
        <v>;"NavNode_L3D_525310";"LCD-displayer, intelligenta";</v>
      </c>
      <c r="AH45" s="39" t="str">
        <f>IF(getCategoryLevelAsString($B45)="L0D_324785","",IF(O45="",CONCATENATE(";",EscStr(CONCATENATE("NavNode_",getCategoryLevelAsString($B45))),";",EscStr($J45),";"),CONCATENATE(";",EscStr(CONCATENATE("NavNode_",getCategoryLevelAsString($B45))),";",EscStr(O45),";")))</f>
        <v>;"NavNode_L3D_525310";"Intelligentsed LCD ekraanid ja puutepaneelid";</v>
      </c>
      <c r="AI45" s="39" t="str">
        <f>IF(getCategoryLevelAsString($B45)="L0D_324785","",IF(P45="",CONCATENATE(";",EscStr(CONCATENATE("NavNode_",getCategoryLevelAsString($B45))),";",EscStr($J45),";"),CONCATENATE(";",EscStr(CONCATENATE("NavNode_",getCategoryLevelAsString($B45))),";",EscStr(P45),";")))</f>
        <v>;"NavNode_L3D_525310";"LCD Älykkäät";</v>
      </c>
      <c r="AJ45" s="39" t="str">
        <f>IF(getCategoryLevelAsString($B45)="L0D_324785","",IF(Q45="",CONCATENATE(";",EscStr(CONCATENATE("NavNode_",getCategoryLevelAsString($B45))),";",EscStr($J45),";"),CONCATENATE(";",EscStr(CONCATENATE("NavNode_",getCategoryLevelAsString($B45))),";",EscStr(Q45),";")))</f>
        <v>;"NavNode_L3D_525310";"Inteliģentie LCD displeji un skārienjūtīgie paneļi";</v>
      </c>
      <c r="AK45" s="39" t="str">
        <f>IF(getCategoryLevelAsString($B45)="L0D_324785","",IF(R45="",CONCATENATE(";",EscStr(CONCATENATE("NavNode_",getCategoryLevelAsString($B45))),";",EscStr($J45),";"),CONCATENATE(";",EscStr(CONCATENATE("NavNode_",getCategoryLevelAsString($B45))),";",EscStr(R45),";")))</f>
        <v>;"NavNode_L3D_525310";"Intelligente LCD displays en aanraakschermen";</v>
      </c>
      <c r="AL45" s="39" t="str">
        <f>IF(getCategoryLevelAsString($B45)="L0D_324785","",IF(S45="",CONCATENATE(";",EscStr(CONCATENATE("NavNode_",getCategoryLevelAsString($B45))),";",EscStr($J45),";"),CONCATENATE(";",EscStr(CONCATENATE("NavNode_",getCategoryLevelAsString($B45))),";",EscStr(S45),";")))</f>
        <v>;"NavNode_L3D_525310";"Inteligentne wyświetlacze LCD i Panele dotykowe";</v>
      </c>
      <c r="AM45" s="39" t="str">
        <f>IF(getCategoryLevelAsString($B45)="L0D_324785","",IF(T45="",CONCATENATE(";",EscStr(CONCATENATE("NavNode_",getCategoryLevelAsString($B45))),";",EscStr($J45),";"),CONCATENATE(";",EscStr(CONCATENATE("NavNode_",getCategoryLevelAsString($B45))),";",EscStr(T45),";")))</f>
        <v>;"NavNode_L3D_525310";"Интелектуальные LCD дисплеи и паненели с сенсорным вводом";</v>
      </c>
      <c r="AN45" s="39" t="str">
        <f>IF(getCategoryLevelAsString($B45)="L0D_324785","",IF(U45="",CONCATENATE(";",EscStr(CONCATENATE("NavNode_",getCategoryLevelAsString($B45))),";",EscStr($J45),";"),CONCATENATE(";",EscStr(CONCATENATE("NavNode_",getCategoryLevelAsString($B45))),";",EscStr(U45),";")))</f>
        <v>;"NavNode_L3D_525310";"Inteligentní LCD displeje a dotykové panely";</v>
      </c>
      <c r="AO45" s="39" t="str">
        <f>IF(getCategoryLevelAsString($B45)="L0D_324785","",IF(V45="",CONCATENATE(";",EscStr(CONCATENATE("NavNode_",getCategoryLevelAsString($B45))),";",EscStr($J45),";"),CONCATENATE(";",EscStr(CONCATENATE("NavNode_",getCategoryLevelAsString($B45))),";",EscStr(V45),";")))</f>
        <v>;"NavNode_L3D_525310";"Inteligent LCD display şi touch panel";</v>
      </c>
      <c r="AP45" s="39" t="str">
        <f>IF(getCategoryLevelAsString($B45)="L0D_324785","",IF(W45="",CONCATENATE(";",EscStr(CONCATENATE("NavNode_",getCategoryLevelAsString($B45))),";",EscStr($J45),";"),CONCATENATE(";",EscStr(CONCATENATE("NavNode_",getCategoryLevelAsString($B45))),";",EscStr(W45),";")))</f>
        <v>;"NavNode_L3D_525310";"Inteligens LCD kijelzők és érintőköpernyők";</v>
      </c>
      <c r="AQ45" s="39" t="str">
        <f>IF(getCategoryLevelAsString($B45)="L0D_324785","",IF(X45="",CONCATENATE(";",EscStr(CONCATENATE("NavNode_",getCategoryLevelAsString($B45))),";",EscStr($J45),";"),CONCATENATE(";",EscStr(CONCATENATE("NavNode_",getCategoryLevelAsString($B45))),";",EscStr(X45),";")))</f>
        <v>;"NavNode_L3D_525310";"Inteligentné LCD displeje a dotykové panely";</v>
      </c>
      <c r="AR45" s="39" t="str">
        <f>IF(OR($A45&lt;&gt;"", $G45=""),"",CONCATENATE(";",EscStr(CONCATENATE("NavEntry_",getCategoryLevelAsString($B45))),";",EscStr(CONCATENATE($J45," Navigation Entry")),";",EscStr(CONCATENATE("cat-",getCategoryLevelAsString($B45))),";",EscStr(CONCATENATE("NavNode_",getCategoryLevelAsString($B45))),";"))</f>
        <v>;"NavEntry_L3D_525310";"Intelligent LCD displays and touch panels Navigation Entry";"cat-L3D_525310";"NavNode_L3D_525310";</v>
      </c>
    </row>
    <row r="46" spans="1:44" s="34" customFormat="1" ht="15" x14ac:dyDescent="0.25">
      <c r="A46" s="25"/>
      <c r="B46" s="5"/>
      <c r="C46" s="5"/>
      <c r="D46" s="5" t="s">
        <v>5784</v>
      </c>
      <c r="E46" s="5"/>
      <c r="F46" s="5"/>
      <c r="G46" s="5" t="s">
        <v>5786</v>
      </c>
      <c r="H46" s="5" t="s">
        <v>13594</v>
      </c>
      <c r="I46" s="5" t="s">
        <v>13683</v>
      </c>
      <c r="J46" s="41" t="s">
        <v>5789</v>
      </c>
      <c r="K46" s="5" t="s">
        <v>13777</v>
      </c>
      <c r="L46" s="5" t="s">
        <v>15089</v>
      </c>
      <c r="M46" s="5" t="s">
        <v>13874</v>
      </c>
      <c r="N46" s="47" t="s">
        <v>15431</v>
      </c>
      <c r="O46" s="5" t="s">
        <v>14038</v>
      </c>
      <c r="P46" s="5" t="s">
        <v>14130</v>
      </c>
      <c r="Q46" s="5" t="s">
        <v>14216</v>
      </c>
      <c r="R46" s="5" t="s">
        <v>14297</v>
      </c>
      <c r="S46" s="5" t="s">
        <v>14388</v>
      </c>
      <c r="T46" s="5" t="s">
        <v>14478</v>
      </c>
      <c r="U46" s="5" t="s">
        <v>14567</v>
      </c>
      <c r="V46" s="5" t="s">
        <v>14655</v>
      </c>
      <c r="W46" s="5" t="s">
        <v>14740</v>
      </c>
      <c r="X46" s="5" t="s">
        <v>14567</v>
      </c>
      <c r="Y46" s="39" t="str">
        <f>IF(OR($A46&lt;&gt;"", $G46=""),"",CONCATENATE(";",EscStr(CONCATENATE("NavNode_",getCategoryLevelAsString($B46))),";",EscStr($J46),";",IF($B46&lt;&gt;"","""MainCategoryNavNode""",EscStr(CONCATENATE("NavNode_",getSuperCategory($B46, getCategoryLevelAsNumber($B46))))),";"))</f>
        <v>;"NavNode_L3D_525312";"Bi-stable LCD Displays";"NavNode_L2-3D_525341";</v>
      </c>
      <c r="Z46" s="39" t="str">
        <f>IF(getCategoryLevelAsString($B46)="L0D_324785","",IF(G46="",CONCATENATE(";",EscStr(CONCATENATE("NavNode_",getCategoryLevelAsString($B46))),";",EscStr($J46),";"),CONCATENATE(";",EscStr(CONCATENATE("NavNode_",getCategoryLevelAsString($B46))),";",EscStr(G46),";")))</f>
        <v>;"NavNode_L3D_525312";"Bistabile LCD-Anzeigen";</v>
      </c>
      <c r="AA46" s="39" t="str">
        <f>IF(getCategoryLevelAsString($B46)="L0D_324785","",IF(H46="",CONCATENATE(";",EscStr(CONCATENATE("NavNode_",getCategoryLevelAsString($B46))),";",EscStr($J46),";"),CONCATENATE(";",EscStr(CONCATENATE("NavNode_",getCategoryLevelAsString($B46))),";",EscStr(H46),";")))</f>
        <v>;"NavNode_L3D_525312";"Affichages LCD bistables";</v>
      </c>
      <c r="AB46" s="39" t="str">
        <f>IF(getCategoryLevelAsString($B46)="L0D_324785","",IF(I46="",CONCATENATE(";",EscStr(CONCATENATE("NavNode_",getCategoryLevelAsString($B46))),";",EscStr($J46),";"),CONCATENATE(";",EscStr(CONCATENATE("NavNode_",getCategoryLevelAsString($B46))),";",EscStr(I46),";")))</f>
        <v>;"NavNode_L3D_525312";"Display LCD bistabili";</v>
      </c>
      <c r="AC46" s="39" t="str">
        <f>IF(getCategoryLevelAsString($B46)="L0D_324785","",IF(J46="",CONCATENATE(";",EscStr(CONCATENATE("NavNode_",getCategoryLevelAsString($B46))),";",EscStr($J46),";"),CONCATENATE(";",EscStr(CONCATENATE("NavNode_",getCategoryLevelAsString($B46))),";",EscStr(J46),";")))</f>
        <v>;"NavNode_L3D_525312";"Bi-stable LCD Displays";</v>
      </c>
      <c r="AD46" s="39" t="str">
        <f>IF(getCategoryLevelAsString($B46)="L0D_324785","",IF(K46="",CONCATENATE(";",EscStr(CONCATENATE("NavNode_",getCategoryLevelAsString($B46))),";",EscStr($J46),";"),CONCATENATE(";",EscStr(CONCATENATE("NavNode_",getCategoryLevelAsString($B46))),";",EscStr(K46),";")))</f>
        <v>;"NavNode_L3D_525312";"Bi-stabile LCD-display";</v>
      </c>
      <c r="AE46" s="39" t="str">
        <f>IF(getCategoryLevelAsString($B46)="L0D_324785","",IF(L46="",CONCATENATE(";",EscStr(CONCATENATE("NavNode_",getCategoryLevelAsString($B46))),";",EscStr($J46),";"),CONCATENATE(";",EscStr(CONCATENATE("NavNode_",getCategoryLevelAsString($B46))),";",EscStr(L46),";")))</f>
        <v>;"NavNode_L3D_525312";"Dvispalviai LCD ekranai";</v>
      </c>
      <c r="AF46" s="39" t="str">
        <f>IF(getCategoryLevelAsString($B46)="L0D_324785","",IF(M46="",CONCATENATE(";",EscStr(CONCATENATE("NavNode_",getCategoryLevelAsString($B46))),";",EscStr($J46),";"),CONCATENATE(";",EscStr(CONCATENATE("NavNode_",getCategoryLevelAsString($B46))),";",EscStr(M46),";")))</f>
        <v>;"NavNode_L3D_525312";"Bistabile LCD-skjermer";</v>
      </c>
      <c r="AG46" s="39" t="str">
        <f>IF(getCategoryLevelAsString($B46)="L0D_324785","",IF(N46="",CONCATENATE(";",EscStr(CONCATENATE("NavNode_",getCategoryLevelAsString($B46))),";",EscStr($J46),";"),CONCATENATE(";",EscStr(CONCATENATE("NavNode_",getCategoryLevelAsString($B46))),";",EscStr(N46),";")))</f>
        <v>;"NavNode_L3D_525312";"LCD-displayer, bistabila";</v>
      </c>
      <c r="AH46" s="39" t="str">
        <f>IF(getCategoryLevelAsString($B46)="L0D_324785","",IF(O46="",CONCATENATE(";",EscStr(CONCATENATE("NavNode_",getCategoryLevelAsString($B46))),";",EscStr($J46),";"),CONCATENATE(";",EscStr(CONCATENATE("NavNode_",getCategoryLevelAsString($B46))),";",EscStr(O46),";")))</f>
        <v>;"NavNode_L3D_525312";"Bi-stabiilsed LCD ekraanid";</v>
      </c>
      <c r="AI46" s="39" t="str">
        <f>IF(getCategoryLevelAsString($B46)="L0D_324785","",IF(P46="",CONCATENATE(";",EscStr(CONCATENATE("NavNode_",getCategoryLevelAsString($B46))),";",EscStr($J46),";"),CONCATENATE(";",EscStr(CONCATENATE("NavNode_",getCategoryLevelAsString($B46))),";",EscStr(P46),";")))</f>
        <v>;"NavNode_L3D_525312";"LCD näytöt Bi-stabiilit";</v>
      </c>
      <c r="AJ46" s="39" t="str">
        <f>IF(getCategoryLevelAsString($B46)="L0D_324785","",IF(Q46="",CONCATENATE(";",EscStr(CONCATENATE("NavNode_",getCategoryLevelAsString($B46))),";",EscStr($J46),";"),CONCATENATE(";",EscStr(CONCATENATE("NavNode_",getCategoryLevelAsString($B46))),";",EscStr(Q46),";")))</f>
        <v>;"NavNode_L3D_525312";"Bistabilie LCD displeji";</v>
      </c>
      <c r="AK46" s="39" t="str">
        <f>IF(getCategoryLevelAsString($B46)="L0D_324785","",IF(R46="",CONCATENATE(";",EscStr(CONCATENATE("NavNode_",getCategoryLevelAsString($B46))),";",EscStr($J46),";"),CONCATENATE(";",EscStr(CONCATENATE("NavNode_",getCategoryLevelAsString($B46))),";",EscStr(R46),";")))</f>
        <v>;"NavNode_L3D_525312";"Bi-stabiele LCD displays";</v>
      </c>
      <c r="AL46" s="39" t="str">
        <f>IF(getCategoryLevelAsString($B46)="L0D_324785","",IF(S46="",CONCATENATE(";",EscStr(CONCATENATE("NavNode_",getCategoryLevelAsString($B46))),";",EscStr($J46),";"),CONCATENATE(";",EscStr(CONCATENATE("NavNode_",getCategoryLevelAsString($B46))),";",EscStr(S46),";")))</f>
        <v>;"NavNode_L3D_525312";"Bistabilne wyświetlacze LCD";</v>
      </c>
      <c r="AM46" s="39" t="str">
        <f>IF(getCategoryLevelAsString($B46)="L0D_324785","",IF(T46="",CONCATENATE(";",EscStr(CONCATENATE("NavNode_",getCategoryLevelAsString($B46))),";",EscStr($J46),";"),CONCATENATE(";",EscStr(CONCATENATE("NavNode_",getCategoryLevelAsString($B46))),";",EscStr(T46),";")))</f>
        <v>;"NavNode_L3D_525312";"Вистабильные LCD дисплеи";</v>
      </c>
      <c r="AN46" s="39" t="str">
        <f>IF(getCategoryLevelAsString($B46)="L0D_324785","",IF(U46="",CONCATENATE(";",EscStr(CONCATENATE("NavNode_",getCategoryLevelAsString($B46))),";",EscStr($J46),";"),CONCATENATE(";",EscStr(CONCATENATE("NavNode_",getCategoryLevelAsString($B46))),";",EscStr(U46),";")))</f>
        <v>;"NavNode_L3D_525312";"Bistabilní LCD displeje";</v>
      </c>
      <c r="AO46" s="39" t="str">
        <f>IF(getCategoryLevelAsString($B46)="L0D_324785","",IF(V46="",CONCATENATE(";",EscStr(CONCATENATE("NavNode_",getCategoryLevelAsString($B46))),";",EscStr($J46),";"),CONCATENATE(";",EscStr(CONCATENATE("NavNode_",getCategoryLevelAsString($B46))),";",EscStr(V46),";")))</f>
        <v>;"NavNode_L3D_525312";"Iesire LCDs";</v>
      </c>
      <c r="AP46" s="39" t="str">
        <f>IF(getCategoryLevelAsString($B46)="L0D_324785","",IF(W46="",CONCATENATE(";",EscStr(CONCATENATE("NavNode_",getCategoryLevelAsString($B46))),";",EscStr($J46),";"),CONCATENATE(";",EscStr(CONCATENATE("NavNode_",getCategoryLevelAsString($B46))),";",EscStr(W46),";")))</f>
        <v>;"NavNode_L3D_525312";"Bistabil LCD kijelzők";</v>
      </c>
      <c r="AQ46" s="39" t="str">
        <f>IF(getCategoryLevelAsString($B46)="L0D_324785","",IF(X46="",CONCATENATE(";",EscStr(CONCATENATE("NavNode_",getCategoryLevelAsString($B46))),";",EscStr($J46),";"),CONCATENATE(";",EscStr(CONCATENATE("NavNode_",getCategoryLevelAsString($B46))),";",EscStr(X46),";")))</f>
        <v>;"NavNode_L3D_525312";"Bistabilní LCD displeje";</v>
      </c>
      <c r="AR46" s="39" t="str">
        <f>IF(OR($A46&lt;&gt;"", $G46=""),"",CONCATENATE(";",EscStr(CONCATENATE("NavEntry_",getCategoryLevelAsString($B46))),";",EscStr(CONCATENATE($J46," Navigation Entry")),";",EscStr(CONCATENATE("cat-",getCategoryLevelAsString($B46))),";",EscStr(CONCATENATE("NavNode_",getCategoryLevelAsString($B46))),";"))</f>
        <v>;"NavEntry_L3D_525312";"Bi-stable LCD Displays Navigation Entry";"cat-L3D_525312";"NavNode_L3D_525312";</v>
      </c>
    </row>
    <row r="47" spans="1:44" s="34" customFormat="1" ht="15" x14ac:dyDescent="0.25">
      <c r="A47" s="25"/>
      <c r="B47" s="5"/>
      <c r="C47" s="5"/>
      <c r="D47" s="5" t="s">
        <v>5793</v>
      </c>
      <c r="E47" s="5"/>
      <c r="F47" s="5"/>
      <c r="G47" s="5" t="s">
        <v>5795</v>
      </c>
      <c r="H47" s="5" t="s">
        <v>13595</v>
      </c>
      <c r="I47" s="5" t="s">
        <v>13684</v>
      </c>
      <c r="J47" s="5" t="s">
        <v>5794</v>
      </c>
      <c r="K47" s="5" t="s">
        <v>13778</v>
      </c>
      <c r="L47" s="5" t="s">
        <v>15090</v>
      </c>
      <c r="M47" s="5" t="s">
        <v>13875</v>
      </c>
      <c r="N47" s="47" t="s">
        <v>15432</v>
      </c>
      <c r="O47" s="5" t="s">
        <v>14039</v>
      </c>
      <c r="P47" s="5" t="s">
        <v>14131</v>
      </c>
      <c r="Q47" s="5" t="s">
        <v>14217</v>
      </c>
      <c r="R47" s="5" t="s">
        <v>5794</v>
      </c>
      <c r="S47" s="5" t="s">
        <v>14389</v>
      </c>
      <c r="T47" s="5" t="s">
        <v>14479</v>
      </c>
      <c r="U47" s="5" t="s">
        <v>14568</v>
      </c>
      <c r="V47" s="5" t="s">
        <v>14656</v>
      </c>
      <c r="W47" s="5" t="s">
        <v>14741</v>
      </c>
      <c r="X47" s="5" t="s">
        <v>14568</v>
      </c>
      <c r="Y47" s="39" t="str">
        <f>IF(OR($A47&lt;&gt;"", $G47=""),"",CONCATENATE(";",EscStr(CONCATENATE("NavNode_",getCategoryLevelAsString($B47))),";",EscStr($J47),";",IF($B47&lt;&gt;"","""MainCategoryNavNode""",EscStr(CONCATENATE("NavNode_",getSuperCategory($B47, getCategoryLevelAsNumber($B47))))),";"))</f>
        <v>;"NavNode_L3D_525313";"TFT Displays";"NavNode_L2-3D_525341";</v>
      </c>
      <c r="Z47" s="39" t="str">
        <f>IF(getCategoryLevelAsString($B47)="L0D_324785","",IF(G47="",CONCATENATE(";",EscStr(CONCATENATE("NavNode_",getCategoryLevelAsString($B47))),";",EscStr($J47),";"),CONCATENATE(";",EscStr(CONCATENATE("NavNode_",getCategoryLevelAsString($B47))),";",EscStr(G47),";")))</f>
        <v>;"NavNode_L3D_525313";"TFT-Displays";</v>
      </c>
      <c r="AA47" s="39" t="str">
        <f>IF(getCategoryLevelAsString($B47)="L0D_324785","",IF(H47="",CONCATENATE(";",EscStr(CONCATENATE("NavNode_",getCategoryLevelAsString($B47))),";",EscStr($J47),";"),CONCATENATE(";",EscStr(CONCATENATE("NavNode_",getCategoryLevelAsString($B47))),";",EscStr(H47),";")))</f>
        <v>;"NavNode_L3D_525313";"Affichages TFT";</v>
      </c>
      <c r="AB47" s="39" t="str">
        <f>IF(getCategoryLevelAsString($B47)="L0D_324785","",IF(I47="",CONCATENATE(";",EscStr(CONCATENATE("NavNode_",getCategoryLevelAsString($B47))),";",EscStr($J47),";"),CONCATENATE(";",EscStr(CONCATENATE("NavNode_",getCategoryLevelAsString($B47))),";",EscStr(I47),";")))</f>
        <v>;"NavNode_L3D_525313";"Display TFT";</v>
      </c>
      <c r="AC47" s="39" t="str">
        <f>IF(getCategoryLevelAsString($B47)="L0D_324785","",IF(J47="",CONCATENATE(";",EscStr(CONCATENATE("NavNode_",getCategoryLevelAsString($B47))),";",EscStr($J47),";"),CONCATENATE(";",EscStr(CONCATENATE("NavNode_",getCategoryLevelAsString($B47))),";",EscStr(J47),";")))</f>
        <v>;"NavNode_L3D_525313";"TFT Displays";</v>
      </c>
      <c r="AD47" s="39" t="str">
        <f>IF(getCategoryLevelAsString($B47)="L0D_324785","",IF(K47="",CONCATENATE(";",EscStr(CONCATENATE("NavNode_",getCategoryLevelAsString($B47))),";",EscStr($J47),";"),CONCATENATE(";",EscStr(CONCATENATE("NavNode_",getCategoryLevelAsString($B47))),";",EscStr(K47),";")))</f>
        <v>;"NavNode_L3D_525313";"TFT-display";</v>
      </c>
      <c r="AE47" s="39" t="str">
        <f>IF(getCategoryLevelAsString($B47)="L0D_324785","",IF(L47="",CONCATENATE(";",EscStr(CONCATENATE("NavNode_",getCategoryLevelAsString($B47))),";",EscStr($J47),";"),CONCATENATE(";",EscStr(CONCATENATE("NavNode_",getCategoryLevelAsString($B47))),";",EscStr(L47),";")))</f>
        <v>;"NavNode_L3D_525313";"TFT ekranai";</v>
      </c>
      <c r="AF47" s="39" t="str">
        <f>IF(getCategoryLevelAsString($B47)="L0D_324785","",IF(M47="",CONCATENATE(";",EscStr(CONCATENATE("NavNode_",getCategoryLevelAsString($B47))),";",EscStr($J47),";"),CONCATENATE(";",EscStr(CONCATENATE("NavNode_",getCategoryLevelAsString($B47))),";",EscStr(M47),";")))</f>
        <v>;"NavNode_L3D_525313";"TFT-skjermer";</v>
      </c>
      <c r="AG47" s="39" t="str">
        <f>IF(getCategoryLevelAsString($B47)="L0D_324785","",IF(N47="",CONCATENATE(";",EscStr(CONCATENATE("NavNode_",getCategoryLevelAsString($B47))),";",EscStr($J47),";"),CONCATENATE(";",EscStr(CONCATENATE("NavNode_",getCategoryLevelAsString($B47))),";",EscStr(N47),";")))</f>
        <v>;"NavNode_L3D_525313";"TFT-displayer";</v>
      </c>
      <c r="AH47" s="39" t="str">
        <f>IF(getCategoryLevelAsString($B47)="L0D_324785","",IF(O47="",CONCATENATE(";",EscStr(CONCATENATE("NavNode_",getCategoryLevelAsString($B47))),";",EscStr($J47),";"),CONCATENATE(";",EscStr(CONCATENATE("NavNode_",getCategoryLevelAsString($B47))),";",EscStr(O47),";")))</f>
        <v>;"NavNode_L3D_525313";"TFT ekraanid";</v>
      </c>
      <c r="AI47" s="39" t="str">
        <f>IF(getCategoryLevelAsString($B47)="L0D_324785","",IF(P47="",CONCATENATE(";",EscStr(CONCATENATE("NavNode_",getCategoryLevelAsString($B47))),";",EscStr($J47),";"),CONCATENATE(";",EscStr(CONCATENATE("NavNode_",getCategoryLevelAsString($B47))),";",EscStr(P47),";")))</f>
        <v>;"NavNode_L3D_525313";"TFT näytöt";</v>
      </c>
      <c r="AJ47" s="39" t="str">
        <f>IF(getCategoryLevelAsString($B47)="L0D_324785","",IF(Q47="",CONCATENATE(";",EscStr(CONCATENATE("NavNode_",getCategoryLevelAsString($B47))),";",EscStr($J47),";"),CONCATENATE(";",EscStr(CONCATENATE("NavNode_",getCategoryLevelAsString($B47))),";",EscStr(Q47),";")))</f>
        <v>;"NavNode_L3D_525313";"TFT displeji";</v>
      </c>
      <c r="AK47" s="39" t="str">
        <f>IF(getCategoryLevelAsString($B47)="L0D_324785","",IF(R47="",CONCATENATE(";",EscStr(CONCATENATE("NavNode_",getCategoryLevelAsString($B47))),";",EscStr($J47),";"),CONCATENATE(";",EscStr(CONCATENATE("NavNode_",getCategoryLevelAsString($B47))),";",EscStr(R47),";")))</f>
        <v>;"NavNode_L3D_525313";"TFT Displays";</v>
      </c>
      <c r="AL47" s="39" t="str">
        <f>IF(getCategoryLevelAsString($B47)="L0D_324785","",IF(S47="",CONCATENATE(";",EscStr(CONCATENATE("NavNode_",getCategoryLevelAsString($B47))),";",EscStr($J47),";"),CONCATENATE(";",EscStr(CONCATENATE("NavNode_",getCategoryLevelAsString($B47))),";",EscStr(S47),";")))</f>
        <v>;"NavNode_L3D_525313";"Wyświetlacze TFT";</v>
      </c>
      <c r="AM47" s="39" t="str">
        <f>IF(getCategoryLevelAsString($B47)="L0D_324785","",IF(T47="",CONCATENATE(";",EscStr(CONCATENATE("NavNode_",getCategoryLevelAsString($B47))),";",EscStr($J47),";"),CONCATENATE(";",EscStr(CONCATENATE("NavNode_",getCategoryLevelAsString($B47))),";",EscStr(T47),";")))</f>
        <v>;"NavNode_L3D_525313";"TFT Дисплеи";</v>
      </c>
      <c r="AN47" s="39" t="str">
        <f>IF(getCategoryLevelAsString($B47)="L0D_324785","",IF(U47="",CONCATENATE(";",EscStr(CONCATENATE("NavNode_",getCategoryLevelAsString($B47))),";",EscStr($J47),";"),CONCATENATE(";",EscStr(CONCATENATE("NavNode_",getCategoryLevelAsString($B47))),";",EscStr(U47),";")))</f>
        <v>;"NavNode_L3D_525313";"TFT displeje";</v>
      </c>
      <c r="AO47" s="39" t="str">
        <f>IF(getCategoryLevelAsString($B47)="L0D_324785","",IF(V47="",CONCATENATE(";",EscStr(CONCATENATE("NavNode_",getCategoryLevelAsString($B47))),";",EscStr($J47),";"),CONCATENATE(";",EscStr(CONCATENATE("NavNode_",getCategoryLevelAsString($B47))),";",EscStr(V47),";")))</f>
        <v>;"NavNode_L3D_525313";"Monitoare TFT";</v>
      </c>
      <c r="AP47" s="39" t="str">
        <f>IF(getCategoryLevelAsString($B47)="L0D_324785","",IF(W47="",CONCATENATE(";",EscStr(CONCATENATE("NavNode_",getCategoryLevelAsString($B47))),";",EscStr($J47),";"),CONCATENATE(";",EscStr(CONCATENATE("NavNode_",getCategoryLevelAsString($B47))),";",EscStr(W47),";")))</f>
        <v>;"NavNode_L3D_525313";"TFT-kijelzők";</v>
      </c>
      <c r="AQ47" s="39" t="str">
        <f>IF(getCategoryLevelAsString($B47)="L0D_324785","",IF(X47="",CONCATENATE(";",EscStr(CONCATENATE("NavNode_",getCategoryLevelAsString($B47))),";",EscStr($J47),";"),CONCATENATE(";",EscStr(CONCATENATE("NavNode_",getCategoryLevelAsString($B47))),";",EscStr(X47),";")))</f>
        <v>;"NavNode_L3D_525313";"TFT displeje";</v>
      </c>
      <c r="AR47" s="39" t="str">
        <f>IF(OR($A47&lt;&gt;"", $G47=""),"",CONCATENATE(";",EscStr(CONCATENATE("NavEntry_",getCategoryLevelAsString($B47))),";",EscStr(CONCATENATE($J47," Navigation Entry")),";",EscStr(CONCATENATE("cat-",getCategoryLevelAsString($B47))),";",EscStr(CONCATENATE("NavNode_",getCategoryLevelAsString($B47))),";"))</f>
        <v>;"NavEntry_L3D_525313";"TFT Displays Navigation Entry";"cat-L3D_525313";"NavNode_L3D_525313";</v>
      </c>
    </row>
    <row r="48" spans="1:44" s="34" customFormat="1" ht="15" x14ac:dyDescent="0.25">
      <c r="A48" s="25"/>
      <c r="B48" s="5"/>
      <c r="C48" s="5"/>
      <c r="D48" s="5" t="s">
        <v>5812</v>
      </c>
      <c r="E48" s="5"/>
      <c r="F48" s="5"/>
      <c r="G48" s="5" t="s">
        <v>5814</v>
      </c>
      <c r="H48" s="5" t="s">
        <v>13596</v>
      </c>
      <c r="I48" s="5" t="s">
        <v>13685</v>
      </c>
      <c r="J48" s="5" t="s">
        <v>5813</v>
      </c>
      <c r="K48" s="5" t="s">
        <v>13779</v>
      </c>
      <c r="L48" s="5" t="s">
        <v>15091</v>
      </c>
      <c r="M48" s="5" t="s">
        <v>13876</v>
      </c>
      <c r="N48" s="46" t="s">
        <v>13931</v>
      </c>
      <c r="O48" s="5" t="s">
        <v>14040</v>
      </c>
      <c r="P48" s="5" t="s">
        <v>14132</v>
      </c>
      <c r="Q48" s="5" t="s">
        <v>14218</v>
      </c>
      <c r="R48" s="5" t="s">
        <v>5813</v>
      </c>
      <c r="S48" s="5" t="s">
        <v>14390</v>
      </c>
      <c r="T48" s="5" t="s">
        <v>14480</v>
      </c>
      <c r="U48" s="5" t="s">
        <v>14569</v>
      </c>
      <c r="V48" s="5" t="s">
        <v>14657</v>
      </c>
      <c r="W48" s="5" t="s">
        <v>14742</v>
      </c>
      <c r="X48" s="5" t="s">
        <v>14569</v>
      </c>
      <c r="Y48" s="39" t="str">
        <f>IF(OR($A48&lt;&gt;"", $G48=""),"",CONCATENATE(";",EscStr(CONCATENATE("NavNode_",getCategoryLevelAsString($B48))),";",EscStr($J48),";",IF($B48&lt;&gt;"","""MainCategoryNavNode""",EscStr(CONCATENATE("NavNode_",getSuperCategory($B48, getCategoryLevelAsNumber($B48))))),";"))</f>
        <v>;"NavNode_L3D_525314";"VFD Displays";"NavNode_L2-3D_525341";</v>
      </c>
      <c r="Z48" s="39" t="str">
        <f>IF(getCategoryLevelAsString($B48)="L0D_324785","",IF(G48="",CONCATENATE(";",EscStr(CONCATENATE("NavNode_",getCategoryLevelAsString($B48))),";",EscStr($J48),";"),CONCATENATE(";",EscStr(CONCATENATE("NavNode_",getCategoryLevelAsString($B48))),";",EscStr(G48),";")))</f>
        <v>;"NavNode_L3D_525314";"VFD-Displays";</v>
      </c>
      <c r="AA48" s="39" t="str">
        <f>IF(getCategoryLevelAsString($B48)="L0D_324785","",IF(H48="",CONCATENATE(";",EscStr(CONCATENATE("NavNode_",getCategoryLevelAsString($B48))),";",EscStr($J48),";"),CONCATENATE(";",EscStr(CONCATENATE("NavNode_",getCategoryLevelAsString($B48))),";",EscStr(H48),";")))</f>
        <v>;"NavNode_L3D_525314";"Affichages VFD";</v>
      </c>
      <c r="AB48" s="39" t="str">
        <f>IF(getCategoryLevelAsString($B48)="L0D_324785","",IF(I48="",CONCATENATE(";",EscStr(CONCATENATE("NavNode_",getCategoryLevelAsString($B48))),";",EscStr($J48),";"),CONCATENATE(";",EscStr(CONCATENATE("NavNode_",getCategoryLevelAsString($B48))),";",EscStr(I48),";")))</f>
        <v>;"NavNode_L3D_525314";"Display VFD";</v>
      </c>
      <c r="AC48" s="39" t="str">
        <f>IF(getCategoryLevelAsString($B48)="L0D_324785","",IF(J48="",CONCATENATE(";",EscStr(CONCATENATE("NavNode_",getCategoryLevelAsString($B48))),";",EscStr($J48),";"),CONCATENATE(";",EscStr(CONCATENATE("NavNode_",getCategoryLevelAsString($B48))),";",EscStr(J48),";")))</f>
        <v>;"NavNode_L3D_525314";"VFD Displays";</v>
      </c>
      <c r="AD48" s="39" t="str">
        <f>IF(getCategoryLevelAsString($B48)="L0D_324785","",IF(K48="",CONCATENATE(";",EscStr(CONCATENATE("NavNode_",getCategoryLevelAsString($B48))),";",EscStr($J48),";"),CONCATENATE(";",EscStr(CONCATENATE("NavNode_",getCategoryLevelAsString($B48))),";",EscStr(K48),";")))</f>
        <v>;"NavNode_L3D_525314";"VFD-display";</v>
      </c>
      <c r="AE48" s="39" t="str">
        <f>IF(getCategoryLevelAsString($B48)="L0D_324785","",IF(L48="",CONCATENATE(";",EscStr(CONCATENATE("NavNode_",getCategoryLevelAsString($B48))),";",EscStr($J48),";"),CONCATENATE(";",EscStr(CONCATENATE("NavNode_",getCategoryLevelAsString($B48))),";",EscStr(L48),";")))</f>
        <v>;"NavNode_L3D_525314";"VFD ekranai";</v>
      </c>
      <c r="AF48" s="39" t="str">
        <f>IF(getCategoryLevelAsString($B48)="L0D_324785","",IF(M48="",CONCATENATE(";",EscStr(CONCATENATE("NavNode_",getCategoryLevelAsString($B48))),";",EscStr($J48),";"),CONCATENATE(";",EscStr(CONCATENATE("NavNode_",getCategoryLevelAsString($B48))),";",EscStr(M48),";")))</f>
        <v>;"NavNode_L3D_525314";"VFD-skjermer";</v>
      </c>
      <c r="AG48" s="39" t="str">
        <f>IF(getCategoryLevelAsString($B48)="L0D_324785","",IF(N48="",CONCATENATE(";",EscStr(CONCATENATE("NavNode_",getCategoryLevelAsString($B48))),";",EscStr($J48),";"),CONCATENATE(";",EscStr(CONCATENATE("NavNode_",getCategoryLevelAsString($B48))),";",EscStr(N48),";")))</f>
        <v>;"NavNode_L3D_525314";"VFD-displayer";</v>
      </c>
      <c r="AH48" s="39" t="str">
        <f>IF(getCategoryLevelAsString($B48)="L0D_324785","",IF(O48="",CONCATENATE(";",EscStr(CONCATENATE("NavNode_",getCategoryLevelAsString($B48))),";",EscStr($J48),";"),CONCATENATE(";",EscStr(CONCATENATE("NavNode_",getCategoryLevelAsString($B48))),";",EscStr(O48),";")))</f>
        <v>;"NavNode_L3D_525314";"VFD ekraanid";</v>
      </c>
      <c r="AI48" s="39" t="str">
        <f>IF(getCategoryLevelAsString($B48)="L0D_324785","",IF(P48="",CONCATENATE(";",EscStr(CONCATENATE("NavNode_",getCategoryLevelAsString($B48))),";",EscStr($J48),";"),CONCATENATE(";",EscStr(CONCATENATE("NavNode_",getCategoryLevelAsString($B48))),";",EscStr(P48),";")))</f>
        <v>;"NavNode_L3D_525314";"VFD näytöt";</v>
      </c>
      <c r="AJ48" s="39" t="str">
        <f>IF(getCategoryLevelAsString($B48)="L0D_324785","",IF(Q48="",CONCATENATE(";",EscStr(CONCATENATE("NavNode_",getCategoryLevelAsString($B48))),";",EscStr($J48),";"),CONCATENATE(";",EscStr(CONCATENATE("NavNode_",getCategoryLevelAsString($B48))),";",EscStr(Q48),";")))</f>
        <v>;"NavNode_L3D_525314";"VFD displeji";</v>
      </c>
      <c r="AK48" s="39" t="str">
        <f>IF(getCategoryLevelAsString($B48)="L0D_324785","",IF(R48="",CONCATENATE(";",EscStr(CONCATENATE("NavNode_",getCategoryLevelAsString($B48))),";",EscStr($J48),";"),CONCATENATE(";",EscStr(CONCATENATE("NavNode_",getCategoryLevelAsString($B48))),";",EscStr(R48),";")))</f>
        <v>;"NavNode_L3D_525314";"VFD Displays";</v>
      </c>
      <c r="AL48" s="39" t="str">
        <f>IF(getCategoryLevelAsString($B48)="L0D_324785","",IF(S48="",CONCATENATE(";",EscStr(CONCATENATE("NavNode_",getCategoryLevelAsString($B48))),";",EscStr($J48),";"),CONCATENATE(";",EscStr(CONCATENATE("NavNode_",getCategoryLevelAsString($B48))),";",EscStr(S48),";")))</f>
        <v>;"NavNode_L3D_525314";"Wyświetlacze VFD";</v>
      </c>
      <c r="AM48" s="39" t="str">
        <f>IF(getCategoryLevelAsString($B48)="L0D_324785","",IF(T48="",CONCATENATE(";",EscStr(CONCATENATE("NavNode_",getCategoryLevelAsString($B48))),";",EscStr($J48),";"),CONCATENATE(";",EscStr(CONCATENATE("NavNode_",getCategoryLevelAsString($B48))),";",EscStr(T48),";")))</f>
        <v>;"NavNode_L3D_525314";"VFD Дисплеи";</v>
      </c>
      <c r="AN48" s="39" t="str">
        <f>IF(getCategoryLevelAsString($B48)="L0D_324785","",IF(U48="",CONCATENATE(";",EscStr(CONCATENATE("NavNode_",getCategoryLevelAsString($B48))),";",EscStr($J48),";"),CONCATENATE(";",EscStr(CONCATENATE("NavNode_",getCategoryLevelAsString($B48))),";",EscStr(U48),";")))</f>
        <v>;"NavNode_L3D_525314";"VFD displeje";</v>
      </c>
      <c r="AO48" s="39" t="str">
        <f>IF(getCategoryLevelAsString($B48)="L0D_324785","",IF(V48="",CONCATENATE(";",EscStr(CONCATENATE("NavNode_",getCategoryLevelAsString($B48))),";",EscStr($J48),";"),CONCATENATE(";",EscStr(CONCATENATE("NavNode_",getCategoryLevelAsString($B48))),";",EscStr(V48),";")))</f>
        <v>;"NavNode_L3D_525314";"Monitoare VFD";</v>
      </c>
      <c r="AP48" s="39" t="str">
        <f>IF(getCategoryLevelAsString($B48)="L0D_324785","",IF(W48="",CONCATENATE(";",EscStr(CONCATENATE("NavNode_",getCategoryLevelAsString($B48))),";",EscStr($J48),";"),CONCATENATE(";",EscStr(CONCATENATE("NavNode_",getCategoryLevelAsString($B48))),";",EscStr(W48),";")))</f>
        <v>;"NavNode_L3D_525314";"VFD-kijelzők";</v>
      </c>
      <c r="AQ48" s="39" t="str">
        <f>IF(getCategoryLevelAsString($B48)="L0D_324785","",IF(X48="",CONCATENATE(";",EscStr(CONCATENATE("NavNode_",getCategoryLevelAsString($B48))),";",EscStr($J48),";"),CONCATENATE(";",EscStr(CONCATENATE("NavNode_",getCategoryLevelAsString($B48))),";",EscStr(X48),";")))</f>
        <v>;"NavNode_L3D_525314";"VFD displeje";</v>
      </c>
      <c r="AR48" s="39" t="str">
        <f>IF(OR($A48&lt;&gt;"", $G48=""),"",CONCATENATE(";",EscStr(CONCATENATE("NavEntry_",getCategoryLevelAsString($B48))),";",EscStr(CONCATENATE($J48," Navigation Entry")),";",EscStr(CONCATENATE("cat-",getCategoryLevelAsString($B48))),";",EscStr(CONCATENATE("NavNode_",getCategoryLevelAsString($B48))),";"))</f>
        <v>;"NavEntry_L3D_525314";"VFD Displays Navigation Entry";"cat-L3D_525314";"NavNode_L3D_525314";</v>
      </c>
    </row>
    <row r="49" spans="1:44" s="34" customFormat="1" ht="15" x14ac:dyDescent="0.25">
      <c r="A49" s="25"/>
      <c r="B49" s="5"/>
      <c r="C49" s="5"/>
      <c r="D49" s="5" t="s">
        <v>5825</v>
      </c>
      <c r="E49" s="5"/>
      <c r="F49" s="5"/>
      <c r="G49" s="5" t="s">
        <v>5827</v>
      </c>
      <c r="H49" s="5" t="s">
        <v>13597</v>
      </c>
      <c r="I49" s="5" t="s">
        <v>13686</v>
      </c>
      <c r="J49" s="5" t="s">
        <v>5826</v>
      </c>
      <c r="K49" s="5" t="s">
        <v>1203</v>
      </c>
      <c r="L49" s="5" t="s">
        <v>15092</v>
      </c>
      <c r="M49" s="5" t="s">
        <v>13877</v>
      </c>
      <c r="N49" s="5" t="s">
        <v>13877</v>
      </c>
      <c r="O49" s="5" t="s">
        <v>14041</v>
      </c>
      <c r="P49" s="5" t="s">
        <v>14133</v>
      </c>
      <c r="Q49" s="5" t="s">
        <v>14219</v>
      </c>
      <c r="R49" s="5" t="s">
        <v>14298</v>
      </c>
      <c r="S49" s="5" t="s">
        <v>14391</v>
      </c>
      <c r="T49" s="5" t="s">
        <v>14481</v>
      </c>
      <c r="U49" s="5" t="s">
        <v>14570</v>
      </c>
      <c r="V49" s="5" t="s">
        <v>14658</v>
      </c>
      <c r="W49" s="5" t="s">
        <v>14743</v>
      </c>
      <c r="X49" s="5" t="s">
        <v>14823</v>
      </c>
      <c r="Y49" s="39" t="str">
        <f>IF(OR($A49&lt;&gt;"", $G49=""),"",CONCATENATE(";",EscStr(CONCATENATE("NavNode_",getCategoryLevelAsString($B49))),";",EscStr($J49),";",IF($B49&lt;&gt;"","""MainCategoryNavNode""",EscStr(CONCATENATE("NavNode_",getSuperCategory($B49, getCategoryLevelAsNumber($B49))))),";"))</f>
        <v>;"NavNode_L3D_525317";"IR Components";"NavNode_L2-3D_525341";</v>
      </c>
      <c r="Z49" s="39" t="str">
        <f>IF(getCategoryLevelAsString($B49)="L0D_324785","",IF(G49="",CONCATENATE(";",EscStr(CONCATENATE("NavNode_",getCategoryLevelAsString($B49))),";",EscStr($J49),";"),CONCATENATE(";",EscStr(CONCATENATE("NavNode_",getCategoryLevelAsString($B49))),";",EscStr(G49),";")))</f>
        <v>;"NavNode_L3D_525317";"IR-Komponenten";</v>
      </c>
      <c r="AA49" s="39" t="str">
        <f>IF(getCategoryLevelAsString($B49)="L0D_324785","",IF(H49="",CONCATENATE(";",EscStr(CONCATENATE("NavNode_",getCategoryLevelAsString($B49))),";",EscStr($J49),";"),CONCATENATE(";",EscStr(CONCATENATE("NavNode_",getCategoryLevelAsString($B49))),";",EscStr(H49),";")))</f>
        <v>;"NavNode_L3D_525317";"Composants IR";</v>
      </c>
      <c r="AB49" s="39" t="str">
        <f>IF(getCategoryLevelAsString($B49)="L0D_324785","",IF(I49="",CONCATENATE(";",EscStr(CONCATENATE("NavNode_",getCategoryLevelAsString($B49))),";",EscStr($J49),";"),CONCATENATE(";",EscStr(CONCATENATE("NavNode_",getCategoryLevelAsString($B49))),";",EscStr(I49),";")))</f>
        <v>;"NavNode_L3D_525317";"Componenti IR";</v>
      </c>
      <c r="AC49" s="39" t="str">
        <f>IF(getCategoryLevelAsString($B49)="L0D_324785","",IF(J49="",CONCATENATE(";",EscStr(CONCATENATE("NavNode_",getCategoryLevelAsString($B49))),";",EscStr($J49),";"),CONCATENATE(";",EscStr(CONCATENATE("NavNode_",getCategoryLevelAsString($B49))),";",EscStr(J49),";")))</f>
        <v>;"NavNode_L3D_525317";"IR Components";</v>
      </c>
      <c r="AD49" s="39" t="str">
        <f>IF(getCategoryLevelAsString($B49)="L0D_324785","",IF(K49="",CONCATENATE(";",EscStr(CONCATENATE("NavNode_",getCategoryLevelAsString($B49))),";",EscStr($J49),";"),CONCATENATE(";",EscStr(CONCATENATE("NavNode_",getCategoryLevelAsString($B49))),";",EscStr(K49),";")))</f>
        <v>;"NavNode_L3D_525317";"Komponenter";</v>
      </c>
      <c r="AE49" s="39" t="str">
        <f>IF(getCategoryLevelAsString($B49)="L0D_324785","",IF(L49="",CONCATENATE(";",EscStr(CONCATENATE("NavNode_",getCategoryLevelAsString($B49))),";",EscStr($J49),";"),CONCATENATE(";",EscStr(CONCATENATE("NavNode_",getCategoryLevelAsString($B49))),";",EscStr(L49),";")))</f>
        <v>;"NavNode_L3D_525317";"IR komponentai";</v>
      </c>
      <c r="AF49" s="39" t="str">
        <f>IF(getCategoryLevelAsString($B49)="L0D_324785","",IF(M49="",CONCATENATE(";",EscStr(CONCATENATE("NavNode_",getCategoryLevelAsString($B49))),";",EscStr($J49),";"),CONCATENATE(";",EscStr(CONCATENATE("NavNode_",getCategoryLevelAsString($B49))),";",EscStr(M49),";")))</f>
        <v>;"NavNode_L3D_525317";"IR-komponenter";</v>
      </c>
      <c r="AG49" s="39" t="str">
        <f>IF(getCategoryLevelAsString($B49)="L0D_324785","",IF(N49="",CONCATENATE(";",EscStr(CONCATENATE("NavNode_",getCategoryLevelAsString($B49))),";",EscStr($J49),";"),CONCATENATE(";",EscStr(CONCATENATE("NavNode_",getCategoryLevelAsString($B49))),";",EscStr(N49),";")))</f>
        <v>;"NavNode_L3D_525317";"IR-komponenter";</v>
      </c>
      <c r="AH49" s="39" t="str">
        <f>IF(getCategoryLevelAsString($B49)="L0D_324785","",IF(O49="",CONCATENATE(";",EscStr(CONCATENATE("NavNode_",getCategoryLevelAsString($B49))),";",EscStr($J49),";"),CONCATENATE(";",EscStr(CONCATENATE("NavNode_",getCategoryLevelAsString($B49))),";",EscStr(O49),";")))</f>
        <v>;"NavNode_L3D_525317";"Infrapuna komponendid";</v>
      </c>
      <c r="AI49" s="39" t="str">
        <f>IF(getCategoryLevelAsString($B49)="L0D_324785","",IF(P49="",CONCATENATE(";",EscStr(CONCATENATE("NavNode_",getCategoryLevelAsString($B49))),";",EscStr($J49),";"),CONCATENATE(";",EscStr(CONCATENATE("NavNode_",getCategoryLevelAsString($B49))),";",EscStr(P49),";")))</f>
        <v>;"NavNode_L3D_525317";"IR-komponentit";</v>
      </c>
      <c r="AJ49" s="39" t="str">
        <f>IF(getCategoryLevelAsString($B49)="L0D_324785","",IF(Q49="",CONCATENATE(";",EscStr(CONCATENATE("NavNode_",getCategoryLevelAsString($B49))),";",EscStr($J49),";"),CONCATENATE(";",EscStr(CONCATENATE("NavNode_",getCategoryLevelAsString($B49))),";",EscStr(Q49),";")))</f>
        <v>;"NavNode_L3D_525317";"IR komponentes";</v>
      </c>
      <c r="AK49" s="39" t="str">
        <f>IF(getCategoryLevelAsString($B49)="L0D_324785","",IF(R49="",CONCATENATE(";",EscStr(CONCATENATE("NavNode_",getCategoryLevelAsString($B49))),";",EscStr($J49),";"),CONCATENATE(";",EscStr(CONCATENATE("NavNode_",getCategoryLevelAsString($B49))),";",EscStr(R49),";")))</f>
        <v>;"NavNode_L3D_525317";"IR componenten";</v>
      </c>
      <c r="AL49" s="39" t="str">
        <f>IF(getCategoryLevelAsString($B49)="L0D_324785","",IF(S49="",CONCATENATE(";",EscStr(CONCATENATE("NavNode_",getCategoryLevelAsString($B49))),";",EscStr($J49),";"),CONCATENATE(";",EscStr(CONCATENATE("NavNode_",getCategoryLevelAsString($B49))),";",EscStr(S49),";")))</f>
        <v>;"NavNode_L3D_525317";"Elementy IR";</v>
      </c>
      <c r="AM49" s="39" t="str">
        <f>IF(getCategoryLevelAsString($B49)="L0D_324785","",IF(T49="",CONCATENATE(";",EscStr(CONCATENATE("NavNode_",getCategoryLevelAsString($B49))),";",EscStr($J49),";"),CONCATENATE(";",EscStr(CONCATENATE("NavNode_",getCategoryLevelAsString($B49))),";",EscStr(T49),";")))</f>
        <v>;"NavNode_L3D_525317";"ИК компонента (инфракрасные)";</v>
      </c>
      <c r="AN49" s="39" t="str">
        <f>IF(getCategoryLevelAsString($B49)="L0D_324785","",IF(U49="",CONCATENATE(";",EscStr(CONCATENATE("NavNode_",getCategoryLevelAsString($B49))),";",EscStr($J49),";"),CONCATENATE(";",EscStr(CONCATENATE("NavNode_",getCategoryLevelAsString($B49))),";",EscStr(U49),";")))</f>
        <v>;"NavNode_L3D_525317";"Součásti využívající infračervené záření";</v>
      </c>
      <c r="AO49" s="39" t="str">
        <f>IF(getCategoryLevelAsString($B49)="L0D_324785","",IF(V49="",CONCATENATE(";",EscStr(CONCATENATE("NavNode_",getCategoryLevelAsString($B49))),";",EscStr($J49),";"),CONCATENATE(";",EscStr(CONCATENATE("NavNode_",getCategoryLevelAsString($B49))),";",EscStr(V49),";")))</f>
        <v>;"NavNode_L3D_525317";"Componente IR";</v>
      </c>
      <c r="AP49" s="39" t="str">
        <f>IF(getCategoryLevelAsString($B49)="L0D_324785","",IF(W49="",CONCATENATE(";",EscStr(CONCATENATE("NavNode_",getCategoryLevelAsString($B49))),";",EscStr($J49),";"),CONCATENATE(";",EscStr(CONCATENATE("NavNode_",getCategoryLevelAsString($B49))),";",EscStr(W49),";")))</f>
        <v>;"NavNode_L3D_525317";"Infravörös alkatrészek";</v>
      </c>
      <c r="AQ49" s="39" t="str">
        <f>IF(getCategoryLevelAsString($B49)="L0D_324785","",IF(X49="",CONCATENATE(";",EscStr(CONCATENATE("NavNode_",getCategoryLevelAsString($B49))),";",EscStr($J49),";"),CONCATENATE(";",EscStr(CONCATENATE("NavNode_",getCategoryLevelAsString($B49))),";",EscStr(X49),";")))</f>
        <v>;"NavNode_L3D_525317";"Súčasti využívajúce infračervené žiarenie";</v>
      </c>
      <c r="AR49" s="39" t="str">
        <f>IF(OR($A49&lt;&gt;"", $G49=""),"",CONCATENATE(";",EscStr(CONCATENATE("NavEntry_",getCategoryLevelAsString($B49))),";",EscStr(CONCATENATE($J49," Navigation Entry")),";",EscStr(CONCATENATE("cat-",getCategoryLevelAsString($B49))),";",EscStr(CONCATENATE("NavNode_",getCategoryLevelAsString($B49))),";"))</f>
        <v>;"NavEntry_L3D_525317";"IR Components Navigation Entry";"cat-L3D_525317";"NavNode_L3D_525317";</v>
      </c>
    </row>
    <row r="50" spans="1:44" s="34" customFormat="1" ht="15" x14ac:dyDescent="0.25">
      <c r="A50" s="25"/>
      <c r="B50" s="5"/>
      <c r="C50" s="5"/>
      <c r="D50" s="5" t="s">
        <v>5852</v>
      </c>
      <c r="E50" s="5"/>
      <c r="F50" s="5"/>
      <c r="G50" s="5" t="s">
        <v>4984</v>
      </c>
      <c r="H50" s="5" t="s">
        <v>13598</v>
      </c>
      <c r="I50" s="5" t="s">
        <v>1136</v>
      </c>
      <c r="J50" s="41" t="s">
        <v>5868</v>
      </c>
      <c r="K50" s="5" t="s">
        <v>13780</v>
      </c>
      <c r="L50" s="5" t="s">
        <v>15093</v>
      </c>
      <c r="M50" s="5" t="s">
        <v>13780</v>
      </c>
      <c r="N50" s="47" t="s">
        <v>15426</v>
      </c>
      <c r="O50" s="5" t="s">
        <v>14042</v>
      </c>
      <c r="P50" s="5" t="s">
        <v>14134</v>
      </c>
      <c r="Q50" s="5" t="s">
        <v>14220</v>
      </c>
      <c r="R50" s="5" t="s">
        <v>14299</v>
      </c>
      <c r="S50" s="5" t="s">
        <v>14392</v>
      </c>
      <c r="T50" s="5" t="s">
        <v>14482</v>
      </c>
      <c r="U50" s="5" t="s">
        <v>14571</v>
      </c>
      <c r="V50" s="5" t="s">
        <v>14659</v>
      </c>
      <c r="W50" s="5" t="s">
        <v>14744</v>
      </c>
      <c r="X50" s="5" t="s">
        <v>14824</v>
      </c>
      <c r="Y50" s="39" t="str">
        <f>IF(OR($A50&lt;&gt;"", $G50=""),"",CONCATENATE(";",EscStr(CONCATENATE("NavNode_",getCategoryLevelAsString($B50))),";",EscStr($J50),";",IF($B50&lt;&gt;"","""MainCategoryNavNode""",EscStr(CONCATENATE("NavNode_",getSuperCategory($B50, getCategoryLevelAsNumber($B50))))),";"))</f>
        <v>;"NavNode_L3D_525319";"Light sensors";"NavNode_L2-3D_525341";</v>
      </c>
      <c r="Z50" s="39" t="str">
        <f>IF(getCategoryLevelAsString($B50)="L0D_324785","",IF(G50="",CONCATENATE(";",EscStr(CONCATENATE("NavNode_",getCategoryLevelAsString($B50))),";",EscStr($J50),";"),CONCATENATE(";",EscStr(CONCATENATE("NavNode_",getCategoryLevelAsString($B50))),";",EscStr(G50),";")))</f>
        <v>;"NavNode_L3D_525319";"Lichtsensoren";</v>
      </c>
      <c r="AA50" s="39" t="str">
        <f>IF(getCategoryLevelAsString($B50)="L0D_324785","",IF(H50="",CONCATENATE(";",EscStr(CONCATENATE("NavNode_",getCategoryLevelAsString($B50))),";",EscStr($J50),";"),CONCATENATE(";",EscStr(CONCATENATE("NavNode_",getCategoryLevelAsString($B50))),";",EscStr(H50),";")))</f>
        <v>;"NavNode_L3D_525319";"Capteurs de lumière";</v>
      </c>
      <c r="AB50" s="39" t="str">
        <f>IF(getCategoryLevelAsString($B50)="L0D_324785","",IF(I50="",CONCATENATE(";",EscStr(CONCATENATE("NavNode_",getCategoryLevelAsString($B50))),";",EscStr($J50),";"),CONCATENATE(";",EscStr(CONCATENATE("NavNode_",getCategoryLevelAsString($B50))),";",EscStr(I50),";")))</f>
        <v>;"NavNode_L3D_525319";"Sensori ottici";</v>
      </c>
      <c r="AC50" s="39" t="str">
        <f>IF(getCategoryLevelAsString($B50)="L0D_324785","",IF(J50="",CONCATENATE(";",EscStr(CONCATENATE("NavNode_",getCategoryLevelAsString($B50))),";",EscStr($J50),";"),CONCATENATE(";",EscStr(CONCATENATE("NavNode_",getCategoryLevelAsString($B50))),";",EscStr(J50),";")))</f>
        <v>;"NavNode_L3D_525319";"Light sensors";</v>
      </c>
      <c r="AD50" s="39" t="str">
        <f>IF(getCategoryLevelAsString($B50)="L0D_324785","",IF(K50="",CONCATENATE(";",EscStr(CONCATENATE("NavNode_",getCategoryLevelAsString($B50))),";",EscStr($J50),";"),CONCATENATE(";",EscStr(CONCATENATE("NavNode_",getCategoryLevelAsString($B50))),";",EscStr(K50),";")))</f>
        <v>;"NavNode_L3D_525319";"Lyssensorer";</v>
      </c>
      <c r="AE50" s="39" t="str">
        <f>IF(getCategoryLevelAsString($B50)="L0D_324785","",IF(L50="",CONCATENATE(";",EscStr(CONCATENATE("NavNode_",getCategoryLevelAsString($B50))),";",EscStr($J50),";"),CONCATENATE(";",EscStr(CONCATENATE("NavNode_",getCategoryLevelAsString($B50))),";",EscStr(L50),";")))</f>
        <v>;"NavNode_L3D_525319";"Šviesos jutikliai";</v>
      </c>
      <c r="AF50" s="39" t="str">
        <f>IF(getCategoryLevelAsString($B50)="L0D_324785","",IF(M50="",CONCATENATE(";",EscStr(CONCATENATE("NavNode_",getCategoryLevelAsString($B50))),";",EscStr($J50),";"),CONCATENATE(";",EscStr(CONCATENATE("NavNode_",getCategoryLevelAsString($B50))),";",EscStr(M50),";")))</f>
        <v>;"NavNode_L3D_525319";"Lyssensorer";</v>
      </c>
      <c r="AG50" s="39" t="str">
        <f>IF(getCategoryLevelAsString($B50)="L0D_324785","",IF(N50="",CONCATENATE(";",EscStr(CONCATENATE("NavNode_",getCategoryLevelAsString($B50))),";",EscStr($J50),";"),CONCATENATE(";",EscStr(CONCATENATE("NavNode_",getCategoryLevelAsString($B50))),";",EscStr(N50),";")))</f>
        <v>;"NavNode_L3D_525319";"Ljussensorer";</v>
      </c>
      <c r="AH50" s="39" t="str">
        <f>IF(getCategoryLevelAsString($B50)="L0D_324785","",IF(O50="",CONCATENATE(";",EscStr(CONCATENATE("NavNode_",getCategoryLevelAsString($B50))),";",EscStr($J50),";"),CONCATENATE(";",EscStr(CONCATENATE("NavNode_",getCategoryLevelAsString($B50))),";",EscStr(O50),";")))</f>
        <v>;"NavNode_L3D_525319";"Valgusandurid";</v>
      </c>
      <c r="AI50" s="39" t="str">
        <f>IF(getCategoryLevelAsString($B50)="L0D_324785","",IF(P50="",CONCATENATE(";",EscStr(CONCATENATE("NavNode_",getCategoryLevelAsString($B50))),";",EscStr($J50),";"),CONCATENATE(";",EscStr(CONCATENATE("NavNode_",getCategoryLevelAsString($B50))),";",EscStr(P50),";")))</f>
        <v>;"NavNode_L3D_525319";"Valotunnistimet";</v>
      </c>
      <c r="AJ50" s="39" t="str">
        <f>IF(getCategoryLevelAsString($B50)="L0D_324785","",IF(Q50="",CONCATENATE(";",EscStr(CONCATENATE("NavNode_",getCategoryLevelAsString($B50))),";",EscStr($J50),";"),CONCATENATE(";",EscStr(CONCATENATE("NavNode_",getCategoryLevelAsString($B50))),";",EscStr(Q50),";")))</f>
        <v>;"NavNode_L3D_525319";"Gaismas sensori";</v>
      </c>
      <c r="AK50" s="39" t="str">
        <f>IF(getCategoryLevelAsString($B50)="L0D_324785","",IF(R50="",CONCATENATE(";",EscStr(CONCATENATE("NavNode_",getCategoryLevelAsString($B50))),";",EscStr($J50),";"),CONCATENATE(";",EscStr(CONCATENATE("NavNode_",getCategoryLevelAsString($B50))),";",EscStr(R50),";")))</f>
        <v>;"NavNode_L3D_525319";"Licht sensors";</v>
      </c>
      <c r="AL50" s="39" t="str">
        <f>IF(getCategoryLevelAsString($B50)="L0D_324785","",IF(S50="",CONCATENATE(";",EscStr(CONCATENATE("NavNode_",getCategoryLevelAsString($B50))),";",EscStr($J50),";"),CONCATENATE(";",EscStr(CONCATENATE("NavNode_",getCategoryLevelAsString($B50))),";",EscStr(S50),";")))</f>
        <v>;"NavNode_L3D_525319";"Czujniki światła";</v>
      </c>
      <c r="AM50" s="39" t="str">
        <f>IF(getCategoryLevelAsString($B50)="L0D_324785","",IF(T50="",CONCATENATE(";",EscStr(CONCATENATE("NavNode_",getCategoryLevelAsString($B50))),";",EscStr($J50),";"),CONCATENATE(";",EscStr(CONCATENATE("NavNode_",getCategoryLevelAsString($B50))),";",EscStr(T50),";")))</f>
        <v>;"NavNode_L3D_525319";"Датчики света";</v>
      </c>
      <c r="AN50" s="39" t="str">
        <f>IF(getCategoryLevelAsString($B50)="L0D_324785","",IF(U50="",CONCATENATE(";",EscStr(CONCATENATE("NavNode_",getCategoryLevelAsString($B50))),";",EscStr($J50),";"),CONCATENATE(";",EscStr(CONCATENATE("NavNode_",getCategoryLevelAsString($B50))),";",EscStr(U50),";")))</f>
        <v>;"NavNode_L3D_525319";"Světelná čidla";</v>
      </c>
      <c r="AO50" s="39" t="str">
        <f>IF(getCategoryLevelAsString($B50)="L0D_324785","",IF(V50="",CONCATENATE(";",EscStr(CONCATENATE("NavNode_",getCategoryLevelAsString($B50))),";",EscStr($J50),";"),CONCATENATE(";",EscStr(CONCATENATE("NavNode_",getCategoryLevelAsString($B50))),";",EscStr(V50),";")))</f>
        <v>;"NavNode_L3D_525319";"Senzori de lumina";</v>
      </c>
      <c r="AP50" s="39" t="str">
        <f>IF(getCategoryLevelAsString($B50)="L0D_324785","",IF(W50="",CONCATENATE(";",EscStr(CONCATENATE("NavNode_",getCategoryLevelAsString($B50))),";",EscStr($J50),";"),CONCATENATE(";",EscStr(CONCATENATE("NavNode_",getCategoryLevelAsString($B50))),";",EscStr(W50),";")))</f>
        <v>;"NavNode_L3D_525319";"Fényérzékelők";</v>
      </c>
      <c r="AQ50" s="39" t="str">
        <f>IF(getCategoryLevelAsString($B50)="L0D_324785","",IF(X50="",CONCATENATE(";",EscStr(CONCATENATE("NavNode_",getCategoryLevelAsString($B50))),";",EscStr($J50),";"),CONCATENATE(";",EscStr(CONCATENATE("NavNode_",getCategoryLevelAsString($B50))),";",EscStr(X50),";")))</f>
        <v>;"NavNode_L3D_525319";"Svetelná čidlá";</v>
      </c>
      <c r="AR50" s="39" t="str">
        <f>IF(OR($A50&lt;&gt;"", $G50=""),"",CONCATENATE(";",EscStr(CONCATENATE("NavEntry_",getCategoryLevelAsString($B50))),";",EscStr(CONCATENATE($J50," Navigation Entry")),";",EscStr(CONCATENATE("cat-",getCategoryLevelAsString($B50))),";",EscStr(CONCATENATE("NavNode_",getCategoryLevelAsString($B50))),";"))</f>
        <v>;"NavEntry_L3D_525319";"Light sensors Navigation Entry";"cat-L3D_525319";"NavNode_L3D_525319";</v>
      </c>
    </row>
    <row r="51" spans="1:44" s="34" customFormat="1" ht="15" x14ac:dyDescent="0.25">
      <c r="A51" s="25"/>
      <c r="B51" s="5"/>
      <c r="C51" s="5"/>
      <c r="D51" s="5" t="s">
        <v>5910</v>
      </c>
      <c r="E51" s="5"/>
      <c r="F51" s="5"/>
      <c r="G51" s="5" t="s">
        <v>5912</v>
      </c>
      <c r="H51" s="5" t="s">
        <v>13599</v>
      </c>
      <c r="I51" s="5" t="s">
        <v>13687</v>
      </c>
      <c r="J51" s="5" t="s">
        <v>5911</v>
      </c>
      <c r="K51" s="5" t="s">
        <v>13781</v>
      </c>
      <c r="L51" s="5" t="s">
        <v>15094</v>
      </c>
      <c r="M51" s="5" t="s">
        <v>13781</v>
      </c>
      <c r="N51" s="5" t="s">
        <v>13932</v>
      </c>
      <c r="O51" s="5" t="s">
        <v>14043</v>
      </c>
      <c r="P51" s="5" t="s">
        <v>14135</v>
      </c>
      <c r="Q51" s="5" t="s">
        <v>14221</v>
      </c>
      <c r="R51" s="5" t="s">
        <v>5911</v>
      </c>
      <c r="S51" s="5" t="s">
        <v>14393</v>
      </c>
      <c r="T51" s="5" t="s">
        <v>14483</v>
      </c>
      <c r="U51" s="5" t="s">
        <v>14572</v>
      </c>
      <c r="V51" s="5" t="s">
        <v>14660</v>
      </c>
      <c r="W51" s="5" t="s">
        <v>14745</v>
      </c>
      <c r="X51" s="5" t="s">
        <v>14572</v>
      </c>
      <c r="Y51" s="39" t="str">
        <f>IF(OR($A51&lt;&gt;"", $G51=""),"",CONCATENATE(";",EscStr(CONCATENATE("NavNode_",getCategoryLevelAsString($B51))),";",EscStr($J51),";",IF($B51&lt;&gt;"","""MainCategoryNavNode""",EscStr(CONCATENATE("NavNode_",getSuperCategory($B51, getCategoryLevelAsNumber($B51))))),";"))</f>
        <v>;"NavNode_L3D_525323";"Optocoupler";"NavNode_L2-3D_525341";</v>
      </c>
      <c r="Z51" s="39" t="str">
        <f>IF(getCategoryLevelAsString($B51)="L0D_324785","",IF(G51="",CONCATENATE(";",EscStr(CONCATENATE("NavNode_",getCategoryLevelAsString($B51))),";",EscStr($J51),";"),CONCATENATE(";",EscStr(CONCATENATE("NavNode_",getCategoryLevelAsString($B51))),";",EscStr(G51),";")))</f>
        <v>;"NavNode_L3D_525323";"Optokoppler";</v>
      </c>
      <c r="AA51" s="39" t="str">
        <f>IF(getCategoryLevelAsString($B51)="L0D_324785","",IF(H51="",CONCATENATE(";",EscStr(CONCATENATE("NavNode_",getCategoryLevelAsString($B51))),";",EscStr($J51),";"),CONCATENATE(";",EscStr(CONCATENATE("NavNode_",getCategoryLevelAsString($B51))),";",EscStr(H51),";")))</f>
        <v>;"NavNode_L3D_525323";"Optocoupleur";</v>
      </c>
      <c r="AB51" s="39" t="str">
        <f>IF(getCategoryLevelAsString($B51)="L0D_324785","",IF(I51="",CONCATENATE(";",EscStr(CONCATENATE("NavNode_",getCategoryLevelAsString($B51))),";",EscStr($J51),";"),CONCATENATE(";",EscStr(CONCATENATE("NavNode_",getCategoryLevelAsString($B51))),";",EscStr(I51),";")))</f>
        <v>;"NavNode_L3D_525323";"Accoppiatore ottico";</v>
      </c>
      <c r="AC51" s="39" t="str">
        <f>IF(getCategoryLevelAsString($B51)="L0D_324785","",IF(J51="",CONCATENATE(";",EscStr(CONCATENATE("NavNode_",getCategoryLevelAsString($B51))),";",EscStr($J51),";"),CONCATENATE(";",EscStr(CONCATENATE("NavNode_",getCategoryLevelAsString($B51))),";",EscStr(J51),";")))</f>
        <v>;"NavNode_L3D_525323";"Optocoupler";</v>
      </c>
      <c r="AD51" s="39" t="str">
        <f>IF(getCategoryLevelAsString($B51)="L0D_324785","",IF(K51="",CONCATENATE(";",EscStr(CONCATENATE("NavNode_",getCategoryLevelAsString($B51))),";",EscStr($J51),";"),CONCATENATE(";",EscStr(CONCATENATE("NavNode_",getCategoryLevelAsString($B51))),";",EscStr(K51),";")))</f>
        <v>;"NavNode_L3D_525323";"Optokobler";</v>
      </c>
      <c r="AE51" s="39" t="str">
        <f>IF(getCategoryLevelAsString($B51)="L0D_324785","",IF(L51="",CONCATENATE(";",EscStr(CONCATENATE("NavNode_",getCategoryLevelAsString($B51))),";",EscStr($J51),";"),CONCATENATE(";",EscStr(CONCATENATE("NavNode_",getCategoryLevelAsString($B51))),";",EscStr(L51),";")))</f>
        <v>;"NavNode_L3D_525323";"Optronai";</v>
      </c>
      <c r="AF51" s="39" t="str">
        <f>IF(getCategoryLevelAsString($B51)="L0D_324785","",IF(M51="",CONCATENATE(";",EscStr(CONCATENATE("NavNode_",getCategoryLevelAsString($B51))),";",EscStr($J51),";"),CONCATENATE(";",EscStr(CONCATENATE("NavNode_",getCategoryLevelAsString($B51))),";",EscStr(M51),";")))</f>
        <v>;"NavNode_L3D_525323";"Optokobler";</v>
      </c>
      <c r="AG51" s="39" t="str">
        <f>IF(getCategoryLevelAsString($B51)="L0D_324785","",IF(N51="",CONCATENATE(";",EscStr(CONCATENATE("NavNode_",getCategoryLevelAsString($B51))),";",EscStr($J51),";"),CONCATENATE(";",EscStr(CONCATENATE("NavNode_",getCategoryLevelAsString($B51))),";",EscStr(N51),";")))</f>
        <v>;"NavNode_L3D_525323";"Optokopplare";</v>
      </c>
      <c r="AH51" s="39" t="str">
        <f>IF(getCategoryLevelAsString($B51)="L0D_324785","",IF(O51="",CONCATENATE(";",EscStr(CONCATENATE("NavNode_",getCategoryLevelAsString($B51))),";",EscStr($J51),";"),CONCATENATE(";",EscStr(CONCATENATE("NavNode_",getCategoryLevelAsString($B51))),";",EscStr(O51),";")))</f>
        <v>;"NavNode_L3D_525323";"Optopaarid";</v>
      </c>
      <c r="AI51" s="39" t="str">
        <f>IF(getCategoryLevelAsString($B51)="L0D_324785","",IF(P51="",CONCATENATE(";",EscStr(CONCATENATE("NavNode_",getCategoryLevelAsString($B51))),";",EscStr($J51),";"),CONCATENATE(";",EscStr(CONCATENATE("NavNode_",getCategoryLevelAsString($B51))),";",EscStr(P51),";")))</f>
        <v>;"NavNode_L3D_525323";"Optokytkin";</v>
      </c>
      <c r="AJ51" s="39" t="str">
        <f>IF(getCategoryLevelAsString($B51)="L0D_324785","",IF(Q51="",CONCATENATE(";",EscStr(CONCATENATE("NavNode_",getCategoryLevelAsString($B51))),";",EscStr($J51),";"),CONCATENATE(";",EscStr(CONCATENATE("NavNode_",getCategoryLevelAsString($B51))),";",EscStr(Q51),";")))</f>
        <v>;"NavNode_L3D_525323";"Optroni";</v>
      </c>
      <c r="AK51" s="39" t="str">
        <f>IF(getCategoryLevelAsString($B51)="L0D_324785","",IF(R51="",CONCATENATE(";",EscStr(CONCATENATE("NavNode_",getCategoryLevelAsString($B51))),";",EscStr($J51),";"),CONCATENATE(";",EscStr(CONCATENATE("NavNode_",getCategoryLevelAsString($B51))),";",EscStr(R51),";")))</f>
        <v>;"NavNode_L3D_525323";"Optocoupler";</v>
      </c>
      <c r="AL51" s="39" t="str">
        <f>IF(getCategoryLevelAsString($B51)="L0D_324785","",IF(S51="",CONCATENATE(";",EscStr(CONCATENATE("NavNode_",getCategoryLevelAsString($B51))),";",EscStr($J51),";"),CONCATENATE(";",EscStr(CONCATENATE("NavNode_",getCategoryLevelAsString($B51))),";",EscStr(S51),";")))</f>
        <v>;"NavNode_L3D_525323";"Transoptory";</v>
      </c>
      <c r="AM51" s="39" t="str">
        <f>IF(getCategoryLevelAsString($B51)="L0D_324785","",IF(T51="",CONCATENATE(";",EscStr(CONCATENATE("NavNode_",getCategoryLevelAsString($B51))),";",EscStr($J51),";"),CONCATENATE(";",EscStr(CONCATENATE("NavNode_",getCategoryLevelAsString($B51))),";",EscStr(T51),";")))</f>
        <v>;"NavNode_L3D_525323";"Оптические  соединители";</v>
      </c>
      <c r="AN51" s="39" t="str">
        <f>IF(getCategoryLevelAsString($B51)="L0D_324785","",IF(U51="",CONCATENATE(";",EscStr(CONCATENATE("NavNode_",getCategoryLevelAsString($B51))),";",EscStr($J51),";"),CONCATENATE(";",EscStr(CONCATENATE("NavNode_",getCategoryLevelAsString($B51))),";",EscStr(U51),";")))</f>
        <v>;"NavNode_L3D_525323";"Optrony";</v>
      </c>
      <c r="AO51" s="39" t="str">
        <f>IF(getCategoryLevelAsString($B51)="L0D_324785","",IF(V51="",CONCATENATE(";",EscStr(CONCATENATE("NavNode_",getCategoryLevelAsString($B51))),";",EscStr($J51),";"),CONCATENATE(";",EscStr(CONCATENATE("NavNode_",getCategoryLevelAsString($B51))),";",EscStr(V51),";")))</f>
        <v>;"NavNode_L3D_525323";"Optocuple";</v>
      </c>
      <c r="AP51" s="39" t="str">
        <f>IF(getCategoryLevelAsString($B51)="L0D_324785","",IF(W51="",CONCATENATE(";",EscStr(CONCATENATE("NavNode_",getCategoryLevelAsString($B51))),";",EscStr($J51),";"),CONCATENATE(";",EscStr(CONCATENATE("NavNode_",getCategoryLevelAsString($B51))),";",EscStr(W51),";")))</f>
        <v>;"NavNode_L3D_525323";"Optikai kapuk";</v>
      </c>
      <c r="AQ51" s="39" t="str">
        <f>IF(getCategoryLevelAsString($B51)="L0D_324785","",IF(X51="",CONCATENATE(";",EscStr(CONCATENATE("NavNode_",getCategoryLevelAsString($B51))),";",EscStr($J51),";"),CONCATENATE(";",EscStr(CONCATENATE("NavNode_",getCategoryLevelAsString($B51))),";",EscStr(X51),";")))</f>
        <v>;"NavNode_L3D_525323";"Optrony";</v>
      </c>
      <c r="AR51" s="39" t="str">
        <f>IF(OR($A51&lt;&gt;"", $G51=""),"",CONCATENATE(";",EscStr(CONCATENATE("NavEntry_",getCategoryLevelAsString($B51))),";",EscStr(CONCATENATE($J51," Navigation Entry")),";",EscStr(CONCATENATE("cat-",getCategoryLevelAsString($B51))),";",EscStr(CONCATENATE("NavNode_",getCategoryLevelAsString($B51))),";"))</f>
        <v>;"NavEntry_L3D_525323";"Optocoupler Navigation Entry";"cat-L3D_525323";"NavNode_L3D_525323";</v>
      </c>
    </row>
    <row r="52" spans="1:44" s="34" customFormat="1" ht="15" x14ac:dyDescent="0.25">
      <c r="A52" s="25"/>
      <c r="B52" s="5"/>
      <c r="C52" s="5"/>
      <c r="D52" s="5" t="s">
        <v>5948</v>
      </c>
      <c r="E52" s="5"/>
      <c r="F52" s="5"/>
      <c r="G52" s="5" t="s">
        <v>5950</v>
      </c>
      <c r="H52" s="5" t="s">
        <v>13600</v>
      </c>
      <c r="I52" s="5" t="s">
        <v>13688</v>
      </c>
      <c r="J52" s="41" t="s">
        <v>5949</v>
      </c>
      <c r="K52" s="5" t="s">
        <v>13782</v>
      </c>
      <c r="L52" s="5" t="s">
        <v>15095</v>
      </c>
      <c r="M52" s="5" t="s">
        <v>13878</v>
      </c>
      <c r="N52" s="47" t="s">
        <v>15427</v>
      </c>
      <c r="O52" s="5" t="s">
        <v>14044</v>
      </c>
      <c r="P52" s="5" t="s">
        <v>14136</v>
      </c>
      <c r="Q52" s="5" t="s">
        <v>14222</v>
      </c>
      <c r="R52" s="5" t="s">
        <v>14300</v>
      </c>
      <c r="S52" s="5" t="s">
        <v>14394</v>
      </c>
      <c r="T52" s="5" t="s">
        <v>14484</v>
      </c>
      <c r="U52" s="5" t="s">
        <v>14573</v>
      </c>
      <c r="V52" s="5" t="s">
        <v>14661</v>
      </c>
      <c r="W52" s="5" t="s">
        <v>14746</v>
      </c>
      <c r="X52" s="5" t="s">
        <v>14825</v>
      </c>
      <c r="Y52" s="39" t="str">
        <f>IF(OR($A52&lt;&gt;"", $G52=""),"",CONCATENATE(";",EscStr(CONCATENATE("NavNode_",getCategoryLevelAsString($B52))),";",EscStr($J52),";",IF($B52&lt;&gt;"","""MainCategoryNavNode""",EscStr(CONCATENATE("NavNode_",getSuperCategory($B52, getCategoryLevelAsNumber($B52))))),";"))</f>
        <v>;"NavNode_L3D_525324";"Fork and Reflex Couplers";"NavNode_L2-3D_525341";</v>
      </c>
      <c r="Z52" s="39" t="str">
        <f>IF(getCategoryLevelAsString($B52)="L0D_324785","",IF(G52="",CONCATENATE(";",EscStr(CONCATENATE("NavNode_",getCategoryLevelAsString($B52))),";",EscStr($J52),";"),CONCATENATE(";",EscStr(CONCATENATE("NavNode_",getCategoryLevelAsString($B52))),";",EscStr(G52),";")))</f>
        <v>;"NavNode_L3D_525324";"Gabel- und Reflexkoppler";</v>
      </c>
      <c r="AA52" s="39" t="str">
        <f>IF(getCategoryLevelAsString($B52)="L0D_324785","",IF(H52="",CONCATENATE(";",EscStr(CONCATENATE("NavNode_",getCategoryLevelAsString($B52))),";",EscStr($J52),";"),CONCATENATE(";",EscStr(CONCATENATE("NavNode_",getCategoryLevelAsString($B52))),";",EscStr(H52),";")))</f>
        <v>;"NavNode_L3D_525324";"Coupleurs à fourche et réflexion";</v>
      </c>
      <c r="AB52" s="39" t="str">
        <f>IF(getCategoryLevelAsString($B52)="L0D_324785","",IF(I52="",CONCATENATE(";",EscStr(CONCATENATE("NavNode_",getCategoryLevelAsString($B52))),";",EscStr($J52),";"),CONCATENATE(";",EscStr(CONCATENATE("NavNode_",getCategoryLevelAsString($B52))),";",EscStr(I52),";")))</f>
        <v>;"NavNode_L3D_525324";"Accoppiatori a forcella e a riflessione";</v>
      </c>
      <c r="AC52" s="39" t="str">
        <f>IF(getCategoryLevelAsString($B52)="L0D_324785","",IF(J52="",CONCATENATE(";",EscStr(CONCATENATE("NavNode_",getCategoryLevelAsString($B52))),";",EscStr($J52),";"),CONCATENATE(";",EscStr(CONCATENATE("NavNode_",getCategoryLevelAsString($B52))),";",EscStr(J52),";")))</f>
        <v>;"NavNode_L3D_525324";"Fork and Reflex Couplers";</v>
      </c>
      <c r="AD52" s="39" t="str">
        <f>IF(getCategoryLevelAsString($B52)="L0D_324785","",IF(K52="",CONCATENATE(";",EscStr(CONCATENATE("NavNode_",getCategoryLevelAsString($B52))),";",EscStr($J52),";"),CONCATENATE(";",EscStr(CONCATENATE("NavNode_",getCategoryLevelAsString($B52))),";",EscStr(K52),";")))</f>
        <v>;"NavNode_L3D_525324";"Gaffel- og reflekskoblere";</v>
      </c>
      <c r="AE52" s="39" t="str">
        <f>IF(getCategoryLevelAsString($B52)="L0D_324785","",IF(L52="",CONCATENATE(";",EscStr(CONCATENATE("NavNode_",getCategoryLevelAsString($B52))),";",EscStr($J52),";"),CONCATENATE(";",EscStr(CONCATENATE("NavNode_",getCategoryLevelAsString($B52))),";",EscStr(L52),";")))</f>
        <v>;"NavNode_L3D_525324";"U formos ir atspindžio optiniai komponentai";</v>
      </c>
      <c r="AF52" s="39" t="str">
        <f>IF(getCategoryLevelAsString($B52)="L0D_324785","",IF(M52="",CONCATENATE(";",EscStr(CONCATENATE("NavNode_",getCategoryLevelAsString($B52))),";",EscStr($J52),";"),CONCATENATE(";",EscStr(CONCATENATE("NavNode_",getCategoryLevelAsString($B52))),";",EscStr(M52),";")))</f>
        <v>;"NavNode_L3D_525324";"Gaffel- og reflekskoblinger";</v>
      </c>
      <c r="AG52" s="39" t="str">
        <f>IF(getCategoryLevelAsString($B52)="L0D_324785","",IF(N52="",CONCATENATE(";",EscStr(CONCATENATE("NavNode_",getCategoryLevelAsString($B52))),";",EscStr($J52),";"),CONCATENATE(";",EscStr(CONCATENATE("NavNode_",getCategoryLevelAsString($B52))),";",EscStr(N52),";")))</f>
        <v>;"NavNode_L3D_525324";"Läsgafflar och reflexdetektorer";</v>
      </c>
      <c r="AH52" s="39" t="str">
        <f>IF(getCategoryLevelAsString($B52)="L0D_324785","",IF(O52="",CONCATENATE(";",EscStr(CONCATENATE("NavNode_",getCategoryLevelAsString($B52))),";",EscStr($J52),";"),CONCATENATE(";",EscStr(CONCATENATE("NavNode_",getCategoryLevelAsString($B52))),";",EscStr(O52),";")))</f>
        <v>;"NavNode_L3D_525324";"Hark optopaarid ja peegeldusega optopaarid";</v>
      </c>
      <c r="AI52" s="39" t="str">
        <f>IF(getCategoryLevelAsString($B52)="L0D_324785","",IF(P52="",CONCATENATE(";",EscStr(CONCATENATE("NavNode_",getCategoryLevelAsString($B52))),";",EscStr($J52),";"),CONCATENATE(";",EscStr(CONCATENATE("NavNode_",getCategoryLevelAsString($B52))),";",EscStr(P52),";")))</f>
        <v>;"NavNode_L3D_525324";"Haarukka ja valoverhokytkimet";</v>
      </c>
      <c r="AJ52" s="39" t="str">
        <f>IF(getCategoryLevelAsString($B52)="L0D_324785","",IF(Q52="",CONCATENATE(";",EscStr(CONCATENATE("NavNode_",getCategoryLevelAsString($B52))),";",EscStr($J52),";"),CONCATENATE(";",EscStr(CONCATENATE("NavNode_",getCategoryLevelAsString($B52))),";",EscStr(Q52),";")))</f>
        <v>;"NavNode_L3D_525324";"Optiskās barjeras";</v>
      </c>
      <c r="AK52" s="39" t="str">
        <f>IF(getCategoryLevelAsString($B52)="L0D_324785","",IF(R52="",CONCATENATE(";",EscStr(CONCATENATE("NavNode_",getCategoryLevelAsString($B52))),";",EscStr($J52),";"),CONCATENATE(";",EscStr(CONCATENATE("NavNode_",getCategoryLevelAsString($B52))),";",EscStr(R52),";")))</f>
        <v>;"NavNode_L3D_525324";"Vork- en reflectiekoppelaars";</v>
      </c>
      <c r="AL52" s="39" t="str">
        <f>IF(getCategoryLevelAsString($B52)="L0D_324785","",IF(S52="",CONCATENATE(";",EscStr(CONCATENATE("NavNode_",getCategoryLevelAsString($B52))),";",EscStr($J52),";"),CONCATENATE(";",EscStr(CONCATENATE("NavNode_",getCategoryLevelAsString($B52))),";",EscStr(S52),";")))</f>
        <v>;"NavNode_L3D_525324";"Transoptory szczelinowe i odbiciowe";</v>
      </c>
      <c r="AM52" s="39" t="str">
        <f>IF(getCategoryLevelAsString($B52)="L0D_324785","",IF(T52="",CONCATENATE(";",EscStr(CONCATENATE("NavNode_",getCategoryLevelAsString($B52))),";",EscStr($J52),";"),CONCATENATE(";",EscStr(CONCATENATE("NavNode_",getCategoryLevelAsString($B52))),";",EscStr(T52),";")))</f>
        <v>;"NavNode_L3D_525324";"Вилочные и рефлексные соединители";</v>
      </c>
      <c r="AN52" s="39" t="str">
        <f>IF(getCategoryLevelAsString($B52)="L0D_324785","",IF(U52="",CONCATENATE(";",EscStr(CONCATENATE("NavNode_",getCategoryLevelAsString($B52))),";",EscStr($J52),";"),CONCATENATE(";",EscStr(CONCATENATE("NavNode_",getCategoryLevelAsString($B52))),";",EscStr(U52),";")))</f>
        <v>;"NavNode_L3D_525324";"Vidlicový a odrazový vazební člen";</v>
      </c>
      <c r="AO52" s="39" t="str">
        <f>IF(getCategoryLevelAsString($B52)="L0D_324785","",IF(V52="",CONCATENATE(";",EscStr(CONCATENATE("NavNode_",getCategoryLevelAsString($B52))),";",EscStr($J52),";"),CONCATENATE(";",EscStr(CONCATENATE("NavNode_",getCategoryLevelAsString($B52))),";",EscStr(V52),";")))</f>
        <v>;"NavNode_L3D_525324";"Cuplori reflex şi furculiţă";</v>
      </c>
      <c r="AP52" s="39" t="str">
        <f>IF(getCategoryLevelAsString($B52)="L0D_324785","",IF(W52="",CONCATENATE(";",EscStr(CONCATENATE("NavNode_",getCategoryLevelAsString($B52))),";",EscStr($J52),";"),CONCATENATE(";",EscStr(CONCATENATE("NavNode_",getCategoryLevelAsString($B52))),";",EscStr(W52),";")))</f>
        <v>;"NavNode_L3D_525324";"Villás- és reflexiós-kapuk";</v>
      </c>
      <c r="AQ52" s="39" t="str">
        <f>IF(getCategoryLevelAsString($B52)="L0D_324785","",IF(X52="",CONCATENATE(";",EscStr(CONCATENATE("NavNode_",getCategoryLevelAsString($B52))),";",EscStr($J52),";"),CONCATENATE(";",EscStr(CONCATENATE("NavNode_",getCategoryLevelAsString($B52))),";",EscStr(X52),";")))</f>
        <v>;"NavNode_L3D_525324";"Vidlicový a odrazový väzobný člen";</v>
      </c>
      <c r="AR52" s="39" t="str">
        <f>IF(OR($A52&lt;&gt;"", $G52=""),"",CONCATENATE(";",EscStr(CONCATENATE("NavEntry_",getCategoryLevelAsString($B52))),";",EscStr(CONCATENATE($J52," Navigation Entry")),";",EscStr(CONCATENATE("cat-",getCategoryLevelAsString($B52))),";",EscStr(CONCATENATE("NavNode_",getCategoryLevelAsString($B52))),";"))</f>
        <v>;"NavEntry_L3D_525324";"Fork and Reflex Couplers Navigation Entry";"cat-L3D_525324";"NavNode_L3D_525324";</v>
      </c>
    </row>
    <row r="53" spans="1:44" s="34" customFormat="1" ht="15" x14ac:dyDescent="0.25">
      <c r="A53" s="25"/>
      <c r="B53" s="5"/>
      <c r="C53" s="5"/>
      <c r="D53" s="5" t="s">
        <v>5961</v>
      </c>
      <c r="E53" s="5"/>
      <c r="F53" s="5"/>
      <c r="G53" s="5" t="s">
        <v>5962</v>
      </c>
      <c r="H53" s="5" t="s">
        <v>5962</v>
      </c>
      <c r="I53" s="5" t="s">
        <v>5962</v>
      </c>
      <c r="J53" s="5" t="s">
        <v>5962</v>
      </c>
      <c r="K53" s="5" t="s">
        <v>5962</v>
      </c>
      <c r="L53" s="5" t="s">
        <v>15096</v>
      </c>
      <c r="M53" s="5" t="s">
        <v>5962</v>
      </c>
      <c r="N53" s="5" t="s">
        <v>5962</v>
      </c>
      <c r="O53" s="5" t="s">
        <v>14045</v>
      </c>
      <c r="P53" s="5" t="s">
        <v>5962</v>
      </c>
      <c r="Q53" s="5" t="s">
        <v>14223</v>
      </c>
      <c r="R53" s="5" t="s">
        <v>5962</v>
      </c>
      <c r="S53" s="5" t="s">
        <v>14395</v>
      </c>
      <c r="T53" s="5" t="s">
        <v>14485</v>
      </c>
      <c r="U53" s="5" t="s">
        <v>5962</v>
      </c>
      <c r="V53" s="5" t="s">
        <v>14662</v>
      </c>
      <c r="W53" s="5" t="s">
        <v>14747</v>
      </c>
      <c r="X53" s="5" t="s">
        <v>5962</v>
      </c>
      <c r="Y53" s="39" t="str">
        <f>IF(OR($A53&lt;&gt;"", $G53=""),"",CONCATENATE(";",EscStr(CONCATENATE("NavNode_",getCategoryLevelAsString($B53))),";",EscStr($J53),";",IF($B53&lt;&gt;"","""MainCategoryNavNode""",EscStr(CONCATENATE("NavNode_",getSuperCategory($B53, getCategoryLevelAsNumber($B53))))),";"))</f>
        <v>;"NavNode_L3D_525322";"Laser";"NavNode_L2-3D_525341";</v>
      </c>
      <c r="Z53" s="39" t="str">
        <f>IF(getCategoryLevelAsString($B53)="L0D_324785","",IF(G53="",CONCATENATE(";",EscStr(CONCATENATE("NavNode_",getCategoryLevelAsString($B53))),";",EscStr($J53),";"),CONCATENATE(";",EscStr(CONCATENATE("NavNode_",getCategoryLevelAsString($B53))),";",EscStr(G53),";")))</f>
        <v>;"NavNode_L3D_525322";"Laser";</v>
      </c>
      <c r="AA53" s="39" t="str">
        <f>IF(getCategoryLevelAsString($B53)="L0D_324785","",IF(H53="",CONCATENATE(";",EscStr(CONCATENATE("NavNode_",getCategoryLevelAsString($B53))),";",EscStr($J53),";"),CONCATENATE(";",EscStr(CONCATENATE("NavNode_",getCategoryLevelAsString($B53))),";",EscStr(H53),";")))</f>
        <v>;"NavNode_L3D_525322";"Laser";</v>
      </c>
      <c r="AB53" s="39" t="str">
        <f>IF(getCategoryLevelAsString($B53)="L0D_324785","",IF(I53="",CONCATENATE(";",EscStr(CONCATENATE("NavNode_",getCategoryLevelAsString($B53))),";",EscStr($J53),";"),CONCATENATE(";",EscStr(CONCATENATE("NavNode_",getCategoryLevelAsString($B53))),";",EscStr(I53),";")))</f>
        <v>;"NavNode_L3D_525322";"Laser";</v>
      </c>
      <c r="AC53" s="39" t="str">
        <f>IF(getCategoryLevelAsString($B53)="L0D_324785","",IF(J53="",CONCATENATE(";",EscStr(CONCATENATE("NavNode_",getCategoryLevelAsString($B53))),";",EscStr($J53),";"),CONCATENATE(";",EscStr(CONCATENATE("NavNode_",getCategoryLevelAsString($B53))),";",EscStr(J53),";")))</f>
        <v>;"NavNode_L3D_525322";"Laser";</v>
      </c>
      <c r="AD53" s="39" t="str">
        <f>IF(getCategoryLevelAsString($B53)="L0D_324785","",IF(K53="",CONCATENATE(";",EscStr(CONCATENATE("NavNode_",getCategoryLevelAsString($B53))),";",EscStr($J53),";"),CONCATENATE(";",EscStr(CONCATENATE("NavNode_",getCategoryLevelAsString($B53))),";",EscStr(K53),";")))</f>
        <v>;"NavNode_L3D_525322";"Laser";</v>
      </c>
      <c r="AE53" s="39" t="str">
        <f>IF(getCategoryLevelAsString($B53)="L0D_324785","",IF(L53="",CONCATENATE(";",EscStr(CONCATENATE("NavNode_",getCategoryLevelAsString($B53))),";",EscStr($J53),";"),CONCATENATE(";",EscStr(CONCATENATE("NavNode_",getCategoryLevelAsString($B53))),";",EscStr(L53),";")))</f>
        <v>;"NavNode_L3D_525322";"Lazeriai";</v>
      </c>
      <c r="AF53" s="39" t="str">
        <f>IF(getCategoryLevelAsString($B53)="L0D_324785","",IF(M53="",CONCATENATE(";",EscStr(CONCATENATE("NavNode_",getCategoryLevelAsString($B53))),";",EscStr($J53),";"),CONCATENATE(";",EscStr(CONCATENATE("NavNode_",getCategoryLevelAsString($B53))),";",EscStr(M53),";")))</f>
        <v>;"NavNode_L3D_525322";"Laser";</v>
      </c>
      <c r="AG53" s="39" t="str">
        <f>IF(getCategoryLevelAsString($B53)="L0D_324785","",IF(N53="",CONCATENATE(";",EscStr(CONCATENATE("NavNode_",getCategoryLevelAsString($B53))),";",EscStr($J53),";"),CONCATENATE(";",EscStr(CONCATENATE("NavNode_",getCategoryLevelAsString($B53))),";",EscStr(N53),";")))</f>
        <v>;"NavNode_L3D_525322";"Laser";</v>
      </c>
      <c r="AH53" s="39" t="str">
        <f>IF(getCategoryLevelAsString($B53)="L0D_324785","",IF(O53="",CONCATENATE(";",EscStr(CONCATENATE("NavNode_",getCategoryLevelAsString($B53))),";",EscStr($J53),";"),CONCATENATE(";",EscStr(CONCATENATE("NavNode_",getCategoryLevelAsString($B53))),";",EscStr(O53),";")))</f>
        <v>;"NavNode_L3D_525322";"Laserid";</v>
      </c>
      <c r="AI53" s="39" t="str">
        <f>IF(getCategoryLevelAsString($B53)="L0D_324785","",IF(P53="",CONCATENATE(";",EscStr(CONCATENATE("NavNode_",getCategoryLevelAsString($B53))),";",EscStr($J53),";"),CONCATENATE(";",EscStr(CONCATENATE("NavNode_",getCategoryLevelAsString($B53))),";",EscStr(P53),";")))</f>
        <v>;"NavNode_L3D_525322";"Laser";</v>
      </c>
      <c r="AJ53" s="39" t="str">
        <f>IF(getCategoryLevelAsString($B53)="L0D_324785","",IF(Q53="",CONCATENATE(";",EscStr(CONCATENATE("NavNode_",getCategoryLevelAsString($B53))),";",EscStr($J53),";"),CONCATENATE(";",EscStr(CONCATENATE("NavNode_",getCategoryLevelAsString($B53))),";",EscStr(Q53),";")))</f>
        <v>;"NavNode_L3D_525322";"Lāzeri";</v>
      </c>
      <c r="AK53" s="39" t="str">
        <f>IF(getCategoryLevelAsString($B53)="L0D_324785","",IF(R53="",CONCATENATE(";",EscStr(CONCATENATE("NavNode_",getCategoryLevelAsString($B53))),";",EscStr($J53),";"),CONCATENATE(";",EscStr(CONCATENATE("NavNode_",getCategoryLevelAsString($B53))),";",EscStr(R53),";")))</f>
        <v>;"NavNode_L3D_525322";"Laser";</v>
      </c>
      <c r="AL53" s="39" t="str">
        <f>IF(getCategoryLevelAsString($B53)="L0D_324785","",IF(S53="",CONCATENATE(";",EscStr(CONCATENATE("NavNode_",getCategoryLevelAsString($B53))),";",EscStr($J53),";"),CONCATENATE(";",EscStr(CONCATENATE("NavNode_",getCategoryLevelAsString($B53))),";",EscStr(S53),";")))</f>
        <v>;"NavNode_L3D_525322";"Lasery";</v>
      </c>
      <c r="AM53" s="39" t="str">
        <f>IF(getCategoryLevelAsString($B53)="L0D_324785","",IF(T53="",CONCATENATE(";",EscStr(CONCATENATE("NavNode_",getCategoryLevelAsString($B53))),";",EscStr($J53),";"),CONCATENATE(";",EscStr(CONCATENATE("NavNode_",getCategoryLevelAsString($B53))),";",EscStr(T53),";")))</f>
        <v>;"NavNode_L3D_525322";"Лазер";</v>
      </c>
      <c r="AN53" s="39" t="str">
        <f>IF(getCategoryLevelAsString($B53)="L0D_324785","",IF(U53="",CONCATENATE(";",EscStr(CONCATENATE("NavNode_",getCategoryLevelAsString($B53))),";",EscStr($J53),";"),CONCATENATE(";",EscStr(CONCATENATE("NavNode_",getCategoryLevelAsString($B53))),";",EscStr(U53),";")))</f>
        <v>;"NavNode_L3D_525322";"Laser";</v>
      </c>
      <c r="AO53" s="39" t="str">
        <f>IF(getCategoryLevelAsString($B53)="L0D_324785","",IF(V53="",CONCATENATE(";",EscStr(CONCATENATE("NavNode_",getCategoryLevelAsString($B53))),";",EscStr($J53),";"),CONCATENATE(";",EscStr(CONCATENATE("NavNode_",getCategoryLevelAsString($B53))),";",EscStr(V53),";")))</f>
        <v>;"NavNode_L3D_525322";"Laseri";</v>
      </c>
      <c r="AP53" s="39" t="str">
        <f>IF(getCategoryLevelAsString($B53)="L0D_324785","",IF(W53="",CONCATENATE(";",EscStr(CONCATENATE("NavNode_",getCategoryLevelAsString($B53))),";",EscStr($J53),";"),CONCATENATE(";",EscStr(CONCATENATE("NavNode_",getCategoryLevelAsString($B53))),";",EscStr(W53),";")))</f>
        <v>;"NavNode_L3D_525322";"Lézerek";</v>
      </c>
      <c r="AQ53" s="39" t="str">
        <f>IF(getCategoryLevelAsString($B53)="L0D_324785","",IF(X53="",CONCATENATE(";",EscStr(CONCATENATE("NavNode_",getCategoryLevelAsString($B53))),";",EscStr($J53),";"),CONCATENATE(";",EscStr(CONCATENATE("NavNode_",getCategoryLevelAsString($B53))),";",EscStr(X53),";")))</f>
        <v>;"NavNode_L3D_525322";"Laser";</v>
      </c>
      <c r="AR53" s="39" t="str">
        <f>IF(OR($A53&lt;&gt;"", $G53=""),"",CONCATENATE(";",EscStr(CONCATENATE("NavEntry_",getCategoryLevelAsString($B53))),";",EscStr(CONCATENATE($J53," Navigation Entry")),";",EscStr(CONCATENATE("cat-",getCategoryLevelAsString($B53))),";",EscStr(CONCATENATE("NavNode_",getCategoryLevelAsString($B53))),";"))</f>
        <v>;"NavEntry_L3D_525322";"Laser Navigation Entry";"cat-L3D_525322";"NavNode_L3D_525322";</v>
      </c>
    </row>
    <row r="54" spans="1:44" s="34" customFormat="1" ht="15" x14ac:dyDescent="0.25">
      <c r="A54" s="25"/>
      <c r="B54" s="5"/>
      <c r="C54" s="5"/>
      <c r="D54" s="5" t="s">
        <v>5983</v>
      </c>
      <c r="E54" s="5"/>
      <c r="F54" s="5"/>
      <c r="G54" s="5" t="s">
        <v>5985</v>
      </c>
      <c r="H54" s="5" t="s">
        <v>13601</v>
      </c>
      <c r="I54" s="5" t="s">
        <v>13689</v>
      </c>
      <c r="J54" s="5" t="s">
        <v>5984</v>
      </c>
      <c r="K54" s="5" t="s">
        <v>13783</v>
      </c>
      <c r="L54" s="5" t="s">
        <v>15097</v>
      </c>
      <c r="M54" s="5" t="s">
        <v>13879</v>
      </c>
      <c r="N54" s="5" t="s">
        <v>13933</v>
      </c>
      <c r="O54" s="5" t="s">
        <v>14046</v>
      </c>
      <c r="P54" s="5" t="s">
        <v>14137</v>
      </c>
      <c r="Q54" s="5" t="s">
        <v>14224</v>
      </c>
      <c r="R54" s="5" t="s">
        <v>14301</v>
      </c>
      <c r="S54" s="5" t="s">
        <v>14396</v>
      </c>
      <c r="T54" s="5" t="s">
        <v>14486</v>
      </c>
      <c r="U54" s="5" t="s">
        <v>14574</v>
      </c>
      <c r="V54" s="5" t="s">
        <v>14663</v>
      </c>
      <c r="W54" s="5" t="s">
        <v>14748</v>
      </c>
      <c r="X54" s="5" t="s">
        <v>14826</v>
      </c>
      <c r="Y54" s="39" t="str">
        <f>IF(OR($A54&lt;&gt;"", $G54=""),"",CONCATENATE(";",EscStr(CONCATENATE("NavNode_",getCategoryLevelAsString($B54))),";",EscStr($J54),";",IF($B54&lt;&gt;"","""MainCategoryNavNode""",EscStr(CONCATENATE("NavNode_",getSuperCategory($B54, getCategoryLevelAsNumber($B54))))),";"))</f>
        <v>;"NavNode_L3D_525321";"Fibre Optic Components";"NavNode_L2-3D_525341";</v>
      </c>
      <c r="Z54" s="39" t="str">
        <f>IF(getCategoryLevelAsString($B54)="L0D_324785","",IF(G54="",CONCATENATE(";",EscStr(CONCATENATE("NavNode_",getCategoryLevelAsString($B54))),";",EscStr($J54),";"),CONCATENATE(";",EscStr(CONCATENATE("NavNode_",getCategoryLevelAsString($B54))),";",EscStr(G54),";")))</f>
        <v>;"NavNode_L3D_525321";"LWL-Komponenten";</v>
      </c>
      <c r="AA54" s="39" t="str">
        <f>IF(getCategoryLevelAsString($B54)="L0D_324785","",IF(H54="",CONCATENATE(";",EscStr(CONCATENATE("NavNode_",getCategoryLevelAsString($B54))),";",EscStr($J54),";"),CONCATENATE(";",EscStr(CONCATENATE("NavNode_",getCategoryLevelAsString($B54))),";",EscStr(H54),";")))</f>
        <v>;"NavNode_L3D_525321";"Composants fibre optique";</v>
      </c>
      <c r="AB54" s="39" t="str">
        <f>IF(getCategoryLevelAsString($B54)="L0D_324785","",IF(I54="",CONCATENATE(";",EscStr(CONCATENATE("NavNode_",getCategoryLevelAsString($B54))),";",EscStr($J54),";"),CONCATENATE(";",EscStr(CONCATENATE("NavNode_",getCategoryLevelAsString($B54))),";",EscStr(I54),";")))</f>
        <v>;"NavNode_L3D_525321";"Componenti per fibre ottiche";</v>
      </c>
      <c r="AC54" s="39" t="str">
        <f>IF(getCategoryLevelAsString($B54)="L0D_324785","",IF(J54="",CONCATENATE(";",EscStr(CONCATENATE("NavNode_",getCategoryLevelAsString($B54))),";",EscStr($J54),";"),CONCATENATE(";",EscStr(CONCATENATE("NavNode_",getCategoryLevelAsString($B54))),";",EscStr(J54),";")))</f>
        <v>;"NavNode_L3D_525321";"Fibre Optic Components";</v>
      </c>
      <c r="AD54" s="39" t="str">
        <f>IF(getCategoryLevelAsString($B54)="L0D_324785","",IF(K54="",CONCATENATE(";",EscStr(CONCATENATE("NavNode_",getCategoryLevelAsString($B54))),";",EscStr($J54),";"),CONCATENATE(";",EscStr(CONCATENATE("NavNode_",getCategoryLevelAsString($B54))),";",EscStr(K54),";")))</f>
        <v>;"NavNode_L3D_525321";"Optiske fiberkomponenter";</v>
      </c>
      <c r="AE54" s="39" t="str">
        <f>IF(getCategoryLevelAsString($B54)="L0D_324785","",IF(L54="",CONCATENATE(";",EscStr(CONCATENATE("NavNode_",getCategoryLevelAsString($B54))),";",EscStr($J54),";"),CONCATENATE(";",EscStr(CONCATENATE("NavNode_",getCategoryLevelAsString($B54))),";",EscStr(L54),";")))</f>
        <v>;"NavNode_L3D_525321";"Šviesolaidiniai komponentai";</v>
      </c>
      <c r="AF54" s="39" t="str">
        <f>IF(getCategoryLevelAsString($B54)="L0D_324785","",IF(M54="",CONCATENATE(";",EscStr(CONCATENATE("NavNode_",getCategoryLevelAsString($B54))),";",EscStr($J54),";"),CONCATENATE(";",EscStr(CONCATENATE("NavNode_",getCategoryLevelAsString($B54))),";",EscStr(M54),";")))</f>
        <v>;"NavNode_L3D_525321";"Fiberoptiske komponenter";</v>
      </c>
      <c r="AG54" s="39" t="str">
        <f>IF(getCategoryLevelAsString($B54)="L0D_324785","",IF(N54="",CONCATENATE(";",EscStr(CONCATENATE("NavNode_",getCategoryLevelAsString($B54))),";",EscStr($J54),";"),CONCATENATE(";",EscStr(CONCATENATE("NavNode_",getCategoryLevelAsString($B54))),";",EscStr(N54),";")))</f>
        <v>;"NavNode_L3D_525321";"Fiberoptikkomponenter";</v>
      </c>
      <c r="AH54" s="39" t="str">
        <f>IF(getCategoryLevelAsString($B54)="L0D_324785","",IF(O54="",CONCATENATE(";",EscStr(CONCATENATE("NavNode_",getCategoryLevelAsString($B54))),";",EscStr($J54),";"),CONCATENATE(";",EscStr(CONCATENATE("NavNode_",getCategoryLevelAsString($B54))),";",EscStr(O54),";")))</f>
        <v>;"NavNode_L3D_525321";"Fiiberoptika komponendid";</v>
      </c>
      <c r="AI54" s="39" t="str">
        <f>IF(getCategoryLevelAsString($B54)="L0D_324785","",IF(P54="",CONCATENATE(";",EscStr(CONCATENATE("NavNode_",getCategoryLevelAsString($B54))),";",EscStr($J54),";"),CONCATENATE(";",EscStr(CONCATENATE("NavNode_",getCategoryLevelAsString($B54))),";",EscStr(P54),";")))</f>
        <v>;"NavNode_L3D_525321";"Valokuitu komponentit";</v>
      </c>
      <c r="AJ54" s="39" t="str">
        <f>IF(getCategoryLevelAsString($B54)="L0D_324785","",IF(Q54="",CONCATENATE(";",EscStr(CONCATENATE("NavNode_",getCategoryLevelAsString($B54))),";",EscStr($J54),";"),CONCATENATE(";",EscStr(CONCATENATE("NavNode_",getCategoryLevelAsString($B54))),";",EscStr(Q54),";")))</f>
        <v>;"NavNode_L3D_525321";"Optisko šķiedru komponentes";</v>
      </c>
      <c r="AK54" s="39" t="str">
        <f>IF(getCategoryLevelAsString($B54)="L0D_324785","",IF(R54="",CONCATENATE(";",EscStr(CONCATENATE("NavNode_",getCategoryLevelAsString($B54))),";",EscStr($J54),";"),CONCATENATE(";",EscStr(CONCATENATE("NavNode_",getCategoryLevelAsString($B54))),";",EscStr(R54),";")))</f>
        <v>;"NavNode_L3D_525321";"Glasvezel componenten";</v>
      </c>
      <c r="AL54" s="39" t="str">
        <f>IF(getCategoryLevelAsString($B54)="L0D_324785","",IF(S54="",CONCATENATE(";",EscStr(CONCATENATE("NavNode_",getCategoryLevelAsString($B54))),";",EscStr($J54),";"),CONCATENATE(";",EscStr(CONCATENATE("NavNode_",getCategoryLevelAsString($B54))),";",EscStr(S54),";")))</f>
        <v>;"NavNode_L3D_525321";"Elementy światłowodowe";</v>
      </c>
      <c r="AM54" s="39" t="str">
        <f>IF(getCategoryLevelAsString($B54)="L0D_324785","",IF(T54="",CONCATENATE(";",EscStr(CONCATENATE("NavNode_",getCategoryLevelAsString($B54))),";",EscStr($J54),";"),CONCATENATE(";",EscStr(CONCATENATE("NavNode_",getCategoryLevelAsString($B54))),";",EscStr(T54),";")))</f>
        <v>;"NavNode_L3D_525321";"Стекловолоконные компоненты";</v>
      </c>
      <c r="AN54" s="39" t="str">
        <f>IF(getCategoryLevelAsString($B54)="L0D_324785","",IF(U54="",CONCATENATE(";",EscStr(CONCATENATE("NavNode_",getCategoryLevelAsString($B54))),";",EscStr($J54),";"),CONCATENATE(";",EscStr(CONCATENATE("NavNode_",getCategoryLevelAsString($B54))),";",EscStr(U54),";")))</f>
        <v>;"NavNode_L3D_525321";"Součásti pro optická vlákna";</v>
      </c>
      <c r="AO54" s="39" t="str">
        <f>IF(getCategoryLevelAsString($B54)="L0D_324785","",IF(V54="",CONCATENATE(";",EscStr(CONCATENATE("NavNode_",getCategoryLevelAsString($B54))),";",EscStr($J54),";"),CONCATENATE(";",EscStr(CONCATENATE("NavNode_",getCategoryLevelAsString($B54))),";",EscStr(V54),";")))</f>
        <v>;"NavNode_L3D_525321";"Componente de fibră optică";</v>
      </c>
      <c r="AP54" s="39" t="str">
        <f>IF(getCategoryLevelAsString($B54)="L0D_324785","",IF(W54="",CONCATENATE(";",EscStr(CONCATENATE("NavNode_",getCategoryLevelAsString($B54))),";",EscStr($J54),";"),CONCATENATE(";",EscStr(CONCATENATE("NavNode_",getCategoryLevelAsString($B54))),";",EscStr(W54),";")))</f>
        <v>;"NavNode_L3D_525321";"Üvegszál alkatrészek";</v>
      </c>
      <c r="AQ54" s="39" t="str">
        <f>IF(getCategoryLevelAsString($B54)="L0D_324785","",IF(X54="",CONCATENATE(";",EscStr(CONCATENATE("NavNode_",getCategoryLevelAsString($B54))),";",EscStr($J54),";"),CONCATENATE(";",EscStr(CONCATENATE("NavNode_",getCategoryLevelAsString($B54))),";",EscStr(X54),";")))</f>
        <v>;"NavNode_L3D_525321";"Súčasti pre optické vlákna";</v>
      </c>
      <c r="AR54" s="39" t="str">
        <f>IF(OR($A54&lt;&gt;"", $G54=""),"",CONCATENATE(";",EscStr(CONCATENATE("NavEntry_",getCategoryLevelAsString($B54))),";",EscStr(CONCATENATE($J54," Navigation Entry")),";",EscStr(CONCATENATE("cat-",getCategoryLevelAsString($B54))),";",EscStr(CONCATENATE("NavNode_",getCategoryLevelAsString($B54))),";"))</f>
        <v>;"NavEntry_L3D_525321";"Fibre Optic Components Navigation Entry";"cat-L3D_525321";"NavNode_L3D_525321";</v>
      </c>
    </row>
    <row r="55" spans="1:44" s="34" customFormat="1" ht="15" x14ac:dyDescent="0.25">
      <c r="A55" s="25"/>
      <c r="B55" s="5"/>
      <c r="C55" s="5" t="s">
        <v>740</v>
      </c>
      <c r="D55" s="5"/>
      <c r="E55" s="5"/>
      <c r="F55" s="5"/>
      <c r="G55" s="5" t="s">
        <v>982</v>
      </c>
      <c r="H55" s="5" t="s">
        <v>1084</v>
      </c>
      <c r="I55" s="5" t="s">
        <v>1143</v>
      </c>
      <c r="J55" s="5" t="s">
        <v>846</v>
      </c>
      <c r="K55" s="5" t="s">
        <v>1208</v>
      </c>
      <c r="L55" s="5" t="s">
        <v>1442</v>
      </c>
      <c r="M55" s="5" t="s">
        <v>1678</v>
      </c>
      <c r="N55" s="47" t="s">
        <v>15434</v>
      </c>
      <c r="O55" s="5" t="s">
        <v>2466</v>
      </c>
      <c r="P55" s="5" t="s">
        <v>2467</v>
      </c>
      <c r="Q55" s="5" t="s">
        <v>2468</v>
      </c>
      <c r="R55" s="5" t="s">
        <v>2469</v>
      </c>
      <c r="S55" s="5" t="s">
        <v>2470</v>
      </c>
      <c r="T55" s="5" t="s">
        <v>2471</v>
      </c>
      <c r="U55" s="5" t="s">
        <v>2472</v>
      </c>
      <c r="V55" s="5" t="s">
        <v>2473</v>
      </c>
      <c r="W55" s="5" t="s">
        <v>2474</v>
      </c>
      <c r="X55" s="5" t="s">
        <v>14827</v>
      </c>
      <c r="Y55" s="39" t="str">
        <f>IF(OR($A55&lt;&gt;"", $G55=""),"",CONCATENATE(";",EscStr(CONCATENATE("NavNode_",getCategoryLevelAsString($B55))),";",EscStr($J55),";",IF($B55&lt;&gt;"","""MainCategoryNavNode""",EscStr(CONCATENATE("NavNode_",getSuperCategory($B55, getCategoryLevelAsNumber($B55))))),";"))</f>
        <v>;"NavNode_L3D_529885";"Frequency Control &amp; Timing Devices";"NavNode_Active Components";</v>
      </c>
      <c r="Z55" s="39" t="str">
        <f>IF(getCategoryLevelAsString($B55)="L0D_324785","",IF(G55="",CONCATENATE(";",EscStr(CONCATENATE("NavNode_",getCategoryLevelAsString($B55))),";",EscStr($J55),";"),CONCATENATE(";",EscStr(CONCATENATE("NavNode_",getCategoryLevelAsString($B55))),";",EscStr(G55),";")))</f>
        <v>;"NavNode_L3D_529885";"Frequenzsteuerung und Timer";</v>
      </c>
      <c r="AA55" s="39" t="str">
        <f>IF(getCategoryLevelAsString($B55)="L0D_324785","",IF(H55="",CONCATENATE(";",EscStr(CONCATENATE("NavNode_",getCategoryLevelAsString($B55))),";",EscStr($J55),";"),CONCATENATE(";",EscStr(CONCATENATE("NavNode_",getCategoryLevelAsString($B55))),";",EscStr(H55),";")))</f>
        <v>;"NavNode_L3D_529885";"Appareils de contrôle de fréquence et de synchronisation";</v>
      </c>
      <c r="AB55" s="39" t="str">
        <f>IF(getCategoryLevelAsString($B55)="L0D_324785","",IF(I55="",CONCATENATE(";",EscStr(CONCATENATE("NavNode_",getCategoryLevelAsString($B55))),";",EscStr($J55),";"),CONCATENATE(";",EscStr(CONCATENATE("NavNode_",getCategoryLevelAsString($B55))),";",EscStr(I55),";")))</f>
        <v>;"NavNode_L3D_529885";"Controllo della frequenza e cronometri";</v>
      </c>
      <c r="AC55" s="39" t="str">
        <f>IF(getCategoryLevelAsString($B55)="L0D_324785","",IF(J55="",CONCATENATE(";",EscStr(CONCATENATE("NavNode_",getCategoryLevelAsString($B55))),";",EscStr($J55),";"),CONCATENATE(";",EscStr(CONCATENATE("NavNode_",getCategoryLevelAsString($B55))),";",EscStr(J55),";")))</f>
        <v>;"NavNode_L3D_529885";"Frequency Control &amp; Timing Devices";</v>
      </c>
      <c r="AD55" s="39" t="str">
        <f>IF(getCategoryLevelAsString($B55)="L0D_324785","",IF(K55="",CONCATENATE(";",EscStr(CONCATENATE("NavNode_",getCategoryLevelAsString($B55))),";",EscStr($J55),";"),CONCATENATE(";",EscStr(CONCATENATE("NavNode_",getCategoryLevelAsString($B55))),";",EscStr(K55),";")))</f>
        <v>;"NavNode_L3D_529885";"Frekvensstyrings- &amp; timings-enheder";</v>
      </c>
      <c r="AE55" s="39" t="str">
        <f>IF(getCategoryLevelAsString($B55)="L0D_324785","",IF(L55="",CONCATENATE(";",EscStr(CONCATENATE("NavNode_",getCategoryLevelAsString($B55))),";",EscStr($J55),";"),CONCATENATE(";",EscStr(CONCATENATE("NavNode_",getCategoryLevelAsString($B55))),";",EscStr(L55),";")))</f>
        <v>;"NavNode_L3D_529885";"Dažnio valdymo ir sinchronizavimo įrenginiai";</v>
      </c>
      <c r="AF55" s="39" t="str">
        <f>IF(getCategoryLevelAsString($B55)="L0D_324785","",IF(M55="",CONCATENATE(";",EscStr(CONCATENATE("NavNode_",getCategoryLevelAsString($B55))),";",EscStr($J55),";"),CONCATENATE(";",EscStr(CONCATENATE("NavNode_",getCategoryLevelAsString($B55))),";",EscStr(M55),";")))</f>
        <v>;"NavNode_L3D_529885";"Frekvenskontroll og tidsstyringsenheter";</v>
      </c>
      <c r="AG55" s="39" t="str">
        <f>IF(getCategoryLevelAsString($B55)="L0D_324785","",IF(N55="",CONCATENATE(";",EscStr(CONCATENATE("NavNode_",getCategoryLevelAsString($B55))),";",EscStr($J55),";"),CONCATENATE(";",EscStr(CONCATENATE("NavNode_",getCategoryLevelAsString($B55))),";",EscStr(N55),";")))</f>
        <v>;"NavNode_L3D_529885";"Kristaller, Oscillatorer";</v>
      </c>
      <c r="AH55" s="39" t="str">
        <f>IF(getCategoryLevelAsString($B55)="L0D_324785","",IF(O55="",CONCATENATE(";",EscStr(CONCATENATE("NavNode_",getCategoryLevelAsString($B55))),";",EscStr($J55),";"),CONCATENATE(";",EscStr(CONCATENATE("NavNode_",getCategoryLevelAsString($B55))),";",EscStr(O55),";")))</f>
        <v>;"NavNode_L3D_529885";"Sageduskontrolli ja ajastsusseadmed";</v>
      </c>
      <c r="AI55" s="39" t="str">
        <f>IF(getCategoryLevelAsString($B55)="L0D_324785","",IF(P55="",CONCATENATE(";",EscStr(CONCATENATE("NavNode_",getCategoryLevelAsString($B55))),";",EscStr($J55),";"),CONCATENATE(";",EscStr(CONCATENATE("NavNode_",getCategoryLevelAsString($B55))),";",EscStr(P55),";")))</f>
        <v>;"NavNode_L3D_529885";"Taajuusohjaus ja ajastus";</v>
      </c>
      <c r="AJ55" s="39" t="str">
        <f>IF(getCategoryLevelAsString($B55)="L0D_324785","",IF(Q55="",CONCATENATE(";",EscStr(CONCATENATE("NavNode_",getCategoryLevelAsString($B55))),";",EscStr($J55),";"),CONCATENATE(";",EscStr(CONCATENATE("NavNode_",getCategoryLevelAsString($B55))),";",EscStr(Q55),";")))</f>
        <v>;"NavNode_L3D_529885";"Frekvences vadība un laika ierīces";</v>
      </c>
      <c r="AK55" s="39" t="str">
        <f>IF(getCategoryLevelAsString($B55)="L0D_324785","",IF(R55="",CONCATENATE(";",EscStr(CONCATENATE("NavNode_",getCategoryLevelAsString($B55))),";",EscStr($J55),";"),CONCATENATE(";",EscStr(CONCATENATE("NavNode_",getCategoryLevelAsString($B55))),";",EscStr(R55),";")))</f>
        <v>;"NavNode_L3D_529885";"Oscillatoren";</v>
      </c>
      <c r="AL55" s="39" t="str">
        <f>IF(getCategoryLevelAsString($B55)="L0D_324785","",IF(S55="",CONCATENATE(";",EscStr(CONCATENATE("NavNode_",getCategoryLevelAsString($B55))),";",EscStr($J55),";"),CONCATENATE(";",EscStr(CONCATENATE("NavNode_",getCategoryLevelAsString($B55))),";",EscStr(S55),";")))</f>
        <v>;"NavNode_L3D_529885";"Urządzenia czasowe i Sterujące częstotliwością";</v>
      </c>
      <c r="AM55" s="39" t="str">
        <f>IF(getCategoryLevelAsString($B55)="L0D_324785","",IF(T55="",CONCATENATE(";",EscStr(CONCATENATE("NavNode_",getCategoryLevelAsString($B55))),";",EscStr($J55),";"),CONCATENATE(";",EscStr(CONCATENATE("NavNode_",getCategoryLevelAsString($B55))),";",EscStr(T55),";")))</f>
        <v>;"NavNode_L3D_529885";"Управление частотой и регуляторы времени";</v>
      </c>
      <c r="AN55" s="39" t="str">
        <f>IF(getCategoryLevelAsString($B55)="L0D_324785","",IF(U55="",CONCATENATE(";",EscStr(CONCATENATE("NavNode_",getCategoryLevelAsString($B55))),";",EscStr($J55),";"),CONCATENATE(";",EscStr(CONCATENATE("NavNode_",getCategoryLevelAsString($B55))),";",EscStr(U55),";")))</f>
        <v>;"NavNode_L3D_529885";"Frekvenční regulátory a časovače";</v>
      </c>
      <c r="AO55" s="39" t="str">
        <f>IF(getCategoryLevelAsString($B55)="L0D_324785","",IF(V55="",CONCATENATE(";",EscStr(CONCATENATE("NavNode_",getCategoryLevelAsString($B55))),";",EscStr($J55),";"),CONCATENATE(";",EscStr(CONCATENATE("NavNode_",getCategoryLevelAsString($B55))),";",EscStr(V55),";")))</f>
        <v>;"NavNode_L3D_529885";"Măsurarea frecvenţei şi a timpului";</v>
      </c>
      <c r="AP55" s="39" t="str">
        <f>IF(getCategoryLevelAsString($B55)="L0D_324785","",IF(W55="",CONCATENATE(";",EscStr(CONCATENATE("NavNode_",getCategoryLevelAsString($B55))),";",EscStr($J55),";"),CONCATENATE(";",EscStr(CONCATENATE("NavNode_",getCategoryLevelAsString($B55))),";",EscStr(W55),";")))</f>
        <v>;"NavNode_L3D_529885";"Frekvenciaszabályozók és időzítők";</v>
      </c>
      <c r="AQ55" s="39" t="str">
        <f>IF(getCategoryLevelAsString($B55)="L0D_324785","",IF(X55="",CONCATENATE(";",EscStr(CONCATENATE("NavNode_",getCategoryLevelAsString($B55))),";",EscStr($J55),";"),CONCATENATE(";",EscStr(CONCATENATE("NavNode_",getCategoryLevelAsString($B55))),";",EscStr(X55),";")))</f>
        <v>;"NavNode_L3D_529885";"Frekvenčné regulátory a časovače";</v>
      </c>
      <c r="AR55" s="39" t="str">
        <f>IF(OR($A55&lt;&gt;"", $G55=""),"",CONCATENATE(";",EscStr(CONCATENATE("NavEntry_",getCategoryLevelAsString($B55))),";",EscStr(CONCATENATE($J55," Navigation Entry")),";",EscStr(CONCATENATE("cat-",getCategoryLevelAsString($B55))),";",EscStr(CONCATENATE("NavNode_",getCategoryLevelAsString($B55))),";"))</f>
        <v>;"NavEntry_L3D_529885";"Frequency Control &amp; Timing Devices Navigation Entry";"cat-L3D_529885";"NavNode_L3D_529885";</v>
      </c>
    </row>
    <row r="56" spans="1:44" s="38" customFormat="1" ht="14.25" x14ac:dyDescent="0.2">
      <c r="A56" s="32"/>
      <c r="B56" s="29" t="s">
        <v>3</v>
      </c>
      <c r="C56" s="37"/>
      <c r="E56" s="29"/>
      <c r="F56" s="29"/>
      <c r="G56" s="29" t="s">
        <v>432</v>
      </c>
      <c r="H56" s="29" t="s">
        <v>433</v>
      </c>
      <c r="I56" s="29" t="s">
        <v>434</v>
      </c>
      <c r="J56" s="33" t="s">
        <v>3</v>
      </c>
      <c r="K56" s="29" t="s">
        <v>1210</v>
      </c>
      <c r="L56" s="29" t="s">
        <v>1444</v>
      </c>
      <c r="M56" s="29" t="s">
        <v>1210</v>
      </c>
      <c r="N56" s="29" t="s">
        <v>1882</v>
      </c>
      <c r="O56" s="29" t="s">
        <v>2484</v>
      </c>
      <c r="P56" s="29" t="s">
        <v>2485</v>
      </c>
      <c r="Q56" s="29" t="s">
        <v>2486</v>
      </c>
      <c r="R56" s="29" t="s">
        <v>2487</v>
      </c>
      <c r="S56" s="29" t="s">
        <v>2488</v>
      </c>
      <c r="T56" s="29" t="s">
        <v>2489</v>
      </c>
      <c r="U56" s="29" t="s">
        <v>2490</v>
      </c>
      <c r="V56" s="29" t="s">
        <v>2491</v>
      </c>
      <c r="W56" s="29" t="s">
        <v>2492</v>
      </c>
      <c r="X56" s="29" t="s">
        <v>2490</v>
      </c>
      <c r="Y56" s="39" t="str">
        <f>IF(OR($A56&lt;&gt;"", $G56=""),"",CONCATENATE(";",EscStr(CONCATENATE("NavNode_",getCategoryLevelAsString($B56))),";",EscStr($J56),";",IF($B56&lt;&gt;"","""MainCategoryNavNode""",EscStr(CONCATENATE("NavNode_",getSuperCategory($B56, getCategoryLevelAsNumber($B56))))),";"))</f>
        <v>;"NavNode_Passive Components";"Passive Components";"MainCategoryNavNode";</v>
      </c>
      <c r="Z56" s="39" t="str">
        <f>IF(getCategoryLevelAsString($B56)="L0D_324785","",IF(G56="",CONCATENATE(";",EscStr(CONCATENATE("NavNode_",getCategoryLevelAsString($B56))),";",EscStr($J56),";"),CONCATENATE(";",EscStr(CONCATENATE("NavNode_",getCategoryLevelAsString($B56))),";",EscStr(G56),";")))</f>
        <v>;"NavNode_Passive Components";"Passive Bauelemente";</v>
      </c>
      <c r="AA56" s="39" t="str">
        <f>IF(getCategoryLevelAsString($B56)="L0D_324785","",IF(H56="",CONCATENATE(";",EscStr(CONCATENATE("NavNode_",getCategoryLevelAsString($B56))),";",EscStr($J56),";"),CONCATENATE(";",EscStr(CONCATENATE("NavNode_",getCategoryLevelAsString($B56))),";",EscStr(H56),";")))</f>
        <v>;"NavNode_Passive Components";"Composants passifs";</v>
      </c>
      <c r="AB56" s="39" t="str">
        <f>IF(getCategoryLevelAsString($B56)="L0D_324785","",IF(I56="",CONCATENATE(";",EscStr(CONCATENATE("NavNode_",getCategoryLevelAsString($B56))),";",EscStr($J56),";"),CONCATENATE(";",EscStr(CONCATENATE("NavNode_",getCategoryLevelAsString($B56))),";",EscStr(I56),";")))</f>
        <v>;"NavNode_Passive Components";"Componenti passivi";</v>
      </c>
      <c r="AC56" s="39" t="str">
        <f>IF(getCategoryLevelAsString($B56)="L0D_324785","",IF(J56="",CONCATENATE(";",EscStr(CONCATENATE("NavNode_",getCategoryLevelAsString($B56))),";",EscStr($J56),";"),CONCATENATE(";",EscStr(CONCATENATE("NavNode_",getCategoryLevelAsString($B56))),";",EscStr(J56),";")))</f>
        <v>;"NavNode_Passive Components";"Passive Components";</v>
      </c>
      <c r="AD56" s="39" t="str">
        <f>IF(getCategoryLevelAsString($B56)="L0D_324785","",IF(K56="",CONCATENATE(";",EscStr(CONCATENATE("NavNode_",getCategoryLevelAsString($B56))),";",EscStr($J56),";"),CONCATENATE(";",EscStr(CONCATENATE("NavNode_",getCategoryLevelAsString($B56))),";",EscStr(K56),";")))</f>
        <v>;"NavNode_Passive Components";"Passive komponenter";</v>
      </c>
      <c r="AE56" s="39" t="str">
        <f>IF(getCategoryLevelAsString($B56)="L0D_324785","",IF(L56="",CONCATENATE(";",EscStr(CONCATENATE("NavNode_",getCategoryLevelAsString($B56))),";",EscStr($J56),";"),CONCATENATE(";",EscStr(CONCATENATE("NavNode_",getCategoryLevelAsString($B56))),";",EscStr(L56),";")))</f>
        <v>;"NavNode_Passive Components";"Pasyvieji komponentai";</v>
      </c>
      <c r="AF56" s="39" t="str">
        <f>IF(getCategoryLevelAsString($B56)="L0D_324785","",IF(M56="",CONCATENATE(";",EscStr(CONCATENATE("NavNode_",getCategoryLevelAsString($B56))),";",EscStr($J56),";"),CONCATENATE(";",EscStr(CONCATENATE("NavNode_",getCategoryLevelAsString($B56))),";",EscStr(M56),";")))</f>
        <v>;"NavNode_Passive Components";"Passive komponenter";</v>
      </c>
      <c r="AG56" s="39" t="str">
        <f>IF(getCategoryLevelAsString($B56)="L0D_324785","",IF(N56="",CONCATENATE(";",EscStr(CONCATENATE("NavNode_",getCategoryLevelAsString($B56))),";",EscStr($J56),";"),CONCATENATE(";",EscStr(CONCATENATE("NavNode_",getCategoryLevelAsString($B56))),";",EscStr(N56),";")))</f>
        <v>;"NavNode_Passive Components";"Passiva komponenter";</v>
      </c>
      <c r="AH56" s="39" t="str">
        <f>IF(getCategoryLevelAsString($B56)="L0D_324785","",IF(O56="",CONCATENATE(";",EscStr(CONCATENATE("NavNode_",getCategoryLevelAsString($B56))),";",EscStr($J56),";"),CONCATENATE(";",EscStr(CONCATENATE("NavNode_",getCategoryLevelAsString($B56))),";",EscStr(O56),";")))</f>
        <v>;"NavNode_Passive Components";"Passiivkomponendid";</v>
      </c>
      <c r="AI56" s="39" t="str">
        <f>IF(getCategoryLevelAsString($B56)="L0D_324785","",IF(P56="",CONCATENATE(";",EscStr(CONCATENATE("NavNode_",getCategoryLevelAsString($B56))),";",EscStr($J56),";"),CONCATENATE(";",EscStr(CONCATENATE("NavNode_",getCategoryLevelAsString($B56))),";",EscStr(P56),";")))</f>
        <v>;"NavNode_Passive Components";"Passiivi komponentit";</v>
      </c>
      <c r="AJ56" s="39" t="str">
        <f>IF(getCategoryLevelAsString($B56)="L0D_324785","",IF(Q56="",CONCATENATE(";",EscStr(CONCATENATE("NavNode_",getCategoryLevelAsString($B56))),";",EscStr($J56),";"),CONCATENATE(";",EscStr(CONCATENATE("NavNode_",getCategoryLevelAsString($B56))),";",EscStr(Q56),";")))</f>
        <v>;"NavNode_Passive Components";"Pasīvās komponentes";</v>
      </c>
      <c r="AK56" s="39" t="str">
        <f>IF(getCategoryLevelAsString($B56)="L0D_324785","",IF(R56="",CONCATENATE(";",EscStr(CONCATENATE("NavNode_",getCategoryLevelAsString($B56))),";",EscStr($J56),";"),CONCATENATE(";",EscStr(CONCATENATE("NavNode_",getCategoryLevelAsString($B56))),";",EscStr(R56),";")))</f>
        <v>;"NavNode_Passive Components";"Passieve componenten";</v>
      </c>
      <c r="AL56" s="39" t="str">
        <f>IF(getCategoryLevelAsString($B56)="L0D_324785","",IF(S56="",CONCATENATE(";",EscStr(CONCATENATE("NavNode_",getCategoryLevelAsString($B56))),";",EscStr($J56),";"),CONCATENATE(";",EscStr(CONCATENATE("NavNode_",getCategoryLevelAsString($B56))),";",EscStr(S56),";")))</f>
        <v>;"NavNode_Passive Components";"Elementy pasywne";</v>
      </c>
      <c r="AM56" s="39" t="str">
        <f>IF(getCategoryLevelAsString($B56)="L0D_324785","",IF(T56="",CONCATENATE(";",EscStr(CONCATENATE("NavNode_",getCategoryLevelAsString($B56))),";",EscStr($J56),";"),CONCATENATE(";",EscStr(CONCATENATE("NavNode_",getCategoryLevelAsString($B56))),";",EscStr(T56),";")))</f>
        <v>;"NavNode_Passive Components";"Пассивные элементы";</v>
      </c>
      <c r="AN56" s="39" t="str">
        <f>IF(getCategoryLevelAsString($B56)="L0D_324785","",IF(U56="",CONCATENATE(";",EscStr(CONCATENATE("NavNode_",getCategoryLevelAsString($B56))),";",EscStr($J56),";"),CONCATENATE(";",EscStr(CONCATENATE("NavNode_",getCategoryLevelAsString($B56))),";",EscStr(U56),";")))</f>
        <v>;"NavNode_Passive Components";"Pasivní součástky";</v>
      </c>
      <c r="AO56" s="39" t="str">
        <f>IF(getCategoryLevelAsString($B56)="L0D_324785","",IF(V56="",CONCATENATE(";",EscStr(CONCATENATE("NavNode_",getCategoryLevelAsString($B56))),";",EscStr($J56),";"),CONCATENATE(";",EscStr(CONCATENATE("NavNode_",getCategoryLevelAsString($B56))),";",EscStr(V56),";")))</f>
        <v>;"NavNode_Passive Components";"Componente pasive";</v>
      </c>
      <c r="AP56" s="39" t="str">
        <f>IF(getCategoryLevelAsString($B56)="L0D_324785","",IF(W56="",CONCATENATE(";",EscStr(CONCATENATE("NavNode_",getCategoryLevelAsString($B56))),";",EscStr($J56),";"),CONCATENATE(";",EscStr(CONCATENATE("NavNode_",getCategoryLevelAsString($B56))),";",EscStr(W56),";")))</f>
        <v>;"NavNode_Passive Components";"Passzív alkatrészek";</v>
      </c>
      <c r="AQ56" s="39" t="str">
        <f>IF(getCategoryLevelAsString($B56)="L0D_324785","",IF(X56="",CONCATENATE(";",EscStr(CONCATENATE("NavNode_",getCategoryLevelAsString($B56))),";",EscStr($J56),";"),CONCATENATE(";",EscStr(CONCATENATE("NavNode_",getCategoryLevelAsString($B56))),";",EscStr(X56),";")))</f>
        <v>;"NavNode_Passive Components";"Pasivní součástky";</v>
      </c>
      <c r="AR56" s="39" t="str">
        <f>IF(OR($A56&lt;&gt;"", $G56=""),"",CONCATENATE(";",EscStr(CONCATENATE("NavEntry_",getCategoryLevelAsString($B56))),";",EscStr(CONCATENATE($J56," Navigation Entry")),";",EscStr(CONCATENATE("cat-",getCategoryLevelAsString($B56))),";",EscStr(CONCATENATE("NavNode_",getCategoryLevelAsString($B56))),";"))</f>
        <v>;"NavEntry_Passive Components";"Passive Components Navigation Entry";"cat-Passive Components";"NavNode_Passive Components";</v>
      </c>
    </row>
    <row r="57" spans="1:44" s="34" customFormat="1" ht="15" x14ac:dyDescent="0.25">
      <c r="A57" s="25"/>
      <c r="B57" s="5"/>
      <c r="C57" s="5" t="s">
        <v>741</v>
      </c>
      <c r="D57" s="5"/>
      <c r="E57" s="5"/>
      <c r="F57" s="5"/>
      <c r="G57" s="5" t="s">
        <v>983</v>
      </c>
      <c r="H57" s="5" t="s">
        <v>1085</v>
      </c>
      <c r="I57" s="5" t="s">
        <v>1144</v>
      </c>
      <c r="J57" s="5" t="s">
        <v>841</v>
      </c>
      <c r="K57" s="5" t="s">
        <v>1211</v>
      </c>
      <c r="L57" s="5" t="s">
        <v>1445</v>
      </c>
      <c r="M57" s="5" t="s">
        <v>1211</v>
      </c>
      <c r="N57" s="5" t="s">
        <v>1211</v>
      </c>
      <c r="O57" s="5" t="s">
        <v>2493</v>
      </c>
      <c r="P57" s="5" t="s">
        <v>2494</v>
      </c>
      <c r="Q57" s="5" t="s">
        <v>2495</v>
      </c>
      <c r="R57" s="5" t="s">
        <v>2496</v>
      </c>
      <c r="S57" s="5" t="s">
        <v>2497</v>
      </c>
      <c r="T57" s="5" t="s">
        <v>2498</v>
      </c>
      <c r="U57" s="5" t="s">
        <v>2499</v>
      </c>
      <c r="V57" s="5" t="s">
        <v>1144</v>
      </c>
      <c r="W57" s="5" t="s">
        <v>2500</v>
      </c>
      <c r="X57" s="5" t="s">
        <v>2499</v>
      </c>
      <c r="Y57" s="39" t="str">
        <f>IF(OR($A57&lt;&gt;"", $G57=""),"",CONCATENATE(";",EscStr(CONCATENATE("NavNode_",getCategoryLevelAsString($B57))),";",EscStr($J57),";",IF($B57&lt;&gt;"","""MainCategoryNavNode""",EscStr(CONCATENATE("NavNode_",getSuperCategory($B57, getCategoryLevelAsNumber($B57))))),";"))</f>
        <v>;"NavNode_L2-3D_528720";"Capacitors";"NavNode_Passive Components";</v>
      </c>
      <c r="Z57" s="39" t="str">
        <f>IF(getCategoryLevelAsString($B57)="L0D_324785","",IF(G57="",CONCATENATE(";",EscStr(CONCATENATE("NavNode_",getCategoryLevelAsString($B57))),";",EscStr($J57),";"),CONCATENATE(";",EscStr(CONCATENATE("NavNode_",getCategoryLevelAsString($B57))),";",EscStr(G57),";")))</f>
        <v>;"NavNode_L2-3D_528720";"Kondensatoren";</v>
      </c>
      <c r="AA57" s="39" t="str">
        <f>IF(getCategoryLevelAsString($B57)="L0D_324785","",IF(H57="",CONCATENATE(";",EscStr(CONCATENATE("NavNode_",getCategoryLevelAsString($B57))),";",EscStr($J57),";"),CONCATENATE(";",EscStr(CONCATENATE("NavNode_",getCategoryLevelAsString($B57))),";",EscStr(H57),";")))</f>
        <v>;"NavNode_L2-3D_528720";"Condensateurs";</v>
      </c>
      <c r="AB57" s="39" t="str">
        <f>IF(getCategoryLevelAsString($B57)="L0D_324785","",IF(I57="",CONCATENATE(";",EscStr(CONCATENATE("NavNode_",getCategoryLevelAsString($B57))),";",EscStr($J57),";"),CONCATENATE(";",EscStr(CONCATENATE("NavNode_",getCategoryLevelAsString($B57))),";",EscStr(I57),";")))</f>
        <v>;"NavNode_L2-3D_528720";"Condensatori";</v>
      </c>
      <c r="AC57" s="39" t="str">
        <f>IF(getCategoryLevelAsString($B57)="L0D_324785","",IF(J57="",CONCATENATE(";",EscStr(CONCATENATE("NavNode_",getCategoryLevelAsString($B57))),";",EscStr($J57),";"),CONCATENATE(";",EscStr(CONCATENATE("NavNode_",getCategoryLevelAsString($B57))),";",EscStr(J57),";")))</f>
        <v>;"NavNode_L2-3D_528720";"Capacitors";</v>
      </c>
      <c r="AD57" s="39" t="str">
        <f>IF(getCategoryLevelAsString($B57)="L0D_324785","",IF(K57="",CONCATENATE(";",EscStr(CONCATENATE("NavNode_",getCategoryLevelAsString($B57))),";",EscStr($J57),";"),CONCATENATE(";",EscStr(CONCATENATE("NavNode_",getCategoryLevelAsString($B57))),";",EscStr(K57),";")))</f>
        <v>;"NavNode_L2-3D_528720";"Kondensatorer";</v>
      </c>
      <c r="AE57" s="39" t="str">
        <f>IF(getCategoryLevelAsString($B57)="L0D_324785","",IF(L57="",CONCATENATE(";",EscStr(CONCATENATE("NavNode_",getCategoryLevelAsString($B57))),";",EscStr($J57),";"),CONCATENATE(";",EscStr(CONCATENATE("NavNode_",getCategoryLevelAsString($B57))),";",EscStr(L57),";")))</f>
        <v>;"NavNode_L2-3D_528720";"Kondensatoriai";</v>
      </c>
      <c r="AF57" s="39" t="str">
        <f>IF(getCategoryLevelAsString($B57)="L0D_324785","",IF(M57="",CONCATENATE(";",EscStr(CONCATENATE("NavNode_",getCategoryLevelAsString($B57))),";",EscStr($J57),";"),CONCATENATE(";",EscStr(CONCATENATE("NavNode_",getCategoryLevelAsString($B57))),";",EscStr(M57),";")))</f>
        <v>;"NavNode_L2-3D_528720";"Kondensatorer";</v>
      </c>
      <c r="AG57" s="39" t="str">
        <f>IF(getCategoryLevelAsString($B57)="L0D_324785","",IF(N57="",CONCATENATE(";",EscStr(CONCATENATE("NavNode_",getCategoryLevelAsString($B57))),";",EscStr($J57),";"),CONCATENATE(";",EscStr(CONCATENATE("NavNode_",getCategoryLevelAsString($B57))),";",EscStr(N57),";")))</f>
        <v>;"NavNode_L2-3D_528720";"Kondensatorer";</v>
      </c>
      <c r="AH57" s="39" t="str">
        <f>IF(getCategoryLevelAsString($B57)="L0D_324785","",IF(O57="",CONCATENATE(";",EscStr(CONCATENATE("NavNode_",getCategoryLevelAsString($B57))),";",EscStr($J57),";"),CONCATENATE(";",EscStr(CONCATENATE("NavNode_",getCategoryLevelAsString($B57))),";",EscStr(O57),";")))</f>
        <v>;"NavNode_L2-3D_528720";"Kondensaatorid";</v>
      </c>
      <c r="AI57" s="39" t="str">
        <f>IF(getCategoryLevelAsString($B57)="L0D_324785","",IF(P57="",CONCATENATE(";",EscStr(CONCATENATE("NavNode_",getCategoryLevelAsString($B57))),";",EscStr($J57),";"),CONCATENATE(";",EscStr(CONCATENATE("NavNode_",getCategoryLevelAsString($B57))),";",EscStr(P57),";")))</f>
        <v>;"NavNode_L2-3D_528720";"Kondensaattorit";</v>
      </c>
      <c r="AJ57" s="39" t="str">
        <f>IF(getCategoryLevelAsString($B57)="L0D_324785","",IF(Q57="",CONCATENATE(";",EscStr(CONCATENATE("NavNode_",getCategoryLevelAsString($B57))),";",EscStr($J57),";"),CONCATENATE(";",EscStr(CONCATENATE("NavNode_",getCategoryLevelAsString($B57))),";",EscStr(Q57),";")))</f>
        <v>;"NavNode_L2-3D_528720";"Kondensatori";</v>
      </c>
      <c r="AK57" s="39" t="str">
        <f>IF(getCategoryLevelAsString($B57)="L0D_324785","",IF(R57="",CONCATENATE(";",EscStr(CONCATENATE("NavNode_",getCategoryLevelAsString($B57))),";",EscStr($J57),";"),CONCATENATE(";",EscStr(CONCATENATE("NavNode_",getCategoryLevelAsString($B57))),";",EscStr(R57),";")))</f>
        <v>;"NavNode_L2-3D_528720";"Condensatoren";</v>
      </c>
      <c r="AL57" s="39" t="str">
        <f>IF(getCategoryLevelAsString($B57)="L0D_324785","",IF(S57="",CONCATENATE(";",EscStr(CONCATENATE("NavNode_",getCategoryLevelAsString($B57))),";",EscStr($J57),";"),CONCATENATE(";",EscStr(CONCATENATE("NavNode_",getCategoryLevelAsString($B57))),";",EscStr(S57),";")))</f>
        <v>;"NavNode_L2-3D_528720";"Kondensatory";</v>
      </c>
      <c r="AM57" s="39" t="str">
        <f>IF(getCategoryLevelAsString($B57)="L0D_324785","",IF(T57="",CONCATENATE(";",EscStr(CONCATENATE("NavNode_",getCategoryLevelAsString($B57))),";",EscStr($J57),";"),CONCATENATE(";",EscStr(CONCATENATE("NavNode_",getCategoryLevelAsString($B57))),";",EscStr(T57),";")))</f>
        <v>;"NavNode_L2-3D_528720";"Конденсаторы";</v>
      </c>
      <c r="AN57" s="39" t="str">
        <f>IF(getCategoryLevelAsString($B57)="L0D_324785","",IF(U57="",CONCATENATE(";",EscStr(CONCATENATE("NavNode_",getCategoryLevelAsString($B57))),";",EscStr($J57),";"),CONCATENATE(";",EscStr(CONCATENATE("NavNode_",getCategoryLevelAsString($B57))),";",EscStr(U57),";")))</f>
        <v>;"NavNode_L2-3D_528720";"Kondenzátory";</v>
      </c>
      <c r="AO57" s="39" t="str">
        <f>IF(getCategoryLevelAsString($B57)="L0D_324785","",IF(V57="",CONCATENATE(";",EscStr(CONCATENATE("NavNode_",getCategoryLevelAsString($B57))),";",EscStr($J57),";"),CONCATENATE(";",EscStr(CONCATENATE("NavNode_",getCategoryLevelAsString($B57))),";",EscStr(V57),";")))</f>
        <v>;"NavNode_L2-3D_528720";"Condensatori";</v>
      </c>
      <c r="AP57" s="39" t="str">
        <f>IF(getCategoryLevelAsString($B57)="L0D_324785","",IF(W57="",CONCATENATE(";",EscStr(CONCATENATE("NavNode_",getCategoryLevelAsString($B57))),";",EscStr($J57),";"),CONCATENATE(";",EscStr(CONCATENATE("NavNode_",getCategoryLevelAsString($B57))),";",EscStr(W57),";")))</f>
        <v>;"NavNode_L2-3D_528720";"Kondenzátorok";</v>
      </c>
      <c r="AQ57" s="39" t="str">
        <f>IF(getCategoryLevelAsString($B57)="L0D_324785","",IF(X57="",CONCATENATE(";",EscStr(CONCATENATE("NavNode_",getCategoryLevelAsString($B57))),";",EscStr($J57),";"),CONCATENATE(";",EscStr(CONCATENATE("NavNode_",getCategoryLevelAsString($B57))),";",EscStr(X57),";")))</f>
        <v>;"NavNode_L2-3D_528720";"Kondenzátory";</v>
      </c>
      <c r="AR57" s="39" t="str">
        <f>IF(OR($A57&lt;&gt;"", $G57=""),"",CONCATENATE(";",EscStr(CONCATENATE("NavEntry_",getCategoryLevelAsString($B57))),";",EscStr(CONCATENATE($J57," Navigation Entry")),";",EscStr(CONCATENATE("cat-",getCategoryLevelAsString($B57))),";",EscStr(CONCATENATE("NavNode_",getCategoryLevelAsString($B57))),";"))</f>
        <v>;"NavEntry_L2-3D_528720";"Capacitors Navigation Entry";"cat-L2-3D_528720";"NavNode_L2-3D_528720";</v>
      </c>
    </row>
    <row r="58" spans="1:44" s="34" customFormat="1" ht="15" x14ac:dyDescent="0.25">
      <c r="A58" s="25"/>
      <c r="B58" s="5"/>
      <c r="C58" s="5"/>
      <c r="D58" s="5" t="s">
        <v>6014</v>
      </c>
      <c r="E58" s="5"/>
      <c r="F58" s="5"/>
      <c r="G58" s="5" t="s">
        <v>6016</v>
      </c>
      <c r="H58" s="5" t="s">
        <v>13602</v>
      </c>
      <c r="I58" s="5" t="s">
        <v>13690</v>
      </c>
      <c r="J58" s="5" t="s">
        <v>6015</v>
      </c>
      <c r="K58" s="5" t="s">
        <v>13784</v>
      </c>
      <c r="L58" s="5" t="s">
        <v>15098</v>
      </c>
      <c r="M58" s="5" t="s">
        <v>13880</v>
      </c>
      <c r="N58" s="5" t="s">
        <v>13934</v>
      </c>
      <c r="O58" s="5" t="s">
        <v>14047</v>
      </c>
      <c r="P58" s="5" t="s">
        <v>14138</v>
      </c>
      <c r="Q58" s="5" t="s">
        <v>14225</v>
      </c>
      <c r="R58" s="5" t="s">
        <v>14302</v>
      </c>
      <c r="S58" s="5" t="s">
        <v>14397</v>
      </c>
      <c r="T58" s="5" t="s">
        <v>14487</v>
      </c>
      <c r="U58" s="5" t="s">
        <v>14575</v>
      </c>
      <c r="V58" s="5" t="s">
        <v>14664</v>
      </c>
      <c r="W58" s="5" t="s">
        <v>14749</v>
      </c>
      <c r="X58" s="5" t="s">
        <v>14575</v>
      </c>
      <c r="Y58" s="39" t="str">
        <f>IF(OR($A58&lt;&gt;"", $G58=""),"",CONCATENATE(";",EscStr(CONCATENATE("NavNode_",getCategoryLevelAsString($B58))),";",EscStr($J58),";",IF($B58&lt;&gt;"","""MainCategoryNavNode""",EscStr(CONCATENATE("NavNode_",getSuperCategory($B58, getCategoryLevelAsNumber($B58))))),";"))</f>
        <v>;"NavNode_L3D_525329";"Aluminium Electrolytic Capacitors";"NavNode_L2-3D_528720";</v>
      </c>
      <c r="Z58" s="39" t="str">
        <f>IF(getCategoryLevelAsString($B58)="L0D_324785","",IF(G58="",CONCATENATE(";",EscStr(CONCATENATE("NavNode_",getCategoryLevelAsString($B58))),";",EscStr($J58),";"),CONCATENATE(";",EscStr(CONCATENATE("NavNode_",getCategoryLevelAsString($B58))),";",EscStr(G58),";")))</f>
        <v>;"NavNode_L3D_525329";"Aluminium-Elektrolytkondensatoren";</v>
      </c>
      <c r="AA58" s="39" t="str">
        <f>IF(getCategoryLevelAsString($B58)="L0D_324785","",IF(H58="",CONCATENATE(";",EscStr(CONCATENATE("NavNode_",getCategoryLevelAsString($B58))),";",EscStr($J58),";"),CONCATENATE(";",EscStr(CONCATENATE("NavNode_",getCategoryLevelAsString($B58))),";",EscStr(H58),";")))</f>
        <v>;"NavNode_L3D_525329";"Condensateurs électrolytiques aluminium";</v>
      </c>
      <c r="AB58" s="39" t="str">
        <f>IF(getCategoryLevelAsString($B58)="L0D_324785","",IF(I58="",CONCATENATE(";",EscStr(CONCATENATE("NavNode_",getCategoryLevelAsString($B58))),";",EscStr($J58),";"),CONCATENATE(";",EscStr(CONCATENATE("NavNode_",getCategoryLevelAsString($B58))),";",EscStr(I58),";")))</f>
        <v>;"NavNode_L3D_525329";"Condensatore in alluminio";</v>
      </c>
      <c r="AC58" s="39" t="str">
        <f>IF(getCategoryLevelAsString($B58)="L0D_324785","",IF(J58="",CONCATENATE(";",EscStr(CONCATENATE("NavNode_",getCategoryLevelAsString($B58))),";",EscStr($J58),";"),CONCATENATE(";",EscStr(CONCATENATE("NavNode_",getCategoryLevelAsString($B58))),";",EscStr(J58),";")))</f>
        <v>;"NavNode_L3D_525329";"Aluminium Electrolytic Capacitors";</v>
      </c>
      <c r="AD58" s="39" t="str">
        <f>IF(getCategoryLevelAsString($B58)="L0D_324785","",IF(K58="",CONCATENATE(";",EscStr(CONCATENATE("NavNode_",getCategoryLevelAsString($B58))),";",EscStr($J58),";"),CONCATENATE(";",EscStr(CONCATENATE("NavNode_",getCategoryLevelAsString($B58))),";",EscStr(K58),";")))</f>
        <v>;"NavNode_L3D_525329";"Aluminiums-elektrolytkondensatorer";</v>
      </c>
      <c r="AE58" s="39" t="str">
        <f>IF(getCategoryLevelAsString($B58)="L0D_324785","",IF(L58="",CONCATENATE(";",EscStr(CONCATENATE("NavNode_",getCategoryLevelAsString($B58))),";",EscStr($J58),";"),CONCATENATE(";",EscStr(CONCATENATE("NavNode_",getCategoryLevelAsString($B58))),";",EscStr(L58),";")))</f>
        <v>;"NavNode_L3D_525329";"Elektrolitiniai kondensatoriai";</v>
      </c>
      <c r="AF58" s="39" t="str">
        <f>IF(getCategoryLevelAsString($B58)="L0D_324785","",IF(M58="",CONCATENATE(";",EscStr(CONCATENATE("NavNode_",getCategoryLevelAsString($B58))),";",EscStr($J58),";"),CONCATENATE(";",EscStr(CONCATENATE("NavNode_",getCategoryLevelAsString($B58))),";",EscStr(M58),";")))</f>
        <v>;"NavNode_L3D_525329";"Aluminiumelektrolytter";</v>
      </c>
      <c r="AG58" s="39" t="str">
        <f>IF(getCategoryLevelAsString($B58)="L0D_324785","",IF(N58="",CONCATENATE(";",EscStr(CONCATENATE("NavNode_",getCategoryLevelAsString($B58))),";",EscStr($J58),";"),CONCATENATE(";",EscStr(CONCATENATE("NavNode_",getCategoryLevelAsString($B58))),";",EscStr(N58),";")))</f>
        <v>;"NavNode_L3D_525329";"Aluminiumelektrolyter";</v>
      </c>
      <c r="AH58" s="39" t="str">
        <f>IF(getCategoryLevelAsString($B58)="L0D_324785","",IF(O58="",CONCATENATE(";",EscStr(CONCATENATE("NavNode_",getCategoryLevelAsString($B58))),";",EscStr($J58),";"),CONCATENATE(";",EscStr(CONCATENATE("NavNode_",getCategoryLevelAsString($B58))),";",EscStr(O58),";")))</f>
        <v>;"NavNode_L3D_525329";"Elektrolüütkondensaatorid";</v>
      </c>
      <c r="AI58" s="39" t="str">
        <f>IF(getCategoryLevelAsString($B58)="L0D_324785","",IF(P58="",CONCATENATE(";",EscStr(CONCATENATE("NavNode_",getCategoryLevelAsString($B58))),";",EscStr($J58),";"),CONCATENATE(";",EscStr(CONCATENATE("NavNode_",getCategoryLevelAsString($B58))),";",EscStr(P58),";")))</f>
        <v>;"NavNode_L3D_525329";"Alumiini elektrolyytit";</v>
      </c>
      <c r="AJ58" s="39" t="str">
        <f>IF(getCategoryLevelAsString($B58)="L0D_324785","",IF(Q58="",CONCATENATE(";",EscStr(CONCATENATE("NavNode_",getCategoryLevelAsString($B58))),";",EscStr($J58),";"),CONCATENATE(";",EscStr(CONCATENATE("NavNode_",getCategoryLevelAsString($B58))),";",EscStr(Q58),";")))</f>
        <v>;"NavNode_L3D_525329";"Elektrolītiskie kondensatori";</v>
      </c>
      <c r="AK58" s="39" t="str">
        <f>IF(getCategoryLevelAsString($B58)="L0D_324785","",IF(R58="",CONCATENATE(";",EscStr(CONCATENATE("NavNode_",getCategoryLevelAsString($B58))),";",EscStr($J58),";"),CONCATENATE(";",EscStr(CONCATENATE("NavNode_",getCategoryLevelAsString($B58))),";",EscStr(R58),";")))</f>
        <v>;"NavNode_L3D_525329";"Elektrolytische condensatoren / elcos";</v>
      </c>
      <c r="AL58" s="39" t="str">
        <f>IF(getCategoryLevelAsString($B58)="L0D_324785","",IF(S58="",CONCATENATE(";",EscStr(CONCATENATE("NavNode_",getCategoryLevelAsString($B58))),";",EscStr($J58),";"),CONCATENATE(";",EscStr(CONCATENATE("NavNode_",getCategoryLevelAsString($B58))),";",EscStr(S58),";")))</f>
        <v>;"NavNode_L3D_525329";"Kondensatory elektrolityczne";</v>
      </c>
      <c r="AM58" s="39" t="str">
        <f>IF(getCategoryLevelAsString($B58)="L0D_324785","",IF(T58="",CONCATENATE(";",EscStr(CONCATENATE("NavNode_",getCategoryLevelAsString($B58))),";",EscStr($J58),";"),CONCATENATE(";",EscStr(CONCATENATE("NavNode_",getCategoryLevelAsString($B58))),";",EscStr(T58),";")))</f>
        <v>;"NavNode_L3D_525329";"Электролитические конденсаторы";</v>
      </c>
      <c r="AN58" s="39" t="str">
        <f>IF(getCategoryLevelAsString($B58)="L0D_324785","",IF(U58="",CONCATENATE(";",EscStr(CONCATENATE("NavNode_",getCategoryLevelAsString($B58))),";",EscStr($J58),";"),CONCATENATE(";",EscStr(CONCATENATE("NavNode_",getCategoryLevelAsString($B58))),";",EscStr(U58),";")))</f>
        <v>;"NavNode_L3D_525329";"Hliníkové elektrolytické kondenzátory";</v>
      </c>
      <c r="AO58" s="39" t="str">
        <f>IF(getCategoryLevelAsString($B58)="L0D_324785","",IF(V58="",CONCATENATE(";",EscStr(CONCATENATE("NavNode_",getCategoryLevelAsString($B58))),";",EscStr($J58),";"),CONCATENATE(";",EscStr(CONCATENATE("NavNode_",getCategoryLevelAsString($B58))),";",EscStr(V58),";")))</f>
        <v>;"NavNode_L3D_525329";"Condensatori electrolitici şi cu aluminiu";</v>
      </c>
      <c r="AP58" s="39" t="str">
        <f>IF(getCategoryLevelAsString($B58)="L0D_324785","",IF(W58="",CONCATENATE(";",EscStr(CONCATENATE("NavNode_",getCategoryLevelAsString($B58))),";",EscStr($J58),";"),CONCATENATE(";",EscStr(CONCATENATE("NavNode_",getCategoryLevelAsString($B58))),";",EscStr(W58),";")))</f>
        <v>;"NavNode_L3D_525329";"Aluminium-elektrolit kondenzátorok";</v>
      </c>
      <c r="AQ58" s="39" t="str">
        <f>IF(getCategoryLevelAsString($B58)="L0D_324785","",IF(X58="",CONCATENATE(";",EscStr(CONCATENATE("NavNode_",getCategoryLevelAsString($B58))),";",EscStr($J58),";"),CONCATENATE(";",EscStr(CONCATENATE("NavNode_",getCategoryLevelAsString($B58))),";",EscStr(X58),";")))</f>
        <v>;"NavNode_L3D_525329";"Hliníkové elektrolytické kondenzátory";</v>
      </c>
      <c r="AR58" s="39" t="str">
        <f>IF(OR($A58&lt;&gt;"", $G58=""),"",CONCATENATE(";",EscStr(CONCATENATE("NavEntry_",getCategoryLevelAsString($B58))),";",EscStr(CONCATENATE($J58," Navigation Entry")),";",EscStr(CONCATENATE("cat-",getCategoryLevelAsString($B58))),";",EscStr(CONCATENATE("NavNode_",getCategoryLevelAsString($B58))),";"))</f>
        <v>;"NavEntry_L3D_525329";"Aluminium Electrolytic Capacitors Navigation Entry";"cat-L3D_525329";"NavNode_L3D_525329";</v>
      </c>
    </row>
    <row r="59" spans="1:44" s="34" customFormat="1" ht="15" x14ac:dyDescent="0.25">
      <c r="A59" s="25"/>
      <c r="B59" s="5"/>
      <c r="C59" s="5"/>
      <c r="D59" s="5" t="s">
        <v>6049</v>
      </c>
      <c r="E59" s="5"/>
      <c r="F59" s="5"/>
      <c r="G59" s="5" t="s">
        <v>6051</v>
      </c>
      <c r="H59" s="5" t="s">
        <v>13603</v>
      </c>
      <c r="I59" s="5" t="s">
        <v>13691</v>
      </c>
      <c r="J59" s="5" t="s">
        <v>6050</v>
      </c>
      <c r="K59" s="5" t="s">
        <v>13785</v>
      </c>
      <c r="L59" s="5" t="s">
        <v>15099</v>
      </c>
      <c r="M59" s="5" t="s">
        <v>13785</v>
      </c>
      <c r="N59" s="5" t="s">
        <v>13785</v>
      </c>
      <c r="O59" s="5" t="s">
        <v>6050</v>
      </c>
      <c r="P59" s="5" t="s">
        <v>14139</v>
      </c>
      <c r="Q59" s="5" t="s">
        <v>6050</v>
      </c>
      <c r="R59" s="5" t="s">
        <v>14303</v>
      </c>
      <c r="S59" s="5" t="s">
        <v>14398</v>
      </c>
      <c r="T59" s="5" t="s">
        <v>14488</v>
      </c>
      <c r="U59" s="5" t="s">
        <v>14576</v>
      </c>
      <c r="V59" s="5" t="s">
        <v>14665</v>
      </c>
      <c r="W59" s="5" t="s">
        <v>14750</v>
      </c>
      <c r="X59" s="5" t="s">
        <v>14828</v>
      </c>
      <c r="Y59" s="39" t="str">
        <f>IF(OR($A59&lt;&gt;"", $G59=""),"",CONCATENATE(";",EscStr(CONCATENATE("NavNode_",getCategoryLevelAsString($B59))),";",EscStr($J59),";",IF($B59&lt;&gt;"","""MainCategoryNavNode""",EscStr(CONCATENATE("NavNode_",getSuperCategory($B59, getCategoryLevelAsNumber($B59))))),";"))</f>
        <v>;"NavNode_L3D_616574";"Polymer Capacitors";"NavNode_L2-3D_528720";</v>
      </c>
      <c r="Z59" s="39" t="str">
        <f>IF(getCategoryLevelAsString($B59)="L0D_324785","",IF(G59="",CONCATENATE(";",EscStr(CONCATENATE("NavNode_",getCategoryLevelAsString($B59))),";",EscStr($J59),";"),CONCATENATE(";",EscStr(CONCATENATE("NavNode_",getCategoryLevelAsString($B59))),";",EscStr(G59),";")))</f>
        <v>;"NavNode_L3D_616574";"Polymerkondensatoren";</v>
      </c>
      <c r="AA59" s="39" t="str">
        <f>IF(getCategoryLevelAsString($B59)="L0D_324785","",IF(H59="",CONCATENATE(";",EscStr(CONCATENATE("NavNode_",getCategoryLevelAsString($B59))),";",EscStr($J59),";"),CONCATENATE(";",EscStr(CONCATENATE("NavNode_",getCategoryLevelAsString($B59))),";",EscStr(H59),";")))</f>
        <v>;"NavNode_L3D_616574";"Condensateurs polymère";</v>
      </c>
      <c r="AB59" s="39" t="str">
        <f>IF(getCategoryLevelAsString($B59)="L0D_324785","",IF(I59="",CONCATENATE(";",EscStr(CONCATENATE("NavNode_",getCategoryLevelAsString($B59))),";",EscStr($J59),";"),CONCATENATE(";",EscStr(CONCATENATE("NavNode_",getCategoryLevelAsString($B59))),";",EscStr(I59),";")))</f>
        <v>;"NavNode_L3D_616574";"Condensatore polimerici";</v>
      </c>
      <c r="AC59" s="39" t="str">
        <f>IF(getCategoryLevelAsString($B59)="L0D_324785","",IF(J59="",CONCATENATE(";",EscStr(CONCATENATE("NavNode_",getCategoryLevelAsString($B59))),";",EscStr($J59),";"),CONCATENATE(";",EscStr(CONCATENATE("NavNode_",getCategoryLevelAsString($B59))),";",EscStr(J59),";")))</f>
        <v>;"NavNode_L3D_616574";"Polymer Capacitors";</v>
      </c>
      <c r="AD59" s="39" t="str">
        <f>IF(getCategoryLevelAsString($B59)="L0D_324785","",IF(K59="",CONCATENATE(";",EscStr(CONCATENATE("NavNode_",getCategoryLevelAsString($B59))),";",EscStr($J59),";"),CONCATENATE(";",EscStr(CONCATENATE("NavNode_",getCategoryLevelAsString($B59))),";",EscStr(K59),";")))</f>
        <v>;"NavNode_L3D_616574";"Polymerkondensatorer";</v>
      </c>
      <c r="AE59" s="39" t="str">
        <f>IF(getCategoryLevelAsString($B59)="L0D_324785","",IF(L59="",CONCATENATE(";",EscStr(CONCATENATE("NavNode_",getCategoryLevelAsString($B59))),";",EscStr($J59),";"),CONCATENATE(";",EscStr(CONCATENATE("NavNode_",getCategoryLevelAsString($B59))),";",EscStr(L59),";")))</f>
        <v>;"NavNode_L3D_616574";"Polimeriniai kondensatoriai";</v>
      </c>
      <c r="AF59" s="39" t="str">
        <f>IF(getCategoryLevelAsString($B59)="L0D_324785","",IF(M59="",CONCATENATE(";",EscStr(CONCATENATE("NavNode_",getCategoryLevelAsString($B59))),";",EscStr($J59),";"),CONCATENATE(";",EscStr(CONCATENATE("NavNode_",getCategoryLevelAsString($B59))),";",EscStr(M59),";")))</f>
        <v>;"NavNode_L3D_616574";"Polymerkondensatorer";</v>
      </c>
      <c r="AG59" s="39" t="str">
        <f>IF(getCategoryLevelAsString($B59)="L0D_324785","",IF(N59="",CONCATENATE(";",EscStr(CONCATENATE("NavNode_",getCategoryLevelAsString($B59))),";",EscStr($J59),";"),CONCATENATE(";",EscStr(CONCATENATE("NavNode_",getCategoryLevelAsString($B59))),";",EscStr(N59),";")))</f>
        <v>;"NavNode_L3D_616574";"Polymerkondensatorer";</v>
      </c>
      <c r="AH59" s="39" t="str">
        <f>IF(getCategoryLevelAsString($B59)="L0D_324785","",IF(O59="",CONCATENATE(";",EscStr(CONCATENATE("NavNode_",getCategoryLevelAsString($B59))),";",EscStr($J59),";"),CONCATENATE(";",EscStr(CONCATENATE("NavNode_",getCategoryLevelAsString($B59))),";",EscStr(O59),";")))</f>
        <v>;"NavNode_L3D_616574";"Polymer Capacitors";</v>
      </c>
      <c r="AI59" s="39" t="str">
        <f>IF(getCategoryLevelAsString($B59)="L0D_324785","",IF(P59="",CONCATENATE(";",EscStr(CONCATENATE("NavNode_",getCategoryLevelAsString($B59))),";",EscStr($J59),";"),CONCATENATE(";",EscStr(CONCATENATE("NavNode_",getCategoryLevelAsString($B59))),";",EscStr(P59),";")))</f>
        <v>;"NavNode_L3D_616574";"Polymeerikondensaattorit";</v>
      </c>
      <c r="AJ59" s="39" t="str">
        <f>IF(getCategoryLevelAsString($B59)="L0D_324785","",IF(Q59="",CONCATENATE(";",EscStr(CONCATENATE("NavNode_",getCategoryLevelAsString($B59))),";",EscStr($J59),";"),CONCATENATE(";",EscStr(CONCATENATE("NavNode_",getCategoryLevelAsString($B59))),";",EscStr(Q59),";")))</f>
        <v>;"NavNode_L3D_616574";"Polymer Capacitors";</v>
      </c>
      <c r="AK59" s="39" t="str">
        <f>IF(getCategoryLevelAsString($B59)="L0D_324785","",IF(R59="",CONCATENATE(";",EscStr(CONCATENATE("NavNode_",getCategoryLevelAsString($B59))),";",EscStr($J59),";"),CONCATENATE(";",EscStr(CONCATENATE("NavNode_",getCategoryLevelAsString($B59))),";",EscStr(R59),";")))</f>
        <v>;"NavNode_L3D_616574";"Polymeer elco";</v>
      </c>
      <c r="AL59" s="39" t="str">
        <f>IF(getCategoryLevelAsString($B59)="L0D_324785","",IF(S59="",CONCATENATE(";",EscStr(CONCATENATE("NavNode_",getCategoryLevelAsString($B59))),";",EscStr($J59),";"),CONCATENATE(";",EscStr(CONCATENATE("NavNode_",getCategoryLevelAsString($B59))),";",EscStr(S59),";")))</f>
        <v>;"NavNode_L3D_616574";"Kondensatory polimerowe";</v>
      </c>
      <c r="AM59" s="39" t="str">
        <f>IF(getCategoryLevelAsString($B59)="L0D_324785","",IF(T59="",CONCATENATE(";",EscStr(CONCATENATE("NavNode_",getCategoryLevelAsString($B59))),";",EscStr($J59),";"),CONCATENATE(";",EscStr(CONCATENATE("NavNode_",getCategoryLevelAsString($B59))),";",EscStr(T59),";")))</f>
        <v>;"NavNode_L3D_616574";"Полимерные электрол.конденсаторы";</v>
      </c>
      <c r="AN59" s="39" t="str">
        <f>IF(getCategoryLevelAsString($B59)="L0D_324785","",IF(U59="",CONCATENATE(";",EscStr(CONCATENATE("NavNode_",getCategoryLevelAsString($B59))),";",EscStr($J59),";"),CONCATENATE(";",EscStr(CONCATENATE("NavNode_",getCategoryLevelAsString($B59))),";",EscStr(U59),";")))</f>
        <v>;"NavNode_L3D_616574";"Polymerové kondenzátory";</v>
      </c>
      <c r="AO59" s="39" t="str">
        <f>IF(getCategoryLevelAsString($B59)="L0D_324785","",IF(V59="",CONCATENATE(";",EscStr(CONCATENATE("NavNode_",getCategoryLevelAsString($B59))),";",EscStr($J59),";"),CONCATENATE(";",EscStr(CONCATENATE("NavNode_",getCategoryLevelAsString($B59))),";",EscStr(V59),";")))</f>
        <v>;"NavNode_L3D_616574";"Condensatori polimerici";</v>
      </c>
      <c r="AP59" s="39" t="str">
        <f>IF(getCategoryLevelAsString($B59)="L0D_324785","",IF(W59="",CONCATENATE(";",EscStr(CONCATENATE("NavNode_",getCategoryLevelAsString($B59))),";",EscStr($J59),";"),CONCATENATE(";",EscStr(CONCATENATE("NavNode_",getCategoryLevelAsString($B59))),";",EscStr(W59),";")))</f>
        <v>;"NavNode_L3D_616574";"Polimerkondenzátorok";</v>
      </c>
      <c r="AQ59" s="39" t="str">
        <f>IF(getCategoryLevelAsString($B59)="L0D_324785","",IF(X59="",CONCATENATE(";",EscStr(CONCATENATE("NavNode_",getCategoryLevelAsString($B59))),";",EscStr($J59),";"),CONCATENATE(";",EscStr(CONCATENATE("NavNode_",getCategoryLevelAsString($B59))),";",EscStr(X59),";")))</f>
        <v>;"NavNode_L3D_616574";"Polymérové ​​kondenzátory";</v>
      </c>
      <c r="AR59" s="39" t="str">
        <f>IF(OR($A59&lt;&gt;"", $G59=""),"",CONCATENATE(";",EscStr(CONCATENATE("NavEntry_",getCategoryLevelAsString($B59))),";",EscStr(CONCATENATE($J59," Navigation Entry")),";",EscStr(CONCATENATE("cat-",getCategoryLevelAsString($B59))),";",EscStr(CONCATENATE("NavNode_",getCategoryLevelAsString($B59))),";"))</f>
        <v>;"NavEntry_L3D_616574";"Polymer Capacitors Navigation Entry";"cat-L3D_616574";"NavNode_L3D_616574";</v>
      </c>
    </row>
    <row r="60" spans="1:44" s="34" customFormat="1" ht="15" x14ac:dyDescent="0.25">
      <c r="A60" s="25"/>
      <c r="B60" s="5"/>
      <c r="C60" s="5"/>
      <c r="D60" s="5" t="s">
        <v>6057</v>
      </c>
      <c r="E60" s="5"/>
      <c r="F60" s="5"/>
      <c r="G60" s="5" t="s">
        <v>6059</v>
      </c>
      <c r="H60" s="5" t="s">
        <v>13604</v>
      </c>
      <c r="I60" s="5" t="s">
        <v>13692</v>
      </c>
      <c r="J60" s="5" t="s">
        <v>6058</v>
      </c>
      <c r="K60" s="5" t="s">
        <v>13786</v>
      </c>
      <c r="L60" s="5" t="s">
        <v>15100</v>
      </c>
      <c r="M60" s="5" t="s">
        <v>13881</v>
      </c>
      <c r="N60" s="5" t="s">
        <v>13786</v>
      </c>
      <c r="O60" s="5" t="s">
        <v>6058</v>
      </c>
      <c r="P60" s="5" t="s">
        <v>14140</v>
      </c>
      <c r="Q60" s="5" t="s">
        <v>6058</v>
      </c>
      <c r="R60" s="5" t="s">
        <v>14304</v>
      </c>
      <c r="S60" s="5" t="s">
        <v>14399</v>
      </c>
      <c r="T60" s="5" t="s">
        <v>14489</v>
      </c>
      <c r="U60" s="5" t="s">
        <v>14577</v>
      </c>
      <c r="V60" s="5" t="s">
        <v>14666</v>
      </c>
      <c r="W60" s="5" t="s">
        <v>14751</v>
      </c>
      <c r="X60" s="5" t="s">
        <v>14577</v>
      </c>
      <c r="Y60" s="39" t="str">
        <f>IF(OR($A60&lt;&gt;"", $G60=""),"",CONCATENATE(";",EscStr(CONCATENATE("NavNode_",getCategoryLevelAsString($B60))),";",EscStr($J60),";",IF($B60&lt;&gt;"","""MainCategoryNavNode""",EscStr(CONCATENATE("NavNode_",getSuperCategory($B60, getCategoryLevelAsNumber($B60))))),";"))</f>
        <v>;"NavNode_L3D_616575";"Tantalum Capacitors";"NavNode_L2-3D_528720";</v>
      </c>
      <c r="Z60" s="39" t="str">
        <f>IF(getCategoryLevelAsString($B60)="L0D_324785","",IF(G60="",CONCATENATE(";",EscStr(CONCATENATE("NavNode_",getCategoryLevelAsString($B60))),";",EscStr($J60),";"),CONCATENATE(";",EscStr(CONCATENATE("NavNode_",getCategoryLevelAsString($B60))),";",EscStr(G60),";")))</f>
        <v>;"NavNode_L3D_616575";"Tantalkondensatoren";</v>
      </c>
      <c r="AA60" s="39" t="str">
        <f>IF(getCategoryLevelAsString($B60)="L0D_324785","",IF(H60="",CONCATENATE(";",EscStr(CONCATENATE("NavNode_",getCategoryLevelAsString($B60))),";",EscStr($J60),";"),CONCATENATE(";",EscStr(CONCATENATE("NavNode_",getCategoryLevelAsString($B60))),";",EscStr(H60),";")))</f>
        <v>;"NavNode_L3D_616575";"Condensateurs tantale";</v>
      </c>
      <c r="AB60" s="39" t="str">
        <f>IF(getCategoryLevelAsString($B60)="L0D_324785","",IF(I60="",CONCATENATE(";",EscStr(CONCATENATE("NavNode_",getCategoryLevelAsString($B60))),";",EscStr($J60),";"),CONCATENATE(";",EscStr(CONCATENATE("NavNode_",getCategoryLevelAsString($B60))),";",EscStr(I60),";")))</f>
        <v>;"NavNode_L3D_616575";"Condensatore al tantalio";</v>
      </c>
      <c r="AC60" s="39" t="str">
        <f>IF(getCategoryLevelAsString($B60)="L0D_324785","",IF(J60="",CONCATENATE(";",EscStr(CONCATENATE("NavNode_",getCategoryLevelAsString($B60))),";",EscStr($J60),";"),CONCATENATE(";",EscStr(CONCATENATE("NavNode_",getCategoryLevelAsString($B60))),";",EscStr(J60),";")))</f>
        <v>;"NavNode_L3D_616575";"Tantalum Capacitors";</v>
      </c>
      <c r="AD60" s="39" t="str">
        <f>IF(getCategoryLevelAsString($B60)="L0D_324785","",IF(K60="",CONCATENATE(";",EscStr(CONCATENATE("NavNode_",getCategoryLevelAsString($B60))),";",EscStr($J60),";"),CONCATENATE(";",EscStr(CONCATENATE("NavNode_",getCategoryLevelAsString($B60))),";",EscStr(K60),";")))</f>
        <v>;"NavNode_L3D_616575";"Tantalkondensatorer";</v>
      </c>
      <c r="AE60" s="39" t="str">
        <f>IF(getCategoryLevelAsString($B60)="L0D_324785","",IF(L60="",CONCATENATE(";",EscStr(CONCATENATE("NavNode_",getCategoryLevelAsString($B60))),";",EscStr($J60),";"),CONCATENATE(";",EscStr(CONCATENATE("NavNode_",getCategoryLevelAsString($B60))),";",EscStr(L60),";")))</f>
        <v>;"NavNode_L3D_616575";"Tantalo kondensatoriai";</v>
      </c>
      <c r="AF60" s="39" t="str">
        <f>IF(getCategoryLevelAsString($B60)="L0D_324785","",IF(M60="",CONCATENATE(";",EscStr(CONCATENATE("NavNode_",getCategoryLevelAsString($B60))),";",EscStr($J60),";"),CONCATENATE(";",EscStr(CONCATENATE("NavNode_",getCategoryLevelAsString($B60))),";",EscStr(M60),";")))</f>
        <v>;"NavNode_L3D_616575";"Tantalumkondensatorer";</v>
      </c>
      <c r="AG60" s="39" t="str">
        <f>IF(getCategoryLevelAsString($B60)="L0D_324785","",IF(N60="",CONCATENATE(";",EscStr(CONCATENATE("NavNode_",getCategoryLevelAsString($B60))),";",EscStr($J60),";"),CONCATENATE(";",EscStr(CONCATENATE("NavNode_",getCategoryLevelAsString($B60))),";",EscStr(N60),";")))</f>
        <v>;"NavNode_L3D_616575";"Tantalkondensatorer";</v>
      </c>
      <c r="AH60" s="39" t="str">
        <f>IF(getCategoryLevelAsString($B60)="L0D_324785","",IF(O60="",CONCATENATE(";",EscStr(CONCATENATE("NavNode_",getCategoryLevelAsString($B60))),";",EscStr($J60),";"),CONCATENATE(";",EscStr(CONCATENATE("NavNode_",getCategoryLevelAsString($B60))),";",EscStr(O60),";")))</f>
        <v>;"NavNode_L3D_616575";"Tantalum Capacitors";</v>
      </c>
      <c r="AI60" s="39" t="str">
        <f>IF(getCategoryLevelAsString($B60)="L0D_324785","",IF(P60="",CONCATENATE(";",EscStr(CONCATENATE("NavNode_",getCategoryLevelAsString($B60))),";",EscStr($J60),";"),CONCATENATE(";",EscStr(CONCATENATE("NavNode_",getCategoryLevelAsString($B60))),";",EscStr(P60),";")))</f>
        <v>;"NavNode_L3D_616575";"Tantaalikondensaattorit";</v>
      </c>
      <c r="AJ60" s="39" t="str">
        <f>IF(getCategoryLevelAsString($B60)="L0D_324785","",IF(Q60="",CONCATENATE(";",EscStr(CONCATENATE("NavNode_",getCategoryLevelAsString($B60))),";",EscStr($J60),";"),CONCATENATE(";",EscStr(CONCATENATE("NavNode_",getCategoryLevelAsString($B60))),";",EscStr(Q60),";")))</f>
        <v>;"NavNode_L3D_616575";"Tantalum Capacitors";</v>
      </c>
      <c r="AK60" s="39" t="str">
        <f>IF(getCategoryLevelAsString($B60)="L0D_324785","",IF(R60="",CONCATENATE(";",EscStr(CONCATENATE("NavNode_",getCategoryLevelAsString($B60))),";",EscStr($J60),";"),CONCATENATE(";",EscStr(CONCATENATE("NavNode_",getCategoryLevelAsString($B60))),";",EscStr(R60),";")))</f>
        <v>;"NavNode_L3D_616575";"Tantaal elcos";</v>
      </c>
      <c r="AL60" s="39" t="str">
        <f>IF(getCategoryLevelAsString($B60)="L0D_324785","",IF(S60="",CONCATENATE(";",EscStr(CONCATENATE("NavNode_",getCategoryLevelAsString($B60))),";",EscStr($J60),";"),CONCATENATE(";",EscStr(CONCATENATE("NavNode_",getCategoryLevelAsString($B60))),";",EscStr(S60),";")))</f>
        <v>;"NavNode_L3D_616575";"Kondensatory tantalowe";</v>
      </c>
      <c r="AM60" s="39" t="str">
        <f>IF(getCategoryLevelAsString($B60)="L0D_324785","",IF(T60="",CONCATENATE(";",EscStr(CONCATENATE("NavNode_",getCategoryLevelAsString($B60))),";",EscStr($J60),";"),CONCATENATE(";",EscStr(CONCATENATE("NavNode_",getCategoryLevelAsString($B60))),";",EscStr(T60),";")))</f>
        <v>;"NavNode_L3D_616575";"Танталовые электролитич. конденсаторы";</v>
      </c>
      <c r="AN60" s="39" t="str">
        <f>IF(getCategoryLevelAsString($B60)="L0D_324785","",IF(U60="",CONCATENATE(";",EscStr(CONCATENATE("NavNode_",getCategoryLevelAsString($B60))),";",EscStr($J60),";"),CONCATENATE(";",EscStr(CONCATENATE("NavNode_",getCategoryLevelAsString($B60))),";",EscStr(U60),";")))</f>
        <v>;"NavNode_L3D_616575";"Tantalové kondenzátory";</v>
      </c>
      <c r="AO60" s="39" t="str">
        <f>IF(getCategoryLevelAsString($B60)="L0D_324785","",IF(V60="",CONCATENATE(";",EscStr(CONCATENATE("NavNode_",getCategoryLevelAsString($B60))),";",EscStr($J60),";"),CONCATENATE(";",EscStr(CONCATENATE("NavNode_",getCategoryLevelAsString($B60))),";",EscStr(V60),";")))</f>
        <v>;"NavNode_L3D_616575";"Condensatori cu tantal";</v>
      </c>
      <c r="AP60" s="39" t="str">
        <f>IF(getCategoryLevelAsString($B60)="L0D_324785","",IF(W60="",CONCATENATE(";",EscStr(CONCATENATE("NavNode_",getCategoryLevelAsString($B60))),";",EscStr($J60),";"),CONCATENATE(";",EscStr(CONCATENATE("NavNode_",getCategoryLevelAsString($B60))),";",EscStr(W60),";")))</f>
        <v>;"NavNode_L3D_616575";"Tantálkondenzátorok";</v>
      </c>
      <c r="AQ60" s="39" t="str">
        <f>IF(getCategoryLevelAsString($B60)="L0D_324785","",IF(X60="",CONCATENATE(";",EscStr(CONCATENATE("NavNode_",getCategoryLevelAsString($B60))),";",EscStr($J60),";"),CONCATENATE(";",EscStr(CONCATENATE("NavNode_",getCategoryLevelAsString($B60))),";",EscStr(X60),";")))</f>
        <v>;"NavNode_L3D_616575";"Tantalové kondenzátory";</v>
      </c>
      <c r="AR60" s="39" t="str">
        <f>IF(OR($A60&lt;&gt;"", $G60=""),"",CONCATENATE(";",EscStr(CONCATENATE("NavEntry_",getCategoryLevelAsString($B60))),";",EscStr(CONCATENATE($J60," Navigation Entry")),";",EscStr(CONCATENATE("cat-",getCategoryLevelAsString($B60))),";",EscStr(CONCATENATE("NavNode_",getCategoryLevelAsString($B60))),";"))</f>
        <v>;"NavEntry_L3D_616575";"Tantalum Capacitors Navigation Entry";"cat-L3D_616575";"NavNode_L3D_616575";</v>
      </c>
    </row>
    <row r="61" spans="1:44" s="34" customFormat="1" ht="15" x14ac:dyDescent="0.25">
      <c r="A61" s="25"/>
      <c r="B61" s="5"/>
      <c r="C61" s="5"/>
      <c r="D61" s="5" t="s">
        <v>6076</v>
      </c>
      <c r="E61" s="5"/>
      <c r="F61" s="5"/>
      <c r="G61" s="5" t="s">
        <v>6078</v>
      </c>
      <c r="H61" s="5" t="s">
        <v>13605</v>
      </c>
      <c r="I61" s="5" t="s">
        <v>13693</v>
      </c>
      <c r="J61" s="41" t="s">
        <v>6216</v>
      </c>
      <c r="K61" s="5" t="s">
        <v>13787</v>
      </c>
      <c r="L61" s="5" t="s">
        <v>15101</v>
      </c>
      <c r="M61" s="5" t="s">
        <v>13787</v>
      </c>
      <c r="N61" s="5" t="s">
        <v>13935</v>
      </c>
      <c r="O61" s="5" t="s">
        <v>14048</v>
      </c>
      <c r="P61" s="5" t="s">
        <v>14141</v>
      </c>
      <c r="Q61" s="5" t="s">
        <v>14226</v>
      </c>
      <c r="R61" s="5" t="s">
        <v>14305</v>
      </c>
      <c r="S61" s="5" t="s">
        <v>14400</v>
      </c>
      <c r="T61" s="5" t="s">
        <v>14490</v>
      </c>
      <c r="U61" s="5" t="s">
        <v>14578</v>
      </c>
      <c r="V61" s="5" t="s">
        <v>13693</v>
      </c>
      <c r="W61" s="5" t="s">
        <v>14752</v>
      </c>
      <c r="X61" s="5" t="s">
        <v>14578</v>
      </c>
      <c r="Y61" s="39" t="str">
        <f>IF(OR($A61&lt;&gt;"", $G61=""),"",CONCATENATE(";",EscStr(CONCATENATE("NavNode_",getCategoryLevelAsString($B61))),";",EscStr($J61),";",IF($B61&lt;&gt;"","""MainCategoryNavNode""",EscStr(CONCATENATE("NavNode_",getSuperCategory($B61, getCategoryLevelAsNumber($B61))))),";"))</f>
        <v>;"NavNode_L3D_525327";"Ceramic Capacitors";"NavNode_L2-3D_528720";</v>
      </c>
      <c r="Z61" s="39" t="str">
        <f>IF(getCategoryLevelAsString($B61)="L0D_324785","",IF(G61="",CONCATENATE(";",EscStr(CONCATENATE("NavNode_",getCategoryLevelAsString($B61))),";",EscStr($J61),";"),CONCATENATE(";",EscStr(CONCATENATE("NavNode_",getCategoryLevelAsString($B61))),";",EscStr(G61),";")))</f>
        <v>;"NavNode_L3D_525327";"Keramikkondensatoren";</v>
      </c>
      <c r="AA61" s="39" t="str">
        <f>IF(getCategoryLevelAsString($B61)="L0D_324785","",IF(H61="",CONCATENATE(";",EscStr(CONCATENATE("NavNode_",getCategoryLevelAsString($B61))),";",EscStr($J61),";"),CONCATENATE(";",EscStr(CONCATENATE("NavNode_",getCategoryLevelAsString($B61))),";",EscStr(H61),";")))</f>
        <v>;"NavNode_L3D_525327";"Condensateurs céramiques";</v>
      </c>
      <c r="AB61" s="39" t="str">
        <f>IF(getCategoryLevelAsString($B61)="L0D_324785","",IF(I61="",CONCATENATE(";",EscStr(CONCATENATE("NavNode_",getCategoryLevelAsString($B61))),";",EscStr($J61),";"),CONCATENATE(";",EscStr(CONCATENATE("NavNode_",getCategoryLevelAsString($B61))),";",EscStr(I61),";")))</f>
        <v>;"NavNode_L3D_525327";"Condensatori ceramici";</v>
      </c>
      <c r="AC61" s="39" t="str">
        <f>IF(getCategoryLevelAsString($B61)="L0D_324785","",IF(J61="",CONCATENATE(";",EscStr(CONCATENATE("NavNode_",getCategoryLevelAsString($B61))),";",EscStr($J61),";"),CONCATENATE(";",EscStr(CONCATENATE("NavNode_",getCategoryLevelAsString($B61))),";",EscStr(J61),";")))</f>
        <v>;"NavNode_L3D_525327";"Ceramic Capacitors";</v>
      </c>
      <c r="AD61" s="39" t="str">
        <f>IF(getCategoryLevelAsString($B61)="L0D_324785","",IF(K61="",CONCATENATE(";",EscStr(CONCATENATE("NavNode_",getCategoryLevelAsString($B61))),";",EscStr($J61),";"),CONCATENATE(";",EscStr(CONCATENATE("NavNode_",getCategoryLevelAsString($B61))),";",EscStr(K61),";")))</f>
        <v>;"NavNode_L3D_525327";"Keramiske kondensatorer";</v>
      </c>
      <c r="AE61" s="39" t="str">
        <f>IF(getCategoryLevelAsString($B61)="L0D_324785","",IF(L61="",CONCATENATE(";",EscStr(CONCATENATE("NavNode_",getCategoryLevelAsString($B61))),";",EscStr($J61),";"),CONCATENATE(";",EscStr(CONCATENATE("NavNode_",getCategoryLevelAsString($B61))),";",EscStr(L61),";")))</f>
        <v>;"NavNode_L3D_525327";"Keraminiai kondensatoriai";</v>
      </c>
      <c r="AF61" s="39" t="str">
        <f>IF(getCategoryLevelAsString($B61)="L0D_324785","",IF(M61="",CONCATENATE(";",EscStr(CONCATENATE("NavNode_",getCategoryLevelAsString($B61))),";",EscStr($J61),";"),CONCATENATE(";",EscStr(CONCATENATE("NavNode_",getCategoryLevelAsString($B61))),";",EscStr(M61),";")))</f>
        <v>;"NavNode_L3D_525327";"Keramiske kondensatorer";</v>
      </c>
      <c r="AG61" s="39" t="str">
        <f>IF(getCategoryLevelAsString($B61)="L0D_324785","",IF(N61="",CONCATENATE(";",EscStr(CONCATENATE("NavNode_",getCategoryLevelAsString($B61))),";",EscStr($J61),";"),CONCATENATE(";",EscStr(CONCATENATE("NavNode_",getCategoryLevelAsString($B61))),";",EscStr(N61),";")))</f>
        <v>;"NavNode_L3D_525327";"Keramiska kondensatorer";</v>
      </c>
      <c r="AH61" s="39" t="str">
        <f>IF(getCategoryLevelAsString($B61)="L0D_324785","",IF(O61="",CONCATENATE(";",EscStr(CONCATENATE("NavNode_",getCategoryLevelAsString($B61))),";",EscStr($J61),";"),CONCATENATE(";",EscStr(CONCATENATE("NavNode_",getCategoryLevelAsString($B61))),";",EscStr(O61),";")))</f>
        <v>;"NavNode_L3D_525327";"Keraamilised kondensaatorid";</v>
      </c>
      <c r="AI61" s="39" t="str">
        <f>IF(getCategoryLevelAsString($B61)="L0D_324785","",IF(P61="",CONCATENATE(";",EscStr(CONCATENATE("NavNode_",getCategoryLevelAsString($B61))),";",EscStr($J61),";"),CONCATENATE(";",EscStr(CONCATENATE("NavNode_",getCategoryLevelAsString($B61))),";",EscStr(P61),";")))</f>
        <v>;"NavNode_L3D_525327";"Keraamiset kondensaattorit";</v>
      </c>
      <c r="AJ61" s="39" t="str">
        <f>IF(getCategoryLevelAsString($B61)="L0D_324785","",IF(Q61="",CONCATENATE(";",EscStr(CONCATENATE("NavNode_",getCategoryLevelAsString($B61))),";",EscStr($J61),";"),CONCATENATE(";",EscStr(CONCATENATE("NavNode_",getCategoryLevelAsString($B61))),";",EscStr(Q61),";")))</f>
        <v>;"NavNode_L3D_525327";"Keramiskie kondensatori";</v>
      </c>
      <c r="AK61" s="39" t="str">
        <f>IF(getCategoryLevelAsString($B61)="L0D_324785","",IF(R61="",CONCATENATE(";",EscStr(CONCATENATE("NavNode_",getCategoryLevelAsString($B61))),";",EscStr($J61),";"),CONCATENATE(";",EscStr(CONCATENATE("NavNode_",getCategoryLevelAsString($B61))),";",EscStr(R61),";")))</f>
        <v>;"NavNode_L3D_525327";"Keramische condensatoren";</v>
      </c>
      <c r="AL61" s="39" t="str">
        <f>IF(getCategoryLevelAsString($B61)="L0D_324785","",IF(S61="",CONCATENATE(";",EscStr(CONCATENATE("NavNode_",getCategoryLevelAsString($B61))),";",EscStr($J61),";"),CONCATENATE(";",EscStr(CONCATENATE("NavNode_",getCategoryLevelAsString($B61))),";",EscStr(S61),";")))</f>
        <v>;"NavNode_L3D_525327";"Kondensatory ceramiczne";</v>
      </c>
      <c r="AM61" s="39" t="str">
        <f>IF(getCategoryLevelAsString($B61)="L0D_324785","",IF(T61="",CONCATENATE(";",EscStr(CONCATENATE("NavNode_",getCategoryLevelAsString($B61))),";",EscStr($J61),";"),CONCATENATE(";",EscStr(CONCATENATE("NavNode_",getCategoryLevelAsString($B61))),";",EscStr(T61),";")))</f>
        <v>;"NavNode_L3D_525327";"Керамические конденсаторы";</v>
      </c>
      <c r="AN61" s="39" t="str">
        <f>IF(getCategoryLevelAsString($B61)="L0D_324785","",IF(U61="",CONCATENATE(";",EscStr(CONCATENATE("NavNode_",getCategoryLevelAsString($B61))),";",EscStr($J61),";"),CONCATENATE(";",EscStr(CONCATENATE("NavNode_",getCategoryLevelAsString($B61))),";",EscStr(U61),";")))</f>
        <v>;"NavNode_L3D_525327";"Keramické kondenzátory";</v>
      </c>
      <c r="AO61" s="39" t="str">
        <f>IF(getCategoryLevelAsString($B61)="L0D_324785","",IF(V61="",CONCATENATE(";",EscStr(CONCATENATE("NavNode_",getCategoryLevelAsString($B61))),";",EscStr($J61),";"),CONCATENATE(";",EscStr(CONCATENATE("NavNode_",getCategoryLevelAsString($B61))),";",EscStr(V61),";")))</f>
        <v>;"NavNode_L3D_525327";"Condensatori ceramici";</v>
      </c>
      <c r="AP61" s="39" t="str">
        <f>IF(getCategoryLevelAsString($B61)="L0D_324785","",IF(W61="",CONCATENATE(";",EscStr(CONCATENATE("NavNode_",getCategoryLevelAsString($B61))),";",EscStr($J61),";"),CONCATENATE(";",EscStr(CONCATENATE("NavNode_",getCategoryLevelAsString($B61))),";",EscStr(W61),";")))</f>
        <v>;"NavNode_L3D_525327";"Kerámiakondenzátorok";</v>
      </c>
      <c r="AQ61" s="39" t="str">
        <f>IF(getCategoryLevelAsString($B61)="L0D_324785","",IF(X61="",CONCATENATE(";",EscStr(CONCATENATE("NavNode_",getCategoryLevelAsString($B61))),";",EscStr($J61),";"),CONCATENATE(";",EscStr(CONCATENATE("NavNode_",getCategoryLevelAsString($B61))),";",EscStr(X61),";")))</f>
        <v>;"NavNode_L3D_525327";"Keramické kondenzátory";</v>
      </c>
      <c r="AR61" s="39" t="str">
        <f>IF(OR($A61&lt;&gt;"", $G61=""),"",CONCATENATE(";",EscStr(CONCATENATE("NavEntry_",getCategoryLevelAsString($B61))),";",EscStr(CONCATENATE($J61," Navigation Entry")),";",EscStr(CONCATENATE("cat-",getCategoryLevelAsString($B61))),";",EscStr(CONCATENATE("NavNode_",getCategoryLevelAsString($B61))),";"))</f>
        <v>;"NavEntry_L3D_525327";"Ceramic Capacitors Navigation Entry";"cat-L3D_525327";"NavNode_L3D_525327";</v>
      </c>
    </row>
    <row r="62" spans="1:44" s="34" customFormat="1" ht="15" x14ac:dyDescent="0.25">
      <c r="A62" s="25"/>
      <c r="B62" s="5"/>
      <c r="C62" s="5"/>
      <c r="D62" s="5" t="s">
        <v>6105</v>
      </c>
      <c r="E62" s="5"/>
      <c r="F62" s="5"/>
      <c r="G62" s="5" t="s">
        <v>6107</v>
      </c>
      <c r="H62" s="5" t="s">
        <v>13606</v>
      </c>
      <c r="I62" s="5" t="s">
        <v>13694</v>
      </c>
      <c r="J62" s="5" t="s">
        <v>6106</v>
      </c>
      <c r="K62" s="5" t="s">
        <v>13788</v>
      </c>
      <c r="L62" s="5" t="s">
        <v>15102</v>
      </c>
      <c r="M62" s="5" t="s">
        <v>13788</v>
      </c>
      <c r="N62" s="5" t="s">
        <v>13788</v>
      </c>
      <c r="O62" s="5" t="s">
        <v>14049</v>
      </c>
      <c r="P62" s="5" t="s">
        <v>14142</v>
      </c>
      <c r="Q62" s="5" t="s">
        <v>14227</v>
      </c>
      <c r="R62" s="5" t="s">
        <v>14306</v>
      </c>
      <c r="S62" s="5" t="s">
        <v>14401</v>
      </c>
      <c r="T62" s="5" t="s">
        <v>14491</v>
      </c>
      <c r="U62" s="5" t="s">
        <v>14579</v>
      </c>
      <c r="V62" s="5" t="s">
        <v>14667</v>
      </c>
      <c r="W62" s="5" t="s">
        <v>14753</v>
      </c>
      <c r="X62" s="5" t="s">
        <v>14579</v>
      </c>
      <c r="Y62" s="39" t="str">
        <f>IF(OR($A62&lt;&gt;"", $G62=""),"",CONCATENATE(";",EscStr(CONCATENATE("NavNode_",getCategoryLevelAsString($B62))),";",EscStr($J62),";",IF($B62&lt;&gt;"","""MainCategoryNavNode""",EscStr(CONCATENATE("NavNode_",getSuperCategory($B62, getCategoryLevelAsNumber($B62))))),";"))</f>
        <v>;"NavNode_L3D_525328";"Foil Capacitors";"NavNode_L2-3D_528720";</v>
      </c>
      <c r="Z62" s="39" t="str">
        <f>IF(getCategoryLevelAsString($B62)="L0D_324785","",IF(G62="",CONCATENATE(";",EscStr(CONCATENATE("NavNode_",getCategoryLevelAsString($B62))),";",EscStr($J62),";"),CONCATENATE(";",EscStr(CONCATENATE("NavNode_",getCategoryLevelAsString($B62))),";",EscStr(G62),";")))</f>
        <v>;"NavNode_L3D_525328";"Folienkondensatoren";</v>
      </c>
      <c r="AA62" s="39" t="str">
        <f>IF(getCategoryLevelAsString($B62)="L0D_324785","",IF(H62="",CONCATENATE(";",EscStr(CONCATENATE("NavNode_",getCategoryLevelAsString($B62))),";",EscStr($J62),";"),CONCATENATE(";",EscStr(CONCATENATE("NavNode_",getCategoryLevelAsString($B62))),";",EscStr(H62),";")))</f>
        <v>;"NavNode_L3D_525328";"Condensateurs à film";</v>
      </c>
      <c r="AB62" s="39" t="str">
        <f>IF(getCategoryLevelAsString($B62)="L0D_324785","",IF(I62="",CONCATENATE(";",EscStr(CONCATENATE("NavNode_",getCategoryLevelAsString($B62))),";",EscStr($J62),";"),CONCATENATE(";",EscStr(CONCATENATE("NavNode_",getCategoryLevelAsString($B62))),";",EscStr(I62),";")))</f>
        <v>;"NavNode_L3D_525328";"Condensatori a film";</v>
      </c>
      <c r="AC62" s="39" t="str">
        <f>IF(getCategoryLevelAsString($B62)="L0D_324785","",IF(J62="",CONCATENATE(";",EscStr(CONCATENATE("NavNode_",getCategoryLevelAsString($B62))),";",EscStr($J62),";"),CONCATENATE(";",EscStr(CONCATENATE("NavNode_",getCategoryLevelAsString($B62))),";",EscStr(J62),";")))</f>
        <v>;"NavNode_L3D_525328";"Foil Capacitors";</v>
      </c>
      <c r="AD62" s="39" t="str">
        <f>IF(getCategoryLevelAsString($B62)="L0D_324785","",IF(K62="",CONCATENATE(";",EscStr(CONCATENATE("NavNode_",getCategoryLevelAsString($B62))),";",EscStr($J62),";"),CONCATENATE(";",EscStr(CONCATENATE("NavNode_",getCategoryLevelAsString($B62))),";",EscStr(K62),";")))</f>
        <v>;"NavNode_L3D_525328";"Foliekondensatorer";</v>
      </c>
      <c r="AE62" s="39" t="str">
        <f>IF(getCategoryLevelAsString($B62)="L0D_324785","",IF(L62="",CONCATENATE(";",EscStr(CONCATENATE("NavNode_",getCategoryLevelAsString($B62))),";",EscStr($J62),";"),CONCATENATE(";",EscStr(CONCATENATE("NavNode_",getCategoryLevelAsString($B62))),";",EscStr(L62),";")))</f>
        <v>;"NavNode_L3D_525328";"Plėveliniai kondensatoriai";</v>
      </c>
      <c r="AF62" s="39" t="str">
        <f>IF(getCategoryLevelAsString($B62)="L0D_324785","",IF(M62="",CONCATENATE(";",EscStr(CONCATENATE("NavNode_",getCategoryLevelAsString($B62))),";",EscStr($J62),";"),CONCATENATE(";",EscStr(CONCATENATE("NavNode_",getCategoryLevelAsString($B62))),";",EscStr(M62),";")))</f>
        <v>;"NavNode_L3D_525328";"Foliekondensatorer";</v>
      </c>
      <c r="AG62" s="39" t="str">
        <f>IF(getCategoryLevelAsString($B62)="L0D_324785","",IF(N62="",CONCATENATE(";",EscStr(CONCATENATE("NavNode_",getCategoryLevelAsString($B62))),";",EscStr($J62),";"),CONCATENATE(";",EscStr(CONCATENATE("NavNode_",getCategoryLevelAsString($B62))),";",EscStr(N62),";")))</f>
        <v>;"NavNode_L3D_525328";"Foliekondensatorer";</v>
      </c>
      <c r="AH62" s="39" t="str">
        <f>IF(getCategoryLevelAsString($B62)="L0D_324785","",IF(O62="",CONCATENATE(";",EscStr(CONCATENATE("NavNode_",getCategoryLevelAsString($B62))),";",EscStr($J62),";"),CONCATENATE(";",EscStr(CONCATENATE("NavNode_",getCategoryLevelAsString($B62))),";",EscStr(O62),";")))</f>
        <v>;"NavNode_L3D_525328";"Kihtkondensaatorid";</v>
      </c>
      <c r="AI62" s="39" t="str">
        <f>IF(getCategoryLevelAsString($B62)="L0D_324785","",IF(P62="",CONCATENATE(";",EscStr(CONCATENATE("NavNode_",getCategoryLevelAsString($B62))),";",EscStr($J62),";"),CONCATENATE(";",EscStr(CONCATENATE("NavNode_",getCategoryLevelAsString($B62))),";",EscStr(P62),";")))</f>
        <v>;"NavNode_L3D_525328";"Kalvokondensaattorit";</v>
      </c>
      <c r="AJ62" s="39" t="str">
        <f>IF(getCategoryLevelAsString($B62)="L0D_324785","",IF(Q62="",CONCATENATE(";",EscStr(CONCATENATE("NavNode_",getCategoryLevelAsString($B62))),";",EscStr($J62),";"),CONCATENATE(";",EscStr(CONCATENATE("NavNode_",getCategoryLevelAsString($B62))),";",EscStr(Q62),";")))</f>
        <v>;"NavNode_L3D_525328";"Plēves kondensatori";</v>
      </c>
      <c r="AK62" s="39" t="str">
        <f>IF(getCategoryLevelAsString($B62)="L0D_324785","",IF(R62="",CONCATENATE(";",EscStr(CONCATENATE("NavNode_",getCategoryLevelAsString($B62))),";",EscStr($J62),";"),CONCATENATE(";",EscStr(CONCATENATE("NavNode_",getCategoryLevelAsString($B62))),";",EscStr(R62),";")))</f>
        <v>;"NavNode_L3D_525328";"Folie condensatoren";</v>
      </c>
      <c r="AL62" s="39" t="str">
        <f>IF(getCategoryLevelAsString($B62)="L0D_324785","",IF(S62="",CONCATENATE(";",EscStr(CONCATENATE("NavNode_",getCategoryLevelAsString($B62))),";",EscStr($J62),";"),CONCATENATE(";",EscStr(CONCATENATE("NavNode_",getCategoryLevelAsString($B62))),";",EscStr(S62),";")))</f>
        <v>;"NavNode_L3D_525328";"Kondensatory foliowe";</v>
      </c>
      <c r="AM62" s="39" t="str">
        <f>IF(getCategoryLevelAsString($B62)="L0D_324785","",IF(T62="",CONCATENATE(";",EscStr(CONCATENATE("NavNode_",getCategoryLevelAsString($B62))),";",EscStr($J62),";"),CONCATENATE(";",EscStr(CONCATENATE("NavNode_",getCategoryLevelAsString($B62))),";",EscStr(T62),";")))</f>
        <v>;"NavNode_L3D_525328";"Слюдяные конденсаторы";</v>
      </c>
      <c r="AN62" s="39" t="str">
        <f>IF(getCategoryLevelAsString($B62)="L0D_324785","",IF(U62="",CONCATENATE(";",EscStr(CONCATENATE("NavNode_",getCategoryLevelAsString($B62))),";",EscStr($J62),";"),CONCATENATE(";",EscStr(CONCATENATE("NavNode_",getCategoryLevelAsString($B62))),";",EscStr(U62),";")))</f>
        <v>;"NavNode_L3D_525328";"Fóliové kondenzátory";</v>
      </c>
      <c r="AO62" s="39" t="str">
        <f>IF(getCategoryLevelAsString($B62)="L0D_324785","",IF(V62="",CONCATENATE(";",EscStr(CONCATENATE("NavNode_",getCategoryLevelAsString($B62))),";",EscStr($J62),";"),CONCATENATE(";",EscStr(CONCATENATE("NavNode_",getCategoryLevelAsString($B62))),";",EscStr(V62),";")))</f>
        <v>;"NavNode_L3D_525328";"Condensatori cu polipropilenă";</v>
      </c>
      <c r="AP62" s="39" t="str">
        <f>IF(getCategoryLevelAsString($B62)="L0D_324785","",IF(W62="",CONCATENATE(";",EscStr(CONCATENATE("NavNode_",getCategoryLevelAsString($B62))),";",EscStr($J62),";"),CONCATENATE(";",EscStr(CONCATENATE("NavNode_",getCategoryLevelAsString($B62))),";",EscStr(W62),";")))</f>
        <v>;"NavNode_L3D_525328";"Fóliakondenzátorok";</v>
      </c>
      <c r="AQ62" s="39" t="str">
        <f>IF(getCategoryLevelAsString($B62)="L0D_324785","",IF(X62="",CONCATENATE(";",EscStr(CONCATENATE("NavNode_",getCategoryLevelAsString($B62))),";",EscStr($J62),";"),CONCATENATE(";",EscStr(CONCATENATE("NavNode_",getCategoryLevelAsString($B62))),";",EscStr(X62),";")))</f>
        <v>;"NavNode_L3D_525328";"Fóliové kondenzátory";</v>
      </c>
      <c r="AR62" s="39" t="str">
        <f>IF(OR($A62&lt;&gt;"", $G62=""),"",CONCATENATE(";",EscStr(CONCATENATE("NavEntry_",getCategoryLevelAsString($B62))),";",EscStr(CONCATENATE($J62," Navigation Entry")),";",EscStr(CONCATENATE("cat-",getCategoryLevelAsString($B62))),";",EscStr(CONCATENATE("NavNode_",getCategoryLevelAsString($B62))),";"))</f>
        <v>;"NavEntry_L3D_525328";"Foil Capacitors Navigation Entry";"cat-L3D_525328";"NavNode_L3D_525328";</v>
      </c>
    </row>
    <row r="63" spans="1:44" s="34" customFormat="1" ht="15" x14ac:dyDescent="0.25">
      <c r="A63" s="25"/>
      <c r="B63" s="5"/>
      <c r="C63" s="5"/>
      <c r="D63" s="5" t="s">
        <v>6138</v>
      </c>
      <c r="E63" s="5"/>
      <c r="F63" s="5"/>
      <c r="G63" s="5" t="s">
        <v>6140</v>
      </c>
      <c r="H63" s="5" t="s">
        <v>13607</v>
      </c>
      <c r="I63" s="5" t="s">
        <v>13695</v>
      </c>
      <c r="J63" s="5" t="s">
        <v>6139</v>
      </c>
      <c r="K63" s="5" t="s">
        <v>13789</v>
      </c>
      <c r="L63" s="5" t="s">
        <v>15103</v>
      </c>
      <c r="M63" s="5" t="s">
        <v>13789</v>
      </c>
      <c r="N63" s="5" t="s">
        <v>13789</v>
      </c>
      <c r="O63" s="5" t="s">
        <v>14050</v>
      </c>
      <c r="P63" s="5" t="s">
        <v>14143</v>
      </c>
      <c r="Q63" s="5" t="s">
        <v>14228</v>
      </c>
      <c r="R63" s="5" t="s">
        <v>14307</v>
      </c>
      <c r="S63" s="5" t="s">
        <v>14402</v>
      </c>
      <c r="T63" s="5" t="s">
        <v>14492</v>
      </c>
      <c r="U63" s="5" t="s">
        <v>14580</v>
      </c>
      <c r="V63" s="5" t="s">
        <v>14668</v>
      </c>
      <c r="W63" s="5" t="s">
        <v>14754</v>
      </c>
      <c r="X63" s="5" t="s">
        <v>14580</v>
      </c>
      <c r="Y63" s="39" t="str">
        <f>IF(OR($A63&lt;&gt;"", $G63=""),"",CONCATENATE(";",EscStr(CONCATENATE("NavNode_",getCategoryLevelAsString($B63))),";",EscStr($J63),";",IF($B63&lt;&gt;"","""MainCategoryNavNode""",EscStr(CONCATENATE("NavNode_",getSuperCategory($B63, getCategoryLevelAsNumber($B63))))),";"))</f>
        <v>;"NavNode_L3D_525330";"Power Capacitors";"NavNode_L2-3D_528720";</v>
      </c>
      <c r="Z63" s="39" t="str">
        <f>IF(getCategoryLevelAsString($B63)="L0D_324785","",IF(G63="",CONCATENATE(";",EscStr(CONCATENATE("NavNode_",getCategoryLevelAsString($B63))),";",EscStr($J63),";"),CONCATENATE(";",EscStr(CONCATENATE("NavNode_",getCategoryLevelAsString($B63))),";",EscStr(G63),";")))</f>
        <v>;"NavNode_L3D_525330";"Leistungskondensatoren";</v>
      </c>
      <c r="AA63" s="39" t="str">
        <f>IF(getCategoryLevelAsString($B63)="L0D_324785","",IF(H63="",CONCATENATE(";",EscStr(CONCATENATE("NavNode_",getCategoryLevelAsString($B63))),";",EscStr($J63),";"),CONCATENATE(";",EscStr(CONCATENATE("NavNode_",getCategoryLevelAsString($B63))),";",EscStr(H63),";")))</f>
        <v>;"NavNode_L3D_525330";"Condensateurs de puissance";</v>
      </c>
      <c r="AB63" s="39" t="str">
        <f>IF(getCategoryLevelAsString($B63)="L0D_324785","",IF(I63="",CONCATENATE(";",EscStr(CONCATENATE("NavNode_",getCategoryLevelAsString($B63))),";",EscStr($J63),";"),CONCATENATE(";",EscStr(CONCATENATE("NavNode_",getCategoryLevelAsString($B63))),";",EscStr(I63),";")))</f>
        <v>;"NavNode_L3D_525330";"Condensatori di potenza";</v>
      </c>
      <c r="AC63" s="39" t="str">
        <f>IF(getCategoryLevelAsString($B63)="L0D_324785","",IF(J63="",CONCATENATE(";",EscStr(CONCATENATE("NavNode_",getCategoryLevelAsString($B63))),";",EscStr($J63),";"),CONCATENATE(";",EscStr(CONCATENATE("NavNode_",getCategoryLevelAsString($B63))),";",EscStr(J63),";")))</f>
        <v>;"NavNode_L3D_525330";"Power Capacitors";</v>
      </c>
      <c r="AD63" s="39" t="str">
        <f>IF(getCategoryLevelAsString($B63)="L0D_324785","",IF(K63="",CONCATENATE(";",EscStr(CONCATENATE("NavNode_",getCategoryLevelAsString($B63))),";",EscStr($J63),";"),CONCATENATE(";",EscStr(CONCATENATE("NavNode_",getCategoryLevelAsString($B63))),";",EscStr(K63),";")))</f>
        <v>;"NavNode_L3D_525330";"Effektkondensatorer";</v>
      </c>
      <c r="AE63" s="39" t="str">
        <f>IF(getCategoryLevelAsString($B63)="L0D_324785","",IF(L63="",CONCATENATE(";",EscStr(CONCATENATE("NavNode_",getCategoryLevelAsString($B63))),";",EscStr($J63),";"),CONCATENATE(";",EscStr(CONCATENATE("NavNode_",getCategoryLevelAsString($B63))),";",EscStr(L63),";")))</f>
        <v>;"NavNode_L3D_525330";"Maitinimo kondensatoriai";</v>
      </c>
      <c r="AF63" s="39" t="str">
        <f>IF(getCategoryLevelAsString($B63)="L0D_324785","",IF(M63="",CONCATENATE(";",EscStr(CONCATENATE("NavNode_",getCategoryLevelAsString($B63))),";",EscStr($J63),";"),CONCATENATE(";",EscStr(CONCATENATE("NavNode_",getCategoryLevelAsString($B63))),";",EscStr(M63),";")))</f>
        <v>;"NavNode_L3D_525330";"Effektkondensatorer";</v>
      </c>
      <c r="AG63" s="39" t="str">
        <f>IF(getCategoryLevelAsString($B63)="L0D_324785","",IF(N63="",CONCATENATE(";",EscStr(CONCATENATE("NavNode_",getCategoryLevelAsString($B63))),";",EscStr($J63),";"),CONCATENATE(";",EscStr(CONCATENATE("NavNode_",getCategoryLevelAsString($B63))),";",EscStr(N63),";")))</f>
        <v>;"NavNode_L3D_525330";"Effektkondensatorer";</v>
      </c>
      <c r="AH63" s="39" t="str">
        <f>IF(getCategoryLevelAsString($B63)="L0D_324785","",IF(O63="",CONCATENATE(";",EscStr(CONCATENATE("NavNode_",getCategoryLevelAsString($B63))),";",EscStr($J63),";"),CONCATENATE(";",EscStr(CONCATENATE("NavNode_",getCategoryLevelAsString($B63))),";",EscStr(O63),";")))</f>
        <v>;"NavNode_L3D_525330";"Jõukondensaatorid";</v>
      </c>
      <c r="AI63" s="39" t="str">
        <f>IF(getCategoryLevelAsString($B63)="L0D_324785","",IF(P63="",CONCATENATE(";",EscStr(CONCATENATE("NavNode_",getCategoryLevelAsString($B63))),";",EscStr($J63),";"),CONCATENATE(";",EscStr(CONCATENATE("NavNode_",getCategoryLevelAsString($B63))),";",EscStr(P63),";")))</f>
        <v>;"NavNode_L3D_525330";"Tehokondensaattorit";</v>
      </c>
      <c r="AJ63" s="39" t="str">
        <f>IF(getCategoryLevelAsString($B63)="L0D_324785","",IF(Q63="",CONCATENATE(";",EscStr(CONCATENATE("NavNode_",getCategoryLevelAsString($B63))),";",EscStr($J63),";"),CONCATENATE(";",EscStr(CONCATENATE("NavNode_",getCategoryLevelAsString($B63))),";",EscStr(Q63),";")))</f>
        <v>;"NavNode_L3D_525330";"Jaudas kondensatori";</v>
      </c>
      <c r="AK63" s="39" t="str">
        <f>IF(getCategoryLevelAsString($B63)="L0D_324785","",IF(R63="",CONCATENATE(";",EscStr(CONCATENATE("NavNode_",getCategoryLevelAsString($B63))),";",EscStr($J63),";"),CONCATENATE(";",EscStr(CONCATENATE("NavNode_",getCategoryLevelAsString($B63))),";",EscStr(R63),";")))</f>
        <v>;"NavNode_L3D_525330";"Vermogens condensatoren";</v>
      </c>
      <c r="AL63" s="39" t="str">
        <f>IF(getCategoryLevelAsString($B63)="L0D_324785","",IF(S63="",CONCATENATE(";",EscStr(CONCATENATE("NavNode_",getCategoryLevelAsString($B63))),";",EscStr($J63),";"),CONCATENATE(";",EscStr(CONCATENATE("NavNode_",getCategoryLevelAsString($B63))),";",EscStr(S63),";")))</f>
        <v>;"NavNode_L3D_525330";"Kondensatory mocy";</v>
      </c>
      <c r="AM63" s="39" t="str">
        <f>IF(getCategoryLevelAsString($B63)="L0D_324785","",IF(T63="",CONCATENATE(";",EscStr(CONCATENATE("NavNode_",getCategoryLevelAsString($B63))),";",EscStr($J63),";"),CONCATENATE(";",EscStr(CONCATENATE("NavNode_",getCategoryLevelAsString($B63))),";",EscStr(T63),";")))</f>
        <v>;"NavNode_L3D_525330";"Конденсаторы мощности";</v>
      </c>
      <c r="AN63" s="39" t="str">
        <f>IF(getCategoryLevelAsString($B63)="L0D_324785","",IF(U63="",CONCATENATE(";",EscStr(CONCATENATE("NavNode_",getCategoryLevelAsString($B63))),";",EscStr($J63),";"),CONCATENATE(";",EscStr(CONCATENATE("NavNode_",getCategoryLevelAsString($B63))),";",EscStr(U63),";")))</f>
        <v>;"NavNode_L3D_525330";"Výkonové kondenzátory";</v>
      </c>
      <c r="AO63" s="39" t="str">
        <f>IF(getCategoryLevelAsString($B63)="L0D_324785","",IF(V63="",CONCATENATE(";",EscStr(CONCATENATE("NavNode_",getCategoryLevelAsString($B63))),";",EscStr($J63),";"),CONCATENATE(";",EscStr(CONCATENATE("NavNode_",getCategoryLevelAsString($B63))),";",EscStr(V63),";")))</f>
        <v>;"NavNode_L3D_525330";"Condensatori de putere";</v>
      </c>
      <c r="AP63" s="39" t="str">
        <f>IF(getCategoryLevelAsString($B63)="L0D_324785","",IF(W63="",CONCATENATE(";",EscStr(CONCATENATE("NavNode_",getCategoryLevelAsString($B63))),";",EscStr($J63),";"),CONCATENATE(";",EscStr(CONCATENATE("NavNode_",getCategoryLevelAsString($B63))),";",EscStr(W63),";")))</f>
        <v>;"NavNode_L3D_525330";"Teljesítménykondenzátorok";</v>
      </c>
      <c r="AQ63" s="39" t="str">
        <f>IF(getCategoryLevelAsString($B63)="L0D_324785","",IF(X63="",CONCATENATE(";",EscStr(CONCATENATE("NavNode_",getCategoryLevelAsString($B63))),";",EscStr($J63),";"),CONCATENATE(";",EscStr(CONCATENATE("NavNode_",getCategoryLevelAsString($B63))),";",EscStr(X63),";")))</f>
        <v>;"NavNode_L3D_525330";"Výkonové kondenzátory";</v>
      </c>
      <c r="AR63" s="39" t="str">
        <f>IF(OR($A63&lt;&gt;"", $G63=""),"",CONCATENATE(";",EscStr(CONCATENATE("NavEntry_",getCategoryLevelAsString($B63))),";",EscStr(CONCATENATE($J63," Navigation Entry")),";",EscStr(CONCATENATE("cat-",getCategoryLevelAsString($B63))),";",EscStr(CONCATENATE("NavNode_",getCategoryLevelAsString($B63))),";"))</f>
        <v>;"NavEntry_L3D_525330";"Power Capacitors Navigation Entry";"cat-L3D_525330";"NavNode_L3D_525330";</v>
      </c>
    </row>
    <row r="64" spans="1:44" s="34" customFormat="1" ht="15" x14ac:dyDescent="0.25">
      <c r="A64" s="25"/>
      <c r="B64" s="5"/>
      <c r="C64" s="5"/>
      <c r="D64" s="5" t="s">
        <v>6166</v>
      </c>
      <c r="E64" s="5"/>
      <c r="F64" s="5"/>
      <c r="G64" s="5" t="s">
        <v>6168</v>
      </c>
      <c r="H64" s="5" t="s">
        <v>13608</v>
      </c>
      <c r="I64" s="5" t="s">
        <v>13696</v>
      </c>
      <c r="J64" s="5" t="s">
        <v>6167</v>
      </c>
      <c r="K64" s="5" t="s">
        <v>13790</v>
      </c>
      <c r="L64" s="5" t="s">
        <v>15104</v>
      </c>
      <c r="M64" s="5" t="s">
        <v>13882</v>
      </c>
      <c r="N64" s="5" t="s">
        <v>13936</v>
      </c>
      <c r="O64" s="5" t="s">
        <v>14051</v>
      </c>
      <c r="P64" s="5" t="s">
        <v>14144</v>
      </c>
      <c r="Q64" s="5" t="s">
        <v>14229</v>
      </c>
      <c r="R64" s="5" t="s">
        <v>14308</v>
      </c>
      <c r="S64" s="5" t="s">
        <v>14403</v>
      </c>
      <c r="T64" s="5" t="s">
        <v>14493</v>
      </c>
      <c r="U64" s="5" t="s">
        <v>14581</v>
      </c>
      <c r="V64" s="5" t="s">
        <v>14669</v>
      </c>
      <c r="W64" s="5" t="s">
        <v>2500</v>
      </c>
      <c r="X64" s="5" t="s">
        <v>14829</v>
      </c>
      <c r="Y64" s="39" t="str">
        <f>IF(OR($A64&lt;&gt;"", $G64=""),"",CONCATENATE(";",EscStr(CONCATENATE("NavNode_",getCategoryLevelAsString($B64))),";",EscStr($J64),";",IF($B64&lt;&gt;"","""MainCategoryNavNode""",EscStr(CONCATENATE("NavNode_",getSuperCategory($B64, getCategoryLevelAsNumber($B64))))),";"))</f>
        <v>;"NavNode_L3D_525332";"Interference Suppression Capacitors";"NavNode_L2-3D_528720";</v>
      </c>
      <c r="Z64" s="39" t="str">
        <f>IF(getCategoryLevelAsString($B64)="L0D_324785","",IF(G64="",CONCATENATE(";",EscStr(CONCATENATE("NavNode_",getCategoryLevelAsString($B64))),";",EscStr($J64),";"),CONCATENATE(";",EscStr(CONCATENATE("NavNode_",getCategoryLevelAsString($B64))),";",EscStr(G64),";")))</f>
        <v>;"NavNode_L3D_525332";"Entstörkondensatoren";</v>
      </c>
      <c r="AA64" s="39" t="str">
        <f>IF(getCategoryLevelAsString($B64)="L0D_324785","",IF(H64="",CONCATENATE(";",EscStr(CONCATENATE("NavNode_",getCategoryLevelAsString($B64))),";",EscStr($J64),";"),CONCATENATE(";",EscStr(CONCATENATE("NavNode_",getCategoryLevelAsString($B64))),";",EscStr(H64),";")))</f>
        <v>;"NavNode_L3D_525332";"Condensateurs de déparasitage";</v>
      </c>
      <c r="AB64" s="39" t="str">
        <f>IF(getCategoryLevelAsString($B64)="L0D_324785","",IF(I64="",CONCATENATE(";",EscStr(CONCATENATE("NavNode_",getCategoryLevelAsString($B64))),";",EscStr($J64),";"),CONCATENATE(";",EscStr(CONCATENATE("NavNode_",getCategoryLevelAsString($B64))),";",EscStr(I64),";")))</f>
        <v>;"NavNode_L3D_525332";"Condensatori antiradiodisturbo";</v>
      </c>
      <c r="AC64" s="39" t="str">
        <f>IF(getCategoryLevelAsString($B64)="L0D_324785","",IF(J64="",CONCATENATE(";",EscStr(CONCATENATE("NavNode_",getCategoryLevelAsString($B64))),";",EscStr($J64),";"),CONCATENATE(";",EscStr(CONCATENATE("NavNode_",getCategoryLevelAsString($B64))),";",EscStr(J64),";")))</f>
        <v>;"NavNode_L3D_525332";"Interference Suppression Capacitors";</v>
      </c>
      <c r="AD64" s="39" t="str">
        <f>IF(getCategoryLevelAsString($B64)="L0D_324785","",IF(K64="",CONCATENATE(";",EscStr(CONCATENATE("NavNode_",getCategoryLevelAsString($B64))),";",EscStr($J64),";"),CONCATENATE(";",EscStr(CONCATENATE("NavNode_",getCategoryLevelAsString($B64))),";",EscStr(K64),";")))</f>
        <v>;"NavNode_L3D_525332";"Støjdæmpningskondensatorer";</v>
      </c>
      <c r="AE64" s="39" t="str">
        <f>IF(getCategoryLevelAsString($B64)="L0D_324785","",IF(L64="",CONCATENATE(";",EscStr(CONCATENATE("NavNode_",getCategoryLevelAsString($B64))),";",EscStr($J64),";"),CONCATENATE(";",EscStr(CONCATENATE("NavNode_",getCategoryLevelAsString($B64))),";",EscStr(L64),";")))</f>
        <v>;"NavNode_L3D_525332";"Trukdžių slopinimo kondensatoriai";</v>
      </c>
      <c r="AF64" s="39" t="str">
        <f>IF(getCategoryLevelAsString($B64)="L0D_324785","",IF(M64="",CONCATENATE(";",EscStr(CONCATENATE("NavNode_",getCategoryLevelAsString($B64))),";",EscStr($J64),";"),CONCATENATE(";",EscStr(CONCATENATE("NavNode_",getCategoryLevelAsString($B64))),";",EscStr(M64),";")))</f>
        <v>;"NavNode_L3D_525332";"Støydempingskondensatorer";</v>
      </c>
      <c r="AG64" s="39" t="str">
        <f>IF(getCategoryLevelAsString($B64)="L0D_324785","",IF(N64="",CONCATENATE(";",EscStr(CONCATENATE("NavNode_",getCategoryLevelAsString($B64))),";",EscStr($J64),";"),CONCATENATE(";",EscStr(CONCATENATE("NavNode_",getCategoryLevelAsString($B64))),";",EscStr(N64),";")))</f>
        <v>;"NavNode_L3D_525332";"Avstörningskondensatorer";</v>
      </c>
      <c r="AH64" s="39" t="str">
        <f>IF(getCategoryLevelAsString($B64)="L0D_324785","",IF(O64="",CONCATENATE(";",EscStr(CONCATENATE("NavNode_",getCategoryLevelAsString($B64))),";",EscStr($J64),";"),CONCATENATE(";",EscStr(CONCATENATE("NavNode_",getCategoryLevelAsString($B64))),";",EscStr(O64),";")))</f>
        <v>;"NavNode_L3D_525332";"Häired mahasuruvad kondensaatorid";</v>
      </c>
      <c r="AI64" s="39" t="str">
        <f>IF(getCategoryLevelAsString($B64)="L0D_324785","",IF(P64="",CONCATENATE(";",EscStr(CONCATENATE("NavNode_",getCategoryLevelAsString($B64))),";",EscStr($J64),";"),CONCATENATE(";",EscStr(CONCATENATE("NavNode_",getCategoryLevelAsString($B64))),";",EscStr(P64),";")))</f>
        <v>;"NavNode_L3D_525332";"Häiriöpoistokondensaattorit";</v>
      </c>
      <c r="AJ64" s="39" t="str">
        <f>IF(getCategoryLevelAsString($B64)="L0D_324785","",IF(Q64="",CONCATENATE(";",EscStr(CONCATENATE("NavNode_",getCategoryLevelAsString($B64))),";",EscStr($J64),";"),CONCATENATE(";",EscStr(CONCATENATE("NavNode_",getCategoryLevelAsString($B64))),";",EscStr(Q64),";")))</f>
        <v>;"NavNode_L3D_525332";"Traucējumu slāpēšanas kondensatori";</v>
      </c>
      <c r="AK64" s="39" t="str">
        <f>IF(getCategoryLevelAsString($B64)="L0D_324785","",IF(R64="",CONCATENATE(";",EscStr(CONCATENATE("NavNode_",getCategoryLevelAsString($B64))),";",EscStr($J64),";"),CONCATENATE(";",EscStr(CONCATENATE("NavNode_",getCategoryLevelAsString($B64))),";",EscStr(R64),";")))</f>
        <v>;"NavNode_L3D_525332";"Ontstoorcondensatoren";</v>
      </c>
      <c r="AL64" s="39" t="str">
        <f>IF(getCategoryLevelAsString($B64)="L0D_324785","",IF(S64="",CONCATENATE(";",EscStr(CONCATENATE("NavNode_",getCategoryLevelAsString($B64))),";",EscStr($J64),";"),CONCATENATE(";",EscStr(CONCATENATE("NavNode_",getCategoryLevelAsString($B64))),";",EscStr(S64),";")))</f>
        <v>;"NavNode_L3D_525332";"Kondensatory przeciwzakłóceniowe";</v>
      </c>
      <c r="AM64" s="39" t="str">
        <f>IF(getCategoryLevelAsString($B64)="L0D_324785","",IF(T64="",CONCATENATE(";",EscStr(CONCATENATE("NavNode_",getCategoryLevelAsString($B64))),";",EscStr($J64),";"),CONCATENATE(";",EscStr(CONCATENATE("NavNode_",getCategoryLevelAsString($B64))),";",EscStr(T64),";")))</f>
        <v>;"NavNode_L3D_525332";"Конденсаторы подавления помех";</v>
      </c>
      <c r="AN64" s="39" t="str">
        <f>IF(getCategoryLevelAsString($B64)="L0D_324785","",IF(U64="",CONCATENATE(";",EscStr(CONCATENATE("NavNode_",getCategoryLevelAsString($B64))),";",EscStr($J64),";"),CONCATENATE(";",EscStr(CONCATENATE("NavNode_",getCategoryLevelAsString($B64))),";",EscStr(U64),";")))</f>
        <v>;"NavNode_L3D_525332";"Odrušovací kondenzátory";</v>
      </c>
      <c r="AO64" s="39" t="str">
        <f>IF(getCategoryLevelAsString($B64)="L0D_324785","",IF(V64="",CONCATENATE(";",EscStr(CONCATENATE("NavNode_",getCategoryLevelAsString($B64))),";",EscStr($J64),";"),CONCATENATE(";",EscStr(CONCATENATE("NavNode_",getCategoryLevelAsString($B64))),";",EscStr(V64),";")))</f>
        <v>;"NavNode_L3D_525332";"Condensatori de filtrare";</v>
      </c>
      <c r="AP64" s="39" t="str">
        <f>IF(getCategoryLevelAsString($B64)="L0D_324785","",IF(W64="",CONCATENATE(";",EscStr(CONCATENATE("NavNode_",getCategoryLevelAsString($B64))),";",EscStr($J64),";"),CONCATENATE(";",EscStr(CONCATENATE("NavNode_",getCategoryLevelAsString($B64))),";",EscStr(W64),";")))</f>
        <v>;"NavNode_L3D_525332";"Kondenzátorok";</v>
      </c>
      <c r="AQ64" s="39" t="str">
        <f>IF(getCategoryLevelAsString($B64)="L0D_324785","",IF(X64="",CONCATENATE(";",EscStr(CONCATENATE("NavNode_",getCategoryLevelAsString($B64))),";",EscStr($J64),";"),CONCATENATE(";",EscStr(CONCATENATE("NavNode_",getCategoryLevelAsString($B64))),";",EscStr(X64),";")))</f>
        <v>;"NavNode_L3D_525332";"Odrušovacie kondenzátory";</v>
      </c>
      <c r="AR64" s="39" t="str">
        <f>IF(OR($A64&lt;&gt;"", $G64=""),"",CONCATENATE(";",EscStr(CONCATENATE("NavEntry_",getCategoryLevelAsString($B64))),";",EscStr(CONCATENATE($J64," Navigation Entry")),";",EscStr(CONCATENATE("cat-",getCategoryLevelAsString($B64))),";",EscStr(CONCATENATE("NavNode_",getCategoryLevelAsString($B64))),";"))</f>
        <v>;"NavEntry_L3D_525332";"Interference Suppression Capacitors Navigation Entry";"cat-L3D_525332";"NavNode_L3D_525332";</v>
      </c>
    </row>
    <row r="65" spans="1:44" s="34" customFormat="1" ht="15" x14ac:dyDescent="0.25">
      <c r="A65" s="25"/>
      <c r="B65" s="5"/>
      <c r="C65" s="5"/>
      <c r="D65" s="5" t="s">
        <v>6199</v>
      </c>
      <c r="E65" s="5"/>
      <c r="F65" s="5"/>
      <c r="G65" s="5" t="s">
        <v>6201</v>
      </c>
      <c r="H65" s="5" t="s">
        <v>13609</v>
      </c>
      <c r="I65" s="5" t="s">
        <v>13697</v>
      </c>
      <c r="J65" s="5" t="s">
        <v>6200</v>
      </c>
      <c r="K65" s="5" t="s">
        <v>13791</v>
      </c>
      <c r="L65" s="5" t="s">
        <v>15105</v>
      </c>
      <c r="M65" s="5" t="s">
        <v>13791</v>
      </c>
      <c r="N65" s="5" t="s">
        <v>13791</v>
      </c>
      <c r="O65" s="5" t="s">
        <v>14052</v>
      </c>
      <c r="P65" s="5" t="s">
        <v>14145</v>
      </c>
      <c r="Q65" s="5" t="s">
        <v>14230</v>
      </c>
      <c r="R65" s="5" t="s">
        <v>14309</v>
      </c>
      <c r="S65" s="5" t="s">
        <v>14404</v>
      </c>
      <c r="T65" s="5" t="s">
        <v>14494</v>
      </c>
      <c r="U65" s="5" t="s">
        <v>14582</v>
      </c>
      <c r="V65" s="5" t="s">
        <v>14670</v>
      </c>
      <c r="W65" s="5" t="s">
        <v>14755</v>
      </c>
      <c r="X65" s="5" t="s">
        <v>14582</v>
      </c>
      <c r="Y65" s="39" t="str">
        <f>IF(OR($A65&lt;&gt;"", $G65=""),"",CONCATENATE(";",EscStr(CONCATENATE("NavNode_",getCategoryLevelAsString($B65))),";",EscStr($J65),";",IF($B65&lt;&gt;"","""MainCategoryNavNode""",EscStr(CONCATENATE("NavNode_",getSuperCategory($B65, getCategoryLevelAsNumber($B65))))),";"))</f>
        <v>;"NavNode_L3D_525326";"Assortments, Decades, Capacitors";"NavNode_L2-3D_528720";</v>
      </c>
      <c r="Z65" s="39" t="str">
        <f>IF(getCategoryLevelAsString($B65)="L0D_324785","",IF(G65="",CONCATENATE(";",EscStr(CONCATENATE("NavNode_",getCategoryLevelAsString($B65))),";",EscStr($J65),";"),CONCATENATE(";",EscStr(CONCATENATE("NavNode_",getCategoryLevelAsString($B65))),";",EscStr(G65),";")))</f>
        <v>;"NavNode_L3D_525326";"Sortiment, Dekaden, Kondensatoren";</v>
      </c>
      <c r="AA65" s="39" t="str">
        <f>IF(getCategoryLevelAsString($B65)="L0D_324785","",IF(H65="",CONCATENATE(";",EscStr(CONCATENATE("NavNode_",getCategoryLevelAsString($B65))),";",EscStr($J65),";"),CONCATENATE(";",EscStr(CONCATENATE("NavNode_",getCategoryLevelAsString($B65))),";",EscStr(H65),";")))</f>
        <v>;"NavNode_L3D_525326";"Assortiments, décades, condensateurs";</v>
      </c>
      <c r="AB65" s="39" t="str">
        <f>IF(getCategoryLevelAsString($B65)="L0D_324785","",IF(I65="",CONCATENATE(";",EscStr(CONCATENATE("NavNode_",getCategoryLevelAsString($B65))),";",EscStr($J65),";"),CONCATENATE(";",EscStr(CONCATENATE("NavNode_",getCategoryLevelAsString($B65))),";",EscStr(I65),";")))</f>
        <v>;"NavNode_L3D_525326";"Assortimenti, decadi, condensatori";</v>
      </c>
      <c r="AC65" s="39" t="str">
        <f>IF(getCategoryLevelAsString($B65)="L0D_324785","",IF(J65="",CONCATENATE(";",EscStr(CONCATENATE("NavNode_",getCategoryLevelAsString($B65))),";",EscStr($J65),";"),CONCATENATE(";",EscStr(CONCATENATE("NavNode_",getCategoryLevelAsString($B65))),";",EscStr(J65),";")))</f>
        <v>;"NavNode_L3D_525326";"Assortments, Decades, Capacitors";</v>
      </c>
      <c r="AD65" s="39" t="str">
        <f>IF(getCategoryLevelAsString($B65)="L0D_324785","",IF(K65="",CONCATENATE(";",EscStr(CONCATENATE("NavNode_",getCategoryLevelAsString($B65))),";",EscStr($J65),";"),CONCATENATE(";",EscStr(CONCATENATE("NavNode_",getCategoryLevelAsString($B65))),";",EscStr(K65),";")))</f>
        <v>;"NavNode_L3D_525326";"Sortiment, dekader, kondensatorer";</v>
      </c>
      <c r="AE65" s="39" t="str">
        <f>IF(getCategoryLevelAsString($B65)="L0D_324785","",IF(L65="",CONCATENATE(";",EscStr(CONCATENATE("NavNode_",getCategoryLevelAsString($B65))),";",EscStr($J65),";"),CONCATENATE(";",EscStr(CONCATENATE("NavNode_",getCategoryLevelAsString($B65))),";",EscStr(L65),";")))</f>
        <v>;"NavNode_L3D_525326";"Rinkiniai, dekados, kondensatoriai";</v>
      </c>
      <c r="AF65" s="39" t="str">
        <f>IF(getCategoryLevelAsString($B65)="L0D_324785","",IF(M65="",CONCATENATE(";",EscStr(CONCATENATE("NavNode_",getCategoryLevelAsString($B65))),";",EscStr($J65),";"),CONCATENATE(";",EscStr(CONCATENATE("NavNode_",getCategoryLevelAsString($B65))),";",EscStr(M65),";")))</f>
        <v>;"NavNode_L3D_525326";"Sortiment, dekader, kondensatorer";</v>
      </c>
      <c r="AG65" s="39" t="str">
        <f>IF(getCategoryLevelAsString($B65)="L0D_324785","",IF(N65="",CONCATENATE(";",EscStr(CONCATENATE("NavNode_",getCategoryLevelAsString($B65))),";",EscStr($J65),";"),CONCATENATE(";",EscStr(CONCATENATE("NavNode_",getCategoryLevelAsString($B65))),";",EscStr(N65),";")))</f>
        <v>;"NavNode_L3D_525326";"Sortiment, dekader, kondensatorer";</v>
      </c>
      <c r="AH65" s="39" t="str">
        <f>IF(getCategoryLevelAsString($B65)="L0D_324785","",IF(O65="",CONCATENATE(";",EscStr(CONCATENATE("NavNode_",getCategoryLevelAsString($B65))),";",EscStr($J65),";"),CONCATENATE(";",EscStr(CONCATENATE("NavNode_",getCategoryLevelAsString($B65))),";",EscStr(O65),";")))</f>
        <v>;"NavNode_L3D_525326";"Kondensaatorite valikkomplektid, dekaadid";</v>
      </c>
      <c r="AI65" s="39" t="str">
        <f>IF(getCategoryLevelAsString($B65)="L0D_324785","",IF(P65="",CONCATENATE(";",EscStr(CONCATENATE("NavNode_",getCategoryLevelAsString($B65))),";",EscStr($J65),";"),CONCATENATE(";",EscStr(CONCATENATE("NavNode_",getCategoryLevelAsString($B65))),";",EscStr(P65),";")))</f>
        <v>;"NavNode_L3D_525326";"Valikoimat, Dekaadit";</v>
      </c>
      <c r="AJ65" s="39" t="str">
        <f>IF(getCategoryLevelAsString($B65)="L0D_324785","",IF(Q65="",CONCATENATE(";",EscStr(CONCATENATE("NavNode_",getCategoryLevelAsString($B65))),";",EscStr($J65),";"),CONCATENATE(";",EscStr(CONCATENATE("NavNode_",getCategoryLevelAsString($B65))),";",EscStr(Q65),";")))</f>
        <v>;"NavNode_L3D_525326";"Kondensatoru komplekti";</v>
      </c>
      <c r="AK65" s="39" t="str">
        <f>IF(getCategoryLevelAsString($B65)="L0D_324785","",IF(R65="",CONCATENATE(";",EscStr(CONCATENATE("NavNode_",getCategoryLevelAsString($B65))),";",EscStr($J65),";"),CONCATENATE(";",EscStr(CONCATENATE("NavNode_",getCategoryLevelAsString($B65))),";",EscStr(R65),";")))</f>
        <v>;"NavNode_L3D_525326";"Assortimenten, decadebanken, condensatoren";</v>
      </c>
      <c r="AL65" s="39" t="str">
        <f>IF(getCategoryLevelAsString($B65)="L0D_324785","",IF(S65="",CONCATENATE(";",EscStr(CONCATENATE("NavNode_",getCategoryLevelAsString($B65))),";",EscStr($J65),";"),CONCATENATE(";",EscStr(CONCATENATE("NavNode_",getCategoryLevelAsString($B65))),";",EscStr(S65),";")))</f>
        <v>;"NavNode_L3D_525326";"Zestawy, Dekady, Kondensatory";</v>
      </c>
      <c r="AM65" s="39" t="str">
        <f>IF(getCategoryLevelAsString($B65)="L0D_324785","",IF(T65="",CONCATENATE(";",EscStr(CONCATENATE("NavNode_",getCategoryLevelAsString($B65))),";",EscStr($J65),";"),CONCATENATE(";",EscStr(CONCATENATE("NavNode_",getCategoryLevelAsString($B65))),";",EscStr(T65),";")))</f>
        <v>;"NavNode_L3D_525326";"Изделия, декадные переключатели, конденсаторы";</v>
      </c>
      <c r="AN65" s="39" t="str">
        <f>IF(getCategoryLevelAsString($B65)="L0D_324785","",IF(U65="",CONCATENATE(";",EscStr(CONCATENATE("NavNode_",getCategoryLevelAsString($B65))),";",EscStr($J65),";"),CONCATENATE(";",EscStr(CONCATENATE("NavNode_",getCategoryLevelAsString($B65))),";",EscStr(U65),";")))</f>
        <v>;"NavNode_L3D_525326";"Sortiment, dekády,kondenzátory";</v>
      </c>
      <c r="AO65" s="39" t="str">
        <f>IF(getCategoryLevelAsString($B65)="L0D_324785","",IF(V65="",CONCATENATE(";",EscStr(CONCATENATE("NavNode_",getCategoryLevelAsString($B65))),";",EscStr($J65),";"),CONCATENATE(";",EscStr(CONCATENATE("NavNode_",getCategoryLevelAsString($B65))),";",EscStr(V65),";")))</f>
        <v>;"NavNode_L3D_525326";"Condensatori, sortimente, decade";</v>
      </c>
      <c r="AP65" s="39" t="str">
        <f>IF(getCategoryLevelAsString($B65)="L0D_324785","",IF(W65="",CONCATENATE(";",EscStr(CONCATENATE("NavNode_",getCategoryLevelAsString($B65))),";",EscStr($J65),";"),CONCATENATE(";",EscStr(CONCATENATE("NavNode_",getCategoryLevelAsString($B65))),";",EscStr(W65),";")))</f>
        <v>;"NavNode_L3D_525326";"Kondenzátor készletek";</v>
      </c>
      <c r="AQ65" s="39" t="str">
        <f>IF(getCategoryLevelAsString($B65)="L0D_324785","",IF(X65="",CONCATENATE(";",EscStr(CONCATENATE("NavNode_",getCategoryLevelAsString($B65))),";",EscStr($J65),";"),CONCATENATE(";",EscStr(CONCATENATE("NavNode_",getCategoryLevelAsString($B65))),";",EscStr(X65),";")))</f>
        <v>;"NavNode_L3D_525326";"Sortiment, dekády,kondenzátory";</v>
      </c>
      <c r="AR65" s="39" t="str">
        <f>IF(OR($A65&lt;&gt;"", $G65=""),"",CONCATENATE(";",EscStr(CONCATENATE("NavEntry_",getCategoryLevelAsString($B65))),";",EscStr(CONCATENATE($J65," Navigation Entry")),";",EscStr(CONCATENATE("cat-",getCategoryLevelAsString($B65))),";",EscStr(CONCATENATE("NavNode_",getCategoryLevelAsString($B65))),";"))</f>
        <v>;"NavEntry_L3D_525326";"Assortments, Decades, Capacitors Navigation Entry";"cat-L3D_525326";"NavNode_L3D_525326";</v>
      </c>
    </row>
    <row r="66" spans="1:44" s="34" customFormat="1" ht="15" x14ac:dyDescent="0.25">
      <c r="A66" s="25"/>
      <c r="B66" s="5"/>
      <c r="C66" s="5" t="s">
        <v>742</v>
      </c>
      <c r="D66" s="5"/>
      <c r="E66" s="5"/>
      <c r="F66" s="5"/>
      <c r="G66" s="5" t="s">
        <v>984</v>
      </c>
      <c r="H66" s="5" t="s">
        <v>1086</v>
      </c>
      <c r="I66" s="5" t="s">
        <v>1145</v>
      </c>
      <c r="J66" s="5" t="s">
        <v>842</v>
      </c>
      <c r="K66" s="5" t="s">
        <v>1212</v>
      </c>
      <c r="L66" s="5" t="s">
        <v>1446</v>
      </c>
      <c r="M66" s="5" t="s">
        <v>1680</v>
      </c>
      <c r="N66" s="5" t="s">
        <v>1883</v>
      </c>
      <c r="O66" s="5" t="s">
        <v>2501</v>
      </c>
      <c r="P66" s="5" t="s">
        <v>2502</v>
      </c>
      <c r="Q66" s="5" t="s">
        <v>2503</v>
      </c>
      <c r="R66" s="5" t="s">
        <v>2504</v>
      </c>
      <c r="S66" s="5" t="s">
        <v>2505</v>
      </c>
      <c r="T66" s="5" t="s">
        <v>2506</v>
      </c>
      <c r="U66" s="5" t="s">
        <v>2507</v>
      </c>
      <c r="V66" s="5" t="s">
        <v>2503</v>
      </c>
      <c r="W66" s="5" t="s">
        <v>2508</v>
      </c>
      <c r="X66" s="5" t="s">
        <v>2507</v>
      </c>
      <c r="Y66" s="39" t="str">
        <f>IF(OR($A66&lt;&gt;"", $G66=""),"",CONCATENATE(";",EscStr(CONCATENATE("NavNode_",getCategoryLevelAsString($B66))),";",EscStr($J66),";",IF($B66&lt;&gt;"","""MainCategoryNavNode""",EscStr(CONCATENATE("NavNode_",getSuperCategory($B66, getCategoryLevelAsNumber($B66))))),";"))</f>
        <v>;"NavNode_L2-3D_528721";"Resistors";"NavNode_Passive Components";</v>
      </c>
      <c r="Z66" s="39" t="str">
        <f>IF(getCategoryLevelAsString($B66)="L0D_324785","",IF(G66="",CONCATENATE(";",EscStr(CONCATENATE("NavNode_",getCategoryLevelAsString($B66))),";",EscStr($J66),";"),CONCATENATE(";",EscStr(CONCATENATE("NavNode_",getCategoryLevelAsString($B66))),";",EscStr(G66),";")))</f>
        <v>;"NavNode_L2-3D_528721";"Widerstände";</v>
      </c>
      <c r="AA66" s="39" t="str">
        <f>IF(getCategoryLevelAsString($B66)="L0D_324785","",IF(H66="",CONCATENATE(";",EscStr(CONCATENATE("NavNode_",getCategoryLevelAsString($B66))),";",EscStr($J66),";"),CONCATENATE(";",EscStr(CONCATENATE("NavNode_",getCategoryLevelAsString($B66))),";",EscStr(H66),";")))</f>
        <v>;"NavNode_L2-3D_528721";"Résistances";</v>
      </c>
      <c r="AB66" s="39" t="str">
        <f>IF(getCategoryLevelAsString($B66)="L0D_324785","",IF(I66="",CONCATENATE(";",EscStr(CONCATENATE("NavNode_",getCategoryLevelAsString($B66))),";",EscStr($J66),";"),CONCATENATE(";",EscStr(CONCATENATE("NavNode_",getCategoryLevelAsString($B66))),";",EscStr(I66),";")))</f>
        <v>;"NavNode_L2-3D_528721";"Resistenze";</v>
      </c>
      <c r="AC66" s="39" t="str">
        <f>IF(getCategoryLevelAsString($B66)="L0D_324785","",IF(J66="",CONCATENATE(";",EscStr(CONCATENATE("NavNode_",getCategoryLevelAsString($B66))),";",EscStr($J66),";"),CONCATENATE(";",EscStr(CONCATENATE("NavNode_",getCategoryLevelAsString($B66))),";",EscStr(J66),";")))</f>
        <v>;"NavNode_L2-3D_528721";"Resistors";</v>
      </c>
      <c r="AD66" s="39" t="str">
        <f>IF(getCategoryLevelAsString($B66)="L0D_324785","",IF(K66="",CONCATENATE(";",EscStr(CONCATENATE("NavNode_",getCategoryLevelAsString($B66))),";",EscStr($J66),";"),CONCATENATE(";",EscStr(CONCATENATE("NavNode_",getCategoryLevelAsString($B66))),";",EscStr(K66),";")))</f>
        <v>;"NavNode_L2-3D_528721";"Modstande";</v>
      </c>
      <c r="AE66" s="39" t="str">
        <f>IF(getCategoryLevelAsString($B66)="L0D_324785","",IF(L66="",CONCATENATE(";",EscStr(CONCATENATE("NavNode_",getCategoryLevelAsString($B66))),";",EscStr($J66),";"),CONCATENATE(";",EscStr(CONCATENATE("NavNode_",getCategoryLevelAsString($B66))),";",EscStr(L66),";")))</f>
        <v>;"NavNode_L2-3D_528721";"Rezistoriai";</v>
      </c>
      <c r="AF66" s="39" t="str">
        <f>IF(getCategoryLevelAsString($B66)="L0D_324785","",IF(M66="",CONCATENATE(";",EscStr(CONCATENATE("NavNode_",getCategoryLevelAsString($B66))),";",EscStr($J66),";"),CONCATENATE(";",EscStr(CONCATENATE("NavNode_",getCategoryLevelAsString($B66))),";",EscStr(M66),";")))</f>
        <v>;"NavNode_L2-3D_528721";"Resistorer";</v>
      </c>
      <c r="AG66" s="39" t="str">
        <f>IF(getCategoryLevelAsString($B66)="L0D_324785","",IF(N66="",CONCATENATE(";",EscStr(CONCATENATE("NavNode_",getCategoryLevelAsString($B66))),";",EscStr($J66),";"),CONCATENATE(";",EscStr(CONCATENATE("NavNode_",getCategoryLevelAsString($B66))),";",EscStr(N66),";")))</f>
        <v>;"NavNode_L2-3D_528721";"Motstånd";</v>
      </c>
      <c r="AH66" s="39" t="str">
        <f>IF(getCategoryLevelAsString($B66)="L0D_324785","",IF(O66="",CONCATENATE(";",EscStr(CONCATENATE("NavNode_",getCategoryLevelAsString($B66))),";",EscStr($J66),";"),CONCATENATE(";",EscStr(CONCATENATE("NavNode_",getCategoryLevelAsString($B66))),";",EscStr(O66),";")))</f>
        <v>;"NavNode_L2-3D_528721";"Takistid";</v>
      </c>
      <c r="AI66" s="39" t="str">
        <f>IF(getCategoryLevelAsString($B66)="L0D_324785","",IF(P66="",CONCATENATE(";",EscStr(CONCATENATE("NavNode_",getCategoryLevelAsString($B66))),";",EscStr($J66),";"),CONCATENATE(";",EscStr(CONCATENATE("NavNode_",getCategoryLevelAsString($B66))),";",EscStr(P66),";")))</f>
        <v>;"NavNode_L2-3D_528721";"Vastukset";</v>
      </c>
      <c r="AJ66" s="39" t="str">
        <f>IF(getCategoryLevelAsString($B66)="L0D_324785","",IF(Q66="",CONCATENATE(";",EscStr(CONCATENATE("NavNode_",getCategoryLevelAsString($B66))),";",EscStr($J66),";"),CONCATENATE(";",EscStr(CONCATENATE("NavNode_",getCategoryLevelAsString($B66))),";",EscStr(Q66),";")))</f>
        <v>;"NavNode_L2-3D_528721";"Rezistori";</v>
      </c>
      <c r="AK66" s="39" t="str">
        <f>IF(getCategoryLevelAsString($B66)="L0D_324785","",IF(R66="",CONCATENATE(";",EscStr(CONCATENATE("NavNode_",getCategoryLevelAsString($B66))),";",EscStr($J66),";"),CONCATENATE(";",EscStr(CONCATENATE("NavNode_",getCategoryLevelAsString($B66))),";",EscStr(R66),";")))</f>
        <v>;"NavNode_L2-3D_528721";"Weerstanden";</v>
      </c>
      <c r="AL66" s="39" t="str">
        <f>IF(getCategoryLevelAsString($B66)="L0D_324785","",IF(S66="",CONCATENATE(";",EscStr(CONCATENATE("NavNode_",getCategoryLevelAsString($B66))),";",EscStr($J66),";"),CONCATENATE(";",EscStr(CONCATENATE("NavNode_",getCategoryLevelAsString($B66))),";",EscStr(S66),";")))</f>
        <v>;"NavNode_L2-3D_528721";"Rezystory";</v>
      </c>
      <c r="AM66" s="39" t="str">
        <f>IF(getCategoryLevelAsString($B66)="L0D_324785","",IF(T66="",CONCATENATE(";",EscStr(CONCATENATE("NavNode_",getCategoryLevelAsString($B66))),";",EscStr($J66),";"),CONCATENATE(";",EscStr(CONCATENATE("NavNode_",getCategoryLevelAsString($B66))),";",EscStr(T66),";")))</f>
        <v>;"NavNode_L2-3D_528721";"Резисторы";</v>
      </c>
      <c r="AN66" s="39" t="str">
        <f>IF(getCategoryLevelAsString($B66)="L0D_324785","",IF(U66="",CONCATENATE(";",EscStr(CONCATENATE("NavNode_",getCategoryLevelAsString($B66))),";",EscStr($J66),";"),CONCATENATE(";",EscStr(CONCATENATE("NavNode_",getCategoryLevelAsString($B66))),";",EscStr(U66),";")))</f>
        <v>;"NavNode_L2-3D_528721";"Rezistory / potenciometry";</v>
      </c>
      <c r="AO66" s="39" t="str">
        <f>IF(getCategoryLevelAsString($B66)="L0D_324785","",IF(V66="",CONCATENATE(";",EscStr(CONCATENATE("NavNode_",getCategoryLevelAsString($B66))),";",EscStr($J66),";"),CONCATENATE(";",EscStr(CONCATENATE("NavNode_",getCategoryLevelAsString($B66))),";",EscStr(V66),";")))</f>
        <v>;"NavNode_L2-3D_528721";"Rezistori";</v>
      </c>
      <c r="AP66" s="39" t="str">
        <f>IF(getCategoryLevelAsString($B66)="L0D_324785","",IF(W66="",CONCATENATE(";",EscStr(CONCATENATE("NavNode_",getCategoryLevelAsString($B66))),";",EscStr($J66),";"),CONCATENATE(";",EscStr(CONCATENATE("NavNode_",getCategoryLevelAsString($B66))),";",EscStr(W66),";")))</f>
        <v>;"NavNode_L2-3D_528721";"Ellenállások";</v>
      </c>
      <c r="AQ66" s="39" t="str">
        <f>IF(getCategoryLevelAsString($B66)="L0D_324785","",IF(X66="",CONCATENATE(";",EscStr(CONCATENATE("NavNode_",getCategoryLevelAsString($B66))),";",EscStr($J66),";"),CONCATENATE(";",EscStr(CONCATENATE("NavNode_",getCategoryLevelAsString($B66))),";",EscStr(X66),";")))</f>
        <v>;"NavNode_L2-3D_528721";"Rezistory / potenciometry";</v>
      </c>
      <c r="AR66" s="39" t="str">
        <f>IF(OR($A66&lt;&gt;"", $G66=""),"",CONCATENATE(";",EscStr(CONCATENATE("NavEntry_",getCategoryLevelAsString($B66))),";",EscStr(CONCATENATE($J66," Navigation Entry")),";",EscStr(CONCATENATE("cat-",getCategoryLevelAsString($B66))),";",EscStr(CONCATENATE("NavNode_",getCategoryLevelAsString($B66))),";"))</f>
        <v>;"NavEntry_L2-3D_528721";"Resistors Navigation Entry";"cat-L2-3D_528721";"NavNode_L2-3D_528721";</v>
      </c>
    </row>
    <row r="67" spans="1:44" s="34" customFormat="1" ht="15" x14ac:dyDescent="0.25">
      <c r="A67" s="25"/>
      <c r="B67" s="5"/>
      <c r="C67" s="5"/>
      <c r="D67" s="5" t="s">
        <v>6229</v>
      </c>
      <c r="E67" s="5"/>
      <c r="F67" s="5"/>
      <c r="G67" s="5" t="s">
        <v>6231</v>
      </c>
      <c r="H67" s="5" t="s">
        <v>13610</v>
      </c>
      <c r="I67" s="5" t="s">
        <v>13698</v>
      </c>
      <c r="J67" s="5" t="s">
        <v>6230</v>
      </c>
      <c r="K67" s="5" t="s">
        <v>13792</v>
      </c>
      <c r="L67" s="5" t="s">
        <v>15106</v>
      </c>
      <c r="M67" s="5" t="s">
        <v>13883</v>
      </c>
      <c r="N67" s="5" t="s">
        <v>13937</v>
      </c>
      <c r="O67" s="5" t="s">
        <v>14053</v>
      </c>
      <c r="P67" s="5" t="s">
        <v>14145</v>
      </c>
      <c r="Q67" s="5" t="s">
        <v>14231</v>
      </c>
      <c r="R67" s="5" t="s">
        <v>14310</v>
      </c>
      <c r="S67" s="5" t="s">
        <v>14405</v>
      </c>
      <c r="T67" s="5" t="s">
        <v>14495</v>
      </c>
      <c r="U67" s="5" t="s">
        <v>14583</v>
      </c>
      <c r="V67" s="5" t="s">
        <v>14671</v>
      </c>
      <c r="W67" s="5" t="s">
        <v>14756</v>
      </c>
      <c r="X67" s="5" t="s">
        <v>14830</v>
      </c>
      <c r="Y67" s="39" t="str">
        <f>IF(OR($A67&lt;&gt;"", $G67=""),"",CONCATENATE(";",EscStr(CONCATENATE("NavNode_",getCategoryLevelAsString($B67))),";",EscStr($J67),";",IF($B67&lt;&gt;"","""MainCategoryNavNode""",EscStr(CONCATENATE("NavNode_",getSuperCategory($B67, getCategoryLevelAsNumber($B67))))),";"))</f>
        <v>;"NavNode_L3D_525333";"Assortments, Decades, Resistors";"NavNode_L2-3D_528721";</v>
      </c>
      <c r="Z67" s="39" t="str">
        <f>IF(getCategoryLevelAsString($B67)="L0D_324785","",IF(G67="",CONCATENATE(";",EscStr(CONCATENATE("NavNode_",getCategoryLevelAsString($B67))),";",EscStr($J67),";"),CONCATENATE(";",EscStr(CONCATENATE("NavNode_",getCategoryLevelAsString($B67))),";",EscStr(G67),";")))</f>
        <v>;"NavNode_L3D_525333";"Sortiment, Dekaden, Widerstände";</v>
      </c>
      <c r="AA67" s="39" t="str">
        <f>IF(getCategoryLevelAsString($B67)="L0D_324785","",IF(H67="",CONCATENATE(";",EscStr(CONCATENATE("NavNode_",getCategoryLevelAsString($B67))),";",EscStr($J67),";"),CONCATENATE(";",EscStr(CONCATENATE("NavNode_",getCategoryLevelAsString($B67))),";",EscStr(H67),";")))</f>
        <v>;"NavNode_L3D_525333";"Assortiments, décades, résistances";</v>
      </c>
      <c r="AB67" s="39" t="str">
        <f>IF(getCategoryLevelAsString($B67)="L0D_324785","",IF(I67="",CONCATENATE(";",EscStr(CONCATENATE("NavNode_",getCategoryLevelAsString($B67))),";",EscStr($J67),";"),CONCATENATE(";",EscStr(CONCATENATE("NavNode_",getCategoryLevelAsString($B67))),";",EscStr(I67),";")))</f>
        <v>;"NavNode_L3D_525333";"Assortimenti, decadi, resistenze";</v>
      </c>
      <c r="AC67" s="39" t="str">
        <f>IF(getCategoryLevelAsString($B67)="L0D_324785","",IF(J67="",CONCATENATE(";",EscStr(CONCATENATE("NavNode_",getCategoryLevelAsString($B67))),";",EscStr($J67),";"),CONCATENATE(";",EscStr(CONCATENATE("NavNode_",getCategoryLevelAsString($B67))),";",EscStr(J67),";")))</f>
        <v>;"NavNode_L3D_525333";"Assortments, Decades, Resistors";</v>
      </c>
      <c r="AD67" s="39" t="str">
        <f>IF(getCategoryLevelAsString($B67)="L0D_324785","",IF(K67="",CONCATENATE(";",EscStr(CONCATENATE("NavNode_",getCategoryLevelAsString($B67))),";",EscStr($J67),";"),CONCATENATE(";",EscStr(CONCATENATE("NavNode_",getCategoryLevelAsString($B67))),";",EscStr(K67),";")))</f>
        <v>;"NavNode_L3D_525333";"Sortiment , deader,modstande";</v>
      </c>
      <c r="AE67" s="39" t="str">
        <f>IF(getCategoryLevelAsString($B67)="L0D_324785","",IF(L67="",CONCATENATE(";",EscStr(CONCATENATE("NavNode_",getCategoryLevelAsString($B67))),";",EscStr($J67),";"),CONCATENATE(";",EscStr(CONCATENATE("NavNode_",getCategoryLevelAsString($B67))),";",EscStr(L67),";")))</f>
        <v>;"NavNode_L3D_525333";"Rinkiniai, dekados, rezistoriai";</v>
      </c>
      <c r="AF67" s="39" t="str">
        <f>IF(getCategoryLevelAsString($B67)="L0D_324785","",IF(M67="",CONCATENATE(";",EscStr(CONCATENATE("NavNode_",getCategoryLevelAsString($B67))),";",EscStr($J67),";"),CONCATENATE(";",EscStr(CONCATENATE("NavNode_",getCategoryLevelAsString($B67))),";",EscStr(M67),";")))</f>
        <v>;"NavNode_L3D_525333";"Sortiment, dekader, motstander";</v>
      </c>
      <c r="AG67" s="39" t="str">
        <f>IF(getCategoryLevelAsString($B67)="L0D_324785","",IF(N67="",CONCATENATE(";",EscStr(CONCATENATE("NavNode_",getCategoryLevelAsString($B67))),";",EscStr($J67),";"),CONCATENATE(";",EscStr(CONCATENATE("NavNode_",getCategoryLevelAsString($B67))),";",EscStr(N67),";")))</f>
        <v>;"NavNode_L3D_525333";"Sortiment, dekader, motstånd";</v>
      </c>
      <c r="AH67" s="39" t="str">
        <f>IF(getCategoryLevelAsString($B67)="L0D_324785","",IF(O67="",CONCATENATE(";",EscStr(CONCATENATE("NavNode_",getCategoryLevelAsString($B67))),";",EscStr($J67),";"),CONCATENATE(";",EscStr(CONCATENATE("NavNode_",getCategoryLevelAsString($B67))),";",EscStr(O67),";")))</f>
        <v>;"NavNode_L3D_525333";"Takistite valikkomplektid, dekaadid";</v>
      </c>
      <c r="AI67" s="39" t="str">
        <f>IF(getCategoryLevelAsString($B67)="L0D_324785","",IF(P67="",CONCATENATE(";",EscStr(CONCATENATE("NavNode_",getCategoryLevelAsString($B67))),";",EscStr($J67),";"),CONCATENATE(";",EscStr(CONCATENATE("NavNode_",getCategoryLevelAsString($B67))),";",EscStr(P67),";")))</f>
        <v>;"NavNode_L3D_525333";"Valikoimat, Dekaadit";</v>
      </c>
      <c r="AJ67" s="39" t="str">
        <f>IF(getCategoryLevelAsString($B67)="L0D_324785","",IF(Q67="",CONCATENATE(";",EscStr(CONCATENATE("NavNode_",getCategoryLevelAsString($B67))),";",EscStr($J67),";"),CONCATENATE(";",EscStr(CONCATENATE("NavNode_",getCategoryLevelAsString($B67))),";",EscStr(Q67),";")))</f>
        <v>;"NavNode_L3D_525333";"Rezistoru komplekti";</v>
      </c>
      <c r="AK67" s="39" t="str">
        <f>IF(getCategoryLevelAsString($B67)="L0D_324785","",IF(R67="",CONCATENATE(";",EscStr(CONCATENATE("NavNode_",getCategoryLevelAsString($B67))),";",EscStr($J67),";"),CONCATENATE(";",EscStr(CONCATENATE("NavNode_",getCategoryLevelAsString($B67))),";",EscStr(R67),";")))</f>
        <v>;"NavNode_L3D_525333";"Assortimenten, decadebanken, weerstanden";</v>
      </c>
      <c r="AL67" s="39" t="str">
        <f>IF(getCategoryLevelAsString($B67)="L0D_324785","",IF(S67="",CONCATENATE(";",EscStr(CONCATENATE("NavNode_",getCategoryLevelAsString($B67))),";",EscStr($J67),";"),CONCATENATE(";",EscStr(CONCATENATE("NavNode_",getCategoryLevelAsString($B67))),";",EscStr(S67),";")))</f>
        <v>;"NavNode_L3D_525333";"Zestawy, Dekady, Rezystory";</v>
      </c>
      <c r="AM67" s="39" t="str">
        <f>IF(getCategoryLevelAsString($B67)="L0D_324785","",IF(T67="",CONCATENATE(";",EscStr(CONCATENATE("NavNode_",getCategoryLevelAsString($B67))),";",EscStr($J67),";"),CONCATENATE(";",EscStr(CONCATENATE("NavNode_",getCategoryLevelAsString($B67))),";",EscStr(T67),";")))</f>
        <v>;"NavNode_L3D_525333";"Изделия, декадные переключатели, резисторы";</v>
      </c>
      <c r="AN67" s="39" t="str">
        <f>IF(getCategoryLevelAsString($B67)="L0D_324785","",IF(U67="",CONCATENATE(";",EscStr(CONCATENATE("NavNode_",getCategoryLevelAsString($B67))),";",EscStr($J67),";"),CONCATENATE(";",EscStr(CONCATENATE("NavNode_",getCategoryLevelAsString($B67))),";",EscStr(U67),";")))</f>
        <v>;"NavNode_L3D_525333";"Sortiment, dekády, rezistory";</v>
      </c>
      <c r="AO67" s="39" t="str">
        <f>IF(getCategoryLevelAsString($B67)="L0D_324785","",IF(V67="",CONCATENATE(";",EscStr(CONCATENATE("NavNode_",getCategoryLevelAsString($B67))),";",EscStr($J67),";"),CONCATENATE(";",EscStr(CONCATENATE("NavNode_",getCategoryLevelAsString($B67))),";",EscStr(V67),";")))</f>
        <v>;"NavNode_L3D_525333";"Rezistori, sortiment, decenii";</v>
      </c>
      <c r="AP67" s="39" t="str">
        <f>IF(getCategoryLevelAsString($B67)="L0D_324785","",IF(W67="",CONCATENATE(";",EscStr(CONCATENATE("NavNode_",getCategoryLevelAsString($B67))),";",EscStr($J67),";"),CONCATENATE(";",EscStr(CONCATENATE("NavNode_",getCategoryLevelAsString($B67))),";",EscStr(W67),";")))</f>
        <v>;"NavNode_L3D_525333";"Ellenállás készletek";</v>
      </c>
      <c r="AQ67" s="39" t="str">
        <f>IF(getCategoryLevelAsString($B67)="L0D_324785","",IF(X67="",CONCATENATE(";",EscStr(CONCATENATE("NavNode_",getCategoryLevelAsString($B67))),";",EscStr($J67),";"),CONCATENATE(";",EscStr(CONCATENATE("NavNode_",getCategoryLevelAsString($B67))),";",EscStr(X67),";")))</f>
        <v>;"NavNode_L3D_525333";"Sortiment,dekády,rezistory";</v>
      </c>
      <c r="AR67" s="39" t="str">
        <f>IF(OR($A67&lt;&gt;"", $G67=""),"",CONCATENATE(";",EscStr(CONCATENATE("NavEntry_",getCategoryLevelAsString($B67))),";",EscStr(CONCATENATE($J67," Navigation Entry")),";",EscStr(CONCATENATE("cat-",getCategoryLevelAsString($B67))),";",EscStr(CONCATENATE("NavNode_",getCategoryLevelAsString($B67))),";"))</f>
        <v>;"NavEntry_L3D_525333";"Assortments, Decades, Resistors Navigation Entry";"cat-L3D_525333";"NavNode_L3D_525333";</v>
      </c>
    </row>
    <row r="68" spans="1:44" s="34" customFormat="1" ht="15" x14ac:dyDescent="0.25">
      <c r="A68" s="25"/>
      <c r="B68" s="5"/>
      <c r="C68" s="5"/>
      <c r="D68" s="5" t="s">
        <v>6257</v>
      </c>
      <c r="E68" s="5"/>
      <c r="F68" s="5"/>
      <c r="G68" s="5" t="s">
        <v>6259</v>
      </c>
      <c r="H68" s="5" t="s">
        <v>13611</v>
      </c>
      <c r="I68" s="5" t="s">
        <v>13699</v>
      </c>
      <c r="J68" s="5" t="s">
        <v>6258</v>
      </c>
      <c r="K68" s="5" t="s">
        <v>13793</v>
      </c>
      <c r="L68" s="5" t="s">
        <v>15107</v>
      </c>
      <c r="M68" s="5" t="s">
        <v>13793</v>
      </c>
      <c r="N68" s="5" t="s">
        <v>13793</v>
      </c>
      <c r="O68" s="5" t="s">
        <v>14054</v>
      </c>
      <c r="P68" s="5" t="s">
        <v>14146</v>
      </c>
      <c r="Q68" s="5" t="s">
        <v>13699</v>
      </c>
      <c r="R68" s="5" t="s">
        <v>6259</v>
      </c>
      <c r="S68" s="5" t="s">
        <v>14406</v>
      </c>
      <c r="T68" s="5" t="s">
        <v>14496</v>
      </c>
      <c r="U68" s="5" t="s">
        <v>14584</v>
      </c>
      <c r="V68" s="5" t="s">
        <v>13699</v>
      </c>
      <c r="W68" s="5" t="s">
        <v>14757</v>
      </c>
      <c r="X68" s="5" t="s">
        <v>14584</v>
      </c>
      <c r="Y68" s="39" t="str">
        <f>IF(OR($A68&lt;&gt;"", $G68=""),"",CONCATENATE(";",EscStr(CONCATENATE("NavNode_",getCategoryLevelAsString($B68))),";",EscStr($J68),";",IF($B68&lt;&gt;"","""MainCategoryNavNode""",EscStr(CONCATENATE("NavNode_",getSuperCategory($B68, getCategoryLevelAsNumber($B68))))),";"))</f>
        <v>;"NavNode_L3D_525334";"Varistors";"NavNode_L2-3D_528721";</v>
      </c>
      <c r="Z68" s="39" t="str">
        <f>IF(getCategoryLevelAsString($B68)="L0D_324785","",IF(G68="",CONCATENATE(";",EscStr(CONCATENATE("NavNode_",getCategoryLevelAsString($B68))),";",EscStr($J68),";"),CONCATENATE(";",EscStr(CONCATENATE("NavNode_",getCategoryLevelAsString($B68))),";",EscStr(G68),";")))</f>
        <v>;"NavNode_L3D_525334";"Varistoren";</v>
      </c>
      <c r="AA68" s="39" t="str">
        <f>IF(getCategoryLevelAsString($B68)="L0D_324785","",IF(H68="",CONCATENATE(";",EscStr(CONCATENATE("NavNode_",getCategoryLevelAsString($B68))),";",EscStr($J68),";"),CONCATENATE(";",EscStr(CONCATENATE("NavNode_",getCategoryLevelAsString($B68))),";",EscStr(H68),";")))</f>
        <v>;"NavNode_L3D_525334";"Varistances";</v>
      </c>
      <c r="AB68" s="39" t="str">
        <f>IF(getCategoryLevelAsString($B68)="L0D_324785","",IF(I68="",CONCATENATE(";",EscStr(CONCATENATE("NavNode_",getCategoryLevelAsString($B68))),";",EscStr($J68),";"),CONCATENATE(";",EscStr(CONCATENATE("NavNode_",getCategoryLevelAsString($B68))),";",EscStr(I68),";")))</f>
        <v>;"NavNode_L3D_525334";"Varistori";</v>
      </c>
      <c r="AC68" s="39" t="str">
        <f>IF(getCategoryLevelAsString($B68)="L0D_324785","",IF(J68="",CONCATENATE(";",EscStr(CONCATENATE("NavNode_",getCategoryLevelAsString($B68))),";",EscStr($J68),";"),CONCATENATE(";",EscStr(CONCATENATE("NavNode_",getCategoryLevelAsString($B68))),";",EscStr(J68),";")))</f>
        <v>;"NavNode_L3D_525334";"Varistors";</v>
      </c>
      <c r="AD68" s="39" t="str">
        <f>IF(getCategoryLevelAsString($B68)="L0D_324785","",IF(K68="",CONCATENATE(";",EscStr(CONCATENATE("NavNode_",getCategoryLevelAsString($B68))),";",EscStr($J68),";"),CONCATENATE(";",EscStr(CONCATENATE("NavNode_",getCategoryLevelAsString($B68))),";",EscStr(K68),";")))</f>
        <v>;"NavNode_L3D_525334";"Varistorer";</v>
      </c>
      <c r="AE68" s="39" t="str">
        <f>IF(getCategoryLevelAsString($B68)="L0D_324785","",IF(L68="",CONCATENATE(";",EscStr(CONCATENATE("NavNode_",getCategoryLevelAsString($B68))),";",EscStr($J68),";"),CONCATENATE(";",EscStr(CONCATENATE("NavNode_",getCategoryLevelAsString($B68))),";",EscStr(L68),";")))</f>
        <v>;"NavNode_L3D_525334";"Varistoriai";</v>
      </c>
      <c r="AF68" s="39" t="str">
        <f>IF(getCategoryLevelAsString($B68)="L0D_324785","",IF(M68="",CONCATENATE(";",EscStr(CONCATENATE("NavNode_",getCategoryLevelAsString($B68))),";",EscStr($J68),";"),CONCATENATE(";",EscStr(CONCATENATE("NavNode_",getCategoryLevelAsString($B68))),";",EscStr(M68),";")))</f>
        <v>;"NavNode_L3D_525334";"Varistorer";</v>
      </c>
      <c r="AG68" s="39" t="str">
        <f>IF(getCategoryLevelAsString($B68)="L0D_324785","",IF(N68="",CONCATENATE(";",EscStr(CONCATENATE("NavNode_",getCategoryLevelAsString($B68))),";",EscStr($J68),";"),CONCATENATE(";",EscStr(CONCATENATE("NavNode_",getCategoryLevelAsString($B68))),";",EscStr(N68),";")))</f>
        <v>;"NavNode_L3D_525334";"Varistorer";</v>
      </c>
      <c r="AH68" s="39" t="str">
        <f>IF(getCategoryLevelAsString($B68)="L0D_324785","",IF(O68="",CONCATENATE(";",EscStr(CONCATENATE("NavNode_",getCategoryLevelAsString($B68))),";",EscStr($J68),";"),CONCATENATE(";",EscStr(CONCATENATE("NavNode_",getCategoryLevelAsString($B68))),";",EscStr(O68),";")))</f>
        <v>;"NavNode_L3D_525334";"Varistorid";</v>
      </c>
      <c r="AI68" s="39" t="str">
        <f>IF(getCategoryLevelAsString($B68)="L0D_324785","",IF(P68="",CONCATENATE(";",EscStr(CONCATENATE("NavNode_",getCategoryLevelAsString($B68))),";",EscStr($J68),";"),CONCATENATE(";",EscStr(CONCATENATE("NavNode_",getCategoryLevelAsString($B68))),";",EscStr(P68),";")))</f>
        <v>;"NavNode_L3D_525334";"Varistorit";</v>
      </c>
      <c r="AJ68" s="39" t="str">
        <f>IF(getCategoryLevelAsString($B68)="L0D_324785","",IF(Q68="",CONCATENATE(";",EscStr(CONCATENATE("NavNode_",getCategoryLevelAsString($B68))),";",EscStr($J68),";"),CONCATENATE(";",EscStr(CONCATENATE("NavNode_",getCategoryLevelAsString($B68))),";",EscStr(Q68),";")))</f>
        <v>;"NavNode_L3D_525334";"Varistori";</v>
      </c>
      <c r="AK68" s="39" t="str">
        <f>IF(getCategoryLevelAsString($B68)="L0D_324785","",IF(R68="",CONCATENATE(";",EscStr(CONCATENATE("NavNode_",getCategoryLevelAsString($B68))),";",EscStr($J68),";"),CONCATENATE(";",EscStr(CONCATENATE("NavNode_",getCategoryLevelAsString($B68))),";",EscStr(R68),";")))</f>
        <v>;"NavNode_L3D_525334";"Varistoren";</v>
      </c>
      <c r="AL68" s="39" t="str">
        <f>IF(getCategoryLevelAsString($B68)="L0D_324785","",IF(S68="",CONCATENATE(";",EscStr(CONCATENATE("NavNode_",getCategoryLevelAsString($B68))),";",EscStr($J68),";"),CONCATENATE(";",EscStr(CONCATENATE("NavNode_",getCategoryLevelAsString($B68))),";",EscStr(S68),";")))</f>
        <v>;"NavNode_L3D_525334";"Warystory";</v>
      </c>
      <c r="AM68" s="39" t="str">
        <f>IF(getCategoryLevelAsString($B68)="L0D_324785","",IF(T68="",CONCATENATE(";",EscStr(CONCATENATE("NavNode_",getCategoryLevelAsString($B68))),";",EscStr($J68),";"),CONCATENATE(";",EscStr(CONCATENATE("NavNode_",getCategoryLevelAsString($B68))),";",EscStr(T68),";")))</f>
        <v>;"NavNode_L3D_525334";"Варисторы";</v>
      </c>
      <c r="AN68" s="39" t="str">
        <f>IF(getCategoryLevelAsString($B68)="L0D_324785","",IF(U68="",CONCATENATE(";",EscStr(CONCATENATE("NavNode_",getCategoryLevelAsString($B68))),";",EscStr($J68),";"),CONCATENATE(";",EscStr(CONCATENATE("NavNode_",getCategoryLevelAsString($B68))),";",EscStr(U68),";")))</f>
        <v>;"NavNode_L3D_525334";"Varistory";</v>
      </c>
      <c r="AO68" s="39" t="str">
        <f>IF(getCategoryLevelAsString($B68)="L0D_324785","",IF(V68="",CONCATENATE(";",EscStr(CONCATENATE("NavNode_",getCategoryLevelAsString($B68))),";",EscStr($J68),";"),CONCATENATE(";",EscStr(CONCATENATE("NavNode_",getCategoryLevelAsString($B68))),";",EscStr(V68),";")))</f>
        <v>;"NavNode_L3D_525334";"Varistori";</v>
      </c>
      <c r="AP68" s="39" t="str">
        <f>IF(getCategoryLevelAsString($B68)="L0D_324785","",IF(W68="",CONCATENATE(";",EscStr(CONCATENATE("NavNode_",getCategoryLevelAsString($B68))),";",EscStr($J68),";"),CONCATENATE(";",EscStr(CONCATENATE("NavNode_",getCategoryLevelAsString($B68))),";",EscStr(W68),";")))</f>
        <v>;"NavNode_L3D_525334";"Varisztorok";</v>
      </c>
      <c r="AQ68" s="39" t="str">
        <f>IF(getCategoryLevelAsString($B68)="L0D_324785","",IF(X68="",CONCATENATE(";",EscStr(CONCATENATE("NavNode_",getCategoryLevelAsString($B68))),";",EscStr($J68),";"),CONCATENATE(";",EscStr(CONCATENATE("NavNode_",getCategoryLevelAsString($B68))),";",EscStr(X68),";")))</f>
        <v>;"NavNode_L3D_525334";"Varistory";</v>
      </c>
      <c r="AR68" s="39" t="str">
        <f>IF(OR($A68&lt;&gt;"", $G68=""),"",CONCATENATE(";",EscStr(CONCATENATE("NavEntry_",getCategoryLevelAsString($B68))),";",EscStr(CONCATENATE($J68," Navigation Entry")),";",EscStr(CONCATENATE("cat-",getCategoryLevelAsString($B68))),";",EscStr(CONCATENATE("NavNode_",getCategoryLevelAsString($B68))),";"))</f>
        <v>;"NavEntry_L3D_525334";"Varistors Navigation Entry";"cat-L3D_525334";"NavNode_L3D_525334";</v>
      </c>
    </row>
    <row r="69" spans="1:44" s="34" customFormat="1" ht="15" x14ac:dyDescent="0.25">
      <c r="A69" s="25"/>
      <c r="B69" s="5"/>
      <c r="C69" s="5"/>
      <c r="D69" s="5" t="s">
        <v>6274</v>
      </c>
      <c r="E69" s="5"/>
      <c r="F69" s="5"/>
      <c r="G69" s="5" t="s">
        <v>6276</v>
      </c>
      <c r="H69" s="5" t="s">
        <v>13612</v>
      </c>
      <c r="I69" s="5" t="s">
        <v>13700</v>
      </c>
      <c r="J69" s="5" t="s">
        <v>6275</v>
      </c>
      <c r="K69" s="5" t="s">
        <v>13794</v>
      </c>
      <c r="L69" s="5" t="s">
        <v>15108</v>
      </c>
      <c r="M69" s="5" t="s">
        <v>13884</v>
      </c>
      <c r="N69" s="47" t="s">
        <v>15441</v>
      </c>
      <c r="O69" s="5" t="s">
        <v>14055</v>
      </c>
      <c r="P69" s="5" t="s">
        <v>14147</v>
      </c>
      <c r="Q69" s="5" t="s">
        <v>14232</v>
      </c>
      <c r="R69" s="5" t="s">
        <v>14311</v>
      </c>
      <c r="S69" s="5" t="s">
        <v>14407</v>
      </c>
      <c r="T69" s="5" t="s">
        <v>14497</v>
      </c>
      <c r="U69" s="5" t="s">
        <v>14585</v>
      </c>
      <c r="V69" s="5" t="s">
        <v>14672</v>
      </c>
      <c r="W69" s="5" t="s">
        <v>14758</v>
      </c>
      <c r="X69" s="5" t="s">
        <v>14831</v>
      </c>
      <c r="Y69" s="39" t="str">
        <f>IF(OR($A69&lt;&gt;"", $G69=""),"",CONCATENATE(";",EscStr(CONCATENATE("NavNode_",getCategoryLevelAsString($B69))),";",EscStr($J69),";",IF($B69&lt;&gt;"","""MainCategoryNavNode""",EscStr(CONCATENATE("NavNode_",getSuperCategory($B69, getCategoryLevelAsNumber($B69))))),";"))</f>
        <v>;"NavNode_L3D_525335";"Surge Arresters";"NavNode_L2-3D_528721";</v>
      </c>
      <c r="Z69" s="39" t="str">
        <f>IF(getCategoryLevelAsString($B69)="L0D_324785","",IF(G69="",CONCATENATE(";",EscStr(CONCATENATE("NavNode_",getCategoryLevelAsString($B69))),";",EscStr($J69),";"),CONCATENATE(";",EscStr(CONCATENATE("NavNode_",getCategoryLevelAsString($B69))),";",EscStr(G69),";")))</f>
        <v>;"NavNode_L3D_525335";"Überspannungsableiter";</v>
      </c>
      <c r="AA69" s="39" t="str">
        <f>IF(getCategoryLevelAsString($B69)="L0D_324785","",IF(H69="",CONCATENATE(";",EscStr(CONCATENATE("NavNode_",getCategoryLevelAsString($B69))),";",EscStr($J69),";"),CONCATENATE(";",EscStr(CONCATENATE("NavNode_",getCategoryLevelAsString($B69))),";",EscStr(H69),";")))</f>
        <v>;"NavNode_L3D_525335";"Parafoudres";</v>
      </c>
      <c r="AB69" s="39" t="str">
        <f>IF(getCategoryLevelAsString($B69)="L0D_324785","",IF(I69="",CONCATENATE(";",EscStr(CONCATENATE("NavNode_",getCategoryLevelAsString($B69))),";",EscStr($J69),";"),CONCATENATE(";",EscStr(CONCATENATE("NavNode_",getCategoryLevelAsString($B69))),";",EscStr(I69),";")))</f>
        <v>;"NavNode_L3D_525335";"Scaricatori di sovratensione";</v>
      </c>
      <c r="AC69" s="39" t="str">
        <f>IF(getCategoryLevelAsString($B69)="L0D_324785","",IF(J69="",CONCATENATE(";",EscStr(CONCATENATE("NavNode_",getCategoryLevelAsString($B69))),";",EscStr($J69),";"),CONCATENATE(";",EscStr(CONCATENATE("NavNode_",getCategoryLevelAsString($B69))),";",EscStr(J69),";")))</f>
        <v>;"NavNode_L3D_525335";"Surge Arresters";</v>
      </c>
      <c r="AD69" s="39" t="str">
        <f>IF(getCategoryLevelAsString($B69)="L0D_324785","",IF(K69="",CONCATENATE(";",EscStr(CONCATENATE("NavNode_",getCategoryLevelAsString($B69))),";",EscStr($J69),";"),CONCATENATE(";",EscStr(CONCATENATE("NavNode_",getCategoryLevelAsString($B69))),";",EscStr(K69),";")))</f>
        <v>;"NavNode_L3D_525335";"Overspændingsafledere";</v>
      </c>
      <c r="AE69" s="39" t="str">
        <f>IF(getCategoryLevelAsString($B69)="L0D_324785","",IF(L69="",CONCATENATE(";",EscStr(CONCATENATE("NavNode_",getCategoryLevelAsString($B69))),";",EscStr($J69),";"),CONCATENATE(";",EscStr(CONCATENATE("NavNode_",getCategoryLevelAsString($B69))),";",EscStr(L69),";")))</f>
        <v>;"NavNode_L3D_525335";"Viršįtampių ribotuvai";</v>
      </c>
      <c r="AF69" s="39" t="str">
        <f>IF(getCategoryLevelAsString($B69)="L0D_324785","",IF(M69="",CONCATENATE(";",EscStr(CONCATENATE("NavNode_",getCategoryLevelAsString($B69))),";",EscStr($J69),";"),CONCATENATE(";",EscStr(CONCATENATE("NavNode_",getCategoryLevelAsString($B69))),";",EscStr(M69),";")))</f>
        <v>;"NavNode_L3D_525335";"Overspenningsavledere";</v>
      </c>
      <c r="AG69" s="39" t="str">
        <f>IF(getCategoryLevelAsString($B69)="L0D_324785","",IF(N69="",CONCATENATE(";",EscStr(CONCATENATE("NavNode_",getCategoryLevelAsString($B69))),";",EscStr($J69),";"),CONCATENATE(";",EscStr(CONCATENATE("NavNode_",getCategoryLevelAsString($B69))),";",EscStr(N69),";")))</f>
        <v>;"NavNode_L3D_525335";"Överspänningsskydd";</v>
      </c>
      <c r="AH69" s="39" t="str">
        <f>IF(getCategoryLevelAsString($B69)="L0D_324785","",IF(O69="",CONCATENATE(";",EscStr(CONCATENATE("NavNode_",getCategoryLevelAsString($B69))),";",EscStr($J69),";"),CONCATENATE(";",EscStr(CONCATENATE("NavNode_",getCategoryLevelAsString($B69))),";",EscStr(O69),";")))</f>
        <v>;"NavNode_L3D_525335";"Liigpingepiirikud";</v>
      </c>
      <c r="AI69" s="39" t="str">
        <f>IF(getCategoryLevelAsString($B69)="L0D_324785","",IF(P69="",CONCATENATE(";",EscStr(CONCATENATE("NavNode_",getCategoryLevelAsString($B69))),";",EscStr($J69),";"),CONCATENATE(";",EscStr(CONCATENATE("NavNode_",getCategoryLevelAsString($B69))),";",EscStr(P69),";")))</f>
        <v>;"NavNode_L3D_525335";"Ylijänniteansat";</v>
      </c>
      <c r="AJ69" s="39" t="str">
        <f>IF(getCategoryLevelAsString($B69)="L0D_324785","",IF(Q69="",CONCATENATE(";",EscStr(CONCATENATE("NavNode_",getCategoryLevelAsString($B69))),";",EscStr($J69),";"),CONCATENATE(";",EscStr(CONCATENATE("NavNode_",getCategoryLevelAsString($B69))),";",EscStr(Q69),";")))</f>
        <v>;"NavNode_L3D_525335";"Izlādņi";</v>
      </c>
      <c r="AK69" s="39" t="str">
        <f>IF(getCategoryLevelAsString($B69)="L0D_324785","",IF(R69="",CONCATENATE(";",EscStr(CONCATENATE("NavNode_",getCategoryLevelAsString($B69))),";",EscStr($J69),";"),CONCATENATE(";",EscStr(CONCATENATE("NavNode_",getCategoryLevelAsString($B69))),";",EscStr(R69),";")))</f>
        <v>;"NavNode_L3D_525335";"Overspanningsafleiders";</v>
      </c>
      <c r="AL69" s="39" t="str">
        <f>IF(getCategoryLevelAsString($B69)="L0D_324785","",IF(S69="",CONCATENATE(";",EscStr(CONCATENATE("NavNode_",getCategoryLevelAsString($B69))),";",EscStr($J69),";"),CONCATENATE(";",EscStr(CONCATENATE("NavNode_",getCategoryLevelAsString($B69))),";",EscStr(S69),";")))</f>
        <v>;"NavNode_L3D_525335";"Ochronniki przepięciowe";</v>
      </c>
      <c r="AM69" s="39" t="str">
        <f>IF(getCategoryLevelAsString($B69)="L0D_324785","",IF(T69="",CONCATENATE(";",EscStr(CONCATENATE("NavNode_",getCategoryLevelAsString($B69))),";",EscStr($J69),";"),CONCATENATE(";",EscStr(CONCATENATE("NavNode_",getCategoryLevelAsString($B69))),";",EscStr(T69),";")))</f>
        <v>;"NavNode_L3D_525335";"Разрядники";</v>
      </c>
      <c r="AN69" s="39" t="str">
        <f>IF(getCategoryLevelAsString($B69)="L0D_324785","",IF(U69="",CONCATENATE(";",EscStr(CONCATENATE("NavNode_",getCategoryLevelAsString($B69))),";",EscStr($J69),";"),CONCATENATE(";",EscStr(CONCATENATE("NavNode_",getCategoryLevelAsString($B69))),";",EscStr(U69),";")))</f>
        <v>;"NavNode_L3D_525335";"Omezovače přepětí";</v>
      </c>
      <c r="AO69" s="39" t="str">
        <f>IF(getCategoryLevelAsString($B69)="L0D_324785","",IF(V69="",CONCATENATE(";",EscStr(CONCATENATE("NavNode_",getCategoryLevelAsString($B69))),";",EscStr($J69),";"),CONCATENATE(";",EscStr(CONCATENATE("NavNode_",getCategoryLevelAsString($B69))),";",EscStr(V69),";")))</f>
        <v>;"NavNode_L3D_525335";"Protectoare de supratensiune";</v>
      </c>
      <c r="AP69" s="39" t="str">
        <f>IF(getCategoryLevelAsString($B69)="L0D_324785","",IF(W69="",CONCATENATE(";",EscStr(CONCATENATE("NavNode_",getCategoryLevelAsString($B69))),";",EscStr($J69),";"),CONCATENATE(";",EscStr(CONCATENATE("NavNode_",getCategoryLevelAsString($B69))),";",EscStr(W69),";")))</f>
        <v>;"NavNode_L3D_525335";"Túlfeszültség levezetők";</v>
      </c>
      <c r="AQ69" s="39" t="str">
        <f>IF(getCategoryLevelAsString($B69)="L0D_324785","",IF(X69="",CONCATENATE(";",EscStr(CONCATENATE("NavNode_",getCategoryLevelAsString($B69))),";",EscStr($J69),";"),CONCATENATE(";",EscStr(CONCATENATE("NavNode_",getCategoryLevelAsString($B69))),";",EscStr(X69),";")))</f>
        <v>;"NavNode_L3D_525335";"Obmedzovače prepätia";</v>
      </c>
      <c r="AR69" s="39" t="str">
        <f>IF(OR($A69&lt;&gt;"", $G69=""),"",CONCATENATE(";",EscStr(CONCATENATE("NavEntry_",getCategoryLevelAsString($B69))),";",EscStr(CONCATENATE($J69," Navigation Entry")),";",EscStr(CONCATENATE("cat-",getCategoryLevelAsString($B69))),";",EscStr(CONCATENATE("NavNode_",getCategoryLevelAsString($B69))),";"))</f>
        <v>;"NavEntry_L3D_525335";"Surge Arresters Navigation Entry";"cat-L3D_525335";"NavNode_L3D_525335";</v>
      </c>
    </row>
    <row r="70" spans="1:44" s="34" customFormat="1" ht="15" x14ac:dyDescent="0.25">
      <c r="A70" s="25"/>
      <c r="B70" s="5"/>
      <c r="C70" s="5"/>
      <c r="D70" s="5" t="s">
        <v>6297</v>
      </c>
      <c r="E70" s="5"/>
      <c r="F70" s="5"/>
      <c r="G70" s="5" t="s">
        <v>6299</v>
      </c>
      <c r="H70" s="5" t="s">
        <v>13613</v>
      </c>
      <c r="I70" s="5" t="s">
        <v>13701</v>
      </c>
      <c r="J70" s="5" t="s">
        <v>6298</v>
      </c>
      <c r="K70" s="5" t="s">
        <v>13795</v>
      </c>
      <c r="L70" s="5" t="s">
        <v>15109</v>
      </c>
      <c r="M70" s="5" t="s">
        <v>13885</v>
      </c>
      <c r="N70" s="5" t="s">
        <v>13938</v>
      </c>
      <c r="O70" s="5" t="s">
        <v>14056</v>
      </c>
      <c r="P70" s="5" t="s">
        <v>14148</v>
      </c>
      <c r="Q70" s="5" t="s">
        <v>14233</v>
      </c>
      <c r="R70" s="5" t="s">
        <v>14312</v>
      </c>
      <c r="S70" s="5" t="s">
        <v>14408</v>
      </c>
      <c r="T70" s="5" t="s">
        <v>14498</v>
      </c>
      <c r="U70" s="5" t="s">
        <v>14586</v>
      </c>
      <c r="V70" s="5" t="s">
        <v>14673</v>
      </c>
      <c r="W70" s="5" t="s">
        <v>14759</v>
      </c>
      <c r="X70" s="5" t="s">
        <v>14832</v>
      </c>
      <c r="Y70" s="39" t="str">
        <f>IF(OR($A70&lt;&gt;"", $G70=""),"",CONCATENATE(";",EscStr(CONCATENATE("NavNode_",getCategoryLevelAsString($B70))),";",EscStr($J70),";",IF($B70&lt;&gt;"","""MainCategoryNavNode""",EscStr(CONCATENATE("NavNode_",getSuperCategory($B70, getCategoryLevelAsNumber($B70))))),";"))</f>
        <v>;"NavNode_L3D_525336";"NTC Resistors (High Temperature)";"NavNode_L2-3D_528721";</v>
      </c>
      <c r="Z70" s="39" t="str">
        <f>IF(getCategoryLevelAsString($B70)="L0D_324785","",IF(G70="",CONCATENATE(";",EscStr(CONCATENATE("NavNode_",getCategoryLevelAsString($B70))),";",EscStr($J70),";"),CONCATENATE(";",EscStr(CONCATENATE("NavNode_",getCategoryLevelAsString($B70))),";",EscStr(G70),";")))</f>
        <v>;"NavNode_L3D_525336";"NTC-Widerstände (hohe Temperatur)";</v>
      </c>
      <c r="AA70" s="39" t="str">
        <f>IF(getCategoryLevelAsString($B70)="L0D_324785","",IF(H70="",CONCATENATE(";",EscStr(CONCATENATE("NavNode_",getCategoryLevelAsString($B70))),";",EscStr($J70),";"),CONCATENATE(";",EscStr(CONCATENATE("NavNode_",getCategoryLevelAsString($B70))),";",EscStr(H70),";")))</f>
        <v>;"NavNode_L3D_525336";"Résistances CTN (haute température)";</v>
      </c>
      <c r="AB70" s="39" t="str">
        <f>IF(getCategoryLevelAsString($B70)="L0D_324785","",IF(I70="",CONCATENATE(";",EscStr(CONCATENATE("NavNode_",getCategoryLevelAsString($B70))),";",EscStr($J70),";"),CONCATENATE(";",EscStr(CONCATENATE("NavNode_",getCategoryLevelAsString($B70))),";",EscStr(I70),";")))</f>
        <v>;"NavNode_L3D_525336";"Resistenze NTC (alta temperatura)";</v>
      </c>
      <c r="AC70" s="39" t="str">
        <f>IF(getCategoryLevelAsString($B70)="L0D_324785","",IF(J70="",CONCATENATE(";",EscStr(CONCATENATE("NavNode_",getCategoryLevelAsString($B70))),";",EscStr($J70),";"),CONCATENATE(";",EscStr(CONCATENATE("NavNode_",getCategoryLevelAsString($B70))),";",EscStr(J70),";")))</f>
        <v>;"NavNode_L3D_525336";"NTC Resistors (High Temperature)";</v>
      </c>
      <c r="AD70" s="39" t="str">
        <f>IF(getCategoryLevelAsString($B70)="L0D_324785","",IF(K70="",CONCATENATE(";",EscStr(CONCATENATE("NavNode_",getCategoryLevelAsString($B70))),";",EscStr($J70),";"),CONCATENATE(";",EscStr(CONCATENATE("NavNode_",getCategoryLevelAsString($B70))),";",EscStr(K70),";")))</f>
        <v>;"NavNode_L3D_525336";"NTC-modstande (højtemperatur)";</v>
      </c>
      <c r="AE70" s="39" t="str">
        <f>IF(getCategoryLevelAsString($B70)="L0D_324785","",IF(L70="",CONCATENATE(";",EscStr(CONCATENATE("NavNode_",getCategoryLevelAsString($B70))),";",EscStr($J70),";"),CONCATENATE(";",EscStr(CONCATENATE("NavNode_",getCategoryLevelAsString($B70))),";",EscStr(L70),";")))</f>
        <v>;"NavNode_L3D_525336";"NTC rezistoriai (aukštos temperatūros)";</v>
      </c>
      <c r="AF70" s="39" t="str">
        <f>IF(getCategoryLevelAsString($B70)="L0D_324785","",IF(M70="",CONCATENATE(";",EscStr(CONCATENATE("NavNode_",getCategoryLevelAsString($B70))),";",EscStr($J70),";"),CONCATENATE(";",EscStr(CONCATENATE("NavNode_",getCategoryLevelAsString($B70))),";",EscStr(M70),";")))</f>
        <v>;"NavNode_L3D_525336";"NTC-motstander (høy temperatur)";</v>
      </c>
      <c r="AG70" s="39" t="str">
        <f>IF(getCategoryLevelAsString($B70)="L0D_324785","",IF(N70="",CONCATENATE(";",EscStr(CONCATENATE("NavNode_",getCategoryLevelAsString($B70))),";",EscStr($J70),";"),CONCATENATE(";",EscStr(CONCATENATE("NavNode_",getCategoryLevelAsString($B70))),";",EscStr(N70),";")))</f>
        <v>;"NavNode_L3D_525336";"NTC-motstånd (hög temperatur)";</v>
      </c>
      <c r="AH70" s="39" t="str">
        <f>IF(getCategoryLevelAsString($B70)="L0D_324785","",IF(O70="",CONCATENATE(";",EscStr(CONCATENATE("NavNode_",getCategoryLevelAsString($B70))),";",EscStr($J70),";"),CONCATENATE(";",EscStr(CONCATENATE("NavNode_",getCategoryLevelAsString($B70))),";",EscStr(O70),";")))</f>
        <v>;"NavNode_L3D_525336";"NTC takistid (kõrge temperatuur)";</v>
      </c>
      <c r="AI70" s="39" t="str">
        <f>IF(getCategoryLevelAsString($B70)="L0D_324785","",IF(P70="",CONCATENATE(";",EscStr(CONCATENATE("NavNode_",getCategoryLevelAsString($B70))),";",EscStr($J70),";"),CONCATENATE(";",EscStr(CONCATENATE("NavNode_",getCategoryLevelAsString($B70))),";",EscStr(P70),";")))</f>
        <v>;"NavNode_L3D_525336";"NTC vastukset";</v>
      </c>
      <c r="AJ70" s="39" t="str">
        <f>IF(getCategoryLevelAsString($B70)="L0D_324785","",IF(Q70="",CONCATENATE(";",EscStr(CONCATENATE("NavNode_",getCategoryLevelAsString($B70))),";",EscStr($J70),";"),CONCATENATE(";",EscStr(CONCATENATE("NavNode_",getCategoryLevelAsString($B70))),";",EscStr(Q70),";")))</f>
        <v>;"NavNode_L3D_525336";"NTC termistori (augstas temperatūras)";</v>
      </c>
      <c r="AK70" s="39" t="str">
        <f>IF(getCategoryLevelAsString($B70)="L0D_324785","",IF(R70="",CONCATENATE(";",EscStr(CONCATENATE("NavNode_",getCategoryLevelAsString($B70))),";",EscStr($J70),";"),CONCATENATE(";",EscStr(CONCATENATE("NavNode_",getCategoryLevelAsString($B70))),";",EscStr(R70),";")))</f>
        <v>;"NavNode_L3D_525336";"NTC weerstanden (hoge temperaturen)";</v>
      </c>
      <c r="AL70" s="39" t="str">
        <f>IF(getCategoryLevelAsString($B70)="L0D_324785","",IF(S70="",CONCATENATE(";",EscStr(CONCATENATE("NavNode_",getCategoryLevelAsString($B70))),";",EscStr($J70),";"),CONCATENATE(";",EscStr(CONCATENATE("NavNode_",getCategoryLevelAsString($B70))),";",EscStr(S70),";")))</f>
        <v>;"NavNode_L3D_525336";"Termistory NTC";</v>
      </c>
      <c r="AM70" s="39" t="str">
        <f>IF(getCategoryLevelAsString($B70)="L0D_324785","",IF(T70="",CONCATENATE(";",EscStr(CONCATENATE("NavNode_",getCategoryLevelAsString($B70))),";",EscStr($J70),";"),CONCATENATE(";",EscStr(CONCATENATE("NavNode_",getCategoryLevelAsString($B70))),";",EscStr(T70),";")))</f>
        <v>;"NavNode_L3D_525336";"NTC резисторы (высокотемпературные)";</v>
      </c>
      <c r="AN70" s="39" t="str">
        <f>IF(getCategoryLevelAsString($B70)="L0D_324785","",IF(U70="",CONCATENATE(";",EscStr(CONCATENATE("NavNode_",getCategoryLevelAsString($B70))),";",EscStr($J70),";"),CONCATENATE(";",EscStr(CONCATENATE("NavNode_",getCategoryLevelAsString($B70))),";",EscStr(U70),";")))</f>
        <v>;"NavNode_L3D_525336";"Rezistory NTC (pro vysoké teploty)";</v>
      </c>
      <c r="AO70" s="39" t="str">
        <f>IF(getCategoryLevelAsString($B70)="L0D_324785","",IF(V70="",CONCATENATE(";",EscStr(CONCATENATE("NavNode_",getCategoryLevelAsString($B70))),";",EscStr($J70),";"),CONCATENATE(";",EscStr(CONCATENATE("NavNode_",getCategoryLevelAsString($B70))),";",EscStr(V70),";")))</f>
        <v>;"NavNode_L3D_525336";"Rezistori NTC (temperatură înaltă)";</v>
      </c>
      <c r="AP70" s="39" t="str">
        <f>IF(getCategoryLevelAsString($B70)="L0D_324785","",IF(W70="",CONCATENATE(";",EscStr(CONCATENATE("NavNode_",getCategoryLevelAsString($B70))),";",EscStr($J70),";"),CONCATENATE(";",EscStr(CONCATENATE("NavNode_",getCategoryLevelAsString($B70))),";",EscStr(W70),";")))</f>
        <v>;"NavNode_L3D_525336";"NTC-ellenállások (magas hőmérsékletre)";</v>
      </c>
      <c r="AQ70" s="39" t="str">
        <f>IF(getCategoryLevelAsString($B70)="L0D_324785","",IF(X70="",CONCATENATE(";",EscStr(CONCATENATE("NavNode_",getCategoryLevelAsString($B70))),";",EscStr($J70),";"),CONCATENATE(";",EscStr(CONCATENATE("NavNode_",getCategoryLevelAsString($B70))),";",EscStr(X70),";")))</f>
        <v>;"NavNode_L3D_525336";"NTC rezistory (vysoká teplota)";</v>
      </c>
      <c r="AR70" s="39" t="str">
        <f>IF(OR($A70&lt;&gt;"", $G70=""),"",CONCATENATE(";",EscStr(CONCATENATE("NavEntry_",getCategoryLevelAsString($B70))),";",EscStr(CONCATENATE($J70," Navigation Entry")),";",EscStr(CONCATENATE("cat-",getCategoryLevelAsString($B70))),";",EscStr(CONCATENATE("NavNode_",getCategoryLevelAsString($B70))),";"))</f>
        <v>;"NavEntry_L3D_525336";"NTC Resistors (High Temperature) Navigation Entry";"cat-L3D_525336";"NavNode_L3D_525336";</v>
      </c>
    </row>
    <row r="71" spans="1:44" s="34" customFormat="1" ht="15" x14ac:dyDescent="0.25">
      <c r="A71" s="25"/>
      <c r="B71" s="5"/>
      <c r="C71" s="5"/>
      <c r="D71" s="5" t="s">
        <v>6323</v>
      </c>
      <c r="E71" s="5"/>
      <c r="F71" s="5"/>
      <c r="G71" s="5" t="s">
        <v>6325</v>
      </c>
      <c r="H71" s="5" t="s">
        <v>13614</v>
      </c>
      <c r="I71" s="5" t="s">
        <v>13702</v>
      </c>
      <c r="J71" s="5" t="s">
        <v>6324</v>
      </c>
      <c r="K71" s="5" t="s">
        <v>13796</v>
      </c>
      <c r="L71" s="5" t="s">
        <v>15110</v>
      </c>
      <c r="M71" s="5" t="s">
        <v>13886</v>
      </c>
      <c r="N71" s="5" t="s">
        <v>13939</v>
      </c>
      <c r="O71" s="5" t="s">
        <v>14057</v>
      </c>
      <c r="P71" s="5" t="s">
        <v>14149</v>
      </c>
      <c r="Q71" s="5" t="s">
        <v>14234</v>
      </c>
      <c r="R71" s="5" t="s">
        <v>14313</v>
      </c>
      <c r="S71" s="5" t="s">
        <v>14409</v>
      </c>
      <c r="T71" s="5" t="s">
        <v>14499</v>
      </c>
      <c r="U71" s="5" t="s">
        <v>14587</v>
      </c>
      <c r="V71" s="5" t="s">
        <v>14674</v>
      </c>
      <c r="W71" s="5" t="s">
        <v>14760</v>
      </c>
      <c r="X71" s="5" t="s">
        <v>14587</v>
      </c>
      <c r="Y71" s="39" t="str">
        <f>IF(OR($A71&lt;&gt;"", $G71=""),"",CONCATENATE(";",EscStr(CONCATENATE("NavNode_",getCategoryLevelAsString($B71))),";",EscStr($J71),";",IF($B71&lt;&gt;"","""MainCategoryNavNode""",EscStr(CONCATENATE("NavNode_",getSuperCategory($B71, getCategoryLevelAsNumber($B71))))),";"))</f>
        <v>;"NavNode_L3D_525337";"PTC Resistors (Low Temperature)";"NavNode_L2-3D_528721";</v>
      </c>
      <c r="Z71" s="39" t="str">
        <f>IF(getCategoryLevelAsString($B71)="L0D_324785","",IF(G71="",CONCATENATE(";",EscStr(CONCATENATE("NavNode_",getCategoryLevelAsString($B71))),";",EscStr($J71),";"),CONCATENATE(";",EscStr(CONCATENATE("NavNode_",getCategoryLevelAsString($B71))),";",EscStr(G71),";")))</f>
        <v>;"NavNode_L3D_525337";"PTC-Widerstände (niedrige Temperatur)";</v>
      </c>
      <c r="AA71" s="39" t="str">
        <f>IF(getCategoryLevelAsString($B71)="L0D_324785","",IF(H71="",CONCATENATE(";",EscStr(CONCATENATE("NavNode_",getCategoryLevelAsString($B71))),";",EscStr($J71),";"),CONCATENATE(";",EscStr(CONCATENATE("NavNode_",getCategoryLevelAsString($B71))),";",EscStr(H71),";")))</f>
        <v>;"NavNode_L3D_525337";"Résistances PTC (basse température)";</v>
      </c>
      <c r="AB71" s="39" t="str">
        <f>IF(getCategoryLevelAsString($B71)="L0D_324785","",IF(I71="",CONCATENATE(";",EscStr(CONCATENATE("NavNode_",getCategoryLevelAsString($B71))),";",EscStr($J71),";"),CONCATENATE(";",EscStr(CONCATENATE("NavNode_",getCategoryLevelAsString($B71))),";",EscStr(I71),";")))</f>
        <v>;"NavNode_L3D_525337";"Resistenze PTC (bassa temperatura)";</v>
      </c>
      <c r="AC71" s="39" t="str">
        <f>IF(getCategoryLevelAsString($B71)="L0D_324785","",IF(J71="",CONCATENATE(";",EscStr(CONCATENATE("NavNode_",getCategoryLevelAsString($B71))),";",EscStr($J71),";"),CONCATENATE(";",EscStr(CONCATENATE("NavNode_",getCategoryLevelAsString($B71))),";",EscStr(J71),";")))</f>
        <v>;"NavNode_L3D_525337";"PTC Resistors (Low Temperature)";</v>
      </c>
      <c r="AD71" s="39" t="str">
        <f>IF(getCategoryLevelAsString($B71)="L0D_324785","",IF(K71="",CONCATENATE(";",EscStr(CONCATENATE("NavNode_",getCategoryLevelAsString($B71))),";",EscStr($J71),";"),CONCATENATE(";",EscStr(CONCATENATE("NavNode_",getCategoryLevelAsString($B71))),";",EscStr(K71),";")))</f>
        <v>;"NavNode_L3D_525337";"PTC-modstanden (lavtemperatur)";</v>
      </c>
      <c r="AE71" s="39" t="str">
        <f>IF(getCategoryLevelAsString($B71)="L0D_324785","",IF(L71="",CONCATENATE(";",EscStr(CONCATENATE("NavNode_",getCategoryLevelAsString($B71))),";",EscStr($J71),";"),CONCATENATE(";",EscStr(CONCATENATE("NavNode_",getCategoryLevelAsString($B71))),";",EscStr(L71),";")))</f>
        <v>;"NavNode_L3D_525337";"PTC rezistoriai (žemos temperatūros)";</v>
      </c>
      <c r="AF71" s="39" t="str">
        <f>IF(getCategoryLevelAsString($B71)="L0D_324785","",IF(M71="",CONCATENATE(";",EscStr(CONCATENATE("NavNode_",getCategoryLevelAsString($B71))),";",EscStr($J71),";"),CONCATENATE(";",EscStr(CONCATENATE("NavNode_",getCategoryLevelAsString($B71))),";",EscStr(M71),";")))</f>
        <v>;"NavNode_L3D_525337";"PTC-motstander (lav temperatur)";</v>
      </c>
      <c r="AG71" s="39" t="str">
        <f>IF(getCategoryLevelAsString($B71)="L0D_324785","",IF(N71="",CONCATENATE(";",EscStr(CONCATENATE("NavNode_",getCategoryLevelAsString($B71))),";",EscStr($J71),";"),CONCATENATE(";",EscStr(CONCATENATE("NavNode_",getCategoryLevelAsString($B71))),";",EscStr(N71),";")))</f>
        <v>;"NavNode_L3D_525337";"PTC-motstånd (låg temperatur)";</v>
      </c>
      <c r="AH71" s="39" t="str">
        <f>IF(getCategoryLevelAsString($B71)="L0D_324785","",IF(O71="",CONCATENATE(";",EscStr(CONCATENATE("NavNode_",getCategoryLevelAsString($B71))),";",EscStr($J71),";"),CONCATENATE(";",EscStr(CONCATENATE("NavNode_",getCategoryLevelAsString($B71))),";",EscStr(O71),";")))</f>
        <v>;"NavNode_L3D_525337";"PTC takistid (madal temperatuur)";</v>
      </c>
      <c r="AI71" s="39" t="str">
        <f>IF(getCategoryLevelAsString($B71)="L0D_324785","",IF(P71="",CONCATENATE(";",EscStr(CONCATENATE("NavNode_",getCategoryLevelAsString($B71))),";",EscStr($J71),";"),CONCATENATE(";",EscStr(CONCATENATE("NavNode_",getCategoryLevelAsString($B71))),";",EscStr(P71),";")))</f>
        <v>;"NavNode_L3D_525337";"PTC vastukset";</v>
      </c>
      <c r="AJ71" s="39" t="str">
        <f>IF(getCategoryLevelAsString($B71)="L0D_324785","",IF(Q71="",CONCATENATE(";",EscStr(CONCATENATE("NavNode_",getCategoryLevelAsString($B71))),";",EscStr($J71),";"),CONCATENATE(";",EscStr(CONCATENATE("NavNode_",getCategoryLevelAsString($B71))),";",EscStr(Q71),";")))</f>
        <v>;"NavNode_L3D_525337";"PTC termistori (zemas temperatūras)";</v>
      </c>
      <c r="AK71" s="39" t="str">
        <f>IF(getCategoryLevelAsString($B71)="L0D_324785","",IF(R71="",CONCATENATE(";",EscStr(CONCATENATE("NavNode_",getCategoryLevelAsString($B71))),";",EscStr($J71),";"),CONCATENATE(";",EscStr(CONCATENATE("NavNode_",getCategoryLevelAsString($B71))),";",EscStr(R71),";")))</f>
        <v>;"NavNode_L3D_525337";"PTC weerstanden (lage temperaturen)";</v>
      </c>
      <c r="AL71" s="39" t="str">
        <f>IF(getCategoryLevelAsString($B71)="L0D_324785","",IF(S71="",CONCATENATE(";",EscStr(CONCATENATE("NavNode_",getCategoryLevelAsString($B71))),";",EscStr($J71),";"),CONCATENATE(";",EscStr(CONCATENATE("NavNode_",getCategoryLevelAsString($B71))),";",EscStr(S71),";")))</f>
        <v>;"NavNode_L3D_525337";"Termistory PTC";</v>
      </c>
      <c r="AM71" s="39" t="str">
        <f>IF(getCategoryLevelAsString($B71)="L0D_324785","",IF(T71="",CONCATENATE(";",EscStr(CONCATENATE("NavNode_",getCategoryLevelAsString($B71))),";",EscStr($J71),";"),CONCATENATE(";",EscStr(CONCATENATE("NavNode_",getCategoryLevelAsString($B71))),";",EscStr(T71),";")))</f>
        <v>;"NavNode_L3D_525337";"PTC резисторы (низкотемпературные)";</v>
      </c>
      <c r="AN71" s="39" t="str">
        <f>IF(getCategoryLevelAsString($B71)="L0D_324785","",IF(U71="",CONCATENATE(";",EscStr(CONCATENATE("NavNode_",getCategoryLevelAsString($B71))),";",EscStr($J71),";"),CONCATENATE(";",EscStr(CONCATENATE("NavNode_",getCategoryLevelAsString($B71))),";",EscStr(U71),";")))</f>
        <v>;"NavNode_L3D_525337";"Rezistory PTC (nízka teplota)";</v>
      </c>
      <c r="AO71" s="39" t="str">
        <f>IF(getCategoryLevelAsString($B71)="L0D_324785","",IF(V71="",CONCATENATE(";",EscStr(CONCATENATE("NavNode_",getCategoryLevelAsString($B71))),";",EscStr($J71),";"),CONCATENATE(";",EscStr(CONCATENATE("NavNode_",getCategoryLevelAsString($B71))),";",EscStr(V71),";")))</f>
        <v>;"NavNode_L3D_525337";"Rezistenţe PTC (temperatură scăzută)";</v>
      </c>
      <c r="AP71" s="39" t="str">
        <f>IF(getCategoryLevelAsString($B71)="L0D_324785","",IF(W71="",CONCATENATE(";",EscStr(CONCATENATE("NavNode_",getCategoryLevelAsString($B71))),";",EscStr($J71),";"),CONCATENATE(";",EscStr(CONCATENATE("NavNode_",getCategoryLevelAsString($B71))),";",EscStr(W71),";")))</f>
        <v>;"NavNode_L3D_525337";"PTC-ellenállások (alacsony feszültségre)";</v>
      </c>
      <c r="AQ71" s="39" t="str">
        <f>IF(getCategoryLevelAsString($B71)="L0D_324785","",IF(X71="",CONCATENATE(";",EscStr(CONCATENATE("NavNode_",getCategoryLevelAsString($B71))),";",EscStr($J71),";"),CONCATENATE(";",EscStr(CONCATENATE("NavNode_",getCategoryLevelAsString($B71))),";",EscStr(X71),";")))</f>
        <v>;"NavNode_L3D_525337";"Rezistory PTC (nízka teplota)";</v>
      </c>
      <c r="AR71" s="39" t="str">
        <f>IF(OR($A71&lt;&gt;"", $G71=""),"",CONCATENATE(";",EscStr(CONCATENATE("NavEntry_",getCategoryLevelAsString($B71))),";",EscStr(CONCATENATE($J71," Navigation Entry")),";",EscStr(CONCATENATE("cat-",getCategoryLevelAsString($B71))),";",EscStr(CONCATENATE("NavNode_",getCategoryLevelAsString($B71))),";"))</f>
        <v>;"NavEntry_L3D_525337";"PTC Resistors (Low Temperature) Navigation Entry";"cat-L3D_525337";"NavNode_L3D_525337";</v>
      </c>
    </row>
    <row r="72" spans="1:44" s="34" customFormat="1" ht="15" x14ac:dyDescent="0.25">
      <c r="A72" s="25"/>
      <c r="B72" s="5"/>
      <c r="C72" s="5"/>
      <c r="D72" s="5" t="s">
        <v>6337</v>
      </c>
      <c r="E72" s="5"/>
      <c r="F72" s="5"/>
      <c r="G72" s="5" t="s">
        <v>6339</v>
      </c>
      <c r="H72" s="5" t="s">
        <v>13615</v>
      </c>
      <c r="I72" s="5" t="s">
        <v>13703</v>
      </c>
      <c r="J72" s="5" t="s">
        <v>6338</v>
      </c>
      <c r="K72" s="5" t="s">
        <v>13797</v>
      </c>
      <c r="L72" s="5" t="s">
        <v>15111</v>
      </c>
      <c r="M72" s="5" t="s">
        <v>13887</v>
      </c>
      <c r="N72" s="47" t="s">
        <v>15440</v>
      </c>
      <c r="O72" s="5" t="s">
        <v>14058</v>
      </c>
      <c r="P72" s="5" t="s">
        <v>14150</v>
      </c>
      <c r="Q72" s="5" t="s">
        <v>14235</v>
      </c>
      <c r="R72" s="5" t="s">
        <v>14314</v>
      </c>
      <c r="S72" s="5" t="s">
        <v>14410</v>
      </c>
      <c r="T72" s="5" t="s">
        <v>14500</v>
      </c>
      <c r="U72" s="5" t="s">
        <v>14588</v>
      </c>
      <c r="V72" s="5" t="s">
        <v>14675</v>
      </c>
      <c r="W72" s="5" t="s">
        <v>14761</v>
      </c>
      <c r="X72" s="5" t="s">
        <v>14588</v>
      </c>
      <c r="Y72" s="39" t="str">
        <f>IF(OR($A72&lt;&gt;"", $G72=""),"",CONCATENATE(";",EscStr(CONCATENATE("NavNode_",getCategoryLevelAsString($B72))),";",EscStr($J72),";",IF($B72&lt;&gt;"","""MainCategoryNavNode""",EscStr(CONCATENATE("NavNode_",getSuperCategory($B72, getCategoryLevelAsNumber($B72))))),";"))</f>
        <v>;"NavNode_L3D_525338";"SMD and Film Resistors";"NavNode_L2-3D_528721";</v>
      </c>
      <c r="Z72" s="39" t="str">
        <f>IF(getCategoryLevelAsString($B72)="L0D_324785","",IF(G72="",CONCATENATE(";",EscStr(CONCATENATE("NavNode_",getCategoryLevelAsString($B72))),";",EscStr($J72),";"),CONCATENATE(";",EscStr(CONCATENATE("NavNode_",getCategoryLevelAsString($B72))),";",EscStr(G72),";")))</f>
        <v>;"NavNode_L3D_525338";"SMD- und Schichtwiderstände";</v>
      </c>
      <c r="AA72" s="39" t="str">
        <f>IF(getCategoryLevelAsString($B72)="L0D_324785","",IF(H72="",CONCATENATE(";",EscStr(CONCATENATE("NavNode_",getCategoryLevelAsString($B72))),";",EscStr($J72),";"),CONCATENATE(";",EscStr(CONCATENATE("NavNode_",getCategoryLevelAsString($B72))),";",EscStr(H72),";")))</f>
        <v>;"NavNode_L3D_525338";"Résistances à couche et CMS";</v>
      </c>
      <c r="AB72" s="39" t="str">
        <f>IF(getCategoryLevelAsString($B72)="L0D_324785","",IF(I72="",CONCATENATE(";",EscStr(CONCATENATE("NavNode_",getCategoryLevelAsString($B72))),";",EscStr($J72),";"),CONCATENATE(";",EscStr(CONCATENATE("NavNode_",getCategoryLevelAsString($B72))),";",EscStr(I72),";")))</f>
        <v>;"NavNode_L3D_525338";"Resistenze a film e SMD";</v>
      </c>
      <c r="AC72" s="39" t="str">
        <f>IF(getCategoryLevelAsString($B72)="L0D_324785","",IF(J72="",CONCATENATE(";",EscStr(CONCATENATE("NavNode_",getCategoryLevelAsString($B72))),";",EscStr($J72),";"),CONCATENATE(";",EscStr(CONCATENATE("NavNode_",getCategoryLevelAsString($B72))),";",EscStr(J72),";")))</f>
        <v>;"NavNode_L3D_525338";"SMD and Film Resistors";</v>
      </c>
      <c r="AD72" s="39" t="str">
        <f>IF(getCategoryLevelAsString($B72)="L0D_324785","",IF(K72="",CONCATENATE(";",EscStr(CONCATENATE("NavNode_",getCategoryLevelAsString($B72))),";",EscStr($J72),";"),CONCATENATE(";",EscStr(CONCATENATE("NavNode_",getCategoryLevelAsString($B72))),";",EscStr(K72),";")))</f>
        <v>;"NavNode_L3D_525338";"SMD- og filmmodstande";</v>
      </c>
      <c r="AE72" s="39" t="str">
        <f>IF(getCategoryLevelAsString($B72)="L0D_324785","",IF(L72="",CONCATENATE(";",EscStr(CONCATENATE("NavNode_",getCategoryLevelAsString($B72))),";",EscStr($J72),";"),CONCATENATE(";",EscStr(CONCATENATE("NavNode_",getCategoryLevelAsString($B72))),";",EscStr(L72),";")))</f>
        <v>;"NavNode_L3D_525338";"SMD ir juostiniai rezistoriai";</v>
      </c>
      <c r="AF72" s="39" t="str">
        <f>IF(getCategoryLevelAsString($B72)="L0D_324785","",IF(M72="",CONCATENATE(";",EscStr(CONCATENATE("NavNode_",getCategoryLevelAsString($B72))),";",EscStr($J72),";"),CONCATENATE(";",EscStr(CONCATENATE("NavNode_",getCategoryLevelAsString($B72))),";",EscStr(M72),";")))</f>
        <v>;"NavNode_L3D_525338";"Overflatemonterte motstander og filmmotstander";</v>
      </c>
      <c r="AG72" s="39" t="str">
        <f>IF(getCategoryLevelAsString($B72)="L0D_324785","",IF(N72="",CONCATENATE(";",EscStr(CONCATENATE("NavNode_",getCategoryLevelAsString($B72))),";",EscStr($J72),";"),CONCATENATE(";",EscStr(CONCATENATE("NavNode_",getCategoryLevelAsString($B72))),";",EscStr(N72),";")))</f>
        <v>;"NavNode_L3D_525338";"SMD- och filmmotstånd";</v>
      </c>
      <c r="AH72" s="39" t="str">
        <f>IF(getCategoryLevelAsString($B72)="L0D_324785","",IF(O72="",CONCATENATE(";",EscStr(CONCATENATE("NavNode_",getCategoryLevelAsString($B72))),";",EscStr($J72),";"),CONCATENATE(";",EscStr(CONCATENATE("NavNode_",getCategoryLevelAsString($B72))),";",EscStr(O72),";")))</f>
        <v>;"NavNode_L3D_525338";"SMD ja kihttakistid";</v>
      </c>
      <c r="AI72" s="39" t="str">
        <f>IF(getCategoryLevelAsString($B72)="L0D_324785","",IF(P72="",CONCATENATE(";",EscStr(CONCATENATE("NavNode_",getCategoryLevelAsString($B72))),";",EscStr($J72),";"),CONCATENATE(";",EscStr(CONCATENATE("NavNode_",getCategoryLevelAsString($B72))),";",EscStr(P72),";")))</f>
        <v>;"NavNode_L3D_525338";"Pintaliitos ja MK vastukset";</v>
      </c>
      <c r="AJ72" s="39" t="str">
        <f>IF(getCategoryLevelAsString($B72)="L0D_324785","",IF(Q72="",CONCATENATE(";",EscStr(CONCATENATE("NavNode_",getCategoryLevelAsString($B72))),";",EscStr($J72),";"),CONCATENATE(";",EscStr(CONCATENATE("NavNode_",getCategoryLevelAsString($B72))),";",EscStr(Q72),";")))</f>
        <v>;"NavNode_L3D_525338";"SMD un plēves rezistori";</v>
      </c>
      <c r="AK72" s="39" t="str">
        <f>IF(getCategoryLevelAsString($B72)="L0D_324785","",IF(R72="",CONCATENATE(";",EscStr(CONCATENATE("NavNode_",getCategoryLevelAsString($B72))),";",EscStr($J72),";"),CONCATENATE(";",EscStr(CONCATENATE("NavNode_",getCategoryLevelAsString($B72))),";",EscStr(R72),";")))</f>
        <v>;"NavNode_L3D_525338";"SMD and metaalfilmweerstanden";</v>
      </c>
      <c r="AL72" s="39" t="str">
        <f>IF(getCategoryLevelAsString($B72)="L0D_324785","",IF(S72="",CONCATENATE(";",EscStr(CONCATENATE("NavNode_",getCategoryLevelAsString($B72))),";",EscStr($J72),";"),CONCATENATE(";",EscStr(CONCATENATE("NavNode_",getCategoryLevelAsString($B72))),";",EscStr(S72),";")))</f>
        <v>;"NavNode_L3D_525338";"Rezystory warstwowe i SMD";</v>
      </c>
      <c r="AM72" s="39" t="str">
        <f>IF(getCategoryLevelAsString($B72)="L0D_324785","",IF(T72="",CONCATENATE(";",EscStr(CONCATENATE("NavNode_",getCategoryLevelAsString($B72))),";",EscStr($J72),";"),CONCATENATE(";",EscStr(CONCATENATE("NavNode_",getCategoryLevelAsString($B72))),";",EscStr(T72),";")))</f>
        <v>;"NavNode_L3D_525338";"Керамические Резисторы SMD и пленочные Резисторы";</v>
      </c>
      <c r="AN72" s="39" t="str">
        <f>IF(getCategoryLevelAsString($B72)="L0D_324785","",IF(U72="",CONCATENATE(";",EscStr(CONCATENATE("NavNode_",getCategoryLevelAsString($B72))),";",EscStr($J72),";"),CONCATENATE(";",EscStr(CONCATENATE("NavNode_",getCategoryLevelAsString($B72))),";",EscStr(U72),";")))</f>
        <v>;"NavNode_L3D_525338";"Rezistory SMD a vrstvové";</v>
      </c>
      <c r="AO72" s="39" t="str">
        <f>IF(getCategoryLevelAsString($B72)="L0D_324785","",IF(V72="",CONCATENATE(";",EscStr(CONCATENATE("NavNode_",getCategoryLevelAsString($B72))),";",EscStr($J72),";"),CONCATENATE(";",EscStr(CONCATENATE("NavNode_",getCategoryLevelAsString($B72))),";",EscStr(V72),";")))</f>
        <v>;"NavNode_L3D_525338";"Rezistenţe SMD şi stratificate";</v>
      </c>
      <c r="AP72" s="39" t="str">
        <f>IF(getCategoryLevelAsString($B72)="L0D_324785","",IF(W72="",CONCATENATE(";",EscStr(CONCATENATE("NavNode_",getCategoryLevelAsString($B72))),";",EscStr($J72),";"),CONCATENATE(";",EscStr(CONCATENATE("NavNode_",getCategoryLevelAsString($B72))),";",EscStr(W72),";")))</f>
        <v>;"NavNode_L3D_525338";"SMD és filmréteg ellenállások";</v>
      </c>
      <c r="AQ72" s="39" t="str">
        <f>IF(getCategoryLevelAsString($B72)="L0D_324785","",IF(X72="",CONCATENATE(";",EscStr(CONCATENATE("NavNode_",getCategoryLevelAsString($B72))),";",EscStr($J72),";"),CONCATENATE(";",EscStr(CONCATENATE("NavNode_",getCategoryLevelAsString($B72))),";",EscStr(X72),";")))</f>
        <v>;"NavNode_L3D_525338";"Rezistory SMD a vrstvové";</v>
      </c>
      <c r="AR72" s="39" t="str">
        <f>IF(OR($A72&lt;&gt;"", $G72=""),"",CONCATENATE(";",EscStr(CONCATENATE("NavEntry_",getCategoryLevelAsString($B72))),";",EscStr(CONCATENATE($J72," Navigation Entry")),";",EscStr(CONCATENATE("cat-",getCategoryLevelAsString($B72))),";",EscStr(CONCATENATE("NavNode_",getCategoryLevelAsString($B72))),";"))</f>
        <v>;"NavEntry_L3D_525338";"SMD and Film Resistors Navigation Entry";"cat-L3D_525338";"NavNode_L3D_525338";</v>
      </c>
    </row>
    <row r="73" spans="1:44" s="34" customFormat="1" ht="15" x14ac:dyDescent="0.25">
      <c r="A73" s="25"/>
      <c r="B73" s="5"/>
      <c r="C73" s="5"/>
      <c r="D73" s="5" t="s">
        <v>6371</v>
      </c>
      <c r="E73" s="5"/>
      <c r="F73" s="5"/>
      <c r="G73" s="5" t="s">
        <v>6373</v>
      </c>
      <c r="H73" s="5" t="s">
        <v>13616</v>
      </c>
      <c r="I73" s="5" t="s">
        <v>13704</v>
      </c>
      <c r="J73" s="5" t="s">
        <v>6372</v>
      </c>
      <c r="K73" s="5" t="s">
        <v>13798</v>
      </c>
      <c r="L73" s="5" t="s">
        <v>15112</v>
      </c>
      <c r="M73" s="5" t="s">
        <v>13888</v>
      </c>
      <c r="N73" s="5" t="s">
        <v>13940</v>
      </c>
      <c r="O73" s="5" t="s">
        <v>14059</v>
      </c>
      <c r="P73" s="5" t="s">
        <v>14151</v>
      </c>
      <c r="Q73" s="5" t="s">
        <v>14236</v>
      </c>
      <c r="R73" s="5" t="s">
        <v>14315</v>
      </c>
      <c r="S73" s="5" t="s">
        <v>14411</v>
      </c>
      <c r="T73" s="5" t="s">
        <v>14501</v>
      </c>
      <c r="U73" s="5" t="s">
        <v>14589</v>
      </c>
      <c r="V73" s="5" t="s">
        <v>14676</v>
      </c>
      <c r="W73" s="5" t="s">
        <v>14762</v>
      </c>
      <c r="X73" s="5" t="s">
        <v>14833</v>
      </c>
      <c r="Y73" s="39" t="str">
        <f>IF(OR($A73&lt;&gt;"", $G73=""),"",CONCATENATE(";",EscStr(CONCATENATE("NavNode_",getCategoryLevelAsString($B73))),";",EscStr($J73),";",IF($B73&lt;&gt;"","""MainCategoryNavNode""",EscStr(CONCATENATE("NavNode_",getSuperCategory($B73, getCategoryLevelAsNumber($B73))))),";"))</f>
        <v>;"NavNode_L3D_525339";"Resistor Networks";"NavNode_L2-3D_528721";</v>
      </c>
      <c r="Z73" s="39" t="str">
        <f>IF(getCategoryLevelAsString($B73)="L0D_324785","",IF(G73="",CONCATENATE(";",EscStr(CONCATENATE("NavNode_",getCategoryLevelAsString($B73))),";",EscStr($J73),";"),CONCATENATE(";",EscStr(CONCATENATE("NavNode_",getCategoryLevelAsString($B73))),";",EscStr(G73),";")))</f>
        <v>;"NavNode_L3D_525339";"Widerstandsnetzwerke";</v>
      </c>
      <c r="AA73" s="39" t="str">
        <f>IF(getCategoryLevelAsString($B73)="L0D_324785","",IF(H73="",CONCATENATE(";",EscStr(CONCATENATE("NavNode_",getCategoryLevelAsString($B73))),";",EscStr($J73),";"),CONCATENATE(";",EscStr(CONCATENATE("NavNode_",getCategoryLevelAsString($B73))),";",EscStr(H73),";")))</f>
        <v>;"NavNode_L3D_525339";"Réseaux de résistances";</v>
      </c>
      <c r="AB73" s="39" t="str">
        <f>IF(getCategoryLevelAsString($B73)="L0D_324785","",IF(I73="",CONCATENATE(";",EscStr(CONCATENATE("NavNode_",getCategoryLevelAsString($B73))),";",EscStr($J73),";"),CONCATENATE(";",EscStr(CONCATENATE("NavNode_",getCategoryLevelAsString($B73))),";",EscStr(I73),";")))</f>
        <v>;"NavNode_L3D_525339";"Reti resistive";</v>
      </c>
      <c r="AC73" s="39" t="str">
        <f>IF(getCategoryLevelAsString($B73)="L0D_324785","",IF(J73="",CONCATENATE(";",EscStr(CONCATENATE("NavNode_",getCategoryLevelAsString($B73))),";",EscStr($J73),";"),CONCATENATE(";",EscStr(CONCATENATE("NavNode_",getCategoryLevelAsString($B73))),";",EscStr(J73),";")))</f>
        <v>;"NavNode_L3D_525339";"Resistor Networks";</v>
      </c>
      <c r="AD73" s="39" t="str">
        <f>IF(getCategoryLevelAsString($B73)="L0D_324785","",IF(K73="",CONCATENATE(";",EscStr(CONCATENATE("NavNode_",getCategoryLevelAsString($B73))),";",EscStr($J73),";"),CONCATENATE(";",EscStr(CONCATENATE("NavNode_",getCategoryLevelAsString($B73))),";",EscStr(K73),";")))</f>
        <v>;"NavNode_L3D_525339";"Modstandsnetværk";</v>
      </c>
      <c r="AE73" s="39" t="str">
        <f>IF(getCategoryLevelAsString($B73)="L0D_324785","",IF(L73="",CONCATENATE(";",EscStr(CONCATENATE("NavNode_",getCategoryLevelAsString($B73))),";",EscStr($J73),";"),CONCATENATE(";",EscStr(CONCATENATE("NavNode_",getCategoryLevelAsString($B73))),";",EscStr(L73),";")))</f>
        <v>;"NavNode_L3D_525339";"Rezistorių tinklai";</v>
      </c>
      <c r="AF73" s="39" t="str">
        <f>IF(getCategoryLevelAsString($B73)="L0D_324785","",IF(M73="",CONCATENATE(";",EscStr(CONCATENATE("NavNode_",getCategoryLevelAsString($B73))),";",EscStr($J73),";"),CONCATENATE(";",EscStr(CONCATENATE("NavNode_",getCategoryLevelAsString($B73))),";",EscStr(M73),";")))</f>
        <v>;"NavNode_L3D_525339";"Motstandsnettverk";</v>
      </c>
      <c r="AG73" s="39" t="str">
        <f>IF(getCategoryLevelAsString($B73)="L0D_324785","",IF(N73="",CONCATENATE(";",EscStr(CONCATENATE("NavNode_",getCategoryLevelAsString($B73))),";",EscStr($J73),";"),CONCATENATE(";",EscStr(CONCATENATE("NavNode_",getCategoryLevelAsString($B73))),";",EscStr(N73),";")))</f>
        <v>;"NavNode_L3D_525339";"Motståndsnät";</v>
      </c>
      <c r="AH73" s="39" t="str">
        <f>IF(getCategoryLevelAsString($B73)="L0D_324785","",IF(O73="",CONCATENATE(";",EscStr(CONCATENATE("NavNode_",getCategoryLevelAsString($B73))),";",EscStr($J73),";"),CONCATENATE(";",EscStr(CONCATENATE("NavNode_",getCategoryLevelAsString($B73))),";",EscStr(O73),";")))</f>
        <v>;"NavNode_L3D_525339";"Takistusmaatriksid";</v>
      </c>
      <c r="AI73" s="39" t="str">
        <f>IF(getCategoryLevelAsString($B73)="L0D_324785","",IF(P73="",CONCATENATE(";",EscStr(CONCATENATE("NavNode_",getCategoryLevelAsString($B73))),";",EscStr($J73),";"),CONCATENATE(";",EscStr(CONCATENATE("NavNode_",getCategoryLevelAsString($B73))),";",EscStr(P73),";")))</f>
        <v>;"NavNode_L3D_525339";"Vastusverkot";</v>
      </c>
      <c r="AJ73" s="39" t="str">
        <f>IF(getCategoryLevelAsString($B73)="L0D_324785","",IF(Q73="",CONCATENATE(";",EscStr(CONCATENATE("NavNode_",getCategoryLevelAsString($B73))),";",EscStr($J73),";"),CONCATENATE(";",EscStr(CONCATENATE("NavNode_",getCategoryLevelAsString($B73))),";",EscStr(Q73),";")))</f>
        <v>;"NavNode_L3D_525339";"Rezistoru masīvi";</v>
      </c>
      <c r="AK73" s="39" t="str">
        <f>IF(getCategoryLevelAsString($B73)="L0D_324785","",IF(R73="",CONCATENATE(";",EscStr(CONCATENATE("NavNode_",getCategoryLevelAsString($B73))),";",EscStr($J73),";"),CONCATENATE(";",EscStr(CONCATENATE("NavNode_",getCategoryLevelAsString($B73))),";",EscStr(R73),";")))</f>
        <v>;"NavNode_L3D_525339";"Weerstandsnetwerken";</v>
      </c>
      <c r="AL73" s="39" t="str">
        <f>IF(getCategoryLevelAsString($B73)="L0D_324785","",IF(S73="",CONCATENATE(";",EscStr(CONCATENATE("NavNode_",getCategoryLevelAsString($B73))),";",EscStr($J73),";"),CONCATENATE(";",EscStr(CONCATENATE("NavNode_",getCategoryLevelAsString($B73))),";",EscStr(S73),";")))</f>
        <v>;"NavNode_L3D_525339";"Drabinki rezystorowe";</v>
      </c>
      <c r="AM73" s="39" t="str">
        <f>IF(getCategoryLevelAsString($B73)="L0D_324785","",IF(T73="",CONCATENATE(";",EscStr(CONCATENATE("NavNode_",getCategoryLevelAsString($B73))),";",EscStr($J73),";"),CONCATENATE(";",EscStr(CONCATENATE("NavNode_",getCategoryLevelAsString($B73))),";",EscStr(T73),";")))</f>
        <v>;"NavNode_L3D_525339";"Резисторные сборки";</v>
      </c>
      <c r="AN73" s="39" t="str">
        <f>IF(getCategoryLevelAsString($B73)="L0D_324785","",IF(U73="",CONCATENATE(";",EscStr(CONCATENATE("NavNode_",getCategoryLevelAsString($B73))),";",EscStr($J73),";"),CONCATENATE(";",EscStr(CONCATENATE("NavNode_",getCategoryLevelAsString($B73))),";",EscStr(U73),";")))</f>
        <v>;"NavNode_L3D_525339";"Rezistorové sítě";</v>
      </c>
      <c r="AO73" s="39" t="str">
        <f>IF(getCategoryLevelAsString($B73)="L0D_324785","",IF(V73="",CONCATENATE(";",EscStr(CONCATENATE("NavNode_",getCategoryLevelAsString($B73))),";",EscStr($J73),";"),CONCATENATE(";",EscStr(CONCATENATE("NavNode_",getCategoryLevelAsString($B73))),";",EscStr(V73),";")))</f>
        <v>;"NavNode_L3D_525339";"Reţele de rezistori";</v>
      </c>
      <c r="AP73" s="39" t="str">
        <f>IF(getCategoryLevelAsString($B73)="L0D_324785","",IF(W73="",CONCATENATE(";",EscStr(CONCATENATE("NavNode_",getCategoryLevelAsString($B73))),";",EscStr($J73),";"),CONCATENATE(";",EscStr(CONCATENATE("NavNode_",getCategoryLevelAsString($B73))),";",EscStr(W73),";")))</f>
        <v>;"NavNode_L3D_525339";"Ellenállás hálózatok";</v>
      </c>
      <c r="AQ73" s="39" t="str">
        <f>IF(getCategoryLevelAsString($B73)="L0D_324785","",IF(X73="",CONCATENATE(";",EscStr(CONCATENATE("NavNode_",getCategoryLevelAsString($B73))),";",EscStr($J73),";"),CONCATENATE(";",EscStr(CONCATENATE("NavNode_",getCategoryLevelAsString($B73))),";",EscStr(X73),";")))</f>
        <v>;"NavNode_L3D_525339";"Rezistorové siete";</v>
      </c>
      <c r="AR73" s="39" t="str">
        <f>IF(OR($A73&lt;&gt;"", $G73=""),"",CONCATENATE(";",EscStr(CONCATENATE("NavEntry_",getCategoryLevelAsString($B73))),";",EscStr(CONCATENATE($J73," Navigation Entry")),";",EscStr(CONCATENATE("cat-",getCategoryLevelAsString($B73))),";",EscStr(CONCATENATE("NavNode_",getCategoryLevelAsString($B73))),";"))</f>
        <v>;"NavEntry_L3D_525339";"Resistor Networks Navigation Entry";"cat-L3D_525339";"NavNode_L3D_525339";</v>
      </c>
    </row>
    <row r="74" spans="1:44" s="34" customFormat="1" ht="15" x14ac:dyDescent="0.25">
      <c r="A74" s="25"/>
      <c r="B74" s="5"/>
      <c r="C74" s="5"/>
      <c r="D74" s="5" t="s">
        <v>6390</v>
      </c>
      <c r="E74" s="5"/>
      <c r="F74" s="5"/>
      <c r="G74" s="5" t="s">
        <v>6392</v>
      </c>
      <c r="H74" s="5" t="s">
        <v>13617</v>
      </c>
      <c r="I74" s="5" t="s">
        <v>13705</v>
      </c>
      <c r="J74" s="5" t="s">
        <v>6391</v>
      </c>
      <c r="K74" s="5" t="s">
        <v>13799</v>
      </c>
      <c r="L74" s="5" t="s">
        <v>15113</v>
      </c>
      <c r="M74" s="5" t="s">
        <v>13889</v>
      </c>
      <c r="N74" s="5" t="s">
        <v>13941</v>
      </c>
      <c r="O74" s="5" t="s">
        <v>14060</v>
      </c>
      <c r="P74" s="5" t="s">
        <v>14152</v>
      </c>
      <c r="Q74" s="5" t="s">
        <v>14237</v>
      </c>
      <c r="R74" s="5" t="s">
        <v>14316</v>
      </c>
      <c r="S74" s="5" t="s">
        <v>14412</v>
      </c>
      <c r="T74" s="5" t="s">
        <v>14502</v>
      </c>
      <c r="U74" s="5" t="s">
        <v>14590</v>
      </c>
      <c r="V74" s="5" t="s">
        <v>14677</v>
      </c>
      <c r="W74" s="5" t="s">
        <v>14763</v>
      </c>
      <c r="X74" s="5" t="s">
        <v>14834</v>
      </c>
      <c r="Y74" s="39" t="str">
        <f>IF(OR($A74&lt;&gt;"", $G74=""),"",CONCATENATE(";",EscStr(CONCATENATE("NavNode_",getCategoryLevelAsString($B74))),";",EscStr($J74),";",IF($B74&lt;&gt;"","""MainCategoryNavNode""",EscStr(CONCATENATE("NavNode_",getSuperCategory($B74, getCategoryLevelAsNumber($B74))))),";"))</f>
        <v>;"NavNode_L3D_525340";"Precision Resistors";"NavNode_L2-3D_528721";</v>
      </c>
      <c r="Z74" s="39" t="str">
        <f>IF(getCategoryLevelAsString($B74)="L0D_324785","",IF(G74="",CONCATENATE(";",EscStr(CONCATENATE("NavNode_",getCategoryLevelAsString($B74))),";",EscStr($J74),";"),CONCATENATE(";",EscStr(CONCATENATE("NavNode_",getCategoryLevelAsString($B74))),";",EscStr(G74),";")))</f>
        <v>;"NavNode_L3D_525340";"Präzisionswiderstände";</v>
      </c>
      <c r="AA74" s="39" t="str">
        <f>IF(getCategoryLevelAsString($B74)="L0D_324785","",IF(H74="",CONCATENATE(";",EscStr(CONCATENATE("NavNode_",getCategoryLevelAsString($B74))),";",EscStr($J74),";"),CONCATENATE(";",EscStr(CONCATENATE("NavNode_",getCategoryLevelAsString($B74))),";",EscStr(H74),";")))</f>
        <v>;"NavNode_L3D_525340";"Résistances de précision";</v>
      </c>
      <c r="AB74" s="39" t="str">
        <f>IF(getCategoryLevelAsString($B74)="L0D_324785","",IF(I74="",CONCATENATE(";",EscStr(CONCATENATE("NavNode_",getCategoryLevelAsString($B74))),";",EscStr($J74),";"),CONCATENATE(";",EscStr(CONCATENATE("NavNode_",getCategoryLevelAsString($B74))),";",EscStr(I74),";")))</f>
        <v>;"NavNode_L3D_525340";"Resistenze di precisione";</v>
      </c>
      <c r="AC74" s="39" t="str">
        <f>IF(getCategoryLevelAsString($B74)="L0D_324785","",IF(J74="",CONCATENATE(";",EscStr(CONCATENATE("NavNode_",getCategoryLevelAsString($B74))),";",EscStr($J74),";"),CONCATENATE(";",EscStr(CONCATENATE("NavNode_",getCategoryLevelAsString($B74))),";",EscStr(J74),";")))</f>
        <v>;"NavNode_L3D_525340";"Precision Resistors";</v>
      </c>
      <c r="AD74" s="39" t="str">
        <f>IF(getCategoryLevelAsString($B74)="L0D_324785","",IF(K74="",CONCATENATE(";",EscStr(CONCATENATE("NavNode_",getCategoryLevelAsString($B74))),";",EscStr($J74),";"),CONCATENATE(";",EscStr(CONCATENATE("NavNode_",getCategoryLevelAsString($B74))),";",EscStr(K74),";")))</f>
        <v>;"NavNode_L3D_525340";"Præcisionsmodstande";</v>
      </c>
      <c r="AE74" s="39" t="str">
        <f>IF(getCategoryLevelAsString($B74)="L0D_324785","",IF(L74="",CONCATENATE(";",EscStr(CONCATENATE("NavNode_",getCategoryLevelAsString($B74))),";",EscStr($J74),";"),CONCATENATE(";",EscStr(CONCATENATE("NavNode_",getCategoryLevelAsString($B74))),";",EscStr(L74),";")))</f>
        <v>;"NavNode_L3D_525340";"Preciziniai rezistoriai";</v>
      </c>
      <c r="AF74" s="39" t="str">
        <f>IF(getCategoryLevelAsString($B74)="L0D_324785","",IF(M74="",CONCATENATE(";",EscStr(CONCATENATE("NavNode_",getCategoryLevelAsString($B74))),";",EscStr($J74),";"),CONCATENATE(";",EscStr(CONCATENATE("NavNode_",getCategoryLevelAsString($B74))),";",EscStr(M74),";")))</f>
        <v>;"NavNode_L3D_525340";"Presisjonsmotstander";</v>
      </c>
      <c r="AG74" s="39" t="str">
        <f>IF(getCategoryLevelAsString($B74)="L0D_324785","",IF(N74="",CONCATENATE(";",EscStr(CONCATENATE("NavNode_",getCategoryLevelAsString($B74))),";",EscStr($J74),";"),CONCATENATE(";",EscStr(CONCATENATE("NavNode_",getCategoryLevelAsString($B74))),";",EscStr(N74),";")))</f>
        <v>;"NavNode_L3D_525340";"Precisionsmotstånd";</v>
      </c>
      <c r="AH74" s="39" t="str">
        <f>IF(getCategoryLevelAsString($B74)="L0D_324785","",IF(O74="",CONCATENATE(";",EscStr(CONCATENATE("NavNode_",getCategoryLevelAsString($B74))),";",EscStr($J74),";"),CONCATENATE(";",EscStr(CONCATENATE("NavNode_",getCategoryLevelAsString($B74))),";",EscStr(O74),";")))</f>
        <v>;"NavNode_L3D_525340";"Täppistakistid";</v>
      </c>
      <c r="AI74" s="39" t="str">
        <f>IF(getCategoryLevelAsString($B74)="L0D_324785","",IF(P74="",CONCATENATE(";",EscStr(CONCATENATE("NavNode_",getCategoryLevelAsString($B74))),";",EscStr($J74),";"),CONCATENATE(";",EscStr(CONCATENATE("NavNode_",getCategoryLevelAsString($B74))),";",EscStr(P74),";")))</f>
        <v>;"NavNode_L3D_525340";"Tarkkuusvatukset";</v>
      </c>
      <c r="AJ74" s="39" t="str">
        <f>IF(getCategoryLevelAsString($B74)="L0D_324785","",IF(Q74="",CONCATENATE(";",EscStr(CONCATENATE("NavNode_",getCategoryLevelAsString($B74))),";",EscStr($J74),";"),CONCATENATE(";",EscStr(CONCATENATE("NavNode_",getCategoryLevelAsString($B74))),";",EscStr(Q74),";")))</f>
        <v>;"NavNode_L3D_525340";"Precīzie rezistori";</v>
      </c>
      <c r="AK74" s="39" t="str">
        <f>IF(getCategoryLevelAsString($B74)="L0D_324785","",IF(R74="",CONCATENATE(";",EscStr(CONCATENATE("NavNode_",getCategoryLevelAsString($B74))),";",EscStr($J74),";"),CONCATENATE(";",EscStr(CONCATENATE("NavNode_",getCategoryLevelAsString($B74))),";",EscStr(R74),";")))</f>
        <v>;"NavNode_L3D_525340";"Precisie weerstanden";</v>
      </c>
      <c r="AL74" s="39" t="str">
        <f>IF(getCategoryLevelAsString($B74)="L0D_324785","",IF(S74="",CONCATENATE(";",EscStr(CONCATENATE("NavNode_",getCategoryLevelAsString($B74))),";",EscStr($J74),";"),CONCATENATE(";",EscStr(CONCATENATE("NavNode_",getCategoryLevelAsString($B74))),";",EscStr(S74),";")))</f>
        <v>;"NavNode_L3D_525340";"Rezystory precyzyjne";</v>
      </c>
      <c r="AM74" s="39" t="str">
        <f>IF(getCategoryLevelAsString($B74)="L0D_324785","",IF(T74="",CONCATENATE(";",EscStr(CONCATENATE("NavNode_",getCategoryLevelAsString($B74))),";",EscStr($J74),";"),CONCATENATE(";",EscStr(CONCATENATE("NavNode_",getCategoryLevelAsString($B74))),";",EscStr(T74),";")))</f>
        <v>;"NavNode_L3D_525340";"Точные Резисторы";</v>
      </c>
      <c r="AN74" s="39" t="str">
        <f>IF(getCategoryLevelAsString($B74)="L0D_324785","",IF(U74="",CONCATENATE(";",EscStr(CONCATENATE("NavNode_",getCategoryLevelAsString($B74))),";",EscStr($J74),";"),CONCATENATE(";",EscStr(CONCATENATE("NavNode_",getCategoryLevelAsString($B74))),";",EscStr(U74),";")))</f>
        <v>;"NavNode_L3D_525340";"Přesné rezistory";</v>
      </c>
      <c r="AO74" s="39" t="str">
        <f>IF(getCategoryLevelAsString($B74)="L0D_324785","",IF(V74="",CONCATENATE(";",EscStr(CONCATENATE("NavNode_",getCategoryLevelAsString($B74))),";",EscStr($J74),";"),CONCATENATE(";",EscStr(CONCATENATE("NavNode_",getCategoryLevelAsString($B74))),";",EscStr(V74),";")))</f>
        <v>;"NavNode_L3D_525340";"Rezistori de precizie";</v>
      </c>
      <c r="AP74" s="39" t="str">
        <f>IF(getCategoryLevelAsString($B74)="L0D_324785","",IF(W74="",CONCATENATE(";",EscStr(CONCATENATE("NavNode_",getCategoryLevelAsString($B74))),";",EscStr($J74),";"),CONCATENATE(";",EscStr(CONCATENATE("NavNode_",getCategoryLevelAsString($B74))),";",EscStr(W74),";")))</f>
        <v>;"NavNode_L3D_525340";"Preciziós ellenállások";</v>
      </c>
      <c r="AQ74" s="39" t="str">
        <f>IF(getCategoryLevelAsString($B74)="L0D_324785","",IF(X74="",CONCATENATE(";",EscStr(CONCATENATE("NavNode_",getCategoryLevelAsString($B74))),";",EscStr($J74),";"),CONCATENATE(";",EscStr(CONCATENATE("NavNode_",getCategoryLevelAsString($B74))),";",EscStr(X74),";")))</f>
        <v>;"NavNode_L3D_525340";"Presné rezistory";</v>
      </c>
      <c r="AR74" s="39" t="str">
        <f>IF(OR($A74&lt;&gt;"", $G74=""),"",CONCATENATE(";",EscStr(CONCATENATE("NavEntry_",getCategoryLevelAsString($B74))),";",EscStr(CONCATENATE($J74," Navigation Entry")),";",EscStr(CONCATENATE("cat-",getCategoryLevelAsString($B74))),";",EscStr(CONCATENATE("NavNode_",getCategoryLevelAsString($B74))),";"))</f>
        <v>;"NavEntry_L3D_525340";"Precision Resistors Navigation Entry";"cat-L3D_525340";"NavNode_L3D_525340";</v>
      </c>
    </row>
    <row r="75" spans="1:44" s="34" customFormat="1" ht="15" x14ac:dyDescent="0.25">
      <c r="A75" s="25"/>
      <c r="B75" s="5"/>
      <c r="C75" s="5"/>
      <c r="D75" s="5" t="s">
        <v>6428</v>
      </c>
      <c r="E75" s="5"/>
      <c r="F75" s="5"/>
      <c r="G75" s="5" t="s">
        <v>6430</v>
      </c>
      <c r="H75" s="5" t="s">
        <v>13618</v>
      </c>
      <c r="I75" s="5" t="s">
        <v>13706</v>
      </c>
      <c r="J75" s="5" t="s">
        <v>6429</v>
      </c>
      <c r="K75" s="5" t="s">
        <v>13800</v>
      </c>
      <c r="L75" s="5" t="s">
        <v>15114</v>
      </c>
      <c r="M75" s="5" t="s">
        <v>13890</v>
      </c>
      <c r="N75" s="5" t="s">
        <v>13942</v>
      </c>
      <c r="O75" s="5" t="s">
        <v>14061</v>
      </c>
      <c r="P75" s="5" t="s">
        <v>14153</v>
      </c>
      <c r="Q75" s="5" t="s">
        <v>14238</v>
      </c>
      <c r="R75" s="5" t="s">
        <v>14317</v>
      </c>
      <c r="S75" s="5" t="s">
        <v>14413</v>
      </c>
      <c r="T75" s="5" t="s">
        <v>14503</v>
      </c>
      <c r="U75" s="5" t="s">
        <v>14591</v>
      </c>
      <c r="V75" s="5" t="s">
        <v>14678</v>
      </c>
      <c r="W75" s="5" t="s">
        <v>14764</v>
      </c>
      <c r="X75" s="5" t="s">
        <v>14835</v>
      </c>
      <c r="Y75" s="39" t="str">
        <f>IF(OR($A75&lt;&gt;"", $G75=""),"",CONCATENATE(";",EscStr(CONCATENATE("NavNode_",getCategoryLevelAsString($B75))),";",EscStr($J75),";",IF($B75&lt;&gt;"","""MainCategoryNavNode""",EscStr(CONCATENATE("NavNode_",getSuperCategory($B75, getCategoryLevelAsNumber($B75))))),";"))</f>
        <v>;"NavNode_L3D_525341";"Wirewound Resistors";"NavNode_L2-3D_528721";</v>
      </c>
      <c r="Z75" s="39" t="str">
        <f>IF(getCategoryLevelAsString($B75)="L0D_324785","",IF(G75="",CONCATENATE(";",EscStr(CONCATENATE("NavNode_",getCategoryLevelAsString($B75))),";",EscStr($J75),";"),CONCATENATE(";",EscStr(CONCATENATE("NavNode_",getCategoryLevelAsString($B75))),";",EscStr(G75),";")))</f>
        <v>;"NavNode_L3D_525341";"Drahtwiderstände";</v>
      </c>
      <c r="AA75" s="39" t="str">
        <f>IF(getCategoryLevelAsString($B75)="L0D_324785","",IF(H75="",CONCATENATE(";",EscStr(CONCATENATE("NavNode_",getCategoryLevelAsString($B75))),";",EscStr($J75),";"),CONCATENATE(";",EscStr(CONCATENATE("NavNode_",getCategoryLevelAsString($B75))),";",EscStr(H75),";")))</f>
        <v>;"NavNode_L3D_525341";"Résistances bobinées";</v>
      </c>
      <c r="AB75" s="39" t="str">
        <f>IF(getCategoryLevelAsString($B75)="L0D_324785","",IF(I75="",CONCATENATE(";",EscStr(CONCATENATE("NavNode_",getCategoryLevelAsString($B75))),";",EscStr($J75),";"),CONCATENATE(";",EscStr(CONCATENATE("NavNode_",getCategoryLevelAsString($B75))),";",EscStr(I75),";")))</f>
        <v>;"NavNode_L3D_525341";"Resistenze a filo";</v>
      </c>
      <c r="AC75" s="39" t="str">
        <f>IF(getCategoryLevelAsString($B75)="L0D_324785","",IF(J75="",CONCATENATE(";",EscStr(CONCATENATE("NavNode_",getCategoryLevelAsString($B75))),";",EscStr($J75),";"),CONCATENATE(";",EscStr(CONCATENATE("NavNode_",getCategoryLevelAsString($B75))),";",EscStr(J75),";")))</f>
        <v>;"NavNode_L3D_525341";"Wirewound Resistors";</v>
      </c>
      <c r="AD75" s="39" t="str">
        <f>IF(getCategoryLevelAsString($B75)="L0D_324785","",IF(K75="",CONCATENATE(";",EscStr(CONCATENATE("NavNode_",getCategoryLevelAsString($B75))),";",EscStr($J75),";"),CONCATENATE(";",EscStr(CONCATENATE("NavNode_",getCategoryLevelAsString($B75))),";",EscStr(K75),";")))</f>
        <v>;"NavNode_L3D_525341";"Trådviklede modstande";</v>
      </c>
      <c r="AE75" s="39" t="str">
        <f>IF(getCategoryLevelAsString($B75)="L0D_324785","",IF(L75="",CONCATENATE(";",EscStr(CONCATENATE("NavNode_",getCategoryLevelAsString($B75))),";",EscStr($J75),";"),CONCATENATE(";",EscStr(CONCATENATE("NavNode_",getCategoryLevelAsString($B75))),";",EscStr(L75),";")))</f>
        <v>;"NavNode_L3D_525341";"Vieliniai rezistoriai";</v>
      </c>
      <c r="AF75" s="39" t="str">
        <f>IF(getCategoryLevelAsString($B75)="L0D_324785","",IF(M75="",CONCATENATE(";",EscStr(CONCATENATE("NavNode_",getCategoryLevelAsString($B75))),";",EscStr($J75),";"),CONCATENATE(";",EscStr(CONCATENATE("NavNode_",getCategoryLevelAsString($B75))),";",EscStr(M75),";")))</f>
        <v>;"NavNode_L3D_525341";"Trådviklede motstander";</v>
      </c>
      <c r="AG75" s="39" t="str">
        <f>IF(getCategoryLevelAsString($B75)="L0D_324785","",IF(N75="",CONCATENATE(";",EscStr(CONCATENATE("NavNode_",getCategoryLevelAsString($B75))),";",EscStr($J75),";"),CONCATENATE(";",EscStr(CONCATENATE("NavNode_",getCategoryLevelAsString($B75))),";",EscStr(N75),";")))</f>
        <v>;"NavNode_L3D_525341";"Trådlindade motstånd";</v>
      </c>
      <c r="AH75" s="39" t="str">
        <f>IF(getCategoryLevelAsString($B75)="L0D_324785","",IF(O75="",CONCATENATE(";",EscStr(CONCATENATE("NavNode_",getCategoryLevelAsString($B75))),";",EscStr($J75),";"),CONCATENATE(";",EscStr(CONCATENATE("NavNode_",getCategoryLevelAsString($B75))),";",EscStr(O75),";")))</f>
        <v>;"NavNode_L3D_525341";"Traattakistid";</v>
      </c>
      <c r="AI75" s="39" t="str">
        <f>IF(getCategoryLevelAsString($B75)="L0D_324785","",IF(P75="",CONCATENATE(";",EscStr(CONCATENATE("NavNode_",getCategoryLevelAsString($B75))),";",EscStr($J75),";"),CONCATENATE(";",EscStr(CONCATENATE("NavNode_",getCategoryLevelAsString($B75))),";",EscStr(P75),";")))</f>
        <v>;"NavNode_L3D_525341";"Lankavastukset";</v>
      </c>
      <c r="AJ75" s="39" t="str">
        <f>IF(getCategoryLevelAsString($B75)="L0D_324785","",IF(Q75="",CONCATENATE(";",EscStr(CONCATENATE("NavNode_",getCategoryLevelAsString($B75))),";",EscStr($J75),";"),CONCATENATE(";",EscStr(CONCATENATE("NavNode_",getCategoryLevelAsString($B75))),";",EscStr(Q75),";")))</f>
        <v>;"NavNode_L3D_525341";"Stieples rezistori";</v>
      </c>
      <c r="AK75" s="39" t="str">
        <f>IF(getCategoryLevelAsString($B75)="L0D_324785","",IF(R75="",CONCATENATE(";",EscStr(CONCATENATE("NavNode_",getCategoryLevelAsString($B75))),";",EscStr($J75),";"),CONCATENATE(";",EscStr(CONCATENATE("NavNode_",getCategoryLevelAsString($B75))),";",EscStr(R75),";")))</f>
        <v>;"NavNode_L3D_525341";"Draadgewonden weerstanden";</v>
      </c>
      <c r="AL75" s="39" t="str">
        <f>IF(getCategoryLevelAsString($B75)="L0D_324785","",IF(S75="",CONCATENATE(";",EscStr(CONCATENATE("NavNode_",getCategoryLevelAsString($B75))),";",EscStr($J75),";"),CONCATENATE(";",EscStr(CONCATENATE("NavNode_",getCategoryLevelAsString($B75))),";",EscStr(S75),";")))</f>
        <v>;"NavNode_L3D_525341";"Rezystory drutowe";</v>
      </c>
      <c r="AM75" s="39" t="str">
        <f>IF(getCategoryLevelAsString($B75)="L0D_324785","",IF(T75="",CONCATENATE(";",EscStr(CONCATENATE("NavNode_",getCategoryLevelAsString($B75))),";",EscStr($J75),";"),CONCATENATE(";",EscStr(CONCATENATE("NavNode_",getCategoryLevelAsString($B75))),";",EscStr(T75),";")))</f>
        <v>;"NavNode_L3D_525341";"Проволочные резисторы";</v>
      </c>
      <c r="AN75" s="39" t="str">
        <f>IF(getCategoryLevelAsString($B75)="L0D_324785","",IF(U75="",CONCATENATE(";",EscStr(CONCATENATE("NavNode_",getCategoryLevelAsString($B75))),";",EscStr($J75),";"),CONCATENATE(";",EscStr(CONCATENATE("NavNode_",getCategoryLevelAsString($B75))),";",EscStr(U75),";")))</f>
        <v>;"NavNode_L3D_525341";"Drátové rezistory";</v>
      </c>
      <c r="AO75" s="39" t="str">
        <f>IF(getCategoryLevelAsString($B75)="L0D_324785","",IF(V75="",CONCATENATE(";",EscStr(CONCATENATE("NavNode_",getCategoryLevelAsString($B75))),";",EscStr($J75),";"),CONCATENATE(";",EscStr(CONCATENATE("NavNode_",getCategoryLevelAsString($B75))),";",EscStr(V75),";")))</f>
        <v>;"NavNode_L3D_525341";"Rezistori cu sîrmă";</v>
      </c>
      <c r="AP75" s="39" t="str">
        <f>IF(getCategoryLevelAsString($B75)="L0D_324785","",IF(W75="",CONCATENATE(";",EscStr(CONCATENATE("NavNode_",getCategoryLevelAsString($B75))),";",EscStr($J75),";"),CONCATENATE(";",EscStr(CONCATENATE("NavNode_",getCategoryLevelAsString($B75))),";",EscStr(W75),";")))</f>
        <v>;"NavNode_L3D_525341";"Huzalellenállások";</v>
      </c>
      <c r="AQ75" s="39" t="str">
        <f>IF(getCategoryLevelAsString($B75)="L0D_324785","",IF(X75="",CONCATENATE(";",EscStr(CONCATENATE("NavNode_",getCategoryLevelAsString($B75))),";",EscStr($J75),";"),CONCATENATE(";",EscStr(CONCATENATE("NavNode_",getCategoryLevelAsString($B75))),";",EscStr(X75),";")))</f>
        <v>;"NavNode_L3D_525341";"Drôtové rezistory";</v>
      </c>
      <c r="AR75" s="39" t="str">
        <f>IF(OR($A75&lt;&gt;"", $G75=""),"",CONCATENATE(";",EscStr(CONCATENATE("NavEntry_",getCategoryLevelAsString($B75))),";",EscStr(CONCATENATE($J75," Navigation Entry")),";",EscStr(CONCATENATE("cat-",getCategoryLevelAsString($B75))),";",EscStr(CONCATENATE("NavNode_",getCategoryLevelAsString($B75))),";"))</f>
        <v>;"NavEntry_L3D_525341";"Wirewound Resistors Navigation Entry";"cat-L3D_525341";"NavNode_L3D_525341";</v>
      </c>
    </row>
    <row r="76" spans="1:44" s="34" customFormat="1" ht="15" x14ac:dyDescent="0.25">
      <c r="A76" s="25"/>
      <c r="B76" s="5"/>
      <c r="C76" s="5"/>
      <c r="D76" s="5" t="s">
        <v>6485</v>
      </c>
      <c r="E76" s="5"/>
      <c r="F76" s="5"/>
      <c r="G76" s="5" t="s">
        <v>6487</v>
      </c>
      <c r="H76" s="5" t="s">
        <v>13619</v>
      </c>
      <c r="I76" s="5" t="s">
        <v>13707</v>
      </c>
      <c r="J76" s="5" t="s">
        <v>6486</v>
      </c>
      <c r="K76" s="5" t="s">
        <v>13801</v>
      </c>
      <c r="L76" s="5" t="s">
        <v>15115</v>
      </c>
      <c r="M76" s="5" t="s">
        <v>13891</v>
      </c>
      <c r="N76" s="5" t="s">
        <v>13943</v>
      </c>
      <c r="O76" s="5" t="s">
        <v>6486</v>
      </c>
      <c r="P76" s="5" t="s">
        <v>14154</v>
      </c>
      <c r="Q76" s="5" t="s">
        <v>6486</v>
      </c>
      <c r="R76" s="5" t="s">
        <v>6486</v>
      </c>
      <c r="S76" s="5" t="s">
        <v>14414</v>
      </c>
      <c r="T76" s="5" t="s">
        <v>14504</v>
      </c>
      <c r="U76" s="5" t="s">
        <v>14592</v>
      </c>
      <c r="V76" s="5" t="s">
        <v>14679</v>
      </c>
      <c r="W76" s="5" t="s">
        <v>14765</v>
      </c>
      <c r="X76" s="5" t="s">
        <v>14836</v>
      </c>
      <c r="Y76" s="39" t="str">
        <f>IF(OR($A76&lt;&gt;"", $G76=""),"",CONCATENATE(";",EscStr(CONCATENATE("NavNode_",getCategoryLevelAsString($B76))),";",EscStr($J76),";",IF($B76&lt;&gt;"","""MainCategoryNavNode""",EscStr(CONCATENATE("NavNode_",getSuperCategory($B76, getCategoryLevelAsNumber($B76))))),";"))</f>
        <v>;"NavNode_L3D_632738";"Current Sense Resistors";"NavNode_L2-3D_528721";</v>
      </c>
      <c r="Z76" s="39" t="str">
        <f>IF(getCategoryLevelAsString($B76)="L0D_324785","",IF(G76="",CONCATENATE(";",EscStr(CONCATENATE("NavNode_",getCategoryLevelAsString($B76))),";",EscStr($J76),";"),CONCATENATE(";",EscStr(CONCATENATE("NavNode_",getCategoryLevelAsString($B76))),";",EscStr(G76),";")))</f>
        <v>;"NavNode_L3D_632738";"Strommesswiderstände";</v>
      </c>
      <c r="AA76" s="39" t="str">
        <f>IF(getCategoryLevelAsString($B76)="L0D_324785","",IF(H76="",CONCATENATE(";",EscStr(CONCATENATE("NavNode_",getCategoryLevelAsString($B76))),";",EscStr($J76),";"),CONCATENATE(";",EscStr(CONCATENATE("NavNode_",getCategoryLevelAsString($B76))),";",EscStr(H76),";")))</f>
        <v>;"NavNode_L3D_632738";"Résistances de détection de courant";</v>
      </c>
      <c r="AB76" s="39" t="str">
        <f>IF(getCategoryLevelAsString($B76)="L0D_324785","",IF(I76="",CONCATENATE(";",EscStr(CONCATENATE("NavNode_",getCategoryLevelAsString($B76))),";",EscStr($J76),";"),CONCATENATE(";",EscStr(CONCATENATE("NavNode_",getCategoryLevelAsString($B76))),";",EscStr(I76),";")))</f>
        <v>;"NavNode_L3D_632738";"Resistenze rilevatrici di corrente";</v>
      </c>
      <c r="AC76" s="39" t="str">
        <f>IF(getCategoryLevelAsString($B76)="L0D_324785","",IF(J76="",CONCATENATE(";",EscStr(CONCATENATE("NavNode_",getCategoryLevelAsString($B76))),";",EscStr($J76),";"),CONCATENATE(";",EscStr(CONCATENATE("NavNode_",getCategoryLevelAsString($B76))),";",EscStr(J76),";")))</f>
        <v>;"NavNode_L3D_632738";"Current Sense Resistors";</v>
      </c>
      <c r="AD76" s="39" t="str">
        <f>IF(getCategoryLevelAsString($B76)="L0D_324785","",IF(K76="",CONCATENATE(";",EscStr(CONCATENATE("NavNode_",getCategoryLevelAsString($B76))),";",EscStr($J76),";"),CONCATENATE(";",EscStr(CONCATENATE("NavNode_",getCategoryLevelAsString($B76))),";",EscStr(K76),";")))</f>
        <v>;"NavNode_L3D_632738";"Current Sense modstande";</v>
      </c>
      <c r="AE76" s="39" t="str">
        <f>IF(getCategoryLevelAsString($B76)="L0D_324785","",IF(L76="",CONCATENATE(";",EscStr(CONCATENATE("NavNode_",getCategoryLevelAsString($B76))),";",EscStr($J76),";"),CONCATENATE(";",EscStr(CONCATENATE("NavNode_",getCategoryLevelAsString($B76))),";",EscStr(L76),";")))</f>
        <v>;"NavNode_L3D_632738";"Srovės jutiminiai resistoriai";</v>
      </c>
      <c r="AF76" s="39" t="str">
        <f>IF(getCategoryLevelAsString($B76)="L0D_324785","",IF(M76="",CONCATENATE(";",EscStr(CONCATENATE("NavNode_",getCategoryLevelAsString($B76))),";",EscStr($J76),";"),CONCATENATE(";",EscStr(CONCATENATE("NavNode_",getCategoryLevelAsString($B76))),";",EscStr(M76),";")))</f>
        <v>;"NavNode_L3D_632738";"Strømfølermotstander";</v>
      </c>
      <c r="AG76" s="39" t="str">
        <f>IF(getCategoryLevelAsString($B76)="L0D_324785","",IF(N76="",CONCATENATE(";",EscStr(CONCATENATE("NavNode_",getCategoryLevelAsString($B76))),";",EscStr($J76),";"),CONCATENATE(";",EscStr(CONCATENATE("NavNode_",getCategoryLevelAsString($B76))),";",EscStr(N76),";")))</f>
        <v>;"NavNode_L3D_632738";"Strömavkänningsmotstånd";</v>
      </c>
      <c r="AH76" s="39" t="str">
        <f>IF(getCategoryLevelAsString($B76)="L0D_324785","",IF(O76="",CONCATENATE(";",EscStr(CONCATENATE("NavNode_",getCategoryLevelAsString($B76))),";",EscStr($J76),";"),CONCATENATE(";",EscStr(CONCATENATE("NavNode_",getCategoryLevelAsString($B76))),";",EscStr(O76),";")))</f>
        <v>;"NavNode_L3D_632738";"Current Sense Resistors";</v>
      </c>
      <c r="AI76" s="39" t="str">
        <f>IF(getCategoryLevelAsString($B76)="L0D_324785","",IF(P76="",CONCATENATE(";",EscStr(CONCATENATE("NavNode_",getCategoryLevelAsString($B76))),";",EscStr($J76),";"),CONCATENATE(";",EscStr(CONCATENATE("NavNode_",getCategoryLevelAsString($B76))),";",EscStr(P76),";")))</f>
        <v>;"NavNode_L3D_632738";"Virrantunnistusvastus";</v>
      </c>
      <c r="AJ76" s="39" t="str">
        <f>IF(getCategoryLevelAsString($B76)="L0D_324785","",IF(Q76="",CONCATENATE(";",EscStr(CONCATENATE("NavNode_",getCategoryLevelAsString($B76))),";",EscStr($J76),";"),CONCATENATE(";",EscStr(CONCATENATE("NavNode_",getCategoryLevelAsString($B76))),";",EscStr(Q76),";")))</f>
        <v>;"NavNode_L3D_632738";"Current Sense Resistors";</v>
      </c>
      <c r="AK76" s="39" t="str">
        <f>IF(getCategoryLevelAsString($B76)="L0D_324785","",IF(R76="",CONCATENATE(";",EscStr(CONCATENATE("NavNode_",getCategoryLevelAsString($B76))),";",EscStr($J76),";"),CONCATENATE(";",EscStr(CONCATENATE("NavNode_",getCategoryLevelAsString($B76))),";",EscStr(R76),";")))</f>
        <v>;"NavNode_L3D_632738";"Current Sense Resistors";</v>
      </c>
      <c r="AL76" s="39" t="str">
        <f>IF(getCategoryLevelAsString($B76)="L0D_324785","",IF(S76="",CONCATENATE(";",EscStr(CONCATENATE("NavNode_",getCategoryLevelAsString($B76))),";",EscStr($J76),";"),CONCATENATE(";",EscStr(CONCATENATE("NavNode_",getCategoryLevelAsString($B76))),";",EscStr(S76),";")))</f>
        <v>;"NavNode_L3D_632738";"Rezystory Current Sense";</v>
      </c>
      <c r="AM76" s="39" t="str">
        <f>IF(getCategoryLevelAsString($B76)="L0D_324785","",IF(T76="",CONCATENATE(";",EscStr(CONCATENATE("NavNode_",getCategoryLevelAsString($B76))),";",EscStr($J76),";"),CONCATENATE(";",EscStr(CONCATENATE("NavNode_",getCategoryLevelAsString($B76))),";",EscStr(T76),";")))</f>
        <v>;"NavNode_L3D_632738";"Резисторы для измерения силы тока";</v>
      </c>
      <c r="AN76" s="39" t="str">
        <f>IF(getCategoryLevelAsString($B76)="L0D_324785","",IF(U76="",CONCATENATE(";",EscStr(CONCATENATE("NavNode_",getCategoryLevelAsString($B76))),";",EscStr($J76),";"),CONCATENATE(";",EscStr(CONCATENATE("NavNode_",getCategoryLevelAsString($B76))),";",EscStr(U76),";")))</f>
        <v>;"NavNode_L3D_632738";"Rezistory ke snímání proudu";</v>
      </c>
      <c r="AO76" s="39" t="str">
        <f>IF(getCategoryLevelAsString($B76)="L0D_324785","",IF(V76="",CONCATENATE(";",EscStr(CONCATENATE("NavNode_",getCategoryLevelAsString($B76))),";",EscStr($J76),";"),CONCATENATE(";",EscStr(CONCATENATE("NavNode_",getCategoryLevelAsString($B76))),";",EscStr(V76),";")))</f>
        <v>;"NavNode_L3D_632738";"Rezistori cu senzori de curent";</v>
      </c>
      <c r="AP76" s="39" t="str">
        <f>IF(getCategoryLevelAsString($B76)="L0D_324785","",IF(W76="",CONCATENATE(";",EscStr(CONCATENATE("NavNode_",getCategoryLevelAsString($B76))),";",EscStr($J76),";"),CONCATENATE(";",EscStr(CONCATENATE("NavNode_",getCategoryLevelAsString($B76))),";",EscStr(W76),";")))</f>
        <v>;"NavNode_L3D_632738";"Áram érzékelő ellenállások";</v>
      </c>
      <c r="AQ76" s="39" t="str">
        <f>IF(getCategoryLevelAsString($B76)="L0D_324785","",IF(X76="",CONCATENATE(";",EscStr(CONCATENATE("NavNode_",getCategoryLevelAsString($B76))),";",EscStr($J76),";"),CONCATENATE(";",EscStr(CONCATENATE("NavNode_",getCategoryLevelAsString($B76))),";",EscStr(X76),";")))</f>
        <v>;"NavNode_L3D_632738";"Rezistory snímaniu prúdu";</v>
      </c>
      <c r="AR76" s="39" t="str">
        <f>IF(OR($A76&lt;&gt;"", $G76=""),"",CONCATENATE(";",EscStr(CONCATENATE("NavEntry_",getCategoryLevelAsString($B76))),";",EscStr(CONCATENATE($J76," Navigation Entry")),";",EscStr(CONCATENATE("cat-",getCategoryLevelAsString($B76))),";",EscStr(CONCATENATE("NavNode_",getCategoryLevelAsString($B76))),";"))</f>
        <v>;"NavEntry_L3D_632738";"Current Sense Resistors Navigation Entry";"cat-L3D_632738";"NavNode_L3D_632738";</v>
      </c>
    </row>
    <row r="77" spans="1:44" s="34" customFormat="1" ht="15" x14ac:dyDescent="0.25">
      <c r="A77" s="25"/>
      <c r="B77" s="5"/>
      <c r="C77" s="5" t="s">
        <v>743</v>
      </c>
      <c r="D77" s="5"/>
      <c r="E77" s="5"/>
      <c r="F77" s="5"/>
      <c r="G77" s="5" t="s">
        <v>985</v>
      </c>
      <c r="H77" s="5" t="s">
        <v>1087</v>
      </c>
      <c r="I77" s="5" t="s">
        <v>1146</v>
      </c>
      <c r="J77" s="5" t="s">
        <v>843</v>
      </c>
      <c r="K77" s="5" t="s">
        <v>1213</v>
      </c>
      <c r="L77" s="5" t="s">
        <v>1447</v>
      </c>
      <c r="M77" s="5" t="s">
        <v>1681</v>
      </c>
      <c r="N77" s="5" t="s">
        <v>13944</v>
      </c>
      <c r="O77" s="5" t="s">
        <v>2509</v>
      </c>
      <c r="P77" s="5" t="s">
        <v>2510</v>
      </c>
      <c r="Q77" s="5" t="s">
        <v>2511</v>
      </c>
      <c r="R77" s="5" t="s">
        <v>2512</v>
      </c>
      <c r="S77" s="5" t="s">
        <v>2513</v>
      </c>
      <c r="T77" s="5" t="s">
        <v>2514</v>
      </c>
      <c r="U77" s="5" t="s">
        <v>2515</v>
      </c>
      <c r="V77" s="5" t="s">
        <v>2516</v>
      </c>
      <c r="W77" s="5" t="s">
        <v>2517</v>
      </c>
      <c r="X77" s="5" t="s">
        <v>14837</v>
      </c>
      <c r="Y77" s="39" t="str">
        <f>IF(OR($A77&lt;&gt;"", $G77=""),"",CONCATENATE(";",EscStr(CONCATENATE("NavNode_",getCategoryLevelAsString($B77))),";",EscStr($J77),";",IF($B77&lt;&gt;"","""MainCategoryNavNode""",EscStr(CONCATENATE("NavNode_",getSuperCategory($B77, getCategoryLevelAsNumber($B77))))),";"))</f>
        <v>;"NavNode_L2-3D_528734";"Potentiometers, Trimmers";"NavNode_Passive Components";</v>
      </c>
      <c r="Z77" s="39" t="str">
        <f>IF(getCategoryLevelAsString($B77)="L0D_324785","",IF(G77="",CONCATENATE(";",EscStr(CONCATENATE("NavNode_",getCategoryLevelAsString($B77))),";",EscStr($J77),";"),CONCATENATE(";",EscStr(CONCATENATE("NavNode_",getCategoryLevelAsString($B77))),";",EscStr(G77),";")))</f>
        <v>;"NavNode_L2-3D_528734";"Potentiometer, Trimmer";</v>
      </c>
      <c r="AA77" s="39" t="str">
        <f>IF(getCategoryLevelAsString($B77)="L0D_324785","",IF(H77="",CONCATENATE(";",EscStr(CONCATENATE("NavNode_",getCategoryLevelAsString($B77))),";",EscStr($J77),";"),CONCATENATE(";",EscStr(CONCATENATE("NavNode_",getCategoryLevelAsString($B77))),";",EscStr(H77),";")))</f>
        <v>;"NavNode_L2-3D_528734";"Potentiomètres, trimmers";</v>
      </c>
      <c r="AB77" s="39" t="str">
        <f>IF(getCategoryLevelAsString($B77)="L0D_324785","",IF(I77="",CONCATENATE(";",EscStr(CONCATENATE("NavNode_",getCategoryLevelAsString($B77))),";",EscStr($J77),";"),CONCATENATE(";",EscStr(CONCATENATE("NavNode_",getCategoryLevelAsString($B77))),";",EscStr(I77),";")))</f>
        <v>;"NavNode_L2-3D_528734";"Potenziometri, Trimmer";</v>
      </c>
      <c r="AC77" s="39" t="str">
        <f>IF(getCategoryLevelAsString($B77)="L0D_324785","",IF(J77="",CONCATENATE(";",EscStr(CONCATENATE("NavNode_",getCategoryLevelAsString($B77))),";",EscStr($J77),";"),CONCATENATE(";",EscStr(CONCATENATE("NavNode_",getCategoryLevelAsString($B77))),";",EscStr(J77),";")))</f>
        <v>;"NavNode_L2-3D_528734";"Potentiometers, Trimmers";</v>
      </c>
      <c r="AD77" s="39" t="str">
        <f>IF(getCategoryLevelAsString($B77)="L0D_324785","",IF(K77="",CONCATENATE(";",EscStr(CONCATENATE("NavNode_",getCategoryLevelAsString($B77))),";",EscStr($J77),";"),CONCATENATE(";",EscStr(CONCATENATE("NavNode_",getCategoryLevelAsString($B77))),";",EscStr(K77),";")))</f>
        <v>;"NavNode_L2-3D_528734";"Potentiometre, trimmere";</v>
      </c>
      <c r="AE77" s="39" t="str">
        <f>IF(getCategoryLevelAsString($B77)="L0D_324785","",IF(L77="",CONCATENATE(";",EscStr(CONCATENATE("NavNode_",getCategoryLevelAsString($B77))),";",EscStr($J77),";"),CONCATENATE(";",EscStr(CONCATENATE("NavNode_",getCategoryLevelAsString($B77))),";",EscStr(L77),";")))</f>
        <v>;"NavNode_L2-3D_528734";"Potenciometrai, paderinamieji rezistoriai";</v>
      </c>
      <c r="AF77" s="39" t="str">
        <f>IF(getCategoryLevelAsString($B77)="L0D_324785","",IF(M77="",CONCATENATE(";",EscStr(CONCATENATE("NavNode_",getCategoryLevelAsString($B77))),";",EscStr($J77),";"),CONCATENATE(";",EscStr(CONCATENATE("NavNode_",getCategoryLevelAsString($B77))),";",EscStr(M77),";")))</f>
        <v>;"NavNode_L2-3D_528734";"Potensiometre, trimmere";</v>
      </c>
      <c r="AG77" s="39" t="str">
        <f>IF(getCategoryLevelAsString($B77)="L0D_324785","",IF(N77="",CONCATENATE(";",EscStr(CONCATENATE("NavNode_",getCategoryLevelAsString($B77))),";",EscStr($J77),";"),CONCATENATE(";",EscStr(CONCATENATE("NavNode_",getCategoryLevelAsString($B77))),";",EscStr(N77),";")))</f>
        <v>;"NavNode_L2-3D_528734";"Potentiometrar, Trimpotentiometrar";</v>
      </c>
      <c r="AH77" s="39" t="str">
        <f>IF(getCategoryLevelAsString($B77)="L0D_324785","",IF(O77="",CONCATENATE(";",EscStr(CONCATENATE("NavNode_",getCategoryLevelAsString($B77))),";",EscStr($J77),";"),CONCATENATE(";",EscStr(CONCATENATE("NavNode_",getCategoryLevelAsString($B77))),";",EscStr(O77),";")))</f>
        <v>;"NavNode_L2-3D_528734";"Potentsiomeetrid, Trimmerid";</v>
      </c>
      <c r="AI77" s="39" t="str">
        <f>IF(getCategoryLevelAsString($B77)="L0D_324785","",IF(P77="",CONCATENATE(";",EscStr(CONCATENATE("NavNode_",getCategoryLevelAsString($B77))),";",EscStr($J77),";"),CONCATENATE(";",EscStr(CONCATENATE("NavNode_",getCategoryLevelAsString($B77))),";",EscStr(P77),";")))</f>
        <v>;"NavNode_L2-3D_528734";"Potentiometrit, trimmerit";</v>
      </c>
      <c r="AJ77" s="39" t="str">
        <f>IF(getCategoryLevelAsString($B77)="L0D_324785","",IF(Q77="",CONCATENATE(";",EscStr(CONCATENATE("NavNode_",getCategoryLevelAsString($B77))),";",EscStr($J77),";"),CONCATENATE(";",EscStr(CONCATENATE("NavNode_",getCategoryLevelAsString($B77))),";",EscStr(Q77),";")))</f>
        <v>;"NavNode_L2-3D_528734";"Potenciometri, trimmeri";</v>
      </c>
      <c r="AK77" s="39" t="str">
        <f>IF(getCategoryLevelAsString($B77)="L0D_324785","",IF(R77="",CONCATENATE(";",EscStr(CONCATENATE("NavNode_",getCategoryLevelAsString($B77))),";",EscStr($J77),";"),CONCATENATE(";",EscStr(CONCATENATE("NavNode_",getCategoryLevelAsString($B77))),";",EscStr(R77),";")))</f>
        <v>;"NavNode_L2-3D_528734";"Potentiometers, trimmers";</v>
      </c>
      <c r="AL77" s="39" t="str">
        <f>IF(getCategoryLevelAsString($B77)="L0D_324785","",IF(S77="",CONCATENATE(";",EscStr(CONCATENATE("NavNode_",getCategoryLevelAsString($B77))),";",EscStr($J77),";"),CONCATENATE(";",EscStr(CONCATENATE("NavNode_",getCategoryLevelAsString($B77))),";",EscStr(S77),";")))</f>
        <v>;"NavNode_L2-3D_528734";"Potencjometry, Potencjometry dostrojcze";</v>
      </c>
      <c r="AM77" s="39" t="str">
        <f>IF(getCategoryLevelAsString($B77)="L0D_324785","",IF(T77="",CONCATENATE(";",EscStr(CONCATENATE("NavNode_",getCategoryLevelAsString($B77))),";",EscStr($J77),";"),CONCATENATE(";",EscStr(CONCATENATE("NavNode_",getCategoryLevelAsString($B77))),";",EscStr(T77),";")))</f>
        <v>;"NavNode_L2-3D_528734";"Потенциометры, Триммеры";</v>
      </c>
      <c r="AN77" s="39" t="str">
        <f>IF(getCategoryLevelAsString($B77)="L0D_324785","",IF(U77="",CONCATENATE(";",EscStr(CONCATENATE("NavNode_",getCategoryLevelAsString($B77))),";",EscStr($J77),";"),CONCATENATE(";",EscStr(CONCATENATE("NavNode_",getCategoryLevelAsString($B77))),";",EscStr(U77),";")))</f>
        <v>;"NavNode_L2-3D_528734";"Potenciometry, Trimmery";</v>
      </c>
      <c r="AO77" s="39" t="str">
        <f>IF(getCategoryLevelAsString($B77)="L0D_324785","",IF(V77="",CONCATENATE(";",EscStr(CONCATENATE("NavNode_",getCategoryLevelAsString($B77))),";",EscStr($J77),";"),CONCATENATE(";",EscStr(CONCATENATE("NavNode_",getCategoryLevelAsString($B77))),";",EscStr(V77),";")))</f>
        <v>;"NavNode_L2-3D_528734";"Potentiometre, trimere";</v>
      </c>
      <c r="AP77" s="39" t="str">
        <f>IF(getCategoryLevelAsString($B77)="L0D_324785","",IF(W77="",CONCATENATE(";",EscStr(CONCATENATE("NavNode_",getCategoryLevelAsString($B77))),";",EscStr($J77),";"),CONCATENATE(";",EscStr(CONCATENATE("NavNode_",getCategoryLevelAsString($B77))),";",EscStr(W77),";")))</f>
        <v>;"NavNode_L2-3D_528734";"Potencióméter, Trimmer";</v>
      </c>
      <c r="AQ77" s="39" t="str">
        <f>IF(getCategoryLevelAsString($B77)="L0D_324785","",IF(X77="",CONCATENATE(";",EscStr(CONCATENATE("NavNode_",getCategoryLevelAsString($B77))),";",EscStr($J77),";"),CONCATENATE(";",EscStr(CONCATENATE("NavNode_",getCategoryLevelAsString($B77))),";",EscStr(X77),";")))</f>
        <v>;"NavNode_L2-3D_528734";"Potenciometer, Trimmer";</v>
      </c>
      <c r="AR77" s="39" t="str">
        <f>IF(OR($A77&lt;&gt;"", $G77=""),"",CONCATENATE(";",EscStr(CONCATENATE("NavEntry_",getCategoryLevelAsString($B77))),";",EscStr(CONCATENATE($J77," Navigation Entry")),";",EscStr(CONCATENATE("cat-",getCategoryLevelAsString($B77))),";",EscStr(CONCATENATE("NavNode_",getCategoryLevelAsString($B77))),";"))</f>
        <v>;"NavEntry_L2-3D_528734";"Potentiometers, Trimmers Navigation Entry";"cat-L2-3D_528734";"NavNode_L2-3D_528734";</v>
      </c>
    </row>
    <row r="78" spans="1:44" s="34" customFormat="1" ht="15" x14ac:dyDescent="0.25">
      <c r="A78" s="25"/>
      <c r="B78" s="5"/>
      <c r="C78" s="5"/>
      <c r="D78" s="5" t="s">
        <v>6493</v>
      </c>
      <c r="E78" s="5"/>
      <c r="F78" s="5"/>
      <c r="G78" s="5" t="s">
        <v>6495</v>
      </c>
      <c r="H78" s="41" t="s">
        <v>13620</v>
      </c>
      <c r="I78" s="41" t="s">
        <v>13708</v>
      </c>
      <c r="J78" s="41" t="s">
        <v>6494</v>
      </c>
      <c r="K78" s="5" t="s">
        <v>6495</v>
      </c>
      <c r="L78" s="5" t="s">
        <v>13510</v>
      </c>
      <c r="M78" s="5" t="s">
        <v>13892</v>
      </c>
      <c r="N78" s="47" t="s">
        <v>13512</v>
      </c>
      <c r="O78" s="5" t="s">
        <v>13513</v>
      </c>
      <c r="P78" s="5" t="s">
        <v>13514</v>
      </c>
      <c r="Q78" s="5" t="s">
        <v>13515</v>
      </c>
      <c r="R78" s="5" t="s">
        <v>6495</v>
      </c>
      <c r="S78" s="5" t="s">
        <v>14415</v>
      </c>
      <c r="T78" s="5" t="s">
        <v>14505</v>
      </c>
      <c r="U78" s="5" t="s">
        <v>13518</v>
      </c>
      <c r="V78" s="5" t="s">
        <v>13509</v>
      </c>
      <c r="W78" s="5" t="s">
        <v>13519</v>
      </c>
      <c r="X78" s="5" t="s">
        <v>14838</v>
      </c>
      <c r="Y78" s="39" t="str">
        <f>IF(OR($A78&lt;&gt;"", $G78=""),"",CONCATENATE(";",EscStr(CONCATENATE("NavNode_",getCategoryLevelAsString($B78))),";",EscStr($J78),";",IF($B78&lt;&gt;"","""MainCategoryNavNode""",EscStr(CONCATENATE("NavNode_",getSuperCategory($B78, getCategoryLevelAsNumber($B78))))),";"))</f>
        <v>;"NavNode_L3D_525342";"Potentiometers";"NavNode_L2-3D_528734";</v>
      </c>
      <c r="Z78" s="39" t="str">
        <f>IF(getCategoryLevelAsString($B78)="L0D_324785","",IF(G78="",CONCATENATE(";",EscStr(CONCATENATE("NavNode_",getCategoryLevelAsString($B78))),";",EscStr($J78),";"),CONCATENATE(";",EscStr(CONCATENATE("NavNode_",getCategoryLevelAsString($B78))),";",EscStr(G78),";")))</f>
        <v>;"NavNode_L3D_525342";"Potentiometer";</v>
      </c>
      <c r="AA78" s="39" t="str">
        <f>IF(getCategoryLevelAsString($B78)="L0D_324785","",IF(H78="",CONCATENATE(";",EscStr(CONCATENATE("NavNode_",getCategoryLevelAsString($B78))),";",EscStr($J78),";"),CONCATENATE(";",EscStr(CONCATENATE("NavNode_",getCategoryLevelAsString($B78))),";",EscStr(H78),";")))</f>
        <v>;"NavNode_L3D_525342";"Potentiomètre";</v>
      </c>
      <c r="AB78" s="39" t="str">
        <f>IF(getCategoryLevelAsString($B78)="L0D_324785","",IF(I78="",CONCATENATE(";",EscStr(CONCATENATE("NavNode_",getCategoryLevelAsString($B78))),";",EscStr($J78),";"),CONCATENATE(";",EscStr(CONCATENATE("NavNode_",getCategoryLevelAsString($B78))),";",EscStr(I78),";")))</f>
        <v>;"NavNode_L3D_525342";"Potenziometro";</v>
      </c>
      <c r="AC78" s="39" t="str">
        <f>IF(getCategoryLevelAsString($B78)="L0D_324785","",IF(J78="",CONCATENATE(";",EscStr(CONCATENATE("NavNode_",getCategoryLevelAsString($B78))),";",EscStr($J78),";"),CONCATENATE(";",EscStr(CONCATENATE("NavNode_",getCategoryLevelAsString($B78))),";",EscStr(J78),";")))</f>
        <v>;"NavNode_L3D_525342";"Potentiometers";</v>
      </c>
      <c r="AD78" s="39" t="str">
        <f>IF(getCategoryLevelAsString($B78)="L0D_324785","",IF(K78="",CONCATENATE(";",EscStr(CONCATENATE("NavNode_",getCategoryLevelAsString($B78))),";",EscStr($J78),";"),CONCATENATE(";",EscStr(CONCATENATE("NavNode_",getCategoryLevelAsString($B78))),";",EscStr(K78),";")))</f>
        <v>;"NavNode_L3D_525342";"Potentiometer";</v>
      </c>
      <c r="AE78" s="39" t="str">
        <f>IF(getCategoryLevelAsString($B78)="L0D_324785","",IF(L78="",CONCATENATE(";",EscStr(CONCATENATE("NavNode_",getCategoryLevelAsString($B78))),";",EscStr($J78),";"),CONCATENATE(";",EscStr(CONCATENATE("NavNode_",getCategoryLevelAsString($B78))),";",EscStr(L78),";")))</f>
        <v>;"NavNode_L3D_525342";"Potenciometrai";</v>
      </c>
      <c r="AF78" s="39" t="str">
        <f>IF(getCategoryLevelAsString($B78)="L0D_324785","",IF(M78="",CONCATENATE(";",EscStr(CONCATENATE("NavNode_",getCategoryLevelAsString($B78))),";",EscStr($J78),";"),CONCATENATE(";",EscStr(CONCATENATE("NavNode_",getCategoryLevelAsString($B78))),";",EscStr(M78),";")))</f>
        <v>;"NavNode_L3D_525342";"Potensiometer";</v>
      </c>
      <c r="AG78" s="39" t="str">
        <f>IF(getCategoryLevelAsString($B78)="L0D_324785","",IF(N78="",CONCATENATE(";",EscStr(CONCATENATE("NavNode_",getCategoryLevelAsString($B78))),";",EscStr($J78),";"),CONCATENATE(";",EscStr(CONCATENATE("NavNode_",getCategoryLevelAsString($B78))),";",EscStr(N78),";")))</f>
        <v>;"NavNode_L3D_525342";"Potentiometrar";</v>
      </c>
      <c r="AH78" s="39" t="str">
        <f>IF(getCategoryLevelAsString($B78)="L0D_324785","",IF(O78="",CONCATENATE(";",EscStr(CONCATENATE("NavNode_",getCategoryLevelAsString($B78))),";",EscStr($J78),";"),CONCATENATE(";",EscStr(CONCATENATE("NavNode_",getCategoryLevelAsString($B78))),";",EscStr(O78),";")))</f>
        <v>;"NavNode_L3D_525342";"Potentsiomeetrid";</v>
      </c>
      <c r="AI78" s="39" t="str">
        <f>IF(getCategoryLevelAsString($B78)="L0D_324785","",IF(P78="",CONCATENATE(";",EscStr(CONCATENATE("NavNode_",getCategoryLevelAsString($B78))),";",EscStr($J78),";"),CONCATENATE(";",EscStr(CONCATENATE("NavNode_",getCategoryLevelAsString($B78))),";",EscStr(P78),";")))</f>
        <v>;"NavNode_L3D_525342";"Potentiometrit";</v>
      </c>
      <c r="AJ78" s="39" t="str">
        <f>IF(getCategoryLevelAsString($B78)="L0D_324785","",IF(Q78="",CONCATENATE(";",EscStr(CONCATENATE("NavNode_",getCategoryLevelAsString($B78))),";",EscStr($J78),";"),CONCATENATE(";",EscStr(CONCATENATE("NavNode_",getCategoryLevelAsString($B78))),";",EscStr(Q78),";")))</f>
        <v>;"NavNode_L3D_525342";"Potenciometri";</v>
      </c>
      <c r="AK78" s="39" t="str">
        <f>IF(getCategoryLevelAsString($B78)="L0D_324785","",IF(R78="",CONCATENATE(";",EscStr(CONCATENATE("NavNode_",getCategoryLevelAsString($B78))),";",EscStr($J78),";"),CONCATENATE(";",EscStr(CONCATENATE("NavNode_",getCategoryLevelAsString($B78))),";",EscStr(R78),";")))</f>
        <v>;"NavNode_L3D_525342";"Potentiometer";</v>
      </c>
      <c r="AL78" s="39" t="str">
        <f>IF(getCategoryLevelAsString($B78)="L0D_324785","",IF(S78="",CONCATENATE(";",EscStr(CONCATENATE("NavNode_",getCategoryLevelAsString($B78))),";",EscStr($J78),";"),CONCATENATE(";",EscStr(CONCATENATE("NavNode_",getCategoryLevelAsString($B78))),";",EscStr(S78),";")))</f>
        <v>;"NavNode_L3D_525342";"Potencjometr";</v>
      </c>
      <c r="AM78" s="39" t="str">
        <f>IF(getCategoryLevelAsString($B78)="L0D_324785","",IF(T78="",CONCATENATE(";",EscStr(CONCATENATE("NavNode_",getCategoryLevelAsString($B78))),";",EscStr($J78),";"),CONCATENATE(";",EscStr(CONCATENATE("NavNode_",getCategoryLevelAsString($B78))),";",EscStr(T78),";")))</f>
        <v>;"NavNode_L3D_525342";"Потенциометр";</v>
      </c>
      <c r="AN78" s="39" t="str">
        <f>IF(getCategoryLevelAsString($B78)="L0D_324785","",IF(U78="",CONCATENATE(";",EscStr(CONCATENATE("NavNode_",getCategoryLevelAsString($B78))),";",EscStr($J78),";"),CONCATENATE(";",EscStr(CONCATENATE("NavNode_",getCategoryLevelAsString($B78))),";",EscStr(U78),";")))</f>
        <v>;"NavNode_L3D_525342";"Potenciometry";</v>
      </c>
      <c r="AO78" s="39" t="str">
        <f>IF(getCategoryLevelAsString($B78)="L0D_324785","",IF(V78="",CONCATENATE(";",EscStr(CONCATENATE("NavNode_",getCategoryLevelAsString($B78))),";",EscStr($J78),";"),CONCATENATE(";",EscStr(CONCATENATE("NavNode_",getCategoryLevelAsString($B78))),";",EscStr(V78),";")))</f>
        <v>;"NavNode_L3D_525342";"Potentiometre";</v>
      </c>
      <c r="AP78" s="39" t="str">
        <f>IF(getCategoryLevelAsString($B78)="L0D_324785","",IF(W78="",CONCATENATE(";",EscStr(CONCATENATE("NavNode_",getCategoryLevelAsString($B78))),";",EscStr($J78),";"),CONCATENATE(";",EscStr(CONCATENATE("NavNode_",getCategoryLevelAsString($B78))),";",EscStr(W78),";")))</f>
        <v>;"NavNode_L3D_525342";"Potencióméter";</v>
      </c>
      <c r="AQ78" s="39" t="str">
        <f>IF(getCategoryLevelAsString($B78)="L0D_324785","",IF(X78="",CONCATENATE(";",EscStr(CONCATENATE("NavNode_",getCategoryLevelAsString($B78))),";",EscStr($J78),";"),CONCATENATE(";",EscStr(CONCATENATE("NavNode_",getCategoryLevelAsString($B78))),";",EscStr(X78),";")))</f>
        <v>;"NavNode_L3D_525342";"Potenciometer";</v>
      </c>
      <c r="AR78" s="39" t="str">
        <f>IF(OR($A78&lt;&gt;"", $G78=""),"",CONCATENATE(";",EscStr(CONCATENATE("NavEntry_",getCategoryLevelAsString($B78))),";",EscStr(CONCATENATE($J78," Navigation Entry")),";",EscStr(CONCATENATE("cat-",getCategoryLevelAsString($B78))),";",EscStr(CONCATENATE("NavNode_",getCategoryLevelAsString($B78))),";"))</f>
        <v>;"NavEntry_L3D_525342";"Potentiometers Navigation Entry";"cat-L3D_525342";"NavNode_L3D_525342";</v>
      </c>
    </row>
    <row r="79" spans="1:44" s="34" customFormat="1" ht="15" x14ac:dyDescent="0.25">
      <c r="A79" s="25"/>
      <c r="B79" s="5"/>
      <c r="C79" s="5"/>
      <c r="D79" s="5" t="s">
        <v>6545</v>
      </c>
      <c r="E79" s="5"/>
      <c r="F79" s="5"/>
      <c r="G79" s="5" t="s">
        <v>13520</v>
      </c>
      <c r="H79" s="41" t="s">
        <v>13621</v>
      </c>
      <c r="I79" s="41" t="s">
        <v>13709</v>
      </c>
      <c r="J79" s="40" t="s">
        <v>13554</v>
      </c>
      <c r="K79" s="5" t="s">
        <v>13802</v>
      </c>
      <c r="L79" s="5" t="s">
        <v>15116</v>
      </c>
      <c r="M79" s="5" t="s">
        <v>13893</v>
      </c>
      <c r="N79" s="5" t="s">
        <v>13945</v>
      </c>
      <c r="O79" s="5" t="s">
        <v>14062</v>
      </c>
      <c r="P79" s="5" t="s">
        <v>14155</v>
      </c>
      <c r="Q79" s="5" t="s">
        <v>14239</v>
      </c>
      <c r="R79" s="5" t="s">
        <v>14318</v>
      </c>
      <c r="S79" s="5" t="s">
        <v>14416</v>
      </c>
      <c r="T79" s="5" t="s">
        <v>14506</v>
      </c>
      <c r="U79" s="5" t="s">
        <v>14593</v>
      </c>
      <c r="V79" s="5" t="s">
        <v>14680</v>
      </c>
      <c r="W79" s="5" t="s">
        <v>6547</v>
      </c>
      <c r="X79" s="5" t="s">
        <v>6547</v>
      </c>
      <c r="Y79" s="39" t="str">
        <f>IF(OR($A79&lt;&gt;"", $G79=""),"",CONCATENATE(";",EscStr(CONCATENATE("NavNode_",getCategoryLevelAsString($B79))),";",EscStr($J79),";",IF($B79&lt;&gt;"","""MainCategoryNavNode""",EscStr(CONCATENATE("NavNode_",getSuperCategory($B79, getCategoryLevelAsNumber($B79))))),";"))</f>
        <v>;"NavNode_L3D_525343";"Trimmer Resistors";"NavNode_L2-3D_528734";</v>
      </c>
      <c r="Z79" s="39" t="str">
        <f>IF(getCategoryLevelAsString($B79)="L0D_324785","",IF(G79="",CONCATENATE(";",EscStr(CONCATENATE("NavNode_",getCategoryLevelAsString($B79))),";",EscStr($J79),";"),CONCATENATE(";",EscStr(CONCATENATE("NavNode_",getCategoryLevelAsString($B79))),";",EscStr(G79),";")))</f>
        <v>;"NavNode_L3D_525343";"Trimmer";</v>
      </c>
      <c r="AA79" s="39" t="str">
        <f>IF(getCategoryLevelAsString($B79)="L0D_324785","",IF(H79="",CONCATENATE(";",EscStr(CONCATENATE("NavNode_",getCategoryLevelAsString($B79))),";",EscStr($J79),";"),CONCATENATE(";",EscStr(CONCATENATE("NavNode_",getCategoryLevelAsString($B79))),";",EscStr(H79),";")))</f>
        <v>;"NavNode_L3D_525343";"Résistances Trimmer";</v>
      </c>
      <c r="AB79" s="39" t="str">
        <f>IF(getCategoryLevelAsString($B79)="L0D_324785","",IF(I79="",CONCATENATE(";",EscStr(CONCATENATE("NavNode_",getCategoryLevelAsString($B79))),";",EscStr($J79),";"),CONCATENATE(";",EscStr(CONCATENATE("NavNode_",getCategoryLevelAsString($B79))),";",EscStr(I79),";")))</f>
        <v>;"NavNode_L3D_525343";"Resistenze trimmer";</v>
      </c>
      <c r="AC79" s="39" t="str">
        <f>IF(getCategoryLevelAsString($B79)="L0D_324785","",IF(J79="",CONCATENATE(";",EscStr(CONCATENATE("NavNode_",getCategoryLevelAsString($B79))),";",EscStr($J79),";"),CONCATENATE(";",EscStr(CONCATENATE("NavNode_",getCategoryLevelAsString($B79))),";",EscStr(J79),";")))</f>
        <v>;"NavNode_L3D_525343";"Trimmer Resistors";</v>
      </c>
      <c r="AD79" s="39" t="str">
        <f>IF(getCategoryLevelAsString($B79)="L0D_324785","",IF(K79="",CONCATENATE(";",EscStr(CONCATENATE("NavNode_",getCategoryLevelAsString($B79))),";",EscStr($J79),";"),CONCATENATE(";",EscStr(CONCATENATE("NavNode_",getCategoryLevelAsString($B79))),";",EscStr(K79),";")))</f>
        <v>;"NavNode_L3D_525343";"Trimmemodstande";</v>
      </c>
      <c r="AE79" s="39" t="str">
        <f>IF(getCategoryLevelAsString($B79)="L0D_324785","",IF(L79="",CONCATENATE(";",EscStr(CONCATENATE("NavNode_",getCategoryLevelAsString($B79))),";",EscStr($J79),";"),CONCATENATE(";",EscStr(CONCATENATE("NavNode_",getCategoryLevelAsString($B79))),";",EscStr(L79),";")))</f>
        <v>;"NavNode_L3D_525343";"Derinimo rezistoriai";</v>
      </c>
      <c r="AF79" s="39" t="str">
        <f>IF(getCategoryLevelAsString($B79)="L0D_324785","",IF(M79="",CONCATENATE(";",EscStr(CONCATENATE("NavNode_",getCategoryLevelAsString($B79))),";",EscStr($J79),";"),CONCATENATE(";",EscStr(CONCATENATE("NavNode_",getCategoryLevelAsString($B79))),";",EscStr(M79),";")))</f>
        <v>;"NavNode_L3D_525343";"Trimmer-motstander";</v>
      </c>
      <c r="AG79" s="39" t="str">
        <f>IF(getCategoryLevelAsString($B79)="L0D_324785","",IF(N79="",CONCATENATE(";",EscStr(CONCATENATE("NavNode_",getCategoryLevelAsString($B79))),";",EscStr($J79),";"),CONCATENATE(";",EscStr(CONCATENATE("NavNode_",getCategoryLevelAsString($B79))),";",EscStr(N79),";")))</f>
        <v>;"NavNode_L3D_525343";"Trimpotentiometrar";</v>
      </c>
      <c r="AH79" s="39" t="str">
        <f>IF(getCategoryLevelAsString($B79)="L0D_324785","",IF(O79="",CONCATENATE(";",EscStr(CONCATENATE("NavNode_",getCategoryLevelAsString($B79))),";",EscStr($J79),";"),CONCATENATE(";",EscStr(CONCATENATE("NavNode_",getCategoryLevelAsString($B79))),";",EscStr(O79),";")))</f>
        <v>;"NavNode_L3D_525343";"Trimmertakistid";</v>
      </c>
      <c r="AI79" s="39" t="str">
        <f>IF(getCategoryLevelAsString($B79)="L0D_324785","",IF(P79="",CONCATENATE(";",EscStr(CONCATENATE("NavNode_",getCategoryLevelAsString($B79))),";",EscStr($J79),";"),CONCATENATE(";",EscStr(CONCATENATE("NavNode_",getCategoryLevelAsString($B79))),";",EscStr(P79),";")))</f>
        <v>;"NavNode_L3D_525343";"Säätövastukset";</v>
      </c>
      <c r="AJ79" s="39" t="str">
        <f>IF(getCategoryLevelAsString($B79)="L0D_324785","",IF(Q79="",CONCATENATE(";",EscStr(CONCATENATE("NavNode_",getCategoryLevelAsString($B79))),";",EscStr($J79),";"),CONCATENATE(";",EscStr(CONCATENATE("NavNode_",getCategoryLevelAsString($B79))),";",EscStr(Q79),";")))</f>
        <v>;"NavNode_L3D_525343";"Pieskaņošanas pretestības";</v>
      </c>
      <c r="AK79" s="39" t="str">
        <f>IF(getCategoryLevelAsString($B79)="L0D_324785","",IF(R79="",CONCATENATE(";",EscStr(CONCATENATE("NavNode_",getCategoryLevelAsString($B79))),";",EscStr($J79),";"),CONCATENATE(";",EscStr(CONCATENATE("NavNode_",getCategoryLevelAsString($B79))),";",EscStr(R79),";")))</f>
        <v>;"NavNode_L3D_525343";"Regelbare weerstanden";</v>
      </c>
      <c r="AL79" s="39" t="str">
        <f>IF(getCategoryLevelAsString($B79)="L0D_324785","",IF(S79="",CONCATENATE(";",EscStr(CONCATENATE("NavNode_",getCategoryLevelAsString($B79))),";",EscStr($J79),";"),CONCATENATE(";",EscStr(CONCATENATE("NavNode_",getCategoryLevelAsString($B79))),";",EscStr(S79),";")))</f>
        <v>;"NavNode_L3D_525343";"Potencjometry dostrojcze";</v>
      </c>
      <c r="AM79" s="39" t="str">
        <f>IF(getCategoryLevelAsString($B79)="L0D_324785","",IF(T79="",CONCATENATE(";",EscStr(CONCATENATE("NavNode_",getCategoryLevelAsString($B79))),";",EscStr($J79),";"),CONCATENATE(";",EscStr(CONCATENATE("NavNode_",getCategoryLevelAsString($B79))),";",EscStr(T79),";")))</f>
        <v>;"NavNode_L3D_525343";"Подстроечные резисторы";</v>
      </c>
      <c r="AN79" s="39" t="str">
        <f>IF(getCategoryLevelAsString($B79)="L0D_324785","",IF(U79="",CONCATENATE(";",EscStr(CONCATENATE("NavNode_",getCategoryLevelAsString($B79))),";",EscStr($J79),";"),CONCATENATE(";",EscStr(CONCATENATE("NavNode_",getCategoryLevelAsString($B79))),";",EscStr(U79),";")))</f>
        <v>;"NavNode_L3D_525343";"Trimmery";</v>
      </c>
      <c r="AO79" s="39" t="str">
        <f>IF(getCategoryLevelAsString($B79)="L0D_324785","",IF(V79="",CONCATENATE(";",EscStr(CONCATENATE("NavNode_",getCategoryLevelAsString($B79))),";",EscStr($J79),";"),CONCATENATE(";",EscStr(CONCATENATE("NavNode_",getCategoryLevelAsString($B79))),";",EscStr(V79),";")))</f>
        <v>;"NavNode_L3D_525343";"Trimere";</v>
      </c>
      <c r="AP79" s="39" t="str">
        <f>IF(getCategoryLevelAsString($B79)="L0D_324785","",IF(W79="",CONCATENATE(";",EscStr(CONCATENATE("NavNode_",getCategoryLevelAsString($B79))),";",EscStr($J79),";"),CONCATENATE(";",EscStr(CONCATENATE("NavNode_",getCategoryLevelAsString($B79))),";",EscStr(W79),";")))</f>
        <v>;"NavNode_L3D_525343";"Trimmer";</v>
      </c>
      <c r="AQ79" s="39" t="str">
        <f>IF(getCategoryLevelAsString($B79)="L0D_324785","",IF(X79="",CONCATENATE(";",EscStr(CONCATENATE("NavNode_",getCategoryLevelAsString($B79))),";",EscStr($J79),";"),CONCATENATE(";",EscStr(CONCATENATE("NavNode_",getCategoryLevelAsString($B79))),";",EscStr(X79),";")))</f>
        <v>;"NavNode_L3D_525343";"Trimmer";</v>
      </c>
      <c r="AR79" s="39" t="str">
        <f>IF(OR($A79&lt;&gt;"", $G79=""),"",CONCATENATE(";",EscStr(CONCATENATE("NavEntry_",getCategoryLevelAsString($B79))),";",EscStr(CONCATENATE($J79," Navigation Entry")),";",EscStr(CONCATENATE("cat-",getCategoryLevelAsString($B79))),";",EscStr(CONCATENATE("NavNode_",getCategoryLevelAsString($B79))),";"))</f>
        <v>;"NavEntry_L3D_525343";"Trimmer Resistors Navigation Entry";"cat-L3D_525343";"NavNode_L3D_525343";</v>
      </c>
    </row>
    <row r="80" spans="1:44" s="34" customFormat="1" ht="15" x14ac:dyDescent="0.25">
      <c r="A80" s="25"/>
      <c r="B80" s="5"/>
      <c r="C80" s="5" t="s">
        <v>744</v>
      </c>
      <c r="D80" s="5"/>
      <c r="E80" s="5"/>
      <c r="F80" s="5"/>
      <c r="G80" s="5" t="s">
        <v>2518</v>
      </c>
      <c r="H80" s="5" t="s">
        <v>1088</v>
      </c>
      <c r="I80" s="5" t="s">
        <v>1147</v>
      </c>
      <c r="J80" s="5" t="s">
        <v>844</v>
      </c>
      <c r="K80" s="5" t="s">
        <v>1214</v>
      </c>
      <c r="L80" s="5" t="s">
        <v>1448</v>
      </c>
      <c r="M80" s="5" t="s">
        <v>1682</v>
      </c>
      <c r="N80" s="5" t="s">
        <v>13946</v>
      </c>
      <c r="O80" s="5" t="s">
        <v>2519</v>
      </c>
      <c r="P80" s="5" t="s">
        <v>2520</v>
      </c>
      <c r="Q80" s="5" t="s">
        <v>2521</v>
      </c>
      <c r="R80" s="5" t="s">
        <v>2522</v>
      </c>
      <c r="S80" s="5" t="s">
        <v>2523</v>
      </c>
      <c r="T80" s="5" t="s">
        <v>2524</v>
      </c>
      <c r="U80" s="5" t="s">
        <v>2525</v>
      </c>
      <c r="V80" s="5" t="s">
        <v>2526</v>
      </c>
      <c r="W80" s="5" t="s">
        <v>2527</v>
      </c>
      <c r="X80" s="5" t="s">
        <v>14839</v>
      </c>
      <c r="Y80" s="39" t="str">
        <f>IF(OR($A80&lt;&gt;"", $G80=""),"",CONCATENATE(";",EscStr(CONCATENATE("NavNode_",getCategoryLevelAsString($B80))),";",EscStr($J80),";",IF($B80&lt;&gt;"","""MainCategoryNavNode""",EscStr(CONCATENATE("NavNode_",getSuperCategory($B80, getCategoryLevelAsNumber($B80))))),";"))</f>
        <v>;"NavNode_L2-3D_528722";"Ferrites / Inductors / Filters";"NavNode_Passive Components";</v>
      </c>
      <c r="Z80" s="39" t="str">
        <f>IF(getCategoryLevelAsString($B80)="L0D_324785","",IF(G80="",CONCATENATE(";",EscStr(CONCATENATE("NavNode_",getCategoryLevelAsString($B80))),";",EscStr($J80),";"),CONCATENATE(";",EscStr(CONCATENATE("NavNode_",getCategoryLevelAsString($B80))),";",EscStr(G80),";")))</f>
        <v>;"NavNode_L2-3D_528722";"Ferrite / Induktivitäten / Filter";</v>
      </c>
      <c r="AA80" s="39" t="str">
        <f>IF(getCategoryLevelAsString($B80)="L0D_324785","",IF(H80="",CONCATENATE(";",EscStr(CONCATENATE("NavNode_",getCategoryLevelAsString($B80))),";",EscStr($J80),";"),CONCATENATE(";",EscStr(CONCATENATE("NavNode_",getCategoryLevelAsString($B80))),";",EscStr(H80),";")))</f>
        <v>;"NavNode_L2-3D_528722";"Ferrites / Inductances / Filtres";</v>
      </c>
      <c r="AB80" s="39" t="str">
        <f>IF(getCategoryLevelAsString($B80)="L0D_324785","",IF(I80="",CONCATENATE(";",EscStr(CONCATENATE("NavNode_",getCategoryLevelAsString($B80))),";",EscStr($J80),";"),CONCATENATE(";",EscStr(CONCATENATE("NavNode_",getCategoryLevelAsString($B80))),";",EscStr(I80),";")))</f>
        <v>;"NavNode_L2-3D_528722";"Ferriti / Induttori / Filtri";</v>
      </c>
      <c r="AC80" s="39" t="str">
        <f>IF(getCategoryLevelAsString($B80)="L0D_324785","",IF(J80="",CONCATENATE(";",EscStr(CONCATENATE("NavNode_",getCategoryLevelAsString($B80))),";",EscStr($J80),";"),CONCATENATE(";",EscStr(CONCATENATE("NavNode_",getCategoryLevelAsString($B80))),";",EscStr(J80),";")))</f>
        <v>;"NavNode_L2-3D_528722";"Ferrites / Inductors / Filters";</v>
      </c>
      <c r="AD80" s="39" t="str">
        <f>IF(getCategoryLevelAsString($B80)="L0D_324785","",IF(K80="",CONCATENATE(";",EscStr(CONCATENATE("NavNode_",getCategoryLevelAsString($B80))),";",EscStr($J80),";"),CONCATENATE(";",EscStr(CONCATENATE("NavNode_",getCategoryLevelAsString($B80))),";",EscStr(K80),";")))</f>
        <v>;"NavNode_L2-3D_528722";"Ferritter/induktionsspoler/filtre";</v>
      </c>
      <c r="AE80" s="39" t="str">
        <f>IF(getCategoryLevelAsString($B80)="L0D_324785","",IF(L80="",CONCATENATE(";",EscStr(CONCATENATE("NavNode_",getCategoryLevelAsString($B80))),";",EscStr($J80),";"),CONCATENATE(";",EscStr(CONCATENATE("NavNode_",getCategoryLevelAsString($B80))),";",EscStr(L80),";")))</f>
        <v>;"NavNode_L2-3D_528722";"Feritai / induktoriai / filtrai";</v>
      </c>
      <c r="AF80" s="39" t="str">
        <f>IF(getCategoryLevelAsString($B80)="L0D_324785","",IF(M80="",CONCATENATE(";",EscStr(CONCATENATE("NavNode_",getCategoryLevelAsString($B80))),";",EscStr($J80),";"),CONCATENATE(";",EscStr(CONCATENATE("NavNode_",getCategoryLevelAsString($B80))),";",EscStr(M80),";")))</f>
        <v>;"NavNode_L2-3D_528722";"Ferritter/induktorer/filtre";</v>
      </c>
      <c r="AG80" s="39" t="str">
        <f>IF(getCategoryLevelAsString($B80)="L0D_324785","",IF(N80="",CONCATENATE(";",EscStr(CONCATENATE("NavNode_",getCategoryLevelAsString($B80))),";",EscStr($J80),";"),CONCATENATE(";",EscStr(CONCATENATE("NavNode_",getCategoryLevelAsString($B80))),";",EscStr(N80),";")))</f>
        <v>;"NavNode_L2-3D_528722";"Ferriter / Induktanser / Filter";</v>
      </c>
      <c r="AH80" s="39" t="str">
        <f>IF(getCategoryLevelAsString($B80)="L0D_324785","",IF(O80="",CONCATENATE(";",EscStr(CONCATENATE("NavNode_",getCategoryLevelAsString($B80))),";",EscStr($J80),";"),CONCATENATE(";",EscStr(CONCATENATE("NavNode_",getCategoryLevelAsString($B80))),";",EscStr(O80),";")))</f>
        <v>;"NavNode_L2-3D_528722";"Ferriidid / Induktiivpoolid / Filtrid";</v>
      </c>
      <c r="AI80" s="39" t="str">
        <f>IF(getCategoryLevelAsString($B80)="L0D_324785","",IF(P80="",CONCATENATE(";",EscStr(CONCATENATE("NavNode_",getCategoryLevelAsString($B80))),";",EscStr($J80),";"),CONCATENATE(";",EscStr(CONCATENATE("NavNode_",getCategoryLevelAsString($B80))),";",EscStr(P80),";")))</f>
        <v>;"NavNode_L2-3D_528722";"Ferriitit/Kelat/ suotimet";</v>
      </c>
      <c r="AJ80" s="39" t="str">
        <f>IF(getCategoryLevelAsString($B80)="L0D_324785","",IF(Q80="",CONCATENATE(";",EscStr(CONCATENATE("NavNode_",getCategoryLevelAsString($B80))),";",EscStr($J80),";"),CONCATENATE(";",EscStr(CONCATENATE("NavNode_",getCategoryLevelAsString($B80))),";",EscStr(Q80),";")))</f>
        <v>;"NavNode_L2-3D_528722";"Ferīti / Spoles / Filtri";</v>
      </c>
      <c r="AK80" s="39" t="str">
        <f>IF(getCategoryLevelAsString($B80)="L0D_324785","",IF(R80="",CONCATENATE(";",EscStr(CONCATENATE("NavNode_",getCategoryLevelAsString($B80))),";",EscStr($J80),";"),CONCATENATE(";",EscStr(CONCATENATE("NavNode_",getCategoryLevelAsString($B80))),";",EscStr(R80),";")))</f>
        <v>;"NavNode_L2-3D_528722";"Ferrietkernen / Smoorspoelen / Ontstoorfilters";</v>
      </c>
      <c r="AL80" s="39" t="str">
        <f>IF(getCategoryLevelAsString($B80)="L0D_324785","",IF(S80="",CONCATENATE(";",EscStr(CONCATENATE("NavNode_",getCategoryLevelAsString($B80))),";",EscStr($J80),";"),CONCATENATE(";",EscStr(CONCATENATE("NavNode_",getCategoryLevelAsString($B80))),";",EscStr(S80),";")))</f>
        <v>;"NavNode_L2-3D_528722";"Ferryty / Elementy indukcyjne / Filtry";</v>
      </c>
      <c r="AM80" s="39" t="str">
        <f>IF(getCategoryLevelAsString($B80)="L0D_324785","",IF(T80="",CONCATENATE(";",EscStr(CONCATENATE("NavNode_",getCategoryLevelAsString($B80))),";",EscStr($J80),";"),CONCATENATE(";",EscStr(CONCATENATE("NavNode_",getCategoryLevelAsString($B80))),";",EscStr(T80),";")))</f>
        <v>;"NavNode_L2-3D_528722";"Ферриты / Индукторы / Фильтры";</v>
      </c>
      <c r="AN80" s="39" t="str">
        <f>IF(getCategoryLevelAsString($B80)="L0D_324785","",IF(U80="",CONCATENATE(";",EscStr(CONCATENATE("NavNode_",getCategoryLevelAsString($B80))),";",EscStr($J80),";"),CONCATENATE(";",EscStr(CONCATENATE("NavNode_",getCategoryLevelAsString($B80))),";",EscStr(U80),";")))</f>
        <v>;"NavNode_L2-3D_528722";"Ferity / Induktory / Filtry";</v>
      </c>
      <c r="AO80" s="39" t="str">
        <f>IF(getCategoryLevelAsString($B80)="L0D_324785","",IF(V80="",CONCATENATE(";",EscStr(CONCATENATE("NavNode_",getCategoryLevelAsString($B80))),";",EscStr($J80),";"),CONCATENATE(";",EscStr(CONCATENATE("NavNode_",getCategoryLevelAsString($B80))),";",EscStr(V80),";")))</f>
        <v>;"NavNode_L2-3D_528722";"Ferite / Inductoare / Filtre";</v>
      </c>
      <c r="AP80" s="39" t="str">
        <f>IF(getCategoryLevelAsString($B80)="L0D_324785","",IF(W80="",CONCATENATE(";",EscStr(CONCATENATE("NavNode_",getCategoryLevelAsString($B80))),";",EscStr($J80),";"),CONCATENATE(";",EscStr(CONCATENATE("NavNode_",getCategoryLevelAsString($B80))),";",EscStr(W80),";")))</f>
        <v>;"NavNode_L2-3D_528722";"Ferritek / Induktivítások / Szűrők";</v>
      </c>
      <c r="AQ80" s="39" t="str">
        <f>IF(getCategoryLevelAsString($B80)="L0D_324785","",IF(X80="",CONCATENATE(";",EscStr(CONCATENATE("NavNode_",getCategoryLevelAsString($B80))),";",EscStr($J80),";"),CONCATENATE(";",EscStr(CONCATENATE("NavNode_",getCategoryLevelAsString($B80))),";",EscStr(X80),";")))</f>
        <v>;"NavNode_L2-3D_528722";"Ferity / induktory / filter";</v>
      </c>
      <c r="AR80" s="39" t="str">
        <f>IF(OR($A80&lt;&gt;"", $G80=""),"",CONCATENATE(";",EscStr(CONCATENATE("NavEntry_",getCategoryLevelAsString($B80))),";",EscStr(CONCATENATE($J80," Navigation Entry")),";",EscStr(CONCATENATE("cat-",getCategoryLevelAsString($B80))),";",EscStr(CONCATENATE("NavNode_",getCategoryLevelAsString($B80))),";"))</f>
        <v>;"NavEntry_L2-3D_528722";"Ferrites / Inductors / Filters Navigation Entry";"cat-L2-3D_528722";"NavNode_L2-3D_528722";</v>
      </c>
    </row>
    <row r="81" spans="1:44" s="34" customFormat="1" ht="15" x14ac:dyDescent="0.25">
      <c r="A81" s="25"/>
      <c r="B81" s="5"/>
      <c r="C81" s="5"/>
      <c r="D81" s="5" t="s">
        <v>6592</v>
      </c>
      <c r="E81" s="5"/>
      <c r="F81" s="5"/>
      <c r="G81" s="5" t="s">
        <v>6594</v>
      </c>
      <c r="H81" s="5" t="s">
        <v>6593</v>
      </c>
      <c r="I81" s="5" t="s">
        <v>13710</v>
      </c>
      <c r="J81" s="5" t="s">
        <v>6593</v>
      </c>
      <c r="K81" s="5" t="s">
        <v>13803</v>
      </c>
      <c r="L81" s="5" t="s">
        <v>15117</v>
      </c>
      <c r="M81" s="5" t="s">
        <v>13803</v>
      </c>
      <c r="N81" s="5" t="s">
        <v>13947</v>
      </c>
      <c r="O81" s="5" t="s">
        <v>14063</v>
      </c>
      <c r="P81" s="5" t="s">
        <v>14156</v>
      </c>
      <c r="Q81" s="5" t="s">
        <v>14240</v>
      </c>
      <c r="R81" s="5" t="s">
        <v>14319</v>
      </c>
      <c r="S81" s="5" t="s">
        <v>14417</v>
      </c>
      <c r="T81" s="5" t="s">
        <v>14507</v>
      </c>
      <c r="U81" s="5" t="s">
        <v>14594</v>
      </c>
      <c r="V81" s="5" t="s">
        <v>14681</v>
      </c>
      <c r="W81" s="5" t="s">
        <v>14766</v>
      </c>
      <c r="X81" s="5" t="s">
        <v>14594</v>
      </c>
      <c r="Y81" s="39" t="str">
        <f>IF(OR($A81&lt;&gt;"", $G81=""),"",CONCATENATE(";",EscStr(CONCATENATE("NavNode_",getCategoryLevelAsString($B81))),";",EscStr($J81),";",IF($B81&lt;&gt;"","""MainCategoryNavNode""",EscStr(CONCATENATE("NavNode_",getSuperCategory($B81, getCategoryLevelAsNumber($B81))))),";"))</f>
        <v>;"NavNode_L3D_525344";"Ferrites";"NavNode_L2-3D_528722";</v>
      </c>
      <c r="Z81" s="39" t="str">
        <f>IF(getCategoryLevelAsString($B81)="L0D_324785","",IF(G81="",CONCATENATE(";",EscStr(CONCATENATE("NavNode_",getCategoryLevelAsString($B81))),";",EscStr($J81),";"),CONCATENATE(";",EscStr(CONCATENATE("NavNode_",getCategoryLevelAsString($B81))),";",EscStr(G81),";")))</f>
        <v>;"NavNode_L3D_525344";"Ferrite";</v>
      </c>
      <c r="AA81" s="39" t="str">
        <f>IF(getCategoryLevelAsString($B81)="L0D_324785","",IF(H81="",CONCATENATE(";",EscStr(CONCATENATE("NavNode_",getCategoryLevelAsString($B81))),";",EscStr($J81),";"),CONCATENATE(";",EscStr(CONCATENATE("NavNode_",getCategoryLevelAsString($B81))),";",EscStr(H81),";")))</f>
        <v>;"NavNode_L3D_525344";"Ferrites";</v>
      </c>
      <c r="AB81" s="39" t="str">
        <f>IF(getCategoryLevelAsString($B81)="L0D_324785","",IF(I81="",CONCATENATE(";",EscStr(CONCATENATE("NavNode_",getCategoryLevelAsString($B81))),";",EscStr($J81),";"),CONCATENATE(";",EscStr(CONCATENATE("NavNode_",getCategoryLevelAsString($B81))),";",EscStr(I81),";")))</f>
        <v>;"NavNode_L3D_525344";"Ferriti";</v>
      </c>
      <c r="AC81" s="39" t="str">
        <f>IF(getCategoryLevelAsString($B81)="L0D_324785","",IF(J81="",CONCATENATE(";",EscStr(CONCATENATE("NavNode_",getCategoryLevelAsString($B81))),";",EscStr($J81),";"),CONCATENATE(";",EscStr(CONCATENATE("NavNode_",getCategoryLevelAsString($B81))),";",EscStr(J81),";")))</f>
        <v>;"NavNode_L3D_525344";"Ferrites";</v>
      </c>
      <c r="AD81" s="39" t="str">
        <f>IF(getCategoryLevelAsString($B81)="L0D_324785","",IF(K81="",CONCATENATE(";",EscStr(CONCATENATE("NavNode_",getCategoryLevelAsString($B81))),";",EscStr($J81),";"),CONCATENATE(";",EscStr(CONCATENATE("NavNode_",getCategoryLevelAsString($B81))),";",EscStr(K81),";")))</f>
        <v>;"NavNode_L3D_525344";"Ferritter";</v>
      </c>
      <c r="AE81" s="39" t="str">
        <f>IF(getCategoryLevelAsString($B81)="L0D_324785","",IF(L81="",CONCATENATE(";",EscStr(CONCATENATE("NavNode_",getCategoryLevelAsString($B81))),";",EscStr($J81),";"),CONCATENATE(";",EscStr(CONCATENATE("NavNode_",getCategoryLevelAsString($B81))),";",EscStr(L81),";")))</f>
        <v>;"NavNode_L3D_525344";"Feritai";</v>
      </c>
      <c r="AF81" s="39" t="str">
        <f>IF(getCategoryLevelAsString($B81)="L0D_324785","",IF(M81="",CONCATENATE(";",EscStr(CONCATENATE("NavNode_",getCategoryLevelAsString($B81))),";",EscStr($J81),";"),CONCATENATE(";",EscStr(CONCATENATE("NavNode_",getCategoryLevelAsString($B81))),";",EscStr(M81),";")))</f>
        <v>;"NavNode_L3D_525344";"Ferritter";</v>
      </c>
      <c r="AG81" s="39" t="str">
        <f>IF(getCategoryLevelAsString($B81)="L0D_324785","",IF(N81="",CONCATENATE(";",EscStr(CONCATENATE("NavNode_",getCategoryLevelAsString($B81))),";",EscStr($J81),";"),CONCATENATE(";",EscStr(CONCATENATE("NavNode_",getCategoryLevelAsString($B81))),";",EscStr(N81),";")))</f>
        <v>;"NavNode_L3D_525344";"Ferritkärnor";</v>
      </c>
      <c r="AH81" s="39" t="str">
        <f>IF(getCategoryLevelAsString($B81)="L0D_324785","",IF(O81="",CONCATENATE(";",EscStr(CONCATENATE("NavNode_",getCategoryLevelAsString($B81))),";",EscStr($J81),";"),CONCATENATE(";",EscStr(CONCATENATE("NavNode_",getCategoryLevelAsString($B81))),";",EscStr(O81),";")))</f>
        <v>;"NavNode_L3D_525344";"Ferriidid";</v>
      </c>
      <c r="AI81" s="39" t="str">
        <f>IF(getCategoryLevelAsString($B81)="L0D_324785","",IF(P81="",CONCATENATE(";",EscStr(CONCATENATE("NavNode_",getCategoryLevelAsString($B81))),";",EscStr($J81),";"),CONCATENATE(";",EscStr(CONCATENATE("NavNode_",getCategoryLevelAsString($B81))),";",EscStr(P81),";")))</f>
        <v>;"NavNode_L3D_525344";"Ferriitit";</v>
      </c>
      <c r="AJ81" s="39" t="str">
        <f>IF(getCategoryLevelAsString($B81)="L0D_324785","",IF(Q81="",CONCATENATE(";",EscStr(CONCATENATE("NavNode_",getCategoryLevelAsString($B81))),";",EscStr($J81),";"),CONCATENATE(";",EscStr(CONCATENATE("NavNode_",getCategoryLevelAsString($B81))),";",EscStr(Q81),";")))</f>
        <v>;"NavNode_L3D_525344";"Ferīti";</v>
      </c>
      <c r="AK81" s="39" t="str">
        <f>IF(getCategoryLevelAsString($B81)="L0D_324785","",IF(R81="",CONCATENATE(";",EscStr(CONCATENATE("NavNode_",getCategoryLevelAsString($B81))),";",EscStr($J81),";"),CONCATENATE(";",EscStr(CONCATENATE("NavNode_",getCategoryLevelAsString($B81))),";",EscStr(R81),";")))</f>
        <v>;"NavNode_L3D_525344";"Ferrietkernen";</v>
      </c>
      <c r="AL81" s="39" t="str">
        <f>IF(getCategoryLevelAsString($B81)="L0D_324785","",IF(S81="",CONCATENATE(";",EscStr(CONCATENATE("NavNode_",getCategoryLevelAsString($B81))),";",EscStr($J81),";"),CONCATENATE(";",EscStr(CONCATENATE("NavNode_",getCategoryLevelAsString($B81))),";",EscStr(S81),";")))</f>
        <v>;"NavNode_L3D_525344";"Ferryty";</v>
      </c>
      <c r="AM81" s="39" t="str">
        <f>IF(getCategoryLevelAsString($B81)="L0D_324785","",IF(T81="",CONCATENATE(";",EscStr(CONCATENATE("NavNode_",getCategoryLevelAsString($B81))),";",EscStr($J81),";"),CONCATENATE(";",EscStr(CONCATENATE("NavNode_",getCategoryLevelAsString($B81))),";",EscStr(T81),";")))</f>
        <v>;"NavNode_L3D_525344";"Ферриты";</v>
      </c>
      <c r="AN81" s="39" t="str">
        <f>IF(getCategoryLevelAsString($B81)="L0D_324785","",IF(U81="",CONCATENATE(";",EscStr(CONCATENATE("NavNode_",getCategoryLevelAsString($B81))),";",EscStr($J81),";"),CONCATENATE(";",EscStr(CONCATENATE("NavNode_",getCategoryLevelAsString($B81))),";",EscStr(U81),";")))</f>
        <v>;"NavNode_L3D_525344";"Ferity";</v>
      </c>
      <c r="AO81" s="39" t="str">
        <f>IF(getCategoryLevelAsString($B81)="L0D_324785","",IF(V81="",CONCATENATE(";",EscStr(CONCATENATE("NavNode_",getCategoryLevelAsString($B81))),";",EscStr($J81),";"),CONCATENATE(";",EscStr(CONCATENATE("NavNode_",getCategoryLevelAsString($B81))),";",EscStr(V81),";")))</f>
        <v>;"NavNode_L3D_525344";"Ferite";</v>
      </c>
      <c r="AP81" s="39" t="str">
        <f>IF(getCategoryLevelAsString($B81)="L0D_324785","",IF(W81="",CONCATENATE(";",EscStr(CONCATENATE("NavNode_",getCategoryLevelAsString($B81))),";",EscStr($J81),";"),CONCATENATE(";",EscStr(CONCATENATE("NavNode_",getCategoryLevelAsString($B81))),";",EscStr(W81),";")))</f>
        <v>;"NavNode_L3D_525344";"Ferritek";</v>
      </c>
      <c r="AQ81" s="39" t="str">
        <f>IF(getCategoryLevelAsString($B81)="L0D_324785","",IF(X81="",CONCATENATE(";",EscStr(CONCATENATE("NavNode_",getCategoryLevelAsString($B81))),";",EscStr($J81),";"),CONCATENATE(";",EscStr(CONCATENATE("NavNode_",getCategoryLevelAsString($B81))),";",EscStr(X81),";")))</f>
        <v>;"NavNode_L3D_525344";"Ferity";</v>
      </c>
      <c r="AR81" s="39" t="str">
        <f>IF(OR($A81&lt;&gt;"", $G81=""),"",CONCATENATE(";",EscStr(CONCATENATE("NavEntry_",getCategoryLevelAsString($B81))),";",EscStr(CONCATENATE($J81," Navigation Entry")),";",EscStr(CONCATENATE("cat-",getCategoryLevelAsString($B81))),";",EscStr(CONCATENATE("NavNode_",getCategoryLevelAsString($B81))),";"))</f>
        <v>;"NavEntry_L3D_525344";"Ferrites Navigation Entry";"cat-L3D_525344";"NavNode_L3D_525344";</v>
      </c>
    </row>
    <row r="82" spans="1:44" s="34" customFormat="1" ht="15" x14ac:dyDescent="0.25">
      <c r="A82" s="25"/>
      <c r="B82" s="5"/>
      <c r="C82" s="5"/>
      <c r="D82" s="5" t="s">
        <v>6659</v>
      </c>
      <c r="E82" s="5"/>
      <c r="F82" s="5"/>
      <c r="G82" s="5" t="s">
        <v>6661</v>
      </c>
      <c r="H82" s="5" t="s">
        <v>13622</v>
      </c>
      <c r="I82" s="5" t="s">
        <v>13711</v>
      </c>
      <c r="J82" s="5" t="s">
        <v>6660</v>
      </c>
      <c r="K82" s="5" t="s">
        <v>13804</v>
      </c>
      <c r="L82" s="5" t="s">
        <v>15118</v>
      </c>
      <c r="M82" s="5" t="s">
        <v>13804</v>
      </c>
      <c r="N82" s="47" t="s">
        <v>15442</v>
      </c>
      <c r="O82" s="5" t="s">
        <v>14064</v>
      </c>
      <c r="P82" s="5" t="s">
        <v>14157</v>
      </c>
      <c r="Q82" s="5" t="s">
        <v>14241</v>
      </c>
      <c r="R82" s="5" t="s">
        <v>14320</v>
      </c>
      <c r="S82" s="5" t="s">
        <v>14418</v>
      </c>
      <c r="T82" s="5" t="s">
        <v>14508</v>
      </c>
      <c r="U82" s="5" t="s">
        <v>14595</v>
      </c>
      <c r="V82" s="5" t="s">
        <v>14682</v>
      </c>
      <c r="W82" s="5" t="s">
        <v>14767</v>
      </c>
      <c r="X82" s="5" t="s">
        <v>14595</v>
      </c>
      <c r="Y82" s="39" t="str">
        <f>IF(OR($A82&lt;&gt;"", $G82=""),"",CONCATENATE(";",EscStr(CONCATENATE("NavNode_",getCategoryLevelAsString($B82))),";",EscStr($J82),";",IF($B82&lt;&gt;"","""MainCategoryNavNode""",EscStr(CONCATENATE("NavNode_",getSuperCategory($B82, getCategoryLevelAsNumber($B82))))),";"))</f>
        <v>;"NavNode_L3D_525345";"EMI Ferrites";"NavNode_L2-3D_528722";</v>
      </c>
      <c r="Z82" s="39" t="str">
        <f>IF(getCategoryLevelAsString($B82)="L0D_324785","",IF(G82="",CONCATENATE(";",EscStr(CONCATENATE("NavNode_",getCategoryLevelAsString($B82))),";",EscStr($J82),";"),CONCATENATE(";",EscStr(CONCATENATE("NavNode_",getCategoryLevelAsString($B82))),";",EscStr(G82),";")))</f>
        <v>;"NavNode_L3D_525345";"EMI-Ferrite";</v>
      </c>
      <c r="AA82" s="39" t="str">
        <f>IF(getCategoryLevelAsString($B82)="L0D_324785","",IF(H82="",CONCATENATE(";",EscStr(CONCATENATE("NavNode_",getCategoryLevelAsString($B82))),";",EscStr($J82),";"),CONCATENATE(";",EscStr(CONCATENATE("NavNode_",getCategoryLevelAsString($B82))),";",EscStr(H82),";")))</f>
        <v>;"NavNode_L3D_525345";"Ferrites EMI";</v>
      </c>
      <c r="AB82" s="39" t="str">
        <f>IF(getCategoryLevelAsString($B82)="L0D_324785","",IF(I82="",CONCATENATE(";",EscStr(CONCATENATE("NavNode_",getCategoryLevelAsString($B82))),";",EscStr($J82),";"),CONCATENATE(";",EscStr(CONCATENATE("NavNode_",getCategoryLevelAsString($B82))),";",EscStr(I82),";")))</f>
        <v>;"NavNode_L3D_525345";"Ferriti EMI";</v>
      </c>
      <c r="AC82" s="39" t="str">
        <f>IF(getCategoryLevelAsString($B82)="L0D_324785","",IF(J82="",CONCATENATE(";",EscStr(CONCATENATE("NavNode_",getCategoryLevelAsString($B82))),";",EscStr($J82),";"),CONCATENATE(";",EscStr(CONCATENATE("NavNode_",getCategoryLevelAsString($B82))),";",EscStr(J82),";")))</f>
        <v>;"NavNode_L3D_525345";"EMI Ferrites";</v>
      </c>
      <c r="AD82" s="39" t="str">
        <f>IF(getCategoryLevelAsString($B82)="L0D_324785","",IF(K82="",CONCATENATE(";",EscStr(CONCATENATE("NavNode_",getCategoryLevelAsString($B82))),";",EscStr($J82),";"),CONCATENATE(";",EscStr(CONCATENATE("NavNode_",getCategoryLevelAsString($B82))),";",EscStr(K82),";")))</f>
        <v>;"NavNode_L3D_525345";"EMI-ferritter";</v>
      </c>
      <c r="AE82" s="39" t="str">
        <f>IF(getCategoryLevelAsString($B82)="L0D_324785","",IF(L82="",CONCATENATE(";",EscStr(CONCATENATE("NavNode_",getCategoryLevelAsString($B82))),";",EscStr($J82),";"),CONCATENATE(";",EscStr(CONCATENATE("NavNode_",getCategoryLevelAsString($B82))),";",EscStr(L82),";")))</f>
        <v>;"NavNode_L3D_525345";"EMI feritai";</v>
      </c>
      <c r="AF82" s="39" t="str">
        <f>IF(getCategoryLevelAsString($B82)="L0D_324785","",IF(M82="",CONCATENATE(";",EscStr(CONCATENATE("NavNode_",getCategoryLevelAsString($B82))),";",EscStr($J82),";"),CONCATENATE(";",EscStr(CONCATENATE("NavNode_",getCategoryLevelAsString($B82))),";",EscStr(M82),";")))</f>
        <v>;"NavNode_L3D_525345";"EMI-ferritter";</v>
      </c>
      <c r="AG82" s="39" t="str">
        <f>IF(getCategoryLevelAsString($B82)="L0D_324785","",IF(N82="",CONCATENATE(";",EscStr(CONCATENATE("NavNode_",getCategoryLevelAsString($B82))),";",EscStr($J82),";"),CONCATENATE(";",EscStr(CONCATENATE("NavNode_",getCategoryLevelAsString($B82))),";",EscStr(N82),";")))</f>
        <v>;"NavNode_L3D_525345";"Avstörningsferriter, EMI";</v>
      </c>
      <c r="AH82" s="39" t="str">
        <f>IF(getCategoryLevelAsString($B82)="L0D_324785","",IF(O82="",CONCATENATE(";",EscStr(CONCATENATE("NavNode_",getCategoryLevelAsString($B82))),";",EscStr($J82),";"),CONCATENATE(";",EscStr(CONCATENATE("NavNode_",getCategoryLevelAsString($B82))),";",EscStr(O82),";")))</f>
        <v>;"NavNode_L3D_525345";"EMI ferriidid";</v>
      </c>
      <c r="AI82" s="39" t="str">
        <f>IF(getCategoryLevelAsString($B82)="L0D_324785","",IF(P82="",CONCATENATE(";",EscStr(CONCATENATE("NavNode_",getCategoryLevelAsString($B82))),";",EscStr($J82),";"),CONCATENATE(";",EscStr(CONCATENATE("NavNode_",getCategoryLevelAsString($B82))),";",EscStr(P82),";")))</f>
        <v>;"NavNode_L3D_525345";"EMI Ferriitit";</v>
      </c>
      <c r="AJ82" s="39" t="str">
        <f>IF(getCategoryLevelAsString($B82)="L0D_324785","",IF(Q82="",CONCATENATE(";",EscStr(CONCATENATE("NavNode_",getCategoryLevelAsString($B82))),";",EscStr($J82),";"),CONCATENATE(";",EscStr(CONCATENATE("NavNode_",getCategoryLevelAsString($B82))),";",EscStr(Q82),";")))</f>
        <v>;"NavNode_L3D_525345";"Traucējumu slāpēšanas ferīti";</v>
      </c>
      <c r="AK82" s="39" t="str">
        <f>IF(getCategoryLevelAsString($B82)="L0D_324785","",IF(R82="",CONCATENATE(";",EscStr(CONCATENATE("NavNode_",getCategoryLevelAsString($B82))),";",EscStr($J82),";"),CONCATENATE(";",EscStr(CONCATENATE("NavNode_",getCategoryLevelAsString($B82))),";",EscStr(R82),";")))</f>
        <v>;"NavNode_L3D_525345";"EMI Ferrietkernen";</v>
      </c>
      <c r="AL82" s="39" t="str">
        <f>IF(getCategoryLevelAsString($B82)="L0D_324785","",IF(S82="",CONCATENATE(";",EscStr(CONCATENATE("NavNode_",getCategoryLevelAsString($B82))),";",EscStr($J82),";"),CONCATENATE(";",EscStr(CONCATENATE("NavNode_",getCategoryLevelAsString($B82))),";",EscStr(S82),";")))</f>
        <v>;"NavNode_L3D_525345";"Ferryty EMI";</v>
      </c>
      <c r="AM82" s="39" t="str">
        <f>IF(getCategoryLevelAsString($B82)="L0D_324785","",IF(T82="",CONCATENATE(";",EscStr(CONCATENATE("NavNode_",getCategoryLevelAsString($B82))),";",EscStr($J82),";"),CONCATENATE(";",EscStr(CONCATENATE("NavNode_",getCategoryLevelAsString($B82))),";",EscStr(T82),";")))</f>
        <v>;"NavNode_L3D_525345";"Ферритовые сердечники";</v>
      </c>
      <c r="AN82" s="39" t="str">
        <f>IF(getCategoryLevelAsString($B82)="L0D_324785","",IF(U82="",CONCATENATE(";",EscStr(CONCATENATE("NavNode_",getCategoryLevelAsString($B82))),";",EscStr($J82),";"),CONCATENATE(";",EscStr(CONCATENATE("NavNode_",getCategoryLevelAsString($B82))),";",EscStr(U82),";")))</f>
        <v>;"NavNode_L3D_525345";"Ferity EMI";</v>
      </c>
      <c r="AO82" s="39" t="str">
        <f>IF(getCategoryLevelAsString($B82)="L0D_324785","",IF(V82="",CONCATENATE(";",EscStr(CONCATENATE("NavNode_",getCategoryLevelAsString($B82))),";",EscStr($J82),";"),CONCATENATE(";",EscStr(CONCATENATE("NavNode_",getCategoryLevelAsString($B82))),";",EscStr(V82),";")))</f>
        <v>;"NavNode_L3D_525345";"Ferite EMI";</v>
      </c>
      <c r="AP82" s="39" t="str">
        <f>IF(getCategoryLevelAsString($B82)="L0D_324785","",IF(W82="",CONCATENATE(";",EscStr(CONCATENATE("NavNode_",getCategoryLevelAsString($B82))),";",EscStr($J82),";"),CONCATENATE(";",EscStr(CONCATENATE("NavNode_",getCategoryLevelAsString($B82))),";",EscStr(W82),";")))</f>
        <v>;"NavNode_L3D_525345";"EMI-Ferritek";</v>
      </c>
      <c r="AQ82" s="39" t="str">
        <f>IF(getCategoryLevelAsString($B82)="L0D_324785","",IF(X82="",CONCATENATE(";",EscStr(CONCATENATE("NavNode_",getCategoryLevelAsString($B82))),";",EscStr($J82),";"),CONCATENATE(";",EscStr(CONCATENATE("NavNode_",getCategoryLevelAsString($B82))),";",EscStr(X82),";")))</f>
        <v>;"NavNode_L3D_525345";"Ferity EMI";</v>
      </c>
      <c r="AR82" s="39" t="str">
        <f>IF(OR($A82&lt;&gt;"", $G82=""),"",CONCATENATE(";",EscStr(CONCATENATE("NavEntry_",getCategoryLevelAsString($B82))),";",EscStr(CONCATENATE($J82," Navigation Entry")),";",EscStr(CONCATENATE("cat-",getCategoryLevelAsString($B82))),";",EscStr(CONCATENATE("NavNode_",getCategoryLevelAsString($B82))),";"))</f>
        <v>;"NavEntry_L3D_525345";"EMI Ferrites Navigation Entry";"cat-L3D_525345";"NavNode_L3D_525345";</v>
      </c>
    </row>
    <row r="83" spans="1:44" s="34" customFormat="1" ht="15" x14ac:dyDescent="0.25">
      <c r="A83" s="25"/>
      <c r="B83" s="5"/>
      <c r="C83" s="5"/>
      <c r="D83" s="5" t="s">
        <v>6699</v>
      </c>
      <c r="E83" s="5"/>
      <c r="F83" s="5"/>
      <c r="G83" s="5" t="s">
        <v>6701</v>
      </c>
      <c r="H83" s="5" t="s">
        <v>13623</v>
      </c>
      <c r="I83" s="5" t="s">
        <v>13712</v>
      </c>
      <c r="J83" s="5" t="s">
        <v>6700</v>
      </c>
      <c r="K83" s="5" t="s">
        <v>13805</v>
      </c>
      <c r="L83" s="5" t="s">
        <v>15119</v>
      </c>
      <c r="M83" s="5" t="s">
        <v>13894</v>
      </c>
      <c r="N83" s="5" t="s">
        <v>13948</v>
      </c>
      <c r="O83" s="5" t="s">
        <v>14065</v>
      </c>
      <c r="P83" s="5" t="s">
        <v>14145</v>
      </c>
      <c r="Q83" s="5" t="s">
        <v>14242</v>
      </c>
      <c r="R83" s="5" t="s">
        <v>14321</v>
      </c>
      <c r="S83" s="5" t="s">
        <v>14419</v>
      </c>
      <c r="T83" s="5" t="s">
        <v>14509</v>
      </c>
      <c r="U83" s="5" t="s">
        <v>14596</v>
      </c>
      <c r="V83" s="5" t="s">
        <v>14683</v>
      </c>
      <c r="W83" s="5" t="s">
        <v>14768</v>
      </c>
      <c r="X83" s="5" t="s">
        <v>14596</v>
      </c>
      <c r="Y83" s="39" t="str">
        <f>IF(OR($A83&lt;&gt;"", $G83=""),"",CONCATENATE(";",EscStr(CONCATENATE("NavNode_",getCategoryLevelAsString($B83))),";",EscStr($J83),";",IF($B83&lt;&gt;"","""MainCategoryNavNode""",EscStr(CONCATENATE("NavNode_",getSuperCategory($B83, getCategoryLevelAsNumber($B83))))),";"))</f>
        <v>;"NavNode_L3D_525348";"Assortments, Decades, Inductors / Chokes";"NavNode_L2-3D_528722";</v>
      </c>
      <c r="Z83" s="39" t="str">
        <f>IF(getCategoryLevelAsString($B83)="L0D_324785","",IF(G83="",CONCATENATE(";",EscStr(CONCATENATE("NavNode_",getCategoryLevelAsString($B83))),";",EscStr($J83),";"),CONCATENATE(";",EscStr(CONCATENATE("NavNode_",getCategoryLevelAsString($B83))),";",EscStr(G83),";")))</f>
        <v>;"NavNode_L3D_525348";"Sortiment, Dekaden, Induktoren / Drosseln";</v>
      </c>
      <c r="AA83" s="39" t="str">
        <f>IF(getCategoryLevelAsString($B83)="L0D_324785","",IF(H83="",CONCATENATE(";",EscStr(CONCATENATE("NavNode_",getCategoryLevelAsString($B83))),";",EscStr($J83),";"),CONCATENATE(";",EscStr(CONCATENATE("NavNode_",getCategoryLevelAsString($B83))),";",EscStr(H83),";")))</f>
        <v>;"NavNode_L3D_525348";"Assortiments, décades, inducteurs / bobines";</v>
      </c>
      <c r="AB83" s="39" t="str">
        <f>IF(getCategoryLevelAsString($B83)="L0D_324785","",IF(I83="",CONCATENATE(";",EscStr(CONCATENATE("NavNode_",getCategoryLevelAsString($B83))),";",EscStr($J83),";"),CONCATENATE(";",EscStr(CONCATENATE("NavNode_",getCategoryLevelAsString($B83))),";",EscStr(I83),";")))</f>
        <v>;"NavNode_L3D_525348";"Assortimenti, decadi, induttori / bobine";</v>
      </c>
      <c r="AC83" s="39" t="str">
        <f>IF(getCategoryLevelAsString($B83)="L0D_324785","",IF(J83="",CONCATENATE(";",EscStr(CONCATENATE("NavNode_",getCategoryLevelAsString($B83))),";",EscStr($J83),";"),CONCATENATE(";",EscStr(CONCATENATE("NavNode_",getCategoryLevelAsString($B83))),";",EscStr(J83),";")))</f>
        <v>;"NavNode_L3D_525348";"Assortments, Decades, Inductors / Chokes";</v>
      </c>
      <c r="AD83" s="39" t="str">
        <f>IF(getCategoryLevelAsString($B83)="L0D_324785","",IF(K83="",CONCATENATE(";",EscStr(CONCATENATE("NavNode_",getCategoryLevelAsString($B83))),";",EscStr($J83),";"),CONCATENATE(";",EscStr(CONCATENATE("NavNode_",getCategoryLevelAsString($B83))),";",EscStr(K83),";")))</f>
        <v>;"NavNode_L3D_525348";"Sortiment, dekader, drosselspoler/chokere";</v>
      </c>
      <c r="AE83" s="39" t="str">
        <f>IF(getCategoryLevelAsString($B83)="L0D_324785","",IF(L83="",CONCATENATE(";",EscStr(CONCATENATE("NavNode_",getCategoryLevelAsString($B83))),";",EscStr($J83),";"),CONCATENATE(";",EscStr(CONCATENATE("NavNode_",getCategoryLevelAsString($B83))),";",EscStr(L83),";")))</f>
        <v>;"NavNode_L3D_525348";"Rinkiniai, dekados, induktoriai / droseliai";</v>
      </c>
      <c r="AF83" s="39" t="str">
        <f>IF(getCategoryLevelAsString($B83)="L0D_324785","",IF(M83="",CONCATENATE(";",EscStr(CONCATENATE("NavNode_",getCategoryLevelAsString($B83))),";",EscStr($J83),";"),CONCATENATE(";",EscStr(CONCATENATE("NavNode_",getCategoryLevelAsString($B83))),";",EscStr(M83),";")))</f>
        <v>;"NavNode_L3D_525348";"Sortiment, dekader, induktorer/drosler";</v>
      </c>
      <c r="AG83" s="39" t="str">
        <f>IF(getCategoryLevelAsString($B83)="L0D_324785","",IF(N83="",CONCATENATE(";",EscStr(CONCATENATE("NavNode_",getCategoryLevelAsString($B83))),";",EscStr($J83),";"),CONCATENATE(";",EscStr(CONCATENATE("NavNode_",getCategoryLevelAsString($B83))),";",EscStr(N83),";")))</f>
        <v>;"NavNode_L3D_525348";"Sortiment, dekader, induktanser / drosslar";</v>
      </c>
      <c r="AH83" s="39" t="str">
        <f>IF(getCategoryLevelAsString($B83)="L0D_324785","",IF(O83="",CONCATENATE(";",EscStr(CONCATENATE("NavNode_",getCategoryLevelAsString($B83))),";",EscStr($J83),";"),CONCATENATE(";",EscStr(CONCATENATE("NavNode_",getCategoryLevelAsString($B83))),";",EscStr(O83),";")))</f>
        <v>;"NavNode_L3D_525348";"Induktiivsuste valikkomplektid, dekaadid";</v>
      </c>
      <c r="AI83" s="39" t="str">
        <f>IF(getCategoryLevelAsString($B83)="L0D_324785","",IF(P83="",CONCATENATE(";",EscStr(CONCATENATE("NavNode_",getCategoryLevelAsString($B83))),";",EscStr($J83),";"),CONCATENATE(";",EscStr(CONCATENATE("NavNode_",getCategoryLevelAsString($B83))),";",EscStr(P83),";")))</f>
        <v>;"NavNode_L3D_525348";"Valikoimat, Dekaadit";</v>
      </c>
      <c r="AJ83" s="39" t="str">
        <f>IF(getCategoryLevelAsString($B83)="L0D_324785","",IF(Q83="",CONCATENATE(";",EscStr(CONCATENATE("NavNode_",getCategoryLevelAsString($B83))),";",EscStr($J83),";"),CONCATENATE(";",EscStr(CONCATENATE("NavNode_",getCategoryLevelAsString($B83))),";",EscStr(Q83),";")))</f>
        <v>;"NavNode_L3D_525348";"Induktoru / droseļu komplekti";</v>
      </c>
      <c r="AK83" s="39" t="str">
        <f>IF(getCategoryLevelAsString($B83)="L0D_324785","",IF(R83="",CONCATENATE(";",EscStr(CONCATENATE("NavNode_",getCategoryLevelAsString($B83))),";",EscStr($J83),";"),CONCATENATE(";",EscStr(CONCATENATE("NavNode_",getCategoryLevelAsString($B83))),";",EscStr(R83),";")))</f>
        <v>;"NavNode_L3D_525348";"Assortimenten, decadebanken, smoorspoelen / spoelen";</v>
      </c>
      <c r="AL83" s="39" t="str">
        <f>IF(getCategoryLevelAsString($B83)="L0D_324785","",IF(S83="",CONCATENATE(";",EscStr(CONCATENATE("NavNode_",getCategoryLevelAsString($B83))),";",EscStr($J83),";"),CONCATENATE(";",EscStr(CONCATENATE("NavNode_",getCategoryLevelAsString($B83))),";",EscStr(S83),";")))</f>
        <v>;"NavNode_L3D_525348";"Zestawy, Dekady, Cewki, Dławiki";</v>
      </c>
      <c r="AM83" s="39" t="str">
        <f>IF(getCategoryLevelAsString($B83)="L0D_324785","",IF(T83="",CONCATENATE(";",EscStr(CONCATENATE("NavNode_",getCategoryLevelAsString($B83))),";",EscStr($J83),";"),CONCATENATE(";",EscStr(CONCATENATE("NavNode_",getCategoryLevelAsString($B83))),";",EscStr(T83),";")))</f>
        <v>;"NavNode_L3D_525348";"Комплекты , Декадные переключатели, Индукторы / дроссели";</v>
      </c>
      <c r="AN83" s="39" t="str">
        <f>IF(getCategoryLevelAsString($B83)="L0D_324785","",IF(U83="",CONCATENATE(";",EscStr(CONCATENATE("NavNode_",getCategoryLevelAsString($B83))),";",EscStr($J83),";"),CONCATENATE(";",EscStr(CONCATENATE("NavNode_",getCategoryLevelAsString($B83))),";",EscStr(U83),";")))</f>
        <v>;"NavNode_L3D_525348";"Sortiment, Dekády, Induktory / tlmivky";</v>
      </c>
      <c r="AO83" s="39" t="str">
        <f>IF(getCategoryLevelAsString($B83)="L0D_324785","",IF(V83="",CONCATENATE(";",EscStr(CONCATENATE("NavNode_",getCategoryLevelAsString($B83))),";",EscStr($J83),";"),CONCATENATE(";",EscStr(CONCATENATE("NavNode_",getCategoryLevelAsString($B83))),";",EscStr(V83),";")))</f>
        <v>;"NavNode_L3D_525348";"Inductoare / Sortimente / Decade / Bobine";</v>
      </c>
      <c r="AP83" s="39" t="str">
        <f>IF(getCategoryLevelAsString($B83)="L0D_324785","",IF(W83="",CONCATENATE(";",EscStr(CONCATENATE("NavNode_",getCategoryLevelAsString($B83))),";",EscStr($J83),";"),CONCATENATE(";",EscStr(CONCATENATE("NavNode_",getCategoryLevelAsString($B83))),";",EscStr(W83),";")))</f>
        <v>;"NavNode_L3D_525348";"Induktivítás / fojtótekercs készletek";</v>
      </c>
      <c r="AQ83" s="39" t="str">
        <f>IF(getCategoryLevelAsString($B83)="L0D_324785","",IF(X83="",CONCATENATE(";",EscStr(CONCATENATE("NavNode_",getCategoryLevelAsString($B83))),";",EscStr($J83),";"),CONCATENATE(";",EscStr(CONCATENATE("NavNode_",getCategoryLevelAsString($B83))),";",EscStr(X83),";")))</f>
        <v>;"NavNode_L3D_525348";"Sortiment, Dekády, Induktory / tlmivky";</v>
      </c>
      <c r="AR83" s="39" t="str">
        <f>IF(OR($A83&lt;&gt;"", $G83=""),"",CONCATENATE(";",EscStr(CONCATENATE("NavEntry_",getCategoryLevelAsString($B83))),";",EscStr(CONCATENATE($J83," Navigation Entry")),";",EscStr(CONCATENATE("cat-",getCategoryLevelAsString($B83))),";",EscStr(CONCATENATE("NavNode_",getCategoryLevelAsString($B83))),";"))</f>
        <v>;"NavEntry_L3D_525348";"Assortments, Decades, Inductors / Chokes Navigation Entry";"cat-L3D_525348";"NavNode_L3D_525348";</v>
      </c>
    </row>
    <row r="84" spans="1:44" s="34" customFormat="1" ht="15" x14ac:dyDescent="0.25">
      <c r="A84" s="25"/>
      <c r="B84" s="5"/>
      <c r="C84" s="5"/>
      <c r="D84" s="5" t="s">
        <v>6710</v>
      </c>
      <c r="E84" s="5"/>
      <c r="F84" s="5"/>
      <c r="G84" s="5" t="s">
        <v>6712</v>
      </c>
      <c r="H84" s="5" t="s">
        <v>13624</v>
      </c>
      <c r="I84" s="5" t="s">
        <v>13713</v>
      </c>
      <c r="J84" s="5" t="s">
        <v>6711</v>
      </c>
      <c r="K84" s="5" t="s">
        <v>13806</v>
      </c>
      <c r="L84" s="5" t="s">
        <v>15120</v>
      </c>
      <c r="M84" s="5" t="s">
        <v>13895</v>
      </c>
      <c r="N84" s="5" t="s">
        <v>13949</v>
      </c>
      <c r="O84" s="5" t="s">
        <v>14066</v>
      </c>
      <c r="P84" s="5" t="s">
        <v>14158</v>
      </c>
      <c r="Q84" s="5" t="s">
        <v>14243</v>
      </c>
      <c r="R84" s="5" t="s">
        <v>14322</v>
      </c>
      <c r="S84" s="5" t="s">
        <v>14420</v>
      </c>
      <c r="T84" s="5" t="s">
        <v>14510</v>
      </c>
      <c r="U84" s="5" t="s">
        <v>14597</v>
      </c>
      <c r="V84" s="5" t="s">
        <v>14684</v>
      </c>
      <c r="W84" s="5" t="s">
        <v>14769</v>
      </c>
      <c r="X84" s="5" t="s">
        <v>14840</v>
      </c>
      <c r="Y84" s="39" t="str">
        <f>IF(OR($A84&lt;&gt;"", $G84=""),"",CONCATENATE(";",EscStr(CONCATENATE("NavNode_",getCategoryLevelAsString($B84))),";",EscStr($J84),";",IF($B84&lt;&gt;"","""MainCategoryNavNode""",EscStr(CONCATENATE("NavNode_",getSuperCategory($B84, getCategoryLevelAsNumber($B84))))),";"))</f>
        <v>;"NavNode_L3D_525349";"Inductors / Chokes";"NavNode_L2-3D_528722";</v>
      </c>
      <c r="Z84" s="39" t="str">
        <f>IF(getCategoryLevelAsString($B84)="L0D_324785","",IF(G84="",CONCATENATE(";",EscStr(CONCATENATE("NavNode_",getCategoryLevelAsString($B84))),";",EscStr($J84),";"),CONCATENATE(";",EscStr(CONCATENATE("NavNode_",getCategoryLevelAsString($B84))),";",EscStr(G84),";")))</f>
        <v>;"NavNode_L3D_525349";"Induktivitäten / Drosseln";</v>
      </c>
      <c r="AA84" s="39" t="str">
        <f>IF(getCategoryLevelAsString($B84)="L0D_324785","",IF(H84="",CONCATENATE(";",EscStr(CONCATENATE("NavNode_",getCategoryLevelAsString($B84))),";",EscStr($J84),";"),CONCATENATE(";",EscStr(CONCATENATE("NavNode_",getCategoryLevelAsString($B84))),";",EscStr(H84),";")))</f>
        <v>;"NavNode_L3D_525349";"Inductances / Bobines";</v>
      </c>
      <c r="AB84" s="39" t="str">
        <f>IF(getCategoryLevelAsString($B84)="L0D_324785","",IF(I84="",CONCATENATE(";",EscStr(CONCATENATE("NavNode_",getCategoryLevelAsString($B84))),";",EscStr($J84),";"),CONCATENATE(";",EscStr(CONCATENATE("NavNode_",getCategoryLevelAsString($B84))),";",EscStr(I84),";")))</f>
        <v>;"NavNode_L3D_525349";"Induttori / Bobine";</v>
      </c>
      <c r="AC84" s="39" t="str">
        <f>IF(getCategoryLevelAsString($B84)="L0D_324785","",IF(J84="",CONCATENATE(";",EscStr(CONCATENATE("NavNode_",getCategoryLevelAsString($B84))),";",EscStr($J84),";"),CONCATENATE(";",EscStr(CONCATENATE("NavNode_",getCategoryLevelAsString($B84))),";",EscStr(J84),";")))</f>
        <v>;"NavNode_L3D_525349";"Inductors / Chokes";</v>
      </c>
      <c r="AD84" s="39" t="str">
        <f>IF(getCategoryLevelAsString($B84)="L0D_324785","",IF(K84="",CONCATENATE(";",EscStr(CONCATENATE("NavNode_",getCategoryLevelAsString($B84))),";",EscStr($J84),";"),CONCATENATE(";",EscStr(CONCATENATE("NavNode_",getCategoryLevelAsString($B84))),";",EscStr(K84),";")))</f>
        <v>;"NavNode_L3D_525349";"Induktionsspoler/chokere";</v>
      </c>
      <c r="AE84" s="39" t="str">
        <f>IF(getCategoryLevelAsString($B84)="L0D_324785","",IF(L84="",CONCATENATE(";",EscStr(CONCATENATE("NavNode_",getCategoryLevelAsString($B84))),";",EscStr($J84),";"),CONCATENATE(";",EscStr(CONCATENATE("NavNode_",getCategoryLevelAsString($B84))),";",EscStr(L84),";")))</f>
        <v>;"NavNode_L3D_525349";"Induktoriai / droseliai";</v>
      </c>
      <c r="AF84" s="39" t="str">
        <f>IF(getCategoryLevelAsString($B84)="L0D_324785","",IF(M84="",CONCATENATE(";",EscStr(CONCATENATE("NavNode_",getCategoryLevelAsString($B84))),";",EscStr($J84),";"),CONCATENATE(";",EscStr(CONCATENATE("NavNode_",getCategoryLevelAsString($B84))),";",EscStr(M84),";")))</f>
        <v>;"NavNode_L3D_525349";"Induktorer/drosler";</v>
      </c>
      <c r="AG84" s="39" t="str">
        <f>IF(getCategoryLevelAsString($B84)="L0D_324785","",IF(N84="",CONCATENATE(";",EscStr(CONCATENATE("NavNode_",getCategoryLevelAsString($B84))),";",EscStr($J84),";"),CONCATENATE(";",EscStr(CONCATENATE("NavNode_",getCategoryLevelAsString($B84))),";",EscStr(N84),";")))</f>
        <v>;"NavNode_L3D_525349";"Induktanser / Drosslar";</v>
      </c>
      <c r="AH84" s="39" t="str">
        <f>IF(getCategoryLevelAsString($B84)="L0D_324785","",IF(O84="",CONCATENATE(";",EscStr(CONCATENATE("NavNode_",getCategoryLevelAsString($B84))),";",EscStr($J84),";"),CONCATENATE(";",EscStr(CONCATENATE("NavNode_",getCategoryLevelAsString($B84))),";",EscStr(O84),";")))</f>
        <v>;"NavNode_L3D_525349";"Induktiivpoolid / Drosselid";</v>
      </c>
      <c r="AI84" s="39" t="str">
        <f>IF(getCategoryLevelAsString($B84)="L0D_324785","",IF(P84="",CONCATENATE(";",EscStr(CONCATENATE("NavNode_",getCategoryLevelAsString($B84))),";",EscStr($J84),";"),CONCATENATE(";",EscStr(CONCATENATE("NavNode_",getCategoryLevelAsString($B84))),";",EscStr(P84),";")))</f>
        <v>;"NavNode_L3D_525349";"Kelat/ kuristimet";</v>
      </c>
      <c r="AJ84" s="39" t="str">
        <f>IF(getCategoryLevelAsString($B84)="L0D_324785","",IF(Q84="",CONCATENATE(";",EscStr(CONCATENATE("NavNode_",getCategoryLevelAsString($B84))),";",EscStr($J84),";"),CONCATENATE(";",EscStr(CONCATENATE("NavNode_",getCategoryLevelAsString($B84))),";",EscStr(Q84),";")))</f>
        <v>;"NavNode_L3D_525349";"Induktori / droseles";</v>
      </c>
      <c r="AK84" s="39" t="str">
        <f>IF(getCategoryLevelAsString($B84)="L0D_324785","",IF(R84="",CONCATENATE(";",EscStr(CONCATENATE("NavNode_",getCategoryLevelAsString($B84))),";",EscStr($J84),";"),CONCATENATE(";",EscStr(CONCATENATE("NavNode_",getCategoryLevelAsString($B84))),";",EscStr(R84),";")))</f>
        <v>;"NavNode_L3D_525349";"Smoorspoelen / Spoelen";</v>
      </c>
      <c r="AL84" s="39" t="str">
        <f>IF(getCategoryLevelAsString($B84)="L0D_324785","",IF(S84="",CONCATENATE(";",EscStr(CONCATENATE("NavNode_",getCategoryLevelAsString($B84))),";",EscStr($J84),";"),CONCATENATE(";",EscStr(CONCATENATE("NavNode_",getCategoryLevelAsString($B84))),";",EscStr(S84),";")))</f>
        <v>;"NavNode_L3D_525349";"Cewki / Dławiki";</v>
      </c>
      <c r="AM84" s="39" t="str">
        <f>IF(getCategoryLevelAsString($B84)="L0D_324785","",IF(T84="",CONCATENATE(";",EscStr(CONCATENATE("NavNode_",getCategoryLevelAsString($B84))),";",EscStr($J84),";"),CONCATENATE(";",EscStr(CONCATENATE("NavNode_",getCategoryLevelAsString($B84))),";",EscStr(T84),";")))</f>
        <v>;"NavNode_L3D_525349";"Индукторы  / Дроссели";</v>
      </c>
      <c r="AN84" s="39" t="str">
        <f>IF(getCategoryLevelAsString($B84)="L0D_324785","",IF(U84="",CONCATENATE(";",EscStr(CONCATENATE("NavNode_",getCategoryLevelAsString($B84))),";",EscStr($J84),";"),CONCATENATE(";",EscStr(CONCATENATE("NavNode_",getCategoryLevelAsString($B84))),";",EscStr(U84),";")))</f>
        <v>;"NavNode_L3D_525349";"Induktory / tlumivky";</v>
      </c>
      <c r="AO84" s="39" t="str">
        <f>IF(getCategoryLevelAsString($B84)="L0D_324785","",IF(V84="",CONCATENATE(";",EscStr(CONCATENATE("NavNode_",getCategoryLevelAsString($B84))),";",EscStr($J84),";"),CONCATENATE(";",EscStr(CONCATENATE("NavNode_",getCategoryLevelAsString($B84))),";",EscStr(V84),";")))</f>
        <v>;"NavNode_L3D_525349";"Inductoare şi bobine";</v>
      </c>
      <c r="AP84" s="39" t="str">
        <f>IF(getCategoryLevelAsString($B84)="L0D_324785","",IF(W84="",CONCATENATE(";",EscStr(CONCATENATE("NavNode_",getCategoryLevelAsString($B84))),";",EscStr($J84),";"),CONCATENATE(";",EscStr(CONCATENATE("NavNode_",getCategoryLevelAsString($B84))),";",EscStr(W84),";")))</f>
        <v>;"NavNode_L3D_525349";"Induktivítások / fojtótekercsek";</v>
      </c>
      <c r="AQ84" s="39" t="str">
        <f>IF(getCategoryLevelAsString($B84)="L0D_324785","",IF(X84="",CONCATENATE(";",EscStr(CONCATENATE("NavNode_",getCategoryLevelAsString($B84))),";",EscStr($J84),";"),CONCATENATE(";",EscStr(CONCATENATE("NavNode_",getCategoryLevelAsString($B84))),";",EscStr(X84),";")))</f>
        <v>;"NavNode_L3D_525349";"Induktory / tlmivky";</v>
      </c>
      <c r="AR84" s="39" t="str">
        <f>IF(OR($A84&lt;&gt;"", $G84=""),"",CONCATENATE(";",EscStr(CONCATENATE("NavEntry_",getCategoryLevelAsString($B84))),";",EscStr(CONCATENATE($J84," Navigation Entry")),";",EscStr(CONCATENATE("cat-",getCategoryLevelAsString($B84))),";",EscStr(CONCATENATE("NavNode_",getCategoryLevelAsString($B84))),";"))</f>
        <v>;"NavEntry_L3D_525349";"Inductors / Chokes Navigation Entry";"cat-L3D_525349";"NavNode_L3D_525349";</v>
      </c>
    </row>
    <row r="85" spans="1:44" s="34" customFormat="1" ht="15" x14ac:dyDescent="0.25">
      <c r="A85" s="25"/>
      <c r="B85" s="5"/>
      <c r="C85" s="5"/>
      <c r="D85" s="5" t="s">
        <v>6739</v>
      </c>
      <c r="E85" s="5"/>
      <c r="F85" s="5"/>
      <c r="G85" s="5" t="s">
        <v>6741</v>
      </c>
      <c r="H85" s="5" t="s">
        <v>13625</v>
      </c>
      <c r="I85" s="5" t="s">
        <v>13714</v>
      </c>
      <c r="J85" s="5" t="s">
        <v>6740</v>
      </c>
      <c r="K85" s="5" t="s">
        <v>13807</v>
      </c>
      <c r="L85" s="5" t="s">
        <v>15121</v>
      </c>
      <c r="M85" s="5" t="s">
        <v>13896</v>
      </c>
      <c r="N85" s="5" t="s">
        <v>13950</v>
      </c>
      <c r="O85" s="5" t="s">
        <v>14067</v>
      </c>
      <c r="P85" s="5" t="s">
        <v>14159</v>
      </c>
      <c r="Q85" s="5" t="s">
        <v>14244</v>
      </c>
      <c r="R85" s="5" t="s">
        <v>14323</v>
      </c>
      <c r="S85" s="5" t="s">
        <v>14421</v>
      </c>
      <c r="T85" s="5" t="s">
        <v>14511</v>
      </c>
      <c r="U85" s="5" t="s">
        <v>14598</v>
      </c>
      <c r="V85" s="5" t="s">
        <v>14685</v>
      </c>
      <c r="W85" s="5" t="s">
        <v>14770</v>
      </c>
      <c r="X85" s="5" t="s">
        <v>14841</v>
      </c>
      <c r="Y85" s="39" t="str">
        <f>IF(OR($A85&lt;&gt;"", $G85=""),"",CONCATENATE(";",EscStr(CONCATENATE("NavNode_",getCategoryLevelAsString($B85))),";",EscStr($J85),";",IF($B85&lt;&gt;"","""MainCategoryNavNode""",EscStr(CONCATENATE("NavNode_",getSuperCategory($B85, getCategoryLevelAsNumber($B85))))),";"))</f>
        <v>;"NavNode_L3D_525350";"Interference Suppression Filters / Mains Filters";"NavNode_L2-3D_528722";</v>
      </c>
      <c r="Z85" s="39" t="str">
        <f>IF(getCategoryLevelAsString($B85)="L0D_324785","",IF(G85="",CONCATENATE(";",EscStr(CONCATENATE("NavNode_",getCategoryLevelAsString($B85))),";",EscStr($J85),";"),CONCATENATE(";",EscStr(CONCATENATE("NavNode_",getCategoryLevelAsString($B85))),";",EscStr(G85),";")))</f>
        <v>;"NavNode_L3D_525350";"Entstörfilter / Netzfilter";</v>
      </c>
      <c r="AA85" s="39" t="str">
        <f>IF(getCategoryLevelAsString($B85)="L0D_324785","",IF(H85="",CONCATENATE(";",EscStr(CONCATENATE("NavNode_",getCategoryLevelAsString($B85))),";",EscStr($J85),";"),CONCATENATE(";",EscStr(CONCATENATE("NavNode_",getCategoryLevelAsString($B85))),";",EscStr(H85),";")))</f>
        <v>;"NavNode_L3D_525350";"Filtres antiparasites / Filtres secteur";</v>
      </c>
      <c r="AB85" s="39" t="str">
        <f>IF(getCategoryLevelAsString($B85)="L0D_324785","",IF(I85="",CONCATENATE(";",EscStr(CONCATENATE("NavNode_",getCategoryLevelAsString($B85))),";",EscStr($J85),";"),CONCATENATE(";",EscStr(CONCATENATE("NavNode_",getCategoryLevelAsString($B85))),";",EscStr(I85),";")))</f>
        <v>;"NavNode_L3D_525350";"Filtri antidisturbo / Filtri di rete";</v>
      </c>
      <c r="AC85" s="39" t="str">
        <f>IF(getCategoryLevelAsString($B85)="L0D_324785","",IF(J85="",CONCATENATE(";",EscStr(CONCATENATE("NavNode_",getCategoryLevelAsString($B85))),";",EscStr($J85),";"),CONCATENATE(";",EscStr(CONCATENATE("NavNode_",getCategoryLevelAsString($B85))),";",EscStr(J85),";")))</f>
        <v>;"NavNode_L3D_525350";"Interference Suppression Filters / Mains Filters";</v>
      </c>
      <c r="AD85" s="39" t="str">
        <f>IF(getCategoryLevelAsString($B85)="L0D_324785","",IF(K85="",CONCATENATE(";",EscStr(CONCATENATE("NavNode_",getCategoryLevelAsString($B85))),";",EscStr($J85),";"),CONCATENATE(";",EscStr(CONCATENATE("NavNode_",getCategoryLevelAsString($B85))),";",EscStr(K85),";")))</f>
        <v>;"NavNode_L3D_525350";"Støjdæmpningsfiltre/hovedledningsfiltre";</v>
      </c>
      <c r="AE85" s="39" t="str">
        <f>IF(getCategoryLevelAsString($B85)="L0D_324785","",IF(L85="",CONCATENATE(";",EscStr(CONCATENATE("NavNode_",getCategoryLevelAsString($B85))),";",EscStr($J85),";"),CONCATENATE(";",EscStr(CONCATENATE("NavNode_",getCategoryLevelAsString($B85))),";",EscStr(L85),";")))</f>
        <v>;"NavNode_L3D_525350";"Trukdžių slopinimo filtrai / maitinimo filtrai";</v>
      </c>
      <c r="AF85" s="39" t="str">
        <f>IF(getCategoryLevelAsString($B85)="L0D_324785","",IF(M85="",CONCATENATE(";",EscStr(CONCATENATE("NavNode_",getCategoryLevelAsString($B85))),";",EscStr($J85),";"),CONCATENATE(";",EscStr(CONCATENATE("NavNode_",getCategoryLevelAsString($B85))),";",EscStr(M85),";")))</f>
        <v>;"NavNode_L3D_525350";"Interferensdempingsfilter/nettfilter";</v>
      </c>
      <c r="AG85" s="39" t="str">
        <f>IF(getCategoryLevelAsString($B85)="L0D_324785","",IF(N85="",CONCATENATE(";",EscStr(CONCATENATE("NavNode_",getCategoryLevelAsString($B85))),";",EscStr($J85),";"),CONCATENATE(";",EscStr(CONCATENATE("NavNode_",getCategoryLevelAsString($B85))),";",EscStr(N85),";")))</f>
        <v>;"NavNode_L3D_525350";"Avstörningsfilter / Nätfilter";</v>
      </c>
      <c r="AH85" s="39" t="str">
        <f>IF(getCategoryLevelAsString($B85)="L0D_324785","",IF(O85="",CONCATENATE(";",EscStr(CONCATENATE("NavNode_",getCategoryLevelAsString($B85))),";",EscStr($J85),";"),CONCATENATE(";",EscStr(CONCATENATE("NavNode_",getCategoryLevelAsString($B85))),";",EscStr(O85),";")))</f>
        <v>;"NavNode_L3D_525350";"Häirete summutsfiltrid / toitevõrgu filtrid";</v>
      </c>
      <c r="AI85" s="39" t="str">
        <f>IF(getCategoryLevelAsString($B85)="L0D_324785","",IF(P85="",CONCATENATE(";",EscStr(CONCATENATE("NavNode_",getCategoryLevelAsString($B85))),";",EscStr($J85),";"),CONCATENATE(";",EscStr(CONCATENATE("NavNode_",getCategoryLevelAsString($B85))),";",EscStr(P85),";")))</f>
        <v>;"NavNode_L3D_525350";"Verkkovirtasuotimet";</v>
      </c>
      <c r="AJ85" s="39" t="str">
        <f>IF(getCategoryLevelAsString($B85)="L0D_324785","",IF(Q85="",CONCATENATE(";",EscStr(CONCATENATE("NavNode_",getCategoryLevelAsString($B85))),";",EscStr($J85),";"),CONCATENATE(";",EscStr(CONCATENATE("NavNode_",getCategoryLevelAsString($B85))),";",EscStr(Q85),";")))</f>
        <v>;"NavNode_L3D_525350";"Traucējumu slāpēšanas filtri / Tīkla filtri";</v>
      </c>
      <c r="AK85" s="39" t="str">
        <f>IF(getCategoryLevelAsString($B85)="L0D_324785","",IF(R85="",CONCATENATE(";",EscStr(CONCATENATE("NavNode_",getCategoryLevelAsString($B85))),";",EscStr($J85),";"),CONCATENATE(";",EscStr(CONCATENATE("NavNode_",getCategoryLevelAsString($B85))),";",EscStr(R85),";")))</f>
        <v>;"NavNode_L3D_525350";"Ontstoorfilters / Netfilters";</v>
      </c>
      <c r="AL85" s="39" t="str">
        <f>IF(getCategoryLevelAsString($B85)="L0D_324785","",IF(S85="",CONCATENATE(";",EscStr(CONCATENATE("NavNode_",getCategoryLevelAsString($B85))),";",EscStr($J85),";"),CONCATENATE(";",EscStr(CONCATENATE("NavNode_",getCategoryLevelAsString($B85))),";",EscStr(S85),";")))</f>
        <v>;"NavNode_L3D_525350";"Filtry Przeciwzakłóceniowe / Filtry sieciowe";</v>
      </c>
      <c r="AM85" s="39" t="str">
        <f>IF(getCategoryLevelAsString($B85)="L0D_324785","",IF(T85="",CONCATENATE(";",EscStr(CONCATENATE("NavNode_",getCategoryLevelAsString($B85))),";",EscStr($J85),";"),CONCATENATE(";",EscStr(CONCATENATE("NavNode_",getCategoryLevelAsString($B85))),";",EscStr(T85),";")))</f>
        <v>;"NavNode_L3D_525350";"Фильтры подавления помех";</v>
      </c>
      <c r="AN85" s="39" t="str">
        <f>IF(getCategoryLevelAsString($B85)="L0D_324785","",IF(U85="",CONCATENATE(";",EscStr(CONCATENATE("NavNode_",getCategoryLevelAsString($B85))),";",EscStr($J85),";"),CONCATENATE(";",EscStr(CONCATENATE("NavNode_",getCategoryLevelAsString($B85))),";",EscStr(U85),";")))</f>
        <v>;"NavNode_L3D_525350";"Odrušovací filtry / síťové filtry";</v>
      </c>
      <c r="AO85" s="39" t="str">
        <f>IF(getCategoryLevelAsString($B85)="L0D_324785","",IF(V85="",CONCATENATE(";",EscStr(CONCATENATE("NavNode_",getCategoryLevelAsString($B85))),";",EscStr($J85),";"),CONCATENATE(";",EscStr(CONCATENATE("NavNode_",getCategoryLevelAsString($B85))),";",EscStr(V85),";")))</f>
        <v>;"NavNode_L3D_525350";"Filtre de zgomot / Filtre de reţea";</v>
      </c>
      <c r="AP85" s="39" t="str">
        <f>IF(getCategoryLevelAsString($B85)="L0D_324785","",IF(W85="",CONCATENATE(";",EscStr(CONCATENATE("NavNode_",getCategoryLevelAsString($B85))),";",EscStr($J85),";"),CONCATENATE(";",EscStr(CONCATENATE("NavNode_",getCategoryLevelAsString($B85))),";",EscStr(W85),";")))</f>
        <v>;"NavNode_L3D_525350";"Interferencia szűrő / Hálózati szűrő";</v>
      </c>
      <c r="AQ85" s="39" t="str">
        <f>IF(getCategoryLevelAsString($B85)="L0D_324785","",IF(X85="",CONCATENATE(";",EscStr(CONCATENATE("NavNode_",getCategoryLevelAsString($B85))),";",EscStr($J85),";"),CONCATENATE(";",EscStr(CONCATENATE("NavNode_",getCategoryLevelAsString($B85))),";",EscStr(X85),";")))</f>
        <v>;"NavNode_L3D_525350";"Odrušovacie filtre / sieťový filter";</v>
      </c>
      <c r="AR85" s="39" t="str">
        <f>IF(OR($A85&lt;&gt;"", $G85=""),"",CONCATENATE(";",EscStr(CONCATENATE("NavEntry_",getCategoryLevelAsString($B85))),";",EscStr(CONCATENATE($J85," Navigation Entry")),";",EscStr(CONCATENATE("cat-",getCategoryLevelAsString($B85))),";",EscStr(CONCATENATE("NavNode_",getCategoryLevelAsString($B85))),";"))</f>
        <v>;"NavEntry_L3D_525350";"Interference Suppression Filters / Mains Filters Navigation Entry";"cat-L3D_525350";"NavNode_L3D_525350";</v>
      </c>
    </row>
    <row r="86" spans="1:44" s="34" customFormat="1" ht="15" x14ac:dyDescent="0.25">
      <c r="A86" s="25"/>
      <c r="B86" s="5"/>
      <c r="C86" s="5" t="s">
        <v>745</v>
      </c>
      <c r="D86" s="5"/>
      <c r="E86" s="5"/>
      <c r="F86" s="5"/>
      <c r="G86" s="5" t="s">
        <v>986</v>
      </c>
      <c r="H86" s="5" t="s">
        <v>1089</v>
      </c>
      <c r="I86" s="5" t="s">
        <v>1148</v>
      </c>
      <c r="J86" s="5" t="s">
        <v>845</v>
      </c>
      <c r="K86" s="5" t="s">
        <v>1215</v>
      </c>
      <c r="L86" s="5" t="s">
        <v>15122</v>
      </c>
      <c r="M86" s="5" t="s">
        <v>1683</v>
      </c>
      <c r="N86" s="5" t="s">
        <v>13951</v>
      </c>
      <c r="O86" s="5" t="s">
        <v>2528</v>
      </c>
      <c r="P86" s="5" t="s">
        <v>2529</v>
      </c>
      <c r="Q86" s="5" t="s">
        <v>2530</v>
      </c>
      <c r="R86" s="5" t="s">
        <v>2531</v>
      </c>
      <c r="S86" s="5" t="s">
        <v>2532</v>
      </c>
      <c r="T86" s="5" t="s">
        <v>2533</v>
      </c>
      <c r="U86" s="5" t="s">
        <v>2534</v>
      </c>
      <c r="V86" s="5" t="s">
        <v>2535</v>
      </c>
      <c r="W86" s="5" t="s">
        <v>2536</v>
      </c>
      <c r="X86" s="5" t="s">
        <v>14842</v>
      </c>
      <c r="Y86" s="39" t="str">
        <f>IF(OR($A86&lt;&gt;"", $G86=""),"",CONCATENATE(";",EscStr(CONCATENATE("NavNode_",getCategoryLevelAsString($B86))),";",EscStr($J86),";",IF($B86&lt;&gt;"","""MainCategoryNavNode""",EscStr(CONCATENATE("NavNode_",getSuperCategory($B86, getCategoryLevelAsNumber($B86))))),";"))</f>
        <v>;"NavNode_L2-3D_528723";"Fuses and Circuit Breakers for Appliances";"NavNode_Passive Components";</v>
      </c>
      <c r="Z86" s="39" t="str">
        <f>IF(getCategoryLevelAsString($B86)="L0D_324785","",IF(G86="",CONCATENATE(";",EscStr(CONCATENATE("NavNode_",getCategoryLevelAsString($B86))),";",EscStr($J86),";"),CONCATENATE(";",EscStr(CONCATENATE("NavNode_",getCategoryLevelAsString($B86))),";",EscStr(G86),";")))</f>
        <v>;"NavNode_L2-3D_528723";"Sicherungen und Leitungsschutzschalter für Geräte";</v>
      </c>
      <c r="AA86" s="39" t="str">
        <f>IF(getCategoryLevelAsString($B86)="L0D_324785","",IF(H86="",CONCATENATE(";",EscStr(CONCATENATE("NavNode_",getCategoryLevelAsString($B86))),";",EscStr($J86),";"),CONCATENATE(";",EscStr(CONCATENATE("NavNode_",getCategoryLevelAsString($B86))),";",EscStr(H86),";")))</f>
        <v>;"NavNode_L2-3D_528723";"Fusibles et disjoncteurs pour appareils";</v>
      </c>
      <c r="AB86" s="39" t="str">
        <f>IF(getCategoryLevelAsString($B86)="L0D_324785","",IF(I86="",CONCATENATE(";",EscStr(CONCATENATE("NavNode_",getCategoryLevelAsString($B86))),";",EscStr($J86),";"),CONCATENATE(";",EscStr(CONCATENATE("NavNode_",getCategoryLevelAsString($B86))),";",EscStr(I86),";")))</f>
        <v>;"NavNode_L2-3D_528723";"Fusibili e disgiuntori per apparecchi";</v>
      </c>
      <c r="AC86" s="39" t="str">
        <f>IF(getCategoryLevelAsString($B86)="L0D_324785","",IF(J86="",CONCATENATE(";",EscStr(CONCATENATE("NavNode_",getCategoryLevelAsString($B86))),";",EscStr($J86),";"),CONCATENATE(";",EscStr(CONCATENATE("NavNode_",getCategoryLevelAsString($B86))),";",EscStr(J86),";")))</f>
        <v>;"NavNode_L2-3D_528723";"Fuses and Circuit Breakers for Appliances";</v>
      </c>
      <c r="AD86" s="39" t="str">
        <f>IF(getCategoryLevelAsString($B86)="L0D_324785","",IF(K86="",CONCATENATE(";",EscStr(CONCATENATE("NavNode_",getCategoryLevelAsString($B86))),";",EscStr($J86),";"),CONCATENATE(";",EscStr(CONCATENATE("NavNode_",getCategoryLevelAsString($B86))),";",EscStr(K86),";")))</f>
        <v>;"NavNode_L2-3D_528723";"Sikringer og relæer til apparater";</v>
      </c>
      <c r="AE86" s="39" t="str">
        <f>IF(getCategoryLevelAsString($B86)="L0D_324785","",IF(L86="",CONCATENATE(";",EscStr(CONCATENATE("NavNode_",getCategoryLevelAsString($B86))),";",EscStr($J86),";"),CONCATENATE(";",EscStr(CONCATENATE("NavNode_",getCategoryLevelAsString($B86))),";",EscStr(L86),";")))</f>
        <v>;"NavNode_L2-3D_528723";"Saugikliai ir grandinės pertraukikliai";</v>
      </c>
      <c r="AF86" s="39" t="str">
        <f>IF(getCategoryLevelAsString($B86)="L0D_324785","",IF(M86="",CONCATENATE(";",EscStr(CONCATENATE("NavNode_",getCategoryLevelAsString($B86))),";",EscStr($J86),";"),CONCATENATE(";",EscStr(CONCATENATE("NavNode_",getCategoryLevelAsString($B86))),";",EscStr(M86),";")))</f>
        <v>;"NavNode_L2-3D_528723";"Sikringer og automatsikringer for apparater";</v>
      </c>
      <c r="AG86" s="39" t="str">
        <f>IF(getCategoryLevelAsString($B86)="L0D_324785","",IF(N86="",CONCATENATE(";",EscStr(CONCATENATE("NavNode_",getCategoryLevelAsString($B86))),";",EscStr($J86),";"),CONCATENATE(";",EscStr(CONCATENATE("NavNode_",getCategoryLevelAsString($B86))),";",EscStr(N86),";")))</f>
        <v>;"NavNode_L2-3D_528723";"Säkringar och automatsäkringar för apparater";</v>
      </c>
      <c r="AH86" s="39" t="str">
        <f>IF(getCategoryLevelAsString($B86)="L0D_324785","",IF(O86="",CONCATENATE(";",EscStr(CONCATENATE("NavNode_",getCategoryLevelAsString($B86))),";",EscStr($J86),";"),CONCATENATE(";",EscStr(CONCATENATE("NavNode_",getCategoryLevelAsString($B86))),";",EscStr(O86),";")))</f>
        <v>;"NavNode_L2-3D_528723";"Sulavkaitsmed ja automaatkaitsmed elektriseadmetele";</v>
      </c>
      <c r="AI86" s="39" t="str">
        <f>IF(getCategoryLevelAsString($B86)="L0D_324785","",IF(P86="",CONCATENATE(";",EscStr(CONCATENATE("NavNode_",getCategoryLevelAsString($B86))),";",EscStr($J86),";"),CONCATENATE(";",EscStr(CONCATENATE("NavNode_",getCategoryLevelAsString($B86))),";",EscStr(P86),";")))</f>
        <v>;"NavNode_L2-3D_528723";"Sulakeautomaatit";</v>
      </c>
      <c r="AJ86" s="39" t="str">
        <f>IF(getCategoryLevelAsString($B86)="L0D_324785","",IF(Q86="",CONCATENATE(";",EscStr(CONCATENATE("NavNode_",getCategoryLevelAsString($B86))),";",EscStr($J86),";"),CONCATENATE(";",EscStr(CONCATENATE("NavNode_",getCategoryLevelAsString($B86))),";",EscStr(Q86),";")))</f>
        <v>;"NavNode_L2-3D_528723";"Drošinātāji un ierīču jaudas slēdži";</v>
      </c>
      <c r="AK86" s="39" t="str">
        <f>IF(getCategoryLevelAsString($B86)="L0D_324785","",IF(R86="",CONCATENATE(";",EscStr(CONCATENATE("NavNode_",getCategoryLevelAsString($B86))),";",EscStr($J86),";"),CONCATENATE(";",EscStr(CONCATENATE("NavNode_",getCategoryLevelAsString($B86))),";",EscStr(R86),";")))</f>
        <v>;"NavNode_L2-3D_528723";"Zekeringen en Circuit Breakers voor apparaten";</v>
      </c>
      <c r="AL86" s="39" t="str">
        <f>IF(getCategoryLevelAsString($B86)="L0D_324785","",IF(S86="",CONCATENATE(";",EscStr(CONCATENATE("NavNode_",getCategoryLevelAsString($B86))),";",EscStr($J86),";"),CONCATENATE(";",EscStr(CONCATENATE("NavNode_",getCategoryLevelAsString($B86))),";",EscStr(S86),";")))</f>
        <v>;"NavNode_L2-3D_528723";"Bezpiecznik i Wyłączniki do urządzeń";</v>
      </c>
      <c r="AM86" s="39" t="str">
        <f>IF(getCategoryLevelAsString($B86)="L0D_324785","",IF(T86="",CONCATENATE(";",EscStr(CONCATENATE("NavNode_",getCategoryLevelAsString($B86))),";",EscStr($J86),";"),CONCATENATE(";",EscStr(CONCATENATE("NavNode_",getCategoryLevelAsString($B86))),";",EscStr(T86),";")))</f>
        <v>;"NavNode_L2-3D_528723";"Предохранители и прерыватели для приборов";</v>
      </c>
      <c r="AN86" s="39" t="str">
        <f>IF(getCategoryLevelAsString($B86)="L0D_324785","",IF(U86="",CONCATENATE(";",EscStr(CONCATENATE("NavNode_",getCategoryLevelAsString($B86))),";",EscStr($J86),";"),CONCATENATE(";",EscStr(CONCATENATE("NavNode_",getCategoryLevelAsString($B86))),";",EscStr(U86),";")))</f>
        <v>;"NavNode_L2-3D_528723";"Pojistky a jističe pro zařízení";</v>
      </c>
      <c r="AO86" s="39" t="str">
        <f>IF(getCategoryLevelAsString($B86)="L0D_324785","",IF(V86="",CONCATENATE(";",EscStr(CONCATENATE("NavNode_",getCategoryLevelAsString($B86))),";",EscStr($J86),";"),CONCATENATE(";",EscStr(CONCATENATE("NavNode_",getCategoryLevelAsString($B86))),";",EscStr(V86),";")))</f>
        <v>;"NavNode_L2-3D_528723";"Siguranţe şi întrerupătoare de protecţie pentru echipamente";</v>
      </c>
      <c r="AP86" s="39" t="str">
        <f>IF(getCategoryLevelAsString($B86)="L0D_324785","",IF(W86="",CONCATENATE(";",EscStr(CONCATENATE("NavNode_",getCategoryLevelAsString($B86))),";",EscStr($J86),";"),CONCATENATE(";",EscStr(CONCATENATE("NavNode_",getCategoryLevelAsString($B86))),";",EscStr(W86),";")))</f>
        <v>;"NavNode_L2-3D_528723";"Biztosítékok és vezetékvédelem készülékekhez";</v>
      </c>
      <c r="AQ86" s="39" t="str">
        <f>IF(getCategoryLevelAsString($B86)="L0D_324785","",IF(X86="",CONCATENATE(";",EscStr(CONCATENATE("NavNode_",getCategoryLevelAsString($B86))),";",EscStr($J86),";"),CONCATENATE(";",EscStr(CONCATENATE("NavNode_",getCategoryLevelAsString($B86))),";",EscStr(X86),";")))</f>
        <v>;"NavNode_L2-3D_528723";"Poistky a ističe pre zariadenia";</v>
      </c>
      <c r="AR86" s="39" t="str">
        <f>IF(OR($A86&lt;&gt;"", $G86=""),"",CONCATENATE(";",EscStr(CONCATENATE("NavEntry_",getCategoryLevelAsString($B86))),";",EscStr(CONCATENATE($J86," Navigation Entry")),";",EscStr(CONCATENATE("cat-",getCategoryLevelAsString($B86))),";",EscStr(CONCATENATE("NavNode_",getCategoryLevelAsString($B86))),";"))</f>
        <v>;"NavEntry_L2-3D_528723";"Fuses and Circuit Breakers for Appliances Navigation Entry";"cat-L2-3D_528723";"NavNode_L2-3D_528723";</v>
      </c>
    </row>
    <row r="87" spans="1:44" s="34" customFormat="1" ht="15" x14ac:dyDescent="0.25">
      <c r="A87" s="25"/>
      <c r="B87" s="5"/>
      <c r="C87" s="5"/>
      <c r="D87" s="5" t="s">
        <v>6782</v>
      </c>
      <c r="E87" s="5"/>
      <c r="F87" s="5"/>
      <c r="G87" s="5" t="s">
        <v>6784</v>
      </c>
      <c r="H87" s="5" t="s">
        <v>13626</v>
      </c>
      <c r="I87" s="5" t="s">
        <v>13715</v>
      </c>
      <c r="J87" s="5" t="s">
        <v>6783</v>
      </c>
      <c r="K87" s="5" t="s">
        <v>13808</v>
      </c>
      <c r="L87" s="5" t="s">
        <v>15123</v>
      </c>
      <c r="M87" s="5" t="s">
        <v>13808</v>
      </c>
      <c r="N87" s="5" t="s">
        <v>13952</v>
      </c>
      <c r="O87" s="5" t="s">
        <v>14068</v>
      </c>
      <c r="P87" s="5" t="s">
        <v>14160</v>
      </c>
      <c r="Q87" s="5" t="s">
        <v>14245</v>
      </c>
      <c r="R87" s="5" t="s">
        <v>14324</v>
      </c>
      <c r="S87" s="5" t="s">
        <v>14422</v>
      </c>
      <c r="T87" s="5" t="s">
        <v>14512</v>
      </c>
      <c r="U87" s="5" t="s">
        <v>14599</v>
      </c>
      <c r="V87" s="5" t="s">
        <v>14686</v>
      </c>
      <c r="W87" s="5" t="s">
        <v>14771</v>
      </c>
      <c r="X87" s="5" t="s">
        <v>14843</v>
      </c>
      <c r="Y87" s="39" t="str">
        <f>IF(OR($A87&lt;&gt;"", $G87=""),"",CONCATENATE(";",EscStr(CONCATENATE("NavNode_",getCategoryLevelAsString($B87))),";",EscStr($J87),";",IF($B87&lt;&gt;"","""MainCategoryNavNode""",EscStr(CONCATENATE("NavNode_",getSuperCategory($B87, getCategoryLevelAsNumber($B87))))),";"))</f>
        <v>;"NavNode_L3D_525352";"Fuses";"NavNode_L2-3D_528723";</v>
      </c>
      <c r="Z87" s="39" t="str">
        <f>IF(getCategoryLevelAsString($B87)="L0D_324785","",IF(G87="",CONCATENATE(";",EscStr(CONCATENATE("NavNode_",getCategoryLevelAsString($B87))),";",EscStr($J87),";"),CONCATENATE(";",EscStr(CONCATENATE("NavNode_",getCategoryLevelAsString($B87))),";",EscStr(G87),";")))</f>
        <v>;"NavNode_L3D_525352";"Sicherungen";</v>
      </c>
      <c r="AA87" s="39" t="str">
        <f>IF(getCategoryLevelAsString($B87)="L0D_324785","",IF(H87="",CONCATENATE(";",EscStr(CONCATENATE("NavNode_",getCategoryLevelAsString($B87))),";",EscStr($J87),";"),CONCATENATE(";",EscStr(CONCATENATE("NavNode_",getCategoryLevelAsString($B87))),";",EscStr(H87),";")))</f>
        <v>;"NavNode_L3D_525352";"Fusibles";</v>
      </c>
      <c r="AB87" s="39" t="str">
        <f>IF(getCategoryLevelAsString($B87)="L0D_324785","",IF(I87="",CONCATENATE(";",EscStr(CONCATENATE("NavNode_",getCategoryLevelAsString($B87))),";",EscStr($J87),";"),CONCATENATE(";",EscStr(CONCATENATE("NavNode_",getCategoryLevelAsString($B87))),";",EscStr(I87),";")))</f>
        <v>;"NavNode_L3D_525352";"Fusibili";</v>
      </c>
      <c r="AC87" s="39" t="str">
        <f>IF(getCategoryLevelAsString($B87)="L0D_324785","",IF(J87="",CONCATENATE(";",EscStr(CONCATENATE("NavNode_",getCategoryLevelAsString($B87))),";",EscStr($J87),";"),CONCATENATE(";",EscStr(CONCATENATE("NavNode_",getCategoryLevelAsString($B87))),";",EscStr(J87),";")))</f>
        <v>;"NavNode_L3D_525352";"Fuses";</v>
      </c>
      <c r="AD87" s="39" t="str">
        <f>IF(getCategoryLevelAsString($B87)="L0D_324785","",IF(K87="",CONCATENATE(";",EscStr(CONCATENATE("NavNode_",getCategoryLevelAsString($B87))),";",EscStr($J87),";"),CONCATENATE(";",EscStr(CONCATENATE("NavNode_",getCategoryLevelAsString($B87))),";",EscStr(K87),";")))</f>
        <v>;"NavNode_L3D_525352";"Sikringer";</v>
      </c>
      <c r="AE87" s="39" t="str">
        <f>IF(getCategoryLevelAsString($B87)="L0D_324785","",IF(L87="",CONCATENATE(";",EscStr(CONCATENATE("NavNode_",getCategoryLevelAsString($B87))),";",EscStr($J87),";"),CONCATENATE(";",EscStr(CONCATENATE("NavNode_",getCategoryLevelAsString($B87))),";",EscStr(L87),";")))</f>
        <v>;"NavNode_L3D_525352";"Saugikliai";</v>
      </c>
      <c r="AF87" s="39" t="str">
        <f>IF(getCategoryLevelAsString($B87)="L0D_324785","",IF(M87="",CONCATENATE(";",EscStr(CONCATENATE("NavNode_",getCategoryLevelAsString($B87))),";",EscStr($J87),";"),CONCATENATE(";",EscStr(CONCATENATE("NavNode_",getCategoryLevelAsString($B87))),";",EscStr(M87),";")))</f>
        <v>;"NavNode_L3D_525352";"Sikringer";</v>
      </c>
      <c r="AG87" s="39" t="str">
        <f>IF(getCategoryLevelAsString($B87)="L0D_324785","",IF(N87="",CONCATENATE(";",EscStr(CONCATENATE("NavNode_",getCategoryLevelAsString($B87))),";",EscStr($J87),";"),CONCATENATE(";",EscStr(CONCATENATE("NavNode_",getCategoryLevelAsString($B87))),";",EscStr(N87),";")))</f>
        <v>;"NavNode_L3D_525352";"Säkringar";</v>
      </c>
      <c r="AH87" s="39" t="str">
        <f>IF(getCategoryLevelAsString($B87)="L0D_324785","",IF(O87="",CONCATENATE(";",EscStr(CONCATENATE("NavNode_",getCategoryLevelAsString($B87))),";",EscStr($J87),";"),CONCATENATE(";",EscStr(CONCATENATE("NavNode_",getCategoryLevelAsString($B87))),";",EscStr(O87),";")))</f>
        <v>;"NavNode_L3D_525352";"Sulavkaitsmed";</v>
      </c>
      <c r="AI87" s="39" t="str">
        <f>IF(getCategoryLevelAsString($B87)="L0D_324785","",IF(P87="",CONCATENATE(";",EscStr(CONCATENATE("NavNode_",getCategoryLevelAsString($B87))),";",EscStr($J87),";"),CONCATENATE(";",EscStr(CONCATENATE("NavNode_",getCategoryLevelAsString($B87))),";",EscStr(P87),";")))</f>
        <v>;"NavNode_L3D_525352";"Sulakkeet";</v>
      </c>
      <c r="AJ87" s="39" t="str">
        <f>IF(getCategoryLevelAsString($B87)="L0D_324785","",IF(Q87="",CONCATENATE(";",EscStr(CONCATENATE("NavNode_",getCategoryLevelAsString($B87))),";",EscStr($J87),";"),CONCATENATE(";",EscStr(CONCATENATE("NavNode_",getCategoryLevelAsString($B87))),";",EscStr(Q87),";")))</f>
        <v>;"NavNode_L3D_525352";"Drošinātāji";</v>
      </c>
      <c r="AK87" s="39" t="str">
        <f>IF(getCategoryLevelAsString($B87)="L0D_324785","",IF(R87="",CONCATENATE(";",EscStr(CONCATENATE("NavNode_",getCategoryLevelAsString($B87))),";",EscStr($J87),";"),CONCATENATE(";",EscStr(CONCATENATE("NavNode_",getCategoryLevelAsString($B87))),";",EscStr(R87),";")))</f>
        <v>;"NavNode_L3D_525352";"Zekeringen";</v>
      </c>
      <c r="AL87" s="39" t="str">
        <f>IF(getCategoryLevelAsString($B87)="L0D_324785","",IF(S87="",CONCATENATE(";",EscStr(CONCATENATE("NavNode_",getCategoryLevelAsString($B87))),";",EscStr($J87),";"),CONCATENATE(";",EscStr(CONCATENATE("NavNode_",getCategoryLevelAsString($B87))),";",EscStr(S87),";")))</f>
        <v>;"NavNode_L3D_525352";"Bezpieczniki";</v>
      </c>
      <c r="AM87" s="39" t="str">
        <f>IF(getCategoryLevelAsString($B87)="L0D_324785","",IF(T87="",CONCATENATE(";",EscStr(CONCATENATE("NavNode_",getCategoryLevelAsString($B87))),";",EscStr($J87),";"),CONCATENATE(";",EscStr(CONCATENATE("NavNode_",getCategoryLevelAsString($B87))),";",EscStr(T87),";")))</f>
        <v>;"NavNode_L3D_525352";"Предохранители";</v>
      </c>
      <c r="AN87" s="39" t="str">
        <f>IF(getCategoryLevelAsString($B87)="L0D_324785","",IF(U87="",CONCATENATE(";",EscStr(CONCATENATE("NavNode_",getCategoryLevelAsString($B87))),";",EscStr($J87),";"),CONCATENATE(";",EscStr(CONCATENATE("NavNode_",getCategoryLevelAsString($B87))),";",EscStr(U87),";")))</f>
        <v>;"NavNode_L3D_525352";"Pojistky";</v>
      </c>
      <c r="AO87" s="39" t="str">
        <f>IF(getCategoryLevelAsString($B87)="L0D_324785","",IF(V87="",CONCATENATE(";",EscStr(CONCATENATE("NavNode_",getCategoryLevelAsString($B87))),";",EscStr($J87),";"),CONCATENATE(";",EscStr(CONCATENATE("NavNode_",getCategoryLevelAsString($B87))),";",EscStr(V87),";")))</f>
        <v>;"NavNode_L3D_525352";"Siguranţe";</v>
      </c>
      <c r="AP87" s="39" t="str">
        <f>IF(getCategoryLevelAsString($B87)="L0D_324785","",IF(W87="",CONCATENATE(";",EscStr(CONCATENATE("NavNode_",getCategoryLevelAsString($B87))),";",EscStr($J87),";"),CONCATENATE(";",EscStr(CONCATENATE("NavNode_",getCategoryLevelAsString($B87))),";",EscStr(W87),";")))</f>
        <v>;"NavNode_L3D_525352";"Biztosítékok";</v>
      </c>
      <c r="AQ87" s="39" t="str">
        <f>IF(getCategoryLevelAsString($B87)="L0D_324785","",IF(X87="",CONCATENATE(";",EscStr(CONCATENATE("NavNode_",getCategoryLevelAsString($B87))),";",EscStr($J87),";"),CONCATENATE(";",EscStr(CONCATENATE("NavNode_",getCategoryLevelAsString($B87))),";",EscStr(X87),";")))</f>
        <v>;"NavNode_L3D_525352";"Poistky";</v>
      </c>
      <c r="AR87" s="39" t="str">
        <f>IF(OR($A87&lt;&gt;"", $G87=""),"",CONCATENATE(";",EscStr(CONCATENATE("NavEntry_",getCategoryLevelAsString($B87))),";",EscStr(CONCATENATE($J87," Navigation Entry")),";",EscStr(CONCATENATE("cat-",getCategoryLevelAsString($B87))),";",EscStr(CONCATENATE("NavNode_",getCategoryLevelAsString($B87))),";"))</f>
        <v>;"NavEntry_L3D_525352";"Fuses Navigation Entry";"cat-L3D_525352";"NavNode_L3D_525352";</v>
      </c>
    </row>
    <row r="88" spans="1:44" s="34" customFormat="1" ht="15" x14ac:dyDescent="0.25">
      <c r="A88" s="25"/>
      <c r="B88" s="5"/>
      <c r="C88" s="5"/>
      <c r="D88" s="5" t="s">
        <v>6837</v>
      </c>
      <c r="E88" s="5"/>
      <c r="F88" s="5"/>
      <c r="G88" s="5" t="s">
        <v>6839</v>
      </c>
      <c r="H88" s="5" t="s">
        <v>13627</v>
      </c>
      <c r="I88" s="5" t="s">
        <v>13716</v>
      </c>
      <c r="J88" s="41" t="s">
        <v>13555</v>
      </c>
      <c r="K88" s="5" t="s">
        <v>13809</v>
      </c>
      <c r="L88" s="5" t="s">
        <v>15124</v>
      </c>
      <c r="M88" s="5" t="s">
        <v>13897</v>
      </c>
      <c r="N88" s="5" t="s">
        <v>13953</v>
      </c>
      <c r="O88" s="5" t="s">
        <v>14069</v>
      </c>
      <c r="P88" s="5" t="s">
        <v>14161</v>
      </c>
      <c r="Q88" s="5" t="s">
        <v>14246</v>
      </c>
      <c r="R88" s="5" t="s">
        <v>14325</v>
      </c>
      <c r="S88" s="5" t="s">
        <v>14423</v>
      </c>
      <c r="T88" s="5" t="s">
        <v>14513</v>
      </c>
      <c r="U88" s="5" t="s">
        <v>14600</v>
      </c>
      <c r="V88" s="5" t="s">
        <v>14687</v>
      </c>
      <c r="W88" s="5" t="s">
        <v>14772</v>
      </c>
      <c r="X88" s="5" t="s">
        <v>14844</v>
      </c>
      <c r="Y88" s="39" t="str">
        <f>IF(OR($A88&lt;&gt;"", $G88=""),"",CONCATENATE(";",EscStr(CONCATENATE("NavNode_",getCategoryLevelAsString($B88))),";",EscStr($J88),";",IF($B88&lt;&gt;"","""MainCategoryNavNode""",EscStr(CONCATENATE("NavNode_",getSuperCategory($B88, getCategoryLevelAsNumber($B88))))),";"))</f>
        <v>;"NavNode_L3D_525355";"SMD Fuses";"NavNode_L2-3D_528723";</v>
      </c>
      <c r="Z88" s="39" t="str">
        <f>IF(getCategoryLevelAsString($B88)="L0D_324785","",IF(G88="",CONCATENATE(";",EscStr(CONCATENATE("NavNode_",getCategoryLevelAsString($B88))),";",EscStr($J88),";"),CONCATENATE(";",EscStr(CONCATENATE("NavNode_",getCategoryLevelAsString($B88))),";",EscStr(G88),";")))</f>
        <v>;"NavNode_L3D_525355";"SMD-Sicherung";</v>
      </c>
      <c r="AA88" s="39" t="str">
        <f>IF(getCategoryLevelAsString($B88)="L0D_324785","",IF(H88="",CONCATENATE(";",EscStr(CONCATENATE("NavNode_",getCategoryLevelAsString($B88))),";",EscStr($J88),";"),CONCATENATE(";",EscStr(CONCATENATE("NavNode_",getCategoryLevelAsString($B88))),";",EscStr(H88),";")))</f>
        <v>;"NavNode_L3D_525355";"Fusible SMD";</v>
      </c>
      <c r="AB88" s="39" t="str">
        <f>IF(getCategoryLevelAsString($B88)="L0D_324785","",IF(I88="",CONCATENATE(";",EscStr(CONCATENATE("NavNode_",getCategoryLevelAsString($B88))),";",EscStr($J88),";"),CONCATENATE(";",EscStr(CONCATENATE("NavNode_",getCategoryLevelAsString($B88))),";",EscStr(I88),";")))</f>
        <v>;"NavNode_L3D_525355";"Fusibili SMD";</v>
      </c>
      <c r="AC88" s="39" t="str">
        <f>IF(getCategoryLevelAsString($B88)="L0D_324785","",IF(J88="",CONCATENATE(";",EscStr(CONCATENATE("NavNode_",getCategoryLevelAsString($B88))),";",EscStr($J88),";"),CONCATENATE(";",EscStr(CONCATENATE("NavNode_",getCategoryLevelAsString($B88))),";",EscStr(J88),";")))</f>
        <v>;"NavNode_L3D_525355";"SMD Fuses";</v>
      </c>
      <c r="AD88" s="39" t="str">
        <f>IF(getCategoryLevelAsString($B88)="L0D_324785","",IF(K88="",CONCATENATE(";",EscStr(CONCATENATE("NavNode_",getCategoryLevelAsString($B88))),";",EscStr($J88),";"),CONCATENATE(";",EscStr(CONCATENATE("NavNode_",getCategoryLevelAsString($B88))),";",EscStr(K88),";")))</f>
        <v>;"NavNode_L3D_525355";"SMD-sikring";</v>
      </c>
      <c r="AE88" s="39" t="str">
        <f>IF(getCategoryLevelAsString($B88)="L0D_324785","",IF(L88="",CONCATENATE(";",EscStr(CONCATENATE("NavNode_",getCategoryLevelAsString($B88))),";",EscStr($J88),";"),CONCATENATE(";",EscStr(CONCATENATE("NavNode_",getCategoryLevelAsString($B88))),";",EscStr(L88),";")))</f>
        <v>;"NavNode_L3D_525355";"SMD saugikliai";</v>
      </c>
      <c r="AF88" s="39" t="str">
        <f>IF(getCategoryLevelAsString($B88)="L0D_324785","",IF(M88="",CONCATENATE(";",EscStr(CONCATENATE("NavNode_",getCategoryLevelAsString($B88))),";",EscStr($J88),";"),CONCATENATE(";",EscStr(CONCATENATE("NavNode_",getCategoryLevelAsString($B88))),";",EscStr(M88),";")))</f>
        <v>;"NavNode_L3D_525355";"SMD-sikringer";</v>
      </c>
      <c r="AG88" s="39" t="str">
        <f>IF(getCategoryLevelAsString($B88)="L0D_324785","",IF(N88="",CONCATENATE(";",EscStr(CONCATENATE("NavNode_",getCategoryLevelAsString($B88))),";",EscStr($J88),";"),CONCATENATE(";",EscStr(CONCATENATE("NavNode_",getCategoryLevelAsString($B88))),";",EscStr(N88),";")))</f>
        <v>;"NavNode_L3D_525355";"SMD-säkring";</v>
      </c>
      <c r="AH88" s="39" t="str">
        <f>IF(getCategoryLevelAsString($B88)="L0D_324785","",IF(O88="",CONCATENATE(";",EscStr(CONCATENATE("NavNode_",getCategoryLevelAsString($B88))),";",EscStr($J88),";"),CONCATENATE(";",EscStr(CONCATENATE("NavNode_",getCategoryLevelAsString($B88))),";",EscStr(O88),";")))</f>
        <v>;"NavNode_L3D_525355";"SMD sulavkaitsmed";</v>
      </c>
      <c r="AI88" s="39" t="str">
        <f>IF(getCategoryLevelAsString($B88)="L0D_324785","",IF(P88="",CONCATENATE(";",EscStr(CONCATENATE("NavNode_",getCategoryLevelAsString($B88))),";",EscStr($J88),";"),CONCATENATE(";",EscStr(CONCATENATE("NavNode_",getCategoryLevelAsString($B88))),";",EscStr(P88),";")))</f>
        <v>;"NavNode_L3D_525355";"Pintaliitossulakkeet";</v>
      </c>
      <c r="AJ88" s="39" t="str">
        <f>IF(getCategoryLevelAsString($B88)="L0D_324785","",IF(Q88="",CONCATENATE(";",EscStr(CONCATENATE("NavNode_",getCategoryLevelAsString($B88))),";",EscStr($J88),";"),CONCATENATE(";",EscStr(CONCATENATE("NavNode_",getCategoryLevelAsString($B88))),";",EscStr(Q88),";")))</f>
        <v>;"NavNode_L3D_525355";"SMD drošinātāji";</v>
      </c>
      <c r="AK88" s="39" t="str">
        <f>IF(getCategoryLevelAsString($B88)="L0D_324785","",IF(R88="",CONCATENATE(";",EscStr(CONCATENATE("NavNode_",getCategoryLevelAsString($B88))),";",EscStr($J88),";"),CONCATENATE(";",EscStr(CONCATENATE("NavNode_",getCategoryLevelAsString($B88))),";",EscStr(R88),";")))</f>
        <v>;"NavNode_L3D_525355";"SMD zekeringen";</v>
      </c>
      <c r="AL88" s="39" t="str">
        <f>IF(getCategoryLevelAsString($B88)="L0D_324785","",IF(S88="",CONCATENATE(";",EscStr(CONCATENATE("NavNode_",getCategoryLevelAsString($B88))),";",EscStr($J88),";"),CONCATENATE(";",EscStr(CONCATENATE("NavNode_",getCategoryLevelAsString($B88))),";",EscStr(S88),";")))</f>
        <v>;"NavNode_L3D_525355";"Bezpieczniki SMD";</v>
      </c>
      <c r="AM88" s="39" t="str">
        <f>IF(getCategoryLevelAsString($B88)="L0D_324785","",IF(T88="",CONCATENATE(";",EscStr(CONCATENATE("NavNode_",getCategoryLevelAsString($B88))),";",EscStr($J88),";"),CONCATENATE(";",EscStr(CONCATENATE("NavNode_",getCategoryLevelAsString($B88))),";",EscStr(T88),";")))</f>
        <v>;"NavNode_L3D_525355";"SMD Предохранители";</v>
      </c>
      <c r="AN88" s="39" t="str">
        <f>IF(getCategoryLevelAsString($B88)="L0D_324785","",IF(U88="",CONCATENATE(";",EscStr(CONCATENATE("NavNode_",getCategoryLevelAsString($B88))),";",EscStr($J88),";"),CONCATENATE(";",EscStr(CONCATENATE("NavNode_",getCategoryLevelAsString($B88))),";",EscStr(U88),";")))</f>
        <v>;"NavNode_L3D_525355";"Pojistky SMD";</v>
      </c>
      <c r="AO88" s="39" t="str">
        <f>IF(getCategoryLevelAsString($B88)="L0D_324785","",IF(V88="",CONCATENATE(";",EscStr(CONCATENATE("NavNode_",getCategoryLevelAsString($B88))),";",EscStr($J88),";"),CONCATENATE(";",EscStr(CONCATENATE("NavNode_",getCategoryLevelAsString($B88))),";",EscStr(V88),";")))</f>
        <v>;"NavNode_L3D_525355";"Siguranţe SMD";</v>
      </c>
      <c r="AP88" s="39" t="str">
        <f>IF(getCategoryLevelAsString($B88)="L0D_324785","",IF(W88="",CONCATENATE(";",EscStr(CONCATENATE("NavNode_",getCategoryLevelAsString($B88))),";",EscStr($J88),";"),CONCATENATE(";",EscStr(CONCATENATE("NavNode_",getCategoryLevelAsString($B88))),";",EscStr(W88),";")))</f>
        <v>;"NavNode_L3D_525355";"SMD biztosítékok";</v>
      </c>
      <c r="AQ88" s="39" t="str">
        <f>IF(getCategoryLevelAsString($B88)="L0D_324785","",IF(X88="",CONCATENATE(";",EscStr(CONCATENATE("NavNode_",getCategoryLevelAsString($B88))),";",EscStr($J88),";"),CONCATENATE(";",EscStr(CONCATENATE("NavNode_",getCategoryLevelAsString($B88))),";",EscStr(X88),";")))</f>
        <v>;"NavNode_L3D_525355";"SMD poistky";</v>
      </c>
      <c r="AR88" s="39" t="str">
        <f>IF(OR($A88&lt;&gt;"", $G88=""),"",CONCATENATE(";",EscStr(CONCATENATE("NavEntry_",getCategoryLevelAsString($B88))),";",EscStr(CONCATENATE($J88," Navigation Entry")),";",EscStr(CONCATENATE("cat-",getCategoryLevelAsString($B88))),";",EscStr(CONCATENATE("NavNode_",getCategoryLevelAsString($B88))),";"))</f>
        <v>;"NavEntry_L3D_525355";"SMD Fuses Navigation Entry";"cat-L3D_525355";"NavNode_L3D_525355";</v>
      </c>
    </row>
    <row r="89" spans="1:44" s="34" customFormat="1" ht="15" x14ac:dyDescent="0.25">
      <c r="A89" s="25"/>
      <c r="B89" s="5"/>
      <c r="C89" s="5"/>
      <c r="D89" s="5" t="s">
        <v>6879</v>
      </c>
      <c r="E89" s="5"/>
      <c r="F89" s="5"/>
      <c r="G89" s="5" t="s">
        <v>6881</v>
      </c>
      <c r="H89" s="5" t="s">
        <v>13628</v>
      </c>
      <c r="I89" s="5" t="s">
        <v>13717</v>
      </c>
      <c r="J89" s="40" t="s">
        <v>13556</v>
      </c>
      <c r="K89" s="5" t="s">
        <v>13810</v>
      </c>
      <c r="L89" s="5" t="s">
        <v>15125</v>
      </c>
      <c r="M89" s="5" t="s">
        <v>13810</v>
      </c>
      <c r="N89" s="5" t="s">
        <v>13954</v>
      </c>
      <c r="O89" s="5" t="s">
        <v>14070</v>
      </c>
      <c r="P89" s="5" t="s">
        <v>14162</v>
      </c>
      <c r="Q89" s="5" t="s">
        <v>14247</v>
      </c>
      <c r="R89" s="5" t="s">
        <v>14326</v>
      </c>
      <c r="S89" s="5" t="s">
        <v>14424</v>
      </c>
      <c r="T89" s="5" t="s">
        <v>14514</v>
      </c>
      <c r="U89" s="5" t="s">
        <v>14601</v>
      </c>
      <c r="V89" s="5" t="s">
        <v>14688</v>
      </c>
      <c r="W89" s="5" t="s">
        <v>14773</v>
      </c>
      <c r="X89" s="5" t="s">
        <v>14845</v>
      </c>
      <c r="Y89" s="39" t="str">
        <f>IF(OR($A89&lt;&gt;"", $G89=""),"",CONCATENATE(";",EscStr(CONCATENATE("NavNode_",getCategoryLevelAsString($B89))),";",EscStr($J89),";",IF($B89&lt;&gt;"","""MainCategoryNavNode""",EscStr(CONCATENATE("NavNode_",getSuperCategory($B89, getCategoryLevelAsNumber($B89))))),";"))</f>
        <v>;"NavNode_L3D_525357";"Automotive Fuses and Fuse Holders";"NavNode_L2-3D_528723";</v>
      </c>
      <c r="Z89" s="39" t="str">
        <f>IF(getCategoryLevelAsString($B89)="L0D_324785","",IF(G89="",CONCATENATE(";",EscStr(CONCATENATE("NavNode_",getCategoryLevelAsString($B89))),";",EscStr($J89),";"),CONCATENATE(";",EscStr(CONCATENATE("NavNode_",getCategoryLevelAsString($B89))),";",EscStr(G89),";")))</f>
        <v>;"NavNode_L3D_525357";"Kfz-Sicherungen und Sicherungshalter";</v>
      </c>
      <c r="AA89" s="39" t="str">
        <f>IF(getCategoryLevelAsString($B89)="L0D_324785","",IF(H89="",CONCATENATE(";",EscStr(CONCATENATE("NavNode_",getCategoryLevelAsString($B89))),";",EscStr($J89),";"),CONCATENATE(";",EscStr(CONCATENATE("NavNode_",getCategoryLevelAsString($B89))),";",EscStr(H89),";")))</f>
        <v>;"NavNode_L3D_525357";"Fusibles et porte-fusibles pour véhicules à moteur";</v>
      </c>
      <c r="AB89" s="39" t="str">
        <f>IF(getCategoryLevelAsString($B89)="L0D_324785","",IF(I89="",CONCATENATE(";",EscStr(CONCATENATE("NavNode_",getCategoryLevelAsString($B89))),";",EscStr($J89),";"),CONCATENATE(";",EscStr(CONCATENATE("NavNode_",getCategoryLevelAsString($B89))),";",EscStr(I89),";")))</f>
        <v>;"NavNode_L3D_525357";"Fusibili e portafusibili per veicoli";</v>
      </c>
      <c r="AC89" s="39" t="str">
        <f>IF(getCategoryLevelAsString($B89)="L0D_324785","",IF(J89="",CONCATENATE(";",EscStr(CONCATENATE("NavNode_",getCategoryLevelAsString($B89))),";",EscStr($J89),";"),CONCATENATE(";",EscStr(CONCATENATE("NavNode_",getCategoryLevelAsString($B89))),";",EscStr(J89),";")))</f>
        <v>;"NavNode_L3D_525357";"Automotive Fuses and Fuse Holders";</v>
      </c>
      <c r="AD89" s="39" t="str">
        <f>IF(getCategoryLevelAsString($B89)="L0D_324785","",IF(K89="",CONCATENATE(";",EscStr(CONCATENATE("NavNode_",getCategoryLevelAsString($B89))),";",EscStr($J89),";"),CONCATENATE(";",EscStr(CONCATENATE("NavNode_",getCategoryLevelAsString($B89))),";",EscStr(K89),";")))</f>
        <v>;"NavNode_L3D_525357";"Bilsikringer og sikringsholdere";</v>
      </c>
      <c r="AE89" s="39" t="str">
        <f>IF(getCategoryLevelAsString($B89)="L0D_324785","",IF(L89="",CONCATENATE(";",EscStr(CONCATENATE("NavNode_",getCategoryLevelAsString($B89))),";",EscStr($J89),";"),CONCATENATE(";",EscStr(CONCATENATE("NavNode_",getCategoryLevelAsString($B89))),";",EscStr(L89),";")))</f>
        <v>;"NavNode_L3D_525357";"Automobilių saugikliai ir saugiklių laikikliai";</v>
      </c>
      <c r="AF89" s="39" t="str">
        <f>IF(getCategoryLevelAsString($B89)="L0D_324785","",IF(M89="",CONCATENATE(";",EscStr(CONCATENATE("NavNode_",getCategoryLevelAsString($B89))),";",EscStr($J89),";"),CONCATENATE(";",EscStr(CONCATENATE("NavNode_",getCategoryLevelAsString($B89))),";",EscStr(M89),";")))</f>
        <v>;"NavNode_L3D_525357";"Bilsikringer og sikringsholdere";</v>
      </c>
      <c r="AG89" s="39" t="str">
        <f>IF(getCategoryLevelAsString($B89)="L0D_324785","",IF(N89="",CONCATENATE(";",EscStr(CONCATENATE("NavNode_",getCategoryLevelAsString($B89))),";",EscStr($J89),";"),CONCATENATE(";",EscStr(CONCATENATE("NavNode_",getCategoryLevelAsString($B89))),";",EscStr(N89),";")))</f>
        <v>;"NavNode_L3D_525357";"Fordonssäkringar och säkringshållare";</v>
      </c>
      <c r="AH89" s="39" t="str">
        <f>IF(getCategoryLevelAsString($B89)="L0D_324785","",IF(O89="",CONCATENATE(";",EscStr(CONCATENATE("NavNode_",getCategoryLevelAsString($B89))),";",EscStr($J89),";"),CONCATENATE(";",EscStr(CONCATENATE("NavNode_",getCategoryLevelAsString($B89))),";",EscStr(O89),";")))</f>
        <v>;"NavNode_L3D_525357";"Autokaitsmed ja kaitsmehoidjad";</v>
      </c>
      <c r="AI89" s="39" t="str">
        <f>IF(getCategoryLevelAsString($B89)="L0D_324785","",IF(P89="",CONCATENATE(";",EscStr(CONCATENATE("NavNode_",getCategoryLevelAsString($B89))),";",EscStr($J89),";"),CONCATENATE(";",EscStr(CONCATENATE("NavNode_",getCategoryLevelAsString($B89))),";",EscStr(P89),";")))</f>
        <v>;"NavNode_L3D_525357";"Autosulakkeet ja pitimet";</v>
      </c>
      <c r="AJ89" s="39" t="str">
        <f>IF(getCategoryLevelAsString($B89)="L0D_324785","",IF(Q89="",CONCATENATE(";",EscStr(CONCATENATE("NavNode_",getCategoryLevelAsString($B89))),";",EscStr($J89),";"),CONCATENATE(";",EscStr(CONCATENATE("NavNode_",getCategoryLevelAsString($B89))),";",EscStr(Q89),";")))</f>
        <v>;"NavNode_L3D_525357";"Auto drošinātāji un turētāji";</v>
      </c>
      <c r="AK89" s="39" t="str">
        <f>IF(getCategoryLevelAsString($B89)="L0D_324785","",IF(R89="",CONCATENATE(";",EscStr(CONCATENATE("NavNode_",getCategoryLevelAsString($B89))),";",EscStr($J89),";"),CONCATENATE(";",EscStr(CONCATENATE("NavNode_",getCategoryLevelAsString($B89))),";",EscStr(R89),";")))</f>
        <v>;"NavNode_L3D_525357";"Auto zekeringen en zekeringhouders";</v>
      </c>
      <c r="AL89" s="39" t="str">
        <f>IF(getCategoryLevelAsString($B89)="L0D_324785","",IF(S89="",CONCATENATE(";",EscStr(CONCATENATE("NavNode_",getCategoryLevelAsString($B89))),";",EscStr($J89),";"),CONCATENATE(";",EscStr(CONCATENATE("NavNode_",getCategoryLevelAsString($B89))),";",EscStr(S89),";")))</f>
        <v>;"NavNode_L3D_525357";"Bezpieczniki samochodowe i Oprawki Bezpiecznikowe";</v>
      </c>
      <c r="AM89" s="39" t="str">
        <f>IF(getCategoryLevelAsString($B89)="L0D_324785","",IF(T89="",CONCATENATE(";",EscStr(CONCATENATE("NavNode_",getCategoryLevelAsString($B89))),";",EscStr($J89),";"),CONCATENATE(";",EscStr(CONCATENATE("NavNode_",getCategoryLevelAsString($B89))),";",EscStr(T89),";")))</f>
        <v>;"NavNode_L3D_525357";"Автомобильные предохранители и Держатели предохранителей";</v>
      </c>
      <c r="AN89" s="39" t="str">
        <f>IF(getCategoryLevelAsString($B89)="L0D_324785","",IF(U89="",CONCATENATE(";",EscStr(CONCATENATE("NavNode_",getCategoryLevelAsString($B89))),";",EscStr($J89),";"),CONCATENATE(";",EscStr(CONCATENATE("NavNode_",getCategoryLevelAsString($B89))),";",EscStr(U89),";")))</f>
        <v>;"NavNode_L3D_525357";"Automobilové pojistky a držáky pojistek";</v>
      </c>
      <c r="AO89" s="39" t="str">
        <f>IF(getCategoryLevelAsString($B89)="L0D_324785","",IF(V89="",CONCATENATE(";",EscStr(CONCATENATE("NavNode_",getCategoryLevelAsString($B89))),";",EscStr($J89),";"),CONCATENATE(";",EscStr(CONCATENATE("NavNode_",getCategoryLevelAsString($B89))),";",EscStr(V89),";")))</f>
        <v>;"NavNode_L3D_525357";"Siguranţe auto şi suporţi de siguranţe";</v>
      </c>
      <c r="AP89" s="39" t="str">
        <f>IF(getCategoryLevelAsString($B89)="L0D_324785","",IF(W89="",CONCATENATE(";",EscStr(CONCATENATE("NavNode_",getCategoryLevelAsString($B89))),";",EscStr($J89),";"),CONCATENATE(";",EscStr(CONCATENATE("NavNode_",getCategoryLevelAsString($B89))),";",EscStr(W89),";")))</f>
        <v>;"NavNode_L3D_525357";"Jármű biztosítékok és foglalatok";</v>
      </c>
      <c r="AQ89" s="39" t="str">
        <f>IF(getCategoryLevelAsString($B89)="L0D_324785","",IF(X89="",CONCATENATE(";",EscStr(CONCATENATE("NavNode_",getCategoryLevelAsString($B89))),";",EscStr($J89),";"),CONCATENATE(";",EscStr(CONCATENATE("NavNode_",getCategoryLevelAsString($B89))),";",EscStr(X89),";")))</f>
        <v>;"NavNode_L3D_525357";"Automobilové poistky a držiaky poistiek";</v>
      </c>
      <c r="AR89" s="39" t="str">
        <f>IF(OR($A89&lt;&gt;"", $G89=""),"",CONCATENATE(";",EscStr(CONCATENATE("NavEntry_",getCategoryLevelAsString($B89))),";",EscStr(CONCATENATE($J89," Navigation Entry")),";",EscStr(CONCATENATE("cat-",getCategoryLevelAsString($B89))),";",EscStr(CONCATENATE("NavNode_",getCategoryLevelAsString($B89))),";"))</f>
        <v>;"NavEntry_L3D_525357";"Automotive Fuses and Fuse Holders Navigation Entry";"cat-L3D_525357";"NavNode_L3D_525357";</v>
      </c>
    </row>
    <row r="90" spans="1:44" s="34" customFormat="1" ht="15" x14ac:dyDescent="0.25">
      <c r="A90" s="25"/>
      <c r="B90" s="5"/>
      <c r="C90" s="5"/>
      <c r="D90" s="5" t="s">
        <v>6921</v>
      </c>
      <c r="E90" s="5"/>
      <c r="F90" s="5"/>
      <c r="G90" s="5" t="s">
        <v>6923</v>
      </c>
      <c r="H90" s="5" t="s">
        <v>13629</v>
      </c>
      <c r="I90" s="5" t="s">
        <v>13718</v>
      </c>
      <c r="J90" s="41" t="s">
        <v>13557</v>
      </c>
      <c r="K90" s="5" t="s">
        <v>13811</v>
      </c>
      <c r="L90" s="5" t="s">
        <v>15126</v>
      </c>
      <c r="M90" s="5" t="s">
        <v>13898</v>
      </c>
      <c r="N90" s="5" t="s">
        <v>13955</v>
      </c>
      <c r="O90" s="5" t="s">
        <v>14071</v>
      </c>
      <c r="P90" s="5" t="s">
        <v>14163</v>
      </c>
      <c r="Q90" s="5" t="s">
        <v>14248</v>
      </c>
      <c r="R90" s="5" t="s">
        <v>14327</v>
      </c>
      <c r="S90" s="5" t="s">
        <v>14425</v>
      </c>
      <c r="T90" s="5" t="s">
        <v>14515</v>
      </c>
      <c r="U90" s="5" t="s">
        <v>14602</v>
      </c>
      <c r="V90" s="5" t="s">
        <v>14689</v>
      </c>
      <c r="W90" s="5" t="s">
        <v>14774</v>
      </c>
      <c r="X90" s="5" t="s">
        <v>14846</v>
      </c>
      <c r="Y90" s="39" t="str">
        <f>IF(OR($A90&lt;&gt;"", $G90=""),"",CONCATENATE(";",EscStr(CONCATENATE("NavNode_",getCategoryLevelAsString($B90))),";",EscStr($J90),";",IF($B90&lt;&gt;"","""MainCategoryNavNode""",EscStr(CONCATENATE("NavNode_",getSuperCategory($B90, getCategoryLevelAsNumber($B90))))),";"))</f>
        <v>;"NavNode_L3D_525356";"Thermal Fuses";"NavNode_L2-3D_528723";</v>
      </c>
      <c r="Z90" s="39" t="str">
        <f>IF(getCategoryLevelAsString($B90)="L0D_324785","",IF(G90="",CONCATENATE(";",EscStr(CONCATENATE("NavNode_",getCategoryLevelAsString($B90))),";",EscStr($J90),";"),CONCATENATE(";",EscStr(CONCATENATE("NavNode_",getCategoryLevelAsString($B90))),";",EscStr(G90),";")))</f>
        <v>;"NavNode_L3D_525356";"Temperatursicherungen";</v>
      </c>
      <c r="AA90" s="39" t="str">
        <f>IF(getCategoryLevelAsString($B90)="L0D_324785","",IF(H90="",CONCATENATE(";",EscStr(CONCATENATE("NavNode_",getCategoryLevelAsString($B90))),";",EscStr($J90),";"),CONCATENATE(";",EscStr(CONCATENATE("NavNode_",getCategoryLevelAsString($B90))),";",EscStr(H90),";")))</f>
        <v>;"NavNode_L3D_525356";"Fusibles thermiques";</v>
      </c>
      <c r="AB90" s="39" t="str">
        <f>IF(getCategoryLevelAsString($B90)="L0D_324785","",IF(I90="",CONCATENATE(";",EscStr(CONCATENATE("NavNode_",getCategoryLevelAsString($B90))),";",EscStr($J90),";"),CONCATENATE(";",EscStr(CONCATENATE("NavNode_",getCategoryLevelAsString($B90))),";",EscStr(I90),";")))</f>
        <v>;"NavNode_L3D_525356";"Termofusibili";</v>
      </c>
      <c r="AC90" s="39" t="str">
        <f>IF(getCategoryLevelAsString($B90)="L0D_324785","",IF(J90="",CONCATENATE(";",EscStr(CONCATENATE("NavNode_",getCategoryLevelAsString($B90))),";",EscStr($J90),";"),CONCATENATE(";",EscStr(CONCATENATE("NavNode_",getCategoryLevelAsString($B90))),";",EscStr(J90),";")))</f>
        <v>;"NavNode_L3D_525356";"Thermal Fuses";</v>
      </c>
      <c r="AD90" s="39" t="str">
        <f>IF(getCategoryLevelAsString($B90)="L0D_324785","",IF(K90="",CONCATENATE(";",EscStr(CONCATENATE("NavNode_",getCategoryLevelAsString($B90))),";",EscStr($J90),";"),CONCATENATE(";",EscStr(CONCATENATE("NavNode_",getCategoryLevelAsString($B90))),";",EscStr(K90),";")))</f>
        <v>;"NavNode_L3D_525356";"Termosikring";</v>
      </c>
      <c r="AE90" s="39" t="str">
        <f>IF(getCategoryLevelAsString($B90)="L0D_324785","",IF(L90="",CONCATENATE(";",EscStr(CONCATENATE("NavNode_",getCategoryLevelAsString($B90))),";",EscStr($J90),";"),CONCATENATE(";",EscStr(CONCATENATE("NavNode_",getCategoryLevelAsString($B90))),";",EscStr(L90),";")))</f>
        <v>;"NavNode_L3D_525356";"Šiluminiai saugikliai";</v>
      </c>
      <c r="AF90" s="39" t="str">
        <f>IF(getCategoryLevelAsString($B90)="L0D_324785","",IF(M90="",CONCATENATE(";",EscStr(CONCATENATE("NavNode_",getCategoryLevelAsString($B90))),";",EscStr($J90),";"),CONCATENATE(";",EscStr(CONCATENATE("NavNode_",getCategoryLevelAsString($B90))),";",EscStr(M90),";")))</f>
        <v>;"NavNode_L3D_525356";"Temperatursikringer";</v>
      </c>
      <c r="AG90" s="39" t="str">
        <f>IF(getCategoryLevelAsString($B90)="L0D_324785","",IF(N90="",CONCATENATE(";",EscStr(CONCATENATE("NavNode_",getCategoryLevelAsString($B90))),";",EscStr($J90),";"),CONCATENATE(";",EscStr(CONCATENATE("NavNode_",getCategoryLevelAsString($B90))),";",EscStr(N90),";")))</f>
        <v>;"NavNode_L3D_525356";"Termiska säkringar";</v>
      </c>
      <c r="AH90" s="39" t="str">
        <f>IF(getCategoryLevelAsString($B90)="L0D_324785","",IF(O90="",CONCATENATE(";",EscStr(CONCATENATE("NavNode_",getCategoryLevelAsString($B90))),";",EscStr($J90),";"),CONCATENATE(";",EscStr(CONCATENATE("NavNode_",getCategoryLevelAsString($B90))),";",EscStr(O90),";")))</f>
        <v>;"NavNode_L3D_525356";"Termokaitsmed";</v>
      </c>
      <c r="AI90" s="39" t="str">
        <f>IF(getCategoryLevelAsString($B90)="L0D_324785","",IF(P90="",CONCATENATE(";",EscStr(CONCATENATE("NavNode_",getCategoryLevelAsString($B90))),";",EscStr($J90),";"),CONCATENATE(";",EscStr(CONCATENATE("NavNode_",getCategoryLevelAsString($B90))),";",EscStr(P90),";")))</f>
        <v>;"NavNode_L3D_525356";"Lämpösulakkeet";</v>
      </c>
      <c r="AJ90" s="39" t="str">
        <f>IF(getCategoryLevelAsString($B90)="L0D_324785","",IF(Q90="",CONCATENATE(";",EscStr(CONCATENATE("NavNode_",getCategoryLevelAsString($B90))),";",EscStr($J90),";"),CONCATENATE(";",EscStr(CONCATENATE("NavNode_",getCategoryLevelAsString($B90))),";",EscStr(Q90),";")))</f>
        <v>;"NavNode_L3D_525356";"Termodrošinātaji";</v>
      </c>
      <c r="AK90" s="39" t="str">
        <f>IF(getCategoryLevelAsString($B90)="L0D_324785","",IF(R90="",CONCATENATE(";",EscStr(CONCATENATE("NavNode_",getCategoryLevelAsString($B90))),";",EscStr($J90),";"),CONCATENATE(";",EscStr(CONCATENATE("NavNode_",getCategoryLevelAsString($B90))),";",EscStr(R90),";")))</f>
        <v>;"NavNode_L3D_525356";"Thermische zekeringen";</v>
      </c>
      <c r="AL90" s="39" t="str">
        <f>IF(getCategoryLevelAsString($B90)="L0D_324785","",IF(S90="",CONCATENATE(";",EscStr(CONCATENATE("NavNode_",getCategoryLevelAsString($B90))),";",EscStr($J90),";"),CONCATENATE(";",EscStr(CONCATENATE("NavNode_",getCategoryLevelAsString($B90))),";",EscStr(S90),";")))</f>
        <v>;"NavNode_L3D_525356";"Zabezpieczenia termiczne";</v>
      </c>
      <c r="AM90" s="39" t="str">
        <f>IF(getCategoryLevelAsString($B90)="L0D_324785","",IF(T90="",CONCATENATE(";",EscStr(CONCATENATE("NavNode_",getCategoryLevelAsString($B90))),";",EscStr($J90),";"),CONCATENATE(";",EscStr(CONCATENATE("NavNode_",getCategoryLevelAsString($B90))),";",EscStr(T90),";")))</f>
        <v>;"NavNode_L3D_525356";"Тепловые Предохранители";</v>
      </c>
      <c r="AN90" s="39" t="str">
        <f>IF(getCategoryLevelAsString($B90)="L0D_324785","",IF(U90="",CONCATENATE(";",EscStr(CONCATENATE("NavNode_",getCategoryLevelAsString($B90))),";",EscStr($J90),";"),CONCATENATE(";",EscStr(CONCATENATE("NavNode_",getCategoryLevelAsString($B90))),";",EscStr(U90),";")))</f>
        <v>;"NavNode_L3D_525356";"Tepelné pojistky";</v>
      </c>
      <c r="AO90" s="39" t="str">
        <f>IF(getCategoryLevelAsString($B90)="L0D_324785","",IF(V90="",CONCATENATE(";",EscStr(CONCATENATE("NavNode_",getCategoryLevelAsString($B90))),";",EscStr($J90),";"),CONCATENATE(";",EscStr(CONCATENATE("NavNode_",getCategoryLevelAsString($B90))),";",EscStr(V90),";")))</f>
        <v>;"NavNode_L3D_525356";"Siguranţe termice";</v>
      </c>
      <c r="AP90" s="39" t="str">
        <f>IF(getCategoryLevelAsString($B90)="L0D_324785","",IF(W90="",CONCATENATE(";",EscStr(CONCATENATE("NavNode_",getCategoryLevelAsString($B90))),";",EscStr($J90),";"),CONCATENATE(";",EscStr(CONCATENATE("NavNode_",getCategoryLevelAsString($B90))),";",EscStr(W90),";")))</f>
        <v>;"NavNode_L3D_525356";"Hőbiztosítékok";</v>
      </c>
      <c r="AQ90" s="39" t="str">
        <f>IF(getCategoryLevelAsString($B90)="L0D_324785","",IF(X90="",CONCATENATE(";",EscStr(CONCATENATE("NavNode_",getCategoryLevelAsString($B90))),";",EscStr($J90),";"),CONCATENATE(";",EscStr(CONCATENATE("NavNode_",getCategoryLevelAsString($B90))),";",EscStr(X90),";")))</f>
        <v>;"NavNode_L3D_525356";"Tepelné poistky";</v>
      </c>
      <c r="AR90" s="39" t="str">
        <f>IF(OR($A90&lt;&gt;"", $G90=""),"",CONCATENATE(";",EscStr(CONCATENATE("NavEntry_",getCategoryLevelAsString($B90))),";",EscStr(CONCATENATE($J90," Navigation Entry")),";",EscStr(CONCATENATE("cat-",getCategoryLevelAsString($B90))),";",EscStr(CONCATENATE("NavNode_",getCategoryLevelAsString($B90))),";"))</f>
        <v>;"NavEntry_L3D_525356";"Thermal Fuses Navigation Entry";"cat-L3D_525356";"NavNode_L3D_525356";</v>
      </c>
    </row>
    <row r="91" spans="1:44" s="34" customFormat="1" ht="15" x14ac:dyDescent="0.25">
      <c r="A91" s="25"/>
      <c r="B91" s="5"/>
      <c r="C91" s="5"/>
      <c r="D91" s="5" t="s">
        <v>6935</v>
      </c>
      <c r="E91" s="5"/>
      <c r="F91" s="5"/>
      <c r="G91" s="5" t="s">
        <v>6937</v>
      </c>
      <c r="H91" s="5" t="s">
        <v>13630</v>
      </c>
      <c r="I91" s="5" t="s">
        <v>13719</v>
      </c>
      <c r="J91" s="41" t="s">
        <v>13558</v>
      </c>
      <c r="K91" s="5" t="s">
        <v>13812</v>
      </c>
      <c r="L91" s="5" t="s">
        <v>15127</v>
      </c>
      <c r="M91" s="5" t="s">
        <v>13813</v>
      </c>
      <c r="N91" s="5" t="s">
        <v>13956</v>
      </c>
      <c r="O91" s="5" t="s">
        <v>14072</v>
      </c>
      <c r="P91" s="5" t="s">
        <v>14164</v>
      </c>
      <c r="Q91" s="5" t="s">
        <v>14249</v>
      </c>
      <c r="R91" s="5" t="s">
        <v>14328</v>
      </c>
      <c r="S91" s="5" t="s">
        <v>14426</v>
      </c>
      <c r="T91" s="5" t="s">
        <v>14516</v>
      </c>
      <c r="U91" s="5" t="s">
        <v>14603</v>
      </c>
      <c r="V91" s="5" t="s">
        <v>14690</v>
      </c>
      <c r="W91" s="5" t="s">
        <v>14775</v>
      </c>
      <c r="X91" s="5" t="s">
        <v>14847</v>
      </c>
      <c r="Y91" s="39" t="str">
        <f>IF(OR($A91&lt;&gt;"", $G91=""),"",CONCATENATE(";",EscStr(CONCATENATE("NavNode_",getCategoryLevelAsString($B91))),";",EscStr($J91),";",IF($B91&lt;&gt;"","""MainCategoryNavNode""",EscStr(CONCATENATE("NavNode_",getSuperCategory($B91, getCategoryLevelAsNumber($B91))))),";"))</f>
        <v>;"NavNode_L3D_525359";"Resettable Fuses";"NavNode_L2-3D_528723";</v>
      </c>
      <c r="Z91" s="39" t="str">
        <f>IF(getCategoryLevelAsString($B91)="L0D_324785","",IF(G91="",CONCATENATE(";",EscStr(CONCATENATE("NavNode_",getCategoryLevelAsString($B91))),";",EscStr($J91),";"),CONCATENATE(";",EscStr(CONCATENATE("NavNode_",getCategoryLevelAsString($B91))),";",EscStr(G91),";")))</f>
        <v>;"NavNode_L3D_525359";"Rückstellbare Sicherungen";</v>
      </c>
      <c r="AA91" s="39" t="str">
        <f>IF(getCategoryLevelAsString($B91)="L0D_324785","",IF(H91="",CONCATENATE(";",EscStr(CONCATENATE("NavNode_",getCategoryLevelAsString($B91))),";",EscStr($J91),";"),CONCATENATE(";",EscStr(CONCATENATE("NavNode_",getCategoryLevelAsString($B91))),";",EscStr(H91),";")))</f>
        <v>;"NavNode_L3D_525359";"Fusibles réarmables";</v>
      </c>
      <c r="AB91" s="39" t="str">
        <f>IF(getCategoryLevelAsString($B91)="L0D_324785","",IF(I91="",CONCATENATE(";",EscStr(CONCATENATE("NavNode_",getCategoryLevelAsString($B91))),";",EscStr($J91),";"),CONCATENATE(";",EscStr(CONCATENATE("NavNode_",getCategoryLevelAsString($B91))),";",EscStr(I91),";")))</f>
        <v>;"NavNode_L3D_525359";"Fusibili resettabili";</v>
      </c>
      <c r="AC91" s="39" t="str">
        <f>IF(getCategoryLevelAsString($B91)="L0D_324785","",IF(J91="",CONCATENATE(";",EscStr(CONCATENATE("NavNode_",getCategoryLevelAsString($B91))),";",EscStr($J91),";"),CONCATENATE(";",EscStr(CONCATENATE("NavNode_",getCategoryLevelAsString($B91))),";",EscStr(J91),";")))</f>
        <v>;"NavNode_L3D_525359";"Resettable Fuses";</v>
      </c>
      <c r="AD91" s="39" t="str">
        <f>IF(getCategoryLevelAsString($B91)="L0D_324785","",IF(K91="",CONCATENATE(";",EscStr(CONCATENATE("NavNode_",getCategoryLevelAsString($B91))),";",EscStr($J91),";"),CONCATENATE(";",EscStr(CONCATENATE("NavNode_",getCategoryLevelAsString($B91))),";",EscStr(K91),";")))</f>
        <v>;"NavNode_L3D_525359";"Selvnulstillende sikringer";</v>
      </c>
      <c r="AE91" s="39" t="str">
        <f>IF(getCategoryLevelAsString($B91)="L0D_324785","",IF(L91="",CONCATENATE(";",EscStr(CONCATENATE("NavNode_",getCategoryLevelAsString($B91))),";",EscStr($J91),";"),CONCATENATE(";",EscStr(CONCATENATE("NavNode_",getCategoryLevelAsString($B91))),";",EscStr(L91),";")))</f>
        <v>;"NavNode_L3D_525359";"Saugikliai su perkrovimo funkcija";</v>
      </c>
      <c r="AF91" s="39" t="str">
        <f>IF(getCategoryLevelAsString($B91)="L0D_324785","",IF(M91="",CONCATENATE(";",EscStr(CONCATENATE("NavNode_",getCategoryLevelAsString($B91))),";",EscStr($J91),";"),CONCATENATE(";",EscStr(CONCATENATE("NavNode_",getCategoryLevelAsString($B91))),";",EscStr(M91),";")))</f>
        <v>;"NavNode_L3D_525359";"Automatsikringer";</v>
      </c>
      <c r="AG91" s="39" t="str">
        <f>IF(getCategoryLevelAsString($B91)="L0D_324785","",IF(N91="",CONCATENATE(";",EscStr(CONCATENATE("NavNode_",getCategoryLevelAsString($B91))),";",EscStr($J91),";"),CONCATENATE(";",EscStr(CONCATENATE("NavNode_",getCategoryLevelAsString($B91))),";",EscStr(N91),";")))</f>
        <v>;"NavNode_L3D_525359";"Återställningsbara säkringar";</v>
      </c>
      <c r="AH91" s="39" t="str">
        <f>IF(getCategoryLevelAsString($B91)="L0D_324785","",IF(O91="",CONCATENATE(";",EscStr(CONCATENATE("NavNode_",getCategoryLevelAsString($B91))),";",EscStr($J91),";"),CONCATENATE(";",EscStr(CONCATENATE("NavNode_",getCategoryLevelAsString($B91))),";",EscStr(O91),";")))</f>
        <v>;"NavNode_L3D_525359";"Automaatkaitsmed";</v>
      </c>
      <c r="AI91" s="39" t="str">
        <f>IF(getCategoryLevelAsString($B91)="L0D_324785","",IF(P91="",CONCATENATE(";",EscStr(CONCATENATE("NavNode_",getCategoryLevelAsString($B91))),";",EscStr($J91),";"),CONCATENATE(";",EscStr(CONCATENATE("NavNode_",getCategoryLevelAsString($B91))),";",EscStr(P91),";")))</f>
        <v>;"NavNode_L3D_525359";"Nollattavat sulakkeet";</v>
      </c>
      <c r="AJ91" s="39" t="str">
        <f>IF(getCategoryLevelAsString($B91)="L0D_324785","",IF(Q91="",CONCATENATE(";",EscStr(CONCATENATE("NavNode_",getCategoryLevelAsString($B91))),";",EscStr($J91),";"),CONCATENATE(";",EscStr(CONCATENATE("NavNode_",getCategoryLevelAsString($B91))),";",EscStr(Q91),";")))</f>
        <v>;"NavNode_L3D_525359";"Drošinatāji automāti";</v>
      </c>
      <c r="AK91" s="39" t="str">
        <f>IF(getCategoryLevelAsString($B91)="L0D_324785","",IF(R91="",CONCATENATE(";",EscStr(CONCATENATE("NavNode_",getCategoryLevelAsString($B91))),";",EscStr($J91),";"),CONCATENATE(";",EscStr(CONCATENATE("NavNode_",getCategoryLevelAsString($B91))),";",EscStr(R91),";")))</f>
        <v>;"NavNode_L3D_525359";"Zelfherstelbare zekeringen";</v>
      </c>
      <c r="AL91" s="39" t="str">
        <f>IF(getCategoryLevelAsString($B91)="L0D_324785","",IF(S91="",CONCATENATE(";",EscStr(CONCATENATE("NavNode_",getCategoryLevelAsString($B91))),";",EscStr($J91),";"),CONCATENATE(";",EscStr(CONCATENATE("NavNode_",getCategoryLevelAsString($B91))),";",EscStr(S91),";")))</f>
        <v>;"NavNode_L3D_525359";"Bezpieczniki resetowalne";</v>
      </c>
      <c r="AM91" s="39" t="str">
        <f>IF(getCategoryLevelAsString($B91)="L0D_324785","",IF(T91="",CONCATENATE(";",EscStr(CONCATENATE("NavNode_",getCategoryLevelAsString($B91))),";",EscStr($J91),";"),CONCATENATE(";",EscStr(CONCATENATE("NavNode_",getCategoryLevelAsString($B91))),";",EscStr(T91),";")))</f>
        <v>;"NavNode_L3D_525359";"Самовосстанавливающиеся предохранители";</v>
      </c>
      <c r="AN91" s="39" t="str">
        <f>IF(getCategoryLevelAsString($B91)="L0D_324785","",IF(U91="",CONCATENATE(";",EscStr(CONCATENATE("NavNode_",getCategoryLevelAsString($B91))),";",EscStr($J91),";"),CONCATENATE(";",EscStr(CONCATENATE("NavNode_",getCategoryLevelAsString($B91))),";",EscStr(U91),";")))</f>
        <v>;"NavNode_L3D_525359";"Vratné pojistky";</v>
      </c>
      <c r="AO91" s="39" t="str">
        <f>IF(getCategoryLevelAsString($B91)="L0D_324785","",IF(V91="",CONCATENATE(";",EscStr(CONCATENATE("NavNode_",getCategoryLevelAsString($B91))),";",EscStr($J91),";"),CONCATENATE(";",EscStr(CONCATENATE("NavNode_",getCategoryLevelAsString($B91))),";",EscStr(V91),";")))</f>
        <v>;"NavNode_L3D_525359";"Siguranţe resetabile";</v>
      </c>
      <c r="AP91" s="39" t="str">
        <f>IF(getCategoryLevelAsString($B91)="L0D_324785","",IF(W91="",CONCATENATE(";",EscStr(CONCATENATE("NavNode_",getCategoryLevelAsString($B91))),";",EscStr($J91),";"),CONCATENATE(";",EscStr(CONCATENATE("NavNode_",getCategoryLevelAsString($B91))),";",EscStr(W91),";")))</f>
        <v>;"NavNode_L3D_525359";"Visszaállítható biztosítékok";</v>
      </c>
      <c r="AQ91" s="39" t="str">
        <f>IF(getCategoryLevelAsString($B91)="L0D_324785","",IF(X91="",CONCATENATE(";",EscStr(CONCATENATE("NavNode_",getCategoryLevelAsString($B91))),";",EscStr($J91),";"),CONCATENATE(";",EscStr(CONCATENATE("NavNode_",getCategoryLevelAsString($B91))),";",EscStr(X91),";")))</f>
        <v>;"NavNode_L3D_525359";"Vratné poistky";</v>
      </c>
      <c r="AR91" s="39" t="str">
        <f>IF(OR($A91&lt;&gt;"", $G91=""),"",CONCATENATE(";",EscStr(CONCATENATE("NavEntry_",getCategoryLevelAsString($B91))),";",EscStr(CONCATENATE($J91," Navigation Entry")),";",EscStr(CONCATENATE("cat-",getCategoryLevelAsString($B91))),";",EscStr(CONCATENATE("NavNode_",getCategoryLevelAsString($B91))),";"))</f>
        <v>;"NavEntry_L3D_525359";"Resettable Fuses Navigation Entry";"cat-L3D_525359";"NavNode_L3D_525359";</v>
      </c>
    </row>
    <row r="92" spans="1:44" s="34" customFormat="1" ht="15" x14ac:dyDescent="0.25">
      <c r="A92" s="25"/>
      <c r="B92" s="5"/>
      <c r="C92" s="5"/>
      <c r="D92" s="5" t="s">
        <v>6953</v>
      </c>
      <c r="E92" s="5"/>
      <c r="F92" s="5"/>
      <c r="G92" s="5" t="s">
        <v>6955</v>
      </c>
      <c r="H92" s="5" t="s">
        <v>13631</v>
      </c>
      <c r="I92" s="5" t="s">
        <v>13720</v>
      </c>
      <c r="J92" s="41" t="s">
        <v>13559</v>
      </c>
      <c r="K92" s="5" t="s">
        <v>13813</v>
      </c>
      <c r="L92" s="5" t="s">
        <v>15128</v>
      </c>
      <c r="M92" s="5" t="s">
        <v>13899</v>
      </c>
      <c r="N92" s="5" t="s">
        <v>13957</v>
      </c>
      <c r="O92" s="5" t="s">
        <v>14073</v>
      </c>
      <c r="P92" s="5" t="s">
        <v>14165</v>
      </c>
      <c r="Q92" s="5" t="s">
        <v>14250</v>
      </c>
      <c r="R92" s="5" t="s">
        <v>14329</v>
      </c>
      <c r="S92" s="5" t="s">
        <v>14427</v>
      </c>
      <c r="T92" s="5" t="s">
        <v>14517</v>
      </c>
      <c r="U92" s="5" t="s">
        <v>14604</v>
      </c>
      <c r="V92" s="5" t="s">
        <v>2552</v>
      </c>
      <c r="W92" s="5" t="s">
        <v>14776</v>
      </c>
      <c r="X92" s="5" t="s">
        <v>14848</v>
      </c>
      <c r="Y92" s="39" t="str">
        <f>IF(OR($A92&lt;&gt;"", $G92=""),"",CONCATENATE(";",EscStr(CONCATENATE("NavNode_",getCategoryLevelAsString($B92))),";",EscStr($J92),";",IF($B92&lt;&gt;"","""MainCategoryNavNode""",EscStr(CONCATENATE("NavNode_",getSuperCategory($B92, getCategoryLevelAsNumber($B92))))),";"))</f>
        <v>;"NavNode_L3D_525358";"Appliance Circuit Breakers";"NavNode_L2-3D_528723";</v>
      </c>
      <c r="Z92" s="39" t="str">
        <f>IF(getCategoryLevelAsString($B92)="L0D_324785","",IF(G92="",CONCATENATE(";",EscStr(CONCATENATE("NavNode_",getCategoryLevelAsString($B92))),";",EscStr($J92),";"),CONCATENATE(";",EscStr(CONCATENATE("NavNode_",getCategoryLevelAsString($B92))),";",EscStr(G92),";")))</f>
        <v>;"NavNode_L3D_525358";"Geräteschutzschalter";</v>
      </c>
      <c r="AA92" s="39" t="str">
        <f>IF(getCategoryLevelAsString($B92)="L0D_324785","",IF(H92="",CONCATENATE(";",EscStr(CONCATENATE("NavNode_",getCategoryLevelAsString($B92))),";",EscStr($J92),";"),CONCATENATE(";",EscStr(CONCATENATE("NavNode_",getCategoryLevelAsString($B92))),";",EscStr(H92),";")))</f>
        <v>;"NavNode_L3D_525358";"Disjoncteur";</v>
      </c>
      <c r="AB92" s="39" t="str">
        <f>IF(getCategoryLevelAsString($B92)="L0D_324785","",IF(I92="",CONCATENATE(";",EscStr(CONCATENATE("NavNode_",getCategoryLevelAsString($B92))),";",EscStr($J92),";"),CONCATENATE(";",EscStr(CONCATENATE("NavNode_",getCategoryLevelAsString($B92))),";",EscStr(I92),";")))</f>
        <v>;"NavNode_L3D_525358";"Dispositivo di protezione per apparecchi";</v>
      </c>
      <c r="AC92" s="39" t="str">
        <f>IF(getCategoryLevelAsString($B92)="L0D_324785","",IF(J92="",CONCATENATE(";",EscStr(CONCATENATE("NavNode_",getCategoryLevelAsString($B92))),";",EscStr($J92),";"),CONCATENATE(";",EscStr(CONCATENATE("NavNode_",getCategoryLevelAsString($B92))),";",EscStr(J92),";")))</f>
        <v>;"NavNode_L3D_525358";"Appliance Circuit Breakers";</v>
      </c>
      <c r="AD92" s="39" t="str">
        <f>IF(getCategoryLevelAsString($B92)="L0D_324785","",IF(K92="",CONCATENATE(";",EscStr(CONCATENATE("NavNode_",getCategoryLevelAsString($B92))),";",EscStr($J92),";"),CONCATENATE(";",EscStr(CONCATENATE("NavNode_",getCategoryLevelAsString($B92))),";",EscStr(K92),";")))</f>
        <v>;"NavNode_L3D_525358";"Automatsikringer";</v>
      </c>
      <c r="AE92" s="39" t="str">
        <f>IF(getCategoryLevelAsString($B92)="L0D_324785","",IF(L92="",CONCATENATE(";",EscStr(CONCATENATE("NavNode_",getCategoryLevelAsString($B92))),";",EscStr($J92),";"),CONCATENATE(";",EscStr(CONCATENATE("NavNode_",getCategoryLevelAsString($B92))),";",EscStr(L92),";")))</f>
        <v>;"NavNode_L3D_525358";"Prietaisų grandinių pertraukikliai";</v>
      </c>
      <c r="AF92" s="39" t="str">
        <f>IF(getCategoryLevelAsString($B92)="L0D_324785","",IF(M92="",CONCATENATE(";",EscStr(CONCATENATE("NavNode_",getCategoryLevelAsString($B92))),";",EscStr($J92),";"),CONCATENATE(";",EscStr(CONCATENATE("NavNode_",getCategoryLevelAsString($B92))),";",EscStr(M92),";")))</f>
        <v>;"NavNode_L3D_525358";"Automatsikring for apparater";</v>
      </c>
      <c r="AG92" s="39" t="str">
        <f>IF(getCategoryLevelAsString($B92)="L0D_324785","",IF(N92="",CONCATENATE(";",EscStr(CONCATENATE("NavNode_",getCategoryLevelAsString($B92))),";",EscStr($J92),";"),CONCATENATE(";",EscStr(CONCATENATE("NavNode_",getCategoryLevelAsString($B92))),";",EscStr(N92),";")))</f>
        <v>;"NavNode_L3D_525358";"Automatsäkringar";</v>
      </c>
      <c r="AH92" s="39" t="str">
        <f>IF(getCategoryLevelAsString($B92)="L0D_324785","",IF(O92="",CONCATENATE(";",EscStr(CONCATENATE("NavNode_",getCategoryLevelAsString($B92))),";",EscStr($J92),";"),CONCATENATE(";",EscStr(CONCATENATE("NavNode_",getCategoryLevelAsString($B92))),";",EscStr(O92),";")))</f>
        <v>;"NavNode_L3D_525358";"Elektriseadmete kaitsmed";</v>
      </c>
      <c r="AI92" s="39" t="str">
        <f>IF(getCategoryLevelAsString($B92)="L0D_324785","",IF(P92="",CONCATENATE(";",EscStr(CONCATENATE("NavNode_",getCategoryLevelAsString($B92))),";",EscStr($J92),";"),CONCATENATE(";",EscStr(CONCATENATE("NavNode_",getCategoryLevelAsString($B92))),";",EscStr(P92),";")))</f>
        <v>;"NavNode_L3D_525358";"Laitesulake";</v>
      </c>
      <c r="AJ92" s="39" t="str">
        <f>IF(getCategoryLevelAsString($B92)="L0D_324785","",IF(Q92="",CONCATENATE(";",EscStr(CONCATENATE("NavNode_",getCategoryLevelAsString($B92))),";",EscStr($J92),";"),CONCATENATE(";",EscStr(CONCATENATE("NavNode_",getCategoryLevelAsString($B92))),";",EscStr(Q92),";")))</f>
        <v>;"NavNode_L3D_525358";"Ierīču jaudas slēdži";</v>
      </c>
      <c r="AK92" s="39" t="str">
        <f>IF(getCategoryLevelAsString($B92)="L0D_324785","",IF(R92="",CONCATENATE(";",EscStr(CONCATENATE("NavNode_",getCategoryLevelAsString($B92))),";",EscStr($J92),";"),CONCATENATE(";",EscStr(CONCATENATE("NavNode_",getCategoryLevelAsString($B92))),";",EscStr(R92),";")))</f>
        <v>;"NavNode_L3D_525358";"Zekeringautomaten";</v>
      </c>
      <c r="AL92" s="39" t="str">
        <f>IF(getCategoryLevelAsString($B92)="L0D_324785","",IF(S92="",CONCATENATE(";",EscStr(CONCATENATE("NavNode_",getCategoryLevelAsString($B92))),";",EscStr($J92),";"),CONCATENATE(";",EscStr(CONCATENATE("NavNode_",getCategoryLevelAsString($B92))),";",EscStr(S92),";")))</f>
        <v>;"NavNode_L3D_525358";"Wyłącznik do urządzeń";</v>
      </c>
      <c r="AM92" s="39" t="str">
        <f>IF(getCategoryLevelAsString($B92)="L0D_324785","",IF(T92="",CONCATENATE(";",EscStr(CONCATENATE("NavNode_",getCategoryLevelAsString($B92))),";",EscStr($J92),";"),CONCATENATE(";",EscStr(CONCATENATE("NavNode_",getCategoryLevelAsString($B92))),";",EscStr(T92),";")))</f>
        <v>;"NavNode_L3D_525358";"Прерыватель цепи для приборов";</v>
      </c>
      <c r="AN92" s="39" t="str">
        <f>IF(getCategoryLevelAsString($B92)="L0D_324785","",IF(U92="",CONCATENATE(";",EscStr(CONCATENATE("NavNode_",getCategoryLevelAsString($B92))),";",EscStr($J92),";"),CONCATENATE(";",EscStr(CONCATENATE("NavNode_",getCategoryLevelAsString($B92))),";",EscStr(U92),";")))</f>
        <v>;"NavNode_L3D_525358";"Přístrojové jističe";</v>
      </c>
      <c r="AO92" s="39" t="str">
        <f>IF(getCategoryLevelAsString($B92)="L0D_324785","",IF(V92="",CONCATENATE(";",EscStr(CONCATENATE("NavNode_",getCategoryLevelAsString($B92))),";",EscStr($J92),";"),CONCATENATE(";",EscStr(CONCATENATE("NavNode_",getCategoryLevelAsString($B92))),";",EscStr(V92),";")))</f>
        <v>;"NavNode_L3D_525358";"Întrerupătoare de protecţie";</v>
      </c>
      <c r="AP92" s="39" t="str">
        <f>IF(getCategoryLevelAsString($B92)="L0D_324785","",IF(W92="",CONCATENATE(";",EscStr(CONCATENATE("NavNode_",getCategoryLevelAsString($B92))),";",EscStr($J92),";"),CONCATENATE(";",EscStr(CONCATENATE("NavNode_",getCategoryLevelAsString($B92))),";",EscStr(W92),";")))</f>
        <v>;"NavNode_L3D_525358";"Készülékvédő biztosítékok";</v>
      </c>
      <c r="AQ92" s="39" t="str">
        <f>IF(getCategoryLevelAsString($B92)="L0D_324785","",IF(X92="",CONCATENATE(";",EscStr(CONCATENATE("NavNode_",getCategoryLevelAsString($B92))),";",EscStr($J92),";"),CONCATENATE(";",EscStr(CONCATENATE("NavNode_",getCategoryLevelAsString($B92))),";",EscStr(X92),";")))</f>
        <v>;"NavNode_L3D_525358";"Prístrojové ističe";</v>
      </c>
      <c r="AR92" s="39" t="str">
        <f>IF(OR($A92&lt;&gt;"", $G92=""),"",CONCATENATE(";",EscStr(CONCATENATE("NavEntry_",getCategoryLevelAsString($B92))),";",EscStr(CONCATENATE($J92," Navigation Entry")),";",EscStr(CONCATENATE("cat-",getCategoryLevelAsString($B92))),";",EscStr(CONCATENATE("NavNode_",getCategoryLevelAsString($B92))),";"))</f>
        <v>;"NavEntry_L3D_525358";"Appliance Circuit Breakers Navigation Entry";"cat-L3D_525358";"NavNode_L3D_525358";</v>
      </c>
    </row>
    <row r="93" spans="1:44" s="34" customFormat="1" ht="15" x14ac:dyDescent="0.25">
      <c r="A93" s="25"/>
      <c r="B93" s="5"/>
      <c r="C93" s="5"/>
      <c r="D93" s="5" t="s">
        <v>6972</v>
      </c>
      <c r="E93" s="5"/>
      <c r="F93" s="5"/>
      <c r="G93" s="5" t="s">
        <v>6974</v>
      </c>
      <c r="H93" s="5" t="s">
        <v>13632</v>
      </c>
      <c r="I93" s="5" t="s">
        <v>13721</v>
      </c>
      <c r="J93" s="5" t="s">
        <v>6973</v>
      </c>
      <c r="K93" s="5" t="s">
        <v>13814</v>
      </c>
      <c r="L93" s="5" t="s">
        <v>15129</v>
      </c>
      <c r="M93" s="5" t="s">
        <v>13814</v>
      </c>
      <c r="N93" s="5" t="s">
        <v>13958</v>
      </c>
      <c r="O93" s="5" t="s">
        <v>14074</v>
      </c>
      <c r="P93" s="5" t="s">
        <v>14166</v>
      </c>
      <c r="Q93" s="5" t="s">
        <v>14251</v>
      </c>
      <c r="R93" s="5" t="s">
        <v>14330</v>
      </c>
      <c r="S93" s="5" t="s">
        <v>14428</v>
      </c>
      <c r="T93" s="5" t="s">
        <v>14518</v>
      </c>
      <c r="U93" s="5" t="s">
        <v>14605</v>
      </c>
      <c r="V93" s="5" t="s">
        <v>14691</v>
      </c>
      <c r="W93" s="5" t="s">
        <v>14777</v>
      </c>
      <c r="X93" s="5" t="s">
        <v>14849</v>
      </c>
      <c r="Y93" s="39" t="str">
        <f>IF(OR($A93&lt;&gt;"", $G93=""),"",CONCATENATE(";",EscStr(CONCATENATE("NavNode_",getCategoryLevelAsString($B93))),";",EscStr($J93),";",IF($B93&lt;&gt;"","""MainCategoryNavNode""",EscStr(CONCATENATE("NavNode_",getSuperCategory($B93, getCategoryLevelAsNumber($B93))))),";"))</f>
        <v>;"NavNode_L3D_525354";"Fuse Holders";"NavNode_L2-3D_528723";</v>
      </c>
      <c r="Z93" s="39" t="str">
        <f>IF(getCategoryLevelAsString($B93)="L0D_324785","",IF(G93="",CONCATENATE(";",EscStr(CONCATENATE("NavNode_",getCategoryLevelAsString($B93))),";",EscStr($J93),";"),CONCATENATE(";",EscStr(CONCATENATE("NavNode_",getCategoryLevelAsString($B93))),";",EscStr(G93),";")))</f>
        <v>;"NavNode_L3D_525354";"Sicherungshalter";</v>
      </c>
      <c r="AA93" s="39" t="str">
        <f>IF(getCategoryLevelAsString($B93)="L0D_324785","",IF(H93="",CONCATENATE(";",EscStr(CONCATENATE("NavNode_",getCategoryLevelAsString($B93))),";",EscStr($J93),";"),CONCATENATE(";",EscStr(CONCATENATE("NavNode_",getCategoryLevelAsString($B93))),";",EscStr(H93),";")))</f>
        <v>;"NavNode_L3D_525354";"Porte-fusibles";</v>
      </c>
      <c r="AB93" s="39" t="str">
        <f>IF(getCategoryLevelAsString($B93)="L0D_324785","",IF(I93="",CONCATENATE(";",EscStr(CONCATENATE("NavNode_",getCategoryLevelAsString($B93))),";",EscStr($J93),";"),CONCATENATE(";",EscStr(CONCATENATE("NavNode_",getCategoryLevelAsString($B93))),";",EscStr(I93),";")))</f>
        <v>;"NavNode_L3D_525354";"Portafusibili";</v>
      </c>
      <c r="AC93" s="39" t="str">
        <f>IF(getCategoryLevelAsString($B93)="L0D_324785","",IF(J93="",CONCATENATE(";",EscStr(CONCATENATE("NavNode_",getCategoryLevelAsString($B93))),";",EscStr($J93),";"),CONCATENATE(";",EscStr(CONCATENATE("NavNode_",getCategoryLevelAsString($B93))),";",EscStr(J93),";")))</f>
        <v>;"NavNode_L3D_525354";"Fuse Holders";</v>
      </c>
      <c r="AD93" s="39" t="str">
        <f>IF(getCategoryLevelAsString($B93)="L0D_324785","",IF(K93="",CONCATENATE(";",EscStr(CONCATENATE("NavNode_",getCategoryLevelAsString($B93))),";",EscStr($J93),";"),CONCATENATE(";",EscStr(CONCATENATE("NavNode_",getCategoryLevelAsString($B93))),";",EscStr(K93),";")))</f>
        <v>;"NavNode_L3D_525354";"Sikringsholdere";</v>
      </c>
      <c r="AE93" s="39" t="str">
        <f>IF(getCategoryLevelAsString($B93)="L0D_324785","",IF(L93="",CONCATENATE(";",EscStr(CONCATENATE("NavNode_",getCategoryLevelAsString($B93))),";",EscStr($J93),";"),CONCATENATE(";",EscStr(CONCATENATE("NavNode_",getCategoryLevelAsString($B93))),";",EscStr(L93),";")))</f>
        <v>;"NavNode_L3D_525354";"Saugiklių laikikliai";</v>
      </c>
      <c r="AF93" s="39" t="str">
        <f>IF(getCategoryLevelAsString($B93)="L0D_324785","",IF(M93="",CONCATENATE(";",EscStr(CONCATENATE("NavNode_",getCategoryLevelAsString($B93))),";",EscStr($J93),";"),CONCATENATE(";",EscStr(CONCATENATE("NavNode_",getCategoryLevelAsString($B93))),";",EscStr(M93),";")))</f>
        <v>;"NavNode_L3D_525354";"Sikringsholdere";</v>
      </c>
      <c r="AG93" s="39" t="str">
        <f>IF(getCategoryLevelAsString($B93)="L0D_324785","",IF(N93="",CONCATENATE(";",EscStr(CONCATENATE("NavNode_",getCategoryLevelAsString($B93))),";",EscStr($J93),";"),CONCATENATE(";",EscStr(CONCATENATE("NavNode_",getCategoryLevelAsString($B93))),";",EscStr(N93),";")))</f>
        <v>;"NavNode_L3D_525354";"Säkringshållare";</v>
      </c>
      <c r="AH93" s="39" t="str">
        <f>IF(getCategoryLevelAsString($B93)="L0D_324785","",IF(O93="",CONCATENATE(";",EscStr(CONCATENATE("NavNode_",getCategoryLevelAsString($B93))),";",EscStr($J93),";"),CONCATENATE(";",EscStr(CONCATENATE("NavNode_",getCategoryLevelAsString($B93))),";",EscStr(O93),";")))</f>
        <v>;"NavNode_L3D_525354";"Kaitsmehoidjad";</v>
      </c>
      <c r="AI93" s="39" t="str">
        <f>IF(getCategoryLevelAsString($B93)="L0D_324785","",IF(P93="",CONCATENATE(";",EscStr(CONCATENATE("NavNode_",getCategoryLevelAsString($B93))),";",EscStr($J93),";"),CONCATENATE(";",EscStr(CONCATENATE("NavNode_",getCategoryLevelAsString($B93))),";",EscStr(P93),";")))</f>
        <v>;"NavNode_L3D_525354";"Sulakepitimet";</v>
      </c>
      <c r="AJ93" s="39" t="str">
        <f>IF(getCategoryLevelAsString($B93)="L0D_324785","",IF(Q93="",CONCATENATE(";",EscStr(CONCATENATE("NavNode_",getCategoryLevelAsString($B93))),";",EscStr($J93),";"),CONCATENATE(";",EscStr(CONCATENATE("NavNode_",getCategoryLevelAsString($B93))),";",EscStr(Q93),";")))</f>
        <v>;"NavNode_L3D_525354";"Drošinātāju turētāji";</v>
      </c>
      <c r="AK93" s="39" t="str">
        <f>IF(getCategoryLevelAsString($B93)="L0D_324785","",IF(R93="",CONCATENATE(";",EscStr(CONCATENATE("NavNode_",getCategoryLevelAsString($B93))),";",EscStr($J93),";"),CONCATENATE(";",EscStr(CONCATENATE("NavNode_",getCategoryLevelAsString($B93))),";",EscStr(R93),";")))</f>
        <v>;"NavNode_L3D_525354";"Zekeringhouders";</v>
      </c>
      <c r="AL93" s="39" t="str">
        <f>IF(getCategoryLevelAsString($B93)="L0D_324785","",IF(S93="",CONCATENATE(";",EscStr(CONCATENATE("NavNode_",getCategoryLevelAsString($B93))),";",EscStr($J93),";"),CONCATENATE(";",EscStr(CONCATENATE("NavNode_",getCategoryLevelAsString($B93))),";",EscStr(S93),";")))</f>
        <v>;"NavNode_L3D_525354";"Oprawki bezpiecznikowe";</v>
      </c>
      <c r="AM93" s="39" t="str">
        <f>IF(getCategoryLevelAsString($B93)="L0D_324785","",IF(T93="",CONCATENATE(";",EscStr(CONCATENATE("NavNode_",getCategoryLevelAsString($B93))),";",EscStr($J93),";"),CONCATENATE(";",EscStr(CONCATENATE("NavNode_",getCategoryLevelAsString($B93))),";",EscStr(T93),";")))</f>
        <v>;"NavNode_L3D_525354";"Держатели предохранителей";</v>
      </c>
      <c r="AN93" s="39" t="str">
        <f>IF(getCategoryLevelAsString($B93)="L0D_324785","",IF(U93="",CONCATENATE(";",EscStr(CONCATENATE("NavNode_",getCategoryLevelAsString($B93))),";",EscStr($J93),";"),CONCATENATE(";",EscStr(CONCATENATE("NavNode_",getCategoryLevelAsString($B93))),";",EscStr(U93),";")))</f>
        <v>;"NavNode_L3D_525354";"Držáky pojistek";</v>
      </c>
      <c r="AO93" s="39" t="str">
        <f>IF(getCategoryLevelAsString($B93)="L0D_324785","",IF(V93="",CONCATENATE(";",EscStr(CONCATENATE("NavNode_",getCategoryLevelAsString($B93))),";",EscStr($J93),";"),CONCATENATE(";",EscStr(CONCATENATE("NavNode_",getCategoryLevelAsString($B93))),";",EscStr(V93),";")))</f>
        <v>;"NavNode_L3D_525354";"Suporţi de siguranţe";</v>
      </c>
      <c r="AP93" s="39" t="str">
        <f>IF(getCategoryLevelAsString($B93)="L0D_324785","",IF(W93="",CONCATENATE(";",EscStr(CONCATENATE("NavNode_",getCategoryLevelAsString($B93))),";",EscStr($J93),";"),CONCATENATE(";",EscStr(CONCATENATE("NavNode_",getCategoryLevelAsString($B93))),";",EscStr(W93),";")))</f>
        <v>;"NavNode_L3D_525354";"Biztosíték foglaltok";</v>
      </c>
      <c r="AQ93" s="39" t="str">
        <f>IF(getCategoryLevelAsString($B93)="L0D_324785","",IF(X93="",CONCATENATE(";",EscStr(CONCATENATE("NavNode_",getCategoryLevelAsString($B93))),";",EscStr($J93),";"),CONCATENATE(";",EscStr(CONCATENATE("NavNode_",getCategoryLevelAsString($B93))),";",EscStr(X93),";")))</f>
        <v>;"NavNode_L3D_525354";"Držiaky poistiek";</v>
      </c>
      <c r="AR93" s="39" t="str">
        <f>IF(OR($A93&lt;&gt;"", $G93=""),"",CONCATENATE(";",EscStr(CONCATENATE("NavEntry_",getCategoryLevelAsString($B93))),";",EscStr(CONCATENATE($J93," Navigation Entry")),";",EscStr(CONCATENATE("cat-",getCategoryLevelAsString($B93))),";",EscStr(CONCATENATE("NavNode_",getCategoryLevelAsString($B93))),";"))</f>
        <v>;"NavEntry_L3D_525354";"Fuse Holders Navigation Entry";"cat-L3D_525354";"NavNode_L3D_525354";</v>
      </c>
    </row>
    <row r="94" spans="1:44" s="34" customFormat="1" ht="15" x14ac:dyDescent="0.25">
      <c r="A94" s="25"/>
      <c r="B94" s="5"/>
      <c r="C94" s="5" t="s">
        <v>969</v>
      </c>
      <c r="D94" s="5"/>
      <c r="E94" s="5"/>
      <c r="F94" s="5"/>
      <c r="G94" s="5" t="s">
        <v>987</v>
      </c>
      <c r="H94" s="5" t="s">
        <v>1090</v>
      </c>
      <c r="I94" s="5" t="s">
        <v>1149</v>
      </c>
      <c r="J94" s="5" t="s">
        <v>1182</v>
      </c>
      <c r="K94" s="5" t="s">
        <v>1216</v>
      </c>
      <c r="L94" s="5" t="s">
        <v>1450</v>
      </c>
      <c r="M94" s="5" t="s">
        <v>1216</v>
      </c>
      <c r="N94" s="5" t="s">
        <v>1216</v>
      </c>
      <c r="O94" s="5" t="s">
        <v>2537</v>
      </c>
      <c r="P94" s="5" t="s">
        <v>2538</v>
      </c>
      <c r="Q94" s="5" t="s">
        <v>2539</v>
      </c>
      <c r="R94" s="5" t="s">
        <v>1090</v>
      </c>
      <c r="S94" s="5" t="s">
        <v>2540</v>
      </c>
      <c r="T94" s="5" t="s">
        <v>2541</v>
      </c>
      <c r="U94" s="5" t="s">
        <v>2542</v>
      </c>
      <c r="V94" s="5" t="s">
        <v>2543</v>
      </c>
      <c r="W94" s="5" t="s">
        <v>2544</v>
      </c>
      <c r="X94" s="5" t="s">
        <v>14850</v>
      </c>
      <c r="Y94" s="39" t="str">
        <f>IF(OR($A94&lt;&gt;"", $G94=""),"",CONCATENATE(";",EscStr(CONCATENATE("NavNode_",getCategoryLevelAsString($B94))),";",EscStr($J94),";",IF($B94&lt;&gt;"","""MainCategoryNavNode""",EscStr(CONCATENATE("NavNode_",getSuperCategory($B94, getCategoryLevelAsNumber($B94))))),";"))</f>
        <v>;"NavNode_L2-3D_557406";"Aerials";"NavNode_Passive Components";</v>
      </c>
      <c r="Z94" s="39" t="str">
        <f>IF(getCategoryLevelAsString($B94)="L0D_324785","",IF(G94="",CONCATENATE(";",EscStr(CONCATENATE("NavNode_",getCategoryLevelAsString($B94))),";",EscStr($J94),";"),CONCATENATE(";",EscStr(CONCATENATE("NavNode_",getCategoryLevelAsString($B94))),";",EscStr(G94),";")))</f>
        <v>;"NavNode_L2-3D_557406";"Antennen";</v>
      </c>
      <c r="AA94" s="39" t="str">
        <f>IF(getCategoryLevelAsString($B94)="L0D_324785","",IF(H94="",CONCATENATE(";",EscStr(CONCATENATE("NavNode_",getCategoryLevelAsString($B94))),";",EscStr($J94),";"),CONCATENATE(";",EscStr(CONCATENATE("NavNode_",getCategoryLevelAsString($B94))),";",EscStr(H94),";")))</f>
        <v>;"NavNode_L2-3D_557406";"Antennes";</v>
      </c>
      <c r="AB94" s="39" t="str">
        <f>IF(getCategoryLevelAsString($B94)="L0D_324785","",IF(I94="",CONCATENATE(";",EscStr(CONCATENATE("NavNode_",getCategoryLevelAsString($B94))),";",EscStr($J94),";"),CONCATENATE(";",EscStr(CONCATENATE("NavNode_",getCategoryLevelAsString($B94))),";",EscStr(I94),";")))</f>
        <v>;"NavNode_L2-3D_557406";"Antenne";</v>
      </c>
      <c r="AC94" s="39" t="str">
        <f>IF(getCategoryLevelAsString($B94)="L0D_324785","",IF(J94="",CONCATENATE(";",EscStr(CONCATENATE("NavNode_",getCategoryLevelAsString($B94))),";",EscStr($J94),";"),CONCATENATE(";",EscStr(CONCATENATE("NavNode_",getCategoryLevelAsString($B94))),";",EscStr(J94),";")))</f>
        <v>;"NavNode_L2-3D_557406";"Aerials";</v>
      </c>
      <c r="AD94" s="39" t="str">
        <f>IF(getCategoryLevelAsString($B94)="L0D_324785","",IF(K94="",CONCATENATE(";",EscStr(CONCATENATE("NavNode_",getCategoryLevelAsString($B94))),";",EscStr($J94),";"),CONCATENATE(";",EscStr(CONCATENATE("NavNode_",getCategoryLevelAsString($B94))),";",EscStr(K94),";")))</f>
        <v>;"NavNode_L2-3D_557406";"Antenner";</v>
      </c>
      <c r="AE94" s="39" t="str">
        <f>IF(getCategoryLevelAsString($B94)="L0D_324785","",IF(L94="",CONCATENATE(";",EscStr(CONCATENATE("NavNode_",getCategoryLevelAsString($B94))),";",EscStr($J94),";"),CONCATENATE(";",EscStr(CONCATENATE("NavNode_",getCategoryLevelAsString($B94))),";",EscStr(L94),";")))</f>
        <v>;"NavNode_L2-3D_557406";"Antenos";</v>
      </c>
      <c r="AF94" s="39" t="str">
        <f>IF(getCategoryLevelAsString($B94)="L0D_324785","",IF(M94="",CONCATENATE(";",EscStr(CONCATENATE("NavNode_",getCategoryLevelAsString($B94))),";",EscStr($J94),";"),CONCATENATE(";",EscStr(CONCATENATE("NavNode_",getCategoryLevelAsString($B94))),";",EscStr(M94),";")))</f>
        <v>;"NavNode_L2-3D_557406";"Antenner";</v>
      </c>
      <c r="AG94" s="39" t="str">
        <f>IF(getCategoryLevelAsString($B94)="L0D_324785","",IF(N94="",CONCATENATE(";",EscStr(CONCATENATE("NavNode_",getCategoryLevelAsString($B94))),";",EscStr($J94),";"),CONCATENATE(";",EscStr(CONCATENATE("NavNode_",getCategoryLevelAsString($B94))),";",EscStr(N94),";")))</f>
        <v>;"NavNode_L2-3D_557406";"Antenner";</v>
      </c>
      <c r="AH94" s="39" t="str">
        <f>IF(getCategoryLevelAsString($B94)="L0D_324785","",IF(O94="",CONCATENATE(";",EscStr(CONCATENATE("NavNode_",getCategoryLevelAsString($B94))),";",EscStr($J94),";"),CONCATENATE(";",EscStr(CONCATENATE("NavNode_",getCategoryLevelAsString($B94))),";",EscStr(O94),";")))</f>
        <v>;"NavNode_L2-3D_557406";"Antennid";</v>
      </c>
      <c r="AI94" s="39" t="str">
        <f>IF(getCategoryLevelAsString($B94)="L0D_324785","",IF(P94="",CONCATENATE(";",EscStr(CONCATENATE("NavNode_",getCategoryLevelAsString($B94))),";",EscStr($J94),";"),CONCATENATE(";",EscStr(CONCATENATE("NavNode_",getCategoryLevelAsString($B94))),";",EscStr(P94),";")))</f>
        <v>;"NavNode_L2-3D_557406";"Antennit";</v>
      </c>
      <c r="AJ94" s="39" t="str">
        <f>IF(getCategoryLevelAsString($B94)="L0D_324785","",IF(Q94="",CONCATENATE(";",EscStr(CONCATENATE("NavNode_",getCategoryLevelAsString($B94))),";",EscStr($J94),";"),CONCATENATE(";",EscStr(CONCATENATE("NavNode_",getCategoryLevelAsString($B94))),";",EscStr(Q94),";")))</f>
        <v>;"NavNode_L2-3D_557406";"Antenas";</v>
      </c>
      <c r="AK94" s="39" t="str">
        <f>IF(getCategoryLevelAsString($B94)="L0D_324785","",IF(R94="",CONCATENATE(";",EscStr(CONCATENATE("NavNode_",getCategoryLevelAsString($B94))),";",EscStr($J94),";"),CONCATENATE(";",EscStr(CONCATENATE("NavNode_",getCategoryLevelAsString($B94))),";",EscStr(R94),";")))</f>
        <v>;"NavNode_L2-3D_557406";"Antennes";</v>
      </c>
      <c r="AL94" s="39" t="str">
        <f>IF(getCategoryLevelAsString($B94)="L0D_324785","",IF(S94="",CONCATENATE(";",EscStr(CONCATENATE("NavNode_",getCategoryLevelAsString($B94))),";",EscStr($J94),";"),CONCATENATE(";",EscStr(CONCATENATE("NavNode_",getCategoryLevelAsString($B94))),";",EscStr(S94),";")))</f>
        <v>;"NavNode_L2-3D_557406";"Anteny";</v>
      </c>
      <c r="AM94" s="39" t="str">
        <f>IF(getCategoryLevelAsString($B94)="L0D_324785","",IF(T94="",CONCATENATE(";",EscStr(CONCATENATE("NavNode_",getCategoryLevelAsString($B94))),";",EscStr($J94),";"),CONCATENATE(";",EscStr(CONCATENATE("NavNode_",getCategoryLevelAsString($B94))),";",EscStr(T94),";")))</f>
        <v>;"NavNode_L2-3D_557406";"Антенны";</v>
      </c>
      <c r="AN94" s="39" t="str">
        <f>IF(getCategoryLevelAsString($B94)="L0D_324785","",IF(U94="",CONCATENATE(";",EscStr(CONCATENATE("NavNode_",getCategoryLevelAsString($B94))),";",EscStr($J94),";"),CONCATENATE(";",EscStr(CONCATENATE("NavNode_",getCategoryLevelAsString($B94))),";",EscStr(U94),";")))</f>
        <v>;"NavNode_L2-3D_557406";"Vícevrstvé antény, SMD";</v>
      </c>
      <c r="AO94" s="39" t="str">
        <f>IF(getCategoryLevelAsString($B94)="L0D_324785","",IF(V94="",CONCATENATE(";",EscStr(CONCATENATE("NavNode_",getCategoryLevelAsString($B94))),";",EscStr($J94),";"),CONCATENATE(";",EscStr(CONCATENATE("NavNode_",getCategoryLevelAsString($B94))),";",EscStr(V94),";")))</f>
        <v>;"NavNode_L2-3D_557406";"Antene";</v>
      </c>
      <c r="AP94" s="39" t="str">
        <f>IF(getCategoryLevelAsString($B94)="L0D_324785","",IF(W94="",CONCATENATE(";",EscStr(CONCATENATE("NavNode_",getCategoryLevelAsString($B94))),";",EscStr($J94),";"),CONCATENATE(";",EscStr(CONCATENATE("NavNode_",getCategoryLevelAsString($B94))),";",EscStr(W94),";")))</f>
        <v>;"NavNode_L2-3D_557406";"Antennák";</v>
      </c>
      <c r="AQ94" s="39" t="str">
        <f>IF(getCategoryLevelAsString($B94)="L0D_324785","",IF(X94="",CONCATENATE(";",EscStr(CONCATENATE("NavNode_",getCategoryLevelAsString($B94))),";",EscStr($J94),";"),CONCATENATE(";",EscStr(CONCATENATE("NavNode_",getCategoryLevelAsString($B94))),";",EscStr(X94),";")))</f>
        <v>;"NavNode_L2-3D_557406";"Viacvrstvové antény, SMD";</v>
      </c>
      <c r="AR94" s="39" t="str">
        <f>IF(OR($A94&lt;&gt;"", $G94=""),"",CONCATENATE(";",EscStr(CONCATENATE("NavEntry_",getCategoryLevelAsString($B94))),";",EscStr(CONCATENATE($J94," Navigation Entry")),";",EscStr(CONCATENATE("cat-",getCategoryLevelAsString($B94))),";",EscStr(CONCATENATE("NavNode_",getCategoryLevelAsString($B94))),";"))</f>
        <v>;"NavEntry_L2-3D_557406";"Aerials Navigation Entry";"cat-L2-3D_557406";"NavNode_L2-3D_557406";</v>
      </c>
    </row>
    <row r="95" spans="1:44" s="38" customFormat="1" ht="15" x14ac:dyDescent="0.25">
      <c r="A95" s="32"/>
      <c r="B95" s="29" t="s">
        <v>7008</v>
      </c>
      <c r="C95" s="37"/>
      <c r="E95" s="29"/>
      <c r="F95" s="29"/>
      <c r="G95" s="31" t="s">
        <v>15252</v>
      </c>
      <c r="H95" s="31" t="s">
        <v>15253</v>
      </c>
      <c r="I95" s="31" t="s">
        <v>15254</v>
      </c>
      <c r="J95" s="31" t="s">
        <v>7008</v>
      </c>
      <c r="K95" s="31" t="s">
        <v>15255</v>
      </c>
      <c r="L95" s="28" t="s">
        <v>15256</v>
      </c>
      <c r="M95" s="31" t="s">
        <v>15255</v>
      </c>
      <c r="N95" s="42" t="s">
        <v>15257</v>
      </c>
      <c r="O95" s="31" t="s">
        <v>15258</v>
      </c>
      <c r="P95" s="42" t="s">
        <v>15259</v>
      </c>
      <c r="Q95" s="31" t="s">
        <v>15260</v>
      </c>
      <c r="R95" s="31" t="s">
        <v>15261</v>
      </c>
      <c r="S95" s="42" t="s">
        <v>15262</v>
      </c>
      <c r="T95" s="31" t="s">
        <v>15263</v>
      </c>
      <c r="U95" s="28" t="s">
        <v>15264</v>
      </c>
      <c r="V95" s="31" t="s">
        <v>15265</v>
      </c>
      <c r="W95" s="42" t="s">
        <v>15266</v>
      </c>
      <c r="X95" s="28" t="s">
        <v>15267</v>
      </c>
      <c r="Y95" s="39" t="str">
        <f>IF(OR($A95&lt;&gt;"", $G95=""),"",CONCATENATE(";",EscStr(CONCATENATE("NavNode_",getCategoryLevelAsString($B95))),";",EscStr($J95),";",IF($B95&lt;&gt;"","""MainCategoryNavNode""",EscStr(CONCATENATE("NavNode_",getSuperCategory($B95, getCategoryLevelAsNumber($B95))))),";"))</f>
        <v>;"NavNode_Electromechanical Components";"Electromechanical Components";"MainCategoryNavNode";</v>
      </c>
      <c r="Z95" s="39" t="str">
        <f>IF(getCategoryLevelAsString($B95)="L0D_324785","",IF(G95="",CONCATENATE(";",EscStr(CONCATENATE("NavNode_",getCategoryLevelAsString($B95))),";",EscStr($J95),";"),CONCATENATE(";",EscStr(CONCATENATE("NavNode_",getCategoryLevelAsString($B95))),";",EscStr(G95),";")))</f>
        <v>;"NavNode_Electromechanical Components";"Elektromechanische Bauelemente";</v>
      </c>
      <c r="AA95" s="39" t="str">
        <f>IF(getCategoryLevelAsString($B95)="L0D_324785","",IF(H95="",CONCATENATE(";",EscStr(CONCATENATE("NavNode_",getCategoryLevelAsString($B95))),";",EscStr($J95),";"),CONCATENATE(";",EscStr(CONCATENATE("NavNode_",getCategoryLevelAsString($B95))),";",EscStr(H95),";")))</f>
        <v>;"NavNode_Electromechanical Components";"Composants électromécaniques";</v>
      </c>
      <c r="AB95" s="39" t="str">
        <f>IF(getCategoryLevelAsString($B95)="L0D_324785","",IF(I95="",CONCATENATE(";",EscStr(CONCATENATE("NavNode_",getCategoryLevelAsString($B95))),";",EscStr($J95),";"),CONCATENATE(";",EscStr(CONCATENATE("NavNode_",getCategoryLevelAsString($B95))),";",EscStr(I95),";")))</f>
        <v>;"NavNode_Electromechanical Components";"Componenti elettromeccanici";</v>
      </c>
      <c r="AC95" s="39" t="str">
        <f>IF(getCategoryLevelAsString($B95)="L0D_324785","",IF(J95="",CONCATENATE(";",EscStr(CONCATENATE("NavNode_",getCategoryLevelAsString($B95))),";",EscStr($J95),";"),CONCATENATE(";",EscStr(CONCATENATE("NavNode_",getCategoryLevelAsString($B95))),";",EscStr(J95),";")))</f>
        <v>;"NavNode_Electromechanical Components";"Electromechanical Components";</v>
      </c>
      <c r="AD95" s="39" t="str">
        <f>IF(getCategoryLevelAsString($B95)="L0D_324785","",IF(K95="",CONCATENATE(";",EscStr(CONCATENATE("NavNode_",getCategoryLevelAsString($B95))),";",EscStr($J95),";"),CONCATENATE(";",EscStr(CONCATENATE("NavNode_",getCategoryLevelAsString($B95))),";",EscStr(K95),";")))</f>
        <v>;"NavNode_Electromechanical Components";"Elektromekaniske komponenter";</v>
      </c>
      <c r="AE95" s="39" t="str">
        <f>IF(getCategoryLevelAsString($B95)="L0D_324785","",IF(L95="",CONCATENATE(";",EscStr(CONCATENATE("NavNode_",getCategoryLevelAsString($B95))),";",EscStr($J95),";"),CONCATENATE(";",EscStr(CONCATENATE("NavNode_",getCategoryLevelAsString($B95))),";",EscStr(L95),";")))</f>
        <v>;"NavNode_Electromechanical Components";"Elektromechaniniai komponentai";</v>
      </c>
      <c r="AF95" s="39" t="str">
        <f>IF(getCategoryLevelAsString($B95)="L0D_324785","",IF(M95="",CONCATENATE(";",EscStr(CONCATENATE("NavNode_",getCategoryLevelAsString($B95))),";",EscStr($J95),";"),CONCATENATE(";",EscStr(CONCATENATE("NavNode_",getCategoryLevelAsString($B95))),";",EscStr(M95),";")))</f>
        <v>;"NavNode_Electromechanical Components";"Elektromekaniske komponenter";</v>
      </c>
      <c r="AG95" s="39" t="str">
        <f>IF(getCategoryLevelAsString($B95)="L0D_324785","",IF(N95="",CONCATENATE(";",EscStr(CONCATENATE("NavNode_",getCategoryLevelAsString($B95))),";",EscStr($J95),";"),CONCATENATE(";",EscStr(CONCATENATE("NavNode_",getCategoryLevelAsString($B95))),";",EscStr(N95),";")))</f>
        <v>;"NavNode_Electromechanical Components";"Elektromekaniska komponenter";</v>
      </c>
      <c r="AH95" s="39" t="str">
        <f>IF(getCategoryLevelAsString($B95)="L0D_324785","",IF(O95="",CONCATENATE(";",EscStr(CONCATENATE("NavNode_",getCategoryLevelAsString($B95))),";",EscStr($J95),";"),CONCATENATE(";",EscStr(CONCATENATE("NavNode_",getCategoryLevelAsString($B95))),";",EscStr(O95),";")))</f>
        <v>;"NavNode_Electromechanical Components";"Elektromehaanilised komponendid";</v>
      </c>
      <c r="AI95" s="39" t="str">
        <f>IF(getCategoryLevelAsString($B95)="L0D_324785","",IF(P95="",CONCATENATE(";",EscStr(CONCATENATE("NavNode_",getCategoryLevelAsString($B95))),";",EscStr($J95),";"),CONCATENATE(";",EscStr(CONCATENATE("NavNode_",getCategoryLevelAsString($B95))),";",EscStr(P95),";")))</f>
        <v>;"NavNode_Electromechanical Components";"Sähkömekaaniset komponentit";</v>
      </c>
      <c r="AJ95" s="39" t="str">
        <f>IF(getCategoryLevelAsString($B95)="L0D_324785","",IF(Q95="",CONCATENATE(";",EscStr(CONCATENATE("NavNode_",getCategoryLevelAsString($B95))),";",EscStr($J95),";"),CONCATENATE(";",EscStr(CONCATENATE("NavNode_",getCategoryLevelAsString($B95))),";",EscStr(Q95),";")))</f>
        <v>;"NavNode_Electromechanical Components";"Elektromehāniskie komponenti";</v>
      </c>
      <c r="AK95" s="39" t="str">
        <f>IF(getCategoryLevelAsString($B95)="L0D_324785","",IF(R95="",CONCATENATE(";",EscStr(CONCATENATE("NavNode_",getCategoryLevelAsString($B95))),";",EscStr($J95),";"),CONCATENATE(";",EscStr(CONCATENATE("NavNode_",getCategoryLevelAsString($B95))),";",EscStr(R95),";")))</f>
        <v>;"NavNode_Electromechanical Components";"Elektromechanische componenten";</v>
      </c>
      <c r="AL95" s="39" t="str">
        <f>IF(getCategoryLevelAsString($B95)="L0D_324785","",IF(S95="",CONCATENATE(";",EscStr(CONCATENATE("NavNode_",getCategoryLevelAsString($B95))),";",EscStr($J95),";"),CONCATENATE(";",EscStr(CONCATENATE("NavNode_",getCategoryLevelAsString($B95))),";",EscStr(S95),";")))</f>
        <v>;"NavNode_Electromechanical Components";"Elementy elektromechaniczne";</v>
      </c>
      <c r="AM95" s="39" t="str">
        <f>IF(getCategoryLevelAsString($B95)="L0D_324785","",IF(T95="",CONCATENATE(";",EscStr(CONCATENATE("NavNode_",getCategoryLevelAsString($B95))),";",EscStr($J95),";"),CONCATENATE(";",EscStr(CONCATENATE("NavNode_",getCategoryLevelAsString($B95))),";",EscStr(T95),";")))</f>
        <v>;"NavNode_Electromechanical Components";"Электромеханические компоненты";</v>
      </c>
      <c r="AN95" s="39" t="str">
        <f>IF(getCategoryLevelAsString($B95)="L0D_324785","",IF(U95="",CONCATENATE(";",EscStr(CONCATENATE("NavNode_",getCategoryLevelAsString($B95))),";",EscStr($J95),";"),CONCATENATE(";",EscStr(CONCATENATE("NavNode_",getCategoryLevelAsString($B95))),";",EscStr(U95),";")))</f>
        <v>;"NavNode_Electromechanical Components";"Elektromechanické součástky";</v>
      </c>
      <c r="AO95" s="39" t="str">
        <f>IF(getCategoryLevelAsString($B95)="L0D_324785","",IF(V95="",CONCATENATE(";",EscStr(CONCATENATE("NavNode_",getCategoryLevelAsString($B95))),";",EscStr($J95),";"),CONCATENATE(";",EscStr(CONCATENATE("NavNode_",getCategoryLevelAsString($B95))),";",EscStr(V95),";")))</f>
        <v>;"NavNode_Electromechanical Components";"Componente electromecanice";</v>
      </c>
      <c r="AP95" s="39" t="str">
        <f>IF(getCategoryLevelAsString($B95)="L0D_324785","",IF(W95="",CONCATENATE(";",EscStr(CONCATENATE("NavNode_",getCategoryLevelAsString($B95))),";",EscStr($J95),";"),CONCATENATE(";",EscStr(CONCATENATE("NavNode_",getCategoryLevelAsString($B95))),";",EscStr(W95),";")))</f>
        <v>;"NavNode_Electromechanical Components";"Elektromechanikus alkatrészek";</v>
      </c>
      <c r="AQ95" s="39" t="str">
        <f>IF(getCategoryLevelAsString($B95)="L0D_324785","",IF(X95="",CONCATENATE(";",EscStr(CONCATENATE("NavNode_",getCategoryLevelAsString($B95))),";",EscStr($J95),";"),CONCATENATE(";",EscStr(CONCATENATE("NavNode_",getCategoryLevelAsString($B95))),";",EscStr(X95),";")))</f>
        <v>;"NavNode_Electromechanical Components";"Elektromechanické súčiastky";</v>
      </c>
      <c r="AR95" s="39" t="str">
        <f>IF(OR($A95&lt;&gt;"", $G95=""),"",CONCATENATE(";",EscStr(CONCATENATE("NavEntry_",getCategoryLevelAsString($B95))),";",EscStr(CONCATENATE($J95," Navigation Entry")),";",EscStr(CONCATENATE("cat-",getCategoryLevelAsString($B95))),";",EscStr(CONCATENATE("NavNode_",getCategoryLevelAsString($B95))),";"))</f>
        <v>;"NavEntry_Electromechanical Components";"Electromechanical Components Navigation Entry";"cat-Electromechanical Components";"NavNode_Electromechanical Components";</v>
      </c>
    </row>
    <row r="96" spans="1:44" s="34" customFormat="1" ht="15" x14ac:dyDescent="0.25">
      <c r="A96" s="25"/>
      <c r="B96" s="5"/>
      <c r="C96" s="5" t="s">
        <v>22</v>
      </c>
      <c r="D96" s="5"/>
      <c r="E96" s="5"/>
      <c r="F96" s="5"/>
      <c r="G96" s="5" t="s">
        <v>397</v>
      </c>
      <c r="H96" s="5" t="s">
        <v>398</v>
      </c>
      <c r="I96" s="5" t="s">
        <v>399</v>
      </c>
      <c r="J96" s="5" t="s">
        <v>5</v>
      </c>
      <c r="K96" s="5" t="s">
        <v>13815</v>
      </c>
      <c r="L96" s="5" t="s">
        <v>1453</v>
      </c>
      <c r="M96" s="5" t="s">
        <v>1686</v>
      </c>
      <c r="N96" s="5" t="s">
        <v>1889</v>
      </c>
      <c r="O96" s="5" t="s">
        <v>2566</v>
      </c>
      <c r="P96" s="5" t="s">
        <v>2567</v>
      </c>
      <c r="Q96" s="5" t="s">
        <v>2568</v>
      </c>
      <c r="R96" s="5" t="s">
        <v>2569</v>
      </c>
      <c r="S96" s="5" t="s">
        <v>2570</v>
      </c>
      <c r="T96" s="5" t="s">
        <v>2571</v>
      </c>
      <c r="U96" s="5" t="s">
        <v>2572</v>
      </c>
      <c r="V96" s="5" t="s">
        <v>2573</v>
      </c>
      <c r="W96" s="5" t="s">
        <v>2574</v>
      </c>
      <c r="X96" s="5" t="s">
        <v>2572</v>
      </c>
      <c r="Y96" s="39" t="str">
        <f>IF(OR($A96&lt;&gt;"", $G96=""),"",CONCATENATE(";",EscStr(CONCATENATE("NavNode_",getCategoryLevelAsString($B96))),";",EscStr($J96),";",IF($B96&lt;&gt;"","""MainCategoryNavNode""",EscStr(CONCATENATE("NavNode_",getSuperCategory($B96, getCategoryLevelAsNumber($B96))))),";"))</f>
        <v>;"NavNode_L2D_379527";"Connectors";"NavNode_Electromechanical Components";</v>
      </c>
      <c r="Z96" s="39" t="str">
        <f>IF(getCategoryLevelAsString($B96)="L0D_324785","",IF(G96="",CONCATENATE(";",EscStr(CONCATENATE("NavNode_",getCategoryLevelAsString($B96))),";",EscStr($J96),";"),CONCATENATE(";",EscStr(CONCATENATE("NavNode_",getCategoryLevelAsString($B96))),";",EscStr(G96),";")))</f>
        <v>;"NavNode_L2D_379527";"Steckverbinder";</v>
      </c>
      <c r="AA96" s="39" t="str">
        <f>IF(getCategoryLevelAsString($B96)="L0D_324785","",IF(H96="",CONCATENATE(";",EscStr(CONCATENATE("NavNode_",getCategoryLevelAsString($B96))),";",EscStr($J96),";"),CONCATENATE(";",EscStr(CONCATENATE("NavNode_",getCategoryLevelAsString($B96))),";",EscStr(H96),";")))</f>
        <v>;"NavNode_L2D_379527";"Connecteurs";</v>
      </c>
      <c r="AB96" s="39" t="str">
        <f>IF(getCategoryLevelAsString($B96)="L0D_324785","",IF(I96="",CONCATENATE(";",EscStr(CONCATENATE("NavNode_",getCategoryLevelAsString($B96))),";",EscStr($J96),";"),CONCATENATE(";",EscStr(CONCATENATE("NavNode_",getCategoryLevelAsString($B96))),";",EscStr(I96),";")))</f>
        <v>;"NavNode_L2D_379527";"Connettori";</v>
      </c>
      <c r="AC96" s="39" t="str">
        <f>IF(getCategoryLevelAsString($B96)="L0D_324785","",IF(J96="",CONCATENATE(";",EscStr(CONCATENATE("NavNode_",getCategoryLevelAsString($B96))),";",EscStr($J96),";"),CONCATENATE(";",EscStr(CONCATENATE("NavNode_",getCategoryLevelAsString($B96))),";",EscStr(J96),";")))</f>
        <v>;"NavNode_L2D_379527";"Connectors";</v>
      </c>
      <c r="AD96" s="39" t="str">
        <f>IF(getCategoryLevelAsString($B96)="L0D_324785","",IF(K96="",CONCATENATE(";",EscStr(CONCATENATE("NavNode_",getCategoryLevelAsString($B96))),";",EscStr($J96),";"),CONCATENATE(";",EscStr(CONCATENATE("NavNode_",getCategoryLevelAsString($B96))),";",EscStr(K96),";")))</f>
        <v>;"NavNode_L2D_379527";"Stik";</v>
      </c>
      <c r="AE96" s="39" t="str">
        <f>IF(getCategoryLevelAsString($B96)="L0D_324785","",IF(L96="",CONCATENATE(";",EscStr(CONCATENATE("NavNode_",getCategoryLevelAsString($B96))),";",EscStr($J96),";"),CONCATENATE(";",EscStr(CONCATENATE("NavNode_",getCategoryLevelAsString($B96))),";",EscStr(L96),";")))</f>
        <v>;"NavNode_L2D_379527";"Jungtys";</v>
      </c>
      <c r="AF96" s="39" t="str">
        <f>IF(getCategoryLevelAsString($B96)="L0D_324785","",IF(M96="",CONCATENATE(";",EscStr(CONCATENATE("NavNode_",getCategoryLevelAsString($B96))),";",EscStr($J96),";"),CONCATENATE(";",EscStr(CONCATENATE("NavNode_",getCategoryLevelAsString($B96))),";",EscStr(M96),";")))</f>
        <v>;"NavNode_L2D_379527";"Kontakter";</v>
      </c>
      <c r="AG96" s="39" t="str">
        <f>IF(getCategoryLevelAsString($B96)="L0D_324785","",IF(N96="",CONCATENATE(";",EscStr(CONCATENATE("NavNode_",getCategoryLevelAsString($B96))),";",EscStr($J96),";"),CONCATENATE(";",EscStr(CONCATENATE("NavNode_",getCategoryLevelAsString($B96))),";",EscStr(N96),";")))</f>
        <v>;"NavNode_L2D_379527";"Kontaktdon";</v>
      </c>
      <c r="AH96" s="39" t="str">
        <f>IF(getCategoryLevelAsString($B96)="L0D_324785","",IF(O96="",CONCATENATE(";",EscStr(CONCATENATE("NavNode_",getCategoryLevelAsString($B96))),";",EscStr($J96),";"),CONCATENATE(";",EscStr(CONCATENATE("NavNode_",getCategoryLevelAsString($B96))),";",EscStr(O96),";")))</f>
        <v>;"NavNode_L2D_379527";"Ühendused";</v>
      </c>
      <c r="AI96" s="39" t="str">
        <f>IF(getCategoryLevelAsString($B96)="L0D_324785","",IF(P96="",CONCATENATE(";",EscStr(CONCATENATE("NavNode_",getCategoryLevelAsString($B96))),";",EscStr($J96),";"),CONCATENATE(";",EscStr(CONCATENATE("NavNode_",getCategoryLevelAsString($B96))),";",EscStr(P96),";")))</f>
        <v>;"NavNode_L2D_379527";"Liittimet";</v>
      </c>
      <c r="AJ96" s="39" t="str">
        <f>IF(getCategoryLevelAsString($B96)="L0D_324785","",IF(Q96="",CONCATENATE(";",EscStr(CONCATENATE("NavNode_",getCategoryLevelAsString($B96))),";",EscStr($J96),";"),CONCATENATE(";",EscStr(CONCATENATE("NavNode_",getCategoryLevelAsString($B96))),";",EscStr(Q96),";")))</f>
        <v>;"NavNode_L2D_379527";"Konektori";</v>
      </c>
      <c r="AK96" s="39" t="str">
        <f>IF(getCategoryLevelAsString($B96)="L0D_324785","",IF(R96="",CONCATENATE(";",EscStr(CONCATENATE("NavNode_",getCategoryLevelAsString($B96))),";",EscStr($J96),";"),CONCATENATE(";",EscStr(CONCATENATE("NavNode_",getCategoryLevelAsString($B96))),";",EscStr(R96),";")))</f>
        <v>;"NavNode_L2D_379527";"Connectoren";</v>
      </c>
      <c r="AL96" s="39" t="str">
        <f>IF(getCategoryLevelAsString($B96)="L0D_324785","",IF(S96="",CONCATENATE(";",EscStr(CONCATENATE("NavNode_",getCategoryLevelAsString($B96))),";",EscStr($J96),";"),CONCATENATE(";",EscStr(CONCATENATE("NavNode_",getCategoryLevelAsString($B96))),";",EscStr(S96),";")))</f>
        <v>;"NavNode_L2D_379527";"Złącza";</v>
      </c>
      <c r="AM96" s="39" t="str">
        <f>IF(getCategoryLevelAsString($B96)="L0D_324785","",IF(T96="",CONCATENATE(";",EscStr(CONCATENATE("NavNode_",getCategoryLevelAsString($B96))),";",EscStr($J96),";"),CONCATENATE(";",EscStr(CONCATENATE("NavNode_",getCategoryLevelAsString($B96))),";",EscStr(T96),";")))</f>
        <v>;"NavNode_L2D_379527";"Разъемы";</v>
      </c>
      <c r="AN96" s="39" t="str">
        <f>IF(getCategoryLevelAsString($B96)="L0D_324785","",IF(U96="",CONCATENATE(";",EscStr(CONCATENATE("NavNode_",getCategoryLevelAsString($B96))),";",EscStr($J96),";"),CONCATENATE(";",EscStr(CONCATENATE("NavNode_",getCategoryLevelAsString($B96))),";",EscStr(U96),";")))</f>
        <v>;"NavNode_L2D_379527";"Konektory";</v>
      </c>
      <c r="AO96" s="39" t="str">
        <f>IF(getCategoryLevelAsString($B96)="L0D_324785","",IF(V96="",CONCATENATE(";",EscStr(CONCATENATE("NavNode_",getCategoryLevelAsString($B96))),";",EscStr($J96),";"),CONCATENATE(";",EscStr(CONCATENATE("NavNode_",getCategoryLevelAsString($B96))),";",EscStr(V96),";")))</f>
        <v>;"NavNode_L2D_379527";"Conectori";</v>
      </c>
      <c r="AP96" s="39" t="str">
        <f>IF(getCategoryLevelAsString($B96)="L0D_324785","",IF(W96="",CONCATENATE(";",EscStr(CONCATENATE("NavNode_",getCategoryLevelAsString($B96))),";",EscStr($J96),";"),CONCATENATE(";",EscStr(CONCATENATE("NavNode_",getCategoryLevelAsString($B96))),";",EscStr(W96),";")))</f>
        <v>;"NavNode_L2D_379527";"Csatlakozók";</v>
      </c>
      <c r="AQ96" s="39" t="str">
        <f>IF(getCategoryLevelAsString($B96)="L0D_324785","",IF(X96="",CONCATENATE(";",EscStr(CONCATENATE("NavNode_",getCategoryLevelAsString($B96))),";",EscStr($J96),";"),CONCATENATE(";",EscStr(CONCATENATE("NavNode_",getCategoryLevelAsString($B96))),";",EscStr(X96),";")))</f>
        <v>;"NavNode_L2D_379527";"Konektory";</v>
      </c>
      <c r="AR96" s="39" t="str">
        <f>IF(OR($A96&lt;&gt;"", $G96=""),"",CONCATENATE(";",EscStr(CONCATENATE("NavEntry_",getCategoryLevelAsString($B96))),";",EscStr(CONCATENATE($J96," Navigation Entry")),";",EscStr(CONCATENATE("cat-",getCategoryLevelAsString($B96))),";",EscStr(CONCATENATE("NavNode_",getCategoryLevelAsString($B96))),";"))</f>
        <v>;"NavEntry_L2D_379527";"Connectors Navigation Entry";"cat-L2D_379527";"NavNode_L2D_379527";</v>
      </c>
    </row>
    <row r="97" spans="1:44" s="34" customFormat="1" ht="15" x14ac:dyDescent="0.25">
      <c r="A97" s="25"/>
      <c r="B97" s="5"/>
      <c r="C97" s="5"/>
      <c r="D97" s="5" t="s">
        <v>155</v>
      </c>
      <c r="E97" s="5"/>
      <c r="F97" s="5"/>
      <c r="G97" s="5" t="s">
        <v>406</v>
      </c>
      <c r="H97" s="5" t="s">
        <v>407</v>
      </c>
      <c r="I97" s="5" t="s">
        <v>408</v>
      </c>
      <c r="J97" s="5" t="s">
        <v>156</v>
      </c>
      <c r="K97" s="5" t="s">
        <v>1221</v>
      </c>
      <c r="L97" s="5" t="s">
        <v>15130</v>
      </c>
      <c r="M97" s="5" t="s">
        <v>1687</v>
      </c>
      <c r="N97" s="5" t="s">
        <v>1890</v>
      </c>
      <c r="O97" s="5" t="s">
        <v>2575</v>
      </c>
      <c r="P97" s="5" t="s">
        <v>2576</v>
      </c>
      <c r="Q97" s="5" t="s">
        <v>2577</v>
      </c>
      <c r="R97" s="5" t="s">
        <v>2578</v>
      </c>
      <c r="S97" s="5" t="s">
        <v>2579</v>
      </c>
      <c r="T97" s="5" t="s">
        <v>2580</v>
      </c>
      <c r="U97" s="5" t="s">
        <v>2581</v>
      </c>
      <c r="V97" s="5" t="s">
        <v>2582</v>
      </c>
      <c r="W97" s="5" t="s">
        <v>2583</v>
      </c>
      <c r="X97" s="5" t="s">
        <v>14851</v>
      </c>
      <c r="Y97" s="39" t="str">
        <f>IF(OR($A97&lt;&gt;"", $G97=""),"",CONCATENATE(";",EscStr(CONCATENATE("NavNode_",getCategoryLevelAsString($B97))),";",EscStr($J97),";",IF($B97&lt;&gt;"","""MainCategoryNavNode""",EscStr(CONCATENATE("NavNode_",getSuperCategory($B97, getCategoryLevelAsNumber($B97))))),";"))</f>
        <v>;"NavNode_L3D_525361";"Flat Cable Connectors";"NavNode_L2D_379527";</v>
      </c>
      <c r="Z97" s="39" t="str">
        <f>IF(getCategoryLevelAsString($B97)="L0D_324785","",IF(G97="",CONCATENATE(";",EscStr(CONCATENATE("NavNode_",getCategoryLevelAsString($B97))),";",EscStr($J97),";"),CONCATENATE(";",EscStr(CONCATENATE("NavNode_",getCategoryLevelAsString($B97))),";",EscStr(G97),";")))</f>
        <v>;"NavNode_L3D_525361";"Flachkabel-Steckverbinder";</v>
      </c>
      <c r="AA97" s="39" t="str">
        <f>IF(getCategoryLevelAsString($B97)="L0D_324785","",IF(H97="",CONCATENATE(";",EscStr(CONCATENATE("NavNode_",getCategoryLevelAsString($B97))),";",EscStr($J97),";"),CONCATENATE(";",EscStr(CONCATENATE("NavNode_",getCategoryLevelAsString($B97))),";",EscStr(H97),";")))</f>
        <v>;"NavNode_L3D_525361";"Connecteurs pour câbles plats";</v>
      </c>
      <c r="AB97" s="39" t="str">
        <f>IF(getCategoryLevelAsString($B97)="L0D_324785","",IF(I97="",CONCATENATE(";",EscStr(CONCATENATE("NavNode_",getCategoryLevelAsString($B97))),";",EscStr($J97),";"),CONCATENATE(";",EscStr(CONCATENATE("NavNode_",getCategoryLevelAsString($B97))),";",EscStr(I97),";")))</f>
        <v>;"NavNode_L3D_525361";"Connettori a cavo piatto";</v>
      </c>
      <c r="AC97" s="39" t="str">
        <f>IF(getCategoryLevelAsString($B97)="L0D_324785","",IF(J97="",CONCATENATE(";",EscStr(CONCATENATE("NavNode_",getCategoryLevelAsString($B97))),";",EscStr($J97),";"),CONCATENATE(";",EscStr(CONCATENATE("NavNode_",getCategoryLevelAsString($B97))),";",EscStr(J97),";")))</f>
        <v>;"NavNode_L3D_525361";"Flat Cable Connectors";</v>
      </c>
      <c r="AD97" s="39" t="str">
        <f>IF(getCategoryLevelAsString($B97)="L0D_324785","",IF(K97="",CONCATENATE(";",EscStr(CONCATENATE("NavNode_",getCategoryLevelAsString($B97))),";",EscStr($J97),";"),CONCATENATE(";",EscStr(CONCATENATE("NavNode_",getCategoryLevelAsString($B97))),";",EscStr(K97),";")))</f>
        <v>;"NavNode_L3D_525361";"Fladkabelstik";</v>
      </c>
      <c r="AE97" s="39" t="str">
        <f>IF(getCategoryLevelAsString($B97)="L0D_324785","",IF(L97="",CONCATENATE(";",EscStr(CONCATENATE("NavNode_",getCategoryLevelAsString($B97))),";",EscStr($J97),";"),CONCATENATE(";",EscStr(CONCATENATE("NavNode_",getCategoryLevelAsString($B97))),";",EscStr(L97),";")))</f>
        <v>;"NavNode_L3D_525361";"Plokščių kabelių jungtys";</v>
      </c>
      <c r="AF97" s="39" t="str">
        <f>IF(getCategoryLevelAsString($B97)="L0D_324785","",IF(M97="",CONCATENATE(";",EscStr(CONCATENATE("NavNode_",getCategoryLevelAsString($B97))),";",EscStr($J97),";"),CONCATENATE(";",EscStr(CONCATENATE("NavNode_",getCategoryLevelAsString($B97))),";",EscStr(M97),";")))</f>
        <v>;"NavNode_L3D_525361";"Flatkabelkontakter";</v>
      </c>
      <c r="AG97" s="39" t="str">
        <f>IF(getCategoryLevelAsString($B97)="L0D_324785","",IF(N97="",CONCATENATE(";",EscStr(CONCATENATE("NavNode_",getCategoryLevelAsString($B97))),";",EscStr($J97),";"),CONCATENATE(";",EscStr(CONCATENATE("NavNode_",getCategoryLevelAsString($B97))),";",EscStr(N97),";")))</f>
        <v>;"NavNode_L3D_525361";"Flatkabeldon";</v>
      </c>
      <c r="AH97" s="39" t="str">
        <f>IF(getCategoryLevelAsString($B97)="L0D_324785","",IF(O97="",CONCATENATE(";",EscStr(CONCATENATE("NavNode_",getCategoryLevelAsString($B97))),";",EscStr($J97),";"),CONCATENATE(";",EscStr(CONCATENATE("NavNode_",getCategoryLevelAsString($B97))),";",EscStr(O97),";")))</f>
        <v>;"NavNode_L3D_525361";"Lintkaabli ühendused";</v>
      </c>
      <c r="AI97" s="39" t="str">
        <f>IF(getCategoryLevelAsString($B97)="L0D_324785","",IF(P97="",CONCATENATE(";",EscStr(CONCATENATE("NavNode_",getCategoryLevelAsString($B97))),";",EscStr($J97),";"),CONCATENATE(";",EscStr(CONCATENATE("NavNode_",getCategoryLevelAsString($B97))),";",EscStr(P97),";")))</f>
        <v>;"NavNode_L3D_525361";"Lattakaapeliliittimet";</v>
      </c>
      <c r="AJ97" s="39" t="str">
        <f>IF(getCategoryLevelAsString($B97)="L0D_324785","",IF(Q97="",CONCATENATE(";",EscStr(CONCATENATE("NavNode_",getCategoryLevelAsString($B97))),";",EscStr($J97),";"),CONCATENATE(";",EscStr(CONCATENATE("NavNode_",getCategoryLevelAsString($B97))),";",EscStr(Q97),";")))</f>
        <v>;"NavNode_L3D_525361";"Plakano kabeļu konektori";</v>
      </c>
      <c r="AK97" s="39" t="str">
        <f>IF(getCategoryLevelAsString($B97)="L0D_324785","",IF(R97="",CONCATENATE(";",EscStr(CONCATENATE("NavNode_",getCategoryLevelAsString($B97))),";",EscStr($J97),";"),CONCATENATE(";",EscStr(CONCATENATE("NavNode_",getCategoryLevelAsString($B97))),";",EscStr(R97),";")))</f>
        <v>;"NavNode_L3D_525361";"Bandkabel connectoren";</v>
      </c>
      <c r="AL97" s="39" t="str">
        <f>IF(getCategoryLevelAsString($B97)="L0D_324785","",IF(S97="",CONCATENATE(";",EscStr(CONCATENATE("NavNode_",getCategoryLevelAsString($B97))),";",EscStr($J97),";"),CONCATENATE(";",EscStr(CONCATENATE("NavNode_",getCategoryLevelAsString($B97))),";",EscStr(S97),";")))</f>
        <v>;"NavNode_L3D_525361";"Złącza IDC";</v>
      </c>
      <c r="AM97" s="39" t="str">
        <f>IF(getCategoryLevelAsString($B97)="L0D_324785","",IF(T97="",CONCATENATE(";",EscStr(CONCATENATE("NavNode_",getCategoryLevelAsString($B97))),";",EscStr($J97),";"),CONCATENATE(";",EscStr(CONCATENATE("NavNode_",getCategoryLevelAsString($B97))),";",EscStr(T97),";")))</f>
        <v>;"NavNode_L3D_525361";"Разъемы для плоского кабеля";</v>
      </c>
      <c r="AN97" s="39" t="str">
        <f>IF(getCategoryLevelAsString($B97)="L0D_324785","",IF(U97="",CONCATENATE(";",EscStr(CONCATENATE("NavNode_",getCategoryLevelAsString($B97))),";",EscStr($J97),";"),CONCATENATE(";",EscStr(CONCATENATE("NavNode_",getCategoryLevelAsString($B97))),";",EscStr(U97),";")))</f>
        <v>;"NavNode_L3D_525361";"Konektory pro ploché kabely";</v>
      </c>
      <c r="AO97" s="39" t="str">
        <f>IF(getCategoryLevelAsString($B97)="L0D_324785","",IF(V97="",CONCATENATE(";",EscStr(CONCATENATE("NavNode_",getCategoryLevelAsString($B97))),";",EscStr($J97),";"),CONCATENATE(";",EscStr(CONCATENATE("NavNode_",getCategoryLevelAsString($B97))),";",EscStr(V97),";")))</f>
        <v>;"NavNode_L3D_525361";"Conectori cablu plat";</v>
      </c>
      <c r="AP97" s="39" t="str">
        <f>IF(getCategoryLevelAsString($B97)="L0D_324785","",IF(W97="",CONCATENATE(";",EscStr(CONCATENATE("NavNode_",getCategoryLevelAsString($B97))),";",EscStr($J97),";"),CONCATENATE(";",EscStr(CONCATENATE("NavNode_",getCategoryLevelAsString($B97))),";",EscStr(W97),";")))</f>
        <v>;"NavNode_L3D_525361";"Szalagkábel csatlakozók";</v>
      </c>
      <c r="AQ97" s="39" t="str">
        <f>IF(getCategoryLevelAsString($B97)="L0D_324785","",IF(X97="",CONCATENATE(";",EscStr(CONCATENATE("NavNode_",getCategoryLevelAsString($B97))),";",EscStr($J97),";"),CONCATENATE(";",EscStr(CONCATENATE("NavNode_",getCategoryLevelAsString($B97))),";",EscStr(X97),";")))</f>
        <v>;"NavNode_L3D_525361";"Konektory pre ploché káble";</v>
      </c>
      <c r="AR97" s="39" t="str">
        <f>IF(OR($A97&lt;&gt;"", $G97=""),"",CONCATENATE(";",EscStr(CONCATENATE("NavEntry_",getCategoryLevelAsString($B97))),";",EscStr(CONCATENATE($J97," Navigation Entry")),";",EscStr(CONCATENATE("cat-",getCategoryLevelAsString($B97))),";",EscStr(CONCATENATE("NavNode_",getCategoryLevelAsString($B97))),";"))</f>
        <v>;"NavEntry_L3D_525361";"Flat Cable Connectors Navigation Entry";"cat-L3D_525361";"NavNode_L3D_525361";</v>
      </c>
    </row>
    <row r="98" spans="1:44" s="34" customFormat="1" ht="15" x14ac:dyDescent="0.25">
      <c r="A98" s="25"/>
      <c r="B98" s="5"/>
      <c r="C98" s="5"/>
      <c r="D98" s="5" t="s">
        <v>154</v>
      </c>
      <c r="E98" s="5"/>
      <c r="F98" s="5"/>
      <c r="G98" s="5" t="s">
        <v>2584</v>
      </c>
      <c r="H98" s="5" t="s">
        <v>2585</v>
      </c>
      <c r="I98" s="5" t="s">
        <v>2586</v>
      </c>
      <c r="J98" s="5" t="s">
        <v>2587</v>
      </c>
      <c r="K98" s="5" t="s">
        <v>2588</v>
      </c>
      <c r="L98" s="5" t="s">
        <v>15131</v>
      </c>
      <c r="M98" s="5" t="s">
        <v>13900</v>
      </c>
      <c r="N98" s="5" t="s">
        <v>13900</v>
      </c>
      <c r="O98" s="5" t="s">
        <v>2589</v>
      </c>
      <c r="P98" s="5" t="s">
        <v>2590</v>
      </c>
      <c r="Q98" s="5" t="s">
        <v>2591</v>
      </c>
      <c r="R98" s="5" t="s">
        <v>2592</v>
      </c>
      <c r="S98" s="5" t="s">
        <v>2593</v>
      </c>
      <c r="T98" s="5" t="s">
        <v>2594</v>
      </c>
      <c r="U98" s="5" t="s">
        <v>2595</v>
      </c>
      <c r="V98" s="5" t="s">
        <v>2596</v>
      </c>
      <c r="W98" s="5" t="s">
        <v>2597</v>
      </c>
      <c r="X98" s="5" t="s">
        <v>14852</v>
      </c>
      <c r="Y98" s="39" t="str">
        <f>IF(OR($A98&lt;&gt;"", $G98=""),"",CONCATENATE(";",EscStr(CONCATENATE("NavNode_",getCategoryLevelAsString($B98))),";",EscStr($J98),";",IF($B98&lt;&gt;"","""MainCategoryNavNode""",EscStr(CONCATENATE("NavNode_",getSuperCategory($B98, getCategoryLevelAsNumber($B98))))),";"))</f>
        <v>;"NavNode_L3D_525362";"D-Sub Components";"NavNode_L2D_379527";</v>
      </c>
      <c r="Z98" s="39" t="str">
        <f>IF(getCategoryLevelAsString($B98)="L0D_324785","",IF(G98="",CONCATENATE(";",EscStr(CONCATENATE("NavNode_",getCategoryLevelAsString($B98))),";",EscStr($J98),";"),CONCATENATE(";",EscStr(CONCATENATE("NavNode_",getCategoryLevelAsString($B98))),";",EscStr(G98),";")))</f>
        <v>;"NavNode_L3D_525362";"D-Sub-Komponenten";</v>
      </c>
      <c r="AA98" s="39" t="str">
        <f>IF(getCategoryLevelAsString($B98)="L0D_324785","",IF(H98="",CONCATENATE(";",EscStr(CONCATENATE("NavNode_",getCategoryLevelAsString($B98))),";",EscStr($J98),";"),CONCATENATE(";",EscStr(CONCATENATE("NavNode_",getCategoryLevelAsString($B98))),";",EscStr(H98),";")))</f>
        <v>;"NavNode_L3D_525362";"Composants D-SUB";</v>
      </c>
      <c r="AB98" s="39" t="str">
        <f>IF(getCategoryLevelAsString($B98)="L0D_324785","",IF(I98="",CONCATENATE(";",EscStr(CONCATENATE("NavNode_",getCategoryLevelAsString($B98))),";",EscStr($J98),";"),CONCATENATE(";",EscStr(CONCATENATE("NavNode_",getCategoryLevelAsString($B98))),";",EscStr(I98),";")))</f>
        <v>;"NavNode_L3D_525362";"Componenti D-Sub";</v>
      </c>
      <c r="AC98" s="39" t="str">
        <f>IF(getCategoryLevelAsString($B98)="L0D_324785","",IF(J98="",CONCATENATE(";",EscStr(CONCATENATE("NavNode_",getCategoryLevelAsString($B98))),";",EscStr($J98),";"),CONCATENATE(";",EscStr(CONCATENATE("NavNode_",getCategoryLevelAsString($B98))),";",EscStr(J98),";")))</f>
        <v>;"NavNode_L3D_525362";"D-Sub Components";</v>
      </c>
      <c r="AD98" s="39" t="str">
        <f>IF(getCategoryLevelAsString($B98)="L0D_324785","",IF(K98="",CONCATENATE(";",EscStr(CONCATENATE("NavNode_",getCategoryLevelAsString($B98))),";",EscStr($J98),";"),CONCATENATE(";",EscStr(CONCATENATE("NavNode_",getCategoryLevelAsString($B98))),";",EscStr(K98),";")))</f>
        <v>;"NavNode_L3D_525362";"D-sub-komponenter";</v>
      </c>
      <c r="AE98" s="39" t="str">
        <f>IF(getCategoryLevelAsString($B98)="L0D_324785","",IF(L98="",CONCATENATE(";",EscStr(CONCATENATE("NavNode_",getCategoryLevelAsString($B98))),";",EscStr($J98),";"),CONCATENATE(";",EscStr(CONCATENATE("NavNode_",getCategoryLevelAsString($B98))),";",EscStr(L98),";")))</f>
        <v>;"NavNode_L3D_525362";"D-SUB komponentai";</v>
      </c>
      <c r="AF98" s="39" t="str">
        <f>IF(getCategoryLevelAsString($B98)="L0D_324785","",IF(M98="",CONCATENATE(";",EscStr(CONCATENATE("NavNode_",getCategoryLevelAsString($B98))),";",EscStr($J98),";"),CONCATENATE(";",EscStr(CONCATENATE("NavNode_",getCategoryLevelAsString($B98))),";",EscStr(M98),";")))</f>
        <v>;"NavNode_L3D_525362";"D-Sub-komponenter";</v>
      </c>
      <c r="AG98" s="39" t="str">
        <f>IF(getCategoryLevelAsString($B98)="L0D_324785","",IF(N98="",CONCATENATE(";",EscStr(CONCATENATE("NavNode_",getCategoryLevelAsString($B98))),";",EscStr($J98),";"),CONCATENATE(";",EscStr(CONCATENATE("NavNode_",getCategoryLevelAsString($B98))),";",EscStr(N98),";")))</f>
        <v>;"NavNode_L3D_525362";"D-Sub-komponenter";</v>
      </c>
      <c r="AH98" s="39" t="str">
        <f>IF(getCategoryLevelAsString($B98)="L0D_324785","",IF(O98="",CONCATENATE(";",EscStr(CONCATENATE("NavNode_",getCategoryLevelAsString($B98))),";",EscStr($J98),";"),CONCATENATE(";",EscStr(CONCATENATE("NavNode_",getCategoryLevelAsString($B98))),";",EscStr(O98),";")))</f>
        <v>;"NavNode_L3D_525362";"D-SUB ühendused";</v>
      </c>
      <c r="AI98" s="39" t="str">
        <f>IF(getCategoryLevelAsString($B98)="L0D_324785","",IF(P98="",CONCATENATE(";",EscStr(CONCATENATE("NavNode_",getCategoryLevelAsString($B98))),";",EscStr($J98),";"),CONCATENATE(";",EscStr(CONCATENATE("NavNode_",getCategoryLevelAsString($B98))),";",EscStr(P98),";")))</f>
        <v>;"NavNode_L3D_525362";"D-liittimet";</v>
      </c>
      <c r="AJ98" s="39" t="str">
        <f>IF(getCategoryLevelAsString($B98)="L0D_324785","",IF(Q98="",CONCATENATE(";",EscStr(CONCATENATE("NavNode_",getCategoryLevelAsString($B98))),";",EscStr($J98),";"),CONCATENATE(";",EscStr(CONCATENATE("NavNode_",getCategoryLevelAsString($B98))),";",EscStr(Q98),";")))</f>
        <v>;"NavNode_L3D_525362";"D-Sub komponentes";</v>
      </c>
      <c r="AK98" s="39" t="str">
        <f>IF(getCategoryLevelAsString($B98)="L0D_324785","",IF(R98="",CONCATENATE(";",EscStr(CONCATENATE("NavNode_",getCategoryLevelAsString($B98))),";",EscStr($J98),";"),CONCATENATE(";",EscStr(CONCATENATE("NavNode_",getCategoryLevelAsString($B98))),";",EscStr(R98),";")))</f>
        <v>;"NavNode_L3D_525362";"D-Sub componenten";</v>
      </c>
      <c r="AL98" s="39" t="str">
        <f>IF(getCategoryLevelAsString($B98)="L0D_324785","",IF(S98="",CONCATENATE(";",EscStr(CONCATENATE("NavNode_",getCategoryLevelAsString($B98))),";",EscStr($J98),";"),CONCATENATE(";",EscStr(CONCATENATE("NavNode_",getCategoryLevelAsString($B98))),";",EscStr(S98),";")))</f>
        <v>;"NavNode_L3D_525362";"Złącza D-SUB";</v>
      </c>
      <c r="AM98" s="39" t="str">
        <f>IF(getCategoryLevelAsString($B98)="L0D_324785","",IF(T98="",CONCATENATE(";",EscStr(CONCATENATE("NavNode_",getCategoryLevelAsString($B98))),";",EscStr($J98),";"),CONCATENATE(";",EscStr(CONCATENATE("NavNode_",getCategoryLevelAsString($B98))),";",EscStr(T98),";")))</f>
        <v>;"NavNode_L3D_525362";"Компоненты для D-Sub";</v>
      </c>
      <c r="AN98" s="39" t="str">
        <f>IF(getCategoryLevelAsString($B98)="L0D_324785","",IF(U98="",CONCATENATE(";",EscStr(CONCATENATE("NavNode_",getCategoryLevelAsString($B98))),";",EscStr($J98),";"),CONCATENATE(";",EscStr(CONCATENATE("NavNode_",getCategoryLevelAsString($B98))),";",EscStr(U98),";")))</f>
        <v>;"NavNode_L3D_525362";"D-Sub Komponenty";</v>
      </c>
      <c r="AO98" s="39" t="str">
        <f>IF(getCategoryLevelAsString($B98)="L0D_324785","",IF(V98="",CONCATENATE(";",EscStr(CONCATENATE("NavNode_",getCategoryLevelAsString($B98))),";",EscStr($J98),";"),CONCATENATE(";",EscStr(CONCATENATE("NavNode_",getCategoryLevelAsString($B98))),";",EscStr(V98),";")))</f>
        <v>;"NavNode_L3D_525362";"D-sub componente";</v>
      </c>
      <c r="AP98" s="39" t="str">
        <f>IF(getCategoryLevelAsString($B98)="L0D_324785","",IF(W98="",CONCATENATE(";",EscStr(CONCATENATE("NavNode_",getCategoryLevelAsString($B98))),";",EscStr($J98),";"),CONCATENATE(";",EscStr(CONCATENATE("NavNode_",getCategoryLevelAsString($B98))),";",EscStr(W98),";")))</f>
        <v>;"NavNode_L3D_525362";"D-Sub alkatrészek";</v>
      </c>
      <c r="AQ98" s="39" t="str">
        <f>IF(getCategoryLevelAsString($B98)="L0D_324785","",IF(X98="",CONCATENATE(";",EscStr(CONCATENATE("NavNode_",getCategoryLevelAsString($B98))),";",EscStr($J98),";"),CONCATENATE(";",EscStr(CONCATENATE("NavNode_",getCategoryLevelAsString($B98))),";",EscStr(X98),";")))</f>
        <v>;"NavNode_L3D_525362";"D-sub-komponenty";</v>
      </c>
      <c r="AR98" s="39" t="str">
        <f>IF(OR($A98&lt;&gt;"", $G98=""),"",CONCATENATE(";",EscStr(CONCATENATE("NavEntry_",getCategoryLevelAsString($B98))),";",EscStr(CONCATENATE($J98," Navigation Entry")),";",EscStr(CONCATENATE("cat-",getCategoryLevelAsString($B98))),";",EscStr(CONCATENATE("NavNode_",getCategoryLevelAsString($B98))),";"))</f>
        <v>;"NavEntry_L3D_525362";"D-Sub Components Navigation Entry";"cat-L3D_525362";"NavNode_L3D_525362";</v>
      </c>
    </row>
    <row r="99" spans="1:44" s="34" customFormat="1" ht="15" x14ac:dyDescent="0.25">
      <c r="A99" s="25"/>
      <c r="B99" s="5"/>
      <c r="C99" s="5"/>
      <c r="D99" s="5" t="s">
        <v>150</v>
      </c>
      <c r="E99" s="5"/>
      <c r="F99" s="5"/>
      <c r="G99" s="5" t="s">
        <v>400</v>
      </c>
      <c r="H99" s="5" t="s">
        <v>401</v>
      </c>
      <c r="I99" s="5" t="s">
        <v>402</v>
      </c>
      <c r="J99" s="5" t="s">
        <v>151</v>
      </c>
      <c r="K99" s="5" t="s">
        <v>1222</v>
      </c>
      <c r="L99" s="5" t="s">
        <v>15132</v>
      </c>
      <c r="M99" s="5" t="s">
        <v>1689</v>
      </c>
      <c r="N99" s="5" t="s">
        <v>1891</v>
      </c>
      <c r="O99" s="5" t="s">
        <v>2598</v>
      </c>
      <c r="P99" s="5" t="s">
        <v>2599</v>
      </c>
      <c r="Q99" s="5" t="s">
        <v>2600</v>
      </c>
      <c r="R99" s="5" t="s">
        <v>2601</v>
      </c>
      <c r="S99" s="5" t="s">
        <v>2602</v>
      </c>
      <c r="T99" s="5" t="s">
        <v>2603</v>
      </c>
      <c r="U99" s="5" t="s">
        <v>2604</v>
      </c>
      <c r="V99" s="5" t="s">
        <v>2605</v>
      </c>
      <c r="W99" s="5" t="s">
        <v>2606</v>
      </c>
      <c r="X99" s="5" t="s">
        <v>2604</v>
      </c>
      <c r="Y99" s="39" t="str">
        <f>IF(OR($A99&lt;&gt;"", $G99=""),"",CONCATENATE(";",EscStr(CONCATENATE("NavNode_",getCategoryLevelAsString($B99))),";",EscStr($J99),";",IF($B99&lt;&gt;"","""MainCategoryNavNode""",EscStr(CONCATENATE("NavNode_",getSuperCategory($B99, getCategoryLevelAsNumber($B99))))),";"))</f>
        <v>;"NavNode_L3D_525363";"Audio / Video / Computer Connectors";"NavNode_L2D_379527";</v>
      </c>
      <c r="Z99" s="39" t="str">
        <f>IF(getCategoryLevelAsString($B99)="L0D_324785","",IF(G99="",CONCATENATE(";",EscStr(CONCATENATE("NavNode_",getCategoryLevelAsString($B99))),";",EscStr($J99),";"),CONCATENATE(";",EscStr(CONCATENATE("NavNode_",getCategoryLevelAsString($B99))),";",EscStr(G99),";")))</f>
        <v>;"NavNode_L3D_525363";"Audio- / Video- / Computersteckverbinder";</v>
      </c>
      <c r="AA99" s="39" t="str">
        <f>IF(getCategoryLevelAsString($B99)="L0D_324785","",IF(H99="",CONCATENATE(";",EscStr(CONCATENATE("NavNode_",getCategoryLevelAsString($B99))),";",EscStr($J99),";"),CONCATENATE(";",EscStr(CONCATENATE("NavNode_",getCategoryLevelAsString($B99))),";",EscStr(H99),";")))</f>
        <v>;"NavNode_L3D_525363";"Audio / Vidéo / Connecteurs PC";</v>
      </c>
      <c r="AB99" s="39" t="str">
        <f>IF(getCategoryLevelAsString($B99)="L0D_324785","",IF(I99="",CONCATENATE(";",EscStr(CONCATENATE("NavNode_",getCategoryLevelAsString($B99))),";",EscStr($J99),";"),CONCATENATE(";",EscStr(CONCATENATE("NavNode_",getCategoryLevelAsString($B99))),";",EscStr(I99),";")))</f>
        <v>;"NavNode_L3D_525363";"Connettori audio / video / computer";</v>
      </c>
      <c r="AC99" s="39" t="str">
        <f>IF(getCategoryLevelAsString($B99)="L0D_324785","",IF(J99="",CONCATENATE(";",EscStr(CONCATENATE("NavNode_",getCategoryLevelAsString($B99))),";",EscStr($J99),";"),CONCATENATE(";",EscStr(CONCATENATE("NavNode_",getCategoryLevelAsString($B99))),";",EscStr(J99),";")))</f>
        <v>;"NavNode_L3D_525363";"Audio / Video / Computer Connectors";</v>
      </c>
      <c r="AD99" s="39" t="str">
        <f>IF(getCategoryLevelAsString($B99)="L0D_324785","",IF(K99="",CONCATENATE(";",EscStr(CONCATENATE("NavNode_",getCategoryLevelAsString($B99))),";",EscStr($J99),";"),CONCATENATE(";",EscStr(CONCATENATE("NavNode_",getCategoryLevelAsString($B99))),";",EscStr(K99),";")))</f>
        <v>;"NavNode_L3D_525363";"Audio/Video/Computerstik";</v>
      </c>
      <c r="AE99" s="39" t="str">
        <f>IF(getCategoryLevelAsString($B99)="L0D_324785","",IF(L99="",CONCATENATE(";",EscStr(CONCATENATE("NavNode_",getCategoryLevelAsString($B99))),";",EscStr($J99),";"),CONCATENATE(";",EscStr(CONCATENATE("NavNode_",getCategoryLevelAsString($B99))),";",EscStr(L99),";")))</f>
        <v>;"NavNode_L3D_525363";"Audio / Video / Kompiuterių jungtys";</v>
      </c>
      <c r="AF99" s="39" t="str">
        <f>IF(getCategoryLevelAsString($B99)="L0D_324785","",IF(M99="",CONCATENATE(";",EscStr(CONCATENATE("NavNode_",getCategoryLevelAsString($B99))),";",EscStr($J99),";"),CONCATENATE(";",EscStr(CONCATENATE("NavNode_",getCategoryLevelAsString($B99))),";",EscStr(M99),";")))</f>
        <v>;"NavNode_L3D_525363";"Lyd-/video-/datamaskinkontakter";</v>
      </c>
      <c r="AG99" s="39" t="str">
        <f>IF(getCategoryLevelAsString($B99)="L0D_324785","",IF(N99="",CONCATENATE(";",EscStr(CONCATENATE("NavNode_",getCategoryLevelAsString($B99))),";",EscStr($J99),";"),CONCATENATE(";",EscStr(CONCATENATE("NavNode_",getCategoryLevelAsString($B99))),";",EscStr(N99),";")))</f>
        <v>;"NavNode_L3D_525363";"Kontakter för audio/video/dator";</v>
      </c>
      <c r="AH99" s="39" t="str">
        <f>IF(getCategoryLevelAsString($B99)="L0D_324785","",IF(O99="",CONCATENATE(";",EscStr(CONCATENATE("NavNode_",getCategoryLevelAsString($B99))),";",EscStr($J99),";"),CONCATENATE(";",EscStr(CONCATENATE("NavNode_",getCategoryLevelAsString($B99))),";",EscStr(O99),";")))</f>
        <v>;"NavNode_L3D_525363";"Audio- / Video- / Arvutiühendused";</v>
      </c>
      <c r="AI99" s="39" t="str">
        <f>IF(getCategoryLevelAsString($B99)="L0D_324785","",IF(P99="",CONCATENATE(";",EscStr(CONCATENATE("NavNode_",getCategoryLevelAsString($B99))),";",EscStr($J99),";"),CONCATENATE(";",EscStr(CONCATENATE("NavNode_",getCategoryLevelAsString($B99))),";",EscStr(P99),";")))</f>
        <v>;"NavNode_L3D_525363";"Audio / Video / Tietokoneliittimet";</v>
      </c>
      <c r="AJ99" s="39" t="str">
        <f>IF(getCategoryLevelAsString($B99)="L0D_324785","",IF(Q99="",CONCATENATE(";",EscStr(CONCATENATE("NavNode_",getCategoryLevelAsString($B99))),";",EscStr($J99),";"),CONCATENATE(";",EscStr(CONCATENATE("NavNode_",getCategoryLevelAsString($B99))),";",EscStr(Q99),";")))</f>
        <v>;"NavNode_L3D_525363";"Audio / Video / Datoru konektori";</v>
      </c>
      <c r="AK99" s="39" t="str">
        <f>IF(getCategoryLevelAsString($B99)="L0D_324785","",IF(R99="",CONCATENATE(";",EscStr(CONCATENATE("NavNode_",getCategoryLevelAsString($B99))),";",EscStr($J99),";"),CONCATENATE(";",EscStr(CONCATENATE("NavNode_",getCategoryLevelAsString($B99))),";",EscStr(R99),";")))</f>
        <v>;"NavNode_L3D_525363";"Audio / Video / Computer connectoren";</v>
      </c>
      <c r="AL99" s="39" t="str">
        <f>IF(getCategoryLevelAsString($B99)="L0D_324785","",IF(S99="",CONCATENATE(";",EscStr(CONCATENATE("NavNode_",getCategoryLevelAsString($B99))),";",EscStr($J99),";"),CONCATENATE(";",EscStr(CONCATENATE("NavNode_",getCategoryLevelAsString($B99))),";",EscStr(S99),";")))</f>
        <v>;"NavNode_L3D_525363";"Złącza Audio / Wideo / Komputerowe";</v>
      </c>
      <c r="AM99" s="39" t="str">
        <f>IF(getCategoryLevelAsString($B99)="L0D_324785","",IF(T99="",CONCATENATE(";",EscStr(CONCATENATE("NavNode_",getCategoryLevelAsString($B99))),";",EscStr($J99),";"),CONCATENATE(";",EscStr(CONCATENATE("NavNode_",getCategoryLevelAsString($B99))),";",EscStr(T99),";")))</f>
        <v>;"NavNode_L3D_525363";"Аудио / Видео / компьютерные разъемы";</v>
      </c>
      <c r="AN99" s="39" t="str">
        <f>IF(getCategoryLevelAsString($B99)="L0D_324785","",IF(U99="",CONCATENATE(";",EscStr(CONCATENATE("NavNode_",getCategoryLevelAsString($B99))),";",EscStr($J99),";"),CONCATENATE(";",EscStr(CONCATENATE("NavNode_",getCategoryLevelAsString($B99))),";",EscStr(U99),";")))</f>
        <v>;"NavNode_L3D_525363";"Audio / Video / Počítačové konektory";</v>
      </c>
      <c r="AO99" s="39" t="str">
        <f>IF(getCategoryLevelAsString($B99)="L0D_324785","",IF(V99="",CONCATENATE(";",EscStr(CONCATENATE("NavNode_",getCategoryLevelAsString($B99))),";",EscStr($J99),";"),CONCATENATE(";",EscStr(CONCATENATE("NavNode_",getCategoryLevelAsString($B99))),";",EscStr(V99),";")))</f>
        <v>;"NavNode_L3D_525363";"Conectori audio/video pentru computere";</v>
      </c>
      <c r="AP99" s="39" t="str">
        <f>IF(getCategoryLevelAsString($B99)="L0D_324785","",IF(W99="",CONCATENATE(";",EscStr(CONCATENATE("NavNode_",getCategoryLevelAsString($B99))),";",EscStr($J99),";"),CONCATENATE(";",EscStr(CONCATENATE("NavNode_",getCategoryLevelAsString($B99))),";",EscStr(W99),";")))</f>
        <v>;"NavNode_L3D_525363";"Audió- / Videó- / Számítógép-csatlakozók";</v>
      </c>
      <c r="AQ99" s="39" t="str">
        <f>IF(getCategoryLevelAsString($B99)="L0D_324785","",IF(X99="",CONCATENATE(";",EscStr(CONCATENATE("NavNode_",getCategoryLevelAsString($B99))),";",EscStr($J99),";"),CONCATENATE(";",EscStr(CONCATENATE("NavNode_",getCategoryLevelAsString($B99))),";",EscStr(X99),";")))</f>
        <v>;"NavNode_L3D_525363";"Audio / Video / Počítačové konektory";</v>
      </c>
      <c r="AR99" s="39" t="str">
        <f>IF(OR($A99&lt;&gt;"", $G99=""),"",CONCATENATE(";",EscStr(CONCATENATE("NavEntry_",getCategoryLevelAsString($B99))),";",EscStr(CONCATENATE($J99," Navigation Entry")),";",EscStr(CONCATENATE("cat-",getCategoryLevelAsString($B99))),";",EscStr(CONCATENATE("NavNode_",getCategoryLevelAsString($B99))),";"))</f>
        <v>;"NavEntry_L3D_525363";"Audio / Video / Computer Connectors Navigation Entry";"cat-L3D_525363";"NavNode_L3D_525363";</v>
      </c>
    </row>
    <row r="100" spans="1:44" s="34" customFormat="1" ht="15" x14ac:dyDescent="0.25">
      <c r="A100" s="25"/>
      <c r="B100" s="5"/>
      <c r="C100" s="5"/>
      <c r="D100" s="5" t="s">
        <v>159</v>
      </c>
      <c r="E100" s="5"/>
      <c r="F100" s="5"/>
      <c r="G100" s="5" t="s">
        <v>412</v>
      </c>
      <c r="H100" s="5" t="s">
        <v>413</v>
      </c>
      <c r="I100" s="5" t="s">
        <v>414</v>
      </c>
      <c r="J100" s="5" t="s">
        <v>160</v>
      </c>
      <c r="K100" s="5" t="s">
        <v>1223</v>
      </c>
      <c r="L100" s="5" t="s">
        <v>1457</v>
      </c>
      <c r="M100" s="5" t="s">
        <v>1690</v>
      </c>
      <c r="N100" s="5" t="s">
        <v>1892</v>
      </c>
      <c r="O100" s="5" t="s">
        <v>2607</v>
      </c>
      <c r="P100" s="5" t="s">
        <v>2608</v>
      </c>
      <c r="Q100" s="5" t="s">
        <v>2609</v>
      </c>
      <c r="R100" s="5" t="s">
        <v>2610</v>
      </c>
      <c r="S100" s="5" t="s">
        <v>2611</v>
      </c>
      <c r="T100" s="5" t="s">
        <v>2612</v>
      </c>
      <c r="U100" s="5" t="s">
        <v>2613</v>
      </c>
      <c r="V100" s="5" t="s">
        <v>2614</v>
      </c>
      <c r="W100" s="5" t="s">
        <v>2615</v>
      </c>
      <c r="X100" s="5" t="s">
        <v>14853</v>
      </c>
      <c r="Y100" s="39" t="str">
        <f>IF(OR($A100&lt;&gt;"", $G100=""),"",CONCATENATE(";",EscStr(CONCATENATE("NavNode_",getCategoryLevelAsString($B100))),";",EscStr($J100),";",IF($B100&lt;&gt;"","""MainCategoryNavNode""",EscStr(CONCATENATE("NavNode_",getSuperCategory($B100, getCategoryLevelAsNumber($B100))))),";"))</f>
        <v>;"NavNode_L3D_525364";"Industrial Connectors";"NavNode_L2D_379527";</v>
      </c>
      <c r="Z100" s="39" t="str">
        <f>IF(getCategoryLevelAsString($B100)="L0D_324785","",IF(G100="",CONCATENATE(";",EscStr(CONCATENATE("NavNode_",getCategoryLevelAsString($B100))),";",EscStr($J100),";"),CONCATENATE(";",EscStr(CONCATENATE("NavNode_",getCategoryLevelAsString($B100))),";",EscStr(G100),";")))</f>
        <v>;"NavNode_L3D_525364";"Industriesteckverbinder";</v>
      </c>
      <c r="AA100" s="39" t="str">
        <f>IF(getCategoryLevelAsString($B100)="L0D_324785","",IF(H100="",CONCATENATE(";",EscStr(CONCATENATE("NavNode_",getCategoryLevelAsString($B100))),";",EscStr($J100),";"),CONCATENATE(";",EscStr(CONCATENATE("NavNode_",getCategoryLevelAsString($B100))),";",EscStr(H100),";")))</f>
        <v>;"NavNode_L3D_525364";"Connecteurs industriels";</v>
      </c>
      <c r="AB100" s="39" t="str">
        <f>IF(getCategoryLevelAsString($B100)="L0D_324785","",IF(I100="",CONCATENATE(";",EscStr(CONCATENATE("NavNode_",getCategoryLevelAsString($B100))),";",EscStr($J100),";"),CONCATENATE(";",EscStr(CONCATENATE("NavNode_",getCategoryLevelAsString($B100))),";",EscStr(I100),";")))</f>
        <v>;"NavNode_L3D_525364";"Connettori industriali";</v>
      </c>
      <c r="AC100" s="39" t="str">
        <f>IF(getCategoryLevelAsString($B100)="L0D_324785","",IF(J100="",CONCATENATE(";",EscStr(CONCATENATE("NavNode_",getCategoryLevelAsString($B100))),";",EscStr($J100),";"),CONCATENATE(";",EscStr(CONCATENATE("NavNode_",getCategoryLevelAsString($B100))),";",EscStr(J100),";")))</f>
        <v>;"NavNode_L3D_525364";"Industrial Connectors";</v>
      </c>
      <c r="AD100" s="39" t="str">
        <f>IF(getCategoryLevelAsString($B100)="L0D_324785","",IF(K100="",CONCATENATE(";",EscStr(CONCATENATE("NavNode_",getCategoryLevelAsString($B100))),";",EscStr($J100),";"),CONCATENATE(";",EscStr(CONCATENATE("NavNode_",getCategoryLevelAsString($B100))),";",EscStr(K100),";")))</f>
        <v>;"NavNode_L3D_525364";"Industristik";</v>
      </c>
      <c r="AE100" s="39" t="str">
        <f>IF(getCategoryLevelAsString($B100)="L0D_324785","",IF(L100="",CONCATENATE(";",EscStr(CONCATENATE("NavNode_",getCategoryLevelAsString($B100))),";",EscStr($J100),";"),CONCATENATE(";",EscStr(CONCATENATE("NavNode_",getCategoryLevelAsString($B100))),";",EscStr(L100),";")))</f>
        <v>;"NavNode_L3D_525364";"Pramoninės jungtys";</v>
      </c>
      <c r="AF100" s="39" t="str">
        <f>IF(getCategoryLevelAsString($B100)="L0D_324785","",IF(M100="",CONCATENATE(";",EscStr(CONCATENATE("NavNode_",getCategoryLevelAsString($B100))),";",EscStr($J100),";"),CONCATENATE(";",EscStr(CONCATENATE("NavNode_",getCategoryLevelAsString($B100))),";",EscStr(M100),";")))</f>
        <v>;"NavNode_L3D_525364";"Industrikontakter";</v>
      </c>
      <c r="AG100" s="39" t="str">
        <f>IF(getCategoryLevelAsString($B100)="L0D_324785","",IF(N100="",CONCATENATE(";",EscStr(CONCATENATE("NavNode_",getCategoryLevelAsString($B100))),";",EscStr($J100),";"),CONCATENATE(";",EscStr(CONCATENATE("NavNode_",getCategoryLevelAsString($B100))),";",EscStr(N100),";")))</f>
        <v>;"NavNode_L3D_525364";"Industrikontaktdon";</v>
      </c>
      <c r="AH100" s="39" t="str">
        <f>IF(getCategoryLevelAsString($B100)="L0D_324785","",IF(O100="",CONCATENATE(";",EscStr(CONCATENATE("NavNode_",getCategoryLevelAsString($B100))),";",EscStr($J100),";"),CONCATENATE(";",EscStr(CONCATENATE("NavNode_",getCategoryLevelAsString($B100))),";",EscStr(O100),";")))</f>
        <v>;"NavNode_L3D_525364";"Tööstuslikud ühendused";</v>
      </c>
      <c r="AI100" s="39" t="str">
        <f>IF(getCategoryLevelAsString($B100)="L0D_324785","",IF(P100="",CONCATENATE(";",EscStr(CONCATENATE("NavNode_",getCategoryLevelAsString($B100))),";",EscStr($J100),";"),CONCATENATE(";",EscStr(CONCATENATE("NavNode_",getCategoryLevelAsString($B100))),";",EscStr(P100),";")))</f>
        <v>;"NavNode_L3D_525364";"Teollisuusliittimet";</v>
      </c>
      <c r="AJ100" s="39" t="str">
        <f>IF(getCategoryLevelAsString($B100)="L0D_324785","",IF(Q100="",CONCATENATE(";",EscStr(CONCATENATE("NavNode_",getCategoryLevelAsString($B100))),";",EscStr($J100),";"),CONCATENATE(";",EscStr(CONCATENATE("NavNode_",getCategoryLevelAsString($B100))),";",EscStr(Q100),";")))</f>
        <v>;"NavNode_L3D_525364";"Industriālie savienotāji";</v>
      </c>
      <c r="AK100" s="39" t="str">
        <f>IF(getCategoryLevelAsString($B100)="L0D_324785","",IF(R100="",CONCATENATE(";",EscStr(CONCATENATE("NavNode_",getCategoryLevelAsString($B100))),";",EscStr($J100),";"),CONCATENATE(";",EscStr(CONCATENATE("NavNode_",getCategoryLevelAsString($B100))),";",EscStr(R100),";")))</f>
        <v>;"NavNode_L3D_525364";"Industriele connectoren";</v>
      </c>
      <c r="AL100" s="39" t="str">
        <f>IF(getCategoryLevelAsString($B100)="L0D_324785","",IF(S100="",CONCATENATE(";",EscStr(CONCATENATE("NavNode_",getCategoryLevelAsString($B100))),";",EscStr($J100),";"),CONCATENATE(";",EscStr(CONCATENATE("NavNode_",getCategoryLevelAsString($B100))),";",EscStr(S100),";")))</f>
        <v>;"NavNode_L3D_525364";"Złącza przemysłowe";</v>
      </c>
      <c r="AM100" s="39" t="str">
        <f>IF(getCategoryLevelAsString($B100)="L0D_324785","",IF(T100="",CONCATENATE(";",EscStr(CONCATENATE("NavNode_",getCategoryLevelAsString($B100))),";",EscStr($J100),";"),CONCATENATE(";",EscStr(CONCATENATE("NavNode_",getCategoryLevelAsString($B100))),";",EscStr(T100),";")))</f>
        <v>;"NavNode_L3D_525364";"Промышленные разъемы";</v>
      </c>
      <c r="AN100" s="39" t="str">
        <f>IF(getCategoryLevelAsString($B100)="L0D_324785","",IF(U100="",CONCATENATE(";",EscStr(CONCATENATE("NavNode_",getCategoryLevelAsString($B100))),";",EscStr($J100),";"),CONCATENATE(";",EscStr(CONCATENATE("NavNode_",getCategoryLevelAsString($B100))),";",EscStr(U100),";")))</f>
        <v>;"NavNode_L3D_525364";"Průmyslové konektory";</v>
      </c>
      <c r="AO100" s="39" t="str">
        <f>IF(getCategoryLevelAsString($B100)="L0D_324785","",IF(V100="",CONCATENATE(";",EscStr(CONCATENATE("NavNode_",getCategoryLevelAsString($B100))),";",EscStr($J100),";"),CONCATENATE(";",EscStr(CONCATENATE("NavNode_",getCategoryLevelAsString($B100))),";",EscStr(V100),";")))</f>
        <v>;"NavNode_L3D_525364";"Conectori industriali";</v>
      </c>
      <c r="AP100" s="39" t="str">
        <f>IF(getCategoryLevelAsString($B100)="L0D_324785","",IF(W100="",CONCATENATE(";",EscStr(CONCATENATE("NavNode_",getCategoryLevelAsString($B100))),";",EscStr($J100),";"),CONCATENATE(";",EscStr(CONCATENATE("NavNode_",getCategoryLevelAsString($B100))),";",EscStr(W100),";")))</f>
        <v>;"NavNode_L3D_525364";"Ipari csatlakozók";</v>
      </c>
      <c r="AQ100" s="39" t="str">
        <f>IF(getCategoryLevelAsString($B100)="L0D_324785","",IF(X100="",CONCATENATE(";",EscStr(CONCATENATE("NavNode_",getCategoryLevelAsString($B100))),";",EscStr($J100),";"),CONCATENATE(";",EscStr(CONCATENATE("NavNode_",getCategoryLevelAsString($B100))),";",EscStr(X100),";")))</f>
        <v>;"NavNode_L3D_525364";"Priemyslové konektory";</v>
      </c>
      <c r="AR100" s="39" t="str">
        <f>IF(OR($A100&lt;&gt;"", $G100=""),"",CONCATENATE(";",EscStr(CONCATENATE("NavEntry_",getCategoryLevelAsString($B100))),";",EscStr(CONCATENATE($J100," Navigation Entry")),";",EscStr(CONCATENATE("cat-",getCategoryLevelAsString($B100))),";",EscStr(CONCATENATE("NavNode_",getCategoryLevelAsString($B100))),";"))</f>
        <v>;"NavEntry_L3D_525364";"Industrial Connectors Navigation Entry";"cat-L3D_525364";"NavNode_L3D_525364";</v>
      </c>
    </row>
    <row r="101" spans="1:44" s="34" customFormat="1" ht="15" x14ac:dyDescent="0.25">
      <c r="A101" s="25"/>
      <c r="B101" s="5"/>
      <c r="C101" s="5"/>
      <c r="D101" s="5" t="s">
        <v>161</v>
      </c>
      <c r="E101" s="5"/>
      <c r="F101" s="5"/>
      <c r="G101" s="5" t="s">
        <v>988</v>
      </c>
      <c r="H101" s="5" t="s">
        <v>1091</v>
      </c>
      <c r="I101" s="5" t="s">
        <v>1150</v>
      </c>
      <c r="J101" s="5" t="s">
        <v>138</v>
      </c>
      <c r="K101" s="5" t="s">
        <v>1224</v>
      </c>
      <c r="L101" s="5" t="s">
        <v>1458</v>
      </c>
      <c r="M101" s="5" t="s">
        <v>1691</v>
      </c>
      <c r="N101" s="5" t="s">
        <v>1893</v>
      </c>
      <c r="O101" s="5" t="s">
        <v>2616</v>
      </c>
      <c r="P101" s="5" t="s">
        <v>2617</v>
      </c>
      <c r="Q101" s="5" t="s">
        <v>2618</v>
      </c>
      <c r="R101" s="5" t="s">
        <v>2619</v>
      </c>
      <c r="S101" s="5" t="s">
        <v>2620</v>
      </c>
      <c r="T101" s="5" t="s">
        <v>2621</v>
      </c>
      <c r="U101" s="5" t="s">
        <v>2622</v>
      </c>
      <c r="V101" s="5" t="s">
        <v>2623</v>
      </c>
      <c r="W101" s="5" t="s">
        <v>2624</v>
      </c>
      <c r="X101" s="5" t="s">
        <v>2622</v>
      </c>
      <c r="Y101" s="39" t="str">
        <f>IF(OR($A101&lt;&gt;"", $G101=""),"",CONCATENATE(";",EscStr(CONCATENATE("NavNode_",getCategoryLevelAsString($B101))),";",EscStr($J101),";",IF($B101&lt;&gt;"","""MainCategoryNavNode""",EscStr(CONCATENATE("NavNode_",getSuperCategory($B101, getCategoryLevelAsNumber($B101))))),";"))</f>
        <v>;"NavNode_L3D_525365";"Terminal Blocks";"NavNode_L2D_379527";</v>
      </c>
      <c r="Z101" s="39" t="str">
        <f>IF(getCategoryLevelAsString($B101)="L0D_324785","",IF(G101="",CONCATENATE(";",EscStr(CONCATENATE("NavNode_",getCategoryLevelAsString($B101))),";",EscStr($J101),";"),CONCATENATE(";",EscStr(CONCATENATE("NavNode_",getCategoryLevelAsString($B101))),";",EscStr(G101),";")))</f>
        <v>;"NavNode_L3D_525365";"Reihenklemmen";</v>
      </c>
      <c r="AA101" s="39" t="str">
        <f>IF(getCategoryLevelAsString($B101)="L0D_324785","",IF(H101="",CONCATENATE(";",EscStr(CONCATENATE("NavNode_",getCategoryLevelAsString($B101))),";",EscStr($J101),";"),CONCATENATE(";",EscStr(CONCATENATE("NavNode_",getCategoryLevelAsString($B101))),";",EscStr(H101),";")))</f>
        <v>;"NavNode_L3D_525365";"Blocs de jonction";</v>
      </c>
      <c r="AB101" s="39" t="str">
        <f>IF(getCategoryLevelAsString($B101)="L0D_324785","",IF(I101="",CONCATENATE(";",EscStr(CONCATENATE("NavNode_",getCategoryLevelAsString($B101))),";",EscStr($J101),";"),CONCATENATE(";",EscStr(CONCATENATE("NavNode_",getCategoryLevelAsString($B101))),";",EscStr(I101),";")))</f>
        <v>;"NavNode_L3D_525365";"Morsettiere";</v>
      </c>
      <c r="AC101" s="39" t="str">
        <f>IF(getCategoryLevelAsString($B101)="L0D_324785","",IF(J101="",CONCATENATE(";",EscStr(CONCATENATE("NavNode_",getCategoryLevelAsString($B101))),";",EscStr($J101),";"),CONCATENATE(";",EscStr(CONCATENATE("NavNode_",getCategoryLevelAsString($B101))),";",EscStr(J101),";")))</f>
        <v>;"NavNode_L3D_525365";"Terminal Blocks";</v>
      </c>
      <c r="AD101" s="39" t="str">
        <f>IF(getCategoryLevelAsString($B101)="L0D_324785","",IF(K101="",CONCATENATE(";",EscStr(CONCATENATE("NavNode_",getCategoryLevelAsString($B101))),";",EscStr($J101),";"),CONCATENATE(";",EscStr(CONCATENATE("NavNode_",getCategoryLevelAsString($B101))),";",EscStr(K101),";")))</f>
        <v>;"NavNode_L3D_525365";"Kontaktblokke";</v>
      </c>
      <c r="AE101" s="39" t="str">
        <f>IF(getCategoryLevelAsString($B101)="L0D_324785","",IF(L101="",CONCATENATE(";",EscStr(CONCATENATE("NavNode_",getCategoryLevelAsString($B101))),";",EscStr($J101),";"),CONCATENATE(";",EscStr(CONCATENATE("NavNode_",getCategoryLevelAsString($B101))),";",EscStr(L101),";")))</f>
        <v>;"NavNode_L3D_525365";"Gnybtų blokai";</v>
      </c>
      <c r="AF101" s="39" t="str">
        <f>IF(getCategoryLevelAsString($B101)="L0D_324785","",IF(M101="",CONCATENATE(";",EscStr(CONCATENATE("NavNode_",getCategoryLevelAsString($B101))),";",EscStr($J101),";"),CONCATENATE(";",EscStr(CONCATENATE("NavNode_",getCategoryLevelAsString($B101))),";",EscStr(M101),";")))</f>
        <v>;"NavNode_L3D_525365";"Rekkeklemmer";</v>
      </c>
      <c r="AG101" s="39" t="str">
        <f>IF(getCategoryLevelAsString($B101)="L0D_324785","",IF(N101="",CONCATENATE(";",EscStr(CONCATENATE("NavNode_",getCategoryLevelAsString($B101))),";",EscStr($J101),";"),CONCATENATE(";",EscStr(CONCATENATE("NavNode_",getCategoryLevelAsString($B101))),";",EscStr(N101),";")))</f>
        <v>;"NavNode_L3D_525365";"Kopplingsplintar";</v>
      </c>
      <c r="AH101" s="39" t="str">
        <f>IF(getCategoryLevelAsString($B101)="L0D_324785","",IF(O101="",CONCATENATE(";",EscStr(CONCATENATE("NavNode_",getCategoryLevelAsString($B101))),";",EscStr($J101),";"),CONCATENATE(";",EscStr(CONCATENATE("NavNode_",getCategoryLevelAsString($B101))),";",EscStr(O101),";")))</f>
        <v>;"NavNode_L3D_525365";"Klemmliistud";</v>
      </c>
      <c r="AI101" s="39" t="str">
        <f>IF(getCategoryLevelAsString($B101)="L0D_324785","",IF(P101="",CONCATENATE(";",EscStr(CONCATENATE("NavNode_",getCategoryLevelAsString($B101))),";",EscStr($J101),";"),CONCATENATE(";",EscStr(CONCATENATE("NavNode_",getCategoryLevelAsString($B101))),";",EscStr(P101),";")))</f>
        <v>;"NavNode_L3D_525365";"Kytkentäliittimet";</v>
      </c>
      <c r="AJ101" s="39" t="str">
        <f>IF(getCategoryLevelAsString($B101)="L0D_324785","",IF(Q101="",CONCATENATE(";",EscStr(CONCATENATE("NavNode_",getCategoryLevelAsString($B101))),";",EscStr($J101),";"),CONCATENATE(";",EscStr(CONCATENATE("NavNode_",getCategoryLevelAsString($B101))),";",EscStr(Q101),";")))</f>
        <v>;"NavNode_L3D_525365";"Terminālu savienojumi";</v>
      </c>
      <c r="AK101" s="39" t="str">
        <f>IF(getCategoryLevelAsString($B101)="L0D_324785","",IF(R101="",CONCATENATE(";",EscStr(CONCATENATE("NavNode_",getCategoryLevelAsString($B101))),";",EscStr($J101),";"),CONCATENATE(";",EscStr(CONCATENATE("NavNode_",getCategoryLevelAsString($B101))),";",EscStr(R101),";")))</f>
        <v>;"NavNode_L3D_525365";"Aansluitklemmen";</v>
      </c>
      <c r="AL101" s="39" t="str">
        <f>IF(getCategoryLevelAsString($B101)="L0D_324785","",IF(S101="",CONCATENATE(";",EscStr(CONCATENATE("NavNode_",getCategoryLevelAsString($B101))),";",EscStr($J101),";"),CONCATENATE(";",EscStr(CONCATENATE("NavNode_",getCategoryLevelAsString($B101))),";",EscStr(S101),";")))</f>
        <v>;"NavNode_L3D_525365";"Listwy łączeniowe";</v>
      </c>
      <c r="AM101" s="39" t="str">
        <f>IF(getCategoryLevelAsString($B101)="L0D_324785","",IF(T101="",CONCATENATE(";",EscStr(CONCATENATE("NavNode_",getCategoryLevelAsString($B101))),";",EscStr($J101),";"),CONCATENATE(";",EscStr(CONCATENATE("NavNode_",getCategoryLevelAsString($B101))),";",EscStr(T101),";")))</f>
        <v>;"NavNode_L3D_525365";"Клеммные колодки";</v>
      </c>
      <c r="AN101" s="39" t="str">
        <f>IF(getCategoryLevelAsString($B101)="L0D_324785","",IF(U101="",CONCATENATE(";",EscStr(CONCATENATE("NavNode_",getCategoryLevelAsString($B101))),";",EscStr($J101),";"),CONCATENATE(";",EscStr(CONCATENATE("NavNode_",getCategoryLevelAsString($B101))),";",EscStr(U101),";")))</f>
        <v>;"NavNode_L3D_525365";"Svorkovnice";</v>
      </c>
      <c r="AO101" s="39" t="str">
        <f>IF(getCategoryLevelAsString($B101)="L0D_324785","",IF(V101="",CONCATENATE(";",EscStr(CONCATENATE("NavNode_",getCategoryLevelAsString($B101))),";",EscStr($J101),";"),CONCATENATE(";",EscStr(CONCATENATE("NavNode_",getCategoryLevelAsString($B101))),";",EscStr(V101),";")))</f>
        <v>;"NavNode_L3D_525365";"Blocuri terminale";</v>
      </c>
      <c r="AP101" s="39" t="str">
        <f>IF(getCategoryLevelAsString($B101)="L0D_324785","",IF(W101="",CONCATENATE(";",EscStr(CONCATENATE("NavNode_",getCategoryLevelAsString($B101))),";",EscStr($J101),";"),CONCATENATE(";",EscStr(CONCATENATE("NavNode_",getCategoryLevelAsString($B101))),";",EscStr(W101),";")))</f>
        <v>;"NavNode_L3D_525365";"Sorkapcsok";</v>
      </c>
      <c r="AQ101" s="39" t="str">
        <f>IF(getCategoryLevelAsString($B101)="L0D_324785","",IF(X101="",CONCATENATE(";",EscStr(CONCATENATE("NavNode_",getCategoryLevelAsString($B101))),";",EscStr($J101),";"),CONCATENATE(";",EscStr(CONCATENATE("NavNode_",getCategoryLevelAsString($B101))),";",EscStr(X101),";")))</f>
        <v>;"NavNode_L3D_525365";"Svorkovnice";</v>
      </c>
      <c r="AR101" s="39" t="str">
        <f>IF(OR($A101&lt;&gt;"", $G101=""),"",CONCATENATE(";",EscStr(CONCATENATE("NavEntry_",getCategoryLevelAsString($B101))),";",EscStr(CONCATENATE($J101," Navigation Entry")),";",EscStr(CONCATENATE("cat-",getCategoryLevelAsString($B101))),";",EscStr(CONCATENATE("NavNode_",getCategoryLevelAsString($B101))),";"))</f>
        <v>;"NavEntry_L3D_525365";"Terminal Blocks Navigation Entry";"cat-L3D_525365";"NavNode_L3D_525365";</v>
      </c>
    </row>
    <row r="102" spans="1:44" s="34" customFormat="1" ht="15" x14ac:dyDescent="0.25">
      <c r="A102" s="25"/>
      <c r="B102" s="5"/>
      <c r="C102" s="5"/>
      <c r="D102" s="5" t="s">
        <v>157</v>
      </c>
      <c r="E102" s="5"/>
      <c r="F102" s="5"/>
      <c r="G102" s="5" t="s">
        <v>409</v>
      </c>
      <c r="H102" s="5" t="s">
        <v>410</v>
      </c>
      <c r="I102" s="5" t="s">
        <v>411</v>
      </c>
      <c r="J102" s="5" t="s">
        <v>158</v>
      </c>
      <c r="K102" s="5" t="s">
        <v>13816</v>
      </c>
      <c r="L102" s="5" t="s">
        <v>15133</v>
      </c>
      <c r="M102" s="5" t="s">
        <v>1692</v>
      </c>
      <c r="N102" s="5" t="s">
        <v>1894</v>
      </c>
      <c r="O102" s="5" t="s">
        <v>2625</v>
      </c>
      <c r="P102" s="5" t="s">
        <v>2626</v>
      </c>
      <c r="Q102" s="5" t="s">
        <v>2627</v>
      </c>
      <c r="R102" s="5" t="s">
        <v>2610</v>
      </c>
      <c r="S102" s="5" t="s">
        <v>2628</v>
      </c>
      <c r="T102" s="5" t="s">
        <v>2629</v>
      </c>
      <c r="U102" s="5" t="s">
        <v>2630</v>
      </c>
      <c r="V102" s="5" t="s">
        <v>2573</v>
      </c>
      <c r="W102" s="5" t="s">
        <v>2631</v>
      </c>
      <c r="X102" s="5" t="s">
        <v>14854</v>
      </c>
      <c r="Y102" s="39" t="str">
        <f>IF(OR($A102&lt;&gt;"", $G102=""),"",CONCATENATE(";",EscStr(CONCATENATE("NavNode_",getCategoryLevelAsString($B102))),";",EscStr($J102),";",IF($B102&lt;&gt;"","""MainCategoryNavNode""",EscStr(CONCATENATE("NavNode_",getSuperCategory($B102, getCategoryLevelAsNumber($B102))))),";"))</f>
        <v>;"NavNode_L3D_525366";"Heavy-duty Connectors";"NavNode_L2D_379527";</v>
      </c>
      <c r="Z102" s="39" t="str">
        <f>IF(getCategoryLevelAsString($B102)="L0D_324785","",IF(G102="",CONCATENATE(";",EscStr(CONCATENATE("NavNode_",getCategoryLevelAsString($B102))),";",EscStr($J102),";"),CONCATENATE(";",EscStr(CONCATENATE("NavNode_",getCategoryLevelAsString($B102))),";",EscStr(G102),";")))</f>
        <v>;"NavNode_L3D_525366";"Schwere Steckverbinder";</v>
      </c>
      <c r="AA102" s="39" t="str">
        <f>IF(getCategoryLevelAsString($B102)="L0D_324785","",IF(H102="",CONCATENATE(";",EscStr(CONCATENATE("NavNode_",getCategoryLevelAsString($B102))),";",EscStr($J102),";"),CONCATENATE(";",EscStr(CONCATENATE("NavNode_",getCategoryLevelAsString($B102))),";",EscStr(H102),";")))</f>
        <v>;"NavNode_L3D_525366";"Connecteurs à usage intensif";</v>
      </c>
      <c r="AB102" s="39" t="str">
        <f>IF(getCategoryLevelAsString($B102)="L0D_324785","",IF(I102="",CONCATENATE(";",EscStr(CONCATENATE("NavNode_",getCategoryLevelAsString($B102))),";",EscStr($J102),";"),CONCATENATE(";",EscStr(CONCATENATE("NavNode_",getCategoryLevelAsString($B102))),";",EscStr(I102),";")))</f>
        <v>;"NavNode_L3D_525366";"Connettori per impieghi gravosi";</v>
      </c>
      <c r="AC102" s="39" t="str">
        <f>IF(getCategoryLevelAsString($B102)="L0D_324785","",IF(J102="",CONCATENATE(";",EscStr(CONCATENATE("NavNode_",getCategoryLevelAsString($B102))),";",EscStr($J102),";"),CONCATENATE(";",EscStr(CONCATENATE("NavNode_",getCategoryLevelAsString($B102))),";",EscStr(J102),";")))</f>
        <v>;"NavNode_L3D_525366";"Heavy-duty Connectors";</v>
      </c>
      <c r="AD102" s="39" t="str">
        <f>IF(getCategoryLevelAsString($B102)="L0D_324785","",IF(K102="",CONCATENATE(";",EscStr(CONCATENATE("NavNode_",getCategoryLevelAsString($B102))),";",EscStr($J102),";"),CONCATENATE(";",EscStr(CONCATENATE("NavNode_",getCategoryLevelAsString($B102))),";",EscStr(K102),";")))</f>
        <v>;"NavNode_L3D_525366";"Heavy-duty stik";</v>
      </c>
      <c r="AE102" s="39" t="str">
        <f>IF(getCategoryLevelAsString($B102)="L0D_324785","",IF(L102="",CONCATENATE(";",EscStr(CONCATENATE("NavNode_",getCategoryLevelAsString($B102))),";",EscStr($J102),";"),CONCATENATE(";",EscStr(CONCATENATE("NavNode_",getCategoryLevelAsString($B102))),";",EscStr(L102),";")))</f>
        <v>;"NavNode_L3D_525366";"Ypač atsparios pramoninės jungtys";</v>
      </c>
      <c r="AF102" s="39" t="str">
        <f>IF(getCategoryLevelAsString($B102)="L0D_324785","",IF(M102="",CONCATENATE(";",EscStr(CONCATENATE("NavNode_",getCategoryLevelAsString($B102))),";",EscStr($J102),";"),CONCATENATE(";",EscStr(CONCATENATE("NavNode_",getCategoryLevelAsString($B102))),";",EscStr(M102),";")))</f>
        <v>;"NavNode_L3D_525366";"Kraftige kontakter";</v>
      </c>
      <c r="AG102" s="39" t="str">
        <f>IF(getCategoryLevelAsString($B102)="L0D_324785","",IF(N102="",CONCATENATE(";",EscStr(CONCATENATE("NavNode_",getCategoryLevelAsString($B102))),";",EscStr($J102),";"),CONCATENATE(";",EscStr(CONCATENATE("NavNode_",getCategoryLevelAsString($B102))),";",EscStr(N102),";")))</f>
        <v>;"NavNode_L3D_525366";"Robusta kontaktdon";</v>
      </c>
      <c r="AH102" s="39" t="str">
        <f>IF(getCategoryLevelAsString($B102)="L0D_324785","",IF(O102="",CONCATENATE(";",EscStr(CONCATENATE("NavNode_",getCategoryLevelAsString($B102))),";",EscStr($J102),";"),CONCATENATE(";",EscStr(CONCATENATE("NavNode_",getCategoryLevelAsString($B102))),";",EscStr(O102),";")))</f>
        <v>;"NavNode_L3D_525366";"Vastupidavad ühendused";</v>
      </c>
      <c r="AI102" s="39" t="str">
        <f>IF(getCategoryLevelAsString($B102)="L0D_324785","",IF(P102="",CONCATENATE(";",EscStr(CONCATENATE("NavNode_",getCategoryLevelAsString($B102))),";",EscStr($J102),";"),CONCATENATE(";",EscStr(CONCATENATE("NavNode_",getCategoryLevelAsString($B102))),";",EscStr(P102),";")))</f>
        <v>;"NavNode_L3D_525366";"Isot liittimet";</v>
      </c>
      <c r="AJ102" s="39" t="str">
        <f>IF(getCategoryLevelAsString($B102)="L0D_324785","",IF(Q102="",CONCATENATE(";",EscStr(CONCATENATE("NavNode_",getCategoryLevelAsString($B102))),";",EscStr($J102),";"),CONCATENATE(";",EscStr(CONCATENATE("NavNode_",getCategoryLevelAsString($B102))),";",EscStr(Q102),";")))</f>
        <v>;"NavNode_L3D_525366";"Augstas izturības savienotāji";</v>
      </c>
      <c r="AK102" s="39" t="str">
        <f>IF(getCategoryLevelAsString($B102)="L0D_324785","",IF(R102="",CONCATENATE(";",EscStr(CONCATENATE("NavNode_",getCategoryLevelAsString($B102))),";",EscStr($J102),";"),CONCATENATE(";",EscStr(CONCATENATE("NavNode_",getCategoryLevelAsString($B102))),";",EscStr(R102),";")))</f>
        <v>;"NavNode_L3D_525366";"Industriele connectoren";</v>
      </c>
      <c r="AL102" s="39" t="str">
        <f>IF(getCategoryLevelAsString($B102)="L0D_324785","",IF(S102="",CONCATENATE(";",EscStr(CONCATENATE("NavNode_",getCategoryLevelAsString($B102))),";",EscStr($J102),";"),CONCATENATE(";",EscStr(CONCATENATE("NavNode_",getCategoryLevelAsString($B102))),";",EscStr(S102),";")))</f>
        <v>;"NavNode_L3D_525366";"Złącza przemysłowe (HDC)";</v>
      </c>
      <c r="AM102" s="39" t="str">
        <f>IF(getCategoryLevelAsString($B102)="L0D_324785","",IF(T102="",CONCATENATE(";",EscStr(CONCATENATE("NavNode_",getCategoryLevelAsString($B102))),";",EscStr($J102),";"),CONCATENATE(";",EscStr(CONCATENATE("NavNode_",getCategoryLevelAsString($B102))),";",EscStr(T102),";")))</f>
        <v>;"NavNode_L3D_525366";"Разъемы для больших нагрузок";</v>
      </c>
      <c r="AN102" s="39" t="str">
        <f>IF(getCategoryLevelAsString($B102)="L0D_324785","",IF(U102="",CONCATENATE(";",EscStr(CONCATENATE("NavNode_",getCategoryLevelAsString($B102))),";",EscStr($J102),";"),CONCATENATE(";",EscStr(CONCATENATE("NavNode_",getCategoryLevelAsString($B102))),";",EscStr(U102),";")))</f>
        <v>;"NavNode_L3D_525366";"Konektory pro ztížené podmínky";</v>
      </c>
      <c r="AO102" s="39" t="str">
        <f>IF(getCategoryLevelAsString($B102)="L0D_324785","",IF(V102="",CONCATENATE(";",EscStr(CONCATENATE("NavNode_",getCategoryLevelAsString($B102))),";",EscStr($J102),";"),CONCATENATE(";",EscStr(CONCATENATE("NavNode_",getCategoryLevelAsString($B102))),";",EscStr(V102),";")))</f>
        <v>;"NavNode_L3D_525366";"Conectori";</v>
      </c>
      <c r="AP102" s="39" t="str">
        <f>IF(getCategoryLevelAsString($B102)="L0D_324785","",IF(W102="",CONCATENATE(";",EscStr(CONCATENATE("NavNode_",getCategoryLevelAsString($B102))),";",EscStr($J102),";"),CONCATENATE(";",EscStr(CONCATENATE("NavNode_",getCategoryLevelAsString($B102))),";",EscStr(W102),";")))</f>
        <v>;"NavNode_L3D_525366";"Nagyméretű csatlakozók";</v>
      </c>
      <c r="AQ102" s="39" t="str">
        <f>IF(getCategoryLevelAsString($B102)="L0D_324785","",IF(X102="",CONCATENATE(";",EscStr(CONCATENATE("NavNode_",getCategoryLevelAsString($B102))),";",EscStr($J102),";"),CONCATENATE(";",EscStr(CONCATENATE("NavNode_",getCategoryLevelAsString($B102))),";",EscStr(X102),";")))</f>
        <v>;"NavNode_L3D_525366";"Konektory na sťažené podminky";</v>
      </c>
      <c r="AR102" s="39" t="str">
        <f>IF(OR($A102&lt;&gt;"", $G102=""),"",CONCATENATE(";",EscStr(CONCATENATE("NavEntry_",getCategoryLevelAsString($B102))),";",EscStr(CONCATENATE($J102," Navigation Entry")),";",EscStr(CONCATENATE("cat-",getCategoryLevelAsString($B102))),";",EscStr(CONCATENATE("NavNode_",getCategoryLevelAsString($B102))),";"))</f>
        <v>;"NavEntry_L3D_525366";"Heavy-duty Connectors Navigation Entry";"cat-L3D_525366";"NavNode_L3D_525366";</v>
      </c>
    </row>
    <row r="103" spans="1:44" s="34" customFormat="1" ht="15" x14ac:dyDescent="0.25">
      <c r="A103" s="25"/>
      <c r="B103" s="5"/>
      <c r="C103" s="5"/>
      <c r="D103" s="5" t="s">
        <v>152</v>
      </c>
      <c r="E103" s="5"/>
      <c r="F103" s="5"/>
      <c r="G103" s="5" t="s">
        <v>403</v>
      </c>
      <c r="H103" s="5" t="s">
        <v>404</v>
      </c>
      <c r="I103" s="5" t="s">
        <v>405</v>
      </c>
      <c r="J103" s="5" t="s">
        <v>153</v>
      </c>
      <c r="K103" s="5" t="s">
        <v>1226</v>
      </c>
      <c r="L103" s="5" t="s">
        <v>1460</v>
      </c>
      <c r="M103" s="5" t="s">
        <v>1693</v>
      </c>
      <c r="N103" s="5" t="s">
        <v>1895</v>
      </c>
      <c r="O103" s="5" t="s">
        <v>2632</v>
      </c>
      <c r="P103" s="5" t="s">
        <v>2633</v>
      </c>
      <c r="Q103" s="5" t="s">
        <v>2634</v>
      </c>
      <c r="R103" s="5" t="s">
        <v>2635</v>
      </c>
      <c r="S103" s="5" t="s">
        <v>2636</v>
      </c>
      <c r="T103" s="5" t="s">
        <v>2637</v>
      </c>
      <c r="U103" s="5" t="s">
        <v>2638</v>
      </c>
      <c r="V103" s="5" t="s">
        <v>2639</v>
      </c>
      <c r="W103" s="5" t="s">
        <v>2640</v>
      </c>
      <c r="X103" s="5" t="s">
        <v>2638</v>
      </c>
      <c r="Y103" s="39" t="str">
        <f>IF(OR($A103&lt;&gt;"", $G103=""),"",CONCATENATE(";",EscStr(CONCATENATE("NavNode_",getCategoryLevelAsString($B103))),";",EscStr($J103),";",IF($B103&lt;&gt;"","""MainCategoryNavNode""",EscStr(CONCATENATE("NavNode_",getSuperCategory($B103, getCategoryLevelAsNumber($B103))))),";"))</f>
        <v>;"NavNode_L3D_525367";"Circular Connectors";"NavNode_L2D_379527";</v>
      </c>
      <c r="Z103" s="39" t="str">
        <f>IF(getCategoryLevelAsString($B103)="L0D_324785","",IF(G103="",CONCATENATE(";",EscStr(CONCATENATE("NavNode_",getCategoryLevelAsString($B103))),";",EscStr($J103),";"),CONCATENATE(";",EscStr(CONCATENATE("NavNode_",getCategoryLevelAsString($B103))),";",EscStr(G103),";")))</f>
        <v>;"NavNode_L3D_525367";"Rundsteckverbinder";</v>
      </c>
      <c r="AA103" s="39" t="str">
        <f>IF(getCategoryLevelAsString($B103)="L0D_324785","",IF(H103="",CONCATENATE(";",EscStr(CONCATENATE("NavNode_",getCategoryLevelAsString($B103))),";",EscStr($J103),";"),CONCATENATE(";",EscStr(CONCATENATE("NavNode_",getCategoryLevelAsString($B103))),";",EscStr(H103),";")))</f>
        <v>;"NavNode_L3D_525367";"Connecteurs cylindriques";</v>
      </c>
      <c r="AB103" s="39" t="str">
        <f>IF(getCategoryLevelAsString($B103)="L0D_324785","",IF(I103="",CONCATENATE(";",EscStr(CONCATENATE("NavNode_",getCategoryLevelAsString($B103))),";",EscStr($J103),";"),CONCATENATE(";",EscStr(CONCATENATE("NavNode_",getCategoryLevelAsString($B103))),";",EscStr(I103),";")))</f>
        <v>;"NavNode_L3D_525367";"Connettori circolari";</v>
      </c>
      <c r="AC103" s="39" t="str">
        <f>IF(getCategoryLevelAsString($B103)="L0D_324785","",IF(J103="",CONCATENATE(";",EscStr(CONCATENATE("NavNode_",getCategoryLevelAsString($B103))),";",EscStr($J103),";"),CONCATENATE(";",EscStr(CONCATENATE("NavNode_",getCategoryLevelAsString($B103))),";",EscStr(J103),";")))</f>
        <v>;"NavNode_L3D_525367";"Circular Connectors";</v>
      </c>
      <c r="AD103" s="39" t="str">
        <f>IF(getCategoryLevelAsString($B103)="L0D_324785","",IF(K103="",CONCATENATE(";",EscStr(CONCATENATE("NavNode_",getCategoryLevelAsString($B103))),";",EscStr($J103),";"),CONCATENATE(";",EscStr(CONCATENATE("NavNode_",getCategoryLevelAsString($B103))),";",EscStr(K103),";")))</f>
        <v>;"NavNode_L3D_525367";"Cirkulære stik";</v>
      </c>
      <c r="AE103" s="39" t="str">
        <f>IF(getCategoryLevelAsString($B103)="L0D_324785","",IF(L103="",CONCATENATE(";",EscStr(CONCATENATE("NavNode_",getCategoryLevelAsString($B103))),";",EscStr($J103),";"),CONCATENATE(";",EscStr(CONCATENATE("NavNode_",getCategoryLevelAsString($B103))),";",EscStr(L103),";")))</f>
        <v>;"NavNode_L3D_525367";"Apskritos jungtys";</v>
      </c>
      <c r="AF103" s="39" t="str">
        <f>IF(getCategoryLevelAsString($B103)="L0D_324785","",IF(M103="",CONCATENATE(";",EscStr(CONCATENATE("NavNode_",getCategoryLevelAsString($B103))),";",EscStr($J103),";"),CONCATENATE(";",EscStr(CONCATENATE("NavNode_",getCategoryLevelAsString($B103))),";",EscStr(M103),";")))</f>
        <v>;"NavNode_L3D_525367";"Sirkulære kontakter";</v>
      </c>
      <c r="AG103" s="39" t="str">
        <f>IF(getCategoryLevelAsString($B103)="L0D_324785","",IF(N103="",CONCATENATE(";",EscStr(CONCATENATE("NavNode_",getCategoryLevelAsString($B103))),";",EscStr($J103),";"),CONCATENATE(";",EscStr(CONCATENATE("NavNode_",getCategoryLevelAsString($B103))),";",EscStr(N103),";")))</f>
        <v>;"NavNode_L3D_525367";"Runda kontaktdon";</v>
      </c>
      <c r="AH103" s="39" t="str">
        <f>IF(getCategoryLevelAsString($B103)="L0D_324785","",IF(O103="",CONCATENATE(";",EscStr(CONCATENATE("NavNode_",getCategoryLevelAsString($B103))),";",EscStr($J103),";"),CONCATENATE(";",EscStr(CONCATENATE("NavNode_",getCategoryLevelAsString($B103))),";",EscStr(O103),";")))</f>
        <v>;"NavNode_L3D_525367";"Ümarad ühendused";</v>
      </c>
      <c r="AI103" s="39" t="str">
        <f>IF(getCategoryLevelAsString($B103)="L0D_324785","",IF(P103="",CONCATENATE(";",EscStr(CONCATENATE("NavNode_",getCategoryLevelAsString($B103))),";",EscStr($J103),";"),CONCATENATE(";",EscStr(CONCATENATE("NavNode_",getCategoryLevelAsString($B103))),";",EscStr(P103),";")))</f>
        <v>;"NavNode_L3D_525367";"Pyöreät liittimet";</v>
      </c>
      <c r="AJ103" s="39" t="str">
        <f>IF(getCategoryLevelAsString($B103)="L0D_324785","",IF(Q103="",CONCATENATE(";",EscStr(CONCATENATE("NavNode_",getCategoryLevelAsString($B103))),";",EscStr($J103),";"),CONCATENATE(";",EscStr(CONCATENATE("NavNode_",getCategoryLevelAsString($B103))),";",EscStr(Q103),";")))</f>
        <v>;"NavNode_L3D_525367";"Cirkulārie savienotāji";</v>
      </c>
      <c r="AK103" s="39" t="str">
        <f>IF(getCategoryLevelAsString($B103)="L0D_324785","",IF(R103="",CONCATENATE(";",EscStr(CONCATENATE("NavNode_",getCategoryLevelAsString($B103))),";",EscStr($J103),";"),CONCATENATE(";",EscStr(CONCATENATE("NavNode_",getCategoryLevelAsString($B103))),";",EscStr(R103),";")))</f>
        <v>;"NavNode_L3D_525367";"Ronde connectoren";</v>
      </c>
      <c r="AL103" s="39" t="str">
        <f>IF(getCategoryLevelAsString($B103)="L0D_324785","",IF(S103="",CONCATENATE(";",EscStr(CONCATENATE("NavNode_",getCategoryLevelAsString($B103))),";",EscStr($J103),";"),CONCATENATE(";",EscStr(CONCATENATE("NavNode_",getCategoryLevelAsString($B103))),";",EscStr(S103),";")))</f>
        <v>;"NavNode_L3D_525367";"Złącza okrągłe";</v>
      </c>
      <c r="AM103" s="39" t="str">
        <f>IF(getCategoryLevelAsString($B103)="L0D_324785","",IF(T103="",CONCATENATE(";",EscStr(CONCATENATE("NavNode_",getCategoryLevelAsString($B103))),";",EscStr($J103),";"),CONCATENATE(";",EscStr(CONCATENATE("NavNode_",getCategoryLevelAsString($B103))),";",EscStr(T103),";")))</f>
        <v>;"NavNode_L3D_525367";"Цилиндрические разъемы";</v>
      </c>
      <c r="AN103" s="39" t="str">
        <f>IF(getCategoryLevelAsString($B103)="L0D_324785","",IF(U103="",CONCATENATE(";",EscStr(CONCATENATE("NavNode_",getCategoryLevelAsString($B103))),";",EscStr($J103),";"),CONCATENATE(";",EscStr(CONCATENATE("NavNode_",getCategoryLevelAsString($B103))),";",EscStr(U103),";")))</f>
        <v>;"NavNode_L3D_525367";"Kruhové konektory";</v>
      </c>
      <c r="AO103" s="39" t="str">
        <f>IF(getCategoryLevelAsString($B103)="L0D_324785","",IF(V103="",CONCATENATE(";",EscStr(CONCATENATE("NavNode_",getCategoryLevelAsString($B103))),";",EscStr($J103),";"),CONCATENATE(";",EscStr(CONCATENATE("NavNode_",getCategoryLevelAsString($B103))),";",EscStr(V103),";")))</f>
        <v>;"NavNode_L3D_525367";"Conectori circulari";</v>
      </c>
      <c r="AP103" s="39" t="str">
        <f>IF(getCategoryLevelAsString($B103)="L0D_324785","",IF(W103="",CONCATENATE(";",EscStr(CONCATENATE("NavNode_",getCategoryLevelAsString($B103))),";",EscStr($J103),";"),CONCATENATE(";",EscStr(CONCATENATE("NavNode_",getCategoryLevelAsString($B103))),";",EscStr(W103),";")))</f>
        <v>;"NavNode_L3D_525367";"Kerek csatlakozók";</v>
      </c>
      <c r="AQ103" s="39" t="str">
        <f>IF(getCategoryLevelAsString($B103)="L0D_324785","",IF(X103="",CONCATENATE(";",EscStr(CONCATENATE("NavNode_",getCategoryLevelAsString($B103))),";",EscStr($J103),";"),CONCATENATE(";",EscStr(CONCATENATE("NavNode_",getCategoryLevelAsString($B103))),";",EscStr(X103),";")))</f>
        <v>;"NavNode_L3D_525367";"Kruhové konektory";</v>
      </c>
      <c r="AR103" s="39" t="str">
        <f>IF(OR($A103&lt;&gt;"", $G103=""),"",CONCATENATE(";",EscStr(CONCATENATE("NavEntry_",getCategoryLevelAsString($B103))),";",EscStr(CONCATENATE($J103," Navigation Entry")),";",EscStr(CONCATENATE("cat-",getCategoryLevelAsString($B103))),";",EscStr(CONCATENATE("NavNode_",getCategoryLevelAsString($B103))),";"))</f>
        <v>;"NavEntry_L3D_525367";"Circular Connectors Navigation Entry";"cat-L3D_525367";"NavNode_L3D_525367";</v>
      </c>
    </row>
    <row r="104" spans="1:44" s="34" customFormat="1" ht="15" x14ac:dyDescent="0.25">
      <c r="A104" s="25"/>
      <c r="B104" s="5"/>
      <c r="C104" s="5"/>
      <c r="D104" s="5" t="s">
        <v>7356</v>
      </c>
      <c r="E104" s="5"/>
      <c r="F104" s="5"/>
      <c r="G104" s="5" t="s">
        <v>7358</v>
      </c>
      <c r="H104" s="5" t="s">
        <v>13633</v>
      </c>
      <c r="I104" s="5" t="s">
        <v>13722</v>
      </c>
      <c r="J104" s="5" t="s">
        <v>7357</v>
      </c>
      <c r="K104" s="5" t="s">
        <v>13817</v>
      </c>
      <c r="L104" s="5" t="s">
        <v>15134</v>
      </c>
      <c r="M104" s="5" t="s">
        <v>13901</v>
      </c>
      <c r="N104" s="5" t="s">
        <v>13959</v>
      </c>
      <c r="O104" s="5" t="s">
        <v>14075</v>
      </c>
      <c r="P104" s="5" t="s">
        <v>14167</v>
      </c>
      <c r="Q104" s="5" t="s">
        <v>14252</v>
      </c>
      <c r="R104" s="5" t="s">
        <v>14331</v>
      </c>
      <c r="S104" s="5" t="s">
        <v>14429</v>
      </c>
      <c r="T104" s="5" t="s">
        <v>14519</v>
      </c>
      <c r="U104" s="5" t="s">
        <v>14606</v>
      </c>
      <c r="V104" s="5" t="s">
        <v>14692</v>
      </c>
      <c r="W104" s="5" t="s">
        <v>14778</v>
      </c>
      <c r="X104" s="5" t="s">
        <v>14855</v>
      </c>
      <c r="Y104" s="39" t="str">
        <f>IF(OR($A104&lt;&gt;"", $G104=""),"",CONCATENATE(";",EscStr(CONCATENATE("NavNode_",getCategoryLevelAsString($B104))),";",EscStr($J104),";",IF($B104&lt;&gt;"","""MainCategoryNavNode""",EscStr(CONCATENATE("NavNode_",getSuperCategory($B104, getCategoryLevelAsNumber($B104))))),";"))</f>
        <v>;"NavNode_L3D_525368";"Rectangular Connectors";"NavNode_L2D_379527";</v>
      </c>
      <c r="Z104" s="39" t="str">
        <f>IF(getCategoryLevelAsString($B104)="L0D_324785","",IF(G104="",CONCATENATE(";",EscStr(CONCATENATE("NavNode_",getCategoryLevelAsString($B104))),";",EscStr($J104),";"),CONCATENATE(";",EscStr(CONCATENATE("NavNode_",getCategoryLevelAsString($B104))),";",EscStr(G104),";")))</f>
        <v>;"NavNode_L3D_525368";"Rechtecksteckverbinder";</v>
      </c>
      <c r="AA104" s="39" t="str">
        <f>IF(getCategoryLevelAsString($B104)="L0D_324785","",IF(H104="",CONCATENATE(";",EscStr(CONCATENATE("NavNode_",getCategoryLevelAsString($B104))),";",EscStr($J104),";"),CONCATENATE(";",EscStr(CONCATENATE("NavNode_",getCategoryLevelAsString($B104))),";",EscStr(H104),";")))</f>
        <v>;"NavNode_L3D_525368";"Connecteurs rectangulaires";</v>
      </c>
      <c r="AB104" s="39" t="str">
        <f>IF(getCategoryLevelAsString($B104)="L0D_324785","",IF(I104="",CONCATENATE(";",EscStr(CONCATENATE("NavNode_",getCategoryLevelAsString($B104))),";",EscStr($J104),";"),CONCATENATE(";",EscStr(CONCATENATE("NavNode_",getCategoryLevelAsString($B104))),";",EscStr(I104),";")))</f>
        <v>;"NavNode_L3D_525368";"Connettori rettangolari";</v>
      </c>
      <c r="AC104" s="39" t="str">
        <f>IF(getCategoryLevelAsString($B104)="L0D_324785","",IF(J104="",CONCATENATE(";",EscStr(CONCATENATE("NavNode_",getCategoryLevelAsString($B104))),";",EscStr($J104),";"),CONCATENATE(";",EscStr(CONCATENATE("NavNode_",getCategoryLevelAsString($B104))),";",EscStr(J104),";")))</f>
        <v>;"NavNode_L3D_525368";"Rectangular Connectors";</v>
      </c>
      <c r="AD104" s="39" t="str">
        <f>IF(getCategoryLevelAsString($B104)="L0D_324785","",IF(K104="",CONCATENATE(";",EscStr(CONCATENATE("NavNode_",getCategoryLevelAsString($B104))),";",EscStr($J104),";"),CONCATENATE(";",EscStr(CONCATENATE("NavNode_",getCategoryLevelAsString($B104))),";",EscStr(K104),";")))</f>
        <v>;"NavNode_L3D_525368";"Rektangulære stik ST";</v>
      </c>
      <c r="AE104" s="39" t="str">
        <f>IF(getCategoryLevelAsString($B104)="L0D_324785","",IF(L104="",CONCATENATE(";",EscStr(CONCATENATE("NavNode_",getCategoryLevelAsString($B104))),";",EscStr($J104),";"),CONCATENATE(";",EscStr(CONCATENATE("NavNode_",getCategoryLevelAsString($B104))),";",EscStr(L104),";")))</f>
        <v>;"NavNode_L3D_525368";"Stačiakampės jungtys";</v>
      </c>
      <c r="AF104" s="39" t="str">
        <f>IF(getCategoryLevelAsString($B104)="L0D_324785","",IF(M104="",CONCATENATE(";",EscStr(CONCATENATE("NavNode_",getCategoryLevelAsString($B104))),";",EscStr($J104),";"),CONCATENATE(";",EscStr(CONCATENATE("NavNode_",getCategoryLevelAsString($B104))),";",EscStr(M104),";")))</f>
        <v>;"NavNode_L3D_525368";"Rektangulære kontakter";</v>
      </c>
      <c r="AG104" s="39" t="str">
        <f>IF(getCategoryLevelAsString($B104)="L0D_324785","",IF(N104="",CONCATENATE(";",EscStr(CONCATENATE("NavNode_",getCategoryLevelAsString($B104))),";",EscStr($J104),";"),CONCATENATE(";",EscStr(CONCATENATE("NavNode_",getCategoryLevelAsString($B104))),";",EscStr(N104),";")))</f>
        <v>;"NavNode_L3D_525368";"Rektangulära kontaktdon";</v>
      </c>
      <c r="AH104" s="39" t="str">
        <f>IF(getCategoryLevelAsString($B104)="L0D_324785","",IF(O104="",CONCATENATE(";",EscStr(CONCATENATE("NavNode_",getCategoryLevelAsString($B104))),";",EscStr($J104),";"),CONCATENATE(";",EscStr(CONCATENATE("NavNode_",getCategoryLevelAsString($B104))),";",EscStr(O104),";")))</f>
        <v>;"NavNode_L3D_525368";"Nelinurksed ühendused";</v>
      </c>
      <c r="AI104" s="39" t="str">
        <f>IF(getCategoryLevelAsString($B104)="L0D_324785","",IF(P104="",CONCATENATE(";",EscStr(CONCATENATE("NavNode_",getCategoryLevelAsString($B104))),";",EscStr($J104),";"),CONCATENATE(";",EscStr(CONCATENATE("NavNode_",getCategoryLevelAsString($B104))),";",EscStr(P104),";")))</f>
        <v>;"NavNode_L3D_525368";"Neliöliittimet";</v>
      </c>
      <c r="AJ104" s="39" t="str">
        <f>IF(getCategoryLevelAsString($B104)="L0D_324785","",IF(Q104="",CONCATENATE(";",EscStr(CONCATENATE("NavNode_",getCategoryLevelAsString($B104))),";",EscStr($J104),";"),CONCATENATE(";",EscStr(CONCATENATE("NavNode_",getCategoryLevelAsString($B104))),";",EscStr(Q104),";")))</f>
        <v>;"NavNode_L3D_525368";"Taisnstūra savienotāji";</v>
      </c>
      <c r="AK104" s="39" t="str">
        <f>IF(getCategoryLevelAsString($B104)="L0D_324785","",IF(R104="",CONCATENATE(";",EscStr(CONCATENATE("NavNode_",getCategoryLevelAsString($B104))),";",EscStr($J104),";"),CONCATENATE(";",EscStr(CONCATENATE("NavNode_",getCategoryLevelAsString($B104))),";",EscStr(R104),";")))</f>
        <v>;"NavNode_L3D_525368";"Rechthoekige connectoren";</v>
      </c>
      <c r="AL104" s="39" t="str">
        <f>IF(getCategoryLevelAsString($B104)="L0D_324785","",IF(S104="",CONCATENATE(";",EscStr(CONCATENATE("NavNode_",getCategoryLevelAsString($B104))),";",EscStr($J104),";"),CONCATENATE(";",EscStr(CONCATENATE("NavNode_",getCategoryLevelAsString($B104))),";",EscStr(S104),";")))</f>
        <v>;"NavNode_L3D_525368";"Złącza czworokątne";</v>
      </c>
      <c r="AM104" s="39" t="str">
        <f>IF(getCategoryLevelAsString($B104)="L0D_324785","",IF(T104="",CONCATENATE(";",EscStr(CONCATENATE("NavNode_",getCategoryLevelAsString($B104))),";",EscStr($J104),";"),CONCATENATE(";",EscStr(CONCATENATE("NavNode_",getCategoryLevelAsString($B104))),";",EscStr(T104),";")))</f>
        <v>;"NavNode_L3D_525368";"Прямоугольные разъемы";</v>
      </c>
      <c r="AN104" s="39" t="str">
        <f>IF(getCategoryLevelAsString($B104)="L0D_324785","",IF(U104="",CONCATENATE(";",EscStr(CONCATENATE("NavNode_",getCategoryLevelAsString($B104))),";",EscStr($J104),";"),CONCATENATE(";",EscStr(CONCATENATE("NavNode_",getCategoryLevelAsString($B104))),";",EscStr(U104),";")))</f>
        <v>;"NavNode_L3D_525368";"Obdélníkové konektory";</v>
      </c>
      <c r="AO104" s="39" t="str">
        <f>IF(getCategoryLevelAsString($B104)="L0D_324785","",IF(V104="",CONCATENATE(";",EscStr(CONCATENATE("NavNode_",getCategoryLevelAsString($B104))),";",EscStr($J104),";"),CONCATENATE(";",EscStr(CONCATENATE("NavNode_",getCategoryLevelAsString($B104))),";",EscStr(V104),";")))</f>
        <v>;"NavNode_L3D_525368";"Conectori dreptunghiulari";</v>
      </c>
      <c r="AP104" s="39" t="str">
        <f>IF(getCategoryLevelAsString($B104)="L0D_324785","",IF(W104="",CONCATENATE(";",EscStr(CONCATENATE("NavNode_",getCategoryLevelAsString($B104))),";",EscStr($J104),";"),CONCATENATE(";",EscStr(CONCATENATE("NavNode_",getCategoryLevelAsString($B104))),";",EscStr(W104),";")))</f>
        <v>;"NavNode_L3D_525368";"Négyszögletes csatlakozók";</v>
      </c>
      <c r="AQ104" s="39" t="str">
        <f>IF(getCategoryLevelAsString($B104)="L0D_324785","",IF(X104="",CONCATENATE(";",EscStr(CONCATENATE("NavNode_",getCategoryLevelAsString($B104))),";",EscStr($J104),";"),CONCATENATE(";",EscStr(CONCATENATE("NavNode_",getCategoryLevelAsString($B104))),";",EscStr(X104),";")))</f>
        <v>;"NavNode_L3D_525368";"Obdĺžnikové konektory";</v>
      </c>
      <c r="AR104" s="39" t="str">
        <f>IF(OR($A104&lt;&gt;"", $G104=""),"",CONCATENATE(";",EscStr(CONCATENATE("NavEntry_",getCategoryLevelAsString($B104))),";",EscStr(CONCATENATE($J104," Navigation Entry")),";",EscStr(CONCATENATE("cat-",getCategoryLevelAsString($B104))),";",EscStr(CONCATENATE("NavNode_",getCategoryLevelAsString($B104))),";"))</f>
        <v>;"NavEntry_L3D_525368";"Rectangular Connectors Navigation Entry";"cat-L3D_525368";"NavNode_L3D_525368";</v>
      </c>
    </row>
    <row r="105" spans="1:44" s="34" customFormat="1" ht="15" x14ac:dyDescent="0.25">
      <c r="A105" s="25"/>
      <c r="B105" s="5"/>
      <c r="C105" s="5"/>
      <c r="D105" s="5" t="s">
        <v>7373</v>
      </c>
      <c r="E105" s="5"/>
      <c r="F105" s="5"/>
      <c r="G105" s="5" t="s">
        <v>7375</v>
      </c>
      <c r="H105" s="5" t="s">
        <v>13634</v>
      </c>
      <c r="I105" s="5" t="s">
        <v>13723</v>
      </c>
      <c r="J105" s="40" t="s">
        <v>13560</v>
      </c>
      <c r="K105" s="5" t="s">
        <v>13818</v>
      </c>
      <c r="L105" s="5" t="s">
        <v>15135</v>
      </c>
      <c r="M105" s="5" t="s">
        <v>13902</v>
      </c>
      <c r="N105" s="5" t="s">
        <v>13960</v>
      </c>
      <c r="O105" s="5" t="s">
        <v>14076</v>
      </c>
      <c r="P105" s="5" t="s">
        <v>14168</v>
      </c>
      <c r="Q105" s="5" t="s">
        <v>14253</v>
      </c>
      <c r="R105" s="5" t="s">
        <v>14332</v>
      </c>
      <c r="S105" s="5" t="s">
        <v>14430</v>
      </c>
      <c r="T105" s="5" t="s">
        <v>14520</v>
      </c>
      <c r="U105" s="5" t="s">
        <v>14607</v>
      </c>
      <c r="V105" s="5" t="s">
        <v>14693</v>
      </c>
      <c r="W105" s="5" t="s">
        <v>14779</v>
      </c>
      <c r="X105" s="5" t="s">
        <v>14856</v>
      </c>
      <c r="Y105" s="39" t="str">
        <f>IF(OR($A105&lt;&gt;"", $G105=""),"",CONCATENATE(";",EscStr(CONCATENATE("NavNode_",getCategoryLevelAsString($B105))),";",EscStr($J105),";",IF($B105&lt;&gt;"","""MainCategoryNavNode""",EscStr(CONCATENATE("NavNode_",getSuperCategory($B105, getCategoryLevelAsNumber($B105))))),";"))</f>
        <v>;"NavNode_L3D_525369";"Coaxial Connectors";"NavNode_L2D_379527";</v>
      </c>
      <c r="Z105" s="39" t="str">
        <f>IF(getCategoryLevelAsString($B105)="L0D_324785","",IF(G105="",CONCATENATE(";",EscStr(CONCATENATE("NavNode_",getCategoryLevelAsString($B105))),";",EscStr($J105),";"),CONCATENATE(";",EscStr(CONCATENATE("NavNode_",getCategoryLevelAsString($B105))),";",EscStr(G105),";")))</f>
        <v>;"NavNode_L3D_525369";"Koaxial-Steckverbinder";</v>
      </c>
      <c r="AA105" s="39" t="str">
        <f>IF(getCategoryLevelAsString($B105)="L0D_324785","",IF(H105="",CONCATENATE(";",EscStr(CONCATENATE("NavNode_",getCategoryLevelAsString($B105))),";",EscStr($J105),";"),CONCATENATE(";",EscStr(CONCATENATE("NavNode_",getCategoryLevelAsString($B105))),";",EscStr(H105),";")))</f>
        <v>;"NavNode_L3D_525369";"Connecteurs coaxiaux";</v>
      </c>
      <c r="AB105" s="39" t="str">
        <f>IF(getCategoryLevelAsString($B105)="L0D_324785","",IF(I105="",CONCATENATE(";",EscStr(CONCATENATE("NavNode_",getCategoryLevelAsString($B105))),";",EscStr($J105),";"),CONCATENATE(";",EscStr(CONCATENATE("NavNode_",getCategoryLevelAsString($B105))),";",EscStr(I105),";")))</f>
        <v>;"NavNode_L3D_525369";"Connettori coassiali";</v>
      </c>
      <c r="AC105" s="39" t="str">
        <f>IF(getCategoryLevelAsString($B105)="L0D_324785","",IF(J105="",CONCATENATE(";",EscStr(CONCATENATE("NavNode_",getCategoryLevelAsString($B105))),";",EscStr($J105),";"),CONCATENATE(";",EscStr(CONCATENATE("NavNode_",getCategoryLevelAsString($B105))),";",EscStr(J105),";")))</f>
        <v>;"NavNode_L3D_525369";"Coaxial Connectors";</v>
      </c>
      <c r="AD105" s="39" t="str">
        <f>IF(getCategoryLevelAsString($B105)="L0D_324785","",IF(K105="",CONCATENATE(";",EscStr(CONCATENATE("NavNode_",getCategoryLevelAsString($B105))),";",EscStr($J105),";"),CONCATENATE(";",EscStr(CONCATENATE("NavNode_",getCategoryLevelAsString($B105))),";",EscStr(K105),";")))</f>
        <v>;"NavNode_L3D_525369";"Koaksialstik";</v>
      </c>
      <c r="AE105" s="39" t="str">
        <f>IF(getCategoryLevelAsString($B105)="L0D_324785","",IF(L105="",CONCATENATE(";",EscStr(CONCATENATE("NavNode_",getCategoryLevelAsString($B105))),";",EscStr($J105),";"),CONCATENATE(";",EscStr(CONCATENATE("NavNode_",getCategoryLevelAsString($B105))),";",EscStr(L105),";")))</f>
        <v>;"NavNode_L3D_525369";"Koaksialinės jungtys";</v>
      </c>
      <c r="AF105" s="39" t="str">
        <f>IF(getCategoryLevelAsString($B105)="L0D_324785","",IF(M105="",CONCATENATE(";",EscStr(CONCATENATE("NavNode_",getCategoryLevelAsString($B105))),";",EscStr($J105),";"),CONCATENATE(";",EscStr(CONCATENATE("NavNode_",getCategoryLevelAsString($B105))),";",EscStr(M105),";")))</f>
        <v>;"NavNode_L3D_525369";"Koaksiale kontakter";</v>
      </c>
      <c r="AG105" s="39" t="str">
        <f>IF(getCategoryLevelAsString($B105)="L0D_324785","",IF(N105="",CONCATENATE(";",EscStr(CONCATENATE("NavNode_",getCategoryLevelAsString($B105))),";",EscStr($J105),";"),CONCATENATE(";",EscStr(CONCATENATE("NavNode_",getCategoryLevelAsString($B105))),";",EscStr(N105),";")))</f>
        <v>;"NavNode_L3D_525369";"Koaxialkontakter";</v>
      </c>
      <c r="AH105" s="39" t="str">
        <f>IF(getCategoryLevelAsString($B105)="L0D_324785","",IF(O105="",CONCATENATE(";",EscStr(CONCATENATE("NavNode_",getCategoryLevelAsString($B105))),";",EscStr($J105),";"),CONCATENATE(";",EscStr(CONCATENATE("NavNode_",getCategoryLevelAsString($B105))),";",EscStr(O105),";")))</f>
        <v>;"NavNode_L3D_525369";"Koaksiaalkaabli ühendused";</v>
      </c>
      <c r="AI105" s="39" t="str">
        <f>IF(getCategoryLevelAsString($B105)="L0D_324785","",IF(P105="",CONCATENATE(";",EscStr(CONCATENATE("NavNode_",getCategoryLevelAsString($B105))),";",EscStr($J105),";"),CONCATENATE(";",EscStr(CONCATENATE("NavNode_",getCategoryLevelAsString($B105))),";",EscStr(P105),";")))</f>
        <v>;"NavNode_L3D_525369";"Koxiliittimet";</v>
      </c>
      <c r="AJ105" s="39" t="str">
        <f>IF(getCategoryLevelAsString($B105)="L0D_324785","",IF(Q105="",CONCATENATE(";",EscStr(CONCATENATE("NavNode_",getCategoryLevelAsString($B105))),";",EscStr($J105),";"),CONCATENATE(";",EscStr(CONCATENATE("NavNode_",getCategoryLevelAsString($B105))),";",EscStr(Q105),";")))</f>
        <v>;"NavNode_L3D_525369";"Koaksiālie savienotāji";</v>
      </c>
      <c r="AK105" s="39" t="str">
        <f>IF(getCategoryLevelAsString($B105)="L0D_324785","",IF(R105="",CONCATENATE(";",EscStr(CONCATENATE("NavNode_",getCategoryLevelAsString($B105))),";",EscStr($J105),";"),CONCATENATE(";",EscStr(CONCATENATE("NavNode_",getCategoryLevelAsString($B105))),";",EscStr(R105),";")))</f>
        <v>;"NavNode_L3D_525369";"Coax connectoren";</v>
      </c>
      <c r="AL105" s="39" t="str">
        <f>IF(getCategoryLevelAsString($B105)="L0D_324785","",IF(S105="",CONCATENATE(";",EscStr(CONCATENATE("NavNode_",getCategoryLevelAsString($B105))),";",EscStr($J105),";"),CONCATENATE(";",EscStr(CONCATENATE("NavNode_",getCategoryLevelAsString($B105))),";",EscStr(S105),";")))</f>
        <v>;"NavNode_L3D_525369";"Złącza koncentryczne";</v>
      </c>
      <c r="AM105" s="39" t="str">
        <f>IF(getCategoryLevelAsString($B105)="L0D_324785","",IF(T105="",CONCATENATE(";",EscStr(CONCATENATE("NavNode_",getCategoryLevelAsString($B105))),";",EscStr($J105),";"),CONCATENATE(";",EscStr(CONCATENATE("NavNode_",getCategoryLevelAsString($B105))),";",EscStr(T105),";")))</f>
        <v>;"NavNode_L3D_525369";"Коаксиальные соединители";</v>
      </c>
      <c r="AN105" s="39" t="str">
        <f>IF(getCategoryLevelAsString($B105)="L0D_324785","",IF(U105="",CONCATENATE(";",EscStr(CONCATENATE("NavNode_",getCategoryLevelAsString($B105))),";",EscStr($J105),";"),CONCATENATE(";",EscStr(CONCATENATE("NavNode_",getCategoryLevelAsString($B105))),";",EscStr(U105),";")))</f>
        <v>;"NavNode_L3D_525369";"Koaxiální konektory";</v>
      </c>
      <c r="AO105" s="39" t="str">
        <f>IF(getCategoryLevelAsString($B105)="L0D_324785","",IF(V105="",CONCATENATE(";",EscStr(CONCATENATE("NavNode_",getCategoryLevelAsString($B105))),";",EscStr($J105),";"),CONCATENATE(";",EscStr(CONCATENATE("NavNode_",getCategoryLevelAsString($B105))),";",EscStr(V105),";")))</f>
        <v>;"NavNode_L3D_525369";"Conectori coaxiali";</v>
      </c>
      <c r="AP105" s="39" t="str">
        <f>IF(getCategoryLevelAsString($B105)="L0D_324785","",IF(W105="",CONCATENATE(";",EscStr(CONCATENATE("NavNode_",getCategoryLevelAsString($B105))),";",EscStr($J105),";"),CONCATENATE(";",EscStr(CONCATENATE("NavNode_",getCategoryLevelAsString($B105))),";",EscStr(W105),";")))</f>
        <v>;"NavNode_L3D_525369";"Koaxiális csatlakozók";</v>
      </c>
      <c r="AQ105" s="39" t="str">
        <f>IF(getCategoryLevelAsString($B105)="L0D_324785","",IF(X105="",CONCATENATE(";",EscStr(CONCATENATE("NavNode_",getCategoryLevelAsString($B105))),";",EscStr($J105),";"),CONCATENATE(";",EscStr(CONCATENATE("NavNode_",getCategoryLevelAsString($B105))),";",EscStr(X105),";")))</f>
        <v>;"NavNode_L3D_525369";"Koaxiálny konektor";</v>
      </c>
      <c r="AR105" s="39" t="str">
        <f>IF(OR($A105&lt;&gt;"", $G105=""),"",CONCATENATE(";",EscStr(CONCATENATE("NavEntry_",getCategoryLevelAsString($B105))),";",EscStr(CONCATENATE($J105," Navigation Entry")),";",EscStr(CONCATENATE("cat-",getCategoryLevelAsString($B105))),";",EscStr(CONCATENATE("NavNode_",getCategoryLevelAsString($B105))),";"))</f>
        <v>;"NavEntry_L3D_525369";"Coaxial Connectors Navigation Entry";"cat-L3D_525369";"NavNode_L3D_525369";</v>
      </c>
    </row>
    <row r="106" spans="1:44" s="34" customFormat="1" ht="15" x14ac:dyDescent="0.25">
      <c r="A106" s="25"/>
      <c r="B106" s="5"/>
      <c r="C106" s="5" t="s">
        <v>23</v>
      </c>
      <c r="D106" s="5"/>
      <c r="E106" s="5"/>
      <c r="F106" s="5"/>
      <c r="G106" s="5" t="s">
        <v>435</v>
      </c>
      <c r="H106" s="5" t="s">
        <v>436</v>
      </c>
      <c r="I106" s="5" t="s">
        <v>437</v>
      </c>
      <c r="J106" s="5" t="s">
        <v>6</v>
      </c>
      <c r="K106" s="5" t="s">
        <v>1227</v>
      </c>
      <c r="L106" s="5" t="s">
        <v>1461</v>
      </c>
      <c r="M106" s="5" t="s">
        <v>1694</v>
      </c>
      <c r="N106" s="5" t="s">
        <v>1896</v>
      </c>
      <c r="O106" s="5" t="s">
        <v>2641</v>
      </c>
      <c r="P106" s="5" t="s">
        <v>2642</v>
      </c>
      <c r="Q106" s="5" t="s">
        <v>2643</v>
      </c>
      <c r="R106" s="5" t="s">
        <v>2644</v>
      </c>
      <c r="S106" s="5" t="s">
        <v>2645</v>
      </c>
      <c r="T106" s="5" t="s">
        <v>2646</v>
      </c>
      <c r="U106" s="5" t="s">
        <v>2647</v>
      </c>
      <c r="V106" s="5" t="s">
        <v>2648</v>
      </c>
      <c r="W106" s="5" t="s">
        <v>2649</v>
      </c>
      <c r="X106" s="5" t="s">
        <v>2647</v>
      </c>
      <c r="Y106" s="39" t="str">
        <f>IF(OR($A106&lt;&gt;"", $G106=""),"",CONCATENATE(";",EscStr(CONCATENATE("NavNode_",getCategoryLevelAsString($B106))),";",EscStr($J106),";",IF($B106&lt;&gt;"","""MainCategoryNavNode""",EscStr(CONCATENATE("NavNode_",getSuperCategory($B106, getCategoryLevelAsNumber($B106))))),";"))</f>
        <v>;"NavNode_L2D_379528";"Relays &amp; Switches";"NavNode_Electromechanical Components";</v>
      </c>
      <c r="Z106" s="39" t="str">
        <f>IF(getCategoryLevelAsString($B106)="L0D_324785","",IF(G106="",CONCATENATE(";",EscStr(CONCATENATE("NavNode_",getCategoryLevelAsString($B106))),";",EscStr($J106),";"),CONCATENATE(";",EscStr(CONCATENATE("NavNode_",getCategoryLevelAsString($B106))),";",EscStr(G106),";")))</f>
        <v>;"NavNode_L2D_379528";"Relais &amp; Schalter";</v>
      </c>
      <c r="AA106" s="39" t="str">
        <f>IF(getCategoryLevelAsString($B106)="L0D_324785","",IF(H106="",CONCATENATE(";",EscStr(CONCATENATE("NavNode_",getCategoryLevelAsString($B106))),";",EscStr($J106),";"),CONCATENATE(";",EscStr(CONCATENATE("NavNode_",getCategoryLevelAsString($B106))),";",EscStr(H106),";")))</f>
        <v>;"NavNode_L2D_379528";"Relais et commutateurs";</v>
      </c>
      <c r="AB106" s="39" t="str">
        <f>IF(getCategoryLevelAsString($B106)="L0D_324785","",IF(I106="",CONCATENATE(";",EscStr(CONCATENATE("NavNode_",getCategoryLevelAsString($B106))),";",EscStr($J106),";"),CONCATENATE(";",EscStr(CONCATENATE("NavNode_",getCategoryLevelAsString($B106))),";",EscStr(I106),";")))</f>
        <v>;"NavNode_L2D_379528";"Relè e interruttori";</v>
      </c>
      <c r="AC106" s="39" t="str">
        <f>IF(getCategoryLevelAsString($B106)="L0D_324785","",IF(J106="",CONCATENATE(";",EscStr(CONCATENATE("NavNode_",getCategoryLevelAsString($B106))),";",EscStr($J106),";"),CONCATENATE(";",EscStr(CONCATENATE("NavNode_",getCategoryLevelAsString($B106))),";",EscStr(J106),";")))</f>
        <v>;"NavNode_L2D_379528";"Relays &amp; Switches";</v>
      </c>
      <c r="AD106" s="39" t="str">
        <f>IF(getCategoryLevelAsString($B106)="L0D_324785","",IF(K106="",CONCATENATE(";",EscStr(CONCATENATE("NavNode_",getCategoryLevelAsString($B106))),";",EscStr($J106),";"),CONCATENATE(";",EscStr(CONCATENATE("NavNode_",getCategoryLevelAsString($B106))),";",EscStr(K106),";")))</f>
        <v>;"NavNode_L2D_379528";"Relæer &amp; kontakter";</v>
      </c>
      <c r="AE106" s="39" t="str">
        <f>IF(getCategoryLevelAsString($B106)="L0D_324785","",IF(L106="",CONCATENATE(";",EscStr(CONCATENATE("NavNode_",getCategoryLevelAsString($B106))),";",EscStr($J106),";"),CONCATENATE(";",EscStr(CONCATENATE("NavNode_",getCategoryLevelAsString($B106))),";",EscStr(L106),";")))</f>
        <v>;"NavNode_L2D_379528";"Relės ir jungikliai";</v>
      </c>
      <c r="AF106" s="39" t="str">
        <f>IF(getCategoryLevelAsString($B106)="L0D_324785","",IF(M106="",CONCATENATE(";",EscStr(CONCATENATE("NavNode_",getCategoryLevelAsString($B106))),";",EscStr($J106),";"),CONCATENATE(";",EscStr(CONCATENATE("NavNode_",getCategoryLevelAsString($B106))),";",EscStr(M106),";")))</f>
        <v>;"NavNode_L2D_379528";"Reléer og brytere";</v>
      </c>
      <c r="AG106" s="39" t="str">
        <f>IF(getCategoryLevelAsString($B106)="L0D_324785","",IF(N106="",CONCATENATE(";",EscStr(CONCATENATE("NavNode_",getCategoryLevelAsString($B106))),";",EscStr($J106),";"),CONCATENATE(";",EscStr(CONCATENATE("NavNode_",getCategoryLevelAsString($B106))),";",EscStr(N106),";")))</f>
        <v>;"NavNode_L2D_379528";"Reläer och strömställare";</v>
      </c>
      <c r="AH106" s="39" t="str">
        <f>IF(getCategoryLevelAsString($B106)="L0D_324785","",IF(O106="",CONCATENATE(";",EscStr(CONCATENATE("NavNode_",getCategoryLevelAsString($B106))),";",EscStr($J106),";"),CONCATENATE(";",EscStr(CONCATENATE("NavNode_",getCategoryLevelAsString($B106))),";",EscStr(O106),";")))</f>
        <v>;"NavNode_L2D_379528";"Releed ja lülitid";</v>
      </c>
      <c r="AI106" s="39" t="str">
        <f>IF(getCategoryLevelAsString($B106)="L0D_324785","",IF(P106="",CONCATENATE(";",EscStr(CONCATENATE("NavNode_",getCategoryLevelAsString($B106))),";",EscStr($J106),";"),CONCATENATE(";",EscStr(CONCATENATE("NavNode_",getCategoryLevelAsString($B106))),";",EscStr(P106),";")))</f>
        <v>;"NavNode_L2D_379528";"Releet ja kytkimet";</v>
      </c>
      <c r="AJ106" s="39" t="str">
        <f>IF(getCategoryLevelAsString($B106)="L0D_324785","",IF(Q106="",CONCATENATE(";",EscStr(CONCATENATE("NavNode_",getCategoryLevelAsString($B106))),";",EscStr($J106),";"),CONCATENATE(";",EscStr(CONCATENATE("NavNode_",getCategoryLevelAsString($B106))),";",EscStr(Q106),";")))</f>
        <v>;"NavNode_L2D_379528";"Releji un slēdži";</v>
      </c>
      <c r="AK106" s="39" t="str">
        <f>IF(getCategoryLevelAsString($B106)="L0D_324785","",IF(R106="",CONCATENATE(";",EscStr(CONCATENATE("NavNode_",getCategoryLevelAsString($B106))),";",EscStr($J106),";"),CONCATENATE(";",EscStr(CONCATENATE("NavNode_",getCategoryLevelAsString($B106))),";",EscStr(R106),";")))</f>
        <v>;"NavNode_L2D_379528";"Relais &amp; Schakelaars";</v>
      </c>
      <c r="AL106" s="39" t="str">
        <f>IF(getCategoryLevelAsString($B106)="L0D_324785","",IF(S106="",CONCATENATE(";",EscStr(CONCATENATE("NavNode_",getCategoryLevelAsString($B106))),";",EscStr($J106),";"),CONCATENATE(";",EscStr(CONCATENATE("NavNode_",getCategoryLevelAsString($B106))),";",EscStr(S106),";")))</f>
        <v>;"NavNode_L2D_379528";"Przekaźniki i Przełączniki";</v>
      </c>
      <c r="AM106" s="39" t="str">
        <f>IF(getCategoryLevelAsString($B106)="L0D_324785","",IF(T106="",CONCATENATE(";",EscStr(CONCATENATE("NavNode_",getCategoryLevelAsString($B106))),";",EscStr($J106),";"),CONCATENATE(";",EscStr(CONCATENATE("NavNode_",getCategoryLevelAsString($B106))),";",EscStr(T106),";")))</f>
        <v>;"NavNode_L2D_379528";"Реле и Пеключатели";</v>
      </c>
      <c r="AN106" s="39" t="str">
        <f>IF(getCategoryLevelAsString($B106)="L0D_324785","",IF(U106="",CONCATENATE(";",EscStr(CONCATENATE("NavNode_",getCategoryLevelAsString($B106))),";",EscStr($J106),";"),CONCATENATE(";",EscStr(CONCATENATE("NavNode_",getCategoryLevelAsString($B106))),";",EscStr(U106),";")))</f>
        <v>;"NavNode_L2D_379528";"Relé a spínače";</v>
      </c>
      <c r="AO106" s="39" t="str">
        <f>IF(getCategoryLevelAsString($B106)="L0D_324785","",IF(V106="",CONCATENATE(";",EscStr(CONCATENATE("NavNode_",getCategoryLevelAsString($B106))),";",EscStr($J106),";"),CONCATENATE(";",EscStr(CONCATENATE("NavNode_",getCategoryLevelAsString($B106))),";",EscStr(V106),";")))</f>
        <v>;"NavNode_L2D_379528";"Relee şi Întrerupătoare";</v>
      </c>
      <c r="AP106" s="39" t="str">
        <f>IF(getCategoryLevelAsString($B106)="L0D_324785","",IF(W106="",CONCATENATE(";",EscStr(CONCATENATE("NavNode_",getCategoryLevelAsString($B106))),";",EscStr($J106),";"),CONCATENATE(";",EscStr(CONCATENATE("NavNode_",getCategoryLevelAsString($B106))),";",EscStr(W106),";")))</f>
        <v>;"NavNode_L2D_379528";"Jelfogók és kapcsolók";</v>
      </c>
      <c r="AQ106" s="39" t="str">
        <f>IF(getCategoryLevelAsString($B106)="L0D_324785","",IF(X106="",CONCATENATE(";",EscStr(CONCATENATE("NavNode_",getCategoryLevelAsString($B106))),";",EscStr($J106),";"),CONCATENATE(";",EscStr(CONCATENATE("NavNode_",getCategoryLevelAsString($B106))),";",EscStr(X106),";")))</f>
        <v>;"NavNode_L2D_379528";"Relé a spínače";</v>
      </c>
      <c r="AR106" s="39" t="str">
        <f>IF(OR($A106&lt;&gt;"", $G106=""),"",CONCATENATE(";",EscStr(CONCATENATE("NavEntry_",getCategoryLevelAsString($B106))),";",EscStr(CONCATENATE($J106," Navigation Entry")),";",EscStr(CONCATENATE("cat-",getCategoryLevelAsString($B106))),";",EscStr(CONCATENATE("NavNode_",getCategoryLevelAsString($B106))),";"))</f>
        <v>;"NavEntry_L2D_379528";"Relays &amp; Switches Navigation Entry";"cat-L2D_379528";"NavNode_L2D_379528";</v>
      </c>
    </row>
    <row r="107" spans="1:44" s="34" customFormat="1" ht="15" x14ac:dyDescent="0.25">
      <c r="A107" s="25"/>
      <c r="B107" s="5"/>
      <c r="C107" s="5"/>
      <c r="D107" s="5" t="s">
        <v>183</v>
      </c>
      <c r="E107" s="5"/>
      <c r="F107" s="5"/>
      <c r="G107" s="5" t="s">
        <v>450</v>
      </c>
      <c r="H107" s="41" t="s">
        <v>13635</v>
      </c>
      <c r="I107" s="5" t="s">
        <v>452</v>
      </c>
      <c r="J107" s="5" t="s">
        <v>184</v>
      </c>
      <c r="K107" s="5" t="s">
        <v>1228</v>
      </c>
      <c r="L107" s="5" t="s">
        <v>1462</v>
      </c>
      <c r="M107" s="5" t="s">
        <v>1695</v>
      </c>
      <c r="N107" s="5" t="s">
        <v>1897</v>
      </c>
      <c r="O107" s="5" t="s">
        <v>2650</v>
      </c>
      <c r="P107" s="5" t="s">
        <v>2651</v>
      </c>
      <c r="Q107" s="5" t="s">
        <v>2652</v>
      </c>
      <c r="R107" s="5" t="s">
        <v>2653</v>
      </c>
      <c r="S107" s="5" t="s">
        <v>2654</v>
      </c>
      <c r="T107" s="5" t="s">
        <v>2655</v>
      </c>
      <c r="U107" s="5" t="s">
        <v>2656</v>
      </c>
      <c r="V107" s="5" t="s">
        <v>2657</v>
      </c>
      <c r="W107" s="5" t="s">
        <v>2658</v>
      </c>
      <c r="X107" s="5" t="s">
        <v>14857</v>
      </c>
      <c r="Y107" s="39" t="str">
        <f>IF(OR($A107&lt;&gt;"", $G107=""),"",CONCATENATE(";",EscStr(CONCATENATE("NavNode_",getCategoryLevelAsString($B107))),";",EscStr($J107),";",IF($B107&lt;&gt;"","""MainCategoryNavNode""",EscStr(CONCATENATE("NavNode_",getSuperCategory($B107, getCategoryLevelAsNumber($B107))))),";"))</f>
        <v>;"NavNode_L3D_525370";"PCB Relays";"NavNode_L2D_379528";</v>
      </c>
      <c r="Z107" s="39" t="str">
        <f>IF(getCategoryLevelAsString($B107)="L0D_324785","",IF(G107="",CONCATENATE(";",EscStr(CONCATENATE("NavNode_",getCategoryLevelAsString($B107))),";",EscStr($J107),";"),CONCATENATE(";",EscStr(CONCATENATE("NavNode_",getCategoryLevelAsString($B107))),";",EscStr(G107),";")))</f>
        <v>;"NavNode_L3D_525370";"Printrelais";</v>
      </c>
      <c r="AA107" s="39" t="str">
        <f>IF(getCategoryLevelAsString($B107)="L0D_324785","",IF(H107="",CONCATENATE(";",EscStr(CONCATENATE("NavNode_",getCategoryLevelAsString($B107))),";",EscStr($J107),";"),CONCATENATE(";",EscStr(CONCATENATE("NavNode_",getCategoryLevelAsString($B107))),";",EscStr(H107),";")))</f>
        <v>;"NavNode_L3D_525370";"Relais pour circuits imprimés";</v>
      </c>
      <c r="AB107" s="39" t="str">
        <f>IF(getCategoryLevelAsString($B107)="L0D_324785","",IF(I107="",CONCATENATE(";",EscStr(CONCATENATE("NavNode_",getCategoryLevelAsString($B107))),";",EscStr($J107),";"),CONCATENATE(";",EscStr(CONCATENATE("NavNode_",getCategoryLevelAsString($B107))),";",EscStr(I107),";")))</f>
        <v>;"NavNode_L3D_525370";"Relè PCB";</v>
      </c>
      <c r="AC107" s="39" t="str">
        <f>IF(getCategoryLevelAsString($B107)="L0D_324785","",IF(J107="",CONCATENATE(";",EscStr(CONCATENATE("NavNode_",getCategoryLevelAsString($B107))),";",EscStr($J107),";"),CONCATENATE(";",EscStr(CONCATENATE("NavNode_",getCategoryLevelAsString($B107))),";",EscStr(J107),";")))</f>
        <v>;"NavNode_L3D_525370";"PCB Relays";</v>
      </c>
      <c r="AD107" s="39" t="str">
        <f>IF(getCategoryLevelAsString($B107)="L0D_324785","",IF(K107="",CONCATENATE(";",EscStr(CONCATENATE("NavNode_",getCategoryLevelAsString($B107))),";",EscStr($J107),";"),CONCATENATE(";",EscStr(CONCATENATE("NavNode_",getCategoryLevelAsString($B107))),";",EscStr(K107),";")))</f>
        <v>;"NavNode_L3D_525370";"PCB-relæer";</v>
      </c>
      <c r="AE107" s="39" t="str">
        <f>IF(getCategoryLevelAsString($B107)="L0D_324785","",IF(L107="",CONCATENATE(";",EscStr(CONCATENATE("NavNode_",getCategoryLevelAsString($B107))),";",EscStr($J107),";"),CONCATENATE(";",EscStr(CONCATENATE("NavNode_",getCategoryLevelAsString($B107))),";",EscStr(L107),";")))</f>
        <v>;"NavNode_L3D_525370";"PCB relės";</v>
      </c>
      <c r="AF107" s="39" t="str">
        <f>IF(getCategoryLevelAsString($B107)="L0D_324785","",IF(M107="",CONCATENATE(";",EscStr(CONCATENATE("NavNode_",getCategoryLevelAsString($B107))),";",EscStr($J107),";"),CONCATENATE(";",EscStr(CONCATENATE("NavNode_",getCategoryLevelAsString($B107))),";",EscStr(M107),";")))</f>
        <v>;"NavNode_L3D_525370";"PCB-reléer";</v>
      </c>
      <c r="AG107" s="39" t="str">
        <f>IF(getCategoryLevelAsString($B107)="L0D_324785","",IF(N107="",CONCATENATE(";",EscStr(CONCATENATE("NavNode_",getCategoryLevelAsString($B107))),";",EscStr($J107),";"),CONCATENATE(";",EscStr(CONCATENATE("NavNode_",getCategoryLevelAsString($B107))),";",EscStr(N107),";")))</f>
        <v>;"NavNode_L3D_525370";"Kretskortsreläer";</v>
      </c>
      <c r="AH107" s="39" t="str">
        <f>IF(getCategoryLevelAsString($B107)="L0D_324785","",IF(O107="",CONCATENATE(";",EscStr(CONCATENATE("NavNode_",getCategoryLevelAsString($B107))),";",EscStr($J107),";"),CONCATENATE(";",EscStr(CONCATENATE("NavNode_",getCategoryLevelAsString($B107))),";",EscStr(O107),";")))</f>
        <v>;"NavNode_L3D_525370";"Trükkplaadi releed";</v>
      </c>
      <c r="AI107" s="39" t="str">
        <f>IF(getCategoryLevelAsString($B107)="L0D_324785","",IF(P107="",CONCATENATE(";",EscStr(CONCATENATE("NavNode_",getCategoryLevelAsString($B107))),";",EscStr($J107),";"),CONCATENATE(";",EscStr(CONCATENATE("NavNode_",getCategoryLevelAsString($B107))),";",EscStr(P107),";")))</f>
        <v>;"NavNode_L3D_525370";"PCB releet";</v>
      </c>
      <c r="AJ107" s="39" t="str">
        <f>IF(getCategoryLevelAsString($B107)="L0D_324785","",IF(Q107="",CONCATENATE(";",EscStr(CONCATENATE("NavNode_",getCategoryLevelAsString($B107))),";",EscStr($J107),";"),CONCATENATE(";",EscStr(CONCATENATE("NavNode_",getCategoryLevelAsString($B107))),";",EscStr(Q107),";")))</f>
        <v>;"NavNode_L3D_525370";"PCB releji";</v>
      </c>
      <c r="AK107" s="39" t="str">
        <f>IF(getCategoryLevelAsString($B107)="L0D_324785","",IF(R107="",CONCATENATE(";",EscStr(CONCATENATE("NavNode_",getCategoryLevelAsString($B107))),";",EscStr($J107),";"),CONCATENATE(";",EscStr(CONCATENATE("NavNode_",getCategoryLevelAsString($B107))),";",EscStr(R107),";")))</f>
        <v>;"NavNode_L3D_525370";"PCB Relais";</v>
      </c>
      <c r="AL107" s="39" t="str">
        <f>IF(getCategoryLevelAsString($B107)="L0D_324785","",IF(S107="",CONCATENATE(";",EscStr(CONCATENATE("NavNode_",getCategoryLevelAsString($B107))),";",EscStr($J107),";"),CONCATENATE(";",EscStr(CONCATENATE("NavNode_",getCategoryLevelAsString($B107))),";",EscStr(S107),";")))</f>
        <v>;"NavNode_L3D_525370";"Przekaźniki do druku";</v>
      </c>
      <c r="AM107" s="39" t="str">
        <f>IF(getCategoryLevelAsString($B107)="L0D_324785","",IF(T107="",CONCATENATE(";",EscStr(CONCATENATE("NavNode_",getCategoryLevelAsString($B107))),";",EscStr($J107),";"),CONCATENATE(";",EscStr(CONCATENATE("NavNode_",getCategoryLevelAsString($B107))),";",EscStr(T107),";")))</f>
        <v>;"NavNode_L3D_525370";"Реле на печатную плату";</v>
      </c>
      <c r="AN107" s="39" t="str">
        <f>IF(getCategoryLevelAsString($B107)="L0D_324785","",IF(U107="",CONCATENATE(";",EscStr(CONCATENATE("NavNode_",getCategoryLevelAsString($B107))),";",EscStr($J107),";"),CONCATENATE(";",EscStr(CONCATENATE("NavNode_",getCategoryLevelAsString($B107))),";",EscStr(U107),";")))</f>
        <v>;"NavNode_L3D_525370";"Relé pro desky plošných spojů";</v>
      </c>
      <c r="AO107" s="39" t="str">
        <f>IF(getCategoryLevelAsString($B107)="L0D_324785","",IF(V107="",CONCATENATE(";",EscStr(CONCATENATE("NavNode_",getCategoryLevelAsString($B107))),";",EscStr($J107),";"),CONCATENATE(";",EscStr(CONCATENATE("NavNode_",getCategoryLevelAsString($B107))),";",EscStr(V107),";")))</f>
        <v>;"NavNode_L3D_525370";"Releu PCB";</v>
      </c>
      <c r="AP107" s="39" t="str">
        <f>IF(getCategoryLevelAsString($B107)="L0D_324785","",IF(W107="",CONCATENATE(";",EscStr(CONCATENATE("NavNode_",getCategoryLevelAsString($B107))),";",EscStr($J107),";"),CONCATENATE(";",EscStr(CONCATENATE("NavNode_",getCategoryLevelAsString($B107))),";",EscStr(W107),";")))</f>
        <v>;"NavNode_L3D_525370";"NYÁK-ba ültethető jelfogók";</v>
      </c>
      <c r="AQ107" s="39" t="str">
        <f>IF(getCategoryLevelAsString($B107)="L0D_324785","",IF(X107="",CONCATENATE(";",EscStr(CONCATENATE("NavNode_",getCategoryLevelAsString($B107))),";",EscStr($J107),";"),CONCATENATE(";",EscStr(CONCATENATE("NavNode_",getCategoryLevelAsString($B107))),";",EscStr(X107),";")))</f>
        <v>;"NavNode_L3D_525370";"Relé pre dosky plošných spojov";</v>
      </c>
      <c r="AR107" s="39" t="str">
        <f>IF(OR($A107&lt;&gt;"", $G107=""),"",CONCATENATE(";",EscStr(CONCATENATE("NavEntry_",getCategoryLevelAsString($B107))),";",EscStr(CONCATENATE($J107," Navigation Entry")),";",EscStr(CONCATENATE("cat-",getCategoryLevelAsString($B107))),";",EscStr(CONCATENATE("NavNode_",getCategoryLevelAsString($B107))),";"))</f>
        <v>;"NavEntry_L3D_525370";"PCB Relays Navigation Entry";"cat-L3D_525370";"NavNode_L3D_525370";</v>
      </c>
    </row>
    <row r="108" spans="1:44" s="34" customFormat="1" ht="15" x14ac:dyDescent="0.25">
      <c r="A108" s="25"/>
      <c r="B108" s="5"/>
      <c r="C108" s="5"/>
      <c r="D108" s="5" t="s">
        <v>175</v>
      </c>
      <c r="E108" s="5"/>
      <c r="F108" s="5"/>
      <c r="G108" s="5" t="s">
        <v>438</v>
      </c>
      <c r="H108" s="5" t="s">
        <v>439</v>
      </c>
      <c r="I108" s="5" t="s">
        <v>440</v>
      </c>
      <c r="J108" s="5" t="s">
        <v>176</v>
      </c>
      <c r="K108" s="5" t="s">
        <v>1229</v>
      </c>
      <c r="L108" s="5" t="s">
        <v>1463</v>
      </c>
      <c r="M108" s="5" t="s">
        <v>1696</v>
      </c>
      <c r="N108" s="5" t="s">
        <v>1898</v>
      </c>
      <c r="O108" s="5" t="s">
        <v>2659</v>
      </c>
      <c r="P108" s="5" t="s">
        <v>2660</v>
      </c>
      <c r="Q108" s="5" t="s">
        <v>2661</v>
      </c>
      <c r="R108" s="5" t="s">
        <v>2662</v>
      </c>
      <c r="S108" s="5" t="s">
        <v>2663</v>
      </c>
      <c r="T108" s="5" t="s">
        <v>2664</v>
      </c>
      <c r="U108" s="5" t="s">
        <v>2665</v>
      </c>
      <c r="V108" s="5" t="s">
        <v>2666</v>
      </c>
      <c r="W108" s="5" t="s">
        <v>2667</v>
      </c>
      <c r="X108" s="5" t="s">
        <v>14858</v>
      </c>
      <c r="Y108" s="39" t="str">
        <f>IF(OR($A108&lt;&gt;"", $G108=""),"",CONCATENATE(";",EscStr(CONCATENATE("NavNode_",getCategoryLevelAsString($B108))),";",EscStr($J108),";",IF($B108&lt;&gt;"","""MainCategoryNavNode""",EscStr(CONCATENATE("NavNode_",getSuperCategory($B108, getCategoryLevelAsNumber($B108))))),";"))</f>
        <v>;"NavNode_L3D_525371";"Industrial Relays";"NavNode_L2D_379528";</v>
      </c>
      <c r="Z108" s="39" t="str">
        <f>IF(getCategoryLevelAsString($B108)="L0D_324785","",IF(G108="",CONCATENATE(";",EscStr(CONCATENATE("NavNode_",getCategoryLevelAsString($B108))),";",EscStr($J108),";"),CONCATENATE(";",EscStr(CONCATENATE("NavNode_",getCategoryLevelAsString($B108))),";",EscStr(G108),";")))</f>
        <v>;"NavNode_L3D_525371";"Industrierelais";</v>
      </c>
      <c r="AA108" s="39" t="str">
        <f>IF(getCategoryLevelAsString($B108)="L0D_324785","",IF(H108="",CONCATENATE(";",EscStr(CONCATENATE("NavNode_",getCategoryLevelAsString($B108))),";",EscStr($J108),";"),CONCATENATE(";",EscStr(CONCATENATE("NavNode_",getCategoryLevelAsString($B108))),";",EscStr(H108),";")))</f>
        <v>;"NavNode_L3D_525371";"Relais industriels";</v>
      </c>
      <c r="AB108" s="39" t="str">
        <f>IF(getCategoryLevelAsString($B108)="L0D_324785","",IF(I108="",CONCATENATE(";",EscStr(CONCATENATE("NavNode_",getCategoryLevelAsString($B108))),";",EscStr($J108),";"),CONCATENATE(";",EscStr(CONCATENATE("NavNode_",getCategoryLevelAsString($B108))),";",EscStr(I108),";")))</f>
        <v>;"NavNode_L3D_525371";"Relè industriali";</v>
      </c>
      <c r="AC108" s="39" t="str">
        <f>IF(getCategoryLevelAsString($B108)="L0D_324785","",IF(J108="",CONCATENATE(";",EscStr(CONCATENATE("NavNode_",getCategoryLevelAsString($B108))),";",EscStr($J108),";"),CONCATENATE(";",EscStr(CONCATENATE("NavNode_",getCategoryLevelAsString($B108))),";",EscStr(J108),";")))</f>
        <v>;"NavNode_L3D_525371";"Industrial Relays";</v>
      </c>
      <c r="AD108" s="39" t="str">
        <f>IF(getCategoryLevelAsString($B108)="L0D_324785","",IF(K108="",CONCATENATE(";",EscStr(CONCATENATE("NavNode_",getCategoryLevelAsString($B108))),";",EscStr($J108),";"),CONCATENATE(";",EscStr(CONCATENATE("NavNode_",getCategoryLevelAsString($B108))),";",EscStr(K108),";")))</f>
        <v>;"NavNode_L3D_525371";"Industrirelæer";</v>
      </c>
      <c r="AE108" s="39" t="str">
        <f>IF(getCategoryLevelAsString($B108)="L0D_324785","",IF(L108="",CONCATENATE(";",EscStr(CONCATENATE("NavNode_",getCategoryLevelAsString($B108))),";",EscStr($J108),";"),CONCATENATE(";",EscStr(CONCATENATE("NavNode_",getCategoryLevelAsString($B108))),";",EscStr(L108),";")))</f>
        <v>;"NavNode_L3D_525371";"Pramoninės relės";</v>
      </c>
      <c r="AF108" s="39" t="str">
        <f>IF(getCategoryLevelAsString($B108)="L0D_324785","",IF(M108="",CONCATENATE(";",EscStr(CONCATENATE("NavNode_",getCategoryLevelAsString($B108))),";",EscStr($J108),";"),CONCATENATE(";",EscStr(CONCATENATE("NavNode_",getCategoryLevelAsString($B108))),";",EscStr(M108),";")))</f>
        <v>;"NavNode_L3D_525371";"Industrielle reléer";</v>
      </c>
      <c r="AG108" s="39" t="str">
        <f>IF(getCategoryLevelAsString($B108)="L0D_324785","",IF(N108="",CONCATENATE(";",EscStr(CONCATENATE("NavNode_",getCategoryLevelAsString($B108))),";",EscStr($J108),";"),CONCATENATE(";",EscStr(CONCATENATE("NavNode_",getCategoryLevelAsString($B108))),";",EscStr(N108),";")))</f>
        <v>;"NavNode_L3D_525371";"Industrireläer";</v>
      </c>
      <c r="AH108" s="39" t="str">
        <f>IF(getCategoryLevelAsString($B108)="L0D_324785","",IF(O108="",CONCATENATE(";",EscStr(CONCATENATE("NavNode_",getCategoryLevelAsString($B108))),";",EscStr($J108),";"),CONCATENATE(";",EscStr(CONCATENATE("NavNode_",getCategoryLevelAsString($B108))),";",EscStr(O108),";")))</f>
        <v>;"NavNode_L3D_525371";"Tööstuslikud releed";</v>
      </c>
      <c r="AI108" s="39" t="str">
        <f>IF(getCategoryLevelAsString($B108)="L0D_324785","",IF(P108="",CONCATENATE(";",EscStr(CONCATENATE("NavNode_",getCategoryLevelAsString($B108))),";",EscStr($J108),";"),CONCATENATE(";",EscStr(CONCATENATE("NavNode_",getCategoryLevelAsString($B108))),";",EscStr(P108),";")))</f>
        <v>;"NavNode_L3D_525371";"Industrial releet";</v>
      </c>
      <c r="AJ108" s="39" t="str">
        <f>IF(getCategoryLevelAsString($B108)="L0D_324785","",IF(Q108="",CONCATENATE(";",EscStr(CONCATENATE("NavNode_",getCategoryLevelAsString($B108))),";",EscStr($J108),";"),CONCATENATE(";",EscStr(CONCATENATE("NavNode_",getCategoryLevelAsString($B108))),";",EscStr(Q108),";")))</f>
        <v>;"NavNode_L3D_525371";"Industriālie releji";</v>
      </c>
      <c r="AK108" s="39" t="str">
        <f>IF(getCategoryLevelAsString($B108)="L0D_324785","",IF(R108="",CONCATENATE(";",EscStr(CONCATENATE("NavNode_",getCategoryLevelAsString($B108))),";",EscStr($J108),";"),CONCATENATE(";",EscStr(CONCATENATE("NavNode_",getCategoryLevelAsString($B108))),";",EscStr(R108),";")))</f>
        <v>;"NavNode_L3D_525371";"Industriele Relais";</v>
      </c>
      <c r="AL108" s="39" t="str">
        <f>IF(getCategoryLevelAsString($B108)="L0D_324785","",IF(S108="",CONCATENATE(";",EscStr(CONCATENATE("NavNode_",getCategoryLevelAsString($B108))),";",EscStr($J108),";"),CONCATENATE(";",EscStr(CONCATENATE("NavNode_",getCategoryLevelAsString($B108))),";",EscStr(S108),";")))</f>
        <v>;"NavNode_L3D_525371";"Przekaźniki przemysłowe";</v>
      </c>
      <c r="AM108" s="39" t="str">
        <f>IF(getCategoryLevelAsString($B108)="L0D_324785","",IF(T108="",CONCATENATE(";",EscStr(CONCATENATE("NavNode_",getCategoryLevelAsString($B108))),";",EscStr($J108),";"),CONCATENATE(";",EscStr(CONCATENATE("NavNode_",getCategoryLevelAsString($B108))),";",EscStr(T108),";")))</f>
        <v>;"NavNode_L3D_525371";"Промышленные реле";</v>
      </c>
      <c r="AN108" s="39" t="str">
        <f>IF(getCategoryLevelAsString($B108)="L0D_324785","",IF(U108="",CONCATENATE(";",EscStr(CONCATENATE("NavNode_",getCategoryLevelAsString($B108))),";",EscStr($J108),";"),CONCATENATE(";",EscStr(CONCATENATE("NavNode_",getCategoryLevelAsString($B108))),";",EscStr(U108),";")))</f>
        <v>;"NavNode_L3D_525371";"Průmyslová relé";</v>
      </c>
      <c r="AO108" s="39" t="str">
        <f>IF(getCategoryLevelAsString($B108)="L0D_324785","",IF(V108="",CONCATENATE(";",EscStr(CONCATENATE("NavNode_",getCategoryLevelAsString($B108))),";",EscStr($J108),";"),CONCATENATE(";",EscStr(CONCATENATE("NavNode_",getCategoryLevelAsString($B108))),";",EscStr(V108),";")))</f>
        <v>;"NavNode_L3D_525371";"Relee industriale";</v>
      </c>
      <c r="AP108" s="39" t="str">
        <f>IF(getCategoryLevelAsString($B108)="L0D_324785","",IF(W108="",CONCATENATE(";",EscStr(CONCATENATE("NavNode_",getCategoryLevelAsString($B108))),";",EscStr($J108),";"),CONCATENATE(";",EscStr(CONCATENATE("NavNode_",getCategoryLevelAsString($B108))),";",EscStr(W108),";")))</f>
        <v>;"NavNode_L3D_525371";"Ipari jelfogók";</v>
      </c>
      <c r="AQ108" s="39" t="str">
        <f>IF(getCategoryLevelAsString($B108)="L0D_324785","",IF(X108="",CONCATENATE(";",EscStr(CONCATENATE("NavNode_",getCategoryLevelAsString($B108))),";",EscStr($J108),";"),CONCATENATE(";",EscStr(CONCATENATE("NavNode_",getCategoryLevelAsString($B108))),";",EscStr(X108),";")))</f>
        <v>;"NavNode_L3D_525371";"Priemyselné relé";</v>
      </c>
      <c r="AR108" s="39" t="str">
        <f>IF(OR($A108&lt;&gt;"", $G108=""),"",CONCATENATE(";",EscStr(CONCATENATE("NavEntry_",getCategoryLevelAsString($B108))),";",EscStr(CONCATENATE($J108," Navigation Entry")),";",EscStr(CONCATENATE("cat-",getCategoryLevelAsString($B108))),";",EscStr(CONCATENATE("NavNode_",getCategoryLevelAsString($B108))),";"))</f>
        <v>;"NavEntry_L3D_525371";"Industrial Relays Navigation Entry";"cat-L3D_525371";"NavNode_L3D_525371";</v>
      </c>
    </row>
    <row r="109" spans="1:44" s="34" customFormat="1" ht="15" x14ac:dyDescent="0.25">
      <c r="A109" s="25"/>
      <c r="B109" s="5"/>
      <c r="C109" s="5"/>
      <c r="D109" s="5" t="s">
        <v>185</v>
      </c>
      <c r="E109" s="5"/>
      <c r="F109" s="5"/>
      <c r="G109" s="5" t="s">
        <v>989</v>
      </c>
      <c r="H109" s="5" t="s">
        <v>1092</v>
      </c>
      <c r="I109" s="5" t="s">
        <v>1151</v>
      </c>
      <c r="J109" s="5" t="s">
        <v>186</v>
      </c>
      <c r="K109" s="5" t="s">
        <v>1230</v>
      </c>
      <c r="L109" s="5" t="s">
        <v>1464</v>
      </c>
      <c r="M109" s="5" t="s">
        <v>1697</v>
      </c>
      <c r="N109" s="5" t="s">
        <v>1899</v>
      </c>
      <c r="O109" s="5" t="s">
        <v>2668</v>
      </c>
      <c r="P109" s="5" t="s">
        <v>2669</v>
      </c>
      <c r="Q109" s="5" t="s">
        <v>2670</v>
      </c>
      <c r="R109" s="5" t="s">
        <v>2671</v>
      </c>
      <c r="S109" s="5" t="s">
        <v>2672</v>
      </c>
      <c r="T109" s="5" t="s">
        <v>2673</v>
      </c>
      <c r="U109" s="5" t="s">
        <v>2674</v>
      </c>
      <c r="V109" s="5" t="s">
        <v>2675</v>
      </c>
      <c r="W109" s="5" t="s">
        <v>2676</v>
      </c>
      <c r="X109" s="5" t="s">
        <v>14859</v>
      </c>
      <c r="Y109" s="39" t="str">
        <f>IF(OR($A109&lt;&gt;"", $G109=""),"",CONCATENATE(";",EscStr(CONCATENATE("NavNode_",getCategoryLevelAsString($B109))),";",EscStr($J109),";",IF($B109&lt;&gt;"","""MainCategoryNavNode""",EscStr(CONCATENATE("NavNode_",getSuperCategory($B109, getCategoryLevelAsNumber($B109))))),";"))</f>
        <v>;"NavNode_L3D_525372";"Reed Relays / Reed Contacts / Magnets";"NavNode_L2D_379528";</v>
      </c>
      <c r="Z109" s="39" t="str">
        <f>IF(getCategoryLevelAsString($B109)="L0D_324785","",IF(G109="",CONCATENATE(";",EscStr(CONCATENATE("NavNode_",getCategoryLevelAsString($B109))),";",EscStr($J109),";"),CONCATENATE(";",EscStr(CONCATENATE("NavNode_",getCategoryLevelAsString($B109))),";",EscStr(G109),";")))</f>
        <v>;"NavNode_L3D_525372";"Reed-Relais / Reedkontakte / Magnete";</v>
      </c>
      <c r="AA109" s="39" t="str">
        <f>IF(getCategoryLevelAsString($B109)="L0D_324785","",IF(H109="",CONCATENATE(";",EscStr(CONCATENATE("NavNode_",getCategoryLevelAsString($B109))),";",EscStr($J109),";"),CONCATENATE(";",EscStr(CONCATENATE("NavNode_",getCategoryLevelAsString($B109))),";",EscStr(H109),";")))</f>
        <v>;"NavNode_L3D_525372";"Relais Reed / Contacts Reed / Aimants";</v>
      </c>
      <c r="AB109" s="39" t="str">
        <f>IF(getCategoryLevelAsString($B109)="L0D_324785","",IF(I109="",CONCATENATE(";",EscStr(CONCATENATE("NavNode_",getCategoryLevelAsString($B109))),";",EscStr($J109),";"),CONCATENATE(";",EscStr(CONCATENATE("NavNode_",getCategoryLevelAsString($B109))),";",EscStr(I109),";")))</f>
        <v>;"NavNode_L3D_525372";"Relè reed / Contatti reed / Magneti";</v>
      </c>
      <c r="AC109" s="39" t="str">
        <f>IF(getCategoryLevelAsString($B109)="L0D_324785","",IF(J109="",CONCATENATE(";",EscStr(CONCATENATE("NavNode_",getCategoryLevelAsString($B109))),";",EscStr($J109),";"),CONCATENATE(";",EscStr(CONCATENATE("NavNode_",getCategoryLevelAsString($B109))),";",EscStr(J109),";")))</f>
        <v>;"NavNode_L3D_525372";"Reed Relays / Reed Contacts / Magnets";</v>
      </c>
      <c r="AD109" s="39" t="str">
        <f>IF(getCategoryLevelAsString($B109)="L0D_324785","",IF(K109="",CONCATENATE(";",EscStr(CONCATENATE("NavNode_",getCategoryLevelAsString($B109))),";",EscStr($J109),";"),CONCATENATE(";",EscStr(CONCATENATE("NavNode_",getCategoryLevelAsString($B109))),";",EscStr(K109),";")))</f>
        <v>;"NavNode_L3D_525372";"Reed-relæer/reed-kontakter/magneter";</v>
      </c>
      <c r="AE109" s="39" t="str">
        <f>IF(getCategoryLevelAsString($B109)="L0D_324785","",IF(L109="",CONCATENATE(";",EscStr(CONCATENATE("NavNode_",getCategoryLevelAsString($B109))),";",EscStr($J109),";"),CONCATENATE(";",EscStr(CONCATENATE("NavNode_",getCategoryLevelAsString($B109))),";",EscStr(L109),";")))</f>
        <v>;"NavNode_L3D_525372";"Relės su sandariaisiais kontaktais / sandarieji kontaktai / magnetai";</v>
      </c>
      <c r="AF109" s="39" t="str">
        <f>IF(getCategoryLevelAsString($B109)="L0D_324785","",IF(M109="",CONCATENATE(";",EscStr(CONCATENATE("NavNode_",getCategoryLevelAsString($B109))),";",EscStr($J109),";"),CONCATENATE(";",EscStr(CONCATENATE("NavNode_",getCategoryLevelAsString($B109))),";",EscStr(M109),";")))</f>
        <v>;"NavNode_L3D_525372";"Reedreléer/reedkontakter/magneter";</v>
      </c>
      <c r="AG109" s="39" t="str">
        <f>IF(getCategoryLevelAsString($B109)="L0D_324785","",IF(N109="",CONCATENATE(";",EscStr(CONCATENATE("NavNode_",getCategoryLevelAsString($B109))),";",EscStr($J109),";"),CONCATENATE(";",EscStr(CONCATENATE("NavNode_",getCategoryLevelAsString($B109))),";",EscStr(N109),";")))</f>
        <v>;"NavNode_L3D_525372";"Reed-reläer/Reed-kontakter/Magneter";</v>
      </c>
      <c r="AH109" s="39" t="str">
        <f>IF(getCategoryLevelAsString($B109)="L0D_324785","",IF(O109="",CONCATENATE(";",EscStr(CONCATENATE("NavNode_",getCategoryLevelAsString($B109))),";",EscStr($J109),";"),CONCATENATE(";",EscStr(CONCATENATE("NavNode_",getCategoryLevelAsString($B109))),";",EscStr(O109),";")))</f>
        <v>;"NavNode_L3D_525372";"Herkonreleed / Herkonid / Magnetid";</v>
      </c>
      <c r="AI109" s="39" t="str">
        <f>IF(getCategoryLevelAsString($B109)="L0D_324785","",IF(P109="",CONCATENATE(";",EscStr(CONCATENATE("NavNode_",getCategoryLevelAsString($B109))),";",EscStr($J109),";"),CONCATENATE(";",EscStr(CONCATENATE("NavNode_",getCategoryLevelAsString($B109))),";",EscStr(P109),";")))</f>
        <v>;"NavNode_L3D_525372";"Reed-releet/magneetit";</v>
      </c>
      <c r="AJ109" s="39" t="str">
        <f>IF(getCategoryLevelAsString($B109)="L0D_324785","",IF(Q109="",CONCATENATE(";",EscStr(CONCATENATE("NavNode_",getCategoryLevelAsString($B109))),";",EscStr($J109),";"),CONCATENATE(";",EscStr(CONCATENATE("NavNode_",getCategoryLevelAsString($B109))),";",EscStr(Q109),";")))</f>
        <v>;"NavNode_L3D_525372";"Herkonreleji / Herkoni / Magnēti";</v>
      </c>
      <c r="AK109" s="39" t="str">
        <f>IF(getCategoryLevelAsString($B109)="L0D_324785","",IF(R109="",CONCATENATE(";",EscStr(CONCATENATE("NavNode_",getCategoryLevelAsString($B109))),";",EscStr($J109),";"),CONCATENATE(";",EscStr(CONCATENATE("NavNode_",getCategoryLevelAsString($B109))),";",EscStr(R109),";")))</f>
        <v>;"NavNode_L3D_525372";"Reed relais / Reed contacten / Magneten";</v>
      </c>
      <c r="AL109" s="39" t="str">
        <f>IF(getCategoryLevelAsString($B109)="L0D_324785","",IF(S109="",CONCATENATE(";",EscStr(CONCATENATE("NavNode_",getCategoryLevelAsString($B109))),";",EscStr($J109),";"),CONCATENATE(";",EscStr(CONCATENATE("NavNode_",getCategoryLevelAsString($B109))),";",EscStr(S109),";")))</f>
        <v>;"NavNode_L3D_525372";"Przekaźniki kontaktronowe / Kontaktrony / Magnesy";</v>
      </c>
      <c r="AM109" s="39" t="str">
        <f>IF(getCategoryLevelAsString($B109)="L0D_324785","",IF(T109="",CONCATENATE(";",EscStr(CONCATENATE("NavNode_",getCategoryLevelAsString($B109))),";",EscStr($J109),";"),CONCATENATE(";",EscStr(CONCATENATE("NavNode_",getCategoryLevelAsString($B109))),";",EscStr(T109),";")))</f>
        <v>;"NavNode_L3D_525372";"Герконовые  реле / Герконовые Контакты / Магниты";</v>
      </c>
      <c r="AN109" s="39" t="str">
        <f>IF(getCategoryLevelAsString($B109)="L0D_324785","",IF(U109="",CONCATENATE(";",EscStr(CONCATENATE("NavNode_",getCategoryLevelAsString($B109))),";",EscStr($J109),";"),CONCATENATE(";",EscStr(CONCATENATE("NavNode_",getCategoryLevelAsString($B109))),";",EscStr(U109),";")))</f>
        <v>;"NavNode_L3D_525372";"Jazýčková relé / jazýčkové kontakty / magnety";</v>
      </c>
      <c r="AO109" s="39" t="str">
        <f>IF(getCategoryLevelAsString($B109)="L0D_324785","",IF(V109="",CONCATENATE(";",EscStr(CONCATENATE("NavNode_",getCategoryLevelAsString($B109))),";",EscStr($J109),";"),CONCATENATE(";",EscStr(CONCATENATE("NavNode_",getCategoryLevelAsString($B109))),";",EscStr(V109),";")))</f>
        <v>;"NavNode_L3D_525372";"Relee  / Magneţi";</v>
      </c>
      <c r="AP109" s="39" t="str">
        <f>IF(getCategoryLevelAsString($B109)="L0D_324785","",IF(W109="",CONCATENATE(";",EscStr(CONCATENATE("NavNode_",getCategoryLevelAsString($B109))),";",EscStr($J109),";"),CONCATENATE(";",EscStr(CONCATENATE("NavNode_",getCategoryLevelAsString($B109))),";",EscStr(W109),";")))</f>
        <v>;"NavNode_L3D_525372";"Reed jelfogók/ Reed érintekzők / Mágnesek";</v>
      </c>
      <c r="AQ109" s="39" t="str">
        <f>IF(getCategoryLevelAsString($B109)="L0D_324785","",IF(X109="",CONCATENATE(";",EscStr(CONCATENATE("NavNode_",getCategoryLevelAsString($B109))),";",EscStr($J109),";"),CONCATENATE(";",EscStr(CONCATENATE("NavNode_",getCategoryLevelAsString($B109))),";",EscStr(X109),";")))</f>
        <v>;"NavNode_L3D_525372";"Jazýčkové relé / jazýčkové kontakty / magnety";</v>
      </c>
      <c r="AR109" s="39" t="str">
        <f>IF(OR($A109&lt;&gt;"", $G109=""),"",CONCATENATE(";",EscStr(CONCATENATE("NavEntry_",getCategoryLevelAsString($B109))),";",EscStr(CONCATENATE($J109," Navigation Entry")),";",EscStr(CONCATENATE("cat-",getCategoryLevelAsString($B109))),";",EscStr(CONCATENATE("NavNode_",getCategoryLevelAsString($B109))),";"))</f>
        <v>;"NavEntry_L3D_525372";"Reed Relays / Reed Contacts / Magnets Navigation Entry";"cat-L3D_525372";"NavNode_L3D_525372";</v>
      </c>
    </row>
    <row r="110" spans="1:44" s="34" customFormat="1" ht="15" x14ac:dyDescent="0.25">
      <c r="A110" s="25"/>
      <c r="B110" s="5"/>
      <c r="C110" s="5"/>
      <c r="D110" s="5" t="s">
        <v>187</v>
      </c>
      <c r="E110" s="5"/>
      <c r="F110" s="5"/>
      <c r="G110" s="5" t="s">
        <v>990</v>
      </c>
      <c r="H110" s="5" t="s">
        <v>1093</v>
      </c>
      <c r="I110" s="5" t="s">
        <v>1152</v>
      </c>
      <c r="J110" s="5" t="s">
        <v>188</v>
      </c>
      <c r="K110" s="5" t="s">
        <v>1231</v>
      </c>
      <c r="L110" s="5" t="s">
        <v>15136</v>
      </c>
      <c r="M110" s="5" t="s">
        <v>1698</v>
      </c>
      <c r="N110" s="5" t="s">
        <v>1900</v>
      </c>
      <c r="O110" s="5" t="s">
        <v>2677</v>
      </c>
      <c r="P110" s="5" t="s">
        <v>2678</v>
      </c>
      <c r="Q110" s="5" t="s">
        <v>2679</v>
      </c>
      <c r="R110" s="5" t="s">
        <v>2680</v>
      </c>
      <c r="S110" s="5" t="s">
        <v>2681</v>
      </c>
      <c r="T110" s="5" t="s">
        <v>2682</v>
      </c>
      <c r="U110" s="5" t="s">
        <v>2683</v>
      </c>
      <c r="V110" s="5" t="s">
        <v>2684</v>
      </c>
      <c r="W110" s="5" t="s">
        <v>2685</v>
      </c>
      <c r="X110" s="5" t="s">
        <v>2683</v>
      </c>
      <c r="Y110" s="39" t="str">
        <f>IF(OR($A110&lt;&gt;"", $G110=""),"",CONCATENATE(";",EscStr(CONCATENATE("NavNode_",getCategoryLevelAsString($B110))),";",EscStr($J110),";",IF($B110&lt;&gt;"","""MainCategoryNavNode""",EscStr(CONCATENATE("NavNode_",getSuperCategory($B110, getCategoryLevelAsNumber($B110))))),";"))</f>
        <v>;"NavNode_L3D_525373";"Solid State Relays";"NavNode_L2D_379528";</v>
      </c>
      <c r="Z110" s="39" t="str">
        <f>IF(getCategoryLevelAsString($B110)="L0D_324785","",IF(G110="",CONCATENATE(";",EscStr(CONCATENATE("NavNode_",getCategoryLevelAsString($B110))),";",EscStr($J110),";"),CONCATENATE(";",EscStr(CONCATENATE("NavNode_",getCategoryLevelAsString($B110))),";",EscStr(G110),";")))</f>
        <v>;"NavNode_L3D_525373";"Halbleiterrelais";</v>
      </c>
      <c r="AA110" s="39" t="str">
        <f>IF(getCategoryLevelAsString($B110)="L0D_324785","",IF(H110="",CONCATENATE(";",EscStr(CONCATENATE("NavNode_",getCategoryLevelAsString($B110))),";",EscStr($J110),";"),CONCATENATE(";",EscStr(CONCATENATE("NavNode_",getCategoryLevelAsString($B110))),";",EscStr(H110),";")))</f>
        <v>;"NavNode_L3D_525373";"Relais à semi-conducteurs";</v>
      </c>
      <c r="AB110" s="39" t="str">
        <f>IF(getCategoryLevelAsString($B110)="L0D_324785","",IF(I110="",CONCATENATE(";",EscStr(CONCATENATE("NavNode_",getCategoryLevelAsString($B110))),";",EscStr($J110),";"),CONCATENATE(";",EscStr(CONCATENATE("NavNode_",getCategoryLevelAsString($B110))),";",EscStr(I110),";")))</f>
        <v>;"NavNode_L3D_525373";"Relè a stato solido";</v>
      </c>
      <c r="AC110" s="39" t="str">
        <f>IF(getCategoryLevelAsString($B110)="L0D_324785","",IF(J110="",CONCATENATE(";",EscStr(CONCATENATE("NavNode_",getCategoryLevelAsString($B110))),";",EscStr($J110),";"),CONCATENATE(";",EscStr(CONCATENATE("NavNode_",getCategoryLevelAsString($B110))),";",EscStr(J110),";")))</f>
        <v>;"NavNode_L3D_525373";"Solid State Relays";</v>
      </c>
      <c r="AD110" s="39" t="str">
        <f>IF(getCategoryLevelAsString($B110)="L0D_324785","",IF(K110="",CONCATENATE(";",EscStr(CONCATENATE("NavNode_",getCategoryLevelAsString($B110))),";",EscStr($J110),";"),CONCATENATE(";",EscStr(CONCATENATE("NavNode_",getCategoryLevelAsString($B110))),";",EscStr(K110),";")))</f>
        <v>;"NavNode_L3D_525373";"Halvlederrelæ";</v>
      </c>
      <c r="AE110" s="39" t="str">
        <f>IF(getCategoryLevelAsString($B110)="L0D_324785","",IF(L110="",CONCATENATE(";",EscStr(CONCATENATE("NavNode_",getCategoryLevelAsString($B110))),";",EscStr($J110),";"),CONCATENATE(";",EscStr(CONCATENATE("NavNode_",getCategoryLevelAsString($B110))),";",EscStr(L110),";")))</f>
        <v>;"NavNode_L3D_525373";"Puslaidininkinės relės";</v>
      </c>
      <c r="AF110" s="39" t="str">
        <f>IF(getCategoryLevelAsString($B110)="L0D_324785","",IF(M110="",CONCATENATE(";",EscStr(CONCATENATE("NavNode_",getCategoryLevelAsString($B110))),";",EscStr($J110),";"),CONCATENATE(";",EscStr(CONCATENATE("NavNode_",getCategoryLevelAsString($B110))),";",EscStr(M110),";")))</f>
        <v>;"NavNode_L3D_525373";"Halvlederreléer";</v>
      </c>
      <c r="AG110" s="39" t="str">
        <f>IF(getCategoryLevelAsString($B110)="L0D_324785","",IF(N110="",CONCATENATE(";",EscStr(CONCATENATE("NavNode_",getCategoryLevelAsString($B110))),";",EscStr($J110),";"),CONCATENATE(";",EscStr(CONCATENATE("NavNode_",getCategoryLevelAsString($B110))),";",EscStr(N110),";")))</f>
        <v>;"NavNode_L3D_525373";"Halvledarreläer";</v>
      </c>
      <c r="AH110" s="39" t="str">
        <f>IF(getCategoryLevelAsString($B110)="L0D_324785","",IF(O110="",CONCATENATE(";",EscStr(CONCATENATE("NavNode_",getCategoryLevelAsString($B110))),";",EscStr($J110),";"),CONCATENATE(";",EscStr(CONCATENATE("NavNode_",getCategoryLevelAsString($B110))),";",EscStr(O110),";")))</f>
        <v>;"NavNode_L3D_525373";"Pooljuhtreleed";</v>
      </c>
      <c r="AI110" s="39" t="str">
        <f>IF(getCategoryLevelAsString($B110)="L0D_324785","",IF(P110="",CONCATENATE(";",EscStr(CONCATENATE("NavNode_",getCategoryLevelAsString($B110))),";",EscStr($J110),";"),CONCATENATE(";",EscStr(CONCATENATE("NavNode_",getCategoryLevelAsString($B110))),";",EscStr(P110),";")))</f>
        <v>;"NavNode_L3D_525373";"Staattiset releet";</v>
      </c>
      <c r="AJ110" s="39" t="str">
        <f>IF(getCategoryLevelAsString($B110)="L0D_324785","",IF(Q110="",CONCATENATE(";",EscStr(CONCATENATE("NavNode_",getCategoryLevelAsString($B110))),";",EscStr($J110),";"),CONCATENATE(";",EscStr(CONCATENATE("NavNode_",getCategoryLevelAsString($B110))),";",EscStr(Q110),";")))</f>
        <v>;"NavNode_L3D_525373";"Pusvadītāju releji";</v>
      </c>
      <c r="AK110" s="39" t="str">
        <f>IF(getCategoryLevelAsString($B110)="L0D_324785","",IF(R110="",CONCATENATE(";",EscStr(CONCATENATE("NavNode_",getCategoryLevelAsString($B110))),";",EscStr($J110),";"),CONCATENATE(";",EscStr(CONCATENATE("NavNode_",getCategoryLevelAsString($B110))),";",EscStr(R110),";")))</f>
        <v>;"NavNode_L3D_525373";"Solid State Relais";</v>
      </c>
      <c r="AL110" s="39" t="str">
        <f>IF(getCategoryLevelAsString($B110)="L0D_324785","",IF(S110="",CONCATENATE(";",EscStr(CONCATENATE("NavNode_",getCategoryLevelAsString($B110))),";",EscStr($J110),";"),CONCATENATE(";",EscStr(CONCATENATE("NavNode_",getCategoryLevelAsString($B110))),";",EscStr(S110),";")))</f>
        <v>;"NavNode_L3D_525373";"Przekaźniki półprzewodnikowe";</v>
      </c>
      <c r="AM110" s="39" t="str">
        <f>IF(getCategoryLevelAsString($B110)="L0D_324785","",IF(T110="",CONCATENATE(";",EscStr(CONCATENATE("NavNode_",getCategoryLevelAsString($B110))),";",EscStr($J110),";"),CONCATENATE(";",EscStr(CONCATENATE("NavNode_",getCategoryLevelAsString($B110))),";",EscStr(T110),";")))</f>
        <v>;"NavNode_L3D_525373";"Твердотельные реле";</v>
      </c>
      <c r="AN110" s="39" t="str">
        <f>IF(getCategoryLevelAsString($B110)="L0D_324785","",IF(U110="",CONCATENATE(";",EscStr(CONCATENATE("NavNode_",getCategoryLevelAsString($B110))),";",EscStr($J110),";"),CONCATENATE(";",EscStr(CONCATENATE("NavNode_",getCategoryLevelAsString($B110))),";",EscStr(U110),";")))</f>
        <v>;"NavNode_L3D_525373";"Polovodičové relé";</v>
      </c>
      <c r="AO110" s="39" t="str">
        <f>IF(getCategoryLevelAsString($B110)="L0D_324785","",IF(V110="",CONCATENATE(";",EscStr(CONCATENATE("NavNode_",getCategoryLevelAsString($B110))),";",EscStr($J110),";"),CONCATENATE(";",EscStr(CONCATENATE("NavNode_",getCategoryLevelAsString($B110))),";",EscStr(V110),";")))</f>
        <v>;"NavNode_L3D_525373";"Relee semiconductor";</v>
      </c>
      <c r="AP110" s="39" t="str">
        <f>IF(getCategoryLevelAsString($B110)="L0D_324785","",IF(W110="",CONCATENATE(";",EscStr(CONCATENATE("NavNode_",getCategoryLevelAsString($B110))),";",EscStr($J110),";"),CONCATENATE(";",EscStr(CONCATENATE("NavNode_",getCategoryLevelAsString($B110))),";",EscStr(W110),";")))</f>
        <v>;"NavNode_L3D_525373";"Félvezető jelfogók";</v>
      </c>
      <c r="AQ110" s="39" t="str">
        <f>IF(getCategoryLevelAsString($B110)="L0D_324785","",IF(X110="",CONCATENATE(";",EscStr(CONCATENATE("NavNode_",getCategoryLevelAsString($B110))),";",EscStr($J110),";"),CONCATENATE(";",EscStr(CONCATENATE("NavNode_",getCategoryLevelAsString($B110))),";",EscStr(X110),";")))</f>
        <v>;"NavNode_L3D_525373";"Polovodičové relé";</v>
      </c>
      <c r="AR110" s="39" t="str">
        <f>IF(OR($A110&lt;&gt;"", $G110=""),"",CONCATENATE(";",EscStr(CONCATENATE("NavEntry_",getCategoryLevelAsString($B110))),";",EscStr(CONCATENATE($J110," Navigation Entry")),";",EscStr(CONCATENATE("cat-",getCategoryLevelAsString($B110))),";",EscStr(CONCATENATE("NavNode_",getCategoryLevelAsString($B110))),";"))</f>
        <v>;"NavEntry_L3D_525373";"Solid State Relays Navigation Entry";"cat-L3D_525373";"NavNode_L3D_525373";</v>
      </c>
    </row>
    <row r="111" spans="1:44" s="34" customFormat="1" ht="15" x14ac:dyDescent="0.25">
      <c r="A111" s="25"/>
      <c r="B111" s="5"/>
      <c r="C111" s="5"/>
      <c r="D111" s="5" t="s">
        <v>177</v>
      </c>
      <c r="E111" s="5"/>
      <c r="F111" s="5"/>
      <c r="G111" s="5" t="s">
        <v>441</v>
      </c>
      <c r="H111" s="5" t="s">
        <v>442</v>
      </c>
      <c r="I111" s="5" t="s">
        <v>443</v>
      </c>
      <c r="J111" s="5" t="s">
        <v>178</v>
      </c>
      <c r="K111" s="5" t="s">
        <v>1232</v>
      </c>
      <c r="L111" s="5" t="s">
        <v>1466</v>
      </c>
      <c r="M111" s="5" t="s">
        <v>1699</v>
      </c>
      <c r="N111" s="5" t="s">
        <v>1901</v>
      </c>
      <c r="O111" s="5" t="s">
        <v>2686</v>
      </c>
      <c r="P111" s="5" t="s">
        <v>2687</v>
      </c>
      <c r="Q111" s="5" t="s">
        <v>2688</v>
      </c>
      <c r="R111" s="5" t="s">
        <v>2689</v>
      </c>
      <c r="S111" s="5" t="s">
        <v>2690</v>
      </c>
      <c r="T111" s="5" t="s">
        <v>2691</v>
      </c>
      <c r="U111" s="5" t="s">
        <v>2692</v>
      </c>
      <c r="V111" s="5" t="s">
        <v>2693</v>
      </c>
      <c r="W111" s="5" t="s">
        <v>2694</v>
      </c>
      <c r="X111" s="5" t="s">
        <v>14860</v>
      </c>
      <c r="Y111" s="39" t="str">
        <f>IF(OR($A111&lt;&gt;"", $G111=""),"",CONCATENATE(";",EscStr(CONCATENATE("NavNode_",getCategoryLevelAsString($B111))),";",EscStr($J111),";",IF($B111&lt;&gt;"","""MainCategoryNavNode""",EscStr(CONCATENATE("NavNode_",getSuperCategory($B111, getCategoryLevelAsNumber($B111))))),";"))</f>
        <v>;"NavNode_L3D_525374";"Mains Power Switches";"NavNode_L2D_379528";</v>
      </c>
      <c r="Z111" s="39" t="str">
        <f>IF(getCategoryLevelAsString($B111)="L0D_324785","",IF(G111="",CONCATENATE(";",EscStr(CONCATENATE("NavNode_",getCategoryLevelAsString($B111))),";",EscStr($J111),";"),CONCATENATE(";",EscStr(CONCATENATE("NavNode_",getCategoryLevelAsString($B111))),";",EscStr(G111),";")))</f>
        <v>;"NavNode_L3D_525374";"Geräteschalter";</v>
      </c>
      <c r="AA111" s="39" t="str">
        <f>IF(getCategoryLevelAsString($B111)="L0D_324785","",IF(H111="",CONCATENATE(";",EscStr(CONCATENATE("NavNode_",getCategoryLevelAsString($B111))),";",EscStr($J111),";"),CONCATENATE(";",EscStr(CONCATENATE("NavNode_",getCategoryLevelAsString($B111))),";",EscStr(H111),";")))</f>
        <v>;"NavNode_L3D_525374";"Interrupteurs pour appareils";</v>
      </c>
      <c r="AB111" s="39" t="str">
        <f>IF(getCategoryLevelAsString($B111)="L0D_324785","",IF(I111="",CONCATENATE(";",EscStr(CONCATENATE("NavNode_",getCategoryLevelAsString($B111))),";",EscStr($J111),";"),CONCATENATE(";",EscStr(CONCATENATE("NavNode_",getCategoryLevelAsString($B111))),";",EscStr(I111),";")))</f>
        <v>;"NavNode_L3D_525374";"Interruttori di alimentazione";</v>
      </c>
      <c r="AC111" s="39" t="str">
        <f>IF(getCategoryLevelAsString($B111)="L0D_324785","",IF(J111="",CONCATENATE(";",EscStr(CONCATENATE("NavNode_",getCategoryLevelAsString($B111))),";",EscStr($J111),";"),CONCATENATE(";",EscStr(CONCATENATE("NavNode_",getCategoryLevelAsString($B111))),";",EscStr(J111),";")))</f>
        <v>;"NavNode_L3D_525374";"Mains Power Switches";</v>
      </c>
      <c r="AD111" s="39" t="str">
        <f>IF(getCategoryLevelAsString($B111)="L0D_324785","",IF(K111="",CONCATENATE(";",EscStr(CONCATENATE("NavNode_",getCategoryLevelAsString($B111))),";",EscStr($J111),";"),CONCATENATE(";",EscStr(CONCATENATE("NavNode_",getCategoryLevelAsString($B111))),";",EscStr(K111),";")))</f>
        <v>;"NavNode_L3D_525374";"Hovedledningsafbrydere";</v>
      </c>
      <c r="AE111" s="39" t="str">
        <f>IF(getCategoryLevelAsString($B111)="L0D_324785","",IF(L111="",CONCATENATE(";",EscStr(CONCATENATE("NavNode_",getCategoryLevelAsString($B111))),";",EscStr($J111),";"),CONCATENATE(";",EscStr(CONCATENATE("NavNode_",getCategoryLevelAsString($B111))),";",EscStr(L111),";")))</f>
        <v>;"NavNode_L3D_525374";"Maitinimo jungikliai";</v>
      </c>
      <c r="AF111" s="39" t="str">
        <f>IF(getCategoryLevelAsString($B111)="L0D_324785","",IF(M111="",CONCATENATE(";",EscStr(CONCATENATE("NavNode_",getCategoryLevelAsString($B111))),";",EscStr($J111),";"),CONCATENATE(";",EscStr(CONCATENATE("NavNode_",getCategoryLevelAsString($B111))),";",EscStr(M111),";")))</f>
        <v>;"NavNode_L3D_525374";"Strømbrytere";</v>
      </c>
      <c r="AG111" s="39" t="str">
        <f>IF(getCategoryLevelAsString($B111)="L0D_324785","",IF(N111="",CONCATENATE(";",EscStr(CONCATENATE("NavNode_",getCategoryLevelAsString($B111))),";",EscStr($J111),";"),CONCATENATE(";",EscStr(CONCATENATE("NavNode_",getCategoryLevelAsString($B111))),";",EscStr(N111),";")))</f>
        <v>;"NavNode_L3D_525374";"Nätströmbrytare";</v>
      </c>
      <c r="AH111" s="39" t="str">
        <f>IF(getCategoryLevelAsString($B111)="L0D_324785","",IF(O111="",CONCATENATE(";",EscStr(CONCATENATE("NavNode_",getCategoryLevelAsString($B111))),";",EscStr($J111),";"),CONCATENATE(";",EscStr(CONCATENATE("NavNode_",getCategoryLevelAsString($B111))),";",EscStr(O111),";")))</f>
        <v>;"NavNode_L3D_525374";"Toitevõrgu lülitid";</v>
      </c>
      <c r="AI111" s="39" t="str">
        <f>IF(getCategoryLevelAsString($B111)="L0D_324785","",IF(P111="",CONCATENATE(";",EscStr(CONCATENATE("NavNode_",getCategoryLevelAsString($B111))),";",EscStr($J111),";"),CONCATENATE(";",EscStr(CONCATENATE("NavNode_",getCategoryLevelAsString($B111))),";",EscStr(P111),";")))</f>
        <v>;"NavNode_L3D_525374";"Virtakytkimet";</v>
      </c>
      <c r="AJ111" s="39" t="str">
        <f>IF(getCategoryLevelAsString($B111)="L0D_324785","",IF(Q111="",CONCATENATE(";",EscStr(CONCATENATE("NavNode_",getCategoryLevelAsString($B111))),";",EscStr($J111),";"),CONCATENATE(";",EscStr(CONCATENATE("NavNode_",getCategoryLevelAsString($B111))),";",EscStr(Q111),";")))</f>
        <v>;"NavNode_L3D_525374";"Tīkla jaudas slēdži";</v>
      </c>
      <c r="AK111" s="39" t="str">
        <f>IF(getCategoryLevelAsString($B111)="L0D_324785","",IF(R111="",CONCATENATE(";",EscStr(CONCATENATE("NavNode_",getCategoryLevelAsString($B111))),";",EscStr($J111),";"),CONCATENATE(";",EscStr(CONCATENATE("NavNode_",getCategoryLevelAsString($B111))),";",EscStr(R111),";")))</f>
        <v>;"NavNode_L3D_525374";"Netschakelaars";</v>
      </c>
      <c r="AL111" s="39" t="str">
        <f>IF(getCategoryLevelAsString($B111)="L0D_324785","",IF(S111="",CONCATENATE(";",EscStr(CONCATENATE("NavNode_",getCategoryLevelAsString($B111))),";",EscStr($J111),";"),CONCATENATE(";",EscStr(CONCATENATE("NavNode_",getCategoryLevelAsString($B111))),";",EscStr(S111),";")))</f>
        <v>;"NavNode_L3D_525374";"Wyłączniki sieciowe";</v>
      </c>
      <c r="AM111" s="39" t="str">
        <f>IF(getCategoryLevelAsString($B111)="L0D_324785","",IF(T111="",CONCATENATE(";",EscStr(CONCATENATE("NavNode_",getCategoryLevelAsString($B111))),";",EscStr($J111),";"),CONCATENATE(";",EscStr(CONCATENATE("NavNode_",getCategoryLevelAsString($B111))),";",EscStr(T111),";")))</f>
        <v>;"NavNode_L3D_525374";"Аварийные выключатели";</v>
      </c>
      <c r="AN111" s="39" t="str">
        <f>IF(getCategoryLevelAsString($B111)="L0D_324785","",IF(U111="",CONCATENATE(";",EscStr(CONCATENATE("NavNode_",getCategoryLevelAsString($B111))),";",EscStr($J111),";"),CONCATENATE(";",EscStr(CONCATENATE("NavNode_",getCategoryLevelAsString($B111))),";",EscStr(U111),";")))</f>
        <v>;"NavNode_L3D_525374";"Síťové vypínače";</v>
      </c>
      <c r="AO111" s="39" t="str">
        <f>IF(getCategoryLevelAsString($B111)="L0D_324785","",IF(V111="",CONCATENATE(";",EscStr(CONCATENATE("NavNode_",getCategoryLevelAsString($B111))),";",EscStr($J111),";"),CONCATENATE(";",EscStr(CONCATENATE("NavNode_",getCategoryLevelAsString($B111))),";",EscStr(V111),";")))</f>
        <v>;"NavNode_L3D_525374";"Dispozitive de întrerupere";</v>
      </c>
      <c r="AP111" s="39" t="str">
        <f>IF(getCategoryLevelAsString($B111)="L0D_324785","",IF(W111="",CONCATENATE(";",EscStr(CONCATENATE("NavNode_",getCategoryLevelAsString($B111))),";",EscStr($J111),";"),CONCATENATE(";",EscStr(CONCATENATE("NavNode_",getCategoryLevelAsString($B111))),";",EscStr(W111),";")))</f>
        <v>;"NavNode_L3D_525374";"Készülék kapcsolók";</v>
      </c>
      <c r="AQ111" s="39" t="str">
        <f>IF(getCategoryLevelAsString($B111)="L0D_324785","",IF(X111="",CONCATENATE(";",EscStr(CONCATENATE("NavNode_",getCategoryLevelAsString($B111))),";",EscStr($J111),";"),CONCATENATE(";",EscStr(CONCATENATE("NavNode_",getCategoryLevelAsString($B111))),";",EscStr(X111),";")))</f>
        <v>;"NavNode_L3D_525374";"Sieťové vypínače";</v>
      </c>
      <c r="AR111" s="39" t="str">
        <f>IF(OR($A111&lt;&gt;"", $G111=""),"",CONCATENATE(";",EscStr(CONCATENATE("NavEntry_",getCategoryLevelAsString($B111))),";",EscStr(CONCATENATE($J111," Navigation Entry")),";",EscStr(CONCATENATE("cat-",getCategoryLevelAsString($B111))),";",EscStr(CONCATENATE("NavNode_",getCategoryLevelAsString($B111))),";"))</f>
        <v>;"NavEntry_L3D_525374";"Mains Power Switches Navigation Entry";"cat-L3D_525374";"NavNode_L3D_525374";</v>
      </c>
    </row>
    <row r="112" spans="1:44" s="34" customFormat="1" ht="15" x14ac:dyDescent="0.25">
      <c r="A112" s="25"/>
      <c r="B112" s="5"/>
      <c r="C112" s="5"/>
      <c r="D112" s="5" t="s">
        <v>179</v>
      </c>
      <c r="E112" s="5"/>
      <c r="F112" s="5"/>
      <c r="G112" s="5" t="s">
        <v>444</v>
      </c>
      <c r="H112" s="5" t="s">
        <v>445</v>
      </c>
      <c r="I112" s="5" t="s">
        <v>446</v>
      </c>
      <c r="J112" s="5" t="s">
        <v>180</v>
      </c>
      <c r="K112" s="5" t="s">
        <v>1233</v>
      </c>
      <c r="L112" s="5" t="s">
        <v>15137</v>
      </c>
      <c r="M112" s="5" t="s">
        <v>1700</v>
      </c>
      <c r="N112" s="5" t="s">
        <v>13961</v>
      </c>
      <c r="O112" s="5" t="s">
        <v>2695</v>
      </c>
      <c r="P112" s="5" t="s">
        <v>2696</v>
      </c>
      <c r="Q112" s="5" t="s">
        <v>2697</v>
      </c>
      <c r="R112" s="5" t="s">
        <v>180</v>
      </c>
      <c r="S112" s="5" t="s">
        <v>2698</v>
      </c>
      <c r="T112" s="5" t="s">
        <v>2699</v>
      </c>
      <c r="U112" s="5" t="s">
        <v>2700</v>
      </c>
      <c r="V112" s="5" t="s">
        <v>2701</v>
      </c>
      <c r="W112" s="5" t="s">
        <v>2702</v>
      </c>
      <c r="X112" s="5" t="s">
        <v>2700</v>
      </c>
      <c r="Y112" s="39" t="str">
        <f>IF(OR($A112&lt;&gt;"", $G112=""),"",CONCATENATE(";",EscStr(CONCATENATE("NavNode_",getCategoryLevelAsString($B112))),";",EscStr($J112),";",IF($B112&lt;&gt;"","""MainCategoryNavNode""",EscStr(CONCATENATE("NavNode_",getSuperCategory($B112, getCategoryLevelAsNumber($B112))))),";"))</f>
        <v>;"NavNode_L3D_525375";"Microswitches / Snap-Action";"NavNode_L2D_379528";</v>
      </c>
      <c r="Z112" s="39" t="str">
        <f>IF(getCategoryLevelAsString($B112)="L0D_324785","",IF(G112="",CONCATENATE(";",EscStr(CONCATENATE("NavNode_",getCategoryLevelAsString($B112))),";",EscStr($J112),";"),CONCATENATE(";",EscStr(CONCATENATE("NavNode_",getCategoryLevelAsString($B112))),";",EscStr(G112),";")))</f>
        <v>;"NavNode_L3D_525375";"Mikroschalter / Schnappverriegelung";</v>
      </c>
      <c r="AA112" s="39" t="str">
        <f>IF(getCategoryLevelAsString($B112)="L0D_324785","",IF(H112="",CONCATENATE(";",EscStr(CONCATENATE("NavNode_",getCategoryLevelAsString($B112))),";",EscStr($J112),";"),CONCATENATE(";",EscStr(CONCATENATE("NavNode_",getCategoryLevelAsString($B112))),";",EscStr(H112),";")))</f>
        <v>;"NavNode_L3D_525375";"Microrupteurs / Boutons-poussoirs";</v>
      </c>
      <c r="AB112" s="39" t="str">
        <f>IF(getCategoryLevelAsString($B112)="L0D_324785","",IF(I112="",CONCATENATE(";",EscStr(CONCATENATE("NavNode_",getCategoryLevelAsString($B112))),";",EscStr($J112),";"),CONCATENATE(";",EscStr(CONCATENATE("NavNode_",getCategoryLevelAsString($B112))),";",EscStr(I112),";")))</f>
        <v>;"NavNode_L3D_525375";"Microinterruttori / A scatto";</v>
      </c>
      <c r="AC112" s="39" t="str">
        <f>IF(getCategoryLevelAsString($B112)="L0D_324785","",IF(J112="",CONCATENATE(";",EscStr(CONCATENATE("NavNode_",getCategoryLevelAsString($B112))),";",EscStr($J112),";"),CONCATENATE(";",EscStr(CONCATENATE("NavNode_",getCategoryLevelAsString($B112))),";",EscStr(J112),";")))</f>
        <v>;"NavNode_L3D_525375";"Microswitches / Snap-Action";</v>
      </c>
      <c r="AD112" s="39" t="str">
        <f>IF(getCategoryLevelAsString($B112)="L0D_324785","",IF(K112="",CONCATENATE(";",EscStr(CONCATENATE("NavNode_",getCategoryLevelAsString($B112))),";",EscStr($J112),";"),CONCATENATE(";",EscStr(CONCATENATE("NavNode_",getCategoryLevelAsString($B112))),";",EscStr(K112),";")))</f>
        <v>;"NavNode_L3D_525375";"Microafbrydere/Snap-Action";</v>
      </c>
      <c r="AE112" s="39" t="str">
        <f>IF(getCategoryLevelAsString($B112)="L0D_324785","",IF(L112="",CONCATENATE(";",EscStr(CONCATENATE("NavNode_",getCategoryLevelAsString($B112))),";",EscStr($J112),";"),CONCATENATE(";",EscStr(CONCATENATE("NavNode_",getCategoryLevelAsString($B112))),";",EscStr(L112),";")))</f>
        <v>;"NavNode_L3D_525375";"Mikrojungikliai / greito suveikimo jungikliai";</v>
      </c>
      <c r="AF112" s="39" t="str">
        <f>IF(getCategoryLevelAsString($B112)="L0D_324785","",IF(M112="",CONCATENATE(";",EscStr(CONCATENATE("NavNode_",getCategoryLevelAsString($B112))),";",EscStr($J112),";"),CONCATENATE(";",EscStr(CONCATENATE("NavNode_",getCategoryLevelAsString($B112))),";",EscStr(M112),";")))</f>
        <v>;"NavNode_L3D_525375";"Mikrobrytere/kippbrytere";</v>
      </c>
      <c r="AG112" s="39" t="str">
        <f>IF(getCategoryLevelAsString($B112)="L0D_324785","",IF(N112="",CONCATENATE(";",EscStr(CONCATENATE("NavNode_",getCategoryLevelAsString($B112))),";",EscStr($J112),";"),CONCATENATE(";",EscStr(CONCATENATE("NavNode_",getCategoryLevelAsString($B112))),";",EscStr(N112),";")))</f>
        <v>;"NavNode_L3D_525375";"Mikrogapströmställare";</v>
      </c>
      <c r="AH112" s="39" t="str">
        <f>IF(getCategoryLevelAsString($B112)="L0D_324785","",IF(O112="",CONCATENATE(";",EscStr(CONCATENATE("NavNode_",getCategoryLevelAsString($B112))),";",EscStr($J112),";"),CONCATENATE(";",EscStr(CONCATENATE("NavNode_",getCategoryLevelAsString($B112))),";",EscStr(O112),";")))</f>
        <v>;"NavNode_L3D_525375";"Mikrolülitid /";</v>
      </c>
      <c r="AI112" s="39" t="str">
        <f>IF(getCategoryLevelAsString($B112)="L0D_324785","",IF(P112="",CONCATENATE(";",EscStr(CONCATENATE("NavNode_",getCategoryLevelAsString($B112))),";",EscStr($J112),";"),CONCATENATE(";",EscStr(CONCATENATE("NavNode_",getCategoryLevelAsString($B112))),";",EscStr(P112),";")))</f>
        <v>;"NavNode_L3D_525375";"Mikrokytkimet";</v>
      </c>
      <c r="AJ112" s="39" t="str">
        <f>IF(getCategoryLevelAsString($B112)="L0D_324785","",IF(Q112="",CONCATENATE(";",EscStr(CONCATENATE("NavNode_",getCategoryLevelAsString($B112))),";",EscStr($J112),";"),CONCATENATE(";",EscStr(CONCATENATE("NavNode_",getCategoryLevelAsString($B112))),";",EscStr(Q112),";")))</f>
        <v>;"NavNode_L3D_525375";"Mikroslēdži / Atsperslēdži";</v>
      </c>
      <c r="AK112" s="39" t="str">
        <f>IF(getCategoryLevelAsString($B112)="L0D_324785","",IF(R112="",CONCATENATE(";",EscStr(CONCATENATE("NavNode_",getCategoryLevelAsString($B112))),";",EscStr($J112),";"),CONCATENATE(";",EscStr(CONCATENATE("NavNode_",getCategoryLevelAsString($B112))),";",EscStr(R112),";")))</f>
        <v>;"NavNode_L3D_525375";"Microswitches / Snap-Action";</v>
      </c>
      <c r="AL112" s="39" t="str">
        <f>IF(getCategoryLevelAsString($B112)="L0D_324785","",IF(S112="",CONCATENATE(";",EscStr(CONCATENATE("NavNode_",getCategoryLevelAsString($B112))),";",EscStr($J112),";"),CONCATENATE(";",EscStr(CONCATENATE("NavNode_",getCategoryLevelAsString($B112))),";",EscStr(S112),";")))</f>
        <v>;"NavNode_L3D_525375";"Mikroprzełączniki";</v>
      </c>
      <c r="AM112" s="39" t="str">
        <f>IF(getCategoryLevelAsString($B112)="L0D_324785","",IF(T112="",CONCATENATE(";",EscStr(CONCATENATE("NavNode_",getCategoryLevelAsString($B112))),";",EscStr($J112),";"),CONCATENATE(";",EscStr(CONCATENATE("NavNode_",getCategoryLevelAsString($B112))),";",EscStr(T112),";")))</f>
        <v>;"NavNode_L3D_525375";"Микропереключатели / мгновенного действия";</v>
      </c>
      <c r="AN112" s="39" t="str">
        <f>IF(getCategoryLevelAsString($B112)="L0D_324785","",IF(U112="",CONCATENATE(";",EscStr(CONCATENATE("NavNode_",getCategoryLevelAsString($B112))),";",EscStr($J112),";"),CONCATENATE(";",EscStr(CONCATENATE("NavNode_",getCategoryLevelAsString($B112))),";",EscStr(U112),";")))</f>
        <v>;"NavNode_L3D_525375";"Mikrospínače";</v>
      </c>
      <c r="AO112" s="39" t="str">
        <f>IF(getCategoryLevelAsString($B112)="L0D_324785","",IF(V112="",CONCATENATE(";",EscStr(CONCATENATE("NavNode_",getCategoryLevelAsString($B112))),";",EscStr($J112),";"),CONCATENATE(";",EscStr(CONCATENATE("NavNode_",getCategoryLevelAsString($B112))),";",EscStr(V112),";")))</f>
        <v>;"NavNode_L3D_525375";"Microcomutatoare / Încuietori cu siguranţă";</v>
      </c>
      <c r="AP112" s="39" t="str">
        <f>IF(getCategoryLevelAsString($B112)="L0D_324785","",IF(W112="",CONCATENATE(";",EscStr(CONCATENATE("NavNode_",getCategoryLevelAsString($B112))),";",EscStr($J112),";"),CONCATENATE(";",EscStr(CONCATENATE("NavNode_",getCategoryLevelAsString($B112))),";",EscStr(W112),";")))</f>
        <v>;"NavNode_L3D_525375";"Mikrokapcsolók / Snap-lock rendszerek";</v>
      </c>
      <c r="AQ112" s="39" t="str">
        <f>IF(getCategoryLevelAsString($B112)="L0D_324785","",IF(X112="",CONCATENATE(";",EscStr(CONCATENATE("NavNode_",getCategoryLevelAsString($B112))),";",EscStr($J112),";"),CONCATENATE(";",EscStr(CONCATENATE("NavNode_",getCategoryLevelAsString($B112))),";",EscStr(X112),";")))</f>
        <v>;"NavNode_L3D_525375";"Mikrospínače";</v>
      </c>
      <c r="AR112" s="39" t="str">
        <f>IF(OR($A112&lt;&gt;"", $G112=""),"",CONCATENATE(";",EscStr(CONCATENATE("NavEntry_",getCategoryLevelAsString($B112))),";",EscStr(CONCATENATE($J112," Navigation Entry")),";",EscStr(CONCATENATE("cat-",getCategoryLevelAsString($B112))),";",EscStr(CONCATENATE("NavNode_",getCategoryLevelAsString($B112))),";"))</f>
        <v>;"NavEntry_L3D_525375";"Microswitches / Snap-Action Navigation Entry";"cat-L3D_525375";"NavNode_L3D_525375";</v>
      </c>
    </row>
    <row r="113" spans="1:44" s="34" customFormat="1" ht="15" x14ac:dyDescent="0.25">
      <c r="A113" s="25"/>
      <c r="B113" s="5"/>
      <c r="C113" s="5"/>
      <c r="D113" s="5" t="s">
        <v>181</v>
      </c>
      <c r="E113" s="5"/>
      <c r="F113" s="5"/>
      <c r="G113" s="5" t="s">
        <v>447</v>
      </c>
      <c r="H113" s="5" t="s">
        <v>448</v>
      </c>
      <c r="I113" s="5" t="s">
        <v>449</v>
      </c>
      <c r="J113" s="5" t="s">
        <v>182</v>
      </c>
      <c r="K113" s="5" t="s">
        <v>1234</v>
      </c>
      <c r="L113" s="5" t="s">
        <v>1468</v>
      </c>
      <c r="M113" s="5" t="s">
        <v>1701</v>
      </c>
      <c r="N113" s="5" t="s">
        <v>1903</v>
      </c>
      <c r="O113" s="5" t="s">
        <v>2703</v>
      </c>
      <c r="P113" s="5" t="s">
        <v>2704</v>
      </c>
      <c r="Q113" s="5" t="s">
        <v>2705</v>
      </c>
      <c r="R113" s="5" t="s">
        <v>2706</v>
      </c>
      <c r="S113" s="5" t="s">
        <v>2707</v>
      </c>
      <c r="T113" s="5" t="s">
        <v>2708</v>
      </c>
      <c r="U113" s="5" t="s">
        <v>2709</v>
      </c>
      <c r="V113" s="5" t="s">
        <v>2710</v>
      </c>
      <c r="W113" s="5" t="s">
        <v>2711</v>
      </c>
      <c r="X113" s="5" t="s">
        <v>14861</v>
      </c>
      <c r="Y113" s="39" t="str">
        <f>IF(OR($A113&lt;&gt;"", $G113=""),"",CONCATENATE(";",EscStr(CONCATENATE("NavNode_",getCategoryLevelAsString($B113))),";",EscStr($J113),";",IF($B113&lt;&gt;"","""MainCategoryNavNode""",EscStr(CONCATENATE("NavNode_",getSuperCategory($B113, getCategoryLevelAsNumber($B113))))),";"))</f>
        <v>;"NavNode_L3D_525376";"Miniature Switches / PCB Switches";"NavNode_L2D_379528";</v>
      </c>
      <c r="Z113" s="39" t="str">
        <f>IF(getCategoryLevelAsString($B113)="L0D_324785","",IF(G113="",CONCATENATE(";",EscStr(CONCATENATE("NavNode_",getCategoryLevelAsString($B113))),";",EscStr($J113),";"),CONCATENATE(";",EscStr(CONCATENATE("NavNode_",getCategoryLevelAsString($B113))),";",EscStr(G113),";")))</f>
        <v>;"NavNode_L3D_525376";"Miniaturschalter / Printtasten";</v>
      </c>
      <c r="AA113" s="39" t="str">
        <f>IF(getCategoryLevelAsString($B113)="L0D_324785","",IF(H113="",CONCATENATE(";",EscStr(CONCATENATE("NavNode_",getCategoryLevelAsString($B113))),";",EscStr($J113),";"),CONCATENATE(";",EscStr(CONCATENATE("NavNode_",getCategoryLevelAsString($B113))),";",EscStr(H113),";")))</f>
        <v>;"NavNode_L3D_525376";"Interrupteurs miniatures / Touches pour circuit imprimé";</v>
      </c>
      <c r="AB113" s="39" t="str">
        <f>IF(getCategoryLevelAsString($B113)="L0D_324785","",IF(I113="",CONCATENATE(";",EscStr(CONCATENATE("NavNode_",getCategoryLevelAsString($B113))),";",EscStr($J113),";"),CONCATENATE(";",EscStr(CONCATENATE("NavNode_",getCategoryLevelAsString($B113))),";",EscStr(I113),";")))</f>
        <v>;"NavNode_L3D_525376";"Interruttori in miniatura / Interruttori per circuiti stampati";</v>
      </c>
      <c r="AC113" s="39" t="str">
        <f>IF(getCategoryLevelAsString($B113)="L0D_324785","",IF(J113="",CONCATENATE(";",EscStr(CONCATENATE("NavNode_",getCategoryLevelAsString($B113))),";",EscStr($J113),";"),CONCATENATE(";",EscStr(CONCATENATE("NavNode_",getCategoryLevelAsString($B113))),";",EscStr(J113),";")))</f>
        <v>;"NavNode_L3D_525376";"Miniature Switches / PCB Switches";</v>
      </c>
      <c r="AD113" s="39" t="str">
        <f>IF(getCategoryLevelAsString($B113)="L0D_324785","",IF(K113="",CONCATENATE(";",EscStr(CONCATENATE("NavNode_",getCategoryLevelAsString($B113))),";",EscStr($J113),";"),CONCATENATE(";",EscStr(CONCATENATE("NavNode_",getCategoryLevelAsString($B113))),";",EscStr(K113),";")))</f>
        <v>;"NavNode_L3D_525376";"Miniature-afbrydere/PCB-afbrydere";</v>
      </c>
      <c r="AE113" s="39" t="str">
        <f>IF(getCategoryLevelAsString($B113)="L0D_324785","",IF(L113="",CONCATENATE(";",EscStr(CONCATENATE("NavNode_",getCategoryLevelAsString($B113))),";",EscStr($J113),";"),CONCATENATE(";",EscStr(CONCATENATE("NavNode_",getCategoryLevelAsString($B113))),";",EscStr(L113),";")))</f>
        <v>;"NavNode_L3D_525376";"Miniatiūriniai jungikliai / PCB jungikliai";</v>
      </c>
      <c r="AF113" s="39" t="str">
        <f>IF(getCategoryLevelAsString($B113)="L0D_324785","",IF(M113="",CONCATENATE(";",EscStr(CONCATENATE("NavNode_",getCategoryLevelAsString($B113))),";",EscStr($J113),";"),CONCATENATE(";",EscStr(CONCATENATE("NavNode_",getCategoryLevelAsString($B113))),";",EscStr(M113),";")))</f>
        <v>;"NavNode_L3D_525376";"Miniatyrbrytere/kretskortbrytere";</v>
      </c>
      <c r="AG113" s="39" t="str">
        <f>IF(getCategoryLevelAsString($B113)="L0D_324785","",IF(N113="",CONCATENATE(";",EscStr(CONCATENATE("NavNode_",getCategoryLevelAsString($B113))),";",EscStr($J113),";"),CONCATENATE(";",EscStr(CONCATENATE("NavNode_",getCategoryLevelAsString($B113))),";",EscStr(N113),";")))</f>
        <v>;"NavNode_L3D_525376";"Miniatyrbrytare/Kretskortsomkopplare";</v>
      </c>
      <c r="AH113" s="39" t="str">
        <f>IF(getCategoryLevelAsString($B113)="L0D_324785","",IF(O113="",CONCATENATE(";",EscStr(CONCATENATE("NavNode_",getCategoryLevelAsString($B113))),";",EscStr($J113),";"),CONCATENATE(";",EscStr(CONCATENATE("NavNode_",getCategoryLevelAsString($B113))),";",EscStr(O113),";")))</f>
        <v>;"NavNode_L3D_525376";"Miniatuursed lülitid / Trükkplaadilülitid";</v>
      </c>
      <c r="AI113" s="39" t="str">
        <f>IF(getCategoryLevelAsString($B113)="L0D_324785","",IF(P113="",CONCATENATE(";",EscStr(CONCATENATE("NavNode_",getCategoryLevelAsString($B113))),";",EscStr($J113),";"),CONCATENATE(";",EscStr(CONCATENATE("NavNode_",getCategoryLevelAsString($B113))),";",EscStr(P113),";")))</f>
        <v>;"NavNode_L3D_525376";"Pienoiskytkimet";</v>
      </c>
      <c r="AJ113" s="39" t="str">
        <f>IF(getCategoryLevelAsString($B113)="L0D_324785","",IF(Q113="",CONCATENATE(";",EscStr(CONCATENATE("NavNode_",getCategoryLevelAsString($B113))),";",EscStr($J113),";"),CONCATENATE(";",EscStr(CONCATENATE("NavNode_",getCategoryLevelAsString($B113))),";",EscStr(Q113),";")))</f>
        <v>;"NavNode_L3D_525376";"Mikroslēdži / PCB slēdži";</v>
      </c>
      <c r="AK113" s="39" t="str">
        <f>IF(getCategoryLevelAsString($B113)="L0D_324785","",IF(R113="",CONCATENATE(";",EscStr(CONCATENATE("NavNode_",getCategoryLevelAsString($B113))),";",EscStr($J113),";"),CONCATENATE(";",EscStr(CONCATENATE("NavNode_",getCategoryLevelAsString($B113))),";",EscStr(R113),";")))</f>
        <v>;"NavNode_L3D_525376";"Miniatuur schakelaars / Print schakelaars";</v>
      </c>
      <c r="AL113" s="39" t="str">
        <f>IF(getCategoryLevelAsString($B113)="L0D_324785","",IF(S113="",CONCATENATE(";",EscStr(CONCATENATE("NavNode_",getCategoryLevelAsString($B113))),";",EscStr($J113),";"),CONCATENATE(";",EscStr(CONCATENATE("NavNode_",getCategoryLevelAsString($B113))),";",EscStr(S113),";")))</f>
        <v>;"NavNode_L3D_525376";"Przłączniki Miniaturowe / Przełączniki PCB";</v>
      </c>
      <c r="AM113" s="39" t="str">
        <f>IF(getCategoryLevelAsString($B113)="L0D_324785","",IF(T113="",CONCATENATE(";",EscStr(CONCATENATE("NavNode_",getCategoryLevelAsString($B113))),";",EscStr($J113),";"),CONCATENATE(";",EscStr(CONCATENATE("NavNode_",getCategoryLevelAsString($B113))),";",EscStr(T113),";")))</f>
        <v>;"NavNode_L3D_525376";"Миниатюрные переключатели / PCB переключатели";</v>
      </c>
      <c r="AN113" s="39" t="str">
        <f>IF(getCategoryLevelAsString($B113)="L0D_324785","",IF(U113="",CONCATENATE(";",EscStr(CONCATENATE("NavNode_",getCategoryLevelAsString($B113))),";",EscStr($J113),";"),CONCATENATE(";",EscStr(CONCATENATE("NavNode_",getCategoryLevelAsString($B113))),";",EscStr(U113),";")))</f>
        <v>;"NavNode_L3D_525376";"Miniaturní spínače / tlačítka pro desky plošných spojů";</v>
      </c>
      <c r="AO113" s="39" t="str">
        <f>IF(getCategoryLevelAsString($B113)="L0D_324785","",IF(V113="",CONCATENATE(";",EscStr(CONCATENATE("NavNode_",getCategoryLevelAsString($B113))),";",EscStr($J113),";"),CONCATENATE(";",EscStr(CONCATENATE("NavNode_",getCategoryLevelAsString($B113))),";",EscStr(V113),";")))</f>
        <v>;"NavNode_L3D_525376";"Minicomutatoare / Printtaste";</v>
      </c>
      <c r="AP113" s="39" t="str">
        <f>IF(getCategoryLevelAsString($B113)="L0D_324785","",IF(W113="",CONCATENATE(";",EscStr(CONCATENATE("NavNode_",getCategoryLevelAsString($B113))),";",EscStr($J113),";"),CONCATENATE(";",EscStr(CONCATENATE("NavNode_",getCategoryLevelAsString($B113))),";",EscStr(W113),";")))</f>
        <v>;"NavNode_L3D_525376";"Miniatűr kapcsolók / NYÁK-ba ültethető nyomógombok";</v>
      </c>
      <c r="AQ113" s="39" t="str">
        <f>IF(getCategoryLevelAsString($B113)="L0D_324785","",IF(X113="",CONCATENATE(";",EscStr(CONCATENATE("NavNode_",getCategoryLevelAsString($B113))),";",EscStr($J113),";"),CONCATENATE(";",EscStr(CONCATENATE("NavNode_",getCategoryLevelAsString($B113))),";",EscStr(X113),";")))</f>
        <v>;"NavNode_L3D_525376";"Miniatúrne spínače / tlačidlá pre dosky plošných spojov";</v>
      </c>
      <c r="AR113" s="39" t="str">
        <f>IF(OR($A113&lt;&gt;"", $G113=""),"",CONCATENATE(";",EscStr(CONCATENATE("NavEntry_",getCategoryLevelAsString($B113))),";",EscStr(CONCATENATE($J113," Navigation Entry")),";",EscStr(CONCATENATE("cat-",getCategoryLevelAsString($B113))),";",EscStr(CONCATENATE("NavNode_",getCategoryLevelAsString($B113))),";"))</f>
        <v>;"NavEntry_L3D_525376";"Miniature Switches / PCB Switches Navigation Entry";"cat-L3D_525376";"NavNode_L3D_525376";</v>
      </c>
    </row>
    <row r="114" spans="1:44" s="34" customFormat="1" ht="15" x14ac:dyDescent="0.25">
      <c r="A114" s="25"/>
      <c r="B114" s="5"/>
      <c r="C114" s="5"/>
      <c r="D114" s="5" t="s">
        <v>7466</v>
      </c>
      <c r="E114" s="5"/>
      <c r="F114" s="5"/>
      <c r="G114" s="5" t="s">
        <v>7468</v>
      </c>
      <c r="H114" s="5" t="s">
        <v>13636</v>
      </c>
      <c r="I114" s="5" t="s">
        <v>13724</v>
      </c>
      <c r="J114" s="5" t="s">
        <v>7467</v>
      </c>
      <c r="K114" s="5" t="s">
        <v>13819</v>
      </c>
      <c r="L114" s="5" t="s">
        <v>15138</v>
      </c>
      <c r="M114" s="5" t="s">
        <v>13903</v>
      </c>
      <c r="N114" s="5" t="s">
        <v>13962</v>
      </c>
      <c r="O114" s="5" t="s">
        <v>14077</v>
      </c>
      <c r="P114" s="5" t="s">
        <v>14169</v>
      </c>
      <c r="Q114" s="5" t="s">
        <v>14254</v>
      </c>
      <c r="R114" s="5" t="s">
        <v>14333</v>
      </c>
      <c r="S114" s="5" t="s">
        <v>14431</v>
      </c>
      <c r="T114" s="5" t="s">
        <v>14521</v>
      </c>
      <c r="U114" s="5" t="s">
        <v>14608</v>
      </c>
      <c r="V114" s="5" t="s">
        <v>14694</v>
      </c>
      <c r="W114" s="5" t="s">
        <v>14780</v>
      </c>
      <c r="X114" s="5" t="s">
        <v>14862</v>
      </c>
      <c r="Y114" s="39" t="str">
        <f>IF(OR($A114&lt;&gt;"", $G114=""),"",CONCATENATE(";",EscStr(CONCATENATE("NavNode_",getCategoryLevelAsString($B114))),";",EscStr($J114),";",IF($B114&lt;&gt;"","""MainCategoryNavNode""",EscStr(CONCATENATE("NavNode_",getSuperCategory($B114, getCategoryLevelAsNumber($B114))))),";"))</f>
        <v>;"NavNode_L3D_525378";"Coding Switches / Keyboards / Joysticks";"NavNode_L2D_379528";</v>
      </c>
      <c r="Z114" s="39" t="str">
        <f>IF(getCategoryLevelAsString($B114)="L0D_324785","",IF(G114="",CONCATENATE(";",EscStr(CONCATENATE("NavNode_",getCategoryLevelAsString($B114))),";",EscStr($J114),";"),CONCATENATE(";",EscStr(CONCATENATE("NavNode_",getCategoryLevelAsString($B114))),";",EscStr(G114),";")))</f>
        <v>;"NavNode_L3D_525378";"Kodierschalter / Tastaturen / Joysticks";</v>
      </c>
      <c r="AA114" s="39" t="str">
        <f>IF(getCategoryLevelAsString($B114)="L0D_324785","",IF(H114="",CONCATENATE(";",EscStr(CONCATENATE("NavNode_",getCategoryLevelAsString($B114))),";",EscStr($J114),";"),CONCATENATE(";",EscStr(CONCATENATE("NavNode_",getCategoryLevelAsString($B114))),";",EscStr(H114),";")))</f>
        <v>;"NavNode_L3D_525378";"Interrupteurs codés / Claviers / Joysticks";</v>
      </c>
      <c r="AB114" s="39" t="str">
        <f>IF(getCategoryLevelAsString($B114)="L0D_324785","",IF(I114="",CONCATENATE(";",EscStr(CONCATENATE("NavNode_",getCategoryLevelAsString($B114))),";",EscStr($J114),";"),CONCATENATE(";",EscStr(CONCATENATE("NavNode_",getCategoryLevelAsString($B114))),";",EscStr(I114),";")))</f>
        <v>;"NavNode_L3D_525378";"Interruttori di codifica / Tastiere / Joystick";</v>
      </c>
      <c r="AC114" s="39" t="str">
        <f>IF(getCategoryLevelAsString($B114)="L0D_324785","",IF(J114="",CONCATENATE(";",EscStr(CONCATENATE("NavNode_",getCategoryLevelAsString($B114))),";",EscStr($J114),";"),CONCATENATE(";",EscStr(CONCATENATE("NavNode_",getCategoryLevelAsString($B114))),";",EscStr(J114),";")))</f>
        <v>;"NavNode_L3D_525378";"Coding Switches / Keyboards / Joysticks";</v>
      </c>
      <c r="AD114" s="39" t="str">
        <f>IF(getCategoryLevelAsString($B114)="L0D_324785","",IF(K114="",CONCATENATE(";",EscStr(CONCATENATE("NavNode_",getCategoryLevelAsString($B114))),";",EscStr($J114),";"),CONCATENATE(";",EscStr(CONCATENATE("NavNode_",getCategoryLevelAsString($B114))),";",EscStr(K114),";")))</f>
        <v>;"NavNode_L3D_525378";"Kodeswitche/tastaturer/joystick";</v>
      </c>
      <c r="AE114" s="39" t="str">
        <f>IF(getCategoryLevelAsString($B114)="L0D_324785","",IF(L114="",CONCATENATE(";",EscStr(CONCATENATE("NavNode_",getCategoryLevelAsString($B114))),";",EscStr($J114),";"),CONCATENATE(";",EscStr(CONCATENATE("NavNode_",getCategoryLevelAsString($B114))),";",EscStr(L114),";")))</f>
        <v>;"NavNode_L3D_525378";"Kodavimo jungikliai / klaviatūros / valdymo svirtys";</v>
      </c>
      <c r="AF114" s="39" t="str">
        <f>IF(getCategoryLevelAsString($B114)="L0D_324785","",IF(M114="",CONCATENATE(";",EscStr(CONCATENATE("NavNode_",getCategoryLevelAsString($B114))),";",EscStr($J114),";"),CONCATENATE(";",EscStr(CONCATENATE("NavNode_",getCategoryLevelAsString($B114))),";",EscStr(M114),";")))</f>
        <v>;"NavNode_L3D_525378";"Kodebrytere/tastaturer/joysticker";</v>
      </c>
      <c r="AG114" s="39" t="str">
        <f>IF(getCategoryLevelAsString($B114)="L0D_324785","",IF(N114="",CONCATENATE(";",EscStr(CONCATENATE("NavNode_",getCategoryLevelAsString($B114))),";",EscStr($J114),";"),CONCATENATE(";",EscStr(CONCATENATE("NavNode_",getCategoryLevelAsString($B114))),";",EscStr(N114),";")))</f>
        <v>;"NavNode_L3D_525378";"Kodomkopplare/Tangentbord/Joysticks";</v>
      </c>
      <c r="AH114" s="39" t="str">
        <f>IF(getCategoryLevelAsString($B114)="L0D_324785","",IF(O114="",CONCATENATE(";",EscStr(CONCATENATE("NavNode_",getCategoryLevelAsString($B114))),";",EscStr($J114),";"),CONCATENATE(";",EscStr(CONCATENATE("NavNode_",getCategoryLevelAsString($B114))),";",EscStr(O114),";")))</f>
        <v>;"NavNode_L3D_525378";"Kodeerimise lülitid / Sõrmistikud / Juhtkangid";</v>
      </c>
      <c r="AI114" s="39" t="str">
        <f>IF(getCategoryLevelAsString($B114)="L0D_324785","",IF(P114="",CONCATENATE(";",EscStr(CONCATENATE("NavNode_",getCategoryLevelAsString($B114))),";",EscStr($J114),";"),CONCATENATE(";",EscStr(CONCATENATE("NavNode_",getCategoryLevelAsString($B114))),";",EscStr(P114),";")))</f>
        <v>;"NavNode_L3D_525378";"Koodatut kytkimet";</v>
      </c>
      <c r="AJ114" s="39" t="str">
        <f>IF(getCategoryLevelAsString($B114)="L0D_324785","",IF(Q114="",CONCATENATE(";",EscStr(CONCATENATE("NavNode_",getCategoryLevelAsString($B114))),";",EscStr($J114),";"),CONCATENATE(";",EscStr(CONCATENATE("NavNode_",getCategoryLevelAsString($B114))),";",EscStr(Q114),";")))</f>
        <v>;"NavNode_L3D_525378";"Kodēšanas slēdži / Tastatūras / Kursorsviras";</v>
      </c>
      <c r="AK114" s="39" t="str">
        <f>IF(getCategoryLevelAsString($B114)="L0D_324785","",IF(R114="",CONCATENATE(";",EscStr(CONCATENATE("NavNode_",getCategoryLevelAsString($B114))),";",EscStr($J114),";"),CONCATENATE(";",EscStr(CONCATENATE("NavNode_",getCategoryLevelAsString($B114))),";",EscStr(R114),";")))</f>
        <v>;"NavNode_L3D_525378";"Code schakelaars / Toetsenborden / Joysticks";</v>
      </c>
      <c r="AL114" s="39" t="str">
        <f>IF(getCategoryLevelAsString($B114)="L0D_324785","",IF(S114="",CONCATENATE(";",EscStr(CONCATENATE("NavNode_",getCategoryLevelAsString($B114))),";",EscStr($J114),";"),CONCATENATE(";",EscStr(CONCATENATE("NavNode_",getCategoryLevelAsString($B114))),";",EscStr(S114),";")))</f>
        <v>;"NavNode_L3D_525378";"Przełączniki kodujące / Klawiatury / Joysticki";</v>
      </c>
      <c r="AM114" s="39" t="str">
        <f>IF(getCategoryLevelAsString($B114)="L0D_324785","",IF(T114="",CONCATENATE(";",EscStr(CONCATENATE("NavNode_",getCategoryLevelAsString($B114))),";",EscStr($J114),";"),CONCATENATE(";",EscStr(CONCATENATE("NavNode_",getCategoryLevelAsString($B114))),";",EscStr(T114),";")))</f>
        <v>;"NavNode_L3D_525378";"Кодируемые переключатели / Клавиатуры / Джойстики";</v>
      </c>
      <c r="AN114" s="39" t="str">
        <f>IF(getCategoryLevelAsString($B114)="L0D_324785","",IF(U114="",CONCATENATE(";",EscStr(CONCATENATE("NavNode_",getCategoryLevelAsString($B114))),";",EscStr($J114),";"),CONCATENATE(";",EscStr(CONCATENATE("NavNode_",getCategoryLevelAsString($B114))),";",EscStr(U114),";")))</f>
        <v>;"NavNode_L3D_525378";"Kódovací spínače / klávesnice / pákové ovladače";</v>
      </c>
      <c r="AO114" s="39" t="str">
        <f>IF(getCategoryLevelAsString($B114)="L0D_324785","",IF(V114="",CONCATENATE(";",EscStr(CONCATENATE("NavNode_",getCategoryLevelAsString($B114))),";",EscStr($J114),";"),CONCATENATE(";",EscStr(CONCATENATE("NavNode_",getCategoryLevelAsString($B114))),";",EscStr(V114),";")))</f>
        <v>;"NavNode_L3D_525378";"Comutatoare cu cod / Tastaturi / Joystick-uri";</v>
      </c>
      <c r="AP114" s="39" t="str">
        <f>IF(getCategoryLevelAsString($B114)="L0D_324785","",IF(W114="",CONCATENATE(";",EscStr(CONCATENATE("NavNode_",getCategoryLevelAsString($B114))),";",EscStr($J114),";"),CONCATENATE(";",EscStr(CONCATENATE("NavNode_",getCategoryLevelAsString($B114))),";",EscStr(W114),";")))</f>
        <v>;"NavNode_L3D_525378";"Kódolókapcsolók / Billentyűzetek / Joystick-ok";</v>
      </c>
      <c r="AQ114" s="39" t="str">
        <f>IF(getCategoryLevelAsString($B114)="L0D_324785","",IF(X114="",CONCATENATE(";",EscStr(CONCATENATE("NavNode_",getCategoryLevelAsString($B114))),";",EscStr($J114),";"),CONCATENATE(";",EscStr(CONCATENATE("NavNode_",getCategoryLevelAsString($B114))),";",EscStr(X114),";")))</f>
        <v>;"NavNode_L3D_525378";"Kódovací spínače / klávesnica / pákové ovládače";</v>
      </c>
      <c r="AR114" s="39" t="str">
        <f>IF(OR($A114&lt;&gt;"", $G114=""),"",CONCATENATE(";",EscStr(CONCATENATE("NavEntry_",getCategoryLevelAsString($B114))),";",EscStr(CONCATENATE($J114," Navigation Entry")),";",EscStr(CONCATENATE("cat-",getCategoryLevelAsString($B114))),";",EscStr(CONCATENATE("NavNode_",getCategoryLevelAsString($B114))),";"))</f>
        <v>;"NavEntry_L3D_525378";"Coding Switches / Keyboards / Joysticks Navigation Entry";"cat-L3D_525378";"NavNode_L3D_525378";</v>
      </c>
    </row>
    <row r="115" spans="1:44" s="34" customFormat="1" ht="15" x14ac:dyDescent="0.25">
      <c r="A115" s="25"/>
      <c r="B115" s="5"/>
      <c r="C115" s="5"/>
      <c r="D115" s="5" t="s">
        <v>7503</v>
      </c>
      <c r="E115" s="5"/>
      <c r="F115" s="5"/>
      <c r="G115" s="5" t="s">
        <v>7505</v>
      </c>
      <c r="H115" s="5" t="s">
        <v>13637</v>
      </c>
      <c r="I115" s="5" t="s">
        <v>13725</v>
      </c>
      <c r="J115" s="5" t="s">
        <v>7504</v>
      </c>
      <c r="K115" s="5" t="s">
        <v>13820</v>
      </c>
      <c r="L115" s="5" t="s">
        <v>15139</v>
      </c>
      <c r="M115" s="5" t="s">
        <v>13904</v>
      </c>
      <c r="N115" s="5" t="s">
        <v>13963</v>
      </c>
      <c r="O115" s="5" t="s">
        <v>14078</v>
      </c>
      <c r="P115" s="5" t="s">
        <v>14170</v>
      </c>
      <c r="Q115" s="5" t="s">
        <v>14255</v>
      </c>
      <c r="R115" s="5" t="s">
        <v>14334</v>
      </c>
      <c r="S115" s="5" t="s">
        <v>14432</v>
      </c>
      <c r="T115" s="5" t="s">
        <v>14522</v>
      </c>
      <c r="U115" s="5" t="s">
        <v>14609</v>
      </c>
      <c r="V115" s="5" t="s">
        <v>14695</v>
      </c>
      <c r="W115" s="5" t="s">
        <v>14781</v>
      </c>
      <c r="X115" s="5" t="s">
        <v>14863</v>
      </c>
      <c r="Y115" s="39" t="str">
        <f>IF(OR($A115&lt;&gt;"", $G115=""),"",CONCATENATE(";",EscStr(CONCATENATE("NavNode_",getCategoryLevelAsString($B115))),";",EscStr($J115),";",IF($B115&lt;&gt;"","""MainCategoryNavNode""",EscStr(CONCATENATE("NavNode_",getSuperCategory($B115, getCategoryLevelAsNumber($B115))))),";"))</f>
        <v>;"NavNode_L3D_525377";"Rotary Switches / Key-operated Switches / Encoders";"NavNode_L2D_379528";</v>
      </c>
      <c r="Z115" s="39" t="str">
        <f>IF(getCategoryLevelAsString($B115)="L0D_324785","",IF(G115="",CONCATENATE(";",EscStr(CONCATENATE("NavNode_",getCategoryLevelAsString($B115))),";",EscStr($J115),";"),CONCATENATE(";",EscStr(CONCATENATE("NavNode_",getCategoryLevelAsString($B115))),";",EscStr(G115),";")))</f>
        <v>;"NavNode_L3D_525377";"Drehschalter / Schlüsselschalter / Encoder";</v>
      </c>
      <c r="AA115" s="39" t="str">
        <f>IF(getCategoryLevelAsString($B115)="L0D_324785","",IF(H115="",CONCATENATE(";",EscStr(CONCATENATE("NavNode_",getCategoryLevelAsString($B115))),";",EscStr($J115),";"),CONCATENATE(";",EscStr(CONCATENATE("NavNode_",getCategoryLevelAsString($B115))),";",EscStr(H115),";")))</f>
        <v>;"NavNode_L3D_525377";"Interrupteurs rotatifs / Interrupteurs rotatifs et à clé / Encodeurs";</v>
      </c>
      <c r="AB115" s="39" t="str">
        <f>IF(getCategoryLevelAsString($B115)="L0D_324785","",IF(I115="",CONCATENATE(";",EscStr(CONCATENATE("NavNode_",getCategoryLevelAsString($B115))),";",EscStr($J115),";"),CONCATENATE(";",EscStr(CONCATENATE("NavNode_",getCategoryLevelAsString($B115))),";",EscStr(I115),";")))</f>
        <v>;"NavNode_L3D_525377";"Commutatori rotativi / Interruttori con chiave / Codificatori";</v>
      </c>
      <c r="AC115" s="39" t="str">
        <f>IF(getCategoryLevelAsString($B115)="L0D_324785","",IF(J115="",CONCATENATE(";",EscStr(CONCATENATE("NavNode_",getCategoryLevelAsString($B115))),";",EscStr($J115),";"),CONCATENATE(";",EscStr(CONCATENATE("NavNode_",getCategoryLevelAsString($B115))),";",EscStr(J115),";")))</f>
        <v>;"NavNode_L3D_525377";"Rotary Switches / Key-operated Switches / Encoders";</v>
      </c>
      <c r="AD115" s="39" t="str">
        <f>IF(getCategoryLevelAsString($B115)="L0D_324785","",IF(K115="",CONCATENATE(";",EscStr(CONCATENATE("NavNode_",getCategoryLevelAsString($B115))),";",EscStr($J115),";"),CONCATENATE(";",EscStr(CONCATENATE("NavNode_",getCategoryLevelAsString($B115))),";",EscStr(K115),";")))</f>
        <v>;"NavNode_L3D_525377";"Drejeafbrydere/nøgleafbrydere/encodere";</v>
      </c>
      <c r="AE115" s="39" t="str">
        <f>IF(getCategoryLevelAsString($B115)="L0D_324785","",IF(L115="",CONCATENATE(";",EscStr(CONCATENATE("NavNode_",getCategoryLevelAsString($B115))),";",EscStr($J115),";"),CONCATENATE(";",EscStr(CONCATENATE("NavNode_",getCategoryLevelAsString($B115))),";",EscStr(L115),";")))</f>
        <v>;"NavNode_L3D_525377";"Sukamieji jungikliai / raktu valdomi jungikliai / kodavimo įrenginiai";</v>
      </c>
      <c r="AF115" s="39" t="str">
        <f>IF(getCategoryLevelAsString($B115)="L0D_324785","",IF(M115="",CONCATENATE(";",EscStr(CONCATENATE("NavNode_",getCategoryLevelAsString($B115))),";",EscStr($J115),";"),CONCATENATE(";",EscStr(CONCATENATE("NavNode_",getCategoryLevelAsString($B115))),";",EscStr(M115),";")))</f>
        <v>;"NavNode_L3D_525377";"Dreiebrytere/nøkkelbrytere/kodere";</v>
      </c>
      <c r="AG115" s="39" t="str">
        <f>IF(getCategoryLevelAsString($B115)="L0D_324785","",IF(N115="",CONCATENATE(";",EscStr(CONCATENATE("NavNode_",getCategoryLevelAsString($B115))),";",EscStr($J115),";"),CONCATENATE(";",EscStr(CONCATENATE("NavNode_",getCategoryLevelAsString($B115))),";",EscStr(N115),";")))</f>
        <v>;"NavNode_L3D_525377";"Vridomkopplare/Nyckelomkopplare/Kodare";</v>
      </c>
      <c r="AH115" s="39" t="str">
        <f>IF(getCategoryLevelAsString($B115)="L0D_324785","",IF(O115="",CONCATENATE(";",EscStr(CONCATENATE("NavNode_",getCategoryLevelAsString($B115))),";",EscStr($J115),";"),CONCATENATE(";",EscStr(CONCATENATE("NavNode_",getCategoryLevelAsString($B115))),";",EscStr(O115),";")))</f>
        <v>;"NavNode_L3D_525377";"Pöördlülitid / Lukklülitid / Koodrid";</v>
      </c>
      <c r="AI115" s="39" t="str">
        <f>IF(getCategoryLevelAsString($B115)="L0D_324785","",IF(P115="",CONCATENATE(";",EscStr(CONCATENATE("NavNode_",getCategoryLevelAsString($B115))),";",EscStr($J115),";"),CONCATENATE(";",EscStr(CONCATENATE("NavNode_",getCategoryLevelAsString($B115))),";",EscStr(P115),";")))</f>
        <v>;"NavNode_L3D_525377";"Kiertokytkimet";</v>
      </c>
      <c r="AJ115" s="39" t="str">
        <f>IF(getCategoryLevelAsString($B115)="L0D_324785","",IF(Q115="",CONCATENATE(";",EscStr(CONCATENATE("NavNode_",getCategoryLevelAsString($B115))),";",EscStr($J115),";"),CONCATENATE(";",EscStr(CONCATENATE("NavNode_",getCategoryLevelAsString($B115))),";",EscStr(Q115),";")))</f>
        <v>;"NavNode_L3D_525377";"Grozāmie slēdži / Slēdži ar atslēgu / Enkoderi";</v>
      </c>
      <c r="AK115" s="39" t="str">
        <f>IF(getCategoryLevelAsString($B115)="L0D_324785","",IF(R115="",CONCATENATE(";",EscStr(CONCATENATE("NavNode_",getCategoryLevelAsString($B115))),";",EscStr($J115),";"),CONCATENATE(";",EscStr(CONCATENATE("NavNode_",getCategoryLevelAsString($B115))),";",EscStr(R115),";")))</f>
        <v>;"NavNode_L3D_525377";"Draai schakelaars / Sleutel schakelaars / Encoders";</v>
      </c>
      <c r="AL115" s="39" t="str">
        <f>IF(getCategoryLevelAsString($B115)="L0D_324785","",IF(S115="",CONCATENATE(";",EscStr(CONCATENATE("NavNode_",getCategoryLevelAsString($B115))),";",EscStr($J115),";"),CONCATENATE(";",EscStr(CONCATENATE("NavNode_",getCategoryLevelAsString($B115))),";",EscStr(S115),";")))</f>
        <v>;"NavNode_L3D_525377";"Przełączniki obrotowe / Przełączniki z kluczem / Przełączniki kodujące";</v>
      </c>
      <c r="AM115" s="39" t="str">
        <f>IF(getCategoryLevelAsString($B115)="L0D_324785","",IF(T115="",CONCATENATE(";",EscStr(CONCATENATE("NavNode_",getCategoryLevelAsString($B115))),";",EscStr($J115),";"),CONCATENATE(";",EscStr(CONCATENATE("NavNode_",getCategoryLevelAsString($B115))),";",EscStr(T115),";")))</f>
        <v>;"NavNode_L3D_525377";"Поворотные переключатели / Основные выключатели / Кодеры";</v>
      </c>
      <c r="AN115" s="39" t="str">
        <f>IF(getCategoryLevelAsString($B115)="L0D_324785","",IF(U115="",CONCATENATE(";",EscStr(CONCATENATE("NavNode_",getCategoryLevelAsString($B115))),";",EscStr($J115),";"),CONCATENATE(";",EscStr(CONCATENATE("NavNode_",getCategoryLevelAsString($B115))),";",EscStr(U115),";")))</f>
        <v>;"NavNode_L3D_525377";"Otočné spínače / spínače ovládané klíčem / kodéry";</v>
      </c>
      <c r="AO115" s="39" t="str">
        <f>IF(getCategoryLevelAsString($B115)="L0D_324785","",IF(V115="",CONCATENATE(";",EscStr(CONCATENATE("NavNode_",getCategoryLevelAsString($B115))),";",EscStr($J115),";"),CONCATENATE(";",EscStr(CONCATENATE("NavNode_",getCategoryLevelAsString($B115))),";",EscStr(V115),";")))</f>
        <v>;"NavNode_L3D_525377";"Comutatoare rotative / Întrerupătoare cu cheie / Codificatoare";</v>
      </c>
      <c r="AP115" s="39" t="str">
        <f>IF(getCategoryLevelAsString($B115)="L0D_324785","",IF(W115="",CONCATENATE(";",EscStr(CONCATENATE("NavNode_",getCategoryLevelAsString($B115))),";",EscStr($J115),";"),CONCATENATE(";",EscStr(CONCATENATE("NavNode_",getCategoryLevelAsString($B115))),";",EscStr(W115),";")))</f>
        <v>;"NavNode_L3D_525377";"Forgókapcsolók / Kulcsoskapcsolók / Encoder";</v>
      </c>
      <c r="AQ115" s="39" t="str">
        <f>IF(getCategoryLevelAsString($B115)="L0D_324785","",IF(X115="",CONCATENATE(";",EscStr(CONCATENATE("NavNode_",getCategoryLevelAsString($B115))),";",EscStr($J115),";"),CONCATENATE(";",EscStr(CONCATENATE("NavNode_",getCategoryLevelAsString($B115))),";",EscStr(X115),";")))</f>
        <v>;"NavNode_L3D_525377";"Otočné spínače / spínače ovládané kľúčom / kódery";</v>
      </c>
      <c r="AR115" s="39" t="str">
        <f>IF(OR($A115&lt;&gt;"", $G115=""),"",CONCATENATE(";",EscStr(CONCATENATE("NavEntry_",getCategoryLevelAsString($B115))),";",EscStr(CONCATENATE($J115," Navigation Entry")),";",EscStr(CONCATENATE("cat-",getCategoryLevelAsString($B115))),";",EscStr(CONCATENATE("NavNode_",getCategoryLevelAsString($B115))),";"))</f>
        <v>;"NavEntry_L3D_525377";"Rotary Switches / Key-operated Switches / Encoders Navigation Entry";"cat-L3D_525377";"NavNode_L3D_525377";</v>
      </c>
    </row>
    <row r="116" spans="1:44" s="34" customFormat="1" ht="15" x14ac:dyDescent="0.25">
      <c r="A116" s="25"/>
      <c r="B116" s="5"/>
      <c r="C116" s="5"/>
      <c r="D116" s="5" t="s">
        <v>7525</v>
      </c>
      <c r="E116" s="5"/>
      <c r="F116" s="5"/>
      <c r="G116" s="5" t="s">
        <v>7527</v>
      </c>
      <c r="H116" s="5" t="s">
        <v>13638</v>
      </c>
      <c r="I116" s="5" t="s">
        <v>13726</v>
      </c>
      <c r="J116" s="40" t="s">
        <v>13561</v>
      </c>
      <c r="K116" s="5" t="s">
        <v>13821</v>
      </c>
      <c r="L116" s="5" t="s">
        <v>15140</v>
      </c>
      <c r="M116" s="5" t="s">
        <v>13905</v>
      </c>
      <c r="N116" s="5" t="s">
        <v>13964</v>
      </c>
      <c r="O116" s="5" t="s">
        <v>14079</v>
      </c>
      <c r="P116" s="5" t="s">
        <v>14171</v>
      </c>
      <c r="Q116" s="5" t="s">
        <v>14256</v>
      </c>
      <c r="R116" s="5" t="s">
        <v>14335</v>
      </c>
      <c r="S116" s="5" t="s">
        <v>14433</v>
      </c>
      <c r="T116" s="5" t="s">
        <v>14523</v>
      </c>
      <c r="U116" s="5" t="s">
        <v>14610</v>
      </c>
      <c r="V116" s="5" t="s">
        <v>14696</v>
      </c>
      <c r="W116" s="5" t="s">
        <v>14782</v>
      </c>
      <c r="X116" s="5" t="s">
        <v>14864</v>
      </c>
      <c r="Y116" s="39" t="str">
        <f>IF(OR($A116&lt;&gt;"", $G116=""),"",CONCATENATE(";",EscStr(CONCATENATE("NavNode_",getCategoryLevelAsString($B116))),";",EscStr($J116),";",IF($B116&lt;&gt;"","""MainCategoryNavNode""",EscStr(CONCATENATE("NavNode_",getSuperCategory($B116, getCategoryLevelAsNumber($B116))))),";"))</f>
        <v>;"NavNode_L3D_525379";"Push-button Switches / Indicators";"NavNode_L2D_379528";</v>
      </c>
      <c r="Z116" s="39" t="str">
        <f>IF(getCategoryLevelAsString($B116)="L0D_324785","",IF(G116="",CONCATENATE(";",EscStr(CONCATENATE("NavNode_",getCategoryLevelAsString($B116))),";",EscStr($J116),";"),CONCATENATE(";",EscStr(CONCATENATE("NavNode_",getCategoryLevelAsString($B116))),";",EscStr(G116),";")))</f>
        <v>;"NavNode_L3D_525379";"Einbauschalter / Signalleuchten";</v>
      </c>
      <c r="AA116" s="39" t="str">
        <f>IF(getCategoryLevelAsString($B116)="L0D_324785","",IF(H116="",CONCATENATE(";",EscStr(CONCATENATE("NavNode_",getCategoryLevelAsString($B116))),";",EscStr($J116),";"),CONCATENATE(";",EscStr(CONCATENATE("NavNode_",getCategoryLevelAsString($B116))),";",EscStr(H116),";")))</f>
        <v>;"NavNode_L3D_525379";"Boutons-poussoirs pour appareils / Lampes de signalisation";</v>
      </c>
      <c r="AB116" s="39" t="str">
        <f>IF(getCategoryLevelAsString($B116)="L0D_324785","",IF(I116="",CONCATENATE(";",EscStr(CONCATENATE("NavNode_",getCategoryLevelAsString($B116))),";",EscStr($J116),";"),CONCATENATE(";",EscStr(CONCATENATE("NavNode_",getCategoryLevelAsString($B116))),";",EscStr(I116),";")))</f>
        <v>;"NavNode_L3D_525379";"Interruttori a pulsante / Indicatori";</v>
      </c>
      <c r="AC116" s="39" t="str">
        <f>IF(getCategoryLevelAsString($B116)="L0D_324785","",IF(J116="",CONCATENATE(";",EscStr(CONCATENATE("NavNode_",getCategoryLevelAsString($B116))),";",EscStr($J116),";"),CONCATENATE(";",EscStr(CONCATENATE("NavNode_",getCategoryLevelAsString($B116))),";",EscStr(J116),";")))</f>
        <v>;"NavNode_L3D_525379";"Push-button Switches / Indicators";</v>
      </c>
      <c r="AD116" s="39" t="str">
        <f>IF(getCategoryLevelAsString($B116)="L0D_324785","",IF(K116="",CONCATENATE(";",EscStr(CONCATENATE("NavNode_",getCategoryLevelAsString($B116))),";",EscStr($J116),";"),CONCATENATE(";",EscStr(CONCATENATE("NavNode_",getCategoryLevelAsString($B116))),";",EscStr(K116),";")))</f>
        <v>;"NavNode_L3D_525379";"Trykknapafbrydere/indikatorer";</v>
      </c>
      <c r="AE116" s="39" t="str">
        <f>IF(getCategoryLevelAsString($B116)="L0D_324785","",IF(L116="",CONCATENATE(";",EscStr(CONCATENATE("NavNode_",getCategoryLevelAsString($B116))),";",EscStr($J116),";"),CONCATENATE(";",EscStr(CONCATENATE("NavNode_",getCategoryLevelAsString($B116))),";",EscStr(L116),";")))</f>
        <v>;"NavNode_L3D_525379";"Mygtukai / indikatoriai";</v>
      </c>
      <c r="AF116" s="39" t="str">
        <f>IF(getCategoryLevelAsString($B116)="L0D_324785","",IF(M116="",CONCATENATE(";",EscStr(CONCATENATE("NavNode_",getCategoryLevelAsString($B116))),";",EscStr($J116),";"),CONCATENATE(";",EscStr(CONCATENATE("NavNode_",getCategoryLevelAsString($B116))),";",EscStr(M116),";")))</f>
        <v>;"NavNode_L3D_525379";"Trykknappbrytere/indikatorer";</v>
      </c>
      <c r="AG116" s="39" t="str">
        <f>IF(getCategoryLevelAsString($B116)="L0D_324785","",IF(N116="",CONCATENATE(";",EscStr(CONCATENATE("NavNode_",getCategoryLevelAsString($B116))),";",EscStr($J116),";"),CONCATENATE(";",EscStr(CONCATENATE("NavNode_",getCategoryLevelAsString($B116))),";",EscStr(N116),";")))</f>
        <v>;"NavNode_L3D_525379";"Trycknappsomkopplare/Indikeringslampor";</v>
      </c>
      <c r="AH116" s="39" t="str">
        <f>IF(getCategoryLevelAsString($B116)="L0D_324785","",IF(O116="",CONCATENATE(";",EscStr(CONCATENATE("NavNode_",getCategoryLevelAsString($B116))),";",EscStr($J116),";"),CONCATENATE(";",EscStr(CONCATENATE("NavNode_",getCategoryLevelAsString($B116))),";",EscStr(O116),";")))</f>
        <v>;"NavNode_L3D_525379";"Surulülitid / Indikaatorid";</v>
      </c>
      <c r="AI116" s="39" t="str">
        <f>IF(getCategoryLevelAsString($B116)="L0D_324785","",IF(P116="",CONCATENATE(";",EscStr(CONCATENATE("NavNode_",getCategoryLevelAsString($B116))),";",EscStr($J116),";"),CONCATENATE(";",EscStr(CONCATENATE("NavNode_",getCategoryLevelAsString($B116))),";",EscStr(P116),";")))</f>
        <v>;"NavNode_L3D_525379";"Painokytkimet";</v>
      </c>
      <c r="AJ116" s="39" t="str">
        <f>IF(getCategoryLevelAsString($B116)="L0D_324785","",IF(Q116="",CONCATENATE(";",EscStr(CONCATENATE("NavNode_",getCategoryLevelAsString($B116))),";",EscStr($J116),";"),CONCATENATE(";",EscStr(CONCATENATE("NavNode_",getCategoryLevelAsString($B116))),";",EscStr(Q116),";")))</f>
        <v>;"NavNode_L3D_525379";"Pogas slēdži / Indikatori";</v>
      </c>
      <c r="AK116" s="39" t="str">
        <f>IF(getCategoryLevelAsString($B116)="L0D_324785","",IF(R116="",CONCATENATE(";",EscStr(CONCATENATE("NavNode_",getCategoryLevelAsString($B116))),";",EscStr($J116),";"),CONCATENATE(";",EscStr(CONCATENATE("NavNode_",getCategoryLevelAsString($B116))),";",EscStr(R116),";")))</f>
        <v>;"NavNode_L3D_525379";"Druktoets schakelaars / Indicatoren";</v>
      </c>
      <c r="AL116" s="39" t="str">
        <f>IF(getCategoryLevelAsString($B116)="L0D_324785","",IF(S116="",CONCATENATE(";",EscStr(CONCATENATE("NavNode_",getCategoryLevelAsString($B116))),";",EscStr($J116),";"),CONCATENATE(";",EscStr(CONCATENATE("NavNode_",getCategoryLevelAsString($B116))),";",EscStr(S116),";")))</f>
        <v>;"NavNode_L3D_525379";"Przełączniki przyciskowe / Lampki sygnalizacyjne";</v>
      </c>
      <c r="AM116" s="39" t="str">
        <f>IF(getCategoryLevelAsString($B116)="L0D_324785","",IF(T116="",CONCATENATE(";",EscStr(CONCATENATE("NavNode_",getCategoryLevelAsString($B116))),";",EscStr($J116),";"),CONCATENATE(";",EscStr(CONCATENATE("NavNode_",getCategoryLevelAsString($B116))),";",EscStr(T116),";")))</f>
        <v>;"NavNode_L3D_525379";"Кнопочные переключатели / Индикаторы";</v>
      </c>
      <c r="AN116" s="39" t="str">
        <f>IF(getCategoryLevelAsString($B116)="L0D_324785","",IF(U116="",CONCATENATE(";",EscStr(CONCATENATE("NavNode_",getCategoryLevelAsString($B116))),";",EscStr($J116),";"),CONCATENATE(";",EscStr(CONCATENATE("NavNode_",getCategoryLevelAsString($B116))),";",EscStr(U116),";")))</f>
        <v>;"NavNode_L3D_525379";"Tlačítkové spínače / kontrolky";</v>
      </c>
      <c r="AO116" s="39" t="str">
        <f>IF(getCategoryLevelAsString($B116)="L0D_324785","",IF(V116="",CONCATENATE(";",EscStr(CONCATENATE("NavNode_",getCategoryLevelAsString($B116))),";",EscStr($J116),";"),CONCATENATE(";",EscStr(CONCATENATE("NavNode_",getCategoryLevelAsString($B116))),";",EscStr(V116),";")))</f>
        <v>;"NavNode_L3D_525379";"Comutatoare de perete / lumini de semnal";</v>
      </c>
      <c r="AP116" s="39" t="str">
        <f>IF(getCategoryLevelAsString($B116)="L0D_324785","",IF(W116="",CONCATENATE(";",EscStr(CONCATENATE("NavNode_",getCategoryLevelAsString($B116))),";",EscStr($J116),";"),CONCATENATE(";",EscStr(CONCATENATE("NavNode_",getCategoryLevelAsString($B116))),";",EscStr(W116),";")))</f>
        <v>;"NavNode_L3D_525379";"Beépíthető kapcsolók / Jelzőfények";</v>
      </c>
      <c r="AQ116" s="39" t="str">
        <f>IF(getCategoryLevelAsString($B116)="L0D_324785","",IF(X116="",CONCATENATE(";",EscStr(CONCATENATE("NavNode_",getCategoryLevelAsString($B116))),";",EscStr($J116),";"),CONCATENATE(";",EscStr(CONCATENATE("NavNode_",getCategoryLevelAsString($B116))),";",EscStr(X116),";")))</f>
        <v>;"NavNode_L3D_525379";"Tlačidlové spínače / kontrolky";</v>
      </c>
      <c r="AR116" s="39" t="str">
        <f>IF(OR($A116&lt;&gt;"", $G116=""),"",CONCATENATE(";",EscStr(CONCATENATE("NavEntry_",getCategoryLevelAsString($B116))),";",EscStr(CONCATENATE($J116," Navigation Entry")),";",EscStr(CONCATENATE("cat-",getCategoryLevelAsString($B116))),";",EscStr(CONCATENATE("NavNode_",getCategoryLevelAsString($B116))),";"))</f>
        <v>;"NavEntry_L3D_525379";"Push-button Switches / Indicators Navigation Entry";"cat-L3D_525379";"NavNode_L3D_525379";</v>
      </c>
    </row>
    <row r="117" spans="1:44" s="34" customFormat="1" ht="15" x14ac:dyDescent="0.25">
      <c r="A117" s="25"/>
      <c r="B117" s="5"/>
      <c r="C117" s="5"/>
      <c r="D117" s="5" t="s">
        <v>7550</v>
      </c>
      <c r="E117" s="5"/>
      <c r="F117" s="5"/>
      <c r="G117" s="5" t="s">
        <v>7552</v>
      </c>
      <c r="H117" s="5" t="s">
        <v>13639</v>
      </c>
      <c r="I117" s="5" t="s">
        <v>13727</v>
      </c>
      <c r="J117" s="5" t="s">
        <v>7551</v>
      </c>
      <c r="K117" s="5" t="s">
        <v>13822</v>
      </c>
      <c r="L117" s="5" t="s">
        <v>15141</v>
      </c>
      <c r="M117" s="5" t="s">
        <v>13822</v>
      </c>
      <c r="N117" s="5" t="s">
        <v>13965</v>
      </c>
      <c r="O117" s="5" t="s">
        <v>14080</v>
      </c>
      <c r="P117" s="5" t="s">
        <v>14172</v>
      </c>
      <c r="Q117" s="5" t="s">
        <v>14257</v>
      </c>
      <c r="R117" s="5" t="s">
        <v>14336</v>
      </c>
      <c r="S117" s="5" t="s">
        <v>14434</v>
      </c>
      <c r="T117" s="5" t="s">
        <v>14524</v>
      </c>
      <c r="U117" s="5" t="s">
        <v>14611</v>
      </c>
      <c r="V117" s="5" t="s">
        <v>14697</v>
      </c>
      <c r="W117" s="5" t="s">
        <v>14783</v>
      </c>
      <c r="X117" s="5" t="s">
        <v>14865</v>
      </c>
      <c r="Y117" s="39" t="str">
        <f>IF(OR($A117&lt;&gt;"", $G117=""),"",CONCATENATE(";",EscStr(CONCATENATE("NavNode_",getCategoryLevelAsString($B117))),";",EscStr($J117),";",IF($B117&lt;&gt;"","""MainCategoryNavNode""",EscStr(CONCATENATE("NavNode_",getSuperCategory($B117, getCategoryLevelAsNumber($B117))))),";"))</f>
        <v>;"NavNode_L3D_525381";"Knobs";"NavNode_L2D_379528";</v>
      </c>
      <c r="Z117" s="39" t="str">
        <f>IF(getCategoryLevelAsString($B117)="L0D_324785","",IF(G117="",CONCATENATE(";",EscStr(CONCATENATE("NavNode_",getCategoryLevelAsString($B117))),";",EscStr($J117),";"),CONCATENATE(";",EscStr(CONCATENATE("NavNode_",getCategoryLevelAsString($B117))),";",EscStr(G117),";")))</f>
        <v>;"NavNode_L3D_525381";"Knöpfe";</v>
      </c>
      <c r="AA117" s="39" t="str">
        <f>IF(getCategoryLevelAsString($B117)="L0D_324785","",IF(H117="",CONCATENATE(";",EscStr(CONCATENATE("NavNode_",getCategoryLevelAsString($B117))),";",EscStr($J117),";"),CONCATENATE(";",EscStr(CONCATENATE("NavNode_",getCategoryLevelAsString($B117))),";",EscStr(H117),";")))</f>
        <v>;"NavNode_L3D_525381";"Boutons";</v>
      </c>
      <c r="AB117" s="39" t="str">
        <f>IF(getCategoryLevelAsString($B117)="L0D_324785","",IF(I117="",CONCATENATE(";",EscStr(CONCATENATE("NavNode_",getCategoryLevelAsString($B117))),";",EscStr($J117),";"),CONCATENATE(";",EscStr(CONCATENATE("NavNode_",getCategoryLevelAsString($B117))),";",EscStr(I117),";")))</f>
        <v>;"NavNode_L3D_525381";"Manopole";</v>
      </c>
      <c r="AC117" s="39" t="str">
        <f>IF(getCategoryLevelAsString($B117)="L0D_324785","",IF(J117="",CONCATENATE(";",EscStr(CONCATENATE("NavNode_",getCategoryLevelAsString($B117))),";",EscStr($J117),";"),CONCATENATE(";",EscStr(CONCATENATE("NavNode_",getCategoryLevelAsString($B117))),";",EscStr(J117),";")))</f>
        <v>;"NavNode_L3D_525381";"Knobs";</v>
      </c>
      <c r="AD117" s="39" t="str">
        <f>IF(getCategoryLevelAsString($B117)="L0D_324785","",IF(K117="",CONCATENATE(";",EscStr(CONCATENATE("NavNode_",getCategoryLevelAsString($B117))),";",EscStr($J117),";"),CONCATENATE(";",EscStr(CONCATENATE("NavNode_",getCategoryLevelAsString($B117))),";",EscStr(K117),";")))</f>
        <v>;"NavNode_L3D_525381";"Knapper";</v>
      </c>
      <c r="AE117" s="39" t="str">
        <f>IF(getCategoryLevelAsString($B117)="L0D_324785","",IF(L117="",CONCATENATE(";",EscStr(CONCATENATE("NavNode_",getCategoryLevelAsString($B117))),";",EscStr($J117),";"),CONCATENATE(";",EscStr(CONCATENATE("NavNode_",getCategoryLevelAsString($B117))),";",EscStr(L117),";")))</f>
        <v>;"NavNode_L3D_525381";"Rankenėlės";</v>
      </c>
      <c r="AF117" s="39" t="str">
        <f>IF(getCategoryLevelAsString($B117)="L0D_324785","",IF(M117="",CONCATENATE(";",EscStr(CONCATENATE("NavNode_",getCategoryLevelAsString($B117))),";",EscStr($J117),";"),CONCATENATE(";",EscStr(CONCATENATE("NavNode_",getCategoryLevelAsString($B117))),";",EscStr(M117),";")))</f>
        <v>;"NavNode_L3D_525381";"Knapper";</v>
      </c>
      <c r="AG117" s="39" t="str">
        <f>IF(getCategoryLevelAsString($B117)="L0D_324785","",IF(N117="",CONCATENATE(";",EscStr(CONCATENATE("NavNode_",getCategoryLevelAsString($B117))),";",EscStr($J117),";"),CONCATENATE(";",EscStr(CONCATENATE("NavNode_",getCategoryLevelAsString($B117))),";",EscStr(N117),";")))</f>
        <v>;"NavNode_L3D_525381";"Vred";</v>
      </c>
      <c r="AH117" s="39" t="str">
        <f>IF(getCategoryLevelAsString($B117)="L0D_324785","",IF(O117="",CONCATENATE(";",EscStr(CONCATENATE("NavNode_",getCategoryLevelAsString($B117))),";",EscStr($J117),";"),CONCATENATE(";",EscStr(CONCATENATE("NavNode_",getCategoryLevelAsString($B117))),";",EscStr(O117),";")))</f>
        <v>;"NavNode_L3D_525381";"Nupud";</v>
      </c>
      <c r="AI117" s="39" t="str">
        <f>IF(getCategoryLevelAsString($B117)="L0D_324785","",IF(P117="",CONCATENATE(";",EscStr(CONCATENATE("NavNode_",getCategoryLevelAsString($B117))),";",EscStr($J117),";"),CONCATENATE(";",EscStr(CONCATENATE("NavNode_",getCategoryLevelAsString($B117))),";",EscStr(P117),";")))</f>
        <v>;"NavNode_L3D_525381";"Nupit";</v>
      </c>
      <c r="AJ117" s="39" t="str">
        <f>IF(getCategoryLevelAsString($B117)="L0D_324785","",IF(Q117="",CONCATENATE(";",EscStr(CONCATENATE("NavNode_",getCategoryLevelAsString($B117))),";",EscStr($J117),";"),CONCATENATE(";",EscStr(CONCATENATE("NavNode_",getCategoryLevelAsString($B117))),";",EscStr(Q117),";")))</f>
        <v>;"NavNode_L3D_525381";"Regulatoru pogas";</v>
      </c>
      <c r="AK117" s="39" t="str">
        <f>IF(getCategoryLevelAsString($B117)="L0D_324785","",IF(R117="",CONCATENATE(";",EscStr(CONCATENATE("NavNode_",getCategoryLevelAsString($B117))),";",EscStr($J117),";"),CONCATENATE(";",EscStr(CONCATENATE("NavNode_",getCategoryLevelAsString($B117))),";",EscStr(R117),";")))</f>
        <v>;"NavNode_L3D_525381";"Knoppen";</v>
      </c>
      <c r="AL117" s="39" t="str">
        <f>IF(getCategoryLevelAsString($B117)="L0D_324785","",IF(S117="",CONCATENATE(";",EscStr(CONCATENATE("NavNode_",getCategoryLevelAsString($B117))),";",EscStr($J117),";"),CONCATENATE(";",EscStr(CONCATENATE("NavNode_",getCategoryLevelAsString($B117))),";",EscStr(S117),";")))</f>
        <v>;"NavNode_L3D_525381";"Pokrętła";</v>
      </c>
      <c r="AM117" s="39" t="str">
        <f>IF(getCategoryLevelAsString($B117)="L0D_324785","",IF(T117="",CONCATENATE(";",EscStr(CONCATENATE("NavNode_",getCategoryLevelAsString($B117))),";",EscStr($J117),";"),CONCATENATE(";",EscStr(CONCATENATE("NavNode_",getCategoryLevelAsString($B117))),";",EscStr(T117),";")))</f>
        <v>;"NavNode_L3D_525381";"Регуляторы/ручки";</v>
      </c>
      <c r="AN117" s="39" t="str">
        <f>IF(getCategoryLevelAsString($B117)="L0D_324785","",IF(U117="",CONCATENATE(";",EscStr(CONCATENATE("NavNode_",getCategoryLevelAsString($B117))),";",EscStr($J117),";"),CONCATENATE(";",EscStr(CONCATENATE("NavNode_",getCategoryLevelAsString($B117))),";",EscStr(U117),";")))</f>
        <v>;"NavNode_L3D_525381";"Knoflíky";</v>
      </c>
      <c r="AO117" s="39" t="str">
        <f>IF(getCategoryLevelAsString($B117)="L0D_324785","",IF(V117="",CONCATENATE(";",EscStr(CONCATENATE("NavNode_",getCategoryLevelAsString($B117))),";",EscStr($J117),";"),CONCATENATE(";",EscStr(CONCATENATE("NavNode_",getCategoryLevelAsString($B117))),";",EscStr(V117),";")))</f>
        <v>;"NavNode_L3D_525381";"Butoane";</v>
      </c>
      <c r="AP117" s="39" t="str">
        <f>IF(getCategoryLevelAsString($B117)="L0D_324785","",IF(W117="",CONCATENATE(";",EscStr(CONCATENATE("NavNode_",getCategoryLevelAsString($B117))),";",EscStr($J117),";"),CONCATENATE(";",EscStr(CONCATENATE("NavNode_",getCategoryLevelAsString($B117))),";",EscStr(W117),";")))</f>
        <v>;"NavNode_L3D_525381";"Nyomógomb";</v>
      </c>
      <c r="AQ117" s="39" t="str">
        <f>IF(getCategoryLevelAsString($B117)="L0D_324785","",IF(X117="",CONCATENATE(";",EscStr(CONCATENATE("NavNode_",getCategoryLevelAsString($B117))),";",EscStr($J117),";"),CONCATENATE(";",EscStr(CONCATENATE("NavNode_",getCategoryLevelAsString($B117))),";",EscStr(X117),";")))</f>
        <v>;"NavNode_L3D_525381";"Gombíky";</v>
      </c>
      <c r="AR117" s="39" t="str">
        <f>IF(OR($A117&lt;&gt;"", $G117=""),"",CONCATENATE(";",EscStr(CONCATENATE("NavEntry_",getCategoryLevelAsString($B117))),";",EscStr(CONCATENATE($J117," Navigation Entry")),";",EscStr(CONCATENATE("cat-",getCategoryLevelAsString($B117))),";",EscStr(CONCATENATE("NavNode_",getCategoryLevelAsString($B117))),";"))</f>
        <v>;"NavEntry_L3D_525381";"Knobs Navigation Entry";"cat-L3D_525381";"NavNode_L3D_525381";</v>
      </c>
    </row>
    <row r="118" spans="1:44" s="34" customFormat="1" ht="15" x14ac:dyDescent="0.25">
      <c r="A118" s="25"/>
      <c r="B118" s="5"/>
      <c r="C118" s="5" t="s">
        <v>170</v>
      </c>
      <c r="D118" s="5"/>
      <c r="E118" s="5"/>
      <c r="F118" s="5"/>
      <c r="G118" s="5" t="s">
        <v>2168</v>
      </c>
      <c r="H118" s="5" t="s">
        <v>2169</v>
      </c>
      <c r="I118" s="5" t="s">
        <v>2170</v>
      </c>
      <c r="J118" s="5" t="s">
        <v>2171</v>
      </c>
      <c r="K118" s="5" t="s">
        <v>13823</v>
      </c>
      <c r="L118" s="5" t="s">
        <v>1477</v>
      </c>
      <c r="M118" s="5" t="s">
        <v>2173</v>
      </c>
      <c r="N118" s="5" t="s">
        <v>13966</v>
      </c>
      <c r="O118" s="5" t="s">
        <v>2175</v>
      </c>
      <c r="P118" s="5" t="s">
        <v>2176</v>
      </c>
      <c r="Q118" s="5" t="s">
        <v>2177</v>
      </c>
      <c r="R118" s="5" t="s">
        <v>2178</v>
      </c>
      <c r="S118" s="5" t="s">
        <v>2179</v>
      </c>
      <c r="T118" s="5" t="s">
        <v>2180</v>
      </c>
      <c r="U118" s="5" t="s">
        <v>2181</v>
      </c>
      <c r="V118" s="5" t="s">
        <v>2182</v>
      </c>
      <c r="W118" s="5" t="s">
        <v>2183</v>
      </c>
      <c r="X118" s="5" t="s">
        <v>14866</v>
      </c>
      <c r="Y118" s="39" t="str">
        <f>IF(OR($A118&lt;&gt;"", $G118=""),"",CONCATENATE(";",EscStr(CONCATENATE("NavNode_",getCategoryLevelAsString($B118))),";",EscStr($J118),";",IF($B118&lt;&gt;"","""MainCategoryNavNode""",EscStr(CONCATENATE("NavNode_",getSuperCategory($B118, getCategoryLevelAsNumber($B118))))),";"))</f>
        <v>;"NavNode_L3D_525398";"Printed Circuit Board Layout Software";"NavNode_Electromechanical Components";</v>
      </c>
      <c r="Z118" s="39" t="str">
        <f>IF(getCategoryLevelAsString($B118)="L0D_324785","",IF(G118="",CONCATENATE(";",EscStr(CONCATENATE("NavNode_",getCategoryLevelAsString($B118))),";",EscStr($J118),";"),CONCATENATE(";",EscStr(CONCATENATE("NavNode_",getCategoryLevelAsString($B118))),";",EscStr(G118),";")))</f>
        <v>;"NavNode_L3D_525398";"Leiterplatten-Layoutsoftware";</v>
      </c>
      <c r="AA118" s="39" t="str">
        <f>IF(getCategoryLevelAsString($B118)="L0D_324785","",IF(H118="",CONCATENATE(";",EscStr(CONCATENATE("NavNode_",getCategoryLevelAsString($B118))),";",EscStr($J118),";"),CONCATENATE(";",EscStr(CONCATENATE("NavNode_",getCategoryLevelAsString($B118))),";",EscStr(H118),";")))</f>
        <v>;"NavNode_L3D_525398";"Logiciel pour layout de carte de circuit imprimé";</v>
      </c>
      <c r="AB118" s="39" t="str">
        <f>IF(getCategoryLevelAsString($B118)="L0D_324785","",IF(I118="",CONCATENATE(";",EscStr(CONCATENATE("NavNode_",getCategoryLevelAsString($B118))),";",EscStr($J118),";"),CONCATENATE(";",EscStr(CONCATENATE("NavNode_",getCategoryLevelAsString($B118))),";",EscStr(I118),";")))</f>
        <v>;"NavNode_L3D_525398";"Software schema della scheda a circuiti stampati";</v>
      </c>
      <c r="AC118" s="39" t="str">
        <f>IF(getCategoryLevelAsString($B118)="L0D_324785","",IF(J118="",CONCATENATE(";",EscStr(CONCATENATE("NavNode_",getCategoryLevelAsString($B118))),";",EscStr($J118),";"),CONCATENATE(";",EscStr(CONCATENATE("NavNode_",getCategoryLevelAsString($B118))),";",EscStr(J118),";")))</f>
        <v>;"NavNode_L3D_525398";"Printed Circuit Board Layout Software";</v>
      </c>
      <c r="AD118" s="39" t="str">
        <f>IF(getCategoryLevelAsString($B118)="L0D_324785","",IF(K118="",CONCATENATE(";",EscStr(CONCATENATE("NavNode_",getCategoryLevelAsString($B118))),";",EscStr($J118),";"),CONCATENATE(";",EscStr(CONCATENATE("NavNode_",getCategoryLevelAsString($B118))),";",EscStr(K118),";")))</f>
        <v>;"NavNode_L3D_525398";"Print-designsoftware";</v>
      </c>
      <c r="AE118" s="39" t="str">
        <f>IF(getCategoryLevelAsString($B118)="L0D_324785","",IF(L118="",CONCATENATE(";",EscStr(CONCATENATE("NavNode_",getCategoryLevelAsString($B118))),";",EscStr($J118),";"),CONCATENATE(";",EscStr(CONCATENATE("NavNode_",getCategoryLevelAsString($B118))),";",EscStr(L118),";")))</f>
        <v>;"NavNode_L3D_525398";"PCB schemos programinė įranga";</v>
      </c>
      <c r="AF118" s="39" t="str">
        <f>IF(getCategoryLevelAsString($B118)="L0D_324785","",IF(M118="",CONCATENATE(";",EscStr(CONCATENATE("NavNode_",getCategoryLevelAsString($B118))),";",EscStr($J118),";"),CONCATENATE(";",EscStr(CONCATENATE("NavNode_",getCategoryLevelAsString($B118))),";",EscStr(M118),";")))</f>
        <v>;"NavNode_L3D_525398";"Programvare for kretskortlayout";</v>
      </c>
      <c r="AG118" s="39" t="str">
        <f>IF(getCategoryLevelAsString($B118)="L0D_324785","",IF(N118="",CONCATENATE(";",EscStr(CONCATENATE("NavNode_",getCategoryLevelAsString($B118))),";",EscStr($J118),";"),CONCATENATE(";",EscStr(CONCATENATE("NavNode_",getCategoryLevelAsString($B118))),";",EscStr(N118),";")))</f>
        <v>;"NavNode_L3D_525398";"Programvara för kretskortlayout";</v>
      </c>
      <c r="AH118" s="39" t="str">
        <f>IF(getCategoryLevelAsString($B118)="L0D_324785","",IF(O118="",CONCATENATE(";",EscStr(CONCATENATE("NavNode_",getCategoryLevelAsString($B118))),";",EscStr($J118),";"),CONCATENATE(";",EscStr(CONCATENATE("NavNode_",getCategoryLevelAsString($B118))),";",EscStr(O118),";")))</f>
        <v>;"NavNode_L3D_525398";"Prinditud trükkplaadi asetuse tarkvara";</v>
      </c>
      <c r="AI118" s="39" t="str">
        <f>IF(getCategoryLevelAsString($B118)="L0D_324785","",IF(P118="",CONCATENATE(";",EscStr(CONCATENATE("NavNode_",getCategoryLevelAsString($B118))),";",EscStr($J118),";"),CONCATENATE(";",EscStr(CONCATENATE("NavNode_",getCategoryLevelAsString($B118))),";",EscStr(P118),";")))</f>
        <v>;"NavNode_L3D_525398";"Piirilevyjen suunnitteluohjelmisto";</v>
      </c>
      <c r="AJ118" s="39" t="str">
        <f>IF(getCategoryLevelAsString($B118)="L0D_324785","",IF(Q118="",CONCATENATE(";",EscStr(CONCATENATE("NavNode_",getCategoryLevelAsString($B118))),";",EscStr($J118),";"),CONCATENATE(";",EscStr(CONCATENATE("NavNode_",getCategoryLevelAsString($B118))),";",EscStr(Q118),";")))</f>
        <v>;"NavNode_L3D_525398";"Drukātās shēmas plates programmatūra";</v>
      </c>
      <c r="AK118" s="39" t="str">
        <f>IF(getCategoryLevelAsString($B118)="L0D_324785","",IF(R118="",CONCATENATE(";",EscStr(CONCATENATE("NavNode_",getCategoryLevelAsString($B118))),";",EscStr($J118),";"),CONCATENATE(";",EscStr(CONCATENATE("NavNode_",getCategoryLevelAsString($B118))),";",EscStr(R118),";")))</f>
        <v>;"NavNode_L3D_525398";"Layout-software printplaten";</v>
      </c>
      <c r="AL118" s="39" t="str">
        <f>IF(getCategoryLevelAsString($B118)="L0D_324785","",IF(S118="",CONCATENATE(";",EscStr(CONCATENATE("NavNode_",getCategoryLevelAsString($B118))),";",EscStr($J118),";"),CONCATENATE(";",EscStr(CONCATENATE("NavNode_",getCategoryLevelAsString($B118))),";",EscStr(S118),";")))</f>
        <v>;"NavNode_L3D_525398";"Oprogramowanie do tworzenia schematów PCB";</v>
      </c>
      <c r="AM118" s="39" t="str">
        <f>IF(getCategoryLevelAsString($B118)="L0D_324785","",IF(T118="",CONCATENATE(";",EscStr(CONCATENATE("NavNode_",getCategoryLevelAsString($B118))),";",EscStr($J118),";"),CONCATENATE(";",EscStr(CONCATENATE("NavNode_",getCategoryLevelAsString($B118))),";",EscStr(T118),";")))</f>
        <v>;"NavNode_L3D_525398";"ПО для компоновки печатных плат";</v>
      </c>
      <c r="AN118" s="39" t="str">
        <f>IF(getCategoryLevelAsString($B118)="L0D_324785","",IF(U118="",CONCATENATE(";",EscStr(CONCATENATE("NavNode_",getCategoryLevelAsString($B118))),";",EscStr($J118),";"),CONCATENATE(";",EscStr(CONCATENATE("NavNode_",getCategoryLevelAsString($B118))),";",EscStr(U118),";")))</f>
        <v>;"NavNode_L3D_525398";"Software pro návrhy plošných spojů";</v>
      </c>
      <c r="AO118" s="39" t="str">
        <f>IF(getCategoryLevelAsString($B118)="L0D_324785","",IF(V118="",CONCATENATE(";",EscStr(CONCATENATE("NavNode_",getCategoryLevelAsString($B118))),";",EscStr($J118),";"),CONCATENATE(";",EscStr(CONCATENATE("NavNode_",getCategoryLevelAsString($B118))),";",EscStr(V118),";")))</f>
        <v>;"NavNode_L3D_525398";"Software aşezare placă circuite imprimate";</v>
      </c>
      <c r="AP118" s="39" t="str">
        <f>IF(getCategoryLevelAsString($B118)="L0D_324785","",IF(W118="",CONCATENATE(";",EscStr(CONCATENATE("NavNode_",getCategoryLevelAsString($B118))),";",EscStr($J118),";"),CONCATENATE(";",EscStr(CONCATENATE("NavNode_",getCategoryLevelAsString($B118))),";",EscStr(W118),";")))</f>
        <v>;"NavNode_L3D_525398";"Nyomtatott áramköri kártya elrendezési szoftver";</v>
      </c>
      <c r="AQ118" s="39" t="str">
        <f>IF(getCategoryLevelAsString($B118)="L0D_324785","",IF(X118="",CONCATENATE(";",EscStr(CONCATENATE("NavNode_",getCategoryLevelAsString($B118))),";",EscStr($J118),";"),CONCATENATE(";",EscStr(CONCATENATE("NavNode_",getCategoryLevelAsString($B118))),";",EscStr(X118),";")))</f>
        <v>;"NavNode_L3D_525398";"Softvér pre návrhy dosiek plošných spojov";</v>
      </c>
      <c r="AR118" s="39" t="str">
        <f>IF(OR($A118&lt;&gt;"", $G118=""),"",CONCATENATE(";",EscStr(CONCATENATE("NavEntry_",getCategoryLevelAsString($B118))),";",EscStr(CONCATENATE($J118," Navigation Entry")),";",EscStr(CONCATENATE("cat-",getCategoryLevelAsString($B118))),";",EscStr(CONCATENATE("NavNode_",getCategoryLevelAsString($B118))),";"))</f>
        <v>;"NavEntry_L3D_525398";"Printed Circuit Board Layout Software Navigation Entry";"cat-L3D_525398";"NavNode_L3D_525398";</v>
      </c>
    </row>
    <row r="119" spans="1:44" s="34" customFormat="1" ht="15" x14ac:dyDescent="0.25">
      <c r="A119" s="25"/>
      <c r="B119" s="5"/>
      <c r="C119" s="5" t="s">
        <v>173</v>
      </c>
      <c r="D119" s="5"/>
      <c r="E119" s="5"/>
      <c r="F119" s="5"/>
      <c r="G119" s="5" t="s">
        <v>993</v>
      </c>
      <c r="H119" s="5" t="s">
        <v>1095</v>
      </c>
      <c r="I119" s="5" t="s">
        <v>1154</v>
      </c>
      <c r="J119" s="5" t="s">
        <v>174</v>
      </c>
      <c r="K119" s="5" t="s">
        <v>13824</v>
      </c>
      <c r="L119" s="5" t="s">
        <v>1478</v>
      </c>
      <c r="M119" s="5" t="s">
        <v>1710</v>
      </c>
      <c r="N119" s="5" t="s">
        <v>13967</v>
      </c>
      <c r="O119" s="5" t="s">
        <v>2783</v>
      </c>
      <c r="P119" s="5" t="s">
        <v>2784</v>
      </c>
      <c r="Q119" s="5" t="s">
        <v>2785</v>
      </c>
      <c r="R119" s="5" t="s">
        <v>2786</v>
      </c>
      <c r="S119" s="5" t="s">
        <v>2787</v>
      </c>
      <c r="T119" s="5" t="s">
        <v>2788</v>
      </c>
      <c r="U119" s="5" t="s">
        <v>2789</v>
      </c>
      <c r="V119" s="5" t="s">
        <v>2790</v>
      </c>
      <c r="W119" s="5" t="s">
        <v>2791</v>
      </c>
      <c r="X119" s="5" t="s">
        <v>14867</v>
      </c>
      <c r="Y119" s="39" t="str">
        <f>IF(OR($A119&lt;&gt;"", $G119=""),"",CONCATENATE(";",EscStr(CONCATENATE("NavNode_",getCategoryLevelAsString($B119))),";",EscStr($J119),";",IF($B119&lt;&gt;"","""MainCategoryNavNode""",EscStr(CONCATENATE("NavNode_",getSuperCategory($B119, getCategoryLevelAsNumber($B119))))),";"))</f>
        <v>;"NavNode_L3D_525399";"Prototyping Boards / PCB Manufacturing";"NavNode_Electromechanical Components";</v>
      </c>
      <c r="Z119" s="39" t="str">
        <f>IF(getCategoryLevelAsString($B119)="L0D_324785","",IF(G119="",CONCATENATE(";",EscStr(CONCATENATE("NavNode_",getCategoryLevelAsString($B119))),";",EscStr($J119),";"),CONCATENATE(";",EscStr(CONCATENATE("NavNode_",getCategoryLevelAsString($B119))),";",EscStr(G119),";")))</f>
        <v>;"NavNode_L3D_525399";"Laborkarten / Leiterplattenfertigung";</v>
      </c>
      <c r="AA119" s="39" t="str">
        <f>IF(getCategoryLevelAsString($B119)="L0D_324785","",IF(H119="",CONCATENATE(";",EscStr(CONCATENATE("NavNode_",getCategoryLevelAsString($B119))),";",EscStr($J119),";"),CONCATENATE(";",EscStr(CONCATENATE("NavNode_",getCategoryLevelAsString($B119))),";",EscStr(H119),";")))</f>
        <v>;"NavNode_L3D_525399";"Cartes de laboratoire / Fabrication de circuits imprimés";</v>
      </c>
      <c r="AB119" s="39" t="str">
        <f>IF(getCategoryLevelAsString($B119)="L0D_324785","",IF(I119="",CONCATENATE(";",EscStr(CONCATENATE("NavNode_",getCategoryLevelAsString($B119))),";",EscStr($J119),";"),CONCATENATE(";",EscStr(CONCATENATE("NavNode_",getCategoryLevelAsString($B119))),";",EscStr(I119),";")))</f>
        <v>;"NavNode_L3D_525399";"Schede laboratorio / Produzione circuiti stampati";</v>
      </c>
      <c r="AC119" s="39" t="str">
        <f>IF(getCategoryLevelAsString($B119)="L0D_324785","",IF(J119="",CONCATENATE(";",EscStr(CONCATENATE("NavNode_",getCategoryLevelAsString($B119))),";",EscStr($J119),";"),CONCATENATE(";",EscStr(CONCATENATE("NavNode_",getCategoryLevelAsString($B119))),";",EscStr(J119),";")))</f>
        <v>;"NavNode_L3D_525399";"Prototyping Boards / PCB Manufacturing";</v>
      </c>
      <c r="AD119" s="39" t="str">
        <f>IF(getCategoryLevelAsString($B119)="L0D_324785","",IF(K119="",CONCATENATE(";",EscStr(CONCATENATE("NavNode_",getCategoryLevelAsString($B119))),";",EscStr($J119),";"),CONCATENATE(";",EscStr(CONCATENATE("NavNode_",getCategoryLevelAsString($B119))),";",EscStr(K119),";")))</f>
        <v>;"NavNode_L3D_525399";"Prototypetavler/Printfremstilling";</v>
      </c>
      <c r="AE119" s="39" t="str">
        <f>IF(getCategoryLevelAsString($B119)="L0D_324785","",IF(L119="",CONCATENATE(";",EscStr(CONCATENATE("NavNode_",getCategoryLevelAsString($B119))),";",EscStr($J119),";"),CONCATENATE(";",EscStr(CONCATENATE("NavNode_",getCategoryLevelAsString($B119))),";",EscStr(L119),";")))</f>
        <v>;"NavNode_L3D_525399";"Prototipų plokštės / PCB gamyba";</v>
      </c>
      <c r="AF119" s="39" t="str">
        <f>IF(getCategoryLevelAsString($B119)="L0D_324785","",IF(M119="",CONCATENATE(";",EscStr(CONCATENATE("NavNode_",getCategoryLevelAsString($B119))),";",EscStr($J119),";"),CONCATENATE(";",EscStr(CONCATENATE("NavNode_",getCategoryLevelAsString($B119))),";",EscStr(M119),";")))</f>
        <v>;"NavNode_L3D_525399";"Prototypekort/kretskortproduksjon";</v>
      </c>
      <c r="AG119" s="39" t="str">
        <f>IF(getCategoryLevelAsString($B119)="L0D_324785","",IF(N119="",CONCATENATE(";",EscStr(CONCATENATE("NavNode_",getCategoryLevelAsString($B119))),";",EscStr($J119),";"),CONCATENATE(";",EscStr(CONCATENATE("NavNode_",getCategoryLevelAsString($B119))),";",EscStr(N119),";")))</f>
        <v>;"NavNode_L3D_525399";"Labkort/kretskortstillverkning";</v>
      </c>
      <c r="AH119" s="39" t="str">
        <f>IF(getCategoryLevelAsString($B119)="L0D_324785","",IF(O119="",CONCATENATE(";",EscStr(CONCATENATE("NavNode_",getCategoryLevelAsString($B119))),";",EscStr($J119),";"),CONCATENATE(";",EscStr(CONCATENATE("NavNode_",getCategoryLevelAsString($B119))),";",EscStr(O119),";")))</f>
        <v>;"NavNode_L3D_525399";"Prototüüpimisplaadid ja trükkplaatide tootmine";</v>
      </c>
      <c r="AI119" s="39" t="str">
        <f>IF(getCategoryLevelAsString($B119)="L0D_324785","",IF(P119="",CONCATENATE(";",EscStr(CONCATENATE("NavNode_",getCategoryLevelAsString($B119))),";",EscStr($J119),";"),CONCATENATE(";",EscStr(CONCATENATE("NavNode_",getCategoryLevelAsString($B119))),";",EscStr(P119),";")))</f>
        <v>;"NavNode_L3D_525399";"Proto-levyt";</v>
      </c>
      <c r="AJ119" s="39" t="str">
        <f>IF(getCategoryLevelAsString($B119)="L0D_324785","",IF(Q119="",CONCATENATE(";",EscStr(CONCATENATE("NavNode_",getCategoryLevelAsString($B119))),";",EscStr($J119),";"),CONCATENATE(";",EscStr(CONCATENATE("NavNode_",getCategoryLevelAsString($B119))),";",EscStr(Q119),";")))</f>
        <v>;"NavNode_L3D_525399";"Maketplates / PCB izgatavošana";</v>
      </c>
      <c r="AK119" s="39" t="str">
        <f>IF(getCategoryLevelAsString($B119)="L0D_324785","",IF(R119="",CONCATENATE(";",EscStr(CONCATENATE("NavNode_",getCategoryLevelAsString($B119))),";",EscStr($J119),";"),CONCATENATE(";",EscStr(CONCATENATE("NavNode_",getCategoryLevelAsString($B119))),";",EscStr(R119),";")))</f>
        <v>;"NavNode_L3D_525399";"Protoype borden / PCB productie";</v>
      </c>
      <c r="AL119" s="39" t="str">
        <f>IF(getCategoryLevelAsString($B119)="L0D_324785","",IF(S119="",CONCATENATE(";",EscStr(CONCATENATE("NavNode_",getCategoryLevelAsString($B119))),";",EscStr($J119),";"),CONCATENATE(";",EscStr(CONCATENATE("NavNode_",getCategoryLevelAsString($B119))),";",EscStr(S119),";")))</f>
        <v>;"NavNode_L3D_525399";"Płytki prototypowe  / produkcja PCB";</v>
      </c>
      <c r="AM119" s="39" t="str">
        <f>IF(getCategoryLevelAsString($B119)="L0D_324785","",IF(T119="",CONCATENATE(";",EscStr(CONCATENATE("NavNode_",getCategoryLevelAsString($B119))),";",EscStr($J119),";"),CONCATENATE(";",EscStr(CONCATENATE("NavNode_",getCategoryLevelAsString($B119))),";",EscStr(T119),";")))</f>
        <v>;"NavNode_L3D_525399";"Лабораторные платы / Производство печатных плат";</v>
      </c>
      <c r="AN119" s="39" t="str">
        <f>IF(getCategoryLevelAsString($B119)="L0D_324785","",IF(U119="",CONCATENATE(";",EscStr(CONCATENATE("NavNode_",getCategoryLevelAsString($B119))),";",EscStr($J119),";"),CONCATENATE(";",EscStr(CONCATENATE("NavNode_",getCategoryLevelAsString($B119))),";",EscStr(U119),";")))</f>
        <v>;"NavNode_L3D_525399";"Experimentální desky / výroba desek plošných spojů";</v>
      </c>
      <c r="AO119" s="39" t="str">
        <f>IF(getCategoryLevelAsString($B119)="L0D_324785","",IF(V119="",CONCATENATE(";",EscStr(CONCATENATE("NavNode_",getCategoryLevelAsString($B119))),";",EscStr($J119),";"),CONCATENATE(";",EscStr(CONCATENATE("NavNode_",getCategoryLevelAsString($B119))),";",EscStr(V119),";")))</f>
        <v>;"NavNode_L3D_525399";"Plăci de laborator / Fabricaţie PCB";</v>
      </c>
      <c r="AP119" s="39" t="str">
        <f>IF(getCategoryLevelAsString($B119)="L0D_324785","",IF(W119="",CONCATENATE(";",EscStr(CONCATENATE("NavNode_",getCategoryLevelAsString($B119))),";",EscStr($J119),";"),CONCATENATE(";",EscStr(CONCATENATE("NavNode_",getCategoryLevelAsString($B119))),";",EscStr(W119),";")))</f>
        <v>;"NavNode_L3D_525399";"Laborkártyák / Kész NYÁK-ok";</v>
      </c>
      <c r="AQ119" s="39" t="str">
        <f>IF(getCategoryLevelAsString($B119)="L0D_324785","",IF(X119="",CONCATENATE(";",EscStr(CONCATENATE("NavNode_",getCategoryLevelAsString($B119))),";",EscStr($J119),";"),CONCATENATE(";",EscStr(CONCATENATE("NavNode_",getCategoryLevelAsString($B119))),";",EscStr(X119),";")))</f>
        <v>;"NavNode_L3D_525399";"Experimentálne dosky / výroba dosiek plošných spojov";</v>
      </c>
      <c r="AR119" s="39" t="str">
        <f>IF(OR($A119&lt;&gt;"", $G119=""),"",CONCATENATE(";",EscStr(CONCATENATE("NavEntry_",getCategoryLevelAsString($B119))),";",EscStr(CONCATENATE($J119," Navigation Entry")),";",EscStr(CONCATENATE("cat-",getCategoryLevelAsString($B119))),";",EscStr(CONCATENATE("NavNode_",getCategoryLevelAsString($B119))),";"))</f>
        <v>;"NavEntry_L3D_525399";"Prototyping Boards / PCB Manufacturing Navigation Entry";"cat-L3D_525399";"NavNode_L3D_525399";</v>
      </c>
    </row>
    <row r="120" spans="1:44" s="38" customFormat="1" ht="15" x14ac:dyDescent="0.25">
      <c r="A120" s="32"/>
      <c r="B120" s="29" t="s">
        <v>7616</v>
      </c>
      <c r="C120" s="37"/>
      <c r="E120" s="29"/>
      <c r="F120" s="29"/>
      <c r="G120" s="31" t="s">
        <v>15268</v>
      </c>
      <c r="H120" s="31" t="s">
        <v>15269</v>
      </c>
      <c r="I120" s="43" t="s">
        <v>15270</v>
      </c>
      <c r="J120" s="31" t="s">
        <v>7616</v>
      </c>
      <c r="K120" s="43" t="s">
        <v>15271</v>
      </c>
      <c r="L120" s="28" t="s">
        <v>15272</v>
      </c>
      <c r="M120" s="31" t="s">
        <v>15273</v>
      </c>
      <c r="N120" s="31" t="s">
        <v>15274</v>
      </c>
      <c r="O120" s="31" t="s">
        <v>15275</v>
      </c>
      <c r="P120" s="31" t="s">
        <v>15276</v>
      </c>
      <c r="Q120" s="31" t="s">
        <v>15277</v>
      </c>
      <c r="R120" s="31" t="s">
        <v>15278</v>
      </c>
      <c r="S120" s="31" t="s">
        <v>15279</v>
      </c>
      <c r="T120" s="31" t="s">
        <v>15280</v>
      </c>
      <c r="U120" s="28" t="s">
        <v>15281</v>
      </c>
      <c r="V120" s="31" t="s">
        <v>15282</v>
      </c>
      <c r="W120" s="31" t="s">
        <v>15283</v>
      </c>
      <c r="X120" s="28" t="s">
        <v>15284</v>
      </c>
      <c r="Y120" s="39" t="str">
        <f>IF(OR($A120&lt;&gt;"", $G120=""),"",CONCATENATE(";",EscStr(CONCATENATE("NavNode_",getCategoryLevelAsString($B120))),";",EscStr($J120),";",IF($B120&lt;&gt;"","""MainCategoryNavNode""",EscStr(CONCATENATE("NavNode_",getSuperCategory($B120, getCategoryLevelAsNumber($B120))))),";"))</f>
        <v>;"NavNode_Embedded / Wireless / Education";"Embedded / Wireless / Education";"MainCategoryNavNode";</v>
      </c>
      <c r="Z120" s="39" t="str">
        <f>IF(getCategoryLevelAsString($B120)="L0D_324785","",IF(G120="",CONCATENATE(";",EscStr(CONCATENATE("NavNode_",getCategoryLevelAsString($B120))),";",EscStr($J120),";"),CONCATENATE(";",EscStr(CONCATENATE("NavNode_",getCategoryLevelAsString($B120))),";",EscStr(G120),";")))</f>
        <v>;"NavNode_Embedded / Wireless / Education";"Embedded / Drahtlos / Schulung";</v>
      </c>
      <c r="AA120" s="39" t="str">
        <f>IF(getCategoryLevelAsString($B120)="L0D_324785","",IF(H120="",CONCATENATE(";",EscStr(CONCATENATE("NavNode_",getCategoryLevelAsString($B120))),";",EscStr($J120),";"),CONCATENATE(";",EscStr(CONCATENATE("NavNode_",getCategoryLevelAsString($B120))),";",EscStr(H120),";")))</f>
        <v>;"NavNode_Embedded / Wireless / Education";"Systèmes embarqués et wireless / Education";</v>
      </c>
      <c r="AB120" s="39" t="str">
        <f>IF(getCategoryLevelAsString($B120)="L0D_324785","",IF(I120="",CONCATENATE(";",EscStr(CONCATENATE("NavNode_",getCategoryLevelAsString($B120))),";",EscStr($J120),";"),CONCATENATE(";",EscStr(CONCATENATE("NavNode_",getCategoryLevelAsString($B120))),";",EscStr(I120),";")))</f>
        <v>;"NavNode_Embedded / Wireless / Education";"Integrato/Wireless/Formazione";</v>
      </c>
      <c r="AC120" s="39" t="str">
        <f>IF(getCategoryLevelAsString($B120)="L0D_324785","",IF(J120="",CONCATENATE(";",EscStr(CONCATENATE("NavNode_",getCategoryLevelAsString($B120))),";",EscStr($J120),";"),CONCATENATE(";",EscStr(CONCATENATE("NavNode_",getCategoryLevelAsString($B120))),";",EscStr(J120),";")))</f>
        <v>;"NavNode_Embedded / Wireless / Education";"Embedded / Wireless / Education";</v>
      </c>
      <c r="AD120" s="39" t="str">
        <f>IF(getCategoryLevelAsString($B120)="L0D_324785","",IF(K120="",CONCATENATE(";",EscStr(CONCATENATE("NavNode_",getCategoryLevelAsString($B120))),";",EscStr($J120),";"),CONCATENATE(";",EscStr(CONCATENATE("NavNode_",getCategoryLevelAsString($B120))),";",EscStr(K120),";")))</f>
        <v>;"NavNode_Embedded / Wireless / Education";"Integreret / Trådløs / Uddannelse";</v>
      </c>
      <c r="AE120" s="39" t="str">
        <f>IF(getCategoryLevelAsString($B120)="L0D_324785","",IF(L120="",CONCATENATE(";",EscStr(CONCATENATE("NavNode_",getCategoryLevelAsString($B120))),";",EscStr($J120),";"),CONCATENATE(";",EscStr(CONCATENATE("NavNode_",getCategoryLevelAsString($B120))),";",EscStr(L120),";")))</f>
        <v>;"NavNode_Embedded / Wireless / Education";"Integruoti / Belaidžiai / Ugdomieji";</v>
      </c>
      <c r="AF120" s="39" t="str">
        <f>IF(getCategoryLevelAsString($B120)="L0D_324785","",IF(M120="",CONCATENATE(";",EscStr(CONCATENATE("NavNode_",getCategoryLevelAsString($B120))),";",EscStr($J120),";"),CONCATENATE(";",EscStr(CONCATENATE("NavNode_",getCategoryLevelAsString($B120))),";",EscStr(M120),";")))</f>
        <v>;"NavNode_Embedded / Wireless / Education";"Moduler / Trådløst / Utdanning";</v>
      </c>
      <c r="AG120" s="39" t="str">
        <f>IF(getCategoryLevelAsString($B120)="L0D_324785","",IF(N120="",CONCATENATE(";",EscStr(CONCATENATE("NavNode_",getCategoryLevelAsString($B120))),";",EscStr($J120),";"),CONCATENATE(";",EscStr(CONCATENATE("NavNode_",getCategoryLevelAsString($B120))),";",EscStr(N120),";")))</f>
        <v>;"NavNode_Embedded / Wireless / Education";"Embedded / Wireless / Utbildning";</v>
      </c>
      <c r="AH120" s="39" t="str">
        <f>IF(getCategoryLevelAsString($B120)="L0D_324785","",IF(O120="",CONCATENATE(";",EscStr(CONCATENATE("NavNode_",getCategoryLevelAsString($B120))),";",EscStr($J120),";"),CONCATENATE(";",EscStr(CONCATENATE("NavNode_",getCategoryLevelAsString($B120))),";",EscStr(O120),";")))</f>
        <v>;"NavNode_Embedded / Wireless / Education";"Manussüsteemid / juhtmevaba side / haridus";</v>
      </c>
      <c r="AI120" s="39" t="str">
        <f>IF(getCategoryLevelAsString($B120)="L0D_324785","",IF(P120="",CONCATENATE(";",EscStr(CONCATENATE("NavNode_",getCategoryLevelAsString($B120))),";",EscStr($J120),";"),CONCATENATE(";",EscStr(CONCATENATE("NavNode_",getCategoryLevelAsString($B120))),";",EscStr(P120),";")))</f>
        <v>;"NavNode_Embedded / Wireless / Education";"Sulautetut / Langattomat / Koulutus";</v>
      </c>
      <c r="AJ120" s="39" t="str">
        <f>IF(getCategoryLevelAsString($B120)="L0D_324785","",IF(Q120="",CONCATENATE(";",EscStr(CONCATENATE("NavNode_",getCategoryLevelAsString($B120))),";",EscStr($J120),";"),CONCATENATE(";",EscStr(CONCATENATE("NavNode_",getCategoryLevelAsString($B120))),";",EscStr(Q120),";")))</f>
        <v>;"NavNode_Embedded / Wireless / Education";"Iegultie risinājumi / bezvadu risinājumi / izglītība";</v>
      </c>
      <c r="AK120" s="39" t="str">
        <f>IF(getCategoryLevelAsString($B120)="L0D_324785","",IF(R120="",CONCATENATE(";",EscStr(CONCATENATE("NavNode_",getCategoryLevelAsString($B120))),";",EscStr($J120),";"),CONCATENATE(";",EscStr(CONCATENATE("NavNode_",getCategoryLevelAsString($B120))),";",EscStr(R120),";")))</f>
        <v>;"NavNode_Embedded / Wireless / Education";"Geïntegreerd / draadloos / onderwijs";</v>
      </c>
      <c r="AL120" s="39" t="str">
        <f>IF(getCategoryLevelAsString($B120)="L0D_324785","",IF(S120="",CONCATENATE(";",EscStr(CONCATENATE("NavNode_",getCategoryLevelAsString($B120))),";",EscStr($J120),";"),CONCATENATE(";",EscStr(CONCATENATE("NavNode_",getCategoryLevelAsString($B120))),";",EscStr(S120),";")))</f>
        <v>;"NavNode_Embedded / Wireless / Education";"Zestawy ćwiczeniowe / Technika bezprzewodowa / Edukacja";</v>
      </c>
      <c r="AM120" s="39" t="str">
        <f>IF(getCategoryLevelAsString($B120)="L0D_324785","",IF(T120="",CONCATENATE(";",EscStr(CONCATENATE("NavNode_",getCategoryLevelAsString($B120))),";",EscStr($J120),";"),CONCATENATE(";",EscStr(CONCATENATE("NavNode_",getCategoryLevelAsString($B120))),";",EscStr(T120),";")))</f>
        <v>;"NavNode_Embedded / Wireless / Education";"Встроенные / Беспроводные / Учебные";</v>
      </c>
      <c r="AN120" s="39" t="str">
        <f>IF(getCategoryLevelAsString($B120)="L0D_324785","",IF(U120="",CONCATENATE(";",EscStr(CONCATENATE("NavNode_",getCategoryLevelAsString($B120))),";",EscStr($J120),";"),CONCATENATE(";",EscStr(CONCATENATE("NavNode_",getCategoryLevelAsString($B120))),";",EscStr(U120),";")))</f>
        <v>;"NavNode_Embedded / Wireless / Education";"Integrované technologie / bezdrátové technologie / vzdělávání";</v>
      </c>
      <c r="AO120" s="39" t="str">
        <f>IF(getCategoryLevelAsString($B120)="L0D_324785","",IF(V120="",CONCATENATE(";",EscStr(CONCATENATE("NavNode_",getCategoryLevelAsString($B120))),";",EscStr($J120),";"),CONCATENATE(";",EscStr(CONCATENATE("NavNode_",getCategoryLevelAsString($B120))),";",EscStr(V120),";")))</f>
        <v>;"NavNode_Embedded / Wireless / Education";"Integrat/Wireless/Educaţie";</v>
      </c>
      <c r="AP120" s="39" t="str">
        <f>IF(getCategoryLevelAsString($B120)="L0D_324785","",IF(W120="",CONCATENATE(";",EscStr(CONCATENATE("NavNode_",getCategoryLevelAsString($B120))),";",EscStr($J120),";"),CONCATENATE(";",EscStr(CONCATENATE("NavNode_",getCategoryLevelAsString($B120))),";",EscStr(W120),";")))</f>
        <v>;"NavNode_Embedded / Wireless / Education";"Wireless / Fejlesztés / Szakirodalom";</v>
      </c>
      <c r="AQ120" s="39" t="str">
        <f>IF(getCategoryLevelAsString($B120)="L0D_324785","",IF(X120="",CONCATENATE(";",EscStr(CONCATENATE("NavNode_",getCategoryLevelAsString($B120))),";",EscStr($J120),";"),CONCATENATE(";",EscStr(CONCATENATE("NavNode_",getCategoryLevelAsString($B120))),";",EscStr(X120),";")))</f>
        <v>;"NavNode_Embedded / Wireless / Education";"Zabudované/Bezdrôtové/Vzdelávania";</v>
      </c>
      <c r="AR120" s="39" t="str">
        <f>IF(OR($A120&lt;&gt;"", $G120=""),"",CONCATENATE(";",EscStr(CONCATENATE("NavEntry_",getCategoryLevelAsString($B120))),";",EscStr(CONCATENATE($J120," Navigation Entry")),";",EscStr(CONCATENATE("cat-",getCategoryLevelAsString($B120))),";",EscStr(CONCATENATE("NavNode_",getCategoryLevelAsString($B120))),";"))</f>
        <v>;"NavEntry_Embedded / Wireless / Education";"Embedded / Wireless / Education Navigation Entry";"cat-Embedded / Wireless / Education";"NavNode_Embedded / Wireless / Education";</v>
      </c>
    </row>
    <row r="121" spans="1:44" s="34" customFormat="1" ht="15" x14ac:dyDescent="0.25">
      <c r="A121" s="25"/>
      <c r="B121" s="5"/>
      <c r="C121" s="5" t="s">
        <v>2113</v>
      </c>
      <c r="D121" s="5"/>
      <c r="E121" s="5"/>
      <c r="F121" s="5"/>
      <c r="G121" s="5" t="s">
        <v>971</v>
      </c>
      <c r="H121" s="5" t="s">
        <v>1077</v>
      </c>
      <c r="I121" s="5" t="s">
        <v>1135</v>
      </c>
      <c r="J121" s="5" t="s">
        <v>837</v>
      </c>
      <c r="K121" s="5" t="s">
        <v>1307</v>
      </c>
      <c r="L121" s="5" t="s">
        <v>1542</v>
      </c>
      <c r="M121" s="5" t="s">
        <v>13906</v>
      </c>
      <c r="N121" s="5" t="s">
        <v>1972</v>
      </c>
      <c r="O121" s="5" t="s">
        <v>837</v>
      </c>
      <c r="P121" s="5" t="s">
        <v>3398</v>
      </c>
      <c r="Q121" s="5" t="s">
        <v>837</v>
      </c>
      <c r="R121" s="5" t="s">
        <v>14337</v>
      </c>
      <c r="S121" s="5" t="s">
        <v>3399</v>
      </c>
      <c r="T121" s="5" t="s">
        <v>3400</v>
      </c>
      <c r="U121" s="5" t="s">
        <v>3401</v>
      </c>
      <c r="V121" s="5" t="s">
        <v>837</v>
      </c>
      <c r="W121" s="5" t="s">
        <v>3402</v>
      </c>
      <c r="X121" s="5" t="s">
        <v>14868</v>
      </c>
      <c r="Y121" s="39" t="str">
        <f>IF(OR($A121&lt;&gt;"", $G121=""),"",CONCATENATE(";",EscStr(CONCATENATE("NavNode_",getCategoryLevelAsString($B121))),";",EscStr($J121),";",IF($B121&lt;&gt;"","""MainCategoryNavNode""",EscStr(CONCATENATE("NavNode_",getSuperCategory($B121, getCategoryLevelAsNumber($B121))))),";"))</f>
        <v>;"NavNode_L3D_653222";"Wireless Communication";"NavNode_Embedded / Wireless / Education";</v>
      </c>
      <c r="Z121" s="39" t="str">
        <f>IF(getCategoryLevelAsString($B121)="L0D_324785","",IF(G121="",CONCATENATE(";",EscStr(CONCATENATE("NavNode_",getCategoryLevelAsString($B121))),";",EscStr($J121),";"),CONCATENATE(";",EscStr(CONCATENATE("NavNode_",getCategoryLevelAsString($B121))),";",EscStr(G121),";")))</f>
        <v>;"NavNode_L3D_653222";"Drahtlose Kommunikation";</v>
      </c>
      <c r="AA121" s="39" t="str">
        <f>IF(getCategoryLevelAsString($B121)="L0D_324785","",IF(H121="",CONCATENATE(";",EscStr(CONCATENATE("NavNode_",getCategoryLevelAsString($B121))),";",EscStr($J121),";"),CONCATENATE(";",EscStr(CONCATENATE("NavNode_",getCategoryLevelAsString($B121))),";",EscStr(H121),";")))</f>
        <v>;"NavNode_L3D_653222";"Communication sans fil";</v>
      </c>
      <c r="AB121" s="39" t="str">
        <f>IF(getCategoryLevelAsString($B121)="L0D_324785","",IF(I121="",CONCATENATE(";",EscStr(CONCATENATE("NavNode_",getCategoryLevelAsString($B121))),";",EscStr($J121),";"),CONCATENATE(";",EscStr(CONCATENATE("NavNode_",getCategoryLevelAsString($B121))),";",EscStr(I121),";")))</f>
        <v>;"NavNode_L3D_653222";"Comunicazione senza fili";</v>
      </c>
      <c r="AC121" s="39" t="str">
        <f>IF(getCategoryLevelAsString($B121)="L0D_324785","",IF(J121="",CONCATENATE(";",EscStr(CONCATENATE("NavNode_",getCategoryLevelAsString($B121))),";",EscStr($J121),";"),CONCATENATE(";",EscStr(CONCATENATE("NavNode_",getCategoryLevelAsString($B121))),";",EscStr(J121),";")))</f>
        <v>;"NavNode_L3D_653222";"Wireless Communication";</v>
      </c>
      <c r="AD121" s="39" t="str">
        <f>IF(getCategoryLevelAsString($B121)="L0D_324785","",IF(K121="",CONCATENATE(";",EscStr(CONCATENATE("NavNode_",getCategoryLevelAsString($B121))),";",EscStr($J121),";"),CONCATENATE(";",EscStr(CONCATENATE("NavNode_",getCategoryLevelAsString($B121))),";",EscStr(K121),";")))</f>
        <v>;"NavNode_L3D_653222";"Trådløs kommunikation";</v>
      </c>
      <c r="AE121" s="39" t="str">
        <f>IF(getCategoryLevelAsString($B121)="L0D_324785","",IF(L121="",CONCATENATE(";",EscStr(CONCATENATE("NavNode_",getCategoryLevelAsString($B121))),";",EscStr($J121),";"),CONCATENATE(";",EscStr(CONCATENATE("NavNode_",getCategoryLevelAsString($B121))),";",EscStr(L121),";")))</f>
        <v>;"NavNode_L3D_653222";"Belaidis ryšys";</v>
      </c>
      <c r="AF121" s="39" t="str">
        <f>IF(getCategoryLevelAsString($B121)="L0D_324785","",IF(M121="",CONCATENATE(";",EscStr(CONCATENATE("NavNode_",getCategoryLevelAsString($B121))),";",EscStr($J121),";"),CONCATENATE(";",EscStr(CONCATENATE("NavNode_",getCategoryLevelAsString($B121))),";",EscStr(M121),";")))</f>
        <v>;"NavNode_L3D_653222";"Trådløs kommunikasjon";</v>
      </c>
      <c r="AG121" s="39" t="str">
        <f>IF(getCategoryLevelAsString($B121)="L0D_324785","",IF(N121="",CONCATENATE(";",EscStr(CONCATENATE("NavNode_",getCategoryLevelAsString($B121))),";",EscStr($J121),";"),CONCATENATE(";",EscStr(CONCATENATE("NavNode_",getCategoryLevelAsString($B121))),";",EscStr(N121),";")))</f>
        <v>;"NavNode_L3D_653222";"Trådlös kommunikation";</v>
      </c>
      <c r="AH121" s="39" t="str">
        <f>IF(getCategoryLevelAsString($B121)="L0D_324785","",IF(O121="",CONCATENATE(";",EscStr(CONCATENATE("NavNode_",getCategoryLevelAsString($B121))),";",EscStr($J121),";"),CONCATENATE(";",EscStr(CONCATENATE("NavNode_",getCategoryLevelAsString($B121))),";",EscStr(O121),";")))</f>
        <v>;"NavNode_L3D_653222";"Wireless Communication";</v>
      </c>
      <c r="AI121" s="39" t="str">
        <f>IF(getCategoryLevelAsString($B121)="L0D_324785","",IF(P121="",CONCATENATE(";",EscStr(CONCATENATE("NavNode_",getCategoryLevelAsString($B121))),";",EscStr($J121),";"),CONCATENATE(";",EscStr(CONCATENATE("NavNode_",getCategoryLevelAsString($B121))),";",EscStr(P121),";")))</f>
        <v>;"NavNode_L3D_653222";"Langaton tiedonsiirto";</v>
      </c>
      <c r="AJ121" s="39" t="str">
        <f>IF(getCategoryLevelAsString($B121)="L0D_324785","",IF(Q121="",CONCATENATE(";",EscStr(CONCATENATE("NavNode_",getCategoryLevelAsString($B121))),";",EscStr($J121),";"),CONCATENATE(";",EscStr(CONCATENATE("NavNode_",getCategoryLevelAsString($B121))),";",EscStr(Q121),";")))</f>
        <v>;"NavNode_L3D_653222";"Wireless Communication";</v>
      </c>
      <c r="AK121" s="39" t="str">
        <f>IF(getCategoryLevelAsString($B121)="L0D_324785","",IF(R121="",CONCATENATE(";",EscStr(CONCATENATE("NavNode_",getCategoryLevelAsString($B121))),";",EscStr($J121),";"),CONCATENATE(";",EscStr(CONCATENATE("NavNode_",getCategoryLevelAsString($B121))),";",EscStr(R121),";")))</f>
        <v>;"NavNode_L3D_653222";"Draadloze communicatie";</v>
      </c>
      <c r="AL121" s="39" t="str">
        <f>IF(getCategoryLevelAsString($B121)="L0D_324785","",IF(S121="",CONCATENATE(";",EscStr(CONCATENATE("NavNode_",getCategoryLevelAsString($B121))),";",EscStr($J121),";"),CONCATENATE(";",EscStr(CONCATENATE("NavNode_",getCategoryLevelAsString($B121))),";",EscStr(S121),";")))</f>
        <v>;"NavNode_L3D_653222";"Komunikacja bezprzewodowa";</v>
      </c>
      <c r="AM121" s="39" t="str">
        <f>IF(getCategoryLevelAsString($B121)="L0D_324785","",IF(T121="",CONCATENATE(";",EscStr(CONCATENATE("NavNode_",getCategoryLevelAsString($B121))),";",EscStr($J121),";"),CONCATENATE(";",EscStr(CONCATENATE("NavNode_",getCategoryLevelAsString($B121))),";",EscStr(T121),";")))</f>
        <v>;"NavNode_L3D_653222";"Радиосвязь";</v>
      </c>
      <c r="AN121" s="39" t="str">
        <f>IF(getCategoryLevelAsString($B121)="L0D_324785","",IF(U121="",CONCATENATE(";",EscStr(CONCATENATE("NavNode_",getCategoryLevelAsString($B121))),";",EscStr($J121),";"),CONCATENATE(";",EscStr(CONCATENATE("NavNode_",getCategoryLevelAsString($B121))),";",EscStr(U121),";")))</f>
        <v>;"NavNode_L3D_653222";"Bezdrátová komunikace";</v>
      </c>
      <c r="AO121" s="39" t="str">
        <f>IF(getCategoryLevelAsString($B121)="L0D_324785","",IF(V121="",CONCATENATE(";",EscStr(CONCATENATE("NavNode_",getCategoryLevelAsString($B121))),";",EscStr($J121),";"),CONCATENATE(";",EscStr(CONCATENATE("NavNode_",getCategoryLevelAsString($B121))),";",EscStr(V121),";")))</f>
        <v>;"NavNode_L3D_653222";"Wireless Communication";</v>
      </c>
      <c r="AP121" s="39" t="str">
        <f>IF(getCategoryLevelAsString($B121)="L0D_324785","",IF(W121="",CONCATENATE(";",EscStr(CONCATENATE("NavNode_",getCategoryLevelAsString($B121))),";",EscStr($J121),";"),CONCATENATE(";",EscStr(CONCATENATE("NavNode_",getCategoryLevelAsString($B121))),";",EscStr(W121),";")))</f>
        <v>;"NavNode_L3D_653222";"Vezetéknélküli kommunikáció";</v>
      </c>
      <c r="AQ121" s="39" t="str">
        <f>IF(getCategoryLevelAsString($B121)="L0D_324785","",IF(X121="",CONCATENATE(";",EscStr(CONCATENATE("NavNode_",getCategoryLevelAsString($B121))),";",EscStr($J121),";"),CONCATENATE(";",EscStr(CONCATENATE("NavNode_",getCategoryLevelAsString($B121))),";",EscStr(X121),";")))</f>
        <v>;"NavNode_L3D_653222";"Bezdrôtová komunikácia";</v>
      </c>
      <c r="AR121" s="39" t="str">
        <f>IF(OR($A121&lt;&gt;"", $G121=""),"",CONCATENATE(";",EscStr(CONCATENATE("NavEntry_",getCategoryLevelAsString($B121))),";",EscStr(CONCATENATE($J121," Navigation Entry")),";",EscStr(CONCATENATE("cat-",getCategoryLevelAsString($B121))),";",EscStr(CONCATENATE("NavNode_",getCategoryLevelAsString($B121))),";"))</f>
        <v>;"NavEntry_L3D_653222";"Wireless Communication Navigation Entry";"cat-L3D_653222";"NavNode_L3D_653222";</v>
      </c>
    </row>
    <row r="122" spans="1:44" s="34" customFormat="1" ht="15" x14ac:dyDescent="0.25">
      <c r="A122" s="25"/>
      <c r="B122" s="5"/>
      <c r="C122" s="5"/>
      <c r="D122" s="5" t="s">
        <v>7619</v>
      </c>
      <c r="E122" s="5"/>
      <c r="F122" s="5"/>
      <c r="G122" s="5" t="s">
        <v>7620</v>
      </c>
      <c r="H122" s="5" t="s">
        <v>7620</v>
      </c>
      <c r="I122" s="5" t="s">
        <v>7620</v>
      </c>
      <c r="J122" s="5" t="s">
        <v>7620</v>
      </c>
      <c r="K122" s="5" t="s">
        <v>7620</v>
      </c>
      <c r="L122" s="5" t="s">
        <v>15142</v>
      </c>
      <c r="M122" s="5" t="s">
        <v>7620</v>
      </c>
      <c r="N122" s="5" t="s">
        <v>7620</v>
      </c>
      <c r="O122" s="5" t="s">
        <v>7620</v>
      </c>
      <c r="P122" s="5" t="s">
        <v>7620</v>
      </c>
      <c r="Q122" s="5" t="s">
        <v>7620</v>
      </c>
      <c r="R122" s="5" t="s">
        <v>7620</v>
      </c>
      <c r="S122" s="5" t="s">
        <v>7620</v>
      </c>
      <c r="T122" s="5" t="s">
        <v>7620</v>
      </c>
      <c r="U122" s="5" t="s">
        <v>7620</v>
      </c>
      <c r="V122" s="5" t="s">
        <v>7620</v>
      </c>
      <c r="W122" s="5" t="s">
        <v>7620</v>
      </c>
      <c r="X122" s="5" t="s">
        <v>7620</v>
      </c>
      <c r="Y122" s="39" t="str">
        <f>IF(OR($A122&lt;&gt;"", $G122=""),"",CONCATENATE(";",EscStr(CONCATENATE("NavNode_",getCategoryLevelAsString($B122))),";",EscStr($J122),";",IF($B122&lt;&gt;"","""MainCategoryNavNode""",EscStr(CONCATENATE("NavNode_",getSuperCategory($B122, getCategoryLevelAsNumber($B122))))),";"))</f>
        <v>;"NavNode_L3D_525573";"Bluetooth";"NavNode_L3D_653222";</v>
      </c>
      <c r="Z122" s="39" t="str">
        <f>IF(getCategoryLevelAsString($B122)="L0D_324785","",IF(G122="",CONCATENATE(";",EscStr(CONCATENATE("NavNode_",getCategoryLevelAsString($B122))),";",EscStr($J122),";"),CONCATENATE(";",EscStr(CONCATENATE("NavNode_",getCategoryLevelAsString($B122))),";",EscStr(G122),";")))</f>
        <v>;"NavNode_L3D_525573";"Bluetooth";</v>
      </c>
      <c r="AA122" s="39" t="str">
        <f>IF(getCategoryLevelAsString($B122)="L0D_324785","",IF(H122="",CONCATENATE(";",EscStr(CONCATENATE("NavNode_",getCategoryLevelAsString($B122))),";",EscStr($J122),";"),CONCATENATE(";",EscStr(CONCATENATE("NavNode_",getCategoryLevelAsString($B122))),";",EscStr(H122),";")))</f>
        <v>;"NavNode_L3D_525573";"Bluetooth";</v>
      </c>
      <c r="AB122" s="39" t="str">
        <f>IF(getCategoryLevelAsString($B122)="L0D_324785","",IF(I122="",CONCATENATE(";",EscStr(CONCATENATE("NavNode_",getCategoryLevelAsString($B122))),";",EscStr($J122),";"),CONCATENATE(";",EscStr(CONCATENATE("NavNode_",getCategoryLevelAsString($B122))),";",EscStr(I122),";")))</f>
        <v>;"NavNode_L3D_525573";"Bluetooth";</v>
      </c>
      <c r="AC122" s="39" t="str">
        <f>IF(getCategoryLevelAsString($B122)="L0D_324785","",IF(J122="",CONCATENATE(";",EscStr(CONCATENATE("NavNode_",getCategoryLevelAsString($B122))),";",EscStr($J122),";"),CONCATENATE(";",EscStr(CONCATENATE("NavNode_",getCategoryLevelAsString($B122))),";",EscStr(J122),";")))</f>
        <v>;"NavNode_L3D_525573";"Bluetooth";</v>
      </c>
      <c r="AD122" s="39" t="str">
        <f>IF(getCategoryLevelAsString($B122)="L0D_324785","",IF(K122="",CONCATENATE(";",EscStr(CONCATENATE("NavNode_",getCategoryLevelAsString($B122))),";",EscStr($J122),";"),CONCATENATE(";",EscStr(CONCATENATE("NavNode_",getCategoryLevelAsString($B122))),";",EscStr(K122),";")))</f>
        <v>;"NavNode_L3D_525573";"Bluetooth";</v>
      </c>
      <c r="AE122" s="39" t="str">
        <f>IF(getCategoryLevelAsString($B122)="L0D_324785","",IF(L122="",CONCATENATE(";",EscStr(CONCATENATE("NavNode_",getCategoryLevelAsString($B122))),";",EscStr($J122),";"),CONCATENATE(";",EscStr(CONCATENATE("NavNode_",getCategoryLevelAsString($B122))),";",EscStr(L122),";")))</f>
        <v>;"NavNode_L3D_525573";"„Bluetooth“";</v>
      </c>
      <c r="AF122" s="39" t="str">
        <f>IF(getCategoryLevelAsString($B122)="L0D_324785","",IF(M122="",CONCATENATE(";",EscStr(CONCATENATE("NavNode_",getCategoryLevelAsString($B122))),";",EscStr($J122),";"),CONCATENATE(";",EscStr(CONCATENATE("NavNode_",getCategoryLevelAsString($B122))),";",EscStr(M122),";")))</f>
        <v>;"NavNode_L3D_525573";"Bluetooth";</v>
      </c>
      <c r="AG122" s="39" t="str">
        <f>IF(getCategoryLevelAsString($B122)="L0D_324785","",IF(N122="",CONCATENATE(";",EscStr(CONCATENATE("NavNode_",getCategoryLevelAsString($B122))),";",EscStr($J122),";"),CONCATENATE(";",EscStr(CONCATENATE("NavNode_",getCategoryLevelAsString($B122))),";",EscStr(N122),";")))</f>
        <v>;"NavNode_L3D_525573";"Bluetooth";</v>
      </c>
      <c r="AH122" s="39" t="str">
        <f>IF(getCategoryLevelAsString($B122)="L0D_324785","",IF(O122="",CONCATENATE(";",EscStr(CONCATENATE("NavNode_",getCategoryLevelAsString($B122))),";",EscStr($J122),";"),CONCATENATE(";",EscStr(CONCATENATE("NavNode_",getCategoryLevelAsString($B122))),";",EscStr(O122),";")))</f>
        <v>;"NavNode_L3D_525573";"Bluetooth";</v>
      </c>
      <c r="AI122" s="39" t="str">
        <f>IF(getCategoryLevelAsString($B122)="L0D_324785","",IF(P122="",CONCATENATE(";",EscStr(CONCATENATE("NavNode_",getCategoryLevelAsString($B122))),";",EscStr($J122),";"),CONCATENATE(";",EscStr(CONCATENATE("NavNode_",getCategoryLevelAsString($B122))),";",EscStr(P122),";")))</f>
        <v>;"NavNode_L3D_525573";"Bluetooth";</v>
      </c>
      <c r="AJ122" s="39" t="str">
        <f>IF(getCategoryLevelAsString($B122)="L0D_324785","",IF(Q122="",CONCATENATE(";",EscStr(CONCATENATE("NavNode_",getCategoryLevelAsString($B122))),";",EscStr($J122),";"),CONCATENATE(";",EscStr(CONCATENATE("NavNode_",getCategoryLevelAsString($B122))),";",EscStr(Q122),";")))</f>
        <v>;"NavNode_L3D_525573";"Bluetooth";</v>
      </c>
      <c r="AK122" s="39" t="str">
        <f>IF(getCategoryLevelAsString($B122)="L0D_324785","",IF(R122="",CONCATENATE(";",EscStr(CONCATENATE("NavNode_",getCategoryLevelAsString($B122))),";",EscStr($J122),";"),CONCATENATE(";",EscStr(CONCATENATE("NavNode_",getCategoryLevelAsString($B122))),";",EscStr(R122),";")))</f>
        <v>;"NavNode_L3D_525573";"Bluetooth";</v>
      </c>
      <c r="AL122" s="39" t="str">
        <f>IF(getCategoryLevelAsString($B122)="L0D_324785","",IF(S122="",CONCATENATE(";",EscStr(CONCATENATE("NavNode_",getCategoryLevelAsString($B122))),";",EscStr($J122),";"),CONCATENATE(";",EscStr(CONCATENATE("NavNode_",getCategoryLevelAsString($B122))),";",EscStr(S122),";")))</f>
        <v>;"NavNode_L3D_525573";"Bluetooth";</v>
      </c>
      <c r="AM122" s="39" t="str">
        <f>IF(getCategoryLevelAsString($B122)="L0D_324785","",IF(T122="",CONCATENATE(";",EscStr(CONCATENATE("NavNode_",getCategoryLevelAsString($B122))),";",EscStr($J122),";"),CONCATENATE(";",EscStr(CONCATENATE("NavNode_",getCategoryLevelAsString($B122))),";",EscStr(T122),";")))</f>
        <v>;"NavNode_L3D_525573";"Bluetooth";</v>
      </c>
      <c r="AN122" s="39" t="str">
        <f>IF(getCategoryLevelAsString($B122)="L0D_324785","",IF(U122="",CONCATENATE(";",EscStr(CONCATENATE("NavNode_",getCategoryLevelAsString($B122))),";",EscStr($J122),";"),CONCATENATE(";",EscStr(CONCATENATE("NavNode_",getCategoryLevelAsString($B122))),";",EscStr(U122),";")))</f>
        <v>;"NavNode_L3D_525573";"Bluetooth";</v>
      </c>
      <c r="AO122" s="39" t="str">
        <f>IF(getCategoryLevelAsString($B122)="L0D_324785","",IF(V122="",CONCATENATE(";",EscStr(CONCATENATE("NavNode_",getCategoryLevelAsString($B122))),";",EscStr($J122),";"),CONCATENATE(";",EscStr(CONCATENATE("NavNode_",getCategoryLevelAsString($B122))),";",EscStr(V122),";")))</f>
        <v>;"NavNode_L3D_525573";"Bluetooth";</v>
      </c>
      <c r="AP122" s="39" t="str">
        <f>IF(getCategoryLevelAsString($B122)="L0D_324785","",IF(W122="",CONCATENATE(";",EscStr(CONCATENATE("NavNode_",getCategoryLevelAsString($B122))),";",EscStr($J122),";"),CONCATENATE(";",EscStr(CONCATENATE("NavNode_",getCategoryLevelAsString($B122))),";",EscStr(W122),";")))</f>
        <v>;"NavNode_L3D_525573";"Bluetooth";</v>
      </c>
      <c r="AQ122" s="39" t="str">
        <f>IF(getCategoryLevelAsString($B122)="L0D_324785","",IF(X122="",CONCATENATE(";",EscStr(CONCATENATE("NavNode_",getCategoryLevelAsString($B122))),";",EscStr($J122),";"),CONCATENATE(";",EscStr(CONCATENATE("NavNode_",getCategoryLevelAsString($B122))),";",EscStr(X122),";")))</f>
        <v>;"NavNode_L3D_525573";"Bluetooth";</v>
      </c>
      <c r="AR122" s="39" t="str">
        <f>IF(OR($A122&lt;&gt;"", $G122=""),"",CONCATENATE(";",EscStr(CONCATENATE("NavEntry_",getCategoryLevelAsString($B122))),";",EscStr(CONCATENATE($J122," Navigation Entry")),";",EscStr(CONCATENATE("cat-",getCategoryLevelAsString($B122))),";",EscStr(CONCATENATE("NavNode_",getCategoryLevelAsString($B122))),";"))</f>
        <v>;"NavEntry_L3D_525573";"Bluetooth Navigation Entry";"cat-L3D_525573";"NavNode_L3D_525573";</v>
      </c>
    </row>
    <row r="123" spans="1:44" s="34" customFormat="1" ht="15" x14ac:dyDescent="0.25">
      <c r="A123" s="25"/>
      <c r="B123" s="5"/>
      <c r="C123" s="5"/>
      <c r="D123" s="5" t="s">
        <v>7639</v>
      </c>
      <c r="E123" s="5"/>
      <c r="F123" s="5"/>
      <c r="G123" s="5" t="s">
        <v>7641</v>
      </c>
      <c r="H123" s="5" t="s">
        <v>7641</v>
      </c>
      <c r="I123" s="5" t="s">
        <v>7641</v>
      </c>
      <c r="J123" s="41" t="s">
        <v>7641</v>
      </c>
      <c r="K123" s="5" t="s">
        <v>7641</v>
      </c>
      <c r="L123" s="5" t="s">
        <v>15143</v>
      </c>
      <c r="M123" s="5" t="s">
        <v>7641</v>
      </c>
      <c r="N123" s="5" t="s">
        <v>7641</v>
      </c>
      <c r="O123" s="5" t="s">
        <v>7641</v>
      </c>
      <c r="P123" s="5" t="s">
        <v>7641</v>
      </c>
      <c r="Q123" s="5" t="s">
        <v>7641</v>
      </c>
      <c r="R123" s="5" t="s">
        <v>7641</v>
      </c>
      <c r="S123" s="5" t="s">
        <v>7641</v>
      </c>
      <c r="T123" s="5" t="s">
        <v>7641</v>
      </c>
      <c r="U123" s="5" t="s">
        <v>7641</v>
      </c>
      <c r="V123" s="5" t="s">
        <v>14698</v>
      </c>
      <c r="W123" s="5" t="s">
        <v>7641</v>
      </c>
      <c r="X123" s="5" t="s">
        <v>7641</v>
      </c>
      <c r="Y123" s="39" t="str">
        <f>IF(OR($A123&lt;&gt;"", $G123=""),"",CONCATENATE(";",EscStr(CONCATENATE("NavNode_",getCategoryLevelAsString($B123))),";",EscStr($J123),";",IF($B123&lt;&gt;"","""MainCategoryNavNode""",EscStr(CONCATENATE("NavNode_",getSuperCategory($B123, getCategoryLevelAsNumber($B123))))),";"))</f>
        <v>;"NavNode_L3D_525574";"ZigBee™";"NavNode_L3D_653222";</v>
      </c>
      <c r="Z123" s="39" t="str">
        <f>IF(getCategoryLevelAsString($B123)="L0D_324785","",IF(G123="",CONCATENATE(";",EscStr(CONCATENATE("NavNode_",getCategoryLevelAsString($B123))),";",EscStr($J123),";"),CONCATENATE(";",EscStr(CONCATENATE("NavNode_",getCategoryLevelAsString($B123))),";",EscStr(G123),";")))</f>
        <v>;"NavNode_L3D_525574";"ZigBee™";</v>
      </c>
      <c r="AA123" s="39" t="str">
        <f>IF(getCategoryLevelAsString($B123)="L0D_324785","",IF(H123="",CONCATENATE(";",EscStr(CONCATENATE("NavNode_",getCategoryLevelAsString($B123))),";",EscStr($J123),";"),CONCATENATE(";",EscStr(CONCATENATE("NavNode_",getCategoryLevelAsString($B123))),";",EscStr(H123),";")))</f>
        <v>;"NavNode_L3D_525574";"ZigBee™";</v>
      </c>
      <c r="AB123" s="39" t="str">
        <f>IF(getCategoryLevelAsString($B123)="L0D_324785","",IF(I123="",CONCATENATE(";",EscStr(CONCATENATE("NavNode_",getCategoryLevelAsString($B123))),";",EscStr($J123),";"),CONCATENATE(";",EscStr(CONCATENATE("NavNode_",getCategoryLevelAsString($B123))),";",EscStr(I123),";")))</f>
        <v>;"NavNode_L3D_525574";"ZigBee™";</v>
      </c>
      <c r="AC123" s="39" t="str">
        <f>IF(getCategoryLevelAsString($B123)="L0D_324785","",IF(J123="",CONCATENATE(";",EscStr(CONCATENATE("NavNode_",getCategoryLevelAsString($B123))),";",EscStr($J123),";"),CONCATENATE(";",EscStr(CONCATENATE("NavNode_",getCategoryLevelAsString($B123))),";",EscStr(J123),";")))</f>
        <v>;"NavNode_L3D_525574";"ZigBee™";</v>
      </c>
      <c r="AD123" s="39" t="str">
        <f>IF(getCategoryLevelAsString($B123)="L0D_324785","",IF(K123="",CONCATENATE(";",EscStr(CONCATENATE("NavNode_",getCategoryLevelAsString($B123))),";",EscStr($J123),";"),CONCATENATE(";",EscStr(CONCATENATE("NavNode_",getCategoryLevelAsString($B123))),";",EscStr(K123),";")))</f>
        <v>;"NavNode_L3D_525574";"ZigBee™";</v>
      </c>
      <c r="AE123" s="39" t="str">
        <f>IF(getCategoryLevelAsString($B123)="L0D_324785","",IF(L123="",CONCATENATE(";",EscStr(CONCATENATE("NavNode_",getCategoryLevelAsString($B123))),";",EscStr($J123),";"),CONCATENATE(";",EscStr(CONCATENATE("NavNode_",getCategoryLevelAsString($B123))),";",EscStr(L123),";")))</f>
        <v>;"NavNode_L3D_525574";"„ZigBee™“";</v>
      </c>
      <c r="AF123" s="39" t="str">
        <f>IF(getCategoryLevelAsString($B123)="L0D_324785","",IF(M123="",CONCATENATE(";",EscStr(CONCATENATE("NavNode_",getCategoryLevelAsString($B123))),";",EscStr($J123),";"),CONCATENATE(";",EscStr(CONCATENATE("NavNode_",getCategoryLevelAsString($B123))),";",EscStr(M123),";")))</f>
        <v>;"NavNode_L3D_525574";"ZigBee™";</v>
      </c>
      <c r="AG123" s="39" t="str">
        <f>IF(getCategoryLevelAsString($B123)="L0D_324785","",IF(N123="",CONCATENATE(";",EscStr(CONCATENATE("NavNode_",getCategoryLevelAsString($B123))),";",EscStr($J123),";"),CONCATENATE(";",EscStr(CONCATENATE("NavNode_",getCategoryLevelAsString($B123))),";",EscStr(N123),";")))</f>
        <v>;"NavNode_L3D_525574";"ZigBee™";</v>
      </c>
      <c r="AH123" s="39" t="str">
        <f>IF(getCategoryLevelAsString($B123)="L0D_324785","",IF(O123="",CONCATENATE(";",EscStr(CONCATENATE("NavNode_",getCategoryLevelAsString($B123))),";",EscStr($J123),";"),CONCATENATE(";",EscStr(CONCATENATE("NavNode_",getCategoryLevelAsString($B123))),";",EscStr(O123),";")))</f>
        <v>;"NavNode_L3D_525574";"ZigBee™";</v>
      </c>
      <c r="AI123" s="39" t="str">
        <f>IF(getCategoryLevelAsString($B123)="L0D_324785","",IF(P123="",CONCATENATE(";",EscStr(CONCATENATE("NavNode_",getCategoryLevelAsString($B123))),";",EscStr($J123),";"),CONCATENATE(";",EscStr(CONCATENATE("NavNode_",getCategoryLevelAsString($B123))),";",EscStr(P123),";")))</f>
        <v>;"NavNode_L3D_525574";"ZigBee™";</v>
      </c>
      <c r="AJ123" s="39" t="str">
        <f>IF(getCategoryLevelAsString($B123)="L0D_324785","",IF(Q123="",CONCATENATE(";",EscStr(CONCATENATE("NavNode_",getCategoryLevelAsString($B123))),";",EscStr($J123),";"),CONCATENATE(";",EscStr(CONCATENATE("NavNode_",getCategoryLevelAsString($B123))),";",EscStr(Q123),";")))</f>
        <v>;"NavNode_L3D_525574";"ZigBee™";</v>
      </c>
      <c r="AK123" s="39" t="str">
        <f>IF(getCategoryLevelAsString($B123)="L0D_324785","",IF(R123="",CONCATENATE(";",EscStr(CONCATENATE("NavNode_",getCategoryLevelAsString($B123))),";",EscStr($J123),";"),CONCATENATE(";",EscStr(CONCATENATE("NavNode_",getCategoryLevelAsString($B123))),";",EscStr(R123),";")))</f>
        <v>;"NavNode_L3D_525574";"ZigBee™";</v>
      </c>
      <c r="AL123" s="39" t="str">
        <f>IF(getCategoryLevelAsString($B123)="L0D_324785","",IF(S123="",CONCATENATE(";",EscStr(CONCATENATE("NavNode_",getCategoryLevelAsString($B123))),";",EscStr($J123),";"),CONCATENATE(";",EscStr(CONCATENATE("NavNode_",getCategoryLevelAsString($B123))),";",EscStr(S123),";")))</f>
        <v>;"NavNode_L3D_525574";"ZigBee™";</v>
      </c>
      <c r="AM123" s="39" t="str">
        <f>IF(getCategoryLevelAsString($B123)="L0D_324785","",IF(T123="",CONCATENATE(";",EscStr(CONCATENATE("NavNode_",getCategoryLevelAsString($B123))),";",EscStr($J123),";"),CONCATENATE(";",EscStr(CONCATENATE("NavNode_",getCategoryLevelAsString($B123))),";",EscStr(T123),";")))</f>
        <v>;"NavNode_L3D_525574";"ZigBee™";</v>
      </c>
      <c r="AN123" s="39" t="str">
        <f>IF(getCategoryLevelAsString($B123)="L0D_324785","",IF(U123="",CONCATENATE(";",EscStr(CONCATENATE("NavNode_",getCategoryLevelAsString($B123))),";",EscStr($J123),";"),CONCATENATE(";",EscStr(CONCATENATE("NavNode_",getCategoryLevelAsString($B123))),";",EscStr(U123),";")))</f>
        <v>;"NavNode_L3D_525574";"ZigBee™";</v>
      </c>
      <c r="AO123" s="39" t="str">
        <f>IF(getCategoryLevelAsString($B123)="L0D_324785","",IF(V123="",CONCATENATE(";",EscStr(CONCATENATE("NavNode_",getCategoryLevelAsString($B123))),";",EscStr($J123),";"),CONCATENATE(";",EscStr(CONCATENATE("NavNode_",getCategoryLevelAsString($B123))),";",EscStr(V123),";")))</f>
        <v>;"NavNode_L3D_525574";"ZigBee ™";</v>
      </c>
      <c r="AP123" s="39" t="str">
        <f>IF(getCategoryLevelAsString($B123)="L0D_324785","",IF(W123="",CONCATENATE(";",EscStr(CONCATENATE("NavNode_",getCategoryLevelAsString($B123))),";",EscStr($J123),";"),CONCATENATE(";",EscStr(CONCATENATE("NavNode_",getCategoryLevelAsString($B123))),";",EscStr(W123),";")))</f>
        <v>;"NavNode_L3D_525574";"ZigBee™";</v>
      </c>
      <c r="AQ123" s="39" t="str">
        <f>IF(getCategoryLevelAsString($B123)="L0D_324785","",IF(X123="",CONCATENATE(";",EscStr(CONCATENATE("NavNode_",getCategoryLevelAsString($B123))),";",EscStr($J123),";"),CONCATENATE(";",EscStr(CONCATENATE("NavNode_",getCategoryLevelAsString($B123))),";",EscStr(X123),";")))</f>
        <v>;"NavNode_L3D_525574";"ZigBee™";</v>
      </c>
      <c r="AR123" s="39" t="str">
        <f>IF(OR($A123&lt;&gt;"", $G123=""),"",CONCATENATE(";",EscStr(CONCATENATE("NavEntry_",getCategoryLevelAsString($B123))),";",EscStr(CONCATENATE($J123," Navigation Entry")),";",EscStr(CONCATENATE("cat-",getCategoryLevelAsString($B123))),";",EscStr(CONCATENATE("NavNode_",getCategoryLevelAsString($B123))),";"))</f>
        <v>;"NavEntry_L3D_525574";"ZigBee™ Navigation Entry";"cat-L3D_525574";"NavNode_L3D_525574";</v>
      </c>
    </row>
    <row r="124" spans="1:44" s="34" customFormat="1" ht="15" x14ac:dyDescent="0.25">
      <c r="A124" s="25"/>
      <c r="B124" s="5"/>
      <c r="C124" s="5"/>
      <c r="D124" s="5" t="s">
        <v>7651</v>
      </c>
      <c r="E124" s="5"/>
      <c r="F124" s="5"/>
      <c r="G124" s="5" t="s">
        <v>7652</v>
      </c>
      <c r="H124" s="5" t="s">
        <v>7652</v>
      </c>
      <c r="I124" s="5" t="s">
        <v>7652</v>
      </c>
      <c r="J124" s="5" t="s">
        <v>7652</v>
      </c>
      <c r="K124" s="5" t="s">
        <v>7652</v>
      </c>
      <c r="L124" s="5" t="s">
        <v>7652</v>
      </c>
      <c r="M124" s="5" t="s">
        <v>7652</v>
      </c>
      <c r="N124" s="5" t="s">
        <v>7652</v>
      </c>
      <c r="O124" s="5" t="s">
        <v>7652</v>
      </c>
      <c r="P124" s="5" t="s">
        <v>7652</v>
      </c>
      <c r="Q124" s="5" t="s">
        <v>7652</v>
      </c>
      <c r="R124" s="5" t="s">
        <v>7652</v>
      </c>
      <c r="S124" s="5" t="s">
        <v>7652</v>
      </c>
      <c r="T124" s="5" t="s">
        <v>7652</v>
      </c>
      <c r="U124" s="5" t="s">
        <v>7652</v>
      </c>
      <c r="V124" s="5" t="s">
        <v>14699</v>
      </c>
      <c r="W124" s="5" t="s">
        <v>7652</v>
      </c>
      <c r="X124" s="5" t="s">
        <v>7652</v>
      </c>
      <c r="Y124" s="39" t="str">
        <f>IF(OR($A124&lt;&gt;"", $G124=""),"",CONCATENATE(";",EscStr(CONCATENATE("NavNode_",getCategoryLevelAsString($B124))),";",EscStr($J124),";",IF($B124&lt;&gt;"","""MainCategoryNavNode""",EscStr(CONCATENATE("NavNode_",getSuperCategory($B124, getCategoryLevelAsNumber($B124))))),";"))</f>
        <v>;"NavNode_L3D_525575";"WLAN";"NavNode_L3D_653222";</v>
      </c>
      <c r="Z124" s="39" t="str">
        <f>IF(getCategoryLevelAsString($B124)="L0D_324785","",IF(G124="",CONCATENATE(";",EscStr(CONCATENATE("NavNode_",getCategoryLevelAsString($B124))),";",EscStr($J124),";"),CONCATENATE(";",EscStr(CONCATENATE("NavNode_",getCategoryLevelAsString($B124))),";",EscStr(G124),";")))</f>
        <v>;"NavNode_L3D_525575";"WLAN";</v>
      </c>
      <c r="AA124" s="39" t="str">
        <f>IF(getCategoryLevelAsString($B124)="L0D_324785","",IF(H124="",CONCATENATE(";",EscStr(CONCATENATE("NavNode_",getCategoryLevelAsString($B124))),";",EscStr($J124),";"),CONCATENATE(";",EscStr(CONCATENATE("NavNode_",getCategoryLevelAsString($B124))),";",EscStr(H124),";")))</f>
        <v>;"NavNode_L3D_525575";"WLAN";</v>
      </c>
      <c r="AB124" s="39" t="str">
        <f>IF(getCategoryLevelAsString($B124)="L0D_324785","",IF(I124="",CONCATENATE(";",EscStr(CONCATENATE("NavNode_",getCategoryLevelAsString($B124))),";",EscStr($J124),";"),CONCATENATE(";",EscStr(CONCATENATE("NavNode_",getCategoryLevelAsString($B124))),";",EscStr(I124),";")))</f>
        <v>;"NavNode_L3D_525575";"WLAN";</v>
      </c>
      <c r="AC124" s="39" t="str">
        <f>IF(getCategoryLevelAsString($B124)="L0D_324785","",IF(J124="",CONCATENATE(";",EscStr(CONCATENATE("NavNode_",getCategoryLevelAsString($B124))),";",EscStr($J124),";"),CONCATENATE(";",EscStr(CONCATENATE("NavNode_",getCategoryLevelAsString($B124))),";",EscStr(J124),";")))</f>
        <v>;"NavNode_L3D_525575";"WLAN";</v>
      </c>
      <c r="AD124" s="39" t="str">
        <f>IF(getCategoryLevelAsString($B124)="L0D_324785","",IF(K124="",CONCATENATE(";",EscStr(CONCATENATE("NavNode_",getCategoryLevelAsString($B124))),";",EscStr($J124),";"),CONCATENATE(";",EscStr(CONCATENATE("NavNode_",getCategoryLevelAsString($B124))),";",EscStr(K124),";")))</f>
        <v>;"NavNode_L3D_525575";"WLAN";</v>
      </c>
      <c r="AE124" s="39" t="str">
        <f>IF(getCategoryLevelAsString($B124)="L0D_324785","",IF(L124="",CONCATENATE(";",EscStr(CONCATENATE("NavNode_",getCategoryLevelAsString($B124))),";",EscStr($J124),";"),CONCATENATE(";",EscStr(CONCATENATE("NavNode_",getCategoryLevelAsString($B124))),";",EscStr(L124),";")))</f>
        <v>;"NavNode_L3D_525575";"WLAN";</v>
      </c>
      <c r="AF124" s="39" t="str">
        <f>IF(getCategoryLevelAsString($B124)="L0D_324785","",IF(M124="",CONCATENATE(";",EscStr(CONCATENATE("NavNode_",getCategoryLevelAsString($B124))),";",EscStr($J124),";"),CONCATENATE(";",EscStr(CONCATENATE("NavNode_",getCategoryLevelAsString($B124))),";",EscStr(M124),";")))</f>
        <v>;"NavNode_L3D_525575";"WLAN";</v>
      </c>
      <c r="AG124" s="39" t="str">
        <f>IF(getCategoryLevelAsString($B124)="L0D_324785","",IF(N124="",CONCATENATE(";",EscStr(CONCATENATE("NavNode_",getCategoryLevelAsString($B124))),";",EscStr($J124),";"),CONCATENATE(";",EscStr(CONCATENATE("NavNode_",getCategoryLevelAsString($B124))),";",EscStr(N124),";")))</f>
        <v>;"NavNode_L3D_525575";"WLAN";</v>
      </c>
      <c r="AH124" s="39" t="str">
        <f>IF(getCategoryLevelAsString($B124)="L0D_324785","",IF(O124="",CONCATENATE(";",EscStr(CONCATENATE("NavNode_",getCategoryLevelAsString($B124))),";",EscStr($J124),";"),CONCATENATE(";",EscStr(CONCATENATE("NavNode_",getCategoryLevelAsString($B124))),";",EscStr(O124),";")))</f>
        <v>;"NavNode_L3D_525575";"WLAN";</v>
      </c>
      <c r="AI124" s="39" t="str">
        <f>IF(getCategoryLevelAsString($B124)="L0D_324785","",IF(P124="",CONCATENATE(";",EscStr(CONCATENATE("NavNode_",getCategoryLevelAsString($B124))),";",EscStr($J124),";"),CONCATENATE(";",EscStr(CONCATENATE("NavNode_",getCategoryLevelAsString($B124))),";",EscStr(P124),";")))</f>
        <v>;"NavNode_L3D_525575";"WLAN";</v>
      </c>
      <c r="AJ124" s="39" t="str">
        <f>IF(getCategoryLevelAsString($B124)="L0D_324785","",IF(Q124="",CONCATENATE(";",EscStr(CONCATENATE("NavNode_",getCategoryLevelAsString($B124))),";",EscStr($J124),";"),CONCATENATE(";",EscStr(CONCATENATE("NavNode_",getCategoryLevelAsString($B124))),";",EscStr(Q124),";")))</f>
        <v>;"NavNode_L3D_525575";"WLAN";</v>
      </c>
      <c r="AK124" s="39" t="str">
        <f>IF(getCategoryLevelAsString($B124)="L0D_324785","",IF(R124="",CONCATENATE(";",EscStr(CONCATENATE("NavNode_",getCategoryLevelAsString($B124))),";",EscStr($J124),";"),CONCATENATE(";",EscStr(CONCATENATE("NavNode_",getCategoryLevelAsString($B124))),";",EscStr(R124),";")))</f>
        <v>;"NavNode_L3D_525575";"WLAN";</v>
      </c>
      <c r="AL124" s="39" t="str">
        <f>IF(getCategoryLevelAsString($B124)="L0D_324785","",IF(S124="",CONCATENATE(";",EscStr(CONCATENATE("NavNode_",getCategoryLevelAsString($B124))),";",EscStr($J124),";"),CONCATENATE(";",EscStr(CONCATENATE("NavNode_",getCategoryLevelAsString($B124))),";",EscStr(S124),";")))</f>
        <v>;"NavNode_L3D_525575";"WLAN";</v>
      </c>
      <c r="AM124" s="39" t="str">
        <f>IF(getCategoryLevelAsString($B124)="L0D_324785","",IF(T124="",CONCATENATE(";",EscStr(CONCATENATE("NavNode_",getCategoryLevelAsString($B124))),";",EscStr($J124),";"),CONCATENATE(";",EscStr(CONCATENATE("NavNode_",getCategoryLevelAsString($B124))),";",EscStr(T124),";")))</f>
        <v>;"NavNode_L3D_525575";"WLAN";</v>
      </c>
      <c r="AN124" s="39" t="str">
        <f>IF(getCategoryLevelAsString($B124)="L0D_324785","",IF(U124="",CONCATENATE(";",EscStr(CONCATENATE("NavNode_",getCategoryLevelAsString($B124))),";",EscStr($J124),";"),CONCATENATE(";",EscStr(CONCATENATE("NavNode_",getCategoryLevelAsString($B124))),";",EscStr(U124),";")))</f>
        <v>;"NavNode_L3D_525575";"WLAN";</v>
      </c>
      <c r="AO124" s="39" t="str">
        <f>IF(getCategoryLevelAsString($B124)="L0D_324785","",IF(V124="",CONCATENATE(";",EscStr(CONCATENATE("NavNode_",getCategoryLevelAsString($B124))),";",EscStr($J124),";"),CONCATENATE(";",EscStr(CONCATENATE("NavNode_",getCategoryLevelAsString($B124))),";",EscStr(V124),";")))</f>
        <v>;"NavNode_L3D_525575";"WI-FI";</v>
      </c>
      <c r="AP124" s="39" t="str">
        <f>IF(getCategoryLevelAsString($B124)="L0D_324785","",IF(W124="",CONCATENATE(";",EscStr(CONCATENATE("NavNode_",getCategoryLevelAsString($B124))),";",EscStr($J124),";"),CONCATENATE(";",EscStr(CONCATENATE("NavNode_",getCategoryLevelAsString($B124))),";",EscStr(W124),";")))</f>
        <v>;"NavNode_L3D_525575";"WLAN";</v>
      </c>
      <c r="AQ124" s="39" t="str">
        <f>IF(getCategoryLevelAsString($B124)="L0D_324785","",IF(X124="",CONCATENATE(";",EscStr(CONCATENATE("NavNode_",getCategoryLevelAsString($B124))),";",EscStr($J124),";"),CONCATENATE(";",EscStr(CONCATENATE("NavNode_",getCategoryLevelAsString($B124))),";",EscStr(X124),";")))</f>
        <v>;"NavNode_L3D_525575";"WLAN";</v>
      </c>
      <c r="AR124" s="39" t="str">
        <f>IF(OR($A124&lt;&gt;"", $G124=""),"",CONCATENATE(";",EscStr(CONCATENATE("NavEntry_",getCategoryLevelAsString($B124))),";",EscStr(CONCATENATE($J124," Navigation Entry")),";",EscStr(CONCATENATE("cat-",getCategoryLevelAsString($B124))),";",EscStr(CONCATENATE("NavNode_",getCategoryLevelAsString($B124))),";"))</f>
        <v>;"NavEntry_L3D_525575";"WLAN Navigation Entry";"cat-L3D_525575";"NavNode_L3D_525575";</v>
      </c>
    </row>
    <row r="125" spans="1:44" s="34" customFormat="1" ht="15" x14ac:dyDescent="0.25">
      <c r="A125" s="25"/>
      <c r="B125" s="5"/>
      <c r="C125" s="5"/>
      <c r="D125" s="5" t="s">
        <v>7667</v>
      </c>
      <c r="E125" s="5"/>
      <c r="F125" s="5"/>
      <c r="G125" s="5" t="s">
        <v>7668</v>
      </c>
      <c r="H125" s="5" t="s">
        <v>7668</v>
      </c>
      <c r="I125" s="5" t="s">
        <v>7668</v>
      </c>
      <c r="J125" s="5" t="s">
        <v>7668</v>
      </c>
      <c r="K125" s="5" t="s">
        <v>7668</v>
      </c>
      <c r="L125" s="5" t="s">
        <v>7668</v>
      </c>
      <c r="M125" s="5" t="s">
        <v>7668</v>
      </c>
      <c r="N125" s="5" t="s">
        <v>7668</v>
      </c>
      <c r="O125" s="5" t="s">
        <v>7668</v>
      </c>
      <c r="P125" s="5" t="s">
        <v>7668</v>
      </c>
      <c r="Q125" s="5" t="s">
        <v>7668</v>
      </c>
      <c r="R125" s="5" t="s">
        <v>7668</v>
      </c>
      <c r="S125" s="5" t="s">
        <v>7668</v>
      </c>
      <c r="T125" s="5" t="s">
        <v>7668</v>
      </c>
      <c r="U125" s="5" t="s">
        <v>7668</v>
      </c>
      <c r="V125" s="5" t="s">
        <v>7668</v>
      </c>
      <c r="W125" s="5" t="s">
        <v>7668</v>
      </c>
      <c r="X125" s="5" t="s">
        <v>7668</v>
      </c>
      <c r="Y125" s="39" t="str">
        <f>IF(OR($A125&lt;&gt;"", $G125=""),"",CONCATENATE(";",EscStr(CONCATENATE("NavNode_",getCategoryLevelAsString($B125))),";",EscStr($J125),";",IF($B125&lt;&gt;"","""MainCategoryNavNode""",EscStr(CONCATENATE("NavNode_",getSuperCategory($B125, getCategoryLevelAsNumber($B125))))),";"))</f>
        <v>;"NavNode_L3D_525576";"GPS";"NavNode_L3D_653222";</v>
      </c>
      <c r="Z125" s="39" t="str">
        <f>IF(getCategoryLevelAsString($B125)="L0D_324785","",IF(G125="",CONCATENATE(";",EscStr(CONCATENATE("NavNode_",getCategoryLevelAsString($B125))),";",EscStr($J125),";"),CONCATENATE(";",EscStr(CONCATENATE("NavNode_",getCategoryLevelAsString($B125))),";",EscStr(G125),";")))</f>
        <v>;"NavNode_L3D_525576";"GPS";</v>
      </c>
      <c r="AA125" s="39" t="str">
        <f>IF(getCategoryLevelAsString($B125)="L0D_324785","",IF(H125="",CONCATENATE(";",EscStr(CONCATENATE("NavNode_",getCategoryLevelAsString($B125))),";",EscStr($J125),";"),CONCATENATE(";",EscStr(CONCATENATE("NavNode_",getCategoryLevelAsString($B125))),";",EscStr(H125),";")))</f>
        <v>;"NavNode_L3D_525576";"GPS";</v>
      </c>
      <c r="AB125" s="39" t="str">
        <f>IF(getCategoryLevelAsString($B125)="L0D_324785","",IF(I125="",CONCATENATE(";",EscStr(CONCATENATE("NavNode_",getCategoryLevelAsString($B125))),";",EscStr($J125),";"),CONCATENATE(";",EscStr(CONCATENATE("NavNode_",getCategoryLevelAsString($B125))),";",EscStr(I125),";")))</f>
        <v>;"NavNode_L3D_525576";"GPS";</v>
      </c>
      <c r="AC125" s="39" t="str">
        <f>IF(getCategoryLevelAsString($B125)="L0D_324785","",IF(J125="",CONCATENATE(";",EscStr(CONCATENATE("NavNode_",getCategoryLevelAsString($B125))),";",EscStr($J125),";"),CONCATENATE(";",EscStr(CONCATENATE("NavNode_",getCategoryLevelAsString($B125))),";",EscStr(J125),";")))</f>
        <v>;"NavNode_L3D_525576";"GPS";</v>
      </c>
      <c r="AD125" s="39" t="str">
        <f>IF(getCategoryLevelAsString($B125)="L0D_324785","",IF(K125="",CONCATENATE(";",EscStr(CONCATENATE("NavNode_",getCategoryLevelAsString($B125))),";",EscStr($J125),";"),CONCATENATE(";",EscStr(CONCATENATE("NavNode_",getCategoryLevelAsString($B125))),";",EscStr(K125),";")))</f>
        <v>;"NavNode_L3D_525576";"GPS";</v>
      </c>
      <c r="AE125" s="39" t="str">
        <f>IF(getCategoryLevelAsString($B125)="L0D_324785","",IF(L125="",CONCATENATE(";",EscStr(CONCATENATE("NavNode_",getCategoryLevelAsString($B125))),";",EscStr($J125),";"),CONCATENATE(";",EscStr(CONCATENATE("NavNode_",getCategoryLevelAsString($B125))),";",EscStr(L125),";")))</f>
        <v>;"NavNode_L3D_525576";"GPS";</v>
      </c>
      <c r="AF125" s="39" t="str">
        <f>IF(getCategoryLevelAsString($B125)="L0D_324785","",IF(M125="",CONCATENATE(";",EscStr(CONCATENATE("NavNode_",getCategoryLevelAsString($B125))),";",EscStr($J125),";"),CONCATENATE(";",EscStr(CONCATENATE("NavNode_",getCategoryLevelAsString($B125))),";",EscStr(M125),";")))</f>
        <v>;"NavNode_L3D_525576";"GPS";</v>
      </c>
      <c r="AG125" s="39" t="str">
        <f>IF(getCategoryLevelAsString($B125)="L0D_324785","",IF(N125="",CONCATENATE(";",EscStr(CONCATENATE("NavNode_",getCategoryLevelAsString($B125))),";",EscStr($J125),";"),CONCATENATE(";",EscStr(CONCATENATE("NavNode_",getCategoryLevelAsString($B125))),";",EscStr(N125),";")))</f>
        <v>;"NavNode_L3D_525576";"GPS";</v>
      </c>
      <c r="AH125" s="39" t="str">
        <f>IF(getCategoryLevelAsString($B125)="L0D_324785","",IF(O125="",CONCATENATE(";",EscStr(CONCATENATE("NavNode_",getCategoryLevelAsString($B125))),";",EscStr($J125),";"),CONCATENATE(";",EscStr(CONCATENATE("NavNode_",getCategoryLevelAsString($B125))),";",EscStr(O125),";")))</f>
        <v>;"NavNode_L3D_525576";"GPS";</v>
      </c>
      <c r="AI125" s="39" t="str">
        <f>IF(getCategoryLevelAsString($B125)="L0D_324785","",IF(P125="",CONCATENATE(";",EscStr(CONCATENATE("NavNode_",getCategoryLevelAsString($B125))),";",EscStr($J125),";"),CONCATENATE(";",EscStr(CONCATENATE("NavNode_",getCategoryLevelAsString($B125))),";",EscStr(P125),";")))</f>
        <v>;"NavNode_L3D_525576";"GPS";</v>
      </c>
      <c r="AJ125" s="39" t="str">
        <f>IF(getCategoryLevelAsString($B125)="L0D_324785","",IF(Q125="",CONCATENATE(";",EscStr(CONCATENATE("NavNode_",getCategoryLevelAsString($B125))),";",EscStr($J125),";"),CONCATENATE(";",EscStr(CONCATENATE("NavNode_",getCategoryLevelAsString($B125))),";",EscStr(Q125),";")))</f>
        <v>;"NavNode_L3D_525576";"GPS";</v>
      </c>
      <c r="AK125" s="39" t="str">
        <f>IF(getCategoryLevelAsString($B125)="L0D_324785","",IF(R125="",CONCATENATE(";",EscStr(CONCATENATE("NavNode_",getCategoryLevelAsString($B125))),";",EscStr($J125),";"),CONCATENATE(";",EscStr(CONCATENATE("NavNode_",getCategoryLevelAsString($B125))),";",EscStr(R125),";")))</f>
        <v>;"NavNode_L3D_525576";"GPS";</v>
      </c>
      <c r="AL125" s="39" t="str">
        <f>IF(getCategoryLevelAsString($B125)="L0D_324785","",IF(S125="",CONCATENATE(";",EscStr(CONCATENATE("NavNode_",getCategoryLevelAsString($B125))),";",EscStr($J125),";"),CONCATENATE(";",EscStr(CONCATENATE("NavNode_",getCategoryLevelAsString($B125))),";",EscStr(S125),";")))</f>
        <v>;"NavNode_L3D_525576";"GPS";</v>
      </c>
      <c r="AM125" s="39" t="str">
        <f>IF(getCategoryLevelAsString($B125)="L0D_324785","",IF(T125="",CONCATENATE(";",EscStr(CONCATENATE("NavNode_",getCategoryLevelAsString($B125))),";",EscStr($J125),";"),CONCATENATE(";",EscStr(CONCATENATE("NavNode_",getCategoryLevelAsString($B125))),";",EscStr(T125),";")))</f>
        <v>;"NavNode_L3D_525576";"GPS";</v>
      </c>
      <c r="AN125" s="39" t="str">
        <f>IF(getCategoryLevelAsString($B125)="L0D_324785","",IF(U125="",CONCATENATE(";",EscStr(CONCATENATE("NavNode_",getCategoryLevelAsString($B125))),";",EscStr($J125),";"),CONCATENATE(";",EscStr(CONCATENATE("NavNode_",getCategoryLevelAsString($B125))),";",EscStr(U125),";")))</f>
        <v>;"NavNode_L3D_525576";"GPS";</v>
      </c>
      <c r="AO125" s="39" t="str">
        <f>IF(getCategoryLevelAsString($B125)="L0D_324785","",IF(V125="",CONCATENATE(";",EscStr(CONCATENATE("NavNode_",getCategoryLevelAsString($B125))),";",EscStr($J125),";"),CONCATENATE(";",EscStr(CONCATENATE("NavNode_",getCategoryLevelAsString($B125))),";",EscStr(V125),";")))</f>
        <v>;"NavNode_L3D_525576";"GPS";</v>
      </c>
      <c r="AP125" s="39" t="str">
        <f>IF(getCategoryLevelAsString($B125)="L0D_324785","",IF(W125="",CONCATENATE(";",EscStr(CONCATENATE("NavNode_",getCategoryLevelAsString($B125))),";",EscStr($J125),";"),CONCATENATE(";",EscStr(CONCATENATE("NavNode_",getCategoryLevelAsString($B125))),";",EscStr(W125),";")))</f>
        <v>;"NavNode_L3D_525576";"GPS";</v>
      </c>
      <c r="AQ125" s="39" t="str">
        <f>IF(getCategoryLevelAsString($B125)="L0D_324785","",IF(X125="",CONCATENATE(";",EscStr(CONCATENATE("NavNode_",getCategoryLevelAsString($B125))),";",EscStr($J125),";"),CONCATENATE(";",EscStr(CONCATENATE("NavNode_",getCategoryLevelAsString($B125))),";",EscStr(X125),";")))</f>
        <v>;"NavNode_L3D_525576";"GPS";</v>
      </c>
      <c r="AR125" s="39" t="str">
        <f>IF(OR($A125&lt;&gt;"", $G125=""),"",CONCATENATE(";",EscStr(CONCATENATE("NavEntry_",getCategoryLevelAsString($B125))),";",EscStr(CONCATENATE($J125," Navigation Entry")),";",EscStr(CONCATENATE("cat-",getCategoryLevelAsString($B125))),";",EscStr(CONCATENATE("NavNode_",getCategoryLevelAsString($B125))),";"))</f>
        <v>;"NavEntry_L3D_525576";"GPS Navigation Entry";"cat-L3D_525576";"NavNode_L3D_525576";</v>
      </c>
    </row>
    <row r="126" spans="1:44" s="34" customFormat="1" ht="15" x14ac:dyDescent="0.25">
      <c r="A126" s="25"/>
      <c r="B126" s="5"/>
      <c r="C126" s="5"/>
      <c r="D126" s="5" t="s">
        <v>7683</v>
      </c>
      <c r="E126" s="5"/>
      <c r="F126" s="5"/>
      <c r="G126" s="5" t="s">
        <v>7684</v>
      </c>
      <c r="H126" s="5" t="s">
        <v>7684</v>
      </c>
      <c r="I126" s="5" t="s">
        <v>7684</v>
      </c>
      <c r="J126" s="5" t="s">
        <v>7684</v>
      </c>
      <c r="K126" s="5" t="s">
        <v>7684</v>
      </c>
      <c r="L126" s="5" t="s">
        <v>7684</v>
      </c>
      <c r="M126" s="5" t="s">
        <v>7684</v>
      </c>
      <c r="N126" s="5" t="s">
        <v>7684</v>
      </c>
      <c r="O126" s="5" t="s">
        <v>7684</v>
      </c>
      <c r="P126" s="5" t="s">
        <v>7684</v>
      </c>
      <c r="Q126" s="5" t="s">
        <v>7684</v>
      </c>
      <c r="R126" s="5" t="s">
        <v>7684</v>
      </c>
      <c r="S126" s="5" t="s">
        <v>7684</v>
      </c>
      <c r="T126" s="5" t="s">
        <v>7684</v>
      </c>
      <c r="U126" s="5" t="s">
        <v>7684</v>
      </c>
      <c r="V126" s="5" t="s">
        <v>7684</v>
      </c>
      <c r="W126" s="5" t="s">
        <v>7684</v>
      </c>
      <c r="X126" s="5" t="s">
        <v>7684</v>
      </c>
      <c r="Y126" s="39" t="str">
        <f>IF(OR($A126&lt;&gt;"", $G126=""),"",CONCATENATE(";",EscStr(CONCATENATE("NavNode_",getCategoryLevelAsString($B126))),";",EscStr($J126),";",IF($B126&lt;&gt;"","""MainCategoryNavNode""",EscStr(CONCATENATE("NavNode_",getSuperCategory($B126, getCategoryLevelAsNumber($B126))))),";"))</f>
        <v>;"NavNode_L3D_525577";"ISM";"NavNode_L3D_653222";</v>
      </c>
      <c r="Z126" s="39" t="str">
        <f>IF(getCategoryLevelAsString($B126)="L0D_324785","",IF(G126="",CONCATENATE(";",EscStr(CONCATENATE("NavNode_",getCategoryLevelAsString($B126))),";",EscStr($J126),";"),CONCATENATE(";",EscStr(CONCATENATE("NavNode_",getCategoryLevelAsString($B126))),";",EscStr(G126),";")))</f>
        <v>;"NavNode_L3D_525577";"ISM";</v>
      </c>
      <c r="AA126" s="39" t="str">
        <f>IF(getCategoryLevelAsString($B126)="L0D_324785","",IF(H126="",CONCATENATE(";",EscStr(CONCATENATE("NavNode_",getCategoryLevelAsString($B126))),";",EscStr($J126),";"),CONCATENATE(";",EscStr(CONCATENATE("NavNode_",getCategoryLevelAsString($B126))),";",EscStr(H126),";")))</f>
        <v>;"NavNode_L3D_525577";"ISM";</v>
      </c>
      <c r="AB126" s="39" t="str">
        <f>IF(getCategoryLevelAsString($B126)="L0D_324785","",IF(I126="",CONCATENATE(";",EscStr(CONCATENATE("NavNode_",getCategoryLevelAsString($B126))),";",EscStr($J126),";"),CONCATENATE(";",EscStr(CONCATENATE("NavNode_",getCategoryLevelAsString($B126))),";",EscStr(I126),";")))</f>
        <v>;"NavNode_L3D_525577";"ISM";</v>
      </c>
      <c r="AC126" s="39" t="str">
        <f>IF(getCategoryLevelAsString($B126)="L0D_324785","",IF(J126="",CONCATENATE(";",EscStr(CONCATENATE("NavNode_",getCategoryLevelAsString($B126))),";",EscStr($J126),";"),CONCATENATE(";",EscStr(CONCATENATE("NavNode_",getCategoryLevelAsString($B126))),";",EscStr(J126),";")))</f>
        <v>;"NavNode_L3D_525577";"ISM";</v>
      </c>
      <c r="AD126" s="39" t="str">
        <f>IF(getCategoryLevelAsString($B126)="L0D_324785","",IF(K126="",CONCATENATE(";",EscStr(CONCATENATE("NavNode_",getCategoryLevelAsString($B126))),";",EscStr($J126),";"),CONCATENATE(";",EscStr(CONCATENATE("NavNode_",getCategoryLevelAsString($B126))),";",EscStr(K126),";")))</f>
        <v>;"NavNode_L3D_525577";"ISM";</v>
      </c>
      <c r="AE126" s="39" t="str">
        <f>IF(getCategoryLevelAsString($B126)="L0D_324785","",IF(L126="",CONCATENATE(";",EscStr(CONCATENATE("NavNode_",getCategoryLevelAsString($B126))),";",EscStr($J126),";"),CONCATENATE(";",EscStr(CONCATENATE("NavNode_",getCategoryLevelAsString($B126))),";",EscStr(L126),";")))</f>
        <v>;"NavNode_L3D_525577";"ISM";</v>
      </c>
      <c r="AF126" s="39" t="str">
        <f>IF(getCategoryLevelAsString($B126)="L0D_324785","",IF(M126="",CONCATENATE(";",EscStr(CONCATENATE("NavNode_",getCategoryLevelAsString($B126))),";",EscStr($J126),";"),CONCATENATE(";",EscStr(CONCATENATE("NavNode_",getCategoryLevelAsString($B126))),";",EscStr(M126),";")))</f>
        <v>;"NavNode_L3D_525577";"ISM";</v>
      </c>
      <c r="AG126" s="39" t="str">
        <f>IF(getCategoryLevelAsString($B126)="L0D_324785","",IF(N126="",CONCATENATE(";",EscStr(CONCATENATE("NavNode_",getCategoryLevelAsString($B126))),";",EscStr($J126),";"),CONCATENATE(";",EscStr(CONCATENATE("NavNode_",getCategoryLevelAsString($B126))),";",EscStr(N126),";")))</f>
        <v>;"NavNode_L3D_525577";"ISM";</v>
      </c>
      <c r="AH126" s="39" t="str">
        <f>IF(getCategoryLevelAsString($B126)="L0D_324785","",IF(O126="",CONCATENATE(";",EscStr(CONCATENATE("NavNode_",getCategoryLevelAsString($B126))),";",EscStr($J126),";"),CONCATENATE(";",EscStr(CONCATENATE("NavNode_",getCategoryLevelAsString($B126))),";",EscStr(O126),";")))</f>
        <v>;"NavNode_L3D_525577";"ISM";</v>
      </c>
      <c r="AI126" s="39" t="str">
        <f>IF(getCategoryLevelAsString($B126)="L0D_324785","",IF(P126="",CONCATENATE(";",EscStr(CONCATENATE("NavNode_",getCategoryLevelAsString($B126))),";",EscStr($J126),";"),CONCATENATE(";",EscStr(CONCATENATE("NavNode_",getCategoryLevelAsString($B126))),";",EscStr(P126),";")))</f>
        <v>;"NavNode_L3D_525577";"ISM";</v>
      </c>
      <c r="AJ126" s="39" t="str">
        <f>IF(getCategoryLevelAsString($B126)="L0D_324785","",IF(Q126="",CONCATENATE(";",EscStr(CONCATENATE("NavNode_",getCategoryLevelAsString($B126))),";",EscStr($J126),";"),CONCATENATE(";",EscStr(CONCATENATE("NavNode_",getCategoryLevelAsString($B126))),";",EscStr(Q126),";")))</f>
        <v>;"NavNode_L3D_525577";"ISM";</v>
      </c>
      <c r="AK126" s="39" t="str">
        <f>IF(getCategoryLevelAsString($B126)="L0D_324785","",IF(R126="",CONCATENATE(";",EscStr(CONCATENATE("NavNode_",getCategoryLevelAsString($B126))),";",EscStr($J126),";"),CONCATENATE(";",EscStr(CONCATENATE("NavNode_",getCategoryLevelAsString($B126))),";",EscStr(R126),";")))</f>
        <v>;"NavNode_L3D_525577";"ISM";</v>
      </c>
      <c r="AL126" s="39" t="str">
        <f>IF(getCategoryLevelAsString($B126)="L0D_324785","",IF(S126="",CONCATENATE(";",EscStr(CONCATENATE("NavNode_",getCategoryLevelAsString($B126))),";",EscStr($J126),";"),CONCATENATE(";",EscStr(CONCATENATE("NavNode_",getCategoryLevelAsString($B126))),";",EscStr(S126),";")))</f>
        <v>;"NavNode_L3D_525577";"ISM";</v>
      </c>
      <c r="AM126" s="39" t="str">
        <f>IF(getCategoryLevelAsString($B126)="L0D_324785","",IF(T126="",CONCATENATE(";",EscStr(CONCATENATE("NavNode_",getCategoryLevelAsString($B126))),";",EscStr($J126),";"),CONCATENATE(";",EscStr(CONCATENATE("NavNode_",getCategoryLevelAsString($B126))),";",EscStr(T126),";")))</f>
        <v>;"NavNode_L3D_525577";"ISM";</v>
      </c>
      <c r="AN126" s="39" t="str">
        <f>IF(getCategoryLevelAsString($B126)="L0D_324785","",IF(U126="",CONCATENATE(";",EscStr(CONCATENATE("NavNode_",getCategoryLevelAsString($B126))),";",EscStr($J126),";"),CONCATENATE(";",EscStr(CONCATENATE("NavNode_",getCategoryLevelAsString($B126))),";",EscStr(U126),";")))</f>
        <v>;"NavNode_L3D_525577";"ISM";</v>
      </c>
      <c r="AO126" s="39" t="str">
        <f>IF(getCategoryLevelAsString($B126)="L0D_324785","",IF(V126="",CONCATENATE(";",EscStr(CONCATENATE("NavNode_",getCategoryLevelAsString($B126))),";",EscStr($J126),";"),CONCATENATE(";",EscStr(CONCATENATE("NavNode_",getCategoryLevelAsString($B126))),";",EscStr(V126),";")))</f>
        <v>;"NavNode_L3D_525577";"ISM";</v>
      </c>
      <c r="AP126" s="39" t="str">
        <f>IF(getCategoryLevelAsString($B126)="L0D_324785","",IF(W126="",CONCATENATE(";",EscStr(CONCATENATE("NavNode_",getCategoryLevelAsString($B126))),";",EscStr($J126),";"),CONCATENATE(";",EscStr(CONCATENATE("NavNode_",getCategoryLevelAsString($B126))),";",EscStr(W126),";")))</f>
        <v>;"NavNode_L3D_525577";"ISM";</v>
      </c>
      <c r="AQ126" s="39" t="str">
        <f>IF(getCategoryLevelAsString($B126)="L0D_324785","",IF(X126="",CONCATENATE(";",EscStr(CONCATENATE("NavNode_",getCategoryLevelAsString($B126))),";",EscStr($J126),";"),CONCATENATE(";",EscStr(CONCATENATE("NavNode_",getCategoryLevelAsString($B126))),";",EscStr(X126),";")))</f>
        <v>;"NavNode_L3D_525577";"ISM";</v>
      </c>
      <c r="AR126" s="39" t="str">
        <f>IF(OR($A126&lt;&gt;"", $G126=""),"",CONCATENATE(";",EscStr(CONCATENATE("NavEntry_",getCategoryLevelAsString($B126))),";",EscStr(CONCATENATE($J126," Navigation Entry")),";",EscStr(CONCATENATE("cat-",getCategoryLevelAsString($B126))),";",EscStr(CONCATENATE("NavNode_",getCategoryLevelAsString($B126))),";"))</f>
        <v>;"NavEntry_L3D_525577";"ISM Navigation Entry";"cat-L3D_525577";"NavNode_L3D_525577";</v>
      </c>
    </row>
    <row r="127" spans="1:44" s="34" customFormat="1" ht="15" x14ac:dyDescent="0.25">
      <c r="A127" s="25"/>
      <c r="B127" s="5"/>
      <c r="C127" s="5"/>
      <c r="D127" s="5" t="s">
        <v>7710</v>
      </c>
      <c r="E127" s="5"/>
      <c r="F127" s="5"/>
      <c r="G127" s="5" t="s">
        <v>7711</v>
      </c>
      <c r="H127" s="5" t="s">
        <v>7711</v>
      </c>
      <c r="I127" s="5" t="s">
        <v>7711</v>
      </c>
      <c r="J127" s="5" t="s">
        <v>7711</v>
      </c>
      <c r="K127" s="5" t="s">
        <v>7711</v>
      </c>
      <c r="L127" s="5" t="s">
        <v>7711</v>
      </c>
      <c r="M127" s="5" t="s">
        <v>7711</v>
      </c>
      <c r="N127" s="5" t="s">
        <v>7711</v>
      </c>
      <c r="O127" s="5" t="s">
        <v>7711</v>
      </c>
      <c r="P127" s="5" t="s">
        <v>7711</v>
      </c>
      <c r="Q127" s="5" t="s">
        <v>7711</v>
      </c>
      <c r="R127" s="5" t="s">
        <v>7711</v>
      </c>
      <c r="S127" s="5" t="s">
        <v>7711</v>
      </c>
      <c r="T127" s="5" t="s">
        <v>7711</v>
      </c>
      <c r="U127" s="5" t="s">
        <v>7711</v>
      </c>
      <c r="V127" s="5" t="s">
        <v>7711</v>
      </c>
      <c r="W127" s="5" t="s">
        <v>7711</v>
      </c>
      <c r="X127" s="5" t="s">
        <v>7711</v>
      </c>
      <c r="Y127" s="39" t="str">
        <f>IF(OR($A127&lt;&gt;"", $G127=""),"",CONCATENATE(";",EscStr(CONCATENATE("NavNode_",getCategoryLevelAsString($B127))),";",EscStr($J127),";",IF($B127&lt;&gt;"","""MainCategoryNavNode""",EscStr(CONCATENATE("NavNode_",getSuperCategory($B127, getCategoryLevelAsNumber($B127))))),";"))</f>
        <v>;"NavNode_L3D_525578";"GSM";"NavNode_L3D_653222";</v>
      </c>
      <c r="Z127" s="39" t="str">
        <f>IF(getCategoryLevelAsString($B127)="L0D_324785","",IF(G127="",CONCATENATE(";",EscStr(CONCATENATE("NavNode_",getCategoryLevelAsString($B127))),";",EscStr($J127),";"),CONCATENATE(";",EscStr(CONCATENATE("NavNode_",getCategoryLevelAsString($B127))),";",EscStr(G127),";")))</f>
        <v>;"NavNode_L3D_525578";"GSM";</v>
      </c>
      <c r="AA127" s="39" t="str">
        <f>IF(getCategoryLevelAsString($B127)="L0D_324785","",IF(H127="",CONCATENATE(";",EscStr(CONCATENATE("NavNode_",getCategoryLevelAsString($B127))),";",EscStr($J127),";"),CONCATENATE(";",EscStr(CONCATENATE("NavNode_",getCategoryLevelAsString($B127))),";",EscStr(H127),";")))</f>
        <v>;"NavNode_L3D_525578";"GSM";</v>
      </c>
      <c r="AB127" s="39" t="str">
        <f>IF(getCategoryLevelAsString($B127)="L0D_324785","",IF(I127="",CONCATENATE(";",EscStr(CONCATENATE("NavNode_",getCategoryLevelAsString($B127))),";",EscStr($J127),";"),CONCATENATE(";",EscStr(CONCATENATE("NavNode_",getCategoryLevelAsString($B127))),";",EscStr(I127),";")))</f>
        <v>;"NavNode_L3D_525578";"GSM";</v>
      </c>
      <c r="AC127" s="39" t="str">
        <f>IF(getCategoryLevelAsString($B127)="L0D_324785","",IF(J127="",CONCATENATE(";",EscStr(CONCATENATE("NavNode_",getCategoryLevelAsString($B127))),";",EscStr($J127),";"),CONCATENATE(";",EscStr(CONCATENATE("NavNode_",getCategoryLevelAsString($B127))),";",EscStr(J127),";")))</f>
        <v>;"NavNode_L3D_525578";"GSM";</v>
      </c>
      <c r="AD127" s="39" t="str">
        <f>IF(getCategoryLevelAsString($B127)="L0D_324785","",IF(K127="",CONCATENATE(";",EscStr(CONCATENATE("NavNode_",getCategoryLevelAsString($B127))),";",EscStr($J127),";"),CONCATENATE(";",EscStr(CONCATENATE("NavNode_",getCategoryLevelAsString($B127))),";",EscStr(K127),";")))</f>
        <v>;"NavNode_L3D_525578";"GSM";</v>
      </c>
      <c r="AE127" s="39" t="str">
        <f>IF(getCategoryLevelAsString($B127)="L0D_324785","",IF(L127="",CONCATENATE(";",EscStr(CONCATENATE("NavNode_",getCategoryLevelAsString($B127))),";",EscStr($J127),";"),CONCATENATE(";",EscStr(CONCATENATE("NavNode_",getCategoryLevelAsString($B127))),";",EscStr(L127),";")))</f>
        <v>;"NavNode_L3D_525578";"GSM";</v>
      </c>
      <c r="AF127" s="39" t="str">
        <f>IF(getCategoryLevelAsString($B127)="L0D_324785","",IF(M127="",CONCATENATE(";",EscStr(CONCATENATE("NavNode_",getCategoryLevelAsString($B127))),";",EscStr($J127),";"),CONCATENATE(";",EscStr(CONCATENATE("NavNode_",getCategoryLevelAsString($B127))),";",EscStr(M127),";")))</f>
        <v>;"NavNode_L3D_525578";"GSM";</v>
      </c>
      <c r="AG127" s="39" t="str">
        <f>IF(getCategoryLevelAsString($B127)="L0D_324785","",IF(N127="",CONCATENATE(";",EscStr(CONCATENATE("NavNode_",getCategoryLevelAsString($B127))),";",EscStr($J127),";"),CONCATENATE(";",EscStr(CONCATENATE("NavNode_",getCategoryLevelAsString($B127))),";",EscStr(N127),";")))</f>
        <v>;"NavNode_L3D_525578";"GSM";</v>
      </c>
      <c r="AH127" s="39" t="str">
        <f>IF(getCategoryLevelAsString($B127)="L0D_324785","",IF(O127="",CONCATENATE(";",EscStr(CONCATENATE("NavNode_",getCategoryLevelAsString($B127))),";",EscStr($J127),";"),CONCATENATE(";",EscStr(CONCATENATE("NavNode_",getCategoryLevelAsString($B127))),";",EscStr(O127),";")))</f>
        <v>;"NavNode_L3D_525578";"GSM";</v>
      </c>
      <c r="AI127" s="39" t="str">
        <f>IF(getCategoryLevelAsString($B127)="L0D_324785","",IF(P127="",CONCATENATE(";",EscStr(CONCATENATE("NavNode_",getCategoryLevelAsString($B127))),";",EscStr($J127),";"),CONCATENATE(";",EscStr(CONCATENATE("NavNode_",getCategoryLevelAsString($B127))),";",EscStr(P127),";")))</f>
        <v>;"NavNode_L3D_525578";"GSM";</v>
      </c>
      <c r="AJ127" s="39" t="str">
        <f>IF(getCategoryLevelAsString($B127)="L0D_324785","",IF(Q127="",CONCATENATE(";",EscStr(CONCATENATE("NavNode_",getCategoryLevelAsString($B127))),";",EscStr($J127),";"),CONCATENATE(";",EscStr(CONCATENATE("NavNode_",getCategoryLevelAsString($B127))),";",EscStr(Q127),";")))</f>
        <v>;"NavNode_L3D_525578";"GSM";</v>
      </c>
      <c r="AK127" s="39" t="str">
        <f>IF(getCategoryLevelAsString($B127)="L0D_324785","",IF(R127="",CONCATENATE(";",EscStr(CONCATENATE("NavNode_",getCategoryLevelAsString($B127))),";",EscStr($J127),";"),CONCATENATE(";",EscStr(CONCATENATE("NavNode_",getCategoryLevelAsString($B127))),";",EscStr(R127),";")))</f>
        <v>;"NavNode_L3D_525578";"GSM";</v>
      </c>
      <c r="AL127" s="39" t="str">
        <f>IF(getCategoryLevelAsString($B127)="L0D_324785","",IF(S127="",CONCATENATE(";",EscStr(CONCATENATE("NavNode_",getCategoryLevelAsString($B127))),";",EscStr($J127),";"),CONCATENATE(";",EscStr(CONCATENATE("NavNode_",getCategoryLevelAsString($B127))),";",EscStr(S127),";")))</f>
        <v>;"NavNode_L3D_525578";"GSM";</v>
      </c>
      <c r="AM127" s="39" t="str">
        <f>IF(getCategoryLevelAsString($B127)="L0D_324785","",IF(T127="",CONCATENATE(";",EscStr(CONCATENATE("NavNode_",getCategoryLevelAsString($B127))),";",EscStr($J127),";"),CONCATENATE(";",EscStr(CONCATENATE("NavNode_",getCategoryLevelAsString($B127))),";",EscStr(T127),";")))</f>
        <v>;"NavNode_L3D_525578";"GSM";</v>
      </c>
      <c r="AN127" s="39" t="str">
        <f>IF(getCategoryLevelAsString($B127)="L0D_324785","",IF(U127="",CONCATENATE(";",EscStr(CONCATENATE("NavNode_",getCategoryLevelAsString($B127))),";",EscStr($J127),";"),CONCATENATE(";",EscStr(CONCATENATE("NavNode_",getCategoryLevelAsString($B127))),";",EscStr(U127),";")))</f>
        <v>;"NavNode_L3D_525578";"GSM";</v>
      </c>
      <c r="AO127" s="39" t="str">
        <f>IF(getCategoryLevelAsString($B127)="L0D_324785","",IF(V127="",CONCATENATE(";",EscStr(CONCATENATE("NavNode_",getCategoryLevelAsString($B127))),";",EscStr($J127),";"),CONCATENATE(";",EscStr(CONCATENATE("NavNode_",getCategoryLevelAsString($B127))),";",EscStr(V127),";")))</f>
        <v>;"NavNode_L3D_525578";"GSM";</v>
      </c>
      <c r="AP127" s="39" t="str">
        <f>IF(getCategoryLevelAsString($B127)="L0D_324785","",IF(W127="",CONCATENATE(";",EscStr(CONCATENATE("NavNode_",getCategoryLevelAsString($B127))),";",EscStr($J127),";"),CONCATENATE(";",EscStr(CONCATENATE("NavNode_",getCategoryLevelAsString($B127))),";",EscStr(W127),";")))</f>
        <v>;"NavNode_L3D_525578";"GSM";</v>
      </c>
      <c r="AQ127" s="39" t="str">
        <f>IF(getCategoryLevelAsString($B127)="L0D_324785","",IF(X127="",CONCATENATE(";",EscStr(CONCATENATE("NavNode_",getCategoryLevelAsString($B127))),";",EscStr($J127),";"),CONCATENATE(";",EscStr(CONCATENATE("NavNode_",getCategoryLevelAsString($B127))),";",EscStr(X127),";")))</f>
        <v>;"NavNode_L3D_525578";"GSM";</v>
      </c>
      <c r="AR127" s="39" t="str">
        <f>IF(OR($A127&lt;&gt;"", $G127=""),"",CONCATENATE(";",EscStr(CONCATENATE("NavEntry_",getCategoryLevelAsString($B127))),";",EscStr(CONCATENATE($J127," Navigation Entry")),";",EscStr(CONCATENATE("cat-",getCategoryLevelAsString($B127))),";",EscStr(CONCATENATE("NavNode_",getCategoryLevelAsString($B127))),";"))</f>
        <v>;"NavEntry_L3D_525578";"GSM Navigation Entry";"cat-L3D_525578";"NavNode_L3D_525578";</v>
      </c>
    </row>
    <row r="128" spans="1:44" s="34" customFormat="1" ht="15" x14ac:dyDescent="0.25">
      <c r="A128" s="25"/>
      <c r="B128" s="5"/>
      <c r="C128" s="5"/>
      <c r="D128" s="5" t="s">
        <v>7729</v>
      </c>
      <c r="E128" s="5"/>
      <c r="F128" s="5"/>
      <c r="G128" s="5" t="s">
        <v>7730</v>
      </c>
      <c r="H128" s="5" t="s">
        <v>7730</v>
      </c>
      <c r="I128" s="5" t="s">
        <v>7730</v>
      </c>
      <c r="J128" s="5" t="s">
        <v>7730</v>
      </c>
      <c r="K128" s="5" t="s">
        <v>7730</v>
      </c>
      <c r="L128" s="5" t="s">
        <v>7730</v>
      </c>
      <c r="M128" s="5" t="s">
        <v>7730</v>
      </c>
      <c r="N128" s="5" t="s">
        <v>7730</v>
      </c>
      <c r="O128" s="5" t="s">
        <v>7730</v>
      </c>
      <c r="P128" s="5" t="s">
        <v>7730</v>
      </c>
      <c r="Q128" s="5" t="s">
        <v>7730</v>
      </c>
      <c r="R128" s="5" t="s">
        <v>7730</v>
      </c>
      <c r="S128" s="5" t="s">
        <v>7730</v>
      </c>
      <c r="T128" s="5" t="s">
        <v>7730</v>
      </c>
      <c r="U128" s="5" t="s">
        <v>7730</v>
      </c>
      <c r="V128" s="5" t="s">
        <v>7730</v>
      </c>
      <c r="W128" s="5" t="s">
        <v>7730</v>
      </c>
      <c r="X128" s="5" t="s">
        <v>7730</v>
      </c>
      <c r="Y128" s="39" t="str">
        <f>IF(OR($A128&lt;&gt;"", $G128=""),"",CONCATENATE(";",EscStr(CONCATENATE("NavNode_",getCategoryLevelAsString($B128))),";",EscStr($J128),";",IF($B128&lt;&gt;"","""MainCategoryNavNode""",EscStr(CONCATENATE("NavNode_",getSuperCategory($B128, getCategoryLevelAsNumber($B128))))),";"))</f>
        <v>;"NavNode_L3D_525579";"RFID";"NavNode_L3D_653222";</v>
      </c>
      <c r="Z128" s="39" t="str">
        <f>IF(getCategoryLevelAsString($B128)="L0D_324785","",IF(G128="",CONCATENATE(";",EscStr(CONCATENATE("NavNode_",getCategoryLevelAsString($B128))),";",EscStr($J128),";"),CONCATENATE(";",EscStr(CONCATENATE("NavNode_",getCategoryLevelAsString($B128))),";",EscStr(G128),";")))</f>
        <v>;"NavNode_L3D_525579";"RFID";</v>
      </c>
      <c r="AA128" s="39" t="str">
        <f>IF(getCategoryLevelAsString($B128)="L0D_324785","",IF(H128="",CONCATENATE(";",EscStr(CONCATENATE("NavNode_",getCategoryLevelAsString($B128))),";",EscStr($J128),";"),CONCATENATE(";",EscStr(CONCATENATE("NavNode_",getCategoryLevelAsString($B128))),";",EscStr(H128),";")))</f>
        <v>;"NavNode_L3D_525579";"RFID";</v>
      </c>
      <c r="AB128" s="39" t="str">
        <f>IF(getCategoryLevelAsString($B128)="L0D_324785","",IF(I128="",CONCATENATE(";",EscStr(CONCATENATE("NavNode_",getCategoryLevelAsString($B128))),";",EscStr($J128),";"),CONCATENATE(";",EscStr(CONCATENATE("NavNode_",getCategoryLevelAsString($B128))),";",EscStr(I128),";")))</f>
        <v>;"NavNode_L3D_525579";"RFID";</v>
      </c>
      <c r="AC128" s="39" t="str">
        <f>IF(getCategoryLevelAsString($B128)="L0D_324785","",IF(J128="",CONCATENATE(";",EscStr(CONCATENATE("NavNode_",getCategoryLevelAsString($B128))),";",EscStr($J128),";"),CONCATENATE(";",EscStr(CONCATENATE("NavNode_",getCategoryLevelAsString($B128))),";",EscStr(J128),";")))</f>
        <v>;"NavNode_L3D_525579";"RFID";</v>
      </c>
      <c r="AD128" s="39" t="str">
        <f>IF(getCategoryLevelAsString($B128)="L0D_324785","",IF(K128="",CONCATENATE(";",EscStr(CONCATENATE("NavNode_",getCategoryLevelAsString($B128))),";",EscStr($J128),";"),CONCATENATE(";",EscStr(CONCATENATE("NavNode_",getCategoryLevelAsString($B128))),";",EscStr(K128),";")))</f>
        <v>;"NavNode_L3D_525579";"RFID";</v>
      </c>
      <c r="AE128" s="39" t="str">
        <f>IF(getCategoryLevelAsString($B128)="L0D_324785","",IF(L128="",CONCATENATE(";",EscStr(CONCATENATE("NavNode_",getCategoryLevelAsString($B128))),";",EscStr($J128),";"),CONCATENATE(";",EscStr(CONCATENATE("NavNode_",getCategoryLevelAsString($B128))),";",EscStr(L128),";")))</f>
        <v>;"NavNode_L3D_525579";"RFID";</v>
      </c>
      <c r="AF128" s="39" t="str">
        <f>IF(getCategoryLevelAsString($B128)="L0D_324785","",IF(M128="",CONCATENATE(";",EscStr(CONCATENATE("NavNode_",getCategoryLevelAsString($B128))),";",EscStr($J128),";"),CONCATENATE(";",EscStr(CONCATENATE("NavNode_",getCategoryLevelAsString($B128))),";",EscStr(M128),";")))</f>
        <v>;"NavNode_L3D_525579";"RFID";</v>
      </c>
      <c r="AG128" s="39" t="str">
        <f>IF(getCategoryLevelAsString($B128)="L0D_324785","",IF(N128="",CONCATENATE(";",EscStr(CONCATENATE("NavNode_",getCategoryLevelAsString($B128))),";",EscStr($J128),";"),CONCATENATE(";",EscStr(CONCATENATE("NavNode_",getCategoryLevelAsString($B128))),";",EscStr(N128),";")))</f>
        <v>;"NavNode_L3D_525579";"RFID";</v>
      </c>
      <c r="AH128" s="39" t="str">
        <f>IF(getCategoryLevelAsString($B128)="L0D_324785","",IF(O128="",CONCATENATE(";",EscStr(CONCATENATE("NavNode_",getCategoryLevelAsString($B128))),";",EscStr($J128),";"),CONCATENATE(";",EscStr(CONCATENATE("NavNode_",getCategoryLevelAsString($B128))),";",EscStr(O128),";")))</f>
        <v>;"NavNode_L3D_525579";"RFID";</v>
      </c>
      <c r="AI128" s="39" t="str">
        <f>IF(getCategoryLevelAsString($B128)="L0D_324785","",IF(P128="",CONCATENATE(";",EscStr(CONCATENATE("NavNode_",getCategoryLevelAsString($B128))),";",EscStr($J128),";"),CONCATENATE(";",EscStr(CONCATENATE("NavNode_",getCategoryLevelAsString($B128))),";",EscStr(P128),";")))</f>
        <v>;"NavNode_L3D_525579";"RFID";</v>
      </c>
      <c r="AJ128" s="39" t="str">
        <f>IF(getCategoryLevelAsString($B128)="L0D_324785","",IF(Q128="",CONCATENATE(";",EscStr(CONCATENATE("NavNode_",getCategoryLevelAsString($B128))),";",EscStr($J128),";"),CONCATENATE(";",EscStr(CONCATENATE("NavNode_",getCategoryLevelAsString($B128))),";",EscStr(Q128),";")))</f>
        <v>;"NavNode_L3D_525579";"RFID";</v>
      </c>
      <c r="AK128" s="39" t="str">
        <f>IF(getCategoryLevelAsString($B128)="L0D_324785","",IF(R128="",CONCATENATE(";",EscStr(CONCATENATE("NavNode_",getCategoryLevelAsString($B128))),";",EscStr($J128),";"),CONCATENATE(";",EscStr(CONCATENATE("NavNode_",getCategoryLevelAsString($B128))),";",EscStr(R128),";")))</f>
        <v>;"NavNode_L3D_525579";"RFID";</v>
      </c>
      <c r="AL128" s="39" t="str">
        <f>IF(getCategoryLevelAsString($B128)="L0D_324785","",IF(S128="",CONCATENATE(";",EscStr(CONCATENATE("NavNode_",getCategoryLevelAsString($B128))),";",EscStr($J128),";"),CONCATENATE(";",EscStr(CONCATENATE("NavNode_",getCategoryLevelAsString($B128))),";",EscStr(S128),";")))</f>
        <v>;"NavNode_L3D_525579";"RFID";</v>
      </c>
      <c r="AM128" s="39" t="str">
        <f>IF(getCategoryLevelAsString($B128)="L0D_324785","",IF(T128="",CONCATENATE(";",EscStr(CONCATENATE("NavNode_",getCategoryLevelAsString($B128))),";",EscStr($J128),";"),CONCATENATE(";",EscStr(CONCATENATE("NavNode_",getCategoryLevelAsString($B128))),";",EscStr(T128),";")))</f>
        <v>;"NavNode_L3D_525579";"RFID";</v>
      </c>
      <c r="AN128" s="39" t="str">
        <f>IF(getCategoryLevelAsString($B128)="L0D_324785","",IF(U128="",CONCATENATE(";",EscStr(CONCATENATE("NavNode_",getCategoryLevelAsString($B128))),";",EscStr($J128),";"),CONCATENATE(";",EscStr(CONCATENATE("NavNode_",getCategoryLevelAsString($B128))),";",EscStr(U128),";")))</f>
        <v>;"NavNode_L3D_525579";"RFID";</v>
      </c>
      <c r="AO128" s="39" t="str">
        <f>IF(getCategoryLevelAsString($B128)="L0D_324785","",IF(V128="",CONCATENATE(";",EscStr(CONCATENATE("NavNode_",getCategoryLevelAsString($B128))),";",EscStr($J128),";"),CONCATENATE(";",EscStr(CONCATENATE("NavNode_",getCategoryLevelAsString($B128))),";",EscStr(V128),";")))</f>
        <v>;"NavNode_L3D_525579";"RFID";</v>
      </c>
      <c r="AP128" s="39" t="str">
        <f>IF(getCategoryLevelAsString($B128)="L0D_324785","",IF(W128="",CONCATENATE(";",EscStr(CONCATENATE("NavNode_",getCategoryLevelAsString($B128))),";",EscStr($J128),";"),CONCATENATE(";",EscStr(CONCATENATE("NavNode_",getCategoryLevelAsString($B128))),";",EscStr(W128),";")))</f>
        <v>;"NavNode_L3D_525579";"RFID";</v>
      </c>
      <c r="AQ128" s="39" t="str">
        <f>IF(getCategoryLevelAsString($B128)="L0D_324785","",IF(X128="",CONCATENATE(";",EscStr(CONCATENATE("NavNode_",getCategoryLevelAsString($B128))),";",EscStr($J128),";"),CONCATENATE(";",EscStr(CONCATENATE("NavNode_",getCategoryLevelAsString($B128))),";",EscStr(X128),";")))</f>
        <v>;"NavNode_L3D_525579";"RFID";</v>
      </c>
      <c r="AR128" s="39" t="str">
        <f>IF(OR($A128&lt;&gt;"", $G128=""),"",CONCATENATE(";",EscStr(CONCATENATE("NavEntry_",getCategoryLevelAsString($B128))),";",EscStr(CONCATENATE($J128," Navigation Entry")),";",EscStr(CONCATENATE("cat-",getCategoryLevelAsString($B128))),";",EscStr(CONCATENATE("NavNode_",getCategoryLevelAsString($B128))),";"))</f>
        <v>;"NavEntry_L3D_525579";"RFID Navigation Entry";"cat-L3D_525579";"NavNode_L3D_525579";</v>
      </c>
    </row>
    <row r="129" spans="1:44" s="34" customFormat="1" ht="15" x14ac:dyDescent="0.25">
      <c r="A129" s="25"/>
      <c r="B129" s="5"/>
      <c r="C129" s="5" t="s">
        <v>7754</v>
      </c>
      <c r="D129" s="5"/>
      <c r="E129" s="5"/>
      <c r="F129" s="5"/>
      <c r="G129" s="5" t="s">
        <v>7756</v>
      </c>
      <c r="H129" s="5" t="s">
        <v>13640</v>
      </c>
      <c r="I129" s="5" t="s">
        <v>13728</v>
      </c>
      <c r="J129" s="5" t="s">
        <v>7755</v>
      </c>
      <c r="K129" s="5" t="s">
        <v>13825</v>
      </c>
      <c r="L129" s="5" t="s">
        <v>15144</v>
      </c>
      <c r="M129" s="5" t="s">
        <v>13907</v>
      </c>
      <c r="N129" s="5" t="s">
        <v>13968</v>
      </c>
      <c r="O129" s="5" t="s">
        <v>14081</v>
      </c>
      <c r="P129" s="5" t="s">
        <v>14173</v>
      </c>
      <c r="Q129" s="5" t="s">
        <v>14258</v>
      </c>
      <c r="R129" s="5" t="s">
        <v>14338</v>
      </c>
      <c r="S129" s="5" t="s">
        <v>14435</v>
      </c>
      <c r="T129" s="5" t="s">
        <v>14525</v>
      </c>
      <c r="U129" s="5" t="s">
        <v>14612</v>
      </c>
      <c r="V129" s="5" t="s">
        <v>14700</v>
      </c>
      <c r="W129" s="5" t="s">
        <v>14784</v>
      </c>
      <c r="X129" s="5" t="s">
        <v>14869</v>
      </c>
      <c r="Y129" s="39" t="str">
        <f>IF(OR($A129&lt;&gt;"", $G129=""),"",CONCATENATE(";",EscStr(CONCATENATE("NavNode_",getCategoryLevelAsString($B129))),";",EscStr($J129),";",IF($B129&lt;&gt;"","""MainCategoryNavNode""",EscStr(CONCATENATE("NavNode_",getSuperCategory($B129, getCategoryLevelAsNumber($B129))))),";"))</f>
        <v>;"NavNode_L3D_525580";"Breadboards / Kits";"NavNode_Embedded / Wireless / Education";</v>
      </c>
      <c r="Z129" s="39" t="str">
        <f>IF(getCategoryLevelAsString($B129)="L0D_324785","",IF(G129="",CONCATENATE(";",EscStr(CONCATENATE("NavNode_",getCategoryLevelAsString($B129))),";",EscStr($J129),";"),CONCATENATE(";",EscStr(CONCATENATE("NavNode_",getCategoryLevelAsString($B129))),";",EscStr(G129),";")))</f>
        <v>;"NavNode_L3D_525580";"Experimentiersysteme / Bausätze";</v>
      </c>
      <c r="AA129" s="39" t="str">
        <f>IF(getCategoryLevelAsString($B129)="L0D_324785","",IF(H129="",CONCATENATE(";",EscStr(CONCATENATE("NavNode_",getCategoryLevelAsString($B129))),";",EscStr($J129),";"),CONCATENATE(";",EscStr(CONCATENATE("NavNode_",getCategoryLevelAsString($B129))),";",EscStr(H129),";")))</f>
        <v>;"NavNode_L3D_525580";"Platines de connexion / Kits";</v>
      </c>
      <c r="AB129" s="39" t="str">
        <f>IF(getCategoryLevelAsString($B129)="L0D_324785","",IF(I129="",CONCATENATE(";",EscStr(CONCATENATE("NavNode_",getCategoryLevelAsString($B129))),";",EscStr($J129),";"),CONCATENATE(";",EscStr(CONCATENATE("NavNode_",getCategoryLevelAsString($B129))),";",EscStr(I129),";")))</f>
        <v>;"NavNode_L3D_525580";"Sistemi sperimentali / Kit";</v>
      </c>
      <c r="AC129" s="39" t="str">
        <f>IF(getCategoryLevelAsString($B129)="L0D_324785","",IF(J129="",CONCATENATE(";",EscStr(CONCATENATE("NavNode_",getCategoryLevelAsString($B129))),";",EscStr($J129),";"),CONCATENATE(";",EscStr(CONCATENATE("NavNode_",getCategoryLevelAsString($B129))),";",EscStr(J129),";")))</f>
        <v>;"NavNode_L3D_525580";"Breadboards / Kits";</v>
      </c>
      <c r="AD129" s="39" t="str">
        <f>IF(getCategoryLevelAsString($B129)="L0D_324785","",IF(K129="",CONCATENATE(";",EscStr(CONCATENATE("NavNode_",getCategoryLevelAsString($B129))),";",EscStr($J129),";"),CONCATENATE(";",EscStr(CONCATENATE("NavNode_",getCategoryLevelAsString($B129))),";",EscStr(K129),";")))</f>
        <v>;"NavNode_L3D_525580";"Prototypebundkort/sæt";</v>
      </c>
      <c r="AE129" s="39" t="str">
        <f>IF(getCategoryLevelAsString($B129)="L0D_324785","",IF(L129="",CONCATENATE(";",EscStr(CONCATENATE("NavNode_",getCategoryLevelAsString($B129))),";",EscStr($J129),";"),CONCATENATE(";",EscStr(CONCATENATE("NavNode_",getCategoryLevelAsString($B129))),";",EscStr(L129),";")))</f>
        <v>;"NavNode_L3D_525580";"Elektroninės schemos / Schemų rinkiniai";</v>
      </c>
      <c r="AF129" s="39" t="str">
        <f>IF(getCategoryLevelAsString($B129)="L0D_324785","",IF(M129="",CONCATENATE(";",EscStr(CONCATENATE("NavNode_",getCategoryLevelAsString($B129))),";",EscStr($J129),";"),CONCATENATE(";",EscStr(CONCATENATE("NavNode_",getCategoryLevelAsString($B129))),";",EscStr(M129),";")))</f>
        <v>;"NavNode_L3D_525580";"Utvidelseskort/sett";</v>
      </c>
      <c r="AG129" s="39" t="str">
        <f>IF(getCategoryLevelAsString($B129)="L0D_324785","",IF(N129="",CONCATENATE(";",EscStr(CONCATENATE("NavNode_",getCategoryLevelAsString($B129))),";",EscStr($J129),";"),CONCATENATE(";",EscStr(CONCATENATE("NavNode_",getCategoryLevelAsString($B129))),";",EscStr(N129),";")))</f>
        <v>;"NavNode_L3D_525580";"Kopplingsdäck och byggsatser";</v>
      </c>
      <c r="AH129" s="39" t="str">
        <f>IF(getCategoryLevelAsString($B129)="L0D_324785","",IF(O129="",CONCATENATE(";",EscStr(CONCATENATE("NavNode_",getCategoryLevelAsString($B129))),";",EscStr($J129),";"),CONCATENATE(";",EscStr(CONCATENATE("NavNode_",getCategoryLevelAsString($B129))),";",EscStr(O129),";")))</f>
        <v>;"NavNode_L3D_525580";"Makettplaadid / Konstruktorid";</v>
      </c>
      <c r="AI129" s="39" t="str">
        <f>IF(getCategoryLevelAsString($B129)="L0D_324785","",IF(P129="",CONCATENATE(";",EscStr(CONCATENATE("NavNode_",getCategoryLevelAsString($B129))),";",EscStr($J129),";"),CONCATENATE(";",EscStr(CONCATENATE("NavNode_",getCategoryLevelAsString($B129))),";",EscStr(P129),";")))</f>
        <v>;"NavNode_L3D_525580";"Koekytkentälevyt";</v>
      </c>
      <c r="AJ129" s="39" t="str">
        <f>IF(getCategoryLevelAsString($B129)="L0D_324785","",IF(Q129="",CONCATENATE(";",EscStr(CONCATENATE("NavNode_",getCategoryLevelAsString($B129))),";",EscStr($J129),";"),CONCATENATE(";",EscStr(CONCATENATE("NavNode_",getCategoryLevelAsString($B129))),";",EscStr(Q129),";")))</f>
        <v>;"NavNode_L3D_525580";"Maketēšanas plates / Komplekti";</v>
      </c>
      <c r="AK129" s="39" t="str">
        <f>IF(getCategoryLevelAsString($B129)="L0D_324785","",IF(R129="",CONCATENATE(";",EscStr(CONCATENATE("NavNode_",getCategoryLevelAsString($B129))),";",EscStr($J129),";"),CONCATENATE(";",EscStr(CONCATENATE("NavNode_",getCategoryLevelAsString($B129))),";",EscStr(R129),";")))</f>
        <v>;"NavNode_L3D_525580";"Experimenteerborden / Kits";</v>
      </c>
      <c r="AL129" s="39" t="str">
        <f>IF(getCategoryLevelAsString($B129)="L0D_324785","",IF(S129="",CONCATENATE(";",EscStr(CONCATENATE("NavNode_",getCategoryLevelAsString($B129))),";",EscStr($J129),";"),CONCATENATE(";",EscStr(CONCATENATE("NavNode_",getCategoryLevelAsString($B129))),";",EscStr(S129),";")))</f>
        <v>;"NavNode_L3D_525580";"Zestawy prototypowe";</v>
      </c>
      <c r="AM129" s="39" t="str">
        <f>IF(getCategoryLevelAsString($B129)="L0D_324785","",IF(T129="",CONCATENATE(";",EscStr(CONCATENATE("NavNode_",getCategoryLevelAsString($B129))),";",EscStr($J129),";"),CONCATENATE(";",EscStr(CONCATENATE("NavNode_",getCategoryLevelAsString($B129))),";",EscStr(T129),";")))</f>
        <v>;"NavNode_L3D_525580";"Макеты  / Комплекты";</v>
      </c>
      <c r="AN129" s="39" t="str">
        <f>IF(getCategoryLevelAsString($B129)="L0D_324785","",IF(U129="",CONCATENATE(";",EscStr(CONCATENATE("NavNode_",getCategoryLevelAsString($B129))),";",EscStr($J129),";"),CONCATENATE(";",EscStr(CONCATENATE("NavNode_",getCategoryLevelAsString($B129))),";",EscStr(U129),";")))</f>
        <v>;"NavNode_L3D_525580";"Experimentální systémy / Sestavy";</v>
      </c>
      <c r="AO129" s="39" t="str">
        <f>IF(getCategoryLevelAsString($B129)="L0D_324785","",IF(V129="",CONCATENATE(";",EscStr(CONCATENATE("NavNode_",getCategoryLevelAsString($B129))),";",EscStr($J129),";"),CONCATENATE(";",EscStr(CONCATENATE("NavNode_",getCategoryLevelAsString($B129))),";",EscStr(V129),";")))</f>
        <v>;"NavNode_L3D_525580";"Sisteme experimentale / kituri";</v>
      </c>
      <c r="AP129" s="39" t="str">
        <f>IF(getCategoryLevelAsString($B129)="L0D_324785","",IF(W129="",CONCATENATE(";",EscStr(CONCATENATE("NavNode_",getCategoryLevelAsString($B129))),";",EscStr($J129),";"),CONCATENATE(";",EscStr(CONCATENATE("NavNode_",getCategoryLevelAsString($B129))),";",EscStr(W129),";")))</f>
        <v>;"NavNode_L3D_525580";"Kisérleti rendszer / Építőelemek";</v>
      </c>
      <c r="AQ129" s="39" t="str">
        <f>IF(getCategoryLevelAsString($B129)="L0D_324785","",IF(X129="",CONCATENATE(";",EscStr(CONCATENATE("NavNode_",getCategoryLevelAsString($B129))),";",EscStr($J129),";"),CONCATENATE(";",EscStr(CONCATENATE("NavNode_",getCategoryLevelAsString($B129))),";",EscStr(X129),";")))</f>
        <v>;"NavNode_L3D_525580";"Experimentálne systémy / Zostavy";</v>
      </c>
      <c r="AR129" s="39" t="str">
        <f>IF(OR($A129&lt;&gt;"", $G129=""),"",CONCATENATE(";",EscStr(CONCATENATE("NavEntry_",getCategoryLevelAsString($B129))),";",EscStr(CONCATENATE($J129," Navigation Entry")),";",EscStr(CONCATENATE("cat-",getCategoryLevelAsString($B129))),";",EscStr(CONCATENATE("NavNode_",getCategoryLevelAsString($B129))),";"))</f>
        <v>;"NavEntry_L3D_525580";"Breadboards / Kits Navigation Entry";"cat-L3D_525580";"NavNode_L3D_525580";</v>
      </c>
    </row>
    <row r="130" spans="1:44" s="34" customFormat="1" ht="15" x14ac:dyDescent="0.25">
      <c r="A130" s="25"/>
      <c r="B130" s="5"/>
      <c r="C130" s="5" t="s">
        <v>7784</v>
      </c>
      <c r="D130" s="5"/>
      <c r="E130" s="5"/>
      <c r="F130" s="5"/>
      <c r="G130" s="5" t="s">
        <v>7786</v>
      </c>
      <c r="H130" s="5" t="s">
        <v>13641</v>
      </c>
      <c r="I130" s="5" t="s">
        <v>13729</v>
      </c>
      <c r="J130" s="5" t="s">
        <v>7785</v>
      </c>
      <c r="K130" s="5" t="s">
        <v>13826</v>
      </c>
      <c r="L130" s="5" t="s">
        <v>15145</v>
      </c>
      <c r="M130" s="5" t="s">
        <v>13908</v>
      </c>
      <c r="N130" s="5" t="s">
        <v>13969</v>
      </c>
      <c r="O130" s="5" t="s">
        <v>14082</v>
      </c>
      <c r="P130" s="5" t="s">
        <v>14174</v>
      </c>
      <c r="Q130" s="5" t="s">
        <v>14259</v>
      </c>
      <c r="R130" s="5" t="s">
        <v>14339</v>
      </c>
      <c r="S130" s="5" t="s">
        <v>14436</v>
      </c>
      <c r="T130" s="5" t="s">
        <v>14526</v>
      </c>
      <c r="U130" s="5" t="s">
        <v>14613</v>
      </c>
      <c r="V130" s="5" t="s">
        <v>14701</v>
      </c>
      <c r="W130" s="5" t="s">
        <v>14785</v>
      </c>
      <c r="X130" s="5" t="s">
        <v>14613</v>
      </c>
      <c r="Y130" s="39" t="str">
        <f>IF(OR($A130&lt;&gt;"", $G130=""),"",CONCATENATE(";",EscStr(CONCATENATE("NavNode_",getCategoryLevelAsString($B130))),";",EscStr($J130),";",IF($B130&lt;&gt;"","""MainCategoryNavNode""",EscStr(CONCATENATE("NavNode_",getSuperCategory($B130, getCategoryLevelAsNumber($B130))))),";"))</f>
        <v>;"NavNode_L2D_379636";"Technical- / Data Books";"NavNode_Embedded / Wireless / Education";</v>
      </c>
      <c r="Z130" s="39" t="str">
        <f>IF(getCategoryLevelAsString($B130)="L0D_324785","",IF(G130="",CONCATENATE(";",EscStr(CONCATENATE("NavNode_",getCategoryLevelAsString($B130))),";",EscStr($J130),";"),CONCATENATE(";",EscStr(CONCATENATE("NavNode_",getCategoryLevelAsString($B130))),";",EscStr(G130),";")))</f>
        <v>;"NavNode_L2D_379636";"Fach- und Datenbücher";</v>
      </c>
      <c r="AA130" s="39" t="str">
        <f>IF(getCategoryLevelAsString($B130)="L0D_324785","",IF(H130="",CONCATENATE(";",EscStr(CONCATENATE("NavNode_",getCategoryLevelAsString($B130))),";",EscStr($J130),";"),CONCATENATE(";",EscStr(CONCATENATE("NavNode_",getCategoryLevelAsString($B130))),";",EscStr(H130),";")))</f>
        <v>;"NavNode_L2D_379636";"Librairie technique";</v>
      </c>
      <c r="AB130" s="39" t="str">
        <f>IF(getCategoryLevelAsString($B130)="L0D_324785","",IF(I130="",CONCATENATE(";",EscStr(CONCATENATE("NavNode_",getCategoryLevelAsString($B130))),";",EscStr($J130),";"),CONCATENATE(";",EscStr(CONCATENATE("NavNode_",getCategoryLevelAsString($B130))),";",EscStr(I130),";")))</f>
        <v>;"NavNode_L2D_379636";"Pubblicazioni tecniche / di dati";</v>
      </c>
      <c r="AC130" s="39" t="str">
        <f>IF(getCategoryLevelAsString($B130)="L0D_324785","",IF(J130="",CONCATENATE(";",EscStr(CONCATENATE("NavNode_",getCategoryLevelAsString($B130))),";",EscStr($J130),";"),CONCATENATE(";",EscStr(CONCATENATE("NavNode_",getCategoryLevelAsString($B130))),";",EscStr(J130),";")))</f>
        <v>;"NavNode_L2D_379636";"Technical- / Data Books";</v>
      </c>
      <c r="AD130" s="39" t="str">
        <f>IF(getCategoryLevelAsString($B130)="L0D_324785","",IF(K130="",CONCATENATE(";",EscStr(CONCATENATE("NavNode_",getCategoryLevelAsString($B130))),";",EscStr($J130),";"),CONCATENATE(";",EscStr(CONCATENATE("NavNode_",getCategoryLevelAsString($B130))),";",EscStr(K130),";")))</f>
        <v>;"NavNode_L2D_379636";"Tekniske bøger/databøger";</v>
      </c>
      <c r="AE130" s="39" t="str">
        <f>IF(getCategoryLevelAsString($B130)="L0D_324785","",IF(L130="",CONCATENATE(";",EscStr(CONCATENATE("NavNode_",getCategoryLevelAsString($B130))),";",EscStr($J130),";"),CONCATENATE(";",EscStr(CONCATENATE("NavNode_",getCategoryLevelAsString($B130))),";",EscStr(L130),";")))</f>
        <v>;"NavNode_L2D_379636";"Techninės knygos";</v>
      </c>
      <c r="AF130" s="39" t="str">
        <f>IF(getCategoryLevelAsString($B130)="L0D_324785","",IF(M130="",CONCATENATE(";",EscStr(CONCATENATE("NavNode_",getCategoryLevelAsString($B130))),";",EscStr($J130),";"),CONCATENATE(";",EscStr(CONCATENATE("NavNode_",getCategoryLevelAsString($B130))),";",EscStr(M130),";")))</f>
        <v>;"NavNode_L2D_379636";"Tekniske bøker og databøker";</v>
      </c>
      <c r="AG130" s="39" t="str">
        <f>IF(getCategoryLevelAsString($B130)="L0D_324785","",IF(N130="",CONCATENATE(";",EscStr(CONCATENATE("NavNode_",getCategoryLevelAsString($B130))),";",EscStr($J130),";"),CONCATENATE(";",EscStr(CONCATENATE("NavNode_",getCategoryLevelAsString($B130))),";",EscStr(N130),";")))</f>
        <v>;"NavNode_L2D_379636";"Teknik-/Databöcker";</v>
      </c>
      <c r="AH130" s="39" t="str">
        <f>IF(getCategoryLevelAsString($B130)="L0D_324785","",IF(O130="",CONCATENATE(";",EscStr(CONCATENATE("NavNode_",getCategoryLevelAsString($B130))),";",EscStr($J130),";"),CONCATENATE(";",EscStr(CONCATENATE("NavNode_",getCategoryLevelAsString($B130))),";",EscStr(O130),";")))</f>
        <v>;"NavNode_L2D_379636";"Tehniline kirjandus";</v>
      </c>
      <c r="AI130" s="39" t="str">
        <f>IF(getCategoryLevelAsString($B130)="L0D_324785","",IF(P130="",CONCATENATE(";",EscStr(CONCATENATE("NavNode_",getCategoryLevelAsString($B130))),";",EscStr($J130),";"),CONCATENATE(";",EscStr(CONCATENATE("NavNode_",getCategoryLevelAsString($B130))),";",EscStr(P130),";")))</f>
        <v>;"NavNode_L2D_379636";"Tekniset kirjat";</v>
      </c>
      <c r="AJ130" s="39" t="str">
        <f>IF(getCategoryLevelAsString($B130)="L0D_324785","",IF(Q130="",CONCATENATE(";",EscStr(CONCATENATE("NavNode_",getCategoryLevelAsString($B130))),";",EscStr($J130),";"),CONCATENATE(";",EscStr(CONCATENATE("NavNode_",getCategoryLevelAsString($B130))),";",EscStr(Q130),";")))</f>
        <v>;"NavNode_L2D_379636";"Tehniskās / datu grāmatas";</v>
      </c>
      <c r="AK130" s="39" t="str">
        <f>IF(getCategoryLevelAsString($B130)="L0D_324785","",IF(R130="",CONCATENATE(";",EscStr(CONCATENATE("NavNode_",getCategoryLevelAsString($B130))),";",EscStr($J130),";"),CONCATENATE(";",EscStr(CONCATENATE("NavNode_",getCategoryLevelAsString($B130))),";",EscStr(R130),";")))</f>
        <v>;"NavNode_L2D_379636";"Technische en data boeken";</v>
      </c>
      <c r="AL130" s="39" t="str">
        <f>IF(getCategoryLevelAsString($B130)="L0D_324785","",IF(S130="",CONCATENATE(";",EscStr(CONCATENATE("NavNode_",getCategoryLevelAsString($B130))),";",EscStr($J130),";"),CONCATENATE(";",EscStr(CONCATENATE("NavNode_",getCategoryLevelAsString($B130))),";",EscStr(S130),";")))</f>
        <v>;"NavNode_L2D_379636";"Literatura techniczna i katalogi";</v>
      </c>
      <c r="AM130" s="39" t="str">
        <f>IF(getCategoryLevelAsString($B130)="L0D_324785","",IF(T130="",CONCATENATE(";",EscStr(CONCATENATE("NavNode_",getCategoryLevelAsString($B130))),";",EscStr($J130),";"),CONCATENATE(";",EscStr(CONCATENATE("NavNode_",getCategoryLevelAsString($B130))),";",EscStr(T130),";")))</f>
        <v>;"NavNode_L2D_379636";"Техническая литература";</v>
      </c>
      <c r="AN130" s="39" t="str">
        <f>IF(getCategoryLevelAsString($B130)="L0D_324785","",IF(U130="",CONCATENATE(";",EscStr(CONCATENATE("NavNode_",getCategoryLevelAsString($B130))),";",EscStr($J130),";"),CONCATENATE(";",EscStr(CONCATENATE("NavNode_",getCategoryLevelAsString($B130))),";",EscStr(U130),";")))</f>
        <v>;"NavNode_L2D_379636";"Technické a záznamové knihy";</v>
      </c>
      <c r="AO130" s="39" t="str">
        <f>IF(getCategoryLevelAsString($B130)="L0D_324785","",IF(V130="",CONCATENATE(";",EscStr(CONCATENATE("NavNode_",getCategoryLevelAsString($B130))),";",EscStr($J130),";"),CONCATENATE(";",EscStr(CONCATENATE("NavNode_",getCategoryLevelAsString($B130))),";",EscStr(V130),";")))</f>
        <v>;"NavNode_L2D_379636";"Cărţi de specialitate tehnice şi de date";</v>
      </c>
      <c r="AP130" s="39" t="str">
        <f>IF(getCategoryLevelAsString($B130)="L0D_324785","",IF(W130="",CONCATENATE(";",EscStr(CONCATENATE("NavNode_",getCategoryLevelAsString($B130))),";",EscStr($J130),";"),CONCATENATE(";",EscStr(CONCATENATE("NavNode_",getCategoryLevelAsString($B130))),";",EscStr(W130),";")))</f>
        <v>;"NavNode_L2D_379636";"Szakkönyvek";</v>
      </c>
      <c r="AQ130" s="39" t="str">
        <f>IF(getCategoryLevelAsString($B130)="L0D_324785","",IF(X130="",CONCATENATE(";",EscStr(CONCATENATE("NavNode_",getCategoryLevelAsString($B130))),";",EscStr($J130),";"),CONCATENATE(";",EscStr(CONCATENATE("NavNode_",getCategoryLevelAsString($B130))),";",EscStr(X130),";")))</f>
        <v>;"NavNode_L2D_379636";"Technické a záznamové knihy";</v>
      </c>
      <c r="AR130" s="39" t="str">
        <f>IF(OR($A130&lt;&gt;"", $G130=""),"",CONCATENATE(";",EscStr(CONCATENATE("NavEntry_",getCategoryLevelAsString($B130))),";",EscStr(CONCATENATE($J130," Navigation Entry")),";",EscStr(CONCATENATE("cat-",getCategoryLevelAsString($B130))),";",EscStr(CONCATENATE("NavNode_",getCategoryLevelAsString($B130))),";"))</f>
        <v>;"NavEntry_L2D_379636";"Technical- / Data Books Navigation Entry";"cat-L2D_379636";"NavNode_L2D_379636";</v>
      </c>
    </row>
    <row r="131" spans="1:44" s="34" customFormat="1" ht="15" x14ac:dyDescent="0.25">
      <c r="A131" s="25"/>
      <c r="B131" s="5"/>
      <c r="C131" s="5"/>
      <c r="D131" s="5" t="s">
        <v>7788</v>
      </c>
      <c r="E131" s="5"/>
      <c r="F131" s="5"/>
      <c r="G131" s="5" t="s">
        <v>7790</v>
      </c>
      <c r="H131" s="5" t="s">
        <v>13642</v>
      </c>
      <c r="I131" s="5" t="s">
        <v>13730</v>
      </c>
      <c r="J131" s="5" t="s">
        <v>7789</v>
      </c>
      <c r="K131" s="5" t="s">
        <v>13827</v>
      </c>
      <c r="L131" s="5" t="s">
        <v>15146</v>
      </c>
      <c r="M131" s="5" t="s">
        <v>13909</v>
      </c>
      <c r="N131" s="5" t="s">
        <v>13970</v>
      </c>
      <c r="O131" s="5" t="s">
        <v>14083</v>
      </c>
      <c r="P131" s="5" t="s">
        <v>14175</v>
      </c>
      <c r="Q131" s="5" t="s">
        <v>14260</v>
      </c>
      <c r="R131" s="5" t="s">
        <v>14340</v>
      </c>
      <c r="S131" s="5" t="s">
        <v>14437</v>
      </c>
      <c r="T131" s="5" t="s">
        <v>14527</v>
      </c>
      <c r="U131" s="5" t="s">
        <v>14614</v>
      </c>
      <c r="V131" s="5" t="s">
        <v>14702</v>
      </c>
      <c r="W131" s="5" t="s">
        <v>14786</v>
      </c>
      <c r="X131" s="5" t="s">
        <v>14870</v>
      </c>
      <c r="Y131" s="39" t="str">
        <f>IF(OR($A131&lt;&gt;"", $G131=""),"",CONCATENATE(";",EscStr(CONCATENATE("NavNode_",getCategoryLevelAsString($B131))),";",EscStr($J131),";",IF($B131&lt;&gt;"","""MainCategoryNavNode""",EscStr(CONCATENATE("NavNode_",getSuperCategory($B131, getCategoryLevelAsNumber($B131))))),";"))</f>
        <v>;"NavNode_L3D_525529";"Technical Books in German";"NavNode_L2D_379636";</v>
      </c>
      <c r="Z131" s="39" t="str">
        <f>IF(getCategoryLevelAsString($B131)="L0D_324785","",IF(G131="",CONCATENATE(";",EscStr(CONCATENATE("NavNode_",getCategoryLevelAsString($B131))),";",EscStr($J131),";"),CONCATENATE(";",EscStr(CONCATENATE("NavNode_",getCategoryLevelAsString($B131))),";",EscStr(G131),";")))</f>
        <v>;"NavNode_L3D_525529";"Fachbücher auf Deutsch";</v>
      </c>
      <c r="AA131" s="39" t="str">
        <f>IF(getCategoryLevelAsString($B131)="L0D_324785","",IF(H131="",CONCATENATE(";",EscStr(CONCATENATE("NavNode_",getCategoryLevelAsString($B131))),";",EscStr($J131),";"),CONCATENATE(";",EscStr(CONCATENATE("NavNode_",getCategoryLevelAsString($B131))),";",EscStr(H131),";")))</f>
        <v>;"NavNode_L3D_525529";"Librairie technique en allemand";</v>
      </c>
      <c r="AB131" s="39" t="str">
        <f>IF(getCategoryLevelAsString($B131)="L0D_324785","",IF(I131="",CONCATENATE(";",EscStr(CONCATENATE("NavNode_",getCategoryLevelAsString($B131))),";",EscStr($J131),";"),CONCATENATE(";",EscStr(CONCATENATE("NavNode_",getCategoryLevelAsString($B131))),";",EscStr(I131),";")))</f>
        <v>;"NavNode_L3D_525529";"Pubblicazioni tecniche in tedesco";</v>
      </c>
      <c r="AC131" s="39" t="str">
        <f>IF(getCategoryLevelAsString($B131)="L0D_324785","",IF(J131="",CONCATENATE(";",EscStr(CONCATENATE("NavNode_",getCategoryLevelAsString($B131))),";",EscStr($J131),";"),CONCATENATE(";",EscStr(CONCATENATE("NavNode_",getCategoryLevelAsString($B131))),";",EscStr(J131),";")))</f>
        <v>;"NavNode_L3D_525529";"Technical Books in German";</v>
      </c>
      <c r="AD131" s="39" t="str">
        <f>IF(getCategoryLevelAsString($B131)="L0D_324785","",IF(K131="",CONCATENATE(";",EscStr(CONCATENATE("NavNode_",getCategoryLevelAsString($B131))),";",EscStr($J131),";"),CONCATENATE(";",EscStr(CONCATENATE("NavNode_",getCategoryLevelAsString($B131))),";",EscStr(K131),";")))</f>
        <v>;"NavNode_L3D_525529";"Tekniske bøger på tysk";</v>
      </c>
      <c r="AE131" s="39" t="str">
        <f>IF(getCategoryLevelAsString($B131)="L0D_324785","",IF(L131="",CONCATENATE(";",EscStr(CONCATENATE("NavNode_",getCategoryLevelAsString($B131))),";",EscStr($J131),";"),CONCATENATE(";",EscStr(CONCATENATE("NavNode_",getCategoryLevelAsString($B131))),";",EscStr(L131),";")))</f>
        <v>;"NavNode_L3D_525529";"Techninės knygos vokiečių k.";</v>
      </c>
      <c r="AF131" s="39" t="str">
        <f>IF(getCategoryLevelAsString($B131)="L0D_324785","",IF(M131="",CONCATENATE(";",EscStr(CONCATENATE("NavNode_",getCategoryLevelAsString($B131))),";",EscStr($J131),";"),CONCATENATE(";",EscStr(CONCATENATE("NavNode_",getCategoryLevelAsString($B131))),";",EscStr(M131),";")))</f>
        <v>;"NavNode_L3D_525529";"Tekniske bøker på tysk";</v>
      </c>
      <c r="AG131" s="39" t="str">
        <f>IF(getCategoryLevelAsString($B131)="L0D_324785","",IF(N131="",CONCATENATE(";",EscStr(CONCATENATE("NavNode_",getCategoryLevelAsString($B131))),";",EscStr($J131),";"),CONCATENATE(";",EscStr(CONCATENATE("NavNode_",getCategoryLevelAsString($B131))),";",EscStr(N131),";")))</f>
        <v>;"NavNode_L3D_525529";"Teknikböcker på tyska";</v>
      </c>
      <c r="AH131" s="39" t="str">
        <f>IF(getCategoryLevelAsString($B131)="L0D_324785","",IF(O131="",CONCATENATE(";",EscStr(CONCATENATE("NavNode_",getCategoryLevelAsString($B131))),";",EscStr($J131),";"),CONCATENATE(";",EscStr(CONCATENATE("NavNode_",getCategoryLevelAsString($B131))),";",EscStr(O131),";")))</f>
        <v>;"NavNode_L3D_525529";"Saksakeelne tehniline kirjandus";</v>
      </c>
      <c r="AI131" s="39" t="str">
        <f>IF(getCategoryLevelAsString($B131)="L0D_324785","",IF(P131="",CONCATENATE(";",EscStr(CONCATENATE("NavNode_",getCategoryLevelAsString($B131))),";",EscStr($J131),";"),CONCATENATE(";",EscStr(CONCATENATE("NavNode_",getCategoryLevelAsString($B131))),";",EscStr(P131),";")))</f>
        <v>;"NavNode_L3D_525529";"Tekniset kirjat Saksaksi";</v>
      </c>
      <c r="AJ131" s="39" t="str">
        <f>IF(getCategoryLevelAsString($B131)="L0D_324785","",IF(Q131="",CONCATENATE(";",EscStr(CONCATENATE("NavNode_",getCategoryLevelAsString($B131))),";",EscStr($J131),";"),CONCATENATE(";",EscStr(CONCATENATE("NavNode_",getCategoryLevelAsString($B131))),";",EscStr(Q131),";")))</f>
        <v>;"NavNode_L3D_525529";"Tehniskās grāmatas vācu valodā";</v>
      </c>
      <c r="AK131" s="39" t="str">
        <f>IF(getCategoryLevelAsString($B131)="L0D_324785","",IF(R131="",CONCATENATE(";",EscStr(CONCATENATE("NavNode_",getCategoryLevelAsString($B131))),";",EscStr($J131),";"),CONCATENATE(";",EscStr(CONCATENATE("NavNode_",getCategoryLevelAsString($B131))),";",EscStr(R131),";")))</f>
        <v>;"NavNode_L3D_525529";"Technische en data boeken, Duits";</v>
      </c>
      <c r="AL131" s="39" t="str">
        <f>IF(getCategoryLevelAsString($B131)="L0D_324785","",IF(S131="",CONCATENATE(";",EscStr(CONCATENATE("NavNode_",getCategoryLevelAsString($B131))),";",EscStr($J131),";"),CONCATENATE(";",EscStr(CONCATENATE("NavNode_",getCategoryLevelAsString($B131))),";",EscStr(S131),";")))</f>
        <v>;"NavNode_L3D_525529";"Literatura techniczna w języku niemieckim";</v>
      </c>
      <c r="AM131" s="39" t="str">
        <f>IF(getCategoryLevelAsString($B131)="L0D_324785","",IF(T131="",CONCATENATE(";",EscStr(CONCATENATE("NavNode_",getCategoryLevelAsString($B131))),";",EscStr($J131),";"),CONCATENATE(";",EscStr(CONCATENATE("NavNode_",getCategoryLevelAsString($B131))),";",EscStr(T131),";")))</f>
        <v>;"NavNode_L3D_525529";"Технические книги на немецком языке";</v>
      </c>
      <c r="AN131" s="39" t="str">
        <f>IF(getCategoryLevelAsString($B131)="L0D_324785","",IF(U131="",CONCATENATE(";",EscStr(CONCATENATE("NavNode_",getCategoryLevelAsString($B131))),";",EscStr($J131),";"),CONCATENATE(";",EscStr(CONCATENATE("NavNode_",getCategoryLevelAsString($B131))),";",EscStr(U131),";")))</f>
        <v>;"NavNode_L3D_525529";"Odborné knihy v německém jazyce";</v>
      </c>
      <c r="AO131" s="39" t="str">
        <f>IF(getCategoryLevelAsString($B131)="L0D_324785","",IF(V131="",CONCATENATE(";",EscStr(CONCATENATE("NavNode_",getCategoryLevelAsString($B131))),";",EscStr($J131),";"),CONCATENATE(";",EscStr(CONCATENATE("NavNode_",getCategoryLevelAsString($B131))),";",EscStr(V131),";")))</f>
        <v>;"NavNode_L3D_525529";"Cărţi de specialitate în limba germană";</v>
      </c>
      <c r="AP131" s="39" t="str">
        <f>IF(getCategoryLevelAsString($B131)="L0D_324785","",IF(W131="",CONCATENATE(";",EscStr(CONCATENATE("NavNode_",getCategoryLevelAsString($B131))),";",EscStr($J131),";"),CONCATENATE(";",EscStr(CONCATENATE("NavNode_",getCategoryLevelAsString($B131))),";",EscStr(W131),";")))</f>
        <v>;"NavNode_L3D_525529";"Szakkönyvek németül";</v>
      </c>
      <c r="AQ131" s="39" t="str">
        <f>IF(getCategoryLevelAsString($B131)="L0D_324785","",IF(X131="",CONCATENATE(";",EscStr(CONCATENATE("NavNode_",getCategoryLevelAsString($B131))),";",EscStr($J131),";"),CONCATENATE(";",EscStr(CONCATENATE("NavNode_",getCategoryLevelAsString($B131))),";",EscStr(X131),";")))</f>
        <v>;"NavNode_L3D_525529";"Odborné knihy v nemeckom jazyku";</v>
      </c>
      <c r="AR131" s="39" t="str">
        <f>IF(OR($A131&lt;&gt;"", $G131=""),"",CONCATENATE(";",EscStr(CONCATENATE("NavEntry_",getCategoryLevelAsString($B131))),";",EscStr(CONCATENATE($J131," Navigation Entry")),";",EscStr(CONCATENATE("cat-",getCategoryLevelAsString($B131))),";",EscStr(CONCATENATE("NavNode_",getCategoryLevelAsString($B131))),";"))</f>
        <v>;"NavEntry_L3D_525529";"Technical Books in German Navigation Entry";"cat-L3D_525529";"NavNode_L3D_525529";</v>
      </c>
    </row>
    <row r="132" spans="1:44" s="34" customFormat="1" ht="15" x14ac:dyDescent="0.25">
      <c r="A132" s="25"/>
      <c r="B132" s="5"/>
      <c r="C132" s="5"/>
      <c r="D132" s="5" t="s">
        <v>7812</v>
      </c>
      <c r="E132" s="5"/>
      <c r="F132" s="5"/>
      <c r="G132" s="5" t="s">
        <v>7814</v>
      </c>
      <c r="H132" s="5" t="s">
        <v>13643</v>
      </c>
      <c r="I132" s="5" t="s">
        <v>13731</v>
      </c>
      <c r="J132" s="41" t="s">
        <v>13562</v>
      </c>
      <c r="K132" s="5" t="s">
        <v>13828</v>
      </c>
      <c r="L132" s="5" t="s">
        <v>15147</v>
      </c>
      <c r="M132" s="5" t="s">
        <v>13910</v>
      </c>
      <c r="N132" s="5" t="s">
        <v>13971</v>
      </c>
      <c r="O132" s="5" t="s">
        <v>14084</v>
      </c>
      <c r="P132" s="5" t="s">
        <v>14176</v>
      </c>
      <c r="Q132" s="5" t="s">
        <v>14261</v>
      </c>
      <c r="R132" s="5" t="s">
        <v>14341</v>
      </c>
      <c r="S132" s="5" t="s">
        <v>14438</v>
      </c>
      <c r="T132" s="5" t="s">
        <v>14528</v>
      </c>
      <c r="U132" s="5" t="s">
        <v>14615</v>
      </c>
      <c r="V132" s="5" t="s">
        <v>14703</v>
      </c>
      <c r="W132" s="5" t="s">
        <v>14787</v>
      </c>
      <c r="X132" s="5" t="s">
        <v>14871</v>
      </c>
      <c r="Y132" s="39" t="str">
        <f>IF(OR($A132&lt;&gt;"", $G132=""),"",CONCATENATE(";",EscStr(CONCATENATE("NavNode_",getCategoryLevelAsString($B132))),";",EscStr($J132),";",IF($B132&lt;&gt;"","""MainCategoryNavNode""",EscStr(CONCATENATE("NavNode_",getSuperCategory($B132, getCategoryLevelAsNumber($B132))))),";"))</f>
        <v>;"NavNode_L3D_525530";"Technical Books in Italian";"NavNode_L2D_379636";</v>
      </c>
      <c r="Z132" s="39" t="str">
        <f>IF(getCategoryLevelAsString($B132)="L0D_324785","",IF(G132="",CONCATENATE(";",EscStr(CONCATENATE("NavNode_",getCategoryLevelAsString($B132))),";",EscStr($J132),";"),CONCATENATE(";",EscStr(CONCATENATE("NavNode_",getCategoryLevelAsString($B132))),";",EscStr(G132),";")))</f>
        <v>;"NavNode_L3D_525530";"Fachbücher auf Italienisch";</v>
      </c>
      <c r="AA132" s="39" t="str">
        <f>IF(getCategoryLevelAsString($B132)="L0D_324785","",IF(H132="",CONCATENATE(";",EscStr(CONCATENATE("NavNode_",getCategoryLevelAsString($B132))),";",EscStr($J132),";"),CONCATENATE(";",EscStr(CONCATENATE("NavNode_",getCategoryLevelAsString($B132))),";",EscStr(H132),";")))</f>
        <v>;"NavNode_L3D_525530";"Librairie technique en italien";</v>
      </c>
      <c r="AB132" s="39" t="str">
        <f>IF(getCategoryLevelAsString($B132)="L0D_324785","",IF(I132="",CONCATENATE(";",EscStr(CONCATENATE("NavNode_",getCategoryLevelAsString($B132))),";",EscStr($J132),";"),CONCATENATE(";",EscStr(CONCATENATE("NavNode_",getCategoryLevelAsString($B132))),";",EscStr(I132),";")))</f>
        <v>;"NavNode_L3D_525530";"Pubblicazioni tecniche in italiano";</v>
      </c>
      <c r="AC132" s="39" t="str">
        <f>IF(getCategoryLevelAsString($B132)="L0D_324785","",IF(J132="",CONCATENATE(";",EscStr(CONCATENATE("NavNode_",getCategoryLevelAsString($B132))),";",EscStr($J132),";"),CONCATENATE(";",EscStr(CONCATENATE("NavNode_",getCategoryLevelAsString($B132))),";",EscStr(J132),";")))</f>
        <v>;"NavNode_L3D_525530";"Technical Books in Italian";</v>
      </c>
      <c r="AD132" s="39" t="str">
        <f>IF(getCategoryLevelAsString($B132)="L0D_324785","",IF(K132="",CONCATENATE(";",EscStr(CONCATENATE("NavNode_",getCategoryLevelAsString($B132))),";",EscStr($J132),";"),CONCATENATE(";",EscStr(CONCATENATE("NavNode_",getCategoryLevelAsString($B132))),";",EscStr(K132),";")))</f>
        <v>;"NavNode_L3D_525530";"Tekniske bøger på italiensk";</v>
      </c>
      <c r="AE132" s="39" t="str">
        <f>IF(getCategoryLevelAsString($B132)="L0D_324785","",IF(L132="",CONCATENATE(";",EscStr(CONCATENATE("NavNode_",getCategoryLevelAsString($B132))),";",EscStr($J132),";"),CONCATENATE(";",EscStr(CONCATENATE("NavNode_",getCategoryLevelAsString($B132))),";",EscStr(L132),";")))</f>
        <v>;"NavNode_L3D_525530";"Techninės knygos italų k.";</v>
      </c>
      <c r="AF132" s="39" t="str">
        <f>IF(getCategoryLevelAsString($B132)="L0D_324785","",IF(M132="",CONCATENATE(";",EscStr(CONCATENATE("NavNode_",getCategoryLevelAsString($B132))),";",EscStr($J132),";"),CONCATENATE(";",EscStr(CONCATENATE("NavNode_",getCategoryLevelAsString($B132))),";",EscStr(M132),";")))</f>
        <v>;"NavNode_L3D_525530";"Tekniske bøker på italiensk";</v>
      </c>
      <c r="AG132" s="39" t="str">
        <f>IF(getCategoryLevelAsString($B132)="L0D_324785","",IF(N132="",CONCATENATE(";",EscStr(CONCATENATE("NavNode_",getCategoryLevelAsString($B132))),";",EscStr($J132),";"),CONCATENATE(";",EscStr(CONCATENATE("NavNode_",getCategoryLevelAsString($B132))),";",EscStr(N132),";")))</f>
        <v>;"NavNode_L3D_525530";"Teknikböcker på italienska";</v>
      </c>
      <c r="AH132" s="39" t="str">
        <f>IF(getCategoryLevelAsString($B132)="L0D_324785","",IF(O132="",CONCATENATE(";",EscStr(CONCATENATE("NavNode_",getCategoryLevelAsString($B132))),";",EscStr($J132),";"),CONCATENATE(";",EscStr(CONCATENATE("NavNode_",getCategoryLevelAsString($B132))),";",EscStr(O132),";")))</f>
        <v>;"NavNode_L3D_525530";"Itaaliakeelne tehniline kirjandus";</v>
      </c>
      <c r="AI132" s="39" t="str">
        <f>IF(getCategoryLevelAsString($B132)="L0D_324785","",IF(P132="",CONCATENATE(";",EscStr(CONCATENATE("NavNode_",getCategoryLevelAsString($B132))),";",EscStr($J132),";"),CONCATENATE(";",EscStr(CONCATENATE("NavNode_",getCategoryLevelAsString($B132))),";",EscStr(P132),";")))</f>
        <v>;"NavNode_L3D_525530";"Tekniset kirjat Italiaksi";</v>
      </c>
      <c r="AJ132" s="39" t="str">
        <f>IF(getCategoryLevelAsString($B132)="L0D_324785","",IF(Q132="",CONCATENATE(";",EscStr(CONCATENATE("NavNode_",getCategoryLevelAsString($B132))),";",EscStr($J132),";"),CONCATENATE(";",EscStr(CONCATENATE("NavNode_",getCategoryLevelAsString($B132))),";",EscStr(Q132),";")))</f>
        <v>;"NavNode_L3D_525530";"Tehniskās grāmatas itāļu valodā";</v>
      </c>
      <c r="AK132" s="39" t="str">
        <f>IF(getCategoryLevelAsString($B132)="L0D_324785","",IF(R132="",CONCATENATE(";",EscStr(CONCATENATE("NavNode_",getCategoryLevelAsString($B132))),";",EscStr($J132),";"),CONCATENATE(";",EscStr(CONCATENATE("NavNode_",getCategoryLevelAsString($B132))),";",EscStr(R132),";")))</f>
        <v>;"NavNode_L3D_525530";"Technische en data boeken, Italiaans";</v>
      </c>
      <c r="AL132" s="39" t="str">
        <f>IF(getCategoryLevelAsString($B132)="L0D_324785","",IF(S132="",CONCATENATE(";",EscStr(CONCATENATE("NavNode_",getCategoryLevelAsString($B132))),";",EscStr($J132),";"),CONCATENATE(";",EscStr(CONCATENATE("NavNode_",getCategoryLevelAsString($B132))),";",EscStr(S132),";")))</f>
        <v>;"NavNode_L3D_525530";"Literatura techniczna w języku włoskim";</v>
      </c>
      <c r="AM132" s="39" t="str">
        <f>IF(getCategoryLevelAsString($B132)="L0D_324785","",IF(T132="",CONCATENATE(";",EscStr(CONCATENATE("NavNode_",getCategoryLevelAsString($B132))),";",EscStr($J132),";"),CONCATENATE(";",EscStr(CONCATENATE("NavNode_",getCategoryLevelAsString($B132))),";",EscStr(T132),";")))</f>
        <v>;"NavNode_L3D_525530";"Технические книги на итальянской языке";</v>
      </c>
      <c r="AN132" s="39" t="str">
        <f>IF(getCategoryLevelAsString($B132)="L0D_324785","",IF(U132="",CONCATENATE(";",EscStr(CONCATENATE("NavNode_",getCategoryLevelAsString($B132))),";",EscStr($J132),";"),CONCATENATE(";",EscStr(CONCATENATE("NavNode_",getCategoryLevelAsString($B132))),";",EscStr(U132),";")))</f>
        <v>;"NavNode_L3D_525530";"Odborné knihy v italském jazyce";</v>
      </c>
      <c r="AO132" s="39" t="str">
        <f>IF(getCategoryLevelAsString($B132)="L0D_324785","",IF(V132="",CONCATENATE(";",EscStr(CONCATENATE("NavNode_",getCategoryLevelAsString($B132))),";",EscStr($J132),";"),CONCATENATE(";",EscStr(CONCATENATE("NavNode_",getCategoryLevelAsString($B132))),";",EscStr(V132),";")))</f>
        <v>;"NavNode_L3D_525530";"Cărţi de specialitate în limba italiană";</v>
      </c>
      <c r="AP132" s="39" t="str">
        <f>IF(getCategoryLevelAsString($B132)="L0D_324785","",IF(W132="",CONCATENATE(";",EscStr(CONCATENATE("NavNode_",getCategoryLevelAsString($B132))),";",EscStr($J132),";"),CONCATENATE(";",EscStr(CONCATENATE("NavNode_",getCategoryLevelAsString($B132))),";",EscStr(W132),";")))</f>
        <v>;"NavNode_L3D_525530";"Szakkönyvek olaszul";</v>
      </c>
      <c r="AQ132" s="39" t="str">
        <f>IF(getCategoryLevelAsString($B132)="L0D_324785","",IF(X132="",CONCATENATE(";",EscStr(CONCATENATE("NavNode_",getCategoryLevelAsString($B132))),";",EscStr($J132),";"),CONCATENATE(";",EscStr(CONCATENATE("NavNode_",getCategoryLevelAsString($B132))),";",EscStr(X132),";")))</f>
        <v>;"NavNode_L3D_525530";"Odborné knihy v talianskom jazyku";</v>
      </c>
      <c r="AR132" s="39" t="str">
        <f>IF(OR($A132&lt;&gt;"", $G132=""),"",CONCATENATE(";",EscStr(CONCATENATE("NavEntry_",getCategoryLevelAsString($B132))),";",EscStr(CONCATENATE($J132," Navigation Entry")),";",EscStr(CONCATENATE("cat-",getCategoryLevelAsString($B132))),";",EscStr(CONCATENATE("NavNode_",getCategoryLevelAsString($B132))),";"))</f>
        <v>;"NavEntry_L3D_525530";"Technical Books in Italian Navigation Entry";"cat-L3D_525530";"NavNode_L3D_525530";</v>
      </c>
    </row>
    <row r="133" spans="1:44" s="34" customFormat="1" ht="15" x14ac:dyDescent="0.25">
      <c r="A133" s="25"/>
      <c r="B133" s="5"/>
      <c r="C133" s="5"/>
      <c r="D133" s="5" t="s">
        <v>7828</v>
      </c>
      <c r="E133" s="5"/>
      <c r="F133" s="5"/>
      <c r="G133" s="5" t="s">
        <v>7830</v>
      </c>
      <c r="H133" s="5" t="s">
        <v>13644</v>
      </c>
      <c r="I133" s="5" t="s">
        <v>13732</v>
      </c>
      <c r="J133" s="5" t="s">
        <v>7829</v>
      </c>
      <c r="K133" s="5" t="s">
        <v>13829</v>
      </c>
      <c r="L133" s="5" t="s">
        <v>15148</v>
      </c>
      <c r="M133" s="5" t="s">
        <v>13911</v>
      </c>
      <c r="N133" s="5" t="s">
        <v>13972</v>
      </c>
      <c r="O133" s="5" t="s">
        <v>14085</v>
      </c>
      <c r="P133" s="5" t="s">
        <v>14177</v>
      </c>
      <c r="Q133" s="5" t="s">
        <v>14262</v>
      </c>
      <c r="R133" s="5" t="s">
        <v>14342</v>
      </c>
      <c r="S133" s="5" t="s">
        <v>14439</v>
      </c>
      <c r="T133" s="5" t="s">
        <v>14529</v>
      </c>
      <c r="U133" s="5" t="s">
        <v>14616</v>
      </c>
      <c r="V133" s="5" t="s">
        <v>14704</v>
      </c>
      <c r="W133" s="5" t="s">
        <v>14788</v>
      </c>
      <c r="X133" s="5" t="s">
        <v>14872</v>
      </c>
      <c r="Y133" s="39" t="str">
        <f>IF(OR($A133&lt;&gt;"", $G133=""),"",CONCATENATE(";",EscStr(CONCATENATE("NavNode_",getCategoryLevelAsString($B133))),";",EscStr($J133),";",IF($B133&lt;&gt;"","""MainCategoryNavNode""",EscStr(CONCATENATE("NavNode_",getSuperCategory($B133, getCategoryLevelAsNumber($B133))))),";"))</f>
        <v>;"NavNode_L3D_525531";"Technical Books in French";"NavNode_L2D_379636";</v>
      </c>
      <c r="Z133" s="39" t="str">
        <f>IF(getCategoryLevelAsString($B133)="L0D_324785","",IF(G133="",CONCATENATE(";",EscStr(CONCATENATE("NavNode_",getCategoryLevelAsString($B133))),";",EscStr($J133),";"),CONCATENATE(";",EscStr(CONCATENATE("NavNode_",getCategoryLevelAsString($B133))),";",EscStr(G133),";")))</f>
        <v>;"NavNode_L3D_525531";"Fachbücher auf Französisch";</v>
      </c>
      <c r="AA133" s="39" t="str">
        <f>IF(getCategoryLevelAsString($B133)="L0D_324785","",IF(H133="",CONCATENATE(";",EscStr(CONCATENATE("NavNode_",getCategoryLevelAsString($B133))),";",EscStr($J133),";"),CONCATENATE(";",EscStr(CONCATENATE("NavNode_",getCategoryLevelAsString($B133))),";",EscStr(H133),";")))</f>
        <v>;"NavNode_L3D_525531";"Librairie technique en français";</v>
      </c>
      <c r="AB133" s="39" t="str">
        <f>IF(getCategoryLevelAsString($B133)="L0D_324785","",IF(I133="",CONCATENATE(";",EscStr(CONCATENATE("NavNode_",getCategoryLevelAsString($B133))),";",EscStr($J133),";"),CONCATENATE(";",EscStr(CONCATENATE("NavNode_",getCategoryLevelAsString($B133))),";",EscStr(I133),";")))</f>
        <v>;"NavNode_L3D_525531";"Pubblicazioni tecniche in francese";</v>
      </c>
      <c r="AC133" s="39" t="str">
        <f>IF(getCategoryLevelAsString($B133)="L0D_324785","",IF(J133="",CONCATENATE(";",EscStr(CONCATENATE("NavNode_",getCategoryLevelAsString($B133))),";",EscStr($J133),";"),CONCATENATE(";",EscStr(CONCATENATE("NavNode_",getCategoryLevelAsString($B133))),";",EscStr(J133),";")))</f>
        <v>;"NavNode_L3D_525531";"Technical Books in French";</v>
      </c>
      <c r="AD133" s="39" t="str">
        <f>IF(getCategoryLevelAsString($B133)="L0D_324785","",IF(K133="",CONCATENATE(";",EscStr(CONCATENATE("NavNode_",getCategoryLevelAsString($B133))),";",EscStr($J133),";"),CONCATENATE(";",EscStr(CONCATENATE("NavNode_",getCategoryLevelAsString($B133))),";",EscStr(K133),";")))</f>
        <v>;"NavNode_L3D_525531";"Tekniske bøger på fransk";</v>
      </c>
      <c r="AE133" s="39" t="str">
        <f>IF(getCategoryLevelAsString($B133)="L0D_324785","",IF(L133="",CONCATENATE(";",EscStr(CONCATENATE("NavNode_",getCategoryLevelAsString($B133))),";",EscStr($J133),";"),CONCATENATE(";",EscStr(CONCATENATE("NavNode_",getCategoryLevelAsString($B133))),";",EscStr(L133),";")))</f>
        <v>;"NavNode_L3D_525531";"Techninės knygos prancūzų k.";</v>
      </c>
      <c r="AF133" s="39" t="str">
        <f>IF(getCategoryLevelAsString($B133)="L0D_324785","",IF(M133="",CONCATENATE(";",EscStr(CONCATENATE("NavNode_",getCategoryLevelAsString($B133))),";",EscStr($J133),";"),CONCATENATE(";",EscStr(CONCATENATE("NavNode_",getCategoryLevelAsString($B133))),";",EscStr(M133),";")))</f>
        <v>;"NavNode_L3D_525531";"Tekniske bøker på fransk";</v>
      </c>
      <c r="AG133" s="39" t="str">
        <f>IF(getCategoryLevelAsString($B133)="L0D_324785","",IF(N133="",CONCATENATE(";",EscStr(CONCATENATE("NavNode_",getCategoryLevelAsString($B133))),";",EscStr($J133),";"),CONCATENATE(";",EscStr(CONCATENATE("NavNode_",getCategoryLevelAsString($B133))),";",EscStr(N133),";")))</f>
        <v>;"NavNode_L3D_525531";"Teknikböcker på franska";</v>
      </c>
      <c r="AH133" s="39" t="str">
        <f>IF(getCategoryLevelAsString($B133)="L0D_324785","",IF(O133="",CONCATENATE(";",EscStr(CONCATENATE("NavNode_",getCategoryLevelAsString($B133))),";",EscStr($J133),";"),CONCATENATE(";",EscStr(CONCATENATE("NavNode_",getCategoryLevelAsString($B133))),";",EscStr(O133),";")))</f>
        <v>;"NavNode_L3D_525531";"Prantsuskeelne tehniline kirjandus";</v>
      </c>
      <c r="AI133" s="39" t="str">
        <f>IF(getCategoryLevelAsString($B133)="L0D_324785","",IF(P133="",CONCATENATE(";",EscStr(CONCATENATE("NavNode_",getCategoryLevelAsString($B133))),";",EscStr($J133),";"),CONCATENATE(";",EscStr(CONCATENATE("NavNode_",getCategoryLevelAsString($B133))),";",EscStr(P133),";")))</f>
        <v>;"NavNode_L3D_525531";"Tekniset kirjat Ranska";</v>
      </c>
      <c r="AJ133" s="39" t="str">
        <f>IF(getCategoryLevelAsString($B133)="L0D_324785","",IF(Q133="",CONCATENATE(";",EscStr(CONCATENATE("NavNode_",getCategoryLevelAsString($B133))),";",EscStr($J133),";"),CONCATENATE(";",EscStr(CONCATENATE("NavNode_",getCategoryLevelAsString($B133))),";",EscStr(Q133),";")))</f>
        <v>;"NavNode_L3D_525531";"Tehniskās grāmatas franču valodā";</v>
      </c>
      <c r="AK133" s="39" t="str">
        <f>IF(getCategoryLevelAsString($B133)="L0D_324785","",IF(R133="",CONCATENATE(";",EscStr(CONCATENATE("NavNode_",getCategoryLevelAsString($B133))),";",EscStr($J133),";"),CONCATENATE(";",EscStr(CONCATENATE("NavNode_",getCategoryLevelAsString($B133))),";",EscStr(R133),";")))</f>
        <v>;"NavNode_L3D_525531";"Technische en data boeken, Frans";</v>
      </c>
      <c r="AL133" s="39" t="str">
        <f>IF(getCategoryLevelAsString($B133)="L0D_324785","",IF(S133="",CONCATENATE(";",EscStr(CONCATENATE("NavNode_",getCategoryLevelAsString($B133))),";",EscStr($J133),";"),CONCATENATE(";",EscStr(CONCATENATE("NavNode_",getCategoryLevelAsString($B133))),";",EscStr(S133),";")))</f>
        <v>;"NavNode_L3D_525531";"Literatura techniczna w języku francuskim";</v>
      </c>
      <c r="AM133" s="39" t="str">
        <f>IF(getCategoryLevelAsString($B133)="L0D_324785","",IF(T133="",CONCATENATE(";",EscStr(CONCATENATE("NavNode_",getCategoryLevelAsString($B133))),";",EscStr($J133),";"),CONCATENATE(";",EscStr(CONCATENATE("NavNode_",getCategoryLevelAsString($B133))),";",EscStr(T133),";")))</f>
        <v>;"NavNode_L3D_525531";"Технические книги на французском языке";</v>
      </c>
      <c r="AN133" s="39" t="str">
        <f>IF(getCategoryLevelAsString($B133)="L0D_324785","",IF(U133="",CONCATENATE(";",EscStr(CONCATENATE("NavNode_",getCategoryLevelAsString($B133))),";",EscStr($J133),";"),CONCATENATE(";",EscStr(CONCATENATE("NavNode_",getCategoryLevelAsString($B133))),";",EscStr(U133),";")))</f>
        <v>;"NavNode_L3D_525531";"Odborné knihy ve francouzském jazyce";</v>
      </c>
      <c r="AO133" s="39" t="str">
        <f>IF(getCategoryLevelAsString($B133)="L0D_324785","",IF(V133="",CONCATENATE(";",EscStr(CONCATENATE("NavNode_",getCategoryLevelAsString($B133))),";",EscStr($J133),";"),CONCATENATE(";",EscStr(CONCATENATE("NavNode_",getCategoryLevelAsString($B133))),";",EscStr(V133),";")))</f>
        <v>;"NavNode_L3D_525531";"Cărţi de specialitate în limba franceză";</v>
      </c>
      <c r="AP133" s="39" t="str">
        <f>IF(getCategoryLevelAsString($B133)="L0D_324785","",IF(W133="",CONCATENATE(";",EscStr(CONCATENATE("NavNode_",getCategoryLevelAsString($B133))),";",EscStr($J133),";"),CONCATENATE(";",EscStr(CONCATENATE("NavNode_",getCategoryLevelAsString($B133))),";",EscStr(W133),";")))</f>
        <v>;"NavNode_L3D_525531";"Szakkönyvek franciául";</v>
      </c>
      <c r="AQ133" s="39" t="str">
        <f>IF(getCategoryLevelAsString($B133)="L0D_324785","",IF(X133="",CONCATENATE(";",EscStr(CONCATENATE("NavNode_",getCategoryLevelAsString($B133))),";",EscStr($J133),";"),CONCATENATE(";",EscStr(CONCATENATE("NavNode_",getCategoryLevelAsString($B133))),";",EscStr(X133),";")))</f>
        <v>;"NavNode_L3D_525531";"Odborné knihy vo francúzskom jazyku";</v>
      </c>
      <c r="AR133" s="39" t="str">
        <f>IF(OR($A133&lt;&gt;"", $G133=""),"",CONCATENATE(";",EscStr(CONCATENATE("NavEntry_",getCategoryLevelAsString($B133))),";",EscStr(CONCATENATE($J133," Navigation Entry")),";",EscStr(CONCATENATE("cat-",getCategoryLevelAsString($B133))),";",EscStr(CONCATENATE("NavNode_",getCategoryLevelAsString($B133))),";"))</f>
        <v>;"NavEntry_L3D_525531";"Technical Books in French Navigation Entry";"cat-L3D_525531";"NavNode_L3D_525531";</v>
      </c>
    </row>
    <row r="134" spans="1:44" s="34" customFormat="1" ht="15" x14ac:dyDescent="0.25">
      <c r="A134" s="25"/>
      <c r="B134" s="5"/>
      <c r="C134" s="5"/>
      <c r="D134" s="5" t="s">
        <v>7844</v>
      </c>
      <c r="E134" s="5"/>
      <c r="F134" s="5"/>
      <c r="G134" s="5" t="s">
        <v>7846</v>
      </c>
      <c r="H134" s="5" t="s">
        <v>13645</v>
      </c>
      <c r="I134" s="5" t="s">
        <v>13733</v>
      </c>
      <c r="J134" s="5" t="s">
        <v>7845</v>
      </c>
      <c r="K134" s="5" t="s">
        <v>13830</v>
      </c>
      <c r="L134" s="5" t="s">
        <v>15149</v>
      </c>
      <c r="M134" s="5" t="s">
        <v>13912</v>
      </c>
      <c r="N134" s="5" t="s">
        <v>13973</v>
      </c>
      <c r="O134" s="5" t="s">
        <v>14086</v>
      </c>
      <c r="P134" s="5" t="s">
        <v>14178</v>
      </c>
      <c r="Q134" s="5" t="s">
        <v>14263</v>
      </c>
      <c r="R134" s="5" t="s">
        <v>14343</v>
      </c>
      <c r="S134" s="5" t="s">
        <v>14440</v>
      </c>
      <c r="T134" s="5" t="s">
        <v>14530</v>
      </c>
      <c r="U134" s="5" t="s">
        <v>14617</v>
      </c>
      <c r="V134" s="5" t="s">
        <v>14705</v>
      </c>
      <c r="W134" s="5" t="s">
        <v>14789</v>
      </c>
      <c r="X134" s="5" t="s">
        <v>14873</v>
      </c>
      <c r="Y134" s="39" t="str">
        <f>IF(OR($A134&lt;&gt;"", $G134=""),"",CONCATENATE(";",EscStr(CONCATENATE("NavNode_",getCategoryLevelAsString($B134))),";",EscStr($J134),";",IF($B134&lt;&gt;"","""MainCategoryNavNode""",EscStr(CONCATENATE("NavNode_",getSuperCategory($B134, getCategoryLevelAsNumber($B134))))),";"))</f>
        <v>;"NavNode_L3D_525532";"Technical Books in Swedish";"NavNode_L2D_379636";</v>
      </c>
      <c r="Z134" s="39" t="str">
        <f>IF(getCategoryLevelAsString($B134)="L0D_324785","",IF(G134="",CONCATENATE(";",EscStr(CONCATENATE("NavNode_",getCategoryLevelAsString($B134))),";",EscStr($J134),";"),CONCATENATE(";",EscStr(CONCATENATE("NavNode_",getCategoryLevelAsString($B134))),";",EscStr(G134),";")))</f>
        <v>;"NavNode_L3D_525532";"Fachbücher auf Schwedisch";</v>
      </c>
      <c r="AA134" s="39" t="str">
        <f>IF(getCategoryLevelAsString($B134)="L0D_324785","",IF(H134="",CONCATENATE(";",EscStr(CONCATENATE("NavNode_",getCategoryLevelAsString($B134))),";",EscStr($J134),";"),CONCATENATE(";",EscStr(CONCATENATE("NavNode_",getCategoryLevelAsString($B134))),";",EscStr(H134),";")))</f>
        <v>;"NavNode_L3D_525532";"Librairie technique en suédois";</v>
      </c>
      <c r="AB134" s="39" t="str">
        <f>IF(getCategoryLevelAsString($B134)="L0D_324785","",IF(I134="",CONCATENATE(";",EscStr(CONCATENATE("NavNode_",getCategoryLevelAsString($B134))),";",EscStr($J134),";"),CONCATENATE(";",EscStr(CONCATENATE("NavNode_",getCategoryLevelAsString($B134))),";",EscStr(I134),";")))</f>
        <v>;"NavNode_L3D_525532";"Pubblicazioni tecniche in svedese";</v>
      </c>
      <c r="AC134" s="39" t="str">
        <f>IF(getCategoryLevelAsString($B134)="L0D_324785","",IF(J134="",CONCATENATE(";",EscStr(CONCATENATE("NavNode_",getCategoryLevelAsString($B134))),";",EscStr($J134),";"),CONCATENATE(";",EscStr(CONCATENATE("NavNode_",getCategoryLevelAsString($B134))),";",EscStr(J134),";")))</f>
        <v>;"NavNode_L3D_525532";"Technical Books in Swedish";</v>
      </c>
      <c r="AD134" s="39" t="str">
        <f>IF(getCategoryLevelAsString($B134)="L0D_324785","",IF(K134="",CONCATENATE(";",EscStr(CONCATENATE("NavNode_",getCategoryLevelAsString($B134))),";",EscStr($J134),";"),CONCATENATE(";",EscStr(CONCATENATE("NavNode_",getCategoryLevelAsString($B134))),";",EscStr(K134),";")))</f>
        <v>;"NavNode_L3D_525532";"Tekniske bøger på svensk";</v>
      </c>
      <c r="AE134" s="39" t="str">
        <f>IF(getCategoryLevelAsString($B134)="L0D_324785","",IF(L134="",CONCATENATE(";",EscStr(CONCATENATE("NavNode_",getCategoryLevelAsString($B134))),";",EscStr($J134),";"),CONCATENATE(";",EscStr(CONCATENATE("NavNode_",getCategoryLevelAsString($B134))),";",EscStr(L134),";")))</f>
        <v>;"NavNode_L3D_525532";"Techninės knygos švedų k.";</v>
      </c>
      <c r="AF134" s="39" t="str">
        <f>IF(getCategoryLevelAsString($B134)="L0D_324785","",IF(M134="",CONCATENATE(";",EscStr(CONCATENATE("NavNode_",getCategoryLevelAsString($B134))),";",EscStr($J134),";"),CONCATENATE(";",EscStr(CONCATENATE("NavNode_",getCategoryLevelAsString($B134))),";",EscStr(M134),";")))</f>
        <v>;"NavNode_L3D_525532";"Tekniske bøker på svensk";</v>
      </c>
      <c r="AG134" s="39" t="str">
        <f>IF(getCategoryLevelAsString($B134)="L0D_324785","",IF(N134="",CONCATENATE(";",EscStr(CONCATENATE("NavNode_",getCategoryLevelAsString($B134))),";",EscStr($J134),";"),CONCATENATE(";",EscStr(CONCATENATE("NavNode_",getCategoryLevelAsString($B134))),";",EscStr(N134),";")))</f>
        <v>;"NavNode_L3D_525532";"Teknikböcker på svenska";</v>
      </c>
      <c r="AH134" s="39" t="str">
        <f>IF(getCategoryLevelAsString($B134)="L0D_324785","",IF(O134="",CONCATENATE(";",EscStr(CONCATENATE("NavNode_",getCategoryLevelAsString($B134))),";",EscStr($J134),";"),CONCATENATE(";",EscStr(CONCATENATE("NavNode_",getCategoryLevelAsString($B134))),";",EscStr(O134),";")))</f>
        <v>;"NavNode_L3D_525532";"Rootsikeelne tehniline kirjandus";</v>
      </c>
      <c r="AI134" s="39" t="str">
        <f>IF(getCategoryLevelAsString($B134)="L0D_324785","",IF(P134="",CONCATENATE(";",EscStr(CONCATENATE("NavNode_",getCategoryLevelAsString($B134))),";",EscStr($J134),";"),CONCATENATE(";",EscStr(CONCATENATE("NavNode_",getCategoryLevelAsString($B134))),";",EscStr(P134),";")))</f>
        <v>;"NavNode_L3D_525532";"Tekniset kirjat Ruotsiksi";</v>
      </c>
      <c r="AJ134" s="39" t="str">
        <f>IF(getCategoryLevelAsString($B134)="L0D_324785","",IF(Q134="",CONCATENATE(";",EscStr(CONCATENATE("NavNode_",getCategoryLevelAsString($B134))),";",EscStr($J134),";"),CONCATENATE(";",EscStr(CONCATENATE("NavNode_",getCategoryLevelAsString($B134))),";",EscStr(Q134),";")))</f>
        <v>;"NavNode_L3D_525532";"Tehniskās grāmatas zviedru valodā";</v>
      </c>
      <c r="AK134" s="39" t="str">
        <f>IF(getCategoryLevelAsString($B134)="L0D_324785","",IF(R134="",CONCATENATE(";",EscStr(CONCATENATE("NavNode_",getCategoryLevelAsString($B134))),";",EscStr($J134),";"),CONCATENATE(";",EscStr(CONCATENATE("NavNode_",getCategoryLevelAsString($B134))),";",EscStr(R134),";")))</f>
        <v>;"NavNode_L3D_525532";"Technische en data boeken, Zweeds";</v>
      </c>
      <c r="AL134" s="39" t="str">
        <f>IF(getCategoryLevelAsString($B134)="L0D_324785","",IF(S134="",CONCATENATE(";",EscStr(CONCATENATE("NavNode_",getCategoryLevelAsString($B134))),";",EscStr($J134),";"),CONCATENATE(";",EscStr(CONCATENATE("NavNode_",getCategoryLevelAsString($B134))),";",EscStr(S134),";")))</f>
        <v>;"NavNode_L3D_525532";"Literatura techniczna w języku szwedzkim";</v>
      </c>
      <c r="AM134" s="39" t="str">
        <f>IF(getCategoryLevelAsString($B134)="L0D_324785","",IF(T134="",CONCATENATE(";",EscStr(CONCATENATE("NavNode_",getCategoryLevelAsString($B134))),";",EscStr($J134),";"),CONCATENATE(";",EscStr(CONCATENATE("NavNode_",getCategoryLevelAsString($B134))),";",EscStr(T134),";")))</f>
        <v>;"NavNode_L3D_525532";"Технические книги на шведском языке";</v>
      </c>
      <c r="AN134" s="39" t="str">
        <f>IF(getCategoryLevelAsString($B134)="L0D_324785","",IF(U134="",CONCATENATE(";",EscStr(CONCATENATE("NavNode_",getCategoryLevelAsString($B134))),";",EscStr($J134),";"),CONCATENATE(";",EscStr(CONCATENATE("NavNode_",getCategoryLevelAsString($B134))),";",EscStr(U134),";")))</f>
        <v>;"NavNode_L3D_525532";"Odborné knihy ve švédském jazyce";</v>
      </c>
      <c r="AO134" s="39" t="str">
        <f>IF(getCategoryLevelAsString($B134)="L0D_324785","",IF(V134="",CONCATENATE(";",EscStr(CONCATENATE("NavNode_",getCategoryLevelAsString($B134))),";",EscStr($J134),";"),CONCATENATE(";",EscStr(CONCATENATE("NavNode_",getCategoryLevelAsString($B134))),";",EscStr(V134),";")))</f>
        <v>;"NavNode_L3D_525532";"Cărţi de specialitate în limba suedeză";</v>
      </c>
      <c r="AP134" s="39" t="str">
        <f>IF(getCategoryLevelAsString($B134)="L0D_324785","",IF(W134="",CONCATENATE(";",EscStr(CONCATENATE("NavNode_",getCategoryLevelAsString($B134))),";",EscStr($J134),";"),CONCATENATE(";",EscStr(CONCATENATE("NavNode_",getCategoryLevelAsString($B134))),";",EscStr(W134),";")))</f>
        <v>;"NavNode_L3D_525532";"Szakkönyvek svédül";</v>
      </c>
      <c r="AQ134" s="39" t="str">
        <f>IF(getCategoryLevelAsString($B134)="L0D_324785","",IF(X134="",CONCATENATE(";",EscStr(CONCATENATE("NavNode_",getCategoryLevelAsString($B134))),";",EscStr($J134),";"),CONCATENATE(";",EscStr(CONCATENATE("NavNode_",getCategoryLevelAsString($B134))),";",EscStr(X134),";")))</f>
        <v>;"NavNode_L3D_525532";"Odborné knihy vo švédskom jazyku";</v>
      </c>
      <c r="AR134" s="39" t="str">
        <f>IF(OR($A134&lt;&gt;"", $G134=""),"",CONCATENATE(";",EscStr(CONCATENATE("NavEntry_",getCategoryLevelAsString($B134))),";",EscStr(CONCATENATE($J134," Navigation Entry")),";",EscStr(CONCATENATE("cat-",getCategoryLevelAsString($B134))),";",EscStr(CONCATENATE("NavNode_",getCategoryLevelAsString($B134))),";"))</f>
        <v>;"NavEntry_L3D_525532";"Technical Books in Swedish Navigation Entry";"cat-L3D_525532";"NavNode_L3D_525532";</v>
      </c>
    </row>
    <row r="135" spans="1:44" s="34" customFormat="1" ht="15" x14ac:dyDescent="0.25">
      <c r="A135" s="25"/>
      <c r="B135" s="5"/>
      <c r="C135" s="5"/>
      <c r="D135" s="5" t="s">
        <v>7851</v>
      </c>
      <c r="E135" s="5"/>
      <c r="F135" s="5"/>
      <c r="G135" s="5" t="s">
        <v>7853</v>
      </c>
      <c r="H135" s="5" t="s">
        <v>13646</v>
      </c>
      <c r="I135" s="5" t="s">
        <v>13734</v>
      </c>
      <c r="J135" s="5" t="s">
        <v>7852</v>
      </c>
      <c r="K135" s="5" t="s">
        <v>13831</v>
      </c>
      <c r="L135" s="5" t="s">
        <v>15150</v>
      </c>
      <c r="M135" s="5" t="s">
        <v>13913</v>
      </c>
      <c r="N135" s="5" t="s">
        <v>13974</v>
      </c>
      <c r="O135" s="5" t="s">
        <v>14087</v>
      </c>
      <c r="P135" s="5" t="s">
        <v>14179</v>
      </c>
      <c r="Q135" s="5" t="s">
        <v>14264</v>
      </c>
      <c r="R135" s="5" t="s">
        <v>14344</v>
      </c>
      <c r="S135" s="5" t="s">
        <v>14441</v>
      </c>
      <c r="T135" s="5" t="s">
        <v>14531</v>
      </c>
      <c r="U135" s="5" t="s">
        <v>14618</v>
      </c>
      <c r="V135" s="5" t="s">
        <v>14706</v>
      </c>
      <c r="W135" s="5" t="s">
        <v>14790</v>
      </c>
      <c r="X135" s="5" t="s">
        <v>14874</v>
      </c>
      <c r="Y135" s="39" t="str">
        <f>IF(OR($A135&lt;&gt;"", $G135=""),"",CONCATENATE(";",EscStr(CONCATENATE("NavNode_",getCategoryLevelAsString($B135))),";",EscStr($J135),";",IF($B135&lt;&gt;"","""MainCategoryNavNode""",EscStr(CONCATENATE("NavNode_",getSuperCategory($B135, getCategoryLevelAsNumber($B135))))),";"))</f>
        <v>;"NavNode_L3D_525533";"Technical Books in English";"NavNode_L2D_379636";</v>
      </c>
      <c r="Z135" s="39" t="str">
        <f>IF(getCategoryLevelAsString($B135)="L0D_324785","",IF(G135="",CONCATENATE(";",EscStr(CONCATENATE("NavNode_",getCategoryLevelAsString($B135))),";",EscStr($J135),";"),CONCATENATE(";",EscStr(CONCATENATE("NavNode_",getCategoryLevelAsString($B135))),";",EscStr(G135),";")))</f>
        <v>;"NavNode_L3D_525533";"Fachbücher auf Englisch";</v>
      </c>
      <c r="AA135" s="39" t="str">
        <f>IF(getCategoryLevelAsString($B135)="L0D_324785","",IF(H135="",CONCATENATE(";",EscStr(CONCATENATE("NavNode_",getCategoryLevelAsString($B135))),";",EscStr($J135),";"),CONCATENATE(";",EscStr(CONCATENATE("NavNode_",getCategoryLevelAsString($B135))),";",EscStr(H135),";")))</f>
        <v>;"NavNode_L3D_525533";"Librairie technique en anglais";</v>
      </c>
      <c r="AB135" s="39" t="str">
        <f>IF(getCategoryLevelAsString($B135)="L0D_324785","",IF(I135="",CONCATENATE(";",EscStr(CONCATENATE("NavNode_",getCategoryLevelAsString($B135))),";",EscStr($J135),";"),CONCATENATE(";",EscStr(CONCATENATE("NavNode_",getCategoryLevelAsString($B135))),";",EscStr(I135),";")))</f>
        <v>;"NavNode_L3D_525533";"Pubblicazioni tecniche in inglese";</v>
      </c>
      <c r="AC135" s="39" t="str">
        <f>IF(getCategoryLevelAsString($B135)="L0D_324785","",IF(J135="",CONCATENATE(";",EscStr(CONCATENATE("NavNode_",getCategoryLevelAsString($B135))),";",EscStr($J135),";"),CONCATENATE(";",EscStr(CONCATENATE("NavNode_",getCategoryLevelAsString($B135))),";",EscStr(J135),";")))</f>
        <v>;"NavNode_L3D_525533";"Technical Books in English";</v>
      </c>
      <c r="AD135" s="39" t="str">
        <f>IF(getCategoryLevelAsString($B135)="L0D_324785","",IF(K135="",CONCATENATE(";",EscStr(CONCATENATE("NavNode_",getCategoryLevelAsString($B135))),";",EscStr($J135),";"),CONCATENATE(";",EscStr(CONCATENATE("NavNode_",getCategoryLevelAsString($B135))),";",EscStr(K135),";")))</f>
        <v>;"NavNode_L3D_525533";"Tekniske bøger på engelsk";</v>
      </c>
      <c r="AE135" s="39" t="str">
        <f>IF(getCategoryLevelAsString($B135)="L0D_324785","",IF(L135="",CONCATENATE(";",EscStr(CONCATENATE("NavNode_",getCategoryLevelAsString($B135))),";",EscStr($J135),";"),CONCATENATE(";",EscStr(CONCATENATE("NavNode_",getCategoryLevelAsString($B135))),";",EscStr(L135),";")))</f>
        <v>;"NavNode_L3D_525533";"Techninės knygos anglų k.";</v>
      </c>
      <c r="AF135" s="39" t="str">
        <f>IF(getCategoryLevelAsString($B135)="L0D_324785","",IF(M135="",CONCATENATE(";",EscStr(CONCATENATE("NavNode_",getCategoryLevelAsString($B135))),";",EscStr($J135),";"),CONCATENATE(";",EscStr(CONCATENATE("NavNode_",getCategoryLevelAsString($B135))),";",EscStr(M135),";")))</f>
        <v>;"NavNode_L3D_525533";"Tekniske bøker på engelsk";</v>
      </c>
      <c r="AG135" s="39" t="str">
        <f>IF(getCategoryLevelAsString($B135)="L0D_324785","",IF(N135="",CONCATENATE(";",EscStr(CONCATENATE("NavNode_",getCategoryLevelAsString($B135))),";",EscStr($J135),";"),CONCATENATE(";",EscStr(CONCATENATE("NavNode_",getCategoryLevelAsString($B135))),";",EscStr(N135),";")))</f>
        <v>;"NavNode_L3D_525533";"Teknikböcker på engelska";</v>
      </c>
      <c r="AH135" s="39" t="str">
        <f>IF(getCategoryLevelAsString($B135)="L0D_324785","",IF(O135="",CONCATENATE(";",EscStr(CONCATENATE("NavNode_",getCategoryLevelAsString($B135))),";",EscStr($J135),";"),CONCATENATE(";",EscStr(CONCATENATE("NavNode_",getCategoryLevelAsString($B135))),";",EscStr(O135),";")))</f>
        <v>;"NavNode_L3D_525533";"Ingliskeelne tehniline kirjandus";</v>
      </c>
      <c r="AI135" s="39" t="str">
        <f>IF(getCategoryLevelAsString($B135)="L0D_324785","",IF(P135="",CONCATENATE(";",EscStr(CONCATENATE("NavNode_",getCategoryLevelAsString($B135))),";",EscStr($J135),";"),CONCATENATE(";",EscStr(CONCATENATE("NavNode_",getCategoryLevelAsString($B135))),";",EscStr(P135),";")))</f>
        <v>;"NavNode_L3D_525533";"Tekniset kirjat Englanniksi";</v>
      </c>
      <c r="AJ135" s="39" t="str">
        <f>IF(getCategoryLevelAsString($B135)="L0D_324785","",IF(Q135="",CONCATENATE(";",EscStr(CONCATENATE("NavNode_",getCategoryLevelAsString($B135))),";",EscStr($J135),";"),CONCATENATE(";",EscStr(CONCATENATE("NavNode_",getCategoryLevelAsString($B135))),";",EscStr(Q135),";")))</f>
        <v>;"NavNode_L3D_525533";"Tehniskās grāmatas angļu valodā";</v>
      </c>
      <c r="AK135" s="39" t="str">
        <f>IF(getCategoryLevelAsString($B135)="L0D_324785","",IF(R135="",CONCATENATE(";",EscStr(CONCATENATE("NavNode_",getCategoryLevelAsString($B135))),";",EscStr($J135),";"),CONCATENATE(";",EscStr(CONCATENATE("NavNode_",getCategoryLevelAsString($B135))),";",EscStr(R135),";")))</f>
        <v>;"NavNode_L3D_525533";"Technische en data boeken, Engels";</v>
      </c>
      <c r="AL135" s="39" t="str">
        <f>IF(getCategoryLevelAsString($B135)="L0D_324785","",IF(S135="",CONCATENATE(";",EscStr(CONCATENATE("NavNode_",getCategoryLevelAsString($B135))),";",EscStr($J135),";"),CONCATENATE(";",EscStr(CONCATENATE("NavNode_",getCategoryLevelAsString($B135))),";",EscStr(S135),";")))</f>
        <v>;"NavNode_L3D_525533";"Literatura techniczna w języku angielskim";</v>
      </c>
      <c r="AM135" s="39" t="str">
        <f>IF(getCategoryLevelAsString($B135)="L0D_324785","",IF(T135="",CONCATENATE(";",EscStr(CONCATENATE("NavNode_",getCategoryLevelAsString($B135))),";",EscStr($J135),";"),CONCATENATE(";",EscStr(CONCATENATE("NavNode_",getCategoryLevelAsString($B135))),";",EscStr(T135),";")))</f>
        <v>;"NavNode_L3D_525533";"Технические Книги на английском языке";</v>
      </c>
      <c r="AN135" s="39" t="str">
        <f>IF(getCategoryLevelAsString($B135)="L0D_324785","",IF(U135="",CONCATENATE(";",EscStr(CONCATENATE("NavNode_",getCategoryLevelAsString($B135))),";",EscStr($J135),";"),CONCATENATE(";",EscStr(CONCATENATE("NavNode_",getCategoryLevelAsString($B135))),";",EscStr(U135),";")))</f>
        <v>;"NavNode_L3D_525533";"Odborné knihy v anglickém jazyce";</v>
      </c>
      <c r="AO135" s="39" t="str">
        <f>IF(getCategoryLevelAsString($B135)="L0D_324785","",IF(V135="",CONCATENATE(";",EscStr(CONCATENATE("NavNode_",getCategoryLevelAsString($B135))),";",EscStr($J135),";"),CONCATENATE(";",EscStr(CONCATENATE("NavNode_",getCategoryLevelAsString($B135))),";",EscStr(V135),";")))</f>
        <v>;"NavNode_L3D_525533";"Cărţi de specialitate în limba engleză";</v>
      </c>
      <c r="AP135" s="39" t="str">
        <f>IF(getCategoryLevelAsString($B135)="L0D_324785","",IF(W135="",CONCATENATE(";",EscStr(CONCATENATE("NavNode_",getCategoryLevelAsString($B135))),";",EscStr($J135),";"),CONCATENATE(";",EscStr(CONCATENATE("NavNode_",getCategoryLevelAsString($B135))),";",EscStr(W135),";")))</f>
        <v>;"NavNode_L3D_525533";"Szakkönyvek angolul";</v>
      </c>
      <c r="AQ135" s="39" t="str">
        <f>IF(getCategoryLevelAsString($B135)="L0D_324785","",IF(X135="",CONCATENATE(";",EscStr(CONCATENATE("NavNode_",getCategoryLevelAsString($B135))),";",EscStr($J135),";"),CONCATENATE(";",EscStr(CONCATENATE("NavNode_",getCategoryLevelAsString($B135))),";",EscStr(X135),";")))</f>
        <v>;"NavNode_L3D_525533";"Odborné knihy v anglickom jazyku";</v>
      </c>
      <c r="AR135" s="39" t="str">
        <f>IF(OR($A135&lt;&gt;"", $G135=""),"",CONCATENATE(";",EscStr(CONCATENATE("NavEntry_",getCategoryLevelAsString($B135))),";",EscStr(CONCATENATE($J135," Navigation Entry")),";",EscStr(CONCATENATE("cat-",getCategoryLevelAsString($B135))),";",EscStr(CONCATENATE("NavNode_",getCategoryLevelAsString($B135))),";"))</f>
        <v>;"NavEntry_L3D_525533";"Technical Books in English Navigation Entry";"cat-L3D_525533";"NavNode_L3D_525533";</v>
      </c>
    </row>
    <row r="136" spans="1:44" s="38" customFormat="1" ht="15" x14ac:dyDescent="0.25">
      <c r="A136" s="32"/>
      <c r="B136" s="29" t="s">
        <v>7862</v>
      </c>
      <c r="C136" s="37"/>
      <c r="E136" s="29"/>
      <c r="F136" s="29"/>
      <c r="G136" s="31" t="s">
        <v>15285</v>
      </c>
      <c r="H136" s="31" t="s">
        <v>15286</v>
      </c>
      <c r="I136" s="31" t="s">
        <v>15287</v>
      </c>
      <c r="J136" s="31" t="s">
        <v>7862</v>
      </c>
      <c r="K136" s="31" t="s">
        <v>15288</v>
      </c>
      <c r="L136" s="31" t="s">
        <v>15289</v>
      </c>
      <c r="M136" s="31" t="s">
        <v>15290</v>
      </c>
      <c r="N136" s="31" t="s">
        <v>15291</v>
      </c>
      <c r="O136" s="31" t="s">
        <v>15292</v>
      </c>
      <c r="P136" s="31" t="s">
        <v>15293</v>
      </c>
      <c r="Q136" s="31" t="s">
        <v>15294</v>
      </c>
      <c r="R136" s="31" t="s">
        <v>15295</v>
      </c>
      <c r="S136" s="31" t="s">
        <v>15296</v>
      </c>
      <c r="T136" s="31" t="s">
        <v>15297</v>
      </c>
      <c r="U136" s="31" t="s">
        <v>15298</v>
      </c>
      <c r="V136" s="31" t="s">
        <v>15299</v>
      </c>
      <c r="W136" s="31" t="s">
        <v>15300</v>
      </c>
      <c r="X136" s="31" t="s">
        <v>15301</v>
      </c>
      <c r="Y136" s="39" t="str">
        <f>IF(OR($A136&lt;&gt;"", $G136=""),"",CONCATENATE(";",EscStr(CONCATENATE("NavNode_",getCategoryLevelAsString($B136))),";",EscStr($J136),";",IF($B136&lt;&gt;"","""MainCategoryNavNode""",EscStr(CONCATENATE("NavNode_",getSuperCategory($B136, getCategoryLevelAsNumber($B136))))),";"))</f>
        <v>;"NavNode_Power Supplies / Batteries / Transformers";"Power Supplies / Batteries / Transformers";"MainCategoryNavNode";</v>
      </c>
      <c r="Z136" s="39" t="str">
        <f>IF(getCategoryLevelAsString($B136)="L0D_324785","",IF(G136="",CONCATENATE(";",EscStr(CONCATENATE("NavNode_",getCategoryLevelAsString($B136))),";",EscStr($J136),";"),CONCATENATE(";",EscStr(CONCATENATE("NavNode_",getCategoryLevelAsString($B136))),";",EscStr(G136),";")))</f>
        <v>;"NavNode_Power Supplies / Batteries / Transformers";"Stromversorgungen / Batterien / Transformatoren";</v>
      </c>
      <c r="AA136" s="39" t="str">
        <f>IF(getCategoryLevelAsString($B136)="L0D_324785","",IF(H136="",CONCATENATE(";",EscStr(CONCATENATE("NavNode_",getCategoryLevelAsString($B136))),";",EscStr($J136),";"),CONCATENATE(";",EscStr(CONCATENATE("NavNode_",getCategoryLevelAsString($B136))),";",EscStr(H136),";")))</f>
        <v>;"NavNode_Power Supplies / Batteries / Transformers";"Alimentations / Batteries / Transformateurs";</v>
      </c>
      <c r="AB136" s="39" t="str">
        <f>IF(getCategoryLevelAsString($B136)="L0D_324785","",IF(I136="",CONCATENATE(";",EscStr(CONCATENATE("NavNode_",getCategoryLevelAsString($B136))),";",EscStr($J136),";"),CONCATENATE(";",EscStr(CONCATENATE("NavNode_",getCategoryLevelAsString($B136))),";",EscStr(I136),";")))</f>
        <v>;"NavNode_Power Supplies / Batteries / Transformers";"Alimentatori / Batterie / Trasformatori";</v>
      </c>
      <c r="AC136" s="39" t="str">
        <f>IF(getCategoryLevelAsString($B136)="L0D_324785","",IF(J136="",CONCATENATE(";",EscStr(CONCATENATE("NavNode_",getCategoryLevelAsString($B136))),";",EscStr($J136),";"),CONCATENATE(";",EscStr(CONCATENATE("NavNode_",getCategoryLevelAsString($B136))),";",EscStr(J136),";")))</f>
        <v>;"NavNode_Power Supplies / Batteries / Transformers";"Power Supplies / Batteries / Transformers";</v>
      </c>
      <c r="AD136" s="39" t="str">
        <f>IF(getCategoryLevelAsString($B136)="L0D_324785","",IF(K136="",CONCATENATE(";",EscStr(CONCATENATE("NavNode_",getCategoryLevelAsString($B136))),";",EscStr($J136),";"),CONCATENATE(";",EscStr(CONCATENATE("NavNode_",getCategoryLevelAsString($B136))),";",EscStr(K136),";")))</f>
        <v>;"NavNode_Power Supplies / Batteries / Transformers";"Strømforsyninger / Batterier / Transformere";</v>
      </c>
      <c r="AE136" s="39" t="str">
        <f>IF(getCategoryLevelAsString($B136)="L0D_324785","",IF(L136="",CONCATENATE(";",EscStr(CONCATENATE("NavNode_",getCategoryLevelAsString($B136))),";",EscStr($J136),";"),CONCATENATE(";",EscStr(CONCATENATE("NavNode_",getCategoryLevelAsString($B136))),";",EscStr(L136),";")))</f>
        <v>;"NavNode_Power Supplies / Batteries / Transformers";"Baterijos / Transformatoriai / Maitinimo šaltiniai";</v>
      </c>
      <c r="AF136" s="39" t="str">
        <f>IF(getCategoryLevelAsString($B136)="L0D_324785","",IF(M136="",CONCATENATE(";",EscStr(CONCATENATE("NavNode_",getCategoryLevelAsString($B136))),";",EscStr($J136),";"),CONCATENATE(";",EscStr(CONCATENATE("NavNode_",getCategoryLevelAsString($B136))),";",EscStr(M136),";")))</f>
        <v>;"NavNode_Power Supplies / Batteries / Transformers";"Strømforsyninger / Batterier / Transformatorer";</v>
      </c>
      <c r="AG136" s="39" t="str">
        <f>IF(getCategoryLevelAsString($B136)="L0D_324785","",IF(N136="",CONCATENATE(";",EscStr(CONCATENATE("NavNode_",getCategoryLevelAsString($B136))),";",EscStr($J136),";"),CONCATENATE(";",EscStr(CONCATENATE("NavNode_",getCategoryLevelAsString($B136))),";",EscStr(N136),";")))</f>
        <v>;"NavNode_Power Supplies / Batteries / Transformers";"Strömförsörjning / Batterier / Transformatorer";</v>
      </c>
      <c r="AH136" s="39" t="str">
        <f>IF(getCategoryLevelAsString($B136)="L0D_324785","",IF(O136="",CONCATENATE(";",EscStr(CONCATENATE("NavNode_",getCategoryLevelAsString($B136))),";",EscStr($J136),";"),CONCATENATE(";",EscStr(CONCATENATE("NavNode_",getCategoryLevelAsString($B136))),";",EscStr(O136),";")))</f>
        <v>;"NavNode_Power Supplies / Batteries / Transformers";"Patareid / Trafod / Toiteplokid";</v>
      </c>
      <c r="AI136" s="39" t="str">
        <f>IF(getCategoryLevelAsString($B136)="L0D_324785","",IF(P136="",CONCATENATE(";",EscStr(CONCATENATE("NavNode_",getCategoryLevelAsString($B136))),";",EscStr($J136),";"),CONCATENATE(";",EscStr(CONCATENATE("NavNode_",getCategoryLevelAsString($B136))),";",EscStr(P136),";")))</f>
        <v>;"NavNode_Power Supplies / Batteries / Transformers";"Virtalähteet / Akut / Muuntajat";</v>
      </c>
      <c r="AJ136" s="39" t="str">
        <f>IF(getCategoryLevelAsString($B136)="L0D_324785","",IF(Q136="",CONCATENATE(";",EscStr(CONCATENATE("NavNode_",getCategoryLevelAsString($B136))),";",EscStr($J136),";"),CONCATENATE(";",EscStr(CONCATENATE("NavNode_",getCategoryLevelAsString($B136))),";",EscStr(Q136),";")))</f>
        <v>;"NavNode_Power Supplies / Batteries / Transformers";"Baterijas / Transformatori / Barošanas avoti";</v>
      </c>
      <c r="AK136" s="39" t="str">
        <f>IF(getCategoryLevelAsString($B136)="L0D_324785","",IF(R136="",CONCATENATE(";",EscStr(CONCATENATE("NavNode_",getCategoryLevelAsString($B136))),";",EscStr($J136),";"),CONCATENATE(";",EscStr(CONCATENATE("NavNode_",getCategoryLevelAsString($B136))),";",EscStr(R136),";")))</f>
        <v>;"NavNode_Power Supplies / Batteries / Transformers";"Voedingen / Batterijen / Transformatoren";</v>
      </c>
      <c r="AL136" s="39" t="str">
        <f>IF(getCategoryLevelAsString($B136)="L0D_324785","",IF(S136="",CONCATENATE(";",EscStr(CONCATENATE("NavNode_",getCategoryLevelAsString($B136))),";",EscStr($J136),";"),CONCATENATE(";",EscStr(CONCATENATE("NavNode_",getCategoryLevelAsString($B136))),";",EscStr(S136),";")))</f>
        <v>;"NavNode_Power Supplies / Batteries / Transformers";"Zasilacze / Baterie / Transformatory";</v>
      </c>
      <c r="AM136" s="39" t="str">
        <f>IF(getCategoryLevelAsString($B136)="L0D_324785","",IF(T136="",CONCATENATE(";",EscStr(CONCATENATE("NavNode_",getCategoryLevelAsString($B136))),";",EscStr($J136),";"),CONCATENATE(";",EscStr(CONCATENATE("NavNode_",getCategoryLevelAsString($B136))),";",EscStr(T136),";")))</f>
        <v>;"NavNode_Power Supplies / Batteries / Transformers";"Источники питания / Батареи / Трансформатор";</v>
      </c>
      <c r="AN136" s="39" t="str">
        <f>IF(getCategoryLevelAsString($B136)="L0D_324785","",IF(U136="",CONCATENATE(";",EscStr(CONCATENATE("NavNode_",getCategoryLevelAsString($B136))),";",EscStr($J136),";"),CONCATENATE(";",EscStr(CONCATENATE("NavNode_",getCategoryLevelAsString($B136))),";",EscStr(U136),";")))</f>
        <v>;"NavNode_Power Supplies / Batteries / Transformers";"Napájecí zdroje / Baterie / transformátory";</v>
      </c>
      <c r="AO136" s="39" t="str">
        <f>IF(getCategoryLevelAsString($B136)="L0D_324785","",IF(V136="",CONCATENATE(";",EscStr(CONCATENATE("NavNode_",getCategoryLevelAsString($B136))),";",EscStr($J136),";"),CONCATENATE(";",EscStr(CONCATENATE("NavNode_",getCategoryLevelAsString($B136))),";",EscStr(V136),";")))</f>
        <v>;"NavNode_Power Supplies / Batteries / Transformers";"Surse de energie/Baterii/Transformatoare";</v>
      </c>
      <c r="AP136" s="39" t="str">
        <f>IF(getCategoryLevelAsString($B136)="L0D_324785","",IF(W136="",CONCATENATE(";",EscStr(CONCATENATE("NavNode_",getCategoryLevelAsString($B136))),";",EscStr($J136),";"),CONCATENATE(";",EscStr(CONCATENATE("NavNode_",getCategoryLevelAsString($B136))),";",EscStr(W136),";")))</f>
        <v>;"NavNode_Power Supplies / Batteries / Transformers";"Tápegységek / Telepek / Transzformátorok";</v>
      </c>
      <c r="AQ136" s="39" t="str">
        <f>IF(getCategoryLevelAsString($B136)="L0D_324785","",IF(X136="",CONCATENATE(";",EscStr(CONCATENATE("NavNode_",getCategoryLevelAsString($B136))),";",EscStr($J136),";"),CONCATENATE(";",EscStr(CONCATENATE("NavNode_",getCategoryLevelAsString($B136))),";",EscStr(X136),";")))</f>
        <v>;"NavNode_Power Supplies / Batteries / Transformers";"Napájacie zdroje / Batérie / Transformátory";</v>
      </c>
      <c r="AR136" s="39" t="str">
        <f>IF(OR($A136&lt;&gt;"", $G136=""),"",CONCATENATE(";",EscStr(CONCATENATE("NavEntry_",getCategoryLevelAsString($B136))),";",EscStr(CONCATENATE($J136," Navigation Entry")),";",EscStr(CONCATENATE("cat-",getCategoryLevelAsString($B136))),";",EscStr(CONCATENATE("NavNode_",getCategoryLevelAsString($B136))),";"))</f>
        <v>;"NavEntry_Power Supplies / Batteries / Transformers";"Power Supplies / Batteries / Transformers Navigation Entry";"cat-Power Supplies / Batteries / Transformers";"NavNode_Power Supplies / Batteries / Transformers";</v>
      </c>
    </row>
    <row r="137" spans="1:44" s="34" customFormat="1" ht="15" x14ac:dyDescent="0.25">
      <c r="A137" s="25"/>
      <c r="B137" s="5"/>
      <c r="C137" s="5" t="s">
        <v>47</v>
      </c>
      <c r="D137" s="5"/>
      <c r="E137" s="5"/>
      <c r="F137" s="5"/>
      <c r="G137" s="5" t="s">
        <v>512</v>
      </c>
      <c r="H137" s="5" t="s">
        <v>513</v>
      </c>
      <c r="I137" s="5" t="s">
        <v>514</v>
      </c>
      <c r="J137" s="5" t="s">
        <v>12</v>
      </c>
      <c r="K137" s="5" t="s">
        <v>1339</v>
      </c>
      <c r="L137" s="5" t="s">
        <v>1574</v>
      </c>
      <c r="M137" s="5" t="s">
        <v>1787</v>
      </c>
      <c r="N137" s="5" t="s">
        <v>1787</v>
      </c>
      <c r="O137" s="5" t="s">
        <v>3805</v>
      </c>
      <c r="P137" s="5" t="s">
        <v>3806</v>
      </c>
      <c r="Q137" s="5" t="s">
        <v>3807</v>
      </c>
      <c r="R137" s="5" t="s">
        <v>512</v>
      </c>
      <c r="S137" s="5" t="s">
        <v>3808</v>
      </c>
      <c r="T137" s="5" t="s">
        <v>3809</v>
      </c>
      <c r="U137" s="5" t="s">
        <v>3810</v>
      </c>
      <c r="V137" s="5" t="s">
        <v>3811</v>
      </c>
      <c r="W137" s="5" t="s">
        <v>3812</v>
      </c>
      <c r="X137" s="5" t="s">
        <v>3810</v>
      </c>
      <c r="Y137" s="39" t="str">
        <f>IF(OR($A137&lt;&gt;"", $G137=""),"",CONCATENATE(";",EscStr(CONCATENATE("NavNode_",getCategoryLevelAsString($B137))),";",EscStr($J137),";",IF($B137&lt;&gt;"","""MainCategoryNavNode""",EscStr(CONCATENATE("NavNode_",getSuperCategory($B137, getCategoryLevelAsNumber($B137))))),";"))</f>
        <v>;"NavNode_L2D_379647";"Transformers";"NavNode_Power Supplies / Batteries / Transformers";</v>
      </c>
      <c r="Z137" s="39" t="str">
        <f>IF(getCategoryLevelAsString($B137)="L0D_324785","",IF(G137="",CONCATENATE(";",EscStr(CONCATENATE("NavNode_",getCategoryLevelAsString($B137))),";",EscStr($J137),";"),CONCATENATE(";",EscStr(CONCATENATE("NavNode_",getCategoryLevelAsString($B137))),";",EscStr(G137),";")))</f>
        <v>;"NavNode_L2D_379647";"Transformatoren";</v>
      </c>
      <c r="AA137" s="39" t="str">
        <f>IF(getCategoryLevelAsString($B137)="L0D_324785","",IF(H137="",CONCATENATE(";",EscStr(CONCATENATE("NavNode_",getCategoryLevelAsString($B137))),";",EscStr($J137),";"),CONCATENATE(";",EscStr(CONCATENATE("NavNode_",getCategoryLevelAsString($B137))),";",EscStr(H137),";")))</f>
        <v>;"NavNode_L2D_379647";"Transformateurs";</v>
      </c>
      <c r="AB137" s="39" t="str">
        <f>IF(getCategoryLevelAsString($B137)="L0D_324785","",IF(I137="",CONCATENATE(";",EscStr(CONCATENATE("NavNode_",getCategoryLevelAsString($B137))),";",EscStr($J137),";"),CONCATENATE(";",EscStr(CONCATENATE("NavNode_",getCategoryLevelAsString($B137))),";",EscStr(I137),";")))</f>
        <v>;"NavNode_L2D_379647";"Trasformatori";</v>
      </c>
      <c r="AC137" s="39" t="str">
        <f>IF(getCategoryLevelAsString($B137)="L0D_324785","",IF(J137="",CONCATENATE(";",EscStr(CONCATENATE("NavNode_",getCategoryLevelAsString($B137))),";",EscStr($J137),";"),CONCATENATE(";",EscStr(CONCATENATE("NavNode_",getCategoryLevelAsString($B137))),";",EscStr(J137),";")))</f>
        <v>;"NavNode_L2D_379647";"Transformers";</v>
      </c>
      <c r="AD137" s="39" t="str">
        <f>IF(getCategoryLevelAsString($B137)="L0D_324785","",IF(K137="",CONCATENATE(";",EscStr(CONCATENATE("NavNode_",getCategoryLevelAsString($B137))),";",EscStr($J137),";"),CONCATENATE(";",EscStr(CONCATENATE("NavNode_",getCategoryLevelAsString($B137))),";",EscStr(K137),";")))</f>
        <v>;"NavNode_L2D_379647";"Transformere";</v>
      </c>
      <c r="AE137" s="39" t="str">
        <f>IF(getCategoryLevelAsString($B137)="L0D_324785","",IF(L137="",CONCATENATE(";",EscStr(CONCATENATE("NavNode_",getCategoryLevelAsString($B137))),";",EscStr($J137),";"),CONCATENATE(";",EscStr(CONCATENATE("NavNode_",getCategoryLevelAsString($B137))),";",EscStr(L137),";")))</f>
        <v>;"NavNode_L2D_379647";"Transformatoriai";</v>
      </c>
      <c r="AF137" s="39" t="str">
        <f>IF(getCategoryLevelAsString($B137)="L0D_324785","",IF(M137="",CONCATENATE(";",EscStr(CONCATENATE("NavNode_",getCategoryLevelAsString($B137))),";",EscStr($J137),";"),CONCATENATE(";",EscStr(CONCATENATE("NavNode_",getCategoryLevelAsString($B137))),";",EscStr(M137),";")))</f>
        <v>;"NavNode_L2D_379647";"Transformatorer";</v>
      </c>
      <c r="AG137" s="39" t="str">
        <f>IF(getCategoryLevelAsString($B137)="L0D_324785","",IF(N137="",CONCATENATE(";",EscStr(CONCATENATE("NavNode_",getCategoryLevelAsString($B137))),";",EscStr($J137),";"),CONCATENATE(";",EscStr(CONCATENATE("NavNode_",getCategoryLevelAsString($B137))),";",EscStr(N137),";")))</f>
        <v>;"NavNode_L2D_379647";"Transformatorer";</v>
      </c>
      <c r="AH137" s="39" t="str">
        <f>IF(getCategoryLevelAsString($B137)="L0D_324785","",IF(O137="",CONCATENATE(";",EscStr(CONCATENATE("NavNode_",getCategoryLevelAsString($B137))),";",EscStr($J137),";"),CONCATENATE(";",EscStr(CONCATENATE("NavNode_",getCategoryLevelAsString($B137))),";",EscStr(O137),";")))</f>
        <v>;"NavNode_L2D_379647";"Trafod";</v>
      </c>
      <c r="AI137" s="39" t="str">
        <f>IF(getCategoryLevelAsString($B137)="L0D_324785","",IF(P137="",CONCATENATE(";",EscStr(CONCATENATE("NavNode_",getCategoryLevelAsString($B137))),";",EscStr($J137),";"),CONCATENATE(";",EscStr(CONCATENATE("NavNode_",getCategoryLevelAsString($B137))),";",EscStr(P137),";")))</f>
        <v>;"NavNode_L2D_379647";"Muuntajat";</v>
      </c>
      <c r="AJ137" s="39" t="str">
        <f>IF(getCategoryLevelAsString($B137)="L0D_324785","",IF(Q137="",CONCATENATE(";",EscStr(CONCATENATE("NavNode_",getCategoryLevelAsString($B137))),";",EscStr($J137),";"),CONCATENATE(";",EscStr(CONCATENATE("NavNode_",getCategoryLevelAsString($B137))),";",EscStr(Q137),";")))</f>
        <v>;"NavNode_L2D_379647";"Transformatori";</v>
      </c>
      <c r="AK137" s="39" t="str">
        <f>IF(getCategoryLevelAsString($B137)="L0D_324785","",IF(R137="",CONCATENATE(";",EscStr(CONCATENATE("NavNode_",getCategoryLevelAsString($B137))),";",EscStr($J137),";"),CONCATENATE(";",EscStr(CONCATENATE("NavNode_",getCategoryLevelAsString($B137))),";",EscStr(R137),";")))</f>
        <v>;"NavNode_L2D_379647";"Transformatoren";</v>
      </c>
      <c r="AL137" s="39" t="str">
        <f>IF(getCategoryLevelAsString($B137)="L0D_324785","",IF(S137="",CONCATENATE(";",EscStr(CONCATENATE("NavNode_",getCategoryLevelAsString($B137))),";",EscStr($J137),";"),CONCATENATE(";",EscStr(CONCATENATE("NavNode_",getCategoryLevelAsString($B137))),";",EscStr(S137),";")))</f>
        <v>;"NavNode_L2D_379647";"Transformatory";</v>
      </c>
      <c r="AM137" s="39" t="str">
        <f>IF(getCategoryLevelAsString($B137)="L0D_324785","",IF(T137="",CONCATENATE(";",EscStr(CONCATENATE("NavNode_",getCategoryLevelAsString($B137))),";",EscStr($J137),";"),CONCATENATE(";",EscStr(CONCATENATE("NavNode_",getCategoryLevelAsString($B137))),";",EscStr(T137),";")))</f>
        <v>;"NavNode_L2D_379647";"Трансформаторы";</v>
      </c>
      <c r="AN137" s="39" t="str">
        <f>IF(getCategoryLevelAsString($B137)="L0D_324785","",IF(U137="",CONCATENATE(";",EscStr(CONCATENATE("NavNode_",getCategoryLevelAsString($B137))),";",EscStr($J137),";"),CONCATENATE(";",EscStr(CONCATENATE("NavNode_",getCategoryLevelAsString($B137))),";",EscStr(U137),";")))</f>
        <v>;"NavNode_L2D_379647";"Transformátory";</v>
      </c>
      <c r="AO137" s="39" t="str">
        <f>IF(getCategoryLevelAsString($B137)="L0D_324785","",IF(V137="",CONCATENATE(";",EscStr(CONCATENATE("NavNode_",getCategoryLevelAsString($B137))),";",EscStr($J137),";"),CONCATENATE(";",EscStr(CONCATENATE("NavNode_",getCategoryLevelAsString($B137))),";",EscStr(V137),";")))</f>
        <v>;"NavNode_L2D_379647";"Transformatoare";</v>
      </c>
      <c r="AP137" s="39" t="str">
        <f>IF(getCategoryLevelAsString($B137)="L0D_324785","",IF(W137="",CONCATENATE(";",EscStr(CONCATENATE("NavNode_",getCategoryLevelAsString($B137))),";",EscStr($J137),";"),CONCATENATE(";",EscStr(CONCATENATE("NavNode_",getCategoryLevelAsString($B137))),";",EscStr(W137),";")))</f>
        <v>;"NavNode_L2D_379647";"Transzformátorok";</v>
      </c>
      <c r="AQ137" s="39" t="str">
        <f>IF(getCategoryLevelAsString($B137)="L0D_324785","",IF(X137="",CONCATENATE(";",EscStr(CONCATENATE("NavNode_",getCategoryLevelAsString($B137))),";",EscStr($J137),";"),CONCATENATE(";",EscStr(CONCATENATE("NavNode_",getCategoryLevelAsString($B137))),";",EscStr(X137),";")))</f>
        <v>;"NavNode_L2D_379647";"Transformátory";</v>
      </c>
      <c r="AR137" s="39" t="str">
        <f>IF(OR($A137&lt;&gt;"", $G137=""),"",CONCATENATE(";",EscStr(CONCATENATE("NavEntry_",getCategoryLevelAsString($B137))),";",EscStr(CONCATENATE($J137," Navigation Entry")),";",EscStr(CONCATENATE("cat-",getCategoryLevelAsString($B137))),";",EscStr(CONCATENATE("NavNode_",getCategoryLevelAsString($B137))),";"))</f>
        <v>;"NavEntry_L2D_379647";"Transformers Navigation Entry";"cat-L2D_379647";"NavNode_L2D_379647";</v>
      </c>
    </row>
    <row r="138" spans="1:44" s="34" customFormat="1" ht="15" x14ac:dyDescent="0.25">
      <c r="A138" s="25"/>
      <c r="B138" s="5"/>
      <c r="C138" s="5"/>
      <c r="D138" s="5" t="s">
        <v>229</v>
      </c>
      <c r="E138" s="5"/>
      <c r="F138" s="5"/>
      <c r="G138" s="5" t="s">
        <v>521</v>
      </c>
      <c r="H138" s="5" t="s">
        <v>522</v>
      </c>
      <c r="I138" s="5" t="s">
        <v>523</v>
      </c>
      <c r="J138" s="5" t="s">
        <v>230</v>
      </c>
      <c r="K138" s="5" t="s">
        <v>1340</v>
      </c>
      <c r="L138" s="5" t="s">
        <v>1575</v>
      </c>
      <c r="M138" s="5" t="s">
        <v>1788</v>
      </c>
      <c r="N138" s="5" t="s">
        <v>1788</v>
      </c>
      <c r="O138" s="5" t="s">
        <v>3813</v>
      </c>
      <c r="P138" s="5" t="s">
        <v>3814</v>
      </c>
      <c r="Q138" s="5" t="s">
        <v>3815</v>
      </c>
      <c r="R138" s="5" t="s">
        <v>3816</v>
      </c>
      <c r="S138" s="5" t="s">
        <v>3817</v>
      </c>
      <c r="T138" s="5" t="s">
        <v>3818</v>
      </c>
      <c r="U138" s="5" t="s">
        <v>3819</v>
      </c>
      <c r="V138" s="5" t="s">
        <v>3820</v>
      </c>
      <c r="W138" s="5" t="s">
        <v>3821</v>
      </c>
      <c r="X138" s="5" t="s">
        <v>3819</v>
      </c>
      <c r="Y138" s="39" t="str">
        <f>IF(OR($A138&lt;&gt;"", $G138=""),"",CONCATENATE(";",EscStr(CONCATENATE("NavNode_",getCategoryLevelAsString($B138))),";",EscStr($J138),";",IF($B138&lt;&gt;"","""MainCategoryNavNode""",EscStr(CONCATENATE("NavNode_",getSuperCategory($B138, getCategoryLevelAsNumber($B138))))),";"))</f>
        <v>;"NavNode_L3D_525535";"PCB Transformers";"NavNode_L2D_379647";</v>
      </c>
      <c r="Z138" s="39" t="str">
        <f>IF(getCategoryLevelAsString($B138)="L0D_324785","",IF(G138="",CONCATENATE(";",EscStr(CONCATENATE("NavNode_",getCategoryLevelAsString($B138))),";",EscStr($J138),";"),CONCATENATE(";",EscStr(CONCATENATE("NavNode_",getCategoryLevelAsString($B138))),";",EscStr(G138),";")))</f>
        <v>;"NavNode_L3D_525535";"Leiterplattentransformatoren";</v>
      </c>
      <c r="AA138" s="39" t="str">
        <f>IF(getCategoryLevelAsString($B138)="L0D_324785","",IF(H138="",CONCATENATE(";",EscStr(CONCATENATE("NavNode_",getCategoryLevelAsString($B138))),";",EscStr($J138),";"),CONCATENATE(";",EscStr(CONCATENATE("NavNode_",getCategoryLevelAsString($B138))),";",EscStr(H138),";")))</f>
        <v>;"NavNode_L3D_525535";"Transformateurs pour circuits imprimés";</v>
      </c>
      <c r="AB138" s="39" t="str">
        <f>IF(getCategoryLevelAsString($B138)="L0D_324785","",IF(I138="",CONCATENATE(";",EscStr(CONCATENATE("NavNode_",getCategoryLevelAsString($B138))),";",EscStr($J138),";"),CONCATENATE(";",EscStr(CONCATENATE("NavNode_",getCategoryLevelAsString($B138))),";",EscStr(I138),";")))</f>
        <v>;"NavNode_L3D_525535";"Trasformatori per circuiti stampati";</v>
      </c>
      <c r="AC138" s="39" t="str">
        <f>IF(getCategoryLevelAsString($B138)="L0D_324785","",IF(J138="",CONCATENATE(";",EscStr(CONCATENATE("NavNode_",getCategoryLevelAsString($B138))),";",EscStr($J138),";"),CONCATENATE(";",EscStr(CONCATENATE("NavNode_",getCategoryLevelAsString($B138))),";",EscStr(J138),";")))</f>
        <v>;"NavNode_L3D_525535";"PCB Transformers";</v>
      </c>
      <c r="AD138" s="39" t="str">
        <f>IF(getCategoryLevelAsString($B138)="L0D_324785","",IF(K138="",CONCATENATE(";",EscStr(CONCATENATE("NavNode_",getCategoryLevelAsString($B138))),";",EscStr($J138),";"),CONCATENATE(";",EscStr(CONCATENATE("NavNode_",getCategoryLevelAsString($B138))),";",EscStr(K138),";")))</f>
        <v>;"NavNode_L3D_525535";"PCB-transformere";</v>
      </c>
      <c r="AE138" s="39" t="str">
        <f>IF(getCategoryLevelAsString($B138)="L0D_324785","",IF(L138="",CONCATENATE(";",EscStr(CONCATENATE("NavNode_",getCategoryLevelAsString($B138))),";",EscStr($J138),";"),CONCATENATE(";",EscStr(CONCATENATE("NavNode_",getCategoryLevelAsString($B138))),";",EscStr(L138),";")))</f>
        <v>;"NavNode_L3D_525535";"PCB transformatoriai";</v>
      </c>
      <c r="AF138" s="39" t="str">
        <f>IF(getCategoryLevelAsString($B138)="L0D_324785","",IF(M138="",CONCATENATE(";",EscStr(CONCATENATE("NavNode_",getCategoryLevelAsString($B138))),";",EscStr($J138),";"),CONCATENATE(";",EscStr(CONCATENATE("NavNode_",getCategoryLevelAsString($B138))),";",EscStr(M138),";")))</f>
        <v>;"NavNode_L3D_525535";"PCB-transformatorer";</v>
      </c>
      <c r="AG138" s="39" t="str">
        <f>IF(getCategoryLevelAsString($B138)="L0D_324785","",IF(N138="",CONCATENATE(";",EscStr(CONCATENATE("NavNode_",getCategoryLevelAsString($B138))),";",EscStr($J138),";"),CONCATENATE(";",EscStr(CONCATENATE("NavNode_",getCategoryLevelAsString($B138))),";",EscStr(N138),";")))</f>
        <v>;"NavNode_L3D_525535";"PCB-transformatorer";</v>
      </c>
      <c r="AH138" s="39" t="str">
        <f>IF(getCategoryLevelAsString($B138)="L0D_324785","",IF(O138="",CONCATENATE(";",EscStr(CONCATENATE("NavNode_",getCategoryLevelAsString($B138))),";",EscStr($J138),";"),CONCATENATE(";",EscStr(CONCATENATE("NavNode_",getCategoryLevelAsString($B138))),";",EscStr(O138),";")))</f>
        <v>;"NavNode_L3D_525535";"Trükkplaaditrafod";</v>
      </c>
      <c r="AI138" s="39" t="str">
        <f>IF(getCategoryLevelAsString($B138)="L0D_324785","",IF(P138="",CONCATENATE(";",EscStr(CONCATENATE("NavNode_",getCategoryLevelAsString($B138))),";",EscStr($J138),";"),CONCATENATE(";",EscStr(CONCATENATE("NavNode_",getCategoryLevelAsString($B138))),";",EscStr(P138),";")))</f>
        <v>;"NavNode_L3D_525535";"Piirilevymuuntajat";</v>
      </c>
      <c r="AJ138" s="39" t="str">
        <f>IF(getCategoryLevelAsString($B138)="L0D_324785","",IF(Q138="",CONCATENATE(";",EscStr(CONCATENATE("NavNode_",getCategoryLevelAsString($B138))),";",EscStr($J138),";"),CONCATENATE(";",EscStr(CONCATENATE("NavNode_",getCategoryLevelAsString($B138))),";",EscStr(Q138),";")))</f>
        <v>;"NavNode_L3D_525535";"PCB transformatori";</v>
      </c>
      <c r="AK138" s="39" t="str">
        <f>IF(getCategoryLevelAsString($B138)="L0D_324785","",IF(R138="",CONCATENATE(";",EscStr(CONCATENATE("NavNode_",getCategoryLevelAsString($B138))),";",EscStr($J138),";"),CONCATENATE(";",EscStr(CONCATENATE("NavNode_",getCategoryLevelAsString($B138))),";",EscStr(R138),";")))</f>
        <v>;"NavNode_L3D_525535";"Printtransformatoren";</v>
      </c>
      <c r="AL138" s="39" t="str">
        <f>IF(getCategoryLevelAsString($B138)="L0D_324785","",IF(S138="",CONCATENATE(";",EscStr(CONCATENATE("NavNode_",getCategoryLevelAsString($B138))),";",EscStr($J138),";"),CONCATENATE(";",EscStr(CONCATENATE("NavNode_",getCategoryLevelAsString($B138))),";",EscStr(S138),";")))</f>
        <v>;"NavNode_L3D_525535";"Transformatory PCB";</v>
      </c>
      <c r="AM138" s="39" t="str">
        <f>IF(getCategoryLevelAsString($B138)="L0D_324785","",IF(T138="",CONCATENATE(";",EscStr(CONCATENATE("NavNode_",getCategoryLevelAsString($B138))),";",EscStr($J138),";"),CONCATENATE(";",EscStr(CONCATENATE("NavNode_",getCategoryLevelAsString($B138))),";",EscStr(T138),";")))</f>
        <v>;"NavNode_L3D_525535";"PCB трансформаторы";</v>
      </c>
      <c r="AN138" s="39" t="str">
        <f>IF(getCategoryLevelAsString($B138)="L0D_324785","",IF(U138="",CONCATENATE(";",EscStr(CONCATENATE("NavNode_",getCategoryLevelAsString($B138))),";",EscStr($J138),";"),CONCATENATE(";",EscStr(CONCATENATE("NavNode_",getCategoryLevelAsString($B138))),";",EscStr(U138),";")))</f>
        <v>;"NavNode_L3D_525535";"PCB transformátory";</v>
      </c>
      <c r="AO138" s="39" t="str">
        <f>IF(getCategoryLevelAsString($B138)="L0D_324785","",IF(V138="",CONCATENATE(";",EscStr(CONCATENATE("NavNode_",getCategoryLevelAsString($B138))),";",EscStr($J138),";"),CONCATENATE(";",EscStr(CONCATENATE("NavNode_",getCategoryLevelAsString($B138))),";",EscStr(V138),";")))</f>
        <v>;"NavNode_L3D_525535";"Transformatoare de montat pe plăci";</v>
      </c>
      <c r="AP138" s="39" t="str">
        <f>IF(getCategoryLevelAsString($B138)="L0D_324785","",IF(W138="",CONCATENATE(";",EscStr(CONCATENATE("NavNode_",getCategoryLevelAsString($B138))),";",EscStr($J138),";"),CONCATENATE(";",EscStr(CONCATENATE("NavNode_",getCategoryLevelAsString($B138))),";",EscStr(W138),";")))</f>
        <v>;"NavNode_L3D_525535";"NYÁK-ba ültethető transzformátorok";</v>
      </c>
      <c r="AQ138" s="39" t="str">
        <f>IF(getCategoryLevelAsString($B138)="L0D_324785","",IF(X138="",CONCATENATE(";",EscStr(CONCATENATE("NavNode_",getCategoryLevelAsString($B138))),";",EscStr($J138),";"),CONCATENATE(";",EscStr(CONCATENATE("NavNode_",getCategoryLevelAsString($B138))),";",EscStr(X138),";")))</f>
        <v>;"NavNode_L3D_525535";"PCB transformátory";</v>
      </c>
      <c r="AR138" s="39" t="str">
        <f>IF(OR($A138&lt;&gt;"", $G138=""),"",CONCATENATE(";",EscStr(CONCATENATE("NavEntry_",getCategoryLevelAsString($B138))),";",EscStr(CONCATENATE($J138," Navigation Entry")),";",EscStr(CONCATENATE("cat-",getCategoryLevelAsString($B138))),";",EscStr(CONCATENATE("NavNode_",getCategoryLevelAsString($B138))),";"))</f>
        <v>;"NavEntry_L3D_525535";"PCB Transformers Navigation Entry";"cat-L3D_525535";"NavNode_L3D_525535";</v>
      </c>
    </row>
    <row r="139" spans="1:44" s="34" customFormat="1" ht="15" x14ac:dyDescent="0.25">
      <c r="A139" s="25"/>
      <c r="B139" s="5"/>
      <c r="C139" s="5"/>
      <c r="D139" s="5" t="s">
        <v>233</v>
      </c>
      <c r="E139" s="5"/>
      <c r="F139" s="5"/>
      <c r="G139" s="5" t="s">
        <v>527</v>
      </c>
      <c r="H139" s="5" t="s">
        <v>528</v>
      </c>
      <c r="I139" s="5" t="s">
        <v>529</v>
      </c>
      <c r="J139" s="5" t="s">
        <v>234</v>
      </c>
      <c r="K139" s="5" t="s">
        <v>1341</v>
      </c>
      <c r="L139" s="5" t="s">
        <v>1576</v>
      </c>
      <c r="M139" s="5" t="s">
        <v>1789</v>
      </c>
      <c r="N139" s="5" t="s">
        <v>1789</v>
      </c>
      <c r="O139" s="5" t="s">
        <v>3822</v>
      </c>
      <c r="P139" s="5" t="s">
        <v>3823</v>
      </c>
      <c r="Q139" s="5" t="s">
        <v>3824</v>
      </c>
      <c r="R139" s="5" t="s">
        <v>3825</v>
      </c>
      <c r="S139" s="5" t="s">
        <v>3826</v>
      </c>
      <c r="T139" s="5" t="s">
        <v>3827</v>
      </c>
      <c r="U139" s="5" t="s">
        <v>3828</v>
      </c>
      <c r="V139" s="5" t="s">
        <v>3829</v>
      </c>
      <c r="W139" s="5" t="s">
        <v>3830</v>
      </c>
      <c r="X139" s="5" t="s">
        <v>14875</v>
      </c>
      <c r="Y139" s="39" t="str">
        <f>IF(OR($A139&lt;&gt;"", $G139=""),"",CONCATENATE(";",EscStr(CONCATENATE("NavNode_",getCategoryLevelAsString($B139))),";",EscStr($J139),";",IF($B139&lt;&gt;"","""MainCategoryNavNode""",EscStr(CONCATENATE("NavNode_",getSuperCategory($B139, getCategoryLevelAsNumber($B139))))),";"))</f>
        <v>;"NavNode_L3D_525536";"Universal Transformers";"NavNode_L2D_379647";</v>
      </c>
      <c r="Z139" s="39" t="str">
        <f>IF(getCategoryLevelAsString($B139)="L0D_324785","",IF(G139="",CONCATENATE(";",EscStr(CONCATENATE("NavNode_",getCategoryLevelAsString($B139))),";",EscStr($J139),";"),CONCATENATE(";",EscStr(CONCATENATE("NavNode_",getCategoryLevelAsString($B139))),";",EscStr(G139),";")))</f>
        <v>;"NavNode_L3D_525536";"Universaltransformatoren";</v>
      </c>
      <c r="AA139" s="39" t="str">
        <f>IF(getCategoryLevelAsString($B139)="L0D_324785","",IF(H139="",CONCATENATE(";",EscStr(CONCATENATE("NavNode_",getCategoryLevelAsString($B139))),";",EscStr($J139),";"),CONCATENATE(";",EscStr(CONCATENATE("NavNode_",getCategoryLevelAsString($B139))),";",EscStr(H139),";")))</f>
        <v>;"NavNode_L3D_525536";"Transformateurs universels";</v>
      </c>
      <c r="AB139" s="39" t="str">
        <f>IF(getCategoryLevelAsString($B139)="L0D_324785","",IF(I139="",CONCATENATE(";",EscStr(CONCATENATE("NavNode_",getCategoryLevelAsString($B139))),";",EscStr($J139),";"),CONCATENATE(";",EscStr(CONCATENATE("NavNode_",getCategoryLevelAsString($B139))),";",EscStr(I139),";")))</f>
        <v>;"NavNode_L3D_525536";"Trasformatori universali";</v>
      </c>
      <c r="AC139" s="39" t="str">
        <f>IF(getCategoryLevelAsString($B139)="L0D_324785","",IF(J139="",CONCATENATE(";",EscStr(CONCATENATE("NavNode_",getCategoryLevelAsString($B139))),";",EscStr($J139),";"),CONCATENATE(";",EscStr(CONCATENATE("NavNode_",getCategoryLevelAsString($B139))),";",EscStr(J139),";")))</f>
        <v>;"NavNode_L3D_525536";"Universal Transformers";</v>
      </c>
      <c r="AD139" s="39" t="str">
        <f>IF(getCategoryLevelAsString($B139)="L0D_324785","",IF(K139="",CONCATENATE(";",EscStr(CONCATENATE("NavNode_",getCategoryLevelAsString($B139))),";",EscStr($J139),";"),CONCATENATE(";",EscStr(CONCATENATE("NavNode_",getCategoryLevelAsString($B139))),";",EscStr(K139),";")))</f>
        <v>;"NavNode_L3D_525536";"Universaltransformere";</v>
      </c>
      <c r="AE139" s="39" t="str">
        <f>IF(getCategoryLevelAsString($B139)="L0D_324785","",IF(L139="",CONCATENATE(";",EscStr(CONCATENATE("NavNode_",getCategoryLevelAsString($B139))),";",EscStr($J139),";"),CONCATENATE(";",EscStr(CONCATENATE("NavNode_",getCategoryLevelAsString($B139))),";",EscStr(L139),";")))</f>
        <v>;"NavNode_L3D_525536";"Universalieji transformatoriai";</v>
      </c>
      <c r="AF139" s="39" t="str">
        <f>IF(getCategoryLevelAsString($B139)="L0D_324785","",IF(M139="",CONCATENATE(";",EscStr(CONCATENATE("NavNode_",getCategoryLevelAsString($B139))),";",EscStr($J139),";"),CONCATENATE(";",EscStr(CONCATENATE("NavNode_",getCategoryLevelAsString($B139))),";",EscStr(M139),";")))</f>
        <v>;"NavNode_L3D_525536";"Universaltransformatorer";</v>
      </c>
      <c r="AG139" s="39" t="str">
        <f>IF(getCategoryLevelAsString($B139)="L0D_324785","",IF(N139="",CONCATENATE(";",EscStr(CONCATENATE("NavNode_",getCategoryLevelAsString($B139))),";",EscStr($J139),";"),CONCATENATE(";",EscStr(CONCATENATE("NavNode_",getCategoryLevelAsString($B139))),";",EscStr(N139),";")))</f>
        <v>;"NavNode_L3D_525536";"Universaltransformatorer";</v>
      </c>
      <c r="AH139" s="39" t="str">
        <f>IF(getCategoryLevelAsString($B139)="L0D_324785","",IF(O139="",CONCATENATE(";",EscStr(CONCATENATE("NavNode_",getCategoryLevelAsString($B139))),";",EscStr($J139),";"),CONCATENATE(";",EscStr(CONCATENATE("NavNode_",getCategoryLevelAsString($B139))),";",EscStr(O139),";")))</f>
        <v>;"NavNode_L3D_525536";"Universaalsed trafod";</v>
      </c>
      <c r="AI139" s="39" t="str">
        <f>IF(getCategoryLevelAsString($B139)="L0D_324785","",IF(P139="",CONCATENATE(";",EscStr(CONCATENATE("NavNode_",getCategoryLevelAsString($B139))),";",EscStr($J139),";"),CONCATENATE(";",EscStr(CONCATENATE("NavNode_",getCategoryLevelAsString($B139))),";",EscStr(P139),";")))</f>
        <v>;"NavNode_L3D_525536";"Yleismuuntajat";</v>
      </c>
      <c r="AJ139" s="39" t="str">
        <f>IF(getCategoryLevelAsString($B139)="L0D_324785","",IF(Q139="",CONCATENATE(";",EscStr(CONCATENATE("NavNode_",getCategoryLevelAsString($B139))),";",EscStr($J139),";"),CONCATENATE(";",EscStr(CONCATENATE("NavNode_",getCategoryLevelAsString($B139))),";",EscStr(Q139),";")))</f>
        <v>;"NavNode_L3D_525536";"Universālie transformatori";</v>
      </c>
      <c r="AK139" s="39" t="str">
        <f>IF(getCategoryLevelAsString($B139)="L0D_324785","",IF(R139="",CONCATENATE(";",EscStr(CONCATENATE("NavNode_",getCategoryLevelAsString($B139))),";",EscStr($J139),";"),CONCATENATE(";",EscStr(CONCATENATE("NavNode_",getCategoryLevelAsString($B139))),";",EscStr(R139),";")))</f>
        <v>;"NavNode_L3D_525536";"Universele transformatoren";</v>
      </c>
      <c r="AL139" s="39" t="str">
        <f>IF(getCategoryLevelAsString($B139)="L0D_324785","",IF(S139="",CONCATENATE(";",EscStr(CONCATENATE("NavNode_",getCategoryLevelAsString($B139))),";",EscStr($J139),";"),CONCATENATE(";",EscStr(CONCATENATE("NavNode_",getCategoryLevelAsString($B139))),";",EscStr(S139),";")))</f>
        <v>;"NavNode_L3D_525536";"Transformatory uniwersalne";</v>
      </c>
      <c r="AM139" s="39" t="str">
        <f>IF(getCategoryLevelAsString($B139)="L0D_324785","",IF(T139="",CONCATENATE(";",EscStr(CONCATENATE("NavNode_",getCategoryLevelAsString($B139))),";",EscStr($J139),";"),CONCATENATE(";",EscStr(CONCATENATE("NavNode_",getCategoryLevelAsString($B139))),";",EscStr(T139),";")))</f>
        <v>;"NavNode_L3D_525536";"Универсальные  трансформаторы";</v>
      </c>
      <c r="AN139" s="39" t="str">
        <f>IF(getCategoryLevelAsString($B139)="L0D_324785","",IF(U139="",CONCATENATE(";",EscStr(CONCATENATE("NavNode_",getCategoryLevelAsString($B139))),";",EscStr($J139),";"),CONCATENATE(";",EscStr(CONCATENATE("NavNode_",getCategoryLevelAsString($B139))),";",EscStr(U139),";")))</f>
        <v>;"NavNode_L3D_525536";"Univerzální transformátory";</v>
      </c>
      <c r="AO139" s="39" t="str">
        <f>IF(getCategoryLevelAsString($B139)="L0D_324785","",IF(V139="",CONCATENATE(";",EscStr(CONCATENATE("NavNode_",getCategoryLevelAsString($B139))),";",EscStr($J139),";"),CONCATENATE(";",EscStr(CONCATENATE("NavNode_",getCategoryLevelAsString($B139))),";",EscStr(V139),";")))</f>
        <v>;"NavNode_L3D_525536";"Transformatoare universale";</v>
      </c>
      <c r="AP139" s="39" t="str">
        <f>IF(getCategoryLevelAsString($B139)="L0D_324785","",IF(W139="",CONCATENATE(";",EscStr(CONCATENATE("NavNode_",getCategoryLevelAsString($B139))),";",EscStr($J139),";"),CONCATENATE(";",EscStr(CONCATENATE("NavNode_",getCategoryLevelAsString($B139))),";",EscStr(W139),";")))</f>
        <v>;"NavNode_L3D_525536";"Univerzális transzformátorok";</v>
      </c>
      <c r="AQ139" s="39" t="str">
        <f>IF(getCategoryLevelAsString($B139)="L0D_324785","",IF(X139="",CONCATENATE(";",EscStr(CONCATENATE("NavNode_",getCategoryLevelAsString($B139))),";",EscStr($J139),";"),CONCATENATE(";",EscStr(CONCATENATE("NavNode_",getCategoryLevelAsString($B139))),";",EscStr(X139),";")))</f>
        <v>;"NavNode_L3D_525536";"Univerzálne transformátory";</v>
      </c>
      <c r="AR139" s="39" t="str">
        <f>IF(OR($A139&lt;&gt;"", $G139=""),"",CONCATENATE(";",EscStr(CONCATENATE("NavEntry_",getCategoryLevelAsString($B139))),";",EscStr(CONCATENATE($J139," Navigation Entry")),";",EscStr(CONCATENATE("cat-",getCategoryLevelAsString($B139))),";",EscStr(CONCATENATE("NavNode_",getCategoryLevelAsString($B139))),";"))</f>
        <v>;"NavEntry_L3D_525536";"Universal Transformers Navigation Entry";"cat-L3D_525536";"NavNode_L3D_525536";</v>
      </c>
    </row>
    <row r="140" spans="1:44" s="34" customFormat="1" ht="15" x14ac:dyDescent="0.25">
      <c r="A140" s="25"/>
      <c r="B140" s="5"/>
      <c r="C140" s="5"/>
      <c r="D140" s="5" t="s">
        <v>227</v>
      </c>
      <c r="E140" s="5"/>
      <c r="F140" s="5"/>
      <c r="G140" s="5" t="s">
        <v>518</v>
      </c>
      <c r="H140" s="5" t="s">
        <v>519</v>
      </c>
      <c r="I140" s="5" t="s">
        <v>520</v>
      </c>
      <c r="J140" s="5" t="s">
        <v>228</v>
      </c>
      <c r="K140" s="5" t="s">
        <v>1342</v>
      </c>
      <c r="L140" s="5" t="s">
        <v>1577</v>
      </c>
      <c r="M140" s="5" t="s">
        <v>1790</v>
      </c>
      <c r="N140" s="5" t="s">
        <v>1998</v>
      </c>
      <c r="O140" s="5" t="s">
        <v>3831</v>
      </c>
      <c r="P140" s="5" t="s">
        <v>3832</v>
      </c>
      <c r="Q140" s="5" t="s">
        <v>3833</v>
      </c>
      <c r="R140" s="5" t="s">
        <v>3834</v>
      </c>
      <c r="S140" s="5" t="s">
        <v>3835</v>
      </c>
      <c r="T140" s="5" t="s">
        <v>3836</v>
      </c>
      <c r="U140" s="5" t="s">
        <v>3837</v>
      </c>
      <c r="V140" s="5" t="s">
        <v>3838</v>
      </c>
      <c r="W140" s="5" t="s">
        <v>3839</v>
      </c>
      <c r="X140" s="5" t="s">
        <v>14876</v>
      </c>
      <c r="Y140" s="39" t="str">
        <f>IF(OR($A140&lt;&gt;"", $G140=""),"",CONCATENATE(";",EscStr(CONCATENATE("NavNode_",getCategoryLevelAsString($B140))),";",EscStr($J140),";",IF($B140&lt;&gt;"","""MainCategoryNavNode""",EscStr(CONCATENATE("NavNode_",getSuperCategory($B140, getCategoryLevelAsNumber($B140))))),";"))</f>
        <v>;"NavNode_L3D_525537";"Control Transformers";"NavNode_L2D_379647";</v>
      </c>
      <c r="Z140" s="39" t="str">
        <f>IF(getCategoryLevelAsString($B140)="L0D_324785","",IF(G140="",CONCATENATE(";",EscStr(CONCATENATE("NavNode_",getCategoryLevelAsString($B140))),";",EscStr($J140),";"),CONCATENATE(";",EscStr(CONCATENATE("NavNode_",getCategoryLevelAsString($B140))),";",EscStr(G140),";")))</f>
        <v>;"NavNode_L3D_525537";"Steuertransformator";</v>
      </c>
      <c r="AA140" s="39" t="str">
        <f>IF(getCategoryLevelAsString($B140)="L0D_324785","",IF(H140="",CONCATENATE(";",EscStr(CONCATENATE("NavNode_",getCategoryLevelAsString($B140))),";",EscStr($J140),";"),CONCATENATE(";",EscStr(CONCATENATE("NavNode_",getCategoryLevelAsString($B140))),";",EscStr(H140),";")))</f>
        <v>;"NavNode_L3D_525537";"Transformateurs de commande";</v>
      </c>
      <c r="AB140" s="39" t="str">
        <f>IF(getCategoryLevelAsString($B140)="L0D_324785","",IF(I140="",CONCATENATE(";",EscStr(CONCATENATE("NavNode_",getCategoryLevelAsString($B140))),";",EscStr($J140),";"),CONCATENATE(";",EscStr(CONCATENATE("NavNode_",getCategoryLevelAsString($B140))),";",EscStr(I140),";")))</f>
        <v>;"NavNode_L3D_525537";"Trasformatori di comando";</v>
      </c>
      <c r="AC140" s="39" t="str">
        <f>IF(getCategoryLevelAsString($B140)="L0D_324785","",IF(J140="",CONCATENATE(";",EscStr(CONCATENATE("NavNode_",getCategoryLevelAsString($B140))),";",EscStr($J140),";"),CONCATENATE(";",EscStr(CONCATENATE("NavNode_",getCategoryLevelAsString($B140))),";",EscStr(J140),";")))</f>
        <v>;"NavNode_L3D_525537";"Control Transformers";</v>
      </c>
      <c r="AD140" s="39" t="str">
        <f>IF(getCategoryLevelAsString($B140)="L0D_324785","",IF(K140="",CONCATENATE(";",EscStr(CONCATENATE("NavNode_",getCategoryLevelAsString($B140))),";",EscStr($J140),";"),CONCATENATE(";",EscStr(CONCATENATE("NavNode_",getCategoryLevelAsString($B140))),";",EscStr(K140),";")))</f>
        <v>;"NavNode_L3D_525537";"Styretransformer";</v>
      </c>
      <c r="AE140" s="39" t="str">
        <f>IF(getCategoryLevelAsString($B140)="L0D_324785","",IF(L140="",CONCATENATE(";",EscStr(CONCATENATE("NavNode_",getCategoryLevelAsString($B140))),";",EscStr($J140),";"),CONCATENATE(";",EscStr(CONCATENATE("NavNode_",getCategoryLevelAsString($B140))),";",EscStr(L140),";")))</f>
        <v>;"NavNode_L3D_525537";"Valdymo transformatoriai";</v>
      </c>
      <c r="AF140" s="39" t="str">
        <f>IF(getCategoryLevelAsString($B140)="L0D_324785","",IF(M140="",CONCATENATE(";",EscStr(CONCATENATE("NavNode_",getCategoryLevelAsString($B140))),";",EscStr($J140),";"),CONCATENATE(";",EscStr(CONCATENATE("NavNode_",getCategoryLevelAsString($B140))),";",EscStr(M140),";")))</f>
        <v>;"NavNode_L3D_525537";"Styretransformatorer";</v>
      </c>
      <c r="AG140" s="39" t="str">
        <f>IF(getCategoryLevelAsString($B140)="L0D_324785","",IF(N140="",CONCATENATE(";",EscStr(CONCATENATE("NavNode_",getCategoryLevelAsString($B140))),";",EscStr($J140),";"),CONCATENATE(";",EscStr(CONCATENATE("NavNode_",getCategoryLevelAsString($B140))),";",EscStr(N140),";")))</f>
        <v>;"NavNode_L3D_525537";"Styrtransformator";</v>
      </c>
      <c r="AH140" s="39" t="str">
        <f>IF(getCategoryLevelAsString($B140)="L0D_324785","",IF(O140="",CONCATENATE(";",EscStr(CONCATENATE("NavNode_",getCategoryLevelAsString($B140))),";",EscStr($J140),";"),CONCATENATE(";",EscStr(CONCATENATE("NavNode_",getCategoryLevelAsString($B140))),";",EscStr(O140),";")))</f>
        <v>;"NavNode_L3D_525537";"Kontrolltrafod";</v>
      </c>
      <c r="AI140" s="39" t="str">
        <f>IF(getCategoryLevelAsString($B140)="L0D_324785","",IF(P140="",CONCATENATE(";",EscStr(CONCATENATE("NavNode_",getCategoryLevelAsString($B140))),";",EscStr($J140),";"),CONCATENATE(";",EscStr(CONCATENATE("NavNode_",getCategoryLevelAsString($B140))),";",EscStr(P140),";")))</f>
        <v>;"NavNode_L3D_525537";"Ohjausmuuntajat";</v>
      </c>
      <c r="AJ140" s="39" t="str">
        <f>IF(getCategoryLevelAsString($B140)="L0D_324785","",IF(Q140="",CONCATENATE(";",EscStr(CONCATENATE("NavNode_",getCategoryLevelAsString($B140))),";",EscStr($J140),";"),CONCATENATE(";",EscStr(CONCATENATE("NavNode_",getCategoryLevelAsString($B140))),";",EscStr(Q140),";")))</f>
        <v>;"NavNode_L3D_525537";"Vadības transformatori";</v>
      </c>
      <c r="AK140" s="39" t="str">
        <f>IF(getCategoryLevelAsString($B140)="L0D_324785","",IF(R140="",CONCATENATE(";",EscStr(CONCATENATE("NavNode_",getCategoryLevelAsString($B140))),";",EscStr($J140),";"),CONCATENATE(";",EscStr(CONCATENATE("NavNode_",getCategoryLevelAsString($B140))),";",EscStr(R140),";")))</f>
        <v>;"NavNode_L3D_525537";"Stuurtransformatoren";</v>
      </c>
      <c r="AL140" s="39" t="str">
        <f>IF(getCategoryLevelAsString($B140)="L0D_324785","",IF(S140="",CONCATENATE(";",EscStr(CONCATENATE("NavNode_",getCategoryLevelAsString($B140))),";",EscStr($J140),";"),CONCATENATE(";",EscStr(CONCATENATE("NavNode_",getCategoryLevelAsString($B140))),";",EscStr(S140),";")))</f>
        <v>;"NavNode_L3D_525537";"Transformatory sterujące";</v>
      </c>
      <c r="AM140" s="39" t="str">
        <f>IF(getCategoryLevelAsString($B140)="L0D_324785","",IF(T140="",CONCATENATE(";",EscStr(CONCATENATE("NavNode_",getCategoryLevelAsString($B140))),";",EscStr($J140),";"),CONCATENATE(";",EscStr(CONCATENATE("NavNode_",getCategoryLevelAsString($B140))),";",EscStr(T140),";")))</f>
        <v>;"NavNode_L3D_525537";"Управляющие трансформаторы";</v>
      </c>
      <c r="AN140" s="39" t="str">
        <f>IF(getCategoryLevelAsString($B140)="L0D_324785","",IF(U140="",CONCATENATE(";",EscStr(CONCATENATE("NavNode_",getCategoryLevelAsString($B140))),";",EscStr($J140),";"),CONCATENATE(";",EscStr(CONCATENATE("NavNode_",getCategoryLevelAsString($B140))),";",EscStr(U140),";")))</f>
        <v>;"NavNode_L3D_525537";"Ovládací transformátory";</v>
      </c>
      <c r="AO140" s="39" t="str">
        <f>IF(getCategoryLevelAsString($B140)="L0D_324785","",IF(V140="",CONCATENATE(";",EscStr(CONCATENATE("NavNode_",getCategoryLevelAsString($B140))),";",EscStr($J140),";"),CONCATENATE(";",EscStr(CONCATENATE("NavNode_",getCategoryLevelAsString($B140))),";",EscStr(V140),";")))</f>
        <v>;"NavNode_L3D_525537";"Transformator de control";</v>
      </c>
      <c r="AP140" s="39" t="str">
        <f>IF(getCategoryLevelAsString($B140)="L0D_324785","",IF(W140="",CONCATENATE(";",EscStr(CONCATENATE("NavNode_",getCategoryLevelAsString($B140))),";",EscStr($J140),";"),CONCATENATE(";",EscStr(CONCATENATE("NavNode_",getCategoryLevelAsString($B140))),";",EscStr(W140),";")))</f>
        <v>;"NavNode_L3D_525537";"Vezérlőtranszformátor";</v>
      </c>
      <c r="AQ140" s="39" t="str">
        <f>IF(getCategoryLevelAsString($B140)="L0D_324785","",IF(X140="",CONCATENATE(";",EscStr(CONCATENATE("NavNode_",getCategoryLevelAsString($B140))),";",EscStr($J140),";"),CONCATENATE(";",EscStr(CONCATENATE("NavNode_",getCategoryLevelAsString($B140))),";",EscStr(X140),";")))</f>
        <v>;"NavNode_L3D_525537";"Ovládacie transformátory";</v>
      </c>
      <c r="AR140" s="39" t="str">
        <f>IF(OR($A140&lt;&gt;"", $G140=""),"",CONCATENATE(";",EscStr(CONCATENATE("NavEntry_",getCategoryLevelAsString($B140))),";",EscStr(CONCATENATE($J140," Navigation Entry")),";",EscStr(CONCATENATE("cat-",getCategoryLevelAsString($B140))),";",EscStr(CONCATENATE("NavNode_",getCategoryLevelAsString($B140))),";"))</f>
        <v>;"NavEntry_L3D_525537";"Control Transformers Navigation Entry";"cat-L3D_525537";"NavNode_L3D_525537";</v>
      </c>
    </row>
    <row r="141" spans="1:44" s="34" customFormat="1" ht="15" x14ac:dyDescent="0.25">
      <c r="A141" s="25"/>
      <c r="B141" s="5"/>
      <c r="C141" s="5"/>
      <c r="D141" s="5" t="s">
        <v>716</v>
      </c>
      <c r="E141" s="5"/>
      <c r="F141" s="5"/>
      <c r="G141" s="5" t="s">
        <v>1037</v>
      </c>
      <c r="H141" s="5" t="s">
        <v>1066</v>
      </c>
      <c r="I141" s="5" t="s">
        <v>1124</v>
      </c>
      <c r="J141" s="5" t="s">
        <v>904</v>
      </c>
      <c r="K141" s="5" t="s">
        <v>1343</v>
      </c>
      <c r="L141" s="5" t="s">
        <v>1578</v>
      </c>
      <c r="M141" s="5" t="s">
        <v>1791</v>
      </c>
      <c r="N141" s="27" t="s">
        <v>15449</v>
      </c>
      <c r="O141" s="5" t="s">
        <v>3840</v>
      </c>
      <c r="P141" s="5" t="s">
        <v>3841</v>
      </c>
      <c r="Q141" s="5" t="s">
        <v>3842</v>
      </c>
      <c r="R141" s="5" t="s">
        <v>1037</v>
      </c>
      <c r="S141" s="5" t="s">
        <v>3843</v>
      </c>
      <c r="T141" s="5" t="s">
        <v>3844</v>
      </c>
      <c r="U141" s="5" t="s">
        <v>3845</v>
      </c>
      <c r="V141" s="5" t="s">
        <v>3846</v>
      </c>
      <c r="W141" s="5" t="s">
        <v>3847</v>
      </c>
      <c r="X141" s="5" t="s">
        <v>14877</v>
      </c>
      <c r="Y141" s="39" t="str">
        <f>IF(OR($A141&lt;&gt;"", $G141=""),"",CONCATENATE(";",EscStr(CONCATENATE("NavNode_",getCategoryLevelAsString($B141))),";",EscStr($J141),";",IF($B141&lt;&gt;"","""MainCategoryNavNode""",EscStr(CONCATENATE("NavNode_",getSuperCategory($B141, getCategoryLevelAsNumber($B141))))),";"))</f>
        <v>;"NavNode_L3D_531411";"Toroidal core transformers";"NavNode_L2D_379647";</v>
      </c>
      <c r="Z141" s="39" t="str">
        <f>IF(getCategoryLevelAsString($B141)="L0D_324785","",IF(G141="",CONCATENATE(";",EscStr(CONCATENATE("NavNode_",getCategoryLevelAsString($B141))),";",EscStr($J141),";"),CONCATENATE(";",EscStr(CONCATENATE("NavNode_",getCategoryLevelAsString($B141))),";",EscStr(G141),";")))</f>
        <v>;"NavNode_L3D_531411";"Ringkerntransformatoren";</v>
      </c>
      <c r="AA141" s="39" t="str">
        <f>IF(getCategoryLevelAsString($B141)="L0D_324785","",IF(H141="",CONCATENATE(";",EscStr(CONCATENATE("NavNode_",getCategoryLevelAsString($B141))),";",EscStr($J141),";"),CONCATENATE(";",EscStr(CONCATENATE("NavNode_",getCategoryLevelAsString($B141))),";",EscStr(H141),";")))</f>
        <v>;"NavNode_L3D_531411";"Transformateurs à noyau torique";</v>
      </c>
      <c r="AB141" s="39" t="str">
        <f>IF(getCategoryLevelAsString($B141)="L0D_324785","",IF(I141="",CONCATENATE(";",EscStr(CONCATENATE("NavNode_",getCategoryLevelAsString($B141))),";",EscStr($J141),";"),CONCATENATE(";",EscStr(CONCATENATE("NavNode_",getCategoryLevelAsString($B141))),";",EscStr(I141),";")))</f>
        <v>;"NavNode_L3D_531411";"Trasformatori a nucleo toroidale";</v>
      </c>
      <c r="AC141" s="39" t="str">
        <f>IF(getCategoryLevelAsString($B141)="L0D_324785","",IF(J141="",CONCATENATE(";",EscStr(CONCATENATE("NavNode_",getCategoryLevelAsString($B141))),";",EscStr($J141),";"),CONCATENATE(";",EscStr(CONCATENATE("NavNode_",getCategoryLevelAsString($B141))),";",EscStr(J141),";")))</f>
        <v>;"NavNode_L3D_531411";"Toroidal core transformers";</v>
      </c>
      <c r="AD141" s="39" t="str">
        <f>IF(getCategoryLevelAsString($B141)="L0D_324785","",IF(K141="",CONCATENATE(";",EscStr(CONCATENATE("NavNode_",getCategoryLevelAsString($B141))),";",EscStr($J141),";"),CONCATENATE(";",EscStr(CONCATENATE("NavNode_",getCategoryLevelAsString($B141))),";",EscStr(K141),";")))</f>
        <v>;"NavNode_L3D_531411";"Toroidtransformere";</v>
      </c>
      <c r="AE141" s="39" t="str">
        <f>IF(getCategoryLevelAsString($B141)="L0D_324785","",IF(L141="",CONCATENATE(";",EscStr(CONCATENATE("NavNode_",getCategoryLevelAsString($B141))),";",EscStr($J141),";"),CONCATENATE(";",EscStr(CONCATENATE("NavNode_",getCategoryLevelAsString($B141))),";",EscStr(L141),";")))</f>
        <v>;"NavNode_L3D_531411";"Toroidiniai transformatoriai";</v>
      </c>
      <c r="AF141" s="39" t="str">
        <f>IF(getCategoryLevelAsString($B141)="L0D_324785","",IF(M141="",CONCATENATE(";",EscStr(CONCATENATE("NavNode_",getCategoryLevelAsString($B141))),";",EscStr($J141),";"),CONCATENATE(";",EscStr(CONCATENATE("NavNode_",getCategoryLevelAsString($B141))),";",EscStr(M141),";")))</f>
        <v>;"NavNode_L3D_531411";"Ringkjernetransformatorer";</v>
      </c>
      <c r="AG141" s="39" t="str">
        <f>IF(getCategoryLevelAsString($B141)="L0D_324785","",IF(N141="",CONCATENATE(";",EscStr(CONCATENATE("NavNode_",getCategoryLevelAsString($B141))),";",EscStr($J141),";"),CONCATENATE(";",EscStr(CONCATENATE("NavNode_",getCategoryLevelAsString($B141))),";",EscStr(N141),";")))</f>
        <v>;"NavNode_L3D_531411";"Toroidkärnetransformatorer";</v>
      </c>
      <c r="AH141" s="39" t="str">
        <f>IF(getCategoryLevelAsString($B141)="L0D_324785","",IF(O141="",CONCATENATE(";",EscStr(CONCATENATE("NavNode_",getCategoryLevelAsString($B141))),";",EscStr($J141),";"),CONCATENATE(";",EscStr(CONCATENATE("NavNode_",getCategoryLevelAsString($B141))),";",EscStr(O141),";")))</f>
        <v>;"NavNode_L3D_531411";"Toroidtrafod";</v>
      </c>
      <c r="AI141" s="39" t="str">
        <f>IF(getCategoryLevelAsString($B141)="L0D_324785","",IF(P141="",CONCATENATE(";",EscStr(CONCATENATE("NavNode_",getCategoryLevelAsString($B141))),";",EscStr($J141),";"),CONCATENATE(";",EscStr(CONCATENATE("NavNode_",getCategoryLevelAsString($B141))),";",EscStr(P141),";")))</f>
        <v>;"NavNode_L3D_531411";"Rengassydänmuuntajat";</v>
      </c>
      <c r="AJ141" s="39" t="str">
        <f>IF(getCategoryLevelAsString($B141)="L0D_324785","",IF(Q141="",CONCATENATE(";",EscStr(CONCATENATE("NavNode_",getCategoryLevelAsString($B141))),";",EscStr($J141),";"),CONCATENATE(";",EscStr(CONCATENATE("NavNode_",getCategoryLevelAsString($B141))),";",EscStr(Q141),";")))</f>
        <v>;"NavNode_L3D_531411";"Toroidālie transformatori";</v>
      </c>
      <c r="AK141" s="39" t="str">
        <f>IF(getCategoryLevelAsString($B141)="L0D_324785","",IF(R141="",CONCATENATE(";",EscStr(CONCATENATE("NavNode_",getCategoryLevelAsString($B141))),";",EscStr($J141),";"),CONCATENATE(";",EscStr(CONCATENATE("NavNode_",getCategoryLevelAsString($B141))),";",EscStr(R141),";")))</f>
        <v>;"NavNode_L3D_531411";"Ringkerntransformatoren";</v>
      </c>
      <c r="AL141" s="39" t="str">
        <f>IF(getCategoryLevelAsString($B141)="L0D_324785","",IF(S141="",CONCATENATE(";",EscStr(CONCATENATE("NavNode_",getCategoryLevelAsString($B141))),";",EscStr($J141),";"),CONCATENATE(";",EscStr(CONCATENATE("NavNode_",getCategoryLevelAsString($B141))),";",EscStr(S141),";")))</f>
        <v>;"NavNode_L3D_531411";"Transformatory toroidalne";</v>
      </c>
      <c r="AM141" s="39" t="str">
        <f>IF(getCategoryLevelAsString($B141)="L0D_324785","",IF(T141="",CONCATENATE(";",EscStr(CONCATENATE("NavNode_",getCategoryLevelAsString($B141))),";",EscStr($J141),";"),CONCATENATE(";",EscStr(CONCATENATE("NavNode_",getCategoryLevelAsString($B141))),";",EscStr(T141),";")))</f>
        <v>;"NavNode_L3D_531411";"Тороидальный трансформаторы";</v>
      </c>
      <c r="AN141" s="39" t="str">
        <f>IF(getCategoryLevelAsString($B141)="L0D_324785","",IF(U141="",CONCATENATE(";",EscStr(CONCATENATE("NavNode_",getCategoryLevelAsString($B141))),";",EscStr($J141),";"),CONCATENATE(";",EscStr(CONCATENATE("NavNode_",getCategoryLevelAsString($B141))),";",EscStr(U141),";")))</f>
        <v>;"NavNode_L3D_531411";"Toroidní transformátory";</v>
      </c>
      <c r="AO141" s="39" t="str">
        <f>IF(getCategoryLevelAsString($B141)="L0D_324785","",IF(V141="",CONCATENATE(";",EscStr(CONCATENATE("NavNode_",getCategoryLevelAsString($B141))),";",EscStr($J141),";"),CONCATENATE(";",EscStr(CONCATENATE("NavNode_",getCategoryLevelAsString($B141))),";",EscStr(V141),";")))</f>
        <v>;"NavNode_L3D_531411";"Transformatoare toroidale bobinate pe bază de ferită";</v>
      </c>
      <c r="AP141" s="39" t="str">
        <f>IF(getCategoryLevelAsString($B141)="L0D_324785","",IF(W141="",CONCATENATE(";",EscStr(CONCATENATE("NavNode_",getCategoryLevelAsString($B141))),";",EscStr($J141),";"),CONCATENATE(";",EscStr(CONCATENATE("NavNode_",getCategoryLevelAsString($B141))),";",EscStr(W141),";")))</f>
        <v>;"NavNode_L3D_531411";"Gyűrűs vasmagos transzformátorok";</v>
      </c>
      <c r="AQ141" s="39" t="str">
        <f>IF(getCategoryLevelAsString($B141)="L0D_324785","",IF(X141="",CONCATENATE(";",EscStr(CONCATENATE("NavNode_",getCategoryLevelAsString($B141))),";",EscStr($J141),";"),CONCATENATE(";",EscStr(CONCATENATE("NavNode_",getCategoryLevelAsString($B141))),";",EscStr(X141),";")))</f>
        <v>;"NavNode_L3D_531411";"Toroidné transformátory";</v>
      </c>
      <c r="AR141" s="39" t="str">
        <f>IF(OR($A141&lt;&gt;"", $G141=""),"",CONCATENATE(";",EscStr(CONCATENATE("NavEntry_",getCategoryLevelAsString($B141))),";",EscStr(CONCATENATE($J141," Navigation Entry")),";",EscStr(CONCATENATE("cat-",getCategoryLevelAsString($B141))),";",EscStr(CONCATENATE("NavNode_",getCategoryLevelAsString($B141))),";"))</f>
        <v>;"NavEntry_L3D_531411";"Toroidal core transformers Navigation Entry";"cat-L3D_531411";"NavNode_L3D_531411";</v>
      </c>
    </row>
    <row r="142" spans="1:44" s="34" customFormat="1" ht="15" x14ac:dyDescent="0.25">
      <c r="A142" s="25"/>
      <c r="B142" s="5"/>
      <c r="C142" s="5"/>
      <c r="D142" s="5" t="s">
        <v>231</v>
      </c>
      <c r="E142" s="5"/>
      <c r="F142" s="5"/>
      <c r="G142" s="5" t="s">
        <v>524</v>
      </c>
      <c r="H142" s="5" t="s">
        <v>525</v>
      </c>
      <c r="I142" s="5" t="s">
        <v>526</v>
      </c>
      <c r="J142" s="5" t="s">
        <v>232</v>
      </c>
      <c r="K142" s="5" t="s">
        <v>1344</v>
      </c>
      <c r="L142" s="5" t="s">
        <v>1579</v>
      </c>
      <c r="M142" s="5" t="s">
        <v>1792</v>
      </c>
      <c r="N142" s="5" t="s">
        <v>2000</v>
      </c>
      <c r="O142" s="5" t="s">
        <v>3848</v>
      </c>
      <c r="P142" s="5" t="s">
        <v>3151</v>
      </c>
      <c r="Q142" s="5" t="s">
        <v>3849</v>
      </c>
      <c r="R142" s="5" t="s">
        <v>3850</v>
      </c>
      <c r="S142" s="5" t="s">
        <v>3851</v>
      </c>
      <c r="T142" s="5" t="s">
        <v>3852</v>
      </c>
      <c r="U142" s="5" t="s">
        <v>3853</v>
      </c>
      <c r="V142" s="5" t="s">
        <v>3854</v>
      </c>
      <c r="W142" s="5" t="s">
        <v>3855</v>
      </c>
      <c r="X142" s="5" t="s">
        <v>14878</v>
      </c>
      <c r="Y142" s="39" t="str">
        <f>IF(OR($A142&lt;&gt;"", $G142=""),"",CONCATENATE(";",EscStr(CONCATENATE("NavNode_",getCategoryLevelAsString($B142))),";",EscStr($J142),";",IF($B142&lt;&gt;"","""MainCategoryNavNode""",EscStr(CONCATENATE("NavNode_",getSuperCategory($B142, getCategoryLevelAsNumber($B142))))),";"))</f>
        <v>;"NavNode_L3D_525538";"Safety Transformers";"NavNode_L2D_379647";</v>
      </c>
      <c r="Z142" s="39" t="str">
        <f>IF(getCategoryLevelAsString($B142)="L0D_324785","",IF(G142="",CONCATENATE(";",EscStr(CONCATENATE("NavNode_",getCategoryLevelAsString($B142))),";",EscStr($J142),";"),CONCATENATE(";",EscStr(CONCATENATE("NavNode_",getCategoryLevelAsString($B142))),";",EscStr(G142),";")))</f>
        <v>;"NavNode_L3D_525538";"Sicherheitstransformatoren";</v>
      </c>
      <c r="AA142" s="39" t="str">
        <f>IF(getCategoryLevelAsString($B142)="L0D_324785","",IF(H142="",CONCATENATE(";",EscStr(CONCATENATE("NavNode_",getCategoryLevelAsString($B142))),";",EscStr($J142),";"),CONCATENATE(";",EscStr(CONCATENATE("NavNode_",getCategoryLevelAsString($B142))),";",EscStr(H142),";")))</f>
        <v>;"NavNode_L3D_525538";"Transformateurs de sécurité";</v>
      </c>
      <c r="AB142" s="39" t="str">
        <f>IF(getCategoryLevelAsString($B142)="L0D_324785","",IF(I142="",CONCATENATE(";",EscStr(CONCATENATE("NavNode_",getCategoryLevelAsString($B142))),";",EscStr($J142),";"),CONCATENATE(";",EscStr(CONCATENATE("NavNode_",getCategoryLevelAsString($B142))),";",EscStr(I142),";")))</f>
        <v>;"NavNode_L3D_525538";"Trasformatori di sicurezza";</v>
      </c>
      <c r="AC142" s="39" t="str">
        <f>IF(getCategoryLevelAsString($B142)="L0D_324785","",IF(J142="",CONCATENATE(";",EscStr(CONCATENATE("NavNode_",getCategoryLevelAsString($B142))),";",EscStr($J142),";"),CONCATENATE(";",EscStr(CONCATENATE("NavNode_",getCategoryLevelAsString($B142))),";",EscStr(J142),";")))</f>
        <v>;"NavNode_L3D_525538";"Safety Transformers";</v>
      </c>
      <c r="AD142" s="39" t="str">
        <f>IF(getCategoryLevelAsString($B142)="L0D_324785","",IF(K142="",CONCATENATE(";",EscStr(CONCATENATE("NavNode_",getCategoryLevelAsString($B142))),";",EscStr($J142),";"),CONCATENATE(";",EscStr(CONCATENATE("NavNode_",getCategoryLevelAsString($B142))),";",EscStr(K142),";")))</f>
        <v>;"NavNode_L3D_525538";"Sikkerhedstransformere";</v>
      </c>
      <c r="AE142" s="39" t="str">
        <f>IF(getCategoryLevelAsString($B142)="L0D_324785","",IF(L142="",CONCATENATE(";",EscStr(CONCATENATE("NavNode_",getCategoryLevelAsString($B142))),";",EscStr($J142),";"),CONCATENATE(";",EscStr(CONCATENATE("NavNode_",getCategoryLevelAsString($B142))),";",EscStr(L142),";")))</f>
        <v>;"NavNode_L3D_525538";"Apsauginiai transformatoriai";</v>
      </c>
      <c r="AF142" s="39" t="str">
        <f>IF(getCategoryLevelAsString($B142)="L0D_324785","",IF(M142="",CONCATENATE(";",EscStr(CONCATENATE("NavNode_",getCategoryLevelAsString($B142))),";",EscStr($J142),";"),CONCATENATE(";",EscStr(CONCATENATE("NavNode_",getCategoryLevelAsString($B142))),";",EscStr(M142),";")))</f>
        <v>;"NavNode_L3D_525538";"Sikkerhetstransformatorer";</v>
      </c>
      <c r="AG142" s="39" t="str">
        <f>IF(getCategoryLevelAsString($B142)="L0D_324785","",IF(N142="",CONCATENATE(";",EscStr(CONCATENATE("NavNode_",getCategoryLevelAsString($B142))),";",EscStr($J142),";"),CONCATENATE(";",EscStr(CONCATENATE("NavNode_",getCategoryLevelAsString($B142))),";",EscStr(N142),";")))</f>
        <v>;"NavNode_L3D_525538";"Skyddstransformatorer";</v>
      </c>
      <c r="AH142" s="39" t="str">
        <f>IF(getCategoryLevelAsString($B142)="L0D_324785","",IF(O142="",CONCATENATE(";",EscStr(CONCATENATE("NavNode_",getCategoryLevelAsString($B142))),";",EscStr($J142),";"),CONCATENATE(";",EscStr(CONCATENATE("NavNode_",getCategoryLevelAsString($B142))),";",EscStr(O142),";")))</f>
        <v>;"NavNode_L3D_525538";"Ohutustrafod";</v>
      </c>
      <c r="AI142" s="39" t="str">
        <f>IF(getCategoryLevelAsString($B142)="L0D_324785","",IF(P142="",CONCATENATE(";",EscStr(CONCATENATE("NavNode_",getCategoryLevelAsString($B142))),";",EscStr($J142),";"),CONCATENATE(";",EscStr(CONCATENATE("NavNode_",getCategoryLevelAsString($B142))),";",EscStr(P142),";")))</f>
        <v>;"NavNode_L3D_525538";"Suojamuuntajat";</v>
      </c>
      <c r="AJ142" s="39" t="str">
        <f>IF(getCategoryLevelAsString($B142)="L0D_324785","",IF(Q142="",CONCATENATE(";",EscStr(CONCATENATE("NavNode_",getCategoryLevelAsString($B142))),";",EscStr($J142),";"),CONCATENATE(";",EscStr(CONCATENATE("NavNode_",getCategoryLevelAsString($B142))),";",EscStr(Q142),";")))</f>
        <v>;"NavNode_L3D_525538";"Drošības transformatori";</v>
      </c>
      <c r="AK142" s="39" t="str">
        <f>IF(getCategoryLevelAsString($B142)="L0D_324785","",IF(R142="",CONCATENATE(";",EscStr(CONCATENATE("NavNode_",getCategoryLevelAsString($B142))),";",EscStr($J142),";"),CONCATENATE(";",EscStr(CONCATENATE("NavNode_",getCategoryLevelAsString($B142))),";",EscStr(R142),";")))</f>
        <v>;"NavNode_L3D_525538";"Veiligheidstransformatoren";</v>
      </c>
      <c r="AL142" s="39" t="str">
        <f>IF(getCategoryLevelAsString($B142)="L0D_324785","",IF(S142="",CONCATENATE(";",EscStr(CONCATENATE("NavNode_",getCategoryLevelAsString($B142))),";",EscStr($J142),";"),CONCATENATE(";",EscStr(CONCATENATE("NavNode_",getCategoryLevelAsString($B142))),";",EscStr(S142),";")))</f>
        <v>;"NavNode_L3D_525538";"Transformatory bezpieczeństwa";</v>
      </c>
      <c r="AM142" s="39" t="str">
        <f>IF(getCategoryLevelAsString($B142)="L0D_324785","",IF(T142="",CONCATENATE(";",EscStr(CONCATENATE("NavNode_",getCategoryLevelAsString($B142))),";",EscStr($J142),";"),CONCATENATE(";",EscStr(CONCATENATE("NavNode_",getCategoryLevelAsString($B142))),";",EscStr(T142),";")))</f>
        <v>;"NavNode_L3D_525538";"Защитные Трансформаторы";</v>
      </c>
      <c r="AN142" s="39" t="str">
        <f>IF(getCategoryLevelAsString($B142)="L0D_324785","",IF(U142="",CONCATENATE(";",EscStr(CONCATENATE("NavNode_",getCategoryLevelAsString($B142))),";",EscStr($J142),";"),CONCATENATE(";",EscStr(CONCATENATE("NavNode_",getCategoryLevelAsString($B142))),";",EscStr(U142),";")))</f>
        <v>;"NavNode_L3D_525538";"Bezpečnostní transformátory";</v>
      </c>
      <c r="AO142" s="39" t="str">
        <f>IF(getCategoryLevelAsString($B142)="L0D_324785","",IF(V142="",CONCATENATE(";",EscStr(CONCATENATE("NavNode_",getCategoryLevelAsString($B142))),";",EscStr($J142),";"),CONCATENATE(";",EscStr(CONCATENATE("NavNode_",getCategoryLevelAsString($B142))),";",EscStr(V142),";")))</f>
        <v>;"NavNode_L3D_525538";"Transformatoare de siguranţă";</v>
      </c>
      <c r="AP142" s="39" t="str">
        <f>IF(getCategoryLevelAsString($B142)="L0D_324785","",IF(W142="",CONCATENATE(";",EscStr(CONCATENATE("NavNode_",getCategoryLevelAsString($B142))),";",EscStr($J142),";"),CONCATENATE(";",EscStr(CONCATENATE("NavNode_",getCategoryLevelAsString($B142))),";",EscStr(W142),";")))</f>
        <v>;"NavNode_L3D_525538";"Biztonsági transzformátorok";</v>
      </c>
      <c r="AQ142" s="39" t="str">
        <f>IF(getCategoryLevelAsString($B142)="L0D_324785","",IF(X142="",CONCATENATE(";",EscStr(CONCATENATE("NavNode_",getCategoryLevelAsString($B142))),";",EscStr($J142),";"),CONCATENATE(";",EscStr(CONCATENATE("NavNode_",getCategoryLevelAsString($B142))),";",EscStr(X142),";")))</f>
        <v>;"NavNode_L3D_525538";"Bezpečnostné transformátory";</v>
      </c>
      <c r="AR142" s="39" t="str">
        <f>IF(OR($A142&lt;&gt;"", $G142=""),"",CONCATENATE(";",EscStr(CONCATENATE("NavEntry_",getCategoryLevelAsString($B142))),";",EscStr(CONCATENATE($J142," Navigation Entry")),";",EscStr(CONCATENATE("cat-",getCategoryLevelAsString($B142))),";",EscStr(CONCATENATE("NavNode_",getCategoryLevelAsString($B142))),";"))</f>
        <v>;"NavEntry_L3D_525538";"Safety Transformers Navigation Entry";"cat-L3D_525538";"NavNode_L3D_525538";</v>
      </c>
    </row>
    <row r="143" spans="1:44" s="34" customFormat="1" ht="15" x14ac:dyDescent="0.25">
      <c r="A143" s="25"/>
      <c r="B143" s="5"/>
      <c r="C143" s="5"/>
      <c r="D143" s="5" t="s">
        <v>225</v>
      </c>
      <c r="E143" s="5"/>
      <c r="F143" s="5"/>
      <c r="G143" s="5" t="s">
        <v>515</v>
      </c>
      <c r="H143" s="5" t="s">
        <v>516</v>
      </c>
      <c r="I143" s="5" t="s">
        <v>517</v>
      </c>
      <c r="J143" s="5" t="s">
        <v>226</v>
      </c>
      <c r="K143" s="5" t="s">
        <v>1345</v>
      </c>
      <c r="L143" s="5" t="s">
        <v>15151</v>
      </c>
      <c r="M143" s="5" t="s">
        <v>1793</v>
      </c>
      <c r="N143" s="27" t="s">
        <v>15450</v>
      </c>
      <c r="O143" s="5" t="s">
        <v>3856</v>
      </c>
      <c r="P143" s="5" t="s">
        <v>3857</v>
      </c>
      <c r="Q143" s="5" t="s">
        <v>3858</v>
      </c>
      <c r="R143" s="5" t="s">
        <v>3859</v>
      </c>
      <c r="S143" s="5" t="s">
        <v>3860</v>
      </c>
      <c r="T143" s="5" t="s">
        <v>3155</v>
      </c>
      <c r="U143" s="5" t="s">
        <v>3861</v>
      </c>
      <c r="V143" s="5" t="s">
        <v>3862</v>
      </c>
      <c r="W143" s="5" t="s">
        <v>3863</v>
      </c>
      <c r="X143" s="5" t="s">
        <v>14879</v>
      </c>
      <c r="Y143" s="39" t="str">
        <f>IF(OR($A143&lt;&gt;"", $G143=""),"",CONCATENATE(";",EscStr(CONCATENATE("NavNode_",getCategoryLevelAsString($B143))),";",EscStr($J143),";",IF($B143&lt;&gt;"","""MainCategoryNavNode""",EscStr(CONCATENATE("NavNode_",getSuperCategory($B143, getCategoryLevelAsNumber($B143))))),";"))</f>
        <v>;"NavNode_L3D_525539";"Autotransformers / Isolating Transformers";"NavNode_L2D_379647";</v>
      </c>
      <c r="Z143" s="39" t="str">
        <f>IF(getCategoryLevelAsString($B143)="L0D_324785","",IF(G143="",CONCATENATE(";",EscStr(CONCATENATE("NavNode_",getCategoryLevelAsString($B143))),";",EscStr($J143),";"),CONCATENATE(";",EscStr(CONCATENATE("NavNode_",getCategoryLevelAsString($B143))),";",EscStr(G143),";")))</f>
        <v>;"NavNode_L3D_525539";"Vorschalttransformatoren / Anpassungstransformatoren";</v>
      </c>
      <c r="AA143" s="39" t="str">
        <f>IF(getCategoryLevelAsString($B143)="L0D_324785","",IF(H143="",CONCATENATE(";",EscStr(CONCATENATE("NavNode_",getCategoryLevelAsString($B143))),";",EscStr($J143),";"),CONCATENATE(";",EscStr(CONCATENATE("NavNode_",getCategoryLevelAsString($B143))),";",EscStr(H143),";")))</f>
        <v>;"NavNode_L3D_525539";"Autotransformateurs / Transformateurs de séparation";</v>
      </c>
      <c r="AB143" s="39" t="str">
        <f>IF(getCategoryLevelAsString($B143)="L0D_324785","",IF(I143="",CONCATENATE(";",EscStr(CONCATENATE("NavNode_",getCategoryLevelAsString($B143))),";",EscStr($J143),";"),CONCATENATE(";",EscStr(CONCATENATE("NavNode_",getCategoryLevelAsString($B143))),";",EscStr(I143),";")))</f>
        <v>;"NavNode_L3D_525539";"Autotrasformatori / Trasformatori di separazione";</v>
      </c>
      <c r="AC143" s="39" t="str">
        <f>IF(getCategoryLevelAsString($B143)="L0D_324785","",IF(J143="",CONCATENATE(";",EscStr(CONCATENATE("NavNode_",getCategoryLevelAsString($B143))),";",EscStr($J143),";"),CONCATENATE(";",EscStr(CONCATENATE("NavNode_",getCategoryLevelAsString($B143))),";",EscStr(J143),";")))</f>
        <v>;"NavNode_L3D_525539";"Autotransformers / Isolating Transformers";</v>
      </c>
      <c r="AD143" s="39" t="str">
        <f>IF(getCategoryLevelAsString($B143)="L0D_324785","",IF(K143="",CONCATENATE(";",EscStr(CONCATENATE("NavNode_",getCategoryLevelAsString($B143))),";",EscStr($J143),";"),CONCATENATE(";",EscStr(CONCATENATE("NavNode_",getCategoryLevelAsString($B143))),";",EscStr(K143),";")))</f>
        <v>;"NavNode_L3D_525539";"Autotransformere/isoleringstransformere";</v>
      </c>
      <c r="AE143" s="39" t="str">
        <f>IF(getCategoryLevelAsString($B143)="L0D_324785","",IF(L143="",CONCATENATE(";",EscStr(CONCATENATE("NavNode_",getCategoryLevelAsString($B143))),";",EscStr($J143),";"),CONCATENATE(";",EscStr(CONCATENATE("NavNode_",getCategoryLevelAsString($B143))),";",EscStr(L143),";")))</f>
        <v>;"NavNode_L3D_525539";"Autotransformatoriai / Izoliuojantieji transformatoriai";</v>
      </c>
      <c r="AF143" s="39" t="str">
        <f>IF(getCategoryLevelAsString($B143)="L0D_324785","",IF(M143="",CONCATENATE(";",EscStr(CONCATENATE("NavNode_",getCategoryLevelAsString($B143))),";",EscStr($J143),";"),CONCATENATE(";",EscStr(CONCATENATE("NavNode_",getCategoryLevelAsString($B143))),";",EscStr(M143),";")))</f>
        <v>;"NavNode_L3D_525539";"Autotransformatorer/isolasjonstransformatorer";</v>
      </c>
      <c r="AG143" s="39" t="str">
        <f>IF(getCategoryLevelAsString($B143)="L0D_324785","",IF(N143="",CONCATENATE(";",EscStr(CONCATENATE("NavNode_",getCategoryLevelAsString($B143))),";",EscStr($J143),";"),CONCATENATE(";",EscStr(CONCATENATE("NavNode_",getCategoryLevelAsString($B143))),";",EscStr(N143),";")))</f>
        <v>;"NavNode_L3D_525539";"Autotransformatorer/Isolerade transformatorer";</v>
      </c>
      <c r="AH143" s="39" t="str">
        <f>IF(getCategoryLevelAsString($B143)="L0D_324785","",IF(O143="",CONCATENATE(";",EscStr(CONCATENATE("NavNode_",getCategoryLevelAsString($B143))),";",EscStr($J143),";"),CONCATENATE(";",EscStr(CONCATENATE("NavNode_",getCategoryLevelAsString($B143))),";",EscStr(O143),";")))</f>
        <v>;"NavNode_L3D_525539";"Autotrafod / Eraldustrafod";</v>
      </c>
      <c r="AI143" s="39" t="str">
        <f>IF(getCategoryLevelAsString($B143)="L0D_324785","",IF(P143="",CONCATENATE(";",EscStr(CONCATENATE("NavNode_",getCategoryLevelAsString($B143))),";",EscStr($J143),";"),CONCATENATE(";",EscStr(CONCATENATE("NavNode_",getCategoryLevelAsString($B143))),";",EscStr(P143),";")))</f>
        <v>;"NavNode_L3D_525539";"Eristysmuuntajat";</v>
      </c>
      <c r="AJ143" s="39" t="str">
        <f>IF(getCategoryLevelAsString($B143)="L0D_324785","",IF(Q143="",CONCATENATE(";",EscStr(CONCATENATE("NavNode_",getCategoryLevelAsString($B143))),";",EscStr($J143),";"),CONCATENATE(";",EscStr(CONCATENATE("NavNode_",getCategoryLevelAsString($B143))),";",EscStr(Q143),";")))</f>
        <v>;"NavNode_L3D_525539";"Autotransformatori / atdalošie transformatori";</v>
      </c>
      <c r="AK143" s="39" t="str">
        <f>IF(getCategoryLevelAsString($B143)="L0D_324785","",IF(R143="",CONCATENATE(";",EscStr(CONCATENATE("NavNode_",getCategoryLevelAsString($B143))),";",EscStr($J143),";"),CONCATENATE(";",EscStr(CONCATENATE("NavNode_",getCategoryLevelAsString($B143))),";",EscStr(R143),";")))</f>
        <v>;"NavNode_L3D_525539";"Autotransformatoren / Isolatietransformatoren";</v>
      </c>
      <c r="AL143" s="39" t="str">
        <f>IF(getCategoryLevelAsString($B143)="L0D_324785","",IF(S143="",CONCATENATE(";",EscStr(CONCATENATE("NavNode_",getCategoryLevelAsString($B143))),";",EscStr($J143),";"),CONCATENATE(";",EscStr(CONCATENATE("NavNode_",getCategoryLevelAsString($B143))),";",EscStr(S143),";")))</f>
        <v>;"NavNode_L3D_525539";"Autotransformatory / Transformatory separujące";</v>
      </c>
      <c r="AM143" s="39" t="str">
        <f>IF(getCategoryLevelAsString($B143)="L0D_324785","",IF(T143="",CONCATENATE(";",EscStr(CONCATENATE("NavNode_",getCategoryLevelAsString($B143))),";",EscStr($J143),";"),CONCATENATE(";",EscStr(CONCATENATE("NavNode_",getCategoryLevelAsString($B143))),";",EscStr(T143),";")))</f>
        <v>;"NavNode_L3D_525539";"Автотрансформаторы / Разделительные трансформаторы";</v>
      </c>
      <c r="AN143" s="39" t="str">
        <f>IF(getCategoryLevelAsString($B143)="L0D_324785","",IF(U143="",CONCATENATE(";",EscStr(CONCATENATE("NavNode_",getCategoryLevelAsString($B143))),";",EscStr($J143),";"),CONCATENATE(";",EscStr(CONCATENATE("NavNode_",getCategoryLevelAsString($B143))),";",EscStr(U143),";")))</f>
        <v>;"NavNode_L3D_525539";"Autotransformatory";</v>
      </c>
      <c r="AO143" s="39" t="str">
        <f>IF(getCategoryLevelAsString($B143)="L0D_324785","",IF(V143="",CONCATENATE(";",EscStr(CONCATENATE("NavNode_",getCategoryLevelAsString($B143))),";",EscStr($J143),";"),CONCATENATE(";",EscStr(CONCATENATE("NavNode_",getCategoryLevelAsString($B143))),";",EscStr(V143),";")))</f>
        <v>;"NavNode_L3D_525539";"Transformatoare de intrare / transformatoare adaptabile";</v>
      </c>
      <c r="AP143" s="39" t="str">
        <f>IF(getCategoryLevelAsString($B143)="L0D_324785","",IF(W143="",CONCATENATE(";",EscStr(CONCATENATE("NavNode_",getCategoryLevelAsString($B143))),";",EscStr($J143),";"),CONCATENATE(";",EscStr(CONCATENATE("NavNode_",getCategoryLevelAsString($B143))),";",EscStr(W143),";")))</f>
        <v>;"NavNode_L3D_525539";"Előtét transzformátorok / Illesztő transzformátorok";</v>
      </c>
      <c r="AQ143" s="39" t="str">
        <f>IF(getCategoryLevelAsString($B143)="L0D_324785","",IF(X143="",CONCATENATE(";",EscStr(CONCATENATE("NavNode_",getCategoryLevelAsString($B143))),";",EscStr($J143),";"),CONCATENATE(";",EscStr(CONCATENATE("NavNode_",getCategoryLevelAsString($B143))),";",EscStr(X143),";")))</f>
        <v>;"NavNode_L3D_525539";"Autotransformátory";</v>
      </c>
      <c r="AR143" s="39" t="str">
        <f>IF(OR($A143&lt;&gt;"", $G143=""),"",CONCATENATE(";",EscStr(CONCATENATE("NavEntry_",getCategoryLevelAsString($B143))),";",EscStr(CONCATENATE($J143," Navigation Entry")),";",EscStr(CONCATENATE("cat-",getCategoryLevelAsString($B143))),";",EscStr(CONCATENATE("NavNode_",getCategoryLevelAsString($B143))),";"))</f>
        <v>;"NavEntry_L3D_525539";"Autotransformers / Isolating Transformers Navigation Entry";"cat-L3D_525539";"NavNode_L3D_525539";</v>
      </c>
    </row>
    <row r="144" spans="1:44" s="34" customFormat="1" ht="15" x14ac:dyDescent="0.25">
      <c r="A144" s="25"/>
      <c r="B144" s="5"/>
      <c r="C144" s="5"/>
      <c r="D144" s="5" t="s">
        <v>235</v>
      </c>
      <c r="E144" s="5"/>
      <c r="F144" s="5"/>
      <c r="G144" s="5" t="s">
        <v>530</v>
      </c>
      <c r="H144" s="5" t="s">
        <v>481</v>
      </c>
      <c r="I144" s="5" t="s">
        <v>531</v>
      </c>
      <c r="J144" s="5" t="s">
        <v>236</v>
      </c>
      <c r="K144" s="5" t="s">
        <v>1346</v>
      </c>
      <c r="L144" s="5" t="s">
        <v>1581</v>
      </c>
      <c r="M144" s="5" t="s">
        <v>1794</v>
      </c>
      <c r="N144" s="5" t="s">
        <v>2002</v>
      </c>
      <c r="O144" s="5" t="s">
        <v>3864</v>
      </c>
      <c r="P144" s="5" t="s">
        <v>3865</v>
      </c>
      <c r="Q144" s="5" t="s">
        <v>3866</v>
      </c>
      <c r="R144" s="5" t="s">
        <v>530</v>
      </c>
      <c r="S144" s="5" t="s">
        <v>3867</v>
      </c>
      <c r="T144" s="5" t="s">
        <v>3868</v>
      </c>
      <c r="U144" s="5" t="s">
        <v>3869</v>
      </c>
      <c r="V144" s="5" t="s">
        <v>3870</v>
      </c>
      <c r="W144" s="5" t="s">
        <v>3871</v>
      </c>
      <c r="X144" s="5" t="s">
        <v>14880</v>
      </c>
      <c r="Y144" s="39" t="str">
        <f>IF(OR($A144&lt;&gt;"", $G144=""),"",CONCATENATE(";",EscStr(CONCATENATE("NavNode_",getCategoryLevelAsString($B144))),";",EscStr($J144),";",IF($B144&lt;&gt;"","""MainCategoryNavNode""",EscStr(CONCATENATE("NavNode_",getSuperCategory($B144, getCategoryLevelAsNumber($B144))))),";"))</f>
        <v>;"NavNode_L3D_525540";"Variable Transformers";"NavNode_L2D_379647";</v>
      </c>
      <c r="Z144" s="39" t="str">
        <f>IF(getCategoryLevelAsString($B144)="L0D_324785","",IF(G144="",CONCATENATE(";",EscStr(CONCATENATE("NavNode_",getCategoryLevelAsString($B144))),";",EscStr($J144),";"),CONCATENATE(";",EscStr(CONCATENATE("NavNode_",getCategoryLevelAsString($B144))),";",EscStr(G144),";")))</f>
        <v>;"NavNode_L3D_525540";"Regeltransformatoren";</v>
      </c>
      <c r="AA144" s="39" t="str">
        <f>IF(getCategoryLevelAsString($B144)="L0D_324785","",IF(H144="",CONCATENATE(";",EscStr(CONCATENATE("NavNode_",getCategoryLevelAsString($B144))),";",EscStr($J144),";"),CONCATENATE(";",EscStr(CONCATENATE("NavNode_",getCategoryLevelAsString($B144))),";",EscStr(H144),";")))</f>
        <v>;"NavNode_L3D_525540";"Transformateurs de réglage";</v>
      </c>
      <c r="AB144" s="39" t="str">
        <f>IF(getCategoryLevelAsString($B144)="L0D_324785","",IF(I144="",CONCATENATE(";",EscStr(CONCATENATE("NavNode_",getCategoryLevelAsString($B144))),";",EscStr($J144),";"),CONCATENATE(";",EscStr(CONCATENATE("NavNode_",getCategoryLevelAsString($B144))),";",EscStr(I144),";")))</f>
        <v>;"NavNode_L3D_525540";"Trasformatori variabili";</v>
      </c>
      <c r="AC144" s="39" t="str">
        <f>IF(getCategoryLevelAsString($B144)="L0D_324785","",IF(J144="",CONCATENATE(";",EscStr(CONCATENATE("NavNode_",getCategoryLevelAsString($B144))),";",EscStr($J144),";"),CONCATENATE(";",EscStr(CONCATENATE("NavNode_",getCategoryLevelAsString($B144))),";",EscStr(J144),";")))</f>
        <v>;"NavNode_L3D_525540";"Variable Transformers";</v>
      </c>
      <c r="AD144" s="39" t="str">
        <f>IF(getCategoryLevelAsString($B144)="L0D_324785","",IF(K144="",CONCATENATE(";",EscStr(CONCATENATE("NavNode_",getCategoryLevelAsString($B144))),";",EscStr($J144),";"),CONCATENATE(";",EscStr(CONCATENATE("NavNode_",getCategoryLevelAsString($B144))),";",EscStr(K144),";")))</f>
        <v>;"NavNode_L3D_525540";"Variable transformere";</v>
      </c>
      <c r="AE144" s="39" t="str">
        <f>IF(getCategoryLevelAsString($B144)="L0D_324785","",IF(L144="",CONCATENATE(";",EscStr(CONCATENATE("NavNode_",getCategoryLevelAsString($B144))),";",EscStr($J144),";"),CONCATENATE(";",EscStr(CONCATENATE("NavNode_",getCategoryLevelAsString($B144))),";",EscStr(L144),";")))</f>
        <v>;"NavNode_L3D_525540";"Reguliuojamieji transformatoriai";</v>
      </c>
      <c r="AF144" s="39" t="str">
        <f>IF(getCategoryLevelAsString($B144)="L0D_324785","",IF(M144="",CONCATENATE(";",EscStr(CONCATENATE("NavNode_",getCategoryLevelAsString($B144))),";",EscStr($J144),";"),CONCATENATE(";",EscStr(CONCATENATE("NavNode_",getCategoryLevelAsString($B144))),";",EscStr(M144),";")))</f>
        <v>;"NavNode_L3D_525540";"Variable transformatorer";</v>
      </c>
      <c r="AG144" s="39" t="str">
        <f>IF(getCategoryLevelAsString($B144)="L0D_324785","",IF(N144="",CONCATENATE(";",EscStr(CONCATENATE("NavNode_",getCategoryLevelAsString($B144))),";",EscStr($J144),";"),CONCATENATE(";",EscStr(CONCATENATE("NavNode_",getCategoryLevelAsString($B144))),";",EscStr(N144),";")))</f>
        <v>;"NavNode_L3D_525540";"Reglerbara transformatorer";</v>
      </c>
      <c r="AH144" s="39" t="str">
        <f>IF(getCategoryLevelAsString($B144)="L0D_324785","",IF(O144="",CONCATENATE(";",EscStr(CONCATENATE("NavNode_",getCategoryLevelAsString($B144))),";",EscStr($J144),";"),CONCATENATE(";",EscStr(CONCATENATE("NavNode_",getCategoryLevelAsString($B144))),";",EscStr(O144),";")))</f>
        <v>;"NavNode_L3D_525540";"Autotrafod";</v>
      </c>
      <c r="AI144" s="39" t="str">
        <f>IF(getCategoryLevelAsString($B144)="L0D_324785","",IF(P144="",CONCATENATE(";",EscStr(CONCATENATE("NavNode_",getCategoryLevelAsString($B144))),";",EscStr($J144),";"),CONCATENATE(";",EscStr(CONCATENATE("NavNode_",getCategoryLevelAsString($B144))),";",EscStr(P144),";")))</f>
        <v>;"NavNode_L3D_525540";"Säädettävät muuntajat";</v>
      </c>
      <c r="AJ144" s="39" t="str">
        <f>IF(getCategoryLevelAsString($B144)="L0D_324785","",IF(Q144="",CONCATENATE(";",EscStr(CONCATENATE("NavNode_",getCategoryLevelAsString($B144))),";",EscStr($J144),";"),CONCATENATE(";",EscStr(CONCATENATE("NavNode_",getCategoryLevelAsString($B144))),";",EscStr(Q144),";")))</f>
        <v>;"NavNode_L3D_525540";"Regulējami transformatori";</v>
      </c>
      <c r="AK144" s="39" t="str">
        <f>IF(getCategoryLevelAsString($B144)="L0D_324785","",IF(R144="",CONCATENATE(";",EscStr(CONCATENATE("NavNode_",getCategoryLevelAsString($B144))),";",EscStr($J144),";"),CONCATENATE(";",EscStr(CONCATENATE("NavNode_",getCategoryLevelAsString($B144))),";",EscStr(R144),";")))</f>
        <v>;"NavNode_L3D_525540";"Regeltransformatoren";</v>
      </c>
      <c r="AL144" s="39" t="str">
        <f>IF(getCategoryLevelAsString($B144)="L0D_324785","",IF(S144="",CONCATENATE(";",EscStr(CONCATENATE("NavNode_",getCategoryLevelAsString($B144))),";",EscStr($J144),";"),CONCATENATE(";",EscStr(CONCATENATE("NavNode_",getCategoryLevelAsString($B144))),";",EscStr(S144),";")))</f>
        <v>;"NavNode_L3D_525540";"Transformatory regulowane";</v>
      </c>
      <c r="AM144" s="39" t="str">
        <f>IF(getCategoryLevelAsString($B144)="L0D_324785","",IF(T144="",CONCATENATE(";",EscStr(CONCATENATE("NavNode_",getCategoryLevelAsString($B144))),";",EscStr($J144),";"),CONCATENATE(";",EscStr(CONCATENATE("NavNode_",getCategoryLevelAsString($B144))),";",EscStr(T144),";")))</f>
        <v>;"NavNode_L3D_525540";"Поворотные трансформаторы";</v>
      </c>
      <c r="AN144" s="39" t="str">
        <f>IF(getCategoryLevelAsString($B144)="L0D_324785","",IF(U144="",CONCATENATE(";",EscStr(CONCATENATE("NavNode_",getCategoryLevelAsString($B144))),";",EscStr($J144),";"),CONCATENATE(";",EscStr(CONCATENATE("NavNode_",getCategoryLevelAsString($B144))),";",EscStr(U144),";")))</f>
        <v>;"NavNode_L3D_525540";"Regulační transformátory";</v>
      </c>
      <c r="AO144" s="39" t="str">
        <f>IF(getCategoryLevelAsString($B144)="L0D_324785","",IF(V144="",CONCATENATE(";",EscStr(CONCATENATE("NavNode_",getCategoryLevelAsString($B144))),";",EscStr($J144),";"),CONCATENATE(";",EscStr(CONCATENATE("NavNode_",getCategoryLevelAsString($B144))),";",EscStr(V144),";")))</f>
        <v>;"NavNode_L3D_525540";"Transformatoare reglabile";</v>
      </c>
      <c r="AP144" s="39" t="str">
        <f>IF(getCategoryLevelAsString($B144)="L0D_324785","",IF(W144="",CONCATENATE(";",EscStr(CONCATENATE("NavNode_",getCategoryLevelAsString($B144))),";",EscStr($J144),";"),CONCATENATE(";",EscStr(CONCATENATE("NavNode_",getCategoryLevelAsString($B144))),";",EscStr(W144),";")))</f>
        <v>;"NavNode_L3D_525540";"Szabályozó transzformátorok";</v>
      </c>
      <c r="AQ144" s="39" t="str">
        <f>IF(getCategoryLevelAsString($B144)="L0D_324785","",IF(X144="",CONCATENATE(";",EscStr(CONCATENATE("NavNode_",getCategoryLevelAsString($B144))),";",EscStr($J144),";"),CONCATENATE(";",EscStr(CONCATENATE("NavNode_",getCategoryLevelAsString($B144))),";",EscStr(X144),";")))</f>
        <v>;"NavNode_L3D_525540";"Regulačné transformátory";</v>
      </c>
      <c r="AR144" s="39" t="str">
        <f>IF(OR($A144&lt;&gt;"", $G144=""),"",CONCATENATE(";",EscStr(CONCATENATE("NavEntry_",getCategoryLevelAsString($B144))),";",EscStr(CONCATENATE($J144," Navigation Entry")),";",EscStr(CONCATENATE("cat-",getCategoryLevelAsString($B144))),";",EscStr(CONCATENATE("NavNode_",getCategoryLevelAsString($B144))),";"))</f>
        <v>;"NavEntry_L3D_525540";"Variable Transformers Navigation Entry";"cat-L3D_525540";"NavNode_L3D_525540";</v>
      </c>
    </row>
    <row r="145" spans="1:44" s="34" customFormat="1" ht="15" x14ac:dyDescent="0.25">
      <c r="A145" s="25"/>
      <c r="B145" s="5"/>
      <c r="C145" s="5" t="s">
        <v>48</v>
      </c>
      <c r="D145" s="5"/>
      <c r="E145" s="5"/>
      <c r="F145" s="5"/>
      <c r="G145" s="5" t="s">
        <v>455</v>
      </c>
      <c r="H145" s="5" t="s">
        <v>456</v>
      </c>
      <c r="I145" s="5" t="s">
        <v>457</v>
      </c>
      <c r="J145" s="5" t="s">
        <v>458</v>
      </c>
      <c r="K145" s="5" t="s">
        <v>13832</v>
      </c>
      <c r="L145" s="5" t="s">
        <v>15152</v>
      </c>
      <c r="M145" s="5" t="s">
        <v>1795</v>
      </c>
      <c r="N145" s="27" t="s">
        <v>15451</v>
      </c>
      <c r="O145" s="5" t="s">
        <v>3872</v>
      </c>
      <c r="P145" s="5" t="s">
        <v>3873</v>
      </c>
      <c r="Q145" s="5" t="s">
        <v>3874</v>
      </c>
      <c r="R145" s="5" t="s">
        <v>3875</v>
      </c>
      <c r="S145" s="5" t="s">
        <v>3876</v>
      </c>
      <c r="T145" s="5" t="s">
        <v>3877</v>
      </c>
      <c r="U145" s="5" t="s">
        <v>3878</v>
      </c>
      <c r="V145" s="5" t="s">
        <v>3879</v>
      </c>
      <c r="W145" s="5" t="s">
        <v>3880</v>
      </c>
      <c r="X145" s="5" t="s">
        <v>14881</v>
      </c>
      <c r="Y145" s="39" t="str">
        <f>IF(OR($A145&lt;&gt;"", $G145=""),"",CONCATENATE(";",EscStr(CONCATENATE("NavNode_",getCategoryLevelAsString($B145))),";",EscStr($J145),";",IF($B145&lt;&gt;"","""MainCategoryNavNode""",EscStr(CONCATENATE("NavNode_",getSuperCategory($B145, getCategoryLevelAsNumber($B145))))),";"))</f>
        <v>;"NavNode_L2D_379649";"Batteries / Chargers / Renewable";"NavNode_Power Supplies / Batteries / Transformers";</v>
      </c>
      <c r="Z145" s="39" t="str">
        <f>IF(getCategoryLevelAsString($B145)="L0D_324785","",IF(G145="",CONCATENATE(";",EscStr(CONCATENATE("NavNode_",getCategoryLevelAsString($B145))),";",EscStr($J145),";"),CONCATENATE(";",EscStr(CONCATENATE("NavNode_",getCategoryLevelAsString($B145))),";",EscStr(G145),";")))</f>
        <v>;"NavNode_L2D_379649";"Batterien / Ladegeräte / Regenerativ";</v>
      </c>
      <c r="AA145" s="39" t="str">
        <f>IF(getCategoryLevelAsString($B145)="L0D_324785","",IF(H145="",CONCATENATE(";",EscStr(CONCATENATE("NavNode_",getCategoryLevelAsString($B145))),";",EscStr($J145),";"),CONCATENATE(";",EscStr(CONCATENATE("NavNode_",getCategoryLevelAsString($B145))),";",EscStr(H145),";")))</f>
        <v>;"NavNode_L2D_379649";"Piles / Chargeurs / Consommables";</v>
      </c>
      <c r="AB145" s="39" t="str">
        <f>IF(getCategoryLevelAsString($B145)="L0D_324785","",IF(I145="",CONCATENATE(";",EscStr(CONCATENATE("NavNode_",getCategoryLevelAsString($B145))),";",EscStr($J145),";"),CONCATENATE(";",EscStr(CONCATENATE("NavNode_",getCategoryLevelAsString($B145))),";",EscStr(I145),";")))</f>
        <v>;"NavNode_L2D_379649";"Batterie/Caricatori/Ricaricabili";</v>
      </c>
      <c r="AC145" s="39" t="str">
        <f>IF(getCategoryLevelAsString($B145)="L0D_324785","",IF(J145="",CONCATENATE(";",EscStr(CONCATENATE("NavNode_",getCategoryLevelAsString($B145))),";",EscStr($J145),";"),CONCATENATE(";",EscStr(CONCATENATE("NavNode_",getCategoryLevelAsString($B145))),";",EscStr(J145),";")))</f>
        <v>;"NavNode_L2D_379649";"Batteries / Chargers / Renewable";</v>
      </c>
      <c r="AD145" s="39" t="str">
        <f>IF(getCategoryLevelAsString($B145)="L0D_324785","",IF(K145="",CONCATENATE(";",EscStr(CONCATENATE("NavNode_",getCategoryLevelAsString($B145))),";",EscStr($J145),";"),CONCATENATE(";",EscStr(CONCATENATE("NavNode_",getCategoryLevelAsString($B145))),";",EscStr(K145),";")))</f>
        <v>;"NavNode_L2D_379649";"Batterier/opladere/vedvarende energi";</v>
      </c>
      <c r="AE145" s="39" t="str">
        <f>IF(getCategoryLevelAsString($B145)="L0D_324785","",IF(L145="",CONCATENATE(";",EscStr(CONCATENATE("NavNode_",getCategoryLevelAsString($B145))),";",EscStr($J145),";"),CONCATENATE(";",EscStr(CONCATENATE("NavNode_",getCategoryLevelAsString($B145))),";",EscStr(L145),";")))</f>
        <v>;"NavNode_L2D_379649";"Baterijos / įkrovikliai / atsinaujinančios energetikos komponentai";</v>
      </c>
      <c r="AF145" s="39" t="str">
        <f>IF(getCategoryLevelAsString($B145)="L0D_324785","",IF(M145="",CONCATENATE(";",EscStr(CONCATENATE("NavNode_",getCategoryLevelAsString($B145))),";",EscStr($J145),";"),CONCATENATE(";",EscStr(CONCATENATE("NavNode_",getCategoryLevelAsString($B145))),";",EscStr(M145),";")))</f>
        <v>;"NavNode_L2D_379649";"Batterier/ladere/fornybare";</v>
      </c>
      <c r="AG145" s="39" t="str">
        <f>IF(getCategoryLevelAsString($B145)="L0D_324785","",IF(N145="",CONCATENATE(";",EscStr(CONCATENATE("NavNode_",getCategoryLevelAsString($B145))),";",EscStr($J145),";"),CONCATENATE(";",EscStr(CONCATENATE("NavNode_",getCategoryLevelAsString($B145))),";",EscStr(N145),";")))</f>
        <v>;"NavNode_L2D_379649";"Batterier/Laddare/Förnyelsebart";</v>
      </c>
      <c r="AH145" s="39" t="str">
        <f>IF(getCategoryLevelAsString($B145)="L0D_324785","",IF(O145="",CONCATENATE(";",EscStr(CONCATENATE("NavNode_",getCategoryLevelAsString($B145))),";",EscStr($J145),";"),CONCATENATE(";",EscStr(CONCATENATE("NavNode_",getCategoryLevelAsString($B145))),";",EscStr(O145),";")))</f>
        <v>;"NavNode_L2D_379649";"Patareid / Laadijad /";</v>
      </c>
      <c r="AI145" s="39" t="str">
        <f>IF(getCategoryLevelAsString($B145)="L0D_324785","",IF(P145="",CONCATENATE(";",EscStr(CONCATENATE("NavNode_",getCategoryLevelAsString($B145))),";",EscStr($J145),";"),CONCATENATE(";",EscStr(CONCATENATE("NavNode_",getCategoryLevelAsString($B145))),";",EscStr(P145),";")))</f>
        <v>;"NavNode_L2D_379649";"Paristot/Laturit";</v>
      </c>
      <c r="AJ145" s="39" t="str">
        <f>IF(getCategoryLevelAsString($B145)="L0D_324785","",IF(Q145="",CONCATENATE(";",EscStr(CONCATENATE("NavNode_",getCategoryLevelAsString($B145))),";",EscStr($J145),";"),CONCATENATE(";",EscStr(CONCATENATE("NavNode_",getCategoryLevelAsString($B145))),";",EscStr(Q145),";")))</f>
        <v>;"NavNode_L2D_379649";"Baterijas / Lādētāji / Atjaunojamā enerģija";</v>
      </c>
      <c r="AK145" s="39" t="str">
        <f>IF(getCategoryLevelAsString($B145)="L0D_324785","",IF(R145="",CONCATENATE(";",EscStr(CONCATENATE("NavNode_",getCategoryLevelAsString($B145))),";",EscStr($J145),";"),CONCATENATE(";",EscStr(CONCATENATE("NavNode_",getCategoryLevelAsString($B145))),";",EscStr(R145),";")))</f>
        <v>;"NavNode_L2D_379649";"Batterijen / Accus / Laders / Zon &amp; Wind energie";</v>
      </c>
      <c r="AL145" s="39" t="str">
        <f>IF(getCategoryLevelAsString($B145)="L0D_324785","",IF(S145="",CONCATENATE(";",EscStr(CONCATENATE("NavNode_",getCategoryLevelAsString($B145))),";",EscStr($J145),";"),CONCATENATE(";",EscStr(CONCATENATE("NavNode_",getCategoryLevelAsString($B145))),";",EscStr(S145),";")))</f>
        <v>;"NavNode_L2D_379649";"Baterie / Ładowarki / Źródła odnawialne";</v>
      </c>
      <c r="AM145" s="39" t="str">
        <f>IF(getCategoryLevelAsString($B145)="L0D_324785","",IF(T145="",CONCATENATE(";",EscStr(CONCATENATE("NavNode_",getCategoryLevelAsString($B145))),";",EscStr($J145),";"),CONCATENATE(";",EscStr(CONCATENATE("NavNode_",getCategoryLevelAsString($B145))),";",EscStr(T145),";")))</f>
        <v>;"NavNode_L2D_379649";"Батареи / Зарядные устройства / Возобновляемая энергия";</v>
      </c>
      <c r="AN145" s="39" t="str">
        <f>IF(getCategoryLevelAsString($B145)="L0D_324785","",IF(U145="",CONCATENATE(";",EscStr(CONCATENATE("NavNode_",getCategoryLevelAsString($B145))),";",EscStr($J145),";"),CONCATENATE(";",EscStr(CONCATENATE("NavNode_",getCategoryLevelAsString($B145))),";",EscStr(U145),";")))</f>
        <v>;"NavNode_L2D_379649";"Baterie / Nabíječky / Akumulátory";</v>
      </c>
      <c r="AO145" s="39" t="str">
        <f>IF(getCategoryLevelAsString($B145)="L0D_324785","",IF(V145="",CONCATENATE(";",EscStr(CONCATENATE("NavNode_",getCategoryLevelAsString($B145))),";",EscStr($J145),";"),CONCATENATE(";",EscStr(CONCATENATE("NavNode_",getCategoryLevelAsString($B145))),";",EscStr(V145),";")))</f>
        <v>;"NavNode_L2D_379649";"Acumulatori / incarcatoare / regenerare";</v>
      </c>
      <c r="AP145" s="39" t="str">
        <f>IF(getCategoryLevelAsString($B145)="L0D_324785","",IF(W145="",CONCATENATE(";",EscStr(CONCATENATE("NavNode_",getCategoryLevelAsString($B145))),";",EscStr($J145),";"),CONCATENATE(";",EscStr(CONCATENATE("NavNode_",getCategoryLevelAsString($B145))),";",EscStr(W145),";")))</f>
        <v>;"NavNode_L2D_379649";"Telepek / Töltők / Megújuló";</v>
      </c>
      <c r="AQ145" s="39" t="str">
        <f>IF(getCategoryLevelAsString($B145)="L0D_324785","",IF(X145="",CONCATENATE(";",EscStr(CONCATENATE("NavNode_",getCategoryLevelAsString($B145))),";",EscStr($J145),";"),CONCATENATE(";",EscStr(CONCATENATE("NavNode_",getCategoryLevelAsString($B145))),";",EscStr(X145),";")))</f>
        <v>;"NavNode_L2D_379649";"Batérie / Nabíjačky / Akumulátory";</v>
      </c>
      <c r="AR145" s="39" t="str">
        <f>IF(OR($A145&lt;&gt;"", $G145=""),"",CONCATENATE(";",EscStr(CONCATENATE("NavEntry_",getCategoryLevelAsString($B145))),";",EscStr(CONCATENATE($J145," Navigation Entry")),";",EscStr(CONCATENATE("cat-",getCategoryLevelAsString($B145))),";",EscStr(CONCATENATE("NavNode_",getCategoryLevelAsString($B145))),";"))</f>
        <v>;"NavEntry_L2D_379649";"Batteries / Chargers / Renewable Navigation Entry";"cat-L2D_379649";"NavNode_L2D_379649";</v>
      </c>
    </row>
    <row r="146" spans="1:44" s="34" customFormat="1" ht="15" x14ac:dyDescent="0.25">
      <c r="A146" s="25"/>
      <c r="B146" s="5"/>
      <c r="C146" s="5"/>
      <c r="D146" s="5" t="s">
        <v>193</v>
      </c>
      <c r="E146" s="5"/>
      <c r="F146" s="5"/>
      <c r="G146" s="5" t="s">
        <v>465</v>
      </c>
      <c r="H146" s="5" t="s">
        <v>466</v>
      </c>
      <c r="I146" s="5" t="s">
        <v>467</v>
      </c>
      <c r="J146" s="5" t="s">
        <v>194</v>
      </c>
      <c r="K146" s="5" t="s">
        <v>1348</v>
      </c>
      <c r="L146" s="5" t="s">
        <v>1582</v>
      </c>
      <c r="M146" s="5" t="s">
        <v>1348</v>
      </c>
      <c r="N146" s="5" t="s">
        <v>2004</v>
      </c>
      <c r="O146" s="5" t="s">
        <v>3881</v>
      </c>
      <c r="P146" s="5" t="s">
        <v>3882</v>
      </c>
      <c r="Q146" s="5" t="s">
        <v>3883</v>
      </c>
      <c r="R146" s="5" t="s">
        <v>14345</v>
      </c>
      <c r="S146" s="5" t="s">
        <v>3885</v>
      </c>
      <c r="T146" s="5" t="s">
        <v>3886</v>
      </c>
      <c r="U146" s="5" t="s">
        <v>3887</v>
      </c>
      <c r="V146" s="5" t="s">
        <v>3888</v>
      </c>
      <c r="W146" s="5" t="s">
        <v>3889</v>
      </c>
      <c r="X146" s="5" t="s">
        <v>14882</v>
      </c>
      <c r="Y146" s="39" t="str">
        <f>IF(OR($A146&lt;&gt;"", $G146=""),"",CONCATENATE(";",EscStr(CONCATENATE("NavNode_",getCategoryLevelAsString($B146))),";",EscStr($J146),";",IF($B146&lt;&gt;"","""MainCategoryNavNode""",EscStr(CONCATENATE("NavNode_",getSuperCategory($B146, getCategoryLevelAsNumber($B146))))),";"))</f>
        <v>;"NavNode_L3D_525543";"Primary Batteries";"NavNode_L2D_379649";</v>
      </c>
      <c r="Z146" s="39" t="str">
        <f>IF(getCategoryLevelAsString($B146)="L0D_324785","",IF(G146="",CONCATENATE(";",EscStr(CONCATENATE("NavNode_",getCategoryLevelAsString($B146))),";",EscStr($J146),";"),CONCATENATE(";",EscStr(CONCATENATE("NavNode_",getCategoryLevelAsString($B146))),";",EscStr(G146),";")))</f>
        <v>;"NavNode_L3D_525543";"Gerätebatterien";</v>
      </c>
      <c r="AA146" s="39" t="str">
        <f>IF(getCategoryLevelAsString($B146)="L0D_324785","",IF(H146="",CONCATENATE(";",EscStr(CONCATENATE("NavNode_",getCategoryLevelAsString($B146))),";",EscStr($J146),";"),CONCATENATE(";",EscStr(CONCATENATE("NavNode_",getCategoryLevelAsString($B146))),";",EscStr(H146),";")))</f>
        <v>;"NavNode_L3D_525543";"Piles";</v>
      </c>
      <c r="AB146" s="39" t="str">
        <f>IF(getCategoryLevelAsString($B146)="L0D_324785","",IF(I146="",CONCATENATE(";",EscStr(CONCATENATE("NavNode_",getCategoryLevelAsString($B146))),";",EscStr($J146),";"),CONCATENATE(";",EscStr(CONCATENATE("NavNode_",getCategoryLevelAsString($B146))),";",EscStr(I146),";")))</f>
        <v>;"NavNode_L3D_525543";"Batterie primarie";</v>
      </c>
      <c r="AC146" s="39" t="str">
        <f>IF(getCategoryLevelAsString($B146)="L0D_324785","",IF(J146="",CONCATENATE(";",EscStr(CONCATENATE("NavNode_",getCategoryLevelAsString($B146))),";",EscStr($J146),";"),CONCATENATE(";",EscStr(CONCATENATE("NavNode_",getCategoryLevelAsString($B146))),";",EscStr(J146),";")))</f>
        <v>;"NavNode_L3D_525543";"Primary Batteries";</v>
      </c>
      <c r="AD146" s="39" t="str">
        <f>IF(getCategoryLevelAsString($B146)="L0D_324785","",IF(K146="",CONCATENATE(";",EscStr(CONCATENATE("NavNode_",getCategoryLevelAsString($B146))),";",EscStr($J146),";"),CONCATENATE(";",EscStr(CONCATENATE("NavNode_",getCategoryLevelAsString($B146))),";",EscStr(K146),";")))</f>
        <v>;"NavNode_L3D_525543";"Primærbatterier";</v>
      </c>
      <c r="AE146" s="39" t="str">
        <f>IF(getCategoryLevelAsString($B146)="L0D_324785","",IF(L146="",CONCATENATE(";",EscStr(CONCATENATE("NavNode_",getCategoryLevelAsString($B146))),";",EscStr($J146),";"),CONCATENATE(";",EscStr(CONCATENATE("NavNode_",getCategoryLevelAsString($B146))),";",EscStr(L146),";")))</f>
        <v>;"NavNode_L3D_525543";"Įprastos baterijos";</v>
      </c>
      <c r="AF146" s="39" t="str">
        <f>IF(getCategoryLevelAsString($B146)="L0D_324785","",IF(M146="",CONCATENATE(";",EscStr(CONCATENATE("NavNode_",getCategoryLevelAsString($B146))),";",EscStr($J146),";"),CONCATENATE(";",EscStr(CONCATENATE("NavNode_",getCategoryLevelAsString($B146))),";",EscStr(M146),";")))</f>
        <v>;"NavNode_L3D_525543";"Primærbatterier";</v>
      </c>
      <c r="AG146" s="39" t="str">
        <f>IF(getCategoryLevelAsString($B146)="L0D_324785","",IF(N146="",CONCATENATE(";",EscStr(CONCATENATE("NavNode_",getCategoryLevelAsString($B146))),";",EscStr($J146),";"),CONCATENATE(";",EscStr(CONCATENATE("NavNode_",getCategoryLevelAsString($B146))),";",EscStr(N146),";")))</f>
        <v>;"NavNode_L3D_525543";"Primära batterier";</v>
      </c>
      <c r="AH146" s="39" t="str">
        <f>IF(getCategoryLevelAsString($B146)="L0D_324785","",IF(O146="",CONCATENATE(";",EscStr(CONCATENATE("NavNode_",getCategoryLevelAsString($B146))),";",EscStr($J146),";"),CONCATENATE(";",EscStr(CONCATENATE("NavNode_",getCategoryLevelAsString($B146))),";",EscStr(O146),";")))</f>
        <v>;"NavNode_L3D_525543";"Patareid";</v>
      </c>
      <c r="AI146" s="39" t="str">
        <f>IF(getCategoryLevelAsString($B146)="L0D_324785","",IF(P146="",CONCATENATE(";",EscStr(CONCATENATE("NavNode_",getCategoryLevelAsString($B146))),";",EscStr($J146),";"),CONCATENATE(";",EscStr(CONCATENATE("NavNode_",getCategoryLevelAsString($B146))),";",EscStr(P146),";")))</f>
        <v>;"NavNode_L3D_525543";"Laiteparistot";</v>
      </c>
      <c r="AJ146" s="39" t="str">
        <f>IF(getCategoryLevelAsString($B146)="L0D_324785","",IF(Q146="",CONCATENATE(";",EscStr(CONCATENATE("NavNode_",getCategoryLevelAsString($B146))),";",EscStr($J146),";"),CONCATENATE(";",EscStr(CONCATENATE("NavNode_",getCategoryLevelAsString($B146))),";",EscStr(Q146),";")))</f>
        <v>;"NavNode_L3D_525543";"Baterijas";</v>
      </c>
      <c r="AK146" s="39" t="str">
        <f>IF(getCategoryLevelAsString($B146)="L0D_324785","",IF(R146="",CONCATENATE(";",EscStr(CONCATENATE("NavNode_",getCategoryLevelAsString($B146))),";",EscStr($J146),";"),CONCATENATE(";",EscStr(CONCATENATE("NavNode_",getCategoryLevelAsString($B146))),";",EscStr(R146),";")))</f>
        <v>;"NavNode_L3D_525543";"Primaire batterijen";</v>
      </c>
      <c r="AL146" s="39" t="str">
        <f>IF(getCategoryLevelAsString($B146)="L0D_324785","",IF(S146="",CONCATENATE(";",EscStr(CONCATENATE("NavNode_",getCategoryLevelAsString($B146))),";",EscStr($J146),";"),CONCATENATE(";",EscStr(CONCATENATE("NavNode_",getCategoryLevelAsString($B146))),";",EscStr(S146),";")))</f>
        <v>;"NavNode_L3D_525543";"Baterie";</v>
      </c>
      <c r="AM146" s="39" t="str">
        <f>IF(getCategoryLevelAsString($B146)="L0D_324785","",IF(T146="",CONCATENATE(";",EscStr(CONCATENATE("NavNode_",getCategoryLevelAsString($B146))),";",EscStr($J146),";"),CONCATENATE(";",EscStr(CONCATENATE("NavNode_",getCategoryLevelAsString($B146))),";",EscStr(T146),";")))</f>
        <v>;"NavNode_L3D_525543";"Батареи";</v>
      </c>
      <c r="AN146" s="39" t="str">
        <f>IF(getCategoryLevelAsString($B146)="L0D_324785","",IF(U146="",CONCATENATE(";",EscStr(CONCATENATE("NavNode_",getCategoryLevelAsString($B146))),";",EscStr($J146),";"),CONCATENATE(";",EscStr(CONCATENATE("NavNode_",getCategoryLevelAsString($B146))),";",EscStr(U146),";")))</f>
        <v>;"NavNode_L3D_525543";"Přístrojové baterie";</v>
      </c>
      <c r="AO146" s="39" t="str">
        <f>IF(getCategoryLevelAsString($B146)="L0D_324785","",IF(V146="",CONCATENATE(";",EscStr(CONCATENATE("NavNode_",getCategoryLevelAsString($B146))),";",EscStr($J146),";"),CONCATENATE(";",EscStr(CONCATENATE("NavNode_",getCategoryLevelAsString($B146))),";",EscStr(V146),";")))</f>
        <v>;"NavNode_L3D_525543";"Baterii pentru aparate";</v>
      </c>
      <c r="AP146" s="39" t="str">
        <f>IF(getCategoryLevelAsString($B146)="L0D_324785","",IF(W146="",CONCATENATE(";",EscStr(CONCATENATE("NavNode_",getCategoryLevelAsString($B146))),";",EscStr($J146),";"),CONCATENATE(";",EscStr(CONCATENATE("NavNode_",getCategoryLevelAsString($B146))),";",EscStr(W146),";")))</f>
        <v>;"NavNode_L3D_525543";"Készülék elemek";</v>
      </c>
      <c r="AQ146" s="39" t="str">
        <f>IF(getCategoryLevelAsString($B146)="L0D_324785","",IF(X146="",CONCATENATE(";",EscStr(CONCATENATE("NavNode_",getCategoryLevelAsString($B146))),";",EscStr($J146),";"),CONCATENATE(";",EscStr(CONCATENATE("NavNode_",getCategoryLevelAsString($B146))),";",EscStr(X146),";")))</f>
        <v>;"NavNode_L3D_525543";"Prístrojové batérie";</v>
      </c>
      <c r="AR146" s="39" t="str">
        <f>IF(OR($A146&lt;&gt;"", $G146=""),"",CONCATENATE(";",EscStr(CONCATENATE("NavEntry_",getCategoryLevelAsString($B146))),";",EscStr(CONCATENATE($J146," Navigation Entry")),";",EscStr(CONCATENATE("cat-",getCategoryLevelAsString($B146))),";",EscStr(CONCATENATE("NavNode_",getCategoryLevelAsString($B146))),";"))</f>
        <v>;"NavEntry_L3D_525543";"Primary Batteries Navigation Entry";"cat-L3D_525543";"NavNode_L3D_525543";</v>
      </c>
    </row>
    <row r="147" spans="1:44" s="34" customFormat="1" ht="15" x14ac:dyDescent="0.25">
      <c r="A147" s="25"/>
      <c r="B147" s="5"/>
      <c r="C147" s="5"/>
      <c r="D147" s="5" t="s">
        <v>195</v>
      </c>
      <c r="E147" s="5"/>
      <c r="F147" s="5"/>
      <c r="G147" s="5" t="s">
        <v>468</v>
      </c>
      <c r="H147" s="5" t="s">
        <v>469</v>
      </c>
      <c r="I147" s="5" t="s">
        <v>470</v>
      </c>
      <c r="J147" s="5" t="s">
        <v>196</v>
      </c>
      <c r="K147" s="5" t="s">
        <v>1349</v>
      </c>
      <c r="L147" s="5" t="s">
        <v>1583</v>
      </c>
      <c r="M147" s="5" t="s">
        <v>1796</v>
      </c>
      <c r="N147" s="5" t="s">
        <v>2005</v>
      </c>
      <c r="O147" s="5" t="s">
        <v>3890</v>
      </c>
      <c r="P147" s="5" t="s">
        <v>3891</v>
      </c>
      <c r="Q147" s="5" t="s">
        <v>3892</v>
      </c>
      <c r="R147" s="5" t="s">
        <v>3893</v>
      </c>
      <c r="S147" s="5" t="s">
        <v>3894</v>
      </c>
      <c r="T147" s="5" t="s">
        <v>3895</v>
      </c>
      <c r="U147" s="5" t="s">
        <v>3896</v>
      </c>
      <c r="V147" s="5" t="s">
        <v>3897</v>
      </c>
      <c r="W147" s="5" t="s">
        <v>3898</v>
      </c>
      <c r="X147" s="5" t="s">
        <v>3896</v>
      </c>
      <c r="Y147" s="39" t="str">
        <f>IF(OR($A147&lt;&gt;"", $G147=""),"",CONCATENATE(";",EscStr(CONCATENATE("NavNode_",getCategoryLevelAsString($B147))),";",EscStr($J147),";",IF($B147&lt;&gt;"","""MainCategoryNavNode""",EscStr(CONCATENATE("NavNode_",getSuperCategory($B147, getCategoryLevelAsNumber($B147))))),";"))</f>
        <v>;"NavNode_L3D_525544";"Rechargeable Batteries";"NavNode_L2D_379649";</v>
      </c>
      <c r="Z147" s="39" t="str">
        <f>IF(getCategoryLevelAsString($B147)="L0D_324785","",IF(G147="",CONCATENATE(";",EscStr(CONCATENATE("NavNode_",getCategoryLevelAsString($B147))),";",EscStr($J147),";"),CONCATENATE(";",EscStr(CONCATENATE("NavNode_",getCategoryLevelAsString($B147))),";",EscStr(G147),";")))</f>
        <v>;"NavNode_L3D_525544";"Akkus";</v>
      </c>
      <c r="AA147" s="39" t="str">
        <f>IF(getCategoryLevelAsString($B147)="L0D_324785","",IF(H147="",CONCATENATE(";",EscStr(CONCATENATE("NavNode_",getCategoryLevelAsString($B147))),";",EscStr($J147),";"),CONCATENATE(";",EscStr(CONCATENATE("NavNode_",getCategoryLevelAsString($B147))),";",EscStr(H147),";")))</f>
        <v>;"NavNode_L3D_525544";"Accumulateurs";</v>
      </c>
      <c r="AB147" s="39" t="str">
        <f>IF(getCategoryLevelAsString($B147)="L0D_324785","",IF(I147="",CONCATENATE(";",EscStr(CONCATENATE("NavNode_",getCategoryLevelAsString($B147))),";",EscStr($J147),";"),CONCATENATE(";",EscStr(CONCATENATE("NavNode_",getCategoryLevelAsString($B147))),";",EscStr(I147),";")))</f>
        <v>;"NavNode_L3D_525544";"Batterie ricaricabili";</v>
      </c>
      <c r="AC147" s="39" t="str">
        <f>IF(getCategoryLevelAsString($B147)="L0D_324785","",IF(J147="",CONCATENATE(";",EscStr(CONCATENATE("NavNode_",getCategoryLevelAsString($B147))),";",EscStr($J147),";"),CONCATENATE(";",EscStr(CONCATENATE("NavNode_",getCategoryLevelAsString($B147))),";",EscStr(J147),";")))</f>
        <v>;"NavNode_L3D_525544";"Rechargeable Batteries";</v>
      </c>
      <c r="AD147" s="39" t="str">
        <f>IF(getCategoryLevelAsString($B147)="L0D_324785","",IF(K147="",CONCATENATE(";",EscStr(CONCATENATE("NavNode_",getCategoryLevelAsString($B147))),";",EscStr($J147),";"),CONCATENATE(";",EscStr(CONCATENATE("NavNode_",getCategoryLevelAsString($B147))),";",EscStr(K147),";")))</f>
        <v>;"NavNode_L3D_525544";"Genopladelige batterier";</v>
      </c>
      <c r="AE147" s="39" t="str">
        <f>IF(getCategoryLevelAsString($B147)="L0D_324785","",IF(L147="",CONCATENATE(";",EscStr(CONCATENATE("NavNode_",getCategoryLevelAsString($B147))),";",EscStr($J147),";"),CONCATENATE(";",EscStr(CONCATENATE("NavNode_",getCategoryLevelAsString($B147))),";",EscStr(L147),";")))</f>
        <v>;"NavNode_L3D_525544";"Įkraunamos baterijos";</v>
      </c>
      <c r="AF147" s="39" t="str">
        <f>IF(getCategoryLevelAsString($B147)="L0D_324785","",IF(M147="",CONCATENATE(";",EscStr(CONCATENATE("NavNode_",getCategoryLevelAsString($B147))),";",EscStr($J147),";"),CONCATENATE(";",EscStr(CONCATENATE("NavNode_",getCategoryLevelAsString($B147))),";",EscStr(M147),";")))</f>
        <v>;"NavNode_L3D_525544";"Oppladbare batterier";</v>
      </c>
      <c r="AG147" s="39" t="str">
        <f>IF(getCategoryLevelAsString($B147)="L0D_324785","",IF(N147="",CONCATENATE(";",EscStr(CONCATENATE("NavNode_",getCategoryLevelAsString($B147))),";",EscStr($J147),";"),CONCATENATE(";",EscStr(CONCATENATE("NavNode_",getCategoryLevelAsString($B147))),";",EscStr(N147),";")))</f>
        <v>;"NavNode_L3D_525544";"Laddningsbara batterier";</v>
      </c>
      <c r="AH147" s="39" t="str">
        <f>IF(getCategoryLevelAsString($B147)="L0D_324785","",IF(O147="",CONCATENATE(";",EscStr(CONCATENATE("NavNode_",getCategoryLevelAsString($B147))),";",EscStr($J147),";"),CONCATENATE(";",EscStr(CONCATENATE("NavNode_",getCategoryLevelAsString($B147))),";",EscStr(O147),";")))</f>
        <v>;"NavNode_L3D_525544";"Akud";</v>
      </c>
      <c r="AI147" s="39" t="str">
        <f>IF(getCategoryLevelAsString($B147)="L0D_324785","",IF(P147="",CONCATENATE(";",EscStr(CONCATENATE("NavNode_",getCategoryLevelAsString($B147))),";",EscStr($J147),";"),CONCATENATE(";",EscStr(CONCATENATE("NavNode_",getCategoryLevelAsString($B147))),";",EscStr(P147),";")))</f>
        <v>;"NavNode_L3D_525544";"Ladattavat akut";</v>
      </c>
      <c r="AJ147" s="39" t="str">
        <f>IF(getCategoryLevelAsString($B147)="L0D_324785","",IF(Q147="",CONCATENATE(";",EscStr(CONCATENATE("NavNode_",getCategoryLevelAsString($B147))),";",EscStr($J147),";"),CONCATENATE(";",EscStr(CONCATENATE("NavNode_",getCategoryLevelAsString($B147))),";",EscStr(Q147),";")))</f>
        <v>;"NavNode_L3D_525544";"Akumulatori";</v>
      </c>
      <c r="AK147" s="39" t="str">
        <f>IF(getCategoryLevelAsString($B147)="L0D_324785","",IF(R147="",CONCATENATE(";",EscStr(CONCATENATE("NavNode_",getCategoryLevelAsString($B147))),";",EscStr($J147),";"),CONCATENATE(";",EscStr(CONCATENATE("NavNode_",getCategoryLevelAsString($B147))),";",EscStr(R147),";")))</f>
        <v>;"NavNode_L3D_525544";"Oplaadbare batterijen";</v>
      </c>
      <c r="AL147" s="39" t="str">
        <f>IF(getCategoryLevelAsString($B147)="L0D_324785","",IF(S147="",CONCATENATE(";",EscStr(CONCATENATE("NavNode_",getCategoryLevelAsString($B147))),";",EscStr($J147),";"),CONCATENATE(";",EscStr(CONCATENATE("NavNode_",getCategoryLevelAsString($B147))),";",EscStr(S147),";")))</f>
        <v>;"NavNode_L3D_525544";"Akumulatory";</v>
      </c>
      <c r="AM147" s="39" t="str">
        <f>IF(getCategoryLevelAsString($B147)="L0D_324785","",IF(T147="",CONCATENATE(";",EscStr(CONCATENATE("NavNode_",getCategoryLevelAsString($B147))),";",EscStr($J147),";"),CONCATENATE(";",EscStr(CONCATENATE("NavNode_",getCategoryLevelAsString($B147))),";",EscStr(T147),";")))</f>
        <v>;"NavNode_L3D_525544";"Аккумуляторы";</v>
      </c>
      <c r="AN147" s="39" t="str">
        <f>IF(getCategoryLevelAsString($B147)="L0D_324785","",IF(U147="",CONCATENATE(";",EscStr(CONCATENATE("NavNode_",getCategoryLevelAsString($B147))),";",EscStr($J147),";"),CONCATENATE(";",EscStr(CONCATENATE("NavNode_",getCategoryLevelAsString($B147))),";",EscStr(U147),";")))</f>
        <v>;"NavNode_L3D_525544";"Akumulátory";</v>
      </c>
      <c r="AO147" s="39" t="str">
        <f>IF(getCategoryLevelAsString($B147)="L0D_324785","",IF(V147="",CONCATENATE(";",EscStr(CONCATENATE("NavNode_",getCategoryLevelAsString($B147))),";",EscStr($J147),";"),CONCATENATE(";",EscStr(CONCATENATE("NavNode_",getCategoryLevelAsString($B147))),";",EscStr(V147),";")))</f>
        <v>;"NavNode_L3D_525544";"Acumulatori";</v>
      </c>
      <c r="AP147" s="39" t="str">
        <f>IF(getCategoryLevelAsString($B147)="L0D_324785","",IF(W147="",CONCATENATE(";",EscStr(CONCATENATE("NavNode_",getCategoryLevelAsString($B147))),";",EscStr($J147),";"),CONCATENATE(";",EscStr(CONCATENATE("NavNode_",getCategoryLevelAsString($B147))),";",EscStr(W147),";")))</f>
        <v>;"NavNode_L3D_525544";"Akkumlátorok";</v>
      </c>
      <c r="AQ147" s="39" t="str">
        <f>IF(getCategoryLevelAsString($B147)="L0D_324785","",IF(X147="",CONCATENATE(";",EscStr(CONCATENATE("NavNode_",getCategoryLevelAsString($B147))),";",EscStr($J147),";"),CONCATENATE(";",EscStr(CONCATENATE("NavNode_",getCategoryLevelAsString($B147))),";",EscStr(X147),";")))</f>
        <v>;"NavNode_L3D_525544";"Akumulátory";</v>
      </c>
      <c r="AR147" s="39" t="str">
        <f>IF(OR($A147&lt;&gt;"", $G147=""),"",CONCATENATE(";",EscStr(CONCATENATE("NavEntry_",getCategoryLevelAsString($B147))),";",EscStr(CONCATENATE($J147," Navigation Entry")),";",EscStr(CONCATENATE("cat-",getCategoryLevelAsString($B147))),";",EscStr(CONCATENATE("NavNode_",getCategoryLevelAsString($B147))),";"))</f>
        <v>;"NavEntry_L3D_525544";"Rechargeable Batteries Navigation Entry";"cat-L3D_525544";"NavNode_L3D_525544";</v>
      </c>
    </row>
    <row r="148" spans="1:44" s="34" customFormat="1" ht="15" x14ac:dyDescent="0.25">
      <c r="A148" s="25"/>
      <c r="B148" s="5"/>
      <c r="C148" s="5"/>
      <c r="D148" s="5" t="s">
        <v>189</v>
      </c>
      <c r="E148" s="5"/>
      <c r="F148" s="5"/>
      <c r="G148" s="5" t="s">
        <v>459</v>
      </c>
      <c r="H148" s="5" t="s">
        <v>460</v>
      </c>
      <c r="I148" s="5" t="s">
        <v>461</v>
      </c>
      <c r="J148" s="5" t="s">
        <v>190</v>
      </c>
      <c r="K148" s="5" t="s">
        <v>1350</v>
      </c>
      <c r="L148" s="5" t="s">
        <v>1584</v>
      </c>
      <c r="M148" s="5" t="s">
        <v>1797</v>
      </c>
      <c r="N148" s="5" t="s">
        <v>2006</v>
      </c>
      <c r="O148" s="5" t="s">
        <v>3899</v>
      </c>
      <c r="P148" s="5" t="s">
        <v>3900</v>
      </c>
      <c r="Q148" s="5" t="s">
        <v>3901</v>
      </c>
      <c r="R148" s="5" t="s">
        <v>3902</v>
      </c>
      <c r="S148" s="5" t="s">
        <v>3903</v>
      </c>
      <c r="T148" s="5" t="s">
        <v>3904</v>
      </c>
      <c r="U148" s="5" t="s">
        <v>3905</v>
      </c>
      <c r="V148" s="5" t="s">
        <v>3906</v>
      </c>
      <c r="W148" s="5" t="s">
        <v>3907</v>
      </c>
      <c r="X148" s="5" t="s">
        <v>14883</v>
      </c>
      <c r="Y148" s="39" t="str">
        <f>IF(OR($A148&lt;&gt;"", $G148=""),"",CONCATENATE(";",EscStr(CONCATENATE("NavNode_",getCategoryLevelAsString($B148))),";",EscStr($J148),";",IF($B148&lt;&gt;"","""MainCategoryNavNode""",EscStr(CONCATENATE("NavNode_",getSuperCategory($B148, getCategoryLevelAsNumber($B148))))),";"))</f>
        <v>;"NavNode_L3D_525546";"Chargers";"NavNode_L2D_379649";</v>
      </c>
      <c r="Z148" s="39" t="str">
        <f>IF(getCategoryLevelAsString($B148)="L0D_324785","",IF(G148="",CONCATENATE(";",EscStr(CONCATENATE("NavNode_",getCategoryLevelAsString($B148))),";",EscStr($J148),";"),CONCATENATE(";",EscStr(CONCATENATE("NavNode_",getCategoryLevelAsString($B148))),";",EscStr(G148),";")))</f>
        <v>;"NavNode_L3D_525546";"Ladegeräte";</v>
      </c>
      <c r="AA148" s="39" t="str">
        <f>IF(getCategoryLevelAsString($B148)="L0D_324785","",IF(H148="",CONCATENATE(";",EscStr(CONCATENATE("NavNode_",getCategoryLevelAsString($B148))),";",EscStr($J148),";"),CONCATENATE(";",EscStr(CONCATENATE("NavNode_",getCategoryLevelAsString($B148))),";",EscStr(H148),";")))</f>
        <v>;"NavNode_L3D_525546";"Chargeurs";</v>
      </c>
      <c r="AB148" s="39" t="str">
        <f>IF(getCategoryLevelAsString($B148)="L0D_324785","",IF(I148="",CONCATENATE(";",EscStr(CONCATENATE("NavNode_",getCategoryLevelAsString($B148))),";",EscStr($J148),";"),CONCATENATE(";",EscStr(CONCATENATE("NavNode_",getCategoryLevelAsString($B148))),";",EscStr(I148),";")))</f>
        <v>;"NavNode_L3D_525546";"Caricatori";</v>
      </c>
      <c r="AC148" s="39" t="str">
        <f>IF(getCategoryLevelAsString($B148)="L0D_324785","",IF(J148="",CONCATENATE(";",EscStr(CONCATENATE("NavNode_",getCategoryLevelAsString($B148))),";",EscStr($J148),";"),CONCATENATE(";",EscStr(CONCATENATE("NavNode_",getCategoryLevelAsString($B148))),";",EscStr(J148),";")))</f>
        <v>;"NavNode_L3D_525546";"Chargers";</v>
      </c>
      <c r="AD148" s="39" t="str">
        <f>IF(getCategoryLevelAsString($B148)="L0D_324785","",IF(K148="",CONCATENATE(";",EscStr(CONCATENATE("NavNode_",getCategoryLevelAsString($B148))),";",EscStr($J148),";"),CONCATENATE(";",EscStr(CONCATENATE("NavNode_",getCategoryLevelAsString($B148))),";",EscStr(K148),";")))</f>
        <v>;"NavNode_L3D_525546";"Opladere";</v>
      </c>
      <c r="AE148" s="39" t="str">
        <f>IF(getCategoryLevelAsString($B148)="L0D_324785","",IF(L148="",CONCATENATE(";",EscStr(CONCATENATE("NavNode_",getCategoryLevelAsString($B148))),";",EscStr($J148),";"),CONCATENATE(";",EscStr(CONCATENATE("NavNode_",getCategoryLevelAsString($B148))),";",EscStr(L148),";")))</f>
        <v>;"NavNode_L3D_525546";"Įkrovikliai";</v>
      </c>
      <c r="AF148" s="39" t="str">
        <f>IF(getCategoryLevelAsString($B148)="L0D_324785","",IF(M148="",CONCATENATE(";",EscStr(CONCATENATE("NavNode_",getCategoryLevelAsString($B148))),";",EscStr($J148),";"),CONCATENATE(";",EscStr(CONCATENATE("NavNode_",getCategoryLevelAsString($B148))),";",EscStr(M148),";")))</f>
        <v>;"NavNode_L3D_525546";"Ladere";</v>
      </c>
      <c r="AG148" s="39" t="str">
        <f>IF(getCategoryLevelAsString($B148)="L0D_324785","",IF(N148="",CONCATENATE(";",EscStr(CONCATENATE("NavNode_",getCategoryLevelAsString($B148))),";",EscStr($J148),";"),CONCATENATE(";",EscStr(CONCATENATE("NavNode_",getCategoryLevelAsString($B148))),";",EscStr(N148),";")))</f>
        <v>;"NavNode_L3D_525546";"Laddare";</v>
      </c>
      <c r="AH148" s="39" t="str">
        <f>IF(getCategoryLevelAsString($B148)="L0D_324785","",IF(O148="",CONCATENATE(";",EscStr(CONCATENATE("NavNode_",getCategoryLevelAsString($B148))),";",EscStr($J148),";"),CONCATENATE(";",EscStr(CONCATENATE("NavNode_",getCategoryLevelAsString($B148))),";",EscStr(O148),";")))</f>
        <v>;"NavNode_L3D_525546";"Laadijad";</v>
      </c>
      <c r="AI148" s="39" t="str">
        <f>IF(getCategoryLevelAsString($B148)="L0D_324785","",IF(P148="",CONCATENATE(";",EscStr(CONCATENATE("NavNode_",getCategoryLevelAsString($B148))),";",EscStr($J148),";"),CONCATENATE(";",EscStr(CONCATENATE("NavNode_",getCategoryLevelAsString($B148))),";",EscStr(P148),";")))</f>
        <v>;"NavNode_L3D_525546";"Latauslaittet";</v>
      </c>
      <c r="AJ148" s="39" t="str">
        <f>IF(getCategoryLevelAsString($B148)="L0D_324785","",IF(Q148="",CONCATENATE(";",EscStr(CONCATENATE("NavNode_",getCategoryLevelAsString($B148))),";",EscStr($J148),";"),CONCATENATE(";",EscStr(CONCATENATE("NavNode_",getCategoryLevelAsString($B148))),";",EscStr(Q148),";")))</f>
        <v>;"NavNode_L3D_525546";"Lādētāji";</v>
      </c>
      <c r="AK148" s="39" t="str">
        <f>IF(getCategoryLevelAsString($B148)="L0D_324785","",IF(R148="",CONCATENATE(";",EscStr(CONCATENATE("NavNode_",getCategoryLevelAsString($B148))),";",EscStr($J148),";"),CONCATENATE(";",EscStr(CONCATENATE("NavNode_",getCategoryLevelAsString($B148))),";",EscStr(R148),";")))</f>
        <v>;"NavNode_L3D_525546";"Laders";</v>
      </c>
      <c r="AL148" s="39" t="str">
        <f>IF(getCategoryLevelAsString($B148)="L0D_324785","",IF(S148="",CONCATENATE(";",EscStr(CONCATENATE("NavNode_",getCategoryLevelAsString($B148))),";",EscStr($J148),";"),CONCATENATE(";",EscStr(CONCATENATE("NavNode_",getCategoryLevelAsString($B148))),";",EscStr(S148),";")))</f>
        <v>;"NavNode_L3D_525546";"Ładowarki";</v>
      </c>
      <c r="AM148" s="39" t="str">
        <f>IF(getCategoryLevelAsString($B148)="L0D_324785","",IF(T148="",CONCATENATE(";",EscStr(CONCATENATE("NavNode_",getCategoryLevelAsString($B148))),";",EscStr($J148),";"),CONCATENATE(";",EscStr(CONCATENATE("NavNode_",getCategoryLevelAsString($B148))),";",EscStr(T148),";")))</f>
        <v>;"NavNode_L3D_525546";"Зарядные устройства";</v>
      </c>
      <c r="AN148" s="39" t="str">
        <f>IF(getCategoryLevelAsString($B148)="L0D_324785","",IF(U148="",CONCATENATE(";",EscStr(CONCATENATE("NavNode_",getCategoryLevelAsString($B148))),";",EscStr($J148),";"),CONCATENATE(";",EscStr(CONCATENATE("NavNode_",getCategoryLevelAsString($B148))),";",EscStr(U148),";")))</f>
        <v>;"NavNode_L3D_525546";"Nabíječky";</v>
      </c>
      <c r="AO148" s="39" t="str">
        <f>IF(getCategoryLevelAsString($B148)="L0D_324785","",IF(V148="",CONCATENATE(";",EscStr(CONCATENATE("NavNode_",getCategoryLevelAsString($B148))),";",EscStr($J148),";"),CONCATENATE(";",EscStr(CONCATENATE("NavNode_",getCategoryLevelAsString($B148))),";",EscStr(V148),";")))</f>
        <v>;"NavNode_L3D_525546";"Încărcătoare";</v>
      </c>
      <c r="AP148" s="39" t="str">
        <f>IF(getCategoryLevelAsString($B148)="L0D_324785","",IF(W148="",CONCATENATE(";",EscStr(CONCATENATE("NavNode_",getCategoryLevelAsString($B148))),";",EscStr($J148),";"),CONCATENATE(";",EscStr(CONCATENATE("NavNode_",getCategoryLevelAsString($B148))),";",EscStr(W148),";")))</f>
        <v>;"NavNode_L3D_525546";"Töltők";</v>
      </c>
      <c r="AQ148" s="39" t="str">
        <f>IF(getCategoryLevelAsString($B148)="L0D_324785","",IF(X148="",CONCATENATE(";",EscStr(CONCATENATE("NavNode_",getCategoryLevelAsString($B148))),";",EscStr($J148),";"),CONCATENATE(";",EscStr(CONCATENATE("NavNode_",getCategoryLevelAsString($B148))),";",EscStr(X148),";")))</f>
        <v>;"NavNode_L3D_525546";"Nabíjačky";</v>
      </c>
      <c r="AR148" s="39" t="str">
        <f>IF(OR($A148&lt;&gt;"", $G148=""),"",CONCATENATE(";",EscStr(CONCATENATE("NavEntry_",getCategoryLevelAsString($B148))),";",EscStr(CONCATENATE($J148," Navigation Entry")),";",EscStr(CONCATENATE("cat-",getCategoryLevelAsString($B148))),";",EscStr(CONCATENATE("NavNode_",getCategoryLevelAsString($B148))),";"))</f>
        <v>;"NavEntry_L3D_525546";"Chargers Navigation Entry";"cat-L3D_525546";"NavNode_L3D_525546";</v>
      </c>
    </row>
    <row r="149" spans="1:44" s="34" customFormat="1" ht="15" x14ac:dyDescent="0.25">
      <c r="A149" s="25"/>
      <c r="B149" s="5"/>
      <c r="C149" s="5"/>
      <c r="D149" s="5" t="s">
        <v>203</v>
      </c>
      <c r="E149" s="5"/>
      <c r="F149" s="5"/>
      <c r="G149" s="5" t="s">
        <v>2184</v>
      </c>
      <c r="H149" s="5" t="s">
        <v>2185</v>
      </c>
      <c r="I149" s="5" t="s">
        <v>2186</v>
      </c>
      <c r="J149" s="5" t="s">
        <v>2187</v>
      </c>
      <c r="K149" s="5" t="s">
        <v>2188</v>
      </c>
      <c r="L149" s="5" t="s">
        <v>15153</v>
      </c>
      <c r="M149" s="5" t="s">
        <v>2190</v>
      </c>
      <c r="N149" s="27" t="s">
        <v>15452</v>
      </c>
      <c r="O149" s="5" t="s">
        <v>2192</v>
      </c>
      <c r="P149" s="5" t="s">
        <v>2193</v>
      </c>
      <c r="Q149" s="5" t="s">
        <v>2194</v>
      </c>
      <c r="R149" s="5" t="s">
        <v>2195</v>
      </c>
      <c r="S149" s="5" t="s">
        <v>2196</v>
      </c>
      <c r="T149" s="5" t="s">
        <v>2197</v>
      </c>
      <c r="U149" s="5" t="s">
        <v>2198</v>
      </c>
      <c r="V149" s="5" t="s">
        <v>2199</v>
      </c>
      <c r="W149" s="5" t="s">
        <v>2200</v>
      </c>
      <c r="X149" s="5" t="s">
        <v>14884</v>
      </c>
      <c r="Y149" s="39" t="str">
        <f>IF(OR($A149&lt;&gt;"", $G149=""),"",CONCATENATE(";",EscStr(CONCATENATE("NavNode_",getCategoryLevelAsString($B149))),";",EscStr($J149),";",IF($B149&lt;&gt;"","""MainCategoryNavNode""",EscStr(CONCATENATE("NavNode_",getSuperCategory($B149, getCategoryLevelAsNumber($B149))))),";"))</f>
        <v>;"NavNode_L3D_525558";"DC/AC Inverters";"NavNode_L2D_379649";</v>
      </c>
      <c r="Z149" s="39" t="str">
        <f>IF(getCategoryLevelAsString($B149)="L0D_324785","",IF(G149="",CONCATENATE(";",EscStr(CONCATENATE("NavNode_",getCategoryLevelAsString($B149))),";",EscStr($J149),";"),CONCATENATE(";",EscStr(CONCATENATE("NavNode_",getCategoryLevelAsString($B149))),";",EscStr(G149),";")))</f>
        <v>;"NavNode_L3D_525558";"AC/DC Wandler";</v>
      </c>
      <c r="AA149" s="39" t="str">
        <f>IF(getCategoryLevelAsString($B149)="L0D_324785","",IF(H149="",CONCATENATE(";",EscStr(CONCATENATE("NavNode_",getCategoryLevelAsString($B149))),";",EscStr($J149),";"),CONCATENATE(";",EscStr(CONCATENATE("NavNode_",getCategoryLevelAsString($B149))),";",EscStr(H149),";")))</f>
        <v>;"NavNode_L3D_525558";"Onduleurs c.c./c.a.";</v>
      </c>
      <c r="AB149" s="39" t="str">
        <f>IF(getCategoryLevelAsString($B149)="L0D_324785","",IF(I149="",CONCATENATE(";",EscStr(CONCATENATE("NavNode_",getCategoryLevelAsString($B149))),";",EscStr($J149),";"),CONCATENATE(";",EscStr(CONCATENATE("NavNode_",getCategoryLevelAsString($B149))),";",EscStr(I149),";")))</f>
        <v>;"NavNode_L3D_525558";"Convertitori CC/CA";</v>
      </c>
      <c r="AC149" s="39" t="str">
        <f>IF(getCategoryLevelAsString($B149)="L0D_324785","",IF(J149="",CONCATENATE(";",EscStr(CONCATENATE("NavNode_",getCategoryLevelAsString($B149))),";",EscStr($J149),";"),CONCATENATE(";",EscStr(CONCATENATE("NavNode_",getCategoryLevelAsString($B149))),";",EscStr(J149),";")))</f>
        <v>;"NavNode_L3D_525558";"DC/AC Inverters";</v>
      </c>
      <c r="AD149" s="39" t="str">
        <f>IF(getCategoryLevelAsString($B149)="L0D_324785","",IF(K149="",CONCATENATE(";",EscStr(CONCATENATE("NavNode_",getCategoryLevelAsString($B149))),";",EscStr($J149),";"),CONCATENATE(";",EscStr(CONCATENATE("NavNode_",getCategoryLevelAsString($B149))),";",EscStr(K149),";")))</f>
        <v>;"NavNode_L3D_525558";"DC/AC-vekselrettere";</v>
      </c>
      <c r="AE149" s="39" t="str">
        <f>IF(getCategoryLevelAsString($B149)="L0D_324785","",IF(L149="",CONCATENATE(";",EscStr(CONCATENATE("NavNode_",getCategoryLevelAsString($B149))),";",EscStr($J149),";"),CONCATENATE(";",EscStr(CONCATENATE("NavNode_",getCategoryLevelAsString($B149))),";",EscStr(L149),";")))</f>
        <v>;"NavNode_L3D_525558";"Inverteriai";</v>
      </c>
      <c r="AF149" s="39" t="str">
        <f>IF(getCategoryLevelAsString($B149)="L0D_324785","",IF(M149="",CONCATENATE(";",EscStr(CONCATENATE("NavNode_",getCategoryLevelAsString($B149))),";",EscStr($J149),";"),CONCATENATE(";",EscStr(CONCATENATE("NavNode_",getCategoryLevelAsString($B149))),";",EscStr(M149),";")))</f>
        <v>;"NavNode_L3D_525558";"DC/AC-invertere";</v>
      </c>
      <c r="AG149" s="39" t="str">
        <f>IF(getCategoryLevelAsString($B149)="L0D_324785","",IF(N149="",CONCATENATE(";",EscStr(CONCATENATE("NavNode_",getCategoryLevelAsString($B149))),";",EscStr($J149),";"),CONCATENATE(";",EscStr(CONCATENATE("NavNode_",getCategoryLevelAsString($B149))),";",EscStr(N149),";")))</f>
        <v>;"NavNode_L3D_525558";"Växelriktare";</v>
      </c>
      <c r="AH149" s="39" t="str">
        <f>IF(getCategoryLevelAsString($B149)="L0D_324785","",IF(O149="",CONCATENATE(";",EscStr(CONCATENATE("NavNode_",getCategoryLevelAsString($B149))),";",EscStr($J149),";"),CONCATENATE(";",EscStr(CONCATENATE("NavNode_",getCategoryLevelAsString($B149))),";",EscStr(O149),";")))</f>
        <v>;"NavNode_L3D_525558";"Alalis-/vahelduvvoolu inverterid";</v>
      </c>
      <c r="AI149" s="39" t="str">
        <f>IF(getCategoryLevelAsString($B149)="L0D_324785","",IF(P149="",CONCATENATE(";",EscStr(CONCATENATE("NavNode_",getCategoryLevelAsString($B149))),";",EscStr($J149),";"),CONCATENATE(";",EscStr(CONCATENATE("NavNode_",getCategoryLevelAsString($B149))),";",EscStr(P149),";")))</f>
        <v>;"NavNode_L3D_525558";"DC/AC-invertterit";</v>
      </c>
      <c r="AJ149" s="39" t="str">
        <f>IF(getCategoryLevelAsString($B149)="L0D_324785","",IF(Q149="",CONCATENATE(";",EscStr(CONCATENATE("NavNode_",getCategoryLevelAsString($B149))),";",EscStr($J149),";"),CONCATENATE(";",EscStr(CONCATENATE("NavNode_",getCategoryLevelAsString($B149))),";",EscStr(Q149),";")))</f>
        <v>;"NavNode_L3D_525558";"Līdzstrāvas/maiņstrāvas invertori";</v>
      </c>
      <c r="AK149" s="39" t="str">
        <f>IF(getCategoryLevelAsString($B149)="L0D_324785","",IF(R149="",CONCATENATE(";",EscStr(CONCATENATE("NavNode_",getCategoryLevelAsString($B149))),";",EscStr($J149),";"),CONCATENATE(";",EscStr(CONCATENATE("NavNode_",getCategoryLevelAsString($B149))),";",EscStr(R149),";")))</f>
        <v>;"NavNode_L3D_525558";"DC/AC-omvormers";</v>
      </c>
      <c r="AL149" s="39" t="str">
        <f>IF(getCategoryLevelAsString($B149)="L0D_324785","",IF(S149="",CONCATENATE(";",EscStr(CONCATENATE("NavNode_",getCategoryLevelAsString($B149))),";",EscStr($J149),";"),CONCATENATE(";",EscStr(CONCATENATE("NavNode_",getCategoryLevelAsString($B149))),";",EscStr(S149),";")))</f>
        <v>;"NavNode_L3D_525558";"Falowniki DC/AC";</v>
      </c>
      <c r="AM149" s="39" t="str">
        <f>IF(getCategoryLevelAsString($B149)="L0D_324785","",IF(T149="",CONCATENATE(";",EscStr(CONCATENATE("NavNode_",getCategoryLevelAsString($B149))),";",EscStr($J149),";"),CONCATENATE(";",EscStr(CONCATENATE("NavNode_",getCategoryLevelAsString($B149))),";",EscStr(T149),";")))</f>
        <v>;"NavNode_L3D_525558";"Преобразователи постоянного тока в переменный";</v>
      </c>
      <c r="AN149" s="39" t="str">
        <f>IF(getCategoryLevelAsString($B149)="L0D_324785","",IF(U149="",CONCATENATE(";",EscStr(CONCATENATE("NavNode_",getCategoryLevelAsString($B149))),";",EscStr($J149),";"),CONCATENATE(";",EscStr(CONCATENATE("NavNode_",getCategoryLevelAsString($B149))),";",EscStr(U149),";")))</f>
        <v>;"NavNode_L3D_525558";"Měniče DC/AC";</v>
      </c>
      <c r="AO149" s="39" t="str">
        <f>IF(getCategoryLevelAsString($B149)="L0D_324785","",IF(V149="",CONCATENATE(";",EscStr(CONCATENATE("NavNode_",getCategoryLevelAsString($B149))),";",EscStr($J149),";"),CONCATENATE(";",EscStr(CONCATENATE("NavNode_",getCategoryLevelAsString($B149))),";",EscStr(V149),";")))</f>
        <v>;"NavNode_L3D_525558";"Invertoare c.c./c.a.";</v>
      </c>
      <c r="AP149" s="39" t="str">
        <f>IF(getCategoryLevelAsString($B149)="L0D_324785","",IF(W149="",CONCATENATE(";",EscStr(CONCATENATE("NavNode_",getCategoryLevelAsString($B149))),";",EscStr($J149),";"),CONCATENATE(";",EscStr(CONCATENATE("NavNode_",getCategoryLevelAsString($B149))),";",EscStr(W149),";")))</f>
        <v>;"NavNode_L3D_525558";"DC/AC inverterek";</v>
      </c>
      <c r="AQ149" s="39" t="str">
        <f>IF(getCategoryLevelAsString($B149)="L0D_324785","",IF(X149="",CONCATENATE(";",EscStr(CONCATENATE("NavNode_",getCategoryLevelAsString($B149))),";",EscStr($J149),";"),CONCATENATE(";",EscStr(CONCATENATE("NavNode_",getCategoryLevelAsString($B149))),";",EscStr(X149),";")))</f>
        <v>;"NavNode_L3D_525558";"Menič";</v>
      </c>
      <c r="AR149" s="39" t="str">
        <f>IF(OR($A149&lt;&gt;"", $G149=""),"",CONCATENATE(";",EscStr(CONCATENATE("NavEntry_",getCategoryLevelAsString($B149))),";",EscStr(CONCATENATE($J149," Navigation Entry")),";",EscStr(CONCATENATE("cat-",getCategoryLevelAsString($B149))),";",EscStr(CONCATENATE("NavNode_",getCategoryLevelAsString($B149))),";"))</f>
        <v>;"NavEntry_L3D_525558";"DC/AC Inverters Navigation Entry";"cat-L3D_525558";"NavNode_L3D_525558";</v>
      </c>
    </row>
    <row r="150" spans="1:44" s="34" customFormat="1" ht="15" x14ac:dyDescent="0.25">
      <c r="A150" s="25"/>
      <c r="B150" s="5"/>
      <c r="C150" s="5"/>
      <c r="D150" s="5" t="s">
        <v>197</v>
      </c>
      <c r="E150" s="5"/>
      <c r="F150" s="5"/>
      <c r="G150" s="5" t="s">
        <v>954</v>
      </c>
      <c r="H150" s="5" t="s">
        <v>717</v>
      </c>
      <c r="I150" s="5" t="s">
        <v>699</v>
      </c>
      <c r="J150" s="5" t="s">
        <v>471</v>
      </c>
      <c r="K150" s="5" t="s">
        <v>1351</v>
      </c>
      <c r="L150" s="5" t="s">
        <v>1585</v>
      </c>
      <c r="M150" s="5" t="s">
        <v>1798</v>
      </c>
      <c r="N150" s="27" t="s">
        <v>15453</v>
      </c>
      <c r="O150" s="5" t="s">
        <v>3908</v>
      </c>
      <c r="P150" s="5" t="s">
        <v>3909</v>
      </c>
      <c r="Q150" s="5" t="s">
        <v>3910</v>
      </c>
      <c r="R150" s="5" t="s">
        <v>3911</v>
      </c>
      <c r="S150" s="5" t="s">
        <v>3912</v>
      </c>
      <c r="T150" s="5" t="s">
        <v>3913</v>
      </c>
      <c r="U150" s="5" t="s">
        <v>3914</v>
      </c>
      <c r="V150" s="5" t="s">
        <v>3915</v>
      </c>
      <c r="W150" s="5" t="s">
        <v>3916</v>
      </c>
      <c r="X150" s="5" t="s">
        <v>14885</v>
      </c>
      <c r="Y150" s="39" t="str">
        <f>IF(OR($A150&lt;&gt;"", $G150=""),"",CONCATENATE(";",EscStr(CONCATENATE("NavNode_",getCategoryLevelAsString($B150))),";",EscStr($J150),";",IF($B150&lt;&gt;"","""MainCategoryNavNode""",EscStr(CONCATENATE("NavNode_",getSuperCategory($B150, getCategoryLevelAsNumber($B150))))),";"))</f>
        <v>;"NavNode_L3D_525547";"Renewable energy";"NavNode_L2D_379649";</v>
      </c>
      <c r="Z150" s="39" t="str">
        <f>IF(getCategoryLevelAsString($B150)="L0D_324785","",IF(G150="",CONCATENATE(";",EscStr(CONCATENATE("NavNode_",getCategoryLevelAsString($B150))),";",EscStr($J150),";"),CONCATENATE(";",EscStr(CONCATENATE("NavNode_",getCategoryLevelAsString($B150))),";",EscStr(G150),";")))</f>
        <v>;"NavNode_L3D_525547";"Erneuerbare Energie";</v>
      </c>
      <c r="AA150" s="39" t="str">
        <f>IF(getCategoryLevelAsString($B150)="L0D_324785","",IF(H150="",CONCATENATE(";",EscStr(CONCATENATE("NavNode_",getCategoryLevelAsString($B150))),";",EscStr($J150),";"),CONCATENATE(";",EscStr(CONCATENATE("NavNode_",getCategoryLevelAsString($B150))),";",EscStr(H150),";")))</f>
        <v>;"NavNode_L3D_525547";"Énergie renouvelable";</v>
      </c>
      <c r="AB150" s="39" t="str">
        <f>IF(getCategoryLevelAsString($B150)="L0D_324785","",IF(I150="",CONCATENATE(";",EscStr(CONCATENATE("NavNode_",getCategoryLevelAsString($B150))),";",EscStr($J150),";"),CONCATENATE(";",EscStr(CONCATENATE("NavNode_",getCategoryLevelAsString($B150))),";",EscStr(I150),";")))</f>
        <v>;"NavNode_L3D_525547";"Energia rinnovabile";</v>
      </c>
      <c r="AC150" s="39" t="str">
        <f>IF(getCategoryLevelAsString($B150)="L0D_324785","",IF(J150="",CONCATENATE(";",EscStr(CONCATENATE("NavNode_",getCategoryLevelAsString($B150))),";",EscStr($J150),";"),CONCATENATE(";",EscStr(CONCATENATE("NavNode_",getCategoryLevelAsString($B150))),";",EscStr(J150),";")))</f>
        <v>;"NavNode_L3D_525547";"Renewable energy";</v>
      </c>
      <c r="AD150" s="39" t="str">
        <f>IF(getCategoryLevelAsString($B150)="L0D_324785","",IF(K150="",CONCATENATE(";",EscStr(CONCATENATE("NavNode_",getCategoryLevelAsString($B150))),";",EscStr($J150),";"),CONCATENATE(";",EscStr(CONCATENATE("NavNode_",getCategoryLevelAsString($B150))),";",EscStr(K150),";")))</f>
        <v>;"NavNode_L3D_525547";"Vedvarende energi";</v>
      </c>
      <c r="AE150" s="39" t="str">
        <f>IF(getCategoryLevelAsString($B150)="L0D_324785","",IF(L150="",CONCATENATE(";",EscStr(CONCATENATE("NavNode_",getCategoryLevelAsString($B150))),";",EscStr($J150),";"),CONCATENATE(";",EscStr(CONCATENATE("NavNode_",getCategoryLevelAsString($B150))),";",EscStr(L150),";")))</f>
        <v>;"NavNode_L3D_525547";"Energija iš atsinaujinančiųjų išteklių";</v>
      </c>
      <c r="AF150" s="39" t="str">
        <f>IF(getCategoryLevelAsString($B150)="L0D_324785","",IF(M150="",CONCATENATE(";",EscStr(CONCATENATE("NavNode_",getCategoryLevelAsString($B150))),";",EscStr($J150),";"),CONCATENATE(";",EscStr(CONCATENATE("NavNode_",getCategoryLevelAsString($B150))),";",EscStr(M150),";")))</f>
        <v>;"NavNode_L3D_525547";"Fornybar energi";</v>
      </c>
      <c r="AG150" s="39" t="str">
        <f>IF(getCategoryLevelAsString($B150)="L0D_324785","",IF(N150="",CONCATENATE(";",EscStr(CONCATENATE("NavNode_",getCategoryLevelAsString($B150))),";",EscStr($J150),";"),CONCATENATE(";",EscStr(CONCATENATE("NavNode_",getCategoryLevelAsString($B150))),";",EscStr(N150),";")))</f>
        <v>;"NavNode_L3D_525547";"Förnyelsebar energi";</v>
      </c>
      <c r="AH150" s="39" t="str">
        <f>IF(getCategoryLevelAsString($B150)="L0D_324785","",IF(O150="",CONCATENATE(";",EscStr(CONCATENATE("NavNode_",getCategoryLevelAsString($B150))),";",EscStr($J150),";"),CONCATENATE(";",EscStr(CONCATENATE("NavNode_",getCategoryLevelAsString($B150))),";",EscStr(O150),";")))</f>
        <v>;"NavNode_L3D_525547";"Taastuvenergia";</v>
      </c>
      <c r="AI150" s="39" t="str">
        <f>IF(getCategoryLevelAsString($B150)="L0D_324785","",IF(P150="",CONCATENATE(";",EscStr(CONCATENATE("NavNode_",getCategoryLevelAsString($B150))),";",EscStr($J150),";"),CONCATENATE(";",EscStr(CONCATENATE("NavNode_",getCategoryLevelAsString($B150))),";",EscStr(P150),";")))</f>
        <v>;"NavNode_L3D_525547";"Usiutuva energia";</v>
      </c>
      <c r="AJ150" s="39" t="str">
        <f>IF(getCategoryLevelAsString($B150)="L0D_324785","",IF(Q150="",CONCATENATE(";",EscStr(CONCATENATE("NavNode_",getCategoryLevelAsString($B150))),";",EscStr($J150),";"),CONCATENATE(";",EscStr(CONCATENATE("NavNode_",getCategoryLevelAsString($B150))),";",EscStr(Q150),";")))</f>
        <v>;"NavNode_L3D_525547";"Atjaunojamā enerģija";</v>
      </c>
      <c r="AK150" s="39" t="str">
        <f>IF(getCategoryLevelAsString($B150)="L0D_324785","",IF(R150="",CONCATENATE(";",EscStr(CONCATENATE("NavNode_",getCategoryLevelAsString($B150))),";",EscStr($J150),";"),CONCATENATE(";",EscStr(CONCATENATE("NavNode_",getCategoryLevelAsString($B150))),";",EscStr(R150),";")))</f>
        <v>;"NavNode_L3D_525547";"Zon &amp; Wind energie";</v>
      </c>
      <c r="AL150" s="39" t="str">
        <f>IF(getCategoryLevelAsString($B150)="L0D_324785","",IF(S150="",CONCATENATE(";",EscStr(CONCATENATE("NavNode_",getCategoryLevelAsString($B150))),";",EscStr($J150),";"),CONCATENATE(";",EscStr(CONCATENATE("NavNode_",getCategoryLevelAsString($B150))),";",EscStr(S150),";")))</f>
        <v>;"NavNode_L3D_525547";"Energia odnawialna";</v>
      </c>
      <c r="AM150" s="39" t="str">
        <f>IF(getCategoryLevelAsString($B150)="L0D_324785","",IF(T150="",CONCATENATE(";",EscStr(CONCATENATE("NavNode_",getCategoryLevelAsString($B150))),";",EscStr($J150),";"),CONCATENATE(";",EscStr(CONCATENATE("NavNode_",getCategoryLevelAsString($B150))),";",EscStr(T150),";")))</f>
        <v>;"NavNode_L3D_525547";"Возобновляемые источники энергии";</v>
      </c>
      <c r="AN150" s="39" t="str">
        <f>IF(getCategoryLevelAsString($B150)="L0D_324785","",IF(U150="",CONCATENATE(";",EscStr(CONCATENATE("NavNode_",getCategoryLevelAsString($B150))),";",EscStr($J150),";"),CONCATENATE(";",EscStr(CONCATENATE("NavNode_",getCategoryLevelAsString($B150))),";",EscStr(U150),";")))</f>
        <v>;"NavNode_L3D_525547";"Obnovitelné zdroje energie";</v>
      </c>
      <c r="AO150" s="39" t="str">
        <f>IF(getCategoryLevelAsString($B150)="L0D_324785","",IF(V150="",CONCATENATE(";",EscStr(CONCATENATE("NavNode_",getCategoryLevelAsString($B150))),";",EscStr($J150),";"),CONCATENATE(";",EscStr(CONCATENATE("NavNode_",getCategoryLevelAsString($B150))),";",EscStr(V150),";")))</f>
        <v>;"NavNode_L3D_525547";"Energie Regenerabilă";</v>
      </c>
      <c r="AP150" s="39" t="str">
        <f>IF(getCategoryLevelAsString($B150)="L0D_324785","",IF(W150="",CONCATENATE(";",EscStr(CONCATENATE("NavNode_",getCategoryLevelAsString($B150))),";",EscStr($J150),";"),CONCATENATE(";",EscStr(CONCATENATE("NavNode_",getCategoryLevelAsString($B150))),";",EscStr(W150),";")))</f>
        <v>;"NavNode_L3D_525547";"Megújuló energia";</v>
      </c>
      <c r="AQ150" s="39" t="str">
        <f>IF(getCategoryLevelAsString($B150)="L0D_324785","",IF(X150="",CONCATENATE(";",EscStr(CONCATENATE("NavNode_",getCategoryLevelAsString($B150))),";",EscStr($J150),";"),CONCATENATE(";",EscStr(CONCATENATE("NavNode_",getCategoryLevelAsString($B150))),";",EscStr(X150),";")))</f>
        <v>;"NavNode_L3D_525547";"Obnoviteľné zdroje energie";</v>
      </c>
      <c r="AR150" s="39" t="str">
        <f>IF(OR($A150&lt;&gt;"", $G150=""),"",CONCATENATE(";",EscStr(CONCATENATE("NavEntry_",getCategoryLevelAsString($B150))),";",EscStr(CONCATENATE($J150," Navigation Entry")),";",EscStr(CONCATENATE("cat-",getCategoryLevelAsString($B150))),";",EscStr(CONCATENATE("NavNode_",getCategoryLevelAsString($B150))),";"))</f>
        <v>;"NavEntry_L3D_525547";"Renewable energy Navigation Entry";"cat-L3D_525547";"NavNode_L3D_525547";</v>
      </c>
    </row>
    <row r="151" spans="1:44" s="34" customFormat="1" ht="15" x14ac:dyDescent="0.25">
      <c r="A151" s="25"/>
      <c r="B151" s="5"/>
      <c r="C151" s="5"/>
      <c r="D151" s="5" t="s">
        <v>191</v>
      </c>
      <c r="E151" s="5"/>
      <c r="F151" s="5"/>
      <c r="G151" s="5" t="s">
        <v>462</v>
      </c>
      <c r="H151" s="5" t="s">
        <v>463</v>
      </c>
      <c r="I151" s="5" t="s">
        <v>464</v>
      </c>
      <c r="J151" s="5" t="s">
        <v>192</v>
      </c>
      <c r="K151" s="5" t="s">
        <v>1352</v>
      </c>
      <c r="L151" s="5" t="s">
        <v>1586</v>
      </c>
      <c r="M151" s="5" t="s">
        <v>1799</v>
      </c>
      <c r="N151" s="5" t="s">
        <v>2008</v>
      </c>
      <c r="O151" s="5" t="s">
        <v>3917</v>
      </c>
      <c r="P151" s="5" t="s">
        <v>3918</v>
      </c>
      <c r="Q151" s="5" t="s">
        <v>3919</v>
      </c>
      <c r="R151" s="5" t="s">
        <v>3920</v>
      </c>
      <c r="S151" s="5" t="s">
        <v>3921</v>
      </c>
      <c r="T151" s="5" t="s">
        <v>3922</v>
      </c>
      <c r="U151" s="5" t="s">
        <v>3923</v>
      </c>
      <c r="V151" s="5" t="s">
        <v>3924</v>
      </c>
      <c r="W151" s="5" t="s">
        <v>3925</v>
      </c>
      <c r="X151" s="5" t="s">
        <v>14886</v>
      </c>
      <c r="Y151" s="39" t="str">
        <f>IF(OR($A151&lt;&gt;"", $G151=""),"",CONCATENATE(";",EscStr(CONCATENATE("NavNode_",getCategoryLevelAsString($B151))),";",EscStr($J151),";",IF($B151&lt;&gt;"","""MainCategoryNavNode""",EscStr(CONCATENATE("NavNode_",getSuperCategory($B151, getCategoryLevelAsNumber($B151))))),";"))</f>
        <v>;"NavNode_L3D_525545";"Primary &amp; Rechargeable Battery Accessories";"NavNode_L2D_379649";</v>
      </c>
      <c r="Z151" s="39" t="str">
        <f>IF(getCategoryLevelAsString($B151)="L0D_324785","",IF(G151="",CONCATENATE(";",EscStr(CONCATENATE("NavNode_",getCategoryLevelAsString($B151))),";",EscStr($J151),";"),CONCATENATE(";",EscStr(CONCATENATE("NavNode_",getCategoryLevelAsString($B151))),";",EscStr(G151),";")))</f>
        <v>;"NavNode_L3D_525545";"Zubehör für Gerätebatterien &amp; Akkus";</v>
      </c>
      <c r="AA151" s="39" t="str">
        <f>IF(getCategoryLevelAsString($B151)="L0D_324785","",IF(H151="",CONCATENATE(";",EscStr(CONCATENATE("NavNode_",getCategoryLevelAsString($B151))),";",EscStr($J151),";"),CONCATENATE(";",EscStr(CONCATENATE("NavNode_",getCategoryLevelAsString($B151))),";",EscStr(H151),";")))</f>
        <v>;"NavNode_L3D_525545";"Accessoires pour piles et accumulateurs";</v>
      </c>
      <c r="AB151" s="39" t="str">
        <f>IF(getCategoryLevelAsString($B151)="L0D_324785","",IF(I151="",CONCATENATE(";",EscStr(CONCATENATE("NavNode_",getCategoryLevelAsString($B151))),";",EscStr($J151),";"),CONCATENATE(";",EscStr(CONCATENATE("NavNode_",getCategoryLevelAsString($B151))),";",EscStr(I151),";")))</f>
        <v>;"NavNode_L3D_525545";"Accessori per batterie primarie e ricaricabili";</v>
      </c>
      <c r="AC151" s="39" t="str">
        <f>IF(getCategoryLevelAsString($B151)="L0D_324785","",IF(J151="",CONCATENATE(";",EscStr(CONCATENATE("NavNode_",getCategoryLevelAsString($B151))),";",EscStr($J151),";"),CONCATENATE(";",EscStr(CONCATENATE("NavNode_",getCategoryLevelAsString($B151))),";",EscStr(J151),";")))</f>
        <v>;"NavNode_L3D_525545";"Primary &amp; Rechargeable Battery Accessories";</v>
      </c>
      <c r="AD151" s="39" t="str">
        <f>IF(getCategoryLevelAsString($B151)="L0D_324785","",IF(K151="",CONCATENATE(";",EscStr(CONCATENATE("NavNode_",getCategoryLevelAsString($B151))),";",EscStr($J151),";"),CONCATENATE(";",EscStr(CONCATENATE("NavNode_",getCategoryLevelAsString($B151))),";",EscStr(K151),";")))</f>
        <v>;"NavNode_L3D_525545";"Udstyr til primærbatterier &amp; genopladelige batterier";</v>
      </c>
      <c r="AE151" s="39" t="str">
        <f>IF(getCategoryLevelAsString($B151)="L0D_324785","",IF(L151="",CONCATENATE(";",EscStr(CONCATENATE("NavNode_",getCategoryLevelAsString($B151))),";",EscStr($J151),";"),CONCATENATE(";",EscStr(CONCATENATE("NavNode_",getCategoryLevelAsString($B151))),";",EscStr(L151),";")))</f>
        <v>;"NavNode_L3D_525545";"Įprastų ir įkraunamų baterijų priedai";</v>
      </c>
      <c r="AF151" s="39" t="str">
        <f>IF(getCategoryLevelAsString($B151)="L0D_324785","",IF(M151="",CONCATENATE(";",EscStr(CONCATENATE("NavNode_",getCategoryLevelAsString($B151))),";",EscStr($J151),";"),CONCATENATE(";",EscStr(CONCATENATE("NavNode_",getCategoryLevelAsString($B151))),";",EscStr(M151),";")))</f>
        <v>;"NavNode_L3D_525545";"Tilbehør til primærbatterier og oppladbare batterier";</v>
      </c>
      <c r="AG151" s="39" t="str">
        <f>IF(getCategoryLevelAsString($B151)="L0D_324785","",IF(N151="",CONCATENATE(";",EscStr(CONCATENATE("NavNode_",getCategoryLevelAsString($B151))),";",EscStr($J151),";"),CONCATENATE(";",EscStr(CONCATENATE("NavNode_",getCategoryLevelAsString($B151))),";",EscStr(N151),";")))</f>
        <v>;"NavNode_L3D_525545";"Tillbehör till primära och laddningsbara batterier";</v>
      </c>
      <c r="AH151" s="39" t="str">
        <f>IF(getCategoryLevelAsString($B151)="L0D_324785","",IF(O151="",CONCATENATE(";",EscStr(CONCATENATE("NavNode_",getCategoryLevelAsString($B151))),";",EscStr($J151),";"),CONCATENATE(";",EscStr(CONCATENATE("NavNode_",getCategoryLevelAsString($B151))),";",EscStr(O151),";")))</f>
        <v>;"NavNode_L3D_525545";"Patareide ja akude tarvikud";</v>
      </c>
      <c r="AI151" s="39" t="str">
        <f>IF(getCategoryLevelAsString($B151)="L0D_324785","",IF(P151="",CONCATENATE(";",EscStr(CONCATENATE("NavNode_",getCategoryLevelAsString($B151))),";",EscStr($J151),";"),CONCATENATE(";",EscStr(CONCATENATE("NavNode_",getCategoryLevelAsString($B151))),";",EscStr(P151),";")))</f>
        <v>;"NavNode_L3D_525545";"Paristotarvikkeet";</v>
      </c>
      <c r="AJ151" s="39" t="str">
        <f>IF(getCategoryLevelAsString($B151)="L0D_324785","",IF(Q151="",CONCATENATE(";",EscStr(CONCATENATE("NavNode_",getCategoryLevelAsString($B151))),";",EscStr($J151),";"),CONCATENATE(";",EscStr(CONCATENATE("NavNode_",getCategoryLevelAsString($B151))),";",EscStr(Q151),";")))</f>
        <v>;"NavNode_L3D_525545";"Bateriju un akumulatoru piederumi";</v>
      </c>
      <c r="AK151" s="39" t="str">
        <f>IF(getCategoryLevelAsString($B151)="L0D_324785","",IF(R151="",CONCATENATE(";",EscStr(CONCATENATE("NavNode_",getCategoryLevelAsString($B151))),";",EscStr($J151),";"),CONCATENATE(";",EscStr(CONCATENATE("NavNode_",getCategoryLevelAsString($B151))),";",EscStr(R151),";")))</f>
        <v>;"NavNode_L3D_525545";"Eenmalige en oplaadbare batterij accessoires";</v>
      </c>
      <c r="AL151" s="39" t="str">
        <f>IF(getCategoryLevelAsString($B151)="L0D_324785","",IF(S151="",CONCATENATE(";",EscStr(CONCATENATE("NavNode_",getCategoryLevelAsString($B151))),";",EscStr($J151),";"),CONCATENATE(";",EscStr(CONCATENATE("NavNode_",getCategoryLevelAsString($B151))),";",EscStr(S151),";")))</f>
        <v>;"NavNode_L3D_525545";"Akcesoria do baterii i akumulatorów";</v>
      </c>
      <c r="AM151" s="39" t="str">
        <f>IF(getCategoryLevelAsString($B151)="L0D_324785","",IF(T151="",CONCATENATE(";",EscStr(CONCATENATE("NavNode_",getCategoryLevelAsString($B151))),";",EscStr($J151),";"),CONCATENATE(";",EscStr(CONCATENATE("NavNode_",getCategoryLevelAsString($B151))),";",EscStr(T151),";")))</f>
        <v>;"NavNode_L3D_525545";"Аксессуары для батарей / аккумуляторов";</v>
      </c>
      <c r="AN151" s="39" t="str">
        <f>IF(getCategoryLevelAsString($B151)="L0D_324785","",IF(U151="",CONCATENATE(";",EscStr(CONCATENATE("NavNode_",getCategoryLevelAsString($B151))),";",EscStr($J151),";"),CONCATENATE(";",EscStr(CONCATENATE("NavNode_",getCategoryLevelAsString($B151))),";",EscStr(U151),";")))</f>
        <v>;"NavNode_L3D_525545";"Příslušenství pro přístrojové baterie a akumulátory";</v>
      </c>
      <c r="AO151" s="39" t="str">
        <f>IF(getCategoryLevelAsString($B151)="L0D_324785","",IF(V151="",CONCATENATE(";",EscStr(CONCATENATE("NavNode_",getCategoryLevelAsString($B151))),";",EscStr($J151),";"),CONCATENATE(";",EscStr(CONCATENATE("NavNode_",getCategoryLevelAsString($B151))),";",EscStr(V151),";")))</f>
        <v>;"NavNode_L3D_525545";"Accesorii pentru baterii &amp; acumulatori";</v>
      </c>
      <c r="AP151" s="39" t="str">
        <f>IF(getCategoryLevelAsString($B151)="L0D_324785","",IF(W151="",CONCATENATE(";",EscStr(CONCATENATE("NavNode_",getCategoryLevelAsString($B151))),";",EscStr($J151),";"),CONCATENATE(";",EscStr(CONCATENATE("NavNode_",getCategoryLevelAsString($B151))),";",EscStr(W151),";")))</f>
        <v>;"NavNode_L3D_525545";"Tartozék a készüléktelepekhez és akkukhoz";</v>
      </c>
      <c r="AQ151" s="39" t="str">
        <f>IF(getCategoryLevelAsString($B151)="L0D_324785","",IF(X151="",CONCATENATE(";",EscStr(CONCATENATE("NavNode_",getCategoryLevelAsString($B151))),";",EscStr($J151),";"),CONCATENATE(";",EscStr(CONCATENATE("NavNode_",getCategoryLevelAsString($B151))),";",EscStr(X151),";")))</f>
        <v>;"NavNode_L3D_525545";"Príslušenstvo pre prístrojové batérie a akumulátory";</v>
      </c>
      <c r="AR151" s="39" t="str">
        <f>IF(OR($A151&lt;&gt;"", $G151=""),"",CONCATENATE(";",EscStr(CONCATENATE("NavEntry_",getCategoryLevelAsString($B151))),";",EscStr(CONCATENATE($J151," Navigation Entry")),";",EscStr(CONCATENATE("cat-",getCategoryLevelAsString($B151))),";",EscStr(CONCATENATE("NavNode_",getCategoryLevelAsString($B151))),";"))</f>
        <v>;"NavEntry_L3D_525545";"Primary &amp; Rechargeable Battery Accessories Navigation Entry";"cat-L3D_525545";"NavNode_L3D_525545";</v>
      </c>
    </row>
    <row r="152" spans="1:44" s="34" customFormat="1" ht="15" x14ac:dyDescent="0.25">
      <c r="A152" s="25"/>
      <c r="B152" s="5"/>
      <c r="C152" s="5" t="s">
        <v>49</v>
      </c>
      <c r="D152" s="5"/>
      <c r="E152" s="5"/>
      <c r="F152" s="5"/>
      <c r="G152" s="5" t="s">
        <v>472</v>
      </c>
      <c r="H152" s="5" t="s">
        <v>473</v>
      </c>
      <c r="I152" s="5" t="s">
        <v>474</v>
      </c>
      <c r="J152" s="5" t="s">
        <v>13</v>
      </c>
      <c r="K152" s="5" t="s">
        <v>1353</v>
      </c>
      <c r="L152" s="5" t="s">
        <v>1587</v>
      </c>
      <c r="M152" s="5" t="s">
        <v>1353</v>
      </c>
      <c r="N152" s="27" t="s">
        <v>15454</v>
      </c>
      <c r="O152" s="5" t="s">
        <v>3926</v>
      </c>
      <c r="P152" s="5" t="s">
        <v>3927</v>
      </c>
      <c r="Q152" s="5" t="s">
        <v>3928</v>
      </c>
      <c r="R152" s="5" t="s">
        <v>3929</v>
      </c>
      <c r="S152" s="5" t="s">
        <v>3930</v>
      </c>
      <c r="T152" s="5" t="s">
        <v>3931</v>
      </c>
      <c r="U152" s="5" t="s">
        <v>3932</v>
      </c>
      <c r="V152" s="5" t="s">
        <v>3933</v>
      </c>
      <c r="W152" s="5" t="s">
        <v>3934</v>
      </c>
      <c r="X152" s="5" t="s">
        <v>14887</v>
      </c>
      <c r="Y152" s="39" t="str">
        <f>IF(OR($A152&lt;&gt;"", $G152=""),"",CONCATENATE(";",EscStr(CONCATENATE("NavNode_",getCategoryLevelAsString($B152))),";",EscStr($J152),";",IF($B152&lt;&gt;"","""MainCategoryNavNode""",EscStr(CONCATENATE("NavNode_",getSuperCategory($B152, getCategoryLevelAsNumber($B152))))),";"))</f>
        <v>;"NavNode_L2D_379651";"Industrial power DC/DC, AC/DC";"NavNode_Power Supplies / Batteries / Transformers";</v>
      </c>
      <c r="Z152" s="39" t="str">
        <f>IF(getCategoryLevelAsString($B152)="L0D_324785","",IF(G152="",CONCATENATE(";",EscStr(CONCATENATE("NavNode_",getCategoryLevelAsString($B152))),";",EscStr($J152),";"),CONCATENATE(";",EscStr(CONCATENATE("NavNode_",getCategoryLevelAsString($B152))),";",EscStr(G152),";")))</f>
        <v>;"NavNode_L2D_379651";"Industrienetzgerät DC/DC, AC/DC";</v>
      </c>
      <c r="AA152" s="39" t="str">
        <f>IF(getCategoryLevelAsString($B152)="L0D_324785","",IF(H152="",CONCATENATE(";",EscStr(CONCATENATE("NavNode_",getCategoryLevelAsString($B152))),";",EscStr($J152),";"),CONCATENATE(";",EscStr(CONCATENATE("NavNode_",getCategoryLevelAsString($B152))),";",EscStr(H152),";")))</f>
        <v>;"NavNode_L2D_379651";"Alimentation électrique industrielle DC/DC, AC/DC";</v>
      </c>
      <c r="AB152" s="39" t="str">
        <f>IF(getCategoryLevelAsString($B152)="L0D_324785","",IF(I152="",CONCATENATE(";",EscStr(CONCATENATE("NavNode_",getCategoryLevelAsString($B152))),";",EscStr($J152),";"),CONCATENATE(";",EscStr(CONCATENATE("NavNode_",getCategoryLevelAsString($B152))),";",EscStr(I152),";")))</f>
        <v>;"NavNode_L2D_379651";"Alimentazione industriale DC/DC, AC/DC";</v>
      </c>
      <c r="AC152" s="39" t="str">
        <f>IF(getCategoryLevelAsString($B152)="L0D_324785","",IF(J152="",CONCATENATE(";",EscStr(CONCATENATE("NavNode_",getCategoryLevelAsString($B152))),";",EscStr($J152),";"),CONCATENATE(";",EscStr(CONCATENATE("NavNode_",getCategoryLevelAsString($B152))),";",EscStr(J152),";")))</f>
        <v>;"NavNode_L2D_379651";"Industrial power DC/DC, AC/DC";</v>
      </c>
      <c r="AD152" s="39" t="str">
        <f>IF(getCategoryLevelAsString($B152)="L0D_324785","",IF(K152="",CONCATENATE(";",EscStr(CONCATENATE("NavNode_",getCategoryLevelAsString($B152))),";",EscStr($J152),";"),CONCATENATE(";",EscStr(CONCATENATE("NavNode_",getCategoryLevelAsString($B152))),";",EscStr(K152),";")))</f>
        <v>;"NavNode_L2D_379651";"Industristrøm DC/DC, AC/DC";</v>
      </c>
      <c r="AE152" s="39" t="str">
        <f>IF(getCategoryLevelAsString($B152)="L0D_324785","",IF(L152="",CONCATENATE(";",EscStr(CONCATENATE("NavNode_",getCategoryLevelAsString($B152))),";",EscStr($J152),";"),CONCATENATE(";",EscStr(CONCATENATE("NavNode_",getCategoryLevelAsString($B152))),";",EscStr(L152),";")))</f>
        <v>;"NavNode_L2D_379651";"Pramoninio maitinimo DC/DC, AC/DC";</v>
      </c>
      <c r="AF152" s="39" t="str">
        <f>IF(getCategoryLevelAsString($B152)="L0D_324785","",IF(M152="",CONCATENATE(";",EscStr(CONCATENATE("NavNode_",getCategoryLevelAsString($B152))),";",EscStr($J152),";"),CONCATENATE(";",EscStr(CONCATENATE("NavNode_",getCategoryLevelAsString($B152))),";",EscStr(M152),";")))</f>
        <v>;"NavNode_L2D_379651";"Industristrøm DC/DC, AC/DC";</v>
      </c>
      <c r="AG152" s="39" t="str">
        <f>IF(getCategoryLevelAsString($B152)="L0D_324785","",IF(N152="",CONCATENATE(";",EscStr(CONCATENATE("NavNode_",getCategoryLevelAsString($B152))),";",EscStr($J152),";"),CONCATENATE(";",EscStr(CONCATENATE("NavNode_",getCategoryLevelAsString($B152))),";",EscStr(N152),";")))</f>
        <v>;"NavNode_L2D_379651";"Industriaggregat DC/DC, AC/DC";</v>
      </c>
      <c r="AH152" s="39" t="str">
        <f>IF(getCategoryLevelAsString($B152)="L0D_324785","",IF(O152="",CONCATENATE(";",EscStr(CONCATENATE("NavNode_",getCategoryLevelAsString($B152))),";",EscStr($J152),";"),CONCATENATE(";",EscStr(CONCATENATE("NavNode_",getCategoryLevelAsString($B152))),";",EscStr(O152),";")))</f>
        <v>;"NavNode_L2D_379651";"Tööstuslikud toiteplokid DC/DC, AC/DC";</v>
      </c>
      <c r="AI152" s="39" t="str">
        <f>IF(getCategoryLevelAsString($B152)="L0D_324785","",IF(P152="",CONCATENATE(";",EscStr(CONCATENATE("NavNode_",getCategoryLevelAsString($B152))),";",EscStr($J152),";"),CONCATENATE(";",EscStr(CONCATENATE("NavNode_",getCategoryLevelAsString($B152))),";",EscStr(P152),";")))</f>
        <v>;"NavNode_L2D_379651";"Teollisuusteholähteet";</v>
      </c>
      <c r="AJ152" s="39" t="str">
        <f>IF(getCategoryLevelAsString($B152)="L0D_324785","",IF(Q152="",CONCATENATE(";",EscStr(CONCATENATE("NavNode_",getCategoryLevelAsString($B152))),";",EscStr($J152),";"),CONCATENATE(";",EscStr(CONCATENATE("NavNode_",getCategoryLevelAsString($B152))),";",EscStr(Q152),";")))</f>
        <v>;"NavNode_L2D_379651";"Industriālā barošana DC/DC, AC/DC";</v>
      </c>
      <c r="AK152" s="39" t="str">
        <f>IF(getCategoryLevelAsString($B152)="L0D_324785","",IF(R152="",CONCATENATE(";",EscStr(CONCATENATE("NavNode_",getCategoryLevelAsString($B152))),";",EscStr($J152),";"),CONCATENATE(";",EscStr(CONCATENATE("NavNode_",getCategoryLevelAsString($B152))),";",EscStr(R152),";")))</f>
        <v>;"NavNode_L2D_379651";"Industriele voedingen DC/DC, AC/DC";</v>
      </c>
      <c r="AL152" s="39" t="str">
        <f>IF(getCategoryLevelAsString($B152)="L0D_324785","",IF(S152="",CONCATENATE(";",EscStr(CONCATENATE("NavNode_",getCategoryLevelAsString($B152))),";",EscStr($J152),";"),CONCATENATE(";",EscStr(CONCATENATE("NavNode_",getCategoryLevelAsString($B152))),";",EscStr(S152),";")))</f>
        <v>;"NavNode_L2D_379651";"Przetwornice przemysłowe DC/DC, AC/DC";</v>
      </c>
      <c r="AM152" s="39" t="str">
        <f>IF(getCategoryLevelAsString($B152)="L0D_324785","",IF(T152="",CONCATENATE(";",EscStr(CONCATENATE("NavNode_",getCategoryLevelAsString($B152))),";",EscStr($J152),";"),CONCATENATE(";",EscStr(CONCATENATE("NavNode_",getCategoryLevelAsString($B152))),";",EscStr(T152),";")))</f>
        <v>;"NavNode_L2D_379651";"Промышленные источники питания DC/DC, AC/DC";</v>
      </c>
      <c r="AN152" s="39" t="str">
        <f>IF(getCategoryLevelAsString($B152)="L0D_324785","",IF(U152="",CONCATENATE(";",EscStr(CONCATENATE("NavNode_",getCategoryLevelAsString($B152))),";",EscStr($J152),";"),CONCATENATE(";",EscStr(CONCATENATE("NavNode_",getCategoryLevelAsString($B152))),";",EscStr(U152),";")))</f>
        <v>;"NavNode_L2D_379651";"Průmyslový napájecí zdroj DC / DC, AC / DC";</v>
      </c>
      <c r="AO152" s="39" t="str">
        <f>IF(getCategoryLevelAsString($B152)="L0D_324785","",IF(V152="",CONCATENATE(";",EscStr(CONCATENATE("NavNode_",getCategoryLevelAsString($B152))),";",EscStr($J152),";"),CONCATENATE(";",EscStr(CONCATENATE("NavNode_",getCategoryLevelAsString($B152))),";",EscStr(V152),";")))</f>
        <v>;"NavNode_L2D_379651";"Surse de alimentare industriale DC/DC, AC/DC";</v>
      </c>
      <c r="AP152" s="39" t="str">
        <f>IF(getCategoryLevelAsString($B152)="L0D_324785","",IF(W152="",CONCATENATE(";",EscStr(CONCATENATE("NavNode_",getCategoryLevelAsString($B152))),";",EscStr($J152),";"),CONCATENATE(";",EscStr(CONCATENATE("NavNode_",getCategoryLevelAsString($B152))),";",EscStr(W152),";")))</f>
        <v>;"NavNode_L2D_379651";"Ipari töltőkészülék DC/DC, AC/DC";</v>
      </c>
      <c r="AQ152" s="39" t="str">
        <f>IF(getCategoryLevelAsString($B152)="L0D_324785","",IF(X152="",CONCATENATE(";",EscStr(CONCATENATE("NavNode_",getCategoryLevelAsString($B152))),";",EscStr($J152),";"),CONCATENATE(";",EscStr(CONCATENATE("NavNode_",getCategoryLevelAsString($B152))),";",EscStr(X152),";")))</f>
        <v>;"NavNode_L2D_379651";"Priemyselný napájací zdroj DC / DC, AC / DC";</v>
      </c>
      <c r="AR152" s="39" t="str">
        <f>IF(OR($A152&lt;&gt;"", $G152=""),"",CONCATENATE(";",EscStr(CONCATENATE("NavEntry_",getCategoryLevelAsString($B152))),";",EscStr(CONCATENATE($J152," Navigation Entry")),";",EscStr(CONCATENATE("cat-",getCategoryLevelAsString($B152))),";",EscStr(CONCATENATE("NavNode_",getCategoryLevelAsString($B152))),";"))</f>
        <v>;"NavEntry_L2D_379651";"Industrial power DC/DC, AC/DC Navigation Entry";"cat-L2D_379651";"NavNode_L2D_379651";</v>
      </c>
    </row>
    <row r="153" spans="1:44" s="34" customFormat="1" ht="15" x14ac:dyDescent="0.25">
      <c r="A153" s="25"/>
      <c r="B153" s="5"/>
      <c r="C153" s="5"/>
      <c r="D153" s="5" t="s">
        <v>199</v>
      </c>
      <c r="E153" s="5"/>
      <c r="F153" s="5"/>
      <c r="G153" s="5" t="s">
        <v>956</v>
      </c>
      <c r="H153" s="5" t="s">
        <v>718</v>
      </c>
      <c r="I153" s="5" t="s">
        <v>701</v>
      </c>
      <c r="J153" s="5" t="s">
        <v>476</v>
      </c>
      <c r="K153" s="5" t="s">
        <v>1354</v>
      </c>
      <c r="L153" s="5" t="s">
        <v>1588</v>
      </c>
      <c r="M153" s="5" t="s">
        <v>1800</v>
      </c>
      <c r="N153" s="5" t="s">
        <v>2010</v>
      </c>
      <c r="O153" s="5" t="s">
        <v>3935</v>
      </c>
      <c r="P153" s="5" t="s">
        <v>3936</v>
      </c>
      <c r="Q153" s="5" t="s">
        <v>3937</v>
      </c>
      <c r="R153" s="5" t="s">
        <v>3938</v>
      </c>
      <c r="S153" s="5" t="s">
        <v>3939</v>
      </c>
      <c r="T153" s="5" t="s">
        <v>3940</v>
      </c>
      <c r="U153" s="5" t="s">
        <v>3941</v>
      </c>
      <c r="V153" s="5" t="s">
        <v>3942</v>
      </c>
      <c r="W153" s="5" t="s">
        <v>3943</v>
      </c>
      <c r="X153" s="5" t="s">
        <v>14888</v>
      </c>
      <c r="Y153" s="39" t="str">
        <f>IF(OR($A153&lt;&gt;"", $G153=""),"",CONCATENATE(";",EscStr(CONCATENATE("NavNode_",getCategoryLevelAsString($B153))),";",EscStr($J153),";",IF($B153&lt;&gt;"","""MainCategoryNavNode""",EscStr(CONCATENATE("NavNode_",getSuperCategory($B153, getCategoryLevelAsNumber($B153))))),";"))</f>
        <v>;"NavNode_L3D_525548";"DC/DC Power supplies";"NavNode_L2D_379651";</v>
      </c>
      <c r="Z153" s="39" t="str">
        <f>IF(getCategoryLevelAsString($B153)="L0D_324785","",IF(G153="",CONCATENATE(";",EscStr(CONCATENATE("NavNode_",getCategoryLevelAsString($B153))),";",EscStr($J153),";"),CONCATENATE(";",EscStr(CONCATENATE("NavNode_",getCategoryLevelAsString($B153))),";",EscStr(G153),";")))</f>
        <v>;"NavNode_L3D_525548";"DC/DC-Netzgeräte";</v>
      </c>
      <c r="AA153" s="39" t="str">
        <f>IF(getCategoryLevelAsString($B153)="L0D_324785","",IF(H153="",CONCATENATE(";",EscStr(CONCATENATE("NavNode_",getCategoryLevelAsString($B153))),";",EscStr($J153),";"),CONCATENATE(";",EscStr(CONCATENATE("NavNode_",getCategoryLevelAsString($B153))),";",EscStr(H153),";")))</f>
        <v>;"NavNode_L3D_525548";"Alimentations DC/DC";</v>
      </c>
      <c r="AB153" s="39" t="str">
        <f>IF(getCategoryLevelAsString($B153)="L0D_324785","",IF(I153="",CONCATENATE(";",EscStr(CONCATENATE("NavNode_",getCategoryLevelAsString($B153))),";",EscStr($J153),";"),CONCATENATE(";",EscStr(CONCATENATE("NavNode_",getCategoryLevelAsString($B153))),";",EscStr(I153),";")))</f>
        <v>;"NavNode_L3D_525548";"Alimentatori DC/DC";</v>
      </c>
      <c r="AC153" s="39" t="str">
        <f>IF(getCategoryLevelAsString($B153)="L0D_324785","",IF(J153="",CONCATENATE(";",EscStr(CONCATENATE("NavNode_",getCategoryLevelAsString($B153))),";",EscStr($J153),";"),CONCATENATE(";",EscStr(CONCATENATE("NavNode_",getCategoryLevelAsString($B153))),";",EscStr(J153),";")))</f>
        <v>;"NavNode_L3D_525548";"DC/DC Power supplies";</v>
      </c>
      <c r="AD153" s="39" t="str">
        <f>IF(getCategoryLevelAsString($B153)="L0D_324785","",IF(K153="",CONCATENATE(";",EscStr(CONCATENATE("NavNode_",getCategoryLevelAsString($B153))),";",EscStr($J153),";"),CONCATENATE(";",EscStr(CONCATENATE("NavNode_",getCategoryLevelAsString($B153))),";",EscStr(K153),";")))</f>
        <v>;"NavNode_L3D_525548";"AC/DC-strømforsyning";</v>
      </c>
      <c r="AE153" s="39" t="str">
        <f>IF(getCategoryLevelAsString($B153)="L0D_324785","",IF(L153="",CONCATENATE(";",EscStr(CONCATENATE("NavNode_",getCategoryLevelAsString($B153))),";",EscStr($J153),";"),CONCATENATE(";",EscStr(CONCATENATE("NavNode_",getCategoryLevelAsString($B153))),";",EscStr(L153),";")))</f>
        <v>;"NavNode_L3D_525548";"DC/DC maitinimo šaltiniai";</v>
      </c>
      <c r="AF153" s="39" t="str">
        <f>IF(getCategoryLevelAsString($B153)="L0D_324785","",IF(M153="",CONCATENATE(";",EscStr(CONCATENATE("NavNode_",getCategoryLevelAsString($B153))),";",EscStr($J153),";"),CONCATENATE(";",EscStr(CONCATENATE("NavNode_",getCategoryLevelAsString($B153))),";",EscStr(M153),";")))</f>
        <v>;"NavNode_L3D_525548";"DC/DC-strømforsyning";</v>
      </c>
      <c r="AG153" s="39" t="str">
        <f>IF(getCategoryLevelAsString($B153)="L0D_324785","",IF(N153="",CONCATENATE(";",EscStr(CONCATENATE("NavNode_",getCategoryLevelAsString($B153))),";",EscStr($J153),";"),CONCATENATE(";",EscStr(CONCATENATE("NavNode_",getCategoryLevelAsString($B153))),";",EscStr(N153),";")))</f>
        <v>;"NavNode_L3D_525548";"DC/DC-strömförsörjningar";</v>
      </c>
      <c r="AH153" s="39" t="str">
        <f>IF(getCategoryLevelAsString($B153)="L0D_324785","",IF(O153="",CONCATENATE(";",EscStr(CONCATENATE("NavNode_",getCategoryLevelAsString($B153))),";",EscStr($J153),";"),CONCATENATE(";",EscStr(CONCATENATE("NavNode_",getCategoryLevelAsString($B153))),";",EscStr(O153),";")))</f>
        <v>;"NavNode_L3D_525548";"DC/DC toiteplokid";</v>
      </c>
      <c r="AI153" s="39" t="str">
        <f>IF(getCategoryLevelAsString($B153)="L0D_324785","",IF(P153="",CONCATENATE(";",EscStr(CONCATENATE("NavNode_",getCategoryLevelAsString($B153))),";",EscStr($J153),";"),CONCATENATE(";",EscStr(CONCATENATE("NavNode_",getCategoryLevelAsString($B153))),";",EscStr(P153),";")))</f>
        <v>;"NavNode_L3D_525548";"DC/DC Virtalähteet";</v>
      </c>
      <c r="AJ153" s="39" t="str">
        <f>IF(getCategoryLevelAsString($B153)="L0D_324785","",IF(Q153="",CONCATENATE(";",EscStr(CONCATENATE("NavNode_",getCategoryLevelAsString($B153))),";",EscStr($J153),";"),CONCATENATE(";",EscStr(CONCATENATE("NavNode_",getCategoryLevelAsString($B153))),";",EscStr(Q153),";")))</f>
        <v>;"NavNode_L3D_525548";"DC/DC barošanas bloki";</v>
      </c>
      <c r="AK153" s="39" t="str">
        <f>IF(getCategoryLevelAsString($B153)="L0D_324785","",IF(R153="",CONCATENATE(";",EscStr(CONCATENATE("NavNode_",getCategoryLevelAsString($B153))),";",EscStr($J153),";"),CONCATENATE(";",EscStr(CONCATENATE("NavNode_",getCategoryLevelAsString($B153))),";",EscStr(R153),";")))</f>
        <v>;"NavNode_L3D_525548";"DC/DC voedingen";</v>
      </c>
      <c r="AL153" s="39" t="str">
        <f>IF(getCategoryLevelAsString($B153)="L0D_324785","",IF(S153="",CONCATENATE(";",EscStr(CONCATENATE("NavNode_",getCategoryLevelAsString($B153))),";",EscStr($J153),";"),CONCATENATE(";",EscStr(CONCATENATE("NavNode_",getCategoryLevelAsString($B153))),";",EscStr(S153),";")))</f>
        <v>;"NavNode_L3D_525548";"Przetwornice DC/DC";</v>
      </c>
      <c r="AM153" s="39" t="str">
        <f>IF(getCategoryLevelAsString($B153)="L0D_324785","",IF(T153="",CONCATENATE(";",EscStr(CONCATENATE("NavNode_",getCategoryLevelAsString($B153))),";",EscStr($J153),";"),CONCATENATE(";",EscStr(CONCATENATE("NavNode_",getCategoryLevelAsString($B153))),";",EscStr(T153),";")))</f>
        <v>;"NavNode_L3D_525548";"DC/DC Источники питания";</v>
      </c>
      <c r="AN153" s="39" t="str">
        <f>IF(getCategoryLevelAsString($B153)="L0D_324785","",IF(U153="",CONCATENATE(";",EscStr(CONCATENATE("NavNode_",getCategoryLevelAsString($B153))),";",EscStr($J153),";"),CONCATENATE(";",EscStr(CONCATENATE("NavNode_",getCategoryLevelAsString($B153))),";",EscStr(U153),";")))</f>
        <v>;"NavNode_L3D_525548";"DC / DC napájecí zdroje";</v>
      </c>
      <c r="AO153" s="39" t="str">
        <f>IF(getCategoryLevelAsString($B153)="L0D_324785","",IF(V153="",CONCATENATE(";",EscStr(CONCATENATE("NavNode_",getCategoryLevelAsString($B153))),";",EscStr($J153),";"),CONCATENATE(";",EscStr(CONCATENATE("NavNode_",getCategoryLevelAsString($B153))),";",EscStr(V153),";")))</f>
        <v>;"NavNode_L3D_525548";"Surse de alimentare DC/DC";</v>
      </c>
      <c r="AP153" s="39" t="str">
        <f>IF(getCategoryLevelAsString($B153)="L0D_324785","",IF(W153="",CONCATENATE(";",EscStr(CONCATENATE("NavNode_",getCategoryLevelAsString($B153))),";",EscStr($J153),";"),CONCATENATE(";",EscStr(CONCATENATE("NavNode_",getCategoryLevelAsString($B153))),";",EscStr(W153),";")))</f>
        <v>;"NavNode_L3D_525548";"DC/DC töltőkészülék";</v>
      </c>
      <c r="AQ153" s="39" t="str">
        <f>IF(getCategoryLevelAsString($B153)="L0D_324785","",IF(X153="",CONCATENATE(";",EscStr(CONCATENATE("NavNode_",getCategoryLevelAsString($B153))),";",EscStr($J153),";"),CONCATENATE(";",EscStr(CONCATENATE("NavNode_",getCategoryLevelAsString($B153))),";",EscStr(X153),";")))</f>
        <v>;"NavNode_L3D_525548";"DC / DC napájacie zdroje";</v>
      </c>
      <c r="AR153" s="39" t="str">
        <f>IF(OR($A153&lt;&gt;"", $G153=""),"",CONCATENATE(";",EscStr(CONCATENATE("NavEntry_",getCategoryLevelAsString($B153))),";",EscStr(CONCATENATE($J153," Navigation Entry")),";",EscStr(CONCATENATE("cat-",getCategoryLevelAsString($B153))),";",EscStr(CONCATENATE("NavNode_",getCategoryLevelAsString($B153))),";"))</f>
        <v>;"NavEntry_L3D_525548";"DC/DC Power supplies Navigation Entry";"cat-L3D_525548";"NavNode_L3D_525548";</v>
      </c>
    </row>
    <row r="154" spans="1:44" s="34" customFormat="1" ht="15" x14ac:dyDescent="0.25">
      <c r="A154" s="25"/>
      <c r="B154" s="5"/>
      <c r="C154" s="5"/>
      <c r="D154" s="5" t="s">
        <v>198</v>
      </c>
      <c r="E154" s="5"/>
      <c r="F154" s="5"/>
      <c r="G154" s="5" t="s">
        <v>955</v>
      </c>
      <c r="H154" s="5" t="s">
        <v>719</v>
      </c>
      <c r="I154" s="5" t="s">
        <v>700</v>
      </c>
      <c r="J154" s="5" t="s">
        <v>475</v>
      </c>
      <c r="K154" s="5" t="s">
        <v>1354</v>
      </c>
      <c r="L154" s="5" t="s">
        <v>1589</v>
      </c>
      <c r="M154" s="5" t="s">
        <v>1354</v>
      </c>
      <c r="N154" s="5" t="s">
        <v>2011</v>
      </c>
      <c r="O154" s="5" t="s">
        <v>3944</v>
      </c>
      <c r="P154" s="5" t="s">
        <v>3945</v>
      </c>
      <c r="Q154" s="5" t="s">
        <v>3946</v>
      </c>
      <c r="R154" s="5" t="s">
        <v>3947</v>
      </c>
      <c r="S154" s="5" t="s">
        <v>3948</v>
      </c>
      <c r="T154" s="5" t="s">
        <v>3949</v>
      </c>
      <c r="U154" s="5" t="s">
        <v>3950</v>
      </c>
      <c r="V154" s="5" t="s">
        <v>3951</v>
      </c>
      <c r="W154" s="5" t="s">
        <v>3952</v>
      </c>
      <c r="X154" s="5" t="s">
        <v>14889</v>
      </c>
      <c r="Y154" s="39" t="str">
        <f>IF(OR($A154&lt;&gt;"", $G154=""),"",CONCATENATE(";",EscStr(CONCATENATE("NavNode_",getCategoryLevelAsString($B154))),";",EscStr($J154),";",IF($B154&lt;&gt;"","""MainCategoryNavNode""",EscStr(CONCATENATE("NavNode_",getSuperCategory($B154, getCategoryLevelAsNumber($B154))))),";"))</f>
        <v>;"NavNode_L3D_525549";"AC/DC Power supplies";"NavNode_L2D_379651";</v>
      </c>
      <c r="Z154" s="39" t="str">
        <f>IF(getCategoryLevelAsString($B154)="L0D_324785","",IF(G154="",CONCATENATE(";",EscStr(CONCATENATE("NavNode_",getCategoryLevelAsString($B154))),";",EscStr($J154),";"),CONCATENATE(";",EscStr(CONCATENATE("NavNode_",getCategoryLevelAsString($B154))),";",EscStr(G154),";")))</f>
        <v>;"NavNode_L3D_525549";"AC/DC-Netzgeräte";</v>
      </c>
      <c r="AA154" s="39" t="str">
        <f>IF(getCategoryLevelAsString($B154)="L0D_324785","",IF(H154="",CONCATENATE(";",EscStr(CONCATENATE("NavNode_",getCategoryLevelAsString($B154))),";",EscStr($J154),";"),CONCATENATE(";",EscStr(CONCATENATE("NavNode_",getCategoryLevelAsString($B154))),";",EscStr(H154),";")))</f>
        <v>;"NavNode_L3D_525549";"Alimentations AC/DC";</v>
      </c>
      <c r="AB154" s="39" t="str">
        <f>IF(getCategoryLevelAsString($B154)="L0D_324785","",IF(I154="",CONCATENATE(";",EscStr(CONCATENATE("NavNode_",getCategoryLevelAsString($B154))),";",EscStr($J154),";"),CONCATENATE(";",EscStr(CONCATENATE("NavNode_",getCategoryLevelAsString($B154))),";",EscStr(I154),";")))</f>
        <v>;"NavNode_L3D_525549";"Alimentatori AC/DC";</v>
      </c>
      <c r="AC154" s="39" t="str">
        <f>IF(getCategoryLevelAsString($B154)="L0D_324785","",IF(J154="",CONCATENATE(";",EscStr(CONCATENATE("NavNode_",getCategoryLevelAsString($B154))),";",EscStr($J154),";"),CONCATENATE(";",EscStr(CONCATENATE("NavNode_",getCategoryLevelAsString($B154))),";",EscStr(J154),";")))</f>
        <v>;"NavNode_L3D_525549";"AC/DC Power supplies";</v>
      </c>
      <c r="AD154" s="39" t="str">
        <f>IF(getCategoryLevelAsString($B154)="L0D_324785","",IF(K154="",CONCATENATE(";",EscStr(CONCATENATE("NavNode_",getCategoryLevelAsString($B154))),";",EscStr($J154),";"),CONCATENATE(";",EscStr(CONCATENATE("NavNode_",getCategoryLevelAsString($B154))),";",EscStr(K154),";")))</f>
        <v>;"NavNode_L3D_525549";"AC/DC-strømforsyning";</v>
      </c>
      <c r="AE154" s="39" t="str">
        <f>IF(getCategoryLevelAsString($B154)="L0D_324785","",IF(L154="",CONCATENATE(";",EscStr(CONCATENATE("NavNode_",getCategoryLevelAsString($B154))),";",EscStr($J154),";"),CONCATENATE(";",EscStr(CONCATENATE("NavNode_",getCategoryLevelAsString($B154))),";",EscStr(L154),";")))</f>
        <v>;"NavNode_L3D_525549";"AC/DC maitinimo šaltiniai";</v>
      </c>
      <c r="AF154" s="39" t="str">
        <f>IF(getCategoryLevelAsString($B154)="L0D_324785","",IF(M154="",CONCATENATE(";",EscStr(CONCATENATE("NavNode_",getCategoryLevelAsString($B154))),";",EscStr($J154),";"),CONCATENATE(";",EscStr(CONCATENATE("NavNode_",getCategoryLevelAsString($B154))),";",EscStr(M154),";")))</f>
        <v>;"NavNode_L3D_525549";"AC/DC-strømforsyning";</v>
      </c>
      <c r="AG154" s="39" t="str">
        <f>IF(getCategoryLevelAsString($B154)="L0D_324785","",IF(N154="",CONCATENATE(";",EscStr(CONCATENATE("NavNode_",getCategoryLevelAsString($B154))),";",EscStr($J154),";"),CONCATENATE(";",EscStr(CONCATENATE("NavNode_",getCategoryLevelAsString($B154))),";",EscStr(N154),";")))</f>
        <v>;"NavNode_L3D_525549";"AC/DC-strömförsörjningar";</v>
      </c>
      <c r="AH154" s="39" t="str">
        <f>IF(getCategoryLevelAsString($B154)="L0D_324785","",IF(O154="",CONCATENATE(";",EscStr(CONCATENATE("NavNode_",getCategoryLevelAsString($B154))),";",EscStr($J154),";"),CONCATENATE(";",EscStr(CONCATENATE("NavNode_",getCategoryLevelAsString($B154))),";",EscStr(O154),";")))</f>
        <v>;"NavNode_L3D_525549";"AC/DC toiteplokid";</v>
      </c>
      <c r="AI154" s="39" t="str">
        <f>IF(getCategoryLevelAsString($B154)="L0D_324785","",IF(P154="",CONCATENATE(";",EscStr(CONCATENATE("NavNode_",getCategoryLevelAsString($B154))),";",EscStr($J154),";"),CONCATENATE(";",EscStr(CONCATENATE("NavNode_",getCategoryLevelAsString($B154))),";",EscStr(P154),";")))</f>
        <v>;"NavNode_L3D_525549";"AC/DC Virtalähteet";</v>
      </c>
      <c r="AJ154" s="39" t="str">
        <f>IF(getCategoryLevelAsString($B154)="L0D_324785","",IF(Q154="",CONCATENATE(";",EscStr(CONCATENATE("NavNode_",getCategoryLevelAsString($B154))),";",EscStr($J154),";"),CONCATENATE(";",EscStr(CONCATENATE("NavNode_",getCategoryLevelAsString($B154))),";",EscStr(Q154),";")))</f>
        <v>;"NavNode_L3D_525549";"AC/DC barošanas bloki";</v>
      </c>
      <c r="AK154" s="39" t="str">
        <f>IF(getCategoryLevelAsString($B154)="L0D_324785","",IF(R154="",CONCATENATE(";",EscStr(CONCATENATE("NavNode_",getCategoryLevelAsString($B154))),";",EscStr($J154),";"),CONCATENATE(";",EscStr(CONCATENATE("NavNode_",getCategoryLevelAsString($B154))),";",EscStr(R154),";")))</f>
        <v>;"NavNode_L3D_525549";"AC/DC voedingen";</v>
      </c>
      <c r="AL154" s="39" t="str">
        <f>IF(getCategoryLevelAsString($B154)="L0D_324785","",IF(S154="",CONCATENATE(";",EscStr(CONCATENATE("NavNode_",getCategoryLevelAsString($B154))),";",EscStr($J154),";"),CONCATENATE(";",EscStr(CONCATENATE("NavNode_",getCategoryLevelAsString($B154))),";",EscStr(S154),";")))</f>
        <v>;"NavNode_L3D_525549";"Przetwornice AC/DC";</v>
      </c>
      <c r="AM154" s="39" t="str">
        <f>IF(getCategoryLevelAsString($B154)="L0D_324785","",IF(T154="",CONCATENATE(";",EscStr(CONCATENATE("NavNode_",getCategoryLevelAsString($B154))),";",EscStr($J154),";"),CONCATENATE(";",EscStr(CONCATENATE("NavNode_",getCategoryLevelAsString($B154))),";",EscStr(T154),";")))</f>
        <v>;"NavNode_L3D_525549";"AC/DC Источники питания";</v>
      </c>
      <c r="AN154" s="39" t="str">
        <f>IF(getCategoryLevelAsString($B154)="L0D_324785","",IF(U154="",CONCATENATE(";",EscStr(CONCATENATE("NavNode_",getCategoryLevelAsString($B154))),";",EscStr($J154),";"),CONCATENATE(";",EscStr(CONCATENATE("NavNode_",getCategoryLevelAsString($B154))),";",EscStr(U154),";")))</f>
        <v>;"NavNode_L3D_525549";"AC / DC napájecí zdroje";</v>
      </c>
      <c r="AO154" s="39" t="str">
        <f>IF(getCategoryLevelAsString($B154)="L0D_324785","",IF(V154="",CONCATENATE(";",EscStr(CONCATENATE("NavNode_",getCategoryLevelAsString($B154))),";",EscStr($J154),";"),CONCATENATE(";",EscStr(CONCATENATE("NavNode_",getCategoryLevelAsString($B154))),";",EscStr(V154),";")))</f>
        <v>;"NavNode_L3D_525549";"Surse de alimentare AC/DC";</v>
      </c>
      <c r="AP154" s="39" t="str">
        <f>IF(getCategoryLevelAsString($B154)="L0D_324785","",IF(W154="",CONCATENATE(";",EscStr(CONCATENATE("NavNode_",getCategoryLevelAsString($B154))),";",EscStr($J154),";"),CONCATENATE(";",EscStr(CONCATENATE("NavNode_",getCategoryLevelAsString($B154))),";",EscStr(W154),";")))</f>
        <v>;"NavNode_L3D_525549";"AC/DC töltőkészülék";</v>
      </c>
      <c r="AQ154" s="39" t="str">
        <f>IF(getCategoryLevelAsString($B154)="L0D_324785","",IF(X154="",CONCATENATE(";",EscStr(CONCATENATE("NavNode_",getCategoryLevelAsString($B154))),";",EscStr($J154),";"),CONCATENATE(";",EscStr(CONCATENATE("NavNode_",getCategoryLevelAsString($B154))),";",EscStr(X154),";")))</f>
        <v>;"NavNode_L3D_525549";"AC / DC napájacie zdroje";</v>
      </c>
      <c r="AR154" s="39" t="str">
        <f>IF(OR($A154&lt;&gt;"", $G154=""),"",CONCATENATE(";",EscStr(CONCATENATE("NavEntry_",getCategoryLevelAsString($B154))),";",EscStr(CONCATENATE($J154," Navigation Entry")),";",EscStr(CONCATENATE("cat-",getCategoryLevelAsString($B154))),";",EscStr(CONCATENATE("NavNode_",getCategoryLevelAsString($B154))),";"))</f>
        <v>;"NavEntry_L3D_525549";"AC/DC Power supplies Navigation Entry";"cat-L3D_525549";"NavNode_L3D_525549";</v>
      </c>
    </row>
    <row r="155" spans="1:44" s="34" customFormat="1" ht="15" x14ac:dyDescent="0.25">
      <c r="A155" s="25"/>
      <c r="B155" s="5"/>
      <c r="C155" s="5"/>
      <c r="D155" s="5" t="s">
        <v>720</v>
      </c>
      <c r="E155" s="5"/>
      <c r="F155" s="5"/>
      <c r="G155" s="5" t="s">
        <v>1038</v>
      </c>
      <c r="H155" s="5" t="s">
        <v>1067</v>
      </c>
      <c r="I155" s="5" t="s">
        <v>1125</v>
      </c>
      <c r="J155" s="5" t="s">
        <v>905</v>
      </c>
      <c r="K155" s="5" t="s">
        <v>1355</v>
      </c>
      <c r="L155" s="5" t="s">
        <v>1590</v>
      </c>
      <c r="M155" s="5" t="s">
        <v>1355</v>
      </c>
      <c r="N155" s="5" t="s">
        <v>2012</v>
      </c>
      <c r="O155" s="5" t="s">
        <v>3953</v>
      </c>
      <c r="P155" s="5" t="s">
        <v>3954</v>
      </c>
      <c r="Q155" s="5" t="s">
        <v>3955</v>
      </c>
      <c r="R155" s="5" t="s">
        <v>3956</v>
      </c>
      <c r="S155" s="5" t="s">
        <v>3957</v>
      </c>
      <c r="T155" s="5" t="s">
        <v>3958</v>
      </c>
      <c r="U155" s="5" t="s">
        <v>3959</v>
      </c>
      <c r="V155" s="5" t="s">
        <v>3960</v>
      </c>
      <c r="W155" s="5" t="s">
        <v>3961</v>
      </c>
      <c r="X155" s="5" t="s">
        <v>14890</v>
      </c>
      <c r="Y155" s="39" t="str">
        <f>IF(OR($A155&lt;&gt;"", $G155=""),"",CONCATENATE(";",EscStr(CONCATENATE("NavNode_",getCategoryLevelAsString($B155))),";",EscStr($J155),";",IF($B155&lt;&gt;"","""MainCategoryNavNode""",EscStr(CONCATENATE("NavNode_",getSuperCategory($B155, getCategoryLevelAsNumber($B155))))),";"))</f>
        <v>;"NavNode_L3D_531368";"DC/DC Power supplies, PCB";"NavNode_L2D_379651";</v>
      </c>
      <c r="Z155" s="39" t="str">
        <f>IF(getCategoryLevelAsString($B155)="L0D_324785","",IF(G155="",CONCATENATE(";",EscStr(CONCATENATE("NavNode_",getCategoryLevelAsString($B155))),";",EscStr($J155),";"),CONCATENATE(";",EscStr(CONCATENATE("NavNode_",getCategoryLevelAsString($B155))),";",EscStr(G155),";")))</f>
        <v>;"NavNode_L3D_531368";"DC/DC-Netzgeräte, PCB";</v>
      </c>
      <c r="AA155" s="39" t="str">
        <f>IF(getCategoryLevelAsString($B155)="L0D_324785","",IF(H155="",CONCATENATE(";",EscStr(CONCATENATE("NavNode_",getCategoryLevelAsString($B155))),";",EscStr($J155),";"),CONCATENATE(";",EscStr(CONCATENATE("NavNode_",getCategoryLevelAsString($B155))),";",EscStr(H155),";")))</f>
        <v>;"NavNode_L3D_531368";"Alimentations DC/DC, circuit imprimé";</v>
      </c>
      <c r="AB155" s="39" t="str">
        <f>IF(getCategoryLevelAsString($B155)="L0D_324785","",IF(I155="",CONCATENATE(";",EscStr(CONCATENATE("NavNode_",getCategoryLevelAsString($B155))),";",EscStr($J155),";"),CONCATENATE(";",EscStr(CONCATENATE("NavNode_",getCategoryLevelAsString($B155))),";",EscStr(I155),";")))</f>
        <v>;"NavNode_L3D_531368";"Alimentatori DC/DC, PCB";</v>
      </c>
      <c r="AC155" s="39" t="str">
        <f>IF(getCategoryLevelAsString($B155)="L0D_324785","",IF(J155="",CONCATENATE(";",EscStr(CONCATENATE("NavNode_",getCategoryLevelAsString($B155))),";",EscStr($J155),";"),CONCATENATE(";",EscStr(CONCATENATE("NavNode_",getCategoryLevelAsString($B155))),";",EscStr(J155),";")))</f>
        <v>;"NavNode_L3D_531368";"DC/DC Power supplies, PCB";</v>
      </c>
      <c r="AD155" s="39" t="str">
        <f>IF(getCategoryLevelAsString($B155)="L0D_324785","",IF(K155="",CONCATENATE(";",EscStr(CONCATENATE("NavNode_",getCategoryLevelAsString($B155))),";",EscStr($J155),";"),CONCATENATE(";",EscStr(CONCATENATE("NavNode_",getCategoryLevelAsString($B155))),";",EscStr(K155),";")))</f>
        <v>;"NavNode_L3D_531368";"DC/DC-strømforsyning, PCB";</v>
      </c>
      <c r="AE155" s="39" t="str">
        <f>IF(getCategoryLevelAsString($B155)="L0D_324785","",IF(L155="",CONCATENATE(";",EscStr(CONCATENATE("NavNode_",getCategoryLevelAsString($B155))),";",EscStr($J155),";"),CONCATENATE(";",EscStr(CONCATENATE("NavNode_",getCategoryLevelAsString($B155))),";",EscStr(L155),";")))</f>
        <v>;"NavNode_L3D_531368";"DC/DC maitinimo šaltiniai, PCB";</v>
      </c>
      <c r="AF155" s="39" t="str">
        <f>IF(getCategoryLevelAsString($B155)="L0D_324785","",IF(M155="",CONCATENATE(";",EscStr(CONCATENATE("NavNode_",getCategoryLevelAsString($B155))),";",EscStr($J155),";"),CONCATENATE(";",EscStr(CONCATENATE("NavNode_",getCategoryLevelAsString($B155))),";",EscStr(M155),";")))</f>
        <v>;"NavNode_L3D_531368";"DC/DC-strømforsyning, PCB";</v>
      </c>
      <c r="AG155" s="39" t="str">
        <f>IF(getCategoryLevelAsString($B155)="L0D_324785","",IF(N155="",CONCATENATE(";",EscStr(CONCATENATE("NavNode_",getCategoryLevelAsString($B155))),";",EscStr($J155),";"),CONCATENATE(";",EscStr(CONCATENATE("NavNode_",getCategoryLevelAsString($B155))),";",EscStr(N155),";")))</f>
        <v>;"NavNode_L3D_531368";"DC/DC-strömförsörjningar, PCB";</v>
      </c>
      <c r="AH155" s="39" t="str">
        <f>IF(getCategoryLevelAsString($B155)="L0D_324785","",IF(O155="",CONCATENATE(";",EscStr(CONCATENATE("NavNode_",getCategoryLevelAsString($B155))),";",EscStr($J155),";"),CONCATENATE(";",EscStr(CONCATENATE("NavNode_",getCategoryLevelAsString($B155))),";",EscStr(O155),";")))</f>
        <v>;"NavNode_L3D_531368";"DC/DC toiteplokid, trükkplaadile";</v>
      </c>
      <c r="AI155" s="39" t="str">
        <f>IF(getCategoryLevelAsString($B155)="L0D_324785","",IF(P155="",CONCATENATE(";",EscStr(CONCATENATE("NavNode_",getCategoryLevelAsString($B155))),";",EscStr($J155),";"),CONCATENATE(";",EscStr(CONCATENATE("NavNode_",getCategoryLevelAsString($B155))),";",EscStr(P155),";")))</f>
        <v>;"NavNode_L3D_531368";"DC/DC Virtalähteet, PCB";</v>
      </c>
      <c r="AJ155" s="39" t="str">
        <f>IF(getCategoryLevelAsString($B155)="L0D_324785","",IF(Q155="",CONCATENATE(";",EscStr(CONCATENATE("NavNode_",getCategoryLevelAsString($B155))),";",EscStr($J155),";"),CONCATENATE(";",EscStr(CONCATENATE("NavNode_",getCategoryLevelAsString($B155))),";",EscStr(Q155),";")))</f>
        <v>;"NavNode_L3D_531368";"DC/DC barošanas bloki, PCB";</v>
      </c>
      <c r="AK155" s="39" t="str">
        <f>IF(getCategoryLevelAsString($B155)="L0D_324785","",IF(R155="",CONCATENATE(";",EscStr(CONCATENATE("NavNode_",getCategoryLevelAsString($B155))),";",EscStr($J155),";"),CONCATENATE(";",EscStr(CONCATENATE("NavNode_",getCategoryLevelAsString($B155))),";",EscStr(R155),";")))</f>
        <v>;"NavNode_L3D_531368";"DC/DC voedingen, PCB";</v>
      </c>
      <c r="AL155" s="39" t="str">
        <f>IF(getCategoryLevelAsString($B155)="L0D_324785","",IF(S155="",CONCATENATE(";",EscStr(CONCATENATE("NavNode_",getCategoryLevelAsString($B155))),";",EscStr($J155),";"),CONCATENATE(";",EscStr(CONCATENATE("NavNode_",getCategoryLevelAsString($B155))),";",EscStr(S155),";")))</f>
        <v>;"NavNode_L3D_531368";"Przetwornice DC/DC do druku";</v>
      </c>
      <c r="AM155" s="39" t="str">
        <f>IF(getCategoryLevelAsString($B155)="L0D_324785","",IF(T155="",CONCATENATE(";",EscStr(CONCATENATE("NavNode_",getCategoryLevelAsString($B155))),";",EscStr($J155),";"),CONCATENATE(";",EscStr(CONCATENATE("NavNode_",getCategoryLevelAsString($B155))),";",EscStr(T155),";")))</f>
        <v>;"NavNode_L3D_531368";"DC/DC Источники питания, PCB";</v>
      </c>
      <c r="AN155" s="39" t="str">
        <f>IF(getCategoryLevelAsString($B155)="L0D_324785","",IF(U155="",CONCATENATE(";",EscStr(CONCATENATE("NavNode_",getCategoryLevelAsString($B155))),";",EscStr($J155),";"),CONCATENATE(";",EscStr(CONCATENATE("NavNode_",getCategoryLevelAsString($B155))),";",EscStr(U155),";")))</f>
        <v>;"NavNode_L3D_531368";"DC / DC napájecí zdroje, PCB";</v>
      </c>
      <c r="AO155" s="39" t="str">
        <f>IF(getCategoryLevelAsString($B155)="L0D_324785","",IF(V155="",CONCATENATE(";",EscStr(CONCATENATE("NavNode_",getCategoryLevelAsString($B155))),";",EscStr($J155),";"),CONCATENATE(";",EscStr(CONCATENATE("NavNode_",getCategoryLevelAsString($B155))),";",EscStr(V155),";")))</f>
        <v>;"NavNode_L3D_531368";"Surse de alimentare DC/DC, PCB";</v>
      </c>
      <c r="AP155" s="39" t="str">
        <f>IF(getCategoryLevelAsString($B155)="L0D_324785","",IF(W155="",CONCATENATE(";",EscStr(CONCATENATE("NavNode_",getCategoryLevelAsString($B155))),";",EscStr($J155),";"),CONCATENATE(";",EscStr(CONCATENATE("NavNode_",getCategoryLevelAsString($B155))),";",EscStr(W155),";")))</f>
        <v>;"NavNode_L3D_531368";"DC/DC töltőkészülék, PCB";</v>
      </c>
      <c r="AQ155" s="39" t="str">
        <f>IF(getCategoryLevelAsString($B155)="L0D_324785","",IF(X155="",CONCATENATE(";",EscStr(CONCATENATE("NavNode_",getCategoryLevelAsString($B155))),";",EscStr($J155),";"),CONCATENATE(";",EscStr(CONCATENATE("NavNode_",getCategoryLevelAsString($B155))),";",EscStr(X155),";")))</f>
        <v>;"NavNode_L3D_531368";"DC / DC napájacie zdroje, PCB";</v>
      </c>
      <c r="AR155" s="39" t="str">
        <f>IF(OR($A155&lt;&gt;"", $G155=""),"",CONCATENATE(";",EscStr(CONCATENATE("NavEntry_",getCategoryLevelAsString($B155))),";",EscStr(CONCATENATE($J155," Navigation Entry")),";",EscStr(CONCATENATE("cat-",getCategoryLevelAsString($B155))),";",EscStr(CONCATENATE("NavNode_",getCategoryLevelAsString($B155))),";"))</f>
        <v>;"NavEntry_L3D_531368";"DC/DC Power supplies, PCB Navigation Entry";"cat-L3D_531368";"NavNode_L3D_531368";</v>
      </c>
    </row>
    <row r="156" spans="1:44" s="34" customFormat="1" ht="15" x14ac:dyDescent="0.25">
      <c r="A156" s="25"/>
      <c r="B156" s="5"/>
      <c r="C156" s="5"/>
      <c r="D156" s="5" t="s">
        <v>721</v>
      </c>
      <c r="E156" s="5"/>
      <c r="F156" s="5"/>
      <c r="G156" s="5" t="s">
        <v>1039</v>
      </c>
      <c r="H156" s="5" t="s">
        <v>1068</v>
      </c>
      <c r="I156" s="5" t="s">
        <v>1126</v>
      </c>
      <c r="J156" s="5" t="s">
        <v>906</v>
      </c>
      <c r="K156" s="5" t="s">
        <v>1356</v>
      </c>
      <c r="L156" s="5" t="s">
        <v>1591</v>
      </c>
      <c r="M156" s="5" t="s">
        <v>1801</v>
      </c>
      <c r="N156" s="5" t="s">
        <v>2013</v>
      </c>
      <c r="O156" s="5" t="s">
        <v>3962</v>
      </c>
      <c r="P156" s="5" t="s">
        <v>3963</v>
      </c>
      <c r="Q156" s="5" t="s">
        <v>3964</v>
      </c>
      <c r="R156" s="5" t="s">
        <v>3965</v>
      </c>
      <c r="S156" s="5" t="s">
        <v>3966</v>
      </c>
      <c r="T156" s="5" t="s">
        <v>3967</v>
      </c>
      <c r="U156" s="5" t="s">
        <v>3968</v>
      </c>
      <c r="V156" s="5" t="s">
        <v>3969</v>
      </c>
      <c r="W156" s="5" t="s">
        <v>3970</v>
      </c>
      <c r="X156" s="5" t="s">
        <v>14891</v>
      </c>
      <c r="Y156" s="39" t="str">
        <f>IF(OR($A156&lt;&gt;"", $G156=""),"",CONCATENATE(";",EscStr(CONCATENATE("NavNode_",getCategoryLevelAsString($B156))),";",EscStr($J156),";",IF($B156&lt;&gt;"","""MainCategoryNavNode""",EscStr(CONCATENATE("NavNode_",getSuperCategory($B156, getCategoryLevelAsNumber($B156))))),";"))</f>
        <v>;"NavNode_L2-3D_531369";"AC/DC Power supplies, PCB";"NavNode_L2D_379651";</v>
      </c>
      <c r="Z156" s="39" t="str">
        <f>IF(getCategoryLevelAsString($B156)="L0D_324785","",IF(G156="",CONCATENATE(";",EscStr(CONCATENATE("NavNode_",getCategoryLevelAsString($B156))),";",EscStr($J156),";"),CONCATENATE(";",EscStr(CONCATENATE("NavNode_",getCategoryLevelAsString($B156))),";",EscStr(G156),";")))</f>
        <v>;"NavNode_L2-3D_531369";"AC/DC-Netzgeräte, PCB";</v>
      </c>
      <c r="AA156" s="39" t="str">
        <f>IF(getCategoryLevelAsString($B156)="L0D_324785","",IF(H156="",CONCATENATE(";",EscStr(CONCATENATE("NavNode_",getCategoryLevelAsString($B156))),";",EscStr($J156),";"),CONCATENATE(";",EscStr(CONCATENATE("NavNode_",getCategoryLevelAsString($B156))),";",EscStr(H156),";")))</f>
        <v>;"NavNode_L2-3D_531369";"Alimentations AC/DC, circuit imprimé";</v>
      </c>
      <c r="AB156" s="39" t="str">
        <f>IF(getCategoryLevelAsString($B156)="L0D_324785","",IF(I156="",CONCATENATE(";",EscStr(CONCATENATE("NavNode_",getCategoryLevelAsString($B156))),";",EscStr($J156),";"),CONCATENATE(";",EscStr(CONCATENATE("NavNode_",getCategoryLevelAsString($B156))),";",EscStr(I156),";")))</f>
        <v>;"NavNode_L2-3D_531369";"Alimentatori AC/DC, PCB";</v>
      </c>
      <c r="AC156" s="39" t="str">
        <f>IF(getCategoryLevelAsString($B156)="L0D_324785","",IF(J156="",CONCATENATE(";",EscStr(CONCATENATE("NavNode_",getCategoryLevelAsString($B156))),";",EscStr($J156),";"),CONCATENATE(";",EscStr(CONCATENATE("NavNode_",getCategoryLevelAsString($B156))),";",EscStr(J156),";")))</f>
        <v>;"NavNode_L2-3D_531369";"AC/DC Power supplies, PCB";</v>
      </c>
      <c r="AD156" s="39" t="str">
        <f>IF(getCategoryLevelAsString($B156)="L0D_324785","",IF(K156="",CONCATENATE(";",EscStr(CONCATENATE("NavNode_",getCategoryLevelAsString($B156))),";",EscStr($J156),";"),CONCATENATE(";",EscStr(CONCATENATE("NavNode_",getCategoryLevelAsString($B156))),";",EscStr(K156),";")))</f>
        <v>;"NavNode_L2-3D_531369";"AC/DC-strømforsyning, PCB";</v>
      </c>
      <c r="AE156" s="39" t="str">
        <f>IF(getCategoryLevelAsString($B156)="L0D_324785","",IF(L156="",CONCATENATE(";",EscStr(CONCATENATE("NavNode_",getCategoryLevelAsString($B156))),";",EscStr($J156),";"),CONCATENATE(";",EscStr(CONCATENATE("NavNode_",getCategoryLevelAsString($B156))),";",EscStr(L156),";")))</f>
        <v>;"NavNode_L2-3D_531369";"AC/DC maitinimo šaltiniai, PCB";</v>
      </c>
      <c r="AF156" s="39" t="str">
        <f>IF(getCategoryLevelAsString($B156)="L0D_324785","",IF(M156="",CONCATENATE(";",EscStr(CONCATENATE("NavNode_",getCategoryLevelAsString($B156))),";",EscStr($J156),";"),CONCATENATE(";",EscStr(CONCATENATE("NavNode_",getCategoryLevelAsString($B156))),";",EscStr(M156),";")))</f>
        <v>;"NavNode_L2-3D_531369";"AC/DC strømforsyning, PCB";</v>
      </c>
      <c r="AG156" s="39" t="str">
        <f>IF(getCategoryLevelAsString($B156)="L0D_324785","",IF(N156="",CONCATENATE(";",EscStr(CONCATENATE("NavNode_",getCategoryLevelAsString($B156))),";",EscStr($J156),";"),CONCATENATE(";",EscStr(CONCATENATE("NavNode_",getCategoryLevelAsString($B156))),";",EscStr(N156),";")))</f>
        <v>;"NavNode_L2-3D_531369";"AC/DC strömförsörjningar, PCB";</v>
      </c>
      <c r="AH156" s="39" t="str">
        <f>IF(getCategoryLevelAsString($B156)="L0D_324785","",IF(O156="",CONCATENATE(";",EscStr(CONCATENATE("NavNode_",getCategoryLevelAsString($B156))),";",EscStr($J156),";"),CONCATENATE(";",EscStr(CONCATENATE("NavNode_",getCategoryLevelAsString($B156))),";",EscStr(O156),";")))</f>
        <v>;"NavNode_L2-3D_531369";"AC/DC toiteplokid, trükkplaadile";</v>
      </c>
      <c r="AI156" s="39" t="str">
        <f>IF(getCategoryLevelAsString($B156)="L0D_324785","",IF(P156="",CONCATENATE(";",EscStr(CONCATENATE("NavNode_",getCategoryLevelAsString($B156))),";",EscStr($J156),";"),CONCATENATE(";",EscStr(CONCATENATE("NavNode_",getCategoryLevelAsString($B156))),";",EscStr(P156),";")))</f>
        <v>;"NavNode_L2-3D_531369";"AC/DC Virtalähteet, PCB";</v>
      </c>
      <c r="AJ156" s="39" t="str">
        <f>IF(getCategoryLevelAsString($B156)="L0D_324785","",IF(Q156="",CONCATENATE(";",EscStr(CONCATENATE("NavNode_",getCategoryLevelAsString($B156))),";",EscStr($J156),";"),CONCATENATE(";",EscStr(CONCATENATE("NavNode_",getCategoryLevelAsString($B156))),";",EscStr(Q156),";")))</f>
        <v>;"NavNode_L2-3D_531369";"AC/DC barošanas bloki, PCB";</v>
      </c>
      <c r="AK156" s="39" t="str">
        <f>IF(getCategoryLevelAsString($B156)="L0D_324785","",IF(R156="",CONCATENATE(";",EscStr(CONCATENATE("NavNode_",getCategoryLevelAsString($B156))),";",EscStr($J156),";"),CONCATENATE(";",EscStr(CONCATENATE("NavNode_",getCategoryLevelAsString($B156))),";",EscStr(R156),";")))</f>
        <v>;"NavNode_L2-3D_531369";"AC/DC voedingen, PCB";</v>
      </c>
      <c r="AL156" s="39" t="str">
        <f>IF(getCategoryLevelAsString($B156)="L0D_324785","",IF(S156="",CONCATENATE(";",EscStr(CONCATENATE("NavNode_",getCategoryLevelAsString($B156))),";",EscStr($J156),";"),CONCATENATE(";",EscStr(CONCATENATE("NavNode_",getCategoryLevelAsString($B156))),";",EscStr(S156),";")))</f>
        <v>;"NavNode_L2-3D_531369";"Przetwornice AC/DC do druku";</v>
      </c>
      <c r="AM156" s="39" t="str">
        <f>IF(getCategoryLevelAsString($B156)="L0D_324785","",IF(T156="",CONCATENATE(";",EscStr(CONCATENATE("NavNode_",getCategoryLevelAsString($B156))),";",EscStr($J156),";"),CONCATENATE(";",EscStr(CONCATENATE("NavNode_",getCategoryLevelAsString($B156))),";",EscStr(T156),";")))</f>
        <v>;"NavNode_L2-3D_531369";"AC/DC Источники питания, PCB";</v>
      </c>
      <c r="AN156" s="39" t="str">
        <f>IF(getCategoryLevelAsString($B156)="L0D_324785","",IF(U156="",CONCATENATE(";",EscStr(CONCATENATE("NavNode_",getCategoryLevelAsString($B156))),";",EscStr($J156),";"),CONCATENATE(";",EscStr(CONCATENATE("NavNode_",getCategoryLevelAsString($B156))),";",EscStr(U156),";")))</f>
        <v>;"NavNode_L2-3D_531369";"AC / DC napájecí zdroje, PCB";</v>
      </c>
      <c r="AO156" s="39" t="str">
        <f>IF(getCategoryLevelAsString($B156)="L0D_324785","",IF(V156="",CONCATENATE(";",EscStr(CONCATENATE("NavNode_",getCategoryLevelAsString($B156))),";",EscStr($J156),";"),CONCATENATE(";",EscStr(CONCATENATE("NavNode_",getCategoryLevelAsString($B156))),";",EscStr(V156),";")))</f>
        <v>;"NavNode_L2-3D_531369";"Surse de alimentare AC/DC, PCB";</v>
      </c>
      <c r="AP156" s="39" t="str">
        <f>IF(getCategoryLevelAsString($B156)="L0D_324785","",IF(W156="",CONCATENATE(";",EscStr(CONCATENATE("NavNode_",getCategoryLevelAsString($B156))),";",EscStr($J156),";"),CONCATENATE(";",EscStr(CONCATENATE("NavNode_",getCategoryLevelAsString($B156))),";",EscStr(W156),";")))</f>
        <v>;"NavNode_L2-3D_531369";"AC/DC töltőkészülék, PCB";</v>
      </c>
      <c r="AQ156" s="39" t="str">
        <f>IF(getCategoryLevelAsString($B156)="L0D_324785","",IF(X156="",CONCATENATE(";",EscStr(CONCATENATE("NavNode_",getCategoryLevelAsString($B156))),";",EscStr($J156),";"),CONCATENATE(";",EscStr(CONCATENATE("NavNode_",getCategoryLevelAsString($B156))),";",EscStr(X156),";")))</f>
        <v>;"NavNode_L2-3D_531369";"AC / DC napájacie zdroje, PCB";</v>
      </c>
      <c r="AR156" s="39" t="str">
        <f>IF(OR($A156&lt;&gt;"", $G156=""),"",CONCATENATE(";",EscStr(CONCATENATE("NavEntry_",getCategoryLevelAsString($B156))),";",EscStr(CONCATENATE($J156," Navigation Entry")),";",EscStr(CONCATENATE("cat-",getCategoryLevelAsString($B156))),";",EscStr(CONCATENATE("NavNode_",getCategoryLevelAsString($B156))),";"))</f>
        <v>;"NavEntry_L2-3D_531369";"AC/DC Power supplies, PCB Navigation Entry";"cat-L2-3D_531369";"NavNode_L2-3D_531369";</v>
      </c>
    </row>
    <row r="157" spans="1:44" s="34" customFormat="1" ht="15" x14ac:dyDescent="0.25">
      <c r="A157" s="25"/>
      <c r="B157" s="5"/>
      <c r="C157" s="5"/>
      <c r="D157" s="5" t="s">
        <v>200</v>
      </c>
      <c r="E157" s="5"/>
      <c r="F157" s="5"/>
      <c r="G157" s="5" t="s">
        <v>1280</v>
      </c>
      <c r="H157" s="5" t="s">
        <v>477</v>
      </c>
      <c r="I157" s="5" t="s">
        <v>1280</v>
      </c>
      <c r="J157" s="5" t="s">
        <v>1280</v>
      </c>
      <c r="K157" s="5" t="s">
        <v>1280</v>
      </c>
      <c r="L157" s="5" t="s">
        <v>1592</v>
      </c>
      <c r="M157" s="5" t="s">
        <v>1280</v>
      </c>
      <c r="N157" s="5" t="s">
        <v>1280</v>
      </c>
      <c r="O157" s="5" t="s">
        <v>1280</v>
      </c>
      <c r="P157" s="5" t="s">
        <v>1280</v>
      </c>
      <c r="Q157" s="5" t="s">
        <v>1280</v>
      </c>
      <c r="R157" s="5" t="s">
        <v>1280</v>
      </c>
      <c r="S157" s="5" t="s">
        <v>2201</v>
      </c>
      <c r="T157" s="5" t="s">
        <v>2202</v>
      </c>
      <c r="U157" s="5" t="s">
        <v>1280</v>
      </c>
      <c r="V157" s="5" t="s">
        <v>1280</v>
      </c>
      <c r="W157" s="5" t="s">
        <v>1280</v>
      </c>
      <c r="X157" s="5" t="s">
        <v>14892</v>
      </c>
      <c r="Y157" s="39" t="str">
        <f>IF(OR($A157&lt;&gt;"", $G157=""),"",CONCATENATE(";",EscStr(CONCATENATE("NavNode_",getCategoryLevelAsString($B157))),";",EscStr($J157),";",IF($B157&lt;&gt;"","""MainCategoryNavNode""",EscStr(CONCATENATE("NavNode_",getSuperCategory($B157, getCategoryLevelAsNumber($B157))))),";"))</f>
        <v>;"NavNode_L3D_525551";"UPS";"NavNode_L2D_379651";</v>
      </c>
      <c r="Z157" s="39" t="str">
        <f>IF(getCategoryLevelAsString($B157)="L0D_324785","",IF(G157="",CONCATENATE(";",EscStr(CONCATENATE("NavNode_",getCategoryLevelAsString($B157))),";",EscStr($J157),";"),CONCATENATE(";",EscStr(CONCATENATE("NavNode_",getCategoryLevelAsString($B157))),";",EscStr(G157),";")))</f>
        <v>;"NavNode_L3D_525551";"UPS";</v>
      </c>
      <c r="AA157" s="39" t="str">
        <f>IF(getCategoryLevelAsString($B157)="L0D_324785","",IF(H157="",CONCATENATE(";",EscStr(CONCATENATE("NavNode_",getCategoryLevelAsString($B157))),";",EscStr($J157),";"),CONCATENATE(";",EscStr(CONCATENATE("NavNode_",getCategoryLevelAsString($B157))),";",EscStr(H157),";")))</f>
        <v>;"NavNode_L3D_525551";"Alimentation sans interruption";</v>
      </c>
      <c r="AB157" s="39" t="str">
        <f>IF(getCategoryLevelAsString($B157)="L0D_324785","",IF(I157="",CONCATENATE(";",EscStr(CONCATENATE("NavNode_",getCategoryLevelAsString($B157))),";",EscStr($J157),";"),CONCATENATE(";",EscStr(CONCATENATE("NavNode_",getCategoryLevelAsString($B157))),";",EscStr(I157),";")))</f>
        <v>;"NavNode_L3D_525551";"UPS";</v>
      </c>
      <c r="AC157" s="39" t="str">
        <f>IF(getCategoryLevelAsString($B157)="L0D_324785","",IF(J157="",CONCATENATE(";",EscStr(CONCATENATE("NavNode_",getCategoryLevelAsString($B157))),";",EscStr($J157),";"),CONCATENATE(";",EscStr(CONCATENATE("NavNode_",getCategoryLevelAsString($B157))),";",EscStr(J157),";")))</f>
        <v>;"NavNode_L3D_525551";"UPS";</v>
      </c>
      <c r="AD157" s="39" t="str">
        <f>IF(getCategoryLevelAsString($B157)="L0D_324785","",IF(K157="",CONCATENATE(";",EscStr(CONCATENATE("NavNode_",getCategoryLevelAsString($B157))),";",EscStr($J157),";"),CONCATENATE(";",EscStr(CONCATENATE("NavNode_",getCategoryLevelAsString($B157))),";",EscStr(K157),";")))</f>
        <v>;"NavNode_L3D_525551";"UPS";</v>
      </c>
      <c r="AE157" s="39" t="str">
        <f>IF(getCategoryLevelAsString($B157)="L0D_324785","",IF(L157="",CONCATENATE(";",EscStr(CONCATENATE("NavNode_",getCategoryLevelAsString($B157))),";",EscStr($J157),";"),CONCATENATE(";",EscStr(CONCATENATE("NavNode_",getCategoryLevelAsString($B157))),";",EscStr(L157),";")))</f>
        <v>;"NavNode_L3D_525551";"Nepertraukiamo maitinimo šaltiniai";</v>
      </c>
      <c r="AF157" s="39" t="str">
        <f>IF(getCategoryLevelAsString($B157)="L0D_324785","",IF(M157="",CONCATENATE(";",EscStr(CONCATENATE("NavNode_",getCategoryLevelAsString($B157))),";",EscStr($J157),";"),CONCATENATE(";",EscStr(CONCATENATE("NavNode_",getCategoryLevelAsString($B157))),";",EscStr(M157),";")))</f>
        <v>;"NavNode_L3D_525551";"UPS";</v>
      </c>
      <c r="AG157" s="39" t="str">
        <f>IF(getCategoryLevelAsString($B157)="L0D_324785","",IF(N157="",CONCATENATE(";",EscStr(CONCATENATE("NavNode_",getCategoryLevelAsString($B157))),";",EscStr($J157),";"),CONCATENATE(";",EscStr(CONCATENATE("NavNode_",getCategoryLevelAsString($B157))),";",EscStr(N157),";")))</f>
        <v>;"NavNode_L3D_525551";"UPS";</v>
      </c>
      <c r="AH157" s="39" t="str">
        <f>IF(getCategoryLevelAsString($B157)="L0D_324785","",IF(O157="",CONCATENATE(";",EscStr(CONCATENATE("NavNode_",getCategoryLevelAsString($B157))),";",EscStr($J157),";"),CONCATENATE(";",EscStr(CONCATENATE("NavNode_",getCategoryLevelAsString($B157))),";",EscStr(O157),";")))</f>
        <v>;"NavNode_L3D_525551";"UPS";</v>
      </c>
      <c r="AI157" s="39" t="str">
        <f>IF(getCategoryLevelAsString($B157)="L0D_324785","",IF(P157="",CONCATENATE(";",EscStr(CONCATENATE("NavNode_",getCategoryLevelAsString($B157))),";",EscStr($J157),";"),CONCATENATE(";",EscStr(CONCATENATE("NavNode_",getCategoryLevelAsString($B157))),";",EscStr(P157),";")))</f>
        <v>;"NavNode_L3D_525551";"UPS";</v>
      </c>
      <c r="AJ157" s="39" t="str">
        <f>IF(getCategoryLevelAsString($B157)="L0D_324785","",IF(Q157="",CONCATENATE(";",EscStr(CONCATENATE("NavNode_",getCategoryLevelAsString($B157))),";",EscStr($J157),";"),CONCATENATE(";",EscStr(CONCATENATE("NavNode_",getCategoryLevelAsString($B157))),";",EscStr(Q157),";")))</f>
        <v>;"NavNode_L3D_525551";"UPS";</v>
      </c>
      <c r="AK157" s="39" t="str">
        <f>IF(getCategoryLevelAsString($B157)="L0D_324785","",IF(R157="",CONCATENATE(";",EscStr(CONCATENATE("NavNode_",getCategoryLevelAsString($B157))),";",EscStr($J157),";"),CONCATENATE(";",EscStr(CONCATENATE("NavNode_",getCategoryLevelAsString($B157))),";",EscStr(R157),";")))</f>
        <v>;"NavNode_L3D_525551";"UPS";</v>
      </c>
      <c r="AL157" s="39" t="str">
        <f>IF(getCategoryLevelAsString($B157)="L0D_324785","",IF(S157="",CONCATENATE(";",EscStr(CONCATENATE("NavNode_",getCategoryLevelAsString($B157))),";",EscStr($J157),";"),CONCATENATE(";",EscStr(CONCATENATE("NavNode_",getCategoryLevelAsString($B157))),";",EscStr(S157),";")))</f>
        <v>;"NavNode_L3D_525551";"Zasilacze UPS";</v>
      </c>
      <c r="AM157" s="39" t="str">
        <f>IF(getCategoryLevelAsString($B157)="L0D_324785","",IF(T157="",CONCATENATE(";",EscStr(CONCATENATE("NavNode_",getCategoryLevelAsString($B157))),";",EscStr($J157),";"),CONCATENATE(";",EscStr(CONCATENATE("NavNode_",getCategoryLevelAsString($B157))),";",EscStr(T157),";")))</f>
        <v>;"NavNode_L3D_525551";"ИБП";</v>
      </c>
      <c r="AN157" s="39" t="str">
        <f>IF(getCategoryLevelAsString($B157)="L0D_324785","",IF(U157="",CONCATENATE(";",EscStr(CONCATENATE("NavNode_",getCategoryLevelAsString($B157))),";",EscStr($J157),";"),CONCATENATE(";",EscStr(CONCATENATE("NavNode_",getCategoryLevelAsString($B157))),";",EscStr(U157),";")))</f>
        <v>;"NavNode_L3D_525551";"UPS";</v>
      </c>
      <c r="AO157" s="39" t="str">
        <f>IF(getCategoryLevelAsString($B157)="L0D_324785","",IF(V157="",CONCATENATE(";",EscStr(CONCATENATE("NavNode_",getCategoryLevelAsString($B157))),";",EscStr($J157),";"),CONCATENATE(";",EscStr(CONCATENATE("NavNode_",getCategoryLevelAsString($B157))),";",EscStr(V157),";")))</f>
        <v>;"NavNode_L3D_525551";"UPS";</v>
      </c>
      <c r="AP157" s="39" t="str">
        <f>IF(getCategoryLevelAsString($B157)="L0D_324785","",IF(W157="",CONCATENATE(";",EscStr(CONCATENATE("NavNode_",getCategoryLevelAsString($B157))),";",EscStr($J157),";"),CONCATENATE(";",EscStr(CONCATENATE("NavNode_",getCategoryLevelAsString($B157))),";",EscStr(W157),";")))</f>
        <v>;"NavNode_L3D_525551";"UPS";</v>
      </c>
      <c r="AQ157" s="39" t="str">
        <f>IF(getCategoryLevelAsString($B157)="L0D_324785","",IF(X157="",CONCATENATE(";",EscStr(CONCATENATE("NavNode_",getCategoryLevelAsString($B157))),";",EscStr($J157),";"),CONCATENATE(";",EscStr(CONCATENATE("NavNode_",getCategoryLevelAsString($B157))),";",EscStr(X157),";")))</f>
        <v>;"NavNode_L3D_525551";"Neprerušiteľný zdroj napájania";</v>
      </c>
      <c r="AR157" s="39" t="str">
        <f>IF(OR($A157&lt;&gt;"", $G157=""),"",CONCATENATE(";",EscStr(CONCATENATE("NavEntry_",getCategoryLevelAsString($B157))),";",EscStr(CONCATENATE($J157," Navigation Entry")),";",EscStr(CONCATENATE("cat-",getCategoryLevelAsString($B157))),";",EscStr(CONCATENATE("NavNode_",getCategoryLevelAsString($B157))),";"))</f>
        <v>;"NavEntry_L3D_525551";"UPS Navigation Entry";"cat-L3D_525551";"NavNode_L3D_525551";</v>
      </c>
    </row>
    <row r="158" spans="1:44" s="34" customFormat="1" ht="15" x14ac:dyDescent="0.25">
      <c r="A158" s="25"/>
      <c r="B158" s="5"/>
      <c r="C158" s="5" t="s">
        <v>815</v>
      </c>
      <c r="D158" s="5"/>
      <c r="E158" s="5"/>
      <c r="F158" s="5"/>
      <c r="G158" s="5" t="s">
        <v>3133</v>
      </c>
      <c r="H158" s="5" t="s">
        <v>13647</v>
      </c>
      <c r="I158" s="5" t="s">
        <v>13735</v>
      </c>
      <c r="J158" s="5" t="s">
        <v>3136</v>
      </c>
      <c r="K158" s="5" t="s">
        <v>13833</v>
      </c>
      <c r="L158" s="5" t="s">
        <v>1513</v>
      </c>
      <c r="M158" s="5" t="s">
        <v>13833</v>
      </c>
      <c r="N158" s="5" t="s">
        <v>13975</v>
      </c>
      <c r="O158" s="5" t="s">
        <v>3141</v>
      </c>
      <c r="P158" s="5" t="s">
        <v>14180</v>
      </c>
      <c r="Q158" s="5" t="s">
        <v>3143</v>
      </c>
      <c r="R158" s="5" t="s">
        <v>3144</v>
      </c>
      <c r="S158" s="5" t="s">
        <v>3145</v>
      </c>
      <c r="T158" s="5" t="s">
        <v>3146</v>
      </c>
      <c r="U158" s="5" t="s">
        <v>3147</v>
      </c>
      <c r="V158" s="5" t="s">
        <v>3148</v>
      </c>
      <c r="W158" s="5" t="s">
        <v>3149</v>
      </c>
      <c r="X158" s="5" t="s">
        <v>14893</v>
      </c>
      <c r="Y158" s="39" t="str">
        <f>IF(OR($A158&lt;&gt;"", $G158=""),"",CONCATENATE(";",EscStr(CONCATENATE("NavNode_",getCategoryLevelAsString($B158))),";",EscStr($J158),";",IF($B158&lt;&gt;"","""MainCategoryNavNode""",EscStr(CONCATENATE("NavNode_",getSuperCategory($B158, getCategoryLevelAsNumber($B158))))),";"))</f>
        <v>;"NavNode_L2D_527999";"Laboratory Power Supplies &amp; Electronic Loads";"NavNode_Power Supplies / Batteries / Transformers";</v>
      </c>
      <c r="Z158" s="39" t="str">
        <f>IF(getCategoryLevelAsString($B158)="L0D_324785","",IF(G158="",CONCATENATE(";",EscStr(CONCATENATE("NavNode_",getCategoryLevelAsString($B158))),";",EscStr($J158),";"),CONCATENATE(";",EscStr(CONCATENATE("NavNode_",getCategoryLevelAsString($B158))),";",EscStr(G158),";")))</f>
        <v>;"NavNode_L2D_527999";"Labor-Netzgeräte &amp; Elektronische Lasten";</v>
      </c>
      <c r="AA158" s="39" t="str">
        <f>IF(getCategoryLevelAsString($B158)="L0D_324785","",IF(H158="",CONCATENATE(";",EscStr(CONCATENATE("NavNode_",getCategoryLevelAsString($B158))),";",EscStr($J158),";"),CONCATENATE(";",EscStr(CONCATENATE("NavNode_",getCategoryLevelAsString($B158))),";",EscStr(H158),";")))</f>
        <v>;"NavNode_L2D_527999";"Alimentations et charges électroniques de laboratoire";</v>
      </c>
      <c r="AB158" s="39" t="str">
        <f>IF(getCategoryLevelAsString($B158)="L0D_324785","",IF(I158="",CONCATENATE(";",EscStr(CONCATENATE("NavNode_",getCategoryLevelAsString($B158))),";",EscStr($J158),";"),CONCATENATE(";",EscStr(CONCATENATE("NavNode_",getCategoryLevelAsString($B158))),";",EscStr(I158),";")))</f>
        <v>;"NavNode_L2D_527999";"Alimentatori da laboratorio e carichi elettronici";</v>
      </c>
      <c r="AC158" s="39" t="str">
        <f>IF(getCategoryLevelAsString($B158)="L0D_324785","",IF(J158="",CONCATENATE(";",EscStr(CONCATENATE("NavNode_",getCategoryLevelAsString($B158))),";",EscStr($J158),";"),CONCATENATE(";",EscStr(CONCATENATE("NavNode_",getCategoryLevelAsString($B158))),";",EscStr(J158),";")))</f>
        <v>;"NavNode_L2D_527999";"Laboratory Power Supplies &amp; Electronic Loads";</v>
      </c>
      <c r="AD158" s="39" t="str">
        <f>IF(getCategoryLevelAsString($B158)="L0D_324785","",IF(K158="",CONCATENATE(";",EscStr(CONCATENATE("NavNode_",getCategoryLevelAsString($B158))),";",EscStr($J158),";"),CONCATENATE(";",EscStr(CONCATENATE("NavNode_",getCategoryLevelAsString($B158))),";",EscStr(K158),";")))</f>
        <v>;"NavNode_L2D_527999";"Laboratoriestrømforsyninger og elektroniske belastninger";</v>
      </c>
      <c r="AE158" s="39" t="str">
        <f>IF(getCategoryLevelAsString($B158)="L0D_324785","",IF(L158="",CONCATENATE(";",EscStr(CONCATENATE("NavNode_",getCategoryLevelAsString($B158))),";",EscStr($J158),";"),CONCATENATE(";",EscStr(CONCATENATE("NavNode_",getCategoryLevelAsString($B158))),";",EscStr(L158),";")))</f>
        <v>;"NavNode_L2D_527999";"Laboratoriniai maitinimo šaltiniai";</v>
      </c>
      <c r="AF158" s="39" t="str">
        <f>IF(getCategoryLevelAsString($B158)="L0D_324785","",IF(M158="",CONCATENATE(";",EscStr(CONCATENATE("NavNode_",getCategoryLevelAsString($B158))),";",EscStr($J158),";"),CONCATENATE(";",EscStr(CONCATENATE("NavNode_",getCategoryLevelAsString($B158))),";",EscStr(M158),";")))</f>
        <v>;"NavNode_L2D_527999";"Laboratoriestrømforsyninger og elektroniske belastninger";</v>
      </c>
      <c r="AG158" s="39" t="str">
        <f>IF(getCategoryLevelAsString($B158)="L0D_324785","",IF(N158="",CONCATENATE(";",EscStr(CONCATENATE("NavNode_",getCategoryLevelAsString($B158))),";",EscStr($J158),";"),CONCATENATE(";",EscStr(CONCATENATE("NavNode_",getCategoryLevelAsString($B158))),";",EscStr(N158),";")))</f>
        <v>;"NavNode_L2D_527999";"Laboratorienätaggregat och elektroniska laster";</v>
      </c>
      <c r="AH158" s="39" t="str">
        <f>IF(getCategoryLevelAsString($B158)="L0D_324785","",IF(O158="",CONCATENATE(";",EscStr(CONCATENATE("NavNode_",getCategoryLevelAsString($B158))),";",EscStr($J158),";"),CONCATENATE(";",EscStr(CONCATENATE("NavNode_",getCategoryLevelAsString($B158))),";",EscStr(O158),";")))</f>
        <v>;"NavNode_L2D_527999";"Laboratoorsed toiteplokid ja elektroonilised koormused";</v>
      </c>
      <c r="AI158" s="39" t="str">
        <f>IF(getCategoryLevelAsString($B158)="L0D_324785","",IF(P158="",CONCATENATE(";",EscStr(CONCATENATE("NavNode_",getCategoryLevelAsString($B158))),";",EscStr($J158),";"),CONCATENATE(";",EscStr(CONCATENATE("NavNode_",getCategoryLevelAsString($B158))),";",EscStr(P158),";")))</f>
        <v>;"NavNode_L2D_527999";"Laboratoriovirtalähteet &amp; elektroniset kuormat";</v>
      </c>
      <c r="AJ158" s="39" t="str">
        <f>IF(getCategoryLevelAsString($B158)="L0D_324785","",IF(Q158="",CONCATENATE(";",EscStr(CONCATENATE("NavNode_",getCategoryLevelAsString($B158))),";",EscStr($J158),";"),CONCATENATE(";",EscStr(CONCATENATE("NavNode_",getCategoryLevelAsString($B158))),";",EscStr(Q158),";")))</f>
        <v>;"NavNode_L2D_527999";"Laboratorijas barošanas bloki un elektroniskās slodzes";</v>
      </c>
      <c r="AK158" s="39" t="str">
        <f>IF(getCategoryLevelAsString($B158)="L0D_324785","",IF(R158="",CONCATENATE(";",EscStr(CONCATENATE("NavNode_",getCategoryLevelAsString($B158))),";",EscStr($J158),";"),CONCATENATE(";",EscStr(CONCATENATE("NavNode_",getCategoryLevelAsString($B158))),";",EscStr(R158),";")))</f>
        <v>;"NavNode_L2D_527999";"Laboratorium voedingen en elektronische belastingen";</v>
      </c>
      <c r="AL158" s="39" t="str">
        <f>IF(getCategoryLevelAsString($B158)="L0D_324785","",IF(S158="",CONCATENATE(";",EscStr(CONCATENATE("NavNode_",getCategoryLevelAsString($B158))),";",EscStr($J158),";"),CONCATENATE(";",EscStr(CONCATENATE("NavNode_",getCategoryLevelAsString($B158))),";",EscStr(S158),";")))</f>
        <v>;"NavNode_L2D_527999";"Zasilacze laboratoryjne i Obciążenia elektroniczne";</v>
      </c>
      <c r="AM158" s="39" t="str">
        <f>IF(getCategoryLevelAsString($B158)="L0D_324785","",IF(T158="",CONCATENATE(";",EscStr(CONCATENATE("NavNode_",getCategoryLevelAsString($B158))),";",EscStr($J158),";"),CONCATENATE(";",EscStr(CONCATENATE("NavNode_",getCategoryLevelAsString($B158))),";",EscStr(T158),";")))</f>
        <v>;"NavNode_L2D_527999";"Лабораторные блоки питания и электронные нагрузки";</v>
      </c>
      <c r="AN158" s="39" t="str">
        <f>IF(getCategoryLevelAsString($B158)="L0D_324785","",IF(U158="",CONCATENATE(";",EscStr(CONCATENATE("NavNode_",getCategoryLevelAsString($B158))),";",EscStr($J158),";"),CONCATENATE(";",EscStr(CONCATENATE("NavNode_",getCategoryLevelAsString($B158))),";",EscStr(U158),";")))</f>
        <v>;"NavNode_L2D_527999";"Laboratorní zdroje a elektronické zátěže";</v>
      </c>
      <c r="AO158" s="39" t="str">
        <f>IF(getCategoryLevelAsString($B158)="L0D_324785","",IF(V158="",CONCATENATE(";",EscStr(CONCATENATE("NavNode_",getCategoryLevelAsString($B158))),";",EscStr($J158),";"),CONCATENATE(";",EscStr(CONCATENATE("NavNode_",getCategoryLevelAsString($B158))),";",EscStr(V158),";")))</f>
        <v>;"NavNode_L2D_527999";"Surse de alimentare pentru laboratoarer &amp; sarcini electronice";</v>
      </c>
      <c r="AP158" s="39" t="str">
        <f>IF(getCategoryLevelAsString($B158)="L0D_324785","",IF(W158="",CONCATENATE(";",EscStr(CONCATENATE("NavNode_",getCategoryLevelAsString($B158))),";",EscStr($J158),";"),CONCATENATE(";",EscStr(CONCATENATE("NavNode_",getCategoryLevelAsString($B158))),";",EscStr(W158),";")))</f>
        <v>;"NavNode_L2D_527999";"Labortápegységek és elektronikus terhelések";</v>
      </c>
      <c r="AQ158" s="39" t="str">
        <f>IF(getCategoryLevelAsString($B158)="L0D_324785","",IF(X158="",CONCATENATE(";",EscStr(CONCATENATE("NavNode_",getCategoryLevelAsString($B158))),";",EscStr($J158),";"),CONCATENATE(";",EscStr(CONCATENATE("NavNode_",getCategoryLevelAsString($B158))),";",EscStr(X158),";")))</f>
        <v>;"NavNode_L2D_527999";"Laboratórne zdroje a elektronické záťaže";</v>
      </c>
      <c r="AR158" s="39" t="str">
        <f>IF(OR($A158&lt;&gt;"", $G158=""),"",CONCATENATE(";",EscStr(CONCATENATE("NavEntry_",getCategoryLevelAsString($B158))),";",EscStr(CONCATENATE($J158," Navigation Entry")),";",EscStr(CONCATENATE("cat-",getCategoryLevelAsString($B158))),";",EscStr(CONCATENATE("NavNode_",getCategoryLevelAsString($B158))),";"))</f>
        <v>;"NavEntry_L2D_527999";"Laboratory Power Supplies &amp; Electronic Loads Navigation Entry";"cat-L2D_527999";"NavNode_L2D_527999";</v>
      </c>
    </row>
    <row r="159" spans="1:44" s="34" customFormat="1" ht="15" x14ac:dyDescent="0.25">
      <c r="A159" s="25"/>
      <c r="B159" s="5"/>
      <c r="C159" s="5"/>
      <c r="D159" s="5" t="s">
        <v>202</v>
      </c>
      <c r="E159" s="5"/>
      <c r="F159" s="5"/>
      <c r="G159" s="5" t="s">
        <v>2356</v>
      </c>
      <c r="H159" s="5" t="s">
        <v>2357</v>
      </c>
      <c r="I159" s="5" t="s">
        <v>2358</v>
      </c>
      <c r="J159" s="5" t="s">
        <v>2359</v>
      </c>
      <c r="K159" s="5" t="s">
        <v>13834</v>
      </c>
      <c r="L159" s="5" t="s">
        <v>15154</v>
      </c>
      <c r="M159" s="5" t="s">
        <v>2362</v>
      </c>
      <c r="N159" s="5" t="s">
        <v>13976</v>
      </c>
      <c r="O159" s="5" t="s">
        <v>2364</v>
      </c>
      <c r="P159" s="5" t="s">
        <v>2365</v>
      </c>
      <c r="Q159" s="5" t="s">
        <v>2366</v>
      </c>
      <c r="R159" s="5" t="s">
        <v>2367</v>
      </c>
      <c r="S159" s="5" t="s">
        <v>2368</v>
      </c>
      <c r="T159" s="5" t="s">
        <v>2369</v>
      </c>
      <c r="U159" s="5" t="s">
        <v>2370</v>
      </c>
      <c r="V159" s="5" t="s">
        <v>2371</v>
      </c>
      <c r="W159" s="5" t="s">
        <v>2372</v>
      </c>
      <c r="X159" s="5" t="s">
        <v>14894</v>
      </c>
      <c r="Y159" s="39" t="str">
        <f>IF(OR($A159&lt;&gt;"", $G159=""),"",CONCATENATE(";",EscStr(CONCATENATE("NavNode_",getCategoryLevelAsString($B159))),";",EscStr($J159),";",IF($B159&lt;&gt;"","""MainCategoryNavNode""",EscStr(CONCATENATE("NavNode_",getSuperCategory($B159, getCategoryLevelAsNumber($B159))))),";"))</f>
        <v>;"NavNode_L3D_525554";"DC Electronic Loads";"NavNode_L2D_527999";</v>
      </c>
      <c r="Z159" s="39" t="str">
        <f>IF(getCategoryLevelAsString($B159)="L0D_324785","",IF(G159="",CONCATENATE(";",EscStr(CONCATENATE("NavNode_",getCategoryLevelAsString($B159))),";",EscStr($J159),";"),CONCATENATE(";",EscStr(CONCATENATE("NavNode_",getCategoryLevelAsString($B159))),";",EscStr(G159),";")))</f>
        <v>;"NavNode_L3D_525554";"DC Lasten, elektronisch";</v>
      </c>
      <c r="AA159" s="39" t="str">
        <f>IF(getCategoryLevelAsString($B159)="L0D_324785","",IF(H159="",CONCATENATE(";",EscStr(CONCATENATE("NavNode_",getCategoryLevelAsString($B159))),";",EscStr($J159),";"),CONCATENATE(";",EscStr(CONCATENATE("NavNode_",getCategoryLevelAsString($B159))),";",EscStr(H159),";")))</f>
        <v>;"NavNode_L3D_525554";"Charges électroniques c.c.";</v>
      </c>
      <c r="AB159" s="39" t="str">
        <f>IF(getCategoryLevelAsString($B159)="L0D_324785","",IF(I159="",CONCATENATE(";",EscStr(CONCATENATE("NavNode_",getCategoryLevelAsString($B159))),";",EscStr($J159),";"),CONCATENATE(";",EscStr(CONCATENATE("NavNode_",getCategoryLevelAsString($B159))),";",EscStr(I159),";")))</f>
        <v>;"NavNode_L3D_525554";"Carichi elettronici CC";</v>
      </c>
      <c r="AC159" s="39" t="str">
        <f>IF(getCategoryLevelAsString($B159)="L0D_324785","",IF(J159="",CONCATENATE(";",EscStr(CONCATENATE("NavNode_",getCategoryLevelAsString($B159))),";",EscStr($J159),";"),CONCATENATE(";",EscStr(CONCATENATE("NavNode_",getCategoryLevelAsString($B159))),";",EscStr(J159),";")))</f>
        <v>;"NavNode_L3D_525554";"DC Electronic Loads";</v>
      </c>
      <c r="AD159" s="39" t="str">
        <f>IF(getCategoryLevelAsString($B159)="L0D_324785","",IF(K159="",CONCATENATE(";",EscStr(CONCATENATE("NavNode_",getCategoryLevelAsString($B159))),";",EscStr($J159),";"),CONCATENATE(";",EscStr(CONCATENATE("NavNode_",getCategoryLevelAsString($B159))),";",EscStr(K159),";")))</f>
        <v>;"NavNode_L3D_525554";"Elektroniske DC-belastninger";</v>
      </c>
      <c r="AE159" s="39" t="str">
        <f>IF(getCategoryLevelAsString($B159)="L0D_324785","",IF(L159="",CONCATENATE(";",EscStr(CONCATENATE("NavNode_",getCategoryLevelAsString($B159))),";",EscStr($J159),";"),CONCATENATE(";",EscStr(CONCATENATE("NavNode_",getCategoryLevelAsString($B159))),";",EscStr(L159),";")))</f>
        <v>;"NavNode_L3D_525554";"Elektroninės apkrovos";</v>
      </c>
      <c r="AF159" s="39" t="str">
        <f>IF(getCategoryLevelAsString($B159)="L0D_324785","",IF(M159="",CONCATENATE(";",EscStr(CONCATENATE("NavNode_",getCategoryLevelAsString($B159))),";",EscStr($J159),";"),CONCATENATE(";",EscStr(CONCATENATE("NavNode_",getCategoryLevelAsString($B159))),";",EscStr(M159),";")))</f>
        <v>;"NavNode_L3D_525554";"Elektronisk belastning for likestrøm";</v>
      </c>
      <c r="AG159" s="39" t="str">
        <f>IF(getCategoryLevelAsString($B159)="L0D_324785","",IF(N159="",CONCATENATE(";",EscStr(CONCATENATE("NavNode_",getCategoryLevelAsString($B159))),";",EscStr($J159),";"),CONCATENATE(";",EscStr(CONCATENATE("NavNode_",getCategoryLevelAsString($B159))),";",EscStr(N159),";")))</f>
        <v>;"NavNode_L3D_525554";"Elektroniska DC-laster";</v>
      </c>
      <c r="AH159" s="39" t="str">
        <f>IF(getCategoryLevelAsString($B159)="L0D_324785","",IF(O159="",CONCATENATE(";",EscStr(CONCATENATE("NavNode_",getCategoryLevelAsString($B159))),";",EscStr($J159),";"),CONCATENATE(";",EscStr(CONCATENATE("NavNode_",getCategoryLevelAsString($B159))),";",EscStr(O159),";")))</f>
        <v>;"NavNode_L3D_525554";"Alalisvoolu elektroonilised koormused";</v>
      </c>
      <c r="AI159" s="39" t="str">
        <f>IF(getCategoryLevelAsString($B159)="L0D_324785","",IF(P159="",CONCATENATE(";",EscStr(CONCATENATE("NavNode_",getCategoryLevelAsString($B159))),";",EscStr($J159),";"),CONCATENATE(";",EscStr(CONCATENATE("NavNode_",getCategoryLevelAsString($B159))),";",EscStr(P159),";")))</f>
        <v>;"NavNode_L3D_525554";"Elektroniset DC-kuormat";</v>
      </c>
      <c r="AJ159" s="39" t="str">
        <f>IF(getCategoryLevelAsString($B159)="L0D_324785","",IF(Q159="",CONCATENATE(";",EscStr(CONCATENATE("NavNode_",getCategoryLevelAsString($B159))),";",EscStr($J159),";"),CONCATENATE(";",EscStr(CONCATENATE("NavNode_",getCategoryLevelAsString($B159))),";",EscStr(Q159),";")))</f>
        <v>;"NavNode_L3D_525554";"Līdzstrāvas elektroniskās slodzes elementi";</v>
      </c>
      <c r="AK159" s="39" t="str">
        <f>IF(getCategoryLevelAsString($B159)="L0D_324785","",IF(R159="",CONCATENATE(";",EscStr(CONCATENATE("NavNode_",getCategoryLevelAsString($B159))),";",EscStr($J159),";"),CONCATENATE(";",EscStr(CONCATENATE("NavNode_",getCategoryLevelAsString($B159))),";",EscStr(R159),";")))</f>
        <v>;"NavNode_L3D_525554";"Elektronische gelijkstroombelastingen";</v>
      </c>
      <c r="AL159" s="39" t="str">
        <f>IF(getCategoryLevelAsString($B159)="L0D_324785","",IF(S159="",CONCATENATE(";",EscStr(CONCATENATE("NavNode_",getCategoryLevelAsString($B159))),";",EscStr($J159),";"),CONCATENATE(";",EscStr(CONCATENATE("NavNode_",getCategoryLevelAsString($B159))),";",EscStr(S159),";")))</f>
        <v>;"NavNode_L3D_525554";"Obciążenia elektroniczne DC";</v>
      </c>
      <c r="AM159" s="39" t="str">
        <f>IF(getCategoryLevelAsString($B159)="L0D_324785","",IF(T159="",CONCATENATE(";",EscStr(CONCATENATE("NavNode_",getCategoryLevelAsString($B159))),";",EscStr($J159),";"),CONCATENATE(";",EscStr(CONCATENATE("NavNode_",getCategoryLevelAsString($B159))),";",EscStr(T159),";")))</f>
        <v>;"NavNode_L3D_525554";"Электронные нагрузки постоянного тока";</v>
      </c>
      <c r="AN159" s="39" t="str">
        <f>IF(getCategoryLevelAsString($B159)="L0D_324785","",IF(U159="",CONCATENATE(";",EscStr(CONCATENATE("NavNode_",getCategoryLevelAsString($B159))),";",EscStr($J159),";"),CONCATENATE(";",EscStr(CONCATENATE("NavNode_",getCategoryLevelAsString($B159))),";",EscStr(U159),";")))</f>
        <v>;"NavNode_L3D_525554";"Elektronické zátěže, DC";</v>
      </c>
      <c r="AO159" s="39" t="str">
        <f>IF(getCategoryLevelAsString($B159)="L0D_324785","",IF(V159="",CONCATENATE(";",EscStr(CONCATENATE("NavNode_",getCategoryLevelAsString($B159))),";",EscStr($J159),";"),CONCATENATE(";",EscStr(CONCATENATE("NavNode_",getCategoryLevelAsString($B159))),";",EscStr(V159),";")))</f>
        <v>;"NavNode_L3D_525554";"Sarcini electronice c.c.";</v>
      </c>
      <c r="AP159" s="39" t="str">
        <f>IF(getCategoryLevelAsString($B159)="L0D_324785","",IF(W159="",CONCATENATE(";",EscStr(CONCATENATE("NavNode_",getCategoryLevelAsString($B159))),";",EscStr($J159),";"),CONCATENATE(";",EscStr(CONCATENATE("NavNode_",getCategoryLevelAsString($B159))),";",EscStr(W159),";")))</f>
        <v>;"NavNode_L3D_525554";"DC elektronikus terhelés";</v>
      </c>
      <c r="AQ159" s="39" t="str">
        <f>IF(getCategoryLevelAsString($B159)="L0D_324785","",IF(X159="",CONCATENATE(";",EscStr(CONCATENATE("NavNode_",getCategoryLevelAsString($B159))),";",EscStr($J159),";"),CONCATENATE(";",EscStr(CONCATENATE("NavNode_",getCategoryLevelAsString($B159))),";",EscStr(X159),";")))</f>
        <v>;"NavNode_L3D_525554";"Elektronické záťaže";</v>
      </c>
      <c r="AR159" s="39" t="str">
        <f>IF(OR($A159&lt;&gt;"", $G159=""),"",CONCATENATE(";",EscStr(CONCATENATE("NavEntry_",getCategoryLevelAsString($B159))),";",EscStr(CONCATENATE($J159," Navigation Entry")),";",EscStr(CONCATENATE("cat-",getCategoryLevelAsString($B159))),";",EscStr(CONCATENATE("NavNode_",getCategoryLevelAsString($B159))),";"))</f>
        <v>;"NavEntry_L3D_525554";"DC Electronic Loads Navigation Entry";"cat-L3D_525554";"NavNode_L3D_525554";</v>
      </c>
    </row>
    <row r="160" spans="1:44" s="34" customFormat="1" ht="15" x14ac:dyDescent="0.25">
      <c r="A160" s="25"/>
      <c r="B160" s="5"/>
      <c r="C160" s="5"/>
      <c r="D160" s="5" t="s">
        <v>816</v>
      </c>
      <c r="E160" s="5"/>
      <c r="F160" s="5"/>
      <c r="G160" s="5" t="s">
        <v>478</v>
      </c>
      <c r="H160" s="5" t="s">
        <v>479</v>
      </c>
      <c r="I160" s="5" t="s">
        <v>2373</v>
      </c>
      <c r="J160" s="5" t="s">
        <v>2374</v>
      </c>
      <c r="K160" s="5" t="s">
        <v>2375</v>
      </c>
      <c r="L160" s="5" t="s">
        <v>15155</v>
      </c>
      <c r="M160" s="5" t="s">
        <v>2377</v>
      </c>
      <c r="N160" s="48" t="s">
        <v>15445</v>
      </c>
      <c r="O160" s="5" t="s">
        <v>2379</v>
      </c>
      <c r="P160" s="5" t="s">
        <v>2380</v>
      </c>
      <c r="Q160" s="5" t="s">
        <v>2381</v>
      </c>
      <c r="R160" s="5" t="s">
        <v>2382</v>
      </c>
      <c r="S160" s="5" t="s">
        <v>2383</v>
      </c>
      <c r="T160" s="5" t="s">
        <v>2384</v>
      </c>
      <c r="U160" s="5" t="s">
        <v>2385</v>
      </c>
      <c r="V160" s="5" t="s">
        <v>2386</v>
      </c>
      <c r="W160" s="5" t="s">
        <v>2387</v>
      </c>
      <c r="X160" s="5" t="s">
        <v>14895</v>
      </c>
      <c r="Y160" s="39" t="str">
        <f>IF(OR($A160&lt;&gt;"", $G160=""),"",CONCATENATE(";",EscStr(CONCATENATE("NavNode_",getCategoryLevelAsString($B160))),";",EscStr($J160),";",IF($B160&lt;&gt;"","""MainCategoryNavNode""",EscStr(CONCATENATE("NavNode_",getSuperCategory($B160, getCategoryLevelAsNumber($B160))))),";"))</f>
        <v>;"NavNode_L3D_543259";"Power Supplies, fixed-voltage";"NavNode_L2D_527999";</v>
      </c>
      <c r="Z160" s="39" t="str">
        <f>IF(getCategoryLevelAsString($B160)="L0D_324785","",IF(G160="",CONCATENATE(";",EscStr(CONCATENATE("NavNode_",getCategoryLevelAsString($B160))),";",EscStr($J160),";"),CONCATENATE(";",EscStr(CONCATENATE("NavNode_",getCategoryLevelAsString($B160))),";",EscStr(G160),";")))</f>
        <v>;"NavNode_L3D_543259";"Festspannungs-Netzgeräte";</v>
      </c>
      <c r="AA160" s="39" t="str">
        <f>IF(getCategoryLevelAsString($B160)="L0D_324785","",IF(H160="",CONCATENATE(";",EscStr(CONCATENATE("NavNode_",getCategoryLevelAsString($B160))),";",EscStr($J160),";"),CONCATENATE(";",EscStr(CONCATENATE("NavNode_",getCategoryLevelAsString($B160))),";",EscStr(H160),";")))</f>
        <v>;"NavNode_L3D_543259";"Alimentations à tension fixe";</v>
      </c>
      <c r="AB160" s="39" t="str">
        <f>IF(getCategoryLevelAsString($B160)="L0D_324785","",IF(I160="",CONCATENATE(";",EscStr(CONCATENATE("NavNode_",getCategoryLevelAsString($B160))),";",EscStr($J160),";"),CONCATENATE(";",EscStr(CONCATENATE("NavNode_",getCategoryLevelAsString($B160))),";",EscStr(I160),";")))</f>
        <v>;"NavNode_L3D_543259";"Alimentazione, tensione fissa";</v>
      </c>
      <c r="AC160" s="39" t="str">
        <f>IF(getCategoryLevelAsString($B160)="L0D_324785","",IF(J160="",CONCATENATE(";",EscStr(CONCATENATE("NavNode_",getCategoryLevelAsString($B160))),";",EscStr($J160),";"),CONCATENATE(";",EscStr(CONCATENATE("NavNode_",getCategoryLevelAsString($B160))),";",EscStr(J160),";")))</f>
        <v>;"NavNode_L3D_543259";"Power Supplies, fixed-voltage";</v>
      </c>
      <c r="AD160" s="39" t="str">
        <f>IF(getCategoryLevelAsString($B160)="L0D_324785","",IF(K160="",CONCATENATE(";",EscStr(CONCATENATE("NavNode_",getCategoryLevelAsString($B160))),";",EscStr($J160),";"),CONCATENATE(";",EscStr(CONCATENATE("NavNode_",getCategoryLevelAsString($B160))),";",EscStr(K160),";")))</f>
        <v>;"NavNode_L3D_543259";"Strømforsyninger, fast spænding";</v>
      </c>
      <c r="AE160" s="39" t="str">
        <f>IF(getCategoryLevelAsString($B160)="L0D_324785","",IF(L160="",CONCATENATE(";",EscStr(CONCATENATE("NavNode_",getCategoryLevelAsString($B160))),";",EscStr($J160),";"),CONCATENATE(";",EscStr(CONCATENATE("NavNode_",getCategoryLevelAsString($B160))),";",EscStr(L160),";")))</f>
        <v>;"NavNode_L3D_543259";"Pastovios įtampos maitinimo šaltiniai";</v>
      </c>
      <c r="AF160" s="39" t="str">
        <f>IF(getCategoryLevelAsString($B160)="L0D_324785","",IF(M160="",CONCATENATE(";",EscStr(CONCATENATE("NavNode_",getCategoryLevelAsString($B160))),";",EscStr($J160),";"),CONCATENATE(";",EscStr(CONCATENATE("NavNode_",getCategoryLevelAsString($B160))),";",EscStr(M160),";")))</f>
        <v>;"NavNode_L3D_543259";"Strømforsyninger, fast spenning";</v>
      </c>
      <c r="AG160" s="39" t="str">
        <f>IF(getCategoryLevelAsString($B160)="L0D_324785","",IF(N160="",CONCATENATE(";",EscStr(CONCATENATE("NavNode_",getCategoryLevelAsString($B160))),";",EscStr($J160),";"),CONCATENATE(";",EscStr(CONCATENATE("NavNode_",getCategoryLevelAsString($B160))),";",EscStr(N160),";")))</f>
        <v>;"NavNode_L3D_543259";"Nätaggregat, fast utspänning";</v>
      </c>
      <c r="AH160" s="39" t="str">
        <f>IF(getCategoryLevelAsString($B160)="L0D_324785","",IF(O160="",CONCATENATE(";",EscStr(CONCATENATE("NavNode_",getCategoryLevelAsString($B160))),";",EscStr($J160),";"),CONCATENATE(";",EscStr(CONCATENATE("NavNode_",getCategoryLevelAsString($B160))),";",EscStr(O160),";")))</f>
        <v>;"NavNode_L3D_543259";"Toitevarustus, fikseeritud pinge";</v>
      </c>
      <c r="AI160" s="39" t="str">
        <f>IF(getCategoryLevelAsString($B160)="L0D_324785","",IF(P160="",CONCATENATE(";",EscStr(CONCATENATE("NavNode_",getCategoryLevelAsString($B160))),";",EscStr($J160),";"),CONCATENATE(";",EscStr(CONCATENATE("NavNode_",getCategoryLevelAsString($B160))),";",EscStr(P160),";")))</f>
        <v>;"NavNode_L3D_543259";"Virtalähteet, kiinteä jännite";</v>
      </c>
      <c r="AJ160" s="39" t="str">
        <f>IF(getCategoryLevelAsString($B160)="L0D_324785","",IF(Q160="",CONCATENATE(";",EscStr(CONCATENATE("NavNode_",getCategoryLevelAsString($B160))),";",EscStr($J160),";"),CONCATENATE(";",EscStr(CONCATENATE("NavNode_",getCategoryLevelAsString($B160))),";",EscStr(Q160),";")))</f>
        <v>;"NavNode_L3D_543259";"Strāvas avoti, fiksēts spriegums";</v>
      </c>
      <c r="AK160" s="39" t="str">
        <f>IF(getCategoryLevelAsString($B160)="L0D_324785","",IF(R160="",CONCATENATE(";",EscStr(CONCATENATE("NavNode_",getCategoryLevelAsString($B160))),";",EscStr($J160),";"),CONCATENATE(";",EscStr(CONCATENATE("NavNode_",getCategoryLevelAsString($B160))),";",EscStr(R160),";")))</f>
        <v>;"NavNode_L3D_543259";"Voedingen, vaste spanning";</v>
      </c>
      <c r="AL160" s="39" t="str">
        <f>IF(getCategoryLevelAsString($B160)="L0D_324785","",IF(S160="",CONCATENATE(";",EscStr(CONCATENATE("NavNode_",getCategoryLevelAsString($B160))),";",EscStr($J160),";"),CONCATENATE(";",EscStr(CONCATENATE("NavNode_",getCategoryLevelAsString($B160))),";",EscStr(S160),";")))</f>
        <v>;"NavNode_L3D_543259";"Zasilacze, napięcie stałe";</v>
      </c>
      <c r="AM160" s="39" t="str">
        <f>IF(getCategoryLevelAsString($B160)="L0D_324785","",IF(T160="",CONCATENATE(";",EscStr(CONCATENATE("NavNode_",getCategoryLevelAsString($B160))),";",EscStr($J160),";"),CONCATENATE(";",EscStr(CONCATENATE("NavNode_",getCategoryLevelAsString($B160))),";",EscStr(T160),";")))</f>
        <v>;"NavNode_L3D_543259";"Блоки питания, стабилизированное напряжение";</v>
      </c>
      <c r="AN160" s="39" t="str">
        <f>IF(getCategoryLevelAsString($B160)="L0D_324785","",IF(U160="",CONCATENATE(";",EscStr(CONCATENATE("NavNode_",getCategoryLevelAsString($B160))),";",EscStr($J160),";"),CONCATENATE(";",EscStr(CONCATENATE("NavNode_",getCategoryLevelAsString($B160))),";",EscStr(U160),";")))</f>
        <v>;"NavNode_L3D_543259";"Zdroje napájení, fixní napětí";</v>
      </c>
      <c r="AO160" s="39" t="str">
        <f>IF(getCategoryLevelAsString($B160)="L0D_324785","",IF(V160="",CONCATENATE(";",EscStr(CONCATENATE("NavNode_",getCategoryLevelAsString($B160))),";",EscStr($J160),";"),CONCATENATE(";",EscStr(CONCATENATE("NavNode_",getCategoryLevelAsString($B160))),";",EscStr(V160),";")))</f>
        <v>;"NavNode_L3D_543259";"Surse de alimentare cu tensiune fixă";</v>
      </c>
      <c r="AP160" s="39" t="str">
        <f>IF(getCategoryLevelAsString($B160)="L0D_324785","",IF(W160="",CONCATENATE(";",EscStr(CONCATENATE("NavNode_",getCategoryLevelAsString($B160))),";",EscStr($J160),";"),CONCATENATE(";",EscStr(CONCATENATE("NavNode_",getCategoryLevelAsString($B160))),";",EscStr(W160),";")))</f>
        <v>;"NavNode_L3D_543259";"Tápegységek, rögzített feszültség";</v>
      </c>
      <c r="AQ160" s="39" t="str">
        <f>IF(getCategoryLevelAsString($B160)="L0D_324785","",IF(X160="",CONCATENATE(";",EscStr(CONCATENATE("NavNode_",getCategoryLevelAsString($B160))),";",EscStr($J160),";"),CONCATENATE(";",EscStr(CONCATENATE("NavNode_",getCategoryLevelAsString($B160))),";",EscStr(X160),";")))</f>
        <v>;"NavNode_L3D_543259";"Pevné zdroja napätie";</v>
      </c>
      <c r="AR160" s="39" t="str">
        <f>IF(OR($A160&lt;&gt;"", $G160=""),"",CONCATENATE(";",EscStr(CONCATENATE("NavEntry_",getCategoryLevelAsString($B160))),";",EscStr(CONCATENATE($J160," Navigation Entry")),";",EscStr(CONCATENATE("cat-",getCategoryLevelAsString($B160))),";",EscStr(CONCATENATE("NavNode_",getCategoryLevelAsString($B160))),";"))</f>
        <v>;"NavEntry_L3D_543259";"Power Supplies, fixed-voltage Navigation Entry";"cat-L3D_543259";"NavNode_L3D_543259";</v>
      </c>
    </row>
    <row r="161" spans="1:44" s="34" customFormat="1" ht="15" x14ac:dyDescent="0.25">
      <c r="A161" s="25"/>
      <c r="B161" s="5"/>
      <c r="C161" s="5"/>
      <c r="D161" s="5" t="s">
        <v>817</v>
      </c>
      <c r="E161" s="5"/>
      <c r="F161" s="5"/>
      <c r="G161" s="5" t="s">
        <v>480</v>
      </c>
      <c r="H161" s="5" t="s">
        <v>481</v>
      </c>
      <c r="I161" s="5" t="s">
        <v>482</v>
      </c>
      <c r="J161" s="5" t="s">
        <v>204</v>
      </c>
      <c r="K161" s="5" t="s">
        <v>1281</v>
      </c>
      <c r="L161" s="5" t="s">
        <v>15156</v>
      </c>
      <c r="M161" s="5" t="s">
        <v>1742</v>
      </c>
      <c r="N161" s="5" t="s">
        <v>1947</v>
      </c>
      <c r="O161" s="5" t="s">
        <v>3150</v>
      </c>
      <c r="P161" s="5" t="s">
        <v>3151</v>
      </c>
      <c r="Q161" s="5" t="s">
        <v>3152</v>
      </c>
      <c r="R161" s="5" t="s">
        <v>3153</v>
      </c>
      <c r="S161" s="5" t="s">
        <v>3154</v>
      </c>
      <c r="T161" s="5" t="s">
        <v>3155</v>
      </c>
      <c r="U161" s="5" t="s">
        <v>3156</v>
      </c>
      <c r="V161" s="5" t="s">
        <v>3157</v>
      </c>
      <c r="W161" s="5" t="s">
        <v>3158</v>
      </c>
      <c r="X161" s="5" t="s">
        <v>14896</v>
      </c>
      <c r="Y161" s="39" t="str">
        <f>IF(OR($A161&lt;&gt;"", $G161=""),"",CONCATENATE(";",EscStr(CONCATENATE("NavNode_",getCategoryLevelAsString($B161))),";",EscStr($J161),";",IF($B161&lt;&gt;"","""MainCategoryNavNode""",EscStr(CONCATENATE("NavNode_",getSuperCategory($B161, getCategoryLevelAsNumber($B161))))),";"))</f>
        <v>;"NavNode_L3D_543328";"Isolating Transformers";"NavNode_L2D_527999";</v>
      </c>
      <c r="Z161" s="39" t="str">
        <f>IF(getCategoryLevelAsString($B161)="L0D_324785","",IF(G161="",CONCATENATE(";",EscStr(CONCATENATE("NavNode_",getCategoryLevelAsString($B161))),";",EscStr($J161),";"),CONCATENATE(";",EscStr(CONCATENATE("NavNode_",getCategoryLevelAsString($B161))),";",EscStr(G161),";")))</f>
        <v>;"NavNode_L3D_543328";"Trenntransformatoren";</v>
      </c>
      <c r="AA161" s="39" t="str">
        <f>IF(getCategoryLevelAsString($B161)="L0D_324785","",IF(H161="",CONCATENATE(";",EscStr(CONCATENATE("NavNode_",getCategoryLevelAsString($B161))),";",EscStr($J161),";"),CONCATENATE(";",EscStr(CONCATENATE("NavNode_",getCategoryLevelAsString($B161))),";",EscStr(H161),";")))</f>
        <v>;"NavNode_L3D_543328";"Transformateurs de réglage";</v>
      </c>
      <c r="AB161" s="39" t="str">
        <f>IF(getCategoryLevelAsString($B161)="L0D_324785","",IF(I161="",CONCATENATE(";",EscStr(CONCATENATE("NavNode_",getCategoryLevelAsString($B161))),";",EscStr($J161),";"),CONCATENATE(";",EscStr(CONCATENATE("NavNode_",getCategoryLevelAsString($B161))),";",EscStr(I161),";")))</f>
        <v>;"NavNode_L3D_543328";"Trasformatori di separazione";</v>
      </c>
      <c r="AC161" s="39" t="str">
        <f>IF(getCategoryLevelAsString($B161)="L0D_324785","",IF(J161="",CONCATENATE(";",EscStr(CONCATENATE("NavNode_",getCategoryLevelAsString($B161))),";",EscStr($J161),";"),CONCATENATE(";",EscStr(CONCATENATE("NavNode_",getCategoryLevelAsString($B161))),";",EscStr(J161),";")))</f>
        <v>;"NavNode_L3D_543328";"Isolating Transformers";</v>
      </c>
      <c r="AD161" s="39" t="str">
        <f>IF(getCategoryLevelAsString($B161)="L0D_324785","",IF(K161="",CONCATENATE(";",EscStr(CONCATENATE("NavNode_",getCategoryLevelAsString($B161))),";",EscStr($J161),";"),CONCATENATE(";",EscStr(CONCATENATE("NavNode_",getCategoryLevelAsString($B161))),";",EscStr(K161),";")))</f>
        <v>;"NavNode_L3D_543328";"Isolationstransformere";</v>
      </c>
      <c r="AE161" s="39" t="str">
        <f>IF(getCategoryLevelAsString($B161)="L0D_324785","",IF(L161="",CONCATENATE(";",EscStr(CONCATENATE("NavNode_",getCategoryLevelAsString($B161))),";",EscStr($J161),";"),CONCATENATE(";",EscStr(CONCATENATE("NavNode_",getCategoryLevelAsString($B161))),";",EscStr(L161),";")))</f>
        <v>;"NavNode_L3D_543328";"Izoliuojantys transformatoriai";</v>
      </c>
      <c r="AF161" s="39" t="str">
        <f>IF(getCategoryLevelAsString($B161)="L0D_324785","",IF(M161="",CONCATENATE(";",EscStr(CONCATENATE("NavNode_",getCategoryLevelAsString($B161))),";",EscStr($J161),";"),CONCATENATE(";",EscStr(CONCATENATE("NavNode_",getCategoryLevelAsString($B161))),";",EscStr(M161),";")))</f>
        <v>;"NavNode_L3D_543328";"Isolasjonstransformatorer";</v>
      </c>
      <c r="AG161" s="39" t="str">
        <f>IF(getCategoryLevelAsString($B161)="L0D_324785","",IF(N161="",CONCATENATE(";",EscStr(CONCATENATE("NavNode_",getCategoryLevelAsString($B161))),";",EscStr($J161),";"),CONCATENATE(";",EscStr(CONCATENATE("NavNode_",getCategoryLevelAsString($B161))),";",EscStr(N161),";")))</f>
        <v>;"NavNode_L3D_543328";"Isolationstransformatorer";</v>
      </c>
      <c r="AH161" s="39" t="str">
        <f>IF(getCategoryLevelAsString($B161)="L0D_324785","",IF(O161="",CONCATENATE(";",EscStr(CONCATENATE("NavNode_",getCategoryLevelAsString($B161))),";",EscStr($J161),";"),CONCATENATE(";",EscStr(CONCATENATE("NavNode_",getCategoryLevelAsString($B161))),";",EscStr(O161),";")))</f>
        <v>;"NavNode_L3D_543328";"Isolatsioonitrafod";</v>
      </c>
      <c r="AI161" s="39" t="str">
        <f>IF(getCategoryLevelAsString($B161)="L0D_324785","",IF(P161="",CONCATENATE(";",EscStr(CONCATENATE("NavNode_",getCategoryLevelAsString($B161))),";",EscStr($J161),";"),CONCATENATE(";",EscStr(CONCATENATE("NavNode_",getCategoryLevelAsString($B161))),";",EscStr(P161),";")))</f>
        <v>;"NavNode_L3D_543328";"Suojamuuntajat";</v>
      </c>
      <c r="AJ161" s="39" t="str">
        <f>IF(getCategoryLevelAsString($B161)="L0D_324785","",IF(Q161="",CONCATENATE(";",EscStr(CONCATENATE("NavNode_",getCategoryLevelAsString($B161))),";",EscStr($J161),";"),CONCATENATE(";",EscStr(CONCATENATE("NavNode_",getCategoryLevelAsString($B161))),";",EscStr(Q161),";")))</f>
        <v>;"NavNode_L3D_543328";"Atdalošie transformatori";</v>
      </c>
      <c r="AK161" s="39" t="str">
        <f>IF(getCategoryLevelAsString($B161)="L0D_324785","",IF(R161="",CONCATENATE(";",EscStr(CONCATENATE("NavNode_",getCategoryLevelAsString($B161))),";",EscStr($J161),";"),CONCATENATE(";",EscStr(CONCATENATE("NavNode_",getCategoryLevelAsString($B161))),";",EscStr(R161),";")))</f>
        <v>;"NavNode_L3D_543328";"Isolatietransformatoren";</v>
      </c>
      <c r="AL161" s="39" t="str">
        <f>IF(getCategoryLevelAsString($B161)="L0D_324785","",IF(S161="",CONCATENATE(";",EscStr(CONCATENATE("NavNode_",getCategoryLevelAsString($B161))),";",EscStr($J161),";"),CONCATENATE(";",EscStr(CONCATENATE("NavNode_",getCategoryLevelAsString($B161))),";",EscStr(S161),";")))</f>
        <v>;"NavNode_L3D_543328";"Transformatory separujące";</v>
      </c>
      <c r="AM161" s="39" t="str">
        <f>IF(getCategoryLevelAsString($B161)="L0D_324785","",IF(T161="",CONCATENATE(";",EscStr(CONCATENATE("NavNode_",getCategoryLevelAsString($B161))),";",EscStr($J161),";"),CONCATENATE(";",EscStr(CONCATENATE("NavNode_",getCategoryLevelAsString($B161))),";",EscStr(T161),";")))</f>
        <v>;"NavNode_L3D_543328";"Автотрансформаторы / Разделительные трансформаторы";</v>
      </c>
      <c r="AN161" s="39" t="str">
        <f>IF(getCategoryLevelAsString($B161)="L0D_324785","",IF(U161="",CONCATENATE(";",EscStr(CONCATENATE("NavNode_",getCategoryLevelAsString($B161))),";",EscStr($J161),";"),CONCATENATE(";",EscStr(CONCATENATE("NavNode_",getCategoryLevelAsString($B161))),";",EscStr(U161),";")))</f>
        <v>;"NavNode_L3D_543328";"Oddělovací transformátory";</v>
      </c>
      <c r="AO161" s="39" t="str">
        <f>IF(getCategoryLevelAsString($B161)="L0D_324785","",IF(V161="",CONCATENATE(";",EscStr(CONCATENATE("NavNode_",getCategoryLevelAsString($B161))),";",EscStr($J161),";"),CONCATENATE(";",EscStr(CONCATENATE("NavNode_",getCategoryLevelAsString($B161))),";",EscStr(V161),";")))</f>
        <v>;"NavNode_L3D_543328";"Transformatoare de izolare";</v>
      </c>
      <c r="AP161" s="39" t="str">
        <f>IF(getCategoryLevelAsString($B161)="L0D_324785","",IF(W161="",CONCATENATE(";",EscStr(CONCATENATE("NavNode_",getCategoryLevelAsString($B161))),";",EscStr($J161),";"),CONCATENATE(";",EscStr(CONCATENATE("NavNode_",getCategoryLevelAsString($B161))),";",EscStr(W161),";")))</f>
        <v>;"NavNode_L3D_543328";"Leválasztó transzformátorok";</v>
      </c>
      <c r="AQ161" s="39" t="str">
        <f>IF(getCategoryLevelAsString($B161)="L0D_324785","",IF(X161="",CONCATENATE(";",EscStr(CONCATENATE("NavNode_",getCategoryLevelAsString($B161))),";",EscStr($J161),";"),CONCATENATE(";",EscStr(CONCATENATE("NavNode_",getCategoryLevelAsString($B161))),";",EscStr(X161),";")))</f>
        <v>;"NavNode_L3D_543328";"Oddeľovacie transformátory";</v>
      </c>
      <c r="AR161" s="39" t="str">
        <f>IF(OR($A161&lt;&gt;"", $G161=""),"",CONCATENATE(";",EscStr(CONCATENATE("NavEntry_",getCategoryLevelAsString($B161))),";",EscStr(CONCATENATE($J161," Navigation Entry")),";",EscStr(CONCATENATE("cat-",getCategoryLevelAsString($B161))),";",EscStr(CONCATENATE("NavNode_",getCategoryLevelAsString($B161))),";"))</f>
        <v>;"NavEntry_L3D_543328";"Isolating Transformers Navigation Entry";"cat-L3D_543328";"NavNode_L3D_543328";</v>
      </c>
    </row>
    <row r="162" spans="1:44" s="34" customFormat="1" ht="15" x14ac:dyDescent="0.25">
      <c r="A162" s="25"/>
      <c r="B162" s="5"/>
      <c r="C162" s="5"/>
      <c r="D162" s="5" t="s">
        <v>970</v>
      </c>
      <c r="E162" s="5"/>
      <c r="F162" s="5"/>
      <c r="G162" s="5" t="s">
        <v>483</v>
      </c>
      <c r="H162" s="5" t="s">
        <v>484</v>
      </c>
      <c r="I162" s="5" t="s">
        <v>485</v>
      </c>
      <c r="J162" s="5" t="s">
        <v>205</v>
      </c>
      <c r="K162" s="5" t="s">
        <v>1279</v>
      </c>
      <c r="L162" s="5" t="s">
        <v>1513</v>
      </c>
      <c r="M162" s="5" t="s">
        <v>1279</v>
      </c>
      <c r="N162" s="5" t="s">
        <v>1946</v>
      </c>
      <c r="O162" s="5" t="s">
        <v>3159</v>
      </c>
      <c r="P162" s="5" t="s">
        <v>3160</v>
      </c>
      <c r="Q162" s="5" t="s">
        <v>3161</v>
      </c>
      <c r="R162" s="5" t="s">
        <v>3162</v>
      </c>
      <c r="S162" s="5" t="s">
        <v>3163</v>
      </c>
      <c r="T162" s="5" t="s">
        <v>3164</v>
      </c>
      <c r="U162" s="5" t="s">
        <v>3165</v>
      </c>
      <c r="V162" s="5" t="s">
        <v>3166</v>
      </c>
      <c r="W162" s="5" t="s">
        <v>3167</v>
      </c>
      <c r="X162" s="5" t="s">
        <v>14897</v>
      </c>
      <c r="Y162" s="39" t="str">
        <f>IF(OR($A162&lt;&gt;"", $G162=""),"",CONCATENATE(";",EscStr(CONCATENATE("NavNode_",getCategoryLevelAsString($B162))),";",EscStr($J162),";",IF($B162&lt;&gt;"","""MainCategoryNavNode""",EscStr(CONCATENATE("NavNode_",getSuperCategory($B162, getCategoryLevelAsNumber($B162))))),";"))</f>
        <v>;"NavNode_L3D_557234";"Laboratory Power Supplies";"NavNode_L2D_527999";</v>
      </c>
      <c r="Z162" s="39" t="str">
        <f>IF(getCategoryLevelAsString($B162)="L0D_324785","",IF(G162="",CONCATENATE(";",EscStr(CONCATENATE("NavNode_",getCategoryLevelAsString($B162))),";",EscStr($J162),";"),CONCATENATE(";",EscStr(CONCATENATE("NavNode_",getCategoryLevelAsString($B162))),";",EscStr(G162),";")))</f>
        <v>;"NavNode_L3D_557234";"Labor-Netzgeräte";</v>
      </c>
      <c r="AA162" s="39" t="str">
        <f>IF(getCategoryLevelAsString($B162)="L0D_324785","",IF(H162="",CONCATENATE(";",EscStr(CONCATENATE("NavNode_",getCategoryLevelAsString($B162))),";",EscStr($J162),";"),CONCATENATE(";",EscStr(CONCATENATE("NavNode_",getCategoryLevelAsString($B162))),";",EscStr(H162),";")))</f>
        <v>;"NavNode_L3D_557234";"Alimentations de laboratoire";</v>
      </c>
      <c r="AB162" s="39" t="str">
        <f>IF(getCategoryLevelAsString($B162)="L0D_324785","",IF(I162="",CONCATENATE(";",EscStr(CONCATENATE("NavNode_",getCategoryLevelAsString($B162))),";",EscStr($J162),";"),CONCATENATE(";",EscStr(CONCATENATE("NavNode_",getCategoryLevelAsString($B162))),";",EscStr(I162),";")))</f>
        <v>;"NavNode_L3D_557234";"Alimentatori da laboratorio";</v>
      </c>
      <c r="AC162" s="39" t="str">
        <f>IF(getCategoryLevelAsString($B162)="L0D_324785","",IF(J162="",CONCATENATE(";",EscStr(CONCATENATE("NavNode_",getCategoryLevelAsString($B162))),";",EscStr($J162),";"),CONCATENATE(";",EscStr(CONCATENATE("NavNode_",getCategoryLevelAsString($B162))),";",EscStr(J162),";")))</f>
        <v>;"NavNode_L3D_557234";"Laboratory Power Supplies";</v>
      </c>
      <c r="AD162" s="39" t="str">
        <f>IF(getCategoryLevelAsString($B162)="L0D_324785","",IF(K162="",CONCATENATE(";",EscStr(CONCATENATE("NavNode_",getCategoryLevelAsString($B162))),";",EscStr($J162),";"),CONCATENATE(";",EscStr(CONCATENATE("NavNode_",getCategoryLevelAsString($B162))),";",EscStr(K162),";")))</f>
        <v>;"NavNode_L3D_557234";"Laboratoriestrømforsyning";</v>
      </c>
      <c r="AE162" s="39" t="str">
        <f>IF(getCategoryLevelAsString($B162)="L0D_324785","",IF(L162="",CONCATENATE(";",EscStr(CONCATENATE("NavNode_",getCategoryLevelAsString($B162))),";",EscStr($J162),";"),CONCATENATE(";",EscStr(CONCATENATE("NavNode_",getCategoryLevelAsString($B162))),";",EscStr(L162),";")))</f>
        <v>;"NavNode_L3D_557234";"Laboratoriniai maitinimo šaltiniai";</v>
      </c>
      <c r="AF162" s="39" t="str">
        <f>IF(getCategoryLevelAsString($B162)="L0D_324785","",IF(M162="",CONCATENATE(";",EscStr(CONCATENATE("NavNode_",getCategoryLevelAsString($B162))),";",EscStr($J162),";"),CONCATENATE(";",EscStr(CONCATENATE("NavNode_",getCategoryLevelAsString($B162))),";",EscStr(M162),";")))</f>
        <v>;"NavNode_L3D_557234";"Laboratoriestrømforsyning";</v>
      </c>
      <c r="AG162" s="39" t="str">
        <f>IF(getCategoryLevelAsString($B162)="L0D_324785","",IF(N162="",CONCATENATE(";",EscStr(CONCATENATE("NavNode_",getCategoryLevelAsString($B162))),";",EscStr($J162),";"),CONCATENATE(";",EscStr(CONCATENATE("NavNode_",getCategoryLevelAsString($B162))),";",EscStr(N162),";")))</f>
        <v>;"NavNode_L3D_557234";"Laboratorienätaggregat";</v>
      </c>
      <c r="AH162" s="39" t="str">
        <f>IF(getCategoryLevelAsString($B162)="L0D_324785","",IF(O162="",CONCATENATE(";",EscStr(CONCATENATE("NavNode_",getCategoryLevelAsString($B162))),";",EscStr($J162),";"),CONCATENATE(";",EscStr(CONCATENATE("NavNode_",getCategoryLevelAsString($B162))),";",EscStr(O162),";")))</f>
        <v>;"NavNode_L3D_557234";"Laboratoorsed toiteplokid";</v>
      </c>
      <c r="AI162" s="39" t="str">
        <f>IF(getCategoryLevelAsString($B162)="L0D_324785","",IF(P162="",CONCATENATE(";",EscStr(CONCATENATE("NavNode_",getCategoryLevelAsString($B162))),";",EscStr($J162),";"),CONCATENATE(";",EscStr(CONCATENATE("NavNode_",getCategoryLevelAsString($B162))),";",EscStr(P162),";")))</f>
        <v>;"NavNode_L3D_557234";"Labraus virtalähteet";</v>
      </c>
      <c r="AJ162" s="39" t="str">
        <f>IF(getCategoryLevelAsString($B162)="L0D_324785","",IF(Q162="",CONCATENATE(";",EscStr(CONCATENATE("NavNode_",getCategoryLevelAsString($B162))),";",EscStr($J162),";"),CONCATENATE(";",EscStr(CONCATENATE("NavNode_",getCategoryLevelAsString($B162))),";",EscStr(Q162),";")))</f>
        <v>;"NavNode_L3D_557234";"Laboratorijas barošanas bloki";</v>
      </c>
      <c r="AK162" s="39" t="str">
        <f>IF(getCategoryLevelAsString($B162)="L0D_324785","",IF(R162="",CONCATENATE(";",EscStr(CONCATENATE("NavNode_",getCategoryLevelAsString($B162))),";",EscStr($J162),";"),CONCATENATE(";",EscStr(CONCATENATE("NavNode_",getCategoryLevelAsString($B162))),";",EscStr(R162),";")))</f>
        <v>;"NavNode_L3D_557234";"Laboratorium voedingen";</v>
      </c>
      <c r="AL162" s="39" t="str">
        <f>IF(getCategoryLevelAsString($B162)="L0D_324785","",IF(S162="",CONCATENATE(";",EscStr(CONCATENATE("NavNode_",getCategoryLevelAsString($B162))),";",EscStr($J162),";"),CONCATENATE(";",EscStr(CONCATENATE("NavNode_",getCategoryLevelAsString($B162))),";",EscStr(S162),";")))</f>
        <v>;"NavNode_L3D_557234";"Zasilacze laboratoryjne";</v>
      </c>
      <c r="AM162" s="39" t="str">
        <f>IF(getCategoryLevelAsString($B162)="L0D_324785","",IF(T162="",CONCATENATE(";",EscStr(CONCATENATE("NavNode_",getCategoryLevelAsString($B162))),";",EscStr($J162),";"),CONCATENATE(";",EscStr(CONCATENATE("NavNode_",getCategoryLevelAsString($B162))),";",EscStr(T162),";")))</f>
        <v>;"NavNode_L3D_557234";"Лабораторные источники питания";</v>
      </c>
      <c r="AN162" s="39" t="str">
        <f>IF(getCategoryLevelAsString($B162)="L0D_324785","",IF(U162="",CONCATENATE(";",EscStr(CONCATENATE("NavNode_",getCategoryLevelAsString($B162))),";",EscStr($J162),";"),CONCATENATE(";",EscStr(CONCATENATE("NavNode_",getCategoryLevelAsString($B162))),";",EscStr(U162),";")))</f>
        <v>;"NavNode_L3D_557234";"Laboratorní zdroje";</v>
      </c>
      <c r="AO162" s="39" t="str">
        <f>IF(getCategoryLevelAsString($B162)="L0D_324785","",IF(V162="",CONCATENATE(";",EscStr(CONCATENATE("NavNode_",getCategoryLevelAsString($B162))),";",EscStr($J162),";"),CONCATENATE(";",EscStr(CONCATENATE("NavNode_",getCategoryLevelAsString($B162))),";",EscStr(V162),";")))</f>
        <v>;"NavNode_L3D_557234";"Surse de alimentare pentru laboratoare";</v>
      </c>
      <c r="AP162" s="39" t="str">
        <f>IF(getCategoryLevelAsString($B162)="L0D_324785","",IF(W162="",CONCATENATE(";",EscStr(CONCATENATE("NavNode_",getCategoryLevelAsString($B162))),";",EscStr($J162),";"),CONCATENATE(";",EscStr(CONCATENATE("NavNode_",getCategoryLevelAsString($B162))),";",EscStr(W162),";")))</f>
        <v>;"NavNode_L3D_557234";"Labortápegységek";</v>
      </c>
      <c r="AQ162" s="39" t="str">
        <f>IF(getCategoryLevelAsString($B162)="L0D_324785","",IF(X162="",CONCATENATE(";",EscStr(CONCATENATE("NavNode_",getCategoryLevelAsString($B162))),";",EscStr($J162),";"),CONCATENATE(";",EscStr(CONCATENATE("NavNode_",getCategoryLevelAsString($B162))),";",EscStr(X162),";")))</f>
        <v>;"NavNode_L3D_557234";"Laboratórne zdroje";</v>
      </c>
      <c r="AR162" s="39" t="str">
        <f>IF(OR($A162&lt;&gt;"", $G162=""),"",CONCATENATE(";",EscStr(CONCATENATE("NavEntry_",getCategoryLevelAsString($B162))),";",EscStr(CONCATENATE($J162," Navigation Entry")),";",EscStr(CONCATENATE("cat-",getCategoryLevelAsString($B162))),";",EscStr(CONCATENATE("NavNode_",getCategoryLevelAsString($B162))),";"))</f>
        <v>;"NavEntry_L3D_557234";"Laboratory Power Supplies Navigation Entry";"cat-L3D_557234";"NavNode_L3D_557234";</v>
      </c>
    </row>
    <row r="163" spans="1:44" s="34" customFormat="1" ht="15" x14ac:dyDescent="0.25">
      <c r="A163" s="25"/>
      <c r="B163" s="5"/>
      <c r="C163" s="5"/>
      <c r="D163" s="5" t="s">
        <v>206</v>
      </c>
      <c r="E163" s="5"/>
      <c r="F163" s="5"/>
      <c r="G163" s="5" t="s">
        <v>2388</v>
      </c>
      <c r="H163" s="5" t="s">
        <v>2389</v>
      </c>
      <c r="I163" s="5" t="s">
        <v>2390</v>
      </c>
      <c r="J163" s="5" t="s">
        <v>2388</v>
      </c>
      <c r="K163" s="5" t="s">
        <v>2391</v>
      </c>
      <c r="L163" s="5" t="s">
        <v>15157</v>
      </c>
      <c r="M163" s="5" t="s">
        <v>2393</v>
      </c>
      <c r="N163" s="48" t="s">
        <v>15446</v>
      </c>
      <c r="O163" s="5" t="s">
        <v>2395</v>
      </c>
      <c r="P163" s="5" t="s">
        <v>2396</v>
      </c>
      <c r="Q163" s="5" t="s">
        <v>2397</v>
      </c>
      <c r="R163" s="5" t="s">
        <v>2398</v>
      </c>
      <c r="S163" s="5" t="s">
        <v>2399</v>
      </c>
      <c r="T163" s="5" t="s">
        <v>2400</v>
      </c>
      <c r="U163" s="5" t="s">
        <v>2401</v>
      </c>
      <c r="V163" s="5" t="s">
        <v>2402</v>
      </c>
      <c r="W163" s="5" t="s">
        <v>2403</v>
      </c>
      <c r="X163" s="5" t="s">
        <v>14898</v>
      </c>
      <c r="Y163" s="39" t="str">
        <f>IF(OR($A163&lt;&gt;"", $G163=""),"",CONCATENATE(";",EscStr(CONCATENATE("NavNode_",getCategoryLevelAsString($B163))),";",EscStr($J163),";",IF($B163&lt;&gt;"","""MainCategoryNavNode""",EscStr(CONCATENATE("NavNode_",getSuperCategory($B163, getCategoryLevelAsNumber($B163))))),";"))</f>
        <v>;"NavNode_L3D_525556";"SMU - Source Meters";"NavNode_L2D_527999";</v>
      </c>
      <c r="Z163" s="39" t="str">
        <f>IF(getCategoryLevelAsString($B163)="L0D_324785","",IF(G163="",CONCATENATE(";",EscStr(CONCATENATE("NavNode_",getCategoryLevelAsString($B163))),";",EscStr($J163),";"),CONCATENATE(";",EscStr(CONCATENATE("NavNode_",getCategoryLevelAsString($B163))),";",EscStr(G163),";")))</f>
        <v>;"NavNode_L3D_525556";"SMU - Source Meters";</v>
      </c>
      <c r="AA163" s="39" t="str">
        <f>IF(getCategoryLevelAsString($B163)="L0D_324785","",IF(H163="",CONCATENATE(";",EscStr(CONCATENATE("NavNode_",getCategoryLevelAsString($B163))),";",EscStr($J163),";"),CONCATENATE(";",EscStr(CONCATENATE("NavNode_",getCategoryLevelAsString($B163))),";",EscStr(H163),";")))</f>
        <v>;"NavNode_L3D_525556";"Picoampèremètres et sources de tension";</v>
      </c>
      <c r="AB163" s="39" t="str">
        <f>IF(getCategoryLevelAsString($B163)="L0D_324785","",IF(I163="",CONCATENATE(";",EscStr(CONCATENATE("NavNode_",getCategoryLevelAsString($B163))),";",EscStr($J163),";"),CONCATENATE(";",EscStr(CONCATENATE("NavNode_",getCategoryLevelAsString($B163))),";",EscStr(I163),";")))</f>
        <v>;"NavNode_L3D_525556";"SMU - Unità di alimentazione e misurazione";</v>
      </c>
      <c r="AC163" s="39" t="str">
        <f>IF(getCategoryLevelAsString($B163)="L0D_324785","",IF(J163="",CONCATENATE(";",EscStr(CONCATENATE("NavNode_",getCategoryLevelAsString($B163))),";",EscStr($J163),";"),CONCATENATE(";",EscStr(CONCATENATE("NavNode_",getCategoryLevelAsString($B163))),";",EscStr(J163),";")))</f>
        <v>;"NavNode_L3D_525556";"SMU - Source Meters";</v>
      </c>
      <c r="AD163" s="39" t="str">
        <f>IF(getCategoryLevelAsString($B163)="L0D_324785","",IF(K163="",CONCATENATE(";",EscStr(CONCATENATE("NavNode_",getCategoryLevelAsString($B163))),";",EscStr($J163),";"),CONCATENATE(";",EscStr(CONCATENATE("NavNode_",getCategoryLevelAsString($B163))),";",EscStr(K163),";")))</f>
        <v>;"NavNode_L3D_525556";"SMU - kildemålingsenheder";</v>
      </c>
      <c r="AE163" s="39" t="str">
        <f>IF(getCategoryLevelAsString($B163)="L0D_324785","",IF(L163="",CONCATENATE(";",EscStr(CONCATENATE("NavNode_",getCategoryLevelAsString($B163))),";",EscStr($J163),";"),CONCATENATE(";",EscStr(CONCATENATE("NavNode_",getCategoryLevelAsString($B163))),";",EscStr(L163),";")))</f>
        <v>;"NavNode_L3D_525556";"Matuojantys maitinimo šaltiniai";</v>
      </c>
      <c r="AF163" s="39" t="str">
        <f>IF(getCategoryLevelAsString($B163)="L0D_324785","",IF(M163="",CONCATENATE(";",EscStr(CONCATENATE("NavNode_",getCategoryLevelAsString($B163))),";",EscStr($J163),";"),CONCATENATE(";",EscStr(CONCATENATE("NavNode_",getCategoryLevelAsString($B163))),";",EscStr(M163),";")))</f>
        <v>;"NavNode_L3D_525556";"SMU – kildemålere";</v>
      </c>
      <c r="AG163" s="39" t="str">
        <f>IF(getCategoryLevelAsString($B163)="L0D_324785","",IF(N163="",CONCATENATE(";",EscStr(CONCATENATE("NavNode_",getCategoryLevelAsString($B163))),";",EscStr($J163),";"),CONCATENATE(";",EscStr(CONCATENATE("NavNode_",getCategoryLevelAsString($B163))),";",EscStr(N163),";")))</f>
        <v>;"NavNode_L3D_525556";"SMU – källmätare";</v>
      </c>
      <c r="AH163" s="39" t="str">
        <f>IF(getCategoryLevelAsString($B163)="L0D_324785","",IF(O163="",CONCATENATE(";",EscStr(CONCATENATE("NavNode_",getCategoryLevelAsString($B163))),";",EscStr($J163),";"),CONCATENATE(";",EscStr(CONCATENATE("NavNode_",getCategoryLevelAsString($B163))),";",EscStr(O163),";")))</f>
        <v>;"NavNode_L3D_525556";"SMU – allika mõõdikud";</v>
      </c>
      <c r="AI163" s="39" t="str">
        <f>IF(getCategoryLevelAsString($B163)="L0D_324785","",IF(P163="",CONCATENATE(";",EscStr(CONCATENATE("NavNode_",getCategoryLevelAsString($B163))),";",EscStr($J163),";"),CONCATENATE(";",EscStr(CONCATENATE("NavNode_",getCategoryLevelAsString($B163))),";",EscStr(P163),";")))</f>
        <v>;"NavNode_L3D_525556";"SMU – Source Meter -mittari";</v>
      </c>
      <c r="AJ163" s="39" t="str">
        <f>IF(getCategoryLevelAsString($B163)="L0D_324785","",IF(Q163="",CONCATENATE(";",EscStr(CONCATENATE("NavNode_",getCategoryLevelAsString($B163))),";",EscStr($J163),";"),CONCATENATE(";",EscStr(CONCATENATE("NavNode_",getCategoryLevelAsString($B163))),";",EscStr(Q163),";")))</f>
        <v>;"NavNode_L3D_525556";"SMU - avota mērierīces";</v>
      </c>
      <c r="AK163" s="39" t="str">
        <f>IF(getCategoryLevelAsString($B163)="L0D_324785","",IF(R163="",CONCATENATE(";",EscStr(CONCATENATE("NavNode_",getCategoryLevelAsString($B163))),";",EscStr($J163),";"),CONCATENATE(";",EscStr(CONCATENATE("NavNode_",getCategoryLevelAsString($B163))),";",EscStr(R163),";")))</f>
        <v>;"NavNode_L3D_525556";"SMU - Bronmeters";</v>
      </c>
      <c r="AL163" s="39" t="str">
        <f>IF(getCategoryLevelAsString($B163)="L0D_324785","",IF(S163="",CONCATENATE(";",EscStr(CONCATENATE("NavNode_",getCategoryLevelAsString($B163))),";",EscStr($J163),";"),CONCATENATE(";",EscStr(CONCATENATE("NavNode_",getCategoryLevelAsString($B163))),";",EscStr(S163),";")))</f>
        <v>;"NavNode_L3D_525556";"Źródła mierzące (SMU)";</v>
      </c>
      <c r="AM163" s="39" t="str">
        <f>IF(getCategoryLevelAsString($B163)="L0D_324785","",IF(T163="",CONCATENATE(";",EscStr(CONCATENATE("NavNode_",getCategoryLevelAsString($B163))),";",EscStr($J163),";"),CONCATENATE(";",EscStr(CONCATENATE("NavNode_",getCategoryLevelAsString($B163))),";",EscStr(T163),";")))</f>
        <v>;"NavNode_L3D_525556";"SMU — источники-измерители";</v>
      </c>
      <c r="AN163" s="39" t="str">
        <f>IF(getCategoryLevelAsString($B163)="L0D_324785","",IF(U163="",CONCATENATE(";",EscStr(CONCATENATE("NavNode_",getCategoryLevelAsString($B163))),";",EscStr($J163),";"),CONCATENATE(";",EscStr(CONCATENATE("NavNode_",getCategoryLevelAsString($B163))),";",EscStr(U163),";")))</f>
        <v>;"NavNode_L3D_525556";"Jednotky pro měření zdroje";</v>
      </c>
      <c r="AO163" s="39" t="str">
        <f>IF(getCategoryLevelAsString($B163)="L0D_324785","",IF(V163="",CONCATENATE(";",EscStr(CONCATENATE("NavNode_",getCategoryLevelAsString($B163))),";",EscStr($J163),";"),CONCATENATE(";",EscStr(CONCATENATE("NavNode_",getCategoryLevelAsString($B163))),";",EscStr(V163),";")))</f>
        <v>;"NavNode_L3D_525556";"SMU - Surse de măsurare";</v>
      </c>
      <c r="AP163" s="39" t="str">
        <f>IF(getCategoryLevelAsString($B163)="L0D_324785","",IF(W163="",CONCATENATE(";",EscStr(CONCATENATE("NavNode_",getCategoryLevelAsString($B163))),";",EscStr($J163),";"),CONCATENATE(";",EscStr(CONCATENATE("NavNode_",getCategoryLevelAsString($B163))),";",EscStr(W163),";")))</f>
        <v>;"NavNode_L3D_525556";"SMU – forrásmérők";</v>
      </c>
      <c r="AQ163" s="39" t="str">
        <f>IF(getCategoryLevelAsString($B163)="L0D_324785","",IF(X163="",CONCATENATE(";",EscStr(CONCATENATE("NavNode_",getCategoryLevelAsString($B163))),";",EscStr($J163),";"),CONCATENATE(";",EscStr(CONCATENATE("NavNode_",getCategoryLevelAsString($B163))),";",EscStr(X163),";")))</f>
        <v>;"NavNode_L3D_525556";"Merače zdrojov";</v>
      </c>
      <c r="AR163" s="39" t="str">
        <f>IF(OR($A163&lt;&gt;"", $G163=""),"",CONCATENATE(";",EscStr(CONCATENATE("NavEntry_",getCategoryLevelAsString($B163))),";",EscStr(CONCATENATE($J163," Navigation Entry")),";",EscStr(CONCATENATE("cat-",getCategoryLevelAsString($B163))),";",EscStr(CONCATENATE("NavNode_",getCategoryLevelAsString($B163))),";"))</f>
        <v>;"NavEntry_L3D_525556";"SMU - Source Meters Navigation Entry";"cat-L3D_525556";"NavNode_L3D_525556";</v>
      </c>
    </row>
    <row r="164" spans="1:44" s="34" customFormat="1" ht="15" x14ac:dyDescent="0.25">
      <c r="A164" s="25"/>
      <c r="B164" s="5"/>
      <c r="C164" s="5" t="s">
        <v>735</v>
      </c>
      <c r="D164" s="5"/>
      <c r="E164" s="5"/>
      <c r="F164" s="5"/>
      <c r="G164" s="5" t="s">
        <v>1046</v>
      </c>
      <c r="H164" s="5" t="s">
        <v>1075</v>
      </c>
      <c r="I164" s="5" t="s">
        <v>1133</v>
      </c>
      <c r="J164" s="5" t="s">
        <v>915</v>
      </c>
      <c r="K164" s="5" t="s">
        <v>1377</v>
      </c>
      <c r="L164" s="5" t="s">
        <v>1613</v>
      </c>
      <c r="M164" s="5" t="s">
        <v>1816</v>
      </c>
      <c r="N164" s="27" t="s">
        <v>15455</v>
      </c>
      <c r="O164" s="5" t="s">
        <v>4148</v>
      </c>
      <c r="P164" s="5" t="s">
        <v>4149</v>
      </c>
      <c r="Q164" s="5" t="s">
        <v>4150</v>
      </c>
      <c r="R164" s="5" t="s">
        <v>4151</v>
      </c>
      <c r="S164" s="5" t="s">
        <v>4152</v>
      </c>
      <c r="T164" s="5" t="s">
        <v>4153</v>
      </c>
      <c r="U164" s="5" t="s">
        <v>4154</v>
      </c>
      <c r="V164" s="5" t="s">
        <v>4155</v>
      </c>
      <c r="W164" s="5" t="s">
        <v>4156</v>
      </c>
      <c r="X164" s="5" t="s">
        <v>14976</v>
      </c>
      <c r="Y164" s="39" t="str">
        <f>IF(OR($A164&lt;&gt;"", $G164=""),"",CONCATENATE(";",EscStr(CONCATENATE("NavNode_",getCategoryLevelAsString($B164))),";",EscStr($J164),";",IF($B164&lt;&gt;"","""MainCategoryNavNode""",EscStr(CONCATENATE("NavNode_",getSuperCategory($B164, getCategoryLevelAsNumber($B164))))),";"))</f>
        <v>;"NavNode_L2D_529772";"Plug-in Power Supplies";"NavNode_Power Supplies / Batteries / Transformers";</v>
      </c>
      <c r="Z164" s="39" t="str">
        <f>IF(getCategoryLevelAsString($B164)="L0D_324785","",IF(G164="",CONCATENATE(";",EscStr(CONCATENATE("NavNode_",getCategoryLevelAsString($B164))),";",EscStr($J164),";"),CONCATENATE(";",EscStr(CONCATENATE("NavNode_",getCategoryLevelAsString($B164))),";",EscStr(G164),";")))</f>
        <v>;"NavNode_L2D_529772";"Steckernetzgeräte";</v>
      </c>
      <c r="AA164" s="39" t="str">
        <f>IF(getCategoryLevelAsString($B164)="L0D_324785","",IF(H164="",CONCATENATE(";",EscStr(CONCATENATE("NavNode_",getCategoryLevelAsString($B164))),";",EscStr($J164),";"),CONCATENATE(";",EscStr(CONCATENATE("NavNode_",getCategoryLevelAsString($B164))),";",EscStr(H164),";")))</f>
        <v>;"NavNode_L2D_529772";"Blocs secteur";</v>
      </c>
      <c r="AB164" s="39" t="str">
        <f>IF(getCategoryLevelAsString($B164)="L0D_324785","",IF(I164="",CONCATENATE(";",EscStr(CONCATENATE("NavNode_",getCategoryLevelAsString($B164))),";",EscStr($J164),";"),CONCATENATE(";",EscStr(CONCATENATE("NavNode_",getCategoryLevelAsString($B164))),";",EscStr(I164),";")))</f>
        <v>;"NavNode_L2D_529772";"Alimentatori plug-in";</v>
      </c>
      <c r="AC164" s="39" t="str">
        <f>IF(getCategoryLevelAsString($B164)="L0D_324785","",IF(J164="",CONCATENATE(";",EscStr(CONCATENATE("NavNode_",getCategoryLevelAsString($B164))),";",EscStr($J164),";"),CONCATENATE(";",EscStr(CONCATENATE("NavNode_",getCategoryLevelAsString($B164))),";",EscStr(J164),";")))</f>
        <v>;"NavNode_L2D_529772";"Plug-in Power Supplies";</v>
      </c>
      <c r="AD164" s="39" t="str">
        <f>IF(getCategoryLevelAsString($B164)="L0D_324785","",IF(K164="",CONCATENATE(";",EscStr(CONCATENATE("NavNode_",getCategoryLevelAsString($B164))),";",EscStr($J164),";"),CONCATENATE(";",EscStr(CONCATENATE("NavNode_",getCategoryLevelAsString($B164))),";",EscStr(K164),";")))</f>
        <v>;"NavNode_L2D_529772";"Strømforsyningsstik";</v>
      </c>
      <c r="AE164" s="39" t="str">
        <f>IF(getCategoryLevelAsString($B164)="L0D_324785","",IF(L164="",CONCATENATE(";",EscStr(CONCATENATE("NavNode_",getCategoryLevelAsString($B164))),";",EscStr($J164),";"),CONCATENATE(";",EscStr(CONCATENATE("NavNode_",getCategoryLevelAsString($B164))),";",EscStr(L164),";")))</f>
        <v>;"NavNode_L2D_529772";"Kištukiniai maitinimo šaltiniai";</v>
      </c>
      <c r="AF164" s="39" t="str">
        <f>IF(getCategoryLevelAsString($B164)="L0D_324785","",IF(M164="",CONCATENATE(";",EscStr(CONCATENATE("NavNode_",getCategoryLevelAsString($B164))),";",EscStr($J164),";"),CONCATENATE(";",EscStr(CONCATENATE("NavNode_",getCategoryLevelAsString($B164))),";",EscStr(M164),";")))</f>
        <v>;"NavNode_L2D_529772";"Strømforsyning med innplugging";</v>
      </c>
      <c r="AG164" s="39" t="str">
        <f>IF(getCategoryLevelAsString($B164)="L0D_324785","",IF(N164="",CONCATENATE(";",EscStr(CONCATENATE("NavNode_",getCategoryLevelAsString($B164))),";",EscStr($J164),";"),CONCATENATE(";",EscStr(CONCATENATE("NavNode_",getCategoryLevelAsString($B164))),";",EscStr(N164),";")))</f>
        <v>;"NavNode_L2D_529772";"Batterieliminatorer";</v>
      </c>
      <c r="AH164" s="39" t="str">
        <f>IF(getCategoryLevelAsString($B164)="L0D_324785","",IF(O164="",CONCATENATE(";",EscStr(CONCATENATE("NavNode_",getCategoryLevelAsString($B164))),";",EscStr($J164),";"),CONCATENATE(";",EscStr(CONCATENATE("NavNode_",getCategoryLevelAsString($B164))),";",EscStr(O164),";")))</f>
        <v>;"NavNode_L2D_529772";"Plug-in toiteplokid";</v>
      </c>
      <c r="AI164" s="39" t="str">
        <f>IF(getCategoryLevelAsString($B164)="L0D_324785","",IF(P164="",CONCATENATE(";",EscStr(CONCATENATE("NavNode_",getCategoryLevelAsString($B164))),";",EscStr($J164),";"),CONCATENATE(";",EscStr(CONCATENATE("NavNode_",getCategoryLevelAsString($B164))),";",EscStr(P164),";")))</f>
        <v>;"NavNode_L2D_529772";"Pistokemuuntajat";</v>
      </c>
      <c r="AJ164" s="39" t="str">
        <f>IF(getCategoryLevelAsString($B164)="L0D_324785","",IF(Q164="",CONCATENATE(";",EscStr(CONCATENATE("NavNode_",getCategoryLevelAsString($B164))),";",EscStr($J164),";"),CONCATENATE(";",EscStr(CONCATENATE("NavNode_",getCategoryLevelAsString($B164))),";",EscStr(Q164),";")))</f>
        <v>;"NavNode_L2D_529772";"Barošanas adapteri";</v>
      </c>
      <c r="AK164" s="39" t="str">
        <f>IF(getCategoryLevelAsString($B164)="L0D_324785","",IF(R164="",CONCATENATE(";",EscStr(CONCATENATE("NavNode_",getCategoryLevelAsString($B164))),";",EscStr($J164),";"),CONCATENATE(";",EscStr(CONCATENATE("NavNode_",getCategoryLevelAsString($B164))),";",EscStr(R164),";")))</f>
        <v>;"NavNode_L2D_529772";"Stekkervoedingen";</v>
      </c>
      <c r="AL164" s="39" t="str">
        <f>IF(getCategoryLevelAsString($B164)="L0D_324785","",IF(S164="",CONCATENATE(";",EscStr(CONCATENATE("NavNode_",getCategoryLevelAsString($B164))),";",EscStr($J164),";"),CONCATENATE(";",EscStr(CONCATENATE("NavNode_",getCategoryLevelAsString($B164))),";",EscStr(S164),";")))</f>
        <v>;"NavNode_L2D_529772";"Zasilacze wtyczkowe";</v>
      </c>
      <c r="AM164" s="39" t="str">
        <f>IF(getCategoryLevelAsString($B164)="L0D_324785","",IF(T164="",CONCATENATE(";",EscStr(CONCATENATE("NavNode_",getCategoryLevelAsString($B164))),";",EscStr($J164),";"),CONCATENATE(";",EscStr(CONCATENATE("NavNode_",getCategoryLevelAsString($B164))),";",EscStr(T164),";")))</f>
        <v>;"NavNode_L2D_529772";"Блоки питания с разъемным подключением";</v>
      </c>
      <c r="AN164" s="39" t="str">
        <f>IF(getCategoryLevelAsString($B164)="L0D_324785","",IF(U164="",CONCATENATE(";",EscStr(CONCATENATE("NavNode_",getCategoryLevelAsString($B164))),";",EscStr($J164),";"),CONCATENATE(";",EscStr(CONCATENATE("NavNode_",getCategoryLevelAsString($B164))),";",EscStr(U164),";")))</f>
        <v>;"NavNode_L2D_529772";"Napájecí zdroje";</v>
      </c>
      <c r="AO164" s="39" t="str">
        <f>IF(getCategoryLevelAsString($B164)="L0D_324785","",IF(V164="",CONCATENATE(";",EscStr(CONCATENATE("NavNode_",getCategoryLevelAsString($B164))),";",EscStr($J164),";"),CONCATENATE(";",EscStr(CONCATENATE("NavNode_",getCategoryLevelAsString($B164))),";",EscStr(V164),";")))</f>
        <v>;"NavNode_L2D_529772";"Unitate de alimentare";</v>
      </c>
      <c r="AP164" s="39" t="str">
        <f>IF(getCategoryLevelAsString($B164)="L0D_324785","",IF(W164="",CONCATENATE(";",EscStr(CONCATENATE("NavNode_",getCategoryLevelAsString($B164))),";",EscStr($J164),";"),CONCATENATE(";",EscStr(CONCATENATE("NavNode_",getCategoryLevelAsString($B164))),";",EscStr(W164),";")))</f>
        <v>;"NavNode_L2D_529772";"Dugaszolható tápegységek";</v>
      </c>
      <c r="AQ164" s="39" t="str">
        <f>IF(getCategoryLevelAsString($B164)="L0D_324785","",IF(X164="",CONCATENATE(";",EscStr(CONCATENATE("NavNode_",getCategoryLevelAsString($B164))),";",EscStr($J164),";"),CONCATENATE(";",EscStr(CONCATENATE("NavNode_",getCategoryLevelAsString($B164))),";",EscStr(X164),";")))</f>
        <v>;"NavNode_L2D_529772";"Napájacie zdroje";</v>
      </c>
      <c r="AR164" s="39" t="str">
        <f>IF(OR($A164&lt;&gt;"", $G164=""),"",CONCATENATE(";",EscStr(CONCATENATE("NavEntry_",getCategoryLevelAsString($B164))),";",EscStr(CONCATENATE($J164," Navigation Entry")),";",EscStr(CONCATENATE("cat-",getCategoryLevelAsString($B164))),";",EscStr(CONCATENATE("NavNode_",getCategoryLevelAsString($B164))),";"))</f>
        <v>;"NavEntry_L2D_529772";"Plug-in Power Supplies Navigation Entry";"cat-L2D_529772";"NavNode_L2D_529772";</v>
      </c>
    </row>
    <row r="165" spans="1:44" s="34" customFormat="1" ht="15" x14ac:dyDescent="0.25">
      <c r="A165" s="25"/>
      <c r="B165" s="5"/>
      <c r="C165" s="5"/>
      <c r="D165" s="5" t="s">
        <v>201</v>
      </c>
      <c r="E165" s="5"/>
      <c r="F165" s="5"/>
      <c r="G165" s="5" t="s">
        <v>2252</v>
      </c>
      <c r="H165" s="5" t="s">
        <v>1075</v>
      </c>
      <c r="I165" s="5" t="s">
        <v>2253</v>
      </c>
      <c r="J165" s="5" t="s">
        <v>2254</v>
      </c>
      <c r="K165" s="5" t="s">
        <v>2255</v>
      </c>
      <c r="L165" s="5" t="s">
        <v>15208</v>
      </c>
      <c r="M165" s="5" t="s">
        <v>2257</v>
      </c>
      <c r="N165" s="27" t="s">
        <v>15456</v>
      </c>
      <c r="O165" s="5" t="s">
        <v>2259</v>
      </c>
      <c r="P165" s="5" t="s">
        <v>2260</v>
      </c>
      <c r="Q165" s="5" t="s">
        <v>2261</v>
      </c>
      <c r="R165" s="5" t="s">
        <v>2262</v>
      </c>
      <c r="S165" s="5" t="s">
        <v>2263</v>
      </c>
      <c r="T165" s="5" t="s">
        <v>2264</v>
      </c>
      <c r="U165" s="5" t="s">
        <v>2265</v>
      </c>
      <c r="V165" s="5" t="s">
        <v>2266</v>
      </c>
      <c r="W165" s="5" t="s">
        <v>2267</v>
      </c>
      <c r="X165" s="5" t="s">
        <v>14889</v>
      </c>
      <c r="Y165" s="39" t="str">
        <f>IF(OR($A165&lt;&gt;"", $G165=""),"",CONCATENATE(";",EscStr(CONCATENATE("NavNode_",getCategoryLevelAsString($B165))),";",EscStr($J165),";",IF($B165&lt;&gt;"","""MainCategoryNavNode""",EscStr(CONCATENATE("NavNode_",getSuperCategory($B165, getCategoryLevelAsNumber($B165))))),";"))</f>
        <v>;"NavNode_L3D_525557";"Plug-in and Desktop Power Supplies";"NavNode_L2D_529772";</v>
      </c>
      <c r="Z165" s="39" t="str">
        <f>IF(getCategoryLevelAsString($B165)="L0D_324785","",IF(G165="",CONCATENATE(";",EscStr(CONCATENATE("NavNode_",getCategoryLevelAsString($B165))),";",EscStr($J165),";"),CONCATENATE(";",EscStr(CONCATENATE("NavNode_",getCategoryLevelAsString($B165))),";",EscStr(G165),";")))</f>
        <v>;"NavNode_L3D_525557";"Stecker- und Tischnetzgeräte";</v>
      </c>
      <c r="AA165" s="39" t="str">
        <f>IF(getCategoryLevelAsString($B165)="L0D_324785","",IF(H165="",CONCATENATE(";",EscStr(CONCATENATE("NavNode_",getCategoryLevelAsString($B165))),";",EscStr($J165),";"),CONCATENATE(";",EscStr(CONCATENATE("NavNode_",getCategoryLevelAsString($B165))),";",EscStr(H165),";")))</f>
        <v>;"NavNode_L3D_525557";"Blocs secteur";</v>
      </c>
      <c r="AB165" s="39" t="str">
        <f>IF(getCategoryLevelAsString($B165)="L0D_324785","",IF(I165="",CONCATENATE(";",EscStr(CONCATENATE("NavNode_",getCategoryLevelAsString($B165))),";",EscStr($J165),";"),CONCATENATE(";",EscStr(CONCATENATE("NavNode_",getCategoryLevelAsString($B165))),";",EscStr(I165),";")))</f>
        <v>;"NavNode_L3D_525557";"Alimentazione tramite rete elettrica e PC";</v>
      </c>
      <c r="AC165" s="39" t="str">
        <f>IF(getCategoryLevelAsString($B165)="L0D_324785","",IF(J165="",CONCATENATE(";",EscStr(CONCATENATE("NavNode_",getCategoryLevelAsString($B165))),";",EscStr($J165),";"),CONCATENATE(";",EscStr(CONCATENATE("NavNode_",getCategoryLevelAsString($B165))),";",EscStr(J165),";")))</f>
        <v>;"NavNode_L3D_525557";"Plug-in and Desktop Power Supplies";</v>
      </c>
      <c r="AD165" s="39" t="str">
        <f>IF(getCategoryLevelAsString($B165)="L0D_324785","",IF(K165="",CONCATENATE(";",EscStr(CONCATENATE("NavNode_",getCategoryLevelAsString($B165))),";",EscStr($J165),";"),CONCATENATE(";",EscStr(CONCATENATE("NavNode_",getCategoryLevelAsString($B165))),";",EscStr(K165),";")))</f>
        <v>;"NavNode_L3D_525557";"Stik- og bordstrømforsyninger";</v>
      </c>
      <c r="AE165" s="39" t="str">
        <f>IF(getCategoryLevelAsString($B165)="L0D_324785","",IF(L165="",CONCATENATE(";",EscStr(CONCATENATE("NavNode_",getCategoryLevelAsString($B165))),";",EscStr($J165),";"),CONCATENATE(";",EscStr(CONCATENATE("NavNode_",getCategoryLevelAsString($B165))),";",EscStr(L165),";")))</f>
        <v>;"NavNode_L3D_525557";"AC/DC kištukiniai maitinimo šaltiniai";</v>
      </c>
      <c r="AF165" s="39" t="str">
        <f>IF(getCategoryLevelAsString($B165)="L0D_324785","",IF(M165="",CONCATENATE(";",EscStr(CONCATENATE("NavNode_",getCategoryLevelAsString($B165))),";",EscStr($J165),";"),CONCATENATE(";",EscStr(CONCATENATE("NavNode_",getCategoryLevelAsString($B165))),";",EscStr(M165),";")))</f>
        <v>;"NavNode_L3D_525557";"Strømforsyninger for innplugging og skrivebord";</v>
      </c>
      <c r="AG165" s="39" t="str">
        <f>IF(getCategoryLevelAsString($B165)="L0D_324785","",IF(N165="",CONCATENATE(";",EscStr(CONCATENATE("NavNode_",getCategoryLevelAsString($B165))),";",EscStr($J165),";"),CONCATENATE(";",EscStr(CONCATENATE("NavNode_",getCategoryLevelAsString($B165))),";",EscStr(N165),";")))</f>
        <v>;"NavNode_L3D_525557";"Batterieliminatorer och fristående nätaggregat";</v>
      </c>
      <c r="AH165" s="39" t="str">
        <f>IF(getCategoryLevelAsString($B165)="L0D_324785","",IF(O165="",CONCATENATE(";",EscStr(CONCATENATE("NavNode_",getCategoryLevelAsString($B165))),";",EscStr($J165),";"),CONCATENATE(";",EscStr(CONCATENATE("NavNode_",getCategoryLevelAsString($B165))),";",EscStr(O165),";")))</f>
        <v>;"NavNode_L3D_525557";"Pistikühendused ja töölaua toitevarustus";</v>
      </c>
      <c r="AI165" s="39" t="str">
        <f>IF(getCategoryLevelAsString($B165)="L0D_324785","",IF(P165="",CONCATENATE(";",EscStr(CONCATENATE("NavNode_",getCategoryLevelAsString($B165))),";",EscStr($J165),";"),CONCATENATE(";",EscStr(CONCATENATE("NavNode_",getCategoryLevelAsString($B165))),";",EscStr(P165),";")))</f>
        <v>;"NavNode_L3D_525557";"Plug-in- ja pöytävirtalähteet";</v>
      </c>
      <c r="AJ165" s="39" t="str">
        <f>IF(getCategoryLevelAsString($B165)="L0D_324785","",IF(Q165="",CONCATENATE(";",EscStr(CONCATENATE("NavNode_",getCategoryLevelAsString($B165))),";",EscStr($J165),";"),CONCATENATE(";",EscStr(CONCATENATE("NavNode_",getCategoryLevelAsString($B165))),";",EscStr(Q165),";")))</f>
        <v>;"NavNode_L3D_525557";"Spraudņa un datora strāvas avoti";</v>
      </c>
      <c r="AK165" s="39" t="str">
        <f>IF(getCategoryLevelAsString($B165)="L0D_324785","",IF(R165="",CONCATENATE(";",EscStr(CONCATENATE("NavNode_",getCategoryLevelAsString($B165))),";",EscStr($J165),";"),CONCATENATE(";",EscStr(CONCATENATE("NavNode_",getCategoryLevelAsString($B165))),";",EscStr(R165),";")))</f>
        <v>;"NavNode_L3D_525557";"Stekker- en desktopvoedingen";</v>
      </c>
      <c r="AL165" s="39" t="str">
        <f>IF(getCategoryLevelAsString($B165)="L0D_324785","",IF(S165="",CONCATENATE(";",EscStr(CONCATENATE("NavNode_",getCategoryLevelAsString($B165))),";",EscStr($J165),";"),CONCATENATE(";",EscStr(CONCATENATE("NavNode_",getCategoryLevelAsString($B165))),";",EscStr(S165),";")))</f>
        <v>;"NavNode_L3D_525557";"Stacjonarne zasilacze wtykowe";</v>
      </c>
      <c r="AM165" s="39" t="str">
        <f>IF(getCategoryLevelAsString($B165)="L0D_324785","",IF(T165="",CONCATENATE(";",EscStr(CONCATENATE("NavNode_",getCategoryLevelAsString($B165))),";",EscStr($J165),";"),CONCATENATE(";",EscStr(CONCATENATE("NavNode_",getCategoryLevelAsString($B165))),";",EscStr(T165),";")))</f>
        <v>;"NavNode_L3D_525557";"Сетевые и настольные блоки питания";</v>
      </c>
      <c r="AN165" s="39" t="str">
        <f>IF(getCategoryLevelAsString($B165)="L0D_324785","",IF(U165="",CONCATENATE(";",EscStr(CONCATENATE("NavNode_",getCategoryLevelAsString($B165))),";",EscStr($J165),";"),CONCATENATE(";",EscStr(CONCATENATE("NavNode_",getCategoryLevelAsString($B165))),";",EscStr(U165),";")))</f>
        <v>;"NavNode_L3D_525557";"Zásuvné a stolní zdroje napájení";</v>
      </c>
      <c r="AO165" s="39" t="str">
        <f>IF(getCategoryLevelAsString($B165)="L0D_324785","",IF(V165="",CONCATENATE(";",EscStr(CONCATENATE("NavNode_",getCategoryLevelAsString($B165))),";",EscStr($J165),";"),CONCATENATE(";",EscStr(CONCATENATE("NavNode_",getCategoryLevelAsString($B165))),";",EscStr(V165),";")))</f>
        <v>;"NavNode_L3D_525557";"Prize şi surse de alimentare Desktop";</v>
      </c>
      <c r="AP165" s="39" t="str">
        <f>IF(getCategoryLevelAsString($B165)="L0D_324785","",IF(W165="",CONCATENATE(";",EscStr(CONCATENATE("NavNode_",getCategoryLevelAsString($B165))),";",EscStr($J165),";"),CONCATENATE(";",EscStr(CONCATENATE("NavNode_",getCategoryLevelAsString($B165))),";",EscStr(W165),";")))</f>
        <v>;"NavNode_L3D_525557";"Dugós- és asztali tápegységek";</v>
      </c>
      <c r="AQ165" s="39" t="str">
        <f>IF(getCategoryLevelAsString($B165)="L0D_324785","",IF(X165="",CONCATENATE(";",EscStr(CONCATENATE("NavNode_",getCategoryLevelAsString($B165))),";",EscStr($J165),";"),CONCATENATE(";",EscStr(CONCATENATE("NavNode_",getCategoryLevelAsString($B165))),";",EscStr(X165),";")))</f>
        <v>;"NavNode_L3D_525557";"AC / DC napájacie zdroje";</v>
      </c>
      <c r="AR165" s="39" t="str">
        <f>IF(OR($A165&lt;&gt;"", $G165=""),"",CONCATENATE(";",EscStr(CONCATENATE("NavEntry_",getCategoryLevelAsString($B165))),";",EscStr(CONCATENATE($J165," Navigation Entry")),";",EscStr(CONCATENATE("cat-",getCategoryLevelAsString($B165))),";",EscStr(CONCATENATE("NavNode_",getCategoryLevelAsString($B165))),";"))</f>
        <v>;"NavEntry_L3D_525557";"Plug-in and Desktop Power Supplies Navigation Entry";"cat-L3D_525557";"NavNode_L3D_525557";</v>
      </c>
    </row>
    <row r="166" spans="1:44" s="34" customFormat="1" ht="15" x14ac:dyDescent="0.25">
      <c r="A166" s="25"/>
      <c r="B166" s="5"/>
      <c r="C166" s="5"/>
      <c r="D166" s="5" t="s">
        <v>736</v>
      </c>
      <c r="E166" s="5"/>
      <c r="F166" s="5"/>
      <c r="G166" s="5" t="s">
        <v>1047</v>
      </c>
      <c r="H166" s="5" t="s">
        <v>1076</v>
      </c>
      <c r="I166" s="5" t="s">
        <v>1134</v>
      </c>
      <c r="J166" s="5" t="s">
        <v>916</v>
      </c>
      <c r="K166" s="5" t="s">
        <v>1378</v>
      </c>
      <c r="L166" s="5" t="s">
        <v>1614</v>
      </c>
      <c r="M166" s="5" t="s">
        <v>1378</v>
      </c>
      <c r="N166" s="5" t="s">
        <v>2033</v>
      </c>
      <c r="O166" s="5" t="s">
        <v>4157</v>
      </c>
      <c r="P166" s="5" t="s">
        <v>4158</v>
      </c>
      <c r="Q166" s="5" t="s">
        <v>4159</v>
      </c>
      <c r="R166" s="5" t="s">
        <v>4160</v>
      </c>
      <c r="S166" s="5" t="s">
        <v>4161</v>
      </c>
      <c r="T166" s="5" t="s">
        <v>4162</v>
      </c>
      <c r="U166" s="5" t="s">
        <v>4163</v>
      </c>
      <c r="V166" s="5" t="s">
        <v>4164</v>
      </c>
      <c r="W166" s="5" t="s">
        <v>4165</v>
      </c>
      <c r="X166" s="5" t="s">
        <v>14977</v>
      </c>
      <c r="Y166" s="39" t="str">
        <f>IF(OR($A166&lt;&gt;"", $G166=""),"",CONCATENATE(";",EscStr(CONCATENATE("NavNode_",getCategoryLevelAsString($B166))),";",EscStr($J166),";",IF($B166&lt;&gt;"","""MainCategoryNavNode""",EscStr(CONCATENATE("NavNode_",getSuperCategory($B166, getCategoryLevelAsNumber($B166))))),";"))</f>
        <v>;"NavNode_L3D_531378";"USB Power Supplies";"NavNode_L2D_529772";</v>
      </c>
      <c r="Z166" s="39" t="str">
        <f>IF(getCategoryLevelAsString($B166)="L0D_324785","",IF(G166="",CONCATENATE(";",EscStr(CONCATENATE("NavNode_",getCategoryLevelAsString($B166))),";",EscStr($J166),";"),CONCATENATE(";",EscStr(CONCATENATE("NavNode_",getCategoryLevelAsString($B166))),";",EscStr(G166),";")))</f>
        <v>;"NavNode_L3D_531378";"USB-Stromversorgung";</v>
      </c>
      <c r="AA166" s="39" t="str">
        <f>IF(getCategoryLevelAsString($B166)="L0D_324785","",IF(H166="",CONCATENATE(";",EscStr(CONCATENATE("NavNode_",getCategoryLevelAsString($B166))),";",EscStr($J166),";"),CONCATENATE(";",EscStr(CONCATENATE("NavNode_",getCategoryLevelAsString($B166))),";",EscStr(H166),";")))</f>
        <v>;"NavNode_L3D_531378";"Alimentations USB";</v>
      </c>
      <c r="AB166" s="39" t="str">
        <f>IF(getCategoryLevelAsString($B166)="L0D_324785","",IF(I166="",CONCATENATE(";",EscStr(CONCATENATE("NavNode_",getCategoryLevelAsString($B166))),";",EscStr($J166),";"),CONCATENATE(";",EscStr(CONCATENATE("NavNode_",getCategoryLevelAsString($B166))),";",EscStr(I166),";")))</f>
        <v>;"NavNode_L3D_531378";"Alimentatori USB";</v>
      </c>
      <c r="AC166" s="39" t="str">
        <f>IF(getCategoryLevelAsString($B166)="L0D_324785","",IF(J166="",CONCATENATE(";",EscStr(CONCATENATE("NavNode_",getCategoryLevelAsString($B166))),";",EscStr($J166),";"),CONCATENATE(";",EscStr(CONCATENATE("NavNode_",getCategoryLevelAsString($B166))),";",EscStr(J166),";")))</f>
        <v>;"NavNode_L3D_531378";"USB Power Supplies";</v>
      </c>
      <c r="AD166" s="39" t="str">
        <f>IF(getCategoryLevelAsString($B166)="L0D_324785","",IF(K166="",CONCATENATE(";",EscStr(CONCATENATE("NavNode_",getCategoryLevelAsString($B166))),";",EscStr($J166),";"),CONCATENATE(";",EscStr(CONCATENATE("NavNode_",getCategoryLevelAsString($B166))),";",EscStr(K166),";")))</f>
        <v>;"NavNode_L3D_531378";"USB-strømforsyning";</v>
      </c>
      <c r="AE166" s="39" t="str">
        <f>IF(getCategoryLevelAsString($B166)="L0D_324785","",IF(L166="",CONCATENATE(";",EscStr(CONCATENATE("NavNode_",getCategoryLevelAsString($B166))),";",EscStr($J166),";"),CONCATENATE(";",EscStr(CONCATENATE("NavNode_",getCategoryLevelAsString($B166))),";",EscStr(L166),";")))</f>
        <v>;"NavNode_L3D_531378";"USB maitinimo šaltiniai";</v>
      </c>
      <c r="AF166" s="39" t="str">
        <f>IF(getCategoryLevelAsString($B166)="L0D_324785","",IF(M166="",CONCATENATE(";",EscStr(CONCATENATE("NavNode_",getCategoryLevelAsString($B166))),";",EscStr($J166),";"),CONCATENATE(";",EscStr(CONCATENATE("NavNode_",getCategoryLevelAsString($B166))),";",EscStr(M166),";")))</f>
        <v>;"NavNode_L3D_531378";"USB-strømforsyning";</v>
      </c>
      <c r="AG166" s="39" t="str">
        <f>IF(getCategoryLevelAsString($B166)="L0D_324785","",IF(N166="",CONCATENATE(";",EscStr(CONCATENATE("NavNode_",getCategoryLevelAsString($B166))),";",EscStr($J166),";"),CONCATENATE(";",EscStr(CONCATENATE("NavNode_",getCategoryLevelAsString($B166))),";",EscStr(N166),";")))</f>
        <v>;"NavNode_L3D_531378";"USB-strömförsörjningar";</v>
      </c>
      <c r="AH166" s="39" t="str">
        <f>IF(getCategoryLevelAsString($B166)="L0D_324785","",IF(O166="",CONCATENATE(";",EscStr(CONCATENATE("NavNode_",getCategoryLevelAsString($B166))),";",EscStr($J166),";"),CONCATENATE(";",EscStr(CONCATENATE("NavNode_",getCategoryLevelAsString($B166))),";",EscStr(O166),";")))</f>
        <v>;"NavNode_L3D_531378";"USB toiteplokid";</v>
      </c>
      <c r="AI166" s="39" t="str">
        <f>IF(getCategoryLevelAsString($B166)="L0D_324785","",IF(P166="",CONCATENATE(";",EscStr(CONCATENATE("NavNode_",getCategoryLevelAsString($B166))),";",EscStr($J166),";"),CONCATENATE(";",EscStr(CONCATENATE("NavNode_",getCategoryLevelAsString($B166))),";",EscStr(P166),";")))</f>
        <v>;"NavNode_L3D_531378";"USB- muuntajat";</v>
      </c>
      <c r="AJ166" s="39" t="str">
        <f>IF(getCategoryLevelAsString($B166)="L0D_324785","",IF(Q166="",CONCATENATE(";",EscStr(CONCATENATE("NavNode_",getCategoryLevelAsString($B166))),";",EscStr($J166),";"),CONCATENATE(";",EscStr(CONCATENATE("NavNode_",getCategoryLevelAsString($B166))),";",EscStr(Q166),";")))</f>
        <v>;"NavNode_L3D_531378";"USB barošanas avoti";</v>
      </c>
      <c r="AK166" s="39" t="str">
        <f>IF(getCategoryLevelAsString($B166)="L0D_324785","",IF(R166="",CONCATENATE(";",EscStr(CONCATENATE("NavNode_",getCategoryLevelAsString($B166))),";",EscStr($J166),";"),CONCATENATE(";",EscStr(CONCATENATE("NavNode_",getCategoryLevelAsString($B166))),";",EscStr(R166),";")))</f>
        <v>;"NavNode_L3D_531378";"USB voedingen";</v>
      </c>
      <c r="AL166" s="39" t="str">
        <f>IF(getCategoryLevelAsString($B166)="L0D_324785","",IF(S166="",CONCATENATE(";",EscStr(CONCATENATE("NavNode_",getCategoryLevelAsString($B166))),";",EscStr($J166),";"),CONCATENATE(";",EscStr(CONCATENATE("NavNode_",getCategoryLevelAsString($B166))),";",EscStr(S166),";")))</f>
        <v>;"NavNode_L3D_531378";"Zasilacze ze złączem USB";</v>
      </c>
      <c r="AM166" s="39" t="str">
        <f>IF(getCategoryLevelAsString($B166)="L0D_324785","",IF(T166="",CONCATENATE(";",EscStr(CONCATENATE("NavNode_",getCategoryLevelAsString($B166))),";",EscStr($J166),";"),CONCATENATE(";",EscStr(CONCATENATE("NavNode_",getCategoryLevelAsString($B166))),";",EscStr(T166),";")))</f>
        <v>;"NavNode_L3D_531378";"USB Источники питания";</v>
      </c>
      <c r="AN166" s="39" t="str">
        <f>IF(getCategoryLevelAsString($B166)="L0D_324785","",IF(U166="",CONCATENATE(";",EscStr(CONCATENATE("NavNode_",getCategoryLevelAsString($B166))),";",EscStr($J166),";"),CONCATENATE(";",EscStr(CONCATENATE("NavNode_",getCategoryLevelAsString($B166))),";",EscStr(U166),";")))</f>
        <v>;"NavNode_L3D_531378";"USB napájení";</v>
      </c>
      <c r="AO166" s="39" t="str">
        <f>IF(getCategoryLevelAsString($B166)="L0D_324785","",IF(V166="",CONCATENATE(";",EscStr(CONCATENATE("NavNode_",getCategoryLevelAsString($B166))),";",EscStr($J166),";"),CONCATENATE(";",EscStr(CONCATENATE("NavNode_",getCategoryLevelAsString($B166))),";",EscStr(V166),";")))</f>
        <v>;"NavNode_L3D_531378";"USB-Sursă de alimentare";</v>
      </c>
      <c r="AP166" s="39" t="str">
        <f>IF(getCategoryLevelAsString($B166)="L0D_324785","",IF(W166="",CONCATENATE(";",EscStr(CONCATENATE("NavNode_",getCategoryLevelAsString($B166))),";",EscStr($J166),";"),CONCATENATE(";",EscStr(CONCATENATE("NavNode_",getCategoryLevelAsString($B166))),";",EscStr(W166),";")))</f>
        <v>;"NavNode_L3D_531378";"USB tápellátás";</v>
      </c>
      <c r="AQ166" s="39" t="str">
        <f>IF(getCategoryLevelAsString($B166)="L0D_324785","",IF(X166="",CONCATENATE(";",EscStr(CONCATENATE("NavNode_",getCategoryLevelAsString($B166))),";",EscStr($J166),";"),CONCATENATE(";",EscStr(CONCATENATE("NavNode_",getCategoryLevelAsString($B166))),";",EscStr(X166),";")))</f>
        <v>;"NavNode_L3D_531378";"USB napájanie";</v>
      </c>
      <c r="AR166" s="39" t="str">
        <f>IF(OR($A166&lt;&gt;"", $G166=""),"",CONCATENATE(";",EscStr(CONCATENATE("NavEntry_",getCategoryLevelAsString($B166))),";",EscStr(CONCATENATE($J166," Navigation Entry")),";",EscStr(CONCATENATE("cat-",getCategoryLevelAsString($B166))),";",EscStr(CONCATENATE("NavNode_",getCategoryLevelAsString($B166))),";"))</f>
        <v>;"NavEntry_L3D_531378";"USB Power Supplies Navigation Entry";"cat-L3D_531378";"NavNode_L3D_531378";</v>
      </c>
    </row>
    <row r="167" spans="1:44" s="38" customFormat="1" ht="15" x14ac:dyDescent="0.25">
      <c r="A167" s="32"/>
      <c r="B167" s="29" t="s">
        <v>8182</v>
      </c>
      <c r="C167" s="37"/>
      <c r="E167" s="29"/>
      <c r="F167" s="29"/>
      <c r="G167" s="31" t="s">
        <v>13549</v>
      </c>
      <c r="H167" s="28" t="s">
        <v>15302</v>
      </c>
      <c r="I167" s="43" t="s">
        <v>15303</v>
      </c>
      <c r="J167" s="31" t="s">
        <v>8182</v>
      </c>
      <c r="K167" s="43" t="s">
        <v>15304</v>
      </c>
      <c r="L167" s="28" t="s">
        <v>15305</v>
      </c>
      <c r="M167" s="28" t="s">
        <v>15306</v>
      </c>
      <c r="N167" s="28" t="s">
        <v>15307</v>
      </c>
      <c r="O167" s="28" t="s">
        <v>15308</v>
      </c>
      <c r="P167" s="28" t="s">
        <v>15309</v>
      </c>
      <c r="Q167" s="28" t="s">
        <v>15310</v>
      </c>
      <c r="R167" s="28" t="s">
        <v>15311</v>
      </c>
      <c r="S167" s="28" t="s">
        <v>15312</v>
      </c>
      <c r="T167" s="28" t="s">
        <v>15313</v>
      </c>
      <c r="U167" s="28" t="s">
        <v>15314</v>
      </c>
      <c r="V167" s="31" t="s">
        <v>15315</v>
      </c>
      <c r="W167" s="28" t="s">
        <v>15316</v>
      </c>
      <c r="X167" s="28" t="s">
        <v>15317</v>
      </c>
      <c r="Y167" s="39" t="str">
        <f>IF(OR($A167&lt;&gt;"", $G167=""),"",CONCATENATE(";",EscStr(CONCATENATE("NavNode_",getCategoryLevelAsString($B167))),";",EscStr($J167),";",IF($B167&lt;&gt;"","""MainCategoryNavNode""",EscStr(CONCATENATE("NavNode_",getSuperCategory($B167, getCategoryLevelAsNumber($B167))))),";"))</f>
        <v>;"NavNode_Test &amp; Measurement";"Test &amp; Measurement";"MainCategoryNavNode";</v>
      </c>
      <c r="Z167" s="39" t="str">
        <f>IF(getCategoryLevelAsString($B167)="L0D_324785","",IF(G167="",CONCATENATE(";",EscStr(CONCATENATE("NavNode_",getCategoryLevelAsString($B167))),";",EscStr($J167),";"),CONCATENATE(";",EscStr(CONCATENATE("NavNode_",getCategoryLevelAsString($B167))),";",EscStr(G167),";")))</f>
        <v>;"NavNode_Test &amp; Measurement";"Messtechnik";</v>
      </c>
      <c r="AA167" s="39" t="str">
        <f>IF(getCategoryLevelAsString($B167)="L0D_324785","",IF(H167="",CONCATENATE(";",EscStr(CONCATENATE("NavNode_",getCategoryLevelAsString($B167))),";",EscStr($J167),";"),CONCATENATE(";",EscStr(CONCATENATE("NavNode_",getCategoryLevelAsString($B167))),";",EscStr(H167),";")))</f>
        <v>;"NavNode_Test &amp; Measurement";"Tests et mesures";</v>
      </c>
      <c r="AB167" s="39" t="str">
        <f>IF(getCategoryLevelAsString($B167)="L0D_324785","",IF(I167="",CONCATENATE(";",EscStr(CONCATENATE("NavNode_",getCategoryLevelAsString($B167))),";",EscStr($J167),";"),CONCATENATE(";",EscStr(CONCATENATE("NavNode_",getCategoryLevelAsString($B167))),";",EscStr(I167),";")))</f>
        <v>;"NavNode_Test &amp; Measurement";"Test e misurazioni";</v>
      </c>
      <c r="AC167" s="39" t="str">
        <f>IF(getCategoryLevelAsString($B167)="L0D_324785","",IF(J167="",CONCATENATE(";",EscStr(CONCATENATE("NavNode_",getCategoryLevelAsString($B167))),";",EscStr($J167),";"),CONCATENATE(";",EscStr(CONCATENATE("NavNode_",getCategoryLevelAsString($B167))),";",EscStr(J167),";")))</f>
        <v>;"NavNode_Test &amp; Measurement";"Test &amp; Measurement";</v>
      </c>
      <c r="AD167" s="39" t="str">
        <f>IF(getCategoryLevelAsString($B167)="L0D_324785","",IF(K167="",CONCATENATE(";",EscStr(CONCATENATE("NavNode_",getCategoryLevelAsString($B167))),";",EscStr($J167),";"),CONCATENATE(";",EscStr(CONCATENATE("NavNode_",getCategoryLevelAsString($B167))),";",EscStr(K167),";")))</f>
        <v>;"NavNode_Test &amp; Measurement";"Måleteknik";</v>
      </c>
      <c r="AE167" s="39" t="str">
        <f>IF(getCategoryLevelAsString($B167)="L0D_324785","",IF(L167="",CONCATENATE(";",EscStr(CONCATENATE("NavNode_",getCategoryLevelAsString($B167))),";",EscStr($J167),";"),CONCATENATE(";",EscStr(CONCATENATE("NavNode_",getCategoryLevelAsString($B167))),";",EscStr(L167),";")))</f>
        <v>;"NavNode_Test &amp; Measurement";"Testavimas ir matavimas";</v>
      </c>
      <c r="AF167" s="39" t="str">
        <f>IF(getCategoryLevelAsString($B167)="L0D_324785","",IF(M167="",CONCATENATE(";",EscStr(CONCATENATE("NavNode_",getCategoryLevelAsString($B167))),";",EscStr($J167),";"),CONCATENATE(";",EscStr(CONCATENATE("NavNode_",getCategoryLevelAsString($B167))),";",EscStr(M167),";")))</f>
        <v>;"NavNode_Test &amp; Measurement";"Test og måling";</v>
      </c>
      <c r="AG167" s="39" t="str">
        <f>IF(getCategoryLevelAsString($B167)="L0D_324785","",IF(N167="",CONCATENATE(";",EscStr(CONCATENATE("NavNode_",getCategoryLevelAsString($B167))),";",EscStr($J167),";"),CONCATENATE(";",EscStr(CONCATENATE("NavNode_",getCategoryLevelAsString($B167))),";",EscStr(N167),";")))</f>
        <v>;"NavNode_Test &amp; Measurement";"Test och mätning";</v>
      </c>
      <c r="AH167" s="39" t="str">
        <f>IF(getCategoryLevelAsString($B167)="L0D_324785","",IF(O167="",CONCATENATE(";",EscStr(CONCATENATE("NavNode_",getCategoryLevelAsString($B167))),";",EscStr($J167),";"),CONCATENATE(";",EscStr(CONCATENATE("NavNode_",getCategoryLevelAsString($B167))),";",EscStr(O167),";")))</f>
        <v>;"NavNode_Test &amp; Measurement";"Testimine ja mõõtmine";</v>
      </c>
      <c r="AI167" s="39" t="str">
        <f>IF(getCategoryLevelAsString($B167)="L0D_324785","",IF(P167="",CONCATENATE(";",EscStr(CONCATENATE("NavNode_",getCategoryLevelAsString($B167))),";",EscStr($J167),";"),CONCATENATE(";",EscStr(CONCATENATE("NavNode_",getCategoryLevelAsString($B167))),";",EscStr(P167),";")))</f>
        <v>;"NavNode_Test &amp; Measurement";"Testaus ja mittaus";</v>
      </c>
      <c r="AJ167" s="39" t="str">
        <f>IF(getCategoryLevelAsString($B167)="L0D_324785","",IF(Q167="",CONCATENATE(";",EscStr(CONCATENATE("NavNode_",getCategoryLevelAsString($B167))),";",EscStr($J167),";"),CONCATENATE(";",EscStr(CONCATENATE("NavNode_",getCategoryLevelAsString($B167))),";",EscStr(Q167),";")))</f>
        <v>;"NavNode_Test &amp; Measurement";"Testēšana un mērījumi";</v>
      </c>
      <c r="AK167" s="39" t="str">
        <f>IF(getCategoryLevelAsString($B167)="L0D_324785","",IF(R167="",CONCATENATE(";",EscStr(CONCATENATE("NavNode_",getCategoryLevelAsString($B167))),";",EscStr($J167),";"),CONCATENATE(";",EscStr(CONCATENATE("NavNode_",getCategoryLevelAsString($B167))),";",EscStr(R167),";")))</f>
        <v>;"NavNode_Test &amp; Measurement";"Testen en meten";</v>
      </c>
      <c r="AL167" s="39" t="str">
        <f>IF(getCategoryLevelAsString($B167)="L0D_324785","",IF(S167="",CONCATENATE(";",EscStr(CONCATENATE("NavNode_",getCategoryLevelAsString($B167))),";",EscStr($J167),";"),CONCATENATE(";",EscStr(CONCATENATE("NavNode_",getCategoryLevelAsString($B167))),";",EscStr(S167),";")))</f>
        <v>;"NavNode_Test &amp; Measurement";"Aparatura kontrolno-pomiarowa";</v>
      </c>
      <c r="AM167" s="39" t="str">
        <f>IF(getCategoryLevelAsString($B167)="L0D_324785","",IF(T167="",CONCATENATE(";",EscStr(CONCATENATE("NavNode_",getCategoryLevelAsString($B167))),";",EscStr($J167),";"),CONCATENATE(";",EscStr(CONCATENATE("NavNode_",getCategoryLevelAsString($B167))),";",EscStr(T167),";")))</f>
        <v>;"NavNode_Test &amp; Measurement";"Испытания и измерения";</v>
      </c>
      <c r="AN167" s="39" t="str">
        <f>IF(getCategoryLevelAsString($B167)="L0D_324785","",IF(U167="",CONCATENATE(";",EscStr(CONCATENATE("NavNode_",getCategoryLevelAsString($B167))),";",EscStr($J167),";"),CONCATENATE(";",EscStr(CONCATENATE("NavNode_",getCategoryLevelAsString($B167))),";",EscStr(U167),";")))</f>
        <v>;"NavNode_Test &amp; Measurement";"Testování a měření";</v>
      </c>
      <c r="AO167" s="39" t="str">
        <f>IF(getCategoryLevelAsString($B167)="L0D_324785","",IF(V167="",CONCATENATE(";",EscStr(CONCATENATE("NavNode_",getCategoryLevelAsString($B167))),";",EscStr($J167),";"),CONCATENATE(";",EscStr(CONCATENATE("NavNode_",getCategoryLevelAsString($B167))),";",EscStr(V167),";")))</f>
        <v>;"NavNode_Test &amp; Measurement";"Testare şi măsurare";</v>
      </c>
      <c r="AP167" s="39" t="str">
        <f>IF(getCategoryLevelAsString($B167)="L0D_324785","",IF(W167="",CONCATENATE(";",EscStr(CONCATENATE("NavNode_",getCategoryLevelAsString($B167))),";",EscStr($J167),";"),CONCATENATE(";",EscStr(CONCATENATE("NavNode_",getCategoryLevelAsString($B167))),";",EscStr(W167),";")))</f>
        <v>;"NavNode_Test &amp; Measurement";"Méréstechnika";</v>
      </c>
      <c r="AQ167" s="39" t="str">
        <f>IF(getCategoryLevelAsString($B167)="L0D_324785","",IF(X167="",CONCATENATE(";",EscStr(CONCATENATE("NavNode_",getCategoryLevelAsString($B167))),";",EscStr($J167),";"),CONCATENATE(";",EscStr(CONCATENATE("NavNode_",getCategoryLevelAsString($B167))),";",EscStr(X167),";")))</f>
        <v>;"NavNode_Test &amp; Measurement";"Test a meranie";</v>
      </c>
      <c r="AR167" s="39" t="str">
        <f>IF(OR($A167&lt;&gt;"", $G167=""),"",CONCATENATE(";",EscStr(CONCATENATE("NavEntry_",getCategoryLevelAsString($B167))),";",EscStr(CONCATENATE($J167," Navigation Entry")),";",EscStr(CONCATENATE("cat-",getCategoryLevelAsString($B167))),";",EscStr(CONCATENATE("NavNode_",getCategoryLevelAsString($B167))),";"))</f>
        <v>;"NavEntry_Test &amp; Measurement";"Test &amp; Measurement Navigation Entry";"cat-Test &amp; Measurement";"NavNode_Test &amp; Measurement";</v>
      </c>
    </row>
    <row r="168" spans="1:44" s="34" customFormat="1" ht="15" x14ac:dyDescent="0.25">
      <c r="A168" s="25"/>
      <c r="B168" s="5"/>
      <c r="C168" s="5" t="s">
        <v>818</v>
      </c>
      <c r="D168" s="5"/>
      <c r="E168" s="5"/>
      <c r="F168" s="5"/>
      <c r="G168" s="5" t="s">
        <v>1060</v>
      </c>
      <c r="H168" s="5" t="s">
        <v>1111</v>
      </c>
      <c r="I168" s="5" t="s">
        <v>1170</v>
      </c>
      <c r="J168" s="5" t="s">
        <v>928</v>
      </c>
      <c r="K168" s="5" t="s">
        <v>1282</v>
      </c>
      <c r="L168" s="5" t="s">
        <v>1515</v>
      </c>
      <c r="M168" s="5" t="s">
        <v>1743</v>
      </c>
      <c r="N168" s="5" t="s">
        <v>13977</v>
      </c>
      <c r="O168" s="5" t="s">
        <v>3168</v>
      </c>
      <c r="P168" s="5" t="s">
        <v>3169</v>
      </c>
      <c r="Q168" s="5" t="s">
        <v>3170</v>
      </c>
      <c r="R168" s="5" t="s">
        <v>3171</v>
      </c>
      <c r="S168" s="5" t="s">
        <v>3172</v>
      </c>
      <c r="T168" s="5" t="s">
        <v>3173</v>
      </c>
      <c r="U168" s="5" t="s">
        <v>3174</v>
      </c>
      <c r="V168" s="5" t="s">
        <v>3175</v>
      </c>
      <c r="W168" s="5" t="s">
        <v>3176</v>
      </c>
      <c r="X168" s="5" t="s">
        <v>14899</v>
      </c>
      <c r="Y168" s="39" t="str">
        <f>IF(OR($A168&lt;&gt;"", $G168=""),"",CONCATENATE(";",EscStr(CONCATENATE("NavNode_",getCategoryLevelAsString($B168))),";",EscStr($J168),";",IF($B168&lt;&gt;"","""MainCategoryNavNode""",EscStr(CONCATENATE("NavNode_",getSuperCategory($B168, getCategoryLevelAsNumber($B168))))),";"))</f>
        <v>;"NavNode_L2D_527998";"Laboratory Connectors &amp; Accessories for Measurement";"NavNode_Test &amp; Measurement";</v>
      </c>
      <c r="Z168" s="39" t="str">
        <f>IF(getCategoryLevelAsString($B168)="L0D_324785","",IF(G168="",CONCATENATE(";",EscStr(CONCATENATE("NavNode_",getCategoryLevelAsString($B168))),";",EscStr($J168),";"),CONCATENATE(";",EscStr(CONCATENATE("NavNode_",getCategoryLevelAsString($B168))),";",EscStr(G168),";")))</f>
        <v>;"NavNode_L2D_527998";"Laborsteckverbinder und Zubehör für Messarbeiten";</v>
      </c>
      <c r="AA168" s="39" t="str">
        <f>IF(getCategoryLevelAsString($B168)="L0D_324785","",IF(H168="",CONCATENATE(";",EscStr(CONCATENATE("NavNode_",getCategoryLevelAsString($B168))),";",EscStr($J168),";"),CONCATENATE(";",EscStr(CONCATENATE("NavNode_",getCategoryLevelAsString($B168))),";",EscStr(H168),";")))</f>
        <v>;"NavNode_L2D_527998";"Connecteurs et accessoires de laboratoire pour mesure";</v>
      </c>
      <c r="AB168" s="39" t="str">
        <f>IF(getCategoryLevelAsString($B168)="L0D_324785","",IF(I168="",CONCATENATE(";",EscStr(CONCATENATE("NavNode_",getCategoryLevelAsString($B168))),";",EscStr($J168),";"),CONCATENATE(";",EscStr(CONCATENATE("NavNode_",getCategoryLevelAsString($B168))),";",EscStr(I168),";")))</f>
        <v>;"NavNode_L2D_527998";"Connettori per laboratorio e accessori per misurazioni";</v>
      </c>
      <c r="AC168" s="39" t="str">
        <f>IF(getCategoryLevelAsString($B168)="L0D_324785","",IF(J168="",CONCATENATE(";",EscStr(CONCATENATE("NavNode_",getCategoryLevelAsString($B168))),";",EscStr($J168),";"),CONCATENATE(";",EscStr(CONCATENATE("NavNode_",getCategoryLevelAsString($B168))),";",EscStr(J168),";")))</f>
        <v>;"NavNode_L2D_527998";"Laboratory Connectors &amp; Accessories for Measurement";</v>
      </c>
      <c r="AD168" s="39" t="str">
        <f>IF(getCategoryLevelAsString($B168)="L0D_324785","",IF(K168="",CONCATENATE(";",EscStr(CONCATENATE("NavNode_",getCategoryLevelAsString($B168))),";",EscStr($J168),";"),CONCATENATE(";",EscStr(CONCATENATE("NavNode_",getCategoryLevelAsString($B168))),";",EscStr(K168),";")))</f>
        <v>;"NavNode_L2D_527998";"Laboratoriestik &amp; -udstyr til måling";</v>
      </c>
      <c r="AE168" s="39" t="str">
        <f>IF(getCategoryLevelAsString($B168)="L0D_324785","",IF(L168="",CONCATENATE(";",EscStr(CONCATENATE("NavNode_",getCategoryLevelAsString($B168))),";",EscStr($J168),";"),CONCATENATE(";",EscStr(CONCATENATE("NavNode_",getCategoryLevelAsString($B168))),";",EscStr(L168),";")))</f>
        <v>;"NavNode_L2D_527998";"Laboratorinės jungtys ir priedai matavimui";</v>
      </c>
      <c r="AF168" s="39" t="str">
        <f>IF(getCategoryLevelAsString($B168)="L0D_324785","",IF(M168="",CONCATENATE(";",EscStr(CONCATENATE("NavNode_",getCategoryLevelAsString($B168))),";",EscStr($J168),";"),CONCATENATE(";",EscStr(CONCATENATE("NavNode_",getCategoryLevelAsString($B168))),";",EscStr(M168),";")))</f>
        <v>;"NavNode_L2D_527998";"Laboratoriekontakter og tilbehør for måling";</v>
      </c>
      <c r="AG168" s="39" t="str">
        <f>IF(getCategoryLevelAsString($B168)="L0D_324785","",IF(N168="",CONCATENATE(";",EscStr(CONCATENATE("NavNode_",getCategoryLevelAsString($B168))),";",EscStr($J168),";"),CONCATENATE(";",EscStr(CONCATENATE("NavNode_",getCategoryLevelAsString($B168))),";",EscStr(N168),";")))</f>
        <v>;"NavNode_L2D_527998";"Laboratoriekontakter och mättillbehör";</v>
      </c>
      <c r="AH168" s="39" t="str">
        <f>IF(getCategoryLevelAsString($B168)="L0D_324785","",IF(O168="",CONCATENATE(";",EscStr(CONCATENATE("NavNode_",getCategoryLevelAsString($B168))),";",EscStr($J168),";"),CONCATENATE(";",EscStr(CONCATENATE("NavNode_",getCategoryLevelAsString($B168))),";",EscStr(O168),";")))</f>
        <v>;"NavNode_L2D_527998";"Laboriühendused ja mõõtetarvikud";</v>
      </c>
      <c r="AI168" s="39" t="str">
        <f>IF(getCategoryLevelAsString($B168)="L0D_324785","",IF(P168="",CONCATENATE(";",EscStr(CONCATENATE("NavNode_",getCategoryLevelAsString($B168))),";",EscStr($J168),";"),CONCATENATE(";",EscStr(CONCATENATE("NavNode_",getCategoryLevelAsString($B168))),";",EscStr(P168),";")))</f>
        <v>;"NavNode_L2D_527998";"Labrausliittimet ja tarvikkeet";</v>
      </c>
      <c r="AJ168" s="39" t="str">
        <f>IF(getCategoryLevelAsString($B168)="L0D_324785","",IF(Q168="",CONCATENATE(";",EscStr(CONCATENATE("NavNode_",getCategoryLevelAsString($B168))),";",EscStr($J168),";"),CONCATENATE(";",EscStr(CONCATENATE("NavNode_",getCategoryLevelAsString($B168))),";",EscStr(Q168),";")))</f>
        <v>;"NavNode_L2D_527998";"Laboratorijas savienotāji un mērīšanas piederumi";</v>
      </c>
      <c r="AK168" s="39" t="str">
        <f>IF(getCategoryLevelAsString($B168)="L0D_324785","",IF(R168="",CONCATENATE(";",EscStr(CONCATENATE("NavNode_",getCategoryLevelAsString($B168))),";",EscStr($J168),";"),CONCATENATE(";",EscStr(CONCATENATE("NavNode_",getCategoryLevelAsString($B168))),";",EscStr(R168),";")))</f>
        <v>;"NavNode_L2D_527998";"Banaanstekkers en meetaccessoires";</v>
      </c>
      <c r="AL168" s="39" t="str">
        <f>IF(getCategoryLevelAsString($B168)="L0D_324785","",IF(S168="",CONCATENATE(";",EscStr(CONCATENATE("NavNode_",getCategoryLevelAsString($B168))),";",EscStr($J168),";"),CONCATENATE(";",EscStr(CONCATENATE("NavNode_",getCategoryLevelAsString($B168))),";",EscStr(S168),";")))</f>
        <v>;"NavNode_L2D_527998";"Złącza laboratoryjne oraz Akcesoria pomiarowe";</v>
      </c>
      <c r="AM168" s="39" t="str">
        <f>IF(getCategoryLevelAsString($B168)="L0D_324785","",IF(T168="",CONCATENATE(";",EscStr(CONCATENATE("NavNode_",getCategoryLevelAsString($B168))),";",EscStr($J168),";"),CONCATENATE(";",EscStr(CONCATENATE("NavNode_",getCategoryLevelAsString($B168))),";",EscStr(T168),";")))</f>
        <v>;"NavNode_L2D_527998";"Лабораторные разъемы и аксессуары для измерения";</v>
      </c>
      <c r="AN168" s="39" t="str">
        <f>IF(getCategoryLevelAsString($B168)="L0D_324785","",IF(U168="",CONCATENATE(";",EscStr(CONCATENATE("NavNode_",getCategoryLevelAsString($B168))),";",EscStr($J168),";"),CONCATENATE(";",EscStr(CONCATENATE("NavNode_",getCategoryLevelAsString($B168))),";",EscStr(U168),";")))</f>
        <v>;"NavNode_L2D_527998";"Laboratorní konektory a příslušenství pro měřící práce";</v>
      </c>
      <c r="AO168" s="39" t="str">
        <f>IF(getCategoryLevelAsString($B168)="L0D_324785","",IF(V168="",CONCATENATE(";",EscStr(CONCATENATE("NavNode_",getCategoryLevelAsString($B168))),";",EscStr($J168),";"),CONCATENATE(";",EscStr(CONCATENATE("NavNode_",getCategoryLevelAsString($B168))),";",EscStr(V168),";")))</f>
        <v>;"NavNode_L2D_527998";"Cleme, cabluri şi accesorii pentru instrumentele de măsură";</v>
      </c>
      <c r="AP168" s="39" t="str">
        <f>IF(getCategoryLevelAsString($B168)="L0D_324785","",IF(W168="",CONCATENATE(";",EscStr(CONCATENATE("NavNode_",getCategoryLevelAsString($B168))),";",EscStr($J168),";"),CONCATENATE(";",EscStr(CONCATENATE("NavNode_",getCategoryLevelAsString($B168))),";",EscStr(W168),";")))</f>
        <v>;"NavNode_L2D_527998";"Laboratóriumi csatlakozók és tartozékok";</v>
      </c>
      <c r="AQ168" s="39" t="str">
        <f>IF(getCategoryLevelAsString($B168)="L0D_324785","",IF(X168="",CONCATENATE(";",EscStr(CONCATENATE("NavNode_",getCategoryLevelAsString($B168))),";",EscStr($J168),";"),CONCATENATE(";",EscStr(CONCATENATE("NavNode_",getCategoryLevelAsString($B168))),";",EscStr(X168),";")))</f>
        <v>;"NavNode_L2D_527998";"Laboratórne konektory a príslušenstvo pre meracie práce";</v>
      </c>
      <c r="AR168" s="39" t="str">
        <f>IF(OR($A168&lt;&gt;"", $G168=""),"",CONCATENATE(";",EscStr(CONCATENATE("NavEntry_",getCategoryLevelAsString($B168))),";",EscStr(CONCATENATE($J168," Navigation Entry")),";",EscStr(CONCATENATE("cat-",getCategoryLevelAsString($B168))),";",EscStr(CONCATENATE("NavNode_",getCategoryLevelAsString($B168))),";"))</f>
        <v>;"NavEntry_L2D_527998";"Laboratory Connectors &amp; Accessories for Measurement Navigation Entry";"cat-L2D_527998";"NavNode_L2D_527998";</v>
      </c>
    </row>
    <row r="169" spans="1:44" s="34" customFormat="1" ht="15" x14ac:dyDescent="0.25">
      <c r="A169" s="25"/>
      <c r="B169" s="5"/>
      <c r="C169" s="5"/>
      <c r="D169" s="5" t="s">
        <v>819</v>
      </c>
      <c r="E169" s="5"/>
      <c r="F169" s="5"/>
      <c r="G169" s="5" t="s">
        <v>1061</v>
      </c>
      <c r="H169" s="5" t="s">
        <v>1112</v>
      </c>
      <c r="I169" s="5" t="s">
        <v>1171</v>
      </c>
      <c r="J169" s="5" t="s">
        <v>929</v>
      </c>
      <c r="K169" s="5" t="s">
        <v>1283</v>
      </c>
      <c r="L169" s="5" t="s">
        <v>1516</v>
      </c>
      <c r="M169" s="5" t="s">
        <v>1744</v>
      </c>
      <c r="N169" s="5" t="s">
        <v>1744</v>
      </c>
      <c r="O169" s="5" t="s">
        <v>3177</v>
      </c>
      <c r="P169" s="5" t="s">
        <v>3178</v>
      </c>
      <c r="Q169" s="5" t="s">
        <v>3179</v>
      </c>
      <c r="R169" s="5" t="s">
        <v>3180</v>
      </c>
      <c r="S169" s="5" t="s">
        <v>3181</v>
      </c>
      <c r="T169" s="5" t="s">
        <v>3182</v>
      </c>
      <c r="U169" s="5" t="s">
        <v>3183</v>
      </c>
      <c r="V169" s="5" t="s">
        <v>3184</v>
      </c>
      <c r="W169" s="5" t="s">
        <v>3185</v>
      </c>
      <c r="X169" s="5" t="s">
        <v>14900</v>
      </c>
      <c r="Y169" s="39" t="str">
        <f>IF(OR($A169&lt;&gt;"", $G169=""),"",CONCATENATE(";",EscStr(CONCATENATE("NavNode_",getCategoryLevelAsString($B169))),";",EscStr($J169),";",IF($B169&lt;&gt;"","""MainCategoryNavNode""",EscStr(CONCATENATE("NavNode_",getSuperCategory($B169, getCategoryLevelAsNumber($B169))))),";"))</f>
        <v>;"NavNode_L3D_525581";"Laboratory Connectors";"NavNode_L2D_527998";</v>
      </c>
      <c r="Z169" s="39" t="str">
        <f>IF(getCategoryLevelAsString($B169)="L0D_324785","",IF(G169="",CONCATENATE(";",EscStr(CONCATENATE("NavNode_",getCategoryLevelAsString($B169))),";",EscStr($J169),";"),CONCATENATE(";",EscStr(CONCATENATE("NavNode_",getCategoryLevelAsString($B169))),";",EscStr(G169),";")))</f>
        <v>;"NavNode_L3D_525581";"Laborsteckverbinder";</v>
      </c>
      <c r="AA169" s="39" t="str">
        <f>IF(getCategoryLevelAsString($B169)="L0D_324785","",IF(H169="",CONCATENATE(";",EscStr(CONCATENATE("NavNode_",getCategoryLevelAsString($B169))),";",EscStr($J169),";"),CONCATENATE(";",EscStr(CONCATENATE("NavNode_",getCategoryLevelAsString($B169))),";",EscStr(H169),";")))</f>
        <v>;"NavNode_L3D_525581";"Connecteurs de laboratoire";</v>
      </c>
      <c r="AB169" s="39" t="str">
        <f>IF(getCategoryLevelAsString($B169)="L0D_324785","",IF(I169="",CONCATENATE(";",EscStr(CONCATENATE("NavNode_",getCategoryLevelAsString($B169))),";",EscStr($J169),";"),CONCATENATE(";",EscStr(CONCATENATE("NavNode_",getCategoryLevelAsString($B169))),";",EscStr(I169),";")))</f>
        <v>;"NavNode_L3D_525581";"Connettori per laboratorio";</v>
      </c>
      <c r="AC169" s="39" t="str">
        <f>IF(getCategoryLevelAsString($B169)="L0D_324785","",IF(J169="",CONCATENATE(";",EscStr(CONCATENATE("NavNode_",getCategoryLevelAsString($B169))),";",EscStr($J169),";"),CONCATENATE(";",EscStr(CONCATENATE("NavNode_",getCategoryLevelAsString($B169))),";",EscStr(J169),";")))</f>
        <v>;"NavNode_L3D_525581";"Laboratory Connectors";</v>
      </c>
      <c r="AD169" s="39" t="str">
        <f>IF(getCategoryLevelAsString($B169)="L0D_324785","",IF(K169="",CONCATENATE(";",EscStr(CONCATENATE("NavNode_",getCategoryLevelAsString($B169))),";",EscStr($J169),";"),CONCATENATE(";",EscStr(CONCATENATE("NavNode_",getCategoryLevelAsString($B169))),";",EscStr(K169),";")))</f>
        <v>;"NavNode_L3D_525581";"Laboratoriestik";</v>
      </c>
      <c r="AE169" s="39" t="str">
        <f>IF(getCategoryLevelAsString($B169)="L0D_324785","",IF(L169="",CONCATENATE(";",EscStr(CONCATENATE("NavNode_",getCategoryLevelAsString($B169))),";",EscStr($J169),";"),CONCATENATE(";",EscStr(CONCATENATE("NavNode_",getCategoryLevelAsString($B169))),";",EscStr(L169),";")))</f>
        <v>;"NavNode_L3D_525581";"Laboratorinės jungtys";</v>
      </c>
      <c r="AF169" s="39" t="str">
        <f>IF(getCategoryLevelAsString($B169)="L0D_324785","",IF(M169="",CONCATENATE(";",EscStr(CONCATENATE("NavNode_",getCategoryLevelAsString($B169))),";",EscStr($J169),";"),CONCATENATE(";",EscStr(CONCATENATE("NavNode_",getCategoryLevelAsString($B169))),";",EscStr(M169),";")))</f>
        <v>;"NavNode_L3D_525581";"Laboratoriekontakter";</v>
      </c>
      <c r="AG169" s="39" t="str">
        <f>IF(getCategoryLevelAsString($B169)="L0D_324785","",IF(N169="",CONCATENATE(";",EscStr(CONCATENATE("NavNode_",getCategoryLevelAsString($B169))),";",EscStr($J169),";"),CONCATENATE(";",EscStr(CONCATENATE("NavNode_",getCategoryLevelAsString($B169))),";",EscStr(N169),";")))</f>
        <v>;"NavNode_L3D_525581";"Laboratoriekontakter";</v>
      </c>
      <c r="AH169" s="39" t="str">
        <f>IF(getCategoryLevelAsString($B169)="L0D_324785","",IF(O169="",CONCATENATE(";",EscStr(CONCATENATE("NavNode_",getCategoryLevelAsString($B169))),";",EscStr($J169),";"),CONCATENATE(";",EscStr(CONCATENATE("NavNode_",getCategoryLevelAsString($B169))),";",EscStr(O169),";")))</f>
        <v>;"NavNode_L3D_525581";"Laboriühendused";</v>
      </c>
      <c r="AI169" s="39" t="str">
        <f>IF(getCategoryLevelAsString($B169)="L0D_324785","",IF(P169="",CONCATENATE(";",EscStr(CONCATENATE("NavNode_",getCategoryLevelAsString($B169))),";",EscStr($J169),";"),CONCATENATE(";",EscStr(CONCATENATE("NavNode_",getCategoryLevelAsString($B169))),";",EscStr(P169),";")))</f>
        <v>;"NavNode_L3D_525581";"Labrausliittimet";</v>
      </c>
      <c r="AJ169" s="39" t="str">
        <f>IF(getCategoryLevelAsString($B169)="L0D_324785","",IF(Q169="",CONCATENATE(";",EscStr(CONCATENATE("NavNode_",getCategoryLevelAsString($B169))),";",EscStr($J169),";"),CONCATENATE(";",EscStr(CONCATENATE("NavNode_",getCategoryLevelAsString($B169))),";",EscStr(Q169),";")))</f>
        <v>;"NavNode_L3D_525581";"Laboratorijas savienotāji";</v>
      </c>
      <c r="AK169" s="39" t="str">
        <f>IF(getCategoryLevelAsString($B169)="L0D_324785","",IF(R169="",CONCATENATE(";",EscStr(CONCATENATE("NavNode_",getCategoryLevelAsString($B169))),";",EscStr($J169),";"),CONCATENATE(";",EscStr(CONCATENATE("NavNode_",getCategoryLevelAsString($B169))),";",EscStr(R169),";")))</f>
        <v>;"NavNode_L3D_525581";"Banaanstekkers";</v>
      </c>
      <c r="AL169" s="39" t="str">
        <f>IF(getCategoryLevelAsString($B169)="L0D_324785","",IF(S169="",CONCATENATE(";",EscStr(CONCATENATE("NavNode_",getCategoryLevelAsString($B169))),";",EscStr($J169),";"),CONCATENATE(";",EscStr(CONCATENATE("NavNode_",getCategoryLevelAsString($B169))),";",EscStr(S169),";")))</f>
        <v>;"NavNode_L3D_525581";"Złącza laboratoryjne";</v>
      </c>
      <c r="AM169" s="39" t="str">
        <f>IF(getCategoryLevelAsString($B169)="L0D_324785","",IF(T169="",CONCATENATE(";",EscStr(CONCATENATE("NavNode_",getCategoryLevelAsString($B169))),";",EscStr($J169),";"),CONCATENATE(";",EscStr(CONCATENATE("NavNode_",getCategoryLevelAsString($B169))),";",EscStr(T169),";")))</f>
        <v>;"NavNode_L3D_525581";"Лабораторные разъемы / Соединения";</v>
      </c>
      <c r="AN169" s="39" t="str">
        <f>IF(getCategoryLevelAsString($B169)="L0D_324785","",IF(U169="",CONCATENATE(";",EscStr(CONCATENATE("NavNode_",getCategoryLevelAsString($B169))),";",EscStr($J169),";"),CONCATENATE(";",EscStr(CONCATENATE("NavNode_",getCategoryLevelAsString($B169))),";",EscStr(U169),";")))</f>
        <v>;"NavNode_L3D_525581";"Laboratorní konektory";</v>
      </c>
      <c r="AO169" s="39" t="str">
        <f>IF(getCategoryLevelAsString($B169)="L0D_324785","",IF(V169="",CONCATENATE(";",EscStr(CONCATENATE("NavNode_",getCategoryLevelAsString($B169))),";",EscStr($J169),";"),CONCATENATE(";",EscStr(CONCATENATE("NavNode_",getCategoryLevelAsString($B169))),";",EscStr(V169),";")))</f>
        <v>;"NavNode_L3D_525581";"Cleme, cabluri şi accesorii pentru laborator";</v>
      </c>
      <c r="AP169" s="39" t="str">
        <f>IF(getCategoryLevelAsString($B169)="L0D_324785","",IF(W169="",CONCATENATE(";",EscStr(CONCATENATE("NavNode_",getCategoryLevelAsString($B169))),";",EscStr($J169),";"),CONCATENATE(";",EscStr(CONCATENATE("NavNode_",getCategoryLevelAsString($B169))),";",EscStr(W169),";")))</f>
        <v>;"NavNode_L3D_525581";"Laboratóriumi csatlakozók";</v>
      </c>
      <c r="AQ169" s="39" t="str">
        <f>IF(getCategoryLevelAsString($B169)="L0D_324785","",IF(X169="",CONCATENATE(";",EscStr(CONCATENATE("NavNode_",getCategoryLevelAsString($B169))),";",EscStr($J169),";"),CONCATENATE(";",EscStr(CONCATENATE("NavNode_",getCategoryLevelAsString($B169))),";",EscStr(X169),";")))</f>
        <v>;"NavNode_L3D_525581";"Laboratórne konektory";</v>
      </c>
      <c r="AR169" s="39" t="str">
        <f>IF(OR($A169&lt;&gt;"", $G169=""),"",CONCATENATE(";",EscStr(CONCATENATE("NavEntry_",getCategoryLevelAsString($B169))),";",EscStr(CONCATENATE($J169," Navigation Entry")),";",EscStr(CONCATENATE("cat-",getCategoryLevelAsString($B169))),";",EscStr(CONCATENATE("NavNode_",getCategoryLevelAsString($B169))),";"))</f>
        <v>;"NavEntry_L3D_525581";"Laboratory Connectors Navigation Entry";"cat-L3D_525581";"NavNode_L3D_525581";</v>
      </c>
    </row>
    <row r="170" spans="1:44" s="34" customFormat="1" ht="15" x14ac:dyDescent="0.25">
      <c r="A170" s="25"/>
      <c r="B170" s="5"/>
      <c r="C170" s="5"/>
      <c r="D170" s="5" t="s">
        <v>820</v>
      </c>
      <c r="E170" s="5"/>
      <c r="F170" s="5"/>
      <c r="G170" s="5" t="s">
        <v>2326</v>
      </c>
      <c r="H170" s="5" t="s">
        <v>1113</v>
      </c>
      <c r="I170" s="5" t="s">
        <v>1172</v>
      </c>
      <c r="J170" s="5" t="s">
        <v>2327</v>
      </c>
      <c r="K170" s="5" t="s">
        <v>2328</v>
      </c>
      <c r="L170" s="5" t="s">
        <v>1517</v>
      </c>
      <c r="M170" s="5" t="s">
        <v>2329</v>
      </c>
      <c r="N170" s="5" t="s">
        <v>2330</v>
      </c>
      <c r="O170" s="5" t="s">
        <v>2331</v>
      </c>
      <c r="P170" s="5" t="s">
        <v>2332</v>
      </c>
      <c r="Q170" s="5" t="s">
        <v>2333</v>
      </c>
      <c r="R170" s="5" t="s">
        <v>2334</v>
      </c>
      <c r="S170" s="5" t="s">
        <v>2335</v>
      </c>
      <c r="T170" s="5" t="s">
        <v>2336</v>
      </c>
      <c r="U170" s="5" t="s">
        <v>2337</v>
      </c>
      <c r="V170" s="5" t="s">
        <v>2338</v>
      </c>
      <c r="W170" s="5" t="s">
        <v>2339</v>
      </c>
      <c r="X170" s="5" t="s">
        <v>2337</v>
      </c>
      <c r="Y170" s="39" t="str">
        <f>IF(OR($A170&lt;&gt;"", $G170=""),"",CONCATENATE(";",EscStr(CONCATENATE("NavNode_",getCategoryLevelAsString($B170))),";",EscStr($J170),";",IF($B170&lt;&gt;"","""MainCategoryNavNode""",EscStr(CONCATENATE("NavNode_",getSuperCategory($B170, getCategoryLevelAsNumber($B170))))),";"))</f>
        <v>;"NavNode_L3D_532237";"Spring loaded contacts";"NavNode_L2D_527998";</v>
      </c>
      <c r="Z170" s="39" t="str">
        <f>IF(getCategoryLevelAsString($B170)="L0D_324785","",IF(G170="",CONCATENATE(";",EscStr(CONCATENATE("NavNode_",getCategoryLevelAsString($B170))),";",EscStr($J170),";"),CONCATENATE(";",EscStr(CONCATENATE("NavNode_",getCategoryLevelAsString($B170))),";",EscStr(G170),";")))</f>
        <v>;"NavNode_L3D_532237";"Gefederte Kontakte";</v>
      </c>
      <c r="AA170" s="39" t="str">
        <f>IF(getCategoryLevelAsString($B170)="L0D_324785","",IF(H170="",CONCATENATE(";",EscStr(CONCATENATE("NavNode_",getCategoryLevelAsString($B170))),";",EscStr($J170),";"),CONCATENATE(";",EscStr(CONCATENATE("NavNode_",getCategoryLevelAsString($B170))),";",EscStr(H170),";")))</f>
        <v>;"NavNode_L3D_532237";"Contacts à ressort";</v>
      </c>
      <c r="AB170" s="39" t="str">
        <f>IF(getCategoryLevelAsString($B170)="L0D_324785","",IF(I170="",CONCATENATE(";",EscStr(CONCATENATE("NavNode_",getCategoryLevelAsString($B170))),";",EscStr($J170),";"),CONCATENATE(";",EscStr(CONCATENATE("NavNode_",getCategoryLevelAsString($B170))),";",EscStr(I170),";")))</f>
        <v>;"NavNode_L3D_532237";"Contatti a molla";</v>
      </c>
      <c r="AC170" s="39" t="str">
        <f>IF(getCategoryLevelAsString($B170)="L0D_324785","",IF(J170="",CONCATENATE(";",EscStr(CONCATENATE("NavNode_",getCategoryLevelAsString($B170))),";",EscStr($J170),";"),CONCATENATE(";",EscStr(CONCATENATE("NavNode_",getCategoryLevelAsString($B170))),";",EscStr(J170),";")))</f>
        <v>;"NavNode_L3D_532237";"Spring loaded contacts";</v>
      </c>
      <c r="AD170" s="39" t="str">
        <f>IF(getCategoryLevelAsString($B170)="L0D_324785","",IF(K170="",CONCATENATE(";",EscStr(CONCATENATE("NavNode_",getCategoryLevelAsString($B170))),";",EscStr($J170),";"),CONCATENATE(";",EscStr(CONCATENATE("NavNode_",getCategoryLevelAsString($B170))),";",EscStr(K170),";")))</f>
        <v>;"NavNode_L3D_532237";"Fjederbelastede kontakter";</v>
      </c>
      <c r="AE170" s="39" t="str">
        <f>IF(getCategoryLevelAsString($B170)="L0D_324785","",IF(L170="",CONCATENATE(";",EscStr(CONCATENATE("NavNode_",getCategoryLevelAsString($B170))),";",EscStr($J170),";"),CONCATENATE(";",EscStr(CONCATENATE("NavNode_",getCategoryLevelAsString($B170))),";",EscStr(L170),";")))</f>
        <v>;"NavNode_L3D_532237";"Spyruokliniai kontaktai";</v>
      </c>
      <c r="AF170" s="39" t="str">
        <f>IF(getCategoryLevelAsString($B170)="L0D_324785","",IF(M170="",CONCATENATE(";",EscStr(CONCATENATE("NavNode_",getCategoryLevelAsString($B170))),";",EscStr($J170),";"),CONCATENATE(";",EscStr(CONCATENATE("NavNode_",getCategoryLevelAsString($B170))),";",EscStr(M170),";")))</f>
        <v>;"NavNode_L3D_532237";"Fjærbelastede kontakter";</v>
      </c>
      <c r="AG170" s="39" t="str">
        <f>IF(getCategoryLevelAsString($B170)="L0D_324785","",IF(N170="",CONCATENATE(";",EscStr(CONCATENATE("NavNode_",getCategoryLevelAsString($B170))),";",EscStr($J170),";"),CONCATENATE(";",EscStr(CONCATENATE("NavNode_",getCategoryLevelAsString($B170))),";",EscStr(N170),";")))</f>
        <v>;"NavNode_L3D_532237";"Fjäderbelastade kontakter";</v>
      </c>
      <c r="AH170" s="39" t="str">
        <f>IF(getCategoryLevelAsString($B170)="L0D_324785","",IF(O170="",CONCATENATE(";",EscStr(CONCATENATE("NavNode_",getCategoryLevelAsString($B170))),";",EscStr($J170),";"),CONCATENATE(";",EscStr(CONCATENATE("NavNode_",getCategoryLevelAsString($B170))),";",EscStr(O170),";")))</f>
        <v>;"NavNode_L3D_532237";"Vedrukoormuskontaktid";</v>
      </c>
      <c r="AI170" s="39" t="str">
        <f>IF(getCategoryLevelAsString($B170)="L0D_324785","",IF(P170="",CONCATENATE(";",EscStr(CONCATENATE("NavNode_",getCategoryLevelAsString($B170))),";",EscStr($J170),";"),CONCATENATE(";",EscStr(CONCATENATE("NavNode_",getCategoryLevelAsString($B170))),";",EscStr(P170),";")))</f>
        <v>;"NavNode_L3D_532237";"Jousitetut kontaktit";</v>
      </c>
      <c r="AJ170" s="39" t="str">
        <f>IF(getCategoryLevelAsString($B170)="L0D_324785","",IF(Q170="",CONCATENATE(";",EscStr(CONCATENATE("NavNode_",getCategoryLevelAsString($B170))),";",EscStr($J170),";"),CONCATENATE(";",EscStr(CONCATENATE("NavNode_",getCategoryLevelAsString($B170))),";",EscStr(Q170),";")))</f>
        <v>;"NavNode_L3D_532237";"Atsperes kontakti";</v>
      </c>
      <c r="AK170" s="39" t="str">
        <f>IF(getCategoryLevelAsString($B170)="L0D_324785","",IF(R170="",CONCATENATE(";",EscStr(CONCATENATE("NavNode_",getCategoryLevelAsString($B170))),";",EscStr($J170),";"),CONCATENATE(";",EscStr(CONCATENATE("NavNode_",getCategoryLevelAsString($B170))),";",EscStr(R170),";")))</f>
        <v>;"NavNode_L3D_532237";"Veerbelaste contacten";</v>
      </c>
      <c r="AL170" s="39" t="str">
        <f>IF(getCategoryLevelAsString($B170)="L0D_324785","",IF(S170="",CONCATENATE(";",EscStr(CONCATENATE("NavNode_",getCategoryLevelAsString($B170))),";",EscStr($J170),";"),CONCATENATE(";",EscStr(CONCATENATE("NavNode_",getCategoryLevelAsString($B170))),";",EscStr(S170),";")))</f>
        <v>;"NavNode_L3D_532237";"Styki sprężynowe";</v>
      </c>
      <c r="AM170" s="39" t="str">
        <f>IF(getCategoryLevelAsString($B170)="L0D_324785","",IF(T170="",CONCATENATE(";",EscStr(CONCATENATE("NavNode_",getCategoryLevelAsString($B170))),";",EscStr($J170),";"),CONCATENATE(";",EscStr(CONCATENATE("NavNode_",getCategoryLevelAsString($B170))),";",EscStr(T170),";")))</f>
        <v>;"NavNode_L3D_532237";"Пружинные контакты";</v>
      </c>
      <c r="AN170" s="39" t="str">
        <f>IF(getCategoryLevelAsString($B170)="L0D_324785","",IF(U170="",CONCATENATE(";",EscStr(CONCATENATE("NavNode_",getCategoryLevelAsString($B170))),";",EscStr($J170),";"),CONCATENATE(";",EscStr(CONCATENATE("NavNode_",getCategoryLevelAsString($B170))),";",EscStr(U170),";")))</f>
        <v>;"NavNode_L3D_532237";"Pružinové kontakty";</v>
      </c>
      <c r="AO170" s="39" t="str">
        <f>IF(getCategoryLevelAsString($B170)="L0D_324785","",IF(V170="",CONCATENATE(";",EscStr(CONCATENATE("NavNode_",getCategoryLevelAsString($B170))),";",EscStr($J170),";"),CONCATENATE(";",EscStr(CONCATENATE("NavNode_",getCategoryLevelAsString($B170))),";",EscStr(V170),";")))</f>
        <v>;"NavNode_L3D_532237";"Contacte cu închidere prin resort";</v>
      </c>
      <c r="AP170" s="39" t="str">
        <f>IF(getCategoryLevelAsString($B170)="L0D_324785","",IF(W170="",CONCATENATE(";",EscStr(CONCATENATE("NavNode_",getCategoryLevelAsString($B170))),";",EscStr($J170),";"),CONCATENATE(";",EscStr(CONCATENATE("NavNode_",getCategoryLevelAsString($B170))),";",EscStr(W170),";")))</f>
        <v>;"NavNode_L3D_532237";"Rugós érintkezők";</v>
      </c>
      <c r="AQ170" s="39" t="str">
        <f>IF(getCategoryLevelAsString($B170)="L0D_324785","",IF(X170="",CONCATENATE(";",EscStr(CONCATENATE("NavNode_",getCategoryLevelAsString($B170))),";",EscStr($J170),";"),CONCATENATE(";",EscStr(CONCATENATE("NavNode_",getCategoryLevelAsString($B170))),";",EscStr(X170),";")))</f>
        <v>;"NavNode_L3D_532237";"Pružinové kontakty";</v>
      </c>
      <c r="AR170" s="39" t="str">
        <f>IF(OR($A170&lt;&gt;"", $G170=""),"",CONCATENATE(";",EscStr(CONCATENATE("NavEntry_",getCategoryLevelAsString($B170))),";",EscStr(CONCATENATE($J170," Navigation Entry")),";",EscStr(CONCATENATE("cat-",getCategoryLevelAsString($B170))),";",EscStr(CONCATENATE("NavNode_",getCategoryLevelAsString($B170))),";"))</f>
        <v>;"NavEntry_L3D_532237";"Spring loaded contacts Navigation Entry";"cat-L3D_532237";"NavNode_L3D_532237";</v>
      </c>
    </row>
    <row r="171" spans="1:44" s="34" customFormat="1" ht="15" x14ac:dyDescent="0.25">
      <c r="A171" s="25"/>
      <c r="B171" s="5"/>
      <c r="C171" s="5"/>
      <c r="D171" s="5" t="s">
        <v>821</v>
      </c>
      <c r="E171" s="5"/>
      <c r="F171" s="5"/>
      <c r="G171" s="5" t="s">
        <v>1062</v>
      </c>
      <c r="H171" s="5" t="s">
        <v>2340</v>
      </c>
      <c r="I171" s="5" t="s">
        <v>2341</v>
      </c>
      <c r="J171" s="5" t="s">
        <v>2342</v>
      </c>
      <c r="K171" s="5" t="s">
        <v>2343</v>
      </c>
      <c r="L171" s="5" t="s">
        <v>15158</v>
      </c>
      <c r="M171" s="5" t="s">
        <v>2345</v>
      </c>
      <c r="N171" s="48" t="s">
        <v>15444</v>
      </c>
      <c r="O171" s="5" t="s">
        <v>2347</v>
      </c>
      <c r="P171" s="5" t="s">
        <v>2348</v>
      </c>
      <c r="Q171" s="5" t="s">
        <v>2349</v>
      </c>
      <c r="R171" s="5" t="s">
        <v>2350</v>
      </c>
      <c r="S171" s="5" t="s">
        <v>2351</v>
      </c>
      <c r="T171" s="5" t="s">
        <v>2352</v>
      </c>
      <c r="U171" s="5" t="s">
        <v>2353</v>
      </c>
      <c r="V171" s="5" t="s">
        <v>2354</v>
      </c>
      <c r="W171" s="5" t="s">
        <v>2355</v>
      </c>
      <c r="X171" s="5" t="s">
        <v>14901</v>
      </c>
      <c r="Y171" s="39" t="str">
        <f>IF(OR($A171&lt;&gt;"", $G171=""),"",CONCATENATE(";",EscStr(CONCATENATE("NavNode_",getCategoryLevelAsString($B171))),";",EscStr($J171),";",IF($B171&lt;&gt;"","""MainCategoryNavNode""",EscStr(CONCATENATE("NavNode_",getSuperCategory($B171, getCategoryLevelAsNumber($B171))))),";"))</f>
        <v>;"NavNode_L3D_532239";"Holders for Test Leads";"NavNode_L2D_527998";</v>
      </c>
      <c r="Z171" s="39" t="str">
        <f>IF(getCategoryLevelAsString($B171)="L0D_324785","",IF(G171="",CONCATENATE(";",EscStr(CONCATENATE("NavNode_",getCategoryLevelAsString($B171))),";",EscStr($J171),";"),CONCATENATE(";",EscStr(CONCATENATE("NavNode_",getCategoryLevelAsString($B171))),";",EscStr(G171),";")))</f>
        <v>;"NavNode_L3D_532239";"Messleitungshalter";</v>
      </c>
      <c r="AA171" s="39" t="str">
        <f>IF(getCategoryLevelAsString($B171)="L0D_324785","",IF(H171="",CONCATENATE(";",EscStr(CONCATENATE("NavNode_",getCategoryLevelAsString($B171))),";",EscStr($J171),";"),CONCATENATE(";",EscStr(CONCATENATE("NavNode_",getCategoryLevelAsString($B171))),";",EscStr(H171),";")))</f>
        <v>;"NavNode_L3D_532239";"Supports pour cordons d'essai";</v>
      </c>
      <c r="AB171" s="39" t="str">
        <f>IF(getCategoryLevelAsString($B171)="L0D_324785","",IF(I171="",CONCATENATE(";",EscStr(CONCATENATE("NavNode_",getCategoryLevelAsString($B171))),";",EscStr($J171),";"),CONCATENATE(";",EscStr(CONCATENATE("NavNode_",getCategoryLevelAsString($B171))),";",EscStr(I171),";")))</f>
        <v>;"NavNode_L3D_532239";"Supporti per puntali";</v>
      </c>
      <c r="AC171" s="39" t="str">
        <f>IF(getCategoryLevelAsString($B171)="L0D_324785","",IF(J171="",CONCATENATE(";",EscStr(CONCATENATE("NavNode_",getCategoryLevelAsString($B171))),";",EscStr($J171),";"),CONCATENATE(";",EscStr(CONCATENATE("NavNode_",getCategoryLevelAsString($B171))),";",EscStr(J171),";")))</f>
        <v>;"NavNode_L3D_532239";"Holders for Test Leads";</v>
      </c>
      <c r="AD171" s="39" t="str">
        <f>IF(getCategoryLevelAsString($B171)="L0D_324785","",IF(K171="",CONCATENATE(";",EscStr(CONCATENATE("NavNode_",getCategoryLevelAsString($B171))),";",EscStr($J171),";"),CONCATENATE(";",EscStr(CONCATENATE("NavNode_",getCategoryLevelAsString($B171))),";",EscStr(K171),";")))</f>
        <v>;"NavNode_L3D_532239";"Holdere til testledninger";</v>
      </c>
      <c r="AE171" s="39" t="str">
        <f>IF(getCategoryLevelAsString($B171)="L0D_324785","",IF(L171="",CONCATENATE(";",EscStr(CONCATENATE("NavNode_",getCategoryLevelAsString($B171))),";",EscStr($J171),";"),CONCATENATE(";",EscStr(CONCATENATE("NavNode_",getCategoryLevelAsString($B171))),";",EscStr(L171),";")))</f>
        <v>;"NavNode_L3D_532239";"Laboratorinių kabelių laikikliai";</v>
      </c>
      <c r="AF171" s="39" t="str">
        <f>IF(getCategoryLevelAsString($B171)="L0D_324785","",IF(M171="",CONCATENATE(";",EscStr(CONCATENATE("NavNode_",getCategoryLevelAsString($B171))),";",EscStr($J171),";"),CONCATENATE(";",EscStr(CONCATENATE("NavNode_",getCategoryLevelAsString($B171))),";",EscStr(M171),";")))</f>
        <v>;"NavNode_L3D_532239";"Holdere for testledninger";</v>
      </c>
      <c r="AG171" s="39" t="str">
        <f>IF(getCategoryLevelAsString($B171)="L0D_324785","",IF(N171="",CONCATENATE(";",EscStr(CONCATENATE("NavNode_",getCategoryLevelAsString($B171))),";",EscStr($J171),";"),CONCATENATE(";",EscStr(CONCATENATE("NavNode_",getCategoryLevelAsString($B171))),";",EscStr(N171),";")))</f>
        <v>;"NavNode_L3D_532239";"Hållare för labkabel";</v>
      </c>
      <c r="AH171" s="39" t="str">
        <f>IF(getCategoryLevelAsString($B171)="L0D_324785","",IF(O171="",CONCATENATE(";",EscStr(CONCATENATE("NavNode_",getCategoryLevelAsString($B171))),";",EscStr($J171),";"),CONCATENATE(";",EscStr(CONCATENATE("NavNode_",getCategoryLevelAsString($B171))),";",EscStr(O171),";")))</f>
        <v>;"NavNode_L3D_532239";"Testjuhtmete hoidikud";</v>
      </c>
      <c r="AI171" s="39" t="str">
        <f>IF(getCategoryLevelAsString($B171)="L0D_324785","",IF(P171="",CONCATENATE(";",EscStr(CONCATENATE("NavNode_",getCategoryLevelAsString($B171))),";",EscStr($J171),";"),CONCATENATE(";",EscStr(CONCATENATE("NavNode_",getCategoryLevelAsString($B171))),";",EscStr(P171),";")))</f>
        <v>;"NavNode_L3D_532239";"Testijohtimien pidikkeet";</v>
      </c>
      <c r="AJ171" s="39" t="str">
        <f>IF(getCategoryLevelAsString($B171)="L0D_324785","",IF(Q171="",CONCATENATE(";",EscStr(CONCATENATE("NavNode_",getCategoryLevelAsString($B171))),";",EscStr($J171),";"),CONCATENATE(";",EscStr(CONCATENATE("NavNode_",getCategoryLevelAsString($B171))),";",EscStr(Q171),";")))</f>
        <v>;"NavNode_L3D_532239";"Testēšanas zonžu turētāji";</v>
      </c>
      <c r="AK171" s="39" t="str">
        <f>IF(getCategoryLevelAsString($B171)="L0D_324785","",IF(R171="",CONCATENATE(";",EscStr(CONCATENATE("NavNode_",getCategoryLevelAsString($B171))),";",EscStr($J171),";"),CONCATENATE(";",EscStr(CONCATENATE("NavNode_",getCategoryLevelAsString($B171))),";",EscStr(R171),";")))</f>
        <v>;"NavNode_L3D_532239";"Houders voor meetsnoeren";</v>
      </c>
      <c r="AL171" s="39" t="str">
        <f>IF(getCategoryLevelAsString($B171)="L0D_324785","",IF(S171="",CONCATENATE(";",EscStr(CONCATENATE("NavNode_",getCategoryLevelAsString($B171))),";",EscStr($J171),";"),CONCATENATE(";",EscStr(CONCATENATE("NavNode_",getCategoryLevelAsString($B171))),";",EscStr(S171),";")))</f>
        <v>;"NavNode_L3D_532239";"Uchwyty do przewodów testowych";</v>
      </c>
      <c r="AM171" s="39" t="str">
        <f>IF(getCategoryLevelAsString($B171)="L0D_324785","",IF(T171="",CONCATENATE(";",EscStr(CONCATENATE("NavNode_",getCategoryLevelAsString($B171))),";",EscStr($J171),";"),CONCATENATE(";",EscStr(CONCATENATE("NavNode_",getCategoryLevelAsString($B171))),";",EscStr(T171),";")))</f>
        <v>;"NavNode_L3D_532239";"Держатели для диагностических выводов";</v>
      </c>
      <c r="AN171" s="39" t="str">
        <f>IF(getCategoryLevelAsString($B171)="L0D_324785","",IF(U171="",CONCATENATE(";",EscStr(CONCATENATE("NavNode_",getCategoryLevelAsString($B171))),";",EscStr($J171),";"),CONCATENATE(";",EscStr(CONCATENATE("NavNode_",getCategoryLevelAsString($B171))),";",EscStr(U171),";")))</f>
        <v>;"NavNode_L3D_532239";"Držáky zkoušecích kabelů";</v>
      </c>
      <c r="AO171" s="39" t="str">
        <f>IF(getCategoryLevelAsString($B171)="L0D_324785","",IF(V171="",CONCATENATE(";",EscStr(CONCATENATE("NavNode_",getCategoryLevelAsString($B171))),";",EscStr($J171),";"),CONCATENATE(";",EscStr(CONCATENATE("NavNode_",getCategoryLevelAsString($B171))),";",EscStr(V171),";")))</f>
        <v>;"NavNode_L3D_532239";"Suporţi pentru piste de testare";</v>
      </c>
      <c r="AP171" s="39" t="str">
        <f>IF(getCategoryLevelAsString($B171)="L0D_324785","",IF(W171="",CONCATENATE(";",EscStr(CONCATENATE("NavNode_",getCategoryLevelAsString($B171))),";",EscStr($J171),";"),CONCATENATE(";",EscStr(CONCATENATE("NavNode_",getCategoryLevelAsString($B171))),";",EscStr(W171),";")))</f>
        <v>;"NavNode_L3D_532239";"Mérővezeték tokok";</v>
      </c>
      <c r="AQ171" s="39" t="str">
        <f>IF(getCategoryLevelAsString($B171)="L0D_324785","",IF(X171="",CONCATENATE(";",EscStr(CONCATENATE("NavNode_",getCategoryLevelAsString($B171))),";",EscStr($J171),";"),CONCATENATE(";",EscStr(CONCATENATE("NavNode_",getCategoryLevelAsString($B171))),";",EscStr(X171),";")))</f>
        <v>;"NavNode_L3D_532239";"Držiak laboratórnych káblov";</v>
      </c>
      <c r="AR171" s="39" t="str">
        <f>IF(OR($A171&lt;&gt;"", $G171=""),"",CONCATENATE(";",EscStr(CONCATENATE("NavEntry_",getCategoryLevelAsString($B171))),";",EscStr(CONCATENATE($J171," Navigation Entry")),";",EscStr(CONCATENATE("cat-",getCategoryLevelAsString($B171))),";",EscStr(CONCATENATE("NavNode_",getCategoryLevelAsString($B171))),";"))</f>
        <v>;"NavEntry_L3D_532239";"Holders for Test Leads Navigation Entry";"cat-L3D_532239";"NavNode_L3D_532239";</v>
      </c>
    </row>
    <row r="172" spans="1:44" s="34" customFormat="1" ht="15" x14ac:dyDescent="0.25">
      <c r="A172" s="25"/>
      <c r="B172" s="5"/>
      <c r="C172" s="5"/>
      <c r="D172" s="5" t="s">
        <v>822</v>
      </c>
      <c r="E172" s="5"/>
      <c r="F172" s="5"/>
      <c r="G172" s="5" t="s">
        <v>1063</v>
      </c>
      <c r="H172" s="5" t="s">
        <v>1114</v>
      </c>
      <c r="I172" s="5" t="s">
        <v>1173</v>
      </c>
      <c r="J172" s="5" t="s">
        <v>930</v>
      </c>
      <c r="K172" s="5" t="s">
        <v>1284</v>
      </c>
      <c r="L172" s="5" t="s">
        <v>1518</v>
      </c>
      <c r="M172" s="5" t="s">
        <v>1745</v>
      </c>
      <c r="N172" s="5" t="s">
        <v>13978</v>
      </c>
      <c r="O172" s="5" t="s">
        <v>3186</v>
      </c>
      <c r="P172" s="5" t="s">
        <v>3187</v>
      </c>
      <c r="Q172" s="5" t="s">
        <v>3188</v>
      </c>
      <c r="R172" s="5" t="s">
        <v>3189</v>
      </c>
      <c r="S172" s="5" t="s">
        <v>3190</v>
      </c>
      <c r="T172" s="5" t="s">
        <v>3191</v>
      </c>
      <c r="U172" s="5" t="s">
        <v>3192</v>
      </c>
      <c r="V172" s="5" t="s">
        <v>3193</v>
      </c>
      <c r="W172" s="5" t="s">
        <v>3194</v>
      </c>
      <c r="X172" s="5" t="s">
        <v>14902</v>
      </c>
      <c r="Y172" s="39" t="str">
        <f>IF(OR($A172&lt;&gt;"", $G172=""),"",CONCATENATE(";",EscStr(CONCATENATE("NavNode_",getCategoryLevelAsString($B172))),";",EscStr($J172),";",IF($B172&lt;&gt;"","""MainCategoryNavNode""",EscStr(CONCATENATE("NavNode_",getSuperCategory($B172, getCategoryLevelAsNumber($B172))))),";"))</f>
        <v>;"NavNode_L3D_532242";"Test Leads &amp; Probes";"NavNode_L2D_527998";</v>
      </c>
      <c r="Z172" s="39" t="str">
        <f>IF(getCategoryLevelAsString($B172)="L0D_324785","",IF(G172="",CONCATENATE(";",EscStr(CONCATENATE("NavNode_",getCategoryLevelAsString($B172))),";",EscStr($J172),";"),CONCATENATE(";",EscStr(CONCATENATE("NavNode_",getCategoryLevelAsString($B172))),";",EscStr(G172),";")))</f>
        <v>;"NavNode_L3D_532242";"Messleitungen und Prüfspitzen";</v>
      </c>
      <c r="AA172" s="39" t="str">
        <f>IF(getCategoryLevelAsString($B172)="L0D_324785","",IF(H172="",CONCATENATE(";",EscStr(CONCATENATE("NavNode_",getCategoryLevelAsString($B172))),";",EscStr($J172),";"),CONCATENATE(";",EscStr(CONCATENATE("NavNode_",getCategoryLevelAsString($B172))),";",EscStr(H172),";")))</f>
        <v>;"NavNode_L3D_532242";"Cordons de mesure et sondes";</v>
      </c>
      <c r="AB172" s="39" t="str">
        <f>IF(getCategoryLevelAsString($B172)="L0D_324785","",IF(I172="",CONCATENATE(";",EscStr(CONCATENATE("NavNode_",getCategoryLevelAsString($B172))),";",EscStr($J172),";"),CONCATENATE(";",EscStr(CONCATENATE("NavNode_",getCategoryLevelAsString($B172))),";",EscStr(I172),";")))</f>
        <v>;"NavNode_L3D_532242";"Cavi e puntali di prova";</v>
      </c>
      <c r="AC172" s="39" t="str">
        <f>IF(getCategoryLevelAsString($B172)="L0D_324785","",IF(J172="",CONCATENATE(";",EscStr(CONCATENATE("NavNode_",getCategoryLevelAsString($B172))),";",EscStr($J172),";"),CONCATENATE(";",EscStr(CONCATENATE("NavNode_",getCategoryLevelAsString($B172))),";",EscStr(J172),";")))</f>
        <v>;"NavNode_L3D_532242";"Test Leads &amp; Probes";</v>
      </c>
      <c r="AD172" s="39" t="str">
        <f>IF(getCategoryLevelAsString($B172)="L0D_324785","",IF(K172="",CONCATENATE(";",EscStr(CONCATENATE("NavNode_",getCategoryLevelAsString($B172))),";",EscStr($J172),";"),CONCATENATE(";",EscStr(CONCATENATE("NavNode_",getCategoryLevelAsString($B172))),";",EscStr(K172),";")))</f>
        <v>;"NavNode_L3D_532242";"Prøveledninger og &amp; målesonder";</v>
      </c>
      <c r="AE172" s="39" t="str">
        <f>IF(getCategoryLevelAsString($B172)="L0D_324785","",IF(L172="",CONCATENATE(";",EscStr(CONCATENATE("NavNode_",getCategoryLevelAsString($B172))),";",EscStr($J172),";"),CONCATENATE(";",EscStr(CONCATENATE("NavNode_",getCategoryLevelAsString($B172))),";",EscStr(L172),";")))</f>
        <v>;"NavNode_L3D_532242";"Laboratorinių kabelių laikikliai ir zondai";</v>
      </c>
      <c r="AF172" s="39" t="str">
        <f>IF(getCategoryLevelAsString($B172)="L0D_324785","",IF(M172="",CONCATENATE(";",EscStr(CONCATENATE("NavNode_",getCategoryLevelAsString($B172))),";",EscStr($J172),";"),CONCATENATE(";",EscStr(CONCATENATE("NavNode_",getCategoryLevelAsString($B172))),";",EscStr(M172),";")))</f>
        <v>;"NavNode_L3D_532242";"Testledninger og sonder";</v>
      </c>
      <c r="AG172" s="39" t="str">
        <f>IF(getCategoryLevelAsString($B172)="L0D_324785","",IF(N172="",CONCATENATE(";",EscStr(CONCATENATE("NavNode_",getCategoryLevelAsString($B172))),";",EscStr($J172),";"),CONCATENATE(";",EscStr(CONCATENATE("NavNode_",getCategoryLevelAsString($B172))),";",EscStr(N172),";")))</f>
        <v>;"NavNode_L3D_532242";"Mätsladdar och testpinnar";</v>
      </c>
      <c r="AH172" s="39" t="str">
        <f>IF(getCategoryLevelAsString($B172)="L0D_324785","",IF(O172="",CONCATENATE(";",EscStr(CONCATENATE("NavNode_",getCategoryLevelAsString($B172))),";",EscStr($J172),";"),CONCATENATE(";",EscStr(CONCATENATE("NavNode_",getCategoryLevelAsString($B172))),";",EscStr(O172),";")))</f>
        <v>;"NavNode_L3D_532242";"Testjuhtmed ja -otsikud";</v>
      </c>
      <c r="AI172" s="39" t="str">
        <f>IF(getCategoryLevelAsString($B172)="L0D_324785","",IF(P172="",CONCATENATE(";",EscStr(CONCATENATE("NavNode_",getCategoryLevelAsString($B172))),";",EscStr($J172),";"),CONCATENATE(";",EscStr(CONCATENATE("NavNode_",getCategoryLevelAsString($B172))),";",EscStr(P172),";")))</f>
        <v>;"NavNode_L3D_532242";"Mittajohdot ja päät";</v>
      </c>
      <c r="AJ172" s="39" t="str">
        <f>IF(getCategoryLevelAsString($B172)="L0D_324785","",IF(Q172="",CONCATENATE(";",EscStr(CONCATENATE("NavNode_",getCategoryLevelAsString($B172))),";",EscStr($J172),";"),CONCATENATE(";",EscStr(CONCATENATE("NavNode_",getCategoryLevelAsString($B172))),";",EscStr(Q172),";")))</f>
        <v>;"NavNode_L3D_532242";"Testu vadi un tausti";</v>
      </c>
      <c r="AK172" s="39" t="str">
        <f>IF(getCategoryLevelAsString($B172)="L0D_324785","",IF(R172="",CONCATENATE(";",EscStr(CONCATENATE("NavNode_",getCategoryLevelAsString($B172))),";",EscStr($J172),";"),CONCATENATE(";",EscStr(CONCATENATE("NavNode_",getCategoryLevelAsString($B172))),";",EscStr(R172),";")))</f>
        <v>;"NavNode_L3D_532242";"Meetsnoeren en meetprobes";</v>
      </c>
      <c r="AL172" s="39" t="str">
        <f>IF(getCategoryLevelAsString($B172)="L0D_324785","",IF(S172="",CONCATENATE(";",EscStr(CONCATENATE("NavNode_",getCategoryLevelAsString($B172))),";",EscStr($J172),";"),CONCATENATE(";",EscStr(CONCATENATE("NavNode_",getCategoryLevelAsString($B172))),";",EscStr(S172),";")))</f>
        <v>;"NavNode_L3D_532242";"Przewody pomiarowe i Sondy";</v>
      </c>
      <c r="AM172" s="39" t="str">
        <f>IF(getCategoryLevelAsString($B172)="L0D_324785","",IF(T172="",CONCATENATE(";",EscStr(CONCATENATE("NavNode_",getCategoryLevelAsString($B172))),";",EscStr($J172),";"),CONCATENATE(";",EscStr(CONCATENATE("NavNode_",getCategoryLevelAsString($B172))),";",EscStr(T172),";")))</f>
        <v>;"NavNode_L3D_532242";"Щупы и зонды";</v>
      </c>
      <c r="AN172" s="39" t="str">
        <f>IF(getCategoryLevelAsString($B172)="L0D_324785","",IF(U172="",CONCATENATE(";",EscStr(CONCATENATE("NavNode_",getCategoryLevelAsString($B172))),";",EscStr($J172),";"),CONCATENATE(";",EscStr(CONCATENATE("NavNode_",getCategoryLevelAsString($B172))),";",EscStr(U172),";")))</f>
        <v>;"NavNode_L3D_532242";"Měřící kabely a sondy";</v>
      </c>
      <c r="AO172" s="39" t="str">
        <f>IF(getCategoryLevelAsString($B172)="L0D_324785","",IF(V172="",CONCATENATE(";",EscStr(CONCATENATE("NavNode_",getCategoryLevelAsString($B172))),";",EscStr($J172),";"),CONCATENATE(";",EscStr(CONCATENATE("NavNode_",getCategoryLevelAsString($B172))),";",EscStr(V172),";")))</f>
        <v>;"NavNode_L3D_532242";"Cabluri pentru testere şi vârfuri pentru cabluri de testat";</v>
      </c>
      <c r="AP172" s="39" t="str">
        <f>IF(getCategoryLevelAsString($B172)="L0D_324785","",IF(W172="",CONCATENATE(";",EscStr(CONCATENATE("NavNode_",getCategoryLevelAsString($B172))),";",EscStr($J172),";"),CONCATENATE(";",EscStr(CONCATENATE("NavNode_",getCategoryLevelAsString($B172))),";",EscStr(W172),";")))</f>
        <v>;"NavNode_L3D_532242";"Mérővezetékek és vizsgálófejek";</v>
      </c>
      <c r="AQ172" s="39" t="str">
        <f>IF(getCategoryLevelAsString($B172)="L0D_324785","",IF(X172="",CONCATENATE(";",EscStr(CONCATENATE("NavNode_",getCategoryLevelAsString($B172))),";",EscStr($J172),";"),CONCATENATE(";",EscStr(CONCATENATE("NavNode_",getCategoryLevelAsString($B172))),";",EscStr(X172),";")))</f>
        <v>;"NavNode_L3D_532242";"Meracie káble a sondy";</v>
      </c>
      <c r="AR172" s="39" t="str">
        <f>IF(OR($A172&lt;&gt;"", $G172=""),"",CONCATENATE(";",EscStr(CONCATENATE("NavEntry_",getCategoryLevelAsString($B172))),";",EscStr(CONCATENATE($J172," Navigation Entry")),";",EscStr(CONCATENATE("cat-",getCategoryLevelAsString($B172))),";",EscStr(CONCATENATE("NavNode_",getCategoryLevelAsString($B172))),";"))</f>
        <v>;"NavEntry_L3D_532242";"Test Leads &amp; Probes Navigation Entry";"cat-L3D_532242";"NavNode_L3D_532242";</v>
      </c>
    </row>
    <row r="173" spans="1:44" s="34" customFormat="1" ht="15" x14ac:dyDescent="0.25">
      <c r="A173" s="25"/>
      <c r="B173" s="5"/>
      <c r="C173" s="5" t="s">
        <v>57</v>
      </c>
      <c r="D173" s="5"/>
      <c r="E173" s="5"/>
      <c r="F173" s="5"/>
      <c r="G173" s="5" t="s">
        <v>967</v>
      </c>
      <c r="H173" s="5" t="s">
        <v>823</v>
      </c>
      <c r="I173" s="5" t="s">
        <v>713</v>
      </c>
      <c r="J173" s="5" t="s">
        <v>579</v>
      </c>
      <c r="K173" s="5" t="s">
        <v>1285</v>
      </c>
      <c r="L173" s="5" t="s">
        <v>1519</v>
      </c>
      <c r="M173" s="5" t="s">
        <v>1285</v>
      </c>
      <c r="N173" s="5" t="s">
        <v>1950</v>
      </c>
      <c r="O173" s="5" t="s">
        <v>3195</v>
      </c>
      <c r="P173" s="5" t="s">
        <v>3196</v>
      </c>
      <c r="Q173" s="5" t="s">
        <v>3197</v>
      </c>
      <c r="R173" s="5" t="s">
        <v>3198</v>
      </c>
      <c r="S173" s="5" t="s">
        <v>3199</v>
      </c>
      <c r="T173" s="5" t="s">
        <v>3200</v>
      </c>
      <c r="U173" s="5" t="s">
        <v>3201</v>
      </c>
      <c r="V173" s="5" t="s">
        <v>3202</v>
      </c>
      <c r="W173" s="5" t="s">
        <v>3203</v>
      </c>
      <c r="X173" s="5" t="s">
        <v>14903</v>
      </c>
      <c r="Y173" s="39" t="str">
        <f>IF(OR($A173&lt;&gt;"", $G173=""),"",CONCATENATE(";",EscStr(CONCATENATE("NavNode_",getCategoryLevelAsString($B173))),";",EscStr($J173),";",IF($B173&lt;&gt;"","""MainCategoryNavNode""",EscStr(CONCATENATE("NavNode_",getSuperCategory($B173, getCategoryLevelAsNumber($B173))))),";"))</f>
        <v>;"NavNode_L2D_527482";"Measuring Instruments";"NavNode_Test &amp; Measurement";</v>
      </c>
      <c r="Z173" s="39" t="str">
        <f>IF(getCategoryLevelAsString($B173)="L0D_324785","",IF(G173="",CONCATENATE(";",EscStr(CONCATENATE("NavNode_",getCategoryLevelAsString($B173))),";",EscStr($J173),";"),CONCATENATE(";",EscStr(CONCATENATE("NavNode_",getCategoryLevelAsString($B173))),";",EscStr(G173),";")))</f>
        <v>;"NavNode_L2D_527482";"Messgeräte";</v>
      </c>
      <c r="AA173" s="39" t="str">
        <f>IF(getCategoryLevelAsString($B173)="L0D_324785","",IF(H173="",CONCATENATE(";",EscStr(CONCATENATE("NavNode_",getCategoryLevelAsString($B173))),";",EscStr($J173),";"),CONCATENATE(";",EscStr(CONCATENATE("NavNode_",getCategoryLevelAsString($B173))),";",EscStr(H173),";")))</f>
        <v>;"NavNode_L2D_527482";"Instruments de mesure";</v>
      </c>
      <c r="AB173" s="39" t="str">
        <f>IF(getCategoryLevelAsString($B173)="L0D_324785","",IF(I173="",CONCATENATE(";",EscStr(CONCATENATE("NavNode_",getCategoryLevelAsString($B173))),";",EscStr($J173),";"),CONCATENATE(";",EscStr(CONCATENATE("NavNode_",getCategoryLevelAsString($B173))),";",EscStr(I173),";")))</f>
        <v>;"NavNode_L2D_527482";"Strumenti di misura";</v>
      </c>
      <c r="AC173" s="39" t="str">
        <f>IF(getCategoryLevelAsString($B173)="L0D_324785","",IF(J173="",CONCATENATE(";",EscStr(CONCATENATE("NavNode_",getCategoryLevelAsString($B173))),";",EscStr($J173),";"),CONCATENATE(";",EscStr(CONCATENATE("NavNode_",getCategoryLevelAsString($B173))),";",EscStr(J173),";")))</f>
        <v>;"NavNode_L2D_527482";"Measuring Instruments";</v>
      </c>
      <c r="AD173" s="39" t="str">
        <f>IF(getCategoryLevelAsString($B173)="L0D_324785","",IF(K173="",CONCATENATE(";",EscStr(CONCATENATE("NavNode_",getCategoryLevelAsString($B173))),";",EscStr($J173),";"),CONCATENATE(";",EscStr(CONCATENATE("NavNode_",getCategoryLevelAsString($B173))),";",EscStr(K173),";")))</f>
        <v>;"NavNode_L2D_527482";"Måleinstrumenter";</v>
      </c>
      <c r="AE173" s="39" t="str">
        <f>IF(getCategoryLevelAsString($B173)="L0D_324785","",IF(L173="",CONCATENATE(";",EscStr(CONCATENATE("NavNode_",getCategoryLevelAsString($B173))),";",EscStr($J173),";"),CONCATENATE(";",EscStr(CONCATENATE("NavNode_",getCategoryLevelAsString($B173))),";",EscStr(L173),";")))</f>
        <v>;"NavNode_L2D_527482";"Matavimo prietaisai";</v>
      </c>
      <c r="AF173" s="39" t="str">
        <f>IF(getCategoryLevelAsString($B173)="L0D_324785","",IF(M173="",CONCATENATE(";",EscStr(CONCATENATE("NavNode_",getCategoryLevelAsString($B173))),";",EscStr($J173),";"),CONCATENATE(";",EscStr(CONCATENATE("NavNode_",getCategoryLevelAsString($B173))),";",EscStr(M173),";")))</f>
        <v>;"NavNode_L2D_527482";"Måleinstrumenter";</v>
      </c>
      <c r="AG173" s="39" t="str">
        <f>IF(getCategoryLevelAsString($B173)="L0D_324785","",IF(N173="",CONCATENATE(";",EscStr(CONCATENATE("NavNode_",getCategoryLevelAsString($B173))),";",EscStr($J173),";"),CONCATENATE(";",EscStr(CONCATENATE("NavNode_",getCategoryLevelAsString($B173))),";",EscStr(N173),";")))</f>
        <v>;"NavNode_L2D_527482";"Mätinstrument";</v>
      </c>
      <c r="AH173" s="39" t="str">
        <f>IF(getCategoryLevelAsString($B173)="L0D_324785","",IF(O173="",CONCATENATE(";",EscStr(CONCATENATE("NavNode_",getCategoryLevelAsString($B173))),";",EscStr($J173),";"),CONCATENATE(";",EscStr(CONCATENATE("NavNode_",getCategoryLevelAsString($B173))),";",EscStr(O173),";")))</f>
        <v>;"NavNode_L2D_527482";"Mõõteseadmed";</v>
      </c>
      <c r="AI173" s="39" t="str">
        <f>IF(getCategoryLevelAsString($B173)="L0D_324785","",IF(P173="",CONCATENATE(";",EscStr(CONCATENATE("NavNode_",getCategoryLevelAsString($B173))),";",EscStr($J173),";"),CONCATENATE(";",EscStr(CONCATENATE("NavNode_",getCategoryLevelAsString($B173))),";",EscStr(P173),";")))</f>
        <v>;"NavNode_L2D_527482";"Mittalaitteet";</v>
      </c>
      <c r="AJ173" s="39" t="str">
        <f>IF(getCategoryLevelAsString($B173)="L0D_324785","",IF(Q173="",CONCATENATE(";",EscStr(CONCATENATE("NavNode_",getCategoryLevelAsString($B173))),";",EscStr($J173),";"),CONCATENATE(";",EscStr(CONCATENATE("NavNode_",getCategoryLevelAsString($B173))),";",EscStr(Q173),";")))</f>
        <v>;"NavNode_L2D_527482";"Mērinstrumenti";</v>
      </c>
      <c r="AK173" s="39" t="str">
        <f>IF(getCategoryLevelAsString($B173)="L0D_324785","",IF(R173="",CONCATENATE(";",EscStr(CONCATENATE("NavNode_",getCategoryLevelAsString($B173))),";",EscStr($J173),";"),CONCATENATE(";",EscStr(CONCATENATE("NavNode_",getCategoryLevelAsString($B173))),";",EscStr(R173),";")))</f>
        <v>;"NavNode_L2D_527482";"Meetinstrumenten";</v>
      </c>
      <c r="AL173" s="39" t="str">
        <f>IF(getCategoryLevelAsString($B173)="L0D_324785","",IF(S173="",CONCATENATE(";",EscStr(CONCATENATE("NavNode_",getCategoryLevelAsString($B173))),";",EscStr($J173),";"),CONCATENATE(";",EscStr(CONCATENATE("NavNode_",getCategoryLevelAsString($B173))),";",EscStr(S173),";")))</f>
        <v>;"NavNode_L2D_527482";"Przyrządy pomiarowe";</v>
      </c>
      <c r="AM173" s="39" t="str">
        <f>IF(getCategoryLevelAsString($B173)="L0D_324785","",IF(T173="",CONCATENATE(";",EscStr(CONCATENATE("NavNode_",getCategoryLevelAsString($B173))),";",EscStr($J173),";"),CONCATENATE(";",EscStr(CONCATENATE("NavNode_",getCategoryLevelAsString($B173))),";",EscStr(T173),";")))</f>
        <v>;"NavNode_L2D_527482";"Измерительные приборы";</v>
      </c>
      <c r="AN173" s="39" t="str">
        <f>IF(getCategoryLevelAsString($B173)="L0D_324785","",IF(U173="",CONCATENATE(";",EscStr(CONCATENATE("NavNode_",getCategoryLevelAsString($B173))),";",EscStr($J173),";"),CONCATENATE(";",EscStr(CONCATENATE("NavNode_",getCategoryLevelAsString($B173))),";",EscStr(U173),";")))</f>
        <v>;"NavNode_L2D_527482";"Měřící přístroje";</v>
      </c>
      <c r="AO173" s="39" t="str">
        <f>IF(getCategoryLevelAsString($B173)="L0D_324785","",IF(V173="",CONCATENATE(";",EscStr(CONCATENATE("NavNode_",getCategoryLevelAsString($B173))),";",EscStr($J173),";"),CONCATENATE(";",EscStr(CONCATENATE("NavNode_",getCategoryLevelAsString($B173))),";",EscStr(V173),";")))</f>
        <v>;"NavNode_L2D_527482";"Instrumente de măsură";</v>
      </c>
      <c r="AP173" s="39" t="str">
        <f>IF(getCategoryLevelAsString($B173)="L0D_324785","",IF(W173="",CONCATENATE(";",EscStr(CONCATENATE("NavNode_",getCategoryLevelAsString($B173))),";",EscStr($J173),";"),CONCATENATE(";",EscStr(CONCATENATE("NavNode_",getCategoryLevelAsString($B173))),";",EscStr(W173),";")))</f>
        <v>;"NavNode_L2D_527482";"Mérőműszer";</v>
      </c>
      <c r="AQ173" s="39" t="str">
        <f>IF(getCategoryLevelAsString($B173)="L0D_324785","",IF(X173="",CONCATENATE(";",EscStr(CONCATENATE("NavNode_",getCategoryLevelAsString($B173))),";",EscStr($J173),";"),CONCATENATE(";",EscStr(CONCATENATE("NavNode_",getCategoryLevelAsString($B173))),";",EscStr(X173),";")))</f>
        <v>;"NavNode_L2D_527482";"Meracie prístroje";</v>
      </c>
      <c r="AR173" s="39" t="str">
        <f>IF(OR($A173&lt;&gt;"", $G173=""),"",CONCATENATE(";",EscStr(CONCATENATE("NavEntry_",getCategoryLevelAsString($B173))),";",EscStr(CONCATENATE($J173," Navigation Entry")),";",EscStr(CONCATENATE("cat-",getCategoryLevelAsString($B173))),";",EscStr(CONCATENATE("NavNode_",getCategoryLevelAsString($B173))),";"))</f>
        <v>;"NavEntry_L2D_527482";"Measuring Instruments Navigation Entry";"cat-L2D_527482";"NavNode_L2D_527482";</v>
      </c>
    </row>
    <row r="174" spans="1:44" s="34" customFormat="1" ht="15" x14ac:dyDescent="0.25">
      <c r="A174" s="25"/>
      <c r="B174" s="5"/>
      <c r="C174" s="5"/>
      <c r="D174" s="5" t="s">
        <v>262</v>
      </c>
      <c r="E174" s="5"/>
      <c r="F174" s="5"/>
      <c r="G174" s="5" t="s">
        <v>968</v>
      </c>
      <c r="H174" s="5" t="s">
        <v>824</v>
      </c>
      <c r="I174" s="5" t="s">
        <v>714</v>
      </c>
      <c r="J174" s="5" t="s">
        <v>931</v>
      </c>
      <c r="K174" s="5" t="s">
        <v>1286</v>
      </c>
      <c r="L174" s="5" t="s">
        <v>1520</v>
      </c>
      <c r="M174" s="5" t="s">
        <v>1746</v>
      </c>
      <c r="N174" s="5" t="s">
        <v>1951</v>
      </c>
      <c r="O174" s="5" t="s">
        <v>3204</v>
      </c>
      <c r="P174" s="5" t="s">
        <v>3205</v>
      </c>
      <c r="Q174" s="5" t="s">
        <v>3206</v>
      </c>
      <c r="R174" s="5" t="s">
        <v>3207</v>
      </c>
      <c r="S174" s="5" t="s">
        <v>3208</v>
      </c>
      <c r="T174" s="5" t="s">
        <v>3209</v>
      </c>
      <c r="U174" s="5" t="s">
        <v>3210</v>
      </c>
      <c r="V174" s="5" t="s">
        <v>3211</v>
      </c>
      <c r="W174" s="5" t="s">
        <v>3212</v>
      </c>
      <c r="X174" s="5" t="s">
        <v>14904</v>
      </c>
      <c r="Y174" s="39" t="str">
        <f>IF(OR($A174&lt;&gt;"", $G174=""),"",CONCATENATE(";",EscStr(CONCATENATE("NavNode_",getCategoryLevelAsString($B174))),";",EscStr($J174),";",IF($B174&lt;&gt;"","""MainCategoryNavNode""",EscStr(CONCATENATE("NavNode_",getSuperCategory($B174, getCategoryLevelAsNumber($B174))))),";"))</f>
        <v>;"NavNode_L2-3D_527498";"Multimeters &amp; Current Clamp Meters";"NavNode_L2D_527482";</v>
      </c>
      <c r="Z174" s="39" t="str">
        <f>IF(getCategoryLevelAsString($B174)="L0D_324785","",IF(G174="",CONCATENATE(";",EscStr(CONCATENATE("NavNode_",getCategoryLevelAsString($B174))),";",EscStr($J174),";"),CONCATENATE(";",EscStr(CONCATENATE("NavNode_",getCategoryLevelAsString($B174))),";",EscStr(G174),";")))</f>
        <v>;"NavNode_L2-3D_527498";"Multimeter und Stromzangen";</v>
      </c>
      <c r="AA174" s="39" t="str">
        <f>IF(getCategoryLevelAsString($B174)="L0D_324785","",IF(H174="",CONCATENATE(";",EscStr(CONCATENATE("NavNode_",getCategoryLevelAsString($B174))),";",EscStr($J174),";"),CONCATENATE(";",EscStr(CONCATENATE("NavNode_",getCategoryLevelAsString($B174))),";",EscStr(H174),";")))</f>
        <v>;"NavNode_L2-3D_527498";"Multimètres et pinces ampèremétriques";</v>
      </c>
      <c r="AB174" s="39" t="str">
        <f>IF(getCategoryLevelAsString($B174)="L0D_324785","",IF(I174="",CONCATENATE(";",EscStr(CONCATENATE("NavNode_",getCategoryLevelAsString($B174))),";",EscStr($J174),";"),CONCATENATE(";",EscStr(CONCATENATE("NavNode_",getCategoryLevelAsString($B174))),";",EscStr(I174),";")))</f>
        <v>;"NavNode_L2-3D_527498";"Multimetri e pinze amperometriche";</v>
      </c>
      <c r="AC174" s="39" t="str">
        <f>IF(getCategoryLevelAsString($B174)="L0D_324785","",IF(J174="",CONCATENATE(";",EscStr(CONCATENATE("NavNode_",getCategoryLevelAsString($B174))),";",EscStr($J174),";"),CONCATENATE(";",EscStr(CONCATENATE("NavNode_",getCategoryLevelAsString($B174))),";",EscStr(J174),";")))</f>
        <v>;"NavNode_L2-3D_527498";"Multimeters &amp; Current Clamp Meters";</v>
      </c>
      <c r="AD174" s="39" t="str">
        <f>IF(getCategoryLevelAsString($B174)="L0D_324785","",IF(K174="",CONCATENATE(";",EscStr(CONCATENATE("NavNode_",getCategoryLevelAsString($B174))),";",EscStr($J174),";"),CONCATENATE(";",EscStr(CONCATENATE("NavNode_",getCategoryLevelAsString($B174))),";",EscStr(K174),";")))</f>
        <v>;"NavNode_L2-3D_527498";"Multimetre &amp; strømtangsmålere";</v>
      </c>
      <c r="AE174" s="39" t="str">
        <f>IF(getCategoryLevelAsString($B174)="L0D_324785","",IF(L174="",CONCATENATE(";",EscStr(CONCATENATE("NavNode_",getCategoryLevelAsString($B174))),";",EscStr($J174),";"),CONCATENATE(";",EscStr(CONCATENATE("NavNode_",getCategoryLevelAsString($B174))),";",EscStr(L174),";")))</f>
        <v>;"NavNode_L2-3D_527498";"Multimetrai ir srovės matavimo replės";</v>
      </c>
      <c r="AF174" s="39" t="str">
        <f>IF(getCategoryLevelAsString($B174)="L0D_324785","",IF(M174="",CONCATENATE(";",EscStr(CONCATENATE("NavNode_",getCategoryLevelAsString($B174))),";",EscStr($J174),";"),CONCATENATE(";",EscStr(CONCATENATE("NavNode_",getCategoryLevelAsString($B174))),";",EscStr(M174),";")))</f>
        <v>;"NavNode_L2-3D_527498";"Multimetre og strømtangmålere";</v>
      </c>
      <c r="AG174" s="39" t="str">
        <f>IF(getCategoryLevelAsString($B174)="L0D_324785","",IF(N174="",CONCATENATE(";",EscStr(CONCATENATE("NavNode_",getCategoryLevelAsString($B174))),";",EscStr($J174),";"),CONCATENATE(";",EscStr(CONCATENATE("NavNode_",getCategoryLevelAsString($B174))),";",EscStr(N174),";")))</f>
        <v>;"NavNode_L2-3D_527498";"Multimetrar och strömtänger";</v>
      </c>
      <c r="AH174" s="39" t="str">
        <f>IF(getCategoryLevelAsString($B174)="L0D_324785","",IF(O174="",CONCATENATE(";",EscStr(CONCATENATE("NavNode_",getCategoryLevelAsString($B174))),";",EscStr($J174),";"),CONCATENATE(";",EscStr(CONCATENATE("NavNode_",getCategoryLevelAsString($B174))),";",EscStr(O174),";")))</f>
        <v>;"NavNode_L2-3D_527498";"Multimeetrid ja ampertangid";</v>
      </c>
      <c r="AI174" s="39" t="str">
        <f>IF(getCategoryLevelAsString($B174)="L0D_324785","",IF(P174="",CONCATENATE(";",EscStr(CONCATENATE("NavNode_",getCategoryLevelAsString($B174))),";",EscStr($J174),";"),CONCATENATE(";",EscStr(CONCATENATE("NavNode_",getCategoryLevelAsString($B174))),";",EscStr(P174),";")))</f>
        <v>;"NavNode_L2-3D_527498";"Yleismittarit ja Virtapihdit";</v>
      </c>
      <c r="AJ174" s="39" t="str">
        <f>IF(getCategoryLevelAsString($B174)="L0D_324785","",IF(Q174="",CONCATENATE(";",EscStr(CONCATENATE("NavNode_",getCategoryLevelAsString($B174))),";",EscStr($J174),";"),CONCATENATE(";",EscStr(CONCATENATE("NavNode_",getCategoryLevelAsString($B174))),";",EscStr(Q174),";")))</f>
        <v>;"NavNode_L2-3D_527498";"Multimetri un dīcknaibles";</v>
      </c>
      <c r="AK174" s="39" t="str">
        <f>IF(getCategoryLevelAsString($B174)="L0D_324785","",IF(R174="",CONCATENATE(";",EscStr(CONCATENATE("NavNode_",getCategoryLevelAsString($B174))),";",EscStr($J174),";"),CONCATENATE(";",EscStr(CONCATENATE("NavNode_",getCategoryLevelAsString($B174))),";",EscStr(R174),";")))</f>
        <v>;"NavNode_L2-3D_527498";"Multimeters &amp; stroomtangen";</v>
      </c>
      <c r="AL174" s="39" t="str">
        <f>IF(getCategoryLevelAsString($B174)="L0D_324785","",IF(S174="",CONCATENATE(";",EscStr(CONCATENATE("NavNode_",getCategoryLevelAsString($B174))),";",EscStr($J174),";"),CONCATENATE(";",EscStr(CONCATENATE("NavNode_",getCategoryLevelAsString($B174))),";",EscStr(S174),";")))</f>
        <v>;"NavNode_L2-3D_527498";"Multimetry i Mierniki cęgowe";</v>
      </c>
      <c r="AM174" s="39" t="str">
        <f>IF(getCategoryLevelAsString($B174)="L0D_324785","",IF(T174="",CONCATENATE(";",EscStr(CONCATENATE("NavNode_",getCategoryLevelAsString($B174))),";",EscStr($J174),";"),CONCATENATE(";",EscStr(CONCATENATE("NavNode_",getCategoryLevelAsString($B174))),";",EscStr(T174),";")))</f>
        <v>;"NavNode_L2-3D_527498";"Мультиметры и зажимные измерители тока";</v>
      </c>
      <c r="AN174" s="39" t="str">
        <f>IF(getCategoryLevelAsString($B174)="L0D_324785","",IF(U174="",CONCATENATE(";",EscStr(CONCATENATE("NavNode_",getCategoryLevelAsString($B174))),";",EscStr($J174),";"),CONCATENATE(";",EscStr(CONCATENATE("NavNode_",getCategoryLevelAsString($B174))),";",EscStr(U174),";")))</f>
        <v>;"NavNode_L2-3D_527498";"Multimetry a proudové kleště";</v>
      </c>
      <c r="AO174" s="39" t="str">
        <f>IF(getCategoryLevelAsString($B174)="L0D_324785","",IF(V174="",CONCATENATE(";",EscStr(CONCATENATE("NavNode_",getCategoryLevelAsString($B174))),";",EscStr($J174),";"),CONCATENATE(";",EscStr(CONCATENATE("NavNode_",getCategoryLevelAsString($B174))),";",EscStr(V174),";")))</f>
        <v>;"NavNode_L2-3D_527498";"Multimetre şi cleme de curent";</v>
      </c>
      <c r="AP174" s="39" t="str">
        <f>IF(getCategoryLevelAsString($B174)="L0D_324785","",IF(W174="",CONCATENATE(";",EscStr(CONCATENATE("NavNode_",getCategoryLevelAsString($B174))),";",EscStr($J174),";"),CONCATENATE(";",EscStr(CONCATENATE("NavNode_",getCategoryLevelAsString($B174))),";",EscStr(W174),";")))</f>
        <v>;"NavNode_L2-3D_527498";"Multiméterek és lakatfogók";</v>
      </c>
      <c r="AQ174" s="39" t="str">
        <f>IF(getCategoryLevelAsString($B174)="L0D_324785","",IF(X174="",CONCATENATE(";",EscStr(CONCATENATE("NavNode_",getCategoryLevelAsString($B174))),";",EscStr($J174),";"),CONCATENATE(";",EscStr(CONCATENATE("NavNode_",getCategoryLevelAsString($B174))),";",EscStr(X174),";")))</f>
        <v>;"NavNode_L2-3D_527498";"Multimetre a prúdové kliešte";</v>
      </c>
      <c r="AR174" s="39" t="str">
        <f>IF(OR($A174&lt;&gt;"", $G174=""),"",CONCATENATE(";",EscStr(CONCATENATE("NavEntry_",getCategoryLevelAsString($B174))),";",EscStr(CONCATENATE($J174," Navigation Entry")),";",EscStr(CONCATENATE("cat-",getCategoryLevelAsString($B174))),";",EscStr(CONCATENATE("NavNode_",getCategoryLevelAsString($B174))),";"))</f>
        <v>;"NavEntry_L2-3D_527498";"Multimeters &amp; Current Clamp Meters Navigation Entry";"cat-L2-3D_527498";"NavNode_L2-3D_527498";</v>
      </c>
    </row>
    <row r="175" spans="1:44" s="34" customFormat="1" ht="15" x14ac:dyDescent="0.25">
      <c r="A175" s="25"/>
      <c r="B175" s="5"/>
      <c r="C175" s="5"/>
      <c r="D175" s="5" t="s">
        <v>825</v>
      </c>
      <c r="E175" s="5"/>
      <c r="F175" s="5"/>
      <c r="G175" s="5" t="s">
        <v>1185</v>
      </c>
      <c r="H175" s="5" t="s">
        <v>1115</v>
      </c>
      <c r="I175" s="5" t="s">
        <v>1174</v>
      </c>
      <c r="J175" s="5" t="s">
        <v>932</v>
      </c>
      <c r="K175" s="5" t="s">
        <v>1287</v>
      </c>
      <c r="L175" s="5" t="s">
        <v>1521</v>
      </c>
      <c r="M175" s="5" t="s">
        <v>1287</v>
      </c>
      <c r="N175" s="48" t="s">
        <v>15447</v>
      </c>
      <c r="O175" s="5" t="s">
        <v>3213</v>
      </c>
      <c r="P175" s="5" t="s">
        <v>3214</v>
      </c>
      <c r="Q175" s="5" t="s">
        <v>3215</v>
      </c>
      <c r="R175" s="5" t="s">
        <v>3216</v>
      </c>
      <c r="S175" s="5" t="s">
        <v>3217</v>
      </c>
      <c r="T175" s="5" t="s">
        <v>3218</v>
      </c>
      <c r="U175" s="5" t="s">
        <v>3219</v>
      </c>
      <c r="V175" s="5" t="s">
        <v>3220</v>
      </c>
      <c r="W175" s="5" t="s">
        <v>3221</v>
      </c>
      <c r="X175" s="5" t="s">
        <v>14905</v>
      </c>
      <c r="Y175" s="39" t="str">
        <f>IF(OR($A175&lt;&gt;"", $G175=""),"",CONCATENATE(";",EscStr(CONCATENATE("NavNode_",getCategoryLevelAsString($B175))),";",EscStr($J175),";",IF($B175&lt;&gt;"","""MainCategoryNavNode""",EscStr(CONCATENATE("NavNode_",getSuperCategory($B175, getCategoryLevelAsNumber($B175))))),";"))</f>
        <v>;"NavNode_L3D_525591";"Electrical Testing Instruments";"NavNode_L2D_527482";</v>
      </c>
      <c r="Z175" s="39" t="str">
        <f>IF(getCategoryLevelAsString($B175)="L0D_324785","",IF(G175="",CONCATENATE(";",EscStr(CONCATENATE("NavNode_",getCategoryLevelAsString($B175))),";",EscStr($J175),";"),CONCATENATE(";",EscStr(CONCATENATE("NavNode_",getCategoryLevelAsString($B175))),";",EscStr(G175),";")))</f>
        <v>;"NavNode_L3D_525591";"Elektrische Prüfgeräte";</v>
      </c>
      <c r="AA175" s="39" t="str">
        <f>IF(getCategoryLevelAsString($B175)="L0D_324785","",IF(H175="",CONCATENATE(";",EscStr(CONCATENATE("NavNode_",getCategoryLevelAsString($B175))),";",EscStr($J175),";"),CONCATENATE(";",EscStr(CONCATENATE("NavNode_",getCategoryLevelAsString($B175))),";",EscStr(H175),";")))</f>
        <v>;"NavNode_L3D_525591";"Appareils de test électrique";</v>
      </c>
      <c r="AB175" s="39" t="str">
        <f>IF(getCategoryLevelAsString($B175)="L0D_324785","",IF(I175="",CONCATENATE(";",EscStr(CONCATENATE("NavNode_",getCategoryLevelAsString($B175))),";",EscStr($J175),";"),CONCATENATE(";",EscStr(CONCATENATE("NavNode_",getCategoryLevelAsString($B175))),";",EscStr(I175),";")))</f>
        <v>;"NavNode_L3D_525591";"Apparecchi per prove elettriche";</v>
      </c>
      <c r="AC175" s="39" t="str">
        <f>IF(getCategoryLevelAsString($B175)="L0D_324785","",IF(J175="",CONCATENATE(";",EscStr(CONCATENATE("NavNode_",getCategoryLevelAsString($B175))),";",EscStr($J175),";"),CONCATENATE(";",EscStr(CONCATENATE("NavNode_",getCategoryLevelAsString($B175))),";",EscStr(J175),";")))</f>
        <v>;"NavNode_L3D_525591";"Electrical Testing Instruments";</v>
      </c>
      <c r="AD175" s="39" t="str">
        <f>IF(getCategoryLevelAsString($B175)="L0D_324785","",IF(K175="",CONCATENATE(";",EscStr(CONCATENATE("NavNode_",getCategoryLevelAsString($B175))),";",EscStr($J175),";"),CONCATENATE(";",EscStr(CONCATENATE("NavNode_",getCategoryLevelAsString($B175))),";",EscStr(K175),";")))</f>
        <v>;"NavNode_L3D_525591";"Elektriske testinstrumenter";</v>
      </c>
      <c r="AE175" s="39" t="str">
        <f>IF(getCategoryLevelAsString($B175)="L0D_324785","",IF(L175="",CONCATENATE(";",EscStr(CONCATENATE("NavNode_",getCategoryLevelAsString($B175))),";",EscStr($J175),";"),CONCATENATE(";",EscStr(CONCATENATE("NavNode_",getCategoryLevelAsString($B175))),";",EscStr(L175),";")))</f>
        <v>;"NavNode_L3D_525591";"Elektrinio testavimo prietaisai";</v>
      </c>
      <c r="AF175" s="39" t="str">
        <f>IF(getCategoryLevelAsString($B175)="L0D_324785","",IF(M175="",CONCATENATE(";",EscStr(CONCATENATE("NavNode_",getCategoryLevelAsString($B175))),";",EscStr($J175),";"),CONCATENATE(";",EscStr(CONCATENATE("NavNode_",getCategoryLevelAsString($B175))),";",EscStr(M175),";")))</f>
        <v>;"NavNode_L3D_525591";"Elektriske testinstrumenter";</v>
      </c>
      <c r="AG175" s="39" t="str">
        <f>IF(getCategoryLevelAsString($B175)="L0D_324785","",IF(N175="",CONCATENATE(";",EscStr(CONCATENATE("NavNode_",getCategoryLevelAsString($B175))),";",EscStr($J175),";"),CONCATENATE(";",EscStr(CONCATENATE("NavNode_",getCategoryLevelAsString($B175))),";",EscStr(N175),";")))</f>
        <v>;"NavNode_L3D_525591";"Eltestinstrument";</v>
      </c>
      <c r="AH175" s="39" t="str">
        <f>IF(getCategoryLevelAsString($B175)="L0D_324785","",IF(O175="",CONCATENATE(";",EscStr(CONCATENATE("NavNode_",getCategoryLevelAsString($B175))),";",EscStr($J175),";"),CONCATENATE(";",EscStr(CONCATENATE("NavNode_",getCategoryLevelAsString($B175))),";",EscStr(O175),";")))</f>
        <v>;"NavNode_L3D_525591";"Elektriku testseadmed";</v>
      </c>
      <c r="AI175" s="39" t="str">
        <f>IF(getCategoryLevelAsString($B175)="L0D_324785","",IF(P175="",CONCATENATE(";",EscStr(CONCATENATE("NavNode_",getCategoryLevelAsString($B175))),";",EscStr($J175),";"),CONCATENATE(";",EscStr(CONCATENATE("NavNode_",getCategoryLevelAsString($B175))),";",EscStr(P175),";")))</f>
        <v>;"NavNode_L3D_525591";"Sähkötestausmittalaitteet";</v>
      </c>
      <c r="AJ175" s="39" t="str">
        <f>IF(getCategoryLevelAsString($B175)="L0D_324785","",IF(Q175="",CONCATENATE(";",EscStr(CONCATENATE("NavNode_",getCategoryLevelAsString($B175))),";",EscStr($J175),";"),CONCATENATE(";",EscStr(CONCATENATE("NavNode_",getCategoryLevelAsString($B175))),";",EscStr(Q175),";")))</f>
        <v>;"NavNode_L3D_525591";"Elektriķu instrumenti";</v>
      </c>
      <c r="AK175" s="39" t="str">
        <f>IF(getCategoryLevelAsString($B175)="L0D_324785","",IF(R175="",CONCATENATE(";",EscStr(CONCATENATE("NavNode_",getCategoryLevelAsString($B175))),";",EscStr($J175),";"),CONCATENATE(";",EscStr(CONCATENATE("NavNode_",getCategoryLevelAsString($B175))),";",EscStr(R175),";")))</f>
        <v>;"NavNode_L3D_525591";"Installatietesters / stroomtangen / vermogensmeters";</v>
      </c>
      <c r="AL175" s="39" t="str">
        <f>IF(getCategoryLevelAsString($B175)="L0D_324785","",IF(S175="",CONCATENATE(";",EscStr(CONCATENATE("NavNode_",getCategoryLevelAsString($B175))),";",EscStr($J175),";"),CONCATENATE(";",EscStr(CONCATENATE("NavNode_",getCategoryLevelAsString($B175))),";",EscStr(S175),";")))</f>
        <v>;"NavNode_L3D_525591";"Przyrządy pomiarowe dla elektryków";</v>
      </c>
      <c r="AM175" s="39" t="str">
        <f>IF(getCategoryLevelAsString($B175)="L0D_324785","",IF(T175="",CONCATENATE(";",EscStr(CONCATENATE("NavNode_",getCategoryLevelAsString($B175))),";",EscStr($J175),";"),CONCATENATE(";",EscStr(CONCATENATE("NavNode_",getCategoryLevelAsString($B175))),";",EscStr(T175),";")))</f>
        <v>;"NavNode_L3D_525591";"Электроизмерительные приборы";</v>
      </c>
      <c r="AN175" s="39" t="str">
        <f>IF(getCategoryLevelAsString($B175)="L0D_324785","",IF(U175="",CONCATENATE(";",EscStr(CONCATENATE("NavNode_",getCategoryLevelAsString($B175))),";",EscStr($J175),";"),CONCATENATE(";",EscStr(CONCATENATE("NavNode_",getCategoryLevelAsString($B175))),";",EscStr(U175),";")))</f>
        <v>;"NavNode_L3D_525591";"Elektrické zkoušečky";</v>
      </c>
      <c r="AO175" s="39" t="str">
        <f>IF(getCategoryLevelAsString($B175)="L0D_324785","",IF(V175="",CONCATENATE(";",EscStr(CONCATENATE("NavNode_",getCategoryLevelAsString($B175))),";",EscStr($J175),";"),CONCATENATE(";",EscStr(CONCATENATE("NavNode_",getCategoryLevelAsString($B175))),";",EscStr(V175),";")))</f>
        <v>;"NavNode_L3D_525591";"Testere pentru echipamente electrice";</v>
      </c>
      <c r="AP175" s="39" t="str">
        <f>IF(getCategoryLevelAsString($B175)="L0D_324785","",IF(W175="",CONCATENATE(";",EscStr(CONCATENATE("NavNode_",getCategoryLevelAsString($B175))),";",EscStr($J175),";"),CONCATENATE(";",EscStr(CONCATENATE("NavNode_",getCategoryLevelAsString($B175))),";",EscStr(W175),";")))</f>
        <v>;"NavNode_L3D_525591";"Elektromos vizsgáló berendezés";</v>
      </c>
      <c r="AQ175" s="39" t="str">
        <f>IF(getCategoryLevelAsString($B175)="L0D_324785","",IF(X175="",CONCATENATE(";",EscStr(CONCATENATE("NavNode_",getCategoryLevelAsString($B175))),";",EscStr($J175),";"),CONCATENATE(";",EscStr(CONCATENATE("NavNode_",getCategoryLevelAsString($B175))),";",EscStr(X175),";")))</f>
        <v>;"NavNode_L3D_525591";"Elektrické skúšačky";</v>
      </c>
      <c r="AR175" s="39" t="str">
        <f>IF(OR($A175&lt;&gt;"", $G175=""),"",CONCATENATE(";",EscStr(CONCATENATE("NavEntry_",getCategoryLevelAsString($B175))),";",EscStr(CONCATENATE($J175," Navigation Entry")),";",EscStr(CONCATENATE("cat-",getCategoryLevelAsString($B175))),";",EscStr(CONCATENATE("NavNode_",getCategoryLevelAsString($B175))),";"))</f>
        <v>;"NavEntry_L3D_525591";"Electrical Testing Instruments Navigation Entry";"cat-L3D_525591";"NavNode_L3D_525591";</v>
      </c>
    </row>
    <row r="176" spans="1:44" s="34" customFormat="1" ht="15" x14ac:dyDescent="0.25">
      <c r="A176" s="25"/>
      <c r="B176" s="5"/>
      <c r="C176" s="5"/>
      <c r="D176" s="5" t="s">
        <v>826</v>
      </c>
      <c r="E176" s="5"/>
      <c r="F176" s="5"/>
      <c r="G176" s="5" t="s">
        <v>1186</v>
      </c>
      <c r="H176" s="5" t="s">
        <v>1116</v>
      </c>
      <c r="I176" s="5" t="s">
        <v>1175</v>
      </c>
      <c r="J176" s="5" t="s">
        <v>933</v>
      </c>
      <c r="K176" s="5" t="s">
        <v>13835</v>
      </c>
      <c r="L176" s="5" t="s">
        <v>1522</v>
      </c>
      <c r="M176" s="5" t="s">
        <v>1747</v>
      </c>
      <c r="N176" s="48" t="s">
        <v>15448</v>
      </c>
      <c r="O176" s="5" t="s">
        <v>3222</v>
      </c>
      <c r="P176" s="5" t="s">
        <v>3223</v>
      </c>
      <c r="Q176" s="5" t="s">
        <v>3224</v>
      </c>
      <c r="R176" s="5" t="s">
        <v>3225</v>
      </c>
      <c r="S176" s="5" t="s">
        <v>3226</v>
      </c>
      <c r="T176" s="5" t="s">
        <v>3227</v>
      </c>
      <c r="U176" s="5" t="s">
        <v>3228</v>
      </c>
      <c r="V176" s="5" t="s">
        <v>3229</v>
      </c>
      <c r="W176" s="5" t="s">
        <v>3230</v>
      </c>
      <c r="X176" s="5" t="s">
        <v>14906</v>
      </c>
      <c r="Y176" s="39" t="str">
        <f>IF(OR($A176&lt;&gt;"", $G176=""),"",CONCATENATE(";",EscStr(CONCATENATE("NavNode_",getCategoryLevelAsString($B176))),";",EscStr($J176),";",IF($B176&lt;&gt;"","""MainCategoryNavNode""",EscStr(CONCATENATE("NavNode_",getSuperCategory($B176, getCategoryLevelAsNumber($B176))))),";"))</f>
        <v>;"NavNode_L3D_525592";"Installation Testers";"NavNode_L2D_527482";</v>
      </c>
      <c r="Z176" s="39" t="str">
        <f>IF(getCategoryLevelAsString($B176)="L0D_324785","",IF(G176="",CONCATENATE(";",EscStr(CONCATENATE("NavNode_",getCategoryLevelAsString($B176))),";",EscStr($J176),";"),CONCATENATE(";",EscStr(CONCATENATE("NavNode_",getCategoryLevelAsString($B176))),";",EscStr(G176),";")))</f>
        <v>;"NavNode_L3D_525592";"Installationsprüfgeräte";</v>
      </c>
      <c r="AA176" s="39" t="str">
        <f>IF(getCategoryLevelAsString($B176)="L0D_324785","",IF(H176="",CONCATENATE(";",EscStr(CONCATENATE("NavNode_",getCategoryLevelAsString($B176))),";",EscStr($J176),";"),CONCATENATE(";",EscStr(CONCATENATE("NavNode_",getCategoryLevelAsString($B176))),";",EscStr(H176),";")))</f>
        <v>;"NavNode_L3D_525592";"Testeurs d'installation";</v>
      </c>
      <c r="AB176" s="39" t="str">
        <f>IF(getCategoryLevelAsString($B176)="L0D_324785","",IF(I176="",CONCATENATE(";",EscStr(CONCATENATE("NavNode_",getCategoryLevelAsString($B176))),";",EscStr($J176),";"),CONCATENATE(";",EscStr(CONCATENATE("NavNode_",getCategoryLevelAsString($B176))),";",EscStr(I176),";")))</f>
        <v>;"NavNode_L3D_525592";"Apparecchi di prova per installazioni";</v>
      </c>
      <c r="AC176" s="39" t="str">
        <f>IF(getCategoryLevelAsString($B176)="L0D_324785","",IF(J176="",CONCATENATE(";",EscStr(CONCATENATE("NavNode_",getCategoryLevelAsString($B176))),";",EscStr($J176),";"),CONCATENATE(";",EscStr(CONCATENATE("NavNode_",getCategoryLevelAsString($B176))),";",EscStr(J176),";")))</f>
        <v>;"NavNode_L3D_525592";"Installation Testers";</v>
      </c>
      <c r="AD176" s="39" t="str">
        <f>IF(getCategoryLevelAsString($B176)="L0D_324785","",IF(K176="",CONCATENATE(";",EscStr(CONCATENATE("NavNode_",getCategoryLevelAsString($B176))),";",EscStr($J176),";"),CONCATENATE(";",EscStr(CONCATENATE("NavNode_",getCategoryLevelAsString($B176))),";",EscStr(K176),";")))</f>
        <v>;"NavNode_L3D_525592";"Installationstestere";</v>
      </c>
      <c r="AE176" s="39" t="str">
        <f>IF(getCategoryLevelAsString($B176)="L0D_324785","",IF(L176="",CONCATENATE(";",EscStr(CONCATENATE("NavNode_",getCategoryLevelAsString($B176))),";",EscStr($J176),";"),CONCATENATE(";",EscStr(CONCATENATE("NavNode_",getCategoryLevelAsString($B176))),";",EscStr(L176),";")))</f>
        <v>;"NavNode_L3D_525592";"Instaliacijų testeriai";</v>
      </c>
      <c r="AF176" s="39" t="str">
        <f>IF(getCategoryLevelAsString($B176)="L0D_324785","",IF(M176="",CONCATENATE(";",EscStr(CONCATENATE("NavNode_",getCategoryLevelAsString($B176))),";",EscStr($J176),";"),CONCATENATE(";",EscStr(CONCATENATE("NavNode_",getCategoryLevelAsString($B176))),";",EscStr(M176),";")))</f>
        <v>;"NavNode_L3D_525592";"Installasjonstestere";</v>
      </c>
      <c r="AG176" s="39" t="str">
        <f>IF(getCategoryLevelAsString($B176)="L0D_324785","",IF(N176="",CONCATENATE(";",EscStr(CONCATENATE("NavNode_",getCategoryLevelAsString($B176))),";",EscStr($J176),";"),CONCATENATE(";",EscStr(CONCATENATE("NavNode_",getCategoryLevelAsString($B176))),";",EscStr(N176),";")))</f>
        <v>;"NavNode_L3D_525592";"Installationsprovare";</v>
      </c>
      <c r="AH176" s="39" t="str">
        <f>IF(getCategoryLevelAsString($B176)="L0D_324785","",IF(O176="",CONCATENATE(";",EscStr(CONCATENATE("NavNode_",getCategoryLevelAsString($B176))),";",EscStr($J176),";"),CONCATENATE(";",EscStr(CONCATENATE("NavNode_",getCategoryLevelAsString($B176))),";",EscStr(O176),";")))</f>
        <v>;"NavNode_L3D_525592";"Installatsioonitestrid";</v>
      </c>
      <c r="AI176" s="39" t="str">
        <f>IF(getCategoryLevelAsString($B176)="L0D_324785","",IF(P176="",CONCATENATE(";",EscStr(CONCATENATE("NavNode_",getCategoryLevelAsString($B176))),";",EscStr($J176),";"),CONCATENATE(";",EscStr(CONCATENATE("NavNode_",getCategoryLevelAsString($B176))),";",EscStr(P176),";")))</f>
        <v>;"NavNode_L3D_525592";"Asennustesterit";</v>
      </c>
      <c r="AJ176" s="39" t="str">
        <f>IF(getCategoryLevelAsString($B176)="L0D_324785","",IF(Q176="",CONCATENATE(";",EscStr(CONCATENATE("NavNode_",getCategoryLevelAsString($B176))),";",EscStr($J176),";"),CONCATENATE(";",EscStr(CONCATENATE("NavNode_",getCategoryLevelAsString($B176))),";",EscStr(Q176),";")))</f>
        <v>;"NavNode_L3D_525592";"Instalācijas testeri";</v>
      </c>
      <c r="AK176" s="39" t="str">
        <f>IF(getCategoryLevelAsString($B176)="L0D_324785","",IF(R176="",CONCATENATE(";",EscStr(CONCATENATE("NavNode_",getCategoryLevelAsString($B176))),";",EscStr($J176),";"),CONCATENATE(";",EscStr(CONCATENATE("NavNode_",getCategoryLevelAsString($B176))),";",EscStr(R176),";")))</f>
        <v>;"NavNode_L3D_525592";"Installatietesters";</v>
      </c>
      <c r="AL176" s="39" t="str">
        <f>IF(getCategoryLevelAsString($B176)="L0D_324785","",IF(S176="",CONCATENATE(";",EscStr(CONCATENATE("NavNode_",getCategoryLevelAsString($B176))),";",EscStr($J176),";"),CONCATENATE(";",EscStr(CONCATENATE("NavNode_",getCategoryLevelAsString($B176))),";",EscStr(S176),";")))</f>
        <v>;"NavNode_L3D_525592";"Testery instalacji";</v>
      </c>
      <c r="AM176" s="39" t="str">
        <f>IF(getCategoryLevelAsString($B176)="L0D_324785","",IF(T176="",CONCATENATE(";",EscStr(CONCATENATE("NavNode_",getCategoryLevelAsString($B176))),";",EscStr($J176),";"),CONCATENATE(";",EscStr(CONCATENATE("NavNode_",getCategoryLevelAsString($B176))),";",EscStr(T176),";")))</f>
        <v>;"NavNode_L3D_525592";"Инсталляционные тестеры";</v>
      </c>
      <c r="AN176" s="39" t="str">
        <f>IF(getCategoryLevelAsString($B176)="L0D_324785","",IF(U176="",CONCATENATE(";",EscStr(CONCATENATE("NavNode_",getCategoryLevelAsString($B176))),";",EscStr($J176),";"),CONCATENATE(";",EscStr(CONCATENATE("NavNode_",getCategoryLevelAsString($B176))),";",EscStr(U176),";")))</f>
        <v>;"NavNode_L3D_525592";"Zkoušečky elektroinstalací";</v>
      </c>
      <c r="AO176" s="39" t="str">
        <f>IF(getCategoryLevelAsString($B176)="L0D_324785","",IF(V176="",CONCATENATE(";",EscStr(CONCATENATE("NavNode_",getCategoryLevelAsString($B176))),";",EscStr($J176),";"),CONCATENATE(";",EscStr(CONCATENATE("NavNode_",getCategoryLevelAsString($B176))),";",EscStr(V176),";")))</f>
        <v>;"NavNode_L3D_525592";"Testere pentru instalaţii";</v>
      </c>
      <c r="AP176" s="39" t="str">
        <f>IF(getCategoryLevelAsString($B176)="L0D_324785","",IF(W176="",CONCATENATE(";",EscStr(CONCATENATE("NavNode_",getCategoryLevelAsString($B176))),";",EscStr($J176),";"),CONCATENATE(";",EscStr(CONCATENATE("NavNode_",getCategoryLevelAsString($B176))),";",EscStr(W176),";")))</f>
        <v>;"NavNode_L3D_525592";"Szerelésvizsgáló készülék";</v>
      </c>
      <c r="AQ176" s="39" t="str">
        <f>IF(getCategoryLevelAsString($B176)="L0D_324785","",IF(X176="",CONCATENATE(";",EscStr(CONCATENATE("NavNode_",getCategoryLevelAsString($B176))),";",EscStr($J176),";"),CONCATENATE(";",EscStr(CONCATENATE("NavNode_",getCategoryLevelAsString($B176))),";",EscStr(X176),";")))</f>
        <v>;"NavNode_L3D_525592";"Skúšačky elektroinštalácií";</v>
      </c>
      <c r="AR176" s="39" t="str">
        <f>IF(OR($A176&lt;&gt;"", $G176=""),"",CONCATENATE(";",EscStr(CONCATENATE("NavEntry_",getCategoryLevelAsString($B176))),";",EscStr(CONCATENATE($J176," Navigation Entry")),";",EscStr(CONCATENATE("cat-",getCategoryLevelAsString($B176))),";",EscStr(CONCATENATE("NavNode_",getCategoryLevelAsString($B176))),";"))</f>
        <v>;"NavEntry_L3D_525592";"Installation Testers Navigation Entry";"cat-L3D_525592";"NavNode_L3D_525592";</v>
      </c>
    </row>
    <row r="177" spans="1:44" s="34" customFormat="1" ht="15" x14ac:dyDescent="0.25">
      <c r="A177" s="25"/>
      <c r="B177" s="5"/>
      <c r="C177" s="5"/>
      <c r="D177" s="5" t="s">
        <v>827</v>
      </c>
      <c r="E177" s="5"/>
      <c r="F177" s="5"/>
      <c r="G177" s="5" t="s">
        <v>1187</v>
      </c>
      <c r="H177" s="5" t="s">
        <v>1117</v>
      </c>
      <c r="I177" s="5" t="s">
        <v>1176</v>
      </c>
      <c r="J177" s="5" t="s">
        <v>934</v>
      </c>
      <c r="K177" s="5" t="s">
        <v>1289</v>
      </c>
      <c r="L177" s="5" t="s">
        <v>15159</v>
      </c>
      <c r="M177" s="5" t="s">
        <v>1289</v>
      </c>
      <c r="N177" s="5" t="s">
        <v>13979</v>
      </c>
      <c r="O177" s="5" t="s">
        <v>3231</v>
      </c>
      <c r="P177" s="5" t="s">
        <v>3232</v>
      </c>
      <c r="Q177" s="5" t="s">
        <v>3233</v>
      </c>
      <c r="R177" s="5" t="s">
        <v>3234</v>
      </c>
      <c r="S177" s="5" t="s">
        <v>3235</v>
      </c>
      <c r="T177" s="5" t="s">
        <v>3236</v>
      </c>
      <c r="U177" s="5" t="s">
        <v>3237</v>
      </c>
      <c r="V177" s="5" t="s">
        <v>3238</v>
      </c>
      <c r="W177" s="5" t="s">
        <v>3239</v>
      </c>
      <c r="X177" s="5" t="s">
        <v>14907</v>
      </c>
      <c r="Y177" s="39" t="str">
        <f>IF(OR($A177&lt;&gt;"", $G177=""),"",CONCATENATE(";",EscStr(CONCATENATE("NavNode_",getCategoryLevelAsString($B177))),";",EscStr($J177),";",IF($B177&lt;&gt;"","""MainCategoryNavNode""",EscStr(CONCATENATE("NavNode_",getSuperCategory($B177, getCategoryLevelAsNumber($B177))))),";"))</f>
        <v>;"NavNode_L3D_525593";"Power Test Instruments";"NavNode_L2D_527482";</v>
      </c>
      <c r="Z177" s="39" t="str">
        <f>IF(getCategoryLevelAsString($B177)="L0D_324785","",IF(G177="",CONCATENATE(";",EscStr(CONCATENATE("NavNode_",getCategoryLevelAsString($B177))),";",EscStr($J177),";"),CONCATENATE(";",EscStr(CONCATENATE("NavNode_",getCategoryLevelAsString($B177))),";",EscStr(G177),";")))</f>
        <v>;"NavNode_L3D_525593";"Leistungsmessgeräte";</v>
      </c>
      <c r="AA177" s="39" t="str">
        <f>IF(getCategoryLevelAsString($B177)="L0D_324785","",IF(H177="",CONCATENATE(";",EscStr(CONCATENATE("NavNode_",getCategoryLevelAsString($B177))),";",EscStr($J177),";"),CONCATENATE(";",EscStr(CONCATENATE("NavNode_",getCategoryLevelAsString($B177))),";",EscStr(H177),";")))</f>
        <v>;"NavNode_L3D_525593";"Instruments de test d'alimentation";</v>
      </c>
      <c r="AB177" s="39" t="str">
        <f>IF(getCategoryLevelAsString($B177)="L0D_324785","",IF(I177="",CONCATENATE(";",EscStr(CONCATENATE("NavNode_",getCategoryLevelAsString($B177))),";",EscStr($J177),";"),CONCATENATE(";",EscStr(CONCATENATE("NavNode_",getCategoryLevelAsString($B177))),";",EscStr(I177),";")))</f>
        <v>;"NavNode_L3D_525593";"Strumenti di prova della potenza";</v>
      </c>
      <c r="AC177" s="39" t="str">
        <f>IF(getCategoryLevelAsString($B177)="L0D_324785","",IF(J177="",CONCATENATE(";",EscStr(CONCATENATE("NavNode_",getCategoryLevelAsString($B177))),";",EscStr($J177),";"),CONCATENATE(";",EscStr(CONCATENATE("NavNode_",getCategoryLevelAsString($B177))),";",EscStr(J177),";")))</f>
        <v>;"NavNode_L3D_525593";"Power Test Instruments";</v>
      </c>
      <c r="AD177" s="39" t="str">
        <f>IF(getCategoryLevelAsString($B177)="L0D_324785","",IF(K177="",CONCATENATE(";",EscStr(CONCATENATE("NavNode_",getCategoryLevelAsString($B177))),";",EscStr($J177),";"),CONCATENATE(";",EscStr(CONCATENATE("NavNode_",getCategoryLevelAsString($B177))),";",EscStr(K177),";")))</f>
        <v>;"NavNode_L3D_525593";"Strømtestinstrumenter";</v>
      </c>
      <c r="AE177" s="39" t="str">
        <f>IF(getCategoryLevelAsString($B177)="L0D_324785","",IF(L177="",CONCATENATE(";",EscStr(CONCATENATE("NavNode_",getCategoryLevelAsString($B177))),";",EscStr($J177),";"),CONCATENATE(";",EscStr(CONCATENATE("NavNode_",getCategoryLevelAsString($B177))),";",EscStr(L177),";")))</f>
        <v>;"NavNode_L3D_525593";"Galios testavimo prietaisai";</v>
      </c>
      <c r="AF177" s="39" t="str">
        <f>IF(getCategoryLevelAsString($B177)="L0D_324785","",IF(M177="",CONCATENATE(";",EscStr(CONCATENATE("NavNode_",getCategoryLevelAsString($B177))),";",EscStr($J177),";"),CONCATENATE(";",EscStr(CONCATENATE("NavNode_",getCategoryLevelAsString($B177))),";",EscStr(M177),";")))</f>
        <v>;"NavNode_L3D_525593";"Strømtestinstrumenter";</v>
      </c>
      <c r="AG177" s="39" t="str">
        <f>IF(getCategoryLevelAsString($B177)="L0D_324785","",IF(N177="",CONCATENATE(";",EscStr(CONCATENATE("NavNode_",getCategoryLevelAsString($B177))),";",EscStr($J177),";"),CONCATENATE(";",EscStr(CONCATENATE("NavNode_",getCategoryLevelAsString($B177))),";",EscStr(N177),";")))</f>
        <v>;"NavNode_L3D_525593";"Effektmätinstrument";</v>
      </c>
      <c r="AH177" s="39" t="str">
        <f>IF(getCategoryLevelAsString($B177)="L0D_324785","",IF(O177="",CONCATENATE(";",EscStr(CONCATENATE("NavNode_",getCategoryLevelAsString($B177))),";",EscStr($J177),";"),CONCATENATE(";",EscStr(CONCATENATE("NavNode_",getCategoryLevelAsString($B177))),";",EscStr(O177),";")))</f>
        <v>;"NavNode_L3D_525593";"Energiatarbe mööteriistad";</v>
      </c>
      <c r="AI177" s="39" t="str">
        <f>IF(getCategoryLevelAsString($B177)="L0D_324785","",IF(P177="",CONCATENATE(";",EscStr(CONCATENATE("NavNode_",getCategoryLevelAsString($B177))),";",EscStr($J177),";"),CONCATENATE(";",EscStr(CONCATENATE("NavNode_",getCategoryLevelAsString($B177))),";",EscStr(P177),";")))</f>
        <v>;"NavNode_L3D_525593";"Sähkönsyöttötesterit";</v>
      </c>
      <c r="AJ177" s="39" t="str">
        <f>IF(getCategoryLevelAsString($B177)="L0D_324785","",IF(Q177="",CONCATENATE(";",EscStr(CONCATENATE("NavNode_",getCategoryLevelAsString($B177))),";",EscStr($J177),";"),CONCATENATE(";",EscStr(CONCATENATE("NavNode_",getCategoryLevelAsString($B177))),";",EscStr(Q177),";")))</f>
        <v>;"NavNode_L3D_525593";"Jaudas testa instrumenti";</v>
      </c>
      <c r="AK177" s="39" t="str">
        <f>IF(getCategoryLevelAsString($B177)="L0D_324785","",IF(R177="",CONCATENATE(";",EscStr(CONCATENATE("NavNode_",getCategoryLevelAsString($B177))),";",EscStr($J177),";"),CONCATENATE(";",EscStr(CONCATENATE("NavNode_",getCategoryLevelAsString($B177))),";",EscStr(R177),";")))</f>
        <v>;"NavNode_L3D_525593";"Vermogensmeters";</v>
      </c>
      <c r="AL177" s="39" t="str">
        <f>IF(getCategoryLevelAsString($B177)="L0D_324785","",IF(S177="",CONCATENATE(";",EscStr(CONCATENATE("NavNode_",getCategoryLevelAsString($B177))),";",EscStr($J177),";"),CONCATENATE(";",EscStr(CONCATENATE("NavNode_",getCategoryLevelAsString($B177))),";",EscStr(S177),";")))</f>
        <v>;"NavNode_L3D_525593";"Mierniki mocy";</v>
      </c>
      <c r="AM177" s="39" t="str">
        <f>IF(getCategoryLevelAsString($B177)="L0D_324785","",IF(T177="",CONCATENATE(";",EscStr(CONCATENATE("NavNode_",getCategoryLevelAsString($B177))),";",EscStr($J177),";"),CONCATENATE(";",EscStr(CONCATENATE("NavNode_",getCategoryLevelAsString($B177))),";",EscStr(T177),";")))</f>
        <v>;"NavNode_L3D_525593";"Силовые измерительные приборы";</v>
      </c>
      <c r="AN177" s="39" t="str">
        <f>IF(getCategoryLevelAsString($B177)="L0D_324785","",IF(U177="",CONCATENATE(";",EscStr(CONCATENATE("NavNode_",getCategoryLevelAsString($B177))),";",EscStr($J177),";"),CONCATENATE(";",EscStr(CONCATENATE("NavNode_",getCategoryLevelAsString($B177))),";",EscStr(U177),";")))</f>
        <v>;"NavNode_L3D_525593";"Wattmetry";</v>
      </c>
      <c r="AO177" s="39" t="str">
        <f>IF(getCategoryLevelAsString($B177)="L0D_324785","",IF(V177="",CONCATENATE(";",EscStr(CONCATENATE("NavNode_",getCategoryLevelAsString($B177))),";",EscStr($J177),";"),CONCATENATE(";",EscStr(CONCATENATE("NavNode_",getCategoryLevelAsString($B177))),";",EscStr(V177),";")))</f>
        <v>;"NavNode_L3D_525593";"Instrumente de performanţă";</v>
      </c>
      <c r="AP177" s="39" t="str">
        <f>IF(getCategoryLevelAsString($B177)="L0D_324785","",IF(W177="",CONCATENATE(";",EscStr(CONCATENATE("NavNode_",getCategoryLevelAsString($B177))),";",EscStr($J177),";"),CONCATENATE(";",EscStr(CONCATENATE("NavNode_",getCategoryLevelAsString($B177))),";",EscStr(W177),";")))</f>
        <v>;"NavNode_L3D_525593";"Teljesítménymérő";</v>
      </c>
      <c r="AQ177" s="39" t="str">
        <f>IF(getCategoryLevelAsString($B177)="L0D_324785","",IF(X177="",CONCATENATE(";",EscStr(CONCATENATE("NavNode_",getCategoryLevelAsString($B177))),";",EscStr($J177),";"),CONCATENATE(";",EscStr(CONCATENATE("NavNode_",getCategoryLevelAsString($B177))),";",EscStr(X177),";")))</f>
        <v>;"NavNode_L3D_525593";"Wattmetre";</v>
      </c>
      <c r="AR177" s="39" t="str">
        <f>IF(OR($A177&lt;&gt;"", $G177=""),"",CONCATENATE(";",EscStr(CONCATENATE("NavEntry_",getCategoryLevelAsString($B177))),";",EscStr(CONCATENATE($J177," Navigation Entry")),";",EscStr(CONCATENATE("cat-",getCategoryLevelAsString($B177))),";",EscStr(CONCATENATE("NavNode_",getCategoryLevelAsString($B177))),";"))</f>
        <v>;"NavEntry_L3D_525593";"Power Test Instruments Navigation Entry";"cat-L3D_525593";"NavNode_L3D_525593";</v>
      </c>
    </row>
    <row r="178" spans="1:44" s="34" customFormat="1" ht="15" x14ac:dyDescent="0.25">
      <c r="A178" s="25"/>
      <c r="B178" s="5"/>
      <c r="C178" s="5"/>
      <c r="D178" s="5" t="s">
        <v>828</v>
      </c>
      <c r="E178" s="5"/>
      <c r="F178" s="5"/>
      <c r="G178" s="5" t="s">
        <v>1188</v>
      </c>
      <c r="H178" s="5" t="s">
        <v>580</v>
      </c>
      <c r="I178" s="5" t="s">
        <v>1177</v>
      </c>
      <c r="J178" s="5" t="s">
        <v>580</v>
      </c>
      <c r="K178" s="5" t="s">
        <v>1290</v>
      </c>
      <c r="L178" s="5" t="s">
        <v>1524</v>
      </c>
      <c r="M178" s="5" t="s">
        <v>1290</v>
      </c>
      <c r="N178" s="5" t="s">
        <v>1955</v>
      </c>
      <c r="O178" s="5" t="s">
        <v>3240</v>
      </c>
      <c r="P178" s="5" t="s">
        <v>3241</v>
      </c>
      <c r="Q178" s="5" t="s">
        <v>3242</v>
      </c>
      <c r="R178" s="5" t="s">
        <v>3243</v>
      </c>
      <c r="S178" s="5" t="s">
        <v>3244</v>
      </c>
      <c r="T178" s="5" t="s">
        <v>3245</v>
      </c>
      <c r="U178" s="5" t="s">
        <v>3246</v>
      </c>
      <c r="V178" s="5" t="s">
        <v>3247</v>
      </c>
      <c r="W178" s="5" t="s">
        <v>3248</v>
      </c>
      <c r="X178" s="5" t="s">
        <v>3246</v>
      </c>
      <c r="Y178" s="39" t="str">
        <f>IF(OR($A178&lt;&gt;"", $G178=""),"",CONCATENATE(";",EscStr(CONCATENATE("NavNode_",getCategoryLevelAsString($B178))),";",EscStr($J178),";",IF($B178&lt;&gt;"","""MainCategoryNavNode""",EscStr(CONCATENATE("NavNode_",getSuperCategory($B178, getCategoryLevelAsNumber($B178))))),";"))</f>
        <v>;"NavNode_L3D_525586";"Oscilloscopes";"NavNode_L2D_527482";</v>
      </c>
      <c r="Z178" s="39" t="str">
        <f>IF(getCategoryLevelAsString($B178)="L0D_324785","",IF(G178="",CONCATENATE(";",EscStr(CONCATENATE("NavNode_",getCategoryLevelAsString($B178))),";",EscStr($J178),";"),CONCATENATE(";",EscStr(CONCATENATE("NavNode_",getCategoryLevelAsString($B178))),";",EscStr(G178),";")))</f>
        <v>;"NavNode_L3D_525586";"Oszilloskope";</v>
      </c>
      <c r="AA178" s="39" t="str">
        <f>IF(getCategoryLevelAsString($B178)="L0D_324785","",IF(H178="",CONCATENATE(";",EscStr(CONCATENATE("NavNode_",getCategoryLevelAsString($B178))),";",EscStr($J178),";"),CONCATENATE(";",EscStr(CONCATENATE("NavNode_",getCategoryLevelAsString($B178))),";",EscStr(H178),";")))</f>
        <v>;"NavNode_L3D_525586";"Oscilloscopes";</v>
      </c>
      <c r="AB178" s="39" t="str">
        <f>IF(getCategoryLevelAsString($B178)="L0D_324785","",IF(I178="",CONCATENATE(";",EscStr(CONCATENATE("NavNode_",getCategoryLevelAsString($B178))),";",EscStr($J178),";"),CONCATENATE(";",EscStr(CONCATENATE("NavNode_",getCategoryLevelAsString($B178))),";",EscStr(I178),";")))</f>
        <v>;"NavNode_L3D_525586";"Oscilloscopi";</v>
      </c>
      <c r="AC178" s="39" t="str">
        <f>IF(getCategoryLevelAsString($B178)="L0D_324785","",IF(J178="",CONCATENATE(";",EscStr(CONCATENATE("NavNode_",getCategoryLevelAsString($B178))),";",EscStr($J178),";"),CONCATENATE(";",EscStr(CONCATENATE("NavNode_",getCategoryLevelAsString($B178))),";",EscStr(J178),";")))</f>
        <v>;"NavNode_L3D_525586";"Oscilloscopes";</v>
      </c>
      <c r="AD178" s="39" t="str">
        <f>IF(getCategoryLevelAsString($B178)="L0D_324785","",IF(K178="",CONCATENATE(";",EscStr(CONCATENATE("NavNode_",getCategoryLevelAsString($B178))),";",EscStr($J178),";"),CONCATENATE(";",EscStr(CONCATENATE("NavNode_",getCategoryLevelAsString($B178))),";",EscStr(K178),";")))</f>
        <v>;"NavNode_L3D_525586";"Oscilloskoper";</v>
      </c>
      <c r="AE178" s="39" t="str">
        <f>IF(getCategoryLevelAsString($B178)="L0D_324785","",IF(L178="",CONCATENATE(";",EscStr(CONCATENATE("NavNode_",getCategoryLevelAsString($B178))),";",EscStr($J178),";"),CONCATENATE(";",EscStr(CONCATENATE("NavNode_",getCategoryLevelAsString($B178))),";",EscStr(L178),";")))</f>
        <v>;"NavNode_L3D_525586";"Osciloskopai";</v>
      </c>
      <c r="AF178" s="39" t="str">
        <f>IF(getCategoryLevelAsString($B178)="L0D_324785","",IF(M178="",CONCATENATE(";",EscStr(CONCATENATE("NavNode_",getCategoryLevelAsString($B178))),";",EscStr($J178),";"),CONCATENATE(";",EscStr(CONCATENATE("NavNode_",getCategoryLevelAsString($B178))),";",EscStr(M178),";")))</f>
        <v>;"NavNode_L3D_525586";"Oscilloskoper";</v>
      </c>
      <c r="AG178" s="39" t="str">
        <f>IF(getCategoryLevelAsString($B178)="L0D_324785","",IF(N178="",CONCATENATE(";",EscStr(CONCATENATE("NavNode_",getCategoryLevelAsString($B178))),";",EscStr($J178),";"),CONCATENATE(";",EscStr(CONCATENATE("NavNode_",getCategoryLevelAsString($B178))),";",EscStr(N178),";")))</f>
        <v>;"NavNode_L3D_525586";"Oscilloskop";</v>
      </c>
      <c r="AH178" s="39" t="str">
        <f>IF(getCategoryLevelAsString($B178)="L0D_324785","",IF(O178="",CONCATENATE(";",EscStr(CONCATENATE("NavNode_",getCategoryLevelAsString($B178))),";",EscStr($J178),";"),CONCATENATE(";",EscStr(CONCATENATE("NavNode_",getCategoryLevelAsString($B178))),";",EscStr(O178),";")))</f>
        <v>;"NavNode_L3D_525586";"Ostsilloskoobid";</v>
      </c>
      <c r="AI178" s="39" t="str">
        <f>IF(getCategoryLevelAsString($B178)="L0D_324785","",IF(P178="",CONCATENATE(";",EscStr(CONCATENATE("NavNode_",getCategoryLevelAsString($B178))),";",EscStr($J178),";"),CONCATENATE(";",EscStr(CONCATENATE("NavNode_",getCategoryLevelAsString($B178))),";",EscStr(P178),";")))</f>
        <v>;"NavNode_L3D_525586";"Oskilloskoopit";</v>
      </c>
      <c r="AJ178" s="39" t="str">
        <f>IF(getCategoryLevelAsString($B178)="L0D_324785","",IF(Q178="",CONCATENATE(";",EscStr(CONCATENATE("NavNode_",getCategoryLevelAsString($B178))),";",EscStr($J178),";"),CONCATENATE(";",EscStr(CONCATENATE("NavNode_",getCategoryLevelAsString($B178))),";",EscStr(Q178),";")))</f>
        <v>;"NavNode_L3D_525586";"Osciloskopi";</v>
      </c>
      <c r="AK178" s="39" t="str">
        <f>IF(getCategoryLevelAsString($B178)="L0D_324785","",IF(R178="",CONCATENATE(";",EscStr(CONCATENATE("NavNode_",getCategoryLevelAsString($B178))),";",EscStr($J178),";"),CONCATENATE(";",EscStr(CONCATENATE("NavNode_",getCategoryLevelAsString($B178))),";",EscStr(R178),";")))</f>
        <v>;"NavNode_L3D_525586";"Oscilloscopen";</v>
      </c>
      <c r="AL178" s="39" t="str">
        <f>IF(getCategoryLevelAsString($B178)="L0D_324785","",IF(S178="",CONCATENATE(";",EscStr(CONCATENATE("NavNode_",getCategoryLevelAsString($B178))),";",EscStr($J178),";"),CONCATENATE(";",EscStr(CONCATENATE("NavNode_",getCategoryLevelAsString($B178))),";",EscStr(S178),";")))</f>
        <v>;"NavNode_L3D_525586";"Oscyloskopy";</v>
      </c>
      <c r="AM178" s="39" t="str">
        <f>IF(getCategoryLevelAsString($B178)="L0D_324785","",IF(T178="",CONCATENATE(";",EscStr(CONCATENATE("NavNode_",getCategoryLevelAsString($B178))),";",EscStr($J178),";"),CONCATENATE(";",EscStr(CONCATENATE("NavNode_",getCategoryLevelAsString($B178))),";",EscStr(T178),";")))</f>
        <v>;"NavNode_L3D_525586";"Осциллографы";</v>
      </c>
      <c r="AN178" s="39" t="str">
        <f>IF(getCategoryLevelAsString($B178)="L0D_324785","",IF(U178="",CONCATENATE(";",EscStr(CONCATENATE("NavNode_",getCategoryLevelAsString($B178))),";",EscStr($J178),";"),CONCATENATE(";",EscStr(CONCATENATE("NavNode_",getCategoryLevelAsString($B178))),";",EscStr(U178),";")))</f>
        <v>;"NavNode_L3D_525586";"Osciloskopy";</v>
      </c>
      <c r="AO178" s="39" t="str">
        <f>IF(getCategoryLevelAsString($B178)="L0D_324785","",IF(V178="",CONCATENATE(";",EscStr(CONCATENATE("NavNode_",getCategoryLevelAsString($B178))),";",EscStr($J178),";"),CONCATENATE(";",EscStr(CONCATENATE("NavNode_",getCategoryLevelAsString($B178))),";",EscStr(V178),";")))</f>
        <v>;"NavNode_L3D_525586";"Osciloscoape";</v>
      </c>
      <c r="AP178" s="39" t="str">
        <f>IF(getCategoryLevelAsString($B178)="L0D_324785","",IF(W178="",CONCATENATE(";",EscStr(CONCATENATE("NavNode_",getCategoryLevelAsString($B178))),";",EscStr($J178),";"),CONCATENATE(";",EscStr(CONCATENATE("NavNode_",getCategoryLevelAsString($B178))),";",EscStr(W178),";")))</f>
        <v>;"NavNode_L3D_525586";"Oszcilloszkóp";</v>
      </c>
      <c r="AQ178" s="39" t="str">
        <f>IF(getCategoryLevelAsString($B178)="L0D_324785","",IF(X178="",CONCATENATE(";",EscStr(CONCATENATE("NavNode_",getCategoryLevelAsString($B178))),";",EscStr($J178),";"),CONCATENATE(";",EscStr(CONCATENATE("NavNode_",getCategoryLevelAsString($B178))),";",EscStr(X178),";")))</f>
        <v>;"NavNode_L3D_525586";"Osciloskopy";</v>
      </c>
      <c r="AR178" s="39" t="str">
        <f>IF(OR($A178&lt;&gt;"", $G178=""),"",CONCATENATE(";",EscStr(CONCATENATE("NavEntry_",getCategoryLevelAsString($B178))),";",EscStr(CONCATENATE($J178," Navigation Entry")),";",EscStr(CONCATENATE("cat-",getCategoryLevelAsString($B178))),";",EscStr(CONCATENATE("NavNode_",getCategoryLevelAsString($B178))),";"))</f>
        <v>;"NavEntry_L3D_525586";"Oscilloscopes Navigation Entry";"cat-L3D_525586";"NavNode_L3D_525586";</v>
      </c>
    </row>
    <row r="179" spans="1:44" s="34" customFormat="1" ht="15" x14ac:dyDescent="0.25">
      <c r="A179" s="25"/>
      <c r="B179" s="5"/>
      <c r="C179" s="5"/>
      <c r="D179" s="5" t="s">
        <v>829</v>
      </c>
      <c r="E179" s="5"/>
      <c r="F179" s="5"/>
      <c r="G179" s="5" t="s">
        <v>1189</v>
      </c>
      <c r="H179" s="5" t="s">
        <v>1118</v>
      </c>
      <c r="I179" s="5" t="s">
        <v>1178</v>
      </c>
      <c r="J179" s="5" t="s">
        <v>935</v>
      </c>
      <c r="K179" s="5" t="s">
        <v>1291</v>
      </c>
      <c r="L179" s="5" t="s">
        <v>1525</v>
      </c>
      <c r="M179" s="5" t="s">
        <v>1748</v>
      </c>
      <c r="N179" s="5" t="s">
        <v>1956</v>
      </c>
      <c r="O179" s="5" t="s">
        <v>3249</v>
      </c>
      <c r="P179" s="5" t="s">
        <v>3250</v>
      </c>
      <c r="Q179" s="5" t="s">
        <v>3251</v>
      </c>
      <c r="R179" s="5" t="s">
        <v>935</v>
      </c>
      <c r="S179" s="5" t="s">
        <v>3252</v>
      </c>
      <c r="T179" s="5" t="s">
        <v>3253</v>
      </c>
      <c r="U179" s="5" t="s">
        <v>3254</v>
      </c>
      <c r="V179" s="5" t="s">
        <v>3255</v>
      </c>
      <c r="W179" s="5" t="s">
        <v>3256</v>
      </c>
      <c r="X179" s="5" t="s">
        <v>14908</v>
      </c>
      <c r="Y179" s="39" t="str">
        <f>IF(OR($A179&lt;&gt;"", $G179=""),"",CONCATENATE(";",EscStr(CONCATENATE("NavNode_",getCategoryLevelAsString($B179))),";",EscStr($J179),";",IF($B179&lt;&gt;"","""MainCategoryNavNode""",EscStr(CONCATENATE("NavNode_",getSuperCategory($B179, getCategoryLevelAsNumber($B179))))),";"))</f>
        <v>;"NavNode_L3D_525587";"Spectrum &amp; Logic Analysers";"NavNode_L2D_527482";</v>
      </c>
      <c r="Z179" s="39" t="str">
        <f>IF(getCategoryLevelAsString($B179)="L0D_324785","",IF(G179="",CONCATENATE(";",EscStr(CONCATENATE("NavNode_",getCategoryLevelAsString($B179))),";",EscStr($J179),";"),CONCATENATE(";",EscStr(CONCATENATE("NavNode_",getCategoryLevelAsString($B179))),";",EscStr(G179),";")))</f>
        <v>;"NavNode_L3D_525587";"Spektrum-Analyser";</v>
      </c>
      <c r="AA179" s="39" t="str">
        <f>IF(getCategoryLevelAsString($B179)="L0D_324785","",IF(H179="",CONCATENATE(";",EscStr(CONCATENATE("NavNode_",getCategoryLevelAsString($B179))),";",EscStr($J179),";"),CONCATENATE(";",EscStr(CONCATENATE("NavNode_",getCategoryLevelAsString($B179))),";",EscStr(H179),";")))</f>
        <v>;"NavNode_L3D_525587";"Analyseurs de spectre et de logique";</v>
      </c>
      <c r="AB179" s="39" t="str">
        <f>IF(getCategoryLevelAsString($B179)="L0D_324785","",IF(I179="",CONCATENATE(";",EscStr(CONCATENATE("NavNode_",getCategoryLevelAsString($B179))),";",EscStr($J179),";"),CONCATENATE(";",EscStr(CONCATENATE("NavNode_",getCategoryLevelAsString($B179))),";",EscStr(I179),";")))</f>
        <v>;"NavNode_L3D_525587";"Analizzatori di spettro e logici";</v>
      </c>
      <c r="AC179" s="39" t="str">
        <f>IF(getCategoryLevelAsString($B179)="L0D_324785","",IF(J179="",CONCATENATE(";",EscStr(CONCATENATE("NavNode_",getCategoryLevelAsString($B179))),";",EscStr($J179),";"),CONCATENATE(";",EscStr(CONCATENATE("NavNode_",getCategoryLevelAsString($B179))),";",EscStr(J179),";")))</f>
        <v>;"NavNode_L3D_525587";"Spectrum &amp; Logic Analysers";</v>
      </c>
      <c r="AD179" s="39" t="str">
        <f>IF(getCategoryLevelAsString($B179)="L0D_324785","",IF(K179="",CONCATENATE(";",EscStr(CONCATENATE("NavNode_",getCategoryLevelAsString($B179))),";",EscStr($J179),";"),CONCATENATE(";",EscStr(CONCATENATE("NavNode_",getCategoryLevelAsString($B179))),";",EscStr(K179),";")))</f>
        <v>;"NavNode_L3D_525587";"Spektrumanalyseenheder &amp; logiske analyseenheder";</v>
      </c>
      <c r="AE179" s="39" t="str">
        <f>IF(getCategoryLevelAsString($B179)="L0D_324785","",IF(L179="",CONCATENATE(";",EscStr(CONCATENATE("NavNode_",getCategoryLevelAsString($B179))),";",EscStr($J179),";"),CONCATENATE(";",EscStr(CONCATENATE("NavNode_",getCategoryLevelAsString($B179))),";",EscStr(L179),";")))</f>
        <v>;"NavNode_L3D_525587";"Spektro ir loginiai analizatoriai";</v>
      </c>
      <c r="AF179" s="39" t="str">
        <f>IF(getCategoryLevelAsString($B179)="L0D_324785","",IF(M179="",CONCATENATE(";",EscStr(CONCATENATE("NavNode_",getCategoryLevelAsString($B179))),";",EscStr($J179),";"),CONCATENATE(";",EscStr(CONCATENATE("NavNode_",getCategoryLevelAsString($B179))),";",EscStr(M179),";")))</f>
        <v>;"NavNode_L3D_525587";"Spektral- og logikkanalysatorer";</v>
      </c>
      <c r="AG179" s="39" t="str">
        <f>IF(getCategoryLevelAsString($B179)="L0D_324785","",IF(N179="",CONCATENATE(";",EscStr(CONCATENATE("NavNode_",getCategoryLevelAsString($B179))),";",EscStr($J179),";"),CONCATENATE(";",EscStr(CONCATENATE("NavNode_",getCategoryLevelAsString($B179))),";",EscStr(N179),";")))</f>
        <v>;"NavNode_L3D_525587";"Spektrum- och logikanalysatorer";</v>
      </c>
      <c r="AH179" s="39" t="str">
        <f>IF(getCategoryLevelAsString($B179)="L0D_324785","",IF(O179="",CONCATENATE(";",EscStr(CONCATENATE("NavNode_",getCategoryLevelAsString($B179))),";",EscStr($J179),";"),CONCATENATE(";",EscStr(CONCATENATE("NavNode_",getCategoryLevelAsString($B179))),";",EscStr(O179),";")))</f>
        <v>;"NavNode_L3D_525587";"Spektri ja loogika analüsaatorid";</v>
      </c>
      <c r="AI179" s="39" t="str">
        <f>IF(getCategoryLevelAsString($B179)="L0D_324785","",IF(P179="",CONCATENATE(";",EscStr(CONCATENATE("NavNode_",getCategoryLevelAsString($B179))),";",EscStr($J179),";"),CONCATENATE(";",EscStr(CONCATENATE("NavNode_",getCategoryLevelAsString($B179))),";",EscStr(P179),";")))</f>
        <v>;"NavNode_L3D_525587";"Spektri ja Logiikkaanalysaattorit";</v>
      </c>
      <c r="AJ179" s="39" t="str">
        <f>IF(getCategoryLevelAsString($B179)="L0D_324785","",IF(Q179="",CONCATENATE(";",EscStr(CONCATENATE("NavNode_",getCategoryLevelAsString($B179))),";",EscStr($J179),";"),CONCATENATE(";",EscStr(CONCATENATE("NavNode_",getCategoryLevelAsString($B179))),";",EscStr(Q179),";")))</f>
        <v>;"NavNode_L3D_525587";"Spektra un loģikas analizatori";</v>
      </c>
      <c r="AK179" s="39" t="str">
        <f>IF(getCategoryLevelAsString($B179)="L0D_324785","",IF(R179="",CONCATENATE(";",EscStr(CONCATENATE("NavNode_",getCategoryLevelAsString($B179))),";",EscStr($J179),";"),CONCATENATE(";",EscStr(CONCATENATE("NavNode_",getCategoryLevelAsString($B179))),";",EscStr(R179),";")))</f>
        <v>;"NavNode_L3D_525587";"Spectrum &amp; Logic Analysers";</v>
      </c>
      <c r="AL179" s="39" t="str">
        <f>IF(getCategoryLevelAsString($B179)="L0D_324785","",IF(S179="",CONCATENATE(";",EscStr(CONCATENATE("NavNode_",getCategoryLevelAsString($B179))),";",EscStr($J179),";"),CONCATENATE(";",EscStr(CONCATENATE("NavNode_",getCategoryLevelAsString($B179))),";",EscStr(S179),";")))</f>
        <v>;"NavNode_L3D_525587";"Analizatory widma i logiczne";</v>
      </c>
      <c r="AM179" s="39" t="str">
        <f>IF(getCategoryLevelAsString($B179)="L0D_324785","",IF(T179="",CONCATENATE(";",EscStr(CONCATENATE("NavNode_",getCategoryLevelAsString($B179))),";",EscStr($J179),";"),CONCATENATE(";",EscStr(CONCATENATE("NavNode_",getCategoryLevelAsString($B179))),";",EscStr(T179),";")))</f>
        <v>;"NavNode_L3D_525587";"Спектральные и логические анализаторы";</v>
      </c>
      <c r="AN179" s="39" t="str">
        <f>IF(getCategoryLevelAsString($B179)="L0D_324785","",IF(U179="",CONCATENATE(";",EscStr(CONCATENATE("NavNode_",getCategoryLevelAsString($B179))),";",EscStr($J179),";"),CONCATENATE(";",EscStr(CONCATENATE("NavNode_",getCategoryLevelAsString($B179))),";",EscStr(U179),";")))</f>
        <v>;"NavNode_L3D_525587";"Spektrální analyzátor";</v>
      </c>
      <c r="AO179" s="39" t="str">
        <f>IF(getCategoryLevelAsString($B179)="L0D_324785","",IF(V179="",CONCATENATE(";",EscStr(CONCATENATE("NavNode_",getCategoryLevelAsString($B179))),";",EscStr($J179),";"),CONCATENATE(";",EscStr(CONCATENATE("NavNode_",getCategoryLevelAsString($B179))),";",EscStr(V179),";")))</f>
        <v>;"NavNode_L3D_525587";"Analizor de spectru";</v>
      </c>
      <c r="AP179" s="39" t="str">
        <f>IF(getCategoryLevelAsString($B179)="L0D_324785","",IF(W179="",CONCATENATE(";",EscStr(CONCATENATE("NavNode_",getCategoryLevelAsString($B179))),";",EscStr($J179),";"),CONCATENATE(";",EscStr(CONCATENATE("NavNode_",getCategoryLevelAsString($B179))),";",EscStr(W179),";")))</f>
        <v>;"NavNode_L3D_525587";"Spektrum-analizátor";</v>
      </c>
      <c r="AQ179" s="39" t="str">
        <f>IF(getCategoryLevelAsString($B179)="L0D_324785","",IF(X179="",CONCATENATE(";",EscStr(CONCATENATE("NavNode_",getCategoryLevelAsString($B179))),";",EscStr($J179),";"),CONCATENATE(";",EscStr(CONCATENATE("NavNode_",getCategoryLevelAsString($B179))),";",EscStr(X179),";")))</f>
        <v>;"NavNode_L3D_525587";"Spektrálny analyzátor";</v>
      </c>
      <c r="AR179" s="39" t="str">
        <f>IF(OR($A179&lt;&gt;"", $G179=""),"",CONCATENATE(";",EscStr(CONCATENATE("NavEntry_",getCategoryLevelAsString($B179))),";",EscStr(CONCATENATE($J179," Navigation Entry")),";",EscStr(CONCATENATE("cat-",getCategoryLevelAsString($B179))),";",EscStr(CONCATENATE("NavNode_",getCategoryLevelAsString($B179))),";"))</f>
        <v>;"NavEntry_L3D_525587";"Spectrum &amp; Logic Analysers Navigation Entry";"cat-L3D_525587";"NavNode_L3D_525587";</v>
      </c>
    </row>
    <row r="180" spans="1:44" s="34" customFormat="1" ht="15" x14ac:dyDescent="0.25">
      <c r="A180" s="25"/>
      <c r="B180" s="5"/>
      <c r="C180" s="5"/>
      <c r="D180" s="5" t="s">
        <v>830</v>
      </c>
      <c r="E180" s="5"/>
      <c r="F180" s="5"/>
      <c r="G180" s="5" t="s">
        <v>1190</v>
      </c>
      <c r="H180" s="5" t="s">
        <v>1119</v>
      </c>
      <c r="I180" s="5" t="s">
        <v>1179</v>
      </c>
      <c r="J180" s="5" t="s">
        <v>936</v>
      </c>
      <c r="K180" s="5" t="s">
        <v>1292</v>
      </c>
      <c r="L180" s="5" t="s">
        <v>1526</v>
      </c>
      <c r="M180" s="5" t="s">
        <v>1749</v>
      </c>
      <c r="N180" s="5" t="s">
        <v>1957</v>
      </c>
      <c r="O180" s="5" t="s">
        <v>3257</v>
      </c>
      <c r="P180" s="5" t="s">
        <v>3258</v>
      </c>
      <c r="Q180" s="5" t="s">
        <v>3259</v>
      </c>
      <c r="R180" s="5" t="s">
        <v>3260</v>
      </c>
      <c r="S180" s="5" t="s">
        <v>3261</v>
      </c>
      <c r="T180" s="5" t="s">
        <v>3262</v>
      </c>
      <c r="U180" s="5" t="s">
        <v>3263</v>
      </c>
      <c r="V180" s="5" t="s">
        <v>3264</v>
      </c>
      <c r="W180" s="5" t="s">
        <v>3265</v>
      </c>
      <c r="X180" s="5" t="s">
        <v>14909</v>
      </c>
      <c r="Y180" s="39" t="str">
        <f>IF(OR($A180&lt;&gt;"", $G180=""),"",CONCATENATE(";",EscStr(CONCATENATE("NavNode_",getCategoryLevelAsString($B180))),";",EscStr($J180),";",IF($B180&lt;&gt;"","""MainCategoryNavNode""",EscStr(CONCATENATE("NavNode_",getSuperCategory($B180, getCategoryLevelAsNumber($B180))))),";"))</f>
        <v>;"NavNode_L3D_525588";"Function Generators &amp; Frequency Counters";"NavNode_L2D_527482";</v>
      </c>
      <c r="Z180" s="39" t="str">
        <f>IF(getCategoryLevelAsString($B180)="L0D_324785","",IF(G180="",CONCATENATE(";",EscStr(CONCATENATE("NavNode_",getCategoryLevelAsString($B180))),";",EscStr($J180),";"),CONCATENATE(";",EscStr(CONCATENATE("NavNode_",getCategoryLevelAsString($B180))),";",EscStr(G180),";")))</f>
        <v>;"NavNode_L3D_525588";"Funktionsgeneratoren und Frequenzzähler";</v>
      </c>
      <c r="AA180" s="39" t="str">
        <f>IF(getCategoryLevelAsString($B180)="L0D_324785","",IF(H180="",CONCATENATE(";",EscStr(CONCATENATE("NavNode_",getCategoryLevelAsString($B180))),";",EscStr($J180),";"),CONCATENATE(";",EscStr(CONCATENATE("NavNode_",getCategoryLevelAsString($B180))),";",EscStr(H180),";")))</f>
        <v>;"NavNode_L3D_525588";"Générateurs de fonction et fréquencemètres";</v>
      </c>
      <c r="AB180" s="39" t="str">
        <f>IF(getCategoryLevelAsString($B180)="L0D_324785","",IF(I180="",CONCATENATE(";",EscStr(CONCATENATE("NavNode_",getCategoryLevelAsString($B180))),";",EscStr($J180),";"),CONCATENATE(";",EscStr(CONCATENATE("NavNode_",getCategoryLevelAsString($B180))),";",EscStr(I180),";")))</f>
        <v>;"NavNode_L3D_525588";"Generatori di funzioni e frequenzimetri";</v>
      </c>
      <c r="AC180" s="39" t="str">
        <f>IF(getCategoryLevelAsString($B180)="L0D_324785","",IF(J180="",CONCATENATE(";",EscStr(CONCATENATE("NavNode_",getCategoryLevelAsString($B180))),";",EscStr($J180),";"),CONCATENATE(";",EscStr(CONCATENATE("NavNode_",getCategoryLevelAsString($B180))),";",EscStr(J180),";")))</f>
        <v>;"NavNode_L3D_525588";"Function Generators &amp; Frequency Counters";</v>
      </c>
      <c r="AD180" s="39" t="str">
        <f>IF(getCategoryLevelAsString($B180)="L0D_324785","",IF(K180="",CONCATENATE(";",EscStr(CONCATENATE("NavNode_",getCategoryLevelAsString($B180))),";",EscStr($J180),";"),CONCATENATE(";",EscStr(CONCATENATE("NavNode_",getCategoryLevelAsString($B180))),";",EscStr(K180),";")))</f>
        <v>;"NavNode_L3D_525588";"Funktionsgeneratorer &amp; frekvenstællere";</v>
      </c>
      <c r="AE180" s="39" t="str">
        <f>IF(getCategoryLevelAsString($B180)="L0D_324785","",IF(L180="",CONCATENATE(";",EscStr(CONCATENATE("NavNode_",getCategoryLevelAsString($B180))),";",EscStr($J180),";"),CONCATENATE(";",EscStr(CONCATENATE("NavNode_",getCategoryLevelAsString($B180))),";",EscStr(L180),";")))</f>
        <v>;"NavNode_L3D_525588";"Funkciniai generatoriai ir dažnio skaitikliai";</v>
      </c>
      <c r="AF180" s="39" t="str">
        <f>IF(getCategoryLevelAsString($B180)="L0D_324785","",IF(M180="",CONCATENATE(";",EscStr(CONCATENATE("NavNode_",getCategoryLevelAsString($B180))),";",EscStr($J180),";"),CONCATENATE(";",EscStr(CONCATENATE("NavNode_",getCategoryLevelAsString($B180))),";",EscStr(M180),";")))</f>
        <v>;"NavNode_L3D_525588";"Funksjonsgeneratorer og frekvenstellere";</v>
      </c>
      <c r="AG180" s="39" t="str">
        <f>IF(getCategoryLevelAsString($B180)="L0D_324785","",IF(N180="",CONCATENATE(";",EscStr(CONCATENATE("NavNode_",getCategoryLevelAsString($B180))),";",EscStr($J180),";"),CONCATENATE(";",EscStr(CONCATENATE("NavNode_",getCategoryLevelAsString($B180))),";",EscStr(N180),";")))</f>
        <v>;"NavNode_L3D_525588";"Funktionsgeneratorer och frekvensräknare";</v>
      </c>
      <c r="AH180" s="39" t="str">
        <f>IF(getCategoryLevelAsString($B180)="L0D_324785","",IF(O180="",CONCATENATE(";",EscStr(CONCATENATE("NavNode_",getCategoryLevelAsString($B180))),";",EscStr($J180),";"),CONCATENATE(";",EscStr(CONCATENATE("NavNode_",getCategoryLevelAsString($B180))),";",EscStr(O180),";")))</f>
        <v>;"NavNode_L3D_525588";"Funktsiooni generaatorid ja sagedusmõõtjad";</v>
      </c>
      <c r="AI180" s="39" t="str">
        <f>IF(getCategoryLevelAsString($B180)="L0D_324785","",IF(P180="",CONCATENATE(";",EscStr(CONCATENATE("NavNode_",getCategoryLevelAsString($B180))),";",EscStr($J180),";"),CONCATENATE(";",EscStr(CONCATENATE("NavNode_",getCategoryLevelAsString($B180))),";",EscStr(P180),";")))</f>
        <v>;"NavNode_L3D_525588";"Funktiogeneraattorit ja taajuuslaskimet";</v>
      </c>
      <c r="AJ180" s="39" t="str">
        <f>IF(getCategoryLevelAsString($B180)="L0D_324785","",IF(Q180="",CONCATENATE(";",EscStr(CONCATENATE("NavNode_",getCategoryLevelAsString($B180))),";",EscStr($J180),";"),CONCATENATE(";",EscStr(CONCATENATE("NavNode_",getCategoryLevelAsString($B180))),";",EscStr(Q180),";")))</f>
        <v>;"NavNode_L3D_525588";"Funkciju ģeneratori un frekvenču skaitītāji";</v>
      </c>
      <c r="AK180" s="39" t="str">
        <f>IF(getCategoryLevelAsString($B180)="L0D_324785","",IF(R180="",CONCATENATE(";",EscStr(CONCATENATE("NavNode_",getCategoryLevelAsString($B180))),";",EscStr($J180),";"),CONCATENATE(";",EscStr(CONCATENATE("NavNode_",getCategoryLevelAsString($B180))),";",EscStr(R180),";")))</f>
        <v>;"NavNode_L3D_525588";"Function Generatoren en frequentietellers";</v>
      </c>
      <c r="AL180" s="39" t="str">
        <f>IF(getCategoryLevelAsString($B180)="L0D_324785","",IF(S180="",CONCATENATE(";",EscStr(CONCATENATE("NavNode_",getCategoryLevelAsString($B180))),";",EscStr($J180),";"),CONCATENATE(";",EscStr(CONCATENATE("NavNode_",getCategoryLevelAsString($B180))),";",EscStr(S180),";")))</f>
        <v>;"NavNode_L3D_525588";"Generatory funkcji i Liczniki częstotliwości";</v>
      </c>
      <c r="AM180" s="39" t="str">
        <f>IF(getCategoryLevelAsString($B180)="L0D_324785","",IF(T180="",CONCATENATE(";",EscStr(CONCATENATE("NavNode_",getCategoryLevelAsString($B180))),";",EscStr($J180),";"),CONCATENATE(";",EscStr(CONCATENATE("NavNode_",getCategoryLevelAsString($B180))),";",EscStr(T180),";")))</f>
        <v>;"NavNode_L3D_525588";"Генераторы функций и Частотомеры";</v>
      </c>
      <c r="AN180" s="39" t="str">
        <f>IF(getCategoryLevelAsString($B180)="L0D_324785","",IF(U180="",CONCATENATE(";",EscStr(CONCATENATE("NavNode_",getCategoryLevelAsString($B180))),";",EscStr($J180),";"),CONCATENATE(";",EscStr(CONCATENATE("NavNode_",getCategoryLevelAsString($B180))),";",EscStr(U180),";")))</f>
        <v>;"NavNode_L3D_525588";"Generátory funkci a frekvenční čítače";</v>
      </c>
      <c r="AO180" s="39" t="str">
        <f>IF(getCategoryLevelAsString($B180)="L0D_324785","",IF(V180="",CONCATENATE(";",EscStr(CONCATENATE("NavNode_",getCategoryLevelAsString($B180))),";",EscStr($J180),";"),CONCATENATE(";",EscStr(CONCATENATE("NavNode_",getCategoryLevelAsString($B180))),";",EscStr(V180),";")))</f>
        <v>;"NavNode_L3D_525588";"Generatoare de funcţii şi contor de frecvenţa";</v>
      </c>
      <c r="AP180" s="39" t="str">
        <f>IF(getCategoryLevelAsString($B180)="L0D_324785","",IF(W180="",CONCATENATE(";",EscStr(CONCATENATE("NavNode_",getCategoryLevelAsString($B180))),";",EscStr($J180),";"),CONCATENATE(";",EscStr(CONCATENATE("NavNode_",getCategoryLevelAsString($B180))),";",EscStr(W180),";")))</f>
        <v>;"NavNode_L3D_525588";"Funkciógenerátorok és frekvenciaszámlálók";</v>
      </c>
      <c r="AQ180" s="39" t="str">
        <f>IF(getCategoryLevelAsString($B180)="L0D_324785","",IF(X180="",CONCATENATE(";",EscStr(CONCATENATE("NavNode_",getCategoryLevelAsString($B180))),";",EscStr($J180),";"),CONCATENATE(";",EscStr(CONCATENATE("NavNode_",getCategoryLevelAsString($B180))),";",EscStr(X180),";")))</f>
        <v>;"NavNode_L3D_525588";"Generátory funkcii a frekvenčné čítače";</v>
      </c>
      <c r="AR180" s="39" t="str">
        <f>IF(OR($A180&lt;&gt;"", $G180=""),"",CONCATENATE(";",EscStr(CONCATENATE("NavEntry_",getCategoryLevelAsString($B180))),";",EscStr(CONCATENATE($J180," Navigation Entry")),";",EscStr(CONCATENATE("cat-",getCategoryLevelAsString($B180))),";",EscStr(CONCATENATE("NavNode_",getCategoryLevelAsString($B180))),";"))</f>
        <v>;"NavEntry_L3D_525588";"Function Generators &amp; Frequency Counters Navigation Entry";"cat-L3D_525588";"NavNode_L3D_525588";</v>
      </c>
    </row>
    <row r="181" spans="1:44" s="34" customFormat="1" ht="15" x14ac:dyDescent="0.25">
      <c r="A181" s="25"/>
      <c r="B181" s="5"/>
      <c r="C181" s="5" t="s">
        <v>831</v>
      </c>
      <c r="D181" s="5"/>
      <c r="E181" s="5"/>
      <c r="F181" s="5"/>
      <c r="G181" s="5" t="s">
        <v>1064</v>
      </c>
      <c r="H181" s="5" t="s">
        <v>1120</v>
      </c>
      <c r="I181" s="5" t="s">
        <v>1180</v>
      </c>
      <c r="J181" s="5" t="s">
        <v>263</v>
      </c>
      <c r="K181" s="5" t="s">
        <v>1293</v>
      </c>
      <c r="L181" s="5" t="s">
        <v>15160</v>
      </c>
      <c r="M181" s="5" t="s">
        <v>1750</v>
      </c>
      <c r="N181" s="5" t="s">
        <v>13980</v>
      </c>
      <c r="O181" s="5" t="s">
        <v>3266</v>
      </c>
      <c r="P181" s="5" t="s">
        <v>3267</v>
      </c>
      <c r="Q181" s="5" t="s">
        <v>3268</v>
      </c>
      <c r="R181" s="5" t="s">
        <v>3269</v>
      </c>
      <c r="S181" s="5" t="s">
        <v>3270</v>
      </c>
      <c r="T181" s="5" t="s">
        <v>3271</v>
      </c>
      <c r="U181" s="5" t="s">
        <v>3272</v>
      </c>
      <c r="V181" s="5" t="s">
        <v>3273</v>
      </c>
      <c r="W181" s="5" t="s">
        <v>3274</v>
      </c>
      <c r="X181" s="5" t="s">
        <v>14910</v>
      </c>
      <c r="Y181" s="39" t="str">
        <f>IF(OR($A181&lt;&gt;"", $G181=""),"",CONCATENATE(";",EscStr(CONCATENATE("NavNode_",getCategoryLevelAsString($B181))),";",EscStr($J181),";",IF($B181&lt;&gt;"","""MainCategoryNavNode""",EscStr(CONCATENATE("NavNode_",getSuperCategory($B181, getCategoryLevelAsNumber($B181))))),";"))</f>
        <v>;"NavNode_L2D_527997";"Panel Meters";"NavNode_Test &amp; Measurement";</v>
      </c>
      <c r="Z181" s="39" t="str">
        <f>IF(getCategoryLevelAsString($B181)="L0D_324785","",IF(G181="",CONCATENATE(";",EscStr(CONCATENATE("NavNode_",getCategoryLevelAsString($B181))),";",EscStr($J181),";"),CONCATENATE(";",EscStr(CONCATENATE("NavNode_",getCategoryLevelAsString($B181))),";",EscStr(G181),";")))</f>
        <v>;"NavNode_L2D_527997";"Einbaumessgeräte";</v>
      </c>
      <c r="AA181" s="39" t="str">
        <f>IF(getCategoryLevelAsString($B181)="L0D_324785","",IF(H181="",CONCATENATE(";",EscStr(CONCATENATE("NavNode_",getCategoryLevelAsString($B181))),";",EscStr($J181),";"),CONCATENATE(";",EscStr(CONCATENATE("NavNode_",getCategoryLevelAsString($B181))),";",EscStr(H181),";")))</f>
        <v>;"NavNode_L2D_527997";"Appareils de mesure encastrables";</v>
      </c>
      <c r="AB181" s="39" t="str">
        <f>IF(getCategoryLevelAsString($B181)="L0D_324785","",IF(I181="",CONCATENATE(";",EscStr(CONCATENATE("NavNode_",getCategoryLevelAsString($B181))),";",EscStr($J181),";"),CONCATENATE(";",EscStr(CONCATENATE("NavNode_",getCategoryLevelAsString($B181))),";",EscStr(I181),";")))</f>
        <v>;"NavNode_L2D_527997";"Strumenti da incasso";</v>
      </c>
      <c r="AC181" s="39" t="str">
        <f>IF(getCategoryLevelAsString($B181)="L0D_324785","",IF(J181="",CONCATENATE(";",EscStr(CONCATENATE("NavNode_",getCategoryLevelAsString($B181))),";",EscStr($J181),";"),CONCATENATE(";",EscStr(CONCATENATE("NavNode_",getCategoryLevelAsString($B181))),";",EscStr(J181),";")))</f>
        <v>;"NavNode_L2D_527997";"Panel Meters";</v>
      </c>
      <c r="AD181" s="39" t="str">
        <f>IF(getCategoryLevelAsString($B181)="L0D_324785","",IF(K181="",CONCATENATE(";",EscStr(CONCATENATE("NavNode_",getCategoryLevelAsString($B181))),";",EscStr($J181),";"),CONCATENATE(";",EscStr(CONCATENATE("NavNode_",getCategoryLevelAsString($B181))),";",EscStr(K181),";")))</f>
        <v>;"NavNode_L2D_527997";"Visningsenheder";</v>
      </c>
      <c r="AE181" s="39" t="str">
        <f>IF(getCategoryLevelAsString($B181)="L0D_324785","",IF(L181="",CONCATENATE(";",EscStr(CONCATENATE("NavNode_",getCategoryLevelAsString($B181))),";",EscStr($J181),";"),CONCATENATE(";",EscStr(CONCATENATE("NavNode_",getCategoryLevelAsString($B181))),";",EscStr(L181),";")))</f>
        <v>;"NavNode_L2D_527997";"Matavimo prietaisai elektros skydams";</v>
      </c>
      <c r="AF181" s="39" t="str">
        <f>IF(getCategoryLevelAsString($B181)="L0D_324785","",IF(M181="",CONCATENATE(";",EscStr(CONCATENATE("NavNode_",getCategoryLevelAsString($B181))),";",EscStr($J181),";"),CONCATENATE(";",EscStr(CONCATENATE("NavNode_",getCategoryLevelAsString($B181))),";",EscStr(M181),";")))</f>
        <v>;"NavNode_L2D_527997";"Panelinstrumenter";</v>
      </c>
      <c r="AG181" s="39" t="str">
        <f>IF(getCategoryLevelAsString($B181)="L0D_324785","",IF(N181="",CONCATENATE(";",EscStr(CONCATENATE("NavNode_",getCategoryLevelAsString($B181))),";",EscStr($J181),";"),CONCATENATE(";",EscStr(CONCATENATE("NavNode_",getCategoryLevelAsString($B181))),";",EscStr(N181),";")))</f>
        <v>;"NavNode_L2D_527997";"Panelinstrument";</v>
      </c>
      <c r="AH181" s="39" t="str">
        <f>IF(getCategoryLevelAsString($B181)="L0D_324785","",IF(O181="",CONCATENATE(";",EscStr(CONCATENATE("NavNode_",getCategoryLevelAsString($B181))),";",EscStr($J181),";"),CONCATENATE(";",EscStr(CONCATENATE("NavNode_",getCategoryLevelAsString($B181))),";",EscStr(O181),";")))</f>
        <v>;"NavNode_L2D_527997";"Paneelmeetrid";</v>
      </c>
      <c r="AI181" s="39" t="str">
        <f>IF(getCategoryLevelAsString($B181)="L0D_324785","",IF(P181="",CONCATENATE(";",EscStr(CONCATENATE("NavNode_",getCategoryLevelAsString($B181))),";",EscStr($J181),";"),CONCATENATE(";",EscStr(CONCATENATE("NavNode_",getCategoryLevelAsString($B181))),";",EscStr(P181),";")))</f>
        <v>;"NavNode_L2D_527997";"Paneelimittarit";</v>
      </c>
      <c r="AJ181" s="39" t="str">
        <f>IF(getCategoryLevelAsString($B181)="L0D_324785","",IF(Q181="",CONCATENATE(";",EscStr(CONCATENATE("NavNode_",getCategoryLevelAsString($B181))),";",EscStr($J181),";"),CONCATENATE(";",EscStr(CONCATENATE("NavNode_",getCategoryLevelAsString($B181))),";",EscStr(Q181),";")))</f>
        <v>;"NavNode_L2D_527997";"Panelmetri";</v>
      </c>
      <c r="AK181" s="39" t="str">
        <f>IF(getCategoryLevelAsString($B181)="L0D_324785","",IF(R181="",CONCATENATE(";",EscStr(CONCATENATE("NavNode_",getCategoryLevelAsString($B181))),";",EscStr($J181),";"),CONCATENATE(";",EscStr(CONCATENATE("NavNode_",getCategoryLevelAsString($B181))),";",EscStr(R181),";")))</f>
        <v>;"NavNode_L2D_527997";"Paneelmeters";</v>
      </c>
      <c r="AL181" s="39" t="str">
        <f>IF(getCategoryLevelAsString($B181)="L0D_324785","",IF(S181="",CONCATENATE(";",EscStr(CONCATENATE("NavNode_",getCategoryLevelAsString($B181))),";",EscStr($J181),";"),CONCATENATE(";",EscStr(CONCATENATE("NavNode_",getCategoryLevelAsString($B181))),";",EscStr(S181),";")))</f>
        <v>;"NavNode_L2D_527997";"Mierniki tablicowe";</v>
      </c>
      <c r="AM181" s="39" t="str">
        <f>IF(getCategoryLevelAsString($B181)="L0D_324785","",IF(T181="",CONCATENATE(";",EscStr(CONCATENATE("NavNode_",getCategoryLevelAsString($B181))),";",EscStr($J181),";"),CONCATENATE(";",EscStr(CONCATENATE("NavNode_",getCategoryLevelAsString($B181))),";",EscStr(T181),";")))</f>
        <v>;"NavNode_L2D_527997";"Панельные измерители";</v>
      </c>
      <c r="AN181" s="39" t="str">
        <f>IF(getCategoryLevelAsString($B181)="L0D_324785","",IF(U181="",CONCATENATE(";",EscStr(CONCATENATE("NavNode_",getCategoryLevelAsString($B181))),";",EscStr($J181),";"),CONCATENATE(";",EscStr(CONCATENATE("NavNode_",getCategoryLevelAsString($B181))),";",EscStr(U181),";")))</f>
        <v>;"NavNode_L2D_527997";"Panelové přístroje";</v>
      </c>
      <c r="AO181" s="39" t="str">
        <f>IF(getCategoryLevelAsString($B181)="L0D_324785","",IF(V181="",CONCATENATE(";",EscStr(CONCATENATE("NavNode_",getCategoryLevelAsString($B181))),";",EscStr($J181),";"),CONCATENATE(";",EscStr(CONCATENATE("NavNode_",getCategoryLevelAsString($B181))),";",EscStr(V181),";")))</f>
        <v>;"NavNode_L2D_527997";"Aparate de măsură pentru panouri de comandă";</v>
      </c>
      <c r="AP181" s="39" t="str">
        <f>IF(getCategoryLevelAsString($B181)="L0D_324785","",IF(W181="",CONCATENATE(";",EscStr(CONCATENATE("NavNode_",getCategoryLevelAsString($B181))),";",EscStr($J181),";"),CONCATENATE(";",EscStr(CONCATENATE("NavNode_",getCategoryLevelAsString($B181))),";",EscStr(W181),";")))</f>
        <v>;"NavNode_L2D_527997";"Beépíthető műszer";</v>
      </c>
      <c r="AQ181" s="39" t="str">
        <f>IF(getCategoryLevelAsString($B181)="L0D_324785","",IF(X181="",CONCATENATE(";",EscStr(CONCATENATE("NavNode_",getCategoryLevelAsString($B181))),";",EscStr($J181),";"),CONCATENATE(";",EscStr(CONCATENATE("NavNode_",getCategoryLevelAsString($B181))),";",EscStr(X181),";")))</f>
        <v>;"NavNode_L2D_527997";"Panelové prístroje";</v>
      </c>
      <c r="AR181" s="39" t="str">
        <f>IF(OR($A181&lt;&gt;"", $G181=""),"",CONCATENATE(";",EscStr(CONCATENATE("NavEntry_",getCategoryLevelAsString($B181))),";",EscStr(CONCATENATE($J181," Navigation Entry")),";",EscStr(CONCATENATE("cat-",getCategoryLevelAsString($B181))),";",EscStr(CONCATENATE("NavNode_",getCategoryLevelAsString($B181))),";"))</f>
        <v>;"NavEntry_L2D_527997";"Panel Meters Navigation Entry";"cat-L2D_527997";"NavNode_L2D_527997";</v>
      </c>
    </row>
    <row r="182" spans="1:44" s="34" customFormat="1" ht="15" x14ac:dyDescent="0.25">
      <c r="A182" s="25"/>
      <c r="B182" s="5"/>
      <c r="C182" s="5"/>
      <c r="D182" s="5" t="s">
        <v>832</v>
      </c>
      <c r="E182" s="5"/>
      <c r="F182" s="5"/>
      <c r="G182" s="5" t="s">
        <v>2296</v>
      </c>
      <c r="H182" s="5" t="s">
        <v>1121</v>
      </c>
      <c r="I182" s="5" t="s">
        <v>2297</v>
      </c>
      <c r="J182" s="5" t="s">
        <v>2298</v>
      </c>
      <c r="K182" s="5" t="s">
        <v>2299</v>
      </c>
      <c r="L182" s="5" t="s">
        <v>15161</v>
      </c>
      <c r="M182" s="5" t="s">
        <v>2299</v>
      </c>
      <c r="N182" s="5" t="s">
        <v>13981</v>
      </c>
      <c r="O182" s="5" t="s">
        <v>2302</v>
      </c>
      <c r="P182" s="5" t="s">
        <v>2303</v>
      </c>
      <c r="Q182" s="5" t="s">
        <v>2304</v>
      </c>
      <c r="R182" s="5" t="s">
        <v>2305</v>
      </c>
      <c r="S182" s="5" t="s">
        <v>2306</v>
      </c>
      <c r="T182" s="5" t="s">
        <v>2307</v>
      </c>
      <c r="U182" s="5" t="s">
        <v>2308</v>
      </c>
      <c r="V182" s="5" t="s">
        <v>2309</v>
      </c>
      <c r="W182" s="5" t="s">
        <v>2310</v>
      </c>
      <c r="X182" s="5" t="s">
        <v>14911</v>
      </c>
      <c r="Y182" s="39" t="str">
        <f>IF(OR($A182&lt;&gt;"", $G182=""),"",CONCATENATE(";",EscStr(CONCATENATE("NavNode_",getCategoryLevelAsString($B182))),";",EscStr($J182),";",IF($B182&lt;&gt;"","""MainCategoryNavNode""",EscStr(CONCATENATE("NavNode_",getSuperCategory($B182, getCategoryLevelAsNumber($B182))))),";"))</f>
        <v>;"NavNode_L3D_532322";"Panel Meters, Analogue";"NavNode_L2D_527997";</v>
      </c>
      <c r="Z182" s="39" t="str">
        <f>IF(getCategoryLevelAsString($B182)="L0D_324785","",IF(G182="",CONCATENATE(";",EscStr(CONCATENATE("NavNode_",getCategoryLevelAsString($B182))),";",EscStr($J182),";"),CONCATENATE(";",EscStr(CONCATENATE("NavNode_",getCategoryLevelAsString($B182))),";",EscStr(G182),";")))</f>
        <v>;"NavNode_L3D_532322";"Anzeigeinstrumente, analog";</v>
      </c>
      <c r="AA182" s="39" t="str">
        <f>IF(getCategoryLevelAsString($B182)="L0D_324785","",IF(H182="",CONCATENATE(";",EscStr(CONCATENATE("NavNode_",getCategoryLevelAsString($B182))),";",EscStr($J182),";"),CONCATENATE(";",EscStr(CONCATENATE("NavNode_",getCategoryLevelAsString($B182))),";",EscStr(H182),";")))</f>
        <v>;"NavNode_L3D_532322";"Instruments d'affichage analogiques";</v>
      </c>
      <c r="AB182" s="39" t="str">
        <f>IF(getCategoryLevelAsString($B182)="L0D_324785","",IF(I182="",CONCATENATE(";",EscStr(CONCATENATE("NavNode_",getCategoryLevelAsString($B182))),";",EscStr($J182),";"),CONCATENATE(";",EscStr(CONCATENATE("NavNode_",getCategoryLevelAsString($B182))),";",EscStr(I182),";")))</f>
        <v>;"NavNode_L3D_532322";"Indicatori analogici";</v>
      </c>
      <c r="AC182" s="39" t="str">
        <f>IF(getCategoryLevelAsString($B182)="L0D_324785","",IF(J182="",CONCATENATE(";",EscStr(CONCATENATE("NavNode_",getCategoryLevelAsString($B182))),";",EscStr($J182),";"),CONCATENATE(";",EscStr(CONCATENATE("NavNode_",getCategoryLevelAsString($B182))),";",EscStr(J182),";")))</f>
        <v>;"NavNode_L3D_532322";"Panel Meters, Analogue";</v>
      </c>
      <c r="AD182" s="39" t="str">
        <f>IF(getCategoryLevelAsString($B182)="L0D_324785","",IF(K182="",CONCATENATE(";",EscStr(CONCATENATE("NavNode_",getCategoryLevelAsString($B182))),";",EscStr($J182),";"),CONCATENATE(";",EscStr(CONCATENATE("NavNode_",getCategoryLevelAsString($B182))),";",EscStr(K182),";")))</f>
        <v>;"NavNode_L3D_532322";"Panelinstrumenter, analoge";</v>
      </c>
      <c r="AE182" s="39" t="str">
        <f>IF(getCategoryLevelAsString($B182)="L0D_324785","",IF(L182="",CONCATENATE(";",EscStr(CONCATENATE("NavNode_",getCategoryLevelAsString($B182))),";",EscStr($J182),";"),CONCATENATE(";",EscStr(CONCATENATE("NavNode_",getCategoryLevelAsString($B182))),";",EscStr(L182),";")))</f>
        <v>;"NavNode_L3D_532322";"Analoginiai matuokliai elektros skydams";</v>
      </c>
      <c r="AF182" s="39" t="str">
        <f>IF(getCategoryLevelAsString($B182)="L0D_324785","",IF(M182="",CONCATENATE(";",EscStr(CONCATENATE("NavNode_",getCategoryLevelAsString($B182))),";",EscStr($J182),";"),CONCATENATE(";",EscStr(CONCATENATE("NavNode_",getCategoryLevelAsString($B182))),";",EscStr(M182),";")))</f>
        <v>;"NavNode_L3D_532322";"Panelinstrumenter, analoge";</v>
      </c>
      <c r="AG182" s="39" t="str">
        <f>IF(getCategoryLevelAsString($B182)="L0D_324785","",IF(N182="",CONCATENATE(";",EscStr(CONCATENATE("NavNode_",getCategoryLevelAsString($B182))),";",EscStr($J182),";"),CONCATENATE(";",EscStr(CONCATENATE("NavNode_",getCategoryLevelAsString($B182))),";",EscStr(N182),";")))</f>
        <v>;"NavNode_L3D_532322";"Panelinstrument, analoga";</v>
      </c>
      <c r="AH182" s="39" t="str">
        <f>IF(getCategoryLevelAsString($B182)="L0D_324785","",IF(O182="",CONCATENATE(";",EscStr(CONCATENATE("NavNode_",getCategoryLevelAsString($B182))),";",EscStr($J182),";"),CONCATENATE(";",EscStr(CONCATENATE("NavNode_",getCategoryLevelAsString($B182))),";",EscStr(O182),";")))</f>
        <v>;"NavNode_L3D_532322";"Paneeli mõõdikud, analoogne";</v>
      </c>
      <c r="AI182" s="39" t="str">
        <f>IF(getCategoryLevelAsString($B182)="L0D_324785","",IF(P182="",CONCATENATE(";",EscStr(CONCATENATE("NavNode_",getCategoryLevelAsString($B182))),";",EscStr($J182),";"),CONCATENATE(";",EscStr(CONCATENATE("NavNode_",getCategoryLevelAsString($B182))),";",EscStr(P182),";")))</f>
        <v>;"NavNode_L3D_532322";"Paneelimittarit, analogiset";</v>
      </c>
      <c r="AJ182" s="39" t="str">
        <f>IF(getCategoryLevelAsString($B182)="L0D_324785","",IF(Q182="",CONCATENATE(";",EscStr(CONCATENATE("NavNode_",getCategoryLevelAsString($B182))),";",EscStr($J182),";"),CONCATENATE(";",EscStr(CONCATENATE("NavNode_",getCategoryLevelAsString($B182))),";",EscStr(Q182),";")))</f>
        <v>;"NavNode_L3D_532322";"Galvanometri, analogi";</v>
      </c>
      <c r="AK182" s="39" t="str">
        <f>IF(getCategoryLevelAsString($B182)="L0D_324785","",IF(R182="",CONCATENATE(";",EscStr(CONCATENATE("NavNode_",getCategoryLevelAsString($B182))),";",EscStr($J182),";"),CONCATENATE(";",EscStr(CONCATENATE("NavNode_",getCategoryLevelAsString($B182))),";",EscStr(R182),";")))</f>
        <v>;"NavNode_L3D_532322";"Paneelmeters, analoog";</v>
      </c>
      <c r="AL182" s="39" t="str">
        <f>IF(getCategoryLevelAsString($B182)="L0D_324785","",IF(S182="",CONCATENATE(";",EscStr(CONCATENATE("NavNode_",getCategoryLevelAsString($B182))),";",EscStr($J182),";"),CONCATENATE(";",EscStr(CONCATENATE("NavNode_",getCategoryLevelAsString($B182))),";",EscStr(S182),";")))</f>
        <v>;"NavNode_L3D_532322";"Mierniki panelowe, analogowe";</v>
      </c>
      <c r="AM182" s="39" t="str">
        <f>IF(getCategoryLevelAsString($B182)="L0D_324785","",IF(T182="",CONCATENATE(";",EscStr(CONCATENATE("NavNode_",getCategoryLevelAsString($B182))),";",EscStr($J182),";"),CONCATENATE(";",EscStr(CONCATENATE("NavNode_",getCategoryLevelAsString($B182))),";",EscStr(T182),";")))</f>
        <v>;"NavNode_L3D_532322";"Измерительные приборы с индикаторными панелями, аналоговые";</v>
      </c>
      <c r="AN182" s="39" t="str">
        <f>IF(getCategoryLevelAsString($B182)="L0D_324785","",IF(U182="",CONCATENATE(";",EscStr(CONCATENATE("NavNode_",getCategoryLevelAsString($B182))),";",EscStr($J182),";"),CONCATENATE(";",EscStr(CONCATENATE("NavNode_",getCategoryLevelAsString($B182))),";",EscStr(U182),";")))</f>
        <v>;"NavNode_L3D_532322";"Panelové měřicí přístroje, analogové";</v>
      </c>
      <c r="AO182" s="39" t="str">
        <f>IF(getCategoryLevelAsString($B182)="L0D_324785","",IF(V182="",CONCATENATE(";",EscStr(CONCATENATE("NavNode_",getCategoryLevelAsString($B182))),";",EscStr($J182),";"),CONCATENATE(";",EscStr(CONCATENATE("NavNode_",getCategoryLevelAsString($B182))),";",EscStr(V182),";")))</f>
        <v>;"NavNode_L3D_532322";"Aparate de măsurat panouri, analogice";</v>
      </c>
      <c r="AP182" s="39" t="str">
        <f>IF(getCategoryLevelAsString($B182)="L0D_324785","",IF(W182="",CONCATENATE(";",EscStr(CONCATENATE("NavNode_",getCategoryLevelAsString($B182))),";",EscStr($J182),";"),CONCATENATE(";",EscStr(CONCATENATE("NavNode_",getCategoryLevelAsString($B182))),";",EscStr(W182),";")))</f>
        <v>;"NavNode_L3D_532322";"Panelmérők, analóg";</v>
      </c>
      <c r="AQ182" s="39" t="str">
        <f>IF(getCategoryLevelAsString($B182)="L0D_324785","",IF(X182="",CONCATENATE(";",EscStr(CONCATENATE("NavNode_",getCategoryLevelAsString($B182))),";",EscStr($J182),";"),CONCATENATE(";",EscStr(CONCATENATE("NavNode_",getCategoryLevelAsString($B182))),";",EscStr(X182),";")))</f>
        <v>;"NavNode_L3D_532322";"Analógové meracie prístroje";</v>
      </c>
      <c r="AR182" s="39" t="str">
        <f>IF(OR($A182&lt;&gt;"", $G182=""),"",CONCATENATE(";",EscStr(CONCATENATE("NavEntry_",getCategoryLevelAsString($B182))),";",EscStr(CONCATENATE($J182," Navigation Entry")),";",EscStr(CONCATENATE("cat-",getCategoryLevelAsString($B182))),";",EscStr(CONCATENATE("NavNode_",getCategoryLevelAsString($B182))),";"))</f>
        <v>;"NavEntry_L3D_532322";"Panel Meters, Analogue Navigation Entry";"cat-L3D_532322";"NavNode_L3D_532322";</v>
      </c>
    </row>
    <row r="183" spans="1:44" s="34" customFormat="1" ht="15" x14ac:dyDescent="0.25">
      <c r="A183" s="25"/>
      <c r="B183" s="5"/>
      <c r="C183" s="5"/>
      <c r="D183" s="5" t="s">
        <v>833</v>
      </c>
      <c r="E183" s="5"/>
      <c r="F183" s="5"/>
      <c r="G183" s="5" t="s">
        <v>2311</v>
      </c>
      <c r="H183" s="5" t="s">
        <v>1122</v>
      </c>
      <c r="I183" s="5" t="s">
        <v>2312</v>
      </c>
      <c r="J183" s="5" t="s">
        <v>2313</v>
      </c>
      <c r="K183" s="5" t="s">
        <v>2314</v>
      </c>
      <c r="L183" s="5" t="s">
        <v>15162</v>
      </c>
      <c r="M183" s="5" t="s">
        <v>2314</v>
      </c>
      <c r="N183" s="5" t="s">
        <v>13982</v>
      </c>
      <c r="O183" s="5" t="s">
        <v>2317</v>
      </c>
      <c r="P183" s="5" t="s">
        <v>2318</v>
      </c>
      <c r="Q183" s="5" t="s">
        <v>2319</v>
      </c>
      <c r="R183" s="5" t="s">
        <v>2320</v>
      </c>
      <c r="S183" s="5" t="s">
        <v>2321</v>
      </c>
      <c r="T183" s="5" t="s">
        <v>2322</v>
      </c>
      <c r="U183" s="5" t="s">
        <v>2323</v>
      </c>
      <c r="V183" s="5" t="s">
        <v>2324</v>
      </c>
      <c r="W183" s="5" t="s">
        <v>2325</v>
      </c>
      <c r="X183" s="5" t="s">
        <v>14912</v>
      </c>
      <c r="Y183" s="39" t="str">
        <f>IF(OR($A183&lt;&gt;"", $G183=""),"",CONCATENATE(";",EscStr(CONCATENATE("NavNode_",getCategoryLevelAsString($B183))),";",EscStr($J183),";",IF($B183&lt;&gt;"","""MainCategoryNavNode""",EscStr(CONCATENATE("NavNode_",getSuperCategory($B183, getCategoryLevelAsNumber($B183))))),";"))</f>
        <v>;"NavNode_L3D_532324";"Panel Meters, Digital";"NavNode_L2D_527997";</v>
      </c>
      <c r="Z183" s="39" t="str">
        <f>IF(getCategoryLevelAsString($B183)="L0D_324785","",IF(G183="",CONCATENATE(";",EscStr(CONCATENATE("NavNode_",getCategoryLevelAsString($B183))),";",EscStr($J183),";"),CONCATENATE(";",EscStr(CONCATENATE("NavNode_",getCategoryLevelAsString($B183))),";",EscStr(G183),";")))</f>
        <v>;"NavNode_L3D_532324";"Anzeigeinstrumente, digitale";</v>
      </c>
      <c r="AA183" s="39" t="str">
        <f>IF(getCategoryLevelAsString($B183)="L0D_324785","",IF(H183="",CONCATENATE(";",EscStr(CONCATENATE("NavNode_",getCategoryLevelAsString($B183))),";",EscStr($J183),";"),CONCATENATE(";",EscStr(CONCATENATE("NavNode_",getCategoryLevelAsString($B183))),";",EscStr(H183),";")))</f>
        <v>;"NavNode_L3D_532324";"Instruments d'affichage numériques";</v>
      </c>
      <c r="AB183" s="39" t="str">
        <f>IF(getCategoryLevelAsString($B183)="L0D_324785","",IF(I183="",CONCATENATE(";",EscStr(CONCATENATE("NavNode_",getCategoryLevelAsString($B183))),";",EscStr($J183),";"),CONCATENATE(";",EscStr(CONCATENATE("NavNode_",getCategoryLevelAsString($B183))),";",EscStr(I183),";")))</f>
        <v>;"NavNode_L3D_532324";"Indicatori digitali";</v>
      </c>
      <c r="AC183" s="39" t="str">
        <f>IF(getCategoryLevelAsString($B183)="L0D_324785","",IF(J183="",CONCATENATE(";",EscStr(CONCATENATE("NavNode_",getCategoryLevelAsString($B183))),";",EscStr($J183),";"),CONCATENATE(";",EscStr(CONCATENATE("NavNode_",getCategoryLevelAsString($B183))),";",EscStr(J183),";")))</f>
        <v>;"NavNode_L3D_532324";"Panel Meters, Digital";</v>
      </c>
      <c r="AD183" s="39" t="str">
        <f>IF(getCategoryLevelAsString($B183)="L0D_324785","",IF(K183="",CONCATENATE(";",EscStr(CONCATENATE("NavNode_",getCategoryLevelAsString($B183))),";",EscStr($J183),";"),CONCATENATE(";",EscStr(CONCATENATE("NavNode_",getCategoryLevelAsString($B183))),";",EscStr(K183),";")))</f>
        <v>;"NavNode_L3D_532324";"Panelinstrumenter, digitale";</v>
      </c>
      <c r="AE183" s="39" t="str">
        <f>IF(getCategoryLevelAsString($B183)="L0D_324785","",IF(L183="",CONCATENATE(";",EscStr(CONCATENATE("NavNode_",getCategoryLevelAsString($B183))),";",EscStr($J183),";"),CONCATENATE(";",EscStr(CONCATENATE("NavNode_",getCategoryLevelAsString($B183))),";",EscStr(L183),";")))</f>
        <v>;"NavNode_L3D_532324";"Skaitmeniniai matuokliai elektros skydams";</v>
      </c>
      <c r="AF183" s="39" t="str">
        <f>IF(getCategoryLevelAsString($B183)="L0D_324785","",IF(M183="",CONCATENATE(";",EscStr(CONCATENATE("NavNode_",getCategoryLevelAsString($B183))),";",EscStr($J183),";"),CONCATENATE(";",EscStr(CONCATENATE("NavNode_",getCategoryLevelAsString($B183))),";",EscStr(M183),";")))</f>
        <v>;"NavNode_L3D_532324";"Panelinstrumenter, digitale";</v>
      </c>
      <c r="AG183" s="39" t="str">
        <f>IF(getCategoryLevelAsString($B183)="L0D_324785","",IF(N183="",CONCATENATE(";",EscStr(CONCATENATE("NavNode_",getCategoryLevelAsString($B183))),";",EscStr($J183),";"),CONCATENATE(";",EscStr(CONCATENATE("NavNode_",getCategoryLevelAsString($B183))),";",EscStr(N183),";")))</f>
        <v>;"NavNode_L3D_532324";"Panelinstrument, digitala";</v>
      </c>
      <c r="AH183" s="39" t="str">
        <f>IF(getCategoryLevelAsString($B183)="L0D_324785","",IF(O183="",CONCATENATE(";",EscStr(CONCATENATE("NavNode_",getCategoryLevelAsString($B183))),";",EscStr($J183),";"),CONCATENATE(";",EscStr(CONCATENATE("NavNode_",getCategoryLevelAsString($B183))),";",EscStr(O183),";")))</f>
        <v>;"NavNode_L3D_532324";"Paneeli mõõdikud, digitaalne";</v>
      </c>
      <c r="AI183" s="39" t="str">
        <f>IF(getCategoryLevelAsString($B183)="L0D_324785","",IF(P183="",CONCATENATE(";",EscStr(CONCATENATE("NavNode_",getCategoryLevelAsString($B183))),";",EscStr($J183),";"),CONCATENATE(";",EscStr(CONCATENATE("NavNode_",getCategoryLevelAsString($B183))),";",EscStr(P183),";")))</f>
        <v>;"NavNode_L3D_532324";"Paneelimittarit, digitaaliset";</v>
      </c>
      <c r="AJ183" s="39" t="str">
        <f>IF(getCategoryLevelAsString($B183)="L0D_324785","",IF(Q183="",CONCATENATE(";",EscStr(CONCATENATE("NavNode_",getCategoryLevelAsString($B183))),";",EscStr($J183),";"),CONCATENATE(";",EscStr(CONCATENATE("NavNode_",getCategoryLevelAsString($B183))),";",EscStr(Q183),";")))</f>
        <v>;"NavNode_L3D_532324";"Galvanometri, digitāli";</v>
      </c>
      <c r="AK183" s="39" t="str">
        <f>IF(getCategoryLevelAsString($B183)="L0D_324785","",IF(R183="",CONCATENATE(";",EscStr(CONCATENATE("NavNode_",getCategoryLevelAsString($B183))),";",EscStr($J183),";"),CONCATENATE(";",EscStr(CONCATENATE("NavNode_",getCategoryLevelAsString($B183))),";",EscStr(R183),";")))</f>
        <v>;"NavNode_L3D_532324";"Paneelmeters, digitaal";</v>
      </c>
      <c r="AL183" s="39" t="str">
        <f>IF(getCategoryLevelAsString($B183)="L0D_324785","",IF(S183="",CONCATENATE(";",EscStr(CONCATENATE("NavNode_",getCategoryLevelAsString($B183))),";",EscStr($J183),";"),CONCATENATE(";",EscStr(CONCATENATE("NavNode_",getCategoryLevelAsString($B183))),";",EscStr(S183),";")))</f>
        <v>;"NavNode_L3D_532324";"Mierniki panelowe, cyfrowe";</v>
      </c>
      <c r="AM183" s="39" t="str">
        <f>IF(getCategoryLevelAsString($B183)="L0D_324785","",IF(T183="",CONCATENATE(";",EscStr(CONCATENATE("NavNode_",getCategoryLevelAsString($B183))),";",EscStr($J183),";"),CONCATENATE(";",EscStr(CONCATENATE("NavNode_",getCategoryLevelAsString($B183))),";",EscStr(T183),";")))</f>
        <v>;"NavNode_L3D_532324";"Измерительные приборы с индикаторными панелями, цифровые";</v>
      </c>
      <c r="AN183" s="39" t="str">
        <f>IF(getCategoryLevelAsString($B183)="L0D_324785","",IF(U183="",CONCATENATE(";",EscStr(CONCATENATE("NavNode_",getCategoryLevelAsString($B183))),";",EscStr($J183),";"),CONCATENATE(";",EscStr(CONCATENATE("NavNode_",getCategoryLevelAsString($B183))),";",EscStr(U183),";")))</f>
        <v>;"NavNode_L3D_532324";"Panelové měřicí přístroje, digitální";</v>
      </c>
      <c r="AO183" s="39" t="str">
        <f>IF(getCategoryLevelAsString($B183)="L0D_324785","",IF(V183="",CONCATENATE(";",EscStr(CONCATENATE("NavNode_",getCategoryLevelAsString($B183))),";",EscStr($J183),";"),CONCATENATE(";",EscStr(CONCATENATE("NavNode_",getCategoryLevelAsString($B183))),";",EscStr(V183),";")))</f>
        <v>;"NavNode_L3D_532324";"Aparate de măsurat panouri, digitale";</v>
      </c>
      <c r="AP183" s="39" t="str">
        <f>IF(getCategoryLevelAsString($B183)="L0D_324785","",IF(W183="",CONCATENATE(";",EscStr(CONCATENATE("NavNode_",getCategoryLevelAsString($B183))),";",EscStr($J183),";"),CONCATENATE(";",EscStr(CONCATENATE("NavNode_",getCategoryLevelAsString($B183))),";",EscStr(W183),";")))</f>
        <v>;"NavNode_L3D_532324";"Panelmérők, digitális";</v>
      </c>
      <c r="AQ183" s="39" t="str">
        <f>IF(getCategoryLevelAsString($B183)="L0D_324785","",IF(X183="",CONCATENATE(";",EscStr(CONCATENATE("NavNode_",getCategoryLevelAsString($B183))),";",EscStr($J183),";"),CONCATENATE(";",EscStr(CONCATENATE("NavNode_",getCategoryLevelAsString($B183))),";",EscStr(X183),";")))</f>
        <v>;"NavNode_L3D_532324";"Digitálne meracie prístroje";</v>
      </c>
      <c r="AR183" s="39" t="str">
        <f>IF(OR($A183&lt;&gt;"", $G183=""),"",CONCATENATE(";",EscStr(CONCATENATE("NavEntry_",getCategoryLevelAsString($B183))),";",EscStr(CONCATENATE($J183," Navigation Entry")),";",EscStr(CONCATENATE("cat-",getCategoryLevelAsString($B183))),";",EscStr(CONCATENATE("NavNode_",getCategoryLevelAsString($B183))),";"))</f>
        <v>;"NavEntry_L3D_532324";"Panel Meters, Digital Navigation Entry";"cat-L3D_532324";"NavNode_L3D_532324";</v>
      </c>
    </row>
    <row r="184" spans="1:44" s="34" customFormat="1" ht="15" x14ac:dyDescent="0.25">
      <c r="A184" s="25"/>
      <c r="B184" s="5"/>
      <c r="C184" s="5"/>
      <c r="D184" s="5" t="s">
        <v>834</v>
      </c>
      <c r="E184" s="5"/>
      <c r="F184" s="5"/>
      <c r="G184" s="5" t="s">
        <v>1065</v>
      </c>
      <c r="H184" s="5" t="s">
        <v>1123</v>
      </c>
      <c r="I184" s="5" t="s">
        <v>1181</v>
      </c>
      <c r="J184" s="5" t="s">
        <v>937</v>
      </c>
      <c r="K184" s="5" t="s">
        <v>1294</v>
      </c>
      <c r="L184" s="5" t="s">
        <v>15163</v>
      </c>
      <c r="M184" s="5" t="s">
        <v>1751</v>
      </c>
      <c r="N184" s="48" t="s">
        <v>15443</v>
      </c>
      <c r="O184" s="5" t="s">
        <v>3275</v>
      </c>
      <c r="P184" s="5" t="s">
        <v>3276</v>
      </c>
      <c r="Q184" s="5" t="s">
        <v>3277</v>
      </c>
      <c r="R184" s="5" t="s">
        <v>3278</v>
      </c>
      <c r="S184" s="5" t="s">
        <v>3279</v>
      </c>
      <c r="T184" s="5" t="s">
        <v>3280</v>
      </c>
      <c r="U184" s="5" t="s">
        <v>3281</v>
      </c>
      <c r="V184" s="5" t="s">
        <v>3282</v>
      </c>
      <c r="W184" s="5" t="s">
        <v>3283</v>
      </c>
      <c r="X184" s="5" t="s">
        <v>14913</v>
      </c>
      <c r="Y184" s="39" t="str">
        <f>IF(OR($A184&lt;&gt;"", $G184=""),"",CONCATENATE(";",EscStr(CONCATENATE("NavNode_",getCategoryLevelAsString($B184))),";",EscStr($J184),";",IF($B184&lt;&gt;"","""MainCategoryNavNode""",EscStr(CONCATENATE("NavNode_",getSuperCategory($B184, getCategoryLevelAsNumber($B184))))),";"))</f>
        <v>;"NavNode_L3D_532326";"Shunt resistors &amp; Converters";"NavNode_L2D_527997";</v>
      </c>
      <c r="Z184" s="39" t="str">
        <f>IF(getCategoryLevelAsString($B184)="L0D_324785","",IF(G184="",CONCATENATE(";",EscStr(CONCATENATE("NavNode_",getCategoryLevelAsString($B184))),";",EscStr($J184),";"),CONCATENATE(";",EscStr(CONCATENATE("NavNode_",getCategoryLevelAsString($B184))),";",EscStr(G184),";")))</f>
        <v>;"NavNode_L3D_532326";"Shunt Widerstände und Wandler";</v>
      </c>
      <c r="AA184" s="39" t="str">
        <f>IF(getCategoryLevelAsString($B184)="L0D_324785","",IF(H184="",CONCATENATE(";",EscStr(CONCATENATE("NavNode_",getCategoryLevelAsString($B184))),";",EscStr($J184),";"),CONCATENATE(";",EscStr(CONCATENATE("NavNode_",getCategoryLevelAsString($B184))),";",EscStr(H184),";")))</f>
        <v>;"NavNode_L3D_532326";"Résistances Shunt et convertisseurs";</v>
      </c>
      <c r="AB184" s="39" t="str">
        <f>IF(getCategoryLevelAsString($B184)="L0D_324785","",IF(I184="",CONCATENATE(";",EscStr(CONCATENATE("NavNode_",getCategoryLevelAsString($B184))),";",EscStr($J184),";"),CONCATENATE(";",EscStr(CONCATENATE("NavNode_",getCategoryLevelAsString($B184))),";",EscStr(I184),";")))</f>
        <v>;"NavNode_L3D_532326";"Resistenze shunt e convertitori";</v>
      </c>
      <c r="AC184" s="39" t="str">
        <f>IF(getCategoryLevelAsString($B184)="L0D_324785","",IF(J184="",CONCATENATE(";",EscStr(CONCATENATE("NavNode_",getCategoryLevelAsString($B184))),";",EscStr($J184),";"),CONCATENATE(";",EscStr(CONCATENATE("NavNode_",getCategoryLevelAsString($B184))),";",EscStr(J184),";")))</f>
        <v>;"NavNode_L3D_532326";"Shunt resistors &amp; Converters";</v>
      </c>
      <c r="AD184" s="39" t="str">
        <f>IF(getCategoryLevelAsString($B184)="L0D_324785","",IF(K184="",CONCATENATE(";",EscStr(CONCATENATE("NavNode_",getCategoryLevelAsString($B184))),";",EscStr($J184),";"),CONCATENATE(";",EscStr(CONCATENATE("NavNode_",getCategoryLevelAsString($B184))),";",EscStr(K184),";")))</f>
        <v>;"NavNode_L3D_532326";"Shunt-modstande &amp; omformere";</v>
      </c>
      <c r="AE184" s="39" t="str">
        <f>IF(getCategoryLevelAsString($B184)="L0D_324785","",IF(L184="",CONCATENATE(";",EscStr(CONCATENATE("NavNode_",getCategoryLevelAsString($B184))),";",EscStr($J184),";"),CONCATENATE(";",EscStr(CONCATENATE("NavNode_",getCategoryLevelAsString($B184))),";",EscStr(L184),";")))</f>
        <v>;"NavNode_L3D_532326";"Šuntai ir parametrų keitikliai";</v>
      </c>
      <c r="AF184" s="39" t="str">
        <f>IF(getCategoryLevelAsString($B184)="L0D_324785","",IF(M184="",CONCATENATE(";",EscStr(CONCATENATE("NavNode_",getCategoryLevelAsString($B184))),";",EscStr($J184),";"),CONCATENATE(";",EscStr(CONCATENATE("NavNode_",getCategoryLevelAsString($B184))),";",EscStr(M184),";")))</f>
        <v>;"NavNode_L3D_532326";"Shuntmotstander og omformere";</v>
      </c>
      <c r="AG184" s="39" t="str">
        <f>IF(getCategoryLevelAsString($B184)="L0D_324785","",IF(N184="",CONCATENATE(";",EscStr(CONCATENATE("NavNode_",getCategoryLevelAsString($B184))),";",EscStr($J184),";"),CONCATENATE(";",EscStr(CONCATENATE("NavNode_",getCategoryLevelAsString($B184))),";",EscStr(N184),";")))</f>
        <v>;"NavNode_L3D_532326";"Shuntmotstånd och strömtransformatorer";</v>
      </c>
      <c r="AH184" s="39" t="str">
        <f>IF(getCategoryLevelAsString($B184)="L0D_324785","",IF(O184="",CONCATENATE(";",EscStr(CONCATENATE("NavNode_",getCategoryLevelAsString($B184))),";",EscStr($J184),";"),CONCATENATE(";",EscStr(CONCATENATE("NavNode_",getCategoryLevelAsString($B184))),";",EscStr(O184),";")))</f>
        <v>;"NavNode_L3D_532326";"Šundid ja voolutrafod";</v>
      </c>
      <c r="AI184" s="39" t="str">
        <f>IF(getCategoryLevelAsString($B184)="L0D_324785","",IF(P184="",CONCATENATE(";",EscStr(CONCATENATE("NavNode_",getCategoryLevelAsString($B184))),";",EscStr($J184),";"),CONCATENATE(";",EscStr(CONCATENATE("NavNode_",getCategoryLevelAsString($B184))),";",EscStr(P184),";")))</f>
        <v>;"NavNode_L3D_532326";"Shuntit ja muuntimet";</v>
      </c>
      <c r="AJ184" s="39" t="str">
        <f>IF(getCategoryLevelAsString($B184)="L0D_324785","",IF(Q184="",CONCATENATE(";",EscStr(CONCATENATE("NavNode_",getCategoryLevelAsString($B184))),";",EscStr($J184),";"),CONCATENATE(";",EscStr(CONCATENATE("NavNode_",getCategoryLevelAsString($B184))),";",EscStr(Q184),";")))</f>
        <v>;"NavNode_L3D_532326";"Šuntu rezistori un pārveidotāji";</v>
      </c>
      <c r="AK184" s="39" t="str">
        <f>IF(getCategoryLevelAsString($B184)="L0D_324785","",IF(R184="",CONCATENATE(";",EscStr(CONCATENATE("NavNode_",getCategoryLevelAsString($B184))),";",EscStr($J184),";"),CONCATENATE(";",EscStr(CONCATENATE("NavNode_",getCategoryLevelAsString($B184))),";",EscStr(R184),";")))</f>
        <v>;"NavNode_L3D_532326";"Shunt weerstanden en omvormers";</v>
      </c>
      <c r="AL184" s="39" t="str">
        <f>IF(getCategoryLevelAsString($B184)="L0D_324785","",IF(S184="",CONCATENATE(";",EscStr(CONCATENATE("NavNode_",getCategoryLevelAsString($B184))),";",EscStr($J184),";"),CONCATENATE(";",EscStr(CONCATENATE("NavNode_",getCategoryLevelAsString($B184))),";",EscStr(S184),";")))</f>
        <v>;"NavNode_L3D_532326";"Rezystory bocznikowe i Przekładniki";</v>
      </c>
      <c r="AM184" s="39" t="str">
        <f>IF(getCategoryLevelAsString($B184)="L0D_324785","",IF(T184="",CONCATENATE(";",EscStr(CONCATENATE("NavNode_",getCategoryLevelAsString($B184))),";",EscStr($J184),";"),CONCATENATE(";",EscStr(CONCATENATE("NavNode_",getCategoryLevelAsString($B184))),";",EscStr(T184),";")))</f>
        <v>;"NavNode_L3D_532326";"Шунтирующие резисторы &amp; Преобразователи";</v>
      </c>
      <c r="AN184" s="39" t="str">
        <f>IF(getCategoryLevelAsString($B184)="L0D_324785","",IF(U184="",CONCATENATE(";",EscStr(CONCATENATE("NavNode_",getCategoryLevelAsString($B184))),";",EscStr($J184),";"),CONCATENATE(";",EscStr(CONCATENATE("NavNode_",getCategoryLevelAsString($B184))),";",EscStr(U184),";")))</f>
        <v>;"NavNode_L3D_532326";"Odporové bočníky a měniče";</v>
      </c>
      <c r="AO184" s="39" t="str">
        <f>IF(getCategoryLevelAsString($B184)="L0D_324785","",IF(V184="",CONCATENATE(";",EscStr(CONCATENATE("NavNode_",getCategoryLevelAsString($B184))),";",EscStr($J184),";"),CONCATENATE(";",EscStr(CONCATENATE("NavNode_",getCategoryLevelAsString($B184))),";",EscStr(V184),";")))</f>
        <v>;"NavNode_L3D_532326";"Rezistenţe şunt şi transformatoare";</v>
      </c>
      <c r="AP184" s="39" t="str">
        <f>IF(getCategoryLevelAsString($B184)="L0D_324785","",IF(W184="",CONCATENATE(";",EscStr(CONCATENATE("NavNode_",getCategoryLevelAsString($B184))),";",EscStr($J184),";"),CONCATENATE(";",EscStr(CONCATENATE("NavNode_",getCategoryLevelAsString($B184))),";",EscStr(W184),";")))</f>
        <v>;"NavNode_L3D_532326";"Sönt ellenállások és átalakítók";</v>
      </c>
      <c r="AQ184" s="39" t="str">
        <f>IF(getCategoryLevelAsString($B184)="L0D_324785","",IF(X184="",CONCATENATE(";",EscStr(CONCATENATE("NavNode_",getCategoryLevelAsString($B184))),";",EscStr($J184),";"),CONCATENATE(";",EscStr(CONCATENATE("NavNode_",getCategoryLevelAsString($B184))),";",EscStr(X184),";")))</f>
        <v>;"NavNode_L3D_532326";"Odporové bočníky a meniče";</v>
      </c>
      <c r="AR184" s="39" t="str">
        <f>IF(OR($A184&lt;&gt;"", $G184=""),"",CONCATENATE(";",EscStr(CONCATENATE("NavEntry_",getCategoryLevelAsString($B184))),";",EscStr(CONCATENATE($J184," Navigation Entry")),";",EscStr(CONCATENATE("cat-",getCategoryLevelAsString($B184))),";",EscStr(CONCATENATE("NavNode_",getCategoryLevelAsString($B184))),";"))</f>
        <v>;"NavEntry_L3D_532326";"Shunt resistors &amp; Converters Navigation Entry";"cat-L3D_532326";"NavNode_L3D_532326";</v>
      </c>
    </row>
    <row r="185" spans="1:44" s="38" customFormat="1" ht="14.25" x14ac:dyDescent="0.2">
      <c r="A185" s="32"/>
      <c r="B185" s="29" t="s">
        <v>11</v>
      </c>
      <c r="C185" s="37"/>
      <c r="E185" s="29"/>
      <c r="F185" s="29"/>
      <c r="G185" s="31" t="s">
        <v>11</v>
      </c>
      <c r="H185" s="31" t="s">
        <v>264</v>
      </c>
      <c r="I185" s="31" t="s">
        <v>265</v>
      </c>
      <c r="J185" s="31" t="s">
        <v>11</v>
      </c>
      <c r="K185" s="31" t="s">
        <v>11</v>
      </c>
      <c r="L185" s="31" t="s">
        <v>1529</v>
      </c>
      <c r="M185" s="31" t="s">
        <v>1752</v>
      </c>
      <c r="N185" s="31" t="s">
        <v>11</v>
      </c>
      <c r="O185" s="31" t="s">
        <v>3284</v>
      </c>
      <c r="P185" s="31" t="s">
        <v>3285</v>
      </c>
      <c r="Q185" s="31" t="s">
        <v>3286</v>
      </c>
      <c r="R185" s="31" t="s">
        <v>1295</v>
      </c>
      <c r="S185" s="31" t="s">
        <v>3287</v>
      </c>
      <c r="T185" s="31" t="s">
        <v>3288</v>
      </c>
      <c r="U185" s="31" t="s">
        <v>3289</v>
      </c>
      <c r="V185" s="31" t="s">
        <v>3290</v>
      </c>
      <c r="W185" s="31" t="s">
        <v>3291</v>
      </c>
      <c r="X185" s="31" t="s">
        <v>3289</v>
      </c>
      <c r="Y185" s="39" t="str">
        <f>IF(OR($A185&lt;&gt;"", $G185=""),"",CONCATENATE(";",EscStr(CONCATENATE("NavNode_",getCategoryLevelAsString($B185))),";",EscStr($J185),";",IF($B185&lt;&gt;"","""MainCategoryNavNode""",EscStr(CONCATENATE("NavNode_",getSuperCategory($B185, getCategoryLevelAsNumber($B185))))),";"))</f>
        <v>;"NavNode_Automation";"Automation";"MainCategoryNavNode";</v>
      </c>
      <c r="Z185" s="39" t="str">
        <f>IF(getCategoryLevelAsString($B185)="L0D_324785","",IF(G185="",CONCATENATE(";",EscStr(CONCATENATE("NavNode_",getCategoryLevelAsString($B185))),";",EscStr($J185),";"),CONCATENATE(";",EscStr(CONCATENATE("NavNode_",getCategoryLevelAsString($B185))),";",EscStr(G185),";")))</f>
        <v>;"NavNode_Automation";"Automation";</v>
      </c>
      <c r="AA185" s="39" t="str">
        <f>IF(getCategoryLevelAsString($B185)="L0D_324785","",IF(H185="",CONCATENATE(";",EscStr(CONCATENATE("NavNode_",getCategoryLevelAsString($B185))),";",EscStr($J185),";"),CONCATENATE(";",EscStr(CONCATENATE("NavNode_",getCategoryLevelAsString($B185))),";",EscStr(H185),";")))</f>
        <v>;"NavNode_Automation";"Automatisation";</v>
      </c>
      <c r="AB185" s="39" t="str">
        <f>IF(getCategoryLevelAsString($B185)="L0D_324785","",IF(I185="",CONCATENATE(";",EscStr(CONCATENATE("NavNode_",getCategoryLevelAsString($B185))),";",EscStr($J185),";"),CONCATENATE(";",EscStr(CONCATENATE("NavNode_",getCategoryLevelAsString($B185))),";",EscStr(I185),";")))</f>
        <v>;"NavNode_Automation";"Automazione";</v>
      </c>
      <c r="AC185" s="39" t="str">
        <f>IF(getCategoryLevelAsString($B185)="L0D_324785","",IF(J185="",CONCATENATE(";",EscStr(CONCATENATE("NavNode_",getCategoryLevelAsString($B185))),";",EscStr($J185),";"),CONCATENATE(";",EscStr(CONCATENATE("NavNode_",getCategoryLevelAsString($B185))),";",EscStr(J185),";")))</f>
        <v>;"NavNode_Automation";"Automation";</v>
      </c>
      <c r="AD185" s="39" t="str">
        <f>IF(getCategoryLevelAsString($B185)="L0D_324785","",IF(K185="",CONCATENATE(";",EscStr(CONCATENATE("NavNode_",getCategoryLevelAsString($B185))),";",EscStr($J185),";"),CONCATENATE(";",EscStr(CONCATENATE("NavNode_",getCategoryLevelAsString($B185))),";",EscStr(K185),";")))</f>
        <v>;"NavNode_Automation";"Automation";</v>
      </c>
      <c r="AE185" s="39" t="str">
        <f>IF(getCategoryLevelAsString($B185)="L0D_324785","",IF(L185="",CONCATENATE(";",EscStr(CONCATENATE("NavNode_",getCategoryLevelAsString($B185))),";",EscStr($J185),";"),CONCATENATE(";",EscStr(CONCATENATE("NavNode_",getCategoryLevelAsString($B185))),";",EscStr(L185),";")))</f>
        <v>;"NavNode_Automation";"Automatika";</v>
      </c>
      <c r="AF185" s="39" t="str">
        <f>IF(getCategoryLevelAsString($B185)="L0D_324785","",IF(M185="",CONCATENATE(";",EscStr(CONCATENATE("NavNode_",getCategoryLevelAsString($B185))),";",EscStr($J185),";"),CONCATENATE(";",EscStr(CONCATENATE("NavNode_",getCategoryLevelAsString($B185))),";",EscStr(M185),";")))</f>
        <v>;"NavNode_Automation";"Automasjon";</v>
      </c>
      <c r="AG185" s="39" t="str">
        <f>IF(getCategoryLevelAsString($B185)="L0D_324785","",IF(N185="",CONCATENATE(";",EscStr(CONCATENATE("NavNode_",getCategoryLevelAsString($B185))),";",EscStr($J185),";"),CONCATENATE(";",EscStr(CONCATENATE("NavNode_",getCategoryLevelAsString($B185))),";",EscStr(N185),";")))</f>
        <v>;"NavNode_Automation";"Automation";</v>
      </c>
      <c r="AH185" s="39" t="str">
        <f>IF(getCategoryLevelAsString($B185)="L0D_324785","",IF(O185="",CONCATENATE(";",EscStr(CONCATENATE("NavNode_",getCategoryLevelAsString($B185))),";",EscStr($J185),";"),CONCATENATE(";",EscStr(CONCATENATE("NavNode_",getCategoryLevelAsString($B185))),";",EscStr(O185),";")))</f>
        <v>;"NavNode_Automation";"Automaatika";</v>
      </c>
      <c r="AI185" s="39" t="str">
        <f>IF(getCategoryLevelAsString($B185)="L0D_324785","",IF(P185="",CONCATENATE(";",EscStr(CONCATENATE("NavNode_",getCategoryLevelAsString($B185))),";",EscStr($J185),";"),CONCATENATE(";",EscStr(CONCATENATE("NavNode_",getCategoryLevelAsString($B185))),";",EscStr(P185),";")))</f>
        <v>;"NavNode_Automation";"Automaatio";</v>
      </c>
      <c r="AJ185" s="39" t="str">
        <f>IF(getCategoryLevelAsString($B185)="L0D_324785","",IF(Q185="",CONCATENATE(";",EscStr(CONCATENATE("NavNode_",getCategoryLevelAsString($B185))),";",EscStr($J185),";"),CONCATENATE(";",EscStr(CONCATENATE("NavNode_",getCategoryLevelAsString($B185))),";",EscStr(Q185),";")))</f>
        <v>;"NavNode_Automation";"Automātika";</v>
      </c>
      <c r="AK185" s="39" t="str">
        <f>IF(getCategoryLevelAsString($B185)="L0D_324785","",IF(R185="",CONCATENATE(";",EscStr(CONCATENATE("NavNode_",getCategoryLevelAsString($B185))),";",EscStr($J185),";"),CONCATENATE(";",EscStr(CONCATENATE("NavNode_",getCategoryLevelAsString($B185))),";",EscStr(R185),";")))</f>
        <v>;"NavNode_Automation";"Automatisering";</v>
      </c>
      <c r="AL185" s="39" t="str">
        <f>IF(getCategoryLevelAsString($B185)="L0D_324785","",IF(S185="",CONCATENATE(";",EscStr(CONCATENATE("NavNode_",getCategoryLevelAsString($B185))),";",EscStr($J185),";"),CONCATENATE(";",EscStr(CONCATENATE("NavNode_",getCategoryLevelAsString($B185))),";",EscStr(S185),";")))</f>
        <v>;"NavNode_Automation";"Automatyka";</v>
      </c>
      <c r="AM185" s="39" t="str">
        <f>IF(getCategoryLevelAsString($B185)="L0D_324785","",IF(T185="",CONCATENATE(";",EscStr(CONCATENATE("NavNode_",getCategoryLevelAsString($B185))),";",EscStr($J185),";"),CONCATENATE(";",EscStr(CONCATENATE("NavNode_",getCategoryLevelAsString($B185))),";",EscStr(T185),";")))</f>
        <v>;"NavNode_Automation";"Автоматизация";</v>
      </c>
      <c r="AN185" s="39" t="str">
        <f>IF(getCategoryLevelAsString($B185)="L0D_324785","",IF(U185="",CONCATENATE(";",EscStr(CONCATENATE("NavNode_",getCategoryLevelAsString($B185))),";",EscStr($J185),";"),CONCATENATE(";",EscStr(CONCATENATE("NavNode_",getCategoryLevelAsString($B185))),";",EscStr(U185),";")))</f>
        <v>;"NavNode_Automation";"Automatizace";</v>
      </c>
      <c r="AO185" s="39" t="str">
        <f>IF(getCategoryLevelAsString($B185)="L0D_324785","",IF(V185="",CONCATENATE(";",EscStr(CONCATENATE("NavNode_",getCategoryLevelAsString($B185))),";",EscStr($J185),";"),CONCATENATE(";",EscStr(CONCATENATE("NavNode_",getCategoryLevelAsString($B185))),";",EscStr(V185),";")))</f>
        <v>;"NavNode_Automation";"Automatizare";</v>
      </c>
      <c r="AP185" s="39" t="str">
        <f>IF(getCategoryLevelAsString($B185)="L0D_324785","",IF(W185="",CONCATENATE(";",EscStr(CONCATENATE("NavNode_",getCategoryLevelAsString($B185))),";",EscStr($J185),";"),CONCATENATE(";",EscStr(CONCATENATE("NavNode_",getCategoryLevelAsString($B185))),";",EscStr(W185),";")))</f>
        <v>;"NavNode_Automation";"Automatizálás";</v>
      </c>
      <c r="AQ185" s="39" t="str">
        <f>IF(getCategoryLevelAsString($B185)="L0D_324785","",IF(X185="",CONCATENATE(";",EscStr(CONCATENATE("NavNode_",getCategoryLevelAsString($B185))),";",EscStr($J185),";"),CONCATENATE(";",EscStr(CONCATENATE("NavNode_",getCategoryLevelAsString($B185))),";",EscStr(X185),";")))</f>
        <v>;"NavNode_Automation";"Automatizace";</v>
      </c>
      <c r="AR185" s="39" t="str">
        <f>IF(OR($A185&lt;&gt;"", $G185=""),"",CONCATENATE(";",EscStr(CONCATENATE("NavEntry_",getCategoryLevelAsString($B185))),";",EscStr(CONCATENATE($J185," Navigation Entry")),";",EscStr(CONCATENATE("cat-",getCategoryLevelAsString($B185))),";",EscStr(CONCATENATE("NavNode_",getCategoryLevelAsString($B185))),";"))</f>
        <v>;"NavEntry_Automation";"Automation Navigation Entry";"cat-Automation";"NavNode_Automation";</v>
      </c>
    </row>
    <row r="186" spans="1:44" s="34" customFormat="1" ht="15" x14ac:dyDescent="0.25">
      <c r="A186" s="25"/>
      <c r="B186" s="5"/>
      <c r="C186" s="5" t="s">
        <v>32</v>
      </c>
      <c r="D186" s="5"/>
      <c r="E186" s="5"/>
      <c r="F186" s="5"/>
      <c r="G186" s="5" t="s">
        <v>313</v>
      </c>
      <c r="H186" s="5" t="s">
        <v>314</v>
      </c>
      <c r="I186" s="5" t="s">
        <v>315</v>
      </c>
      <c r="J186" s="5" t="s">
        <v>33</v>
      </c>
      <c r="K186" s="5" t="s">
        <v>1296</v>
      </c>
      <c r="L186" s="5" t="s">
        <v>15164</v>
      </c>
      <c r="M186" s="5" t="s">
        <v>1753</v>
      </c>
      <c r="N186" s="5" t="s">
        <v>1960</v>
      </c>
      <c r="O186" s="5" t="s">
        <v>3292</v>
      </c>
      <c r="P186" s="5" t="s">
        <v>3293</v>
      </c>
      <c r="Q186" s="5" t="s">
        <v>3294</v>
      </c>
      <c r="R186" s="5" t="s">
        <v>3295</v>
      </c>
      <c r="S186" s="5" t="s">
        <v>3296</v>
      </c>
      <c r="T186" s="5" t="s">
        <v>3297</v>
      </c>
      <c r="U186" s="5" t="s">
        <v>3298</v>
      </c>
      <c r="V186" s="5" t="s">
        <v>3299</v>
      </c>
      <c r="W186" s="5" t="s">
        <v>3300</v>
      </c>
      <c r="X186" s="5" t="s">
        <v>14914</v>
      </c>
      <c r="Y186" s="39" t="str">
        <f>IF(OR($A186&lt;&gt;"", $G186=""),"",CONCATENATE(";",EscStr(CONCATENATE("NavNode_",getCategoryLevelAsString($B186))),";",EscStr($J186),";",IF($B186&lt;&gt;"","""MainCategoryNavNode""",EscStr(CONCATENATE("NavNode_",getSuperCategory($B186, getCategoryLevelAsNumber($B186))))),";"))</f>
        <v>;"NavNode_L2D_379610";"Process Displays / Regulators / PLC / HMI";"NavNode_Automation";</v>
      </c>
      <c r="Z186" s="39" t="str">
        <f>IF(getCategoryLevelAsString($B186)="L0D_324785","",IF(G186="",CONCATENATE(";",EscStr(CONCATENATE("NavNode_",getCategoryLevelAsString($B186))),";",EscStr($J186),";"),CONCATENATE(";",EscStr(CONCATENATE("NavNode_",getCategoryLevelAsString($B186))),";",EscStr(G186),";")))</f>
        <v>;"NavNode_L2D_379610";"Prozessanzeigen / Regler / SPS / HMI";</v>
      </c>
      <c r="AA186" s="39" t="str">
        <f>IF(getCategoryLevelAsString($B186)="L0D_324785","",IF(H186="",CONCATENATE(";",EscStr(CONCATENATE("NavNode_",getCategoryLevelAsString($B186))),";",EscStr($J186),";"),CONCATENATE(";",EscStr(CONCATENATE("NavNode_",getCategoryLevelAsString($B186))),";",EscStr(H186),";")))</f>
        <v>;"NavNode_L2D_379610";"Affichage de processus / Régulateurs / API / HMI";</v>
      </c>
      <c r="AB186" s="39" t="str">
        <f>IF(getCategoryLevelAsString($B186)="L0D_324785","",IF(I186="",CONCATENATE(";",EscStr(CONCATENATE("NavNode_",getCategoryLevelAsString($B186))),";",EscStr($J186),";"),CONCATENATE(";",EscStr(CONCATENATE("NavNode_",getCategoryLevelAsString($B186))),";",EscStr(I186),";")))</f>
        <v>;"NavNode_L2D_379610";"Indicatori di processo / Regolatori / PLC / HMI";</v>
      </c>
      <c r="AC186" s="39" t="str">
        <f>IF(getCategoryLevelAsString($B186)="L0D_324785","",IF(J186="",CONCATENATE(";",EscStr(CONCATENATE("NavNode_",getCategoryLevelAsString($B186))),";",EscStr($J186),";"),CONCATENATE(";",EscStr(CONCATENATE("NavNode_",getCategoryLevelAsString($B186))),";",EscStr(J186),";")))</f>
        <v>;"NavNode_L2D_379610";"Process Displays / Regulators / PLC / HMI";</v>
      </c>
      <c r="AD186" s="39" t="str">
        <f>IF(getCategoryLevelAsString($B186)="L0D_324785","",IF(K186="",CONCATENATE(";",EscStr(CONCATENATE("NavNode_",getCategoryLevelAsString($B186))),";",EscStr($J186),";"),CONCATENATE(";",EscStr(CONCATENATE("NavNode_",getCategoryLevelAsString($B186))),";",EscStr(K186),";")))</f>
        <v>;"NavNode_L2D_379610";"Procesdisplay/regulatorer/PLC/HMI";</v>
      </c>
      <c r="AE186" s="39" t="str">
        <f>IF(getCategoryLevelAsString($B186)="L0D_324785","",IF(L186="",CONCATENATE(";",EscStr(CONCATENATE("NavNode_",getCategoryLevelAsString($B186))),";",EscStr($J186),";"),CONCATENATE(";",EscStr(CONCATENATE("NavNode_",getCategoryLevelAsString($B186))),";",EscStr(L186),";")))</f>
        <v>;"NavNode_L2D_379610";"Procesų ekranai / Reguliatoriai / PLV / HMI";</v>
      </c>
      <c r="AF186" s="39" t="str">
        <f>IF(getCategoryLevelAsString($B186)="L0D_324785","",IF(M186="",CONCATENATE(";",EscStr(CONCATENATE("NavNode_",getCategoryLevelAsString($B186))),";",EscStr($J186),";"),CONCATENATE(";",EscStr(CONCATENATE("NavNode_",getCategoryLevelAsString($B186))),";",EscStr(M186),";")))</f>
        <v>;"NavNode_L2D_379610";"Prosessdisplayer/regulatorer/PLC/HMI";</v>
      </c>
      <c r="AG186" s="39" t="str">
        <f>IF(getCategoryLevelAsString($B186)="L0D_324785","",IF(N186="",CONCATENATE(";",EscStr(CONCATENATE("NavNode_",getCategoryLevelAsString($B186))),";",EscStr($J186),";"),CONCATENATE(";",EscStr(CONCATENATE("NavNode_",getCategoryLevelAsString($B186))),";",EscStr(N186),";")))</f>
        <v>;"NavNode_L2D_379610";"Processkärmar/Regulatorer/PLC/HMI";</v>
      </c>
      <c r="AH186" s="39" t="str">
        <f>IF(getCategoryLevelAsString($B186)="L0D_324785","",IF(O186="",CONCATENATE(";",EscStr(CONCATENATE("NavNode_",getCategoryLevelAsString($B186))),";",EscStr($J186),";"),CONCATENATE(";",EscStr(CONCATENATE("NavNode_",getCategoryLevelAsString($B186))),";",EscStr(O186),";")))</f>
        <v>;"NavNode_L2D_379610";"Moodulekraanid / Regulaatorid / PLC / HMI";</v>
      </c>
      <c r="AI186" s="39" t="str">
        <f>IF(getCategoryLevelAsString($B186)="L0D_324785","",IF(P186="",CONCATENATE(";",EscStr(CONCATENATE("NavNode_",getCategoryLevelAsString($B186))),";",EscStr($J186),";"),CONCATENATE(";",EscStr(CONCATENATE("NavNode_",getCategoryLevelAsString($B186))),";",EscStr(P186),";")))</f>
        <v>;"NavNode_L2D_379610";"Prosessinäytöt/regulaattorit";</v>
      </c>
      <c r="AJ186" s="39" t="str">
        <f>IF(getCategoryLevelAsString($B186)="L0D_324785","",IF(Q186="",CONCATENATE(";",EscStr(CONCATENATE("NavNode_",getCategoryLevelAsString($B186))),";",EscStr($J186),";"),CONCATENATE(";",EscStr(CONCATENATE("NavNode_",getCategoryLevelAsString($B186))),";",EscStr(Q186),";")))</f>
        <v>;"NavNode_L2D_379610";"Procesu displeji / Regulatori / PLC / Cilvēka-mašīnas interfeisi";</v>
      </c>
      <c r="AK186" s="39" t="str">
        <f>IF(getCategoryLevelAsString($B186)="L0D_324785","",IF(R186="",CONCATENATE(";",EscStr(CONCATENATE("NavNode_",getCategoryLevelAsString($B186))),";",EscStr($J186),";"),CONCATENATE(";",EscStr(CONCATENATE("NavNode_",getCategoryLevelAsString($B186))),";",EscStr(R186),";")))</f>
        <v>;"NavNode_L2D_379610";"Procesdisplays / procesregelaars / PLCs / HMI";</v>
      </c>
      <c r="AL186" s="39" t="str">
        <f>IF(getCategoryLevelAsString($B186)="L0D_324785","",IF(S186="",CONCATENATE(";",EscStr(CONCATENATE("NavNode_",getCategoryLevelAsString($B186))),";",EscStr($J186),";"),CONCATENATE(";",EscStr(CONCATENATE("NavNode_",getCategoryLevelAsString($B186))),";",EscStr(S186),";")))</f>
        <v>;"NavNode_L2D_379610";"Wskaźniki procesów / Regulatory / PLC / HMI";</v>
      </c>
      <c r="AM186" s="39" t="str">
        <f>IF(getCategoryLevelAsString($B186)="L0D_324785","",IF(T186="",CONCATENATE(";",EscStr(CONCATENATE("NavNode_",getCategoryLevelAsString($B186))),";",EscStr($J186),";"),CONCATENATE(";",EscStr(CONCATENATE("NavNode_",getCategoryLevelAsString($B186))),";",EscStr(T186),";")))</f>
        <v>;"NavNode_L2D_379610";"Дисплеи процессов / Регуляторы / PLC / HMI";</v>
      </c>
      <c r="AN186" s="39" t="str">
        <f>IF(getCategoryLevelAsString($B186)="L0D_324785","",IF(U186="",CONCATENATE(";",EscStr(CONCATENATE("NavNode_",getCategoryLevelAsString($B186))),";",EscStr($J186),";"),CONCATENATE(";",EscStr(CONCATENATE("NavNode_",getCategoryLevelAsString($B186))),";",EscStr(U186),";")))</f>
        <v>;"NavNode_L2D_379610";"Procesní ukazatele / Ovladače / PLC / HMI";</v>
      </c>
      <c r="AO186" s="39" t="str">
        <f>IF(getCategoryLevelAsString($B186)="L0D_324785","",IF(V186="",CONCATENATE(";",EscStr(CONCATENATE("NavNode_",getCategoryLevelAsString($B186))),";",EscStr($J186),";"),CONCATENATE(";",EscStr(CONCATENATE("NavNode_",getCategoryLevelAsString($B186))),";",EscStr(V186),";")))</f>
        <v>;"NavNode_L2D_379610";"Afişoare de proces / controler / PLC / HMI";</v>
      </c>
      <c r="AP186" s="39" t="str">
        <f>IF(getCategoryLevelAsString($B186)="L0D_324785","",IF(W186="",CONCATENATE(";",EscStr(CONCATENATE("NavNode_",getCategoryLevelAsString($B186))),";",EscStr($J186),";"),CONCATENATE(";",EscStr(CONCATENATE("NavNode_",getCategoryLevelAsString($B186))),";",EscStr(W186),";")))</f>
        <v>;"NavNode_L2D_379610";"Folyamatkijelzők / Szabályozók / SPS / HMI";</v>
      </c>
      <c r="AQ186" s="39" t="str">
        <f>IF(getCategoryLevelAsString($B186)="L0D_324785","",IF(X186="",CONCATENATE(";",EscStr(CONCATENATE("NavNode_",getCategoryLevelAsString($B186))),";",EscStr($J186),";"),CONCATENATE(";",EscStr(CONCATENATE("NavNode_",getCategoryLevelAsString($B186))),";",EscStr(X186),";")))</f>
        <v>;"NavNode_L2D_379610";"Procesné ukazovatele / Ovládače / PLC / HMI";</v>
      </c>
      <c r="AR186" s="39" t="str">
        <f>IF(OR($A186&lt;&gt;"", $G186=""),"",CONCATENATE(";",EscStr(CONCATENATE("NavEntry_",getCategoryLevelAsString($B186))),";",EscStr(CONCATENATE($J186," Navigation Entry")),";",EscStr(CONCATENATE("cat-",getCategoryLevelAsString($B186))),";",EscStr(CONCATENATE("NavNode_",getCategoryLevelAsString($B186))),";"))</f>
        <v>;"NavEntry_L2D_379610";"Process Displays / Regulators / PLC / HMI Navigation Entry";"cat-L2D_379610";"NavNode_L2D_379610";</v>
      </c>
    </row>
    <row r="187" spans="1:44" s="34" customFormat="1" ht="15" x14ac:dyDescent="0.25">
      <c r="A187" s="25"/>
      <c r="B187" s="5"/>
      <c r="C187" s="5"/>
      <c r="D187" s="5" t="s">
        <v>93</v>
      </c>
      <c r="E187" s="5"/>
      <c r="F187" s="5"/>
      <c r="G187" s="5" t="s">
        <v>318</v>
      </c>
      <c r="H187" s="5" t="s">
        <v>319</v>
      </c>
      <c r="I187" s="5" t="s">
        <v>320</v>
      </c>
      <c r="J187" s="5" t="s">
        <v>94</v>
      </c>
      <c r="K187" s="5" t="s">
        <v>1297</v>
      </c>
      <c r="L187" s="5" t="s">
        <v>15165</v>
      </c>
      <c r="M187" s="5" t="s">
        <v>1297</v>
      </c>
      <c r="N187" s="5" t="s">
        <v>1961</v>
      </c>
      <c r="O187" s="5" t="s">
        <v>3301</v>
      </c>
      <c r="P187" s="5" t="s">
        <v>3302</v>
      </c>
      <c r="Q187" s="5" t="s">
        <v>3303</v>
      </c>
      <c r="R187" s="5" t="s">
        <v>3304</v>
      </c>
      <c r="S187" s="5" t="s">
        <v>3305</v>
      </c>
      <c r="T187" s="5" t="s">
        <v>3306</v>
      </c>
      <c r="U187" s="5" t="s">
        <v>3307</v>
      </c>
      <c r="V187" s="5" t="s">
        <v>3308</v>
      </c>
      <c r="W187" s="5" t="s">
        <v>3309</v>
      </c>
      <c r="X187" s="5" t="s">
        <v>14915</v>
      </c>
      <c r="Y187" s="39" t="str">
        <f>IF(OR($A187&lt;&gt;"", $G187=""),"",CONCATENATE(";",EscStr(CONCATENATE("NavNode_",getCategoryLevelAsString($B187))),";",EscStr($J187),";",IF($B187&lt;&gt;"","""MainCategoryNavNode""",EscStr(CONCATENATE("NavNode_",getSuperCategory($B187, getCategoryLevelAsNumber($B187))))),";"))</f>
        <v>;"NavNode_L3D_525470";"PLC Systems";"NavNode_L2D_379610";</v>
      </c>
      <c r="Z187" s="39" t="str">
        <f>IF(getCategoryLevelAsString($B187)="L0D_324785","",IF(G187="",CONCATENATE(";",EscStr(CONCATENATE("NavNode_",getCategoryLevelAsString($B187))),";",EscStr($J187),";"),CONCATENATE(";",EscStr(CONCATENATE("NavNode_",getCategoryLevelAsString($B187))),";",EscStr(G187),";")))</f>
        <v>;"NavNode_L3D_525470";"Steuerungen";</v>
      </c>
      <c r="AA187" s="39" t="str">
        <f>IF(getCategoryLevelAsString($B187)="L0D_324785","",IF(H187="",CONCATENATE(";",EscStr(CONCATENATE("NavNode_",getCategoryLevelAsString($B187))),";",EscStr($J187),";"),CONCATENATE(";",EscStr(CONCATENATE("NavNode_",getCategoryLevelAsString($B187))),";",EscStr(H187),";")))</f>
        <v>;"NavNode_L3D_525470";"Commandes";</v>
      </c>
      <c r="AB187" s="39" t="str">
        <f>IF(getCategoryLevelAsString($B187)="L0D_324785","",IF(I187="",CONCATENATE(";",EscStr(CONCATENATE("NavNode_",getCategoryLevelAsString($B187))),";",EscStr($J187),";"),CONCATENATE(";",EscStr(CONCATENATE("NavNode_",getCategoryLevelAsString($B187))),";",EscStr(I187),";")))</f>
        <v>;"NavNode_L3D_525470";"Comandi";</v>
      </c>
      <c r="AC187" s="39" t="str">
        <f>IF(getCategoryLevelAsString($B187)="L0D_324785","",IF(J187="",CONCATENATE(";",EscStr(CONCATENATE("NavNode_",getCategoryLevelAsString($B187))),";",EscStr($J187),";"),CONCATENATE(";",EscStr(CONCATENATE("NavNode_",getCategoryLevelAsString($B187))),";",EscStr(J187),";")))</f>
        <v>;"NavNode_L3D_525470";"PLC Systems";</v>
      </c>
      <c r="AD187" s="39" t="str">
        <f>IF(getCategoryLevelAsString($B187)="L0D_324785","",IF(K187="",CONCATENATE(";",EscStr(CONCATENATE("NavNode_",getCategoryLevelAsString($B187))),";",EscStr($J187),";"),CONCATENATE(";",EscStr(CONCATENATE("NavNode_",getCategoryLevelAsString($B187))),";",EscStr(K187),";")))</f>
        <v>;"NavNode_L3D_525470";"PLC-systemer";</v>
      </c>
      <c r="AE187" s="39" t="str">
        <f>IF(getCategoryLevelAsString($B187)="L0D_324785","",IF(L187="",CONCATENATE(";",EscStr(CONCATENATE("NavNode_",getCategoryLevelAsString($B187))),";",EscStr($J187),";"),CONCATENATE(";",EscStr(CONCATENATE("NavNode_",getCategoryLevelAsString($B187))),";",EscStr(L187),";")))</f>
        <v>;"NavNode_L3D_525470";"PLV sistemos";</v>
      </c>
      <c r="AF187" s="39" t="str">
        <f>IF(getCategoryLevelAsString($B187)="L0D_324785","",IF(M187="",CONCATENATE(";",EscStr(CONCATENATE("NavNode_",getCategoryLevelAsString($B187))),";",EscStr($J187),";"),CONCATENATE(";",EscStr(CONCATENATE("NavNode_",getCategoryLevelAsString($B187))),";",EscStr(M187),";")))</f>
        <v>;"NavNode_L3D_525470";"PLC-systemer";</v>
      </c>
      <c r="AG187" s="39" t="str">
        <f>IF(getCategoryLevelAsString($B187)="L0D_324785","",IF(N187="",CONCATENATE(";",EscStr(CONCATENATE("NavNode_",getCategoryLevelAsString($B187))),";",EscStr($J187),";"),CONCATENATE(";",EscStr(CONCATENATE("NavNode_",getCategoryLevelAsString($B187))),";",EscStr(N187),";")))</f>
        <v>;"NavNode_L3D_525470";"PLC-system";</v>
      </c>
      <c r="AH187" s="39" t="str">
        <f>IF(getCategoryLevelAsString($B187)="L0D_324785","",IF(O187="",CONCATENATE(";",EscStr(CONCATENATE("NavNode_",getCategoryLevelAsString($B187))),";",EscStr($J187),";"),CONCATENATE(";",EscStr(CONCATENATE("NavNode_",getCategoryLevelAsString($B187))),";",EscStr(O187),";")))</f>
        <v>;"NavNode_L3D_525470";"PLC süsteemid";</v>
      </c>
      <c r="AI187" s="39" t="str">
        <f>IF(getCategoryLevelAsString($B187)="L0D_324785","",IF(P187="",CONCATENATE(";",EscStr(CONCATENATE("NavNode_",getCategoryLevelAsString($B187))),";",EscStr($J187),";"),CONCATENATE(";",EscStr(CONCATENATE("NavNode_",getCategoryLevelAsString($B187))),";",EscStr(P187),";")))</f>
        <v>;"NavNode_L3D_525470";"Ohjelmoitavat logiikat";</v>
      </c>
      <c r="AJ187" s="39" t="str">
        <f>IF(getCategoryLevelAsString($B187)="L0D_324785","",IF(Q187="",CONCATENATE(";",EscStr(CONCATENATE("NavNode_",getCategoryLevelAsString($B187))),";",EscStr($J187),";"),CONCATENATE(";",EscStr(CONCATENATE("NavNode_",getCategoryLevelAsString($B187))),";",EscStr(Q187),";")))</f>
        <v>;"NavNode_L3D_525470";"PLC sistēmas";</v>
      </c>
      <c r="AK187" s="39" t="str">
        <f>IF(getCategoryLevelAsString($B187)="L0D_324785","",IF(R187="",CONCATENATE(";",EscStr(CONCATENATE("NavNode_",getCategoryLevelAsString($B187))),";",EscStr($J187),";"),CONCATENATE(";",EscStr(CONCATENATE("NavNode_",getCategoryLevelAsString($B187))),";",EscStr(R187),";")))</f>
        <v>;"NavNode_L3D_525470";"PLC Systemen";</v>
      </c>
      <c r="AL187" s="39" t="str">
        <f>IF(getCategoryLevelAsString($B187)="L0D_324785","",IF(S187="",CONCATENATE(";",EscStr(CONCATENATE("NavNode_",getCategoryLevelAsString($B187))),";",EscStr($J187),";"),CONCATENATE(";",EscStr(CONCATENATE("NavNode_",getCategoryLevelAsString($B187))),";",EscStr(S187),";")))</f>
        <v>;"NavNode_L3D_525470";"Systemy PLC";</v>
      </c>
      <c r="AM187" s="39" t="str">
        <f>IF(getCategoryLevelAsString($B187)="L0D_324785","",IF(T187="",CONCATENATE(";",EscStr(CONCATENATE("NavNode_",getCategoryLevelAsString($B187))),";",EscStr($J187),";"),CONCATENATE(";",EscStr(CONCATENATE("NavNode_",getCategoryLevelAsString($B187))),";",EscStr(T187),";")))</f>
        <v>;"NavNode_L3D_525470";"PLC Системы";</v>
      </c>
      <c r="AN187" s="39" t="str">
        <f>IF(getCategoryLevelAsString($B187)="L0D_324785","",IF(U187="",CONCATENATE(";",EscStr(CONCATENATE("NavNode_",getCategoryLevelAsString($B187))),";",EscStr($J187),";"),CONCATENATE(";",EscStr(CONCATENATE("NavNode_",getCategoryLevelAsString($B187))),";",EscStr(U187),";")))</f>
        <v>;"NavNode_L3D_525470";"Ovládání";</v>
      </c>
      <c r="AO187" s="39" t="str">
        <f>IF(getCategoryLevelAsString($B187)="L0D_324785","",IF(V187="",CONCATENATE(";",EscStr(CONCATENATE("NavNode_",getCategoryLevelAsString($B187))),";",EscStr($J187),";"),CONCATENATE(";",EscStr(CONCATENATE("NavNode_",getCategoryLevelAsString($B187))),";",EscStr(V187),";")))</f>
        <v>;"NavNode_L3D_525470";"Controloare / Regloare";</v>
      </c>
      <c r="AP187" s="39" t="str">
        <f>IF(getCategoryLevelAsString($B187)="L0D_324785","",IF(W187="",CONCATENATE(";",EscStr(CONCATENATE("NavNode_",getCategoryLevelAsString($B187))),";",EscStr($J187),";"),CONCATENATE(";",EscStr(CONCATENATE("NavNode_",getCategoryLevelAsString($B187))),";",EscStr(W187),";")))</f>
        <v>;"NavNode_L3D_525470";"Vezérlők";</v>
      </c>
      <c r="AQ187" s="39" t="str">
        <f>IF(getCategoryLevelAsString($B187)="L0D_324785","",IF(X187="",CONCATENATE(";",EscStr(CONCATENATE("NavNode_",getCategoryLevelAsString($B187))),";",EscStr($J187),";"),CONCATENATE(";",EscStr(CONCATENATE("NavNode_",getCategoryLevelAsString($B187))),";",EscStr(X187),";")))</f>
        <v>;"NavNode_L3D_525470";"Ovládanie";</v>
      </c>
      <c r="AR187" s="39" t="str">
        <f>IF(OR($A187&lt;&gt;"", $G187=""),"",CONCATENATE(";",EscStr(CONCATENATE("NavEntry_",getCategoryLevelAsString($B187))),";",EscStr(CONCATENATE($J187," Navigation Entry")),";",EscStr(CONCATENATE("cat-",getCategoryLevelAsString($B187))),";",EscStr(CONCATENATE("NavNode_",getCategoryLevelAsString($B187))),";"))</f>
        <v>;"NavEntry_L3D_525470";"PLC Systems Navigation Entry";"cat-L3D_525470";"NavNode_L3D_525470";</v>
      </c>
    </row>
    <row r="188" spans="1:44" s="34" customFormat="1" ht="15" x14ac:dyDescent="0.25">
      <c r="A188" s="25"/>
      <c r="B188" s="5"/>
      <c r="C188" s="5"/>
      <c r="D188" s="5" t="s">
        <v>91</v>
      </c>
      <c r="E188" s="5"/>
      <c r="F188" s="5"/>
      <c r="G188" s="5" t="s">
        <v>92</v>
      </c>
      <c r="H188" s="5" t="s">
        <v>316</v>
      </c>
      <c r="I188" s="5" t="s">
        <v>317</v>
      </c>
      <c r="J188" s="5" t="s">
        <v>92</v>
      </c>
      <c r="K188" s="5" t="s">
        <v>13836</v>
      </c>
      <c r="L188" s="5" t="s">
        <v>1532</v>
      </c>
      <c r="M188" s="5" t="s">
        <v>1754</v>
      </c>
      <c r="N188" s="5" t="s">
        <v>13983</v>
      </c>
      <c r="O188" s="5" t="s">
        <v>3310</v>
      </c>
      <c r="P188" s="5" t="s">
        <v>3311</v>
      </c>
      <c r="Q188" s="5" t="s">
        <v>3312</v>
      </c>
      <c r="R188" s="5" t="s">
        <v>3313</v>
      </c>
      <c r="S188" s="5" t="s">
        <v>3314</v>
      </c>
      <c r="T188" s="5" t="s">
        <v>3315</v>
      </c>
      <c r="U188" s="5" t="s">
        <v>3316</v>
      </c>
      <c r="V188" s="5" t="s">
        <v>3317</v>
      </c>
      <c r="W188" s="5" t="s">
        <v>92</v>
      </c>
      <c r="X188" s="5" t="s">
        <v>3316</v>
      </c>
      <c r="Y188" s="39" t="str">
        <f>IF(OR($A188&lt;&gt;"", $G188=""),"",CONCATENATE(";",EscStr(CONCATENATE("NavNode_",getCategoryLevelAsString($B188))),";",EscStr($J188),";",IF($B188&lt;&gt;"","""MainCategoryNavNode""",EscStr(CONCATENATE("NavNode_",getSuperCategory($B188, getCategoryLevelAsNumber($B188))))),";"))</f>
        <v>;"NavNode_L3D_525471";"Human Machine Interfaces";"NavNode_L2D_379610";</v>
      </c>
      <c r="Z188" s="39" t="str">
        <f>IF(getCategoryLevelAsString($B188)="L0D_324785","",IF(G188="",CONCATENATE(";",EscStr(CONCATENATE("NavNode_",getCategoryLevelAsString($B188))),";",EscStr($J188),";"),CONCATENATE(";",EscStr(CONCATENATE("NavNode_",getCategoryLevelAsString($B188))),";",EscStr(G188),";")))</f>
        <v>;"NavNode_L3D_525471";"Human Machine Interfaces";</v>
      </c>
      <c r="AA188" s="39" t="str">
        <f>IF(getCategoryLevelAsString($B188)="L0D_324785","",IF(H188="",CONCATENATE(";",EscStr(CONCATENATE("NavNode_",getCategoryLevelAsString($B188))),";",EscStr($J188),";"),CONCATENATE(";",EscStr(CONCATENATE("NavNode_",getCategoryLevelAsString($B188))),";",EscStr(H188),";")))</f>
        <v>;"NavNode_L3D_525471";"Interfaces homme-machine";</v>
      </c>
      <c r="AB188" s="39" t="str">
        <f>IF(getCategoryLevelAsString($B188)="L0D_324785","",IF(I188="",CONCATENATE(";",EscStr(CONCATENATE("NavNode_",getCategoryLevelAsString($B188))),";",EscStr($J188),";"),CONCATENATE(";",EscStr(CONCATENATE("NavNode_",getCategoryLevelAsString($B188))),";",EscStr(I188),";")))</f>
        <v>;"NavNode_L3D_525471";"Interfacce uomo-macchina";</v>
      </c>
      <c r="AC188" s="39" t="str">
        <f>IF(getCategoryLevelAsString($B188)="L0D_324785","",IF(J188="",CONCATENATE(";",EscStr(CONCATENATE("NavNode_",getCategoryLevelAsString($B188))),";",EscStr($J188),";"),CONCATENATE(";",EscStr(CONCATENATE("NavNode_",getCategoryLevelAsString($B188))),";",EscStr(J188),";")))</f>
        <v>;"NavNode_L3D_525471";"Human Machine Interfaces";</v>
      </c>
      <c r="AD188" s="39" t="str">
        <f>IF(getCategoryLevelAsString($B188)="L0D_324785","",IF(K188="",CONCATENATE(";",EscStr(CONCATENATE("NavNode_",getCategoryLevelAsString($B188))),";",EscStr($J188),";"),CONCATENATE(";",EscStr(CONCATENATE("NavNode_",getCategoryLevelAsString($B188))),";",EscStr(K188),";")))</f>
        <v>;"NavNode_L3D_525471";"HMI-Human Machine Interface";</v>
      </c>
      <c r="AE188" s="39" t="str">
        <f>IF(getCategoryLevelAsString($B188)="L0D_324785","",IF(L188="",CONCATENATE(";",EscStr(CONCATENATE("NavNode_",getCategoryLevelAsString($B188))),";",EscStr($J188),";"),CONCATENATE(";",EscStr(CONCATENATE("NavNode_",getCategoryLevelAsString($B188))),";",EscStr(L188),";")))</f>
        <v>;"NavNode_L3D_525471";"Žmogaus-mašinos sąsajos";</v>
      </c>
      <c r="AF188" s="39" t="str">
        <f>IF(getCategoryLevelAsString($B188)="L0D_324785","",IF(M188="",CONCATENATE(";",EscStr(CONCATENATE("NavNode_",getCategoryLevelAsString($B188))),";",EscStr($J188),";"),CONCATENATE(";",EscStr(CONCATENATE("NavNode_",getCategoryLevelAsString($B188))),";",EscStr(M188),";")))</f>
        <v>;"NavNode_L3D_525471";"Brukergrensesnitt";</v>
      </c>
      <c r="AG188" s="39" t="str">
        <f>IF(getCategoryLevelAsString($B188)="L0D_324785","",IF(N188="",CONCATENATE(";",EscStr(CONCATENATE("NavNode_",getCategoryLevelAsString($B188))),";",EscStr($J188),";"),CONCATENATE(";",EscStr(CONCATENATE("NavNode_",getCategoryLevelAsString($B188))),";",EscStr(N188),";")))</f>
        <v>;"NavNode_L3D_525471";"Människa-maskingränssnitt, HMI";</v>
      </c>
      <c r="AH188" s="39" t="str">
        <f>IF(getCategoryLevelAsString($B188)="L0D_324785","",IF(O188="",CONCATENATE(";",EscStr(CONCATENATE("NavNode_",getCategoryLevelAsString($B188))),";",EscStr($J188),";"),CONCATENATE(";",EscStr(CONCATENATE("NavNode_",getCategoryLevelAsString($B188))),";",EscStr(O188),";")))</f>
        <v>;"NavNode_L3D_525471";"Inimene-masin liides";</v>
      </c>
      <c r="AI188" s="39" t="str">
        <f>IF(getCategoryLevelAsString($B188)="L0D_324785","",IF(P188="",CONCATENATE(";",EscStr(CONCATENATE("NavNode_",getCategoryLevelAsString($B188))),";",EscStr($J188),";"),CONCATENATE(";",EscStr(CONCATENATE("NavNode_",getCategoryLevelAsString($B188))),";",EscStr(P188),";")))</f>
        <v>;"NavNode_L3D_525471";"Ihmisrajapinnat";</v>
      </c>
      <c r="AJ188" s="39" t="str">
        <f>IF(getCategoryLevelAsString($B188)="L0D_324785","",IF(Q188="",CONCATENATE(";",EscStr(CONCATENATE("NavNode_",getCategoryLevelAsString($B188))),";",EscStr($J188),";"),CONCATENATE(";",EscStr(CONCATENATE("NavNode_",getCategoryLevelAsString($B188))),";",EscStr(Q188),";")))</f>
        <v>;"NavNode_L3D_525471";"Cilvēka-mašīnas interfeisi";</v>
      </c>
      <c r="AK188" s="39" t="str">
        <f>IF(getCategoryLevelAsString($B188)="L0D_324785","",IF(R188="",CONCATENATE(";",EscStr(CONCATENATE("NavNode_",getCategoryLevelAsString($B188))),";",EscStr($J188),";"),CONCATENATE(";",EscStr(CONCATENATE("NavNode_",getCategoryLevelAsString($B188))),";",EscStr(R188),";")))</f>
        <v>;"NavNode_L3D_525471";"Human machine interfaces";</v>
      </c>
      <c r="AL188" s="39" t="str">
        <f>IF(getCategoryLevelAsString($B188)="L0D_324785","",IF(S188="",CONCATENATE(";",EscStr(CONCATENATE("NavNode_",getCategoryLevelAsString($B188))),";",EscStr($J188),";"),CONCATENATE(";",EscStr(CONCATENATE("NavNode_",getCategoryLevelAsString($B188))),";",EscStr(S188),";")))</f>
        <v>;"NavNode_L3D_525471";"Interfejsy użytkownika";</v>
      </c>
      <c r="AM188" s="39" t="str">
        <f>IF(getCategoryLevelAsString($B188)="L0D_324785","",IF(T188="",CONCATENATE(";",EscStr(CONCATENATE("NavNode_",getCategoryLevelAsString($B188))),";",EscStr($J188),";"),CONCATENATE(";",EscStr(CONCATENATE("NavNode_",getCategoryLevelAsString($B188))),";",EscStr(T188),";")))</f>
        <v>;"NavNode_L3D_525471";"Человеко-машинные интерфейсы";</v>
      </c>
      <c r="AN188" s="39" t="str">
        <f>IF(getCategoryLevelAsString($B188)="L0D_324785","",IF(U188="",CONCATENATE(";",EscStr(CONCATENATE("NavNode_",getCategoryLevelAsString($B188))),";",EscStr($J188),";"),CONCATENATE(";",EscStr(CONCATENATE("NavNode_",getCategoryLevelAsString($B188))),";",EscStr(U188),";")))</f>
        <v>;"NavNode_L3D_525471";"HMI";</v>
      </c>
      <c r="AO188" s="39" t="str">
        <f>IF(getCategoryLevelAsString($B188)="L0D_324785","",IF(V188="",CONCATENATE(";",EscStr(CONCATENATE("NavNode_",getCategoryLevelAsString($B188))),";",EscStr($J188),";"),CONCATENATE(";",EscStr(CONCATENATE("NavNode_",getCategoryLevelAsString($B188))),";",EscStr(V188),";")))</f>
        <v>;"NavNode_L3D_525471";"Interfeaţă om-maşină";</v>
      </c>
      <c r="AP188" s="39" t="str">
        <f>IF(getCategoryLevelAsString($B188)="L0D_324785","",IF(W188="",CONCATENATE(";",EscStr(CONCATENATE("NavNode_",getCategoryLevelAsString($B188))),";",EscStr($J188),";"),CONCATENATE(";",EscStr(CONCATENATE("NavNode_",getCategoryLevelAsString($B188))),";",EscStr(W188),";")))</f>
        <v>;"NavNode_L3D_525471";"Human Machine Interfaces";</v>
      </c>
      <c r="AQ188" s="39" t="str">
        <f>IF(getCategoryLevelAsString($B188)="L0D_324785","",IF(X188="",CONCATENATE(";",EscStr(CONCATENATE("NavNode_",getCategoryLevelAsString($B188))),";",EscStr($J188),";"),CONCATENATE(";",EscStr(CONCATENATE("NavNode_",getCategoryLevelAsString($B188))),";",EscStr(X188),";")))</f>
        <v>;"NavNode_L3D_525471";"HMI";</v>
      </c>
      <c r="AR188" s="39" t="str">
        <f>IF(OR($A188&lt;&gt;"", $G188=""),"",CONCATENATE(";",EscStr(CONCATENATE("NavEntry_",getCategoryLevelAsString($B188))),";",EscStr(CONCATENATE($J188," Navigation Entry")),";",EscStr(CONCATENATE("cat-",getCategoryLevelAsString($B188))),";",EscStr(CONCATENATE("NavNode_",getCategoryLevelAsString($B188))),";"))</f>
        <v>;"NavEntry_L3D_525471";"Human Machine Interfaces Navigation Entry";"cat-L3D_525471";"NavNode_L3D_525471";</v>
      </c>
    </row>
    <row r="189" spans="1:44" s="34" customFormat="1" ht="15" x14ac:dyDescent="0.25">
      <c r="A189" s="25"/>
      <c r="B189" s="5"/>
      <c r="C189" s="5"/>
      <c r="D189" s="5" t="s">
        <v>95</v>
      </c>
      <c r="E189" s="5"/>
      <c r="F189" s="5"/>
      <c r="G189" s="5" t="s">
        <v>942</v>
      </c>
      <c r="H189" s="5" t="s">
        <v>321</v>
      </c>
      <c r="I189" s="5" t="s">
        <v>322</v>
      </c>
      <c r="J189" s="5" t="s">
        <v>96</v>
      </c>
      <c r="K189" s="5" t="s">
        <v>1299</v>
      </c>
      <c r="L189" s="5" t="s">
        <v>15166</v>
      </c>
      <c r="M189" s="5" t="s">
        <v>1755</v>
      </c>
      <c r="N189" s="5" t="s">
        <v>13984</v>
      </c>
      <c r="O189" s="5" t="s">
        <v>3318</v>
      </c>
      <c r="P189" s="5" t="s">
        <v>3319</v>
      </c>
      <c r="Q189" s="5" t="s">
        <v>3320</v>
      </c>
      <c r="R189" s="5" t="s">
        <v>3321</v>
      </c>
      <c r="S189" s="5" t="s">
        <v>3322</v>
      </c>
      <c r="T189" s="5" t="s">
        <v>3323</v>
      </c>
      <c r="U189" s="5" t="s">
        <v>3324</v>
      </c>
      <c r="V189" s="5" t="s">
        <v>3325</v>
      </c>
      <c r="W189" s="5" t="s">
        <v>3326</v>
      </c>
      <c r="X189" s="5" t="s">
        <v>14916</v>
      </c>
      <c r="Y189" s="39" t="str">
        <f>IF(OR($A189&lt;&gt;"", $G189=""),"",CONCATENATE(";",EscStr(CONCATENATE("NavNode_",getCategoryLevelAsString($B189))),";",EscStr($J189),";",IF($B189&lt;&gt;"","""MainCategoryNavNode""",EscStr(CONCATENATE("NavNode_",getSuperCategory($B189, getCategoryLevelAsNumber($B189))))),";"))</f>
        <v>;"NavNode_L3D_525469";"Process Controllers";"NavNode_L2D_379610";</v>
      </c>
      <c r="Z189" s="39" t="str">
        <f>IF(getCategoryLevelAsString($B189)="L0D_324785","",IF(G189="",CONCATENATE(";",EscStr(CONCATENATE("NavNode_",getCategoryLevelAsString($B189))),";",EscStr($J189),";"),CONCATENATE(";",EscStr(CONCATENATE("NavNode_",getCategoryLevelAsString($B189))),";",EscStr(G189),";")))</f>
        <v>;"NavNode_L3D_525469";"Prozessregler";</v>
      </c>
      <c r="AA189" s="39" t="str">
        <f>IF(getCategoryLevelAsString($B189)="L0D_324785","",IF(H189="",CONCATENATE(";",EscStr(CONCATENATE("NavNode_",getCategoryLevelAsString($B189))),";",EscStr($J189),";"),CONCATENATE(";",EscStr(CONCATENATE("NavNode_",getCategoryLevelAsString($B189))),";",EscStr(H189),";")))</f>
        <v>;"NavNode_L3D_525469";"Régulateurs de processus";</v>
      </c>
      <c r="AB189" s="39" t="str">
        <f>IF(getCategoryLevelAsString($B189)="L0D_324785","",IF(I189="",CONCATENATE(";",EscStr(CONCATENATE("NavNode_",getCategoryLevelAsString($B189))),";",EscStr($J189),";"),CONCATENATE(";",EscStr(CONCATENATE("NavNode_",getCategoryLevelAsString($B189))),";",EscStr(I189),";")))</f>
        <v>;"NavNode_L3D_525469";"Controller di processo";</v>
      </c>
      <c r="AC189" s="39" t="str">
        <f>IF(getCategoryLevelAsString($B189)="L0D_324785","",IF(J189="",CONCATENATE(";",EscStr(CONCATENATE("NavNode_",getCategoryLevelAsString($B189))),";",EscStr($J189),";"),CONCATENATE(";",EscStr(CONCATENATE("NavNode_",getCategoryLevelAsString($B189))),";",EscStr(J189),";")))</f>
        <v>;"NavNode_L3D_525469";"Process Controllers";</v>
      </c>
      <c r="AD189" s="39" t="str">
        <f>IF(getCategoryLevelAsString($B189)="L0D_324785","",IF(K189="",CONCATENATE(";",EscStr(CONCATENATE("NavNode_",getCategoryLevelAsString($B189))),";",EscStr($J189),";"),CONCATENATE(";",EscStr(CONCATENATE("NavNode_",getCategoryLevelAsString($B189))),";",EscStr(K189),";")))</f>
        <v>;"NavNode_L3D_525469";"Procescontrollere";</v>
      </c>
      <c r="AE189" s="39" t="str">
        <f>IF(getCategoryLevelAsString($B189)="L0D_324785","",IF(L189="",CONCATENATE(";",EscStr(CONCATENATE("NavNode_",getCategoryLevelAsString($B189))),";",EscStr($J189),";"),CONCATENATE(";",EscStr(CONCATENATE("NavNode_",getCategoryLevelAsString($B189))),";",EscStr(L189),";")))</f>
        <v>;"NavNode_L3D_525469";"Procesų valdikliai";</v>
      </c>
      <c r="AF189" s="39" t="str">
        <f>IF(getCategoryLevelAsString($B189)="L0D_324785","",IF(M189="",CONCATENATE(";",EscStr(CONCATENATE("NavNode_",getCategoryLevelAsString($B189))),";",EscStr($J189),";"),CONCATENATE(";",EscStr(CONCATENATE("NavNode_",getCategoryLevelAsString($B189))),";",EscStr(M189),";")))</f>
        <v>;"NavNode_L3D_525469";"Prosesstyringsenheter";</v>
      </c>
      <c r="AG189" s="39" t="str">
        <f>IF(getCategoryLevelAsString($B189)="L0D_324785","",IF(N189="",CONCATENATE(";",EscStr(CONCATENATE("NavNode_",getCategoryLevelAsString($B189))),";",EscStr($J189),";"),CONCATENATE(";",EscStr(CONCATENATE("NavNode_",getCategoryLevelAsString($B189))),";",EscStr(N189),";")))</f>
        <v>;"NavNode_L3D_525469";"Processregulatorer";</v>
      </c>
      <c r="AH189" s="39" t="str">
        <f>IF(getCategoryLevelAsString($B189)="L0D_324785","",IF(O189="",CONCATENATE(";",EscStr(CONCATENATE("NavNode_",getCategoryLevelAsString($B189))),";",EscStr($J189),";"),CONCATENATE(";",EscStr(CONCATENATE("NavNode_",getCategoryLevelAsString($B189))),";",EscStr(O189),";")))</f>
        <v>;"NavNode_L3D_525469";"Protsessi kontrollerid";</v>
      </c>
      <c r="AI189" s="39" t="str">
        <f>IF(getCategoryLevelAsString($B189)="L0D_324785","",IF(P189="",CONCATENATE(";",EscStr(CONCATENATE("NavNode_",getCategoryLevelAsString($B189))),";",EscStr($J189),";"),CONCATENATE(";",EscStr(CONCATENATE("NavNode_",getCategoryLevelAsString($B189))),";",EscStr(P189),";")))</f>
        <v>;"NavNode_L3D_525469";"Prosessiohjaimet";</v>
      </c>
      <c r="AJ189" s="39" t="str">
        <f>IF(getCategoryLevelAsString($B189)="L0D_324785","",IF(Q189="",CONCATENATE(";",EscStr(CONCATENATE("NavNode_",getCategoryLevelAsString($B189))),";",EscStr($J189),";"),CONCATENATE(";",EscStr(CONCATENATE("NavNode_",getCategoryLevelAsString($B189))),";",EscStr(Q189),";")))</f>
        <v>;"NavNode_L3D_525469";"Procesu kontrolieri";</v>
      </c>
      <c r="AK189" s="39" t="str">
        <f>IF(getCategoryLevelAsString($B189)="L0D_324785","",IF(R189="",CONCATENATE(";",EscStr(CONCATENATE("NavNode_",getCategoryLevelAsString($B189))),";",EscStr($J189),";"),CONCATENATE(";",EscStr(CONCATENATE("NavNode_",getCategoryLevelAsString($B189))),";",EscStr(R189),";")))</f>
        <v>;"NavNode_L3D_525469";"Procesregelaars";</v>
      </c>
      <c r="AL189" s="39" t="str">
        <f>IF(getCategoryLevelAsString($B189)="L0D_324785","",IF(S189="",CONCATENATE(";",EscStr(CONCATENATE("NavNode_",getCategoryLevelAsString($B189))),";",EscStr($J189),";"),CONCATENATE(";",EscStr(CONCATENATE("NavNode_",getCategoryLevelAsString($B189))),";",EscStr(S189),";")))</f>
        <v>;"NavNode_L3D_525469";"Regulatory procesów";</v>
      </c>
      <c r="AM189" s="39" t="str">
        <f>IF(getCategoryLevelAsString($B189)="L0D_324785","",IF(T189="",CONCATENATE(";",EscStr(CONCATENATE("NavNode_",getCategoryLevelAsString($B189))),";",EscStr($J189),";"),CONCATENATE(";",EscStr(CONCATENATE("NavNode_",getCategoryLevelAsString($B189))),";",EscStr(T189),";")))</f>
        <v>;"NavNode_L3D_525469";"Контроллер процессов";</v>
      </c>
      <c r="AN189" s="39" t="str">
        <f>IF(getCategoryLevelAsString($B189)="L0D_324785","",IF(U189="",CONCATENATE(";",EscStr(CONCATENATE("NavNode_",getCategoryLevelAsString($B189))),";",EscStr($J189),";"),CONCATENATE(";",EscStr(CONCATENATE("NavNode_",getCategoryLevelAsString($B189))),";",EscStr(U189),";")))</f>
        <v>;"NavNode_L3D_525469";"Procesní regulátor";</v>
      </c>
      <c r="AO189" s="39" t="str">
        <f>IF(getCategoryLevelAsString($B189)="L0D_324785","",IF(V189="",CONCATENATE(";",EscStr(CONCATENATE("NavNode_",getCategoryLevelAsString($B189))),";",EscStr($J189),";"),CONCATENATE(";",EscStr(CONCATENATE("NavNode_",getCategoryLevelAsString($B189))),";",EscStr(V189),";")))</f>
        <v>;"NavNode_L3D_525469";"Regloare de proces";</v>
      </c>
      <c r="AP189" s="39" t="str">
        <f>IF(getCategoryLevelAsString($B189)="L0D_324785","",IF(W189="",CONCATENATE(";",EscStr(CONCATENATE("NavNode_",getCategoryLevelAsString($B189))),";",EscStr($J189),";"),CONCATENATE(";",EscStr(CONCATENATE("NavNode_",getCategoryLevelAsString($B189))),";",EscStr(W189),";")))</f>
        <v>;"NavNode_L3D_525469";"Folyamatszabályozók";</v>
      </c>
      <c r="AQ189" s="39" t="str">
        <f>IF(getCategoryLevelAsString($B189)="L0D_324785","",IF(X189="",CONCATENATE(";",EscStr(CONCATENATE("NavNode_",getCategoryLevelAsString($B189))),";",EscStr($J189),";"),CONCATENATE(";",EscStr(CONCATENATE("NavNode_",getCategoryLevelAsString($B189))),";",EscStr(X189),";")))</f>
        <v>;"NavNode_L3D_525469";"Procesný regulátor";</v>
      </c>
      <c r="AR189" s="39" t="str">
        <f>IF(OR($A189&lt;&gt;"", $G189=""),"",CONCATENATE(";",EscStr(CONCATENATE("NavEntry_",getCategoryLevelAsString($B189))),";",EscStr(CONCATENATE($J189," Navigation Entry")),";",EscStr(CONCATENATE("cat-",getCategoryLevelAsString($B189))),";",EscStr(CONCATENATE("NavNode_",getCategoryLevelAsString($B189))),";"))</f>
        <v>;"NavEntry_L3D_525469";"Process Controllers Navigation Entry";"cat-L3D_525469";"NavNode_L3D_525469";</v>
      </c>
    </row>
    <row r="190" spans="1:44" s="34" customFormat="1" ht="15" x14ac:dyDescent="0.25">
      <c r="A190" s="25"/>
      <c r="B190" s="5"/>
      <c r="C190" s="5"/>
      <c r="D190" s="5" t="s">
        <v>97</v>
      </c>
      <c r="E190" s="5"/>
      <c r="F190" s="5"/>
      <c r="G190" s="5" t="s">
        <v>323</v>
      </c>
      <c r="H190" s="5" t="s">
        <v>324</v>
      </c>
      <c r="I190" s="5" t="s">
        <v>325</v>
      </c>
      <c r="J190" s="5" t="s">
        <v>98</v>
      </c>
      <c r="K190" s="5" t="s">
        <v>1300</v>
      </c>
      <c r="L190" s="5" t="s">
        <v>1534</v>
      </c>
      <c r="M190" s="5" t="s">
        <v>1756</v>
      </c>
      <c r="N190" s="5" t="s">
        <v>13985</v>
      </c>
      <c r="O190" s="5" t="s">
        <v>3327</v>
      </c>
      <c r="P190" s="5" t="s">
        <v>3328</v>
      </c>
      <c r="Q190" s="5" t="s">
        <v>3329</v>
      </c>
      <c r="R190" s="5" t="s">
        <v>1300</v>
      </c>
      <c r="S190" s="5" t="s">
        <v>3330</v>
      </c>
      <c r="T190" s="5" t="s">
        <v>3331</v>
      </c>
      <c r="U190" s="5" t="s">
        <v>3332</v>
      </c>
      <c r="V190" s="5" t="s">
        <v>3333</v>
      </c>
      <c r="W190" s="5" t="s">
        <v>3334</v>
      </c>
      <c r="X190" s="5" t="s">
        <v>14917</v>
      </c>
      <c r="Y190" s="39" t="str">
        <f>IF(OR($A190&lt;&gt;"", $G190=""),"",CONCATENATE(";",EscStr(CONCATENATE("NavNode_",getCategoryLevelAsString($B190))),";",EscStr($J190),";",IF($B190&lt;&gt;"","""MainCategoryNavNode""",EscStr(CONCATENATE("NavNode_",getSuperCategory($B190, getCategoryLevelAsNumber($B190))))),";"))</f>
        <v>;"NavNode_L3D_525468";"Process Displays";"NavNode_L2D_379610";</v>
      </c>
      <c r="Z190" s="39" t="str">
        <f>IF(getCategoryLevelAsString($B190)="L0D_324785","",IF(G190="",CONCATENATE(";",EscStr(CONCATENATE("NavNode_",getCategoryLevelAsString($B190))),";",EscStr($J190),";"),CONCATENATE(";",EscStr(CONCATENATE("NavNode_",getCategoryLevelAsString($B190))),";",EscStr(G190),";")))</f>
        <v>;"NavNode_L3D_525468";"Prozessanzeigen";</v>
      </c>
      <c r="AA190" s="39" t="str">
        <f>IF(getCategoryLevelAsString($B190)="L0D_324785","",IF(H190="",CONCATENATE(";",EscStr(CONCATENATE("NavNode_",getCategoryLevelAsString($B190))),";",EscStr($J190),";"),CONCATENATE(";",EscStr(CONCATENATE("NavNode_",getCategoryLevelAsString($B190))),";",EscStr(H190),";")))</f>
        <v>;"NavNode_L3D_525468";"Affichage de processus";</v>
      </c>
      <c r="AB190" s="39" t="str">
        <f>IF(getCategoryLevelAsString($B190)="L0D_324785","",IF(I190="",CONCATENATE(";",EscStr(CONCATENATE("NavNode_",getCategoryLevelAsString($B190))),";",EscStr($J190),";"),CONCATENATE(";",EscStr(CONCATENATE("NavNode_",getCategoryLevelAsString($B190))),";",EscStr(I190),";")))</f>
        <v>;"NavNode_L3D_525468";"Indicatori di processo";</v>
      </c>
      <c r="AC190" s="39" t="str">
        <f>IF(getCategoryLevelAsString($B190)="L0D_324785","",IF(J190="",CONCATENATE(";",EscStr(CONCATENATE("NavNode_",getCategoryLevelAsString($B190))),";",EscStr($J190),";"),CONCATENATE(";",EscStr(CONCATENATE("NavNode_",getCategoryLevelAsString($B190))),";",EscStr(J190),";")))</f>
        <v>;"NavNode_L3D_525468";"Process Displays";</v>
      </c>
      <c r="AD190" s="39" t="str">
        <f>IF(getCategoryLevelAsString($B190)="L0D_324785","",IF(K190="",CONCATENATE(";",EscStr(CONCATENATE("NavNode_",getCategoryLevelAsString($B190))),";",EscStr($J190),";"),CONCATENATE(";",EscStr(CONCATENATE("NavNode_",getCategoryLevelAsString($B190))),";",EscStr(K190),";")))</f>
        <v>;"NavNode_L3D_525468";"Procesdisplays";</v>
      </c>
      <c r="AE190" s="39" t="str">
        <f>IF(getCategoryLevelAsString($B190)="L0D_324785","",IF(L190="",CONCATENATE(";",EscStr(CONCATENATE("NavNode_",getCategoryLevelAsString($B190))),";",EscStr($J190),";"),CONCATENATE(";",EscStr(CONCATENATE("NavNode_",getCategoryLevelAsString($B190))),";",EscStr(L190),";")))</f>
        <v>;"NavNode_L3D_525468";"Procesų ekranai";</v>
      </c>
      <c r="AF190" s="39" t="str">
        <f>IF(getCategoryLevelAsString($B190)="L0D_324785","",IF(M190="",CONCATENATE(";",EscStr(CONCATENATE("NavNode_",getCategoryLevelAsString($B190))),";",EscStr($J190),";"),CONCATENATE(";",EscStr(CONCATENATE("NavNode_",getCategoryLevelAsString($B190))),";",EscStr(M190),";")))</f>
        <v>;"NavNode_L3D_525468";"Prosessdisplayer";</v>
      </c>
      <c r="AG190" s="39" t="str">
        <f>IF(getCategoryLevelAsString($B190)="L0D_324785","",IF(N190="",CONCATENATE(";",EscStr(CONCATENATE("NavNode_",getCategoryLevelAsString($B190))),";",EscStr($J190),";"),CONCATENATE(";",EscStr(CONCATENATE("NavNode_",getCategoryLevelAsString($B190))),";",EscStr(N190),";")))</f>
        <v>;"NavNode_L3D_525468";"Processdisplayer";</v>
      </c>
      <c r="AH190" s="39" t="str">
        <f>IF(getCategoryLevelAsString($B190)="L0D_324785","",IF(O190="",CONCATENATE(";",EscStr(CONCATENATE("NavNode_",getCategoryLevelAsString($B190))),";",EscStr($J190),";"),CONCATENATE(";",EscStr(CONCATENATE("NavNode_",getCategoryLevelAsString($B190))),";",EscStr(O190),";")))</f>
        <v>;"NavNode_L3D_525468";"Protsessi ekraanid";</v>
      </c>
      <c r="AI190" s="39" t="str">
        <f>IF(getCategoryLevelAsString($B190)="L0D_324785","",IF(P190="",CONCATENATE(";",EscStr(CONCATENATE("NavNode_",getCategoryLevelAsString($B190))),";",EscStr($J190),";"),CONCATENATE(";",EscStr(CONCATENATE("NavNode_",getCategoryLevelAsString($B190))),";",EscStr(P190),";")))</f>
        <v>;"NavNode_L3D_525468";"Prosessinäytöt";</v>
      </c>
      <c r="AJ190" s="39" t="str">
        <f>IF(getCategoryLevelAsString($B190)="L0D_324785","",IF(Q190="",CONCATENATE(";",EscStr(CONCATENATE("NavNode_",getCategoryLevelAsString($B190))),";",EscStr($J190),";"),CONCATENATE(";",EscStr(CONCATENATE("NavNode_",getCategoryLevelAsString($B190))),";",EscStr(Q190),";")))</f>
        <v>;"NavNode_L3D_525468";"Procesu displeji";</v>
      </c>
      <c r="AK190" s="39" t="str">
        <f>IF(getCategoryLevelAsString($B190)="L0D_324785","",IF(R190="",CONCATENATE(";",EscStr(CONCATENATE("NavNode_",getCategoryLevelAsString($B190))),";",EscStr($J190),";"),CONCATENATE(";",EscStr(CONCATENATE("NavNode_",getCategoryLevelAsString($B190))),";",EscStr(R190),";")))</f>
        <v>;"NavNode_L3D_525468";"Procesdisplays";</v>
      </c>
      <c r="AL190" s="39" t="str">
        <f>IF(getCategoryLevelAsString($B190)="L0D_324785","",IF(S190="",CONCATENATE(";",EscStr(CONCATENATE("NavNode_",getCategoryLevelAsString($B190))),";",EscStr($J190),";"),CONCATENATE(";",EscStr(CONCATENATE("NavNode_",getCategoryLevelAsString($B190))),";",EscStr(S190),";")))</f>
        <v>;"NavNode_L3D_525468";"Wskaźniki procesów";</v>
      </c>
      <c r="AM190" s="39" t="str">
        <f>IF(getCategoryLevelAsString($B190)="L0D_324785","",IF(T190="",CONCATENATE(";",EscStr(CONCATENATE("NavNode_",getCategoryLevelAsString($B190))),";",EscStr($J190),";"),CONCATENATE(";",EscStr(CONCATENATE("NavNode_",getCategoryLevelAsString($B190))),";",EscStr(T190),";")))</f>
        <v>;"NavNode_L3D_525468";"Дисплеи процессов";</v>
      </c>
      <c r="AN190" s="39" t="str">
        <f>IF(getCategoryLevelAsString($B190)="L0D_324785","",IF(U190="",CONCATENATE(";",EscStr(CONCATENATE("NavNode_",getCategoryLevelAsString($B190))),";",EscStr($J190),";"),CONCATENATE(";",EscStr(CONCATENATE("NavNode_",getCategoryLevelAsString($B190))),";",EscStr(U190),";")))</f>
        <v>;"NavNode_L3D_525468";"Procesní ukazatele";</v>
      </c>
      <c r="AO190" s="39" t="str">
        <f>IF(getCategoryLevelAsString($B190)="L0D_324785","",IF(V190="",CONCATENATE(";",EscStr(CONCATENATE("NavNode_",getCategoryLevelAsString($B190))),";",EscStr($J190),";"),CONCATENATE(";",EscStr(CONCATENATE("NavNode_",getCategoryLevelAsString($B190))),";",EscStr(V190),";")))</f>
        <v>;"NavNode_L3D_525468";"Afişarea procesului";</v>
      </c>
      <c r="AP190" s="39" t="str">
        <f>IF(getCategoryLevelAsString($B190)="L0D_324785","",IF(W190="",CONCATENATE(";",EscStr(CONCATENATE("NavNode_",getCategoryLevelAsString($B190))),";",EscStr($J190),";"),CONCATENATE(";",EscStr(CONCATENATE("NavNode_",getCategoryLevelAsString($B190))),";",EscStr(W190),";")))</f>
        <v>;"NavNode_L3D_525468";"Folyamatkijelzők";</v>
      </c>
      <c r="AQ190" s="39" t="str">
        <f>IF(getCategoryLevelAsString($B190)="L0D_324785","",IF(X190="",CONCATENATE(";",EscStr(CONCATENATE("NavNode_",getCategoryLevelAsString($B190))),";",EscStr($J190),";"),CONCATENATE(";",EscStr(CONCATENATE("NavNode_",getCategoryLevelAsString($B190))),";",EscStr(X190),";")))</f>
        <v>;"NavNode_L3D_525468";"Procesné ukazovatele";</v>
      </c>
      <c r="AR190" s="39" t="str">
        <f>IF(OR($A190&lt;&gt;"", $G190=""),"",CONCATENATE(";",EscStr(CONCATENATE("NavEntry_",getCategoryLevelAsString($B190))),";",EscStr(CONCATENATE($J190," Navigation Entry")),";",EscStr(CONCATENATE("cat-",getCategoryLevelAsString($B190))),";",EscStr(CONCATENATE("NavNode_",getCategoryLevelAsString($B190))),";"))</f>
        <v>;"NavEntry_L3D_525468";"Process Displays Navigation Entry";"cat-L3D_525468";"NavNode_L3D_525468";</v>
      </c>
    </row>
    <row r="191" spans="1:44" s="34" customFormat="1" ht="15" x14ac:dyDescent="0.25">
      <c r="A191" s="25"/>
      <c r="B191" s="5"/>
      <c r="C191" s="5" t="s">
        <v>34</v>
      </c>
      <c r="D191" s="5"/>
      <c r="E191" s="5"/>
      <c r="F191" s="5"/>
      <c r="G191" s="5" t="s">
        <v>266</v>
      </c>
      <c r="H191" s="5" t="s">
        <v>267</v>
      </c>
      <c r="I191" s="5" t="s">
        <v>268</v>
      </c>
      <c r="J191" s="5" t="s">
        <v>35</v>
      </c>
      <c r="K191" s="5" t="s">
        <v>1301</v>
      </c>
      <c r="L191" s="5" t="s">
        <v>1535</v>
      </c>
      <c r="M191" s="5" t="s">
        <v>1757</v>
      </c>
      <c r="N191" s="5" t="s">
        <v>1965</v>
      </c>
      <c r="O191" s="5" t="s">
        <v>3335</v>
      </c>
      <c r="P191" s="5" t="s">
        <v>3336</v>
      </c>
      <c r="Q191" s="5" t="s">
        <v>3337</v>
      </c>
      <c r="R191" s="5" t="s">
        <v>3338</v>
      </c>
      <c r="S191" s="5" t="s">
        <v>3339</v>
      </c>
      <c r="T191" s="5" t="s">
        <v>3340</v>
      </c>
      <c r="U191" s="5" t="s">
        <v>3341</v>
      </c>
      <c r="V191" s="5" t="s">
        <v>3342</v>
      </c>
      <c r="W191" s="5" t="s">
        <v>3343</v>
      </c>
      <c r="X191" s="5" t="s">
        <v>14918</v>
      </c>
      <c r="Y191" s="39" t="str">
        <f>IF(OR($A191&lt;&gt;"", $G191=""),"",CONCATENATE(";",EscStr(CONCATENATE("NavNode_",getCategoryLevelAsString($B191))),";",EscStr($J191),";",IF($B191&lt;&gt;"","""MainCategoryNavNode""",EscStr(CONCATENATE("NavNode_",getSuperCategory($B191, getCategoryLevelAsNumber($B191))))),";"))</f>
        <v>;"NavNode_L2D_379611";"Industrial Communication";"NavNode_Automation";</v>
      </c>
      <c r="Z191" s="39" t="str">
        <f>IF(getCategoryLevelAsString($B191)="L0D_324785","",IF(G191="",CONCATENATE(";",EscStr(CONCATENATE("NavNode_",getCategoryLevelAsString($B191))),";",EscStr($J191),";"),CONCATENATE(";",EscStr(CONCATENATE("NavNode_",getCategoryLevelAsString($B191))),";",EscStr(G191),";")))</f>
        <v>;"NavNode_L2D_379611";"Industrielle Kommunikation";</v>
      </c>
      <c r="AA191" s="39" t="str">
        <f>IF(getCategoryLevelAsString($B191)="L0D_324785","",IF(H191="",CONCATENATE(";",EscStr(CONCATENATE("NavNode_",getCategoryLevelAsString($B191))),";",EscStr($J191),";"),CONCATENATE(";",EscStr(CONCATENATE("NavNode_",getCategoryLevelAsString($B191))),";",EscStr(H191),";")))</f>
        <v>;"NavNode_L2D_379611";"Communication industrielle";</v>
      </c>
      <c r="AB191" s="39" t="str">
        <f>IF(getCategoryLevelAsString($B191)="L0D_324785","",IF(I191="",CONCATENATE(";",EscStr(CONCATENATE("NavNode_",getCategoryLevelAsString($B191))),";",EscStr($J191),";"),CONCATENATE(";",EscStr(CONCATENATE("NavNode_",getCategoryLevelAsString($B191))),";",EscStr(I191),";")))</f>
        <v>;"NavNode_L2D_379611";"Comunicazione industriale";</v>
      </c>
      <c r="AC191" s="39" t="str">
        <f>IF(getCategoryLevelAsString($B191)="L0D_324785","",IF(J191="",CONCATENATE(";",EscStr(CONCATENATE("NavNode_",getCategoryLevelAsString($B191))),";",EscStr($J191),";"),CONCATENATE(";",EscStr(CONCATENATE("NavNode_",getCategoryLevelAsString($B191))),";",EscStr(J191),";")))</f>
        <v>;"NavNode_L2D_379611";"Industrial Communication";</v>
      </c>
      <c r="AD191" s="39" t="str">
        <f>IF(getCategoryLevelAsString($B191)="L0D_324785","",IF(K191="",CONCATENATE(";",EscStr(CONCATENATE("NavNode_",getCategoryLevelAsString($B191))),";",EscStr($J191),";"),CONCATENATE(";",EscStr(CONCATENATE("NavNode_",getCategoryLevelAsString($B191))),";",EscStr(K191),";")))</f>
        <v>;"NavNode_L2D_379611";"Industriel kommunikation";</v>
      </c>
      <c r="AE191" s="39" t="str">
        <f>IF(getCategoryLevelAsString($B191)="L0D_324785","",IF(L191="",CONCATENATE(";",EscStr(CONCATENATE("NavNode_",getCategoryLevelAsString($B191))),";",EscStr($J191),";"),CONCATENATE(";",EscStr(CONCATENATE("NavNode_",getCategoryLevelAsString($B191))),";",EscStr(L191),";")))</f>
        <v>;"NavNode_L2D_379611";"Pramoninis ryšys";</v>
      </c>
      <c r="AF191" s="39" t="str">
        <f>IF(getCategoryLevelAsString($B191)="L0D_324785","",IF(M191="",CONCATENATE(";",EscStr(CONCATENATE("NavNode_",getCategoryLevelAsString($B191))),";",EscStr($J191),";"),CONCATENATE(";",EscStr(CONCATENATE("NavNode_",getCategoryLevelAsString($B191))),";",EscStr(M191),";")))</f>
        <v>;"NavNode_L2D_379611";"Industriell kommunikasjon";</v>
      </c>
      <c r="AG191" s="39" t="str">
        <f>IF(getCategoryLevelAsString($B191)="L0D_324785","",IF(N191="",CONCATENATE(";",EscStr(CONCATENATE("NavNode_",getCategoryLevelAsString($B191))),";",EscStr($J191),";"),CONCATENATE(";",EscStr(CONCATENATE("NavNode_",getCategoryLevelAsString($B191))),";",EscStr(N191),";")))</f>
        <v>;"NavNode_L2D_379611";"Industrikommunikation";</v>
      </c>
      <c r="AH191" s="39" t="str">
        <f>IF(getCategoryLevelAsString($B191)="L0D_324785","",IF(O191="",CONCATENATE(";",EscStr(CONCATENATE("NavNode_",getCategoryLevelAsString($B191))),";",EscStr($J191),";"),CONCATENATE(";",EscStr(CONCATENATE("NavNode_",getCategoryLevelAsString($B191))),";",EscStr(O191),";")))</f>
        <v>;"NavNode_L2D_379611";"Tööstuslik andmeside";</v>
      </c>
      <c r="AI191" s="39" t="str">
        <f>IF(getCategoryLevelAsString($B191)="L0D_324785","",IF(P191="",CONCATENATE(";",EscStr(CONCATENATE("NavNode_",getCategoryLevelAsString($B191))),";",EscStr($J191),";"),CONCATENATE(";",EscStr(CONCATENATE("NavNode_",getCategoryLevelAsString($B191))),";",EscStr(P191),";")))</f>
        <v>;"NavNode_L2D_379611";"Teollisuusliikenne";</v>
      </c>
      <c r="AJ191" s="39" t="str">
        <f>IF(getCategoryLevelAsString($B191)="L0D_324785","",IF(Q191="",CONCATENATE(";",EscStr(CONCATENATE("NavNode_",getCategoryLevelAsString($B191))),";",EscStr($J191),";"),CONCATENATE(";",EscStr(CONCATENATE("NavNode_",getCategoryLevelAsString($B191))),";",EscStr(Q191),";")))</f>
        <v>;"NavNode_L2D_379611";"Industriālā komunikācija";</v>
      </c>
      <c r="AK191" s="39" t="str">
        <f>IF(getCategoryLevelAsString($B191)="L0D_324785","",IF(R191="",CONCATENATE(";",EscStr(CONCATENATE("NavNode_",getCategoryLevelAsString($B191))),";",EscStr($J191),";"),CONCATENATE(";",EscStr(CONCATENATE("NavNode_",getCategoryLevelAsString($B191))),";",EscStr(R191),";")))</f>
        <v>;"NavNode_L2D_379611";"Industriele communicatie";</v>
      </c>
      <c r="AL191" s="39" t="str">
        <f>IF(getCategoryLevelAsString($B191)="L0D_324785","",IF(S191="",CONCATENATE(";",EscStr(CONCATENATE("NavNode_",getCategoryLevelAsString($B191))),";",EscStr($J191),";"),CONCATENATE(";",EscStr(CONCATENATE("NavNode_",getCategoryLevelAsString($B191))),";",EscStr(S191),";")))</f>
        <v>;"NavNode_L2D_379611";"Magistrale przemysłowe";</v>
      </c>
      <c r="AM191" s="39" t="str">
        <f>IF(getCategoryLevelAsString($B191)="L0D_324785","",IF(T191="",CONCATENATE(";",EscStr(CONCATENATE("NavNode_",getCategoryLevelAsString($B191))),";",EscStr($J191),";"),CONCATENATE(";",EscStr(CONCATENATE("NavNode_",getCategoryLevelAsString($B191))),";",EscStr(T191),";")))</f>
        <v>;"NavNode_L2D_379611";"Промышленная связь";</v>
      </c>
      <c r="AN191" s="39" t="str">
        <f>IF(getCategoryLevelAsString($B191)="L0D_324785","",IF(U191="",CONCATENATE(";",EscStr(CONCATENATE("NavNode_",getCategoryLevelAsString($B191))),";",EscStr($J191),";"),CONCATENATE(";",EscStr(CONCATENATE("NavNode_",getCategoryLevelAsString($B191))),";",EscStr(U191),";")))</f>
        <v>;"NavNode_L2D_379611";"Průmyslová komunikace";</v>
      </c>
      <c r="AO191" s="39" t="str">
        <f>IF(getCategoryLevelAsString($B191)="L0D_324785","",IF(V191="",CONCATENATE(";",EscStr(CONCATENATE("NavNode_",getCategoryLevelAsString($B191))),";",EscStr($J191),";"),CONCATENATE(";",EscStr(CONCATENATE("NavNode_",getCategoryLevelAsString($B191))),";",EscStr(V191),";")))</f>
        <v>;"NavNode_L2D_379611";"Comunicatie industrială";</v>
      </c>
      <c r="AP191" s="39" t="str">
        <f>IF(getCategoryLevelAsString($B191)="L0D_324785","",IF(W191="",CONCATENATE(";",EscStr(CONCATENATE("NavNode_",getCategoryLevelAsString($B191))),";",EscStr($J191),";"),CONCATENATE(";",EscStr(CONCATENATE("NavNode_",getCategoryLevelAsString($B191))),";",EscStr(W191),";")))</f>
        <v>;"NavNode_L2D_379611";"Ipari kommunikáció";</v>
      </c>
      <c r="AQ191" s="39" t="str">
        <f>IF(getCategoryLevelAsString($B191)="L0D_324785","",IF(X191="",CONCATENATE(";",EscStr(CONCATENATE("NavNode_",getCategoryLevelAsString($B191))),";",EscStr($J191),";"),CONCATENATE(";",EscStr(CONCATENATE("NavNode_",getCategoryLevelAsString($B191))),";",EscStr(X191),";")))</f>
        <v>;"NavNode_L2D_379611";"Priemyselná komunikácia";</v>
      </c>
      <c r="AR191" s="39" t="str">
        <f>IF(OR($A191&lt;&gt;"", $G191=""),"",CONCATENATE(";",EscStr(CONCATENATE("NavEntry_",getCategoryLevelAsString($B191))),";",EscStr(CONCATENATE($J191," Navigation Entry")),";",EscStr(CONCATENATE("cat-",getCategoryLevelAsString($B191))),";",EscStr(CONCATENATE("NavNode_",getCategoryLevelAsString($B191))),";"))</f>
        <v>;"NavEntry_L2D_379611";"Industrial Communication Navigation Entry";"cat-L2D_379611";"NavNode_L2D_379611";</v>
      </c>
    </row>
    <row r="192" spans="1:44" s="34" customFormat="1" ht="15" x14ac:dyDescent="0.25">
      <c r="A192" s="25"/>
      <c r="B192" s="5"/>
      <c r="C192" s="5"/>
      <c r="D192" s="5" t="s">
        <v>60</v>
      </c>
      <c r="E192" s="5"/>
      <c r="F192" s="5"/>
      <c r="G192" s="5" t="s">
        <v>938</v>
      </c>
      <c r="H192" s="5" t="s">
        <v>737</v>
      </c>
      <c r="I192" s="5" t="s">
        <v>641</v>
      </c>
      <c r="J192" s="5" t="s">
        <v>835</v>
      </c>
      <c r="K192" s="5" t="s">
        <v>1302</v>
      </c>
      <c r="L192" s="5" t="s">
        <v>15167</v>
      </c>
      <c r="M192" s="5" t="s">
        <v>1758</v>
      </c>
      <c r="N192" s="5" t="s">
        <v>1966</v>
      </c>
      <c r="O192" s="5" t="s">
        <v>3344</v>
      </c>
      <c r="P192" s="5" t="s">
        <v>3345</v>
      </c>
      <c r="Q192" s="5" t="s">
        <v>3346</v>
      </c>
      <c r="R192" s="5" t="s">
        <v>3347</v>
      </c>
      <c r="S192" s="5" t="s">
        <v>3348</v>
      </c>
      <c r="T192" s="5" t="s">
        <v>3349</v>
      </c>
      <c r="U192" s="5" t="s">
        <v>3350</v>
      </c>
      <c r="V192" s="5" t="s">
        <v>3351</v>
      </c>
      <c r="W192" s="5" t="s">
        <v>3352</v>
      </c>
      <c r="X192" s="5" t="s">
        <v>14919</v>
      </c>
      <c r="Y192" s="39" t="str">
        <f>IF(OR($A192&lt;&gt;"", $G192=""),"",CONCATENATE(";",EscStr(CONCATENATE("NavNode_",getCategoryLevelAsString($B192))),";",EscStr($J192),";",IF($B192&lt;&gt;"","""MainCategoryNavNode""",EscStr(CONCATENATE("NavNode_",getSuperCategory($B192, getCategoryLevelAsNumber($B192))))),";"))</f>
        <v>;"NavNode_L3D_525472";"I/O Modules and Interface Relays";"NavNode_L2D_379611";</v>
      </c>
      <c r="Z192" s="39" t="str">
        <f>IF(getCategoryLevelAsString($B192)="L0D_324785","",IF(G192="",CONCATENATE(";",EscStr(CONCATENATE("NavNode_",getCategoryLevelAsString($B192))),";",EscStr($J192),";"),CONCATENATE(";",EscStr(CONCATENATE("NavNode_",getCategoryLevelAsString($B192))),";",EscStr(G192),";")))</f>
        <v>;"NavNode_L3D_525472";"E/A-Module und Schnittstellenrelais";</v>
      </c>
      <c r="AA192" s="39" t="str">
        <f>IF(getCategoryLevelAsString($B192)="L0D_324785","",IF(H192="",CONCATENATE(";",EscStr(CONCATENATE("NavNode_",getCategoryLevelAsString($B192))),";",EscStr($J192),";"),CONCATENATE(";",EscStr(CONCATENATE("NavNode_",getCategoryLevelAsString($B192))),";",EscStr(H192),";")))</f>
        <v>;"NavNode_L3D_525472";"Modules I/O et relais d'interface";</v>
      </c>
      <c r="AB192" s="39" t="str">
        <f>IF(getCategoryLevelAsString($B192)="L0D_324785","",IF(I192="",CONCATENATE(";",EscStr(CONCATENATE("NavNode_",getCategoryLevelAsString($B192))),";",EscStr($J192),";"),CONCATENATE(";",EscStr(CONCATENATE("NavNode_",getCategoryLevelAsString($B192))),";",EscStr(I192),";")))</f>
        <v>;"NavNode_L3D_525472";"Moduli di entrata/uscita e relè interfaccia";</v>
      </c>
      <c r="AC192" s="39" t="str">
        <f>IF(getCategoryLevelAsString($B192)="L0D_324785","",IF(J192="",CONCATENATE(";",EscStr(CONCATENATE("NavNode_",getCategoryLevelAsString($B192))),";",EscStr($J192),";"),CONCATENATE(";",EscStr(CONCATENATE("NavNode_",getCategoryLevelAsString($B192))),";",EscStr(J192),";")))</f>
        <v>;"NavNode_L3D_525472";"I/O Modules and Interface Relays";</v>
      </c>
      <c r="AD192" s="39" t="str">
        <f>IF(getCategoryLevelAsString($B192)="L0D_324785","",IF(K192="",CONCATENATE(";",EscStr(CONCATENATE("NavNode_",getCategoryLevelAsString($B192))),";",EscStr($J192),";"),CONCATENATE(";",EscStr(CONCATENATE("NavNode_",getCategoryLevelAsString($B192))),";",EscStr(K192),";")))</f>
        <v>;"NavNode_L3D_525472";"I/O-moduler og interface-relæer";</v>
      </c>
      <c r="AE192" s="39" t="str">
        <f>IF(getCategoryLevelAsString($B192)="L0D_324785","",IF(L192="",CONCATENATE(";",EscStr(CONCATENATE("NavNode_",getCategoryLevelAsString($B192))),";",EscStr($J192),";"),CONCATENATE(";",EscStr(CONCATENATE("NavNode_",getCategoryLevelAsString($B192))),";",EscStr(L192),";")))</f>
        <v>;"NavNode_L3D_525472";"I/O moduliai ir sąsajų relės";</v>
      </c>
      <c r="AF192" s="39" t="str">
        <f>IF(getCategoryLevelAsString($B192)="L0D_324785","",IF(M192="",CONCATENATE(";",EscStr(CONCATENATE("NavNode_",getCategoryLevelAsString($B192))),";",EscStr($J192),";"),CONCATENATE(";",EscStr(CONCATENATE("NavNode_",getCategoryLevelAsString($B192))),";",EscStr(M192),";")))</f>
        <v>;"NavNode_L3D_525472";"I/U-moduler og grensesnittreléer";</v>
      </c>
      <c r="AG192" s="39" t="str">
        <f>IF(getCategoryLevelAsString($B192)="L0D_324785","",IF(N192="",CONCATENATE(";",EscStr(CONCATENATE("NavNode_",getCategoryLevelAsString($B192))),";",EscStr($J192),";"),CONCATENATE(";",EscStr(CONCATENATE("NavNode_",getCategoryLevelAsString($B192))),";",EscStr(N192),";")))</f>
        <v>;"NavNode_L3D_525472";"I/O-moduler och gränssnittsreläer";</v>
      </c>
      <c r="AH192" s="39" t="str">
        <f>IF(getCategoryLevelAsString($B192)="L0D_324785","",IF(O192="",CONCATENATE(";",EscStr(CONCATENATE("NavNode_",getCategoryLevelAsString($B192))),";",EscStr($J192),";"),CONCATENATE(";",EscStr(CONCATENATE("NavNode_",getCategoryLevelAsString($B192))),";",EscStr(O192),";")))</f>
        <v>;"NavNode_L3D_525472";"I/O moodulid ja DIN-liistu releed";</v>
      </c>
      <c r="AI192" s="39" t="str">
        <f>IF(getCategoryLevelAsString($B192)="L0D_324785","",IF(P192="",CONCATENATE(";",EscStr(CONCATENATE("NavNode_",getCategoryLevelAsString($B192))),";",EscStr($J192),";"),CONCATENATE(";",EscStr(CONCATENATE("NavNode_",getCategoryLevelAsString($B192))),";",EscStr(P192),";")))</f>
        <v>;"NavNode_L3D_525472";"I/O moduulit ja releet";</v>
      </c>
      <c r="AJ192" s="39" t="str">
        <f>IF(getCategoryLevelAsString($B192)="L0D_324785","",IF(Q192="",CONCATENATE(";",EscStr(CONCATENATE("NavNode_",getCategoryLevelAsString($B192))),";",EscStr($J192),";"),CONCATENATE(";",EscStr(CONCATENATE("NavNode_",getCategoryLevelAsString($B192))),";",EscStr(Q192),";")))</f>
        <v>;"NavNode_L3D_525472";"I/O moduļi un interfeisa releji";</v>
      </c>
      <c r="AK192" s="39" t="str">
        <f>IF(getCategoryLevelAsString($B192)="L0D_324785","",IF(R192="",CONCATENATE(";",EscStr(CONCATENATE("NavNode_",getCategoryLevelAsString($B192))),";",EscStr($J192),";"),CONCATENATE(";",EscStr(CONCATENATE("NavNode_",getCategoryLevelAsString($B192))),";",EscStr(R192),";")))</f>
        <v>;"NavNode_L3D_525472";"I/O modules en interface relais";</v>
      </c>
      <c r="AL192" s="39" t="str">
        <f>IF(getCategoryLevelAsString($B192)="L0D_324785","",IF(S192="",CONCATENATE(";",EscStr(CONCATENATE("NavNode_",getCategoryLevelAsString($B192))),";",EscStr($J192),";"),CONCATENATE(";",EscStr(CONCATENATE("NavNode_",getCategoryLevelAsString($B192))),";",EscStr(S192),";")))</f>
        <v>;"NavNode_L3D_525472";"Moduły we/wy i Moduły interfejsowe";</v>
      </c>
      <c r="AM192" s="39" t="str">
        <f>IF(getCategoryLevelAsString($B192)="L0D_324785","",IF(T192="",CONCATENATE(";",EscStr(CONCATENATE("NavNode_",getCategoryLevelAsString($B192))),";",EscStr($J192),";"),CONCATENATE(";",EscStr(CONCATENATE("NavNode_",getCategoryLevelAsString($B192))),";",EscStr(T192),";")))</f>
        <v>;"NavNode_L3D_525472";"I/O модули и переключающие реле";</v>
      </c>
      <c r="AN192" s="39" t="str">
        <f>IF(getCategoryLevelAsString($B192)="L0D_324785","",IF(U192="",CONCATENATE(";",EscStr(CONCATENATE("NavNode_",getCategoryLevelAsString($B192))),";",EscStr($J192),";"),CONCATENATE(";",EscStr(CONCATENATE("NavNode_",getCategoryLevelAsString($B192))),";",EscStr(U192),";")))</f>
        <v>;"NavNode_L3D_525472";"I / O moduly a relé rozhraní";</v>
      </c>
      <c r="AO192" s="39" t="str">
        <f>IF(getCategoryLevelAsString($B192)="L0D_324785","",IF(V192="",CONCATENATE(";",EscStr(CONCATENATE("NavNode_",getCategoryLevelAsString($B192))),";",EscStr($J192),";"),CONCATENATE(";",EscStr(CONCATENATE("NavNode_",getCategoryLevelAsString($B192))),";",EscStr(V192),";")))</f>
        <v>;"NavNode_L3D_525472";"Modulele E/A şi relee de interfaţă";</v>
      </c>
      <c r="AP192" s="39" t="str">
        <f>IF(getCategoryLevelAsString($B192)="L0D_324785","",IF(W192="",CONCATENATE(";",EscStr(CONCATENATE("NavNode_",getCategoryLevelAsString($B192))),";",EscStr($J192),";"),CONCATENATE(";",EscStr(CONCATENATE("NavNode_",getCategoryLevelAsString($B192))),";",EscStr(W192),";")))</f>
        <v>;"NavNode_L3D_525472";"E/A-Modul és interfész relé";</v>
      </c>
      <c r="AQ192" s="39" t="str">
        <f>IF(getCategoryLevelAsString($B192)="L0D_324785","",IF(X192="",CONCATENATE(";",EscStr(CONCATENATE("NavNode_",getCategoryLevelAsString($B192))),";",EscStr($J192),";"),CONCATENATE(";",EscStr(CONCATENATE("NavNode_",getCategoryLevelAsString($B192))),";",EscStr(X192),";")))</f>
        <v>;"NavNode_L3D_525472";"I / O moduly a relé rozhrania";</v>
      </c>
      <c r="AR192" s="39" t="str">
        <f>IF(OR($A192&lt;&gt;"", $G192=""),"",CONCATENATE(";",EscStr(CONCATENATE("NavEntry_",getCategoryLevelAsString($B192))),";",EscStr(CONCATENATE($J192," Navigation Entry")),";",EscStr(CONCATENATE("cat-",getCategoryLevelAsString($B192))),";",EscStr(CONCATENATE("NavNode_",getCategoryLevelAsString($B192))),";"))</f>
        <v>;"NavEntry_L3D_525472";"I/O Modules and Interface Relays Navigation Entry";"cat-L3D_525472";"NavNode_L3D_525472";</v>
      </c>
    </row>
    <row r="193" spans="1:44" s="34" customFormat="1" ht="15" x14ac:dyDescent="0.25">
      <c r="A193" s="25"/>
      <c r="B193" s="5"/>
      <c r="C193" s="5"/>
      <c r="D193" s="5" t="s">
        <v>63</v>
      </c>
      <c r="E193" s="5"/>
      <c r="F193" s="5"/>
      <c r="G193" s="5" t="s">
        <v>272</v>
      </c>
      <c r="H193" s="5" t="s">
        <v>273</v>
      </c>
      <c r="I193" s="5" t="s">
        <v>274</v>
      </c>
      <c r="J193" s="5" t="s">
        <v>64</v>
      </c>
      <c r="K193" s="5" t="s">
        <v>13837</v>
      </c>
      <c r="L193" s="5" t="s">
        <v>1537</v>
      </c>
      <c r="M193" s="5" t="s">
        <v>1759</v>
      </c>
      <c r="N193" s="5" t="s">
        <v>1967</v>
      </c>
      <c r="O193" s="5" t="s">
        <v>3353</v>
      </c>
      <c r="P193" s="5" t="s">
        <v>3354</v>
      </c>
      <c r="Q193" s="5" t="s">
        <v>3355</v>
      </c>
      <c r="R193" s="5" t="s">
        <v>3356</v>
      </c>
      <c r="S193" s="5" t="s">
        <v>3357</v>
      </c>
      <c r="T193" s="5" t="s">
        <v>3358</v>
      </c>
      <c r="U193" s="5" t="s">
        <v>3359</v>
      </c>
      <c r="V193" s="5" t="s">
        <v>3360</v>
      </c>
      <c r="W193" s="5" t="s">
        <v>3361</v>
      </c>
      <c r="X193" s="5" t="s">
        <v>14920</v>
      </c>
      <c r="Y193" s="39" t="str">
        <f>IF(OR($A193&lt;&gt;"", $G193=""),"",CONCATENATE(";",EscStr(CONCATENATE("NavNode_",getCategoryLevelAsString($B193))),";",EscStr($J193),";",IF($B193&lt;&gt;"","""MainCategoryNavNode""",EscStr(CONCATENATE("NavNode_",getSuperCategory($B193, getCategoryLevelAsNumber($B193))))),";"))</f>
        <v>;"NavNode_L3D_525474";"Interface Converters";"NavNode_L2D_379611";</v>
      </c>
      <c r="Z193" s="39" t="str">
        <f>IF(getCategoryLevelAsString($B193)="L0D_324785","",IF(G193="",CONCATENATE(";",EscStr(CONCATENATE("NavNode_",getCategoryLevelAsString($B193))),";",EscStr($J193),";"),CONCATENATE(";",EscStr(CONCATENATE("NavNode_",getCategoryLevelAsString($B193))),";",EscStr(G193),";")))</f>
        <v>;"NavNode_L3D_525474";"Schnittstellenwandler";</v>
      </c>
      <c r="AA193" s="39" t="str">
        <f>IF(getCategoryLevelAsString($B193)="L0D_324785","",IF(H193="",CONCATENATE(";",EscStr(CONCATENATE("NavNode_",getCategoryLevelAsString($B193))),";",EscStr($J193),";"),CONCATENATE(";",EscStr(CONCATENATE("NavNode_",getCategoryLevelAsString($B193))),";",EscStr(H193),";")))</f>
        <v>;"NavNode_L3D_525474";"Convertisseur d'interfaces";</v>
      </c>
      <c r="AB193" s="39" t="str">
        <f>IF(getCategoryLevelAsString($B193)="L0D_324785","",IF(I193="",CONCATENATE(";",EscStr(CONCATENATE("NavNode_",getCategoryLevelAsString($B193))),";",EscStr($J193),";"),CONCATENATE(";",EscStr(CONCATENATE("NavNode_",getCategoryLevelAsString($B193))),";",EscStr(I193),";")))</f>
        <v>;"NavNode_L3D_525474";"Convertitori di interfaccia";</v>
      </c>
      <c r="AC193" s="39" t="str">
        <f>IF(getCategoryLevelAsString($B193)="L0D_324785","",IF(J193="",CONCATENATE(";",EscStr(CONCATENATE("NavNode_",getCategoryLevelAsString($B193))),";",EscStr($J193),";"),CONCATENATE(";",EscStr(CONCATENATE("NavNode_",getCategoryLevelAsString($B193))),";",EscStr(J193),";")))</f>
        <v>;"NavNode_L3D_525474";"Interface Converters";</v>
      </c>
      <c r="AD193" s="39" t="str">
        <f>IF(getCategoryLevelAsString($B193)="L0D_324785","",IF(K193="",CONCATENATE(";",EscStr(CONCATENATE("NavNode_",getCategoryLevelAsString($B193))),";",EscStr($J193),";"),CONCATENATE(";",EscStr(CONCATENATE("NavNode_",getCategoryLevelAsString($B193))),";",EscStr(K193),";")))</f>
        <v>;"NavNode_L3D_525474";"Interface convertere";</v>
      </c>
      <c r="AE193" s="39" t="str">
        <f>IF(getCategoryLevelAsString($B193)="L0D_324785","",IF(L193="",CONCATENATE(";",EscStr(CONCATENATE("NavNode_",getCategoryLevelAsString($B193))),";",EscStr($J193),";"),CONCATENATE(";",EscStr(CONCATENATE("NavNode_",getCategoryLevelAsString($B193))),";",EscStr(L193),";")))</f>
        <v>;"NavNode_L3D_525474";"Sąsajų keitikliai";</v>
      </c>
      <c r="AF193" s="39" t="str">
        <f>IF(getCategoryLevelAsString($B193)="L0D_324785","",IF(M193="",CONCATENATE(";",EscStr(CONCATENATE("NavNode_",getCategoryLevelAsString($B193))),";",EscStr($J193),";"),CONCATENATE(";",EscStr(CONCATENATE("NavNode_",getCategoryLevelAsString($B193))),";",EscStr(M193),";")))</f>
        <v>;"NavNode_L3D_525474";"Grensesnittomformere";</v>
      </c>
      <c r="AG193" s="39" t="str">
        <f>IF(getCategoryLevelAsString($B193)="L0D_324785","",IF(N193="",CONCATENATE(";",EscStr(CONCATENATE("NavNode_",getCategoryLevelAsString($B193))),";",EscStr($J193),";"),CONCATENATE(";",EscStr(CONCATENATE("NavNode_",getCategoryLevelAsString($B193))),";",EscStr(N193),";")))</f>
        <v>;"NavNode_L3D_525474";"Gränssnittsomvandlare";</v>
      </c>
      <c r="AH193" s="39" t="str">
        <f>IF(getCategoryLevelAsString($B193)="L0D_324785","",IF(O193="",CONCATENATE(";",EscStr(CONCATENATE("NavNode_",getCategoryLevelAsString($B193))),";",EscStr($J193),";"),CONCATENATE(";",EscStr(CONCATENATE("NavNode_",getCategoryLevelAsString($B193))),";",EscStr(O193),";")))</f>
        <v>;"NavNode_L3D_525474";"Liidese muundurid";</v>
      </c>
      <c r="AI193" s="39" t="str">
        <f>IF(getCategoryLevelAsString($B193)="L0D_324785","",IF(P193="",CONCATENATE(";",EscStr(CONCATENATE("NavNode_",getCategoryLevelAsString($B193))),";",EscStr($J193),";"),CONCATENATE(";",EscStr(CONCATENATE("NavNode_",getCategoryLevelAsString($B193))),";",EscStr(P193),";")))</f>
        <v>;"NavNode_L3D_525474";"Liitäntämuunnos";</v>
      </c>
      <c r="AJ193" s="39" t="str">
        <f>IF(getCategoryLevelAsString($B193)="L0D_324785","",IF(Q193="",CONCATENATE(";",EscStr(CONCATENATE("NavNode_",getCategoryLevelAsString($B193))),";",EscStr($J193),";"),CONCATENATE(";",EscStr(CONCATENATE("NavNode_",getCategoryLevelAsString($B193))),";",EscStr(Q193),";")))</f>
        <v>;"NavNode_L3D_525474";"Interfeisa pārveidotāji";</v>
      </c>
      <c r="AK193" s="39" t="str">
        <f>IF(getCategoryLevelAsString($B193)="L0D_324785","",IF(R193="",CONCATENATE(";",EscStr(CONCATENATE("NavNode_",getCategoryLevelAsString($B193))),";",EscStr($J193),";"),CONCATENATE(";",EscStr(CONCATENATE("NavNode_",getCategoryLevelAsString($B193))),";",EscStr(R193),";")))</f>
        <v>;"NavNode_L3D_525474";"Interface converters";</v>
      </c>
      <c r="AL193" s="39" t="str">
        <f>IF(getCategoryLevelAsString($B193)="L0D_324785","",IF(S193="",CONCATENATE(";",EscStr(CONCATENATE("NavNode_",getCategoryLevelAsString($B193))),";",EscStr($J193),";"),CONCATENATE(";",EscStr(CONCATENATE("NavNode_",getCategoryLevelAsString($B193))),";",EscStr(S193),";")))</f>
        <v>;"NavNode_L3D_525474";"Przetworniki interfejsu";</v>
      </c>
      <c r="AM193" s="39" t="str">
        <f>IF(getCategoryLevelAsString($B193)="L0D_324785","",IF(T193="",CONCATENATE(";",EscStr(CONCATENATE("NavNode_",getCategoryLevelAsString($B193))),";",EscStr($J193),";"),CONCATENATE(";",EscStr(CONCATENATE("NavNode_",getCategoryLevelAsString($B193))),";",EscStr(T193),";")))</f>
        <v>;"NavNode_L3D_525474";"Преобразователи интерфейсов";</v>
      </c>
      <c r="AN193" s="39" t="str">
        <f>IF(getCategoryLevelAsString($B193)="L0D_324785","",IF(U193="",CONCATENATE(";",EscStr(CONCATENATE("NavNode_",getCategoryLevelAsString($B193))),";",EscStr($J193),";"),CONCATENATE(";",EscStr(CONCATENATE("NavNode_",getCategoryLevelAsString($B193))),";",EscStr(U193),";")))</f>
        <v>;"NavNode_L3D_525474";"Převodník rozhraní";</v>
      </c>
      <c r="AO193" s="39" t="str">
        <f>IF(getCategoryLevelAsString($B193)="L0D_324785","",IF(V193="",CONCATENATE(";",EscStr(CONCATENATE("NavNode_",getCategoryLevelAsString($B193))),";",EscStr($J193),";"),CONCATENATE(";",EscStr(CONCATENATE("NavNode_",getCategoryLevelAsString($B193))),";",EscStr(V193),";")))</f>
        <v>;"NavNode_L3D_525474";"Convertor de interfaţă";</v>
      </c>
      <c r="AP193" s="39" t="str">
        <f>IF(getCategoryLevelAsString($B193)="L0D_324785","",IF(W193="",CONCATENATE(";",EscStr(CONCATENATE("NavNode_",getCategoryLevelAsString($B193))),";",EscStr($J193),";"),CONCATENATE(";",EscStr(CONCATENATE("NavNode_",getCategoryLevelAsString($B193))),";",EscStr(W193),";")))</f>
        <v>;"NavNode_L3D_525474";"Interfész átalakító";</v>
      </c>
      <c r="AQ193" s="39" t="str">
        <f>IF(getCategoryLevelAsString($B193)="L0D_324785","",IF(X193="",CONCATENATE(";",EscStr(CONCATENATE("NavNode_",getCategoryLevelAsString($B193))),";",EscStr($J193),";"),CONCATENATE(";",EscStr(CONCATENATE("NavNode_",getCategoryLevelAsString($B193))),";",EscStr(X193),";")))</f>
        <v>;"NavNode_L3D_525474";"Prevodník rozhrania";</v>
      </c>
      <c r="AR193" s="39" t="str">
        <f>IF(OR($A193&lt;&gt;"", $G193=""),"",CONCATENATE(";",EscStr(CONCATENATE("NavEntry_",getCategoryLevelAsString($B193))),";",EscStr(CONCATENATE($J193," Navigation Entry")),";",EscStr(CONCATENATE("cat-",getCategoryLevelAsString($B193))),";",EscStr(CONCATENATE("NavNode_",getCategoryLevelAsString($B193))),";"))</f>
        <v>;"NavEntry_L3D_525474";"Interface Converters Navigation Entry";"cat-L3D_525474";"NavNode_L3D_525474";</v>
      </c>
    </row>
    <row r="194" spans="1:44" s="34" customFormat="1" ht="15" x14ac:dyDescent="0.25">
      <c r="A194" s="25"/>
      <c r="B194" s="5"/>
      <c r="C194" s="5"/>
      <c r="D194" s="5" t="s">
        <v>65</v>
      </c>
      <c r="E194" s="5"/>
      <c r="F194" s="5"/>
      <c r="G194" s="5" t="s">
        <v>275</v>
      </c>
      <c r="H194" s="5" t="s">
        <v>276</v>
      </c>
      <c r="I194" s="5" t="s">
        <v>277</v>
      </c>
      <c r="J194" s="5" t="s">
        <v>836</v>
      </c>
      <c r="K194" s="5" t="s">
        <v>1303</v>
      </c>
      <c r="L194" s="5" t="s">
        <v>1538</v>
      </c>
      <c r="M194" s="5" t="s">
        <v>1760</v>
      </c>
      <c r="N194" s="5" t="s">
        <v>1968</v>
      </c>
      <c r="O194" s="5" t="s">
        <v>3362</v>
      </c>
      <c r="P194" s="5" t="s">
        <v>3363</v>
      </c>
      <c r="Q194" s="5" t="s">
        <v>3364</v>
      </c>
      <c r="R194" s="5" t="s">
        <v>14346</v>
      </c>
      <c r="S194" s="5" t="s">
        <v>3366</v>
      </c>
      <c r="T194" s="5" t="s">
        <v>3367</v>
      </c>
      <c r="U194" s="5" t="s">
        <v>3368</v>
      </c>
      <c r="V194" s="5" t="s">
        <v>3369</v>
      </c>
      <c r="W194" s="5" t="s">
        <v>3370</v>
      </c>
      <c r="X194" s="5" t="s">
        <v>14921</v>
      </c>
      <c r="Y194" s="39" t="str">
        <f>IF(OR($A194&lt;&gt;"", $G194=""),"",CONCATENATE(";",EscStr(CONCATENATE("NavNode_",getCategoryLevelAsString($B194))),";",EscStr($J194),";",IF($B194&lt;&gt;"","""MainCategoryNavNode""",EscStr(CONCATENATE("NavNode_",getSuperCategory($B194, getCategoryLevelAsNumber($B194))))),";"))</f>
        <v>;"NavNode_L3D_525473";"Measuring Transducers and Signal Converters";"NavNode_L2D_379611";</v>
      </c>
      <c r="Z194" s="39" t="str">
        <f>IF(getCategoryLevelAsString($B194)="L0D_324785","",IF(G194="",CONCATENATE(";",EscStr(CONCATENATE("NavNode_",getCategoryLevelAsString($B194))),";",EscStr($J194),";"),CONCATENATE(";",EscStr(CONCATENATE("NavNode_",getCategoryLevelAsString($B194))),";",EscStr(G194),";")))</f>
        <v>;"NavNode_L3D_525473";"Messumformer und Signalwandler";</v>
      </c>
      <c r="AA194" s="39" t="str">
        <f>IF(getCategoryLevelAsString($B194)="L0D_324785","",IF(H194="",CONCATENATE(";",EscStr(CONCATENATE("NavNode_",getCategoryLevelAsString($B194))),";",EscStr($J194),";"),CONCATENATE(";",EscStr(CONCATENATE("NavNode_",getCategoryLevelAsString($B194))),";",EscStr(H194),";")))</f>
        <v>;"NavNode_L3D_525473";"Transducteurs de mesure et convertisseurs de signaux";</v>
      </c>
      <c r="AB194" s="39" t="str">
        <f>IF(getCategoryLevelAsString($B194)="L0D_324785","",IF(I194="",CONCATENATE(";",EscStr(CONCATENATE("NavNode_",getCategoryLevelAsString($B194))),";",EscStr($J194),";"),CONCATENATE(";",EscStr(CONCATENATE("NavNode_",getCategoryLevelAsString($B194))),";",EscStr(I194),";")))</f>
        <v>;"NavNode_L3D_525473";"Convertitori di misura e convertitori di segnale";</v>
      </c>
      <c r="AC194" s="39" t="str">
        <f>IF(getCategoryLevelAsString($B194)="L0D_324785","",IF(J194="",CONCATENATE(";",EscStr(CONCATENATE("NavNode_",getCategoryLevelAsString($B194))),";",EscStr($J194),";"),CONCATENATE(";",EscStr(CONCATENATE("NavNode_",getCategoryLevelAsString($B194))),";",EscStr(J194),";")))</f>
        <v>;"NavNode_L3D_525473";"Measuring Transducers and Signal Converters";</v>
      </c>
      <c r="AD194" s="39" t="str">
        <f>IF(getCategoryLevelAsString($B194)="L0D_324785","",IF(K194="",CONCATENATE(";",EscStr(CONCATENATE("NavNode_",getCategoryLevelAsString($B194))),";",EscStr($J194),";"),CONCATENATE(";",EscStr(CONCATENATE("NavNode_",getCategoryLevelAsString($B194))),";",EscStr(K194),";")))</f>
        <v>;"NavNode_L3D_525473";"Måleværdi- og signalomformere";</v>
      </c>
      <c r="AE194" s="39" t="str">
        <f>IF(getCategoryLevelAsString($B194)="L0D_324785","",IF(L194="",CONCATENATE(";",EscStr(CONCATENATE("NavNode_",getCategoryLevelAsString($B194))),";",EscStr($J194),";"),CONCATENATE(";",EscStr(CONCATENATE("NavNode_",getCategoryLevelAsString($B194))),";",EscStr(L194),";")))</f>
        <v>;"NavNode_L3D_525473";"Matavimo ir signalų keitikliai";</v>
      </c>
      <c r="AF194" s="39" t="str">
        <f>IF(getCategoryLevelAsString($B194)="L0D_324785","",IF(M194="",CONCATENATE(";",EscStr(CONCATENATE("NavNode_",getCategoryLevelAsString($B194))),";",EscStr($J194),";"),CONCATENATE(";",EscStr(CONCATENATE("NavNode_",getCategoryLevelAsString($B194))),";",EscStr(M194),";")))</f>
        <v>;"NavNode_L3D_525473";"Målegivere og signalomformere";</v>
      </c>
      <c r="AG194" s="39" t="str">
        <f>IF(getCategoryLevelAsString($B194)="L0D_324785","",IF(N194="",CONCATENATE(";",EscStr(CONCATENATE("NavNode_",getCategoryLevelAsString($B194))),";",EscStr($J194),";"),CONCATENATE(";",EscStr(CONCATENATE("NavNode_",getCategoryLevelAsString($B194))),";",EscStr(N194),";")))</f>
        <v>;"NavNode_L3D_525473";"Mät- och signalomvandlare";</v>
      </c>
      <c r="AH194" s="39" t="str">
        <f>IF(getCategoryLevelAsString($B194)="L0D_324785","",IF(O194="",CONCATENATE(";",EscStr(CONCATENATE("NavNode_",getCategoryLevelAsString($B194))),";",EscStr($J194),";"),CONCATENATE(";",EscStr(CONCATENATE("NavNode_",getCategoryLevelAsString($B194))),";",EscStr(O194),";")))</f>
        <v>;"NavNode_L3D_525473";"Mõõtemuundurid ja signaalimuundurid";</v>
      </c>
      <c r="AI194" s="39" t="str">
        <f>IF(getCategoryLevelAsString($B194)="L0D_324785","",IF(P194="",CONCATENATE(";",EscStr(CONCATENATE("NavNode_",getCategoryLevelAsString($B194))),";",EscStr($J194),";"),CONCATENATE(";",EscStr(CONCATENATE("NavNode_",getCategoryLevelAsString($B194))),";",EscStr(P194),";")))</f>
        <v>;"NavNode_L3D_525473";"Signaalimuuntimet";</v>
      </c>
      <c r="AJ194" s="39" t="str">
        <f>IF(getCategoryLevelAsString($B194)="L0D_324785","",IF(Q194="",CONCATENATE(";",EscStr(CONCATENATE("NavNode_",getCategoryLevelAsString($B194))),";",EscStr($J194),";"),CONCATENATE(";",EscStr(CONCATENATE("NavNode_",getCategoryLevelAsString($B194))),";",EscStr(Q194),";")))</f>
        <v>;"NavNode_L3D_525473";"Mērīšanas pārveidotāji un signālu pārveidotāji";</v>
      </c>
      <c r="AK194" s="39" t="str">
        <f>IF(getCategoryLevelAsString($B194)="L0D_324785","",IF(R194="",CONCATENATE(";",EscStr(CONCATENATE("NavNode_",getCategoryLevelAsString($B194))),";",EscStr($J194),";"),CONCATENATE(";",EscStr(CONCATENATE("NavNode_",getCategoryLevelAsString($B194))),";",EscStr(R194),";")))</f>
        <v>;"NavNode_L3D_525473";"Meettransducers en signaalomvormers";</v>
      </c>
      <c r="AL194" s="39" t="str">
        <f>IF(getCategoryLevelAsString($B194)="L0D_324785","",IF(S194="",CONCATENATE(";",EscStr(CONCATENATE("NavNode_",getCategoryLevelAsString($B194))),";",EscStr($J194),";"),CONCATENATE(";",EscStr(CONCATENATE("NavNode_",getCategoryLevelAsString($B194))),";",EscStr(S194),";")))</f>
        <v>;"NavNode_L3D_525473";"Przetworniki pomiarowe i Przetworniki sygnałów";</v>
      </c>
      <c r="AM194" s="39" t="str">
        <f>IF(getCategoryLevelAsString($B194)="L0D_324785","",IF(T194="",CONCATENATE(";",EscStr(CONCATENATE("NavNode_",getCategoryLevelAsString($B194))),";",EscStr($J194),";"),CONCATENATE(";",EscStr(CONCATENATE("NavNode_",getCategoryLevelAsString($B194))),";",EscStr(T194),";")))</f>
        <v>;"NavNode_L3D_525473";"Измерительные датчики и преобразователи сигналов";</v>
      </c>
      <c r="AN194" s="39" t="str">
        <f>IF(getCategoryLevelAsString($B194)="L0D_324785","",IF(U194="",CONCATENATE(";",EscStr(CONCATENATE("NavNode_",getCategoryLevelAsString($B194))),";",EscStr($J194),";"),CONCATENATE(";",EscStr(CONCATENATE("NavNode_",getCategoryLevelAsString($B194))),";",EscStr(U194),";")))</f>
        <v>;"NavNode_L3D_525473";"Měřicí převodník a převodník signálu";</v>
      </c>
      <c r="AO194" s="39" t="str">
        <f>IF(getCategoryLevelAsString($B194)="L0D_324785","",IF(V194="",CONCATENATE(";",EscStr(CONCATENATE("NavNode_",getCategoryLevelAsString($B194))),";",EscStr($J194),";"),CONCATENATE(";",EscStr(CONCATENATE("NavNode_",getCategoryLevelAsString($B194))),";",EscStr(V194),";")))</f>
        <v>;"NavNode_L3D_525473";"Traductor şi semnal converter";</v>
      </c>
      <c r="AP194" s="39" t="str">
        <f>IF(getCategoryLevelAsString($B194)="L0D_324785","",IF(W194="",CONCATENATE(";",EscStr(CONCATENATE("NavNode_",getCategoryLevelAsString($B194))),";",EscStr($J194),";"),CONCATENATE(";",EscStr(CONCATENATE("NavNode_",getCategoryLevelAsString($B194))),";",EscStr(W194),";")))</f>
        <v>;"NavNode_L3D_525473";"Mérőátalakítók és jelátalakítók";</v>
      </c>
      <c r="AQ194" s="39" t="str">
        <f>IF(getCategoryLevelAsString($B194)="L0D_324785","",IF(X194="",CONCATENATE(";",EscStr(CONCATENATE("NavNode_",getCategoryLevelAsString($B194))),";",EscStr($J194),";"),CONCATENATE(";",EscStr(CONCATENATE("NavNode_",getCategoryLevelAsString($B194))),";",EscStr(X194),";")))</f>
        <v>;"NavNode_L3D_525473";"Merací prevodník a prevodník signálu";</v>
      </c>
      <c r="AR194" s="39" t="str">
        <f>IF(OR($A194&lt;&gt;"", $G194=""),"",CONCATENATE(";",EscStr(CONCATENATE("NavEntry_",getCategoryLevelAsString($B194))),";",EscStr(CONCATENATE($J194," Navigation Entry")),";",EscStr(CONCATENATE("cat-",getCategoryLevelAsString($B194))),";",EscStr(CONCATENATE("NavNode_",getCategoryLevelAsString($B194))),";"))</f>
        <v>;"NavEntry_L3D_525473";"Measuring Transducers and Signal Converters Navigation Entry";"cat-L3D_525473";"NavNode_L3D_525473";</v>
      </c>
    </row>
    <row r="195" spans="1:44" s="34" customFormat="1" ht="15" x14ac:dyDescent="0.25">
      <c r="A195" s="25"/>
      <c r="B195" s="5"/>
      <c r="C195" s="5"/>
      <c r="D195" s="5" t="s">
        <v>58</v>
      </c>
      <c r="E195" s="5"/>
      <c r="F195" s="5"/>
      <c r="G195" s="5" t="s">
        <v>269</v>
      </c>
      <c r="H195" s="5" t="s">
        <v>270</v>
      </c>
      <c r="I195" s="5" t="s">
        <v>271</v>
      </c>
      <c r="J195" s="5" t="s">
        <v>59</v>
      </c>
      <c r="K195" s="5" t="s">
        <v>1304</v>
      </c>
      <c r="L195" s="5" t="s">
        <v>15168</v>
      </c>
      <c r="M195" s="5" t="s">
        <v>1761</v>
      </c>
      <c r="N195" s="5" t="s">
        <v>13986</v>
      </c>
      <c r="O195" s="5" t="s">
        <v>3371</v>
      </c>
      <c r="P195" s="5" t="s">
        <v>3372</v>
      </c>
      <c r="Q195" s="5" t="s">
        <v>3373</v>
      </c>
      <c r="R195" s="5" t="s">
        <v>3374</v>
      </c>
      <c r="S195" s="5" t="s">
        <v>3375</v>
      </c>
      <c r="T195" s="5" t="s">
        <v>3376</v>
      </c>
      <c r="U195" s="5" t="s">
        <v>3377</v>
      </c>
      <c r="V195" s="5" t="s">
        <v>3378</v>
      </c>
      <c r="W195" s="5" t="s">
        <v>3379</v>
      </c>
      <c r="X195" s="5" t="s">
        <v>14922</v>
      </c>
      <c r="Y195" s="39" t="str">
        <f>IF(OR($A195&lt;&gt;"", $G195=""),"",CONCATENATE(";",EscStr(CONCATENATE("NavNode_",getCategoryLevelAsString($B195))),";",EscStr($J195),";",IF($B195&lt;&gt;"","""MainCategoryNavNode""",EscStr(CONCATENATE("NavNode_",getSuperCategory($B195, getCategoryLevelAsNumber($B195))))),";"))</f>
        <v>;"NavNode_L3D_525476";"Actuator Sensor Interface";"NavNode_L2D_379611";</v>
      </c>
      <c r="Z195" s="39" t="str">
        <f>IF(getCategoryLevelAsString($B195)="L0D_324785","",IF(G195="",CONCATENATE(";",EscStr(CONCATENATE("NavNode_",getCategoryLevelAsString($B195))),";",EscStr($J195),";"),CONCATENATE(";",EscStr(CONCATENATE("NavNode_",getCategoryLevelAsString($B195))),";",EscStr(G195),";")))</f>
        <v>;"NavNode_L3D_525476";"Aktor-Sensor-Schnittstelle";</v>
      </c>
      <c r="AA195" s="39" t="str">
        <f>IF(getCategoryLevelAsString($B195)="L0D_324785","",IF(H195="",CONCATENATE(";",EscStr(CONCATENATE("NavNode_",getCategoryLevelAsString($B195))),";",EscStr($J195),";"),CONCATENATE(";",EscStr(CONCATENATE("NavNode_",getCategoryLevelAsString($B195))),";",EscStr(H195),";")))</f>
        <v>;"NavNode_L3D_525476";"Interface capteur-actionneur";</v>
      </c>
      <c r="AB195" s="39" t="str">
        <f>IF(getCategoryLevelAsString($B195)="L0D_324785","",IF(I195="",CONCATENATE(";",EscStr(CONCATENATE("NavNode_",getCategoryLevelAsString($B195))),";",EscStr($J195),";"),CONCATENATE(";",EscStr(CONCATENATE("NavNode_",getCategoryLevelAsString($B195))),";",EscStr(I195),";")))</f>
        <v>;"NavNode_L3D_525476";"Interfaccia attuatore sensore";</v>
      </c>
      <c r="AC195" s="39" t="str">
        <f>IF(getCategoryLevelAsString($B195)="L0D_324785","",IF(J195="",CONCATENATE(";",EscStr(CONCATENATE("NavNode_",getCategoryLevelAsString($B195))),";",EscStr($J195),";"),CONCATENATE(";",EscStr(CONCATENATE("NavNode_",getCategoryLevelAsString($B195))),";",EscStr(J195),";")))</f>
        <v>;"NavNode_L3D_525476";"Actuator Sensor Interface";</v>
      </c>
      <c r="AD195" s="39" t="str">
        <f>IF(getCategoryLevelAsString($B195)="L0D_324785","",IF(K195="",CONCATENATE(";",EscStr(CONCATENATE("NavNode_",getCategoryLevelAsString($B195))),";",EscStr($J195),";"),CONCATENATE(";",EscStr(CONCATENATE("NavNode_",getCategoryLevelAsString($B195))),";",EscStr(K195),";")))</f>
        <v>;"NavNode_L3D_525476";"Aktuator-sensor-interface";</v>
      </c>
      <c r="AE195" s="39" t="str">
        <f>IF(getCategoryLevelAsString($B195)="L0D_324785","",IF(L195="",CONCATENATE(";",EscStr(CONCATENATE("NavNode_",getCategoryLevelAsString($B195))),";",EscStr($J195),";"),CONCATENATE(";",EscStr(CONCATENATE("NavNode_",getCategoryLevelAsString($B195))),";",EscStr(L195),";")))</f>
        <v>;"NavNode_L3D_525476";"Vykdiklių-jutiklių sąsajos";</v>
      </c>
      <c r="AF195" s="39" t="str">
        <f>IF(getCategoryLevelAsString($B195)="L0D_324785","",IF(M195="",CONCATENATE(";",EscStr(CONCATENATE("NavNode_",getCategoryLevelAsString($B195))),";",EscStr($J195),";"),CONCATENATE(";",EscStr(CONCATENATE("NavNode_",getCategoryLevelAsString($B195))),";",EscStr(M195),";")))</f>
        <v>;"NavNode_L3D_525476";"Aktuatorsensor-grensesnitt";</v>
      </c>
      <c r="AG195" s="39" t="str">
        <f>IF(getCategoryLevelAsString($B195)="L0D_324785","",IF(N195="",CONCATENATE(";",EscStr(CONCATENATE("NavNode_",getCategoryLevelAsString($B195))),";",EscStr($J195),";"),CONCATENATE(";",EscStr(CONCATENATE("NavNode_",getCategoryLevelAsString($B195))),";",EscStr(N195),";")))</f>
        <v>;"NavNode_L3D_525476";"A/S-gränssnitt";</v>
      </c>
      <c r="AH195" s="39" t="str">
        <f>IF(getCategoryLevelAsString($B195)="L0D_324785","",IF(O195="",CONCATENATE(";",EscStr(CONCATENATE("NavNode_",getCategoryLevelAsString($B195))),";",EscStr($J195),";"),CONCATENATE(";",EscStr(CONCATENATE("NavNode_",getCategoryLevelAsString($B195))),";",EscStr(O195),";")))</f>
        <v>;"NavNode_L3D_525476";"Täituri andurliides";</v>
      </c>
      <c r="AI195" s="39" t="str">
        <f>IF(getCategoryLevelAsString($B195)="L0D_324785","",IF(P195="",CONCATENATE(";",EscStr(CONCATENATE("NavNode_",getCategoryLevelAsString($B195))),";",EscStr($J195),";"),CONCATENATE(";",EscStr(CONCATENATE("NavNode_",getCategoryLevelAsString($B195))),";",EscStr(P195),";")))</f>
        <v>;"NavNode_L3D_525476";"Muunnosanturi liitäntä";</v>
      </c>
      <c r="AJ195" s="39" t="str">
        <f>IF(getCategoryLevelAsString($B195)="L0D_324785","",IF(Q195="",CONCATENATE(";",EscStr(CONCATENATE("NavNode_",getCategoryLevelAsString($B195))),";",EscStr($J195),";"),CONCATENATE(";",EscStr(CONCATENATE("NavNode_",getCategoryLevelAsString($B195))),";",EscStr(Q195),";")))</f>
        <v>;"NavNode_L3D_525476";"Piedziņas sensoru interfeiss";</v>
      </c>
      <c r="AK195" s="39" t="str">
        <f>IF(getCategoryLevelAsString($B195)="L0D_324785","",IF(R195="",CONCATENATE(";",EscStr(CONCATENATE("NavNode_",getCategoryLevelAsString($B195))),";",EscStr($J195),";"),CONCATENATE(";",EscStr(CONCATENATE("NavNode_",getCategoryLevelAsString($B195))),";",EscStr(R195),";")))</f>
        <v>;"NavNode_L3D_525476";"Actuator sensor interface";</v>
      </c>
      <c r="AL195" s="39" t="str">
        <f>IF(getCategoryLevelAsString($B195)="L0D_324785","",IF(S195="",CONCATENATE(";",EscStr(CONCATENATE("NavNode_",getCategoryLevelAsString($B195))),";",EscStr($J195),";"),CONCATENATE(";",EscStr(CONCATENATE("NavNode_",getCategoryLevelAsString($B195))),";",EscStr(S195),";")))</f>
        <v>;"NavNode_L3D_525476";"Interfejsy czujnik-element wykonawczy";</v>
      </c>
      <c r="AM195" s="39" t="str">
        <f>IF(getCategoryLevelAsString($B195)="L0D_324785","",IF(T195="",CONCATENATE(";",EscStr(CONCATENATE("NavNode_",getCategoryLevelAsString($B195))),";",EscStr($J195),";"),CONCATENATE(";",EscStr(CONCATENATE("NavNode_",getCategoryLevelAsString($B195))),";",EscStr(T195),";")))</f>
        <v>;"NavNode_L3D_525476";"Интерфейсы для датчиков";</v>
      </c>
      <c r="AN195" s="39" t="str">
        <f>IF(getCategoryLevelAsString($B195)="L0D_324785","",IF(U195="",CONCATENATE(";",EscStr(CONCATENATE("NavNode_",getCategoryLevelAsString($B195))),";",EscStr($J195),";"),CONCATENATE(";",EscStr(CONCATENATE("NavNode_",getCategoryLevelAsString($B195))),";",EscStr(U195),";")))</f>
        <v>;"NavNode_L3D_525476";"Rozhraní snímače aktivátoru";</v>
      </c>
      <c r="AO195" s="39" t="str">
        <f>IF(getCategoryLevelAsString($B195)="L0D_324785","",IF(V195="",CONCATENATE(";",EscStr(CONCATENATE("NavNode_",getCategoryLevelAsString($B195))),";",EscStr($J195),";"),CONCATENATE(";",EscStr(CONCATENATE("NavNode_",getCategoryLevelAsString($B195))),";",EscStr(V195),";")))</f>
        <v>;"NavNode_L3D_525476";"Interfaţă senzori de acţionare";</v>
      </c>
      <c r="AP195" s="39" t="str">
        <f>IF(getCategoryLevelAsString($B195)="L0D_324785","",IF(W195="",CONCATENATE(";",EscStr(CONCATENATE("NavNode_",getCategoryLevelAsString($B195))),";",EscStr($J195),";"),CONCATENATE(";",EscStr(CONCATENATE("NavNode_",getCategoryLevelAsString($B195))),";",EscStr(W195),";")))</f>
        <v>;"NavNode_L3D_525476";"Aktuátor-érzékelő-interfész";</v>
      </c>
      <c r="AQ195" s="39" t="str">
        <f>IF(getCategoryLevelAsString($B195)="L0D_324785","",IF(X195="",CONCATENATE(";",EscStr(CONCATENATE("NavNode_",getCategoryLevelAsString($B195))),";",EscStr($J195),";"),CONCATENATE(";",EscStr(CONCATENATE("NavNode_",getCategoryLevelAsString($B195))),";",EscStr(X195),";")))</f>
        <v>;"NavNode_L3D_525476";"Rozhrania snímača aktivátora";</v>
      </c>
      <c r="AR195" s="39" t="str">
        <f>IF(OR($A195&lt;&gt;"", $G195=""),"",CONCATENATE(";",EscStr(CONCATENATE("NavEntry_",getCategoryLevelAsString($B195))),";",EscStr(CONCATENATE($J195," Navigation Entry")),";",EscStr(CONCATENATE("cat-",getCategoryLevelAsString($B195))),";",EscStr(CONCATENATE("NavNode_",getCategoryLevelAsString($B195))),";"))</f>
        <v>;"NavEntry_L3D_525476";"Actuator Sensor Interface Navigation Entry";"cat-L3D_525476";"NavNode_L3D_525476";</v>
      </c>
    </row>
    <row r="196" spans="1:44" s="34" customFormat="1" ht="15" x14ac:dyDescent="0.25">
      <c r="A196" s="25"/>
      <c r="B196" s="5"/>
      <c r="C196" s="5"/>
      <c r="D196" s="5" t="s">
        <v>61</v>
      </c>
      <c r="E196" s="5"/>
      <c r="F196" s="5"/>
      <c r="G196" s="5" t="s">
        <v>62</v>
      </c>
      <c r="H196" s="5" t="s">
        <v>62</v>
      </c>
      <c r="I196" s="5" t="s">
        <v>62</v>
      </c>
      <c r="J196" s="5" t="s">
        <v>62</v>
      </c>
      <c r="K196" s="5" t="s">
        <v>1305</v>
      </c>
      <c r="L196" s="5" t="s">
        <v>15169</v>
      </c>
      <c r="M196" s="5" t="s">
        <v>1305</v>
      </c>
      <c r="N196" s="5" t="s">
        <v>1970</v>
      </c>
      <c r="O196" s="5" t="s">
        <v>3380</v>
      </c>
      <c r="P196" s="5" t="s">
        <v>3381</v>
      </c>
      <c r="Q196" s="5" t="s">
        <v>3382</v>
      </c>
      <c r="R196" s="5" t="s">
        <v>3383</v>
      </c>
      <c r="S196" s="5" t="s">
        <v>3384</v>
      </c>
      <c r="T196" s="5" t="s">
        <v>3385</v>
      </c>
      <c r="U196" s="5" t="s">
        <v>3386</v>
      </c>
      <c r="V196" s="5" t="s">
        <v>3387</v>
      </c>
      <c r="W196" s="5" t="s">
        <v>3388</v>
      </c>
      <c r="X196" s="5" t="s">
        <v>14923</v>
      </c>
      <c r="Y196" s="39" t="str">
        <f>IF(OR($A196&lt;&gt;"", $G196=""),"",CONCATENATE(";",EscStr(CONCATENATE("NavNode_",getCategoryLevelAsString($B196))),";",EscStr($J196),";",IF($B196&lt;&gt;"","""MainCategoryNavNode""",EscStr(CONCATENATE("NavNode_",getSuperCategory($B196, getCategoryLevelAsNumber($B196))))),";"))</f>
        <v>;"NavNode_L3D_525475";"Industrial Ethernet";"NavNode_L2D_379611";</v>
      </c>
      <c r="Z196" s="39" t="str">
        <f>IF(getCategoryLevelAsString($B196)="L0D_324785","",IF(G196="",CONCATENATE(";",EscStr(CONCATENATE("NavNode_",getCategoryLevelAsString($B196))),";",EscStr($J196),";"),CONCATENATE(";",EscStr(CONCATENATE("NavNode_",getCategoryLevelAsString($B196))),";",EscStr(G196),";")))</f>
        <v>;"NavNode_L3D_525475";"Industrial Ethernet";</v>
      </c>
      <c r="AA196" s="39" t="str">
        <f>IF(getCategoryLevelAsString($B196)="L0D_324785","",IF(H196="",CONCATENATE(";",EscStr(CONCATENATE("NavNode_",getCategoryLevelAsString($B196))),";",EscStr($J196),";"),CONCATENATE(";",EscStr(CONCATENATE("NavNode_",getCategoryLevelAsString($B196))),";",EscStr(H196),";")))</f>
        <v>;"NavNode_L3D_525475";"Industrial Ethernet";</v>
      </c>
      <c r="AB196" s="39" t="str">
        <f>IF(getCategoryLevelAsString($B196)="L0D_324785","",IF(I196="",CONCATENATE(";",EscStr(CONCATENATE("NavNode_",getCategoryLevelAsString($B196))),";",EscStr($J196),";"),CONCATENATE(";",EscStr(CONCATENATE("NavNode_",getCategoryLevelAsString($B196))),";",EscStr(I196),";")))</f>
        <v>;"NavNode_L3D_525475";"Industrial Ethernet";</v>
      </c>
      <c r="AC196" s="39" t="str">
        <f>IF(getCategoryLevelAsString($B196)="L0D_324785","",IF(J196="",CONCATENATE(";",EscStr(CONCATENATE("NavNode_",getCategoryLevelAsString($B196))),";",EscStr($J196),";"),CONCATENATE(";",EscStr(CONCATENATE("NavNode_",getCategoryLevelAsString($B196))),";",EscStr(J196),";")))</f>
        <v>;"NavNode_L3D_525475";"Industrial Ethernet";</v>
      </c>
      <c r="AD196" s="39" t="str">
        <f>IF(getCategoryLevelAsString($B196)="L0D_324785","",IF(K196="",CONCATENATE(";",EscStr(CONCATENATE("NavNode_",getCategoryLevelAsString($B196))),";",EscStr($J196),";"),CONCATENATE(";",EscStr(CONCATENATE("NavNode_",getCategoryLevelAsString($B196))),";",EscStr(K196),";")))</f>
        <v>;"NavNode_L3D_525475";"Industrielt Ethernet";</v>
      </c>
      <c r="AE196" s="39" t="str">
        <f>IF(getCategoryLevelAsString($B196)="L0D_324785","",IF(L196="",CONCATENATE(";",EscStr(CONCATENATE("NavNode_",getCategoryLevelAsString($B196))),";",EscStr($J196),";"),CONCATENATE(";",EscStr(CONCATENATE("NavNode_",getCategoryLevelAsString($B196))),";",EscStr(L196),";")))</f>
        <v>;"NavNode_L3D_525475";"Pramoninės komunikacijos prietaisai";</v>
      </c>
      <c r="AF196" s="39" t="str">
        <f>IF(getCategoryLevelAsString($B196)="L0D_324785","",IF(M196="",CONCATENATE(";",EscStr(CONCATENATE("NavNode_",getCategoryLevelAsString($B196))),";",EscStr($J196),";"),CONCATENATE(";",EscStr(CONCATENATE("NavNode_",getCategoryLevelAsString($B196))),";",EscStr(M196),";")))</f>
        <v>;"NavNode_L3D_525475";"Industrielt Ethernet";</v>
      </c>
      <c r="AG196" s="39" t="str">
        <f>IF(getCategoryLevelAsString($B196)="L0D_324785","",IF(N196="",CONCATENATE(";",EscStr(CONCATENATE("NavNode_",getCategoryLevelAsString($B196))),";",EscStr($J196),";"),CONCATENATE(";",EscStr(CONCATENATE("NavNode_",getCategoryLevelAsString($B196))),";",EscStr(N196),";")))</f>
        <v>;"NavNode_L3D_525475";"Industriellt Ethernet";</v>
      </c>
      <c r="AH196" s="39" t="str">
        <f>IF(getCategoryLevelAsString($B196)="L0D_324785","",IF(O196="",CONCATENATE(";",EscStr(CONCATENATE("NavNode_",getCategoryLevelAsString($B196))),";",EscStr($J196),";"),CONCATENATE(";",EscStr(CONCATENATE("NavNode_",getCategoryLevelAsString($B196))),";",EscStr(O196),";")))</f>
        <v>;"NavNode_L3D_525475";"Tööstuslik andmeedastusvõrk";</v>
      </c>
      <c r="AI196" s="39" t="str">
        <f>IF(getCategoryLevelAsString($B196)="L0D_324785","",IF(P196="",CONCATENATE(";",EscStr(CONCATENATE("NavNode_",getCategoryLevelAsString($B196))),";",EscStr($J196),";"),CONCATENATE(";",EscStr(CONCATENATE("NavNode_",getCategoryLevelAsString($B196))),";",EscStr(P196),";")))</f>
        <v>;"NavNode_L3D_525475";"Teollisuus Ethernet";</v>
      </c>
      <c r="AJ196" s="39" t="str">
        <f>IF(getCategoryLevelAsString($B196)="L0D_324785","",IF(Q196="",CONCATENATE(";",EscStr(CONCATENATE("NavNode_",getCategoryLevelAsString($B196))),";",EscStr($J196),";"),CONCATENATE(";",EscStr(CONCATENATE("NavNode_",getCategoryLevelAsString($B196))),";",EscStr(Q196),";")))</f>
        <v>;"NavNode_L3D_525475";"Industriālais Ethernet";</v>
      </c>
      <c r="AK196" s="39" t="str">
        <f>IF(getCategoryLevelAsString($B196)="L0D_324785","",IF(R196="",CONCATENATE(";",EscStr(CONCATENATE("NavNode_",getCategoryLevelAsString($B196))),";",EscStr($J196),";"),CONCATENATE(";",EscStr(CONCATENATE("NavNode_",getCategoryLevelAsString($B196))),";",EscStr(R196),";")))</f>
        <v>;"NavNode_L3D_525475";"Industrieel ethernet";</v>
      </c>
      <c r="AL196" s="39" t="str">
        <f>IF(getCategoryLevelAsString($B196)="L0D_324785","",IF(S196="",CONCATENATE(";",EscStr(CONCATENATE("NavNode_",getCategoryLevelAsString($B196))),";",EscStr($J196),";"),CONCATENATE(";",EscStr(CONCATENATE("NavNode_",getCategoryLevelAsString($B196))),";",EscStr(S196),";")))</f>
        <v>;"NavNode_L3D_525475";"Ethernet przemysłowy";</v>
      </c>
      <c r="AM196" s="39" t="str">
        <f>IF(getCategoryLevelAsString($B196)="L0D_324785","",IF(T196="",CONCATENATE(";",EscStr(CONCATENATE("NavNode_",getCategoryLevelAsString($B196))),";",EscStr($J196),";"),CONCATENATE(";",EscStr(CONCATENATE("NavNode_",getCategoryLevelAsString($B196))),";",EscStr(T196),";")))</f>
        <v>;"NavNode_L3D_525475";"Промышленный Ethernet";</v>
      </c>
      <c r="AN196" s="39" t="str">
        <f>IF(getCategoryLevelAsString($B196)="L0D_324785","",IF(U196="",CONCATENATE(";",EscStr(CONCATENATE("NavNode_",getCategoryLevelAsString($B196))),";",EscStr($J196),";"),CONCATENATE(";",EscStr(CONCATENATE("NavNode_",getCategoryLevelAsString($B196))),";",EscStr(U196),";")))</f>
        <v>;"NavNode_L3D_525475";"Průmyslový Ethernet";</v>
      </c>
      <c r="AO196" s="39" t="str">
        <f>IF(getCategoryLevelAsString($B196)="L0D_324785","",IF(V196="",CONCATENATE(";",EscStr(CONCATENATE("NavNode_",getCategoryLevelAsString($B196))),";",EscStr($J196),";"),CONCATENATE(";",EscStr(CONCATENATE("NavNode_",getCategoryLevelAsString($B196))),";",EscStr(V196),";")))</f>
        <v>;"NavNode_L3D_525475";"Ethernet industrial";</v>
      </c>
      <c r="AP196" s="39" t="str">
        <f>IF(getCategoryLevelAsString($B196)="L0D_324785","",IF(W196="",CONCATENATE(";",EscStr(CONCATENATE("NavNode_",getCategoryLevelAsString($B196))),";",EscStr($J196),";"),CONCATENATE(";",EscStr(CONCATENATE("NavNode_",getCategoryLevelAsString($B196))),";",EscStr(W196),";")))</f>
        <v>;"NavNode_L3D_525475";"Ipari Ethernet";</v>
      </c>
      <c r="AQ196" s="39" t="str">
        <f>IF(getCategoryLevelAsString($B196)="L0D_324785","",IF(X196="",CONCATENATE(";",EscStr(CONCATENATE("NavNode_",getCategoryLevelAsString($B196))),";",EscStr($J196),";"),CONCATENATE(";",EscStr(CONCATENATE("NavNode_",getCategoryLevelAsString($B196))),";",EscStr(X196),";")))</f>
        <v>;"NavNode_L3D_525475";"Priemyselný Ethernet";</v>
      </c>
      <c r="AR196" s="39" t="str">
        <f>IF(OR($A196&lt;&gt;"", $G196=""),"",CONCATENATE(";",EscStr(CONCATENATE("NavEntry_",getCategoryLevelAsString($B196))),";",EscStr(CONCATENATE($J196," Navigation Entry")),";",EscStr(CONCATENATE("cat-",getCategoryLevelAsString($B196))),";",EscStr(CONCATENATE("NavNode_",getCategoryLevelAsString($B196))),";"))</f>
        <v>;"NavEntry_L3D_525475";"Industrial Ethernet Navigation Entry";"cat-L3D_525475";"NavNode_L3D_525475";</v>
      </c>
    </row>
    <row r="197" spans="1:44" s="34" customFormat="1" ht="15" x14ac:dyDescent="0.25">
      <c r="A197" s="25"/>
      <c r="B197" s="5"/>
      <c r="C197" s="5"/>
      <c r="D197" s="5" t="s">
        <v>66</v>
      </c>
      <c r="E197" s="5"/>
      <c r="F197" s="5"/>
      <c r="G197" s="5" t="s">
        <v>278</v>
      </c>
      <c r="H197" s="5" t="s">
        <v>279</v>
      </c>
      <c r="I197" s="5" t="s">
        <v>280</v>
      </c>
      <c r="J197" s="5" t="s">
        <v>67</v>
      </c>
      <c r="K197" s="5" t="s">
        <v>1306</v>
      </c>
      <c r="L197" s="5" t="s">
        <v>1541</v>
      </c>
      <c r="M197" s="5" t="s">
        <v>1762</v>
      </c>
      <c r="N197" s="5" t="s">
        <v>1971</v>
      </c>
      <c r="O197" s="5" t="s">
        <v>3389</v>
      </c>
      <c r="P197" s="5" t="s">
        <v>3390</v>
      </c>
      <c r="Q197" s="5" t="s">
        <v>3391</v>
      </c>
      <c r="R197" s="5" t="s">
        <v>3392</v>
      </c>
      <c r="S197" s="5" t="s">
        <v>3393</v>
      </c>
      <c r="T197" s="5" t="s">
        <v>3394</v>
      </c>
      <c r="U197" s="5" t="s">
        <v>3395</v>
      </c>
      <c r="V197" s="5" t="s">
        <v>3396</v>
      </c>
      <c r="W197" s="5" t="s">
        <v>3397</v>
      </c>
      <c r="X197" s="5" t="s">
        <v>14924</v>
      </c>
      <c r="Y197" s="39" t="str">
        <f>IF(OR($A197&lt;&gt;"", $G197=""),"",CONCATENATE(";",EscStr(CONCATENATE("NavNode_",getCategoryLevelAsString($B197))),";",EscStr($J197),";",IF($B197&lt;&gt;"","""MainCategoryNavNode""",EscStr(CONCATENATE("NavNode_",getSuperCategory($B197, getCategoryLevelAsNumber($B197))))),";"))</f>
        <v>;"NavNode_L3D_525477";"Remote Data Transmission";"NavNode_L2D_379611";</v>
      </c>
      <c r="Z197" s="39" t="str">
        <f>IF(getCategoryLevelAsString($B197)="L0D_324785","",IF(G197="",CONCATENATE(";",EscStr(CONCATENATE("NavNode_",getCategoryLevelAsString($B197))),";",EscStr($J197),";"),CONCATENATE(";",EscStr(CONCATENATE("NavNode_",getCategoryLevelAsString($B197))),";",EscStr(G197),";")))</f>
        <v>;"NavNode_L3D_525477";"Datenfernübertragung";</v>
      </c>
      <c r="AA197" s="39" t="str">
        <f>IF(getCategoryLevelAsString($B197)="L0D_324785","",IF(H197="",CONCATENATE(";",EscStr(CONCATENATE("NavNode_",getCategoryLevelAsString($B197))),";",EscStr($J197),";"),CONCATENATE(";",EscStr(CONCATENATE("NavNode_",getCategoryLevelAsString($B197))),";",EscStr(H197),";")))</f>
        <v>;"NavNode_L3D_525477";"Transmission des données à distance";</v>
      </c>
      <c r="AB197" s="39" t="str">
        <f>IF(getCategoryLevelAsString($B197)="L0D_324785","",IF(I197="",CONCATENATE(";",EscStr(CONCATENATE("NavNode_",getCategoryLevelAsString($B197))),";",EscStr($J197),";"),CONCATENATE(";",EscStr(CONCATENATE("NavNode_",getCategoryLevelAsString($B197))),";",EscStr(I197),";")))</f>
        <v>;"NavNode_L3D_525477";"Trasmissione dati remota";</v>
      </c>
      <c r="AC197" s="39" t="str">
        <f>IF(getCategoryLevelAsString($B197)="L0D_324785","",IF(J197="",CONCATENATE(";",EscStr(CONCATENATE("NavNode_",getCategoryLevelAsString($B197))),";",EscStr($J197),";"),CONCATENATE(";",EscStr(CONCATENATE("NavNode_",getCategoryLevelAsString($B197))),";",EscStr(J197),";")))</f>
        <v>;"NavNode_L3D_525477";"Remote Data Transmission";</v>
      </c>
      <c r="AD197" s="39" t="str">
        <f>IF(getCategoryLevelAsString($B197)="L0D_324785","",IF(K197="",CONCATENATE(";",EscStr(CONCATENATE("NavNode_",getCategoryLevelAsString($B197))),";",EscStr($J197),";"),CONCATENATE(";",EscStr(CONCATENATE("NavNode_",getCategoryLevelAsString($B197))),";",EscStr(K197),";")))</f>
        <v>;"NavNode_L3D_525477";"Fjernoverførsel af data";</v>
      </c>
      <c r="AE197" s="39" t="str">
        <f>IF(getCategoryLevelAsString($B197)="L0D_324785","",IF(L197="",CONCATENATE(";",EscStr(CONCATENATE("NavNode_",getCategoryLevelAsString($B197))),";",EscStr($J197),";"),CONCATENATE(";",EscStr(CONCATENATE("NavNode_",getCategoryLevelAsString($B197))),";",EscStr(L197),";")))</f>
        <v>;"NavNode_L3D_525477";"Nuotolinis duomenų perdavimas";</v>
      </c>
      <c r="AF197" s="39" t="str">
        <f>IF(getCategoryLevelAsString($B197)="L0D_324785","",IF(M197="",CONCATENATE(";",EscStr(CONCATENATE("NavNode_",getCategoryLevelAsString($B197))),";",EscStr($J197),";"),CONCATENATE(";",EscStr(CONCATENATE("NavNode_",getCategoryLevelAsString($B197))),";",EscStr(M197),";")))</f>
        <v>;"NavNode_L3D_525477";"Fjerndataoverføring";</v>
      </c>
      <c r="AG197" s="39" t="str">
        <f>IF(getCategoryLevelAsString($B197)="L0D_324785","",IF(N197="",CONCATENATE(";",EscStr(CONCATENATE("NavNode_",getCategoryLevelAsString($B197))),";",EscStr($J197),";"),CONCATENATE(";",EscStr(CONCATENATE("NavNode_",getCategoryLevelAsString($B197))),";",EscStr(N197),";")))</f>
        <v>;"NavNode_L3D_525477";"Fjärrdataöverföring";</v>
      </c>
      <c r="AH197" s="39" t="str">
        <f>IF(getCategoryLevelAsString($B197)="L0D_324785","",IF(O197="",CONCATENATE(";",EscStr(CONCATENATE("NavNode_",getCategoryLevelAsString($B197))),";",EscStr($J197),";"),CONCATENATE(";",EscStr(CONCATENATE("NavNode_",getCategoryLevelAsString($B197))),";",EscStr(O197),";")))</f>
        <v>;"NavNode_L3D_525477";"Andmete kaugedastus";</v>
      </c>
      <c r="AI197" s="39" t="str">
        <f>IF(getCategoryLevelAsString($B197)="L0D_324785","",IF(P197="",CONCATENATE(";",EscStr(CONCATENATE("NavNode_",getCategoryLevelAsString($B197))),";",EscStr($J197),";"),CONCATENATE(";",EscStr(CONCATENATE("NavNode_",getCategoryLevelAsString($B197))),";",EscStr(P197),";")))</f>
        <v>;"NavNode_L3D_525477";"Kaukodatasiirto";</v>
      </c>
      <c r="AJ197" s="39" t="str">
        <f>IF(getCategoryLevelAsString($B197)="L0D_324785","",IF(Q197="",CONCATENATE(";",EscStr(CONCATENATE("NavNode_",getCategoryLevelAsString($B197))),";",EscStr($J197),";"),CONCATENATE(";",EscStr(CONCATENATE("NavNode_",getCategoryLevelAsString($B197))),";",EscStr(Q197),";")))</f>
        <v>;"NavNode_L3D_525477";"Attālināta datu pārraide";</v>
      </c>
      <c r="AK197" s="39" t="str">
        <f>IF(getCategoryLevelAsString($B197)="L0D_324785","",IF(R197="",CONCATENATE(";",EscStr(CONCATENATE("NavNode_",getCategoryLevelAsString($B197))),";",EscStr($J197),";"),CONCATENATE(";",EscStr(CONCATENATE("NavNode_",getCategoryLevelAsString($B197))),";",EscStr(R197),";")))</f>
        <v>;"NavNode_L3D_525477";"Remote datatransmissie";</v>
      </c>
      <c r="AL197" s="39" t="str">
        <f>IF(getCategoryLevelAsString($B197)="L0D_324785","",IF(S197="",CONCATENATE(";",EscStr(CONCATENATE("NavNode_",getCategoryLevelAsString($B197))),";",EscStr($J197),";"),CONCATENATE(";",EscStr(CONCATENATE("NavNode_",getCategoryLevelAsString($B197))),";",EscStr(S197),";")))</f>
        <v>;"NavNode_L3D_525477";"Systemy transmisji bezprzewodowej";</v>
      </c>
      <c r="AM197" s="39" t="str">
        <f>IF(getCategoryLevelAsString($B197)="L0D_324785","",IF(T197="",CONCATENATE(";",EscStr(CONCATENATE("NavNode_",getCategoryLevelAsString($B197))),";",EscStr($J197),";"),CONCATENATE(";",EscStr(CONCATENATE("NavNode_",getCategoryLevelAsString($B197))),";",EscStr(T197),";")))</f>
        <v>;"NavNode_L3D_525477";"Дистанционной передача данных";</v>
      </c>
      <c r="AN197" s="39" t="str">
        <f>IF(getCategoryLevelAsString($B197)="L0D_324785","",IF(U197="",CONCATENATE(";",EscStr(CONCATENATE("NavNode_",getCategoryLevelAsString($B197))),";",EscStr($J197),";"),CONCATENATE(";",EscStr(CONCATENATE("NavNode_",getCategoryLevelAsString($B197))),";",EscStr(U197),";")))</f>
        <v>;"NavNode_L3D_525477";"Dálkový přenos dat";</v>
      </c>
      <c r="AO197" s="39" t="str">
        <f>IF(getCategoryLevelAsString($B197)="L0D_324785","",IF(V197="",CONCATENATE(";",EscStr(CONCATENATE("NavNode_",getCategoryLevelAsString($B197))),";",EscStr($J197),";"),CONCATENATE(";",EscStr(CONCATENATE("NavNode_",getCategoryLevelAsString($B197))),";",EscStr(V197),";")))</f>
        <v>;"NavNode_L3D_525477";"Transmisia de date la distanţă";</v>
      </c>
      <c r="AP197" s="39" t="str">
        <f>IF(getCategoryLevelAsString($B197)="L0D_324785","",IF(W197="",CONCATENATE(";",EscStr(CONCATENATE("NavNode_",getCategoryLevelAsString($B197))),";",EscStr($J197),";"),CONCATENATE(";",EscStr(CONCATENATE("NavNode_",getCategoryLevelAsString($B197))),";",EscStr(W197),";")))</f>
        <v>;"NavNode_L3D_525477";"Adatátvitel";</v>
      </c>
      <c r="AQ197" s="39" t="str">
        <f>IF(getCategoryLevelAsString($B197)="L0D_324785","",IF(X197="",CONCATENATE(";",EscStr(CONCATENATE("NavNode_",getCategoryLevelAsString($B197))),";",EscStr($J197),";"),CONCATENATE(";",EscStr(CONCATENATE("NavNode_",getCategoryLevelAsString($B197))),";",EscStr(X197),";")))</f>
        <v>;"NavNode_L3D_525477";"Diaľkový prenos dát";</v>
      </c>
      <c r="AR197" s="39" t="str">
        <f>IF(OR($A197&lt;&gt;"", $G197=""),"",CONCATENATE(";",EscStr(CONCATENATE("NavEntry_",getCategoryLevelAsString($B197))),";",EscStr(CONCATENATE($J197," Navigation Entry")),";",EscStr(CONCATENATE("cat-",getCategoryLevelAsString($B197))),";",EscStr(CONCATENATE("NavNode_",getCategoryLevelAsString($B197))),";"))</f>
        <v>;"NavEntry_L3D_525477";"Remote Data Transmission Navigation Entry";"cat-L3D_525477";"NavNode_L3D_525477";</v>
      </c>
    </row>
    <row r="198" spans="1:44" s="34" customFormat="1" ht="15" x14ac:dyDescent="0.25">
      <c r="A198" s="25"/>
      <c r="B198" s="5"/>
      <c r="C198" s="5" t="s">
        <v>36</v>
      </c>
      <c r="D198" s="5"/>
      <c r="E198" s="5"/>
      <c r="F198" s="5"/>
      <c r="G198" s="5" t="s">
        <v>326</v>
      </c>
      <c r="H198" s="5" t="s">
        <v>327</v>
      </c>
      <c r="I198" s="5" t="s">
        <v>328</v>
      </c>
      <c r="J198" s="5" t="s">
        <v>37</v>
      </c>
      <c r="K198" s="5" t="s">
        <v>1308</v>
      </c>
      <c r="L198" s="5" t="s">
        <v>1543</v>
      </c>
      <c r="M198" s="5" t="s">
        <v>1308</v>
      </c>
      <c r="N198" s="5" t="s">
        <v>1973</v>
      </c>
      <c r="O198" s="5" t="s">
        <v>3403</v>
      </c>
      <c r="P198" s="5" t="s">
        <v>3404</v>
      </c>
      <c r="Q198" s="5" t="s">
        <v>328</v>
      </c>
      <c r="R198" s="5" t="s">
        <v>326</v>
      </c>
      <c r="S198" s="5" t="s">
        <v>3405</v>
      </c>
      <c r="T198" s="5" t="s">
        <v>3406</v>
      </c>
      <c r="U198" s="5" t="s">
        <v>3407</v>
      </c>
      <c r="V198" s="5" t="s">
        <v>3408</v>
      </c>
      <c r="W198" s="5" t="s">
        <v>3409</v>
      </c>
      <c r="X198" s="5" t="s">
        <v>3407</v>
      </c>
      <c r="Y198" s="39" t="str">
        <f>IF(OR($A198&lt;&gt;"", $G198=""),"",CONCATENATE(";",EscStr(CONCATENATE("NavNode_",getCategoryLevelAsString($B198))),";",EscStr($J198),";",IF($B198&lt;&gt;"","""MainCategoryNavNode""",EscStr(CONCATENATE("NavNode_",getSuperCategory($B198, getCategoryLevelAsNumber($B198))))),";"))</f>
        <v>;"NavNode_L2D_379612";"Sensors";"NavNode_Automation";</v>
      </c>
      <c r="Z198" s="39" t="str">
        <f>IF(getCategoryLevelAsString($B198)="L0D_324785","",IF(G198="",CONCATENATE(";",EscStr(CONCATENATE("NavNode_",getCategoryLevelAsString($B198))),";",EscStr($J198),";"),CONCATENATE(";",EscStr(CONCATENATE("NavNode_",getCategoryLevelAsString($B198))),";",EscStr(G198),";")))</f>
        <v>;"NavNode_L2D_379612";"Sensoren";</v>
      </c>
      <c r="AA198" s="39" t="str">
        <f>IF(getCategoryLevelAsString($B198)="L0D_324785","",IF(H198="",CONCATENATE(";",EscStr(CONCATENATE("NavNode_",getCategoryLevelAsString($B198))),";",EscStr($J198),";"),CONCATENATE(";",EscStr(CONCATENATE("NavNode_",getCategoryLevelAsString($B198))),";",EscStr(H198),";")))</f>
        <v>;"NavNode_L2D_379612";"Capteurs";</v>
      </c>
      <c r="AB198" s="39" t="str">
        <f>IF(getCategoryLevelAsString($B198)="L0D_324785","",IF(I198="",CONCATENATE(";",EscStr(CONCATENATE("NavNode_",getCategoryLevelAsString($B198))),";",EscStr($J198),";"),CONCATENATE(";",EscStr(CONCATENATE("NavNode_",getCategoryLevelAsString($B198))),";",EscStr(I198),";")))</f>
        <v>;"NavNode_L2D_379612";"Sensori";</v>
      </c>
      <c r="AC198" s="39" t="str">
        <f>IF(getCategoryLevelAsString($B198)="L0D_324785","",IF(J198="",CONCATENATE(";",EscStr(CONCATENATE("NavNode_",getCategoryLevelAsString($B198))),";",EscStr($J198),";"),CONCATENATE(";",EscStr(CONCATENATE("NavNode_",getCategoryLevelAsString($B198))),";",EscStr(J198),";")))</f>
        <v>;"NavNode_L2D_379612";"Sensors";</v>
      </c>
      <c r="AD198" s="39" t="str">
        <f>IF(getCategoryLevelAsString($B198)="L0D_324785","",IF(K198="",CONCATENATE(";",EscStr(CONCATENATE("NavNode_",getCategoryLevelAsString($B198))),";",EscStr($J198),";"),CONCATENATE(";",EscStr(CONCATENATE("NavNode_",getCategoryLevelAsString($B198))),";",EscStr(K198),";")))</f>
        <v>;"NavNode_L2D_379612";"Sensorer";</v>
      </c>
      <c r="AE198" s="39" t="str">
        <f>IF(getCategoryLevelAsString($B198)="L0D_324785","",IF(L198="",CONCATENATE(";",EscStr(CONCATENATE("NavNode_",getCategoryLevelAsString($B198))),";",EscStr($J198),";"),CONCATENATE(";",EscStr(CONCATENATE("NavNode_",getCategoryLevelAsString($B198))),";",EscStr(L198),";")))</f>
        <v>;"NavNode_L2D_379612";"Jutikliai";</v>
      </c>
      <c r="AF198" s="39" t="str">
        <f>IF(getCategoryLevelAsString($B198)="L0D_324785","",IF(M198="",CONCATENATE(";",EscStr(CONCATENATE("NavNode_",getCategoryLevelAsString($B198))),";",EscStr($J198),";"),CONCATENATE(";",EscStr(CONCATENATE("NavNode_",getCategoryLevelAsString($B198))),";",EscStr(M198),";")))</f>
        <v>;"NavNode_L2D_379612";"Sensorer";</v>
      </c>
      <c r="AG198" s="39" t="str">
        <f>IF(getCategoryLevelAsString($B198)="L0D_324785","",IF(N198="",CONCATENATE(";",EscStr(CONCATENATE("NavNode_",getCategoryLevelAsString($B198))),";",EscStr($J198),";"),CONCATENATE(";",EscStr(CONCATENATE("NavNode_",getCategoryLevelAsString($B198))),";",EscStr(N198),";")))</f>
        <v>;"NavNode_L2D_379612";"Givare";</v>
      </c>
      <c r="AH198" s="39" t="str">
        <f>IF(getCategoryLevelAsString($B198)="L0D_324785","",IF(O198="",CONCATENATE(";",EscStr(CONCATENATE("NavNode_",getCategoryLevelAsString($B198))),";",EscStr($J198),";"),CONCATENATE(";",EscStr(CONCATENATE("NavNode_",getCategoryLevelAsString($B198))),";",EscStr(O198),";")))</f>
        <v>;"NavNode_L2D_379612";"Andurid";</v>
      </c>
      <c r="AI198" s="39" t="str">
        <f>IF(getCategoryLevelAsString($B198)="L0D_324785","",IF(P198="",CONCATENATE(";",EscStr(CONCATENATE("NavNode_",getCategoryLevelAsString($B198))),";",EscStr($J198),";"),CONCATENATE(";",EscStr(CONCATENATE("NavNode_",getCategoryLevelAsString($B198))),";",EscStr(P198),";")))</f>
        <v>;"NavNode_L2D_379612";"anturit";</v>
      </c>
      <c r="AJ198" s="39" t="str">
        <f>IF(getCategoryLevelAsString($B198)="L0D_324785","",IF(Q198="",CONCATENATE(";",EscStr(CONCATENATE("NavNode_",getCategoryLevelAsString($B198))),";",EscStr($J198),";"),CONCATENATE(";",EscStr(CONCATENATE("NavNode_",getCategoryLevelAsString($B198))),";",EscStr(Q198),";")))</f>
        <v>;"NavNode_L2D_379612";"Sensori";</v>
      </c>
      <c r="AK198" s="39" t="str">
        <f>IF(getCategoryLevelAsString($B198)="L0D_324785","",IF(R198="",CONCATENATE(";",EscStr(CONCATENATE("NavNode_",getCategoryLevelAsString($B198))),";",EscStr($J198),";"),CONCATENATE(";",EscStr(CONCATENATE("NavNode_",getCategoryLevelAsString($B198))),";",EscStr(R198),";")))</f>
        <v>;"NavNode_L2D_379612";"Sensoren";</v>
      </c>
      <c r="AL198" s="39" t="str">
        <f>IF(getCategoryLevelAsString($B198)="L0D_324785","",IF(S198="",CONCATENATE(";",EscStr(CONCATENATE("NavNode_",getCategoryLevelAsString($B198))),";",EscStr($J198),";"),CONCATENATE(";",EscStr(CONCATENATE("NavNode_",getCategoryLevelAsString($B198))),";",EscStr(S198),";")))</f>
        <v>;"NavNode_L2D_379612";"Czujniki";</v>
      </c>
      <c r="AM198" s="39" t="str">
        <f>IF(getCategoryLevelAsString($B198)="L0D_324785","",IF(T198="",CONCATENATE(";",EscStr(CONCATENATE("NavNode_",getCategoryLevelAsString($B198))),";",EscStr($J198),";"),CONCATENATE(";",EscStr(CONCATENATE("NavNode_",getCategoryLevelAsString($B198))),";",EscStr(T198),";")))</f>
        <v>;"NavNode_L2D_379612";"Датчики";</v>
      </c>
      <c r="AN198" s="39" t="str">
        <f>IF(getCategoryLevelAsString($B198)="L0D_324785","",IF(U198="",CONCATENATE(";",EscStr(CONCATENATE("NavNode_",getCategoryLevelAsString($B198))),";",EscStr($J198),";"),CONCATENATE(";",EscStr(CONCATENATE("NavNode_",getCategoryLevelAsString($B198))),";",EscStr(U198),";")))</f>
        <v>;"NavNode_L2D_379612";"Snímače";</v>
      </c>
      <c r="AO198" s="39" t="str">
        <f>IF(getCategoryLevelAsString($B198)="L0D_324785","",IF(V198="",CONCATENATE(";",EscStr(CONCATENATE("NavNode_",getCategoryLevelAsString($B198))),";",EscStr($J198),";"),CONCATENATE(";",EscStr(CONCATENATE("NavNode_",getCategoryLevelAsString($B198))),";",EscStr(V198),";")))</f>
        <v>;"NavNode_L2D_379612";"Senzori";</v>
      </c>
      <c r="AP198" s="39" t="str">
        <f>IF(getCategoryLevelAsString($B198)="L0D_324785","",IF(W198="",CONCATENATE(";",EscStr(CONCATENATE("NavNode_",getCategoryLevelAsString($B198))),";",EscStr($J198),";"),CONCATENATE(";",EscStr(CONCATENATE("NavNode_",getCategoryLevelAsString($B198))),";",EscStr(W198),";")))</f>
        <v>;"NavNode_L2D_379612";"Érzékelők";</v>
      </c>
      <c r="AQ198" s="39" t="str">
        <f>IF(getCategoryLevelAsString($B198)="L0D_324785","",IF(X198="",CONCATENATE(";",EscStr(CONCATENATE("NavNode_",getCategoryLevelAsString($B198))),";",EscStr($J198),";"),CONCATENATE(";",EscStr(CONCATENATE("NavNode_",getCategoryLevelAsString($B198))),";",EscStr(X198),";")))</f>
        <v>;"NavNode_L2D_379612";"Snímače";</v>
      </c>
      <c r="AR198" s="39" t="str">
        <f>IF(OR($A198&lt;&gt;"", $G198=""),"",CONCATENATE(";",EscStr(CONCATENATE("NavEntry_",getCategoryLevelAsString($B198))),";",EscStr(CONCATENATE($J198," Navigation Entry")),";",EscStr(CONCATENATE("cat-",getCategoryLevelAsString($B198))),";",EscStr(CONCATENATE("NavNode_",getCategoryLevelAsString($B198))),";"))</f>
        <v>;"NavEntry_L2D_379612";"Sensors Navigation Entry";"cat-L2D_379612";"NavNode_L2D_379612";</v>
      </c>
    </row>
    <row r="199" spans="1:44" s="34" customFormat="1" ht="15" x14ac:dyDescent="0.25">
      <c r="A199" s="25"/>
      <c r="B199" s="5"/>
      <c r="C199" s="5"/>
      <c r="D199" s="5" t="s">
        <v>100</v>
      </c>
      <c r="E199" s="5"/>
      <c r="F199" s="5"/>
      <c r="G199" s="5" t="s">
        <v>972</v>
      </c>
      <c r="H199" s="5" t="s">
        <v>13648</v>
      </c>
      <c r="I199" s="5" t="s">
        <v>13736</v>
      </c>
      <c r="J199" s="5" t="s">
        <v>3412</v>
      </c>
      <c r="K199" s="5" t="s">
        <v>13838</v>
      </c>
      <c r="L199" s="5" t="s">
        <v>15170</v>
      </c>
      <c r="M199" s="5" t="s">
        <v>13838</v>
      </c>
      <c r="N199" s="5" t="s">
        <v>13987</v>
      </c>
      <c r="O199" s="5" t="s">
        <v>14088</v>
      </c>
      <c r="P199" s="5" t="s">
        <v>14181</v>
      </c>
      <c r="Q199" s="5" t="s">
        <v>14265</v>
      </c>
      <c r="R199" s="5" t="s">
        <v>14347</v>
      </c>
      <c r="S199" s="5" t="s">
        <v>3420</v>
      </c>
      <c r="T199" s="5" t="s">
        <v>14532</v>
      </c>
      <c r="U199" s="5" t="s">
        <v>14619</v>
      </c>
      <c r="V199" s="5" t="s">
        <v>3423</v>
      </c>
      <c r="W199" s="5" t="s">
        <v>14791</v>
      </c>
      <c r="X199" s="5" t="s">
        <v>14925</v>
      </c>
      <c r="Y199" s="39" t="str">
        <f>IF(OR($A199&lt;&gt;"", $G199=""),"",CONCATENATE(";",EscStr(CONCATENATE("NavNode_",getCategoryLevelAsString($B199))),";",EscStr($J199),";",IF($B199&lt;&gt;"","""MainCategoryNavNode""",EscStr(CONCATENATE("NavNode_",getSuperCategory($B199, getCategoryLevelAsNumber($B199))))),";"))</f>
        <v>;"NavNode_L3D_525478";"Inductive Sensors";"NavNode_L2D_379612";</v>
      </c>
      <c r="Z199" s="39" t="str">
        <f>IF(getCategoryLevelAsString($B199)="L0D_324785","",IF(G199="",CONCATENATE(";",EscStr(CONCATENATE("NavNode_",getCategoryLevelAsString($B199))),";",EscStr($J199),";"),CONCATENATE(";",EscStr(CONCATENATE("NavNode_",getCategoryLevelAsString($B199))),";",EscStr(G199),";")))</f>
        <v>;"NavNode_L3D_525478";"Induktive Sensoren";</v>
      </c>
      <c r="AA199" s="39" t="str">
        <f>IF(getCategoryLevelAsString($B199)="L0D_324785","",IF(H199="",CONCATENATE(";",EscStr(CONCATENATE("NavNode_",getCategoryLevelAsString($B199))),";",EscStr($J199),";"),CONCATENATE(";",EscStr(CONCATENATE("NavNode_",getCategoryLevelAsString($B199))),";",EscStr(H199),";")))</f>
        <v>;"NavNode_L3D_525478";"Capteurs inductifs";</v>
      </c>
      <c r="AB199" s="39" t="str">
        <f>IF(getCategoryLevelAsString($B199)="L0D_324785","",IF(I199="",CONCATENATE(";",EscStr(CONCATENATE("NavNode_",getCategoryLevelAsString($B199))),";",EscStr($J199),";"),CONCATENATE(";",EscStr(CONCATENATE("NavNode_",getCategoryLevelAsString($B199))),";",EscStr(I199),";")))</f>
        <v>;"NavNode_L3D_525478";"Sensori induttivi";</v>
      </c>
      <c r="AC199" s="39" t="str">
        <f>IF(getCategoryLevelAsString($B199)="L0D_324785","",IF(J199="",CONCATENATE(";",EscStr(CONCATENATE("NavNode_",getCategoryLevelAsString($B199))),";",EscStr($J199),";"),CONCATENATE(";",EscStr(CONCATENATE("NavNode_",getCategoryLevelAsString($B199))),";",EscStr(J199),";")))</f>
        <v>;"NavNode_L3D_525478";"Inductive Sensors";</v>
      </c>
      <c r="AD199" s="39" t="str">
        <f>IF(getCategoryLevelAsString($B199)="L0D_324785","",IF(K199="",CONCATENATE(";",EscStr(CONCATENATE("NavNode_",getCategoryLevelAsString($B199))),";",EscStr($J199),";"),CONCATENATE(";",EscStr(CONCATENATE("NavNode_",getCategoryLevelAsString($B199))),";",EscStr(K199),";")))</f>
        <v>;"NavNode_L3D_525478";"Induktive sensorer";</v>
      </c>
      <c r="AE199" s="39" t="str">
        <f>IF(getCategoryLevelAsString($B199)="L0D_324785","",IF(L199="",CONCATENATE(";",EscStr(CONCATENATE("NavNode_",getCategoryLevelAsString($B199))),";",EscStr($J199),";"),CONCATENATE(";",EscStr(CONCATENATE("NavNode_",getCategoryLevelAsString($B199))),";",EscStr(L199),";")))</f>
        <v>;"NavNode_L3D_525478";"Induktyviniai artumo jutikliai";</v>
      </c>
      <c r="AF199" s="39" t="str">
        <f>IF(getCategoryLevelAsString($B199)="L0D_324785","",IF(M199="",CONCATENATE(";",EscStr(CONCATENATE("NavNode_",getCategoryLevelAsString($B199))),";",EscStr($J199),";"),CONCATENATE(";",EscStr(CONCATENATE("NavNode_",getCategoryLevelAsString($B199))),";",EscStr(M199),";")))</f>
        <v>;"NavNode_L3D_525478";"Induktive sensorer";</v>
      </c>
      <c r="AG199" s="39" t="str">
        <f>IF(getCategoryLevelAsString($B199)="L0D_324785","",IF(N199="",CONCATENATE(";",EscStr(CONCATENATE("NavNode_",getCategoryLevelAsString($B199))),";",EscStr($J199),";"),CONCATENATE(";",EscStr(CONCATENATE("NavNode_",getCategoryLevelAsString($B199))),";",EscStr(N199),";")))</f>
        <v>;"NavNode_L3D_525478";"Induktiva givare";</v>
      </c>
      <c r="AH199" s="39" t="str">
        <f>IF(getCategoryLevelAsString($B199)="L0D_324785","",IF(O199="",CONCATENATE(";",EscStr(CONCATENATE("NavNode_",getCategoryLevelAsString($B199))),";",EscStr($J199),";"),CONCATENATE(";",EscStr(CONCATENATE("NavNode_",getCategoryLevelAsString($B199))),";",EscStr(O199),";")))</f>
        <v>;"NavNode_L3D_525478";"Induktiivandurid";</v>
      </c>
      <c r="AI199" s="39" t="str">
        <f>IF(getCategoryLevelAsString($B199)="L0D_324785","",IF(P199="",CONCATENATE(";",EscStr(CONCATENATE("NavNode_",getCategoryLevelAsString($B199))),";",EscStr($J199),";"),CONCATENATE(";",EscStr(CONCATENATE("NavNode_",getCategoryLevelAsString($B199))),";",EscStr(P199),";")))</f>
        <v>;"NavNode_L3D_525478";"Induktiiviset anturit";</v>
      </c>
      <c r="AJ199" s="39" t="str">
        <f>IF(getCategoryLevelAsString($B199)="L0D_324785","",IF(Q199="",CONCATENATE(";",EscStr(CONCATENATE("NavNode_",getCategoryLevelAsString($B199))),";",EscStr($J199),";"),CONCATENATE(";",EscStr(CONCATENATE("NavNode_",getCategoryLevelAsString($B199))),";",EscStr(Q199),";")))</f>
        <v>;"NavNode_L3D_525478";"Indukcijas sensori";</v>
      </c>
      <c r="AK199" s="39" t="str">
        <f>IF(getCategoryLevelAsString($B199)="L0D_324785","",IF(R199="",CONCATENATE(";",EscStr(CONCATENATE("NavNode_",getCategoryLevelAsString($B199))),";",EscStr($J199),";"),CONCATENATE(";",EscStr(CONCATENATE("NavNode_",getCategoryLevelAsString($B199))),";",EscStr(R199),";")))</f>
        <v>;"NavNode_L3D_525478";"Inductieve sensoren";</v>
      </c>
      <c r="AL199" s="39" t="str">
        <f>IF(getCategoryLevelAsString($B199)="L0D_324785","",IF(S199="",CONCATENATE(";",EscStr(CONCATENATE("NavNode_",getCategoryLevelAsString($B199))),";",EscStr($J199),";"),CONCATENATE(";",EscStr(CONCATENATE("NavNode_",getCategoryLevelAsString($B199))),";",EscStr(S199),";")))</f>
        <v>;"NavNode_L3D_525478";"Czujniki indukcyjne";</v>
      </c>
      <c r="AM199" s="39" t="str">
        <f>IF(getCategoryLevelAsString($B199)="L0D_324785","",IF(T199="",CONCATENATE(";",EscStr(CONCATENATE("NavNode_",getCategoryLevelAsString($B199))),";",EscStr($J199),";"),CONCATENATE(";",EscStr(CONCATENATE("NavNode_",getCategoryLevelAsString($B199))),";",EscStr(T199),";")))</f>
        <v>;"NavNode_L3D_525478";"Индуктивные датчики";</v>
      </c>
      <c r="AN199" s="39" t="str">
        <f>IF(getCategoryLevelAsString($B199)="L0D_324785","",IF(U199="",CONCATENATE(";",EscStr(CONCATENATE("NavNode_",getCategoryLevelAsString($B199))),";",EscStr($J199),";"),CONCATENATE(";",EscStr(CONCATENATE("NavNode_",getCategoryLevelAsString($B199))),";",EscStr(U199),";")))</f>
        <v>;"NavNode_L3D_525478";"Indukční snímače";</v>
      </c>
      <c r="AO199" s="39" t="str">
        <f>IF(getCategoryLevelAsString($B199)="L0D_324785","",IF(V199="",CONCATENATE(";",EscStr(CONCATENATE("NavNode_",getCategoryLevelAsString($B199))),";",EscStr($J199),";"),CONCATENATE(";",EscStr(CONCATENATE("NavNode_",getCategoryLevelAsString($B199))),";",EscStr(V199),";")))</f>
        <v>;"NavNode_L3D_525478";"Senzori inductivi";</v>
      </c>
      <c r="AP199" s="39" t="str">
        <f>IF(getCategoryLevelAsString($B199)="L0D_324785","",IF(W199="",CONCATENATE(";",EscStr(CONCATENATE("NavNode_",getCategoryLevelAsString($B199))),";",EscStr($J199),";"),CONCATENATE(";",EscStr(CONCATENATE("NavNode_",getCategoryLevelAsString($B199))),";",EscStr(W199),";")))</f>
        <v>;"NavNode_L3D_525478";"Induktív érzékelők";</v>
      </c>
      <c r="AQ199" s="39" t="str">
        <f>IF(getCategoryLevelAsString($B199)="L0D_324785","",IF(X199="",CONCATENATE(";",EscStr(CONCATENATE("NavNode_",getCategoryLevelAsString($B199))),";",EscStr($J199),";"),CONCATENATE(";",EscStr(CONCATENATE("NavNode_",getCategoryLevelAsString($B199))),";",EscStr(X199),";")))</f>
        <v>;"NavNode_L3D_525478";"Indukčné snímače";</v>
      </c>
      <c r="AR199" s="39" t="str">
        <f>IF(OR($A199&lt;&gt;"", $G199=""),"",CONCATENATE(";",EscStr(CONCATENATE("NavEntry_",getCategoryLevelAsString($B199))),";",EscStr(CONCATENATE($J199," Navigation Entry")),";",EscStr(CONCATENATE("cat-",getCategoryLevelAsString($B199))),";",EscStr(CONCATENATE("NavNode_",getCategoryLevelAsString($B199))),";"))</f>
        <v>;"NavEntry_L3D_525478";"Inductive Sensors Navigation Entry";"cat-L3D_525478";"NavNode_L3D_525478";</v>
      </c>
    </row>
    <row r="200" spans="1:44" s="34" customFormat="1" ht="15" x14ac:dyDescent="0.25">
      <c r="A200" s="25"/>
      <c r="B200" s="5"/>
      <c r="C200" s="5"/>
      <c r="D200" s="5" t="s">
        <v>99</v>
      </c>
      <c r="E200" s="5"/>
      <c r="F200" s="5"/>
      <c r="G200" s="5" t="s">
        <v>329</v>
      </c>
      <c r="H200" s="5" t="s">
        <v>13649</v>
      </c>
      <c r="I200" s="5" t="s">
        <v>13737</v>
      </c>
      <c r="J200" s="5" t="s">
        <v>3428</v>
      </c>
      <c r="K200" s="5" t="s">
        <v>13839</v>
      </c>
      <c r="L200" s="5" t="s">
        <v>15171</v>
      </c>
      <c r="M200" s="5" t="s">
        <v>13914</v>
      </c>
      <c r="N200" s="5" t="s">
        <v>13988</v>
      </c>
      <c r="O200" s="5" t="s">
        <v>14089</v>
      </c>
      <c r="P200" s="5" t="s">
        <v>14182</v>
      </c>
      <c r="Q200" s="5" t="s">
        <v>14266</v>
      </c>
      <c r="R200" s="5" t="s">
        <v>14348</v>
      </c>
      <c r="S200" s="5" t="s">
        <v>14442</v>
      </c>
      <c r="T200" s="5" t="s">
        <v>14533</v>
      </c>
      <c r="U200" s="5" t="s">
        <v>14620</v>
      </c>
      <c r="V200" s="5" t="s">
        <v>3440</v>
      </c>
      <c r="W200" s="5" t="s">
        <v>14792</v>
      </c>
      <c r="X200" s="5" t="s">
        <v>14926</v>
      </c>
      <c r="Y200" s="39" t="str">
        <f>IF(OR($A200&lt;&gt;"", $G200=""),"",CONCATENATE(";",EscStr(CONCATENATE("NavNode_",getCategoryLevelAsString($B200))),";",EscStr($J200),";",IF($B200&lt;&gt;"","""MainCategoryNavNode""",EscStr(CONCATENATE("NavNode_",getSuperCategory($B200, getCategoryLevelAsNumber($B200))))),";"))</f>
        <v>;"NavNode_L3D_525479";"Capacitive Sensors";"NavNode_L2D_379612";</v>
      </c>
      <c r="Z200" s="39" t="str">
        <f>IF(getCategoryLevelAsString($B200)="L0D_324785","",IF(G200="",CONCATENATE(";",EscStr(CONCATENATE("NavNode_",getCategoryLevelAsString($B200))),";",EscStr($J200),";"),CONCATENATE(";",EscStr(CONCATENATE("NavNode_",getCategoryLevelAsString($B200))),";",EscStr(G200),";")))</f>
        <v>;"NavNode_L3D_525479";"Kapazitive Sensoren";</v>
      </c>
      <c r="AA200" s="39" t="str">
        <f>IF(getCategoryLevelAsString($B200)="L0D_324785","",IF(H200="",CONCATENATE(";",EscStr(CONCATENATE("NavNode_",getCategoryLevelAsString($B200))),";",EscStr($J200),";"),CONCATENATE(";",EscStr(CONCATENATE("NavNode_",getCategoryLevelAsString($B200))),";",EscStr(H200),";")))</f>
        <v>;"NavNode_L3D_525479";"Capteurs capacitifs";</v>
      </c>
      <c r="AB200" s="39" t="str">
        <f>IF(getCategoryLevelAsString($B200)="L0D_324785","",IF(I200="",CONCATENATE(";",EscStr(CONCATENATE("NavNode_",getCategoryLevelAsString($B200))),";",EscStr($J200),";"),CONCATENATE(";",EscStr(CONCATENATE("NavNode_",getCategoryLevelAsString($B200))),";",EscStr(I200),";")))</f>
        <v>;"NavNode_L3D_525479";"Sensori capacitivi";</v>
      </c>
      <c r="AC200" s="39" t="str">
        <f>IF(getCategoryLevelAsString($B200)="L0D_324785","",IF(J200="",CONCATENATE(";",EscStr(CONCATENATE("NavNode_",getCategoryLevelAsString($B200))),";",EscStr($J200),";"),CONCATENATE(";",EscStr(CONCATENATE("NavNode_",getCategoryLevelAsString($B200))),";",EscStr(J200),";")))</f>
        <v>;"NavNode_L3D_525479";"Capacitive Sensors";</v>
      </c>
      <c r="AD200" s="39" t="str">
        <f>IF(getCategoryLevelAsString($B200)="L0D_324785","",IF(K200="",CONCATENATE(";",EscStr(CONCATENATE("NavNode_",getCategoryLevelAsString($B200))),";",EscStr($J200),";"),CONCATENATE(";",EscStr(CONCATENATE("NavNode_",getCategoryLevelAsString($B200))),";",EscStr(K200),";")))</f>
        <v>;"NavNode_L3D_525479";"Kapacitetssensorer";</v>
      </c>
      <c r="AE200" s="39" t="str">
        <f>IF(getCategoryLevelAsString($B200)="L0D_324785","",IF(L200="",CONCATENATE(";",EscStr(CONCATENATE("NavNode_",getCategoryLevelAsString($B200))),";",EscStr($J200),";"),CONCATENATE(";",EscStr(CONCATENATE("NavNode_",getCategoryLevelAsString($B200))),";",EscStr(L200),";")))</f>
        <v>;"NavNode_L3D_525479";"Talpuminiai artumo jutikliai";</v>
      </c>
      <c r="AF200" s="39" t="str">
        <f>IF(getCategoryLevelAsString($B200)="L0D_324785","",IF(M200="",CONCATENATE(";",EscStr(CONCATENATE("NavNode_",getCategoryLevelAsString($B200))),";",EscStr($J200),";"),CONCATENATE(";",EscStr(CONCATENATE("NavNode_",getCategoryLevelAsString($B200))),";",EscStr(M200),";")))</f>
        <v>;"NavNode_L3D_525479";"Kapasitive sensorer";</v>
      </c>
      <c r="AG200" s="39" t="str">
        <f>IF(getCategoryLevelAsString($B200)="L0D_324785","",IF(N200="",CONCATENATE(";",EscStr(CONCATENATE("NavNode_",getCategoryLevelAsString($B200))),";",EscStr($J200),";"),CONCATENATE(";",EscStr(CONCATENATE("NavNode_",getCategoryLevelAsString($B200))),";",EscStr(N200),";")))</f>
        <v>;"NavNode_L3D_525479";"Kapacitiva givare";</v>
      </c>
      <c r="AH200" s="39" t="str">
        <f>IF(getCategoryLevelAsString($B200)="L0D_324785","",IF(O200="",CONCATENATE(";",EscStr(CONCATENATE("NavNode_",getCategoryLevelAsString($B200))),";",EscStr($J200),";"),CONCATENATE(";",EscStr(CONCATENATE("NavNode_",getCategoryLevelAsString($B200))),";",EscStr(O200),";")))</f>
        <v>;"NavNode_L3D_525479";"Mahtuvuslikud andurid";</v>
      </c>
      <c r="AI200" s="39" t="str">
        <f>IF(getCategoryLevelAsString($B200)="L0D_324785","",IF(P200="",CONCATENATE(";",EscStr(CONCATENATE("NavNode_",getCategoryLevelAsString($B200))),";",EscStr($J200),";"),CONCATENATE(";",EscStr(CONCATENATE("NavNode_",getCategoryLevelAsString($B200))),";",EscStr(P200),";")))</f>
        <v>;"NavNode_L3D_525479";"Kapasitiiviset anturit";</v>
      </c>
      <c r="AJ200" s="39" t="str">
        <f>IF(getCategoryLevelAsString($B200)="L0D_324785","",IF(Q200="",CONCATENATE(";",EscStr(CONCATENATE("NavNode_",getCategoryLevelAsString($B200))),";",EscStr($J200),";"),CONCATENATE(";",EscStr(CONCATENATE("NavNode_",getCategoryLevelAsString($B200))),";",EscStr(Q200),";")))</f>
        <v>;"NavNode_L3D_525479";"Kapacitīvie sensori";</v>
      </c>
      <c r="AK200" s="39" t="str">
        <f>IF(getCategoryLevelAsString($B200)="L0D_324785","",IF(R200="",CONCATENATE(";",EscStr(CONCATENATE("NavNode_",getCategoryLevelAsString($B200))),";",EscStr($J200),";"),CONCATENATE(";",EscStr(CONCATENATE("NavNode_",getCategoryLevelAsString($B200))),";",EscStr(R200),";")))</f>
        <v>;"NavNode_L3D_525479";"Capacitieve sensoren";</v>
      </c>
      <c r="AL200" s="39" t="str">
        <f>IF(getCategoryLevelAsString($B200)="L0D_324785","",IF(S200="",CONCATENATE(";",EscStr(CONCATENATE("NavNode_",getCategoryLevelAsString($B200))),";",EscStr($J200),";"),CONCATENATE(";",EscStr(CONCATENATE("NavNode_",getCategoryLevelAsString($B200))),";",EscStr(S200),";")))</f>
        <v>;"NavNode_L3D_525479";"Czujniki pojemnościowe";</v>
      </c>
      <c r="AM200" s="39" t="str">
        <f>IF(getCategoryLevelAsString($B200)="L0D_324785","",IF(T200="",CONCATENATE(";",EscStr(CONCATENATE("NavNode_",getCategoryLevelAsString($B200))),";",EscStr($J200),";"),CONCATENATE(";",EscStr(CONCATENATE("NavNode_",getCategoryLevelAsString($B200))),";",EscStr(T200),";")))</f>
        <v>;"NavNode_L3D_525479";"Емкостные датчики";</v>
      </c>
      <c r="AN200" s="39" t="str">
        <f>IF(getCategoryLevelAsString($B200)="L0D_324785","",IF(U200="",CONCATENATE(";",EscStr(CONCATENATE("NavNode_",getCategoryLevelAsString($B200))),";",EscStr($J200),";"),CONCATENATE(";",EscStr(CONCATENATE("NavNode_",getCategoryLevelAsString($B200))),";",EscStr(U200),";")))</f>
        <v>;"NavNode_L3D_525479";"Kapacitní snímače";</v>
      </c>
      <c r="AO200" s="39" t="str">
        <f>IF(getCategoryLevelAsString($B200)="L0D_324785","",IF(V200="",CONCATENATE(";",EscStr(CONCATENATE("NavNode_",getCategoryLevelAsString($B200))),";",EscStr($J200),";"),CONCATENATE(";",EscStr(CONCATENATE("NavNode_",getCategoryLevelAsString($B200))),";",EscStr(V200),";")))</f>
        <v>;"NavNode_L3D_525479";"Senzori capacitivi";</v>
      </c>
      <c r="AP200" s="39" t="str">
        <f>IF(getCategoryLevelAsString($B200)="L0D_324785","",IF(W200="",CONCATENATE(";",EscStr(CONCATENATE("NavNode_",getCategoryLevelAsString($B200))),";",EscStr($J200),";"),CONCATENATE(";",EscStr(CONCATENATE("NavNode_",getCategoryLevelAsString($B200))),";",EscStr(W200),";")))</f>
        <v>;"NavNode_L3D_525479";"Kapacitív érzékelők";</v>
      </c>
      <c r="AQ200" s="39" t="str">
        <f>IF(getCategoryLevelAsString($B200)="L0D_324785","",IF(X200="",CONCATENATE(";",EscStr(CONCATENATE("NavNode_",getCategoryLevelAsString($B200))),";",EscStr($J200),";"),CONCATENATE(";",EscStr(CONCATENATE("NavNode_",getCategoryLevelAsString($B200))),";",EscStr(X200),";")))</f>
        <v>;"NavNode_L3D_525479";"Kapacitné snímače";</v>
      </c>
      <c r="AR200" s="39" t="str">
        <f>IF(OR($A200&lt;&gt;"", $G200=""),"",CONCATENATE(";",EscStr(CONCATENATE("NavEntry_",getCategoryLevelAsString($B200))),";",EscStr(CONCATENATE($J200," Navigation Entry")),";",EscStr(CONCATENATE("cat-",getCategoryLevelAsString($B200))),";",EscStr(CONCATENATE("NavNode_",getCategoryLevelAsString($B200))),";"))</f>
        <v>;"NavEntry_L3D_525479";"Capacitive Sensors Navigation Entry";"cat-L3D_525479";"NavNode_L3D_525479";</v>
      </c>
    </row>
    <row r="201" spans="1:44" s="34" customFormat="1" ht="15" x14ac:dyDescent="0.25">
      <c r="A201" s="25"/>
      <c r="B201" s="5"/>
      <c r="C201" s="5"/>
      <c r="D201" s="5" t="s">
        <v>107</v>
      </c>
      <c r="E201" s="5"/>
      <c r="F201" s="5"/>
      <c r="G201" s="5" t="s">
        <v>973</v>
      </c>
      <c r="H201" s="5" t="s">
        <v>13650</v>
      </c>
      <c r="I201" s="5" t="s">
        <v>13738</v>
      </c>
      <c r="J201" s="5" t="s">
        <v>3445</v>
      </c>
      <c r="K201" s="5" t="s">
        <v>13840</v>
      </c>
      <c r="L201" s="5" t="s">
        <v>15172</v>
      </c>
      <c r="M201" s="5" t="s">
        <v>13915</v>
      </c>
      <c r="N201" s="5" t="s">
        <v>13989</v>
      </c>
      <c r="O201" s="5" t="s">
        <v>14090</v>
      </c>
      <c r="P201" s="5" t="s">
        <v>14183</v>
      </c>
      <c r="Q201" s="5" t="s">
        <v>14267</v>
      </c>
      <c r="R201" s="5" t="s">
        <v>14349</v>
      </c>
      <c r="S201" s="5" t="s">
        <v>14443</v>
      </c>
      <c r="T201" s="5" t="s">
        <v>14534</v>
      </c>
      <c r="U201" s="5" t="s">
        <v>14621</v>
      </c>
      <c r="V201" s="5" t="s">
        <v>3457</v>
      </c>
      <c r="W201" s="5" t="s">
        <v>14793</v>
      </c>
      <c r="X201" s="5" t="s">
        <v>14621</v>
      </c>
      <c r="Y201" s="39" t="str">
        <f>IF(OR($A201&lt;&gt;"", $G201=""),"",CONCATENATE(";",EscStr(CONCATENATE("NavNode_",getCategoryLevelAsString($B201))),";",EscStr($J201),";",IF($B201&lt;&gt;"","""MainCategoryNavNode""",EscStr(CONCATENATE("NavNode_",getSuperCategory($B201, getCategoryLevelAsNumber($B201))))),";"))</f>
        <v>;"NavNode_L3D_525480";"Ultrasonic Sensors";"NavNode_L2D_379612";</v>
      </c>
      <c r="Z201" s="39" t="str">
        <f>IF(getCategoryLevelAsString($B201)="L0D_324785","",IF(G201="",CONCATENATE(";",EscStr(CONCATENATE("NavNode_",getCategoryLevelAsString($B201))),";",EscStr($J201),";"),CONCATENATE(";",EscStr(CONCATENATE("NavNode_",getCategoryLevelAsString($B201))),";",EscStr(G201),";")))</f>
        <v>;"NavNode_L3D_525480";"Ultraschallsensoren";</v>
      </c>
      <c r="AA201" s="39" t="str">
        <f>IF(getCategoryLevelAsString($B201)="L0D_324785","",IF(H201="",CONCATENATE(";",EscStr(CONCATENATE("NavNode_",getCategoryLevelAsString($B201))),";",EscStr($J201),";"),CONCATENATE(";",EscStr(CONCATENATE("NavNode_",getCategoryLevelAsString($B201))),";",EscStr(H201),";")))</f>
        <v>;"NavNode_L3D_525480";"Capteurs à ultrasons";</v>
      </c>
      <c r="AB201" s="39" t="str">
        <f>IF(getCategoryLevelAsString($B201)="L0D_324785","",IF(I201="",CONCATENATE(";",EscStr(CONCATENATE("NavNode_",getCategoryLevelAsString($B201))),";",EscStr($J201),";"),CONCATENATE(";",EscStr(CONCATENATE("NavNode_",getCategoryLevelAsString($B201))),";",EscStr(I201),";")))</f>
        <v>;"NavNode_L3D_525480";"Sensori a ultrasuoni";</v>
      </c>
      <c r="AC201" s="39" t="str">
        <f>IF(getCategoryLevelAsString($B201)="L0D_324785","",IF(J201="",CONCATENATE(";",EscStr(CONCATENATE("NavNode_",getCategoryLevelAsString($B201))),";",EscStr($J201),";"),CONCATENATE(";",EscStr(CONCATENATE("NavNode_",getCategoryLevelAsString($B201))),";",EscStr(J201),";")))</f>
        <v>;"NavNode_L3D_525480";"Ultrasonic Sensors";</v>
      </c>
      <c r="AD201" s="39" t="str">
        <f>IF(getCategoryLevelAsString($B201)="L0D_324785","",IF(K201="",CONCATENATE(";",EscStr(CONCATENATE("NavNode_",getCategoryLevelAsString($B201))),";",EscStr($J201),";"),CONCATENATE(";",EscStr(CONCATENATE("NavNode_",getCategoryLevelAsString($B201))),";",EscStr(K201),";")))</f>
        <v>;"NavNode_L3D_525480";"Ultralydssensorer";</v>
      </c>
      <c r="AE201" s="39" t="str">
        <f>IF(getCategoryLevelAsString($B201)="L0D_324785","",IF(L201="",CONCATENATE(";",EscStr(CONCATENATE("NavNode_",getCategoryLevelAsString($B201))),";",EscStr($J201),";"),CONCATENATE(";",EscStr(CONCATENATE("NavNode_",getCategoryLevelAsString($B201))),";",EscStr(L201),";")))</f>
        <v>;"NavNode_L3D_525480";"Ultragarsiniai jutikliai";</v>
      </c>
      <c r="AF201" s="39" t="str">
        <f>IF(getCategoryLevelAsString($B201)="L0D_324785","",IF(M201="",CONCATENATE(";",EscStr(CONCATENATE("NavNode_",getCategoryLevelAsString($B201))),";",EscStr($J201),";"),CONCATENATE(";",EscStr(CONCATENATE("NavNode_",getCategoryLevelAsString($B201))),";",EscStr(M201),";")))</f>
        <v>;"NavNode_L3D_525480";"Ultrasoniske sensorer";</v>
      </c>
      <c r="AG201" s="39" t="str">
        <f>IF(getCategoryLevelAsString($B201)="L0D_324785","",IF(N201="",CONCATENATE(";",EscStr(CONCATENATE("NavNode_",getCategoryLevelAsString($B201))),";",EscStr($J201),";"),CONCATENATE(";",EscStr(CONCATENATE("NavNode_",getCategoryLevelAsString($B201))),";",EscStr(N201),";")))</f>
        <v>;"NavNode_L3D_525480";"Ultraljudsgivare";</v>
      </c>
      <c r="AH201" s="39" t="str">
        <f>IF(getCategoryLevelAsString($B201)="L0D_324785","",IF(O201="",CONCATENATE(";",EscStr(CONCATENATE("NavNode_",getCategoryLevelAsString($B201))),";",EscStr($J201),";"),CONCATENATE(";",EscStr(CONCATENATE("NavNode_",getCategoryLevelAsString($B201))),";",EscStr(O201),";")))</f>
        <v>;"NavNode_L3D_525480";"Ultraheliandurid";</v>
      </c>
      <c r="AI201" s="39" t="str">
        <f>IF(getCategoryLevelAsString($B201)="L0D_324785","",IF(P201="",CONCATENATE(";",EscStr(CONCATENATE("NavNode_",getCategoryLevelAsString($B201))),";",EscStr($J201),";"),CONCATENATE(";",EscStr(CONCATENATE("NavNode_",getCategoryLevelAsString($B201))),";",EscStr(P201),";")))</f>
        <v>;"NavNode_L3D_525480";"Ultraäänianturit";</v>
      </c>
      <c r="AJ201" s="39" t="str">
        <f>IF(getCategoryLevelAsString($B201)="L0D_324785","",IF(Q201="",CONCATENATE(";",EscStr(CONCATENATE("NavNode_",getCategoryLevelAsString($B201))),";",EscStr($J201),";"),CONCATENATE(";",EscStr(CONCATENATE("NavNode_",getCategoryLevelAsString($B201))),";",EscStr(Q201),";")))</f>
        <v>;"NavNode_L3D_525480";"Ultraskaņas sensori";</v>
      </c>
      <c r="AK201" s="39" t="str">
        <f>IF(getCategoryLevelAsString($B201)="L0D_324785","",IF(R201="",CONCATENATE(";",EscStr(CONCATENATE("NavNode_",getCategoryLevelAsString($B201))),";",EscStr($J201),";"),CONCATENATE(";",EscStr(CONCATENATE("NavNode_",getCategoryLevelAsString($B201))),";",EscStr(R201),";")))</f>
        <v>;"NavNode_L3D_525480";"Ultrasoonsensoren";</v>
      </c>
      <c r="AL201" s="39" t="str">
        <f>IF(getCategoryLevelAsString($B201)="L0D_324785","",IF(S201="",CONCATENATE(";",EscStr(CONCATENATE("NavNode_",getCategoryLevelAsString($B201))),";",EscStr($J201),";"),CONCATENATE(";",EscStr(CONCATENATE("NavNode_",getCategoryLevelAsString($B201))),";",EscStr(S201),";")))</f>
        <v>;"NavNode_L3D_525480";"Czujniki ultradźwiękowe";</v>
      </c>
      <c r="AM201" s="39" t="str">
        <f>IF(getCategoryLevelAsString($B201)="L0D_324785","",IF(T201="",CONCATENATE(";",EscStr(CONCATENATE("NavNode_",getCategoryLevelAsString($B201))),";",EscStr($J201),";"),CONCATENATE(";",EscStr(CONCATENATE("NavNode_",getCategoryLevelAsString($B201))),";",EscStr(T201),";")))</f>
        <v>;"NavNode_L3D_525480";"Ультразвуковые датчики";</v>
      </c>
      <c r="AN201" s="39" t="str">
        <f>IF(getCategoryLevelAsString($B201)="L0D_324785","",IF(U201="",CONCATENATE(";",EscStr(CONCATENATE("NavNode_",getCategoryLevelAsString($B201))),";",EscStr($J201),";"),CONCATENATE(";",EscStr(CONCATENATE("NavNode_",getCategoryLevelAsString($B201))),";",EscStr(U201),";")))</f>
        <v>;"NavNode_L3D_525480";"Ultrazvukové snímače";</v>
      </c>
      <c r="AO201" s="39" t="str">
        <f>IF(getCategoryLevelAsString($B201)="L0D_324785","",IF(V201="",CONCATENATE(";",EscStr(CONCATENATE("NavNode_",getCategoryLevelAsString($B201))),";",EscStr($J201),";"),CONCATENATE(";",EscStr(CONCATENATE("NavNode_",getCategoryLevelAsString($B201))),";",EscStr(V201),";")))</f>
        <v>;"NavNode_L3D_525480";"Senzori ultrasonici";</v>
      </c>
      <c r="AP201" s="39" t="str">
        <f>IF(getCategoryLevelAsString($B201)="L0D_324785","",IF(W201="",CONCATENATE(";",EscStr(CONCATENATE("NavNode_",getCategoryLevelAsString($B201))),";",EscStr($J201),";"),CONCATENATE(";",EscStr(CONCATENATE("NavNode_",getCategoryLevelAsString($B201))),";",EscStr(W201),";")))</f>
        <v>;"NavNode_L3D_525480";"Ultrahangos érzékelők";</v>
      </c>
      <c r="AQ201" s="39" t="str">
        <f>IF(getCategoryLevelAsString($B201)="L0D_324785","",IF(X201="",CONCATENATE(";",EscStr(CONCATENATE("NavNode_",getCategoryLevelAsString($B201))),";",EscStr($J201),";"),CONCATENATE(";",EscStr(CONCATENATE("NavNode_",getCategoryLevelAsString($B201))),";",EscStr(X201),";")))</f>
        <v>;"NavNode_L3D_525480";"Ultrazvukové snímače";</v>
      </c>
      <c r="AR201" s="39" t="str">
        <f>IF(OR($A201&lt;&gt;"", $G201=""),"",CONCATENATE(";",EscStr(CONCATENATE("NavEntry_",getCategoryLevelAsString($B201))),";",EscStr(CONCATENATE($J201," Navigation Entry")),";",EscStr(CONCATENATE("cat-",getCategoryLevelAsString($B201))),";",EscStr(CONCATENATE("NavNode_",getCategoryLevelAsString($B201))),";"))</f>
        <v>;"NavEntry_L3D_525480";"Ultrasonic Sensors Navigation Entry";"cat-L3D_525480";"NavNode_L3D_525480";</v>
      </c>
    </row>
    <row r="202" spans="1:44" s="34" customFormat="1" ht="15" x14ac:dyDescent="0.25">
      <c r="A202" s="25"/>
      <c r="B202" s="5"/>
      <c r="C202" s="5"/>
      <c r="D202" s="5" t="s">
        <v>101</v>
      </c>
      <c r="E202" s="5"/>
      <c r="F202" s="5"/>
      <c r="G202" s="5" t="s">
        <v>974</v>
      </c>
      <c r="H202" s="5" t="s">
        <v>1078</v>
      </c>
      <c r="I202" s="5" t="s">
        <v>1136</v>
      </c>
      <c r="J202" s="5" t="s">
        <v>102</v>
      </c>
      <c r="K202" s="5" t="s">
        <v>1309</v>
      </c>
      <c r="L202" s="5" t="s">
        <v>1544</v>
      </c>
      <c r="M202" s="5" t="s">
        <v>1309</v>
      </c>
      <c r="N202" s="5" t="s">
        <v>1974</v>
      </c>
      <c r="O202" s="5" t="s">
        <v>3460</v>
      </c>
      <c r="P202" s="5" t="s">
        <v>3461</v>
      </c>
      <c r="Q202" s="5" t="s">
        <v>3462</v>
      </c>
      <c r="R202" s="5" t="s">
        <v>3463</v>
      </c>
      <c r="S202" s="5" t="s">
        <v>3464</v>
      </c>
      <c r="T202" s="5" t="s">
        <v>3465</v>
      </c>
      <c r="U202" s="5" t="s">
        <v>3466</v>
      </c>
      <c r="V202" s="5" t="s">
        <v>3467</v>
      </c>
      <c r="W202" s="5" t="s">
        <v>3468</v>
      </c>
      <c r="X202" s="5" t="s">
        <v>3466</v>
      </c>
      <c r="Y202" s="39" t="str">
        <f>IF(OR($A202&lt;&gt;"", $G202=""),"",CONCATENATE(";",EscStr(CONCATENATE("NavNode_",getCategoryLevelAsString($B202))),";",EscStr($J202),";",IF($B202&lt;&gt;"","""MainCategoryNavNode""",EscStr(CONCATENATE("NavNode_",getSuperCategory($B202, getCategoryLevelAsNumber($B202))))),";"))</f>
        <v>;"NavNode_L3D_525481";"Optical Sensors";"NavNode_L2D_379612";</v>
      </c>
      <c r="Z202" s="39" t="str">
        <f>IF(getCategoryLevelAsString($B202)="L0D_324785","",IF(G202="",CONCATENATE(";",EscStr(CONCATENATE("NavNode_",getCategoryLevelAsString($B202))),";",EscStr($J202),";"),CONCATENATE(";",EscStr(CONCATENATE("NavNode_",getCategoryLevelAsString($B202))),";",EscStr(G202),";")))</f>
        <v>;"NavNode_L3D_525481";"Optische Sensoren";</v>
      </c>
      <c r="AA202" s="39" t="str">
        <f>IF(getCategoryLevelAsString($B202)="L0D_324785","",IF(H202="",CONCATENATE(";",EscStr(CONCATENATE("NavNode_",getCategoryLevelAsString($B202))),";",EscStr($J202),";"),CONCATENATE(";",EscStr(CONCATENATE("NavNode_",getCategoryLevelAsString($B202))),";",EscStr(H202),";")))</f>
        <v>;"NavNode_L3D_525481";"Capteurs optiques";</v>
      </c>
      <c r="AB202" s="39" t="str">
        <f>IF(getCategoryLevelAsString($B202)="L0D_324785","",IF(I202="",CONCATENATE(";",EscStr(CONCATENATE("NavNode_",getCategoryLevelAsString($B202))),";",EscStr($J202),";"),CONCATENATE(";",EscStr(CONCATENATE("NavNode_",getCategoryLevelAsString($B202))),";",EscStr(I202),";")))</f>
        <v>;"NavNode_L3D_525481";"Sensori ottici";</v>
      </c>
      <c r="AC202" s="39" t="str">
        <f>IF(getCategoryLevelAsString($B202)="L0D_324785","",IF(J202="",CONCATENATE(";",EscStr(CONCATENATE("NavNode_",getCategoryLevelAsString($B202))),";",EscStr($J202),";"),CONCATENATE(";",EscStr(CONCATENATE("NavNode_",getCategoryLevelAsString($B202))),";",EscStr(J202),";")))</f>
        <v>;"NavNode_L3D_525481";"Optical Sensors";</v>
      </c>
      <c r="AD202" s="39" t="str">
        <f>IF(getCategoryLevelAsString($B202)="L0D_324785","",IF(K202="",CONCATENATE(";",EscStr(CONCATENATE("NavNode_",getCategoryLevelAsString($B202))),";",EscStr($J202),";"),CONCATENATE(";",EscStr(CONCATENATE("NavNode_",getCategoryLevelAsString($B202))),";",EscStr(K202),";")))</f>
        <v>;"NavNode_L3D_525481";"Optiske sensorer";</v>
      </c>
      <c r="AE202" s="39" t="str">
        <f>IF(getCategoryLevelAsString($B202)="L0D_324785","",IF(L202="",CONCATENATE(";",EscStr(CONCATENATE("NavNode_",getCategoryLevelAsString($B202))),";",EscStr($J202),";"),CONCATENATE(";",EscStr(CONCATENATE("NavNode_",getCategoryLevelAsString($B202))),";",EscStr(L202),";")))</f>
        <v>;"NavNode_L3D_525481";"Optiniai jutikliai";</v>
      </c>
      <c r="AF202" s="39" t="str">
        <f>IF(getCategoryLevelAsString($B202)="L0D_324785","",IF(M202="",CONCATENATE(";",EscStr(CONCATENATE("NavNode_",getCategoryLevelAsString($B202))),";",EscStr($J202),";"),CONCATENATE(";",EscStr(CONCATENATE("NavNode_",getCategoryLevelAsString($B202))),";",EscStr(M202),";")))</f>
        <v>;"NavNode_L3D_525481";"Optiske sensorer";</v>
      </c>
      <c r="AG202" s="39" t="str">
        <f>IF(getCategoryLevelAsString($B202)="L0D_324785","",IF(N202="",CONCATENATE(";",EscStr(CONCATENATE("NavNode_",getCategoryLevelAsString($B202))),";",EscStr($J202),";"),CONCATENATE(";",EscStr(CONCATENATE("NavNode_",getCategoryLevelAsString($B202))),";",EscStr(N202),";")))</f>
        <v>;"NavNode_L3D_525481";"Optiska givare";</v>
      </c>
      <c r="AH202" s="39" t="str">
        <f>IF(getCategoryLevelAsString($B202)="L0D_324785","",IF(O202="",CONCATENATE(";",EscStr(CONCATENATE("NavNode_",getCategoryLevelAsString($B202))),";",EscStr($J202),";"),CONCATENATE(";",EscStr(CONCATENATE("NavNode_",getCategoryLevelAsString($B202))),";",EscStr(O202),";")))</f>
        <v>;"NavNode_L3D_525481";"Optilised andurid";</v>
      </c>
      <c r="AI202" s="39" t="str">
        <f>IF(getCategoryLevelAsString($B202)="L0D_324785","",IF(P202="",CONCATENATE(";",EscStr(CONCATENATE("NavNode_",getCategoryLevelAsString($B202))),";",EscStr($J202),";"),CONCATENATE(";",EscStr(CONCATENATE("NavNode_",getCategoryLevelAsString($B202))),";",EscStr(P202),";")))</f>
        <v>;"NavNode_L3D_525481";"Optiset anturit";</v>
      </c>
      <c r="AJ202" s="39" t="str">
        <f>IF(getCategoryLevelAsString($B202)="L0D_324785","",IF(Q202="",CONCATENATE(";",EscStr(CONCATENATE("NavNode_",getCategoryLevelAsString($B202))),";",EscStr($J202),";"),CONCATENATE(";",EscStr(CONCATENATE("NavNode_",getCategoryLevelAsString($B202))),";",EscStr(Q202),";")))</f>
        <v>;"NavNode_L3D_525481";"Optiskie sensori";</v>
      </c>
      <c r="AK202" s="39" t="str">
        <f>IF(getCategoryLevelAsString($B202)="L0D_324785","",IF(R202="",CONCATENATE(";",EscStr(CONCATENATE("NavNode_",getCategoryLevelAsString($B202))),";",EscStr($J202),";"),CONCATENATE(";",EscStr(CONCATENATE("NavNode_",getCategoryLevelAsString($B202))),";",EscStr(R202),";")))</f>
        <v>;"NavNode_L3D_525481";"Optische sensoren";</v>
      </c>
      <c r="AL202" s="39" t="str">
        <f>IF(getCategoryLevelAsString($B202)="L0D_324785","",IF(S202="",CONCATENATE(";",EscStr(CONCATENATE("NavNode_",getCategoryLevelAsString($B202))),";",EscStr($J202),";"),CONCATENATE(";",EscStr(CONCATENATE("NavNode_",getCategoryLevelAsString($B202))),";",EscStr(S202),";")))</f>
        <v>;"NavNode_L3D_525481";"Czujniki optyczne";</v>
      </c>
      <c r="AM202" s="39" t="str">
        <f>IF(getCategoryLevelAsString($B202)="L0D_324785","",IF(T202="",CONCATENATE(";",EscStr(CONCATENATE("NavNode_",getCategoryLevelAsString($B202))),";",EscStr($J202),";"),CONCATENATE(";",EscStr(CONCATENATE("NavNode_",getCategoryLevelAsString($B202))),";",EscStr(T202),";")))</f>
        <v>;"NavNode_L3D_525481";"Оптические датчики";</v>
      </c>
      <c r="AN202" s="39" t="str">
        <f>IF(getCategoryLevelAsString($B202)="L0D_324785","",IF(U202="",CONCATENATE(";",EscStr(CONCATENATE("NavNode_",getCategoryLevelAsString($B202))),";",EscStr($J202),";"),CONCATENATE(";",EscStr(CONCATENATE("NavNode_",getCategoryLevelAsString($B202))),";",EscStr(U202),";")))</f>
        <v>;"NavNode_L3D_525481";"Optické snímače";</v>
      </c>
      <c r="AO202" s="39" t="str">
        <f>IF(getCategoryLevelAsString($B202)="L0D_324785","",IF(V202="",CONCATENATE(";",EscStr(CONCATENATE("NavNode_",getCategoryLevelAsString($B202))),";",EscStr($J202),";"),CONCATENATE(";",EscStr(CONCATENATE("NavNode_",getCategoryLevelAsString($B202))),";",EscStr(V202),";")))</f>
        <v>;"NavNode_L3D_525481";"Senzori optici";</v>
      </c>
      <c r="AP202" s="39" t="str">
        <f>IF(getCategoryLevelAsString($B202)="L0D_324785","",IF(W202="",CONCATENATE(";",EscStr(CONCATENATE("NavNode_",getCategoryLevelAsString($B202))),";",EscStr($J202),";"),CONCATENATE(";",EscStr(CONCATENATE("NavNode_",getCategoryLevelAsString($B202))),";",EscStr(W202),";")))</f>
        <v>;"NavNode_L3D_525481";"Optikai érzékelők";</v>
      </c>
      <c r="AQ202" s="39" t="str">
        <f>IF(getCategoryLevelAsString($B202)="L0D_324785","",IF(X202="",CONCATENATE(";",EscStr(CONCATENATE("NavNode_",getCategoryLevelAsString($B202))),";",EscStr($J202),";"),CONCATENATE(";",EscStr(CONCATENATE("NavNode_",getCategoryLevelAsString($B202))),";",EscStr(X202),";")))</f>
        <v>;"NavNode_L3D_525481";"Optické snímače";</v>
      </c>
      <c r="AR202" s="39" t="str">
        <f>IF(OR($A202&lt;&gt;"", $G202=""),"",CONCATENATE(";",EscStr(CONCATENATE("NavEntry_",getCategoryLevelAsString($B202))),";",EscStr(CONCATENATE($J202," Navigation Entry")),";",EscStr(CONCATENATE("cat-",getCategoryLevelAsString($B202))),";",EscStr(CONCATENATE("NavNode_",getCategoryLevelAsString($B202))),";"))</f>
        <v>;"NavEntry_L3D_525481";"Optical Sensors Navigation Entry";"cat-L3D_525481";"NavNode_L3D_525481";</v>
      </c>
    </row>
    <row r="203" spans="1:44" s="34" customFormat="1" ht="15" x14ac:dyDescent="0.25">
      <c r="A203" s="25"/>
      <c r="B203" s="5"/>
      <c r="C203" s="5"/>
      <c r="D203" s="5" t="s">
        <v>104</v>
      </c>
      <c r="E203" s="5"/>
      <c r="F203" s="5"/>
      <c r="G203" s="5" t="s">
        <v>975</v>
      </c>
      <c r="H203" s="5" t="s">
        <v>1079</v>
      </c>
      <c r="I203" s="5" t="s">
        <v>1137</v>
      </c>
      <c r="J203" s="5" t="s">
        <v>838</v>
      </c>
      <c r="K203" s="5" t="s">
        <v>1310</v>
      </c>
      <c r="L203" s="5" t="s">
        <v>1545</v>
      </c>
      <c r="M203" s="5" t="s">
        <v>1310</v>
      </c>
      <c r="N203" s="5" t="s">
        <v>13990</v>
      </c>
      <c r="O203" s="5" t="s">
        <v>3469</v>
      </c>
      <c r="P203" s="5" t="s">
        <v>3470</v>
      </c>
      <c r="Q203" s="5" t="s">
        <v>3471</v>
      </c>
      <c r="R203" s="5" t="s">
        <v>3472</v>
      </c>
      <c r="S203" s="5" t="s">
        <v>3473</v>
      </c>
      <c r="T203" s="5" t="s">
        <v>3474</v>
      </c>
      <c r="U203" s="5" t="s">
        <v>3475</v>
      </c>
      <c r="V203" s="5" t="s">
        <v>3476</v>
      </c>
      <c r="W203" s="5" t="s">
        <v>3477</v>
      </c>
      <c r="X203" s="5" t="s">
        <v>3475</v>
      </c>
      <c r="Y203" s="39" t="str">
        <f>IF(OR($A203&lt;&gt;"", $G203=""),"",CONCATENATE(";",EscStr(CONCATENATE("NavNode_",getCategoryLevelAsString($B203))),";",EscStr($J203),";",IF($B203&lt;&gt;"","""MainCategoryNavNode""",EscStr(CONCATENATE("NavNode_",getSuperCategory($B203, getCategoryLevelAsNumber($B203))))),";"))</f>
        <v>;"NavNode_L3D_525483";"Reed / Hall Sensors";"NavNode_L2D_379612";</v>
      </c>
      <c r="Z203" s="39" t="str">
        <f>IF(getCategoryLevelAsString($B203)="L0D_324785","",IF(G203="",CONCATENATE(";",EscStr(CONCATENATE("NavNode_",getCategoryLevelAsString($B203))),";",EscStr($J203),";"),CONCATENATE(";",EscStr(CONCATENATE("NavNode_",getCategoryLevelAsString($B203))),";",EscStr(G203),";")))</f>
        <v>;"NavNode_L3D_525483";"Reed- / Hall-Sensoren";</v>
      </c>
      <c r="AA203" s="39" t="str">
        <f>IF(getCategoryLevelAsString($B203)="L0D_324785","",IF(H203="",CONCATENATE(";",EscStr(CONCATENATE("NavNode_",getCategoryLevelAsString($B203))),";",EscStr($J203),";"),CONCATENATE(";",EscStr(CONCATENATE("NavNode_",getCategoryLevelAsString($B203))),";",EscStr(H203),";")))</f>
        <v>;"NavNode_L3D_525483";"Capteurs Reed/Hall";</v>
      </c>
      <c r="AB203" s="39" t="str">
        <f>IF(getCategoryLevelAsString($B203)="L0D_324785","",IF(I203="",CONCATENATE(";",EscStr(CONCATENATE("NavNode_",getCategoryLevelAsString($B203))),";",EscStr($J203),";"),CONCATENATE(";",EscStr(CONCATENATE("NavNode_",getCategoryLevelAsString($B203))),";",EscStr(I203),";")))</f>
        <v>;"NavNode_L3D_525483";"Sensori reed/Hall";</v>
      </c>
      <c r="AC203" s="39" t="str">
        <f>IF(getCategoryLevelAsString($B203)="L0D_324785","",IF(J203="",CONCATENATE(";",EscStr(CONCATENATE("NavNode_",getCategoryLevelAsString($B203))),";",EscStr($J203),";"),CONCATENATE(";",EscStr(CONCATENATE("NavNode_",getCategoryLevelAsString($B203))),";",EscStr(J203),";")))</f>
        <v>;"NavNode_L3D_525483";"Reed / Hall Sensors";</v>
      </c>
      <c r="AD203" s="39" t="str">
        <f>IF(getCategoryLevelAsString($B203)="L0D_324785","",IF(K203="",CONCATENATE(";",EscStr(CONCATENATE("NavNode_",getCategoryLevelAsString($B203))),";",EscStr($J203),";"),CONCATENATE(";",EscStr(CONCATENATE("NavNode_",getCategoryLevelAsString($B203))),";",EscStr(K203),";")))</f>
        <v>;"NavNode_L3D_525483";"Reed-/hall-sensorer";</v>
      </c>
      <c r="AE203" s="39" t="str">
        <f>IF(getCategoryLevelAsString($B203)="L0D_324785","",IF(L203="",CONCATENATE(";",EscStr(CONCATENATE("NavNode_",getCategoryLevelAsString($B203))),";",EscStr($J203),";"),CONCATENATE(";",EscStr(CONCATENATE("NavNode_",getCategoryLevelAsString($B203))),";",EscStr(L203),";")))</f>
        <v>;"NavNode_L3D_525483";"Sandariųjų kontaktų / Holo jutikliai";</v>
      </c>
      <c r="AF203" s="39" t="str">
        <f>IF(getCategoryLevelAsString($B203)="L0D_324785","",IF(M203="",CONCATENATE(";",EscStr(CONCATENATE("NavNode_",getCategoryLevelAsString($B203))),";",EscStr($J203),";"),CONCATENATE(";",EscStr(CONCATENATE("NavNode_",getCategoryLevelAsString($B203))),";",EscStr(M203),";")))</f>
        <v>;"NavNode_L3D_525483";"Reed-/hall-sensorer";</v>
      </c>
      <c r="AG203" s="39" t="str">
        <f>IF(getCategoryLevelAsString($B203)="L0D_324785","",IF(N203="",CONCATENATE(";",EscStr(CONCATENATE("NavNode_",getCategoryLevelAsString($B203))),";",EscStr($J203),";"),CONCATENATE(";",EscStr(CONCATENATE("NavNode_",getCategoryLevelAsString($B203))),";",EscStr(N203),";")))</f>
        <v>;"NavNode_L3D_525483";"Tungelement/Hallsensorer";</v>
      </c>
      <c r="AH203" s="39" t="str">
        <f>IF(getCategoryLevelAsString($B203)="L0D_324785","",IF(O203="",CONCATENATE(";",EscStr(CONCATENATE("NavNode_",getCategoryLevelAsString($B203))),";",EscStr($J203),";"),CONCATENATE(";",EscStr(CONCATENATE("NavNode_",getCategoryLevelAsString($B203))),";",EscStr(O203),";")))</f>
        <v>;"NavNode_L3D_525483";"Herkonid / Halli andurid";</v>
      </c>
      <c r="AI203" s="39" t="str">
        <f>IF(getCategoryLevelAsString($B203)="L0D_324785","",IF(P203="",CONCATENATE(";",EscStr(CONCATENATE("NavNode_",getCategoryLevelAsString($B203))),";",EscStr($J203),";"),CONCATENATE(";",EscStr(CONCATENATE("NavNode_",getCategoryLevelAsString($B203))),";",EscStr(P203),";")))</f>
        <v>;"NavNode_L3D_525483";"Reed / Hall anturit";</v>
      </c>
      <c r="AJ203" s="39" t="str">
        <f>IF(getCategoryLevelAsString($B203)="L0D_324785","",IF(Q203="",CONCATENATE(";",EscStr(CONCATENATE("NavNode_",getCategoryLevelAsString($B203))),";",EscStr($J203),";"),CONCATENATE(";",EscStr(CONCATENATE("NavNode_",getCategoryLevelAsString($B203))),";",EscStr(Q203),";")))</f>
        <v>;"NavNode_L3D_525483";"Herkoni / Holla devēji";</v>
      </c>
      <c r="AK203" s="39" t="str">
        <f>IF(getCategoryLevelAsString($B203)="L0D_324785","",IF(R203="",CONCATENATE(";",EscStr(CONCATENATE("NavNode_",getCategoryLevelAsString($B203))),";",EscStr($J203),";"),CONCATENATE(";",EscStr(CONCATENATE("NavNode_",getCategoryLevelAsString($B203))),";",EscStr(R203),";")))</f>
        <v>;"NavNode_L3D_525483";"Reed en Hall Sensoren";</v>
      </c>
      <c r="AL203" s="39" t="str">
        <f>IF(getCategoryLevelAsString($B203)="L0D_324785","",IF(S203="",CONCATENATE(";",EscStr(CONCATENATE("NavNode_",getCategoryLevelAsString($B203))),";",EscStr($J203),";"),CONCATENATE(";",EscStr(CONCATENATE("NavNode_",getCategoryLevelAsString($B203))),";",EscStr(S203),";")))</f>
        <v>;"NavNode_L3D_525483";"Czujniki kontaktronowe / Halla";</v>
      </c>
      <c r="AM203" s="39" t="str">
        <f>IF(getCategoryLevelAsString($B203)="L0D_324785","",IF(T203="",CONCATENATE(";",EscStr(CONCATENATE("NavNode_",getCategoryLevelAsString($B203))),";",EscStr($J203),";"),CONCATENATE(";",EscStr(CONCATENATE("NavNode_",getCategoryLevelAsString($B203))),";",EscStr(T203),";")))</f>
        <v>;"NavNode_L3D_525483";"Датчики Холла / Герконы";</v>
      </c>
      <c r="AN203" s="39" t="str">
        <f>IF(getCategoryLevelAsString($B203)="L0D_324785","",IF(U203="",CONCATENATE(";",EscStr(CONCATENATE("NavNode_",getCategoryLevelAsString($B203))),";",EscStr($J203),";"),CONCATENATE(";",EscStr(CONCATENATE("NavNode_",getCategoryLevelAsString($B203))),";",EscStr(U203),";")))</f>
        <v>;"NavNode_L3D_525483";"Reed / Hall snímače";</v>
      </c>
      <c r="AO203" s="39" t="str">
        <f>IF(getCategoryLevelAsString($B203)="L0D_324785","",IF(V203="",CONCATENATE(";",EscStr(CONCATENATE("NavNode_",getCategoryLevelAsString($B203))),";",EscStr($J203),";"),CONCATENATE(";",EscStr(CONCATENATE("NavNode_",getCategoryLevelAsString($B203))),";",EscStr(V203),";")))</f>
        <v>;"NavNode_L3D_525483";"Reed - / Hall senzori";</v>
      </c>
      <c r="AP203" s="39" t="str">
        <f>IF(getCategoryLevelAsString($B203)="L0D_324785","",IF(W203="",CONCATENATE(";",EscStr(CONCATENATE("NavNode_",getCategoryLevelAsString($B203))),";",EscStr($J203),";"),CONCATENATE(";",EscStr(CONCATENATE("NavNode_",getCategoryLevelAsString($B203))),";",EscStr(W203),";")))</f>
        <v>;"NavNode_L3D_525483";"Reed- / Hall-érzékelők";</v>
      </c>
      <c r="AQ203" s="39" t="str">
        <f>IF(getCategoryLevelAsString($B203)="L0D_324785","",IF(X203="",CONCATENATE(";",EscStr(CONCATENATE("NavNode_",getCategoryLevelAsString($B203))),";",EscStr($J203),";"),CONCATENATE(";",EscStr(CONCATENATE("NavNode_",getCategoryLevelAsString($B203))),";",EscStr(X203),";")))</f>
        <v>;"NavNode_L3D_525483";"Reed / Hall snímače";</v>
      </c>
      <c r="AR203" s="39" t="str">
        <f>IF(OR($A203&lt;&gt;"", $G203=""),"",CONCATENATE(";",EscStr(CONCATENATE("NavEntry_",getCategoryLevelAsString($B203))),";",EscStr(CONCATENATE($J203," Navigation Entry")),";",EscStr(CONCATENATE("cat-",getCategoryLevelAsString($B203))),";",EscStr(CONCATENATE("NavNode_",getCategoryLevelAsString($B203))),";"))</f>
        <v>;"NavEntry_L3D_525483";"Reed / Hall Sensors Navigation Entry";"cat-L3D_525483";"NavNode_L3D_525483";</v>
      </c>
    </row>
    <row r="204" spans="1:44" s="34" customFormat="1" ht="15" x14ac:dyDescent="0.25">
      <c r="A204" s="25"/>
      <c r="B204" s="5"/>
      <c r="C204" s="5"/>
      <c r="D204" s="5" t="s">
        <v>103</v>
      </c>
      <c r="E204" s="5"/>
      <c r="F204" s="5"/>
      <c r="G204" s="5" t="s">
        <v>976</v>
      </c>
      <c r="H204" s="5" t="s">
        <v>1080</v>
      </c>
      <c r="I204" s="5" t="s">
        <v>1138</v>
      </c>
      <c r="J204" s="5" t="s">
        <v>839</v>
      </c>
      <c r="K204" s="5" t="s">
        <v>1311</v>
      </c>
      <c r="L204" s="5" t="s">
        <v>1546</v>
      </c>
      <c r="M204" s="5" t="s">
        <v>1763</v>
      </c>
      <c r="N204" s="5" t="s">
        <v>1976</v>
      </c>
      <c r="O204" s="5" t="s">
        <v>3478</v>
      </c>
      <c r="P204" s="5" t="s">
        <v>3479</v>
      </c>
      <c r="Q204" s="5" t="s">
        <v>3480</v>
      </c>
      <c r="R204" s="5" t="s">
        <v>3481</v>
      </c>
      <c r="S204" s="5" t="s">
        <v>3482</v>
      </c>
      <c r="T204" s="5" t="s">
        <v>3483</v>
      </c>
      <c r="U204" s="5" t="s">
        <v>3484</v>
      </c>
      <c r="V204" s="5" t="s">
        <v>3485</v>
      </c>
      <c r="W204" s="5" t="s">
        <v>3486</v>
      </c>
      <c r="X204" s="5" t="s">
        <v>14927</v>
      </c>
      <c r="Y204" s="39" t="str">
        <f>IF(OR($A204&lt;&gt;"", $G204=""),"",CONCATENATE(";",EscStr(CONCATENATE("NavNode_",getCategoryLevelAsString($B204))),";",EscStr($J204),";",IF($B204&lt;&gt;"","""MainCategoryNavNode""",EscStr(CONCATENATE("NavNode_",getSuperCategory($B204, getCategoryLevelAsNumber($B204))))),";"))</f>
        <v>;"NavNode_L3D_525485";"Position / Angle Sensors";"NavNode_L2D_379612";</v>
      </c>
      <c r="Z204" s="39" t="str">
        <f>IF(getCategoryLevelAsString($B204)="L0D_324785","",IF(G204="",CONCATENATE(";",EscStr(CONCATENATE("NavNode_",getCategoryLevelAsString($B204))),";",EscStr($J204),";"),CONCATENATE(";",EscStr(CONCATENATE("NavNode_",getCategoryLevelAsString($B204))),";",EscStr(G204),";")))</f>
        <v>;"NavNode_L3D_525485";"Weg- / Winkelaufnehmer";</v>
      </c>
      <c r="AA204" s="39" t="str">
        <f>IF(getCategoryLevelAsString($B204)="L0D_324785","",IF(H204="",CONCATENATE(";",EscStr(CONCATENATE("NavNode_",getCategoryLevelAsString($B204))),";",EscStr($J204),";"),CONCATENATE(";",EscStr(CONCATENATE("NavNode_",getCategoryLevelAsString($B204))),";",EscStr(H204),";")))</f>
        <v>;"NavNode_L3D_525485";"Capteurs de position/d'angle";</v>
      </c>
      <c r="AB204" s="39" t="str">
        <f>IF(getCategoryLevelAsString($B204)="L0D_324785","",IF(I204="",CONCATENATE(";",EscStr(CONCATENATE("NavNode_",getCategoryLevelAsString($B204))),";",EscStr($J204),";"),CONCATENATE(";",EscStr(CONCATENATE("NavNode_",getCategoryLevelAsString($B204))),";",EscStr(I204),";")))</f>
        <v>;"NavNode_L3D_525485";"Sensori di posizione/angolazione";</v>
      </c>
      <c r="AC204" s="39" t="str">
        <f>IF(getCategoryLevelAsString($B204)="L0D_324785","",IF(J204="",CONCATENATE(";",EscStr(CONCATENATE("NavNode_",getCategoryLevelAsString($B204))),";",EscStr($J204),";"),CONCATENATE(";",EscStr(CONCATENATE("NavNode_",getCategoryLevelAsString($B204))),";",EscStr(J204),";")))</f>
        <v>;"NavNode_L3D_525485";"Position / Angle Sensors";</v>
      </c>
      <c r="AD204" s="39" t="str">
        <f>IF(getCategoryLevelAsString($B204)="L0D_324785","",IF(K204="",CONCATENATE(";",EscStr(CONCATENATE("NavNode_",getCategoryLevelAsString($B204))),";",EscStr($J204),";"),CONCATENATE(";",EscStr(CONCATENATE("NavNode_",getCategoryLevelAsString($B204))),";",EscStr(K204),";")))</f>
        <v>;"NavNode_L3D_525485";"Positons-/vinkelsensorer";</v>
      </c>
      <c r="AE204" s="39" t="str">
        <f>IF(getCategoryLevelAsString($B204)="L0D_324785","",IF(L204="",CONCATENATE(";",EscStr(CONCATENATE("NavNode_",getCategoryLevelAsString($B204))),";",EscStr($J204),";"),CONCATENATE(";",EscStr(CONCATENATE("NavNode_",getCategoryLevelAsString($B204))),";",EscStr(L204),";")))</f>
        <v>;"NavNode_L3D_525485";"Padėties / kampo jutikliai";</v>
      </c>
      <c r="AF204" s="39" t="str">
        <f>IF(getCategoryLevelAsString($B204)="L0D_324785","",IF(M204="",CONCATENATE(";",EscStr(CONCATENATE("NavNode_",getCategoryLevelAsString($B204))),";",EscStr($J204),";"),CONCATENATE(";",EscStr(CONCATENATE("NavNode_",getCategoryLevelAsString($B204))),";",EscStr(M204),";")))</f>
        <v>;"NavNode_L3D_525485";"Posisjon /vinkelsensorer";</v>
      </c>
      <c r="AG204" s="39" t="str">
        <f>IF(getCategoryLevelAsString($B204)="L0D_324785","",IF(N204="",CONCATENATE(";",EscStr(CONCATENATE("NavNode_",getCategoryLevelAsString($B204))),";",EscStr($J204),";"),CONCATENATE(";",EscStr(CONCATENATE("NavNode_",getCategoryLevelAsString($B204))),";",EscStr(N204),";")))</f>
        <v>;"NavNode_L3D_525485";"Positions-/Vinkelgivare";</v>
      </c>
      <c r="AH204" s="39" t="str">
        <f>IF(getCategoryLevelAsString($B204)="L0D_324785","",IF(O204="",CONCATENATE(";",EscStr(CONCATENATE("NavNode_",getCategoryLevelAsString($B204))),";",EscStr($J204),";"),CONCATENATE(";",EscStr(CONCATENATE("NavNode_",getCategoryLevelAsString($B204))),";",EscStr(O204),";")))</f>
        <v>;"NavNode_L3D_525485";"Asendi- / Nurgaandurid";</v>
      </c>
      <c r="AI204" s="39" t="str">
        <f>IF(getCategoryLevelAsString($B204)="L0D_324785","",IF(P204="",CONCATENATE(";",EscStr(CONCATENATE("NavNode_",getCategoryLevelAsString($B204))),";",EscStr($J204),";"),CONCATENATE(";",EscStr(CONCATENATE("NavNode_",getCategoryLevelAsString($B204))),";",EscStr(P204),";")))</f>
        <v>;"NavNode_L3D_525485";"Asento/Kulmaanturit";</v>
      </c>
      <c r="AJ204" s="39" t="str">
        <f>IF(getCategoryLevelAsString($B204)="L0D_324785","",IF(Q204="",CONCATENATE(";",EscStr(CONCATENATE("NavNode_",getCategoryLevelAsString($B204))),";",EscStr($J204),";"),CONCATENATE(";",EscStr(CONCATENATE("NavNode_",getCategoryLevelAsString($B204))),";",EscStr(Q204),";")))</f>
        <v>;"NavNode_L3D_525485";"Stāvokļa / leņķa sensori";</v>
      </c>
      <c r="AK204" s="39" t="str">
        <f>IF(getCategoryLevelAsString($B204)="L0D_324785","",IF(R204="",CONCATENATE(";",EscStr(CONCATENATE("NavNode_",getCategoryLevelAsString($B204))),";",EscStr($J204),";"),CONCATENATE(";",EscStr(CONCATENATE("NavNode_",getCategoryLevelAsString($B204))),";",EscStr(R204),";")))</f>
        <v>;"NavNode_L3D_525485";"Verplaatsing en hoek sensoren";</v>
      </c>
      <c r="AL204" s="39" t="str">
        <f>IF(getCategoryLevelAsString($B204)="L0D_324785","",IF(S204="",CONCATENATE(";",EscStr(CONCATENATE("NavNode_",getCategoryLevelAsString($B204))),";",EscStr($J204),";"),CONCATENATE(";",EscStr(CONCATENATE("NavNode_",getCategoryLevelAsString($B204))),";",EscStr(S204),";")))</f>
        <v>;"NavNode_L3D_525485";"Czujniki pozycji / kąta";</v>
      </c>
      <c r="AM204" s="39" t="str">
        <f>IF(getCategoryLevelAsString($B204)="L0D_324785","",IF(T204="",CONCATENATE(";",EscStr(CONCATENATE("NavNode_",getCategoryLevelAsString($B204))),";",EscStr($J204),";"),CONCATENATE(";",EscStr(CONCATENATE("NavNode_",getCategoryLevelAsString($B204))),";",EscStr(T204),";")))</f>
        <v>;"NavNode_L3D_525485";"Датчики Положения/ Угловые";</v>
      </c>
      <c r="AN204" s="39" t="str">
        <f>IF(getCategoryLevelAsString($B204)="L0D_324785","",IF(U204="",CONCATENATE(";",EscStr(CONCATENATE("NavNode_",getCategoryLevelAsString($B204))),";",EscStr($J204),";"),CONCATENATE(";",EscStr(CONCATENATE("NavNode_",getCategoryLevelAsString($B204))),";",EscStr(U204),";")))</f>
        <v>;"NavNode_L3D_525485";"Snímače pojezdu";</v>
      </c>
      <c r="AO204" s="39" t="str">
        <f>IF(getCategoryLevelAsString($B204)="L0D_324785","",IF(V204="",CONCATENATE(";",EscStr(CONCATENATE("NavNode_",getCategoryLevelAsString($B204))),";",EscStr($J204),";"),CONCATENATE(";",EscStr(CONCATENATE("NavNode_",getCategoryLevelAsString($B204))),";",EscStr(V204),";")))</f>
        <v>;"NavNode_L3D_525485";"Calea / unghi traductor";</v>
      </c>
      <c r="AP204" s="39" t="str">
        <f>IF(getCategoryLevelAsString($B204)="L0D_324785","",IF(W204="",CONCATENATE(";",EscStr(CONCATENATE("NavNode_",getCategoryLevelAsString($B204))),";",EscStr($J204),";"),CONCATENATE(";",EscStr(CONCATENATE("NavNode_",getCategoryLevelAsString($B204))),";",EscStr(W204),";")))</f>
        <v>;"NavNode_L3D_525485";"Úthossz- / Szögelfordulás-mérők";</v>
      </c>
      <c r="AQ204" s="39" t="str">
        <f>IF(getCategoryLevelAsString($B204)="L0D_324785","",IF(X204="",CONCATENATE(";",EscStr(CONCATENATE("NavNode_",getCategoryLevelAsString($B204))),";",EscStr($J204),";"),CONCATENATE(";",EscStr(CONCATENATE("NavNode_",getCategoryLevelAsString($B204))),";",EscStr(X204),";")))</f>
        <v>;"NavNode_L3D_525485";"Snímače pojazdu";</v>
      </c>
      <c r="AR204" s="39" t="str">
        <f>IF(OR($A204&lt;&gt;"", $G204=""),"",CONCATENATE(";",EscStr(CONCATENATE("NavEntry_",getCategoryLevelAsString($B204))),";",EscStr(CONCATENATE($J204," Navigation Entry")),";",EscStr(CONCATENATE("cat-",getCategoryLevelAsString($B204))),";",EscStr(CONCATENATE("NavNode_",getCategoryLevelAsString($B204))),";"))</f>
        <v>;"NavEntry_L3D_525485";"Position / Angle Sensors Navigation Entry";"cat-L3D_525485";"NavNode_L3D_525485";</v>
      </c>
    </row>
    <row r="205" spans="1:44" s="34" customFormat="1" ht="15" x14ac:dyDescent="0.25">
      <c r="A205" s="25"/>
      <c r="B205" s="5"/>
      <c r="C205" s="5"/>
      <c r="D205" s="5" t="s">
        <v>105</v>
      </c>
      <c r="E205" s="5"/>
      <c r="F205" s="5"/>
      <c r="G205" s="5" t="s">
        <v>977</v>
      </c>
      <c r="H205" s="5" t="s">
        <v>1081</v>
      </c>
      <c r="I205" s="5" t="s">
        <v>1139</v>
      </c>
      <c r="J205" s="5" t="s">
        <v>106</v>
      </c>
      <c r="K205" s="5" t="s">
        <v>1312</v>
      </c>
      <c r="L205" s="5" t="s">
        <v>15173</v>
      </c>
      <c r="M205" s="5" t="s">
        <v>1764</v>
      </c>
      <c r="N205" s="5" t="s">
        <v>13991</v>
      </c>
      <c r="O205" s="5" t="s">
        <v>3487</v>
      </c>
      <c r="P205" s="5" t="s">
        <v>3488</v>
      </c>
      <c r="Q205" s="5" t="s">
        <v>3489</v>
      </c>
      <c r="R205" s="5" t="s">
        <v>3490</v>
      </c>
      <c r="S205" s="5" t="s">
        <v>3491</v>
      </c>
      <c r="T205" s="5" t="s">
        <v>3492</v>
      </c>
      <c r="U205" s="5" t="s">
        <v>3493</v>
      </c>
      <c r="V205" s="5" t="s">
        <v>3494</v>
      </c>
      <c r="W205" s="5" t="s">
        <v>3495</v>
      </c>
      <c r="X205" s="5" t="s">
        <v>3493</v>
      </c>
      <c r="Y205" s="39" t="str">
        <f>IF(OR($A205&lt;&gt;"", $G205=""),"",CONCATENATE(";",EscStr(CONCATENATE("NavNode_",getCategoryLevelAsString($B205))),";",EscStr($J205),";",IF($B205&lt;&gt;"","""MainCategoryNavNode""",EscStr(CONCATENATE("NavNode_",getSuperCategory($B205, getCategoryLevelAsNumber($B205))))),";"))</f>
        <v>;"NavNode_L3D_525486";"Rotary Encoders";"NavNode_L2D_379612";</v>
      </c>
      <c r="Z205" s="39" t="str">
        <f>IF(getCategoryLevelAsString($B205)="L0D_324785","",IF(G205="",CONCATENATE(";",EscStr(CONCATENATE("NavNode_",getCategoryLevelAsString($B205))),";",EscStr($J205),";"),CONCATENATE(";",EscStr(CONCATENATE("NavNode_",getCategoryLevelAsString($B205))),";",EscStr(G205),";")))</f>
        <v>;"NavNode_L3D_525486";"Drehgeber";</v>
      </c>
      <c r="AA205" s="39" t="str">
        <f>IF(getCategoryLevelAsString($B205)="L0D_324785","",IF(H205="",CONCATENATE(";",EscStr(CONCATENATE("NavNode_",getCategoryLevelAsString($B205))),";",EscStr($J205),";"),CONCATENATE(";",EscStr(CONCATENATE("NavNode_",getCategoryLevelAsString($B205))),";",EscStr(H205),";")))</f>
        <v>;"NavNode_L3D_525486";"Codeurs incrémentaux";</v>
      </c>
      <c r="AB205" s="39" t="str">
        <f>IF(getCategoryLevelAsString($B205)="L0D_324785","",IF(I205="",CONCATENATE(";",EscStr(CONCATENATE("NavNode_",getCategoryLevelAsString($B205))),";",EscStr($J205),";"),CONCATENATE(";",EscStr(CONCATENATE("NavNode_",getCategoryLevelAsString($B205))),";",EscStr(I205),";")))</f>
        <v>;"NavNode_L3D_525486";"Trasduttori di posizione angolare";</v>
      </c>
      <c r="AC205" s="39" t="str">
        <f>IF(getCategoryLevelAsString($B205)="L0D_324785","",IF(J205="",CONCATENATE(";",EscStr(CONCATENATE("NavNode_",getCategoryLevelAsString($B205))),";",EscStr($J205),";"),CONCATENATE(";",EscStr(CONCATENATE("NavNode_",getCategoryLevelAsString($B205))),";",EscStr(J205),";")))</f>
        <v>;"NavNode_L3D_525486";"Rotary Encoders";</v>
      </c>
      <c r="AD205" s="39" t="str">
        <f>IF(getCategoryLevelAsString($B205)="L0D_324785","",IF(K205="",CONCATENATE(";",EscStr(CONCATENATE("NavNode_",getCategoryLevelAsString($B205))),";",EscStr($J205),";"),CONCATENATE(";",EscStr(CONCATENATE("NavNode_",getCategoryLevelAsString($B205))),";",EscStr(K205),";")))</f>
        <v>;"NavNode_L3D_525486";"Drejeencodere";</v>
      </c>
      <c r="AE205" s="39" t="str">
        <f>IF(getCategoryLevelAsString($B205)="L0D_324785","",IF(L205="",CONCATENATE(";",EscStr(CONCATENATE("NavNode_",getCategoryLevelAsString($B205))),";",EscStr($J205),";"),CONCATENATE(";",EscStr(CONCATENATE("NavNode_",getCategoryLevelAsString($B205))),";",EscStr(L205),";")))</f>
        <v>;"NavNode_L3D_525486";"Enkoderiai";</v>
      </c>
      <c r="AF205" s="39" t="str">
        <f>IF(getCategoryLevelAsString($B205)="L0D_324785","",IF(M205="",CONCATENATE(";",EscStr(CONCATENATE("NavNode_",getCategoryLevelAsString($B205))),";",EscStr($J205),";"),CONCATENATE(";",EscStr(CONCATENATE("NavNode_",getCategoryLevelAsString($B205))),";",EscStr(M205),";")))</f>
        <v>;"NavNode_L3D_525486";"Rotasjonsgivere";</v>
      </c>
      <c r="AG205" s="39" t="str">
        <f>IF(getCategoryLevelAsString($B205)="L0D_324785","",IF(N205="",CONCATENATE(";",EscStr(CONCATENATE("NavNode_",getCategoryLevelAsString($B205))),";",EscStr($J205),";"),CONCATENATE(";",EscStr(CONCATENATE("NavNode_",getCategoryLevelAsString($B205))),";",EscStr(N205),";")))</f>
        <v>;"NavNode_L3D_525486";"Rotationsgivare";</v>
      </c>
      <c r="AH205" s="39" t="str">
        <f>IF(getCategoryLevelAsString($B205)="L0D_324785","",IF(O205="",CONCATENATE(";",EscStr(CONCATENATE("NavNode_",getCategoryLevelAsString($B205))),";",EscStr($J205),";"),CONCATENATE(";",EscStr(CONCATENATE("NavNode_",getCategoryLevelAsString($B205))),";",EscStr(O205),";")))</f>
        <v>;"NavNode_L3D_525486";"Pöörlevad enkoodrid";</v>
      </c>
      <c r="AI205" s="39" t="str">
        <f>IF(getCategoryLevelAsString($B205)="L0D_324785","",IF(P205="",CONCATENATE(";",EscStr(CONCATENATE("NavNode_",getCategoryLevelAsString($B205))),";",EscStr($J205),";"),CONCATENATE(";",EscStr(CONCATENATE("NavNode_",getCategoryLevelAsString($B205))),";",EscStr(P205),";")))</f>
        <v>;"NavNode_L3D_525486";"Kiertoanturit";</v>
      </c>
      <c r="AJ205" s="39" t="str">
        <f>IF(getCategoryLevelAsString($B205)="L0D_324785","",IF(Q205="",CONCATENATE(";",EscStr(CONCATENATE("NavNode_",getCategoryLevelAsString($B205))),";",EscStr($J205),";"),CONCATENATE(";",EscStr(CONCATENATE("NavNode_",getCategoryLevelAsString($B205))),";",EscStr(Q205),";")))</f>
        <v>;"NavNode_L3D_525486";"Rotācijas devēji";</v>
      </c>
      <c r="AK205" s="39" t="str">
        <f>IF(getCategoryLevelAsString($B205)="L0D_324785","",IF(R205="",CONCATENATE(";",EscStr(CONCATENATE("NavNode_",getCategoryLevelAsString($B205))),";",EscStr($J205),";"),CONCATENATE(";",EscStr(CONCATENATE("NavNode_",getCategoryLevelAsString($B205))),";",EscStr(R205),";")))</f>
        <v>;"NavNode_L3D_525486";"Rotatie encoders";</v>
      </c>
      <c r="AL205" s="39" t="str">
        <f>IF(getCategoryLevelAsString($B205)="L0D_324785","",IF(S205="",CONCATENATE(";",EscStr(CONCATENATE("NavNode_",getCategoryLevelAsString($B205))),";",EscStr($J205),";"),CONCATENATE(";",EscStr(CONCATENATE("NavNode_",getCategoryLevelAsString($B205))),";",EscStr(S205),";")))</f>
        <v>;"NavNode_L3D_525486";"Enkodery";</v>
      </c>
      <c r="AM205" s="39" t="str">
        <f>IF(getCategoryLevelAsString($B205)="L0D_324785","",IF(T205="",CONCATENATE(";",EscStr(CONCATENATE("NavNode_",getCategoryLevelAsString($B205))),";",EscStr($J205),";"),CONCATENATE(";",EscStr(CONCATENATE("NavNode_",getCategoryLevelAsString($B205))),";",EscStr(T205),";")))</f>
        <v>;"NavNode_L3D_525486";"Датчики вращения";</v>
      </c>
      <c r="AN205" s="39" t="str">
        <f>IF(getCategoryLevelAsString($B205)="L0D_324785","",IF(U205="",CONCATENATE(";",EscStr(CONCATENATE("NavNode_",getCategoryLevelAsString($B205))),";",EscStr($J205),";"),CONCATENATE(";",EscStr(CONCATENATE("NavNode_",getCategoryLevelAsString($B205))),";",EscStr(U205),";")))</f>
        <v>;"NavNode_L3D_525486";"Enkodéry";</v>
      </c>
      <c r="AO205" s="39" t="str">
        <f>IF(getCategoryLevelAsString($B205)="L0D_324785","",IF(V205="",CONCATENATE(";",EscStr(CONCATENATE("NavNode_",getCategoryLevelAsString($B205))),";",EscStr($J205),";"),CONCATENATE(";",EscStr(CONCATENATE("NavNode_",getCategoryLevelAsString($B205))),";",EscStr(V205),";")))</f>
        <v>;"NavNode_L3D_525486";"Codificator rotativ";</v>
      </c>
      <c r="AP205" s="39" t="str">
        <f>IF(getCategoryLevelAsString($B205)="L0D_324785","",IF(W205="",CONCATENATE(";",EscStr(CONCATENATE("NavNode_",getCategoryLevelAsString($B205))),";",EscStr($J205),";"),CONCATENATE(";",EscStr(CONCATENATE("NavNode_",getCategoryLevelAsString($B205))),";",EscStr(W205),";")))</f>
        <v>;"NavNode_L3D_525486";"Forgásjeladó";</v>
      </c>
      <c r="AQ205" s="39" t="str">
        <f>IF(getCategoryLevelAsString($B205)="L0D_324785","",IF(X205="",CONCATENATE(";",EscStr(CONCATENATE("NavNode_",getCategoryLevelAsString($B205))),";",EscStr($J205),";"),CONCATENATE(";",EscStr(CONCATENATE("NavNode_",getCategoryLevelAsString($B205))),";",EscStr(X205),";")))</f>
        <v>;"NavNode_L3D_525486";"Enkodéry";</v>
      </c>
      <c r="AR205" s="39" t="str">
        <f>IF(OR($A205&lt;&gt;"", $G205=""),"",CONCATENATE(";",EscStr(CONCATENATE("NavEntry_",getCategoryLevelAsString($B205))),";",EscStr(CONCATENATE($J205," Navigation Entry")),";",EscStr(CONCATENATE("cat-",getCategoryLevelAsString($B205))),";",EscStr(CONCATENATE("NavNode_",getCategoryLevelAsString($B205))),";"))</f>
        <v>;"NavEntry_L3D_525486";"Rotary Encoders Navigation Entry";"cat-L3D_525486";"NavNode_L3D_525486";</v>
      </c>
    </row>
    <row r="206" spans="1:44" s="34" customFormat="1" ht="15" x14ac:dyDescent="0.25">
      <c r="A206" s="25"/>
      <c r="B206" s="5"/>
      <c r="C206" s="5" t="s">
        <v>38</v>
      </c>
      <c r="D206" s="5"/>
      <c r="E206" s="5"/>
      <c r="F206" s="5"/>
      <c r="G206" s="5" t="s">
        <v>342</v>
      </c>
      <c r="H206" s="5" t="s">
        <v>343</v>
      </c>
      <c r="I206" s="5" t="s">
        <v>344</v>
      </c>
      <c r="J206" s="5" t="s">
        <v>39</v>
      </c>
      <c r="K206" s="5" t="s">
        <v>1313</v>
      </c>
      <c r="L206" s="5" t="s">
        <v>15174</v>
      </c>
      <c r="M206" s="5" t="s">
        <v>1765</v>
      </c>
      <c r="N206" s="5" t="s">
        <v>1978</v>
      </c>
      <c r="O206" s="5" t="s">
        <v>3496</v>
      </c>
      <c r="P206" s="5" t="s">
        <v>14184</v>
      </c>
      <c r="Q206" s="5" t="s">
        <v>3498</v>
      </c>
      <c r="R206" s="5" t="s">
        <v>3499</v>
      </c>
      <c r="S206" s="5" t="s">
        <v>3500</v>
      </c>
      <c r="T206" s="5" t="s">
        <v>3501</v>
      </c>
      <c r="U206" s="5" t="s">
        <v>3502</v>
      </c>
      <c r="V206" s="5" t="s">
        <v>3503</v>
      </c>
      <c r="W206" s="5" t="s">
        <v>3504</v>
      </c>
      <c r="X206" s="5" t="s">
        <v>14928</v>
      </c>
      <c r="Y206" s="39" t="str">
        <f>IF(OR($A206&lt;&gt;"", $G206=""),"",CONCATENATE(";",EscStr(CONCATENATE("NavNode_",getCategoryLevelAsString($B206))),";",EscStr($J206),";",IF($B206&lt;&gt;"","""MainCategoryNavNode""",EscStr(CONCATENATE("NavNode_",getSuperCategory($B206, getCategoryLevelAsNumber($B206))))),";"))</f>
        <v>;"NavNode_L2D_379613";"Switching / Metering &amp; Counting / Monitoring / Command / Signalling Devices";"NavNode_Automation";</v>
      </c>
      <c r="Z206" s="39" t="str">
        <f>IF(getCategoryLevelAsString($B206)="L0D_324785","",IF(G206="",CONCATENATE(";",EscStr(CONCATENATE("NavNode_",getCategoryLevelAsString($B206))),";",EscStr($J206),";"),CONCATENATE(";",EscStr(CONCATENATE("NavNode_",getCategoryLevelAsString($B206))),";",EscStr(G206),";")))</f>
        <v>;"NavNode_L2D_379613";"Schalt- / Mess- und Zähl- / Überwachungs- / Befehls- / Meldegeräte";</v>
      </c>
      <c r="AA206" s="39" t="str">
        <f>IF(getCategoryLevelAsString($B206)="L0D_324785","",IF(H206="",CONCATENATE(";",EscStr(CONCATENATE("NavNode_",getCategoryLevelAsString($B206))),";",EscStr($J206),";"),CONCATENATE(";",EscStr(CONCATENATE("NavNode_",getCategoryLevelAsString($B206))),";",EscStr(H206),";")))</f>
        <v>;"NavNode_L2D_379613";"Commutation / Mesure et comptage / Surveillance / Commande / Appareils de signalisation";</v>
      </c>
      <c r="AB206" s="39" t="str">
        <f>IF(getCategoryLevelAsString($B206)="L0D_324785","",IF(I206="",CONCATENATE(";",EscStr(CONCATENATE("NavNode_",getCategoryLevelAsString($B206))),";",EscStr($J206),";"),CONCATENATE(";",EscStr(CONCATENATE("NavNode_",getCategoryLevelAsString($B206))),";",EscStr(I206),";")))</f>
        <v>;"NavNode_L2D_379613";"Dispositivi di commutazione / misurazione e conteggio / monitoraggio / comando / segnalazione";</v>
      </c>
      <c r="AC206" s="39" t="str">
        <f>IF(getCategoryLevelAsString($B206)="L0D_324785","",IF(J206="",CONCATENATE(";",EscStr(CONCATENATE("NavNode_",getCategoryLevelAsString($B206))),";",EscStr($J206),";"),CONCATENATE(";",EscStr(CONCATENATE("NavNode_",getCategoryLevelAsString($B206))),";",EscStr(J206),";")))</f>
        <v>;"NavNode_L2D_379613";"Switching / Metering &amp; Counting / Monitoring / Command / Signalling Devices";</v>
      </c>
      <c r="AD206" s="39" t="str">
        <f>IF(getCategoryLevelAsString($B206)="L0D_324785","",IF(K206="",CONCATENATE(";",EscStr(CONCATENATE("NavNode_",getCategoryLevelAsString($B206))),";",EscStr($J206),";"),CONCATENATE(";",EscStr(CONCATENATE("NavNode_",getCategoryLevelAsString($B206))),";",EscStr(K206),";")))</f>
        <v>;"NavNode_L2D_379613";"Afbryder-/måle- &amp; tælle-/overvågnings-/kommando-/signalenheder";</v>
      </c>
      <c r="AE206" s="39" t="str">
        <f>IF(getCategoryLevelAsString($B206)="L0D_324785","",IF(L206="",CONCATENATE(";",EscStr(CONCATENATE("NavNode_",getCategoryLevelAsString($B206))),";",EscStr($J206),";"),CONCATENATE(";",EscStr(CONCATENATE("NavNode_",getCategoryLevelAsString($B206))),";",EscStr(L206),";")))</f>
        <v>;"NavNode_L2D_379613";"Kontaktoriai / Jungikliai / Laiko relės / Funkcinės relės / Saugos komponentai";</v>
      </c>
      <c r="AF206" s="39" t="str">
        <f>IF(getCategoryLevelAsString($B206)="L0D_324785","",IF(M206="",CONCATENATE(";",EscStr(CONCATENATE("NavNode_",getCategoryLevelAsString($B206))),";",EscStr($J206),";"),CONCATENATE(";",EscStr(CONCATENATE("NavNode_",getCategoryLevelAsString($B206))),";",EscStr(M206),";")))</f>
        <v>;"NavNode_L2D_379613";"Bryter- / måle- og telle- / overvåknings- / kommando- / signalenheter";</v>
      </c>
      <c r="AG206" s="39" t="str">
        <f>IF(getCategoryLevelAsString($B206)="L0D_324785","",IF(N206="",CONCATENATE(";",EscStr(CONCATENATE("NavNode_",getCategoryLevelAsString($B206))),";",EscStr($J206),";"),CONCATENATE(";",EscStr(CONCATENATE("NavNode_",getCategoryLevelAsString($B206))),";",EscStr(N206),";")))</f>
        <v>;"NavNode_L2D_379613";"Enheter för växling/mätning och räkning/övervakning/styrning/signalering";</v>
      </c>
      <c r="AH206" s="39" t="str">
        <f>IF(getCategoryLevelAsString($B206)="L0D_324785","",IF(O206="",CONCATENATE(";",EscStr(CONCATENATE("NavNode_",getCategoryLevelAsString($B206))),";",EscStr($J206),";"),CONCATENATE(";",EscStr(CONCATENATE("NavNode_",getCategoryLevelAsString($B206))),";",EscStr(O206),";")))</f>
        <v>;"NavNode_L2D_379613";"Lülitid / Arvestid / Seireseadmed / Juhtseadmed / Indikaatorid";</v>
      </c>
      <c r="AI206" s="39" t="str">
        <f>IF(getCategoryLevelAsString($B206)="L0D_324785","",IF(P206="",CONCATENATE(";",EscStr(CONCATENATE("NavNode_",getCategoryLevelAsString($B206))),";",EscStr($J206),";"),CONCATENATE(";",EscStr(CONCATENATE("NavNode_",getCategoryLevelAsString($B206))),";",EscStr(P206),";")))</f>
        <v>;"NavNode_L2D_379613";"Kytkentä- / annostelu- &amp; laskenta- / seuranta- / komento- / merkinantolaitteet";</v>
      </c>
      <c r="AJ206" s="39" t="str">
        <f>IF(getCategoryLevelAsString($B206)="L0D_324785","",IF(Q206="",CONCATENATE(";",EscStr(CONCATENATE("NavNode_",getCategoryLevelAsString($B206))),";",EscStr($J206),";"),CONCATENATE(";",EscStr(CONCATENATE("NavNode_",getCategoryLevelAsString($B206))),";",EscStr(Q206),";")))</f>
        <v>;"NavNode_L2D_379613";"Komutācijas / Mērīšanas un uzskaites / Uzraudzības /  Vadības / Indikācijas ierīces";</v>
      </c>
      <c r="AK206" s="39" t="str">
        <f>IF(getCategoryLevelAsString($B206)="L0D_324785","",IF(R206="",CONCATENATE(";",EscStr(CONCATENATE("NavNode_",getCategoryLevelAsString($B206))),";",EscStr($J206),";"),CONCATENATE(";",EscStr(CONCATENATE("NavNode_",getCategoryLevelAsString($B206))),";",EscStr(R206),";")))</f>
        <v>;"NavNode_L2D_379613";"Schakelen / meten en tellen / uitlezen / besturen / signaleren";</v>
      </c>
      <c r="AL206" s="39" t="str">
        <f>IF(getCategoryLevelAsString($B206)="L0D_324785","",IF(S206="",CONCATENATE(";",EscStr(CONCATENATE("NavNode_",getCategoryLevelAsString($B206))),";",EscStr($J206),";"),CONCATENATE(";",EscStr(CONCATENATE("NavNode_",getCategoryLevelAsString($B206))),";",EscStr(S206),";")))</f>
        <v>;"NavNode_L2D_379613";"Przełączanie / Pomiary i zliczanie / Monitorowanie /Sterowanie / Urządzenia sygnalizujące";</v>
      </c>
      <c r="AM206" s="39" t="str">
        <f>IF(getCategoryLevelAsString($B206)="L0D_324785","",IF(T206="",CONCATENATE(";",EscStr(CONCATENATE("NavNode_",getCategoryLevelAsString($B206))),";",EscStr($J206),";"),CONCATENATE(";",EscStr(CONCATENATE("NavNode_",getCategoryLevelAsString($B206))),";",EscStr(T206),";")))</f>
        <v>;"NavNode_L2D_379613";"Переключение / Измерительные &amp; Контроль / Мониторинг / Команда / Сигнальные устройства";</v>
      </c>
      <c r="AN206" s="39" t="str">
        <f>IF(getCategoryLevelAsString($B206)="L0D_324785","",IF(U206="",CONCATENATE(";",EscStr(CONCATENATE("NavNode_",getCategoryLevelAsString($B206))),";",EscStr($J206),";"),CONCATENATE(";",EscStr(CONCATENATE("NavNode_",getCategoryLevelAsString($B206))),";",EscStr(U206),";")))</f>
        <v>;"NavNode_L2D_379613";"Spínací / Měřicí a počítací / Monitorováncí / Příkazové / Signalizační přístroje";</v>
      </c>
      <c r="AO206" s="39" t="str">
        <f>IF(getCategoryLevelAsString($B206)="L0D_324785","",IF(V206="",CONCATENATE(";",EscStr(CONCATENATE("NavNode_",getCategoryLevelAsString($B206))),";",EscStr($J206),";"),CONCATENATE(";",EscStr(CONCATENATE("NavNode_",getCategoryLevelAsString($B206))),";",EscStr(V206),";")))</f>
        <v>;"NavNode_L2D_379613";"Comutare / de măsurare şi numărătoare / monitorizare / comanda / semnalizare";</v>
      </c>
      <c r="AP206" s="39" t="str">
        <f>IF(getCategoryLevelAsString($B206)="L0D_324785","",IF(W206="",CONCATENATE(";",EscStr(CONCATENATE("NavNode_",getCategoryLevelAsString($B206))),";",EscStr($J206),";"),CONCATENATE(";",EscStr(CONCATENATE("NavNode_",getCategoryLevelAsString($B206))),";",EscStr(W206),";")))</f>
        <v>;"NavNode_L2D_379613";"Kapcsoló- / Mérő- és számláló- / Felügyeleti- / Parancsbeviteli- / Jelzőeszközök";</v>
      </c>
      <c r="AQ206" s="39" t="str">
        <f>IF(getCategoryLevelAsString($B206)="L0D_324785","",IF(X206="",CONCATENATE(";",EscStr(CONCATENATE("NavNode_",getCategoryLevelAsString($B206))),";",EscStr($J206),";"),CONCATENATE(";",EscStr(CONCATENATE("NavNode_",getCategoryLevelAsString($B206))),";",EscStr(X206),";")))</f>
        <v>;"NavNode_L2D_379613";"Spínacie / Meracie a počítacie / Monitorovacie / Príkazové / Signalizačné prístroje";</v>
      </c>
      <c r="AR206" s="39" t="str">
        <f>IF(OR($A206&lt;&gt;"", $G206=""),"",CONCATENATE(";",EscStr(CONCATENATE("NavEntry_",getCategoryLevelAsString($B206))),";",EscStr(CONCATENATE($J206," Navigation Entry")),";",EscStr(CONCATENATE("cat-",getCategoryLevelAsString($B206))),";",EscStr(CONCATENATE("NavNode_",getCategoryLevelAsString($B206))),";"))</f>
        <v>;"NavEntry_L2D_379613";"Switching / Metering &amp; Counting / Monitoring / Command / Signalling Devices Navigation Entry";"cat-L2D_379613";"NavNode_L2D_379613";</v>
      </c>
    </row>
    <row r="207" spans="1:44" s="34" customFormat="1" ht="15" x14ac:dyDescent="0.25">
      <c r="A207" s="25"/>
      <c r="B207" s="5"/>
      <c r="C207" s="5"/>
      <c r="D207" s="5" t="s">
        <v>125</v>
      </c>
      <c r="E207" s="5"/>
      <c r="F207" s="5"/>
      <c r="G207" s="5" t="s">
        <v>978</v>
      </c>
      <c r="H207" s="5" t="s">
        <v>1082</v>
      </c>
      <c r="I207" s="5" t="s">
        <v>1140</v>
      </c>
      <c r="J207" s="5" t="s">
        <v>126</v>
      </c>
      <c r="K207" s="5" t="s">
        <v>1314</v>
      </c>
      <c r="L207" s="5" t="s">
        <v>1549</v>
      </c>
      <c r="M207" s="5" t="s">
        <v>1766</v>
      </c>
      <c r="N207" s="5" t="s">
        <v>1979</v>
      </c>
      <c r="O207" s="5" t="s">
        <v>3505</v>
      </c>
      <c r="P207" s="5" t="s">
        <v>3506</v>
      </c>
      <c r="Q207" s="5" t="s">
        <v>3507</v>
      </c>
      <c r="R207" s="5" t="s">
        <v>3508</v>
      </c>
      <c r="S207" s="5" t="s">
        <v>3509</v>
      </c>
      <c r="T207" s="5" t="s">
        <v>3510</v>
      </c>
      <c r="U207" s="5" t="s">
        <v>3511</v>
      </c>
      <c r="V207" s="5" t="s">
        <v>3512</v>
      </c>
      <c r="W207" s="5" t="s">
        <v>3513</v>
      </c>
      <c r="X207" s="5" t="s">
        <v>3511</v>
      </c>
      <c r="Y207" s="39" t="str">
        <f>IF(OR($A207&lt;&gt;"", $G207=""),"",CONCATENATE(";",EscStr(CONCATENATE("NavNode_",getCategoryLevelAsString($B207))),";",EscStr($J207),";",IF($B207&lt;&gt;"","""MainCategoryNavNode""",EscStr(CONCATENATE("NavNode_",getSuperCategory($B207, getCategoryLevelAsNumber($B207))))),";"))</f>
        <v>;"NavNode_L3D_525501";"Time Lag Relays";"NavNode_L2D_379613";</v>
      </c>
      <c r="Z207" s="39" t="str">
        <f>IF(getCategoryLevelAsString($B207)="L0D_324785","",IF(G207="",CONCATENATE(";",EscStr(CONCATENATE("NavNode_",getCategoryLevelAsString($B207))),";",EscStr($J207),";"),CONCATENATE(";",EscStr(CONCATENATE("NavNode_",getCategoryLevelAsString($B207))),";",EscStr(G207),";")))</f>
        <v>;"NavNode_L3D_525501";"Zeitrelais";</v>
      </c>
      <c r="AA207" s="39" t="str">
        <f>IF(getCategoryLevelAsString($B207)="L0D_324785","",IF(H207="",CONCATENATE(";",EscStr(CONCATENATE("NavNode_",getCategoryLevelAsString($B207))),";",EscStr($J207),";"),CONCATENATE(";",EscStr(CONCATENATE("NavNode_",getCategoryLevelAsString($B207))),";",EscStr(H207),";")))</f>
        <v>;"NavNode_L3D_525501";"Relais temporisés";</v>
      </c>
      <c r="AB207" s="39" t="str">
        <f>IF(getCategoryLevelAsString($B207)="L0D_324785","",IF(I207="",CONCATENATE(";",EscStr(CONCATENATE("NavNode_",getCategoryLevelAsString($B207))),";",EscStr($J207),";"),CONCATENATE(";",EscStr(CONCATENATE("NavNode_",getCategoryLevelAsString($B207))),";",EscStr(I207),";")))</f>
        <v>;"NavNode_L3D_525501";"Relè a tempo";</v>
      </c>
      <c r="AC207" s="39" t="str">
        <f>IF(getCategoryLevelAsString($B207)="L0D_324785","",IF(J207="",CONCATENATE(";",EscStr(CONCATENATE("NavNode_",getCategoryLevelAsString($B207))),";",EscStr($J207),";"),CONCATENATE(";",EscStr(CONCATENATE("NavNode_",getCategoryLevelAsString($B207))),";",EscStr(J207),";")))</f>
        <v>;"NavNode_L3D_525501";"Time Lag Relays";</v>
      </c>
      <c r="AD207" s="39" t="str">
        <f>IF(getCategoryLevelAsString($B207)="L0D_324785","",IF(K207="",CONCATENATE(";",EscStr(CONCATENATE("NavNode_",getCategoryLevelAsString($B207))),";",EscStr($J207),";"),CONCATENATE(";",EscStr(CONCATENATE("NavNode_",getCategoryLevelAsString($B207))),";",EscStr(K207),";")))</f>
        <v>;"NavNode_L3D_525501";"Tidsrelæer";</v>
      </c>
      <c r="AE207" s="39" t="str">
        <f>IF(getCategoryLevelAsString($B207)="L0D_324785","",IF(L207="",CONCATENATE(";",EscStr(CONCATENATE("NavNode_",getCategoryLevelAsString($B207))),";",EscStr($J207),";"),CONCATENATE(";",EscStr(CONCATENATE("NavNode_",getCategoryLevelAsString($B207))),";",EscStr(L207),";")))</f>
        <v>;"NavNode_L3D_525501";"Laiko uždelsimo relės";</v>
      </c>
      <c r="AF207" s="39" t="str">
        <f>IF(getCategoryLevelAsString($B207)="L0D_324785","",IF(M207="",CONCATENATE(";",EscStr(CONCATENATE("NavNode_",getCategoryLevelAsString($B207))),";",EscStr($J207),";"),CONCATENATE(";",EscStr(CONCATENATE("NavNode_",getCategoryLevelAsString($B207))),";",EscStr(M207),";")))</f>
        <v>;"NavNode_L3D_525501";"Tidsreléer";</v>
      </c>
      <c r="AG207" s="39" t="str">
        <f>IF(getCategoryLevelAsString($B207)="L0D_324785","",IF(N207="",CONCATENATE(";",EscStr(CONCATENATE("NavNode_",getCategoryLevelAsString($B207))),";",EscStr($J207),";"),CONCATENATE(";",EscStr(CONCATENATE("NavNode_",getCategoryLevelAsString($B207))),";",EscStr(N207),";")))</f>
        <v>;"NavNode_L3D_525501";"Tidsfördröjningsreläer";</v>
      </c>
      <c r="AH207" s="39" t="str">
        <f>IF(getCategoryLevelAsString($B207)="L0D_324785","",IF(O207="",CONCATENATE(";",EscStr(CONCATENATE("NavNode_",getCategoryLevelAsString($B207))),";",EscStr($J207),";"),CONCATENATE(";",EscStr(CONCATENATE("NavNode_",getCategoryLevelAsString($B207))),";",EscStr(O207),";")))</f>
        <v>;"NavNode_L3D_525501";"Viitereleed";</v>
      </c>
      <c r="AI207" s="39" t="str">
        <f>IF(getCategoryLevelAsString($B207)="L0D_324785","",IF(P207="",CONCATENATE(";",EscStr(CONCATENATE("NavNode_",getCategoryLevelAsString($B207))),";",EscStr($J207),";"),CONCATENATE(";",EscStr(CONCATENATE("NavNode_",getCategoryLevelAsString($B207))),";",EscStr(P207),";")))</f>
        <v>;"NavNode_L3D_525501";"Viivereleet";</v>
      </c>
      <c r="AJ207" s="39" t="str">
        <f>IF(getCategoryLevelAsString($B207)="L0D_324785","",IF(Q207="",CONCATENATE(";",EscStr(CONCATENATE("NavNode_",getCategoryLevelAsString($B207))),";",EscStr($J207),";"),CONCATENATE(";",EscStr(CONCATENATE("NavNode_",getCategoryLevelAsString($B207))),";",EscStr(Q207),";")))</f>
        <v>;"NavNode_L3D_525501";"Laika releji";</v>
      </c>
      <c r="AK207" s="39" t="str">
        <f>IF(getCategoryLevelAsString($B207)="L0D_324785","",IF(R207="",CONCATENATE(";",EscStr(CONCATENATE("NavNode_",getCategoryLevelAsString($B207))),";",EscStr($J207),";"),CONCATENATE(";",EscStr(CONCATENATE("NavNode_",getCategoryLevelAsString($B207))),";",EscStr(R207),";")))</f>
        <v>;"NavNode_L3D_525501";"Vertragingsrelais";</v>
      </c>
      <c r="AL207" s="39" t="str">
        <f>IF(getCategoryLevelAsString($B207)="L0D_324785","",IF(S207="",CONCATENATE(";",EscStr(CONCATENATE("NavNode_",getCategoryLevelAsString($B207))),";",EscStr($J207),";"),CONCATENATE(";",EscStr(CONCATENATE("NavNode_",getCategoryLevelAsString($B207))),";",EscStr(S207),";")))</f>
        <v>;"NavNode_L3D_525501";"Przekaźniki czasowe";</v>
      </c>
      <c r="AM207" s="39" t="str">
        <f>IF(getCategoryLevelAsString($B207)="L0D_324785","",IF(T207="",CONCATENATE(";",EscStr(CONCATENATE("NavNode_",getCategoryLevelAsString($B207))),";",EscStr($J207),";"),CONCATENATE(";",EscStr(CONCATENATE("NavNode_",getCategoryLevelAsString($B207))),";",EscStr(T207),";")))</f>
        <v>;"NavNode_L3D_525501";"Реле задержки времени";</v>
      </c>
      <c r="AN207" s="39" t="str">
        <f>IF(getCategoryLevelAsString($B207)="L0D_324785","",IF(U207="",CONCATENATE(";",EscStr(CONCATENATE("NavNode_",getCategoryLevelAsString($B207))),";",EscStr($J207),";"),CONCATENATE(";",EscStr(CONCATENATE("NavNode_",getCategoryLevelAsString($B207))),";",EscStr(U207),";")))</f>
        <v>;"NavNode_L3D_525501";"Časové relé";</v>
      </c>
      <c r="AO207" s="39" t="str">
        <f>IF(getCategoryLevelAsString($B207)="L0D_324785","",IF(V207="",CONCATENATE(";",EscStr(CONCATENATE("NavNode_",getCategoryLevelAsString($B207))),";",EscStr($J207),";"),CONCATENATE(";",EscStr(CONCATENATE("NavNode_",getCategoryLevelAsString($B207))),";",EscStr(V207),";")))</f>
        <v>;"NavNode_L3D_525501";"Releu de timp";</v>
      </c>
      <c r="AP207" s="39" t="str">
        <f>IF(getCategoryLevelAsString($B207)="L0D_324785","",IF(W207="",CONCATENATE(";",EscStr(CONCATENATE("NavNode_",getCategoryLevelAsString($B207))),";",EscStr($J207),";"),CONCATENATE(";",EscStr(CONCATENATE("NavNode_",getCategoryLevelAsString($B207))),";",EscStr(W207),";")))</f>
        <v>;"NavNode_L3D_525501";"Időrelék";</v>
      </c>
      <c r="AQ207" s="39" t="str">
        <f>IF(getCategoryLevelAsString($B207)="L0D_324785","",IF(X207="",CONCATENATE(";",EscStr(CONCATENATE("NavNode_",getCategoryLevelAsString($B207))),";",EscStr($J207),";"),CONCATENATE(";",EscStr(CONCATENATE("NavNode_",getCategoryLevelAsString($B207))),";",EscStr(X207),";")))</f>
        <v>;"NavNode_L3D_525501";"Časové relé";</v>
      </c>
      <c r="AR207" s="39" t="str">
        <f>IF(OR($A207&lt;&gt;"", $G207=""),"",CONCATENATE(";",EscStr(CONCATENATE("NavEntry_",getCategoryLevelAsString($B207))),";",EscStr(CONCATENATE($J207," Navigation Entry")),";",EscStr(CONCATENATE("cat-",getCategoryLevelAsString($B207))),";",EscStr(CONCATENATE("NavNode_",getCategoryLevelAsString($B207))),";"))</f>
        <v>;"NavEntry_L3D_525501";"Time Lag Relays Navigation Entry";"cat-L3D_525501";"NavNode_L3D_525501";</v>
      </c>
    </row>
    <row r="208" spans="1:44" s="34" customFormat="1" ht="15" x14ac:dyDescent="0.25">
      <c r="A208" s="25"/>
      <c r="B208" s="5"/>
      <c r="C208" s="5"/>
      <c r="D208" s="5" t="s">
        <v>113</v>
      </c>
      <c r="E208" s="5"/>
      <c r="F208" s="5"/>
      <c r="G208" s="5" t="s">
        <v>345</v>
      </c>
      <c r="H208" s="5" t="s">
        <v>346</v>
      </c>
      <c r="I208" s="5" t="s">
        <v>347</v>
      </c>
      <c r="J208" s="5" t="s">
        <v>114</v>
      </c>
      <c r="K208" s="5" t="s">
        <v>1315</v>
      </c>
      <c r="L208" s="5" t="s">
        <v>15175</v>
      </c>
      <c r="M208" s="5" t="s">
        <v>1767</v>
      </c>
      <c r="N208" s="5" t="s">
        <v>1980</v>
      </c>
      <c r="O208" s="5" t="s">
        <v>3514</v>
      </c>
      <c r="P208" s="5" t="s">
        <v>3515</v>
      </c>
      <c r="Q208" s="5" t="s">
        <v>3516</v>
      </c>
      <c r="R208" s="5" t="s">
        <v>3517</v>
      </c>
      <c r="S208" s="5" t="s">
        <v>3518</v>
      </c>
      <c r="T208" s="5" t="s">
        <v>3519</v>
      </c>
      <c r="U208" s="5" t="s">
        <v>3520</v>
      </c>
      <c r="V208" s="5" t="s">
        <v>3521</v>
      </c>
      <c r="W208" s="5" t="s">
        <v>3522</v>
      </c>
      <c r="X208" s="5" t="s">
        <v>3520</v>
      </c>
      <c r="Y208" s="39" t="str">
        <f>IF(OR($A208&lt;&gt;"", $G208=""),"",CONCATENATE(";",EscStr(CONCATENATE("NavNode_",getCategoryLevelAsString($B208))),";",EscStr($J208),";",IF($B208&lt;&gt;"","""MainCategoryNavNode""",EscStr(CONCATENATE("NavNode_",getSuperCategory($B208, getCategoryLevelAsNumber($B208))))),";"))</f>
        <v>;"NavNode_L3D_525502";"Clock Relays";"NavNode_L2D_379613";</v>
      </c>
      <c r="Z208" s="39" t="str">
        <f>IF(getCategoryLevelAsString($B208)="L0D_324785","",IF(G208="",CONCATENATE(";",EscStr(CONCATENATE("NavNode_",getCategoryLevelAsString($B208))),";",EscStr($J208),";"),CONCATENATE(";",EscStr(CONCATENATE("NavNode_",getCategoryLevelAsString($B208))),";",EscStr(G208),";")))</f>
        <v>;"NavNode_L3D_525502";"Schaltuhren";</v>
      </c>
      <c r="AA208" s="39" t="str">
        <f>IF(getCategoryLevelAsString($B208)="L0D_324785","",IF(H208="",CONCATENATE(";",EscStr(CONCATENATE("NavNode_",getCategoryLevelAsString($B208))),";",EscStr($J208),";"),CONCATENATE(";",EscStr(CONCATENATE("NavNode_",getCategoryLevelAsString($B208))),";",EscStr(H208),";")))</f>
        <v>;"NavNode_L3D_525502";"Minuteries";</v>
      </c>
      <c r="AB208" s="39" t="str">
        <f>IF(getCategoryLevelAsString($B208)="L0D_324785","",IF(I208="",CONCATENATE(";",EscStr(CONCATENATE("NavNode_",getCategoryLevelAsString($B208))),";",EscStr($J208),";"),CONCATENATE(";",EscStr(CONCATENATE("NavNode_",getCategoryLevelAsString($B208))),";",EscStr(I208),";")))</f>
        <v>;"NavNode_L3D_525502";"Temporizzatori";</v>
      </c>
      <c r="AC208" s="39" t="str">
        <f>IF(getCategoryLevelAsString($B208)="L0D_324785","",IF(J208="",CONCATENATE(";",EscStr(CONCATENATE("NavNode_",getCategoryLevelAsString($B208))),";",EscStr($J208),";"),CONCATENATE(";",EscStr(CONCATENATE("NavNode_",getCategoryLevelAsString($B208))),";",EscStr(J208),";")))</f>
        <v>;"NavNode_L3D_525502";"Clock Relays";</v>
      </c>
      <c r="AD208" s="39" t="str">
        <f>IF(getCategoryLevelAsString($B208)="L0D_324785","",IF(K208="",CONCATENATE(";",EscStr(CONCATENATE("NavNode_",getCategoryLevelAsString($B208))),";",EscStr($J208),";"),CONCATENATE(";",EscStr(CONCATENATE("NavNode_",getCategoryLevelAsString($B208))),";",EscStr(K208),";")))</f>
        <v>;"NavNode_L3D_525502";"Kontakture";</v>
      </c>
      <c r="AE208" s="39" t="str">
        <f>IF(getCategoryLevelAsString($B208)="L0D_324785","",IF(L208="",CONCATENATE(";",EscStr(CONCATENATE("NavNode_",getCategoryLevelAsString($B208))),";",EscStr($J208),";"),CONCATENATE(";",EscStr(CONCATENATE("NavNode_",getCategoryLevelAsString($B208))),";",EscStr(L208),";")))</f>
        <v>;"NavNode_L3D_525502";"Relės su laikmačiais";</v>
      </c>
      <c r="AF208" s="39" t="str">
        <f>IF(getCategoryLevelAsString($B208)="L0D_324785","",IF(M208="",CONCATENATE(";",EscStr(CONCATENATE("NavNode_",getCategoryLevelAsString($B208))),";",EscStr($J208),";"),CONCATENATE(";",EscStr(CONCATENATE("NavNode_",getCategoryLevelAsString($B208))),";",EscStr(M208),";")))</f>
        <v>;"NavNode_L3D_525502";"Koblingsur";</v>
      </c>
      <c r="AG208" s="39" t="str">
        <f>IF(getCategoryLevelAsString($B208)="L0D_324785","",IF(N208="",CONCATENATE(";",EscStr(CONCATENATE("NavNode_",getCategoryLevelAsString($B208))),";",EscStr($J208),";"),CONCATENATE(";",EscStr(CONCATENATE("NavNode_",getCategoryLevelAsString($B208))),";",EscStr(N208),";")))</f>
        <v>;"NavNode_L3D_525502";"Klockreläer";</v>
      </c>
      <c r="AH208" s="39" t="str">
        <f>IF(getCategoryLevelAsString($B208)="L0D_324785","",IF(O208="",CONCATENATE(";",EscStr(CONCATENATE("NavNode_",getCategoryLevelAsString($B208))),";",EscStr($J208),";"),CONCATENATE(";",EscStr(CONCATENATE("NavNode_",getCategoryLevelAsString($B208))),";",EscStr(O208),";")))</f>
        <v>;"NavNode_L3D_525502";"Aegreleed";</v>
      </c>
      <c r="AI208" s="39" t="str">
        <f>IF(getCategoryLevelAsString($B208)="L0D_324785","",IF(P208="",CONCATENATE(";",EscStr(CONCATENATE("NavNode_",getCategoryLevelAsString($B208))),";",EscStr($J208),";"),CONCATENATE(";",EscStr(CONCATENATE("NavNode_",getCategoryLevelAsString($B208))),";",EscStr(P208),";")))</f>
        <v>;"NavNode_L3D_525502";"Kelloreleet";</v>
      </c>
      <c r="AJ208" s="39" t="str">
        <f>IF(getCategoryLevelAsString($B208)="L0D_324785","",IF(Q208="",CONCATENATE(";",EscStr(CONCATENATE("NavNode_",getCategoryLevelAsString($B208))),";",EscStr($J208),";"),CONCATENATE(";",EscStr(CONCATENATE("NavNode_",getCategoryLevelAsString($B208))),";",EscStr(Q208),";")))</f>
        <v>;"NavNode_L3D_525502";"Pulksteņa releji";</v>
      </c>
      <c r="AK208" s="39" t="str">
        <f>IF(getCategoryLevelAsString($B208)="L0D_324785","",IF(R208="",CONCATENATE(";",EscStr(CONCATENATE("NavNode_",getCategoryLevelAsString($B208))),";",EscStr($J208),";"),CONCATENATE(";",EscStr(CONCATENATE("NavNode_",getCategoryLevelAsString($B208))),";",EscStr(R208),";")))</f>
        <v>;"NavNode_L3D_525502";"Schakelklokken";</v>
      </c>
      <c r="AL208" s="39" t="str">
        <f>IF(getCategoryLevelAsString($B208)="L0D_324785","",IF(S208="",CONCATENATE(";",EscStr(CONCATENATE("NavNode_",getCategoryLevelAsString($B208))),";",EscStr($J208),";"),CONCATENATE(";",EscStr(CONCATENATE("NavNode_",getCategoryLevelAsString($B208))),";",EscStr(S208),";")))</f>
        <v>;"NavNode_L3D_525502";"Zegary sterujące";</v>
      </c>
      <c r="AM208" s="39" t="str">
        <f>IF(getCategoryLevelAsString($B208)="L0D_324785","",IF(T208="",CONCATENATE(";",EscStr(CONCATENATE("NavNode_",getCategoryLevelAsString($B208))),";",EscStr($J208),";"),CONCATENATE(";",EscStr(CONCATENATE("NavNode_",getCategoryLevelAsString($B208))),";",EscStr(T208),";")))</f>
        <v>;"NavNode_L3D_525502";"Реле времени";</v>
      </c>
      <c r="AN208" s="39" t="str">
        <f>IF(getCategoryLevelAsString($B208)="L0D_324785","",IF(U208="",CONCATENATE(";",EscStr(CONCATENATE("NavNode_",getCategoryLevelAsString($B208))),";",EscStr($J208),";"),CONCATENATE(";",EscStr(CONCATENATE("NavNode_",getCategoryLevelAsString($B208))),";",EscStr(U208),";")))</f>
        <v>;"NavNode_L3D_525502";"Časovač";</v>
      </c>
      <c r="AO208" s="39" t="str">
        <f>IF(getCategoryLevelAsString($B208)="L0D_324785","",IF(V208="",CONCATENATE(";",EscStr(CONCATENATE("NavNode_",getCategoryLevelAsString($B208))),";",EscStr($J208),";"),CONCATENATE(";",EscStr(CONCATENATE("NavNode_",getCategoryLevelAsString($B208))),";",EscStr(V208),";")))</f>
        <v>;"NavNode_L3D_525502";"Comutatoare de timp";</v>
      </c>
      <c r="AP208" s="39" t="str">
        <f>IF(getCategoryLevelAsString($B208)="L0D_324785","",IF(W208="",CONCATENATE(";",EscStr(CONCATENATE("NavNode_",getCategoryLevelAsString($B208))),";",EscStr($J208),";"),CONCATENATE(";",EscStr(CONCATENATE("NavNode_",getCategoryLevelAsString($B208))),";",EscStr(W208),";")))</f>
        <v>;"NavNode_L3D_525502";"Kapcsolóórák";</v>
      </c>
      <c r="AQ208" s="39" t="str">
        <f>IF(getCategoryLevelAsString($B208)="L0D_324785","",IF(X208="",CONCATENATE(";",EscStr(CONCATENATE("NavNode_",getCategoryLevelAsString($B208))),";",EscStr($J208),";"),CONCATENATE(";",EscStr(CONCATENATE("NavNode_",getCategoryLevelAsString($B208))),";",EscStr(X208),";")))</f>
        <v>;"NavNode_L3D_525502";"Časovač";</v>
      </c>
      <c r="AR208" s="39" t="str">
        <f>IF(OR($A208&lt;&gt;"", $G208=""),"",CONCATENATE(";",EscStr(CONCATENATE("NavEntry_",getCategoryLevelAsString($B208))),";",EscStr(CONCATENATE($J208," Navigation Entry")),";",EscStr(CONCATENATE("cat-",getCategoryLevelAsString($B208))),";",EscStr(CONCATENATE("NavNode_",getCategoryLevelAsString($B208))),";"))</f>
        <v>;"NavEntry_L3D_525502";"Clock Relays Navigation Entry";"cat-L3D_525502";"NavNode_L3D_525502";</v>
      </c>
    </row>
    <row r="209" spans="1:44" s="34" customFormat="1" ht="15" x14ac:dyDescent="0.25">
      <c r="A209" s="25"/>
      <c r="B209" s="5"/>
      <c r="C209" s="5"/>
      <c r="D209" s="5" t="s">
        <v>119</v>
      </c>
      <c r="E209" s="5"/>
      <c r="F209" s="5"/>
      <c r="G209" s="5" t="s">
        <v>354</v>
      </c>
      <c r="H209" s="5" t="s">
        <v>355</v>
      </c>
      <c r="I209" s="5" t="s">
        <v>356</v>
      </c>
      <c r="J209" s="5" t="s">
        <v>120</v>
      </c>
      <c r="K209" s="5" t="s">
        <v>1316</v>
      </c>
      <c r="L209" s="5" t="s">
        <v>1551</v>
      </c>
      <c r="M209" s="5" t="s">
        <v>1768</v>
      </c>
      <c r="N209" s="5" t="s">
        <v>1981</v>
      </c>
      <c r="O209" s="5" t="s">
        <v>3523</v>
      </c>
      <c r="P209" s="5" t="s">
        <v>3524</v>
      </c>
      <c r="Q209" s="5" t="s">
        <v>3525</v>
      </c>
      <c r="R209" s="5" t="s">
        <v>120</v>
      </c>
      <c r="S209" s="5" t="s">
        <v>3526</v>
      </c>
      <c r="T209" s="5" t="s">
        <v>3527</v>
      </c>
      <c r="U209" s="5" t="s">
        <v>3528</v>
      </c>
      <c r="V209" s="5" t="s">
        <v>3529</v>
      </c>
      <c r="W209" s="5" t="s">
        <v>3530</v>
      </c>
      <c r="X209" s="5" t="s">
        <v>3528</v>
      </c>
      <c r="Y209" s="39" t="str">
        <f>IF(OR($A209&lt;&gt;"", $G209=""),"",CONCATENATE(";",EscStr(CONCATENATE("NavNode_",getCategoryLevelAsString($B209))),";",EscStr($J209),";",IF($B209&lt;&gt;"","""MainCategoryNavNode""",EscStr(CONCATENATE("NavNode_",getSuperCategory($B209, getCategoryLevelAsNumber($B209))))),";"))</f>
        <v>;"NavNode_L3D_525503";"Meters";"NavNode_L2D_379613";</v>
      </c>
      <c r="Z209" s="39" t="str">
        <f>IF(getCategoryLevelAsString($B209)="L0D_324785","",IF(G209="",CONCATENATE(";",EscStr(CONCATENATE("NavNode_",getCategoryLevelAsString($B209))),";",EscStr($J209),";"),CONCATENATE(";",EscStr(CONCATENATE("NavNode_",getCategoryLevelAsString($B209))),";",EscStr(G209),";")))</f>
        <v>;"NavNode_L3D_525503";"Zähler";</v>
      </c>
      <c r="AA209" s="39" t="str">
        <f>IF(getCategoryLevelAsString($B209)="L0D_324785","",IF(H209="",CONCATENATE(";",EscStr(CONCATENATE("NavNode_",getCategoryLevelAsString($B209))),";",EscStr($J209),";"),CONCATENATE(";",EscStr(CONCATENATE("NavNode_",getCategoryLevelAsString($B209))),";",EscStr(H209),";")))</f>
        <v>;"NavNode_L3D_525503";"Compteurs";</v>
      </c>
      <c r="AB209" s="39" t="str">
        <f>IF(getCategoryLevelAsString($B209)="L0D_324785","",IF(I209="",CONCATENATE(";",EscStr(CONCATENATE("NavNode_",getCategoryLevelAsString($B209))),";",EscStr($J209),";"),CONCATENATE(";",EscStr(CONCATENATE("NavNode_",getCategoryLevelAsString($B209))),";",EscStr(I209),";")))</f>
        <v>;"NavNode_L3D_525503";"Contatori";</v>
      </c>
      <c r="AC209" s="39" t="str">
        <f>IF(getCategoryLevelAsString($B209)="L0D_324785","",IF(J209="",CONCATENATE(";",EscStr(CONCATENATE("NavNode_",getCategoryLevelAsString($B209))),";",EscStr($J209),";"),CONCATENATE(";",EscStr(CONCATENATE("NavNode_",getCategoryLevelAsString($B209))),";",EscStr(J209),";")))</f>
        <v>;"NavNode_L3D_525503";"Meters";</v>
      </c>
      <c r="AD209" s="39" t="str">
        <f>IF(getCategoryLevelAsString($B209)="L0D_324785","",IF(K209="",CONCATENATE(";",EscStr(CONCATENATE("NavNode_",getCategoryLevelAsString($B209))),";",EscStr($J209),";"),CONCATENATE(";",EscStr(CONCATENATE("NavNode_",getCategoryLevelAsString($B209))),";",EscStr(K209),";")))</f>
        <v>;"NavNode_L3D_525503";"Målere";</v>
      </c>
      <c r="AE209" s="39" t="str">
        <f>IF(getCategoryLevelAsString($B209)="L0D_324785","",IF(L209="",CONCATENATE(";",EscStr(CONCATENATE("NavNode_",getCategoryLevelAsString($B209))),";",EscStr($J209),";"),CONCATENATE(";",EscStr(CONCATENATE("NavNode_",getCategoryLevelAsString($B209))),";",EscStr(L209),";")))</f>
        <v>;"NavNode_L3D_525503";"Matuokliai";</v>
      </c>
      <c r="AF209" s="39" t="str">
        <f>IF(getCategoryLevelAsString($B209)="L0D_324785","",IF(M209="",CONCATENATE(";",EscStr(CONCATENATE("NavNode_",getCategoryLevelAsString($B209))),";",EscStr($J209),";"),CONCATENATE(";",EscStr(CONCATENATE("NavNode_",getCategoryLevelAsString($B209))),";",EscStr(M209),";")))</f>
        <v>;"NavNode_L3D_525503";"Instrumenter";</v>
      </c>
      <c r="AG209" s="39" t="str">
        <f>IF(getCategoryLevelAsString($B209)="L0D_324785","",IF(N209="",CONCATENATE(";",EscStr(CONCATENATE("NavNode_",getCategoryLevelAsString($B209))),";",EscStr($J209),";"),CONCATENATE(";",EscStr(CONCATENATE("NavNode_",getCategoryLevelAsString($B209))),";",EscStr(N209),";")))</f>
        <v>;"NavNode_L3D_525503";"Mätare";</v>
      </c>
      <c r="AH209" s="39" t="str">
        <f>IF(getCategoryLevelAsString($B209)="L0D_324785","",IF(O209="",CONCATENATE(";",EscStr(CONCATENATE("NavNode_",getCategoryLevelAsString($B209))),";",EscStr($J209),";"),CONCATENATE(";",EscStr(CONCATENATE("NavNode_",getCategoryLevelAsString($B209))),";",EscStr(O209),";")))</f>
        <v>;"NavNode_L3D_525503";"Arvestid";</v>
      </c>
      <c r="AI209" s="39" t="str">
        <f>IF(getCategoryLevelAsString($B209)="L0D_324785","",IF(P209="",CONCATENATE(";",EscStr(CONCATENATE("NavNode_",getCategoryLevelAsString($B209))),";",EscStr($J209),";"),CONCATENATE(";",EscStr(CONCATENATE("NavNode_",getCategoryLevelAsString($B209))),";",EscStr(P209),";")))</f>
        <v>;"NavNode_L3D_525503";"Mittarit";</v>
      </c>
      <c r="AJ209" s="39" t="str">
        <f>IF(getCategoryLevelAsString($B209)="L0D_324785","",IF(Q209="",CONCATENATE(";",EscStr(CONCATENATE("NavNode_",getCategoryLevelAsString($B209))),";",EscStr($J209),";"),CONCATENATE(";",EscStr(CONCATENATE("NavNode_",getCategoryLevelAsString($B209))),";",EscStr(Q209),";")))</f>
        <v>;"NavNode_L3D_525503";"Mērītāji";</v>
      </c>
      <c r="AK209" s="39" t="str">
        <f>IF(getCategoryLevelAsString($B209)="L0D_324785","",IF(R209="",CONCATENATE(";",EscStr(CONCATENATE("NavNode_",getCategoryLevelAsString($B209))),";",EscStr($J209),";"),CONCATENATE(";",EscStr(CONCATENATE("NavNode_",getCategoryLevelAsString($B209))),";",EscStr(R209),";")))</f>
        <v>;"NavNode_L3D_525503";"Meters";</v>
      </c>
      <c r="AL209" s="39" t="str">
        <f>IF(getCategoryLevelAsString($B209)="L0D_324785","",IF(S209="",CONCATENATE(";",EscStr(CONCATENATE("NavNode_",getCategoryLevelAsString($B209))),";",EscStr($J209),";"),CONCATENATE(";",EscStr(CONCATENATE("NavNode_",getCategoryLevelAsString($B209))),";",EscStr(S209),";")))</f>
        <v>;"NavNode_L3D_525503";"Liczniki";</v>
      </c>
      <c r="AM209" s="39" t="str">
        <f>IF(getCategoryLevelAsString($B209)="L0D_324785","",IF(T209="",CONCATENATE(";",EscStr(CONCATENATE("NavNode_",getCategoryLevelAsString($B209))),";",EscStr($J209),";"),CONCATENATE(";",EscStr(CONCATENATE("NavNode_",getCategoryLevelAsString($B209))),";",EscStr(T209),";")))</f>
        <v>;"NavNode_L3D_525503";"Измерители";</v>
      </c>
      <c r="AN209" s="39" t="str">
        <f>IF(getCategoryLevelAsString($B209)="L0D_324785","",IF(U209="",CONCATENATE(";",EscStr(CONCATENATE("NavNode_",getCategoryLevelAsString($B209))),";",EscStr($J209),";"),CONCATENATE(";",EscStr(CONCATENATE("NavNode_",getCategoryLevelAsString($B209))),";",EscStr(U209),";")))</f>
        <v>;"NavNode_L3D_525503";"Počítadlo";</v>
      </c>
      <c r="AO209" s="39" t="str">
        <f>IF(getCategoryLevelAsString($B209)="L0D_324785","",IF(V209="",CONCATENATE(";",EscStr(CONCATENATE("NavNode_",getCategoryLevelAsString($B209))),";",EscStr($J209),";"),CONCATENATE(";",EscStr(CONCATENATE("NavNode_",getCategoryLevelAsString($B209))),";",EscStr(V209),";")))</f>
        <v>;"NavNode_L3D_525503";"Contoare";</v>
      </c>
      <c r="AP209" s="39" t="str">
        <f>IF(getCategoryLevelAsString($B209)="L0D_324785","",IF(W209="",CONCATENATE(";",EscStr(CONCATENATE("NavNode_",getCategoryLevelAsString($B209))),";",EscStr($J209),";"),CONCATENATE(";",EscStr(CONCATENATE("NavNode_",getCategoryLevelAsString($B209))),";",EscStr(W209),";")))</f>
        <v>;"NavNode_L3D_525503";"Számlálók";</v>
      </c>
      <c r="AQ209" s="39" t="str">
        <f>IF(getCategoryLevelAsString($B209)="L0D_324785","",IF(X209="",CONCATENATE(";",EscStr(CONCATENATE("NavNode_",getCategoryLevelAsString($B209))),";",EscStr($J209),";"),CONCATENATE(";",EscStr(CONCATENATE("NavNode_",getCategoryLevelAsString($B209))),";",EscStr(X209),";")))</f>
        <v>;"NavNode_L3D_525503";"Počítadlo";</v>
      </c>
      <c r="AR209" s="39" t="str">
        <f>IF(OR($A209&lt;&gt;"", $G209=""),"",CONCATENATE(";",EscStr(CONCATENATE("NavEntry_",getCategoryLevelAsString($B209))),";",EscStr(CONCATENATE($J209," Navigation Entry")),";",EscStr(CONCATENATE("cat-",getCategoryLevelAsString($B209))),";",EscStr(CONCATENATE("NavNode_",getCategoryLevelAsString($B209))),";"))</f>
        <v>;"NavEntry_L3D_525503";"Meters Navigation Entry";"cat-L3D_525503";"NavNode_L3D_525503";</v>
      </c>
    </row>
    <row r="210" spans="1:44" s="34" customFormat="1" ht="15" x14ac:dyDescent="0.25">
      <c r="A210" s="25"/>
      <c r="B210" s="5"/>
      <c r="C210" s="5"/>
      <c r="D210" s="5" t="s">
        <v>121</v>
      </c>
      <c r="E210" s="5"/>
      <c r="F210" s="5"/>
      <c r="G210" s="5" t="s">
        <v>357</v>
      </c>
      <c r="H210" s="5" t="s">
        <v>358</v>
      </c>
      <c r="I210" s="5" t="s">
        <v>359</v>
      </c>
      <c r="J210" s="5" t="s">
        <v>122</v>
      </c>
      <c r="K210" s="5" t="s">
        <v>1317</v>
      </c>
      <c r="L210" s="5" t="s">
        <v>15176</v>
      </c>
      <c r="M210" s="5" t="s">
        <v>1769</v>
      </c>
      <c r="N210" s="5" t="s">
        <v>1982</v>
      </c>
      <c r="O210" s="5" t="s">
        <v>3531</v>
      </c>
      <c r="P210" s="5" t="s">
        <v>3532</v>
      </c>
      <c r="Q210" s="5" t="s">
        <v>3533</v>
      </c>
      <c r="R210" s="5" t="s">
        <v>3534</v>
      </c>
      <c r="S210" s="5" t="s">
        <v>3535</v>
      </c>
      <c r="T210" s="5" t="s">
        <v>3536</v>
      </c>
      <c r="U210" s="5" t="s">
        <v>3537</v>
      </c>
      <c r="V210" s="5" t="s">
        <v>3538</v>
      </c>
      <c r="W210" s="5" t="s">
        <v>3539</v>
      </c>
      <c r="X210" s="5" t="s">
        <v>14929</v>
      </c>
      <c r="Y210" s="39" t="str">
        <f>IF(OR($A210&lt;&gt;"", $G210=""),"",CONCATENATE(";",EscStr(CONCATENATE("NavNode_",getCategoryLevelAsString($B210))),";",EscStr($J210),";",IF($B210&lt;&gt;"","""MainCategoryNavNode""",EscStr(CONCATENATE("NavNode_",getSuperCategory($B210, getCategoryLevelAsNumber($B210))))),";"))</f>
        <v>;"NavNode_L3D_525504";"Monitoring Relays / Modules";"NavNode_L2D_379613";</v>
      </c>
      <c r="Z210" s="39" t="str">
        <f>IF(getCategoryLevelAsString($B210)="L0D_324785","",IF(G210="",CONCATENATE(";",EscStr(CONCATENATE("NavNode_",getCategoryLevelAsString($B210))),";",EscStr($J210),";"),CONCATENATE(";",EscStr(CONCATENATE("NavNode_",getCategoryLevelAsString($B210))),";",EscStr(G210),";")))</f>
        <v>;"NavNode_L3D_525504";"Überwachungsrelais / -module";</v>
      </c>
      <c r="AA210" s="39" t="str">
        <f>IF(getCategoryLevelAsString($B210)="L0D_324785","",IF(H210="",CONCATENATE(";",EscStr(CONCATENATE("NavNode_",getCategoryLevelAsString($B210))),";",EscStr($J210),";"),CONCATENATE(";",EscStr(CONCATENATE("NavNode_",getCategoryLevelAsString($B210))),";",EscStr(H210),";")))</f>
        <v>;"NavNode_L3D_525504";"Relais et modules de surveillance";</v>
      </c>
      <c r="AB210" s="39" t="str">
        <f>IF(getCategoryLevelAsString($B210)="L0D_324785","",IF(I210="",CONCATENATE(";",EscStr(CONCATENATE("NavNode_",getCategoryLevelAsString($B210))),";",EscStr($J210),";"),CONCATENATE(";",EscStr(CONCATENATE("NavNode_",getCategoryLevelAsString($B210))),";",EscStr(I210),";")))</f>
        <v>;"NavNode_L3D_525504";"Moduli / relè di sorveglianza";</v>
      </c>
      <c r="AC210" s="39" t="str">
        <f>IF(getCategoryLevelAsString($B210)="L0D_324785","",IF(J210="",CONCATENATE(";",EscStr(CONCATENATE("NavNode_",getCategoryLevelAsString($B210))),";",EscStr($J210),";"),CONCATENATE(";",EscStr(CONCATENATE("NavNode_",getCategoryLevelAsString($B210))),";",EscStr(J210),";")))</f>
        <v>;"NavNode_L3D_525504";"Monitoring Relays / Modules";</v>
      </c>
      <c r="AD210" s="39" t="str">
        <f>IF(getCategoryLevelAsString($B210)="L0D_324785","",IF(K210="",CONCATENATE(";",EscStr(CONCATENATE("NavNode_",getCategoryLevelAsString($B210))),";",EscStr($J210),";"),CONCATENATE(";",EscStr(CONCATENATE("NavNode_",getCategoryLevelAsString($B210))),";",EscStr(K210),";")))</f>
        <v>;"NavNode_L3D_525504";"Overvågningsrelæer/-moduler";</v>
      </c>
      <c r="AE210" s="39" t="str">
        <f>IF(getCategoryLevelAsString($B210)="L0D_324785","",IF(L210="",CONCATENATE(";",EscStr(CONCATENATE("NavNode_",getCategoryLevelAsString($B210))),";",EscStr($J210),";"),CONCATENATE(";",EscStr(CONCATENATE("NavNode_",getCategoryLevelAsString($B210))),";",EscStr(L210),";")))</f>
        <v>;"NavNode_L3D_525504";"Matavimo ir valdymo relės";</v>
      </c>
      <c r="AF210" s="39" t="str">
        <f>IF(getCategoryLevelAsString($B210)="L0D_324785","",IF(M210="",CONCATENATE(";",EscStr(CONCATENATE("NavNode_",getCategoryLevelAsString($B210))),";",EscStr($J210),";"),CONCATENATE(";",EscStr(CONCATENATE("NavNode_",getCategoryLevelAsString($B210))),";",EscStr(M210),";")))</f>
        <v>;"NavNode_L3D_525504";"Overvåkingsreléer/-moduler";</v>
      </c>
      <c r="AG210" s="39" t="str">
        <f>IF(getCategoryLevelAsString($B210)="L0D_324785","",IF(N210="",CONCATENATE(";",EscStr(CONCATENATE("NavNode_",getCategoryLevelAsString($B210))),";",EscStr($J210),";"),CONCATENATE(";",EscStr(CONCATENATE("NavNode_",getCategoryLevelAsString($B210))),";",EscStr(N210),";")))</f>
        <v>;"NavNode_L3D_525504";"Övervakningsreläer/-moduler";</v>
      </c>
      <c r="AH210" s="39" t="str">
        <f>IF(getCategoryLevelAsString($B210)="L0D_324785","",IF(O210="",CONCATENATE(";",EscStr(CONCATENATE("NavNode_",getCategoryLevelAsString($B210))),";",EscStr($J210),";"),CONCATENATE(";",EscStr(CONCATENATE("NavNode_",getCategoryLevelAsString($B210))),";",EscStr(O210),";")))</f>
        <v>;"NavNode_L3D_525504";"Seirereleed /Moodulid";</v>
      </c>
      <c r="AI210" s="39" t="str">
        <f>IF(getCategoryLevelAsString($B210)="L0D_324785","",IF(P210="",CONCATENATE(";",EscStr(CONCATENATE("NavNode_",getCategoryLevelAsString($B210))),";",EscStr($J210),";"),CONCATENATE(";",EscStr(CONCATENATE("NavNode_",getCategoryLevelAsString($B210))),";",EscStr(P210),";")))</f>
        <v>;"NavNode_L3D_525504";"Monitorointireleet";</v>
      </c>
      <c r="AJ210" s="39" t="str">
        <f>IF(getCategoryLevelAsString($B210)="L0D_324785","",IF(Q210="",CONCATENATE(";",EscStr(CONCATENATE("NavNode_",getCategoryLevelAsString($B210))),";",EscStr($J210),";"),CONCATENATE(";",EscStr(CONCATENATE("NavNode_",getCategoryLevelAsString($B210))),";",EscStr(Q210),";")))</f>
        <v>;"NavNode_L3D_525504";"Uzraudzības releji / moduļi";</v>
      </c>
      <c r="AK210" s="39" t="str">
        <f>IF(getCategoryLevelAsString($B210)="L0D_324785","",IF(R210="",CONCATENATE(";",EscStr(CONCATENATE("NavNode_",getCategoryLevelAsString($B210))),";",EscStr($J210),";"),CONCATENATE(";",EscStr(CONCATENATE("NavNode_",getCategoryLevelAsString($B210))),";",EscStr(R210),";")))</f>
        <v>;"NavNode_L3D_525504";"Bewakingsrelais / Bewakingsmodules";</v>
      </c>
      <c r="AL210" s="39" t="str">
        <f>IF(getCategoryLevelAsString($B210)="L0D_324785","",IF(S210="",CONCATENATE(";",EscStr(CONCATENATE("NavNode_",getCategoryLevelAsString($B210))),";",EscStr($J210),";"),CONCATENATE(";",EscStr(CONCATENATE("NavNode_",getCategoryLevelAsString($B210))),";",EscStr(S210),";")))</f>
        <v>;"NavNode_L3D_525504";"Przekaźniki nadzoru / Moduły";</v>
      </c>
      <c r="AM210" s="39" t="str">
        <f>IF(getCategoryLevelAsString($B210)="L0D_324785","",IF(T210="",CONCATENATE(";",EscStr(CONCATENATE("NavNode_",getCategoryLevelAsString($B210))),";",EscStr($J210),";"),CONCATENATE(";",EscStr(CONCATENATE("NavNode_",getCategoryLevelAsString($B210))),";",EscStr(T210),";")))</f>
        <v>;"NavNode_L3D_525504";"Реле контроля / Модули";</v>
      </c>
      <c r="AN210" s="39" t="str">
        <f>IF(getCategoryLevelAsString($B210)="L0D_324785","",IF(U210="",CONCATENATE(";",EscStr(CONCATENATE("NavNode_",getCategoryLevelAsString($B210))),";",EscStr($J210),";"),CONCATENATE(";",EscStr(CONCATENATE("NavNode_",getCategoryLevelAsString($B210))),";",EscStr(U210),";")))</f>
        <v>;"NavNode_L3D_525504";"Monitorovací relé / moduly";</v>
      </c>
      <c r="AO210" s="39" t="str">
        <f>IF(getCategoryLevelAsString($B210)="L0D_324785","",IF(V210="",CONCATENATE(";",EscStr(CONCATENATE("NavNode_",getCategoryLevelAsString($B210))),";",EscStr($J210),";"),CONCATENATE(";",EscStr(CONCATENATE("NavNode_",getCategoryLevelAsString($B210))),";",EscStr(V210),";")))</f>
        <v>;"NavNode_L3D_525504";"Relee de monitorizare / module";</v>
      </c>
      <c r="AP210" s="39" t="str">
        <f>IF(getCategoryLevelAsString($B210)="L0D_324785","",IF(W210="",CONCATENATE(";",EscStr(CONCATENATE("NavNode_",getCategoryLevelAsString($B210))),";",EscStr($J210),";"),CONCATENATE(";",EscStr(CONCATENATE("NavNode_",getCategoryLevelAsString($B210))),";",EscStr(W210),";")))</f>
        <v>;"NavNode_L3D_525504";"Felügyeletirelék / -modulok";</v>
      </c>
      <c r="AQ210" s="39" t="str">
        <f>IF(getCategoryLevelAsString($B210)="L0D_324785","",IF(X210="",CONCATENATE(";",EscStr(CONCATENATE("NavNode_",getCategoryLevelAsString($B210))),";",EscStr($J210),";"),CONCATENATE(";",EscStr(CONCATENATE("NavNode_",getCategoryLevelAsString($B210))),";",EscStr(X210),";")))</f>
        <v>;"NavNode_L3D_525504";"Monitorovacie relé / moduly";</v>
      </c>
      <c r="AR210" s="39" t="str">
        <f>IF(OR($A210&lt;&gt;"", $G210=""),"",CONCATENATE(";",EscStr(CONCATENATE("NavEntry_",getCategoryLevelAsString($B210))),";",EscStr(CONCATENATE($J210," Navigation Entry")),";",EscStr(CONCATENATE("cat-",getCategoryLevelAsString($B210))),";",EscStr(CONCATENATE("NavNode_",getCategoryLevelAsString($B210))),";"))</f>
        <v>;"NavEntry_L3D_525504";"Monitoring Relays / Modules Navigation Entry";"cat-L3D_525504";"NavNode_L3D_525504";</v>
      </c>
    </row>
    <row r="211" spans="1:44" s="34" customFormat="1" ht="15" x14ac:dyDescent="0.25">
      <c r="A211" s="25"/>
      <c r="B211" s="5"/>
      <c r="C211" s="5"/>
      <c r="D211" s="5" t="s">
        <v>123</v>
      </c>
      <c r="E211" s="5"/>
      <c r="F211" s="5"/>
      <c r="G211" s="5" t="s">
        <v>979</v>
      </c>
      <c r="H211" s="5" t="s">
        <v>1083</v>
      </c>
      <c r="I211" s="5" t="s">
        <v>1141</v>
      </c>
      <c r="J211" s="5" t="s">
        <v>124</v>
      </c>
      <c r="K211" s="5" t="s">
        <v>1318</v>
      </c>
      <c r="L211" s="5" t="s">
        <v>1553</v>
      </c>
      <c r="M211" s="5" t="s">
        <v>1770</v>
      </c>
      <c r="N211" s="5" t="s">
        <v>1983</v>
      </c>
      <c r="O211" s="5" t="s">
        <v>3540</v>
      </c>
      <c r="P211" s="5" t="s">
        <v>3541</v>
      </c>
      <c r="Q211" s="5" t="s">
        <v>3542</v>
      </c>
      <c r="R211" s="5" t="s">
        <v>3543</v>
      </c>
      <c r="S211" s="5" t="s">
        <v>3544</v>
      </c>
      <c r="T211" s="5" t="s">
        <v>3545</v>
      </c>
      <c r="U211" s="5" t="s">
        <v>3546</v>
      </c>
      <c r="V211" s="5" t="s">
        <v>3547</v>
      </c>
      <c r="W211" s="5" t="s">
        <v>3548</v>
      </c>
      <c r="X211" s="5" t="s">
        <v>14930</v>
      </c>
      <c r="Y211" s="39" t="str">
        <f>IF(OR($A211&lt;&gt;"", $G211=""),"",CONCATENATE(";",EscStr(CONCATENATE("NavNode_",getCategoryLevelAsString($B211))),";",EscStr($J211),";",IF($B211&lt;&gt;"","""MainCategoryNavNode""",EscStr(CONCATENATE("NavNode_",getSuperCategory($B211, getCategoryLevelAsNumber($B211))))),";"))</f>
        <v>;"NavNode_L3D_525505";"Safety Components";"NavNode_L2D_379613";</v>
      </c>
      <c r="Z211" s="39" t="str">
        <f>IF(getCategoryLevelAsString($B211)="L0D_324785","",IF(G211="",CONCATENATE(";",EscStr(CONCATENATE("NavNode_",getCategoryLevelAsString($B211))),";",EscStr($J211),";"),CONCATENATE(";",EscStr(CONCATENATE("NavNode_",getCategoryLevelAsString($B211))),";",EscStr(G211),";")))</f>
        <v>;"NavNode_L3D_525505";"Sicherheitskomponenten";</v>
      </c>
      <c r="AA211" s="39" t="str">
        <f>IF(getCategoryLevelAsString($B211)="L0D_324785","",IF(H211="",CONCATENATE(";",EscStr(CONCATENATE("NavNode_",getCategoryLevelAsString($B211))),";",EscStr($J211),";"),CONCATENATE(";",EscStr(CONCATENATE("NavNode_",getCategoryLevelAsString($B211))),";",EscStr(H211),";")))</f>
        <v>;"NavNode_L3D_525505";"Composants pour la sécurité";</v>
      </c>
      <c r="AB211" s="39" t="str">
        <f>IF(getCategoryLevelAsString($B211)="L0D_324785","",IF(I211="",CONCATENATE(";",EscStr(CONCATENATE("NavNode_",getCategoryLevelAsString($B211))),";",EscStr($J211),";"),CONCATENATE(";",EscStr(CONCATENATE("NavNode_",getCategoryLevelAsString($B211))),";",EscStr(I211),";")))</f>
        <v>;"NavNode_L3D_525505";"Componenti di sicurezza";</v>
      </c>
      <c r="AC211" s="39" t="str">
        <f>IF(getCategoryLevelAsString($B211)="L0D_324785","",IF(J211="",CONCATENATE(";",EscStr(CONCATENATE("NavNode_",getCategoryLevelAsString($B211))),";",EscStr($J211),";"),CONCATENATE(";",EscStr(CONCATENATE("NavNode_",getCategoryLevelAsString($B211))),";",EscStr(J211),";")))</f>
        <v>;"NavNode_L3D_525505";"Safety Components";</v>
      </c>
      <c r="AD211" s="39" t="str">
        <f>IF(getCategoryLevelAsString($B211)="L0D_324785","",IF(K211="",CONCATENATE(";",EscStr(CONCATENATE("NavNode_",getCategoryLevelAsString($B211))),";",EscStr($J211),";"),CONCATENATE(";",EscStr(CONCATENATE("NavNode_",getCategoryLevelAsString($B211))),";",EscStr(K211),";")))</f>
        <v>;"NavNode_L3D_525505";"Sikkerhedskomponenter";</v>
      </c>
      <c r="AE211" s="39" t="str">
        <f>IF(getCategoryLevelAsString($B211)="L0D_324785","",IF(L211="",CONCATENATE(";",EscStr(CONCATENATE("NavNode_",getCategoryLevelAsString($B211))),";",EscStr($J211),";"),CONCATENATE(";",EscStr(CONCATENATE("NavNode_",getCategoryLevelAsString($B211))),";",EscStr(L211),";")))</f>
        <v>;"NavNode_L3D_525505";"Saugos komponentai";</v>
      </c>
      <c r="AF211" s="39" t="str">
        <f>IF(getCategoryLevelAsString($B211)="L0D_324785","",IF(M211="",CONCATENATE(";",EscStr(CONCATENATE("NavNode_",getCategoryLevelAsString($B211))),";",EscStr($J211),";"),CONCATENATE(";",EscStr(CONCATENATE("NavNode_",getCategoryLevelAsString($B211))),";",EscStr(M211),";")))</f>
        <v>;"NavNode_L3D_525505";"Sikkerhetskomponenter";</v>
      </c>
      <c r="AG211" s="39" t="str">
        <f>IF(getCategoryLevelAsString($B211)="L0D_324785","",IF(N211="",CONCATENATE(";",EscStr(CONCATENATE("NavNode_",getCategoryLevelAsString($B211))),";",EscStr($J211),";"),CONCATENATE(";",EscStr(CONCATENATE("NavNode_",getCategoryLevelAsString($B211))),";",EscStr(N211),";")))</f>
        <v>;"NavNode_L3D_525505";"Säkerhetskomponenter";</v>
      </c>
      <c r="AH211" s="39" t="str">
        <f>IF(getCategoryLevelAsString($B211)="L0D_324785","",IF(O211="",CONCATENATE(";",EscStr(CONCATENATE("NavNode_",getCategoryLevelAsString($B211))),";",EscStr($J211),";"),CONCATENATE(";",EscStr(CONCATENATE("NavNode_",getCategoryLevelAsString($B211))),";",EscStr(O211),";")))</f>
        <v>;"NavNode_L3D_525505";"Ohutuskomponendid";</v>
      </c>
      <c r="AI211" s="39" t="str">
        <f>IF(getCategoryLevelAsString($B211)="L0D_324785","",IF(P211="",CONCATENATE(";",EscStr(CONCATENATE("NavNode_",getCategoryLevelAsString($B211))),";",EscStr($J211),";"),CONCATENATE(";",EscStr(CONCATENATE("NavNode_",getCategoryLevelAsString($B211))),";",EscStr(P211),";")))</f>
        <v>;"NavNode_L3D_525505";"Turvakomponentit";</v>
      </c>
      <c r="AJ211" s="39" t="str">
        <f>IF(getCategoryLevelAsString($B211)="L0D_324785","",IF(Q211="",CONCATENATE(";",EscStr(CONCATENATE("NavNode_",getCategoryLevelAsString($B211))),";",EscStr($J211),";"),CONCATENATE(";",EscStr(CONCATENATE("NavNode_",getCategoryLevelAsString($B211))),";",EscStr(Q211),";")))</f>
        <v>;"NavNode_L3D_525505";"Drošības komponentes";</v>
      </c>
      <c r="AK211" s="39" t="str">
        <f>IF(getCategoryLevelAsString($B211)="L0D_324785","",IF(R211="",CONCATENATE(";",EscStr(CONCATENATE("NavNode_",getCategoryLevelAsString($B211))),";",EscStr($J211),";"),CONCATENATE(";",EscStr(CONCATENATE("NavNode_",getCategoryLevelAsString($B211))),";",EscStr(R211),";")))</f>
        <v>;"NavNode_L3D_525505";"Veiligheisproducten";</v>
      </c>
      <c r="AL211" s="39" t="str">
        <f>IF(getCategoryLevelAsString($B211)="L0D_324785","",IF(S211="",CONCATENATE(";",EscStr(CONCATENATE("NavNode_",getCategoryLevelAsString($B211))),";",EscStr($J211),";"),CONCATENATE(";",EscStr(CONCATENATE("NavNode_",getCategoryLevelAsString($B211))),";",EscStr(S211),";")))</f>
        <v>;"NavNode_L3D_525505";"Elementy bezpieczeństwa";</v>
      </c>
      <c r="AM211" s="39" t="str">
        <f>IF(getCategoryLevelAsString($B211)="L0D_324785","",IF(T211="",CONCATENATE(";",EscStr(CONCATENATE("NavNode_",getCategoryLevelAsString($B211))),";",EscStr($J211),";"),CONCATENATE(";",EscStr(CONCATENATE("NavNode_",getCategoryLevelAsString($B211))),";",EscStr(T211),";")))</f>
        <v>;"NavNode_L3D_525505";"Компоненты безопасности";</v>
      </c>
      <c r="AN211" s="39" t="str">
        <f>IF(getCategoryLevelAsString($B211)="L0D_324785","",IF(U211="",CONCATENATE(";",EscStr(CONCATENATE("NavNode_",getCategoryLevelAsString($B211))),";",EscStr($J211),";"),CONCATENATE(";",EscStr(CONCATENATE("NavNode_",getCategoryLevelAsString($B211))),";",EscStr(U211),";")))</f>
        <v>;"NavNode_L3D_525505";"Bezpečnostní prvky";</v>
      </c>
      <c r="AO211" s="39" t="str">
        <f>IF(getCategoryLevelAsString($B211)="L0D_324785","",IF(V211="",CONCATENATE(";",EscStr(CONCATENATE("NavNode_",getCategoryLevelAsString($B211))),";",EscStr($J211),";"),CONCATENATE(";",EscStr(CONCATENATE("NavNode_",getCategoryLevelAsString($B211))),";",EscStr(V211),";")))</f>
        <v>;"NavNode_L3D_525505";"Componente de securitate";</v>
      </c>
      <c r="AP211" s="39" t="str">
        <f>IF(getCategoryLevelAsString($B211)="L0D_324785","",IF(W211="",CONCATENATE(";",EscStr(CONCATENATE("NavNode_",getCategoryLevelAsString($B211))),";",EscStr($J211),";"),CONCATENATE(";",EscStr(CONCATENATE("NavNode_",getCategoryLevelAsString($B211))),";",EscStr(W211),";")))</f>
        <v>;"NavNode_L3D_525505";"Biztonsági alkatrészek";</v>
      </c>
      <c r="AQ211" s="39" t="str">
        <f>IF(getCategoryLevelAsString($B211)="L0D_324785","",IF(X211="",CONCATENATE(";",EscStr(CONCATENATE("NavNode_",getCategoryLevelAsString($B211))),";",EscStr($J211),";"),CONCATENATE(";",EscStr(CONCATENATE("NavNode_",getCategoryLevelAsString($B211))),";",EscStr(X211),";")))</f>
        <v>;"NavNode_L3D_525505";"Bezpečnostné prvky";</v>
      </c>
      <c r="AR211" s="39" t="str">
        <f>IF(OR($A211&lt;&gt;"", $G211=""),"",CONCATENATE(";",EscStr(CONCATENATE("NavEntry_",getCategoryLevelAsString($B211))),";",EscStr(CONCATENATE($J211," Navigation Entry")),";",EscStr(CONCATENATE("cat-",getCategoryLevelAsString($B211))),";",EscStr(CONCATENATE("NavNode_",getCategoryLevelAsString($B211))),";"))</f>
        <v>;"NavEntry_L3D_525505";"Safety Components Navigation Entry";"cat-L3D_525505";"NavNode_L3D_525505";</v>
      </c>
    </row>
    <row r="212" spans="1:44" s="34" customFormat="1" ht="15" x14ac:dyDescent="0.25">
      <c r="A212" s="25"/>
      <c r="B212" s="5"/>
      <c r="C212" s="5"/>
      <c r="D212" s="5" t="s">
        <v>117</v>
      </c>
      <c r="E212" s="5"/>
      <c r="F212" s="5"/>
      <c r="G212" s="5" t="s">
        <v>351</v>
      </c>
      <c r="H212" s="5" t="s">
        <v>352</v>
      </c>
      <c r="I212" s="5" t="s">
        <v>353</v>
      </c>
      <c r="J212" s="5" t="s">
        <v>118</v>
      </c>
      <c r="K212" s="5" t="s">
        <v>13841</v>
      </c>
      <c r="L212" s="5" t="s">
        <v>1554</v>
      </c>
      <c r="M212" s="5" t="s">
        <v>1771</v>
      </c>
      <c r="N212" s="5" t="s">
        <v>1984</v>
      </c>
      <c r="O212" s="5" t="s">
        <v>3549</v>
      </c>
      <c r="P212" s="5" t="s">
        <v>3550</v>
      </c>
      <c r="Q212" s="5" t="s">
        <v>3551</v>
      </c>
      <c r="R212" s="5" t="s">
        <v>3552</v>
      </c>
      <c r="S212" s="5" t="s">
        <v>3553</v>
      </c>
      <c r="T212" s="5" t="s">
        <v>3554</v>
      </c>
      <c r="U212" s="5" t="s">
        <v>3555</v>
      </c>
      <c r="V212" s="5" t="s">
        <v>3556</v>
      </c>
      <c r="W212" s="5" t="s">
        <v>3557</v>
      </c>
      <c r="X212" s="5" t="s">
        <v>3555</v>
      </c>
      <c r="Y212" s="39" t="str">
        <f>IF(OR($A212&lt;&gt;"", $G212=""),"",CONCATENATE(";",EscStr(CONCATENATE("NavNode_",getCategoryLevelAsString($B212))),";",EscStr($J212),";",IF($B212&lt;&gt;"","""MainCategoryNavNode""",EscStr(CONCATENATE("NavNode_",getSuperCategory($B212, getCategoryLevelAsNumber($B212))))),";"))</f>
        <v>;"NavNode_L3D_525506";"Limit Switches";"NavNode_L2D_379613";</v>
      </c>
      <c r="Z212" s="39" t="str">
        <f>IF(getCategoryLevelAsString($B212)="L0D_324785","",IF(G212="",CONCATENATE(";",EscStr(CONCATENATE("NavNode_",getCategoryLevelAsString($B212))),";",EscStr($J212),";"),CONCATENATE(";",EscStr(CONCATENATE("NavNode_",getCategoryLevelAsString($B212))),";",EscStr(G212),";")))</f>
        <v>;"NavNode_L3D_525506";"Positionsschalter";</v>
      </c>
      <c r="AA212" s="39" t="str">
        <f>IF(getCategoryLevelAsString($B212)="L0D_324785","",IF(H212="",CONCATENATE(";",EscStr(CONCATENATE("NavNode_",getCategoryLevelAsString($B212))),";",EscStr($J212),";"),CONCATENATE(";",EscStr(CONCATENATE("NavNode_",getCategoryLevelAsString($B212))),";",EscStr(H212),";")))</f>
        <v>;"NavNode_L3D_525506";"Interrupteur de position";</v>
      </c>
      <c r="AB212" s="39" t="str">
        <f>IF(getCategoryLevelAsString($B212)="L0D_324785","",IF(I212="",CONCATENATE(";",EscStr(CONCATENATE("NavNode_",getCategoryLevelAsString($B212))),";",EscStr($J212),";"),CONCATENATE(";",EscStr(CONCATENATE("NavNode_",getCategoryLevelAsString($B212))),";",EscStr(I212),";")))</f>
        <v>;"NavNode_L3D_525506";"Interruttori di finecorsa";</v>
      </c>
      <c r="AC212" s="39" t="str">
        <f>IF(getCategoryLevelAsString($B212)="L0D_324785","",IF(J212="",CONCATENATE(";",EscStr(CONCATENATE("NavNode_",getCategoryLevelAsString($B212))),";",EscStr($J212),";"),CONCATENATE(";",EscStr(CONCATENATE("NavNode_",getCategoryLevelAsString($B212))),";",EscStr(J212),";")))</f>
        <v>;"NavNode_L3D_525506";"Limit Switches";</v>
      </c>
      <c r="AD212" s="39" t="str">
        <f>IF(getCategoryLevelAsString($B212)="L0D_324785","",IF(K212="",CONCATENATE(";",EscStr(CONCATENATE("NavNode_",getCategoryLevelAsString($B212))),";",EscStr($J212),";"),CONCATENATE(";",EscStr(CONCATENATE("NavNode_",getCategoryLevelAsString($B212))),";",EscStr(K212),";")))</f>
        <v>;"NavNode_L3D_525506";"Positionsafbrydere";</v>
      </c>
      <c r="AE212" s="39" t="str">
        <f>IF(getCategoryLevelAsString($B212)="L0D_324785","",IF(L212="",CONCATENATE(";",EscStr(CONCATENATE("NavNode_",getCategoryLevelAsString($B212))),";",EscStr($J212),";"),CONCATENATE(";",EscStr(CONCATENATE("NavNode_",getCategoryLevelAsString($B212))),";",EscStr(L212),";")))</f>
        <v>;"NavNode_L3D_525506";"Ribiniai jungikliai";</v>
      </c>
      <c r="AF212" s="39" t="str">
        <f>IF(getCategoryLevelAsString($B212)="L0D_324785","",IF(M212="",CONCATENATE(";",EscStr(CONCATENATE("NavNode_",getCategoryLevelAsString($B212))),";",EscStr($J212),";"),CONCATENATE(";",EscStr(CONCATENATE("NavNode_",getCategoryLevelAsString($B212))),";",EscStr(M212),";")))</f>
        <v>;"NavNode_L3D_525506";"Grensebrytere";</v>
      </c>
      <c r="AG212" s="39" t="str">
        <f>IF(getCategoryLevelAsString($B212)="L0D_324785","",IF(N212="",CONCATENATE(";",EscStr(CONCATENATE("NavNode_",getCategoryLevelAsString($B212))),";",EscStr($J212),";"),CONCATENATE(";",EscStr(CONCATENATE("NavNode_",getCategoryLevelAsString($B212))),";",EscStr(N212),";")))</f>
        <v>;"NavNode_L3D_525506";"Gränslägesbrytare";</v>
      </c>
      <c r="AH212" s="39" t="str">
        <f>IF(getCategoryLevelAsString($B212)="L0D_324785","",IF(O212="",CONCATENATE(";",EscStr(CONCATENATE("NavNode_",getCategoryLevelAsString($B212))),";",EscStr($J212),";"),CONCATENATE(";",EscStr(CONCATENATE("NavNode_",getCategoryLevelAsString($B212))),";",EscStr(O212),";")))</f>
        <v>;"NavNode_L3D_525506";"Lõpulülitid";</v>
      </c>
      <c r="AI212" s="39" t="str">
        <f>IF(getCategoryLevelAsString($B212)="L0D_324785","",IF(P212="",CONCATENATE(";",EscStr(CONCATENATE("NavNode_",getCategoryLevelAsString($B212))),";",EscStr($J212),";"),CONCATENATE(";",EscStr(CONCATENATE("NavNode_",getCategoryLevelAsString($B212))),";",EscStr(P212),";")))</f>
        <v>;"NavNode_L3D_525506";"Rajakytkimet";</v>
      </c>
      <c r="AJ212" s="39" t="str">
        <f>IF(getCategoryLevelAsString($B212)="L0D_324785","",IF(Q212="",CONCATENATE(";",EscStr(CONCATENATE("NavNode_",getCategoryLevelAsString($B212))),";",EscStr($J212),";"),CONCATENATE(";",EscStr(CONCATENATE("NavNode_",getCategoryLevelAsString($B212))),";",EscStr(Q212),";")))</f>
        <v>;"NavNode_L3D_525506";"Līmeņa slēdži";</v>
      </c>
      <c r="AK212" s="39" t="str">
        <f>IF(getCategoryLevelAsString($B212)="L0D_324785","",IF(R212="",CONCATENATE(";",EscStr(CONCATENATE("NavNode_",getCategoryLevelAsString($B212))),";",EscStr($J212),";"),CONCATENATE(";",EscStr(CONCATENATE("NavNode_",getCategoryLevelAsString($B212))),";",EscStr(R212),";")))</f>
        <v>;"NavNode_L3D_525506";"Eindschakelaars";</v>
      </c>
      <c r="AL212" s="39" t="str">
        <f>IF(getCategoryLevelAsString($B212)="L0D_324785","",IF(S212="",CONCATENATE(";",EscStr(CONCATENATE("NavNode_",getCategoryLevelAsString($B212))),";",EscStr($J212),";"),CONCATENATE(";",EscStr(CONCATENATE("NavNode_",getCategoryLevelAsString($B212))),";",EscStr(S212),";")))</f>
        <v>;"NavNode_L3D_525506";"Przełączniki krańcowe";</v>
      </c>
      <c r="AM212" s="39" t="str">
        <f>IF(getCategoryLevelAsString($B212)="L0D_324785","",IF(T212="",CONCATENATE(";",EscStr(CONCATENATE("NavNode_",getCategoryLevelAsString($B212))),";",EscStr($J212),";"),CONCATENATE(";",EscStr(CONCATENATE("NavNode_",getCategoryLevelAsString($B212))),";",EscStr(T212),";")))</f>
        <v>;"NavNode_L3D_525506";"Концевые выключатели";</v>
      </c>
      <c r="AN212" s="39" t="str">
        <f>IF(getCategoryLevelAsString($B212)="L0D_324785","",IF(U212="",CONCATENATE(";",EscStr(CONCATENATE("NavNode_",getCategoryLevelAsString($B212))),";",EscStr($J212),";"),CONCATENATE(";",EscStr(CONCATENATE("NavNode_",getCategoryLevelAsString($B212))),";",EscStr(U212),";")))</f>
        <v>;"NavNode_L3D_525506";"Polohový spínač";</v>
      </c>
      <c r="AO212" s="39" t="str">
        <f>IF(getCategoryLevelAsString($B212)="L0D_324785","",IF(V212="",CONCATENATE(";",EscStr(CONCATENATE("NavNode_",getCategoryLevelAsString($B212))),";",EscStr($J212),";"),CONCATENATE(";",EscStr(CONCATENATE("NavNode_",getCategoryLevelAsString($B212))),";",EscStr(V212),";")))</f>
        <v>;"NavNode_L3D_525506";"Limitatoare";</v>
      </c>
      <c r="AP212" s="39" t="str">
        <f>IF(getCategoryLevelAsString($B212)="L0D_324785","",IF(W212="",CONCATENATE(";",EscStr(CONCATENATE("NavNode_",getCategoryLevelAsString($B212))),";",EscStr($J212),";"),CONCATENATE(";",EscStr(CONCATENATE("NavNode_",getCategoryLevelAsString($B212))),";",EscStr(W212),";")))</f>
        <v>;"NavNode_L3D_525506";"Helyzetkapcsolók";</v>
      </c>
      <c r="AQ212" s="39" t="str">
        <f>IF(getCategoryLevelAsString($B212)="L0D_324785","",IF(X212="",CONCATENATE(";",EscStr(CONCATENATE("NavNode_",getCategoryLevelAsString($B212))),";",EscStr($J212),";"),CONCATENATE(";",EscStr(CONCATENATE("NavNode_",getCategoryLevelAsString($B212))),";",EscStr(X212),";")))</f>
        <v>;"NavNode_L3D_525506";"Polohový spínač";</v>
      </c>
      <c r="AR212" s="39" t="str">
        <f>IF(OR($A212&lt;&gt;"", $G212=""),"",CONCATENATE(";",EscStr(CONCATENATE("NavEntry_",getCategoryLevelAsString($B212))),";",EscStr(CONCATENATE($J212," Navigation Entry")),";",EscStr(CONCATENATE("cat-",getCategoryLevelAsString($B212))),";",EscStr(CONCATENATE("NavNode_",getCategoryLevelAsString($B212))),";"))</f>
        <v>;"NavEntry_L3D_525506";"Limit Switches Navigation Entry";"cat-L3D_525506";"NavNode_L3D_525506";</v>
      </c>
    </row>
    <row r="213" spans="1:44" s="34" customFormat="1" ht="15" x14ac:dyDescent="0.25">
      <c r="A213" s="25"/>
      <c r="B213" s="5"/>
      <c r="C213" s="5"/>
      <c r="D213" s="5" t="s">
        <v>115</v>
      </c>
      <c r="E213" s="5"/>
      <c r="F213" s="5"/>
      <c r="G213" s="5" t="s">
        <v>348</v>
      </c>
      <c r="H213" s="5" t="s">
        <v>349</v>
      </c>
      <c r="I213" s="5" t="s">
        <v>350</v>
      </c>
      <c r="J213" s="5" t="s">
        <v>116</v>
      </c>
      <c r="K213" s="5" t="s">
        <v>13842</v>
      </c>
      <c r="L213" s="5" t="s">
        <v>15177</v>
      </c>
      <c r="M213" s="5" t="s">
        <v>1772</v>
      </c>
      <c r="N213" s="5" t="s">
        <v>1985</v>
      </c>
      <c r="O213" s="5" t="s">
        <v>3558</v>
      </c>
      <c r="P213" s="5" t="s">
        <v>3559</v>
      </c>
      <c r="Q213" s="5" t="s">
        <v>3560</v>
      </c>
      <c r="R213" s="5" t="s">
        <v>3561</v>
      </c>
      <c r="S213" s="5" t="s">
        <v>3562</v>
      </c>
      <c r="T213" s="5" t="s">
        <v>3563</v>
      </c>
      <c r="U213" s="5" t="s">
        <v>3564</v>
      </c>
      <c r="V213" s="5" t="s">
        <v>3565</v>
      </c>
      <c r="W213" s="5" t="s">
        <v>3566</v>
      </c>
      <c r="X213" s="5" t="s">
        <v>14931</v>
      </c>
      <c r="Y213" s="39" t="str">
        <f>IF(OR($A213&lt;&gt;"", $G213=""),"",CONCATENATE(";",EscStr(CONCATENATE("NavNode_",getCategoryLevelAsString($B213))),";",EscStr($J213),";",IF($B213&lt;&gt;"","""MainCategoryNavNode""",EscStr(CONCATENATE("NavNode_",getSuperCategory($B213, getCategoryLevelAsNumber($B213))))),";"))</f>
        <v>;"NavNode_L3D_525507";"Control Switches and Signalling Devices 22 mm";"NavNode_L2D_379613";</v>
      </c>
      <c r="Z213" s="39" t="str">
        <f>IF(getCategoryLevelAsString($B213)="L0D_324785","",IF(G213="",CONCATENATE(";",EscStr(CONCATENATE("NavNode_",getCategoryLevelAsString($B213))),";",EscStr($J213),";"),CONCATENATE(";",EscStr(CONCATENATE("NavNode_",getCategoryLevelAsString($B213))),";",EscStr(G213),";")))</f>
        <v>;"NavNode_L3D_525507";"Befehls- und Meldegeräte 22 mm";</v>
      </c>
      <c r="AA213" s="39" t="str">
        <f>IF(getCategoryLevelAsString($B213)="L0D_324785","",IF(H213="",CONCATENATE(";",EscStr(CONCATENATE("NavNode_",getCategoryLevelAsString($B213))),";",EscStr($J213),";"),CONCATENATE(";",EscStr(CONCATENATE("NavNode_",getCategoryLevelAsString($B213))),";",EscStr(H213),";")))</f>
        <v>;"NavNode_L3D_525507";"Appareils de commande";</v>
      </c>
      <c r="AB213" s="39" t="str">
        <f>IF(getCategoryLevelAsString($B213)="L0D_324785","",IF(I213="",CONCATENATE(";",EscStr(CONCATENATE("NavNode_",getCategoryLevelAsString($B213))),";",EscStr($J213),";"),CONCATENATE(";",EscStr(CONCATENATE("NavNode_",getCategoryLevelAsString($B213))),";",EscStr(I213),";")))</f>
        <v>;"NavNode_L3D_525507";"Interruttori di controllo e dispositivi di segnalazione da 22 mm";</v>
      </c>
      <c r="AC213" s="39" t="str">
        <f>IF(getCategoryLevelAsString($B213)="L0D_324785","",IF(J213="",CONCATENATE(";",EscStr(CONCATENATE("NavNode_",getCategoryLevelAsString($B213))),";",EscStr($J213),";"),CONCATENATE(";",EscStr(CONCATENATE("NavNode_",getCategoryLevelAsString($B213))),";",EscStr(J213),";")))</f>
        <v>;"NavNode_L3D_525507";"Control Switches and Signalling Devices 22 mm";</v>
      </c>
      <c r="AD213" s="39" t="str">
        <f>IF(getCategoryLevelAsString($B213)="L0D_324785","",IF(K213="",CONCATENATE(";",EscStr(CONCATENATE("NavNode_",getCategoryLevelAsString($B213))),";",EscStr($J213),";"),CONCATENATE(";",EscStr(CONCATENATE("NavNode_",getCategoryLevelAsString($B213))),";",EscStr(K213),";")))</f>
        <v>;"NavNode_L3D_525507";"Kontrolafbrydere og indikator elementer 22 mm";</v>
      </c>
      <c r="AE213" s="39" t="str">
        <f>IF(getCategoryLevelAsString($B213)="L0D_324785","",IF(L213="",CONCATENATE(";",EscStr(CONCATENATE("NavNode_",getCategoryLevelAsString($B213))),";",EscStr($J213),";"),CONCATENATE(";",EscStr(CONCATENATE("NavNode_",getCategoryLevelAsString($B213))),";",EscStr(L213),";")))</f>
        <v>;"NavNode_L3D_525507";"Valdymo jungikliai ir indikatoriai 22 mm";</v>
      </c>
      <c r="AF213" s="39" t="str">
        <f>IF(getCategoryLevelAsString($B213)="L0D_324785","",IF(M213="",CONCATENATE(";",EscStr(CONCATENATE("NavNode_",getCategoryLevelAsString($B213))),";",EscStr($J213),";"),CONCATENATE(";",EscStr(CONCATENATE("NavNode_",getCategoryLevelAsString($B213))),";",EscStr(M213),";")))</f>
        <v>;"NavNode_L3D_525507";"Styrebrytere og signalenheter 22 mm";</v>
      </c>
      <c r="AG213" s="39" t="str">
        <f>IF(getCategoryLevelAsString($B213)="L0D_324785","",IF(N213="",CONCATENATE(";",EscStr(CONCATENATE("NavNode_",getCategoryLevelAsString($B213))),";",EscStr($J213),";"),CONCATENATE(";",EscStr(CONCATENATE("NavNode_",getCategoryLevelAsString($B213))),";",EscStr(N213),";")))</f>
        <v>;"NavNode_L3D_525507";"Styrströmställare och signalenheter 22 mm";</v>
      </c>
      <c r="AH213" s="39" t="str">
        <f>IF(getCategoryLevelAsString($B213)="L0D_324785","",IF(O213="",CONCATENATE(";",EscStr(CONCATENATE("NavNode_",getCategoryLevelAsString($B213))),";",EscStr($J213),";"),CONCATENATE(";",EscStr(CONCATENATE("NavNode_",getCategoryLevelAsString($B213))),";",EscStr(O213),";")))</f>
        <v>;"NavNode_L3D_525507";"Juhtlülitid ja indikaatorid 22mm";</v>
      </c>
      <c r="AI213" s="39" t="str">
        <f>IF(getCategoryLevelAsString($B213)="L0D_324785","",IF(P213="",CONCATENATE(";",EscStr(CONCATENATE("NavNode_",getCategoryLevelAsString($B213))),";",EscStr($J213),";"),CONCATENATE(";",EscStr(CONCATENATE("NavNode_",getCategoryLevelAsString($B213))),";",EscStr(P213),";")))</f>
        <v>;"NavNode_L3D_525507";"Ohjauskytkimet 22mm";</v>
      </c>
      <c r="AJ213" s="39" t="str">
        <f>IF(getCategoryLevelAsString($B213)="L0D_324785","",IF(Q213="",CONCATENATE(";",EscStr(CONCATENATE("NavNode_",getCategoryLevelAsString($B213))),";",EscStr($J213),";"),CONCATENATE(";",EscStr(CONCATENATE("NavNode_",getCategoryLevelAsString($B213))),";",EscStr(Q213),";")))</f>
        <v>;"NavNode_L3D_525507";"Kontrolslēdži un signālierīces 22 mm";</v>
      </c>
      <c r="AK213" s="39" t="str">
        <f>IF(getCategoryLevelAsString($B213)="L0D_324785","",IF(R213="",CONCATENATE(";",EscStr(CONCATENATE("NavNode_",getCategoryLevelAsString($B213))),";",EscStr($J213),";"),CONCATENATE(";",EscStr(CONCATENATE("NavNode_",getCategoryLevelAsString($B213))),";",EscStr(R213),";")))</f>
        <v>;"NavNode_L3D_525507";"Schakelaars en signalering voor besturingen (22mm serie)";</v>
      </c>
      <c r="AL213" s="39" t="str">
        <f>IF(getCategoryLevelAsString($B213)="L0D_324785","",IF(S213="",CONCATENATE(";",EscStr(CONCATENATE("NavNode_",getCategoryLevelAsString($B213))),";",EscStr($J213),";"),CONCATENATE(";",EscStr(CONCATENATE("NavNode_",getCategoryLevelAsString($B213))),";",EscStr(S213),";")))</f>
        <v>;"NavNode_L3D_525507";"Aparatura sterująca i sygnalizacyjna 22 mm";</v>
      </c>
      <c r="AM213" s="39" t="str">
        <f>IF(getCategoryLevelAsString($B213)="L0D_324785","",IF(T213="",CONCATENATE(";",EscStr(CONCATENATE("NavNode_",getCategoryLevelAsString($B213))),";",EscStr($J213),";"),CONCATENATE(";",EscStr(CONCATENATE("NavNode_",getCategoryLevelAsString($B213))),";",EscStr(T213),";")))</f>
        <v>;"NavNode_L3D_525507";"Переключатели управления и сигнальные устройства 22 мм";</v>
      </c>
      <c r="AN213" s="39" t="str">
        <f>IF(getCategoryLevelAsString($B213)="L0D_324785","",IF(U213="",CONCATENATE(";",EscStr(CONCATENATE("NavNode_",getCategoryLevelAsString($B213))),";",EscStr($J213),";"),CONCATENATE(";",EscStr(CONCATENATE("NavNode_",getCategoryLevelAsString($B213))),";",EscStr(U213),";")))</f>
        <v>;"NavNode_L3D_525507";"Ovládací a signalizační přístroje 22mm";</v>
      </c>
      <c r="AO213" s="39" t="str">
        <f>IF(getCategoryLevelAsString($B213)="L0D_324785","",IF(V213="",CONCATENATE(";",EscStr(CONCATENATE("NavNode_",getCategoryLevelAsString($B213))),";",EscStr($J213),";"),CONCATENATE(";",EscStr(CONCATENATE("NavNode_",getCategoryLevelAsString($B213))),";",EscStr(V213),";")))</f>
        <v>;"NavNode_L3D_525507";"Comanda si semnalizatoare 22 mm";</v>
      </c>
      <c r="AP213" s="39" t="str">
        <f>IF(getCategoryLevelAsString($B213)="L0D_324785","",IF(W213="",CONCATENATE(";",EscStr(CONCATENATE("NavNode_",getCategoryLevelAsString($B213))),";",EscStr($J213),";"),CONCATENATE(";",EscStr(CONCATENATE("NavNode_",getCategoryLevelAsString($B213))),";",EscStr(W213),";")))</f>
        <v>;"NavNode_L3D_525507";"Parancsbeviteli- és jelzőeszközök 22 mm";</v>
      </c>
      <c r="AQ213" s="39" t="str">
        <f>IF(getCategoryLevelAsString($B213)="L0D_324785","",IF(X213="",CONCATENATE(";",EscStr(CONCATENATE("NavNode_",getCategoryLevelAsString($B213))),";",EscStr($J213),";"),CONCATENATE(";",EscStr(CONCATENATE("NavNode_",getCategoryLevelAsString($B213))),";",EscStr(X213),";")))</f>
        <v>;"NavNode_L3D_525507";"Ovládacie a signalizačné prístroje 22mm";</v>
      </c>
      <c r="AR213" s="39" t="str">
        <f>IF(OR($A213&lt;&gt;"", $G213=""),"",CONCATENATE(";",EscStr(CONCATENATE("NavEntry_",getCategoryLevelAsString($B213))),";",EscStr(CONCATENATE($J213," Navigation Entry")),";",EscStr(CONCATENATE("cat-",getCategoryLevelAsString($B213))),";",EscStr(CONCATENATE("NavNode_",getCategoryLevelAsString($B213))),";"))</f>
        <v>;"NavEntry_L3D_525507";"Control Switches and Signalling Devices 22 mm Navigation Entry";"cat-L3D_525507";"NavNode_L3D_525507";</v>
      </c>
    </row>
    <row r="214" spans="1:44" s="34" customFormat="1" ht="15" x14ac:dyDescent="0.25">
      <c r="A214" s="25"/>
      <c r="B214" s="5"/>
      <c r="C214" s="5" t="s">
        <v>40</v>
      </c>
      <c r="D214" s="5"/>
      <c r="E214" s="5"/>
      <c r="F214" s="5"/>
      <c r="G214" s="5" t="s">
        <v>281</v>
      </c>
      <c r="H214" s="5" t="s">
        <v>282</v>
      </c>
      <c r="I214" s="5" t="s">
        <v>283</v>
      </c>
      <c r="J214" s="5" t="s">
        <v>41</v>
      </c>
      <c r="K214" s="5" t="s">
        <v>1321</v>
      </c>
      <c r="L214" s="5" t="s">
        <v>1556</v>
      </c>
      <c r="M214" s="5" t="s">
        <v>1773</v>
      </c>
      <c r="N214" s="5" t="s">
        <v>1986</v>
      </c>
      <c r="O214" s="5" t="s">
        <v>3567</v>
      </c>
      <c r="P214" s="5" t="s">
        <v>3568</v>
      </c>
      <c r="Q214" s="5" t="s">
        <v>3569</v>
      </c>
      <c r="R214" s="5" t="s">
        <v>3570</v>
      </c>
      <c r="S214" s="5" t="s">
        <v>3571</v>
      </c>
      <c r="T214" s="5" t="s">
        <v>3572</v>
      </c>
      <c r="U214" s="5" t="s">
        <v>3573</v>
      </c>
      <c r="V214" s="5" t="s">
        <v>3574</v>
      </c>
      <c r="W214" s="5" t="s">
        <v>3575</v>
      </c>
      <c r="X214" s="5" t="s">
        <v>14932</v>
      </c>
      <c r="Y214" s="39" t="str">
        <f>IF(OR($A214&lt;&gt;"", $G214=""),"",CONCATENATE(";",EscStr(CONCATENATE("NavNode_",getCategoryLevelAsString($B214))),";",EscStr($J214),";",IF($B214&lt;&gt;"","""MainCategoryNavNode""",EscStr(CONCATENATE("NavNode_",getSuperCategory($B214, getCategoryLevelAsNumber($B214))))),";"))</f>
        <v>;"NavNode_L2D_379617";"Motors / Controllers / Actuators";"NavNode_Automation";</v>
      </c>
      <c r="Z214" s="39" t="str">
        <f>IF(getCategoryLevelAsString($B214)="L0D_324785","",IF(G214="",CONCATENATE(";",EscStr(CONCATENATE("NavNode_",getCategoryLevelAsString($B214))),";",EscStr($J214),";"),CONCATENATE(";",EscStr(CONCATENATE("NavNode_",getCategoryLevelAsString($B214))),";",EscStr(G214),";")))</f>
        <v>;"NavNode_L2D_379617";"Antriebstechnik";</v>
      </c>
      <c r="AA214" s="39" t="str">
        <f>IF(getCategoryLevelAsString($B214)="L0D_324785","",IF(H214="",CONCATENATE(";",EscStr(CONCATENATE("NavNode_",getCategoryLevelAsString($B214))),";",EscStr($J214),";"),CONCATENATE(";",EscStr(CONCATENATE("NavNode_",getCategoryLevelAsString($B214))),";",EscStr(H214),";")))</f>
        <v>;"NavNode_L2D_379617";"Moteurs / Contrôleurs / Actionneurs";</v>
      </c>
      <c r="AB214" s="39" t="str">
        <f>IF(getCategoryLevelAsString($B214)="L0D_324785","",IF(I214="",CONCATENATE(";",EscStr(CONCATENATE("NavNode_",getCategoryLevelAsString($B214))),";",EscStr($J214),";"),CONCATENATE(";",EscStr(CONCATENATE("NavNode_",getCategoryLevelAsString($B214))),";",EscStr(I214),";")))</f>
        <v>;"NavNode_L2D_379617";"Motori / Controller / Attuatori";</v>
      </c>
      <c r="AC214" s="39" t="str">
        <f>IF(getCategoryLevelAsString($B214)="L0D_324785","",IF(J214="",CONCATENATE(";",EscStr(CONCATENATE("NavNode_",getCategoryLevelAsString($B214))),";",EscStr($J214),";"),CONCATENATE(";",EscStr(CONCATENATE("NavNode_",getCategoryLevelAsString($B214))),";",EscStr(J214),";")))</f>
        <v>;"NavNode_L2D_379617";"Motors / Controllers / Actuators";</v>
      </c>
      <c r="AD214" s="39" t="str">
        <f>IF(getCategoryLevelAsString($B214)="L0D_324785","",IF(K214="",CONCATENATE(";",EscStr(CONCATENATE("NavNode_",getCategoryLevelAsString($B214))),";",EscStr($J214),";"),CONCATENATE(";",EscStr(CONCATENATE("NavNode_",getCategoryLevelAsString($B214))),";",EscStr(K214),";")))</f>
        <v>;"NavNode_L2D_379617";"Motorer/controllere/aktuatorer";</v>
      </c>
      <c r="AE214" s="39" t="str">
        <f>IF(getCategoryLevelAsString($B214)="L0D_324785","",IF(L214="",CONCATENATE(";",EscStr(CONCATENATE("NavNode_",getCategoryLevelAsString($B214))),";",EscStr($J214),";"),CONCATENATE(";",EscStr(CONCATENATE("NavNode_",getCategoryLevelAsString($B214))),";",EscStr(L214),";")))</f>
        <v>;"NavNode_L2D_379617";"Varikliai / valdikliai / pavaros";</v>
      </c>
      <c r="AF214" s="39" t="str">
        <f>IF(getCategoryLevelAsString($B214)="L0D_324785","",IF(M214="",CONCATENATE(";",EscStr(CONCATENATE("NavNode_",getCategoryLevelAsString($B214))),";",EscStr($J214),";"),CONCATENATE(";",EscStr(CONCATENATE("NavNode_",getCategoryLevelAsString($B214))),";",EscStr(M214),";")))</f>
        <v>;"NavNode_L2D_379617";"Motorer/styreenheter/aktuatorer";</v>
      </c>
      <c r="AG214" s="39" t="str">
        <f>IF(getCategoryLevelAsString($B214)="L0D_324785","",IF(N214="",CONCATENATE(";",EscStr(CONCATENATE("NavNode_",getCategoryLevelAsString($B214))),";",EscStr($J214),";"),CONCATENATE(";",EscStr(CONCATENATE("NavNode_",getCategoryLevelAsString($B214))),";",EscStr(N214),";")))</f>
        <v>;"NavNode_L2D_379617";"Motorer/Styrenheter/Manöverdon";</v>
      </c>
      <c r="AH214" s="39" t="str">
        <f>IF(getCategoryLevelAsString($B214)="L0D_324785","",IF(O214="",CONCATENATE(";",EscStr(CONCATENATE("NavNode_",getCategoryLevelAsString($B214))),";",EscStr($J214),";"),CONCATENATE(";",EscStr(CONCATENATE("NavNode_",getCategoryLevelAsString($B214))),";",EscStr(O214),";")))</f>
        <v>;"NavNode_L2D_379617";"Mootorid / Kontrollerid / Täiturid";</v>
      </c>
      <c r="AI214" s="39" t="str">
        <f>IF(getCategoryLevelAsString($B214)="L0D_324785","",IF(P214="",CONCATENATE(";",EscStr(CONCATENATE("NavNode_",getCategoryLevelAsString($B214))),";",EscStr($J214),";"),CONCATENATE(";",EscStr(CONCATENATE("NavNode_",getCategoryLevelAsString($B214))),";",EscStr(P214),";")))</f>
        <v>;"NavNode_L2D_379617";"Moottorit/ ohjaimet";</v>
      </c>
      <c r="AJ214" s="39" t="str">
        <f>IF(getCategoryLevelAsString($B214)="L0D_324785","",IF(Q214="",CONCATENATE(";",EscStr(CONCATENATE("NavNode_",getCategoryLevelAsString($B214))),";",EscStr($J214),";"),CONCATENATE(";",EscStr(CONCATENATE("NavNode_",getCategoryLevelAsString($B214))),";",EscStr(Q214),";")))</f>
        <v>;"NavNode_L2D_379617";"Motori / Kontrolieri / Izpildmehānismi";</v>
      </c>
      <c r="AK214" s="39" t="str">
        <f>IF(getCategoryLevelAsString($B214)="L0D_324785","",IF(R214="",CONCATENATE(";",EscStr(CONCATENATE("NavNode_",getCategoryLevelAsString($B214))),";",EscStr($J214),";"),CONCATENATE(";",EscStr(CONCATENATE("NavNode_",getCategoryLevelAsString($B214))),";",EscStr(R214),";")))</f>
        <v>;"NavNode_L2D_379617";"Motoren / Besturingen / Actuatoren";</v>
      </c>
      <c r="AL214" s="39" t="str">
        <f>IF(getCategoryLevelAsString($B214)="L0D_324785","",IF(S214="",CONCATENATE(";",EscStr(CONCATENATE("NavNode_",getCategoryLevelAsString($B214))),";",EscStr($J214),";"),CONCATENATE(";",EscStr(CONCATENATE("NavNode_",getCategoryLevelAsString($B214))),";",EscStr(S214),";")))</f>
        <v>;"NavNode_L2D_379617";"Silniki / Sterowniki / Siłowniki";</v>
      </c>
      <c r="AM214" s="39" t="str">
        <f>IF(getCategoryLevelAsString($B214)="L0D_324785","",IF(T214="",CONCATENATE(";",EscStr(CONCATENATE("NavNode_",getCategoryLevelAsString($B214))),";",EscStr($J214),";"),CONCATENATE(";",EscStr(CONCATENATE("NavNode_",getCategoryLevelAsString($B214))),";",EscStr(T214),";")))</f>
        <v>;"NavNode_L2D_379617";"Двигатели / Контроллеры / Приводы";</v>
      </c>
      <c r="AN214" s="39" t="str">
        <f>IF(getCategoryLevelAsString($B214)="L0D_324785","",IF(U214="",CONCATENATE(";",EscStr(CONCATENATE("NavNode_",getCategoryLevelAsString($B214))),";",EscStr($J214),";"),CONCATENATE(";",EscStr(CONCATENATE("NavNode_",getCategoryLevelAsString($B214))),";",EscStr(U214),";")))</f>
        <v>;"NavNode_L2D_379617";"Technika pohonů";</v>
      </c>
      <c r="AO214" s="39" t="str">
        <f>IF(getCategoryLevelAsString($B214)="L0D_324785","",IF(V214="",CONCATENATE(";",EscStr(CONCATENATE("NavNode_",getCategoryLevelAsString($B214))),";",EscStr($J214),";"),CONCATENATE(";",EscStr(CONCATENATE("NavNode_",getCategoryLevelAsString($B214))),";",EscStr(V214),";")))</f>
        <v>;"NavNode_L2D_379617";"Tehnologii de acţionare";</v>
      </c>
      <c r="AP214" s="39" t="str">
        <f>IF(getCategoryLevelAsString($B214)="L0D_324785","",IF(W214="",CONCATENATE(";",EscStr(CONCATENATE("NavNode_",getCategoryLevelAsString($B214))),";",EscStr($J214),";"),CONCATENATE(";",EscStr(CONCATENATE("NavNode_",getCategoryLevelAsString($B214))),";",EscStr(W214),";")))</f>
        <v>;"NavNode_L2D_379617";"Meghajtástechnika";</v>
      </c>
      <c r="AQ214" s="39" t="str">
        <f>IF(getCategoryLevelAsString($B214)="L0D_324785","",IF(X214="",CONCATENATE(";",EscStr(CONCATENATE("NavNode_",getCategoryLevelAsString($B214))),";",EscStr($J214),";"),CONCATENATE(";",EscStr(CONCATENATE("NavNode_",getCategoryLevelAsString($B214))),";",EscStr(X214),";")))</f>
        <v>;"NavNode_L2D_379617";"Technika pohonov";</v>
      </c>
      <c r="AR214" s="39" t="str">
        <f>IF(OR($A214&lt;&gt;"", $G214=""),"",CONCATENATE(";",EscStr(CONCATENATE("NavEntry_",getCategoryLevelAsString($B214))),";",EscStr(CONCATENATE($J214," Navigation Entry")),";",EscStr(CONCATENATE("cat-",getCategoryLevelAsString($B214))),";",EscStr(CONCATENATE("NavNode_",getCategoryLevelAsString($B214))),";"))</f>
        <v>;"NavEntry_L2D_379617";"Motors / Controllers / Actuators Navigation Entry";"cat-L2D_379617";"NavNode_L2D_379617";</v>
      </c>
    </row>
    <row r="215" spans="1:44" s="34" customFormat="1" ht="15" x14ac:dyDescent="0.25">
      <c r="A215" s="25"/>
      <c r="B215" s="5"/>
      <c r="C215" s="5"/>
      <c r="D215" s="5" t="s">
        <v>76</v>
      </c>
      <c r="E215" s="5"/>
      <c r="F215" s="5"/>
      <c r="G215" s="5" t="s">
        <v>980</v>
      </c>
      <c r="H215" s="5" t="s">
        <v>295</v>
      </c>
      <c r="I215" s="5" t="s">
        <v>296</v>
      </c>
      <c r="J215" s="5" t="s">
        <v>77</v>
      </c>
      <c r="K215" s="5" t="s">
        <v>1322</v>
      </c>
      <c r="L215" s="5" t="s">
        <v>1557</v>
      </c>
      <c r="M215" s="5" t="s">
        <v>1774</v>
      </c>
      <c r="N215" s="5" t="s">
        <v>1987</v>
      </c>
      <c r="O215" s="5" t="s">
        <v>3576</v>
      </c>
      <c r="P215" s="5" t="s">
        <v>3577</v>
      </c>
      <c r="Q215" s="5" t="s">
        <v>3578</v>
      </c>
      <c r="R215" s="5" t="s">
        <v>3579</v>
      </c>
      <c r="S215" s="5" t="s">
        <v>3580</v>
      </c>
      <c r="T215" s="5" t="s">
        <v>3581</v>
      </c>
      <c r="U215" s="5" t="s">
        <v>3582</v>
      </c>
      <c r="V215" s="5" t="s">
        <v>3583</v>
      </c>
      <c r="W215" s="5" t="s">
        <v>3584</v>
      </c>
      <c r="X215" s="5" t="s">
        <v>14933</v>
      </c>
      <c r="Y215" s="39" t="str">
        <f>IF(OR($A215&lt;&gt;"", $G215=""),"",CONCATENATE(";",EscStr(CONCATENATE("NavNode_",getCategoryLevelAsString($B215))),";",EscStr($J215),";",IF($B215&lt;&gt;"","""MainCategoryNavNode""",EscStr(CONCATENATE("NavNode_",getSuperCategory($B215, getCategoryLevelAsNumber($B215))))),";"))</f>
        <v>;"NavNode_L3D_525511";"Motor Controllers";"NavNode_L2D_379617";</v>
      </c>
      <c r="Z215" s="39" t="str">
        <f>IF(getCategoryLevelAsString($B215)="L0D_324785","",IF(G215="",CONCATENATE(";",EscStr(CONCATENATE("NavNode_",getCategoryLevelAsString($B215))),";",EscStr($J215),";"),CONCATENATE(";",EscStr(CONCATENATE("NavNode_",getCategoryLevelAsString($B215))),";",EscStr(G215),";")))</f>
        <v>;"NavNode_L3D_525511";"Motorsteuerungen";</v>
      </c>
      <c r="AA215" s="39" t="str">
        <f>IF(getCategoryLevelAsString($B215)="L0D_324785","",IF(H215="",CONCATENATE(";",EscStr(CONCATENATE("NavNode_",getCategoryLevelAsString($B215))),";",EscStr($J215),";"),CONCATENATE(";",EscStr(CONCATENATE("NavNode_",getCategoryLevelAsString($B215))),";",EscStr(H215),";")))</f>
        <v>;"NavNode_L3D_525511";"Commandes de moteur";</v>
      </c>
      <c r="AB215" s="39" t="str">
        <f>IF(getCategoryLevelAsString($B215)="L0D_324785","",IF(I215="",CONCATENATE(";",EscStr(CONCATENATE("NavNode_",getCategoryLevelAsString($B215))),";",EscStr($J215),";"),CONCATENATE(";",EscStr(CONCATENATE("NavNode_",getCategoryLevelAsString($B215))),";",EscStr(I215),";")))</f>
        <v>;"NavNode_L3D_525511";"Controller per motori";</v>
      </c>
      <c r="AC215" s="39" t="str">
        <f>IF(getCategoryLevelAsString($B215)="L0D_324785","",IF(J215="",CONCATENATE(";",EscStr(CONCATENATE("NavNode_",getCategoryLevelAsString($B215))),";",EscStr($J215),";"),CONCATENATE(";",EscStr(CONCATENATE("NavNode_",getCategoryLevelAsString($B215))),";",EscStr(J215),";")))</f>
        <v>;"NavNode_L3D_525511";"Motor Controllers";</v>
      </c>
      <c r="AD215" s="39" t="str">
        <f>IF(getCategoryLevelAsString($B215)="L0D_324785","",IF(K215="",CONCATENATE(";",EscStr(CONCATENATE("NavNode_",getCategoryLevelAsString($B215))),";",EscStr($J215),";"),CONCATENATE(";",EscStr(CONCATENATE("NavNode_",getCategoryLevelAsString($B215))),";",EscStr(K215),";")))</f>
        <v>;"NavNode_L3D_525511";"Motorcontrollere";</v>
      </c>
      <c r="AE215" s="39" t="str">
        <f>IF(getCategoryLevelAsString($B215)="L0D_324785","",IF(L215="",CONCATENATE(";",EscStr(CONCATENATE("NavNode_",getCategoryLevelAsString($B215))),";",EscStr($J215),";"),CONCATENATE(";",EscStr(CONCATENATE("NavNode_",getCategoryLevelAsString($B215))),";",EscStr(L215),";")))</f>
        <v>;"NavNode_L3D_525511";"Variklių valdikliai";</v>
      </c>
      <c r="AF215" s="39" t="str">
        <f>IF(getCategoryLevelAsString($B215)="L0D_324785","",IF(M215="",CONCATENATE(";",EscStr(CONCATENATE("NavNode_",getCategoryLevelAsString($B215))),";",EscStr($J215),";"),CONCATENATE(";",EscStr(CONCATENATE("NavNode_",getCategoryLevelAsString($B215))),";",EscStr(M215),";")))</f>
        <v>;"NavNode_L3D_525511";"Motorstyringer";</v>
      </c>
      <c r="AG215" s="39" t="str">
        <f>IF(getCategoryLevelAsString($B215)="L0D_324785","",IF(N215="",CONCATENATE(";",EscStr(CONCATENATE("NavNode_",getCategoryLevelAsString($B215))),";",EscStr($J215),";"),CONCATENATE(";",EscStr(CONCATENATE("NavNode_",getCategoryLevelAsString($B215))),";",EscStr(N215),";")))</f>
        <v>;"NavNode_L3D_525511";"Motorstyrning";</v>
      </c>
      <c r="AH215" s="39" t="str">
        <f>IF(getCategoryLevelAsString($B215)="L0D_324785","",IF(O215="",CONCATENATE(";",EscStr(CONCATENATE("NavNode_",getCategoryLevelAsString($B215))),";",EscStr($J215),";"),CONCATENATE(";",EscStr(CONCATENATE("NavNode_",getCategoryLevelAsString($B215))),";",EscStr(O215),";")))</f>
        <v>;"NavNode_L3D_525511";"Mootori kontrollerid";</v>
      </c>
      <c r="AI215" s="39" t="str">
        <f>IF(getCategoryLevelAsString($B215)="L0D_324785","",IF(P215="",CONCATENATE(";",EscStr(CONCATENATE("NavNode_",getCategoryLevelAsString($B215))),";",EscStr($J215),";"),CONCATENATE(";",EscStr(CONCATENATE("NavNode_",getCategoryLevelAsString($B215))),";",EscStr(P215),";")))</f>
        <v>;"NavNode_L3D_525511";"Moottoriohjaimet";</v>
      </c>
      <c r="AJ215" s="39" t="str">
        <f>IF(getCategoryLevelAsString($B215)="L0D_324785","",IF(Q215="",CONCATENATE(";",EscStr(CONCATENATE("NavNode_",getCategoryLevelAsString($B215))),";",EscStr($J215),";"),CONCATENATE(";",EscStr(CONCATENATE("NavNode_",getCategoryLevelAsString($B215))),";",EscStr(Q215),";")))</f>
        <v>;"NavNode_L3D_525511";"Motoru kontrolieri";</v>
      </c>
      <c r="AK215" s="39" t="str">
        <f>IF(getCategoryLevelAsString($B215)="L0D_324785","",IF(R215="",CONCATENATE(";",EscStr(CONCATENATE("NavNode_",getCategoryLevelAsString($B215))),";",EscStr($J215),";"),CONCATENATE(";",EscStr(CONCATENATE("NavNode_",getCategoryLevelAsString($B215))),";",EscStr(R215),";")))</f>
        <v>;"NavNode_L3D_525511";"Motorbesturingen";</v>
      </c>
      <c r="AL215" s="39" t="str">
        <f>IF(getCategoryLevelAsString($B215)="L0D_324785","",IF(S215="",CONCATENATE(";",EscStr(CONCATENATE("NavNode_",getCategoryLevelAsString($B215))),";",EscStr($J215),";"),CONCATENATE(";",EscStr(CONCATENATE("NavNode_",getCategoryLevelAsString($B215))),";",EscStr(S215),";")))</f>
        <v>;"NavNode_L3D_525511";"Sterowanie silników";</v>
      </c>
      <c r="AM215" s="39" t="str">
        <f>IF(getCategoryLevelAsString($B215)="L0D_324785","",IF(T215="",CONCATENATE(";",EscStr(CONCATENATE("NavNode_",getCategoryLevelAsString($B215))),";",EscStr($J215),";"),CONCATENATE(";",EscStr(CONCATENATE("NavNode_",getCategoryLevelAsString($B215))),";",EscStr(T215),";")))</f>
        <v>;"NavNode_L3D_525511";"Управление двигателями";</v>
      </c>
      <c r="AN215" s="39" t="str">
        <f>IF(getCategoryLevelAsString($B215)="L0D_324785","",IF(U215="",CONCATENATE(";",EscStr(CONCATENATE("NavNode_",getCategoryLevelAsString($B215))),";",EscStr($J215),";"),CONCATENATE(";",EscStr(CONCATENATE("NavNode_",getCategoryLevelAsString($B215))),";",EscStr(U215),";")))</f>
        <v>;"NavNode_L3D_525511";"Ovladanie motorů";</v>
      </c>
      <c r="AO215" s="39" t="str">
        <f>IF(getCategoryLevelAsString($B215)="L0D_324785","",IF(V215="",CONCATENATE(";",EscStr(CONCATENATE("NavNode_",getCategoryLevelAsString($B215))),";",EscStr($J215),";"),CONCATENATE(";",EscStr(CONCATENATE("NavNode_",getCategoryLevelAsString($B215))),";",EscStr(V215),";")))</f>
        <v>;"NavNode_L3D_525511";"Motoare de comandă";</v>
      </c>
      <c r="AP215" s="39" t="str">
        <f>IF(getCategoryLevelAsString($B215)="L0D_324785","",IF(W215="",CONCATENATE(";",EscStr(CONCATENATE("NavNode_",getCategoryLevelAsString($B215))),";",EscStr($J215),";"),CONCATENATE(";",EscStr(CONCATENATE("NavNode_",getCategoryLevelAsString($B215))),";",EscStr(W215),";")))</f>
        <v>;"NavNode_L3D_525511";"Motorvezérlések";</v>
      </c>
      <c r="AQ215" s="39" t="str">
        <f>IF(getCategoryLevelAsString($B215)="L0D_324785","",IF(X215="",CONCATENATE(";",EscStr(CONCATENATE("NavNode_",getCategoryLevelAsString($B215))),";",EscStr($J215),";"),CONCATENATE(";",EscStr(CONCATENATE("NavNode_",getCategoryLevelAsString($B215))),";",EscStr(X215),";")))</f>
        <v>;"NavNode_L3D_525511";"Ovladanie motorov";</v>
      </c>
      <c r="AR215" s="39" t="str">
        <f>IF(OR($A215&lt;&gt;"", $G215=""),"",CONCATENATE(";",EscStr(CONCATENATE("NavEntry_",getCategoryLevelAsString($B215))),";",EscStr(CONCATENATE($J215," Navigation Entry")),";",EscStr(CONCATENATE("cat-",getCategoryLevelAsString($B215))),";",EscStr(CONCATENATE("NavNode_",getCategoryLevelAsString($B215))),";"))</f>
        <v>;"NavEntry_L3D_525511";"Motor Controllers Navigation Entry";"cat-L3D_525511";"NavNode_L3D_525511";</v>
      </c>
    </row>
    <row r="216" spans="1:44" s="34" customFormat="1" ht="15" x14ac:dyDescent="0.25">
      <c r="A216" s="25"/>
      <c r="B216" s="5"/>
      <c r="C216" s="5"/>
      <c r="D216" s="5" t="s">
        <v>72</v>
      </c>
      <c r="E216" s="5"/>
      <c r="F216" s="5"/>
      <c r="G216" s="5" t="s">
        <v>289</v>
      </c>
      <c r="H216" s="5" t="s">
        <v>290</v>
      </c>
      <c r="I216" s="5" t="s">
        <v>291</v>
      </c>
      <c r="J216" s="5" t="s">
        <v>73</v>
      </c>
      <c r="K216" s="5" t="s">
        <v>1323</v>
      </c>
      <c r="L216" s="5" t="s">
        <v>15178</v>
      </c>
      <c r="M216" s="5" t="s">
        <v>1775</v>
      </c>
      <c r="N216" s="5" t="s">
        <v>1988</v>
      </c>
      <c r="O216" s="5" t="s">
        <v>3585</v>
      </c>
      <c r="P216" s="5" t="s">
        <v>3586</v>
      </c>
      <c r="Q216" s="5" t="s">
        <v>3587</v>
      </c>
      <c r="R216" s="5" t="s">
        <v>3588</v>
      </c>
      <c r="S216" s="5" t="s">
        <v>3589</v>
      </c>
      <c r="T216" s="5" t="s">
        <v>3590</v>
      </c>
      <c r="U216" s="5" t="s">
        <v>3591</v>
      </c>
      <c r="V216" s="5" t="s">
        <v>3592</v>
      </c>
      <c r="W216" s="5" t="s">
        <v>3593</v>
      </c>
      <c r="X216" s="5" t="s">
        <v>14934</v>
      </c>
      <c r="Y216" s="39" t="str">
        <f>IF(OR($A216&lt;&gt;"", $G216=""),"",CONCATENATE(";",EscStr(CONCATENATE("NavNode_",getCategoryLevelAsString($B216))),";",EscStr($J216),";",IF($B216&lt;&gt;"","""MainCategoryNavNode""",EscStr(CONCATENATE("NavNode_",getSuperCategory($B216, getCategoryLevelAsNumber($B216))))),";"))</f>
        <v>;"NavNode_L3D_525512";"Direct Current Motors";"NavNode_L2D_379617";</v>
      </c>
      <c r="Z216" s="39" t="str">
        <f>IF(getCategoryLevelAsString($B216)="L0D_324785","",IF(G216="",CONCATENATE(";",EscStr(CONCATENATE("NavNode_",getCategoryLevelAsString($B216))),";",EscStr($J216),";"),CONCATENATE(";",EscStr(CONCATENATE("NavNode_",getCategoryLevelAsString($B216))),";",EscStr(G216),";")))</f>
        <v>;"NavNode_L3D_525512";"Gleichstrommotoren";</v>
      </c>
      <c r="AA216" s="39" t="str">
        <f>IF(getCategoryLevelAsString($B216)="L0D_324785","",IF(H216="",CONCATENATE(";",EscStr(CONCATENATE("NavNode_",getCategoryLevelAsString($B216))),";",EscStr($J216),";"),CONCATENATE(";",EscStr(CONCATENATE("NavNode_",getCategoryLevelAsString($B216))),";",EscStr(H216),";")))</f>
        <v>;"NavNode_L3D_525512";"Moteurs à courant continu";</v>
      </c>
      <c r="AB216" s="39" t="str">
        <f>IF(getCategoryLevelAsString($B216)="L0D_324785","",IF(I216="",CONCATENATE(";",EscStr(CONCATENATE("NavNode_",getCategoryLevelAsString($B216))),";",EscStr($J216),";"),CONCATENATE(";",EscStr(CONCATENATE("NavNode_",getCategoryLevelAsString($B216))),";",EscStr(I216),";")))</f>
        <v>;"NavNode_L3D_525512";"Motori a corrente continua";</v>
      </c>
      <c r="AC216" s="39" t="str">
        <f>IF(getCategoryLevelAsString($B216)="L0D_324785","",IF(J216="",CONCATENATE(";",EscStr(CONCATENATE("NavNode_",getCategoryLevelAsString($B216))),";",EscStr($J216),";"),CONCATENATE(";",EscStr(CONCATENATE("NavNode_",getCategoryLevelAsString($B216))),";",EscStr(J216),";")))</f>
        <v>;"NavNode_L3D_525512";"Direct Current Motors";</v>
      </c>
      <c r="AD216" s="39" t="str">
        <f>IF(getCategoryLevelAsString($B216)="L0D_324785","",IF(K216="",CONCATENATE(";",EscStr(CONCATENATE("NavNode_",getCategoryLevelAsString($B216))),";",EscStr($J216),";"),CONCATENATE(";",EscStr(CONCATENATE("NavNode_",getCategoryLevelAsString($B216))),";",EscStr(K216),";")))</f>
        <v>;"NavNode_L3D_525512";"Jævnstrømsmotorer";</v>
      </c>
      <c r="AE216" s="39" t="str">
        <f>IF(getCategoryLevelAsString($B216)="L0D_324785","",IF(L216="",CONCATENATE(";",EscStr(CONCATENATE("NavNode_",getCategoryLevelAsString($B216))),";",EscStr($J216),";"),CONCATENATE(";",EscStr(CONCATENATE("NavNode_",getCategoryLevelAsString($B216))),";",EscStr(L216),";")))</f>
        <v>;"NavNode_L3D_525512";"DC varikliai";</v>
      </c>
      <c r="AF216" s="39" t="str">
        <f>IF(getCategoryLevelAsString($B216)="L0D_324785","",IF(M216="",CONCATENATE(";",EscStr(CONCATENATE("NavNode_",getCategoryLevelAsString($B216))),";",EscStr($J216),";"),CONCATENATE(";",EscStr(CONCATENATE("NavNode_",getCategoryLevelAsString($B216))),";",EscStr(M216),";")))</f>
        <v>;"NavNode_L3D_525512";"Likestrømsmotorer";</v>
      </c>
      <c r="AG216" s="39" t="str">
        <f>IF(getCategoryLevelAsString($B216)="L0D_324785","",IF(N216="",CONCATENATE(";",EscStr(CONCATENATE("NavNode_",getCategoryLevelAsString($B216))),";",EscStr($J216),";"),CONCATENATE(";",EscStr(CONCATENATE("NavNode_",getCategoryLevelAsString($B216))),";",EscStr(N216),";")))</f>
        <v>;"NavNode_L3D_525512";"Likströmsmotorer";</v>
      </c>
      <c r="AH216" s="39" t="str">
        <f>IF(getCategoryLevelAsString($B216)="L0D_324785","",IF(O216="",CONCATENATE(";",EscStr(CONCATENATE("NavNode_",getCategoryLevelAsString($B216))),";",EscStr($J216),";"),CONCATENATE(";",EscStr(CONCATENATE("NavNode_",getCategoryLevelAsString($B216))),";",EscStr(O216),";")))</f>
        <v>;"NavNode_L3D_525512";"Alalisvoolumootorid";</v>
      </c>
      <c r="AI216" s="39" t="str">
        <f>IF(getCategoryLevelAsString($B216)="L0D_324785","",IF(P216="",CONCATENATE(";",EscStr(CONCATENATE("NavNode_",getCategoryLevelAsString($B216))),";",EscStr($J216),";"),CONCATENATE(";",EscStr(CONCATENATE("NavNode_",getCategoryLevelAsString($B216))),";",EscStr(P216),";")))</f>
        <v>;"NavNode_L3D_525512";"DC-virtamoottorit";</v>
      </c>
      <c r="AJ216" s="39" t="str">
        <f>IF(getCategoryLevelAsString($B216)="L0D_324785","",IF(Q216="",CONCATENATE(";",EscStr(CONCATENATE("NavNode_",getCategoryLevelAsString($B216))),";",EscStr($J216),";"),CONCATENATE(";",EscStr(CONCATENATE("NavNode_",getCategoryLevelAsString($B216))),";",EscStr(Q216),";")))</f>
        <v>;"NavNode_L3D_525512";"Līdzstrāvas motori";</v>
      </c>
      <c r="AK216" s="39" t="str">
        <f>IF(getCategoryLevelAsString($B216)="L0D_324785","",IF(R216="",CONCATENATE(";",EscStr(CONCATENATE("NavNode_",getCategoryLevelAsString($B216))),";",EscStr($J216),";"),CONCATENATE(";",EscStr(CONCATENATE("NavNode_",getCategoryLevelAsString($B216))),";",EscStr(R216),";")))</f>
        <v>;"NavNode_L3D_525512";"Gelijkstroommotoren";</v>
      </c>
      <c r="AL216" s="39" t="str">
        <f>IF(getCategoryLevelAsString($B216)="L0D_324785","",IF(S216="",CONCATENATE(";",EscStr(CONCATENATE("NavNode_",getCategoryLevelAsString($B216))),";",EscStr($J216),";"),CONCATENATE(";",EscStr(CONCATENATE("NavNode_",getCategoryLevelAsString($B216))),";",EscStr(S216),";")))</f>
        <v>;"NavNode_L3D_525512";"Silniki prądu stałego";</v>
      </c>
      <c r="AM216" s="39" t="str">
        <f>IF(getCategoryLevelAsString($B216)="L0D_324785","",IF(T216="",CONCATENATE(";",EscStr(CONCATENATE("NavNode_",getCategoryLevelAsString($B216))),";",EscStr($J216),";"),CONCATENATE(";",EscStr(CONCATENATE("NavNode_",getCategoryLevelAsString($B216))),";",EscStr(T216),";")))</f>
        <v>;"NavNode_L3D_525512";"Двигатели постоянного тока";</v>
      </c>
      <c r="AN216" s="39" t="str">
        <f>IF(getCategoryLevelAsString($B216)="L0D_324785","",IF(U216="",CONCATENATE(";",EscStr(CONCATENATE("NavNode_",getCategoryLevelAsString($B216))),";",EscStr($J216),";"),CONCATENATE(";",EscStr(CONCATENATE("NavNode_",getCategoryLevelAsString($B216))),";",EscStr(U216),";")))</f>
        <v>;"NavNode_L3D_525512";"Stejnosměrné motory";</v>
      </c>
      <c r="AO216" s="39" t="str">
        <f>IF(getCategoryLevelAsString($B216)="L0D_324785","",IF(V216="",CONCATENATE(";",EscStr(CONCATENATE("NavNode_",getCategoryLevelAsString($B216))),";",EscStr($J216),";"),CONCATENATE(";",EscStr(CONCATENATE("NavNode_",getCategoryLevelAsString($B216))),";",EscStr(V216),";")))</f>
        <v>;"NavNode_L3D_525512";"Motoare de curent continu";</v>
      </c>
      <c r="AP216" s="39" t="str">
        <f>IF(getCategoryLevelAsString($B216)="L0D_324785","",IF(W216="",CONCATENATE(";",EscStr(CONCATENATE("NavNode_",getCategoryLevelAsString($B216))),";",EscStr($J216),";"),CONCATENATE(";",EscStr(CONCATENATE("NavNode_",getCategoryLevelAsString($B216))),";",EscStr(W216),";")))</f>
        <v>;"NavNode_L3D_525512";"Egyenáramú motorok";</v>
      </c>
      <c r="AQ216" s="39" t="str">
        <f>IF(getCategoryLevelAsString($B216)="L0D_324785","",IF(X216="",CONCATENATE(";",EscStr(CONCATENATE("NavNode_",getCategoryLevelAsString($B216))),";",EscStr($J216),";"),CONCATENATE(";",EscStr(CONCATENATE("NavNode_",getCategoryLevelAsString($B216))),";",EscStr(X216),";")))</f>
        <v>;"NavNode_L3D_525512";"Jednosmerné motory";</v>
      </c>
      <c r="AR216" s="39" t="str">
        <f>IF(OR($A216&lt;&gt;"", $G216=""),"",CONCATENATE(";",EscStr(CONCATENATE("NavEntry_",getCategoryLevelAsString($B216))),";",EscStr(CONCATENATE($J216," Navigation Entry")),";",EscStr(CONCATENATE("cat-",getCategoryLevelAsString($B216))),";",EscStr(CONCATENATE("NavNode_",getCategoryLevelAsString($B216))),";"))</f>
        <v>;"NavEntry_L3D_525512";"Direct Current Motors Navigation Entry";"cat-L3D_525512";"NavNode_L3D_525512";</v>
      </c>
    </row>
    <row r="217" spans="1:44" s="34" customFormat="1" ht="15" x14ac:dyDescent="0.25">
      <c r="A217" s="25"/>
      <c r="B217" s="5"/>
      <c r="C217" s="5"/>
      <c r="D217" s="5" t="s">
        <v>78</v>
      </c>
      <c r="E217" s="5"/>
      <c r="F217" s="5"/>
      <c r="G217" s="5" t="s">
        <v>297</v>
      </c>
      <c r="H217" s="5" t="s">
        <v>298</v>
      </c>
      <c r="I217" s="5" t="s">
        <v>299</v>
      </c>
      <c r="J217" s="5" t="s">
        <v>79</v>
      </c>
      <c r="K217" s="5" t="s">
        <v>1324</v>
      </c>
      <c r="L217" s="5" t="s">
        <v>15179</v>
      </c>
      <c r="M217" s="5" t="s">
        <v>1776</v>
      </c>
      <c r="N217" s="5" t="s">
        <v>1989</v>
      </c>
      <c r="O217" s="5" t="s">
        <v>3594</v>
      </c>
      <c r="P217" s="5" t="s">
        <v>3595</v>
      </c>
      <c r="Q217" s="5" t="s">
        <v>3596</v>
      </c>
      <c r="R217" s="5" t="s">
        <v>3597</v>
      </c>
      <c r="S217" s="5" t="s">
        <v>3598</v>
      </c>
      <c r="T217" s="5" t="s">
        <v>3599</v>
      </c>
      <c r="U217" s="5" t="s">
        <v>3600</v>
      </c>
      <c r="V217" s="5" t="s">
        <v>3601</v>
      </c>
      <c r="W217" s="5" t="s">
        <v>3602</v>
      </c>
      <c r="X217" s="5" t="s">
        <v>3600</v>
      </c>
      <c r="Y217" s="39" t="str">
        <f>IF(OR($A217&lt;&gt;"", $G217=""),"",CONCATENATE(";",EscStr(CONCATENATE("NavNode_",getCategoryLevelAsString($B217))),";",EscStr($J217),";",IF($B217&lt;&gt;"","""MainCategoryNavNode""",EscStr(CONCATENATE("NavNode_",getSuperCategory($B217, getCategoryLevelAsNumber($B217))))),";"))</f>
        <v>;"NavNode_L3D_525513";"Stepper Motors and Servo Drives";"NavNode_L2D_379617";</v>
      </c>
      <c r="Z217" s="39" t="str">
        <f>IF(getCategoryLevelAsString($B217)="L0D_324785","",IF(G217="",CONCATENATE(";",EscStr(CONCATENATE("NavNode_",getCategoryLevelAsString($B217))),";",EscStr($J217),";"),CONCATENATE(";",EscStr(CONCATENATE("NavNode_",getCategoryLevelAsString($B217))),";",EscStr(G217),";")))</f>
        <v>;"NavNode_L3D_525513";"Schrittmotoren und Servoantriebe";</v>
      </c>
      <c r="AA217" s="39" t="str">
        <f>IF(getCategoryLevelAsString($B217)="L0D_324785","",IF(H217="",CONCATENATE(";",EscStr(CONCATENATE("NavNode_",getCategoryLevelAsString($B217))),";",EscStr($J217),";"),CONCATENATE(";",EscStr(CONCATENATE("NavNode_",getCategoryLevelAsString($B217))),";",EscStr(H217),";")))</f>
        <v>;"NavNode_L3D_525513";"Moteurs pas à pas et Servocommandes";</v>
      </c>
      <c r="AB217" s="39" t="str">
        <f>IF(getCategoryLevelAsString($B217)="L0D_324785","",IF(I217="",CONCATENATE(";",EscStr(CONCATENATE("NavNode_",getCategoryLevelAsString($B217))),";",EscStr($J217),";"),CONCATENATE(";",EscStr(CONCATENATE("NavNode_",getCategoryLevelAsString($B217))),";",EscStr(I217),";")))</f>
        <v>;"NavNode_L3D_525513";"Motori passo-passo e servoazionamenti";</v>
      </c>
      <c r="AC217" s="39" t="str">
        <f>IF(getCategoryLevelAsString($B217)="L0D_324785","",IF(J217="",CONCATENATE(";",EscStr(CONCATENATE("NavNode_",getCategoryLevelAsString($B217))),";",EscStr($J217),";"),CONCATENATE(";",EscStr(CONCATENATE("NavNode_",getCategoryLevelAsString($B217))),";",EscStr(J217),";")))</f>
        <v>;"NavNode_L3D_525513";"Stepper Motors and Servo Drives";</v>
      </c>
      <c r="AD217" s="39" t="str">
        <f>IF(getCategoryLevelAsString($B217)="L0D_324785","",IF(K217="",CONCATENATE(";",EscStr(CONCATENATE("NavNode_",getCategoryLevelAsString($B217))),";",EscStr($J217),";"),CONCATENATE(";",EscStr(CONCATENATE("NavNode_",getCategoryLevelAsString($B217))),";",EscStr(K217),";")))</f>
        <v>;"NavNode_L3D_525513";"Stepmotorer og servodrev";</v>
      </c>
      <c r="AE217" s="39" t="str">
        <f>IF(getCategoryLevelAsString($B217)="L0D_324785","",IF(L217="",CONCATENATE(";",EscStr(CONCATENATE("NavNode_",getCategoryLevelAsString($B217))),";",EscStr($J217),";"),CONCATENATE(";",EscStr(CONCATENATE("NavNode_",getCategoryLevelAsString($B217))),";",EscStr(L217),";")))</f>
        <v>;"NavNode_L3D_525513";"Žingsniniai varikliai ir servo pavaros";</v>
      </c>
      <c r="AF217" s="39" t="str">
        <f>IF(getCategoryLevelAsString($B217)="L0D_324785","",IF(M217="",CONCATENATE(";",EscStr(CONCATENATE("NavNode_",getCategoryLevelAsString($B217))),";",EscStr($J217),";"),CONCATENATE(";",EscStr(CONCATENATE("NavNode_",getCategoryLevelAsString($B217))),";",EscStr(M217),";")))</f>
        <v>;"NavNode_L3D_525513";"Trinnmotorer og servomotorer";</v>
      </c>
      <c r="AG217" s="39" t="str">
        <f>IF(getCategoryLevelAsString($B217)="L0D_324785","",IF(N217="",CONCATENATE(";",EscStr(CONCATENATE("NavNode_",getCategoryLevelAsString($B217))),";",EscStr($J217),";"),CONCATENATE(";",EscStr(CONCATENATE("NavNode_",getCategoryLevelAsString($B217))),";",EscStr(N217),";")))</f>
        <v>;"NavNode_L3D_525513";"Stegmotorer och servodrivenheter";</v>
      </c>
      <c r="AH217" s="39" t="str">
        <f>IF(getCategoryLevelAsString($B217)="L0D_324785","",IF(O217="",CONCATENATE(";",EscStr(CONCATENATE("NavNode_",getCategoryLevelAsString($B217))),";",EscStr($J217),";"),CONCATENATE(";",EscStr(CONCATENATE("NavNode_",getCategoryLevelAsString($B217))),";",EscStr(O217),";")))</f>
        <v>;"NavNode_L3D_525513";"Sammmootorid ja servoajamid";</v>
      </c>
      <c r="AI217" s="39" t="str">
        <f>IF(getCategoryLevelAsString($B217)="L0D_324785","",IF(P217="",CONCATENATE(";",EscStr(CONCATENATE("NavNode_",getCategoryLevelAsString($B217))),";",EscStr($J217),";"),CONCATENATE(";",EscStr(CONCATENATE("NavNode_",getCategoryLevelAsString($B217))),";",EscStr(P217),";")))</f>
        <v>;"NavNode_L3D_525513";"Askelmoottorit";</v>
      </c>
      <c r="AJ217" s="39" t="str">
        <f>IF(getCategoryLevelAsString($B217)="L0D_324785","",IF(Q217="",CONCATENATE(";",EscStr(CONCATENATE("NavNode_",getCategoryLevelAsString($B217))),";",EscStr($J217),";"),CONCATENATE(";",EscStr(CONCATENATE("NavNode_",getCategoryLevelAsString($B217))),";",EscStr(Q217),";")))</f>
        <v>;"NavNode_L3D_525513";"Soļu dzinēji un servodzinēji";</v>
      </c>
      <c r="AK217" s="39" t="str">
        <f>IF(getCategoryLevelAsString($B217)="L0D_324785","",IF(R217="",CONCATENATE(";",EscStr(CONCATENATE("NavNode_",getCategoryLevelAsString($B217))),";",EscStr($J217),";"),CONCATENATE(";",EscStr(CONCATENATE("NavNode_",getCategoryLevelAsString($B217))),";",EscStr(R217),";")))</f>
        <v>;"NavNode_L3D_525513";"Servo en stappenmotoren";</v>
      </c>
      <c r="AL217" s="39" t="str">
        <f>IF(getCategoryLevelAsString($B217)="L0D_324785","",IF(S217="",CONCATENATE(";",EscStr(CONCATENATE("NavNode_",getCategoryLevelAsString($B217))),";",EscStr($J217),";"),CONCATENATE(";",EscStr(CONCATENATE("NavNode_",getCategoryLevelAsString($B217))),";",EscStr(S217),";")))</f>
        <v>;"NavNode_L3D_525513";"Silniki krokowe i Napędy serwo";</v>
      </c>
      <c r="AM217" s="39" t="str">
        <f>IF(getCategoryLevelAsString($B217)="L0D_324785","",IF(T217="",CONCATENATE(";",EscStr(CONCATENATE("NavNode_",getCategoryLevelAsString($B217))),";",EscStr($J217),";"),CONCATENATE(";",EscStr(CONCATENATE("NavNode_",getCategoryLevelAsString($B217))),";",EscStr(T217),";")))</f>
        <v>;"NavNode_L3D_525513";"Шаговых двигателей и Сервоприводы";</v>
      </c>
      <c r="AN217" s="39" t="str">
        <f>IF(getCategoryLevelAsString($B217)="L0D_324785","",IF(U217="",CONCATENATE(";",EscStr(CONCATENATE("NavNode_",getCategoryLevelAsString($B217))),";",EscStr($J217),";"),CONCATENATE(";",EscStr(CONCATENATE("NavNode_",getCategoryLevelAsString($B217))),";",EscStr(U217),";")))</f>
        <v>;"NavNode_L3D_525513";"Krokové motory a servopohony";</v>
      </c>
      <c r="AO217" s="39" t="str">
        <f>IF(getCategoryLevelAsString($B217)="L0D_324785","",IF(V217="",CONCATENATE(";",EscStr(CONCATENATE("NavNode_",getCategoryLevelAsString($B217))),";",EscStr($J217),";"),CONCATENATE(";",EscStr(CONCATENATE("NavNode_",getCategoryLevelAsString($B217))),";",EscStr(V217),";")))</f>
        <v>;"NavNode_L3D_525513";"Motoare cu pas şi servo Drive";</v>
      </c>
      <c r="AP217" s="39" t="str">
        <f>IF(getCategoryLevelAsString($B217)="L0D_324785","",IF(W217="",CONCATENATE(";",EscStr(CONCATENATE("NavNode_",getCategoryLevelAsString($B217))),";",EscStr($J217),";"),CONCATENATE(";",EscStr(CONCATENATE("NavNode_",getCategoryLevelAsString($B217))),";",EscStr(W217),";")))</f>
        <v>;"NavNode_L3D_525513";"Léptetőmotorok és szervohajtások";</v>
      </c>
      <c r="AQ217" s="39" t="str">
        <f>IF(getCategoryLevelAsString($B217)="L0D_324785","",IF(X217="",CONCATENATE(";",EscStr(CONCATENATE("NavNode_",getCategoryLevelAsString($B217))),";",EscStr($J217),";"),CONCATENATE(";",EscStr(CONCATENATE("NavNode_",getCategoryLevelAsString($B217))),";",EscStr(X217),";")))</f>
        <v>;"NavNode_L3D_525513";"Krokové motory a servopohony";</v>
      </c>
      <c r="AR217" s="39" t="str">
        <f>IF(OR($A217&lt;&gt;"", $G217=""),"",CONCATENATE(";",EscStr(CONCATENATE("NavEntry_",getCategoryLevelAsString($B217))),";",EscStr(CONCATENATE($J217," Navigation Entry")),";",EscStr(CONCATENATE("cat-",getCategoryLevelAsString($B217))),";",EscStr(CONCATENATE("NavNode_",getCategoryLevelAsString($B217))),";"))</f>
        <v>;"NavEntry_L3D_525513";"Stepper Motors and Servo Drives Navigation Entry";"cat-L3D_525513";"NavNode_L3D_525513";</v>
      </c>
    </row>
    <row r="218" spans="1:44" s="34" customFormat="1" ht="15" x14ac:dyDescent="0.25">
      <c r="A218" s="25"/>
      <c r="B218" s="5"/>
      <c r="C218" s="5"/>
      <c r="D218" s="5" t="s">
        <v>70</v>
      </c>
      <c r="E218" s="5"/>
      <c r="F218" s="5"/>
      <c r="G218" s="5" t="s">
        <v>286</v>
      </c>
      <c r="H218" s="5" t="s">
        <v>287</v>
      </c>
      <c r="I218" s="5" t="s">
        <v>288</v>
      </c>
      <c r="J218" s="5" t="s">
        <v>71</v>
      </c>
      <c r="K218" s="5" t="s">
        <v>1325</v>
      </c>
      <c r="L218" s="5" t="s">
        <v>1560</v>
      </c>
      <c r="M218" s="5" t="s">
        <v>1777</v>
      </c>
      <c r="N218" s="5" t="s">
        <v>1990</v>
      </c>
      <c r="O218" s="5" t="s">
        <v>3603</v>
      </c>
      <c r="P218" s="5" t="s">
        <v>3604</v>
      </c>
      <c r="Q218" s="5" t="s">
        <v>3605</v>
      </c>
      <c r="R218" s="5" t="s">
        <v>3606</v>
      </c>
      <c r="S218" s="5" t="s">
        <v>3607</v>
      </c>
      <c r="T218" s="5" t="s">
        <v>3608</v>
      </c>
      <c r="U218" s="5" t="s">
        <v>3609</v>
      </c>
      <c r="V218" s="5" t="s">
        <v>3610</v>
      </c>
      <c r="W218" s="5" t="s">
        <v>3611</v>
      </c>
      <c r="X218" s="5" t="s">
        <v>3609</v>
      </c>
      <c r="Y218" s="39" t="str">
        <f>IF(OR($A218&lt;&gt;"", $G218=""),"",CONCATENATE(";",EscStr(CONCATENATE("NavNode_",getCategoryLevelAsString($B218))),";",EscStr($J218),";",IF($B218&lt;&gt;"","""MainCategoryNavNode""",EscStr(CONCATENATE("NavNode_",getSuperCategory($B218, getCategoryLevelAsNumber($B218))))),";"))</f>
        <v>;"NavNode_L3D_525514";"Alternating Current and Three-phase Motors";"NavNode_L2D_379617";</v>
      </c>
      <c r="Z218" s="39" t="str">
        <f>IF(getCategoryLevelAsString($B218)="L0D_324785","",IF(G218="",CONCATENATE(";",EscStr(CONCATENATE("NavNode_",getCategoryLevelAsString($B218))),";",EscStr($J218),";"),CONCATENATE(";",EscStr(CONCATENATE("NavNode_",getCategoryLevelAsString($B218))),";",EscStr(G218),";")))</f>
        <v>;"NavNode_L3D_525514";"Wechselstrom- und Drehstrommotoren";</v>
      </c>
      <c r="AA218" s="39" t="str">
        <f>IF(getCategoryLevelAsString($B218)="L0D_324785","",IF(H218="",CONCATENATE(";",EscStr(CONCATENATE("NavNode_",getCategoryLevelAsString($B218))),";",EscStr($J218),";"),CONCATENATE(";",EscStr(CONCATENATE("NavNode_",getCategoryLevelAsString($B218))),";",EscStr(H218),";")))</f>
        <v>;"NavNode_L3D_525514";"Courant alternatif et moteurs à courant triphasé";</v>
      </c>
      <c r="AB218" s="39" t="str">
        <f>IF(getCategoryLevelAsString($B218)="L0D_324785","",IF(I218="",CONCATENATE(";",EscStr(CONCATENATE("NavNode_",getCategoryLevelAsString($B218))),";",EscStr($J218),";"),CONCATENATE(";",EscStr(CONCATENATE("NavNode_",getCategoryLevelAsString($B218))),";",EscStr(I218),";")))</f>
        <v>;"NavNode_L3D_525514";"Motori a corrente alternata e trifase";</v>
      </c>
      <c r="AC218" s="39" t="str">
        <f>IF(getCategoryLevelAsString($B218)="L0D_324785","",IF(J218="",CONCATENATE(";",EscStr(CONCATENATE("NavNode_",getCategoryLevelAsString($B218))),";",EscStr($J218),";"),CONCATENATE(";",EscStr(CONCATENATE("NavNode_",getCategoryLevelAsString($B218))),";",EscStr(J218),";")))</f>
        <v>;"NavNode_L3D_525514";"Alternating Current and Three-phase Motors";</v>
      </c>
      <c r="AD218" s="39" t="str">
        <f>IF(getCategoryLevelAsString($B218)="L0D_324785","",IF(K218="",CONCATENATE(";",EscStr(CONCATENATE("NavNode_",getCategoryLevelAsString($B218))),";",EscStr($J218),";"),CONCATENATE(";",EscStr(CONCATENATE("NavNode_",getCategoryLevelAsString($B218))),";",EscStr(K218),";")))</f>
        <v>;"NavNode_L3D_525514";"Vekselstrøms- og trefase-motorer";</v>
      </c>
      <c r="AE218" s="39" t="str">
        <f>IF(getCategoryLevelAsString($B218)="L0D_324785","",IF(L218="",CONCATENATE(";",EscStr(CONCATENATE("NavNode_",getCategoryLevelAsString($B218))),";",EscStr($J218),";"),CONCATENATE(";",EscStr(CONCATENATE("NavNode_",getCategoryLevelAsString($B218))),";",EscStr(L218),";")))</f>
        <v>;"NavNode_L3D_525514";"Kintamosios srovės ir trifaziai varikliai";</v>
      </c>
      <c r="AF218" s="39" t="str">
        <f>IF(getCategoryLevelAsString($B218)="L0D_324785","",IF(M218="",CONCATENATE(";",EscStr(CONCATENATE("NavNode_",getCategoryLevelAsString($B218))),";",EscStr($J218),";"),CONCATENATE(";",EscStr(CONCATENATE("NavNode_",getCategoryLevelAsString($B218))),";",EscStr(M218),";")))</f>
        <v>;"NavNode_L3D_525514";"Vekselstrøm og trefasemotorer";</v>
      </c>
      <c r="AG218" s="39" t="str">
        <f>IF(getCategoryLevelAsString($B218)="L0D_324785","",IF(N218="",CONCATENATE(";",EscStr(CONCATENATE("NavNode_",getCategoryLevelAsString($B218))),";",EscStr($J218),";"),CONCATENATE(";",EscStr(CONCATENATE("NavNode_",getCategoryLevelAsString($B218))),";",EscStr(N218),";")))</f>
        <v>;"NavNode_L3D_525514";"Växelströms- och trefasmotorer";</v>
      </c>
      <c r="AH218" s="39" t="str">
        <f>IF(getCategoryLevelAsString($B218)="L0D_324785","",IF(O218="",CONCATENATE(";",EscStr(CONCATENATE("NavNode_",getCategoryLevelAsString($B218))),";",EscStr($J218),";"),CONCATENATE(";",EscStr(CONCATENATE("NavNode_",getCategoryLevelAsString($B218))),";",EscStr(O218),";")))</f>
        <v>;"NavNode_L3D_525514";"Vahelduvvoolu ja kolmefaasilised mootorid";</v>
      </c>
      <c r="AI218" s="39" t="str">
        <f>IF(getCategoryLevelAsString($B218)="L0D_324785","",IF(P218="",CONCATENATE(";",EscStr(CONCATENATE("NavNode_",getCategoryLevelAsString($B218))),";",EscStr($J218),";"),CONCATENATE(";",EscStr(CONCATENATE("NavNode_",getCategoryLevelAsString($B218))),";",EscStr(P218),";")))</f>
        <v>;"NavNode_L3D_525514";"AC-virtamoottorit";</v>
      </c>
      <c r="AJ218" s="39" t="str">
        <f>IF(getCategoryLevelAsString($B218)="L0D_324785","",IF(Q218="",CONCATENATE(";",EscStr(CONCATENATE("NavNode_",getCategoryLevelAsString($B218))),";",EscStr($J218),";"),CONCATENATE(";",EscStr(CONCATENATE("NavNode_",getCategoryLevelAsString($B218))),";",EscStr(Q218),";")))</f>
        <v>;"NavNode_L3D_525514";"Maiņstrāvas un trīsfāzu motori";</v>
      </c>
      <c r="AK218" s="39" t="str">
        <f>IF(getCategoryLevelAsString($B218)="L0D_324785","",IF(R218="",CONCATENATE(";",EscStr(CONCATENATE("NavNode_",getCategoryLevelAsString($B218))),";",EscStr($J218),";"),CONCATENATE(";",EscStr(CONCATENATE("NavNode_",getCategoryLevelAsString($B218))),";",EscStr(R218),";")))</f>
        <v>;"NavNode_L3D_525514";"Driefasen en wisselstroommotoren";</v>
      </c>
      <c r="AL218" s="39" t="str">
        <f>IF(getCategoryLevelAsString($B218)="L0D_324785","",IF(S218="",CONCATENATE(";",EscStr(CONCATENATE("NavNode_",getCategoryLevelAsString($B218))),";",EscStr($J218),";"),CONCATENATE(";",EscStr(CONCATENATE("NavNode_",getCategoryLevelAsString($B218))),";",EscStr(S218),";")))</f>
        <v>;"NavNode_L3D_525514";"Silniki prądu przemiennego i trójfazowe";</v>
      </c>
      <c r="AM218" s="39" t="str">
        <f>IF(getCategoryLevelAsString($B218)="L0D_324785","",IF(T218="",CONCATENATE(";",EscStr(CONCATENATE("NavNode_",getCategoryLevelAsString($B218))),";",EscStr($J218),";"),CONCATENATE(";",EscStr(CONCATENATE("NavNode_",getCategoryLevelAsString($B218))),";",EscStr(T218),";")))</f>
        <v>;"NavNode_L3D_525514";"Двигатели переменного тока и Трехфазные двигатели";</v>
      </c>
      <c r="AN218" s="39" t="str">
        <f>IF(getCategoryLevelAsString($B218)="L0D_324785","",IF(U218="",CONCATENATE(";",EscStr(CONCATENATE("NavNode_",getCategoryLevelAsString($B218))),";",EscStr($J218),";"),CONCATENATE(";",EscStr(CONCATENATE("NavNode_",getCategoryLevelAsString($B218))),";",EscStr(U218),";")))</f>
        <v>;"NavNode_L3D_525514";"Striedavé a trojfázové motory";</v>
      </c>
      <c r="AO218" s="39" t="str">
        <f>IF(getCategoryLevelAsString($B218)="L0D_324785","",IF(V218="",CONCATENATE(";",EscStr(CONCATENATE("NavNode_",getCategoryLevelAsString($B218))),";",EscStr($J218),";"),CONCATENATE(";",EscStr(CONCATENATE("NavNode_",getCategoryLevelAsString($B218))),";",EscStr(V218),";")))</f>
        <v>;"NavNode_L3D_525514";"Tensiune AC și motoare AC";</v>
      </c>
      <c r="AP218" s="39" t="str">
        <f>IF(getCategoryLevelAsString($B218)="L0D_324785","",IF(W218="",CONCATENATE(";",EscStr(CONCATENATE("NavNode_",getCategoryLevelAsString($B218))),";",EscStr($J218),";"),CONCATENATE(";",EscStr(CONCATENATE("NavNode_",getCategoryLevelAsString($B218))),";",EscStr(W218),";")))</f>
        <v>;"NavNode_L3D_525514";"Váltakozó- és háromfázisú motorok";</v>
      </c>
      <c r="AQ218" s="39" t="str">
        <f>IF(getCategoryLevelAsString($B218)="L0D_324785","",IF(X218="",CONCATENATE(";",EscStr(CONCATENATE("NavNode_",getCategoryLevelAsString($B218))),";",EscStr($J218),";"),CONCATENATE(";",EscStr(CONCATENATE("NavNode_",getCategoryLevelAsString($B218))),";",EscStr(X218),";")))</f>
        <v>;"NavNode_L3D_525514";"Striedavé a trojfázové motory";</v>
      </c>
      <c r="AR218" s="39" t="str">
        <f>IF(OR($A218&lt;&gt;"", $G218=""),"",CONCATENATE(";",EscStr(CONCATENATE("NavEntry_",getCategoryLevelAsString($B218))),";",EscStr(CONCATENATE($J218," Navigation Entry")),";",EscStr(CONCATENATE("cat-",getCategoryLevelAsString($B218))),";",EscStr(CONCATENATE("NavNode_",getCategoryLevelAsString($B218))),";"))</f>
        <v>;"NavEntry_L3D_525514";"Alternating Current and Three-phase Motors Navigation Entry";"cat-L3D_525514";"NavNode_L3D_525514";</v>
      </c>
    </row>
    <row r="219" spans="1:44" s="34" customFormat="1" ht="15" x14ac:dyDescent="0.25">
      <c r="A219" s="25"/>
      <c r="B219" s="5"/>
      <c r="C219" s="5"/>
      <c r="D219" s="5" t="s">
        <v>80</v>
      </c>
      <c r="E219" s="5"/>
      <c r="F219" s="5"/>
      <c r="G219" s="5" t="s">
        <v>981</v>
      </c>
      <c r="H219" s="5" t="s">
        <v>81</v>
      </c>
      <c r="I219" s="5" t="s">
        <v>1142</v>
      </c>
      <c r="J219" s="5" t="s">
        <v>81</v>
      </c>
      <c r="K219" s="5" t="s">
        <v>1326</v>
      </c>
      <c r="L219" s="5" t="s">
        <v>1561</v>
      </c>
      <c r="M219" s="5" t="s">
        <v>1778</v>
      </c>
      <c r="N219" s="5" t="s">
        <v>1326</v>
      </c>
      <c r="O219" s="5" t="s">
        <v>3612</v>
      </c>
      <c r="P219" s="5" t="s">
        <v>3613</v>
      </c>
      <c r="Q219" s="5" t="s">
        <v>3614</v>
      </c>
      <c r="R219" s="5" t="s">
        <v>3615</v>
      </c>
      <c r="S219" s="5" t="s">
        <v>3616</v>
      </c>
      <c r="T219" s="5" t="s">
        <v>3617</v>
      </c>
      <c r="U219" s="5" t="s">
        <v>3618</v>
      </c>
      <c r="V219" s="5" t="s">
        <v>3619</v>
      </c>
      <c r="W219" s="5" t="s">
        <v>3620</v>
      </c>
      <c r="X219" s="5" t="s">
        <v>14935</v>
      </c>
      <c r="Y219" s="39" t="str">
        <f>IF(OR($A219&lt;&gt;"", $G219=""),"",CONCATENATE(";",EscStr(CONCATENATE("NavNode_",getCategoryLevelAsString($B219))),";",EscStr($J219),";",IF($B219&lt;&gt;"","""MainCategoryNavNode""",EscStr(CONCATENATE("NavNode_",getSuperCategory($B219, getCategoryLevelAsNumber($B219))))),";"))</f>
        <v>;"NavNode_L3D_525515";"Transmissions";"NavNode_L2D_379617";</v>
      </c>
      <c r="Z219" s="39" t="str">
        <f>IF(getCategoryLevelAsString($B219)="L0D_324785","",IF(G219="",CONCATENATE(";",EscStr(CONCATENATE("NavNode_",getCategoryLevelAsString($B219))),";",EscStr($J219),";"),CONCATENATE(";",EscStr(CONCATENATE("NavNode_",getCategoryLevelAsString($B219))),";",EscStr(G219),";")))</f>
        <v>;"NavNode_L3D_525515";"Getriebe";</v>
      </c>
      <c r="AA219" s="39" t="str">
        <f>IF(getCategoryLevelAsString($B219)="L0D_324785","",IF(H219="",CONCATENATE(";",EscStr(CONCATENATE("NavNode_",getCategoryLevelAsString($B219))),";",EscStr($J219),";"),CONCATENATE(";",EscStr(CONCATENATE("NavNode_",getCategoryLevelAsString($B219))),";",EscStr(H219),";")))</f>
        <v>;"NavNode_L3D_525515";"Transmissions";</v>
      </c>
      <c r="AB219" s="39" t="str">
        <f>IF(getCategoryLevelAsString($B219)="L0D_324785","",IF(I219="",CONCATENATE(";",EscStr(CONCATENATE("NavNode_",getCategoryLevelAsString($B219))),";",EscStr($J219),";"),CONCATENATE(";",EscStr(CONCATENATE("NavNode_",getCategoryLevelAsString($B219))),";",EscStr(I219),";")))</f>
        <v>;"NavNode_L3D_525515";"Trasmissioni";</v>
      </c>
      <c r="AC219" s="39" t="str">
        <f>IF(getCategoryLevelAsString($B219)="L0D_324785","",IF(J219="",CONCATENATE(";",EscStr(CONCATENATE("NavNode_",getCategoryLevelAsString($B219))),";",EscStr($J219),";"),CONCATENATE(";",EscStr(CONCATENATE("NavNode_",getCategoryLevelAsString($B219))),";",EscStr(J219),";")))</f>
        <v>;"NavNode_L3D_525515";"Transmissions";</v>
      </c>
      <c r="AD219" s="39" t="str">
        <f>IF(getCategoryLevelAsString($B219)="L0D_324785","",IF(K219="",CONCATENATE(";",EscStr(CONCATENATE("NavNode_",getCategoryLevelAsString($B219))),";",EscStr($J219),";"),CONCATENATE(";",EscStr(CONCATENATE("NavNode_",getCategoryLevelAsString($B219))),";",EscStr(K219),";")))</f>
        <v>;"NavNode_L3D_525515";"Transmissioner";</v>
      </c>
      <c r="AE219" s="39" t="str">
        <f>IF(getCategoryLevelAsString($B219)="L0D_324785","",IF(L219="",CONCATENATE(";",EscStr(CONCATENATE("NavNode_",getCategoryLevelAsString($B219))),";",EscStr($J219),";"),CONCATENATE(";",EscStr(CONCATENATE("NavNode_",getCategoryLevelAsString($B219))),";",EscStr(L219),";")))</f>
        <v>;"NavNode_L3D_525515";"Perdavimo komponentai";</v>
      </c>
      <c r="AF219" s="39" t="str">
        <f>IF(getCategoryLevelAsString($B219)="L0D_324785","",IF(M219="",CONCATENATE(";",EscStr(CONCATENATE("NavNode_",getCategoryLevelAsString($B219))),";",EscStr($J219),";"),CONCATENATE(";",EscStr(CONCATENATE("NavNode_",getCategoryLevelAsString($B219))),";",EscStr(M219),";")))</f>
        <v>;"NavNode_L3D_525515";"Overføringer";</v>
      </c>
      <c r="AG219" s="39" t="str">
        <f>IF(getCategoryLevelAsString($B219)="L0D_324785","",IF(N219="",CONCATENATE(";",EscStr(CONCATENATE("NavNode_",getCategoryLevelAsString($B219))),";",EscStr($J219),";"),CONCATENATE(";",EscStr(CONCATENATE("NavNode_",getCategoryLevelAsString($B219))),";",EscStr(N219),";")))</f>
        <v>;"NavNode_L3D_525515";"Transmissioner";</v>
      </c>
      <c r="AH219" s="39" t="str">
        <f>IF(getCategoryLevelAsString($B219)="L0D_324785","",IF(O219="",CONCATENATE(";",EscStr(CONCATENATE("NavNode_",getCategoryLevelAsString($B219))),";",EscStr($J219),";"),CONCATENATE(";",EscStr(CONCATENATE("NavNode_",getCategoryLevelAsString($B219))),";",EscStr(O219),";")))</f>
        <v>;"NavNode_L3D_525515";"Jõuülekanded";</v>
      </c>
      <c r="AI219" s="39" t="str">
        <f>IF(getCategoryLevelAsString($B219)="L0D_324785","",IF(P219="",CONCATENATE(";",EscStr(CONCATENATE("NavNode_",getCategoryLevelAsString($B219))),";",EscStr($J219),";"),CONCATENATE(";",EscStr(CONCATENATE("NavNode_",getCategoryLevelAsString($B219))),";",EscStr(P219),";")))</f>
        <v>;"NavNode_L3D_525515";"Vaihteet";</v>
      </c>
      <c r="AJ219" s="39" t="str">
        <f>IF(getCategoryLevelAsString($B219)="L0D_324785","",IF(Q219="",CONCATENATE(";",EscStr(CONCATENATE("NavNode_",getCategoryLevelAsString($B219))),";",EscStr($J219),";"),CONCATENATE(";",EscStr(CONCATENATE("NavNode_",getCategoryLevelAsString($B219))),";",EscStr(Q219),";")))</f>
        <v>;"NavNode_L3D_525515";"Transmisijas";</v>
      </c>
      <c r="AK219" s="39" t="str">
        <f>IF(getCategoryLevelAsString($B219)="L0D_324785","",IF(R219="",CONCATENATE(";",EscStr(CONCATENATE("NavNode_",getCategoryLevelAsString($B219))),";",EscStr($J219),";"),CONCATENATE(";",EscStr(CONCATENATE("NavNode_",getCategoryLevelAsString($B219))),";",EscStr(R219),";")))</f>
        <v>;"NavNode_L3D_525515";"Overbrengingen";</v>
      </c>
      <c r="AL219" s="39" t="str">
        <f>IF(getCategoryLevelAsString($B219)="L0D_324785","",IF(S219="",CONCATENATE(";",EscStr(CONCATENATE("NavNode_",getCategoryLevelAsString($B219))),";",EscStr($J219),";"),CONCATENATE(";",EscStr(CONCATENATE("NavNode_",getCategoryLevelAsString($B219))),";",EscStr(S219),";")))</f>
        <v>;"NavNode_L3D_525515";"Napędy";</v>
      </c>
      <c r="AM219" s="39" t="str">
        <f>IF(getCategoryLevelAsString($B219)="L0D_324785","",IF(T219="",CONCATENATE(";",EscStr(CONCATENATE("NavNode_",getCategoryLevelAsString($B219))),";",EscStr($J219),";"),CONCATENATE(";",EscStr(CONCATENATE("NavNode_",getCategoryLevelAsString($B219))),";",EscStr(T219),";")))</f>
        <v>;"NavNode_L3D_525515";"Трансмиссии";</v>
      </c>
      <c r="AN219" s="39" t="str">
        <f>IF(getCategoryLevelAsString($B219)="L0D_324785","",IF(U219="",CONCATENATE(";",EscStr(CONCATENATE("NavNode_",getCategoryLevelAsString($B219))),";",EscStr($J219),";"),CONCATENATE(";",EscStr(CONCATENATE("NavNode_",getCategoryLevelAsString($B219))),";",EscStr(U219),";")))</f>
        <v>;"NavNode_L3D_525515";"Převodovka";</v>
      </c>
      <c r="AO219" s="39" t="str">
        <f>IF(getCategoryLevelAsString($B219)="L0D_324785","",IF(V219="",CONCATENATE(";",EscStr(CONCATENATE("NavNode_",getCategoryLevelAsString($B219))),";",EscStr($J219),";"),CONCATENATE(";",EscStr(CONCATENATE("NavNode_",getCategoryLevelAsString($B219))),";",EscStr(V219),";")))</f>
        <v>;"NavNode_L3D_525515";"Aparate de acţionare";</v>
      </c>
      <c r="AP219" s="39" t="str">
        <f>IF(getCategoryLevelAsString($B219)="L0D_324785","",IF(W219="",CONCATENATE(";",EscStr(CONCATENATE("NavNode_",getCategoryLevelAsString($B219))),";",EscStr($J219),";"),CONCATENATE(";",EscStr(CONCATENATE("NavNode_",getCategoryLevelAsString($B219))),";",EscStr(W219),";")))</f>
        <v>;"NavNode_L3D_525515";"Hajtómű";</v>
      </c>
      <c r="AQ219" s="39" t="str">
        <f>IF(getCategoryLevelAsString($B219)="L0D_324785","",IF(X219="",CONCATENATE(";",EscStr(CONCATENATE("NavNode_",getCategoryLevelAsString($B219))),";",EscStr($J219),";"),CONCATENATE(";",EscStr(CONCATENATE("NavNode_",getCategoryLevelAsString($B219))),";",EscStr(X219),";")))</f>
        <v>;"NavNode_L3D_525515";"Prevodovka";</v>
      </c>
      <c r="AR219" s="39" t="str">
        <f>IF(OR($A219&lt;&gt;"", $G219=""),"",CONCATENATE(";",EscStr(CONCATENATE("NavEntry_",getCategoryLevelAsString($B219))),";",EscStr(CONCATENATE($J219," Navigation Entry")),";",EscStr(CONCATENATE("cat-",getCategoryLevelAsString($B219))),";",EscStr(CONCATENATE("NavNode_",getCategoryLevelAsString($B219))),";"))</f>
        <v>;"NavEntry_L3D_525515";"Transmissions Navigation Entry";"cat-L3D_525515";"NavNode_L3D_525515";</v>
      </c>
    </row>
    <row r="220" spans="1:44" s="34" customFormat="1" ht="15" x14ac:dyDescent="0.25">
      <c r="A220" s="25"/>
      <c r="B220" s="5"/>
      <c r="C220" s="5"/>
      <c r="D220" s="5" t="s">
        <v>74</v>
      </c>
      <c r="E220" s="5"/>
      <c r="F220" s="5"/>
      <c r="G220" s="5" t="s">
        <v>292</v>
      </c>
      <c r="H220" s="5" t="s">
        <v>293</v>
      </c>
      <c r="I220" s="5" t="s">
        <v>294</v>
      </c>
      <c r="J220" s="5" t="s">
        <v>75</v>
      </c>
      <c r="K220" s="5" t="s">
        <v>1327</v>
      </c>
      <c r="L220" s="5" t="s">
        <v>1562</v>
      </c>
      <c r="M220" s="5" t="s">
        <v>1327</v>
      </c>
      <c r="N220" s="5" t="s">
        <v>1991</v>
      </c>
      <c r="O220" s="5" t="s">
        <v>3621</v>
      </c>
      <c r="P220" s="5" t="s">
        <v>3622</v>
      </c>
      <c r="Q220" s="5" t="s">
        <v>3623</v>
      </c>
      <c r="R220" s="5" t="s">
        <v>3624</v>
      </c>
      <c r="S220" s="5" t="s">
        <v>3625</v>
      </c>
      <c r="T220" s="5" t="s">
        <v>3626</v>
      </c>
      <c r="U220" s="5" t="s">
        <v>3627</v>
      </c>
      <c r="V220" s="5" t="s">
        <v>3628</v>
      </c>
      <c r="W220" s="5" t="s">
        <v>3629</v>
      </c>
      <c r="X220" s="5" t="s">
        <v>14936</v>
      </c>
      <c r="Y220" s="39" t="str">
        <f>IF(OR($A220&lt;&gt;"", $G220=""),"",CONCATENATE(";",EscStr(CONCATENATE("NavNode_",getCategoryLevelAsString($B220))),";",EscStr($J220),";",IF($B220&lt;&gt;"","""MainCategoryNavNode""",EscStr(CONCATENATE("NavNode_",getSuperCategory($B220, getCategoryLevelAsNumber($B220))))),";"))</f>
        <v>;"NavNode_L3D_525516";"Linear Drives";"NavNode_L2D_379617";</v>
      </c>
      <c r="Z220" s="39" t="str">
        <f>IF(getCategoryLevelAsString($B220)="L0D_324785","",IF(G220="",CONCATENATE(";",EscStr(CONCATENATE("NavNode_",getCategoryLevelAsString($B220))),";",EscStr($J220),";"),CONCATENATE(";",EscStr(CONCATENATE("NavNode_",getCategoryLevelAsString($B220))),";",EscStr(G220),";")))</f>
        <v>;"NavNode_L3D_525516";"Linearantriebe";</v>
      </c>
      <c r="AA220" s="39" t="str">
        <f>IF(getCategoryLevelAsString($B220)="L0D_324785","",IF(H220="",CONCATENATE(";",EscStr(CONCATENATE("NavNode_",getCategoryLevelAsString($B220))),";",EscStr($J220),";"),CONCATENATE(";",EscStr(CONCATENATE("NavNode_",getCategoryLevelAsString($B220))),";",EscStr(H220),";")))</f>
        <v>;"NavNode_L3D_525516";"Entraînements linéaires";</v>
      </c>
      <c r="AB220" s="39" t="str">
        <f>IF(getCategoryLevelAsString($B220)="L0D_324785","",IF(I220="",CONCATENATE(";",EscStr(CONCATENATE("NavNode_",getCategoryLevelAsString($B220))),";",EscStr($J220),";"),CONCATENATE(";",EscStr(CONCATENATE("NavNode_",getCategoryLevelAsString($B220))),";",EscStr(I220),";")))</f>
        <v>;"NavNode_L3D_525516";"Azionamenti lineari";</v>
      </c>
      <c r="AC220" s="39" t="str">
        <f>IF(getCategoryLevelAsString($B220)="L0D_324785","",IF(J220="",CONCATENATE(";",EscStr(CONCATENATE("NavNode_",getCategoryLevelAsString($B220))),";",EscStr($J220),";"),CONCATENATE(";",EscStr(CONCATENATE("NavNode_",getCategoryLevelAsString($B220))),";",EscStr(J220),";")))</f>
        <v>;"NavNode_L3D_525516";"Linear Drives";</v>
      </c>
      <c r="AD220" s="39" t="str">
        <f>IF(getCategoryLevelAsString($B220)="L0D_324785","",IF(K220="",CONCATENATE(";",EscStr(CONCATENATE("NavNode_",getCategoryLevelAsString($B220))),";",EscStr($J220),";"),CONCATENATE(";",EscStr(CONCATENATE("NavNode_",getCategoryLevelAsString($B220))),";",EscStr(K220),";")))</f>
        <v>;"NavNode_L3D_525516";"Lineære drev";</v>
      </c>
      <c r="AE220" s="39" t="str">
        <f>IF(getCategoryLevelAsString($B220)="L0D_324785","",IF(L220="",CONCATENATE(";",EscStr(CONCATENATE("NavNode_",getCategoryLevelAsString($B220))),";",EscStr($J220),";"),CONCATENATE(";",EscStr(CONCATENATE("NavNode_",getCategoryLevelAsString($B220))),";",EscStr(L220),";")))</f>
        <v>;"NavNode_L3D_525516";"Linijinės pavaros";</v>
      </c>
      <c r="AF220" s="39" t="str">
        <f>IF(getCategoryLevelAsString($B220)="L0D_324785","",IF(M220="",CONCATENATE(";",EscStr(CONCATENATE("NavNode_",getCategoryLevelAsString($B220))),";",EscStr($J220),";"),CONCATENATE(";",EscStr(CONCATENATE("NavNode_",getCategoryLevelAsString($B220))),";",EscStr(M220),";")))</f>
        <v>;"NavNode_L3D_525516";"Lineære drev";</v>
      </c>
      <c r="AG220" s="39" t="str">
        <f>IF(getCategoryLevelAsString($B220)="L0D_324785","",IF(N220="",CONCATENATE(";",EscStr(CONCATENATE("NavNode_",getCategoryLevelAsString($B220))),";",EscStr($J220),";"),CONCATENATE(";",EscStr(CONCATENATE("NavNode_",getCategoryLevelAsString($B220))),";",EscStr(N220),";")))</f>
        <v>;"NavNode_L3D_525516";"Linjära drivenheter";</v>
      </c>
      <c r="AH220" s="39" t="str">
        <f>IF(getCategoryLevelAsString($B220)="L0D_324785","",IF(O220="",CONCATENATE(";",EscStr(CONCATENATE("NavNode_",getCategoryLevelAsString($B220))),";",EscStr($J220),";"),CONCATENATE(";",EscStr(CONCATENATE("NavNode_",getCategoryLevelAsString($B220))),";",EscStr(O220),";")))</f>
        <v>;"NavNode_L3D_525516";"Lineaarajamid";</v>
      </c>
      <c r="AI220" s="39" t="str">
        <f>IF(getCategoryLevelAsString($B220)="L0D_324785","",IF(P220="",CONCATENATE(";",EscStr(CONCATENATE("NavNode_",getCategoryLevelAsString($B220))),";",EscStr($J220),";"),CONCATENATE(";",EscStr(CONCATENATE("NavNode_",getCategoryLevelAsString($B220))),";",EscStr(P220),";")))</f>
        <v>;"NavNode_L3D_525516";"Lineaariset asemat";</v>
      </c>
      <c r="AJ220" s="39" t="str">
        <f>IF(getCategoryLevelAsString($B220)="L0D_324785","",IF(Q220="",CONCATENATE(";",EscStr(CONCATENATE("NavNode_",getCategoryLevelAsString($B220))),";",EscStr($J220),";"),CONCATENATE(";",EscStr(CONCATENATE("NavNode_",getCategoryLevelAsString($B220))),";",EscStr(Q220),";")))</f>
        <v>;"NavNode_L3D_525516";"Lineārie dzinēji";</v>
      </c>
      <c r="AK220" s="39" t="str">
        <f>IF(getCategoryLevelAsString($B220)="L0D_324785","",IF(R220="",CONCATENATE(";",EscStr(CONCATENATE("NavNode_",getCategoryLevelAsString($B220))),";",EscStr($J220),";"),CONCATENATE(";",EscStr(CONCATENATE("NavNode_",getCategoryLevelAsString($B220))),";",EscStr(R220),";")))</f>
        <v>;"NavNode_L3D_525516";"Lineaire motoren";</v>
      </c>
      <c r="AL220" s="39" t="str">
        <f>IF(getCategoryLevelAsString($B220)="L0D_324785","",IF(S220="",CONCATENATE(";",EscStr(CONCATENATE("NavNode_",getCategoryLevelAsString($B220))),";",EscStr($J220),";"),CONCATENATE(";",EscStr(CONCATENATE("NavNode_",getCategoryLevelAsString($B220))),";",EscStr(S220),";")))</f>
        <v>;"NavNode_L3D_525516";"Silniki liniowe";</v>
      </c>
      <c r="AM220" s="39" t="str">
        <f>IF(getCategoryLevelAsString($B220)="L0D_324785","",IF(T220="",CONCATENATE(";",EscStr(CONCATENATE("NavNode_",getCategoryLevelAsString($B220))),";",EscStr($J220),";"),CONCATENATE(";",EscStr(CONCATENATE("NavNode_",getCategoryLevelAsString($B220))),";",EscStr(T220),";")))</f>
        <v>;"NavNode_L3D_525516";"Линейные приводы";</v>
      </c>
      <c r="AN220" s="39" t="str">
        <f>IF(getCategoryLevelAsString($B220)="L0D_324785","",IF(U220="",CONCATENATE(";",EscStr(CONCATENATE("NavNode_",getCategoryLevelAsString($B220))),";",EscStr($J220),";"),CONCATENATE(";",EscStr(CONCATENATE("NavNode_",getCategoryLevelAsString($B220))),";",EscStr(U220),";")))</f>
        <v>;"NavNode_L3D_525516";"Lineární pohony";</v>
      </c>
      <c r="AO220" s="39" t="str">
        <f>IF(getCategoryLevelAsString($B220)="L0D_324785","",IF(V220="",CONCATENATE(";",EscStr(CONCATENATE("NavNode_",getCategoryLevelAsString($B220))),";",EscStr($J220),";"),CONCATENATE(";",EscStr(CONCATENATE("NavNode_",getCategoryLevelAsString($B220))),";",EscStr(V220),";")))</f>
        <v>;"NavNode_L3D_525516";"Aparate acţionări liniare";</v>
      </c>
      <c r="AP220" s="39" t="str">
        <f>IF(getCategoryLevelAsString($B220)="L0D_324785","",IF(W220="",CONCATENATE(";",EscStr(CONCATENATE("NavNode_",getCategoryLevelAsString($B220))),";",EscStr($J220),";"),CONCATENATE(";",EscStr(CONCATENATE("NavNode_",getCategoryLevelAsString($B220))),";",EscStr(W220),";")))</f>
        <v>;"NavNode_L3D_525516";"Lineáris hajtások";</v>
      </c>
      <c r="AQ220" s="39" t="str">
        <f>IF(getCategoryLevelAsString($B220)="L0D_324785","",IF(X220="",CONCATENATE(";",EscStr(CONCATENATE("NavNode_",getCategoryLevelAsString($B220))),";",EscStr($J220),";"),CONCATENATE(";",EscStr(CONCATENATE("NavNode_",getCategoryLevelAsString($B220))),";",EscStr(X220),";")))</f>
        <v>;"NavNode_L3D_525516";"Lineárne pohony";</v>
      </c>
      <c r="AR220" s="39" t="str">
        <f>IF(OR($A220&lt;&gt;"", $G220=""),"",CONCATENATE(";",EscStr(CONCATENATE("NavEntry_",getCategoryLevelAsString($B220))),";",EscStr(CONCATENATE($J220," Navigation Entry")),";",EscStr(CONCATENATE("cat-",getCategoryLevelAsString($B220))),";",EscStr(CONCATENATE("NavNode_",getCategoryLevelAsString($B220))),";"))</f>
        <v>;"NavEntry_L3D_525516";"Linear Drives Navigation Entry";"cat-L3D_525516";"NavNode_L3D_525516";</v>
      </c>
    </row>
    <row r="221" spans="1:44" s="34" customFormat="1" ht="15" x14ac:dyDescent="0.25">
      <c r="A221" s="25"/>
      <c r="B221" s="5"/>
      <c r="C221" s="5"/>
      <c r="D221" s="5" t="s">
        <v>68</v>
      </c>
      <c r="E221" s="5"/>
      <c r="F221" s="5"/>
      <c r="G221" s="5" t="s">
        <v>939</v>
      </c>
      <c r="H221" s="5" t="s">
        <v>284</v>
      </c>
      <c r="I221" s="5" t="s">
        <v>285</v>
      </c>
      <c r="J221" s="5" t="s">
        <v>69</v>
      </c>
      <c r="K221" s="5" t="s">
        <v>1328</v>
      </c>
      <c r="L221" s="5" t="s">
        <v>15180</v>
      </c>
      <c r="M221" s="5" t="s">
        <v>1328</v>
      </c>
      <c r="N221" s="5" t="s">
        <v>1992</v>
      </c>
      <c r="O221" s="5" t="s">
        <v>3630</v>
      </c>
      <c r="P221" s="5" t="s">
        <v>3631</v>
      </c>
      <c r="Q221" s="5" t="s">
        <v>3632</v>
      </c>
      <c r="R221" s="5" t="s">
        <v>69</v>
      </c>
      <c r="S221" s="5" t="s">
        <v>3633</v>
      </c>
      <c r="T221" s="5" t="s">
        <v>3634</v>
      </c>
      <c r="U221" s="5" t="s">
        <v>3635</v>
      </c>
      <c r="V221" s="5" t="s">
        <v>3636</v>
      </c>
      <c r="W221" s="5" t="s">
        <v>3637</v>
      </c>
      <c r="X221" s="5" t="s">
        <v>14937</v>
      </c>
      <c r="Y221" s="39" t="str">
        <f>IF(OR($A221&lt;&gt;"", $G221=""),"",CONCATENATE(";",EscStr(CONCATENATE("NavNode_",getCategoryLevelAsString($B221))),";",EscStr($J221),";",IF($B221&lt;&gt;"","""MainCategoryNavNode""",EscStr(CONCATENATE("NavNode_",getSuperCategory($B221, getCategoryLevelAsNumber($B221))))),";"))</f>
        <v>;"NavNode_L3D_525517";"Actuators";"NavNode_L2D_379617";</v>
      </c>
      <c r="Z221" s="39" t="str">
        <f>IF(getCategoryLevelAsString($B221)="L0D_324785","",IF(G221="",CONCATENATE(";",EscStr(CONCATENATE("NavNode_",getCategoryLevelAsString($B221))),";",EscStr($J221),";"),CONCATENATE(";",EscStr(CONCATENATE("NavNode_",getCategoryLevelAsString($B221))),";",EscStr(G221),";")))</f>
        <v>;"NavNode_L3D_525517";"Aktoren";</v>
      </c>
      <c r="AA221" s="39" t="str">
        <f>IF(getCategoryLevelAsString($B221)="L0D_324785","",IF(H221="",CONCATENATE(";",EscStr(CONCATENATE("NavNode_",getCategoryLevelAsString($B221))),";",EscStr($J221),";"),CONCATENATE(";",EscStr(CONCATENATE("NavNode_",getCategoryLevelAsString($B221))),";",EscStr(H221),";")))</f>
        <v>;"NavNode_L3D_525517";"Actionneurs";</v>
      </c>
      <c r="AB221" s="39" t="str">
        <f>IF(getCategoryLevelAsString($B221)="L0D_324785","",IF(I221="",CONCATENATE(";",EscStr(CONCATENATE("NavNode_",getCategoryLevelAsString($B221))),";",EscStr($J221),";"),CONCATENATE(";",EscStr(CONCATENATE("NavNode_",getCategoryLevelAsString($B221))),";",EscStr(I221),";")))</f>
        <v>;"NavNode_L3D_525517";"Attuatori";</v>
      </c>
      <c r="AC221" s="39" t="str">
        <f>IF(getCategoryLevelAsString($B221)="L0D_324785","",IF(J221="",CONCATENATE(";",EscStr(CONCATENATE("NavNode_",getCategoryLevelAsString($B221))),";",EscStr($J221),";"),CONCATENATE(";",EscStr(CONCATENATE("NavNode_",getCategoryLevelAsString($B221))),";",EscStr(J221),";")))</f>
        <v>;"NavNode_L3D_525517";"Actuators";</v>
      </c>
      <c r="AD221" s="39" t="str">
        <f>IF(getCategoryLevelAsString($B221)="L0D_324785","",IF(K221="",CONCATENATE(";",EscStr(CONCATENATE("NavNode_",getCategoryLevelAsString($B221))),";",EscStr($J221),";"),CONCATENATE(";",EscStr(CONCATENATE("NavNode_",getCategoryLevelAsString($B221))),";",EscStr(K221),";")))</f>
        <v>;"NavNode_L3D_525517";"Aktuatorer";</v>
      </c>
      <c r="AE221" s="39" t="str">
        <f>IF(getCategoryLevelAsString($B221)="L0D_324785","",IF(L221="",CONCATENATE(";",EscStr(CONCATENATE("NavNode_",getCategoryLevelAsString($B221))),";",EscStr($J221),";"),CONCATENATE(";",EscStr(CONCATENATE("NavNode_",getCategoryLevelAsString($B221))),";",EscStr(L221),";")))</f>
        <v>;"NavNode_L3D_525517";"Pneumo cilindrai / solenoidai / vykdymo įtaisai";</v>
      </c>
      <c r="AF221" s="39" t="str">
        <f>IF(getCategoryLevelAsString($B221)="L0D_324785","",IF(M221="",CONCATENATE(";",EscStr(CONCATENATE("NavNode_",getCategoryLevelAsString($B221))),";",EscStr($J221),";"),CONCATENATE(";",EscStr(CONCATENATE("NavNode_",getCategoryLevelAsString($B221))),";",EscStr(M221),";")))</f>
        <v>;"NavNode_L3D_525517";"Aktuatorer";</v>
      </c>
      <c r="AG221" s="39" t="str">
        <f>IF(getCategoryLevelAsString($B221)="L0D_324785","",IF(N221="",CONCATENATE(";",EscStr(CONCATENATE("NavNode_",getCategoryLevelAsString($B221))),";",EscStr($J221),";"),CONCATENATE(";",EscStr(CONCATENATE("NavNode_",getCategoryLevelAsString($B221))),";",EscStr(N221),";")))</f>
        <v>;"NavNode_L3D_525517";"Manöverdon";</v>
      </c>
      <c r="AH221" s="39" t="str">
        <f>IF(getCategoryLevelAsString($B221)="L0D_324785","",IF(O221="",CONCATENATE(";",EscStr(CONCATENATE("NavNode_",getCategoryLevelAsString($B221))),";",EscStr($J221),";"),CONCATENATE(";",EscStr(CONCATENATE("NavNode_",getCategoryLevelAsString($B221))),";",EscStr(O221),";")))</f>
        <v>;"NavNode_L3D_525517";"Täiturid";</v>
      </c>
      <c r="AI221" s="39" t="str">
        <f>IF(getCategoryLevelAsString($B221)="L0D_324785","",IF(P221="",CONCATENATE(";",EscStr(CONCATENATE("NavNode_",getCategoryLevelAsString($B221))),";",EscStr($J221),";"),CONCATENATE(";",EscStr(CONCATENATE("NavNode_",getCategoryLevelAsString($B221))),";",EscStr(P221),";")))</f>
        <v>;"NavNode_L3D_525517";"Sovittimet";</v>
      </c>
      <c r="AJ221" s="39" t="str">
        <f>IF(getCategoryLevelAsString($B221)="L0D_324785","",IF(Q221="",CONCATENATE(";",EscStr(CONCATENATE("NavNode_",getCategoryLevelAsString($B221))),";",EscStr($J221),";"),CONCATENATE(";",EscStr(CONCATENATE("NavNode_",getCategoryLevelAsString($B221))),";",EscStr(Q221),";")))</f>
        <v>;"NavNode_L3D_525517";"Aktuatori";</v>
      </c>
      <c r="AK221" s="39" t="str">
        <f>IF(getCategoryLevelAsString($B221)="L0D_324785","",IF(R221="",CONCATENATE(";",EscStr(CONCATENATE("NavNode_",getCategoryLevelAsString($B221))),";",EscStr($J221),";"),CONCATENATE(";",EscStr(CONCATENATE("NavNode_",getCategoryLevelAsString($B221))),";",EscStr(R221),";")))</f>
        <v>;"NavNode_L3D_525517";"Actuators";</v>
      </c>
      <c r="AL221" s="39" t="str">
        <f>IF(getCategoryLevelAsString($B221)="L0D_324785","",IF(S221="",CONCATENATE(";",EscStr(CONCATENATE("NavNode_",getCategoryLevelAsString($B221))),";",EscStr($J221),";"),CONCATENATE(";",EscStr(CONCATENATE("NavNode_",getCategoryLevelAsString($B221))),";",EscStr(S221),";")))</f>
        <v>;"NavNode_L3D_525517";"Siłowniki";</v>
      </c>
      <c r="AM221" s="39" t="str">
        <f>IF(getCategoryLevelAsString($B221)="L0D_324785","",IF(T221="",CONCATENATE(";",EscStr(CONCATENATE("NavNode_",getCategoryLevelAsString($B221))),";",EscStr($J221),";"),CONCATENATE(";",EscStr(CONCATENATE("NavNode_",getCategoryLevelAsString($B221))),";",EscStr(T221),";")))</f>
        <v>;"NavNode_L3D_525517";"Приводы";</v>
      </c>
      <c r="AN221" s="39" t="str">
        <f>IF(getCategoryLevelAsString($B221)="L0D_324785","",IF(U221="",CONCATENATE(";",EscStr(CONCATENATE("NavNode_",getCategoryLevelAsString($B221))),";",EscStr($J221),";"),CONCATENATE(";",EscStr(CONCATENATE("NavNode_",getCategoryLevelAsString($B221))),";",EscStr(U221),";")))</f>
        <v>;"NavNode_L3D_525517";"Akční členy";</v>
      </c>
      <c r="AO221" s="39" t="str">
        <f>IF(getCategoryLevelAsString($B221)="L0D_324785","",IF(V221="",CONCATENATE(";",EscStr(CONCATENATE("NavNode_",getCategoryLevelAsString($B221))),";",EscStr($J221),";"),CONCATENATE(";",EscStr(CONCATENATE("NavNode_",getCategoryLevelAsString($B221))),";",EscStr(V221),";")))</f>
        <v>;"NavNode_L3D_525517";"Elemente de acționare";</v>
      </c>
      <c r="AP221" s="39" t="str">
        <f>IF(getCategoryLevelAsString($B221)="L0D_324785","",IF(W221="",CONCATENATE(";",EscStr(CONCATENATE("NavNode_",getCategoryLevelAsString($B221))),";",EscStr($J221),";"),CONCATENATE(";",EscStr(CONCATENATE("NavNode_",getCategoryLevelAsString($B221))),";",EscStr(W221),";")))</f>
        <v>;"NavNode_L3D_525517";"Aktuátorok";</v>
      </c>
      <c r="AQ221" s="39" t="str">
        <f>IF(getCategoryLevelAsString($B221)="L0D_324785","",IF(X221="",CONCATENATE(";",EscStr(CONCATENATE("NavNode_",getCategoryLevelAsString($B221))),";",EscStr($J221),";"),CONCATENATE(";",EscStr(CONCATENATE("NavNode_",getCategoryLevelAsString($B221))),";",EscStr(X221),";")))</f>
        <v>;"NavNode_L3D_525517";"Akčné členy";</v>
      </c>
      <c r="AR221" s="39" t="str">
        <f>IF(OR($A221&lt;&gt;"", $G221=""),"",CONCATENATE(";",EscStr(CONCATENATE("NavEntry_",getCategoryLevelAsString($B221))),";",EscStr(CONCATENATE($J221," Navigation Entry")),";",EscStr(CONCATENATE("cat-",getCategoryLevelAsString($B221))),";",EscStr(CONCATENATE("NavNode_",getCategoryLevelAsString($B221))),";"))</f>
        <v>;"NavEntry_L3D_525517";"Actuators Navigation Entry";"cat-L3D_525517";"NavNode_L3D_525517";</v>
      </c>
    </row>
    <row r="222" spans="1:44" s="34" customFormat="1" ht="15" x14ac:dyDescent="0.25">
      <c r="A222" s="25"/>
      <c r="B222" s="5"/>
      <c r="C222" s="5" t="s">
        <v>42</v>
      </c>
      <c r="D222" s="5"/>
      <c r="E222" s="5"/>
      <c r="F222" s="5"/>
      <c r="G222" s="5" t="s">
        <v>300</v>
      </c>
      <c r="H222" s="5" t="s">
        <v>301</v>
      </c>
      <c r="I222" s="5" t="s">
        <v>302</v>
      </c>
      <c r="J222" s="5" t="s">
        <v>43</v>
      </c>
      <c r="K222" s="5" t="s">
        <v>1329</v>
      </c>
      <c r="L222" s="5" t="s">
        <v>1564</v>
      </c>
      <c r="M222" s="5" t="s">
        <v>1779</v>
      </c>
      <c r="N222" s="5" t="s">
        <v>300</v>
      </c>
      <c r="O222" s="5" t="s">
        <v>3638</v>
      </c>
      <c r="P222" s="5" t="s">
        <v>3639</v>
      </c>
      <c r="Q222" s="5" t="s">
        <v>3640</v>
      </c>
      <c r="R222" s="5" t="s">
        <v>3641</v>
      </c>
      <c r="S222" s="5" t="s">
        <v>3642</v>
      </c>
      <c r="T222" s="5" t="s">
        <v>3643</v>
      </c>
      <c r="U222" s="5" t="s">
        <v>3644</v>
      </c>
      <c r="V222" s="5" t="s">
        <v>3645</v>
      </c>
      <c r="W222" s="5" t="s">
        <v>1564</v>
      </c>
      <c r="X222" s="5" t="s">
        <v>3644</v>
      </c>
      <c r="Y222" s="39" t="str">
        <f>IF(OR($A222&lt;&gt;"", $G222=""),"",CONCATENATE(";",EscStr(CONCATENATE("NavNode_",getCategoryLevelAsString($B222))),";",EscStr($J222),";",IF($B222&lt;&gt;"","""MainCategoryNavNode""",EscStr(CONCATENATE("NavNode_",getSuperCategory($B222, getCategoryLevelAsNumber($B222))))),";"))</f>
        <v>;"NavNode_L2D_379622";"Pneumatics";"NavNode_Automation";</v>
      </c>
      <c r="Z222" s="39" t="str">
        <f>IF(getCategoryLevelAsString($B222)="L0D_324785","",IF(G222="",CONCATENATE(";",EscStr(CONCATENATE("NavNode_",getCategoryLevelAsString($B222))),";",EscStr($J222),";"),CONCATENATE(";",EscStr(CONCATENATE("NavNode_",getCategoryLevelAsString($B222))),";",EscStr(G222),";")))</f>
        <v>;"NavNode_L2D_379622";"Pneumatik";</v>
      </c>
      <c r="AA222" s="39" t="str">
        <f>IF(getCategoryLevelAsString($B222)="L0D_324785","",IF(H222="",CONCATENATE(";",EscStr(CONCATENATE("NavNode_",getCategoryLevelAsString($B222))),";",EscStr($J222),";"),CONCATENATE(";",EscStr(CONCATENATE("NavNode_",getCategoryLevelAsString($B222))),";",EscStr(H222),";")))</f>
        <v>;"NavNode_L2D_379622";"Pneumatiques";</v>
      </c>
      <c r="AB222" s="39" t="str">
        <f>IF(getCategoryLevelAsString($B222)="L0D_324785","",IF(I222="",CONCATENATE(";",EscStr(CONCATENATE("NavNode_",getCategoryLevelAsString($B222))),";",EscStr($J222),";"),CONCATENATE(";",EscStr(CONCATENATE("NavNode_",getCategoryLevelAsString($B222))),";",EscStr(I222),";")))</f>
        <v>;"NavNode_L2D_379622";"Pneumatica";</v>
      </c>
      <c r="AC222" s="39" t="str">
        <f>IF(getCategoryLevelAsString($B222)="L0D_324785","",IF(J222="",CONCATENATE(";",EscStr(CONCATENATE("NavNode_",getCategoryLevelAsString($B222))),";",EscStr($J222),";"),CONCATENATE(";",EscStr(CONCATENATE("NavNode_",getCategoryLevelAsString($B222))),";",EscStr(J222),";")))</f>
        <v>;"NavNode_L2D_379622";"Pneumatics";</v>
      </c>
      <c r="AD222" s="39" t="str">
        <f>IF(getCategoryLevelAsString($B222)="L0D_324785","",IF(K222="",CONCATENATE(";",EscStr(CONCATENATE("NavNode_",getCategoryLevelAsString($B222))),";",EscStr($J222),";"),CONCATENATE(";",EscStr(CONCATENATE("NavNode_",getCategoryLevelAsString($B222))),";",EscStr(K222),";")))</f>
        <v>;"NavNode_L2D_379622";"Pneumatiske enheder";</v>
      </c>
      <c r="AE222" s="39" t="str">
        <f>IF(getCategoryLevelAsString($B222)="L0D_324785","",IF(L222="",CONCATENATE(";",EscStr(CONCATENATE("NavNode_",getCategoryLevelAsString($B222))),";",EscStr($J222),";"),CONCATENATE(";",EscStr(CONCATENATE("NavNode_",getCategoryLevelAsString($B222))),";",EscStr(L222),";")))</f>
        <v>;"NavNode_L2D_379622";"Pneumatika";</v>
      </c>
      <c r="AF222" s="39" t="str">
        <f>IF(getCategoryLevelAsString($B222)="L0D_324785","",IF(M222="",CONCATENATE(";",EscStr(CONCATENATE("NavNode_",getCategoryLevelAsString($B222))),";",EscStr($J222),";"),CONCATENATE(";",EscStr(CONCATENATE("NavNode_",getCategoryLevelAsString($B222))),";",EscStr(M222),";")))</f>
        <v>;"NavNode_L2D_379622";"Trykkluft";</v>
      </c>
      <c r="AG222" s="39" t="str">
        <f>IF(getCategoryLevelAsString($B222)="L0D_324785","",IF(N222="",CONCATENATE(";",EscStr(CONCATENATE("NavNode_",getCategoryLevelAsString($B222))),";",EscStr($J222),";"),CONCATENATE(";",EscStr(CONCATENATE("NavNode_",getCategoryLevelAsString($B222))),";",EscStr(N222),";")))</f>
        <v>;"NavNode_L2D_379622";"Pneumatik";</v>
      </c>
      <c r="AH222" s="39" t="str">
        <f>IF(getCategoryLevelAsString($B222)="L0D_324785","",IF(O222="",CONCATENATE(";",EscStr(CONCATENATE("NavNode_",getCategoryLevelAsString($B222))),";",EscStr($J222),";"),CONCATENATE(";",EscStr(CONCATENATE("NavNode_",getCategoryLevelAsString($B222))),";",EscStr(O222),";")))</f>
        <v>;"NavNode_L2D_379622";"Pneumaatika";</v>
      </c>
      <c r="AI222" s="39" t="str">
        <f>IF(getCategoryLevelAsString($B222)="L0D_324785","",IF(P222="",CONCATENATE(";",EscStr(CONCATENATE("NavNode_",getCategoryLevelAsString($B222))),";",EscStr($J222),";"),CONCATENATE(";",EscStr(CONCATENATE("NavNode_",getCategoryLevelAsString($B222))),";",EscStr(P222),";")))</f>
        <v>;"NavNode_L2D_379622";"Paineilma";</v>
      </c>
      <c r="AJ222" s="39" t="str">
        <f>IF(getCategoryLevelAsString($B222)="L0D_324785","",IF(Q222="",CONCATENATE(";",EscStr(CONCATENATE("NavNode_",getCategoryLevelAsString($B222))),";",EscStr($J222),";"),CONCATENATE(";",EscStr(CONCATENATE("NavNode_",getCategoryLevelAsString($B222))),";",EscStr(Q222),";")))</f>
        <v>;"NavNode_L2D_379622";"Pneimatiskās ierīces";</v>
      </c>
      <c r="AK222" s="39" t="str">
        <f>IF(getCategoryLevelAsString($B222)="L0D_324785","",IF(R222="",CONCATENATE(";",EscStr(CONCATENATE("NavNode_",getCategoryLevelAsString($B222))),";",EscStr($J222),";"),CONCATENATE(";",EscStr(CONCATENATE("NavNode_",getCategoryLevelAsString($B222))),";",EscStr(R222),";")))</f>
        <v>;"NavNode_L2D_379622";"Pneumatiek";</v>
      </c>
      <c r="AL222" s="39" t="str">
        <f>IF(getCategoryLevelAsString($B222)="L0D_324785","",IF(S222="",CONCATENATE(";",EscStr(CONCATENATE("NavNode_",getCategoryLevelAsString($B222))),";",EscStr($J222),";"),CONCATENATE(";",EscStr(CONCATENATE("NavNode_",getCategoryLevelAsString($B222))),";",EscStr(S222),";")))</f>
        <v>;"NavNode_L2D_379622";"Pneumatyka";</v>
      </c>
      <c r="AM222" s="39" t="str">
        <f>IF(getCategoryLevelAsString($B222)="L0D_324785","",IF(T222="",CONCATENATE(";",EscStr(CONCATENATE("NavNode_",getCategoryLevelAsString($B222))),";",EscStr($J222),";"),CONCATENATE(";",EscStr(CONCATENATE("NavNode_",getCategoryLevelAsString($B222))),";",EscStr(T222),";")))</f>
        <v>;"NavNode_L2D_379622";"Пневматика";</v>
      </c>
      <c r="AN222" s="39" t="str">
        <f>IF(getCategoryLevelAsString($B222)="L0D_324785","",IF(U222="",CONCATENATE(";",EscStr(CONCATENATE("NavNode_",getCategoryLevelAsString($B222))),";",EscStr($J222),";"),CONCATENATE(";",EscStr(CONCATENATE("NavNode_",getCategoryLevelAsString($B222))),";",EscStr(U222),";")))</f>
        <v>;"NavNode_L2D_379622";"Pneumatické prvky";</v>
      </c>
      <c r="AO222" s="39" t="str">
        <f>IF(getCategoryLevelAsString($B222)="L0D_324785","",IF(V222="",CONCATENATE(";",EscStr(CONCATENATE("NavNode_",getCategoryLevelAsString($B222))),";",EscStr($J222),";"),CONCATENATE(";",EscStr(CONCATENATE("NavNode_",getCategoryLevelAsString($B222))),";",EscStr(V222),";")))</f>
        <v>;"NavNode_L2D_379622";"Pneumatice";</v>
      </c>
      <c r="AP222" s="39" t="str">
        <f>IF(getCategoryLevelAsString($B222)="L0D_324785","",IF(W222="",CONCATENATE(";",EscStr(CONCATENATE("NavNode_",getCategoryLevelAsString($B222))),";",EscStr($J222),";"),CONCATENATE(";",EscStr(CONCATENATE("NavNode_",getCategoryLevelAsString($B222))),";",EscStr(W222),";")))</f>
        <v>;"NavNode_L2D_379622";"Pneumatika";</v>
      </c>
      <c r="AQ222" s="39" t="str">
        <f>IF(getCategoryLevelAsString($B222)="L0D_324785","",IF(X222="",CONCATENATE(";",EscStr(CONCATENATE("NavNode_",getCategoryLevelAsString($B222))),";",EscStr($J222),";"),CONCATENATE(";",EscStr(CONCATENATE("NavNode_",getCategoryLevelAsString($B222))),";",EscStr(X222),";")))</f>
        <v>;"NavNode_L2D_379622";"Pneumatické prvky";</v>
      </c>
      <c r="AR222" s="39" t="str">
        <f>IF(OR($A222&lt;&gt;"", $G222=""),"",CONCATENATE(";",EscStr(CONCATENATE("NavEntry_",getCategoryLevelAsString($B222))),";",EscStr(CONCATENATE($J222," Navigation Entry")),";",EscStr(CONCATENATE("cat-",getCategoryLevelAsString($B222))),";",EscStr(CONCATENATE("NavNode_",getCategoryLevelAsString($B222))),";"))</f>
        <v>;"NavEntry_L2D_379622";"Pneumatics Navigation Entry";"cat-L2D_379622";"NavNode_L2D_379622";</v>
      </c>
    </row>
    <row r="223" spans="1:44" s="34" customFormat="1" ht="15" x14ac:dyDescent="0.25">
      <c r="A223" s="25"/>
      <c r="B223" s="5"/>
      <c r="C223" s="5"/>
      <c r="D223" s="5" t="s">
        <v>89</v>
      </c>
      <c r="E223" s="5"/>
      <c r="F223" s="5"/>
      <c r="G223" s="5" t="s">
        <v>310</v>
      </c>
      <c r="H223" s="5" t="s">
        <v>311</v>
      </c>
      <c r="I223" s="5" t="s">
        <v>312</v>
      </c>
      <c r="J223" s="5" t="s">
        <v>90</v>
      </c>
      <c r="K223" s="5" t="s">
        <v>1330</v>
      </c>
      <c r="L223" s="5" t="s">
        <v>1565</v>
      </c>
      <c r="M223" s="5" t="s">
        <v>1330</v>
      </c>
      <c r="N223" s="5" t="s">
        <v>1330</v>
      </c>
      <c r="O223" s="5" t="s">
        <v>3646</v>
      </c>
      <c r="P223" s="5" t="s">
        <v>3647</v>
      </c>
      <c r="Q223" s="5" t="s">
        <v>3648</v>
      </c>
      <c r="R223" s="5" t="s">
        <v>3649</v>
      </c>
      <c r="S223" s="5" t="s">
        <v>3650</v>
      </c>
      <c r="T223" s="5" t="s">
        <v>3651</v>
      </c>
      <c r="U223" s="5" t="s">
        <v>3652</v>
      </c>
      <c r="V223" s="5" t="s">
        <v>3653</v>
      </c>
      <c r="W223" s="5" t="s">
        <v>3654</v>
      </c>
      <c r="X223" s="5" t="s">
        <v>3652</v>
      </c>
      <c r="Y223" s="39" t="str">
        <f>IF(OR($A223&lt;&gt;"", $G223=""),"",CONCATENATE(";",EscStr(CONCATENATE("NavNode_",getCategoryLevelAsString($B223))),";",EscStr($J223),";",IF($B223&lt;&gt;"","""MainCategoryNavNode""",EscStr(CONCATENATE("NavNode_",getSuperCategory($B223, getCategoryLevelAsNumber($B223))))),";"))</f>
        <v>;"NavNode_L3D_525519";"Valves";"NavNode_L2D_379622";</v>
      </c>
      <c r="Z223" s="39" t="str">
        <f>IF(getCategoryLevelAsString($B223)="L0D_324785","",IF(G223="",CONCATENATE(";",EscStr(CONCATENATE("NavNode_",getCategoryLevelAsString($B223))),";",EscStr($J223),";"),CONCATENATE(";",EscStr(CONCATENATE("NavNode_",getCategoryLevelAsString($B223))),";",EscStr(G223),";")))</f>
        <v>;"NavNode_L3D_525519";"Ventile";</v>
      </c>
      <c r="AA223" s="39" t="str">
        <f>IF(getCategoryLevelAsString($B223)="L0D_324785","",IF(H223="",CONCATENATE(";",EscStr(CONCATENATE("NavNode_",getCategoryLevelAsString($B223))),";",EscStr($J223),";"),CONCATENATE(";",EscStr(CONCATENATE("NavNode_",getCategoryLevelAsString($B223))),";",EscStr(H223),";")))</f>
        <v>;"NavNode_L3D_525519";"Vannes";</v>
      </c>
      <c r="AB223" s="39" t="str">
        <f>IF(getCategoryLevelAsString($B223)="L0D_324785","",IF(I223="",CONCATENATE(";",EscStr(CONCATENATE("NavNode_",getCategoryLevelAsString($B223))),";",EscStr($J223),";"),CONCATENATE(";",EscStr(CONCATENATE("NavNode_",getCategoryLevelAsString($B223))),";",EscStr(I223),";")))</f>
        <v>;"NavNode_L3D_525519";"Valvole";</v>
      </c>
      <c r="AC223" s="39" t="str">
        <f>IF(getCategoryLevelAsString($B223)="L0D_324785","",IF(J223="",CONCATENATE(";",EscStr(CONCATENATE("NavNode_",getCategoryLevelAsString($B223))),";",EscStr($J223),";"),CONCATENATE(";",EscStr(CONCATENATE("NavNode_",getCategoryLevelAsString($B223))),";",EscStr(J223),";")))</f>
        <v>;"NavNode_L3D_525519";"Valves";</v>
      </c>
      <c r="AD223" s="39" t="str">
        <f>IF(getCategoryLevelAsString($B223)="L0D_324785","",IF(K223="",CONCATENATE(";",EscStr(CONCATENATE("NavNode_",getCategoryLevelAsString($B223))),";",EscStr($J223),";"),CONCATENATE(";",EscStr(CONCATENATE("NavNode_",getCategoryLevelAsString($B223))),";",EscStr(K223),";")))</f>
        <v>;"NavNode_L3D_525519";"Ventiler";</v>
      </c>
      <c r="AE223" s="39" t="str">
        <f>IF(getCategoryLevelAsString($B223)="L0D_324785","",IF(L223="",CONCATENATE(";",EscStr(CONCATENATE("NavNode_",getCategoryLevelAsString($B223))),";",EscStr($J223),";"),CONCATENATE(";",EscStr(CONCATENATE("NavNode_",getCategoryLevelAsString($B223))),";",EscStr(L223),";")))</f>
        <v>;"NavNode_L3D_525519";"Vožtuvai";</v>
      </c>
      <c r="AF223" s="39" t="str">
        <f>IF(getCategoryLevelAsString($B223)="L0D_324785","",IF(M223="",CONCATENATE(";",EscStr(CONCATENATE("NavNode_",getCategoryLevelAsString($B223))),";",EscStr($J223),";"),CONCATENATE(";",EscStr(CONCATENATE("NavNode_",getCategoryLevelAsString($B223))),";",EscStr(M223),";")))</f>
        <v>;"NavNode_L3D_525519";"Ventiler";</v>
      </c>
      <c r="AG223" s="39" t="str">
        <f>IF(getCategoryLevelAsString($B223)="L0D_324785","",IF(N223="",CONCATENATE(";",EscStr(CONCATENATE("NavNode_",getCategoryLevelAsString($B223))),";",EscStr($J223),";"),CONCATENATE(";",EscStr(CONCATENATE("NavNode_",getCategoryLevelAsString($B223))),";",EscStr(N223),";")))</f>
        <v>;"NavNode_L3D_525519";"Ventiler";</v>
      </c>
      <c r="AH223" s="39" t="str">
        <f>IF(getCategoryLevelAsString($B223)="L0D_324785","",IF(O223="",CONCATENATE(";",EscStr(CONCATENATE("NavNode_",getCategoryLevelAsString($B223))),";",EscStr($J223),";"),CONCATENATE(";",EscStr(CONCATENATE("NavNode_",getCategoryLevelAsString($B223))),";",EscStr(O223),";")))</f>
        <v>;"NavNode_L3D_525519";"Ventiilid";</v>
      </c>
      <c r="AI223" s="39" t="str">
        <f>IF(getCategoryLevelAsString($B223)="L0D_324785","",IF(P223="",CONCATENATE(";",EscStr(CONCATENATE("NavNode_",getCategoryLevelAsString($B223))),";",EscStr($J223),";"),CONCATENATE(";",EscStr(CONCATENATE("NavNode_",getCategoryLevelAsString($B223))),";",EscStr(P223),";")))</f>
        <v>;"NavNode_L3D_525519";"Venttiilit";</v>
      </c>
      <c r="AJ223" s="39" t="str">
        <f>IF(getCategoryLevelAsString($B223)="L0D_324785","",IF(Q223="",CONCATENATE(";",EscStr(CONCATENATE("NavNode_",getCategoryLevelAsString($B223))),";",EscStr($J223),";"),CONCATENATE(";",EscStr(CONCATENATE("NavNode_",getCategoryLevelAsString($B223))),";",EscStr(Q223),";")))</f>
        <v>;"NavNode_L3D_525519";"Vārsti";</v>
      </c>
      <c r="AK223" s="39" t="str">
        <f>IF(getCategoryLevelAsString($B223)="L0D_324785","",IF(R223="",CONCATENATE(";",EscStr(CONCATENATE("NavNode_",getCategoryLevelAsString($B223))),";",EscStr($J223),";"),CONCATENATE(";",EscStr(CONCATENATE("NavNode_",getCategoryLevelAsString($B223))),";",EscStr(R223),";")))</f>
        <v>;"NavNode_L3D_525519";"Kleppen";</v>
      </c>
      <c r="AL223" s="39" t="str">
        <f>IF(getCategoryLevelAsString($B223)="L0D_324785","",IF(S223="",CONCATENATE(";",EscStr(CONCATENATE("NavNode_",getCategoryLevelAsString($B223))),";",EscStr($J223),";"),CONCATENATE(";",EscStr(CONCATENATE("NavNode_",getCategoryLevelAsString($B223))),";",EscStr(S223),";")))</f>
        <v>;"NavNode_L3D_525519";"Zawory";</v>
      </c>
      <c r="AM223" s="39" t="str">
        <f>IF(getCategoryLevelAsString($B223)="L0D_324785","",IF(T223="",CONCATENATE(";",EscStr(CONCATENATE("NavNode_",getCategoryLevelAsString($B223))),";",EscStr($J223),";"),CONCATENATE(";",EscStr(CONCATENATE("NavNode_",getCategoryLevelAsString($B223))),";",EscStr(T223),";")))</f>
        <v>;"NavNode_L3D_525519";"Арматура";</v>
      </c>
      <c r="AN223" s="39" t="str">
        <f>IF(getCategoryLevelAsString($B223)="L0D_324785","",IF(U223="",CONCATENATE(";",EscStr(CONCATENATE("NavNode_",getCategoryLevelAsString($B223))),";",EscStr($J223),";"),CONCATENATE(";",EscStr(CONCATENATE("NavNode_",getCategoryLevelAsString($B223))),";",EscStr(U223),";")))</f>
        <v>;"NavNode_L3D_525519";"Ventily";</v>
      </c>
      <c r="AO223" s="39" t="str">
        <f>IF(getCategoryLevelAsString($B223)="L0D_324785","",IF(V223="",CONCATENATE(";",EscStr(CONCATENATE("NavNode_",getCategoryLevelAsString($B223))),";",EscStr($J223),";"),CONCATENATE(";",EscStr(CONCATENATE("NavNode_",getCategoryLevelAsString($B223))),";",EscStr(V223),";")))</f>
        <v>;"NavNode_L3D_525519";"Supape";</v>
      </c>
      <c r="AP223" s="39" t="str">
        <f>IF(getCategoryLevelAsString($B223)="L0D_324785","",IF(W223="",CONCATENATE(";",EscStr(CONCATENATE("NavNode_",getCategoryLevelAsString($B223))),";",EscStr($J223),";"),CONCATENATE(";",EscStr(CONCATENATE("NavNode_",getCategoryLevelAsString($B223))),";",EscStr(W223),";")))</f>
        <v>;"NavNode_L3D_525519";"Szelep";</v>
      </c>
      <c r="AQ223" s="39" t="str">
        <f>IF(getCategoryLevelAsString($B223)="L0D_324785","",IF(X223="",CONCATENATE(";",EscStr(CONCATENATE("NavNode_",getCategoryLevelAsString($B223))),";",EscStr($J223),";"),CONCATENATE(";",EscStr(CONCATENATE("NavNode_",getCategoryLevelAsString($B223))),";",EscStr(X223),";")))</f>
        <v>;"NavNode_L3D_525519";"Ventily";</v>
      </c>
      <c r="AR223" s="39" t="str">
        <f>IF(OR($A223&lt;&gt;"", $G223=""),"",CONCATENATE(";",EscStr(CONCATENATE("NavEntry_",getCategoryLevelAsString($B223))),";",EscStr(CONCATENATE($J223," Navigation Entry")),";",EscStr(CONCATENATE("cat-",getCategoryLevelAsString($B223))),";",EscStr(CONCATENATE("NavNode_",getCategoryLevelAsString($B223))),";"))</f>
        <v>;"NavEntry_L3D_525519";"Valves Navigation Entry";"cat-L3D_525519";"NavNode_L3D_525519";</v>
      </c>
    </row>
    <row r="224" spans="1:44" s="34" customFormat="1" ht="15" x14ac:dyDescent="0.25">
      <c r="A224" s="25"/>
      <c r="B224" s="5"/>
      <c r="C224" s="5"/>
      <c r="D224" s="5" t="s">
        <v>82</v>
      </c>
      <c r="E224" s="5"/>
      <c r="F224" s="5"/>
      <c r="G224" s="5" t="s">
        <v>940</v>
      </c>
      <c r="H224" s="5" t="s">
        <v>284</v>
      </c>
      <c r="I224" s="5" t="s">
        <v>285</v>
      </c>
      <c r="J224" s="5" t="s">
        <v>69</v>
      </c>
      <c r="K224" s="5" t="s">
        <v>1328</v>
      </c>
      <c r="L224" s="5" t="s">
        <v>15180</v>
      </c>
      <c r="M224" s="5" t="s">
        <v>1328</v>
      </c>
      <c r="N224" s="5" t="s">
        <v>1992</v>
      </c>
      <c r="O224" s="5" t="s">
        <v>3630</v>
      </c>
      <c r="P224" s="5" t="s">
        <v>3631</v>
      </c>
      <c r="Q224" s="5" t="s">
        <v>3632</v>
      </c>
      <c r="R224" s="5" t="s">
        <v>3655</v>
      </c>
      <c r="S224" s="5" t="s">
        <v>3633</v>
      </c>
      <c r="T224" s="5" t="s">
        <v>3634</v>
      </c>
      <c r="U224" s="5" t="s">
        <v>3656</v>
      </c>
      <c r="V224" s="5" t="s">
        <v>3657</v>
      </c>
      <c r="W224" s="5" t="s">
        <v>3658</v>
      </c>
      <c r="X224" s="5" t="s">
        <v>3656</v>
      </c>
      <c r="Y224" s="39" t="str">
        <f>IF(OR($A224&lt;&gt;"", $G224=""),"",CONCATENATE(";",EscStr(CONCATENATE("NavNode_",getCategoryLevelAsString($B224))),";",EscStr($J224),";",IF($B224&lt;&gt;"","""MainCategoryNavNode""",EscStr(CONCATENATE("NavNode_",getSuperCategory($B224, getCategoryLevelAsNumber($B224))))),";"))</f>
        <v>;"NavNode_L3D_525520";"Actuators";"NavNode_L2D_379622";</v>
      </c>
      <c r="Z224" s="39" t="str">
        <f>IF(getCategoryLevelAsString($B224)="L0D_324785","",IF(G224="",CONCATENATE(";",EscStr(CONCATENATE("NavNode_",getCategoryLevelAsString($B224))),";",EscStr($J224),";"),CONCATENATE(";",EscStr(CONCATENATE("NavNode_",getCategoryLevelAsString($B224))),";",EscStr(G224),";")))</f>
        <v>;"NavNode_L3D_525520";"Antriebe";</v>
      </c>
      <c r="AA224" s="39" t="str">
        <f>IF(getCategoryLevelAsString($B224)="L0D_324785","",IF(H224="",CONCATENATE(";",EscStr(CONCATENATE("NavNode_",getCategoryLevelAsString($B224))),";",EscStr($J224),";"),CONCATENATE(";",EscStr(CONCATENATE("NavNode_",getCategoryLevelAsString($B224))),";",EscStr(H224),";")))</f>
        <v>;"NavNode_L3D_525520";"Actionneurs";</v>
      </c>
      <c r="AB224" s="39" t="str">
        <f>IF(getCategoryLevelAsString($B224)="L0D_324785","",IF(I224="",CONCATENATE(";",EscStr(CONCATENATE("NavNode_",getCategoryLevelAsString($B224))),";",EscStr($J224),";"),CONCATENATE(";",EscStr(CONCATENATE("NavNode_",getCategoryLevelAsString($B224))),";",EscStr(I224),";")))</f>
        <v>;"NavNode_L3D_525520";"Attuatori";</v>
      </c>
      <c r="AC224" s="39" t="str">
        <f>IF(getCategoryLevelAsString($B224)="L0D_324785","",IF(J224="",CONCATENATE(";",EscStr(CONCATENATE("NavNode_",getCategoryLevelAsString($B224))),";",EscStr($J224),";"),CONCATENATE(";",EscStr(CONCATENATE("NavNode_",getCategoryLevelAsString($B224))),";",EscStr(J224),";")))</f>
        <v>;"NavNode_L3D_525520";"Actuators";</v>
      </c>
      <c r="AD224" s="39" t="str">
        <f>IF(getCategoryLevelAsString($B224)="L0D_324785","",IF(K224="",CONCATENATE(";",EscStr(CONCATENATE("NavNode_",getCategoryLevelAsString($B224))),";",EscStr($J224),";"),CONCATENATE(";",EscStr(CONCATENATE("NavNode_",getCategoryLevelAsString($B224))),";",EscStr(K224),";")))</f>
        <v>;"NavNode_L3D_525520";"Aktuatorer";</v>
      </c>
      <c r="AE224" s="39" t="str">
        <f>IF(getCategoryLevelAsString($B224)="L0D_324785","",IF(L224="",CONCATENATE(";",EscStr(CONCATENATE("NavNode_",getCategoryLevelAsString($B224))),";",EscStr($J224),";"),CONCATENATE(";",EscStr(CONCATENATE("NavNode_",getCategoryLevelAsString($B224))),";",EscStr(L224),";")))</f>
        <v>;"NavNode_L3D_525520";"Pneumo cilindrai / solenoidai / vykdymo įtaisai";</v>
      </c>
      <c r="AF224" s="39" t="str">
        <f>IF(getCategoryLevelAsString($B224)="L0D_324785","",IF(M224="",CONCATENATE(";",EscStr(CONCATENATE("NavNode_",getCategoryLevelAsString($B224))),";",EscStr($J224),";"),CONCATENATE(";",EscStr(CONCATENATE("NavNode_",getCategoryLevelAsString($B224))),";",EscStr(M224),";")))</f>
        <v>;"NavNode_L3D_525520";"Aktuatorer";</v>
      </c>
      <c r="AG224" s="39" t="str">
        <f>IF(getCategoryLevelAsString($B224)="L0D_324785","",IF(N224="",CONCATENATE(";",EscStr(CONCATENATE("NavNode_",getCategoryLevelAsString($B224))),";",EscStr($J224),";"),CONCATENATE(";",EscStr(CONCATENATE("NavNode_",getCategoryLevelAsString($B224))),";",EscStr(N224),";")))</f>
        <v>;"NavNode_L3D_525520";"Manöverdon";</v>
      </c>
      <c r="AH224" s="39" t="str">
        <f>IF(getCategoryLevelAsString($B224)="L0D_324785","",IF(O224="",CONCATENATE(";",EscStr(CONCATENATE("NavNode_",getCategoryLevelAsString($B224))),";",EscStr($J224),";"),CONCATENATE(";",EscStr(CONCATENATE("NavNode_",getCategoryLevelAsString($B224))),";",EscStr(O224),";")))</f>
        <v>;"NavNode_L3D_525520";"Täiturid";</v>
      </c>
      <c r="AI224" s="39" t="str">
        <f>IF(getCategoryLevelAsString($B224)="L0D_324785","",IF(P224="",CONCATENATE(";",EscStr(CONCATENATE("NavNode_",getCategoryLevelAsString($B224))),";",EscStr($J224),";"),CONCATENATE(";",EscStr(CONCATENATE("NavNode_",getCategoryLevelAsString($B224))),";",EscStr(P224),";")))</f>
        <v>;"NavNode_L3D_525520";"Sovittimet";</v>
      </c>
      <c r="AJ224" s="39" t="str">
        <f>IF(getCategoryLevelAsString($B224)="L0D_324785","",IF(Q224="",CONCATENATE(";",EscStr(CONCATENATE("NavNode_",getCategoryLevelAsString($B224))),";",EscStr($J224),";"),CONCATENATE(";",EscStr(CONCATENATE("NavNode_",getCategoryLevelAsString($B224))),";",EscStr(Q224),";")))</f>
        <v>;"NavNode_L3D_525520";"Aktuatori";</v>
      </c>
      <c r="AK224" s="39" t="str">
        <f>IF(getCategoryLevelAsString($B224)="L0D_324785","",IF(R224="",CONCATENATE(";",EscStr(CONCATENATE("NavNode_",getCategoryLevelAsString($B224))),";",EscStr($J224),";"),CONCATENATE(";",EscStr(CONCATENATE("NavNode_",getCategoryLevelAsString($B224))),";",EscStr(R224),";")))</f>
        <v>;"NavNode_L3D_525520";"Actuatoren";</v>
      </c>
      <c r="AL224" s="39" t="str">
        <f>IF(getCategoryLevelAsString($B224)="L0D_324785","",IF(S224="",CONCATENATE(";",EscStr(CONCATENATE("NavNode_",getCategoryLevelAsString($B224))),";",EscStr($J224),";"),CONCATENATE(";",EscStr(CONCATENATE("NavNode_",getCategoryLevelAsString($B224))),";",EscStr(S224),";")))</f>
        <v>;"NavNode_L3D_525520";"Siłowniki";</v>
      </c>
      <c r="AM224" s="39" t="str">
        <f>IF(getCategoryLevelAsString($B224)="L0D_324785","",IF(T224="",CONCATENATE(";",EscStr(CONCATENATE("NavNode_",getCategoryLevelAsString($B224))),";",EscStr($J224),";"),CONCATENATE(";",EscStr(CONCATENATE("NavNode_",getCategoryLevelAsString($B224))),";",EscStr(T224),";")))</f>
        <v>;"NavNode_L3D_525520";"Приводы";</v>
      </c>
      <c r="AN224" s="39" t="str">
        <f>IF(getCategoryLevelAsString($B224)="L0D_324785","",IF(U224="",CONCATENATE(";",EscStr(CONCATENATE("NavNode_",getCategoryLevelAsString($B224))),";",EscStr($J224),";"),CONCATENATE(";",EscStr(CONCATENATE("NavNode_",getCategoryLevelAsString($B224))),";",EscStr(U224),";")))</f>
        <v>;"NavNode_L3D_525520";"Pohony";</v>
      </c>
      <c r="AO224" s="39" t="str">
        <f>IF(getCategoryLevelAsString($B224)="L0D_324785","",IF(V224="",CONCATENATE(";",EscStr(CONCATENATE("NavNode_",getCategoryLevelAsString($B224))),";",EscStr($J224),";"),CONCATENATE(";",EscStr(CONCATENATE("NavNode_",getCategoryLevelAsString($B224))),";",EscStr(V224),";")))</f>
        <v>;"NavNode_L3D_525520";"Drive-urile";</v>
      </c>
      <c r="AP224" s="39" t="str">
        <f>IF(getCategoryLevelAsString($B224)="L0D_324785","",IF(W224="",CONCATENATE(";",EscStr(CONCATENATE("NavNode_",getCategoryLevelAsString($B224))),";",EscStr($J224),";"),CONCATENATE(";",EscStr(CONCATENATE("NavNode_",getCategoryLevelAsString($B224))),";",EscStr(W224),";")))</f>
        <v>;"NavNode_L3D_525520";"Meghajtás";</v>
      </c>
      <c r="AQ224" s="39" t="str">
        <f>IF(getCategoryLevelAsString($B224)="L0D_324785","",IF(X224="",CONCATENATE(";",EscStr(CONCATENATE("NavNode_",getCategoryLevelAsString($B224))),";",EscStr($J224),";"),CONCATENATE(";",EscStr(CONCATENATE("NavNode_",getCategoryLevelAsString($B224))),";",EscStr(X224),";")))</f>
        <v>;"NavNode_L3D_525520";"Pohony";</v>
      </c>
      <c r="AR224" s="39" t="str">
        <f>IF(OR($A224&lt;&gt;"", $G224=""),"",CONCATENATE(";",EscStr(CONCATENATE("NavEntry_",getCategoryLevelAsString($B224))),";",EscStr(CONCATENATE($J224," Navigation Entry")),";",EscStr(CONCATENATE("cat-",getCategoryLevelAsString($B224))),";",EscStr(CONCATENATE("NavNode_",getCategoryLevelAsString($B224))),";"))</f>
        <v>;"NavEntry_L3D_525520";"Actuators Navigation Entry";"cat-L3D_525520";"NavNode_L3D_525520";</v>
      </c>
    </row>
    <row r="225" spans="1:44" s="34" customFormat="1" ht="15" x14ac:dyDescent="0.25">
      <c r="A225" s="25"/>
      <c r="B225" s="5"/>
      <c r="C225" s="5"/>
      <c r="D225" s="5" t="s">
        <v>84</v>
      </c>
      <c r="E225" s="5"/>
      <c r="F225" s="5"/>
      <c r="G225" s="5" t="s">
        <v>303</v>
      </c>
      <c r="H225" s="5" t="s">
        <v>304</v>
      </c>
      <c r="I225" s="5" t="s">
        <v>305</v>
      </c>
      <c r="J225" s="5" t="s">
        <v>85</v>
      </c>
      <c r="K225" s="5" t="s">
        <v>1331</v>
      </c>
      <c r="L225" s="5" t="s">
        <v>15181</v>
      </c>
      <c r="M225" s="5" t="s">
        <v>1780</v>
      </c>
      <c r="N225" s="5" t="s">
        <v>1993</v>
      </c>
      <c r="O225" s="5" t="s">
        <v>3659</v>
      </c>
      <c r="P225" s="5" t="s">
        <v>3631</v>
      </c>
      <c r="Q225" s="5" t="s">
        <v>3660</v>
      </c>
      <c r="R225" s="5" t="s">
        <v>3661</v>
      </c>
      <c r="S225" s="5" t="s">
        <v>3662</v>
      </c>
      <c r="T225" s="5" t="s">
        <v>3663</v>
      </c>
      <c r="U225" s="5" t="s">
        <v>3664</v>
      </c>
      <c r="V225" s="5" t="s">
        <v>3665</v>
      </c>
      <c r="W225" s="5" t="s">
        <v>3666</v>
      </c>
      <c r="X225" s="5" t="s">
        <v>14938</v>
      </c>
      <c r="Y225" s="39" t="str">
        <f>IF(OR($A225&lt;&gt;"", $G225=""),"",CONCATENATE(";",EscStr(CONCATENATE("NavNode_",getCategoryLevelAsString($B225))),";",EscStr($J225),";",IF($B225&lt;&gt;"","""MainCategoryNavNode""",EscStr(CONCATENATE("NavNode_",getSuperCategory($B225, getCategoryLevelAsNumber($B225))))),";"))</f>
        <v>;"NavNode_L3D_525521";"Fittings / Check Valves";"NavNode_L2D_379622";</v>
      </c>
      <c r="Z225" s="39" t="str">
        <f>IF(getCategoryLevelAsString($B225)="L0D_324785","",IF(G225="",CONCATENATE(";",EscStr(CONCATENATE("NavNode_",getCategoryLevelAsString($B225))),";",EscStr($J225),";"),CONCATENATE(";",EscStr(CONCATENATE("NavNode_",getCategoryLevelAsString($B225))),";",EscStr(G225),";")))</f>
        <v>;"NavNode_L3D_525521";"Steckverbinder / Sperrventile";</v>
      </c>
      <c r="AA225" s="39" t="str">
        <f>IF(getCategoryLevelAsString($B225)="L0D_324785","",IF(H225="",CONCATENATE(";",EscStr(CONCATENATE("NavNode_",getCategoryLevelAsString($B225))),";",EscStr($J225),";"),CONCATENATE(";",EscStr(CONCATENATE("NavNode_",getCategoryLevelAsString($B225))),";",EscStr(H225),";")))</f>
        <v>;"NavNode_L3D_525521";"Raccords / Clapets antiretour";</v>
      </c>
      <c r="AB225" s="39" t="str">
        <f>IF(getCategoryLevelAsString($B225)="L0D_324785","",IF(I225="",CONCATENATE(";",EscStr(CONCATENATE("NavNode_",getCategoryLevelAsString($B225))),";",EscStr($J225),";"),CONCATENATE(";",EscStr(CONCATENATE("NavNode_",getCategoryLevelAsString($B225))),";",EscStr(I225),";")))</f>
        <v>;"NavNode_L3D_525521";"Raccordi / Valvole di ritegno";</v>
      </c>
      <c r="AC225" s="39" t="str">
        <f>IF(getCategoryLevelAsString($B225)="L0D_324785","",IF(J225="",CONCATENATE(";",EscStr(CONCATENATE("NavNode_",getCategoryLevelAsString($B225))),";",EscStr($J225),";"),CONCATENATE(";",EscStr(CONCATENATE("NavNode_",getCategoryLevelAsString($B225))),";",EscStr(J225),";")))</f>
        <v>;"NavNode_L3D_525521";"Fittings / Check Valves";</v>
      </c>
      <c r="AD225" s="39" t="str">
        <f>IF(getCategoryLevelAsString($B225)="L0D_324785","",IF(K225="",CONCATENATE(";",EscStr(CONCATENATE("NavNode_",getCategoryLevelAsString($B225))),";",EscStr($J225),";"),CONCATENATE(";",EscStr(CONCATENATE("NavNode_",getCategoryLevelAsString($B225))),";",EscStr(K225),";")))</f>
        <v>;"NavNode_L3D_525521";"Beslag/styreventiler";</v>
      </c>
      <c r="AE225" s="39" t="str">
        <f>IF(getCategoryLevelAsString($B225)="L0D_324785","",IF(L225="",CONCATENATE(";",EscStr(CONCATENATE("NavNode_",getCategoryLevelAsString($B225))),";",EscStr($J225),";"),CONCATENATE(";",EscStr(CONCATENATE("NavNode_",getCategoryLevelAsString($B225))),";",EscStr(L225),";")))</f>
        <v>;"NavNode_L3D_525521";"Pneumatinės jungtys / vožtuvai";</v>
      </c>
      <c r="AF225" s="39" t="str">
        <f>IF(getCategoryLevelAsString($B225)="L0D_324785","",IF(M225="",CONCATENATE(";",EscStr(CONCATENATE("NavNode_",getCategoryLevelAsString($B225))),";",EscStr($J225),";"),CONCATENATE(";",EscStr(CONCATENATE("NavNode_",getCategoryLevelAsString($B225))),";",EscStr(M225),";")))</f>
        <v>;"NavNode_L3D_525521";"Fester/tilbakeslagsventiler";</v>
      </c>
      <c r="AG225" s="39" t="str">
        <f>IF(getCategoryLevelAsString($B225)="L0D_324785","",IF(N225="",CONCATENATE(";",EscStr(CONCATENATE("NavNode_",getCategoryLevelAsString($B225))),";",EscStr($J225),";"),CONCATENATE(";",EscStr(CONCATENATE("NavNode_",getCategoryLevelAsString($B225))),";",EscStr(N225),";")))</f>
        <v>;"NavNode_L3D_525521";"Armaturer/backventiler";</v>
      </c>
      <c r="AH225" s="39" t="str">
        <f>IF(getCategoryLevelAsString($B225)="L0D_324785","",IF(O225="",CONCATENATE(";",EscStr(CONCATENATE("NavNode_",getCategoryLevelAsString($B225))),";",EscStr($J225),";"),CONCATENATE(";",EscStr(CONCATENATE("NavNode_",getCategoryLevelAsString($B225))),";",EscStr(O225),";")))</f>
        <v>;"NavNode_L3D_525521";"Ühendusdetailid / Kontrollventiilid";</v>
      </c>
      <c r="AI225" s="39" t="str">
        <f>IF(getCategoryLevelAsString($B225)="L0D_324785","",IF(P225="",CONCATENATE(";",EscStr(CONCATENATE("NavNode_",getCategoryLevelAsString($B225))),";",EscStr($J225),";"),CONCATENATE(";",EscStr(CONCATENATE("NavNode_",getCategoryLevelAsString($B225))),";",EscStr(P225),";")))</f>
        <v>;"NavNode_L3D_525521";"Sovittimet";</v>
      </c>
      <c r="AJ225" s="39" t="str">
        <f>IF(getCategoryLevelAsString($B225)="L0D_324785","",IF(Q225="",CONCATENATE(";",EscStr(CONCATENATE("NavNode_",getCategoryLevelAsString($B225))),";",EscStr($J225),";"),CONCATENATE(";",EscStr(CONCATENATE("NavNode_",getCategoryLevelAsString($B225))),";",EscStr(Q225),";")))</f>
        <v>;"NavNode_L3D_525521";"Uzgaļi / Pretvārsti";</v>
      </c>
      <c r="AK225" s="39" t="str">
        <f>IF(getCategoryLevelAsString($B225)="L0D_324785","",IF(R225="",CONCATENATE(";",EscStr(CONCATENATE("NavNode_",getCategoryLevelAsString($B225))),";",EscStr($J225),";"),CONCATENATE(";",EscStr(CONCATENATE("NavNode_",getCategoryLevelAsString($B225))),";",EscStr(R225),";")))</f>
        <v>;"NavNode_L3D_525521";"Koppelingen / Afsluiters";</v>
      </c>
      <c r="AL225" s="39" t="str">
        <f>IF(getCategoryLevelAsString($B225)="L0D_324785","",IF(S225="",CONCATENATE(";",EscStr(CONCATENATE("NavNode_",getCategoryLevelAsString($B225))),";",EscStr($J225),";"),CONCATENATE(";",EscStr(CONCATENATE("NavNode_",getCategoryLevelAsString($B225))),";",EscStr(S225),";")))</f>
        <v>;"NavNode_L3D_525521";"Złączki i Akcesoria do zaworów";</v>
      </c>
      <c r="AM225" s="39" t="str">
        <f>IF(getCategoryLevelAsString($B225)="L0D_324785","",IF(T225="",CONCATENATE(";",EscStr(CONCATENATE("NavNode_",getCategoryLevelAsString($B225))),";",EscStr($J225),";"),CONCATENATE(";",EscStr(CONCATENATE("NavNode_",getCategoryLevelAsString($B225))),";",EscStr(T225),";")))</f>
        <v>;"NavNode_L3D_525521";"Фитинги / Контрольные клапаны";</v>
      </c>
      <c r="AN225" s="39" t="str">
        <f>IF(getCategoryLevelAsString($B225)="L0D_324785","",IF(U225="",CONCATENATE(";",EscStr(CONCATENATE("NavNode_",getCategoryLevelAsString($B225))),";",EscStr($J225),";"),CONCATENATE(";",EscStr(CONCATENATE("NavNode_",getCategoryLevelAsString($B225))),";",EscStr(U225),";")))</f>
        <v>;"NavNode_L3D_525521";"Konektory / zpětné ventily";</v>
      </c>
      <c r="AO225" s="39" t="str">
        <f>IF(getCategoryLevelAsString($B225)="L0D_324785","",IF(V225="",CONCATENATE(";",EscStr(CONCATENATE("NavNode_",getCategoryLevelAsString($B225))),";",EscStr($J225),";"),CONCATENATE(";",EscStr(CONCATENATE("NavNode_",getCategoryLevelAsString($B225))),";",EscStr(V225),";")))</f>
        <v>;"NavNode_L3D_525521";"Conector / supape";</v>
      </c>
      <c r="AP225" s="39" t="str">
        <f>IF(getCategoryLevelAsString($B225)="L0D_324785","",IF(W225="",CONCATENATE(";",EscStr(CONCATENATE("NavNode_",getCategoryLevelAsString($B225))),";",EscStr($J225),";"),CONCATENATE(";",EscStr(CONCATENATE("NavNode_",getCategoryLevelAsString($B225))),";",EscStr(W225),";")))</f>
        <v>;"NavNode_L3D_525521";"Konnektor / Elzárószelep";</v>
      </c>
      <c r="AQ225" s="39" t="str">
        <f>IF(getCategoryLevelAsString($B225)="L0D_324785","",IF(X225="",CONCATENATE(";",EscStr(CONCATENATE("NavNode_",getCategoryLevelAsString($B225))),";",EscStr($J225),";"),CONCATENATE(";",EscStr(CONCATENATE("NavNode_",getCategoryLevelAsString($B225))),";",EscStr(X225),";")))</f>
        <v>;"NavNode_L3D_525521";"Konektory / spätné ventily";</v>
      </c>
      <c r="AR225" s="39" t="str">
        <f>IF(OR($A225&lt;&gt;"", $G225=""),"",CONCATENATE(";",EscStr(CONCATENATE("NavEntry_",getCategoryLevelAsString($B225))),";",EscStr(CONCATENATE($J225," Navigation Entry")),";",EscStr(CONCATENATE("cat-",getCategoryLevelAsString($B225))),";",EscStr(CONCATENATE("NavNode_",getCategoryLevelAsString($B225))),";"))</f>
        <v>;"NavEntry_L3D_525521";"Fittings / Check Valves Navigation Entry";"cat-L3D_525521";"NavNode_L3D_525521";</v>
      </c>
    </row>
    <row r="226" spans="1:44" s="34" customFormat="1" ht="15" x14ac:dyDescent="0.25">
      <c r="A226" s="25"/>
      <c r="B226" s="5"/>
      <c r="C226" s="5"/>
      <c r="D226" s="5" t="s">
        <v>87</v>
      </c>
      <c r="E226" s="5"/>
      <c r="F226" s="5"/>
      <c r="G226" s="5" t="s">
        <v>307</v>
      </c>
      <c r="H226" s="5" t="s">
        <v>308</v>
      </c>
      <c r="I226" s="5" t="s">
        <v>309</v>
      </c>
      <c r="J226" s="5" t="s">
        <v>88</v>
      </c>
      <c r="K226" s="5" t="s">
        <v>1332</v>
      </c>
      <c r="L226" s="5" t="s">
        <v>15182</v>
      </c>
      <c r="M226" s="5" t="s">
        <v>1781</v>
      </c>
      <c r="N226" s="5" t="s">
        <v>1332</v>
      </c>
      <c r="O226" s="5" t="s">
        <v>3667</v>
      </c>
      <c r="P226" s="5" t="s">
        <v>3668</v>
      </c>
      <c r="Q226" s="5" t="s">
        <v>3669</v>
      </c>
      <c r="R226" s="5" t="s">
        <v>3670</v>
      </c>
      <c r="S226" s="5" t="s">
        <v>3671</v>
      </c>
      <c r="T226" s="5" t="s">
        <v>3672</v>
      </c>
      <c r="U226" s="5" t="s">
        <v>3673</v>
      </c>
      <c r="V226" s="5" t="s">
        <v>3674</v>
      </c>
      <c r="W226" s="5" t="s">
        <v>3675</v>
      </c>
      <c r="X226" s="5" t="s">
        <v>3673</v>
      </c>
      <c r="Y226" s="39" t="str">
        <f>IF(OR($A226&lt;&gt;"", $G226=""),"",CONCATENATE(";",EscStr(CONCATENATE("NavNode_",getCategoryLevelAsString($B226))),";",EscStr($J226),";",IF($B226&lt;&gt;"","""MainCategoryNavNode""",EscStr(CONCATENATE("NavNode_",getSuperCategory($B226, getCategoryLevelAsNumber($B226))))),";"))</f>
        <v>;"NavNode_L3D_525522";"Vacuum Technology";"NavNode_L2D_379622";</v>
      </c>
      <c r="Z226" s="39" t="str">
        <f>IF(getCategoryLevelAsString($B226)="L0D_324785","",IF(G226="",CONCATENATE(";",EscStr(CONCATENATE("NavNode_",getCategoryLevelAsString($B226))),";",EscStr($J226),";"),CONCATENATE(";",EscStr(CONCATENATE("NavNode_",getCategoryLevelAsString($B226))),";",EscStr(G226),";")))</f>
        <v>;"NavNode_L3D_525522";"Vakuumtechnik";</v>
      </c>
      <c r="AA226" s="39" t="str">
        <f>IF(getCategoryLevelAsString($B226)="L0D_324785","",IF(H226="",CONCATENATE(";",EscStr(CONCATENATE("NavNode_",getCategoryLevelAsString($B226))),";",EscStr($J226),";"),CONCATENATE(";",EscStr(CONCATENATE("NavNode_",getCategoryLevelAsString($B226))),";",EscStr(H226),";")))</f>
        <v>;"NavNode_L3D_525522";"Technique du vide";</v>
      </c>
      <c r="AB226" s="39" t="str">
        <f>IF(getCategoryLevelAsString($B226)="L0D_324785","",IF(I226="",CONCATENATE(";",EscStr(CONCATENATE("NavNode_",getCategoryLevelAsString($B226))),";",EscStr($J226),";"),CONCATENATE(";",EscStr(CONCATENATE("NavNode_",getCategoryLevelAsString($B226))),";",EscStr(I226),";")))</f>
        <v>;"NavNode_L3D_525522";"Tecnologia del vuoto";</v>
      </c>
      <c r="AC226" s="39" t="str">
        <f>IF(getCategoryLevelAsString($B226)="L0D_324785","",IF(J226="",CONCATENATE(";",EscStr(CONCATENATE("NavNode_",getCategoryLevelAsString($B226))),";",EscStr($J226),";"),CONCATENATE(";",EscStr(CONCATENATE("NavNode_",getCategoryLevelAsString($B226))),";",EscStr(J226),";")))</f>
        <v>;"NavNode_L3D_525522";"Vacuum Technology";</v>
      </c>
      <c r="AD226" s="39" t="str">
        <f>IF(getCategoryLevelAsString($B226)="L0D_324785","",IF(K226="",CONCATENATE(";",EscStr(CONCATENATE("NavNode_",getCategoryLevelAsString($B226))),";",EscStr($J226),";"),CONCATENATE(";",EscStr(CONCATENATE("NavNode_",getCategoryLevelAsString($B226))),";",EscStr(K226),";")))</f>
        <v>;"NavNode_L3D_525522";"Vakuumteknik";</v>
      </c>
      <c r="AE226" s="39" t="str">
        <f>IF(getCategoryLevelAsString($B226)="L0D_324785","",IF(L226="",CONCATENATE(";",EscStr(CONCATENATE("NavNode_",getCategoryLevelAsString($B226))),";",EscStr($J226),";"),CONCATENATE(";",EscStr(CONCATENATE("NavNode_",getCategoryLevelAsString($B226))),";",EscStr(L226),";")))</f>
        <v>;"NavNode_L3D_525522";"Vakuumo technika";</v>
      </c>
      <c r="AF226" s="39" t="str">
        <f>IF(getCategoryLevelAsString($B226)="L0D_324785","",IF(M226="",CONCATENATE(";",EscStr(CONCATENATE("NavNode_",getCategoryLevelAsString($B226))),";",EscStr($J226),";"),CONCATENATE(";",EscStr(CONCATENATE("NavNode_",getCategoryLevelAsString($B226))),";",EscStr(M226),";")))</f>
        <v>;"NavNode_L3D_525522";"Vakuumteknologi";</v>
      </c>
      <c r="AG226" s="39" t="str">
        <f>IF(getCategoryLevelAsString($B226)="L0D_324785","",IF(N226="",CONCATENATE(";",EscStr(CONCATENATE("NavNode_",getCategoryLevelAsString($B226))),";",EscStr($J226),";"),CONCATENATE(";",EscStr(CONCATENATE("NavNode_",getCategoryLevelAsString($B226))),";",EscStr(N226),";")))</f>
        <v>;"NavNode_L3D_525522";"Vakuumteknik";</v>
      </c>
      <c r="AH226" s="39" t="str">
        <f>IF(getCategoryLevelAsString($B226)="L0D_324785","",IF(O226="",CONCATENATE(";",EscStr(CONCATENATE("NavNode_",getCategoryLevelAsString($B226))),";",EscStr($J226),";"),CONCATENATE(";",EscStr(CONCATENATE("NavNode_",getCategoryLevelAsString($B226))),";",EscStr(O226),";")))</f>
        <v>;"NavNode_L3D_525522";"Vaakumtehnoloogia";</v>
      </c>
      <c r="AI226" s="39" t="str">
        <f>IF(getCategoryLevelAsString($B226)="L0D_324785","",IF(P226="",CONCATENATE(";",EscStr(CONCATENATE("NavNode_",getCategoryLevelAsString($B226))),";",EscStr($J226),";"),CONCATENATE(";",EscStr(CONCATENATE("NavNode_",getCategoryLevelAsString($B226))),";",EscStr(P226),";")))</f>
        <v>;"NavNode_L3D_525522";"Vakumitekniikka";</v>
      </c>
      <c r="AJ226" s="39" t="str">
        <f>IF(getCategoryLevelAsString($B226)="L0D_324785","",IF(Q226="",CONCATENATE(";",EscStr(CONCATENATE("NavNode_",getCategoryLevelAsString($B226))),";",EscStr($J226),";"),CONCATENATE(";",EscStr(CONCATENATE("NavNode_",getCategoryLevelAsString($B226))),";",EscStr(Q226),";")))</f>
        <v>;"NavNode_L3D_525522";"Vakuuma tehnoloģijas";</v>
      </c>
      <c r="AK226" s="39" t="str">
        <f>IF(getCategoryLevelAsString($B226)="L0D_324785","",IF(R226="",CONCATENATE(";",EscStr(CONCATENATE("NavNode_",getCategoryLevelAsString($B226))),";",EscStr($J226),";"),CONCATENATE(";",EscStr(CONCATENATE("NavNode_",getCategoryLevelAsString($B226))),";",EscStr(R226),";")))</f>
        <v>;"NavNode_L3D_525522";"Vacuum techniek";</v>
      </c>
      <c r="AL226" s="39" t="str">
        <f>IF(getCategoryLevelAsString($B226)="L0D_324785","",IF(S226="",CONCATENATE(";",EscStr(CONCATENATE("NavNode_",getCategoryLevelAsString($B226))),";",EscStr($J226),";"),CONCATENATE(";",EscStr(CONCATENATE("NavNode_",getCategoryLevelAsString($B226))),";",EscStr(S226),";")))</f>
        <v>;"NavNode_L3D_525522";"Technika próżniowa";</v>
      </c>
      <c r="AM226" s="39" t="str">
        <f>IF(getCategoryLevelAsString($B226)="L0D_324785","",IF(T226="",CONCATENATE(";",EscStr(CONCATENATE("NavNode_",getCategoryLevelAsString($B226))),";",EscStr($J226),";"),CONCATENATE(";",EscStr(CONCATENATE("NavNode_",getCategoryLevelAsString($B226))),";",EscStr(T226),";")))</f>
        <v>;"NavNode_L3D_525522";"Вакуумная техника";</v>
      </c>
      <c r="AN226" s="39" t="str">
        <f>IF(getCategoryLevelAsString($B226)="L0D_324785","",IF(U226="",CONCATENATE(";",EscStr(CONCATENATE("NavNode_",getCategoryLevelAsString($B226))),";",EscStr($J226),";"),CONCATENATE(";",EscStr(CONCATENATE("NavNode_",getCategoryLevelAsString($B226))),";",EscStr(U226),";")))</f>
        <v>;"NavNode_L3D_525522";"Vákuová technika";</v>
      </c>
      <c r="AO226" s="39" t="str">
        <f>IF(getCategoryLevelAsString($B226)="L0D_324785","",IF(V226="",CONCATENATE(";",EscStr(CONCATENATE("NavNode_",getCategoryLevelAsString($B226))),";",EscStr($J226),";"),CONCATENATE(";",EscStr(CONCATENATE("NavNode_",getCategoryLevelAsString($B226))),";",EscStr(V226),";")))</f>
        <v>;"NavNode_L3D_525522";"Tehnologie de vacuum";</v>
      </c>
      <c r="AP226" s="39" t="str">
        <f>IF(getCategoryLevelAsString($B226)="L0D_324785","",IF(W226="",CONCATENATE(";",EscStr(CONCATENATE("NavNode_",getCategoryLevelAsString($B226))),";",EscStr($J226),";"),CONCATENATE(";",EscStr(CONCATENATE("NavNode_",getCategoryLevelAsString($B226))),";",EscStr(W226),";")))</f>
        <v>;"NavNode_L3D_525522";"Vákumtechnika";</v>
      </c>
      <c r="AQ226" s="39" t="str">
        <f>IF(getCategoryLevelAsString($B226)="L0D_324785","",IF(X226="",CONCATENATE(";",EscStr(CONCATENATE("NavNode_",getCategoryLevelAsString($B226))),";",EscStr($J226),";"),CONCATENATE(";",EscStr(CONCATENATE("NavNode_",getCategoryLevelAsString($B226))),";",EscStr(X226),";")))</f>
        <v>;"NavNode_L3D_525522";"Vákuová technika";</v>
      </c>
      <c r="AR226" s="39" t="str">
        <f>IF(OR($A226&lt;&gt;"", $G226=""),"",CONCATENATE(";",EscStr(CONCATENATE("NavEntry_",getCategoryLevelAsString($B226))),";",EscStr(CONCATENATE($J226," Navigation Entry")),";",EscStr(CONCATENATE("cat-",getCategoryLevelAsString($B226))),";",EscStr(CONCATENATE("NavNode_",getCategoryLevelAsString($B226))),";"))</f>
        <v>;"NavEntry_L3D_525522";"Vacuum Technology Navigation Entry";"cat-L3D_525522";"NavNode_L3D_525522";</v>
      </c>
    </row>
    <row r="227" spans="1:44" s="34" customFormat="1" ht="15" x14ac:dyDescent="0.25">
      <c r="A227" s="25"/>
      <c r="B227" s="5"/>
      <c r="C227" s="5"/>
      <c r="D227" s="5" t="s">
        <v>83</v>
      </c>
      <c r="E227" s="5"/>
      <c r="F227" s="5"/>
      <c r="G227" s="5" t="s">
        <v>941</v>
      </c>
      <c r="H227" s="5" t="s">
        <v>738</v>
      </c>
      <c r="I227" s="5" t="s">
        <v>642</v>
      </c>
      <c r="J227" s="5" t="s">
        <v>840</v>
      </c>
      <c r="K227" s="5" t="s">
        <v>1333</v>
      </c>
      <c r="L227" s="5" t="s">
        <v>15183</v>
      </c>
      <c r="M227" s="5" t="s">
        <v>1782</v>
      </c>
      <c r="N227" s="5" t="s">
        <v>1333</v>
      </c>
      <c r="O227" s="5" t="s">
        <v>3676</v>
      </c>
      <c r="P227" s="5" t="s">
        <v>3677</v>
      </c>
      <c r="Q227" s="5" t="s">
        <v>3678</v>
      </c>
      <c r="R227" s="5" t="s">
        <v>3679</v>
      </c>
      <c r="S227" s="5" t="s">
        <v>3680</v>
      </c>
      <c r="T227" s="5" t="s">
        <v>3681</v>
      </c>
      <c r="U227" s="5" t="s">
        <v>3682</v>
      </c>
      <c r="V227" s="5" t="s">
        <v>3683</v>
      </c>
      <c r="W227" s="5" t="s">
        <v>3684</v>
      </c>
      <c r="X227" s="5" t="s">
        <v>14939</v>
      </c>
      <c r="Y227" s="39" t="str">
        <f>IF(OR($A227&lt;&gt;"", $G227=""),"",CONCATENATE(";",EscStr(CONCATENATE("NavNode_",getCategoryLevelAsString($B227))),";",EscStr($J227),";",IF($B227&lt;&gt;"","""MainCategoryNavNode""",EscStr(CONCATENATE("NavNode_",getSuperCategory($B227, getCategoryLevelAsNumber($B227))))),";"))</f>
        <v>;"NavNode_L3D_525523";"Air Treatment System";"NavNode_L2D_379622";</v>
      </c>
      <c r="Z227" s="39" t="str">
        <f>IF(getCategoryLevelAsString($B227)="L0D_324785","",IF(G227="",CONCATENATE(";",EscStr(CONCATENATE("NavNode_",getCategoryLevelAsString($B227))),";",EscStr($J227),";"),CONCATENATE(";",EscStr(CONCATENATE("NavNode_",getCategoryLevelAsString($B227))),";",EscStr(G227),";")))</f>
        <v>;"NavNode_L3D_525523";"Luftaufbereitung";</v>
      </c>
      <c r="AA227" s="39" t="str">
        <f>IF(getCategoryLevelAsString($B227)="L0D_324785","",IF(H227="",CONCATENATE(";",EscStr(CONCATENATE("NavNode_",getCategoryLevelAsString($B227))),";",EscStr($J227),";"),CONCATENATE(";",EscStr(CONCATENATE("NavNode_",getCategoryLevelAsString($B227))),";",EscStr(H227),";")))</f>
        <v>;"NavNode_L3D_525523";"Système de traitement de l'air";</v>
      </c>
      <c r="AB227" s="39" t="str">
        <f>IF(getCategoryLevelAsString($B227)="L0D_324785","",IF(I227="",CONCATENATE(";",EscStr(CONCATENATE("NavNode_",getCategoryLevelAsString($B227))),";",EscStr($J227),";"),CONCATENATE(";",EscStr(CONCATENATE("NavNode_",getCategoryLevelAsString($B227))),";",EscStr(I227),";")))</f>
        <v>;"NavNode_L3D_525523";"Sistema di trattamento aria";</v>
      </c>
      <c r="AC227" s="39" t="str">
        <f>IF(getCategoryLevelAsString($B227)="L0D_324785","",IF(J227="",CONCATENATE(";",EscStr(CONCATENATE("NavNode_",getCategoryLevelAsString($B227))),";",EscStr($J227),";"),CONCATENATE(";",EscStr(CONCATENATE("NavNode_",getCategoryLevelAsString($B227))),";",EscStr(J227),";")))</f>
        <v>;"NavNode_L3D_525523";"Air Treatment System";</v>
      </c>
      <c r="AD227" s="39" t="str">
        <f>IF(getCategoryLevelAsString($B227)="L0D_324785","",IF(K227="",CONCATENATE(";",EscStr(CONCATENATE("NavNode_",getCategoryLevelAsString($B227))),";",EscStr($J227),";"),CONCATENATE(";",EscStr(CONCATENATE("NavNode_",getCategoryLevelAsString($B227))),";",EscStr(K227),";")))</f>
        <v>;"NavNode_L3D_525523";"Luftbehandlingssystem";</v>
      </c>
      <c r="AE227" s="39" t="str">
        <f>IF(getCategoryLevelAsString($B227)="L0D_324785","",IF(L227="",CONCATENATE(";",EscStr(CONCATENATE("NavNode_",getCategoryLevelAsString($B227))),";",EscStr($J227),";"),CONCATENATE(";",EscStr(CONCATENATE("NavNode_",getCategoryLevelAsString($B227))),";",EscStr(L227),";")))</f>
        <v>;"NavNode_L3D_525523";"Oro paruošimo komponentai";</v>
      </c>
      <c r="AF227" s="39" t="str">
        <f>IF(getCategoryLevelAsString($B227)="L0D_324785","",IF(M227="",CONCATENATE(";",EscStr(CONCATENATE("NavNode_",getCategoryLevelAsString($B227))),";",EscStr($J227),";"),CONCATENATE(";",EscStr(CONCATENATE("NavNode_",getCategoryLevelAsString($B227))),";",EscStr(M227),";")))</f>
        <v>;"NavNode_L3D_525523";"Luftbehandlingssystemer";</v>
      </c>
      <c r="AG227" s="39" t="str">
        <f>IF(getCategoryLevelAsString($B227)="L0D_324785","",IF(N227="",CONCATENATE(";",EscStr(CONCATENATE("NavNode_",getCategoryLevelAsString($B227))),";",EscStr($J227),";"),CONCATENATE(";",EscStr(CONCATENATE("NavNode_",getCategoryLevelAsString($B227))),";",EscStr(N227),";")))</f>
        <v>;"NavNode_L3D_525523";"Luftbehandlingssystem";</v>
      </c>
      <c r="AH227" s="39" t="str">
        <f>IF(getCategoryLevelAsString($B227)="L0D_324785","",IF(O227="",CONCATENATE(";",EscStr(CONCATENATE("NavNode_",getCategoryLevelAsString($B227))),";",EscStr($J227),";"),CONCATENATE(";",EscStr(CONCATENATE("NavNode_",getCategoryLevelAsString($B227))),";",EscStr(O227),";")))</f>
        <v>;"NavNode_L3D_525523";"Õhukäitlussüsteemid";</v>
      </c>
      <c r="AI227" s="39" t="str">
        <f>IF(getCategoryLevelAsString($B227)="L0D_324785","",IF(P227="",CONCATENATE(";",EscStr(CONCATENATE("NavNode_",getCategoryLevelAsString($B227))),";",EscStr($J227),";"),CONCATENATE(";",EscStr(CONCATENATE("NavNode_",getCategoryLevelAsString($B227))),";",EscStr(P227),";")))</f>
        <v>;"NavNode_L3D_525523";"Ilmankäsittelyjärjestelmät";</v>
      </c>
      <c r="AJ227" s="39" t="str">
        <f>IF(getCategoryLevelAsString($B227)="L0D_324785","",IF(Q227="",CONCATENATE(";",EscStr(CONCATENATE("NavNode_",getCategoryLevelAsString($B227))),";",EscStr($J227),";"),CONCATENATE(";",EscStr(CONCATENATE("NavNode_",getCategoryLevelAsString($B227))),";",EscStr(Q227),";")))</f>
        <v>;"NavNode_L3D_525523";"Gaisa apstrāde";</v>
      </c>
      <c r="AK227" s="39" t="str">
        <f>IF(getCategoryLevelAsString($B227)="L0D_324785","",IF(R227="",CONCATENATE(";",EscStr(CONCATENATE("NavNode_",getCategoryLevelAsString($B227))),";",EscStr($J227),";"),CONCATENATE(";",EscStr(CONCATENATE("NavNode_",getCategoryLevelAsString($B227))),";",EscStr(R227),";")))</f>
        <v>;"NavNode_L3D_525523";"Luchtbehandeling";</v>
      </c>
      <c r="AL227" s="39" t="str">
        <f>IF(getCategoryLevelAsString($B227)="L0D_324785","",IF(S227="",CONCATENATE(";",EscStr(CONCATENATE("NavNode_",getCategoryLevelAsString($B227))),";",EscStr($J227),";"),CONCATENATE(";",EscStr(CONCATENATE("NavNode_",getCategoryLevelAsString($B227))),";",EscStr(S227),";")))</f>
        <v>;"NavNode_L3D_525523";"Systemy jakości powietrza";</v>
      </c>
      <c r="AM227" s="39" t="str">
        <f>IF(getCategoryLevelAsString($B227)="L0D_324785","",IF(T227="",CONCATENATE(";",EscStr(CONCATENATE("NavNode_",getCategoryLevelAsString($B227))),";",EscStr($J227),";"),CONCATENATE(";",EscStr(CONCATENATE("NavNode_",getCategoryLevelAsString($B227))),";",EscStr(T227),";")))</f>
        <v>;"NavNode_L3D_525523";"Система очистки воздуха";</v>
      </c>
      <c r="AN227" s="39" t="str">
        <f>IF(getCategoryLevelAsString($B227)="L0D_324785","",IF(U227="",CONCATENATE(";",EscStr(CONCATENATE("NavNode_",getCategoryLevelAsString($B227))),";",EscStr($J227),";"),CONCATENATE(";",EscStr(CONCATENATE("NavNode_",getCategoryLevelAsString($B227))),";",EscStr(U227),";")))</f>
        <v>;"NavNode_L3D_525523";"Klimatizace";</v>
      </c>
      <c r="AO227" s="39" t="str">
        <f>IF(getCategoryLevelAsString($B227)="L0D_324785","",IF(V227="",CONCATENATE(";",EscStr(CONCATENATE("NavNode_",getCategoryLevelAsString($B227))),";",EscStr($J227),";"),CONCATENATE(";",EscStr(CONCATENATE("NavNode_",getCategoryLevelAsString($B227))),";",EscStr(V227),";")))</f>
        <v>;"NavNode_L3D_525523";"Preparare aer";</v>
      </c>
      <c r="AP227" s="39" t="str">
        <f>IF(getCategoryLevelAsString($B227)="L0D_324785","",IF(W227="",CONCATENATE(";",EscStr(CONCATENATE("NavNode_",getCategoryLevelAsString($B227))),";",EscStr($J227),";"),CONCATENATE(";",EscStr(CONCATENATE("NavNode_",getCategoryLevelAsString($B227))),";",EscStr(W227),";")))</f>
        <v>;"NavNode_L3D_525523";"Levegő-előkészítés";</v>
      </c>
      <c r="AQ227" s="39" t="str">
        <f>IF(getCategoryLevelAsString($B227)="L0D_324785","",IF(X227="",CONCATENATE(";",EscStr(CONCATENATE("NavNode_",getCategoryLevelAsString($B227))),";",EscStr($J227),";"),CONCATENATE(";",EscStr(CONCATENATE("NavNode_",getCategoryLevelAsString($B227))),";",EscStr(X227),";")))</f>
        <v>;"NavNode_L3D_525523";"Klimatizácia";</v>
      </c>
      <c r="AR227" s="39" t="str">
        <f>IF(OR($A227&lt;&gt;"", $G227=""),"",CONCATENATE(";",EscStr(CONCATENATE("NavEntry_",getCategoryLevelAsString($B227))),";",EscStr(CONCATENATE($J227," Navigation Entry")),";",EscStr(CONCATENATE("cat-",getCategoryLevelAsString($B227))),";",EscStr(CONCATENATE("NavNode_",getCategoryLevelAsString($B227))),";"))</f>
        <v>;"NavEntry_L3D_525523";"Air Treatment System Navigation Entry";"cat-L3D_525523";"NavNode_L3D_525523";</v>
      </c>
    </row>
    <row r="228" spans="1:44" s="34" customFormat="1" ht="15" x14ac:dyDescent="0.25">
      <c r="A228" s="25"/>
      <c r="B228" s="5"/>
      <c r="C228" s="5"/>
      <c r="D228" s="5" t="s">
        <v>86</v>
      </c>
      <c r="E228" s="5"/>
      <c r="F228" s="5"/>
      <c r="G228" s="5" t="s">
        <v>2404</v>
      </c>
      <c r="H228" s="5" t="s">
        <v>2406</v>
      </c>
      <c r="I228" s="5" t="s">
        <v>2407</v>
      </c>
      <c r="J228" s="5" t="s">
        <v>2405</v>
      </c>
      <c r="K228" s="5" t="s">
        <v>1334</v>
      </c>
      <c r="L228" s="5" t="s">
        <v>15184</v>
      </c>
      <c r="M228" s="5" t="s">
        <v>1783</v>
      </c>
      <c r="N228" s="5" t="s">
        <v>1994</v>
      </c>
      <c r="O228" s="5" t="s">
        <v>3685</v>
      </c>
      <c r="P228" s="5" t="s">
        <v>3686</v>
      </c>
      <c r="Q228" s="5" t="s">
        <v>3687</v>
      </c>
      <c r="R228" s="5" t="s">
        <v>3688</v>
      </c>
      <c r="S228" s="5" t="s">
        <v>3689</v>
      </c>
      <c r="T228" s="5" t="s">
        <v>3690</v>
      </c>
      <c r="U228" s="5" t="s">
        <v>3691</v>
      </c>
      <c r="V228" s="5" t="s">
        <v>3692</v>
      </c>
      <c r="W228" s="5" t="s">
        <v>3693</v>
      </c>
      <c r="X228" s="5" t="s">
        <v>14940</v>
      </c>
      <c r="Y228" s="39" t="str">
        <f>IF(OR($A228&lt;&gt;"", $G228=""),"",CONCATENATE(";",EscStr(CONCATENATE("NavNode_",getCategoryLevelAsString($B228))),";",EscStr($J228),";",IF($B228&lt;&gt;"","""MainCategoryNavNode""",EscStr(CONCATENATE("NavNode_",getSuperCategory($B228, getCategoryLevelAsNumber($B228))))),";"))</f>
        <v>;"NavNode_L3D_525525";"Position Sensors for Pneumatics";"NavNode_L2D_379622";</v>
      </c>
      <c r="Z228" s="39" t="str">
        <f>IF(getCategoryLevelAsString($B228)="L0D_324785","",IF(G228="",CONCATENATE(";",EscStr(CONCATENATE("NavNode_",getCategoryLevelAsString($B228))),";",EscStr($J228),";"),CONCATENATE(";",EscStr(CONCATENATE("NavNode_",getCategoryLevelAsString($B228))),";",EscStr(G228),";")))</f>
        <v>;"NavNode_L3D_525525";"Positionssensoren für Pneumatik";</v>
      </c>
      <c r="AA228" s="39" t="str">
        <f>IF(getCategoryLevelAsString($B228)="L0D_324785","",IF(H228="",CONCATENATE(";",EscStr(CONCATENATE("NavNode_",getCategoryLevelAsString($B228))),";",EscStr($J228),";"),CONCATENATE(";",EscStr(CONCATENATE("NavNode_",getCategoryLevelAsString($B228))),";",EscStr(H228),";")))</f>
        <v>;"NavNode_L3D_525525";"Détecteurs de position pour pneumatique";</v>
      </c>
      <c r="AB228" s="39" t="str">
        <f>IF(getCategoryLevelAsString($B228)="L0D_324785","",IF(I228="",CONCATENATE(";",EscStr(CONCATENATE("NavNode_",getCategoryLevelAsString($B228))),";",EscStr($J228),";"),CONCATENATE(";",EscStr(CONCATENATE("NavNode_",getCategoryLevelAsString($B228))),";",EscStr(I228),";")))</f>
        <v>;"NavNode_L3D_525525";"Sensori di posizione per pneumatica";</v>
      </c>
      <c r="AC228" s="39" t="str">
        <f>IF(getCategoryLevelAsString($B228)="L0D_324785","",IF(J228="",CONCATENATE(";",EscStr(CONCATENATE("NavNode_",getCategoryLevelAsString($B228))),";",EscStr($J228),";"),CONCATENATE(";",EscStr(CONCATENATE("NavNode_",getCategoryLevelAsString($B228))),";",EscStr(J228),";")))</f>
        <v>;"NavNode_L3D_525525";"Position Sensors for Pneumatics";</v>
      </c>
      <c r="AD228" s="39" t="str">
        <f>IF(getCategoryLevelAsString($B228)="L0D_324785","",IF(K228="",CONCATENATE(";",EscStr(CONCATENATE("NavNode_",getCategoryLevelAsString($B228))),";",EscStr($J228),";"),CONCATENATE(";",EscStr(CONCATENATE("NavNode_",getCategoryLevelAsString($B228))),";",EscStr(K228),";")))</f>
        <v>;"NavNode_L3D_525525";"Positionssensorer til pneumatiske enheder";</v>
      </c>
      <c r="AE228" s="39" t="str">
        <f>IF(getCategoryLevelAsString($B228)="L0D_324785","",IF(L228="",CONCATENATE(";",EscStr(CONCATENATE("NavNode_",getCategoryLevelAsString($B228))),";",EscStr($J228),";"),CONCATENATE(";",EscStr(CONCATENATE("NavNode_",getCategoryLevelAsString($B228))),";",EscStr(L228),";")))</f>
        <v>;"NavNode_L3D_525525";"Padėties jutikliai pneumatikai";</v>
      </c>
      <c r="AF228" s="39" t="str">
        <f>IF(getCategoryLevelAsString($B228)="L0D_324785","",IF(M228="",CONCATENATE(";",EscStr(CONCATENATE("NavNode_",getCategoryLevelAsString($B228))),";",EscStr($J228),";"),CONCATENATE(";",EscStr(CONCATENATE("NavNode_",getCategoryLevelAsString($B228))),";",EscStr(M228),";")))</f>
        <v>;"NavNode_L3D_525525";"Posisjonssensorer for trykkluft";</v>
      </c>
      <c r="AG228" s="39" t="str">
        <f>IF(getCategoryLevelAsString($B228)="L0D_324785","",IF(N228="",CONCATENATE(";",EscStr(CONCATENATE("NavNode_",getCategoryLevelAsString($B228))),";",EscStr($J228),";"),CONCATENATE(";",EscStr(CONCATENATE("NavNode_",getCategoryLevelAsString($B228))),";",EscStr(N228),";")))</f>
        <v>;"NavNode_L3D_525525";"Lägesgivare för pneumatik";</v>
      </c>
      <c r="AH228" s="39" t="str">
        <f>IF(getCategoryLevelAsString($B228)="L0D_324785","",IF(O228="",CONCATENATE(";",EscStr(CONCATENATE("NavNode_",getCategoryLevelAsString($B228))),";",EscStr($J228),";"),CONCATENATE(";",EscStr(CONCATENATE("NavNode_",getCategoryLevelAsString($B228))),";",EscStr(O228),";")))</f>
        <v>;"NavNode_L3D_525525";"Asendiandurid";</v>
      </c>
      <c r="AI228" s="39" t="str">
        <f>IF(getCategoryLevelAsString($B228)="L0D_324785","",IF(P228="",CONCATENATE(";",EscStr(CONCATENATE("NavNode_",getCategoryLevelAsString($B228))),";",EscStr($J228),";"),CONCATENATE(";",EscStr(CONCATENATE("NavNode_",getCategoryLevelAsString($B228))),";",EscStr(P228),";")))</f>
        <v>;"NavNode_L3D_525525";"Asentoanturit paineilma";</v>
      </c>
      <c r="AJ228" s="39" t="str">
        <f>IF(getCategoryLevelAsString($B228)="L0D_324785","",IF(Q228="",CONCATENATE(";",EscStr(CONCATENATE("NavNode_",getCategoryLevelAsString($B228))),";",EscStr($J228),";"),CONCATENATE(";",EscStr(CONCATENATE("NavNode_",getCategoryLevelAsString($B228))),";",EscStr(Q228),";")))</f>
        <v>;"NavNode_L3D_525525";"Pneimatiskie pozīcijas sensori";</v>
      </c>
      <c r="AK228" s="39" t="str">
        <f>IF(getCategoryLevelAsString($B228)="L0D_324785","",IF(R228="",CONCATENATE(";",EscStr(CONCATENATE("NavNode_",getCategoryLevelAsString($B228))),";",EscStr($J228),";"),CONCATENATE(";",EscStr(CONCATENATE("NavNode_",getCategoryLevelAsString($B228))),";",EscStr(R228),";")))</f>
        <v>;"NavNode_L3D_525525";"Positie sensoren";</v>
      </c>
      <c r="AL228" s="39" t="str">
        <f>IF(getCategoryLevelAsString($B228)="L0D_324785","",IF(S228="",CONCATENATE(";",EscStr(CONCATENATE("NavNode_",getCategoryLevelAsString($B228))),";",EscStr($J228),";"),CONCATENATE(";",EscStr(CONCATENATE("NavNode_",getCategoryLevelAsString($B228))),";",EscStr(S228),";")))</f>
        <v>;"NavNode_L3D_525525";"Czujniki położenia do pneumatyki";</v>
      </c>
      <c r="AM228" s="39" t="str">
        <f>IF(getCategoryLevelAsString($B228)="L0D_324785","",IF(T228="",CONCATENATE(";",EscStr(CONCATENATE("NavNode_",getCategoryLevelAsString($B228))),";",EscStr($J228),";"),CONCATENATE(";",EscStr(CONCATENATE("NavNode_",getCategoryLevelAsString($B228))),";",EscStr(T228),";")))</f>
        <v>;"NavNode_L3D_525525";"Позиционные датчики для пневматическогооборудования";</v>
      </c>
      <c r="AN228" s="39" t="str">
        <f>IF(getCategoryLevelAsString($B228)="L0D_324785","",IF(U228="",CONCATENATE(";",EscStr(CONCATENATE("NavNode_",getCategoryLevelAsString($B228))),";",EscStr($J228),";"),CONCATENATE(";",EscStr(CONCATENATE("NavNode_",getCategoryLevelAsString($B228))),";",EscStr(U228),";")))</f>
        <v>;"NavNode_L3D_525525";"Snímače polohy pro pneumatiky";</v>
      </c>
      <c r="AO228" s="39" t="str">
        <f>IF(getCategoryLevelAsString($B228)="L0D_324785","",IF(V228="",CONCATENATE(";",EscStr(CONCATENATE("NavNode_",getCategoryLevelAsString($B228))),";",EscStr($J228),";"),CONCATENATE(";",EscStr(CONCATENATE("NavNode_",getCategoryLevelAsString($B228))),";",EscStr(V228),";")))</f>
        <v>;"NavNode_L3D_525525";"Senzori de poziţie pentru pneumatice";</v>
      </c>
      <c r="AP228" s="39" t="str">
        <f>IF(getCategoryLevelAsString($B228)="L0D_324785","",IF(W228="",CONCATENATE(";",EscStr(CONCATENATE("NavNode_",getCategoryLevelAsString($B228))),";",EscStr($J228),";"),CONCATENATE(";",EscStr(CONCATENATE("NavNode_",getCategoryLevelAsString($B228))),";",EscStr(W228),";")))</f>
        <v>;"NavNode_L3D_525525";"Helyzetkapcsolók a Pneumatikához";</v>
      </c>
      <c r="AQ228" s="39" t="str">
        <f>IF(getCategoryLevelAsString($B228)="L0D_324785","",IF(X228="",CONCATENATE(";",EscStr(CONCATENATE("NavNode_",getCategoryLevelAsString($B228))),";",EscStr($J228),";"),CONCATENATE(";",EscStr(CONCATENATE("NavNode_",getCategoryLevelAsString($B228))),";",EscStr(X228),";")))</f>
        <v>;"NavNode_L3D_525525";"Snímače polohy pre pneumatiky";</v>
      </c>
      <c r="AR228" s="39" t="str">
        <f>IF(OR($A228&lt;&gt;"", $G228=""),"",CONCATENATE(";",EscStr(CONCATENATE("NavEntry_",getCategoryLevelAsString($B228))),";",EscStr(CONCATENATE($J228," Navigation Entry")),";",EscStr(CONCATENATE("cat-",getCategoryLevelAsString($B228))),";",EscStr(CONCATENATE("NavNode_",getCategoryLevelAsString($B228))),";"))</f>
        <v>;"NavEntry_L3D_525525";"Position Sensors for Pneumatics Navigation Entry";"cat-L3D_525525";"NavNode_L3D_525525";</v>
      </c>
    </row>
    <row r="229" spans="1:44" s="34" customFormat="1" ht="15" x14ac:dyDescent="0.25">
      <c r="A229" s="25"/>
      <c r="B229" s="5"/>
      <c r="C229" s="5" t="s">
        <v>44</v>
      </c>
      <c r="D229" s="5"/>
      <c r="E229" s="5"/>
      <c r="F229" s="5"/>
      <c r="G229" s="5" t="s">
        <v>306</v>
      </c>
      <c r="H229" s="5" t="s">
        <v>330</v>
      </c>
      <c r="I229" s="5" t="s">
        <v>331</v>
      </c>
      <c r="J229" s="5" t="s">
        <v>45</v>
      </c>
      <c r="K229" s="5" t="s">
        <v>1335</v>
      </c>
      <c r="L229" s="5" t="s">
        <v>15185</v>
      </c>
      <c r="M229" s="5" t="s">
        <v>1335</v>
      </c>
      <c r="N229" s="5" t="s">
        <v>1335</v>
      </c>
      <c r="O229" s="5" t="s">
        <v>3694</v>
      </c>
      <c r="P229" s="5" t="s">
        <v>3695</v>
      </c>
      <c r="Q229" s="5" t="s">
        <v>3696</v>
      </c>
      <c r="R229" s="5" t="s">
        <v>3697</v>
      </c>
      <c r="S229" s="5" t="s">
        <v>3698</v>
      </c>
      <c r="T229" s="5" t="s">
        <v>3699</v>
      </c>
      <c r="U229" s="5" t="s">
        <v>3700</v>
      </c>
      <c r="V229" s="5" t="s">
        <v>3701</v>
      </c>
      <c r="W229" s="5" t="s">
        <v>3702</v>
      </c>
      <c r="X229" s="5" t="s">
        <v>14941</v>
      </c>
      <c r="Y229" s="39" t="str">
        <f>IF(OR($A229&lt;&gt;"", $G229=""),"",CONCATENATE(";",EscStr(CONCATENATE("NavNode_",getCategoryLevelAsString($B229))),";",EscStr($J229),";",IF($B229&lt;&gt;"","""MainCategoryNavNode""",EscStr(CONCATENATE("NavNode_",getSuperCategory($B229, getCategoryLevelAsNumber($B229))))),";"))</f>
        <v>;"NavNode_L2D_379624";"Signals";"NavNode_Automation";</v>
      </c>
      <c r="Z229" s="39" t="str">
        <f>IF(getCategoryLevelAsString($B229)="L0D_324785","",IF(G229="",CONCATENATE(";",EscStr(CONCATENATE("NavNode_",getCategoryLevelAsString($B229))),";",EscStr($J229),";"),CONCATENATE(";",EscStr(CONCATENATE("NavNode_",getCategoryLevelAsString($B229))),";",EscStr(G229),";")))</f>
        <v>;"NavNode_L2D_379624";"Signalgeber";</v>
      </c>
      <c r="AA229" s="39" t="str">
        <f>IF(getCategoryLevelAsString($B229)="L0D_324785","",IF(H229="",CONCATENATE(";",EscStr(CONCATENATE("NavNode_",getCategoryLevelAsString($B229))),";",EscStr($J229),";"),CONCATENATE(";",EscStr(CONCATENATE("NavNode_",getCategoryLevelAsString($B229))),";",EscStr(H229),";")))</f>
        <v>;"NavNode_L2D_379624";"Signaux";</v>
      </c>
      <c r="AB229" s="39" t="str">
        <f>IF(getCategoryLevelAsString($B229)="L0D_324785","",IF(I229="",CONCATENATE(";",EscStr(CONCATENATE("NavNode_",getCategoryLevelAsString($B229))),";",EscStr($J229),";"),CONCATENATE(";",EscStr(CONCATENATE("NavNode_",getCategoryLevelAsString($B229))),";",EscStr(I229),";")))</f>
        <v>;"NavNode_L2D_379624";"Segnali";</v>
      </c>
      <c r="AC229" s="39" t="str">
        <f>IF(getCategoryLevelAsString($B229)="L0D_324785","",IF(J229="",CONCATENATE(";",EscStr(CONCATENATE("NavNode_",getCategoryLevelAsString($B229))),";",EscStr($J229),";"),CONCATENATE(";",EscStr(CONCATENATE("NavNode_",getCategoryLevelAsString($B229))),";",EscStr(J229),";")))</f>
        <v>;"NavNode_L2D_379624";"Signals";</v>
      </c>
      <c r="AD229" s="39" t="str">
        <f>IF(getCategoryLevelAsString($B229)="L0D_324785","",IF(K229="",CONCATENATE(";",EscStr(CONCATENATE("NavNode_",getCategoryLevelAsString($B229))),";",EscStr($J229),";"),CONCATENATE(";",EscStr(CONCATENATE("NavNode_",getCategoryLevelAsString($B229))),";",EscStr(K229),";")))</f>
        <v>;"NavNode_L2D_379624";"Signaler";</v>
      </c>
      <c r="AE229" s="39" t="str">
        <f>IF(getCategoryLevelAsString($B229)="L0D_324785","",IF(L229="",CONCATENATE(";",EscStr(CONCATENATE("NavNode_",getCategoryLevelAsString($B229))),";",EscStr($J229),";"),CONCATENATE(";",EscStr(CONCATENATE("NavNode_",getCategoryLevelAsString($B229))),";",EscStr(L229),";")))</f>
        <v>;"NavNode_L2D_379624";"Garsiniai ir šviesos signalai";</v>
      </c>
      <c r="AF229" s="39" t="str">
        <f>IF(getCategoryLevelAsString($B229)="L0D_324785","",IF(M229="",CONCATENATE(";",EscStr(CONCATENATE("NavNode_",getCategoryLevelAsString($B229))),";",EscStr($J229),";"),CONCATENATE(";",EscStr(CONCATENATE("NavNode_",getCategoryLevelAsString($B229))),";",EscStr(M229),";")))</f>
        <v>;"NavNode_L2D_379624";"Signaler";</v>
      </c>
      <c r="AG229" s="39" t="str">
        <f>IF(getCategoryLevelAsString($B229)="L0D_324785","",IF(N229="",CONCATENATE(";",EscStr(CONCATENATE("NavNode_",getCategoryLevelAsString($B229))),";",EscStr($J229),";"),CONCATENATE(";",EscStr(CONCATENATE("NavNode_",getCategoryLevelAsString($B229))),";",EscStr(N229),";")))</f>
        <v>;"NavNode_L2D_379624";"Signaler";</v>
      </c>
      <c r="AH229" s="39" t="str">
        <f>IF(getCategoryLevelAsString($B229)="L0D_324785","",IF(O229="",CONCATENATE(";",EscStr(CONCATENATE("NavNode_",getCategoryLevelAsString($B229))),";",EscStr($J229),";"),CONCATENATE(";",EscStr(CONCATENATE("NavNode_",getCategoryLevelAsString($B229))),";",EscStr(O229),";")))</f>
        <v>;"NavNode_L2D_379624";"Signaaliseadmed";</v>
      </c>
      <c r="AI229" s="39" t="str">
        <f>IF(getCategoryLevelAsString($B229)="L0D_324785","",IF(P229="",CONCATENATE(";",EscStr(CONCATENATE("NavNode_",getCategoryLevelAsString($B229))),";",EscStr($J229),";"),CONCATENATE(";",EscStr(CONCATENATE("NavNode_",getCategoryLevelAsString($B229))),";",EscStr(P229),";")))</f>
        <v>;"NavNode_L2D_379624";"Merkinantolaitteet";</v>
      </c>
      <c r="AJ229" s="39" t="str">
        <f>IF(getCategoryLevelAsString($B229)="L0D_324785","",IF(Q229="",CONCATENATE(";",EscStr(CONCATENATE("NavNode_",getCategoryLevelAsString($B229))),";",EscStr($J229),";"),CONCATENATE(";",EscStr(CONCATENATE("NavNode_",getCategoryLevelAsString($B229))),";",EscStr(Q229),";")))</f>
        <v>;"NavNode_L2D_379624";"Signālu ģeneratori";</v>
      </c>
      <c r="AK229" s="39" t="str">
        <f>IF(getCategoryLevelAsString($B229)="L0D_324785","",IF(R229="",CONCATENATE(";",EscStr(CONCATENATE("NavNode_",getCategoryLevelAsString($B229))),";",EscStr($J229),";"),CONCATENATE(";",EscStr(CONCATENATE("NavNode_",getCategoryLevelAsString($B229))),";",EscStr(R229),";")))</f>
        <v>;"NavNode_L2D_379624";"Signalering";</v>
      </c>
      <c r="AL229" s="39" t="str">
        <f>IF(getCategoryLevelAsString($B229)="L0D_324785","",IF(S229="",CONCATENATE(";",EscStr(CONCATENATE("NavNode_",getCategoryLevelAsString($B229))),";",EscStr($J229),";"),CONCATENATE(";",EscStr(CONCATENATE("NavNode_",getCategoryLevelAsString($B229))),";",EscStr(S229),";")))</f>
        <v>;"NavNode_L2D_379624";"Sygnalizatory";</v>
      </c>
      <c r="AM229" s="39" t="str">
        <f>IF(getCategoryLevelAsString($B229)="L0D_324785","",IF(T229="",CONCATENATE(";",EscStr(CONCATENATE("NavNode_",getCategoryLevelAsString($B229))),";",EscStr($J229),";"),CONCATENATE(";",EscStr(CONCATENATE("NavNode_",getCategoryLevelAsString($B229))),";",EscStr(T229),";")))</f>
        <v>;"NavNode_L2D_379624";"Сигналы";</v>
      </c>
      <c r="AN229" s="39" t="str">
        <f>IF(getCategoryLevelAsString($B229)="L0D_324785","",IF(U229="",CONCATENATE(";",EscStr(CONCATENATE("NavNode_",getCategoryLevelAsString($B229))),";",EscStr($J229),";"),CONCATENATE(";",EscStr(CONCATENATE("NavNode_",getCategoryLevelAsString($B229))),";",EscStr(U229),";")))</f>
        <v>;"NavNode_L2D_379624";"Signalizační přístroje";</v>
      </c>
      <c r="AO229" s="39" t="str">
        <f>IF(getCategoryLevelAsString($B229)="L0D_324785","",IF(V229="",CONCATENATE(";",EscStr(CONCATENATE("NavNode_",getCategoryLevelAsString($B229))),";",EscStr($J229),";"),CONCATENATE(";",EscStr(CONCATENATE("NavNode_",getCategoryLevelAsString($B229))),";",EscStr(V229),";")))</f>
        <v>;"NavNode_L2D_379624";"Emiţător de semnal";</v>
      </c>
      <c r="AP229" s="39" t="str">
        <f>IF(getCategoryLevelAsString($B229)="L0D_324785","",IF(W229="",CONCATENATE(";",EscStr(CONCATENATE("NavNode_",getCategoryLevelAsString($B229))),";",EscStr($J229),";"),CONCATENATE(";",EscStr(CONCATENATE("NavNode_",getCategoryLevelAsString($B229))),";",EscStr(W229),";")))</f>
        <v>;"NavNode_L2D_379624";"Jeladó";</v>
      </c>
      <c r="AQ229" s="39" t="str">
        <f>IF(getCategoryLevelAsString($B229)="L0D_324785","",IF(X229="",CONCATENATE(";",EscStr(CONCATENATE("NavNode_",getCategoryLevelAsString($B229))),";",EscStr($J229),";"),CONCATENATE(";",EscStr(CONCATENATE("NavNode_",getCategoryLevelAsString($B229))),";",EscStr(X229),";")))</f>
        <v>;"NavNode_L2D_379624";"Signalizačné prístroje";</v>
      </c>
      <c r="AR229" s="39" t="str">
        <f>IF(OR($A229&lt;&gt;"", $G229=""),"",CONCATENATE(";",EscStr(CONCATENATE("NavEntry_",getCategoryLevelAsString($B229))),";",EscStr(CONCATENATE($J229," Navigation Entry")),";",EscStr(CONCATENATE("cat-",getCategoryLevelAsString($B229))),";",EscStr(CONCATENATE("NavNode_",getCategoryLevelAsString($B229))),";"))</f>
        <v>;"NavEntry_L2D_379624";"Signals Navigation Entry";"cat-L2D_379624";"NavNode_L2D_379624";</v>
      </c>
    </row>
    <row r="230" spans="1:44" s="34" customFormat="1" ht="15" x14ac:dyDescent="0.25">
      <c r="A230" s="25"/>
      <c r="B230" s="5"/>
      <c r="C230" s="5"/>
      <c r="D230" s="5" t="s">
        <v>111</v>
      </c>
      <c r="E230" s="5"/>
      <c r="F230" s="5"/>
      <c r="G230" s="5" t="s">
        <v>339</v>
      </c>
      <c r="H230" s="5" t="s">
        <v>340</v>
      </c>
      <c r="I230" s="5" t="s">
        <v>341</v>
      </c>
      <c r="J230" s="5" t="s">
        <v>112</v>
      </c>
      <c r="K230" s="5" t="s">
        <v>1336</v>
      </c>
      <c r="L230" s="5" t="s">
        <v>15186</v>
      </c>
      <c r="M230" s="5" t="s">
        <v>1784</v>
      </c>
      <c r="N230" s="5" t="s">
        <v>1995</v>
      </c>
      <c r="O230" s="5" t="s">
        <v>3703</v>
      </c>
      <c r="P230" s="5" t="s">
        <v>3704</v>
      </c>
      <c r="Q230" s="5" t="s">
        <v>3705</v>
      </c>
      <c r="R230" s="5" t="s">
        <v>3706</v>
      </c>
      <c r="S230" s="5" t="s">
        <v>3707</v>
      </c>
      <c r="T230" s="5" t="s">
        <v>3708</v>
      </c>
      <c r="U230" s="5" t="s">
        <v>3709</v>
      </c>
      <c r="V230" s="5" t="s">
        <v>3710</v>
      </c>
      <c r="W230" s="5" t="s">
        <v>3711</v>
      </c>
      <c r="X230" s="5" t="s">
        <v>14942</v>
      </c>
      <c r="Y230" s="39" t="str">
        <f>IF(OR($A230&lt;&gt;"", $G230=""),"",CONCATENATE(";",EscStr(CONCATENATE("NavNode_",getCategoryLevelAsString($B230))),";",EscStr($J230),";",IF($B230&lt;&gt;"","""MainCategoryNavNode""",EscStr(CONCATENATE("NavNode_",getSuperCategory($B230, getCategoryLevelAsNumber($B230))))),";"))</f>
        <v>;"NavNode_L3D_525526";"Optical Signal Generators";"NavNode_L2D_379624";</v>
      </c>
      <c r="Z230" s="39" t="str">
        <f>IF(getCategoryLevelAsString($B230)="L0D_324785","",IF(G230="",CONCATENATE(";",EscStr(CONCATENATE("NavNode_",getCategoryLevelAsString($B230))),";",EscStr($J230),";"),CONCATENATE(";",EscStr(CONCATENATE("NavNode_",getCategoryLevelAsString($B230))),";",EscStr(G230),";")))</f>
        <v>;"NavNode_L3D_525526";"Optische Signalgeber";</v>
      </c>
      <c r="AA230" s="39" t="str">
        <f>IF(getCategoryLevelAsString($B230)="L0D_324785","",IF(H230="",CONCATENATE(";",EscStr(CONCATENATE("NavNode_",getCategoryLevelAsString($B230))),";",EscStr($J230),";"),CONCATENATE(";",EscStr(CONCATENATE("NavNode_",getCategoryLevelAsString($B230))),";",EscStr(H230),";")))</f>
        <v>;"NavNode_L3D_525526";"Transmetteurs de signaux optique";</v>
      </c>
      <c r="AB230" s="39" t="str">
        <f>IF(getCategoryLevelAsString($B230)="L0D_324785","",IF(I230="",CONCATENATE(";",EscStr(CONCATENATE("NavNode_",getCategoryLevelAsString($B230))),";",EscStr($J230),";"),CONCATENATE(";",EscStr(CONCATENATE("NavNode_",getCategoryLevelAsString($B230))),";",EscStr(I230),";")))</f>
        <v>;"NavNode_L3D_525526";"Generatori di segnali ottici";</v>
      </c>
      <c r="AC230" s="39" t="str">
        <f>IF(getCategoryLevelAsString($B230)="L0D_324785","",IF(J230="",CONCATENATE(";",EscStr(CONCATENATE("NavNode_",getCategoryLevelAsString($B230))),";",EscStr($J230),";"),CONCATENATE(";",EscStr(CONCATENATE("NavNode_",getCategoryLevelAsString($B230))),";",EscStr(J230),";")))</f>
        <v>;"NavNode_L3D_525526";"Optical Signal Generators";</v>
      </c>
      <c r="AD230" s="39" t="str">
        <f>IF(getCategoryLevelAsString($B230)="L0D_324785","",IF(K230="",CONCATENATE(";",EscStr(CONCATENATE("NavNode_",getCategoryLevelAsString($B230))),";",EscStr($J230),";"),CONCATENATE(";",EscStr(CONCATENATE("NavNode_",getCategoryLevelAsString($B230))),";",EscStr(K230),";")))</f>
        <v>;"NavNode_L3D_525526";"Optiske signalgeneratorer";</v>
      </c>
      <c r="AE230" s="39" t="str">
        <f>IF(getCategoryLevelAsString($B230)="L0D_324785","",IF(L230="",CONCATENATE(";",EscStr(CONCATENATE("NavNode_",getCategoryLevelAsString($B230))),";",EscStr($J230),";"),CONCATENATE(";",EscStr(CONCATENATE("NavNode_",getCategoryLevelAsString($B230))),";",EscStr(L230),";")))</f>
        <v>;"NavNode_L3D_525526";"Šviesos signalai";</v>
      </c>
      <c r="AF230" s="39" t="str">
        <f>IF(getCategoryLevelAsString($B230)="L0D_324785","",IF(M230="",CONCATENATE(";",EscStr(CONCATENATE("NavNode_",getCategoryLevelAsString($B230))),";",EscStr($J230),";"),CONCATENATE(";",EscStr(CONCATENATE("NavNode_",getCategoryLevelAsString($B230))),";",EscStr(M230),";")))</f>
        <v>;"NavNode_L3D_525526";"Generatorer for optiske signaler";</v>
      </c>
      <c r="AG230" s="39" t="str">
        <f>IF(getCategoryLevelAsString($B230)="L0D_324785","",IF(N230="",CONCATENATE(";",EscStr(CONCATENATE("NavNode_",getCategoryLevelAsString($B230))),";",EscStr($J230),";"),CONCATENATE(";",EscStr(CONCATENATE("NavNode_",getCategoryLevelAsString($B230))),";",EscStr(N230),";")))</f>
        <v>;"NavNode_L3D_525526";"Optiska signalgeneratorer";</v>
      </c>
      <c r="AH230" s="39" t="str">
        <f>IF(getCategoryLevelAsString($B230)="L0D_324785","",IF(O230="",CONCATENATE(";",EscStr(CONCATENATE("NavNode_",getCategoryLevelAsString($B230))),";",EscStr($J230),";"),CONCATENATE(";",EscStr(CONCATENATE("NavNode_",getCategoryLevelAsString($B230))),";",EscStr(O230),";")))</f>
        <v>;"NavNode_L3D_525526";"Optilise signaali generaatorid";</v>
      </c>
      <c r="AI230" s="39" t="str">
        <f>IF(getCategoryLevelAsString($B230)="L0D_324785","",IF(P230="",CONCATENATE(";",EscStr(CONCATENATE("NavNode_",getCategoryLevelAsString($B230))),";",EscStr($J230),";"),CONCATENATE(";",EscStr(CONCATENATE("NavNode_",getCategoryLevelAsString($B230))),";",EscStr(P230),";")))</f>
        <v>;"NavNode_L3D_525526";"Optinen merkinanto";</v>
      </c>
      <c r="AJ230" s="39" t="str">
        <f>IF(getCategoryLevelAsString($B230)="L0D_324785","",IF(Q230="",CONCATENATE(";",EscStr(CONCATENATE("NavNode_",getCategoryLevelAsString($B230))),";",EscStr($J230),";"),CONCATENATE(";",EscStr(CONCATENATE("NavNode_",getCategoryLevelAsString($B230))),";",EscStr(Q230),";")))</f>
        <v>;"NavNode_L3D_525526";"Optisko signālu ģeneratori";</v>
      </c>
      <c r="AK230" s="39" t="str">
        <f>IF(getCategoryLevelAsString($B230)="L0D_324785","",IF(R230="",CONCATENATE(";",EscStr(CONCATENATE("NavNode_",getCategoryLevelAsString($B230))),";",EscStr($J230),";"),CONCATENATE(";",EscStr(CONCATENATE("NavNode_",getCategoryLevelAsString($B230))),";",EscStr(R230),";")))</f>
        <v>;"NavNode_L3D_525526";"Signalering, optisch";</v>
      </c>
      <c r="AL230" s="39" t="str">
        <f>IF(getCategoryLevelAsString($B230)="L0D_324785","",IF(S230="",CONCATENATE(";",EscStr(CONCATENATE("NavNode_",getCategoryLevelAsString($B230))),";",EscStr($J230),";"),CONCATENATE(";",EscStr(CONCATENATE("NavNode_",getCategoryLevelAsString($B230))),";",EscStr(S230),";")))</f>
        <v>;"NavNode_L3D_525526";"Sygnalizatory optyczne";</v>
      </c>
      <c r="AM230" s="39" t="str">
        <f>IF(getCategoryLevelAsString($B230)="L0D_324785","",IF(T230="",CONCATENATE(";",EscStr(CONCATENATE("NavNode_",getCategoryLevelAsString($B230))),";",EscStr($J230),";"),CONCATENATE(";",EscStr(CONCATENATE("NavNode_",getCategoryLevelAsString($B230))),";",EscStr(T230),";")))</f>
        <v>;"NavNode_L3D_525526";"Генераторы оптического сигнала";</v>
      </c>
      <c r="AN230" s="39" t="str">
        <f>IF(getCategoryLevelAsString($B230)="L0D_324785","",IF(U230="",CONCATENATE(";",EscStr(CONCATENATE("NavNode_",getCategoryLevelAsString($B230))),";",EscStr($J230),";"),CONCATENATE(";",EscStr(CONCATENATE("NavNode_",getCategoryLevelAsString($B230))),";",EscStr(U230),";")))</f>
        <v>;"NavNode_L3D_525526";"Optické signalizační přístroje";</v>
      </c>
      <c r="AO230" s="39" t="str">
        <f>IF(getCategoryLevelAsString($B230)="L0D_324785","",IF(V230="",CONCATENATE(";",EscStr(CONCATENATE("NavNode_",getCategoryLevelAsString($B230))),";",EscStr($J230),";"),CONCATENATE(";",EscStr(CONCATENATE("NavNode_",getCategoryLevelAsString($B230))),";",EscStr(V230),";")))</f>
        <v>;"NavNode_L3D_525526";"Dispozitive de semnalizare optic";</v>
      </c>
      <c r="AP230" s="39" t="str">
        <f>IF(getCategoryLevelAsString($B230)="L0D_324785","",IF(W230="",CONCATENATE(";",EscStr(CONCATENATE("NavNode_",getCategoryLevelAsString($B230))),";",EscStr($J230),";"),CONCATENATE(";",EscStr(CONCATENATE("NavNode_",getCategoryLevelAsString($B230))),";",EscStr(W230),";")))</f>
        <v>;"NavNode_L3D_525526";"Optikai jeladó";</v>
      </c>
      <c r="AQ230" s="39" t="str">
        <f>IF(getCategoryLevelAsString($B230)="L0D_324785","",IF(X230="",CONCATENATE(";",EscStr(CONCATENATE("NavNode_",getCategoryLevelAsString($B230))),";",EscStr($J230),";"),CONCATENATE(";",EscStr(CONCATENATE("NavNode_",getCategoryLevelAsString($B230))),";",EscStr(X230),";")))</f>
        <v>;"NavNode_L3D_525526";"Optické signalizačné prístroje";</v>
      </c>
      <c r="AR230" s="39" t="str">
        <f>IF(OR($A230&lt;&gt;"", $G230=""),"",CONCATENATE(";",EscStr(CONCATENATE("NavEntry_",getCategoryLevelAsString($B230))),";",EscStr(CONCATENATE($J230," Navigation Entry")),";",EscStr(CONCATENATE("cat-",getCategoryLevelAsString($B230))),";",EscStr(CONCATENATE("NavNode_",getCategoryLevelAsString($B230))),";"))</f>
        <v>;"NavEntry_L3D_525526";"Optical Signal Generators Navigation Entry";"cat-L3D_525526";"NavNode_L3D_525526";</v>
      </c>
    </row>
    <row r="231" spans="1:44" s="34" customFormat="1" ht="15" x14ac:dyDescent="0.25">
      <c r="A231" s="25"/>
      <c r="B231" s="5"/>
      <c r="C231" s="5"/>
      <c r="D231" s="5" t="s">
        <v>110</v>
      </c>
      <c r="E231" s="5"/>
      <c r="F231" s="5"/>
      <c r="G231" s="5" t="s">
        <v>335</v>
      </c>
      <c r="H231" s="5" t="s">
        <v>336</v>
      </c>
      <c r="I231" s="5" t="s">
        <v>337</v>
      </c>
      <c r="J231" s="5" t="s">
        <v>338</v>
      </c>
      <c r="K231" s="5" t="s">
        <v>1337</v>
      </c>
      <c r="L231" s="5" t="s">
        <v>15187</v>
      </c>
      <c r="M231" s="5" t="s">
        <v>1785</v>
      </c>
      <c r="N231" s="5" t="s">
        <v>1996</v>
      </c>
      <c r="O231" s="5" t="s">
        <v>3712</v>
      </c>
      <c r="P231" s="5" t="s">
        <v>3713</v>
      </c>
      <c r="Q231" s="5" t="s">
        <v>3714</v>
      </c>
      <c r="R231" s="5" t="s">
        <v>3715</v>
      </c>
      <c r="S231" s="5" t="s">
        <v>3716</v>
      </c>
      <c r="T231" s="5" t="s">
        <v>3717</v>
      </c>
      <c r="U231" s="5" t="s">
        <v>3718</v>
      </c>
      <c r="V231" s="5" t="s">
        <v>3719</v>
      </c>
      <c r="W231" s="5" t="s">
        <v>3720</v>
      </c>
      <c r="X231" s="5" t="s">
        <v>14943</v>
      </c>
      <c r="Y231" s="39" t="str">
        <f>IF(OR($A231&lt;&gt;"", $G231=""),"",CONCATENATE(";",EscStr(CONCATENATE("NavNode_",getCategoryLevelAsString($B231))),";",EscStr($J231),";",IF($B231&lt;&gt;"","""MainCategoryNavNode""",EscStr(CONCATENATE("NavNode_",getSuperCategory($B231, getCategoryLevelAsNumber($B231))))),";"))</f>
        <v>;"NavNode_L3D_525527";"Optical / Acoustic Signal Generators";"NavNode_L2D_379624";</v>
      </c>
      <c r="Z231" s="39" t="str">
        <f>IF(getCategoryLevelAsString($B231)="L0D_324785","",IF(G231="",CONCATENATE(";",EscStr(CONCATENATE("NavNode_",getCategoryLevelAsString($B231))),";",EscStr($J231),";"),CONCATENATE(";",EscStr(CONCATENATE("NavNode_",getCategoryLevelAsString($B231))),";",EscStr(G231),";")))</f>
        <v>;"NavNode_L3D_525527";"Optisch-akustische Signalgeber";</v>
      </c>
      <c r="AA231" s="39" t="str">
        <f>IF(getCategoryLevelAsString($B231)="L0D_324785","",IF(H231="",CONCATENATE(";",EscStr(CONCATENATE("NavNode_",getCategoryLevelAsString($B231))),";",EscStr($J231),";"),CONCATENATE(";",EscStr(CONCATENATE("NavNode_",getCategoryLevelAsString($B231))),";",EscStr(H231),";")))</f>
        <v>;"NavNode_L3D_525527";"Appareils de signalisation opto-acoustique";</v>
      </c>
      <c r="AB231" s="39" t="str">
        <f>IF(getCategoryLevelAsString($B231)="L0D_324785","",IF(I231="",CONCATENATE(";",EscStr(CONCATENATE("NavNode_",getCategoryLevelAsString($B231))),";",EscStr($J231),";"),CONCATENATE(";",EscStr(CONCATENATE("NavNode_",getCategoryLevelAsString($B231))),";",EscStr(I231),";")))</f>
        <v>;"NavNode_L3D_525527";"Generatori di segnali ottici/acustici";</v>
      </c>
      <c r="AC231" s="39" t="str">
        <f>IF(getCategoryLevelAsString($B231)="L0D_324785","",IF(J231="",CONCATENATE(";",EscStr(CONCATENATE("NavNode_",getCategoryLevelAsString($B231))),";",EscStr($J231),";"),CONCATENATE(";",EscStr(CONCATENATE("NavNode_",getCategoryLevelAsString($B231))),";",EscStr(J231),";")))</f>
        <v>;"NavNode_L3D_525527";"Optical / Acoustic Signal Generators";</v>
      </c>
      <c r="AD231" s="39" t="str">
        <f>IF(getCategoryLevelAsString($B231)="L0D_324785","",IF(K231="",CONCATENATE(";",EscStr(CONCATENATE("NavNode_",getCategoryLevelAsString($B231))),";",EscStr($J231),";"),CONCATENATE(";",EscStr(CONCATENATE("NavNode_",getCategoryLevelAsString($B231))),";",EscStr(K231),";")))</f>
        <v>;"NavNode_L3D_525527";"Optiske/akustiske signalgeneratorer";</v>
      </c>
      <c r="AE231" s="39" t="str">
        <f>IF(getCategoryLevelAsString($B231)="L0D_324785","",IF(L231="",CONCATENATE(";",EscStr(CONCATENATE("NavNode_",getCategoryLevelAsString($B231))),";",EscStr($J231),";"),CONCATENATE(";",EscStr(CONCATENATE("NavNode_",getCategoryLevelAsString($B231))),";",EscStr(L231),";")))</f>
        <v>;"NavNode_L3D_525527";"Šviesos / garsiniai kombinuoti signalai";</v>
      </c>
      <c r="AF231" s="39" t="str">
        <f>IF(getCategoryLevelAsString($B231)="L0D_324785","",IF(M231="",CONCATENATE(";",EscStr(CONCATENATE("NavNode_",getCategoryLevelAsString($B231))),";",EscStr($J231),";"),CONCATENATE(";",EscStr(CONCATENATE("NavNode_",getCategoryLevelAsString($B231))),";",EscStr(M231),";")))</f>
        <v>;"NavNode_L3D_525527";"Generatorer for optiske/akustiske signaler";</v>
      </c>
      <c r="AG231" s="39" t="str">
        <f>IF(getCategoryLevelAsString($B231)="L0D_324785","",IF(N231="",CONCATENATE(";",EscStr(CONCATENATE("NavNode_",getCategoryLevelAsString($B231))),";",EscStr($J231),";"),CONCATENATE(";",EscStr(CONCATENATE("NavNode_",getCategoryLevelAsString($B231))),";",EscStr(N231),";")))</f>
        <v>;"NavNode_L3D_525527";"Optiska/akustiska signalgeneratorer";</v>
      </c>
      <c r="AH231" s="39" t="str">
        <f>IF(getCategoryLevelAsString($B231)="L0D_324785","",IF(O231="",CONCATENATE(";",EscStr(CONCATENATE("NavNode_",getCategoryLevelAsString($B231))),";",EscStr($J231),";"),CONCATENATE(";",EscStr(CONCATENATE("NavNode_",getCategoryLevelAsString($B231))),";",EscStr(O231),";")))</f>
        <v>;"NavNode_L3D_525527";"Optilise- / Akustilise signaali generaatorid";</v>
      </c>
      <c r="AI231" s="39" t="str">
        <f>IF(getCategoryLevelAsString($B231)="L0D_324785","",IF(P231="",CONCATENATE(";",EscStr(CONCATENATE("NavNode_",getCategoryLevelAsString($B231))),";",EscStr($J231),";"),CONCATENATE(";",EscStr(CONCATENATE("NavNode_",getCategoryLevelAsString($B231))),";",EscStr(P231),";")))</f>
        <v>;"NavNode_L3D_525527";"Optinen/akustinen merkinanto";</v>
      </c>
      <c r="AJ231" s="39" t="str">
        <f>IF(getCategoryLevelAsString($B231)="L0D_324785","",IF(Q231="",CONCATENATE(";",EscStr(CONCATENATE("NavNode_",getCategoryLevelAsString($B231))),";",EscStr($J231),";"),CONCATENATE(";",EscStr(CONCATENATE("NavNode_",getCategoryLevelAsString($B231))),";",EscStr(Q231),";")))</f>
        <v>;"NavNode_L3D_525527";"Optisko / akustisko signālu ģeneratori";</v>
      </c>
      <c r="AK231" s="39" t="str">
        <f>IF(getCategoryLevelAsString($B231)="L0D_324785","",IF(R231="",CONCATENATE(";",EscStr(CONCATENATE("NavNode_",getCategoryLevelAsString($B231))),";",EscStr($J231),";"),CONCATENATE(";",EscStr(CONCATENATE("NavNode_",getCategoryLevelAsString($B231))),";",EscStr(R231),";")))</f>
        <v>;"NavNode_L3D_525527";"Signalering, optisch / akoestisch";</v>
      </c>
      <c r="AL231" s="39" t="str">
        <f>IF(getCategoryLevelAsString($B231)="L0D_324785","",IF(S231="",CONCATENATE(";",EscStr(CONCATENATE("NavNode_",getCategoryLevelAsString($B231))),";",EscStr($J231),";"),CONCATENATE(";",EscStr(CONCATENATE("NavNode_",getCategoryLevelAsString($B231))),";",EscStr(S231),";")))</f>
        <v>;"NavNode_L3D_525527";"Sygnalizatory optyczne / akustyczne";</v>
      </c>
      <c r="AM231" s="39" t="str">
        <f>IF(getCategoryLevelAsString($B231)="L0D_324785","",IF(T231="",CONCATENATE(";",EscStr(CONCATENATE("NavNode_",getCategoryLevelAsString($B231))),";",EscStr($J231),";"),CONCATENATE(";",EscStr(CONCATENATE("NavNode_",getCategoryLevelAsString($B231))),";",EscStr(T231),";")))</f>
        <v>;"NavNode_L3D_525527";"Генераторы оптических / акустических сигналов";</v>
      </c>
      <c r="AN231" s="39" t="str">
        <f>IF(getCategoryLevelAsString($B231)="L0D_324785","",IF(U231="",CONCATENATE(";",EscStr(CONCATENATE("NavNode_",getCategoryLevelAsString($B231))),";",EscStr($J231),";"),CONCATENATE(";",EscStr(CONCATENATE("NavNode_",getCategoryLevelAsString($B231))),";",EscStr(U231),";")))</f>
        <v>;"NavNode_L3D_525527";"Opticko -akustický vysílač signálu";</v>
      </c>
      <c r="AO231" s="39" t="str">
        <f>IF(getCategoryLevelAsString($B231)="L0D_324785","",IF(V231="",CONCATENATE(";",EscStr(CONCATENATE("NavNode_",getCategoryLevelAsString($B231))),";",EscStr($J231),";"),CONCATENATE(";",EscStr(CONCATENATE("NavNode_",getCategoryLevelAsString($B231))),";",EscStr(V231),";")))</f>
        <v>;"NavNode_L3D_525527";"Dispozitive de semnalizare optic şi acustic";</v>
      </c>
      <c r="AP231" s="39" t="str">
        <f>IF(getCategoryLevelAsString($B231)="L0D_324785","",IF(W231="",CONCATENATE(";",EscStr(CONCATENATE("NavNode_",getCategoryLevelAsString($B231))),";",EscStr($J231),";"),CONCATENATE(";",EscStr(CONCATENATE("NavNode_",getCategoryLevelAsString($B231))),";",EscStr(W231),";")))</f>
        <v>;"NavNode_L3D_525527";"Optikai-akusztikus jeladó";</v>
      </c>
      <c r="AQ231" s="39" t="str">
        <f>IF(getCategoryLevelAsString($B231)="L0D_324785","",IF(X231="",CONCATENATE(";",EscStr(CONCATENATE("NavNode_",getCategoryLevelAsString($B231))),";",EscStr($J231),";"),CONCATENATE(";",EscStr(CONCATENATE("NavNode_",getCategoryLevelAsString($B231))),";",EscStr(X231),";")))</f>
        <v>;"NavNode_L3D_525527";"Opticko -akustický vysielač signálu";</v>
      </c>
      <c r="AR231" s="39" t="str">
        <f>IF(OR($A231&lt;&gt;"", $G231=""),"",CONCATENATE(";",EscStr(CONCATENATE("NavEntry_",getCategoryLevelAsString($B231))),";",EscStr(CONCATENATE($J231," Navigation Entry")),";",EscStr(CONCATENATE("cat-",getCategoryLevelAsString($B231))),";",EscStr(CONCATENATE("NavNode_",getCategoryLevelAsString($B231))),";"))</f>
        <v>;"NavEntry_L3D_525527";"Optical / Acoustic Signal Generators Navigation Entry";"cat-L3D_525527";"NavNode_L3D_525527";</v>
      </c>
    </row>
    <row r="232" spans="1:44" s="34" customFormat="1" ht="15" x14ac:dyDescent="0.25">
      <c r="A232" s="25"/>
      <c r="B232" s="5"/>
      <c r="C232" s="5"/>
      <c r="D232" s="5" t="s">
        <v>108</v>
      </c>
      <c r="E232" s="5"/>
      <c r="F232" s="5"/>
      <c r="G232" s="5" t="s">
        <v>332</v>
      </c>
      <c r="H232" s="5" t="s">
        <v>333</v>
      </c>
      <c r="I232" s="5" t="s">
        <v>334</v>
      </c>
      <c r="J232" s="5" t="s">
        <v>109</v>
      </c>
      <c r="K232" s="5" t="s">
        <v>1338</v>
      </c>
      <c r="L232" s="5" t="s">
        <v>15188</v>
      </c>
      <c r="M232" s="5" t="s">
        <v>1786</v>
      </c>
      <c r="N232" s="5" t="s">
        <v>1997</v>
      </c>
      <c r="O232" s="5" t="s">
        <v>3721</v>
      </c>
      <c r="P232" s="5" t="s">
        <v>3722</v>
      </c>
      <c r="Q232" s="5" t="s">
        <v>3723</v>
      </c>
      <c r="R232" s="5" t="s">
        <v>109</v>
      </c>
      <c r="S232" s="5" t="s">
        <v>3724</v>
      </c>
      <c r="T232" s="5" t="s">
        <v>3725</v>
      </c>
      <c r="U232" s="5" t="s">
        <v>3726</v>
      </c>
      <c r="V232" s="5" t="s">
        <v>3727</v>
      </c>
      <c r="W232" s="5" t="s">
        <v>3728</v>
      </c>
      <c r="X232" s="5" t="s">
        <v>3726</v>
      </c>
      <c r="Y232" s="39" t="str">
        <f>IF(OR($A232&lt;&gt;"", $G232=""),"",CONCATENATE(";",EscStr(CONCATENATE("NavNode_",getCategoryLevelAsString($B232))),";",EscStr($J232),";",IF($B232&lt;&gt;"","""MainCategoryNavNode""",EscStr(CONCATENATE("NavNode_",getSuperCategory($B232, getCategoryLevelAsNumber($B232))))),";"))</f>
        <v>;"NavNode_L3D_525528";"Acoustic Signal Generators";"NavNode_L2D_379624";</v>
      </c>
      <c r="Z232" s="39" t="str">
        <f>IF(getCategoryLevelAsString($B232)="L0D_324785","",IF(G232="",CONCATENATE(";",EscStr(CONCATENATE("NavNode_",getCategoryLevelAsString($B232))),";",EscStr($J232),";"),CONCATENATE(";",EscStr(CONCATENATE("NavNode_",getCategoryLevelAsString($B232))),";",EscStr(G232),";")))</f>
        <v>;"NavNode_L3D_525528";"Akustische Signalgeber";</v>
      </c>
      <c r="AA232" s="39" t="str">
        <f>IF(getCategoryLevelAsString($B232)="L0D_324785","",IF(H232="",CONCATENATE(";",EscStr(CONCATENATE("NavNode_",getCategoryLevelAsString($B232))),";",EscStr($J232),";"),CONCATENATE(";",EscStr(CONCATENATE("NavNode_",getCategoryLevelAsString($B232))),";",EscStr(H232),";")))</f>
        <v>;"NavNode_L3D_525528";"Appareils de signalisation acoustique";</v>
      </c>
      <c r="AB232" s="39" t="str">
        <f>IF(getCategoryLevelAsString($B232)="L0D_324785","",IF(I232="",CONCATENATE(";",EscStr(CONCATENATE("NavNode_",getCategoryLevelAsString($B232))),";",EscStr($J232),";"),CONCATENATE(";",EscStr(CONCATENATE("NavNode_",getCategoryLevelAsString($B232))),";",EscStr(I232),";")))</f>
        <v>;"NavNode_L3D_525528";"Generatori di segnali acustici";</v>
      </c>
      <c r="AC232" s="39" t="str">
        <f>IF(getCategoryLevelAsString($B232)="L0D_324785","",IF(J232="",CONCATENATE(";",EscStr(CONCATENATE("NavNode_",getCategoryLevelAsString($B232))),";",EscStr($J232),";"),CONCATENATE(";",EscStr(CONCATENATE("NavNode_",getCategoryLevelAsString($B232))),";",EscStr(J232),";")))</f>
        <v>;"NavNode_L3D_525528";"Acoustic Signal Generators";</v>
      </c>
      <c r="AD232" s="39" t="str">
        <f>IF(getCategoryLevelAsString($B232)="L0D_324785","",IF(K232="",CONCATENATE(";",EscStr(CONCATENATE("NavNode_",getCategoryLevelAsString($B232))),";",EscStr($J232),";"),CONCATENATE(";",EscStr(CONCATENATE("NavNode_",getCategoryLevelAsString($B232))),";",EscStr(K232),";")))</f>
        <v>;"NavNode_L3D_525528";"Akustisge signalgeneratorer";</v>
      </c>
      <c r="AE232" s="39" t="str">
        <f>IF(getCategoryLevelAsString($B232)="L0D_324785","",IF(L232="",CONCATENATE(";",EscStr(CONCATENATE("NavNode_",getCategoryLevelAsString($B232))),";",EscStr($J232),";"),CONCATENATE(";",EscStr(CONCATENATE("NavNode_",getCategoryLevelAsString($B232))),";",EscStr(L232),";")))</f>
        <v>;"NavNode_L3D_525528";"Garsiniai signalai";</v>
      </c>
      <c r="AF232" s="39" t="str">
        <f>IF(getCategoryLevelAsString($B232)="L0D_324785","",IF(M232="",CONCATENATE(";",EscStr(CONCATENATE("NavNode_",getCategoryLevelAsString($B232))),";",EscStr($J232),";"),CONCATENATE(";",EscStr(CONCATENATE("NavNode_",getCategoryLevelAsString($B232))),";",EscStr(M232),";")))</f>
        <v>;"NavNode_L3D_525528";"Generatorer for akustiske signaler";</v>
      </c>
      <c r="AG232" s="39" t="str">
        <f>IF(getCategoryLevelAsString($B232)="L0D_324785","",IF(N232="",CONCATENATE(";",EscStr(CONCATENATE("NavNode_",getCategoryLevelAsString($B232))),";",EscStr($J232),";"),CONCATENATE(";",EscStr(CONCATENATE("NavNode_",getCategoryLevelAsString($B232))),";",EscStr(N232),";")))</f>
        <v>;"NavNode_L3D_525528";"Akustiska signalgeneratorer";</v>
      </c>
      <c r="AH232" s="39" t="str">
        <f>IF(getCategoryLevelAsString($B232)="L0D_324785","",IF(O232="",CONCATENATE(";",EscStr(CONCATENATE("NavNode_",getCategoryLevelAsString($B232))),";",EscStr($J232),";"),CONCATENATE(";",EscStr(CONCATENATE("NavNode_",getCategoryLevelAsString($B232))),";",EscStr(O232),";")))</f>
        <v>;"NavNode_L3D_525528";"Akustilise signaali generaatorid";</v>
      </c>
      <c r="AI232" s="39" t="str">
        <f>IF(getCategoryLevelAsString($B232)="L0D_324785","",IF(P232="",CONCATENATE(";",EscStr(CONCATENATE("NavNode_",getCategoryLevelAsString($B232))),";",EscStr($J232),";"),CONCATENATE(";",EscStr(CONCATENATE("NavNode_",getCategoryLevelAsString($B232))),";",EscStr(P232),";")))</f>
        <v>;"NavNode_L3D_525528";"Akustinen merkinanto";</v>
      </c>
      <c r="AJ232" s="39" t="str">
        <f>IF(getCategoryLevelAsString($B232)="L0D_324785","",IF(Q232="",CONCATENATE(";",EscStr(CONCATENATE("NavNode_",getCategoryLevelAsString($B232))),";",EscStr($J232),";"),CONCATENATE(";",EscStr(CONCATENATE("NavNode_",getCategoryLevelAsString($B232))),";",EscStr(Q232),";")))</f>
        <v>;"NavNode_L3D_525528";"Akustisko signālu ģeneratori";</v>
      </c>
      <c r="AK232" s="39" t="str">
        <f>IF(getCategoryLevelAsString($B232)="L0D_324785","",IF(R232="",CONCATENATE(";",EscStr(CONCATENATE("NavNode_",getCategoryLevelAsString($B232))),";",EscStr($J232),";"),CONCATENATE(";",EscStr(CONCATENATE("NavNode_",getCategoryLevelAsString($B232))),";",EscStr(R232),";")))</f>
        <v>;"NavNode_L3D_525528";"Acoustic Signal Generators";</v>
      </c>
      <c r="AL232" s="39" t="str">
        <f>IF(getCategoryLevelAsString($B232)="L0D_324785","",IF(S232="",CONCATENATE(";",EscStr(CONCATENATE("NavNode_",getCategoryLevelAsString($B232))),";",EscStr($J232),";"),CONCATENATE(";",EscStr(CONCATENATE("NavNode_",getCategoryLevelAsString($B232))),";",EscStr(S232),";")))</f>
        <v>;"NavNode_L3D_525528";"Sygnalizatory akustyczne";</v>
      </c>
      <c r="AM232" s="39" t="str">
        <f>IF(getCategoryLevelAsString($B232)="L0D_324785","",IF(T232="",CONCATENATE(";",EscStr(CONCATENATE("NavNode_",getCategoryLevelAsString($B232))),";",EscStr($J232),";"),CONCATENATE(";",EscStr(CONCATENATE("NavNode_",getCategoryLevelAsString($B232))),";",EscStr(T232),";")))</f>
        <v>;"NavNode_L3D_525528";"Генераторы акустических сигналов";</v>
      </c>
      <c r="AN232" s="39" t="str">
        <f>IF(getCategoryLevelAsString($B232)="L0D_324785","",IF(U232="",CONCATENATE(";",EscStr(CONCATENATE("NavNode_",getCategoryLevelAsString($B232))),";",EscStr($J232),";"),CONCATENATE(";",EscStr(CONCATENATE("NavNode_",getCategoryLevelAsString($B232))),";",EscStr(U232),";")))</f>
        <v>;"NavNode_L3D_525528";"Sirény";</v>
      </c>
      <c r="AO232" s="39" t="str">
        <f>IF(getCategoryLevelAsString($B232)="L0D_324785","",IF(V232="",CONCATENATE(";",EscStr(CONCATENATE("NavNode_",getCategoryLevelAsString($B232))),";",EscStr($J232),";"),CONCATENATE(";",EscStr(CONCATENATE("NavNode_",getCategoryLevelAsString($B232))),";",EscStr(V232),";")))</f>
        <v>;"NavNode_L3D_525528";"Dispozitive de semnalizare acustic";</v>
      </c>
      <c r="AP232" s="39" t="str">
        <f>IF(getCategoryLevelAsString($B232)="L0D_324785","",IF(W232="",CONCATENATE(";",EscStr(CONCATENATE("NavNode_",getCategoryLevelAsString($B232))),";",EscStr($J232),";"),CONCATENATE(";",EscStr(CONCATENATE("NavNode_",getCategoryLevelAsString($B232))),";",EscStr(W232),";")))</f>
        <v>;"NavNode_L3D_525528";"Akusztikus jeladó";</v>
      </c>
      <c r="AQ232" s="39" t="str">
        <f>IF(getCategoryLevelAsString($B232)="L0D_324785","",IF(X232="",CONCATENATE(";",EscStr(CONCATENATE("NavNode_",getCategoryLevelAsString($B232))),";",EscStr($J232),";"),CONCATENATE(";",EscStr(CONCATENATE("NavNode_",getCategoryLevelAsString($B232))),";",EscStr(X232),";")))</f>
        <v>;"NavNode_L3D_525528";"Sirény";</v>
      </c>
      <c r="AR232" s="39" t="str">
        <f>IF(OR($A232&lt;&gt;"", $G232=""),"",CONCATENATE(";",EscStr(CONCATENATE("NavEntry_",getCategoryLevelAsString($B232))),";",EscStr(CONCATENATE($J232," Navigation Entry")),";",EscStr(CONCATENATE("cat-",getCategoryLevelAsString($B232))),";",EscStr(CONCATENATE("NavNode_",getCategoryLevelAsString($B232))),";"))</f>
        <v>;"NavEntry_L3D_525528";"Acoustic Signal Generators Navigation Entry";"cat-L3D_525528";"NavNode_L3D_525528";</v>
      </c>
    </row>
    <row r="233" spans="1:44" s="34" customFormat="1" ht="15" x14ac:dyDescent="0.25">
      <c r="A233" s="25"/>
      <c r="B233" s="5"/>
      <c r="C233" s="5" t="s">
        <v>2116</v>
      </c>
      <c r="D233" s="5"/>
      <c r="E233" s="5"/>
      <c r="F233" s="5"/>
      <c r="G233" s="5" t="s">
        <v>2120</v>
      </c>
      <c r="H233" s="5" t="s">
        <v>3744</v>
      </c>
      <c r="I233" s="41" t="s">
        <v>13739</v>
      </c>
      <c r="J233" s="5" t="s">
        <v>2125</v>
      </c>
      <c r="K233" s="5" t="s">
        <v>3746</v>
      </c>
      <c r="L233" s="5" t="s">
        <v>3747</v>
      </c>
      <c r="M233" s="5" t="s">
        <v>3748</v>
      </c>
      <c r="N233" s="5" t="s">
        <v>3749</v>
      </c>
      <c r="O233" s="5" t="s">
        <v>14091</v>
      </c>
      <c r="P233" s="5" t="s">
        <v>3751</v>
      </c>
      <c r="Q233" s="5" t="s">
        <v>14268</v>
      </c>
      <c r="R233" s="5" t="s">
        <v>14350</v>
      </c>
      <c r="S233" s="5" t="s">
        <v>3754</v>
      </c>
      <c r="T233" s="5" t="s">
        <v>3755</v>
      </c>
      <c r="U233" s="5" t="s">
        <v>3756</v>
      </c>
      <c r="V233" s="5" t="s">
        <v>3757</v>
      </c>
      <c r="W233" s="5" t="s">
        <v>3758</v>
      </c>
      <c r="X233" s="5" t="s">
        <v>3756</v>
      </c>
      <c r="Y233" s="39" t="str">
        <f>IF(OR($A233&lt;&gt;"", $G233=""),"",CONCATENATE(";",EscStr(CONCATENATE("NavNode_",getCategoryLevelAsString($B233))),";",EscStr($J233),";",IF($B233&lt;&gt;"","""MainCategoryNavNode""",EscStr(CONCATENATE("NavNode_",getSuperCategory($B233, getCategoryLevelAsNumber($B233))))),";"))</f>
        <v>;"NavNode_L3D_657085";"Building Automation";"NavNode_Automation";</v>
      </c>
      <c r="Z233" s="39" t="str">
        <f>IF(getCategoryLevelAsString($B233)="L0D_324785","",IF(G233="",CONCATENATE(";",EscStr(CONCATENATE("NavNode_",getCategoryLevelAsString($B233))),";",EscStr($J233),";"),CONCATENATE(";",EscStr(CONCATENATE("NavNode_",getCategoryLevelAsString($B233))),";",EscStr(G233),";")))</f>
        <v>;"NavNode_L3D_657085";"Gebäudeautomation";</v>
      </c>
      <c r="AA233" s="39" t="str">
        <f>IF(getCategoryLevelAsString($B233)="L0D_324785","",IF(H233="",CONCATENATE(";",EscStr(CONCATENATE("NavNode_",getCategoryLevelAsString($B233))),";",EscStr($J233),";"),CONCATENATE(";",EscStr(CONCATENATE("NavNode_",getCategoryLevelAsString($B233))),";",EscStr(H233),";")))</f>
        <v>;"NavNode_L3D_657085";"Automatisation de la construction";</v>
      </c>
      <c r="AB233" s="39" t="str">
        <f>IF(getCategoryLevelAsString($B233)="L0D_324785","",IF(I233="",CONCATENATE(";",EscStr(CONCATENATE("NavNode_",getCategoryLevelAsString($B233))),";",EscStr($J233),";"),CONCATENATE(";",EscStr(CONCATENATE("NavNode_",getCategoryLevelAsString($B233))),";",EscStr(I233),";")))</f>
        <v>;"NavNode_L3D_657085";"Informatizzazione degli edifici";</v>
      </c>
      <c r="AC233" s="39" t="str">
        <f>IF(getCategoryLevelAsString($B233)="L0D_324785","",IF(J233="",CONCATENATE(";",EscStr(CONCATENATE("NavNode_",getCategoryLevelAsString($B233))),";",EscStr($J233),";"),CONCATENATE(";",EscStr(CONCATENATE("NavNode_",getCategoryLevelAsString($B233))),";",EscStr(J233),";")))</f>
        <v>;"NavNode_L3D_657085";"Building Automation";</v>
      </c>
      <c r="AD233" s="39" t="str">
        <f>IF(getCategoryLevelAsString($B233)="L0D_324785","",IF(K233="",CONCATENATE(";",EscStr(CONCATENATE("NavNode_",getCategoryLevelAsString($B233))),";",EscStr($J233),";"),CONCATENATE(";",EscStr(CONCATENATE("NavNode_",getCategoryLevelAsString($B233))),";",EscStr(K233),";")))</f>
        <v>;"NavNode_L3D_657085";"Bygningsautomatik";</v>
      </c>
      <c r="AE233" s="39" t="str">
        <f>IF(getCategoryLevelAsString($B233)="L0D_324785","",IF(L233="",CONCATENATE(";",EscStr(CONCATENATE("NavNode_",getCategoryLevelAsString($B233))),";",EscStr($J233),";"),CONCATENATE(";",EscStr(CONCATENATE("NavNode_",getCategoryLevelAsString($B233))),";",EscStr(L233),";")))</f>
        <v>;"NavNode_L3D_657085";"Pastatų automatika";</v>
      </c>
      <c r="AF233" s="39" t="str">
        <f>IF(getCategoryLevelAsString($B233)="L0D_324785","",IF(M233="",CONCATENATE(";",EscStr(CONCATENATE("NavNode_",getCategoryLevelAsString($B233))),";",EscStr($J233),";"),CONCATENATE(";",EscStr(CONCATENATE("NavNode_",getCategoryLevelAsString($B233))),";",EscStr(M233),";")))</f>
        <v>;"NavNode_L3D_657085";"Bygningsautomatisering";</v>
      </c>
      <c r="AG233" s="39" t="str">
        <f>IF(getCategoryLevelAsString($B233)="L0D_324785","",IF(N233="",CONCATENATE(";",EscStr(CONCATENATE("NavNode_",getCategoryLevelAsString($B233))),";",EscStr($J233),";"),CONCATENATE(";",EscStr(CONCATENATE("NavNode_",getCategoryLevelAsString($B233))),";",EscStr(N233),";")))</f>
        <v>;"NavNode_L3D_657085";"Byggautomation";</v>
      </c>
      <c r="AH233" s="39" t="str">
        <f>IF(getCategoryLevelAsString($B233)="L0D_324785","",IF(O233="",CONCATENATE(";",EscStr(CONCATENATE("NavNode_",getCategoryLevelAsString($B233))),";",EscStr($J233),";"),CONCATENATE(";",EscStr(CONCATENATE("NavNode_",getCategoryLevelAsString($B233))),";",EscStr(O233),";")))</f>
        <v>;"NavNode_L3D_657085";"Automaatika loomine";</v>
      </c>
      <c r="AI233" s="39" t="str">
        <f>IF(getCategoryLevelAsString($B233)="L0D_324785","",IF(P233="",CONCATENATE(";",EscStr(CONCATENATE("NavNode_",getCategoryLevelAsString($B233))),";",EscStr($J233),";"),CONCATENATE(";",EscStr(CONCATENATE("NavNode_",getCategoryLevelAsString($B233))),";",EscStr(P233),";")))</f>
        <v>;"NavNode_L3D_657085";"Rakennusautomaatio";</v>
      </c>
      <c r="AJ233" s="39" t="str">
        <f>IF(getCategoryLevelAsString($B233)="L0D_324785","",IF(Q233="",CONCATENATE(";",EscStr(CONCATENATE("NavNode_",getCategoryLevelAsString($B233))),";",EscStr($J233),";"),CONCATENATE(";",EscStr(CONCATENATE("NavNode_",getCategoryLevelAsString($B233))),";",EscStr(Q233),";")))</f>
        <v>;"NavNode_L3D_657085";"Būvniecības automatizācija";</v>
      </c>
      <c r="AK233" s="39" t="str">
        <f>IF(getCategoryLevelAsString($B233)="L0D_324785","",IF(R233="",CONCATENATE(";",EscStr(CONCATENATE("NavNode_",getCategoryLevelAsString($B233))),";",EscStr($J233),";"),CONCATENATE(";",EscStr(CONCATENATE("NavNode_",getCategoryLevelAsString($B233))),";",EscStr(R233),";")))</f>
        <v>;"NavNode_L3D_657085";"Gebouwautomatisering";</v>
      </c>
      <c r="AL233" s="39" t="str">
        <f>IF(getCategoryLevelAsString($B233)="L0D_324785","",IF(S233="",CONCATENATE(";",EscStr(CONCATENATE("NavNode_",getCategoryLevelAsString($B233))),";",EscStr($J233),";"),CONCATENATE(";",EscStr(CONCATENATE("NavNode_",getCategoryLevelAsString($B233))),";",EscStr(S233),";")))</f>
        <v>;"NavNode_L3D_657085";"Systemy automatyki budynków";</v>
      </c>
      <c r="AM233" s="39" t="str">
        <f>IF(getCategoryLevelAsString($B233)="L0D_324785","",IF(T233="",CONCATENATE(";",EscStr(CONCATENATE("NavNode_",getCategoryLevelAsString($B233))),";",EscStr($J233),";"),CONCATENATE(";",EscStr(CONCATENATE("NavNode_",getCategoryLevelAsString($B233))),";",EscStr(T233),";")))</f>
        <v>;"NavNode_L3D_657085";"Строительная автоматизация";</v>
      </c>
      <c r="AN233" s="39" t="str">
        <f>IF(getCategoryLevelAsString($B233)="L0D_324785","",IF(U233="",CONCATENATE(";",EscStr(CONCATENATE("NavNode_",getCategoryLevelAsString($B233))),";",EscStr($J233),";"),CONCATENATE(";",EscStr(CONCATENATE("NavNode_",getCategoryLevelAsString($B233))),";",EscStr(U233),";")))</f>
        <v>;"NavNode_L3D_657085";"Stavební automatizace";</v>
      </c>
      <c r="AO233" s="39" t="str">
        <f>IF(getCategoryLevelAsString($B233)="L0D_324785","",IF(V233="",CONCATENATE(";",EscStr(CONCATENATE("NavNode_",getCategoryLevelAsString($B233))),";",EscStr($J233),";"),CONCATENATE(";",EscStr(CONCATENATE("NavNode_",getCategoryLevelAsString($B233))),";",EscStr(V233),";")))</f>
        <v>;"NavNode_L3D_657085";"Sisteme de automatizare clădiri";</v>
      </c>
      <c r="AP233" s="39" t="str">
        <f>IF(getCategoryLevelAsString($B233)="L0D_324785","",IF(W233="",CONCATENATE(";",EscStr(CONCATENATE("NavNode_",getCategoryLevelAsString($B233))),";",EscStr($J233),";"),CONCATENATE(";",EscStr(CONCATENATE("NavNode_",getCategoryLevelAsString($B233))),";",EscStr(W233),";")))</f>
        <v>;"NavNode_L3D_657085";"Épületautomatizálás";</v>
      </c>
      <c r="AQ233" s="39" t="str">
        <f>IF(getCategoryLevelAsString($B233)="L0D_324785","",IF(X233="",CONCATENATE(";",EscStr(CONCATENATE("NavNode_",getCategoryLevelAsString($B233))),";",EscStr($J233),";"),CONCATENATE(";",EscStr(CONCATENATE("NavNode_",getCategoryLevelAsString($B233))),";",EscStr(X233),";")))</f>
        <v>;"NavNode_L3D_657085";"Stavební automatizace";</v>
      </c>
      <c r="AR233" s="39" t="str">
        <f>IF(OR($A233&lt;&gt;"", $G233=""),"",CONCATENATE(";",EscStr(CONCATENATE("NavEntry_",getCategoryLevelAsString($B233))),";",EscStr(CONCATENATE($J233," Navigation Entry")),";",EscStr(CONCATENATE("cat-",getCategoryLevelAsString($B233))),";",EscStr(CONCATENATE("NavNode_",getCategoryLevelAsString($B233))),";"))</f>
        <v>;"NavEntry_L3D_657085";"Building Automation Navigation Entry";"cat-L3D_657085";"NavNode_L3D_657085";</v>
      </c>
    </row>
    <row r="234" spans="1:44" s="38" customFormat="1" ht="15" x14ac:dyDescent="0.25">
      <c r="A234" s="32"/>
      <c r="B234" s="29" t="s">
        <v>9690</v>
      </c>
      <c r="C234" s="37"/>
      <c r="E234" s="29"/>
      <c r="F234" s="29"/>
      <c r="G234" s="31" t="s">
        <v>15318</v>
      </c>
      <c r="H234" s="28" t="s">
        <v>15319</v>
      </c>
      <c r="I234" s="43" t="s">
        <v>15320</v>
      </c>
      <c r="J234" s="31" t="s">
        <v>9690</v>
      </c>
      <c r="K234" s="43" t="s">
        <v>15321</v>
      </c>
      <c r="L234" s="28" t="s">
        <v>15322</v>
      </c>
      <c r="M234" s="45" t="s">
        <v>15417</v>
      </c>
      <c r="N234" s="45" t="s">
        <v>15414</v>
      </c>
      <c r="O234" s="28" t="s">
        <v>15323</v>
      </c>
      <c r="P234" s="28" t="s">
        <v>15324</v>
      </c>
      <c r="Q234" s="28" t="s">
        <v>15325</v>
      </c>
      <c r="R234" s="28" t="s">
        <v>15326</v>
      </c>
      <c r="S234" s="28" t="s">
        <v>15327</v>
      </c>
      <c r="T234" s="31" t="s">
        <v>15328</v>
      </c>
      <c r="U234" s="28" t="s">
        <v>15329</v>
      </c>
      <c r="V234" s="31" t="s">
        <v>15330</v>
      </c>
      <c r="W234" s="28" t="s">
        <v>15331</v>
      </c>
      <c r="X234" s="28" t="s">
        <v>15332</v>
      </c>
      <c r="Y234" s="39" t="str">
        <f>IF(OR($A234&lt;&gt;"", $G234=""),"",CONCATENATE(";",EscStr(CONCATENATE("NavNode_",getCategoryLevelAsString($B234))),";",EscStr($J234),";",IF($B234&lt;&gt;"","""MainCategoryNavNode""",EscStr(CONCATENATE("NavNode_",getSuperCategory($B234, getCategoryLevelAsNumber($B234))))),";"))</f>
        <v>;"NavNode_Electrical Engineering / Cables";"Electrical Engineering / Cables";"MainCategoryNavNode";</v>
      </c>
      <c r="Z234" s="39" t="str">
        <f>IF(getCategoryLevelAsString($B234)="L0D_324785","",IF(G234="",CONCATENATE(";",EscStr(CONCATENATE("NavNode_",getCategoryLevelAsString($B234))),";",EscStr($J234),";"),CONCATENATE(";",EscStr(CONCATENATE("NavNode_",getCategoryLevelAsString($B234))),";",EscStr(G234),";")))</f>
        <v>;"NavNode_Electrical Engineering / Cables";"Elektrotechnik / Kabel (nicht konfektioniert)";</v>
      </c>
      <c r="AA234" s="39" t="str">
        <f>IF(getCategoryLevelAsString($B234)="L0D_324785","",IF(H234="",CONCATENATE(";",EscStr(CONCATENATE("NavNode_",getCategoryLevelAsString($B234))),";",EscStr($J234),";"),CONCATENATE(";",EscStr(CONCATENATE("NavNode_",getCategoryLevelAsString($B234))),";",EscStr(H234),";")))</f>
        <v>;"NavNode_Electrical Engineering / Cables";"Electrotechnique / Câbles";</v>
      </c>
      <c r="AB234" s="39" t="str">
        <f>IF(getCategoryLevelAsString($B234)="L0D_324785","",IF(I234="",CONCATENATE(";",EscStr(CONCATENATE("NavNode_",getCategoryLevelAsString($B234))),";",EscStr($J234),";"),CONCATENATE(";",EscStr(CONCATENATE("NavNode_",getCategoryLevelAsString($B234))),";",EscStr(I234),";")))</f>
        <v>;"NavNode_Electrical Engineering / Cables";"Ingegneria elettrica/Cavi";</v>
      </c>
      <c r="AC234" s="39" t="str">
        <f>IF(getCategoryLevelAsString($B234)="L0D_324785","",IF(J234="",CONCATENATE(";",EscStr(CONCATENATE("NavNode_",getCategoryLevelAsString($B234))),";",EscStr($J234),";"),CONCATENATE(";",EscStr(CONCATENATE("NavNode_",getCategoryLevelAsString($B234))),";",EscStr(J234),";")))</f>
        <v>;"NavNode_Electrical Engineering / Cables";"Electrical Engineering / Cables";</v>
      </c>
      <c r="AD234" s="39" t="str">
        <f>IF(getCategoryLevelAsString($B234)="L0D_324785","",IF(K234="",CONCATENATE(";",EscStr(CONCATENATE("NavNode_",getCategoryLevelAsString($B234))),";",EscStr($J234),";"),CONCATENATE(";",EscStr(CONCATENATE("NavNode_",getCategoryLevelAsString($B234))),";",EscStr(K234),";")))</f>
        <v>;"NavNode_Electrical Engineering / Cables";"Elektroteknik / Kabler";</v>
      </c>
      <c r="AE234" s="39" t="str">
        <f>IF(getCategoryLevelAsString($B234)="L0D_324785","",IF(L234="",CONCATENATE(";",EscStr(CONCATENATE("NavNode_",getCategoryLevelAsString($B234))),";",EscStr($J234),";"),CONCATENATE(";",EscStr(CONCATENATE("NavNode_",getCategoryLevelAsString($B234))),";",EscStr(L234),";")))</f>
        <v>;"NavNode_Electrical Engineering / Cables";"Elektros inžinerija / Kabeliai";</v>
      </c>
      <c r="AF234" s="39" t="str">
        <f>IF(getCategoryLevelAsString($B234)="L0D_324785","",IF(M234="",CONCATENATE(";",EscStr(CONCATENATE("NavNode_",getCategoryLevelAsString($B234))),";",EscStr($J234),";"),CONCATENATE(";",EscStr(CONCATENATE("NavNode_",getCategoryLevelAsString($B234))),";",EscStr(M234),";")))</f>
        <v>;"NavNode_Electrical Engineering / Cables";"Elektroteknikk / kabler";</v>
      </c>
      <c r="AG234" s="39" t="str">
        <f>IF(getCategoryLevelAsString($B234)="L0D_324785","",IF(N234="",CONCATENATE(";",EscStr(CONCATENATE("NavNode_",getCategoryLevelAsString($B234))),";",EscStr($J234),";"),CONCATENATE(";",EscStr(CONCATENATE("NavNode_",getCategoryLevelAsString($B234))),";",EscStr(N234),";")))</f>
        <v>;"NavNode_Electrical Engineering / Cables";"Elektroteknik / kablar";</v>
      </c>
      <c r="AH234" s="39" t="str">
        <f>IF(getCategoryLevelAsString($B234)="L0D_324785","",IF(O234="",CONCATENATE(";",EscStr(CONCATENATE("NavNode_",getCategoryLevelAsString($B234))),";",EscStr($J234),";"),CONCATENATE(";",EscStr(CONCATENATE("NavNode_",getCategoryLevelAsString($B234))),";",EscStr(O234),";")))</f>
        <v>;"NavNode_Electrical Engineering / Cables";"Elektrotehnika / kaablid";</v>
      </c>
      <c r="AI234" s="39" t="str">
        <f>IF(getCategoryLevelAsString($B234)="L0D_324785","",IF(P234="",CONCATENATE(";",EscStr(CONCATENATE("NavNode_",getCategoryLevelAsString($B234))),";",EscStr($J234),";"),CONCATENATE(";",EscStr(CONCATENATE("NavNode_",getCategoryLevelAsString($B234))),";",EscStr(P234),";")))</f>
        <v>;"NavNode_Electrical Engineering / Cables";"Sähkötekniikka / Kaapelit";</v>
      </c>
      <c r="AJ234" s="39" t="str">
        <f>IF(getCategoryLevelAsString($B234)="L0D_324785","",IF(Q234="",CONCATENATE(";",EscStr(CONCATENATE("NavNode_",getCategoryLevelAsString($B234))),";",EscStr($J234),";"),CONCATENATE(";",EscStr(CONCATENATE("NavNode_",getCategoryLevelAsString($B234))),";",EscStr(Q234),";")))</f>
        <v>;"NavNode_Electrical Engineering / Cables";"Elektroinženierija/kabeļi Cables";</v>
      </c>
      <c r="AK234" s="39" t="str">
        <f>IF(getCategoryLevelAsString($B234)="L0D_324785","",IF(R234="",CONCATENATE(";",EscStr(CONCATENATE("NavNode_",getCategoryLevelAsString($B234))),";",EscStr($J234),";"),CONCATENATE(";",EscStr(CONCATENATE("NavNode_",getCategoryLevelAsString($B234))),";",EscStr(R234),";")))</f>
        <v>;"NavNode_Electrical Engineering / Cables";"Elektrotechniek / kabels";</v>
      </c>
      <c r="AL234" s="39" t="str">
        <f>IF(getCategoryLevelAsString($B234)="L0D_324785","",IF(S234="",CONCATENATE(";",EscStr(CONCATENATE("NavNode_",getCategoryLevelAsString($B234))),";",EscStr($J234),";"),CONCATENATE(";",EscStr(CONCATENATE("NavNode_",getCategoryLevelAsString($B234))),";",EscStr(S234),";")))</f>
        <v>;"NavNode_Electrical Engineering / Cables";"Elektrotechnika/Kable";</v>
      </c>
      <c r="AM234" s="39" t="str">
        <f>IF(getCategoryLevelAsString($B234)="L0D_324785","",IF(T234="",CONCATENATE(";",EscStr(CONCATENATE("NavNode_",getCategoryLevelAsString($B234))),";",EscStr($J234),";"),CONCATENATE(";",EscStr(CONCATENATE("NavNode_",getCategoryLevelAsString($B234))),";",EscStr(T234),";")))</f>
        <v>;"NavNode_Electrical Engineering / Cables";"Электротехника / Кабели";</v>
      </c>
      <c r="AN234" s="39" t="str">
        <f>IF(getCategoryLevelAsString($B234)="L0D_324785","",IF(U234="",CONCATENATE(";",EscStr(CONCATENATE("NavNode_",getCategoryLevelAsString($B234))),";",EscStr($J234),";"),CONCATENATE(";",EscStr(CONCATENATE("NavNode_",getCategoryLevelAsString($B234))),";",EscStr(U234),";")))</f>
        <v>;"NavNode_Electrical Engineering / Cables";"Elektrotechnika / kabely";</v>
      </c>
      <c r="AO234" s="39" t="str">
        <f>IF(getCategoryLevelAsString($B234)="L0D_324785","",IF(V234="",CONCATENATE(";",EscStr(CONCATENATE("NavNode_",getCategoryLevelAsString($B234))),";",EscStr($J234),";"),CONCATENATE(";",EscStr(CONCATENATE("NavNode_",getCategoryLevelAsString($B234))),";",EscStr(V234),";")))</f>
        <v>;"NavNode_Electrical Engineering / Cables";"Inginerie electrică/Cabluri";</v>
      </c>
      <c r="AP234" s="39" t="str">
        <f>IF(getCategoryLevelAsString($B234)="L0D_324785","",IF(W234="",CONCATENATE(";",EscStr(CONCATENATE("NavNode_",getCategoryLevelAsString($B234))),";",EscStr($J234),";"),CONCATENATE(";",EscStr(CONCATENATE("NavNode_",getCategoryLevelAsString($B234))),";",EscStr(W234),";")))</f>
        <v>;"NavNode_Electrical Engineering / Cables";"Elektrotechnika / Kábelek";</v>
      </c>
      <c r="AQ234" s="39" t="str">
        <f>IF(getCategoryLevelAsString($B234)="L0D_324785","",IF(X234="",CONCATENATE(";",EscStr(CONCATENATE("NavNode_",getCategoryLevelAsString($B234))),";",EscStr($J234),";"),CONCATENATE(";",EscStr(CONCATENATE("NavNode_",getCategoryLevelAsString($B234))),";",EscStr(X234),";")))</f>
        <v>;"NavNode_Electrical Engineering / Cables";"Elektrotechnika/Káble";</v>
      </c>
      <c r="AR234" s="39" t="str">
        <f>IF(OR($A234&lt;&gt;"", $G234=""),"",CONCATENATE(";",EscStr(CONCATENATE("NavEntry_",getCategoryLevelAsString($B234))),";",EscStr(CONCATENATE($J234," Navigation Entry")),";",EscStr(CONCATENATE("cat-",getCategoryLevelAsString($B234))),";",EscStr(CONCATENATE("NavNode_",getCategoryLevelAsString($B234))),";"))</f>
        <v>;"NavEntry_Electrical Engineering / Cables";"Electrical Engineering / Cables Navigation Entry";"cat-Electrical Engineering / Cables";"NavNode_Electrical Engineering / Cables";</v>
      </c>
    </row>
    <row r="235" spans="1:44" s="34" customFormat="1" ht="15" x14ac:dyDescent="0.25">
      <c r="A235" s="25"/>
      <c r="B235" s="5"/>
      <c r="C235" s="5" t="s">
        <v>21</v>
      </c>
      <c r="D235" s="5"/>
      <c r="E235" s="5"/>
      <c r="F235" s="5"/>
      <c r="G235" s="5" t="s">
        <v>391</v>
      </c>
      <c r="H235" s="5" t="s">
        <v>392</v>
      </c>
      <c r="I235" s="5" t="s">
        <v>393</v>
      </c>
      <c r="J235" s="5" t="s">
        <v>4</v>
      </c>
      <c r="K235" s="5" t="s">
        <v>1217</v>
      </c>
      <c r="L235" s="5" t="s">
        <v>1451</v>
      </c>
      <c r="M235" s="5" t="s">
        <v>1684</v>
      </c>
      <c r="N235" s="5" t="s">
        <v>1887</v>
      </c>
      <c r="O235" s="5" t="s">
        <v>2545</v>
      </c>
      <c r="P235" s="5" t="s">
        <v>2546</v>
      </c>
      <c r="Q235" s="5" t="s">
        <v>2547</v>
      </c>
      <c r="R235" s="5" t="s">
        <v>2548</v>
      </c>
      <c r="S235" s="5" t="s">
        <v>2549</v>
      </c>
      <c r="T235" s="5" t="s">
        <v>2550</v>
      </c>
      <c r="U235" s="5" t="s">
        <v>2551</v>
      </c>
      <c r="V235" s="5" t="s">
        <v>2552</v>
      </c>
      <c r="W235" s="5" t="s">
        <v>2553</v>
      </c>
      <c r="X235" s="5" t="s">
        <v>14944</v>
      </c>
      <c r="Y235" s="39" t="str">
        <f>IF(OR($A235&lt;&gt;"", $G235=""),"",CONCATENATE(";",EscStr(CONCATENATE("NavNode_",getCategoryLevelAsString($B235))),";",EscStr($J235),";",IF($B235&lt;&gt;"","""MainCategoryNavNode""",EscStr(CONCATENATE("NavNode_",getSuperCategory($B235, getCategoryLevelAsNumber($B235))))),";"))</f>
        <v>;"NavNode_L2D_379526";"Circuit Protection";"NavNode_Electrical Engineering / Cables";</v>
      </c>
      <c r="Z235" s="39" t="str">
        <f>IF(getCategoryLevelAsString($B235)="L0D_324785","",IF(G235="",CONCATENATE(";",EscStr(CONCATENATE("NavNode_",getCategoryLevelAsString($B235))),";",EscStr($J235),";"),CONCATENATE(";",EscStr(CONCATENATE("NavNode_",getCategoryLevelAsString($B235))),";",EscStr(G235),";")))</f>
        <v>;"NavNode_L2D_379526";"Leitungsschutzschalter";</v>
      </c>
      <c r="AA235" s="39" t="str">
        <f>IF(getCategoryLevelAsString($B235)="L0D_324785","",IF(H235="",CONCATENATE(";",EscStr(CONCATENATE("NavNode_",getCategoryLevelAsString($B235))),";",EscStr($J235),";"),CONCATENATE(";",EscStr(CONCATENATE("NavNode_",getCategoryLevelAsString($B235))),";",EscStr(H235),";")))</f>
        <v>;"NavNode_L2D_379526";"Protection de circuits";</v>
      </c>
      <c r="AB235" s="39" t="str">
        <f>IF(getCategoryLevelAsString($B235)="L0D_324785","",IF(I235="",CONCATENATE(";",EscStr(CONCATENATE("NavNode_",getCategoryLevelAsString($B235))),";",EscStr($J235),";"),CONCATENATE(";",EscStr(CONCATENATE("NavNode_",getCategoryLevelAsString($B235))),";",EscStr(I235),";")))</f>
        <v>;"NavNode_L2D_379526";"Protezione dei circuiti";</v>
      </c>
      <c r="AC235" s="39" t="str">
        <f>IF(getCategoryLevelAsString($B235)="L0D_324785","",IF(J235="",CONCATENATE(";",EscStr(CONCATENATE("NavNode_",getCategoryLevelAsString($B235))),";",EscStr($J235),";"),CONCATENATE(";",EscStr(CONCATENATE("NavNode_",getCategoryLevelAsString($B235))),";",EscStr(J235),";")))</f>
        <v>;"NavNode_L2D_379526";"Circuit Protection";</v>
      </c>
      <c r="AD235" s="39" t="str">
        <f>IF(getCategoryLevelAsString($B235)="L0D_324785","",IF(K235="",CONCATENATE(";",EscStr(CONCATENATE("NavNode_",getCategoryLevelAsString($B235))),";",EscStr($J235),";"),CONCATENATE(";",EscStr(CONCATENATE("NavNode_",getCategoryLevelAsString($B235))),";",EscStr(K235),";")))</f>
        <v>;"NavNode_L2D_379526";"Strømkredsbeskyttelse";</v>
      </c>
      <c r="AE235" s="39" t="str">
        <f>IF(getCategoryLevelAsString($B235)="L0D_324785","",IF(L235="",CONCATENATE(";",EscStr(CONCATENATE("NavNode_",getCategoryLevelAsString($B235))),";",EscStr($J235),";"),CONCATENATE(";",EscStr(CONCATENATE("NavNode_",getCategoryLevelAsString($B235))),";",EscStr(L235),";")))</f>
        <v>;"NavNode_L2D_379526";"Grandinės apsauga";</v>
      </c>
      <c r="AF235" s="39" t="str">
        <f>IF(getCategoryLevelAsString($B235)="L0D_324785","",IF(M235="",CONCATENATE(";",EscStr(CONCATENATE("NavNode_",getCategoryLevelAsString($B235))),";",EscStr($J235),";"),CONCATENATE(";",EscStr(CONCATENATE("NavNode_",getCategoryLevelAsString($B235))),";",EscStr(M235),";")))</f>
        <v>;"NavNode_L2D_379526";"Kretsbeskyttelse";</v>
      </c>
      <c r="AG235" s="39" t="str">
        <f>IF(getCategoryLevelAsString($B235)="L0D_324785","",IF(N235="",CONCATENATE(";",EscStr(CONCATENATE("NavNode_",getCategoryLevelAsString($B235))),";",EscStr($J235),";"),CONCATENATE(";",EscStr(CONCATENATE("NavNode_",getCategoryLevelAsString($B235))),";",EscStr(N235),";")))</f>
        <v>;"NavNode_L2D_379526";"Kretsskydd";</v>
      </c>
      <c r="AH235" s="39" t="str">
        <f>IF(getCategoryLevelAsString($B235)="L0D_324785","",IF(O235="",CONCATENATE(";",EscStr(CONCATENATE("NavNode_",getCategoryLevelAsString($B235))),";",EscStr($J235),";"),CONCATENATE(";",EscStr(CONCATENATE("NavNode_",getCategoryLevelAsString($B235))),";",EscStr(O235),";")))</f>
        <v>;"NavNode_L2D_379526";"Vooluringi kaitsmine";</v>
      </c>
      <c r="AI235" s="39" t="str">
        <f>IF(getCategoryLevelAsString($B235)="L0D_324785","",IF(P235="",CONCATENATE(";",EscStr(CONCATENATE("NavNode_",getCategoryLevelAsString($B235))),";",EscStr($J235),";"),CONCATENATE(";",EscStr(CONCATENATE("NavNode_",getCategoryLevelAsString($B235))),";",EscStr(P235),";")))</f>
        <v>;"NavNode_L2D_379526";"Piirisuojat";</v>
      </c>
      <c r="AJ235" s="39" t="str">
        <f>IF(getCategoryLevelAsString($B235)="L0D_324785","",IF(Q235="",CONCATENATE(";",EscStr(CONCATENATE("NavNode_",getCategoryLevelAsString($B235))),";",EscStr($J235),";"),CONCATENATE(";",EscStr(CONCATENATE("NavNode_",getCategoryLevelAsString($B235))),";",EscStr(Q235),";")))</f>
        <v>;"NavNode_L2D_379526";"Shēmu aizsardzība";</v>
      </c>
      <c r="AK235" s="39" t="str">
        <f>IF(getCategoryLevelAsString($B235)="L0D_324785","",IF(R235="",CONCATENATE(";",EscStr(CONCATENATE("NavNode_",getCategoryLevelAsString($B235))),";",EscStr($J235),";"),CONCATENATE(";",EscStr(CONCATENATE("NavNode_",getCategoryLevelAsString($B235))),";",EscStr(R235),";")))</f>
        <v>;"NavNode_L2D_379526";"Zekeringen en beveiligingsautomaten";</v>
      </c>
      <c r="AL235" s="39" t="str">
        <f>IF(getCategoryLevelAsString($B235)="L0D_324785","",IF(S235="",CONCATENATE(";",EscStr(CONCATENATE("NavNode_",getCategoryLevelAsString($B235))),";",EscStr($J235),";"),CONCATENATE(";",EscStr(CONCATENATE("NavNode_",getCategoryLevelAsString($B235))),";",EscStr(S235),";")))</f>
        <v>;"NavNode_L2D_379526";"Zabezpieczenia przeciwzwarciowe";</v>
      </c>
      <c r="AM235" s="39" t="str">
        <f>IF(getCategoryLevelAsString($B235)="L0D_324785","",IF(T235="",CONCATENATE(";",EscStr(CONCATENATE("NavNode_",getCategoryLevelAsString($B235))),";",EscStr($J235),";"),CONCATENATE(";",EscStr(CONCATENATE("NavNode_",getCategoryLevelAsString($B235))),";",EscStr(T235),";")))</f>
        <v>;"NavNode_L2D_379526";"Защита для схем";</v>
      </c>
      <c r="AN235" s="39" t="str">
        <f>IF(getCategoryLevelAsString($B235)="L0D_324785","",IF(U235="",CONCATENATE(";",EscStr(CONCATENATE("NavNode_",getCategoryLevelAsString($B235))),";",EscStr($J235),";"),CONCATENATE(";",EscStr(CONCATENATE("NavNode_",getCategoryLevelAsString($B235))),";",EscStr(U235),";")))</f>
        <v>;"NavNode_L2D_379526";"Jistič, THD";</v>
      </c>
      <c r="AO235" s="39" t="str">
        <f>IF(getCategoryLevelAsString($B235)="L0D_324785","",IF(V235="",CONCATENATE(";",EscStr(CONCATENATE("NavNode_",getCategoryLevelAsString($B235))),";",EscStr($J235),";"),CONCATENATE(";",EscStr(CONCATENATE("NavNode_",getCategoryLevelAsString($B235))),";",EscStr(V235),";")))</f>
        <v>;"NavNode_L2D_379526";"Întrerupătoare de protecţie";</v>
      </c>
      <c r="AP235" s="39" t="str">
        <f>IF(getCategoryLevelAsString($B235)="L0D_324785","",IF(W235="",CONCATENATE(";",EscStr(CONCATENATE("NavNode_",getCategoryLevelAsString($B235))),";",EscStr($J235),";"),CONCATENATE(";",EscStr(CONCATENATE("NavNode_",getCategoryLevelAsString($B235))),";",EscStr(W235),";")))</f>
        <v>;"NavNode_L2D_379526";"Kismegszakító";</v>
      </c>
      <c r="AQ235" s="39" t="str">
        <f>IF(getCategoryLevelAsString($B235)="L0D_324785","",IF(X235="",CONCATENATE(";",EscStr(CONCATENATE("NavNode_",getCategoryLevelAsString($B235))),";",EscStr($J235),";"),CONCATENATE(";",EscStr(CONCATENATE("NavNode_",getCategoryLevelAsString($B235))),";",EscStr(X235),";")))</f>
        <v>;"NavNode_L2D_379526";"Istič, THD";</v>
      </c>
      <c r="AR235" s="39" t="str">
        <f>IF(OR($A235&lt;&gt;"", $G235=""),"",CONCATENATE(";",EscStr(CONCATENATE("NavEntry_",getCategoryLevelAsString($B235))),";",EscStr(CONCATENATE($J235," Navigation Entry")),";",EscStr(CONCATENATE("cat-",getCategoryLevelAsString($B235))),";",EscStr(CONCATENATE("NavNode_",getCategoryLevelAsString($B235))),";"))</f>
        <v>;"NavEntry_L2D_379526";"Circuit Protection Navigation Entry";"cat-L2D_379526";"NavNode_L2D_379526";</v>
      </c>
    </row>
    <row r="236" spans="1:44" s="34" customFormat="1" ht="15" x14ac:dyDescent="0.25">
      <c r="A236" s="25"/>
      <c r="B236" s="5"/>
      <c r="C236" s="5"/>
      <c r="D236" s="5" t="s">
        <v>746</v>
      </c>
      <c r="E236" s="5"/>
      <c r="F236" s="5"/>
      <c r="G236" s="5" t="s">
        <v>986</v>
      </c>
      <c r="H236" s="5" t="s">
        <v>1089</v>
      </c>
      <c r="I236" s="5" t="s">
        <v>1148</v>
      </c>
      <c r="J236" s="5" t="s">
        <v>845</v>
      </c>
      <c r="K236" s="5" t="s">
        <v>1218</v>
      </c>
      <c r="L236" s="5" t="s">
        <v>1449</v>
      </c>
      <c r="M236" s="5" t="s">
        <v>1683</v>
      </c>
      <c r="N236" s="5" t="s">
        <v>13992</v>
      </c>
      <c r="O236" s="5" t="s">
        <v>2528</v>
      </c>
      <c r="P236" s="5" t="s">
        <v>2554</v>
      </c>
      <c r="Q236" s="5" t="s">
        <v>2530</v>
      </c>
      <c r="R236" s="5" t="s">
        <v>2531</v>
      </c>
      <c r="S236" s="5" t="s">
        <v>2555</v>
      </c>
      <c r="T236" s="5" t="s">
        <v>2556</v>
      </c>
      <c r="U236" s="5" t="s">
        <v>2534</v>
      </c>
      <c r="V236" s="5" t="s">
        <v>2535</v>
      </c>
      <c r="W236" s="5" t="s">
        <v>2536</v>
      </c>
      <c r="X236" s="5" t="s">
        <v>14842</v>
      </c>
      <c r="Y236" s="39" t="str">
        <f>IF(OR($A236&lt;&gt;"", $G236=""),"",CONCATENATE(";",EscStr(CONCATENATE("NavNode_",getCategoryLevelAsString($B236))),";",EscStr($J236),";",IF($B236&lt;&gt;"","""MainCategoryNavNode""",EscStr(CONCATENATE("NavNode_",getSuperCategory($B236, getCategoryLevelAsNumber($B236))))),";"))</f>
        <v>;"NavNode_L2-3D_530333";"Fuses and Circuit Breakers for Appliances";"NavNode_L2D_379526";</v>
      </c>
      <c r="Z236" s="39" t="str">
        <f>IF(getCategoryLevelAsString($B236)="L0D_324785","",IF(G236="",CONCATENATE(";",EscStr(CONCATENATE("NavNode_",getCategoryLevelAsString($B236))),";",EscStr($J236),";"),CONCATENATE(";",EscStr(CONCATENATE("NavNode_",getCategoryLevelAsString($B236))),";",EscStr(G236),";")))</f>
        <v>;"NavNode_L2-3D_530333";"Sicherungen und Leitungsschutzschalter für Geräte";</v>
      </c>
      <c r="AA236" s="39" t="str">
        <f>IF(getCategoryLevelAsString($B236)="L0D_324785","",IF(H236="",CONCATENATE(";",EscStr(CONCATENATE("NavNode_",getCategoryLevelAsString($B236))),";",EscStr($J236),";"),CONCATENATE(";",EscStr(CONCATENATE("NavNode_",getCategoryLevelAsString($B236))),";",EscStr(H236),";")))</f>
        <v>;"NavNode_L2-3D_530333";"Fusibles et disjoncteurs pour appareils";</v>
      </c>
      <c r="AB236" s="39" t="str">
        <f>IF(getCategoryLevelAsString($B236)="L0D_324785","",IF(I236="",CONCATENATE(";",EscStr(CONCATENATE("NavNode_",getCategoryLevelAsString($B236))),";",EscStr($J236),";"),CONCATENATE(";",EscStr(CONCATENATE("NavNode_",getCategoryLevelAsString($B236))),";",EscStr(I236),";")))</f>
        <v>;"NavNode_L2-3D_530333";"Fusibili e disgiuntori per apparecchi";</v>
      </c>
      <c r="AC236" s="39" t="str">
        <f>IF(getCategoryLevelAsString($B236)="L0D_324785","",IF(J236="",CONCATENATE(";",EscStr(CONCATENATE("NavNode_",getCategoryLevelAsString($B236))),";",EscStr($J236),";"),CONCATENATE(";",EscStr(CONCATENATE("NavNode_",getCategoryLevelAsString($B236))),";",EscStr(J236),";")))</f>
        <v>;"NavNode_L2-3D_530333";"Fuses and Circuit Breakers for Appliances";</v>
      </c>
      <c r="AD236" s="39" t="str">
        <f>IF(getCategoryLevelAsString($B236)="L0D_324785","",IF(K236="",CONCATENATE(";",EscStr(CONCATENATE("NavNode_",getCategoryLevelAsString($B236))),";",EscStr($J236),";"),CONCATENATE(";",EscStr(CONCATENATE("NavNode_",getCategoryLevelAsString($B236))),";",EscStr(K236),";")))</f>
        <v>;"NavNode_L2-3D_530333";"Sikringer og relæer til udstyr";</v>
      </c>
      <c r="AE236" s="39" t="str">
        <f>IF(getCategoryLevelAsString($B236)="L0D_324785","",IF(L236="",CONCATENATE(";",EscStr(CONCATENATE("NavNode_",getCategoryLevelAsString($B236))),";",EscStr($J236),";"),CONCATENATE(";",EscStr(CONCATENATE("NavNode_",getCategoryLevelAsString($B236))),";",EscStr(L236),";")))</f>
        <v>;"NavNode_L2-3D_530333";"Prietaisų saugikliai ir grandinės pertraukikliai";</v>
      </c>
      <c r="AF236" s="39" t="str">
        <f>IF(getCategoryLevelAsString($B236)="L0D_324785","",IF(M236="",CONCATENATE(";",EscStr(CONCATENATE("NavNode_",getCategoryLevelAsString($B236))),";",EscStr($J236),";"),CONCATENATE(";",EscStr(CONCATENATE("NavNode_",getCategoryLevelAsString($B236))),";",EscStr(M236),";")))</f>
        <v>;"NavNode_L2-3D_530333";"Sikringer og automatsikringer for apparater";</v>
      </c>
      <c r="AG236" s="39" t="str">
        <f>IF(getCategoryLevelAsString($B236)="L0D_324785","",IF(N236="",CONCATENATE(";",EscStr(CONCATENATE("NavNode_",getCategoryLevelAsString($B236))),";",EscStr($J236),";"),CONCATENATE(";",EscStr(CONCATENATE("NavNode_",getCategoryLevelAsString($B236))),";",EscStr(N236),";")))</f>
        <v>;"NavNode_L2-3D_530333";"Finsäkringar / Automatsäkringar";</v>
      </c>
      <c r="AH236" s="39" t="str">
        <f>IF(getCategoryLevelAsString($B236)="L0D_324785","",IF(O236="",CONCATENATE(";",EscStr(CONCATENATE("NavNode_",getCategoryLevelAsString($B236))),";",EscStr($J236),";"),CONCATENATE(";",EscStr(CONCATENATE("NavNode_",getCategoryLevelAsString($B236))),";",EscStr(O236),";")))</f>
        <v>;"NavNode_L2-3D_530333";"Sulavkaitsmed ja automaatkaitsmed elektriseadmetele";</v>
      </c>
      <c r="AI236" s="39" t="str">
        <f>IF(getCategoryLevelAsString($B236)="L0D_324785","",IF(P236="",CONCATENATE(";",EscStr(CONCATENATE("NavNode_",getCategoryLevelAsString($B236))),";",EscStr($J236),";"),CONCATENATE(";",EscStr(CONCATENATE("NavNode_",getCategoryLevelAsString($B236))),";",EscStr(P236),";")))</f>
        <v>;"NavNode_L2-3D_530333";"Sulakkeet ja automaatit";</v>
      </c>
      <c r="AJ236" s="39" t="str">
        <f>IF(getCategoryLevelAsString($B236)="L0D_324785","",IF(Q236="",CONCATENATE(";",EscStr(CONCATENATE("NavNode_",getCategoryLevelAsString($B236))),";",EscStr($J236),";"),CONCATENATE(";",EscStr(CONCATENATE("NavNode_",getCategoryLevelAsString($B236))),";",EscStr(Q236),";")))</f>
        <v>;"NavNode_L2-3D_530333";"Drošinātāji un ierīču jaudas slēdži";</v>
      </c>
      <c r="AK236" s="39" t="str">
        <f>IF(getCategoryLevelAsString($B236)="L0D_324785","",IF(R236="",CONCATENATE(";",EscStr(CONCATENATE("NavNode_",getCategoryLevelAsString($B236))),";",EscStr($J236),";"),CONCATENATE(";",EscStr(CONCATENATE("NavNode_",getCategoryLevelAsString($B236))),";",EscStr(R236),";")))</f>
        <v>;"NavNode_L2-3D_530333";"Zekeringen en Circuit Breakers voor apparaten";</v>
      </c>
      <c r="AL236" s="39" t="str">
        <f>IF(getCategoryLevelAsString($B236)="L0D_324785","",IF(S236="",CONCATENATE(";",EscStr(CONCATENATE("NavNode_",getCategoryLevelAsString($B236))),";",EscStr($J236),";"),CONCATENATE(";",EscStr(CONCATENATE("NavNode_",getCategoryLevelAsString($B236))),";",EscStr(S236),";")))</f>
        <v>;"NavNode_L2-3D_530333";"Bezpiecznik i Wyłączniki automatyczne do urządzeń";</v>
      </c>
      <c r="AM236" s="39" t="str">
        <f>IF(getCategoryLevelAsString($B236)="L0D_324785","",IF(T236="",CONCATENATE(";",EscStr(CONCATENATE("NavNode_",getCategoryLevelAsString($B236))),";",EscStr($J236),";"),CONCATENATE(";",EscStr(CONCATENATE("NavNode_",getCategoryLevelAsString($B236))),";",EscStr(T236),";")))</f>
        <v>;"NavNode_L2-3D_530333";"Предохранители и Прерыватели для приборов";</v>
      </c>
      <c r="AN236" s="39" t="str">
        <f>IF(getCategoryLevelAsString($B236)="L0D_324785","",IF(U236="",CONCATENATE(";",EscStr(CONCATENATE("NavNode_",getCategoryLevelAsString($B236))),";",EscStr($J236),";"),CONCATENATE(";",EscStr(CONCATENATE("NavNode_",getCategoryLevelAsString($B236))),";",EscStr(U236),";")))</f>
        <v>;"NavNode_L2-3D_530333";"Pojistky a jističe pro zařízení";</v>
      </c>
      <c r="AO236" s="39" t="str">
        <f>IF(getCategoryLevelAsString($B236)="L0D_324785","",IF(V236="",CONCATENATE(";",EscStr(CONCATENATE("NavNode_",getCategoryLevelAsString($B236))),";",EscStr($J236),";"),CONCATENATE(";",EscStr(CONCATENATE("NavNode_",getCategoryLevelAsString($B236))),";",EscStr(V236),";")))</f>
        <v>;"NavNode_L2-3D_530333";"Siguranţe şi întrerupătoare de protecţie pentru echipamente";</v>
      </c>
      <c r="AP236" s="39" t="str">
        <f>IF(getCategoryLevelAsString($B236)="L0D_324785","",IF(W236="",CONCATENATE(";",EscStr(CONCATENATE("NavNode_",getCategoryLevelAsString($B236))),";",EscStr($J236),";"),CONCATENATE(";",EscStr(CONCATENATE("NavNode_",getCategoryLevelAsString($B236))),";",EscStr(W236),";")))</f>
        <v>;"NavNode_L2-3D_530333";"Biztosítékok és vezetékvédelem készülékekhez";</v>
      </c>
      <c r="AQ236" s="39" t="str">
        <f>IF(getCategoryLevelAsString($B236)="L0D_324785","",IF(X236="",CONCATENATE(";",EscStr(CONCATENATE("NavNode_",getCategoryLevelAsString($B236))),";",EscStr($J236),";"),CONCATENATE(";",EscStr(CONCATENATE("NavNode_",getCategoryLevelAsString($B236))),";",EscStr(X236),";")))</f>
        <v>;"NavNode_L2-3D_530333";"Poistky a ističe pre zariadenia";</v>
      </c>
      <c r="AR236" s="39" t="str">
        <f>IF(OR($A236&lt;&gt;"", $G236=""),"",CONCATENATE(";",EscStr(CONCATENATE("NavEntry_",getCategoryLevelAsString($B236))),";",EscStr(CONCATENATE($J236," Navigation Entry")),";",EscStr(CONCATENATE("cat-",getCategoryLevelAsString($B236))),";",EscStr(CONCATENATE("NavNode_",getCategoryLevelAsString($B236))),";"))</f>
        <v>;"NavEntry_L2-3D_530333";"Fuses and Circuit Breakers for Appliances Navigation Entry";"cat-L2-3D_530333";"NavNode_L2-3D_530333";</v>
      </c>
    </row>
    <row r="237" spans="1:44" s="34" customFormat="1" ht="15" x14ac:dyDescent="0.25">
      <c r="A237" s="25"/>
      <c r="B237" s="5"/>
      <c r="C237" s="5"/>
      <c r="D237" s="5" t="s">
        <v>148</v>
      </c>
      <c r="E237" s="5"/>
      <c r="F237" s="5"/>
      <c r="G237" s="5" t="s">
        <v>394</v>
      </c>
      <c r="H237" s="5" t="s">
        <v>395</v>
      </c>
      <c r="I237" s="5" t="s">
        <v>396</v>
      </c>
      <c r="J237" s="5" t="s">
        <v>149</v>
      </c>
      <c r="K237" s="5" t="s">
        <v>1219</v>
      </c>
      <c r="L237" s="5" t="s">
        <v>15189</v>
      </c>
      <c r="M237" s="5" t="s">
        <v>1685</v>
      </c>
      <c r="N237" s="5" t="s">
        <v>1888</v>
      </c>
      <c r="O237" s="5" t="s">
        <v>2557</v>
      </c>
      <c r="P237" s="5" t="s">
        <v>2558</v>
      </c>
      <c r="Q237" s="5" t="s">
        <v>2559</v>
      </c>
      <c r="R237" s="5" t="s">
        <v>2560</v>
      </c>
      <c r="S237" s="5" t="s">
        <v>2561</v>
      </c>
      <c r="T237" s="5" t="s">
        <v>2562</v>
      </c>
      <c r="U237" s="5" t="s">
        <v>2563</v>
      </c>
      <c r="V237" s="5" t="s">
        <v>2564</v>
      </c>
      <c r="W237" s="5" t="s">
        <v>2565</v>
      </c>
      <c r="X237" s="5" t="s">
        <v>14945</v>
      </c>
      <c r="Y237" s="39" t="str">
        <f>IF(OR($A237&lt;&gt;"", $G237=""),"",CONCATENATE(";",EscStr(CONCATENATE("NavNode_",getCategoryLevelAsString($B237))),";",EscStr($J237),";",IF($B237&lt;&gt;"","""MainCategoryNavNode""",EscStr(CONCATENATE("NavNode_",getSuperCategory($B237, getCategoryLevelAsNumber($B237))))),";"))</f>
        <v>;"NavNode_L3D_525360";"Fuses / RCD / Over-voltage Protection";"NavNode_L2D_379526";</v>
      </c>
      <c r="Z237" s="39" t="str">
        <f>IF(getCategoryLevelAsString($B237)="L0D_324785","",IF(G237="",CONCATENATE(";",EscStr(CONCATENATE("NavNode_",getCategoryLevelAsString($B237))),";",EscStr($J237),";"),CONCATENATE(";",EscStr(CONCATENATE("NavNode_",getCategoryLevelAsString($B237))),";",EscStr(G237),";")))</f>
        <v>;"NavNode_L3D_525360";"Sicherungen / Fehlerstromschutz / Überspannungsschutz";</v>
      </c>
      <c r="AA237" s="39" t="str">
        <f>IF(getCategoryLevelAsString($B237)="L0D_324785","",IF(H237="",CONCATENATE(";",EscStr(CONCATENATE("NavNode_",getCategoryLevelAsString($B237))),";",EscStr($J237),";"),CONCATENATE(";",EscStr(CONCATENATE("NavNode_",getCategoryLevelAsString($B237))),";",EscStr(H237),";")))</f>
        <v>;"NavNode_L3D_525360";"Fusibles / Disjoncteurs différentiels / Protection contre les surtensions";</v>
      </c>
      <c r="AB237" s="39" t="str">
        <f>IF(getCategoryLevelAsString($B237)="L0D_324785","",IF(I237="",CONCATENATE(";",EscStr(CONCATENATE("NavNode_",getCategoryLevelAsString($B237))),";",EscStr($J237),";"),CONCATENATE(";",EscStr(CONCATENATE("NavNode_",getCategoryLevelAsString($B237))),";",EscStr(I237),";")))</f>
        <v>;"NavNode_L3D_525360";"Fusibili / RCD / Protezione contro le sovratensioni";</v>
      </c>
      <c r="AC237" s="39" t="str">
        <f>IF(getCategoryLevelAsString($B237)="L0D_324785","",IF(J237="",CONCATENATE(";",EscStr(CONCATENATE("NavNode_",getCategoryLevelAsString($B237))),";",EscStr($J237),";"),CONCATENATE(";",EscStr(CONCATENATE("NavNode_",getCategoryLevelAsString($B237))),";",EscStr(J237),";")))</f>
        <v>;"NavNode_L3D_525360";"Fuses / RCD / Over-voltage Protection";</v>
      </c>
      <c r="AD237" s="39" t="str">
        <f>IF(getCategoryLevelAsString($B237)="L0D_324785","",IF(K237="",CONCATENATE(";",EscStr(CONCATENATE("NavNode_",getCategoryLevelAsString($B237))),";",EscStr($J237),";"),CONCATENATE(";",EscStr(CONCATENATE("NavNode_",getCategoryLevelAsString($B237))),";",EscStr(K237),";")))</f>
        <v>;"NavNode_L3D_525360";"Sikringer/RCD/overspændingsbeskyttelse";</v>
      </c>
      <c r="AE237" s="39" t="str">
        <f>IF(getCategoryLevelAsString($B237)="L0D_324785","",IF(L237="",CONCATENATE(";",EscStr(CONCATENATE("NavNode_",getCategoryLevelAsString($B237))),";",EscStr($J237),";"),CONCATENATE(";",EscStr(CONCATENATE("NavNode_",getCategoryLevelAsString($B237))),";",EscStr(L237),";")))</f>
        <v>;"NavNode_L3D_525360";"Saugikliai / RCD / apsauga nuo viršįtampių";</v>
      </c>
      <c r="AF237" s="39" t="str">
        <f>IF(getCategoryLevelAsString($B237)="L0D_324785","",IF(M237="",CONCATENATE(";",EscStr(CONCATENATE("NavNode_",getCategoryLevelAsString($B237))),";",EscStr($J237),";"),CONCATENATE(";",EscStr(CONCATENATE("NavNode_",getCategoryLevelAsString($B237))),";",EscStr(M237),";")))</f>
        <v>;"NavNode_L3D_525360";"Sikringer/RCD/overspenningsbeskyttelse";</v>
      </c>
      <c r="AG237" s="39" t="str">
        <f>IF(getCategoryLevelAsString($B237)="L0D_324785","",IF(N237="",CONCATENATE(";",EscStr(CONCATENATE("NavNode_",getCategoryLevelAsString($B237))),";",EscStr($J237),";"),CONCATENATE(";",EscStr(CONCATENATE("NavNode_",getCategoryLevelAsString($B237))),";",EscStr(N237),";")))</f>
        <v>;"NavNode_L3D_525360";"Säkringar/RCD/Överspänningsskydd";</v>
      </c>
      <c r="AH237" s="39" t="str">
        <f>IF(getCategoryLevelAsString($B237)="L0D_324785","",IF(O237="",CONCATENATE(";",EscStr(CONCATENATE("NavNode_",getCategoryLevelAsString($B237))),";",EscStr($J237),";"),CONCATENATE(";",EscStr(CONCATENATE("NavNode_",getCategoryLevelAsString($B237))),";",EscStr(O237),";")))</f>
        <v>;"NavNode_L3D_525360";"Sulavkaitsmed / Rikkevoolukaitsmed / Ülepingekaitsmed";</v>
      </c>
      <c r="AI237" s="39" t="str">
        <f>IF(getCategoryLevelAsString($B237)="L0D_324785","",IF(P237="",CONCATENATE(";",EscStr(CONCATENATE("NavNode_",getCategoryLevelAsString($B237))),";",EscStr($J237),";"),CONCATENATE(";",EscStr(CONCATENATE("NavNode_",getCategoryLevelAsString($B237))),";",EscStr(P237),";")))</f>
        <v>;"NavNode_L3D_525360";"Ylijännitesulakkeet";</v>
      </c>
      <c r="AJ237" s="39" t="str">
        <f>IF(getCategoryLevelAsString($B237)="L0D_324785","",IF(Q237="",CONCATENATE(";",EscStr(CONCATENATE("NavNode_",getCategoryLevelAsString($B237))),";",EscStr($J237),";"),CONCATENATE(";",EscStr(CONCATENATE("NavNode_",getCategoryLevelAsString($B237))),";",EscStr(Q237),";")))</f>
        <v>;"NavNode_L3D_525360";"Drošinātāji /  Strāvas noplūdes automāti / Pārsprieguma aizsardzība";</v>
      </c>
      <c r="AK237" s="39" t="str">
        <f>IF(getCategoryLevelAsString($B237)="L0D_324785","",IF(R237="",CONCATENATE(";",EscStr(CONCATENATE("NavNode_",getCategoryLevelAsString($B237))),";",EscStr($J237),";"),CONCATENATE(";",EscStr(CONCATENATE("NavNode_",getCategoryLevelAsString($B237))),";",EscStr(R237),";")))</f>
        <v>;"NavNode_L3D_525360";"Zekeringen / RCD / Overspanningsbeveiliging";</v>
      </c>
      <c r="AL237" s="39" t="str">
        <f>IF(getCategoryLevelAsString($B237)="L0D_324785","",IF(S237="",CONCATENATE(";",EscStr(CONCATENATE("NavNode_",getCategoryLevelAsString($B237))),";",EscStr($J237),";"),CONCATENATE(";",EscStr(CONCATENATE("NavNode_",getCategoryLevelAsString($B237))),";",EscStr(S237),";")))</f>
        <v>;"NavNode_L3D_525360";"Bezpieczniki / Wyłączniki różnicowo - prądowe / Ochrona przeciwprzepięciowa";</v>
      </c>
      <c r="AM237" s="39" t="str">
        <f>IF(getCategoryLevelAsString($B237)="L0D_324785","",IF(T237="",CONCATENATE(";",EscStr(CONCATENATE("NavNode_",getCategoryLevelAsString($B237))),";",EscStr($J237),";"),CONCATENATE(";",EscStr(CONCATENATE("NavNode_",getCategoryLevelAsString($B237))),";",EscStr(T237),";")))</f>
        <v>;"NavNode_L3D_525360";"Предохранители / Защита от остаточноготока и перенапряжения";</v>
      </c>
      <c r="AN237" s="39" t="str">
        <f>IF(getCategoryLevelAsString($B237)="L0D_324785","",IF(U237="",CONCATENATE(";",EscStr(CONCATENATE("NavNode_",getCategoryLevelAsString($B237))),";",EscStr($J237),";"),CONCATENATE(";",EscStr(CONCATENATE("NavNode_",getCategoryLevelAsString($B237))),";",EscStr(U237),";")))</f>
        <v>;"NavNode_L3D_525360";"Pojistky / proudové chrániče / přepěťová ochrana";</v>
      </c>
      <c r="AO237" s="39" t="str">
        <f>IF(getCategoryLevelAsString($B237)="L0D_324785","",IF(V237="",CONCATENATE(";",EscStr(CONCATENATE("NavNode_",getCategoryLevelAsString($B237))),";",EscStr($J237),";"),CONCATENATE(";",EscStr(CONCATENATE("NavNode_",getCategoryLevelAsString($B237))),";",EscStr(V237),";")))</f>
        <v>;"NavNode_L3D_525360";"Siguranţe / Protecţii la deranjamente de curent / Protecţii de supratensiune";</v>
      </c>
      <c r="AP237" s="39" t="str">
        <f>IF(getCategoryLevelAsString($B237)="L0D_324785","",IF(W237="",CONCATENATE(";",EscStr(CONCATENATE("NavNode_",getCategoryLevelAsString($B237))),";",EscStr($J237),";"),CONCATENATE(";",EscStr(CONCATENATE("NavNode_",getCategoryLevelAsString($B237))),";",EscStr(W237),";")))</f>
        <v>;"NavNode_L3D_525360";"Biztosítékok / Túláramvédelem  / Túlfeszültségvédelem";</v>
      </c>
      <c r="AQ237" s="39" t="str">
        <f>IF(getCategoryLevelAsString($B237)="L0D_324785","",IF(X237="",CONCATENATE(";",EscStr(CONCATENATE("NavNode_",getCategoryLevelAsString($B237))),";",EscStr($J237),";"),CONCATENATE(";",EscStr(CONCATENATE("NavNode_",getCategoryLevelAsString($B237))),";",EscStr(X237),";")))</f>
        <v>;"NavNode_L3D_525360";"Poistky / prúdové chrániče / prepäťová ochrana";</v>
      </c>
      <c r="AR237" s="39" t="str">
        <f>IF(OR($A237&lt;&gt;"", $G237=""),"",CONCATENATE(";",EscStr(CONCATENATE("NavEntry_",getCategoryLevelAsString($B237))),";",EscStr(CONCATENATE($J237," Navigation Entry")),";",EscStr(CONCATENATE("cat-",getCategoryLevelAsString($B237))),";",EscStr(CONCATENATE("NavNode_",getCategoryLevelAsString($B237))),";"))</f>
        <v>;"NavEntry_L3D_525360";"Fuses / RCD / Over-voltage Protection Navigation Entry";"cat-L3D_525360";"NavNode_L3D_525360";</v>
      </c>
    </row>
    <row r="238" spans="1:44" s="34" customFormat="1" ht="15" x14ac:dyDescent="0.25">
      <c r="A238" s="25"/>
      <c r="B238" s="5"/>
      <c r="C238" s="5" t="s">
        <v>25</v>
      </c>
      <c r="D238" s="5"/>
      <c r="E238" s="5"/>
      <c r="F238" s="5"/>
      <c r="G238" s="5" t="s">
        <v>415</v>
      </c>
      <c r="H238" s="5" t="s">
        <v>416</v>
      </c>
      <c r="I238" s="5" t="s">
        <v>417</v>
      </c>
      <c r="J238" s="5" t="s">
        <v>55</v>
      </c>
      <c r="K238" s="5" t="s">
        <v>13843</v>
      </c>
      <c r="L238" s="5" t="s">
        <v>15190</v>
      </c>
      <c r="M238" s="5" t="s">
        <v>1709</v>
      </c>
      <c r="N238" s="5" t="s">
        <v>13993</v>
      </c>
      <c r="O238" s="5" t="s">
        <v>2774</v>
      </c>
      <c r="P238" s="5" t="s">
        <v>2775</v>
      </c>
      <c r="Q238" s="5" t="s">
        <v>2776</v>
      </c>
      <c r="R238" s="5" t="s">
        <v>2777</v>
      </c>
      <c r="S238" s="5" t="s">
        <v>2778</v>
      </c>
      <c r="T238" s="5" t="s">
        <v>2779</v>
      </c>
      <c r="U238" s="5" t="s">
        <v>2780</v>
      </c>
      <c r="V238" s="5" t="s">
        <v>2781</v>
      </c>
      <c r="W238" s="5" t="s">
        <v>2782</v>
      </c>
      <c r="X238" s="5" t="s">
        <v>14946</v>
      </c>
      <c r="Y238" s="39" t="str">
        <f>IF(OR($A238&lt;&gt;"", $G238=""),"",CONCATENATE(";",EscStr(CONCATENATE("NavNode_",getCategoryLevelAsString($B238))),";",EscStr($J238),";",IF($B238&lt;&gt;"","""MainCategoryNavNode""",EscStr(CONCATENATE("NavNode_",getSuperCategory($B238, getCategoryLevelAsNumber($B238))))),";"))</f>
        <v>;"NavNode_L2D_379531";"Enclosures / Fans / PCB Boards";"NavNode_Electrical Engineering / Cables";</v>
      </c>
      <c r="Z238" s="39" t="str">
        <f>IF(getCategoryLevelAsString($B238)="L0D_324785","",IF(G238="",CONCATENATE(";",EscStr(CONCATENATE("NavNode_",getCategoryLevelAsString($B238))),";",EscStr($J238),";"),CONCATENATE(";",EscStr(CONCATENATE("NavNode_",getCategoryLevelAsString($B238))),";",EscStr(G238),";")))</f>
        <v>;"NavNode_L2D_379531";"Gehäuse / Lüfter / Leiterplatten";</v>
      </c>
      <c r="AA238" s="39" t="str">
        <f>IF(getCategoryLevelAsString($B238)="L0D_324785","",IF(H238="",CONCATENATE(";",EscStr(CONCATENATE("NavNode_",getCategoryLevelAsString($B238))),";",EscStr($J238),";"),CONCATENATE(";",EscStr(CONCATENATE("NavNode_",getCategoryLevelAsString($B238))),";",EscStr(H238),";")))</f>
        <v>;"NavNode_L2D_379531";"Boîtiers / Ventilateurs / Circuits imprimés";</v>
      </c>
      <c r="AB238" s="39" t="str">
        <f>IF(getCategoryLevelAsString($B238)="L0D_324785","",IF(I238="",CONCATENATE(";",EscStr(CONCATENATE("NavNode_",getCategoryLevelAsString($B238))),";",EscStr($J238),";"),CONCATENATE(";",EscStr(CONCATENATE("NavNode_",getCategoryLevelAsString($B238))),";",EscStr(I238),";")))</f>
        <v>;"NavNode_L2D_379531";"Contenitori / Ventole / Schede a circuiti stampati";</v>
      </c>
      <c r="AC238" s="39" t="str">
        <f>IF(getCategoryLevelAsString($B238)="L0D_324785","",IF(J238="",CONCATENATE(";",EscStr(CONCATENATE("NavNode_",getCategoryLevelAsString($B238))),";",EscStr($J238),";"),CONCATENATE(";",EscStr(CONCATENATE("NavNode_",getCategoryLevelAsString($B238))),";",EscStr(J238),";")))</f>
        <v>;"NavNode_L2D_379531";"Enclosures / Fans / PCB Boards";</v>
      </c>
      <c r="AD238" s="39" t="str">
        <f>IF(getCategoryLevelAsString($B238)="L0D_324785","",IF(K238="",CONCATENATE(";",EscStr(CONCATENATE("NavNode_",getCategoryLevelAsString($B238))),";",EscStr($J238),";"),CONCATENATE(";",EscStr(CONCATENATE("NavNode_",getCategoryLevelAsString($B238))),";",EscStr(K238),";")))</f>
        <v>;"NavNode_L2D_379531";"Kabinetter/ventilatorer/Printkort";</v>
      </c>
      <c r="AE238" s="39" t="str">
        <f>IF(getCategoryLevelAsString($B238)="L0D_324785","",IF(L238="",CONCATENATE(";",EscStr(CONCATENATE("NavNode_",getCategoryLevelAsString($B238))),";",EscStr($J238),";"),CONCATENATE(";",EscStr(CONCATENATE("NavNode_",getCategoryLevelAsString($B238))),";",EscStr(L238),";")))</f>
        <v>;"NavNode_L2D_379531";"Montavimo dėžutės, spintos / ventiliatoriai / PCB plokštės";</v>
      </c>
      <c r="AF238" s="39" t="str">
        <f>IF(getCategoryLevelAsString($B238)="L0D_324785","",IF(M238="",CONCATENATE(";",EscStr(CONCATENATE("NavNode_",getCategoryLevelAsString($B238))),";",EscStr($J238),";"),CONCATENATE(";",EscStr(CONCATENATE("NavNode_",getCategoryLevelAsString($B238))),";",EscStr(M238),";")))</f>
        <v>;"NavNode_L2D_379531";"Kapsler/vifter/kretskort";</v>
      </c>
      <c r="AG238" s="39" t="str">
        <f>IF(getCategoryLevelAsString($B238)="L0D_324785","",IF(N238="",CONCATENATE(";",EscStr(CONCATENATE("NavNode_",getCategoryLevelAsString($B238))),";",EscStr($J238),";"),CONCATENATE(";",EscStr(CONCATENATE("NavNode_",getCategoryLevelAsString($B238))),";",EscStr(N238),";")))</f>
        <v>;"NavNode_L2D_379531";"Inkapslingar/Fläktar/Kretskort";</v>
      </c>
      <c r="AH238" s="39" t="str">
        <f>IF(getCategoryLevelAsString($B238)="L0D_324785","",IF(O238="",CONCATENATE(";",EscStr(CONCATENATE("NavNode_",getCategoryLevelAsString($B238))),";",EscStr($J238),";"),CONCATENATE(";",EscStr(CONCATENATE("NavNode_",getCategoryLevelAsString($B238))),";",EscStr(O238),";")))</f>
        <v>;"NavNode_L2D_379531";"Kaitseümbrised / Ventilaatorid / Trükkplaadid";</v>
      </c>
      <c r="AI238" s="39" t="str">
        <f>IF(getCategoryLevelAsString($B238)="L0D_324785","",IF(P238="",CONCATENATE(";",EscStr(CONCATENATE("NavNode_",getCategoryLevelAsString($B238))),";",EscStr($J238),";"),CONCATENATE(";",EscStr(CONCATENATE("NavNode_",getCategoryLevelAsString($B238))),";",EscStr(P238),";")))</f>
        <v>;"NavNode_L2D_379531";"Kotelot/ tuulettimet/piirilevyt";</v>
      </c>
      <c r="AJ238" s="39" t="str">
        <f>IF(getCategoryLevelAsString($B238)="L0D_324785","",IF(Q238="",CONCATENATE(";",EscStr(CONCATENATE("NavNode_",getCategoryLevelAsString($B238))),";",EscStr($J238),";"),CONCATENATE(";",EscStr(CONCATENATE("NavNode_",getCategoryLevelAsString($B238))),";",EscStr(Q238),";")))</f>
        <v>;"NavNode_L2D_379531";"Korpusi / Ventilatori / PCB plates";</v>
      </c>
      <c r="AK238" s="39" t="str">
        <f>IF(getCategoryLevelAsString($B238)="L0D_324785","",IF(R238="",CONCATENATE(";",EscStr(CONCATENATE("NavNode_",getCategoryLevelAsString($B238))),";",EscStr($J238),";"),CONCATENATE(";",EscStr(CONCATENATE("NavNode_",getCategoryLevelAsString($B238))),";",EscStr(R238),";")))</f>
        <v>;"NavNode_L2D_379531";"Behuizingen / Ventialtoren / Printkaarten";</v>
      </c>
      <c r="AL238" s="39" t="str">
        <f>IF(getCategoryLevelAsString($B238)="L0D_324785","",IF(S238="",CONCATENATE(";",EscStr(CONCATENATE("NavNode_",getCategoryLevelAsString($B238))),";",EscStr($J238),";"),CONCATENATE(";",EscStr(CONCATENATE("NavNode_",getCategoryLevelAsString($B238))),";",EscStr(S238),";")))</f>
        <v>;"NavNode_L2D_379531";"Obudowy / Wentylatory / Płytki PCB";</v>
      </c>
      <c r="AM238" s="39" t="str">
        <f>IF(getCategoryLevelAsString($B238)="L0D_324785","",IF(T238="",CONCATENATE(";",EscStr(CONCATENATE("NavNode_",getCategoryLevelAsString($B238))),";",EscStr($J238),";"),CONCATENATE(";",EscStr(CONCATENATE("NavNode_",getCategoryLevelAsString($B238))),";",EscStr(T238),";")))</f>
        <v>;"NavNode_L2D_379531";"Корпуса / Вентиляторы / Печатные платы";</v>
      </c>
      <c r="AN238" s="39" t="str">
        <f>IF(getCategoryLevelAsString($B238)="L0D_324785","",IF(U238="",CONCATENATE(";",EscStr(CONCATENATE("NavNode_",getCategoryLevelAsString($B238))),";",EscStr($J238),";"),CONCATENATE(";",EscStr(CONCATENATE("NavNode_",getCategoryLevelAsString($B238))),";",EscStr(U238),";")))</f>
        <v>;"NavNode_L2D_379531";"Pouzdra / ventilátory / desky plošných spojů";</v>
      </c>
      <c r="AO238" s="39" t="str">
        <f>IF(getCategoryLevelAsString($B238)="L0D_324785","",IF(V238="",CONCATENATE(";",EscStr(CONCATENATE("NavNode_",getCategoryLevelAsString($B238))),";",EscStr($J238),";"),CONCATENATE(";",EscStr(CONCATENATE("NavNode_",getCategoryLevelAsString($B238))),";",EscStr(V238),";")))</f>
        <v>;"NavNode_L2D_379531";"Carcase / Ventilatoare / Plăci de circuit";</v>
      </c>
      <c r="AP238" s="39" t="str">
        <f>IF(getCategoryLevelAsString($B238)="L0D_324785","",IF(W238="",CONCATENATE(";",EscStr(CONCATENATE("NavNode_",getCategoryLevelAsString($B238))),";",EscStr($J238),";"),CONCATENATE(";",EscStr(CONCATENATE("NavNode_",getCategoryLevelAsString($B238))),";",EscStr(W238),";")))</f>
        <v>;"NavNode_L2D_379531";"Házak / Ventillátorok / NYÁK lapok";</v>
      </c>
      <c r="AQ238" s="39" t="str">
        <f>IF(getCategoryLevelAsString($B238)="L0D_324785","",IF(X238="",CONCATENATE(";",EscStr(CONCATENATE("NavNode_",getCategoryLevelAsString($B238))),";",EscStr($J238),";"),CONCATENATE(";",EscStr(CONCATENATE("NavNode_",getCategoryLevelAsString($B238))),";",EscStr(X238),";")))</f>
        <v>;"NavNode_L2D_379531";"Púzdra / ventilátory / dosky plošných spojov";</v>
      </c>
      <c r="AR238" s="39" t="str">
        <f>IF(OR($A238&lt;&gt;"", $G238=""),"",CONCATENATE(";",EscStr(CONCATENATE("NavEntry_",getCategoryLevelAsString($B238))),";",EscStr(CONCATENATE($J238," Navigation Entry")),";",EscStr(CONCATENATE("cat-",getCategoryLevelAsString($B238))),";",EscStr(CONCATENATE("NavNode_",getCategoryLevelAsString($B238))),";"))</f>
        <v>;"NavEntry_L2D_379531";"Enclosures / Fans / PCB Boards Navigation Entry";"cat-L2D_379531";"NavNode_L2D_379531";</v>
      </c>
    </row>
    <row r="239" spans="1:44" s="34" customFormat="1" ht="15" x14ac:dyDescent="0.25">
      <c r="A239" s="25"/>
      <c r="B239" s="5"/>
      <c r="C239" s="5"/>
      <c r="D239" s="5" t="s">
        <v>166</v>
      </c>
      <c r="E239" s="5"/>
      <c r="F239" s="5"/>
      <c r="G239" s="5" t="s">
        <v>423</v>
      </c>
      <c r="H239" s="5" t="s">
        <v>424</v>
      </c>
      <c r="I239" s="5" t="s">
        <v>425</v>
      </c>
      <c r="J239" s="5" t="s">
        <v>167</v>
      </c>
      <c r="K239" s="5" t="s">
        <v>1244</v>
      </c>
      <c r="L239" s="5" t="s">
        <v>1479</v>
      </c>
      <c r="M239" s="5" t="s">
        <v>1711</v>
      </c>
      <c r="N239" s="5" t="s">
        <v>13994</v>
      </c>
      <c r="O239" s="5" t="s">
        <v>2792</v>
      </c>
      <c r="P239" s="5" t="s">
        <v>2793</v>
      </c>
      <c r="Q239" s="5" t="s">
        <v>2794</v>
      </c>
      <c r="R239" s="5" t="s">
        <v>2795</v>
      </c>
      <c r="S239" s="5" t="s">
        <v>2796</v>
      </c>
      <c r="T239" s="5" t="s">
        <v>2797</v>
      </c>
      <c r="U239" s="5" t="s">
        <v>2798</v>
      </c>
      <c r="V239" s="5" t="s">
        <v>2799</v>
      </c>
      <c r="W239" s="5" t="s">
        <v>2800</v>
      </c>
      <c r="X239" s="5" t="s">
        <v>14947</v>
      </c>
      <c r="Y239" s="39" t="str">
        <f>IF(OR($A239&lt;&gt;"", $G239=""),"",CONCATENATE(";",EscStr(CONCATENATE("NavNode_",getCategoryLevelAsString($B239))),";",EscStr($J239),";",IF($B239&lt;&gt;"","""MainCategoryNavNode""",EscStr(CONCATENATE("NavNode_",getSuperCategory($B239, getCategoryLevelAsNumber($B239))))),";"))</f>
        <v>;"NavNode_L3D_525400";"Enclosure Accessories";"NavNode_L2D_379531";</v>
      </c>
      <c r="Z239" s="39" t="str">
        <f>IF(getCategoryLevelAsString($B239)="L0D_324785","",IF(G239="",CONCATENATE(";",EscStr(CONCATENATE("NavNode_",getCategoryLevelAsString($B239))),";",EscStr($J239),";"),CONCATENATE(";",EscStr(CONCATENATE("NavNode_",getCategoryLevelAsString($B239))),";",EscStr(G239),";")))</f>
        <v>;"NavNode_L3D_525400";"Gehäusezubehör";</v>
      </c>
      <c r="AA239" s="39" t="str">
        <f>IF(getCategoryLevelAsString($B239)="L0D_324785","",IF(H239="",CONCATENATE(";",EscStr(CONCATENATE("NavNode_",getCategoryLevelAsString($B239))),";",EscStr($J239),";"),CONCATENATE(";",EscStr(CONCATENATE("NavNode_",getCategoryLevelAsString($B239))),";",EscStr(H239),";")))</f>
        <v>;"NavNode_L3D_525400";"Accessoires pour boîtiers";</v>
      </c>
      <c r="AB239" s="39" t="str">
        <f>IF(getCategoryLevelAsString($B239)="L0D_324785","",IF(I239="",CONCATENATE(";",EscStr(CONCATENATE("NavNode_",getCategoryLevelAsString($B239))),";",EscStr($J239),";"),CONCATENATE(";",EscStr(CONCATENATE("NavNode_",getCategoryLevelAsString($B239))),";",EscStr(I239),";")))</f>
        <v>;"NavNode_L3D_525400";"Accessori per contenitori";</v>
      </c>
      <c r="AC239" s="39" t="str">
        <f>IF(getCategoryLevelAsString($B239)="L0D_324785","",IF(J239="",CONCATENATE(";",EscStr(CONCATENATE("NavNode_",getCategoryLevelAsString($B239))),";",EscStr($J239),";"),CONCATENATE(";",EscStr(CONCATENATE("NavNode_",getCategoryLevelAsString($B239))),";",EscStr(J239),";")))</f>
        <v>;"NavNode_L3D_525400";"Enclosure Accessories";</v>
      </c>
      <c r="AD239" s="39" t="str">
        <f>IF(getCategoryLevelAsString($B239)="L0D_324785","",IF(K239="",CONCATENATE(";",EscStr(CONCATENATE("NavNode_",getCategoryLevelAsString($B239))),";",EscStr($J239),";"),CONCATENATE(";",EscStr(CONCATENATE("NavNode_",getCategoryLevelAsString($B239))),";",EscStr(K239),";")))</f>
        <v>;"NavNode_L3D_525400";"Kabinettilbehør";</v>
      </c>
      <c r="AE239" s="39" t="str">
        <f>IF(getCategoryLevelAsString($B239)="L0D_324785","",IF(L239="",CONCATENATE(";",EscStr(CONCATENATE("NavNode_",getCategoryLevelAsString($B239))),";",EscStr($J239),";"),CONCATENATE(";",EscStr(CONCATENATE("NavNode_",getCategoryLevelAsString($B239))),";",EscStr(L239),";")))</f>
        <v>;"NavNode_L3D_525400";"Gaubtų priedai";</v>
      </c>
      <c r="AF239" s="39" t="str">
        <f>IF(getCategoryLevelAsString($B239)="L0D_324785","",IF(M239="",CONCATENATE(";",EscStr(CONCATENATE("NavNode_",getCategoryLevelAsString($B239))),";",EscStr($J239),";"),CONCATENATE(";",EscStr(CONCATENATE("NavNode_",getCategoryLevelAsString($B239))),";",EscStr(M239),";")))</f>
        <v>;"NavNode_L3D_525400";"Kapseltilbehør";</v>
      </c>
      <c r="AG239" s="39" t="str">
        <f>IF(getCategoryLevelAsString($B239)="L0D_324785","",IF(N239="",CONCATENATE(";",EscStr(CONCATENATE("NavNode_",getCategoryLevelAsString($B239))),";",EscStr($J239),";"),CONCATENATE(";",EscStr(CONCATENATE("NavNode_",getCategoryLevelAsString($B239))),";",EscStr(N239),";")))</f>
        <v>;"NavNode_L3D_525400";"Tillbehör till inkapslingar";</v>
      </c>
      <c r="AH239" s="39" t="str">
        <f>IF(getCategoryLevelAsString($B239)="L0D_324785","",IF(O239="",CONCATENATE(";",EscStr(CONCATENATE("NavNode_",getCategoryLevelAsString($B239))),";",EscStr($J239),";"),CONCATENATE(";",EscStr(CONCATENATE("NavNode_",getCategoryLevelAsString($B239))),";",EscStr(O239),";")))</f>
        <v>;"NavNode_L3D_525400";"Kaitseümbriste tarvikud";</v>
      </c>
      <c r="AI239" s="39" t="str">
        <f>IF(getCategoryLevelAsString($B239)="L0D_324785","",IF(P239="",CONCATENATE(";",EscStr(CONCATENATE("NavNode_",getCategoryLevelAsString($B239))),";",EscStr($J239),";"),CONCATENATE(";",EscStr(CONCATENATE("NavNode_",getCategoryLevelAsString($B239))),";",EscStr(P239),";")))</f>
        <v>;"NavNode_L3D_525400";"Kotelotarvikkeet";</v>
      </c>
      <c r="AJ239" s="39" t="str">
        <f>IF(getCategoryLevelAsString($B239)="L0D_324785","",IF(Q239="",CONCATENATE(";",EscStr(CONCATENATE("NavNode_",getCategoryLevelAsString($B239))),";",EscStr($J239),";"),CONCATENATE(";",EscStr(CONCATENATE("NavNode_",getCategoryLevelAsString($B239))),";",EscStr(Q239),";")))</f>
        <v>;"NavNode_L3D_525400";"Korpusu piederumi";</v>
      </c>
      <c r="AK239" s="39" t="str">
        <f>IF(getCategoryLevelAsString($B239)="L0D_324785","",IF(R239="",CONCATENATE(";",EscStr(CONCATENATE("NavNode_",getCategoryLevelAsString($B239))),";",EscStr($J239),";"),CONCATENATE(";",EscStr(CONCATENATE("NavNode_",getCategoryLevelAsString($B239))),";",EscStr(R239),";")))</f>
        <v>;"NavNode_L3D_525400";"Behuizing accessoires";</v>
      </c>
      <c r="AL239" s="39" t="str">
        <f>IF(getCategoryLevelAsString($B239)="L0D_324785","",IF(S239="",CONCATENATE(";",EscStr(CONCATENATE("NavNode_",getCategoryLevelAsString($B239))),";",EscStr($J239),";"),CONCATENATE(";",EscStr(CONCATENATE("NavNode_",getCategoryLevelAsString($B239))),";",EscStr(S239),";")))</f>
        <v>;"NavNode_L3D_525400";"Akcesoria do obudów";</v>
      </c>
      <c r="AM239" s="39" t="str">
        <f>IF(getCategoryLevelAsString($B239)="L0D_324785","",IF(T239="",CONCATENATE(";",EscStr(CONCATENATE("NavNode_",getCategoryLevelAsString($B239))),";",EscStr($J239),";"),CONCATENATE(";",EscStr(CONCATENATE("NavNode_",getCategoryLevelAsString($B239))),";",EscStr(T239),";")))</f>
        <v>;"NavNode_L3D_525400";"Аксессуары для корпусов";</v>
      </c>
      <c r="AN239" s="39" t="str">
        <f>IF(getCategoryLevelAsString($B239)="L0D_324785","",IF(U239="",CONCATENATE(";",EscStr(CONCATENATE("NavNode_",getCategoryLevelAsString($B239))),";",EscStr($J239),";"),CONCATENATE(";",EscStr(CONCATENATE("NavNode_",getCategoryLevelAsString($B239))),";",EscStr(U239),";")))</f>
        <v>;"NavNode_L3D_525400";"Skříně – příslušenství";</v>
      </c>
      <c r="AO239" s="39" t="str">
        <f>IF(getCategoryLevelAsString($B239)="L0D_324785","",IF(V239="",CONCATENATE(";",EscStr(CONCATENATE("NavNode_",getCategoryLevelAsString($B239))),";",EscStr($J239),";"),CONCATENATE(";",EscStr(CONCATENATE("NavNode_",getCategoryLevelAsString($B239))),";",EscStr(V239),";")))</f>
        <v>;"NavNode_L3D_525400";"Accesorii pentru carcase";</v>
      </c>
      <c r="AP239" s="39" t="str">
        <f>IF(getCategoryLevelAsString($B239)="L0D_324785","",IF(W239="",CONCATENATE(";",EscStr(CONCATENATE("NavNode_",getCategoryLevelAsString($B239))),";",EscStr($J239),";"),CONCATENATE(";",EscStr(CONCATENATE("NavNode_",getCategoryLevelAsString($B239))),";",EscStr(W239),";")))</f>
        <v>;"NavNode_L3D_525400";"Ház tartozékok";</v>
      </c>
      <c r="AQ239" s="39" t="str">
        <f>IF(getCategoryLevelAsString($B239)="L0D_324785","",IF(X239="",CONCATENATE(";",EscStr(CONCATENATE("NavNode_",getCategoryLevelAsString($B239))),";",EscStr($J239),";"),CONCATENATE(";",EscStr(CONCATENATE("NavNode_",getCategoryLevelAsString($B239))),";",EscStr(X239),";")))</f>
        <v>;"NavNode_L3D_525400";"Skrine - príslušenstvo";</v>
      </c>
      <c r="AR239" s="39" t="str">
        <f>IF(OR($A239&lt;&gt;"", $G239=""),"",CONCATENATE(";",EscStr(CONCATENATE("NavEntry_",getCategoryLevelAsString($B239))),";",EscStr(CONCATENATE($J239," Navigation Entry")),";",EscStr(CONCATENATE("cat-",getCategoryLevelAsString($B239))),";",EscStr(CONCATENATE("NavNode_",getCategoryLevelAsString($B239))),";"))</f>
        <v>;"NavEntry_L3D_525400";"Enclosure Accessories Navigation Entry";"cat-L3D_525400";"NavNode_L3D_525400";</v>
      </c>
    </row>
    <row r="240" spans="1:44" s="34" customFormat="1" ht="15" x14ac:dyDescent="0.25">
      <c r="A240" s="25"/>
      <c r="B240" s="5"/>
      <c r="C240" s="5"/>
      <c r="D240" s="5" t="s">
        <v>162</v>
      </c>
      <c r="E240" s="5"/>
      <c r="F240" s="5"/>
      <c r="G240" s="5" t="s">
        <v>1192</v>
      </c>
      <c r="H240" s="5" t="s">
        <v>418</v>
      </c>
      <c r="I240" s="5" t="s">
        <v>419</v>
      </c>
      <c r="J240" s="5" t="s">
        <v>163</v>
      </c>
      <c r="K240" s="5" t="s">
        <v>1245</v>
      </c>
      <c r="L240" s="5" t="s">
        <v>15191</v>
      </c>
      <c r="M240" s="5" t="s">
        <v>1712</v>
      </c>
      <c r="N240" s="5" t="s">
        <v>1914</v>
      </c>
      <c r="O240" s="5" t="s">
        <v>2801</v>
      </c>
      <c r="P240" s="5" t="s">
        <v>2802</v>
      </c>
      <c r="Q240" s="5" t="s">
        <v>2803</v>
      </c>
      <c r="R240" s="5" t="s">
        <v>2804</v>
      </c>
      <c r="S240" s="5" t="s">
        <v>2805</v>
      </c>
      <c r="T240" s="5" t="s">
        <v>2806</v>
      </c>
      <c r="U240" s="5" t="s">
        <v>2807</v>
      </c>
      <c r="V240" s="5" t="s">
        <v>2808</v>
      </c>
      <c r="W240" s="5" t="s">
        <v>2809</v>
      </c>
      <c r="X240" s="5" t="s">
        <v>14948</v>
      </c>
      <c r="Y240" s="39" t="str">
        <f>IF(OR($A240&lt;&gt;"", $G240=""),"",CONCATENATE(";",EscStr(CONCATENATE("NavNode_",getCategoryLevelAsString($B240))),";",EscStr($J240),";",IF($B240&lt;&gt;"","""MainCategoryNavNode""",EscStr(CONCATENATE("NavNode_",getSuperCategory($B240, getCategoryLevelAsNumber($B240))))),";"))</f>
        <v>;"NavNode_L3D_525401";"19'' Enclosures";"NavNode_L2D_379531";</v>
      </c>
      <c r="Z240" s="39" t="str">
        <f>IF(getCategoryLevelAsString($B240)="L0D_324785","",IF(G240="",CONCATENATE(";",EscStr(CONCATENATE("NavNode_",getCategoryLevelAsString($B240))),";",EscStr($J240),";"),CONCATENATE(";",EscStr(CONCATENATE("NavNode_",getCategoryLevelAsString($B240))),";",EscStr(G240),";")))</f>
        <v>;"NavNode_L3D_525401";"19''- Anlagen";</v>
      </c>
      <c r="AA240" s="39" t="str">
        <f>IF(getCategoryLevelAsString($B240)="L0D_324785","",IF(H240="",CONCATENATE(";",EscStr(CONCATENATE("NavNode_",getCategoryLevelAsString($B240))),";",EscStr($J240),";"),CONCATENATE(";",EscStr(CONCATENATE("NavNode_",getCategoryLevelAsString($B240))),";",EscStr(H240),";")))</f>
        <v>;"NavNode_L3D_525401";"Boîtiers 19''";</v>
      </c>
      <c r="AB240" s="39" t="str">
        <f>IF(getCategoryLevelAsString($B240)="L0D_324785","",IF(I240="",CONCATENATE(";",EscStr(CONCATENATE("NavNode_",getCategoryLevelAsString($B240))),";",EscStr($J240),";"),CONCATENATE(";",EscStr(CONCATENATE("NavNode_",getCategoryLevelAsString($B240))),";",EscStr(I240),";")))</f>
        <v>;"NavNode_L3D_525401";"Contenitori da 19''";</v>
      </c>
      <c r="AC240" s="39" t="str">
        <f>IF(getCategoryLevelAsString($B240)="L0D_324785","",IF(J240="",CONCATENATE(";",EscStr(CONCATENATE("NavNode_",getCategoryLevelAsString($B240))),";",EscStr($J240),";"),CONCATENATE(";",EscStr(CONCATENATE("NavNode_",getCategoryLevelAsString($B240))),";",EscStr(J240),";")))</f>
        <v>;"NavNode_L3D_525401";"19'' Enclosures";</v>
      </c>
      <c r="AD240" s="39" t="str">
        <f>IF(getCategoryLevelAsString($B240)="L0D_324785","",IF(K240="",CONCATENATE(";",EscStr(CONCATENATE("NavNode_",getCategoryLevelAsString($B240))),";",EscStr($J240),";"),CONCATENATE(";",EscStr(CONCATENATE("NavNode_",getCategoryLevelAsString($B240))),";",EscStr(K240),";")))</f>
        <v>;"NavNode_L3D_525401";"19'' kabinet";</v>
      </c>
      <c r="AE240" s="39" t="str">
        <f>IF(getCategoryLevelAsString($B240)="L0D_324785","",IF(L240="",CONCATENATE(";",EscStr(CONCATENATE("NavNode_",getCategoryLevelAsString($B240))),";",EscStr($J240),";"),CONCATENATE(";",EscStr(CONCATENATE("NavNode_",getCategoryLevelAsString($B240))),";",EscStr(L240),";")))</f>
        <v>;"NavNode_L3D_525401";"19'' Montavimo spintos";</v>
      </c>
      <c r="AF240" s="39" t="str">
        <f>IF(getCategoryLevelAsString($B240)="L0D_324785","",IF(M240="",CONCATENATE(";",EscStr(CONCATENATE("NavNode_",getCategoryLevelAsString($B240))),";",EscStr($J240),";"),CONCATENATE(";",EscStr(CONCATENATE("NavNode_",getCategoryLevelAsString($B240))),";",EscStr(M240),";")))</f>
        <v>;"NavNode_L3D_525401";"19"" kapsler";</v>
      </c>
      <c r="AG240" s="39" t="str">
        <f>IF(getCategoryLevelAsString($B240)="L0D_324785","",IF(N240="",CONCATENATE(";",EscStr(CONCATENATE("NavNode_",getCategoryLevelAsString($B240))),";",EscStr($J240),";"),CONCATENATE(";",EscStr(CONCATENATE("NavNode_",getCategoryLevelAsString($B240))),";",EscStr(N240),";")))</f>
        <v>;"NavNode_L3D_525401";"19-tumsskåp";</v>
      </c>
      <c r="AH240" s="39" t="str">
        <f>IF(getCategoryLevelAsString($B240)="L0D_324785","",IF(O240="",CONCATENATE(";",EscStr(CONCATENATE("NavNode_",getCategoryLevelAsString($B240))),";",EscStr($J240),";"),CONCATENATE(";",EscStr(CONCATENATE("NavNode_",getCategoryLevelAsString($B240))),";",EscStr(O240),";")))</f>
        <v>;"NavNode_L3D_525401";"19'' seadmekapid";</v>
      </c>
      <c r="AI240" s="39" t="str">
        <f>IF(getCategoryLevelAsString($B240)="L0D_324785","",IF(P240="",CONCATENATE(";",EscStr(CONCATENATE("NavNode_",getCategoryLevelAsString($B240))),";",EscStr($J240),";"),CONCATENATE(";",EscStr(CONCATENATE("NavNode_",getCategoryLevelAsString($B240))),";",EscStr(P240),";")))</f>
        <v>;"NavNode_L3D_525401";"19'' Kotelot";</v>
      </c>
      <c r="AJ240" s="39" t="str">
        <f>IF(getCategoryLevelAsString($B240)="L0D_324785","",IF(Q240="",CONCATENATE(";",EscStr(CONCATENATE("NavNode_",getCategoryLevelAsString($B240))),";",EscStr($J240),";"),CONCATENATE(";",EscStr(CONCATENATE("NavNode_",getCategoryLevelAsString($B240))),";",EscStr(Q240),";")))</f>
        <v>;"NavNode_L3D_525401";"19-collu korpusi";</v>
      </c>
      <c r="AK240" s="39" t="str">
        <f>IF(getCategoryLevelAsString($B240)="L0D_324785","",IF(R240="",CONCATENATE(";",EscStr(CONCATENATE("NavNode_",getCategoryLevelAsString($B240))),";",EscStr($J240),";"),CONCATENATE(";",EscStr(CONCATENATE("NavNode_",getCategoryLevelAsString($B240))),";",EscStr(R240),";")))</f>
        <v>;"NavNode_L3D_525401";"19"" behuizingen";</v>
      </c>
      <c r="AL240" s="39" t="str">
        <f>IF(getCategoryLevelAsString($B240)="L0D_324785","",IF(S240="",CONCATENATE(";",EscStr(CONCATENATE("NavNode_",getCategoryLevelAsString($B240))),";",EscStr($J240),";"),CONCATENATE(";",EscStr(CONCATENATE("NavNode_",getCategoryLevelAsString($B240))),";",EscStr(S240),";")))</f>
        <v>;"NavNode_L3D_525401";"Obudowy 19""";</v>
      </c>
      <c r="AM240" s="39" t="str">
        <f>IF(getCategoryLevelAsString($B240)="L0D_324785","",IF(T240="",CONCATENATE(";",EscStr(CONCATENATE("NavNode_",getCategoryLevelAsString($B240))),";",EscStr($J240),";"),CONCATENATE(";",EscStr(CONCATENATE("NavNode_",getCategoryLevelAsString($B240))),";",EscStr(T240),";")))</f>
        <v>;"NavNode_L3D_525401";"19'' шкафы";</v>
      </c>
      <c r="AN240" s="39" t="str">
        <f>IF(getCategoryLevelAsString($B240)="L0D_324785","",IF(U240="",CONCATENATE(";",EscStr(CONCATENATE("NavNode_",getCategoryLevelAsString($B240))),";",EscStr($J240),";"),CONCATENATE(";",EscStr(CONCATENATE("NavNode_",getCategoryLevelAsString($B240))),";",EscStr(U240),";")))</f>
        <v>;"NavNode_L3D_525401";"19"" skříně";</v>
      </c>
      <c r="AO240" s="39" t="str">
        <f>IF(getCategoryLevelAsString($B240)="L0D_324785","",IF(V240="",CONCATENATE(";",EscStr(CONCATENATE("NavNode_",getCategoryLevelAsString($B240))),";",EscStr($J240),";"),CONCATENATE(";",EscStr(CONCATENATE("NavNode_",getCategoryLevelAsString($B240))),";",EscStr(V240),";")))</f>
        <v>;"NavNode_L3D_525401";"19 ""- echipamente";</v>
      </c>
      <c r="AP240" s="39" t="str">
        <f>IF(getCategoryLevelAsString($B240)="L0D_324785","",IF(W240="",CONCATENATE(";",EscStr(CONCATENATE("NavNode_",getCategoryLevelAsString($B240))),";",EscStr($J240),";"),CONCATENATE(";",EscStr(CONCATENATE("NavNode_",getCategoryLevelAsString($B240))),";",EscStr(W240),";")))</f>
        <v>;"NavNode_L3D_525401";"19'' egységek";</v>
      </c>
      <c r="AQ240" s="39" t="str">
        <f>IF(getCategoryLevelAsString($B240)="L0D_324785","",IF(X240="",CONCATENATE(";",EscStr(CONCATENATE("NavNode_",getCategoryLevelAsString($B240))),";",EscStr($J240),";"),CONCATENATE(";",EscStr(CONCATENATE("NavNode_",getCategoryLevelAsString($B240))),";",EscStr(X240),";")))</f>
        <v>;"NavNode_L3D_525401";"19 ""skrine";</v>
      </c>
      <c r="AR240" s="39" t="str">
        <f>IF(OR($A240&lt;&gt;"", $G240=""),"",CONCATENATE(";",EscStr(CONCATENATE("NavEntry_",getCategoryLevelAsString($B240))),";",EscStr(CONCATENATE($J240," Navigation Entry")),";",EscStr(CONCATENATE("cat-",getCategoryLevelAsString($B240))),";",EscStr(CONCATENATE("NavNode_",getCategoryLevelAsString($B240))),";"))</f>
        <v>;"NavEntry_L3D_525401";"19'' Enclosures Navigation Entry";"cat-L3D_525401";"NavNode_L3D_525401";</v>
      </c>
    </row>
    <row r="241" spans="1:44" s="34" customFormat="1" ht="15" x14ac:dyDescent="0.25">
      <c r="A241" s="25"/>
      <c r="B241" s="5"/>
      <c r="C241" s="5"/>
      <c r="D241" s="5" t="s">
        <v>171</v>
      </c>
      <c r="E241" s="5"/>
      <c r="F241" s="5"/>
      <c r="G241" s="5" t="s">
        <v>429</v>
      </c>
      <c r="H241" s="5" t="s">
        <v>430</v>
      </c>
      <c r="I241" s="5" t="s">
        <v>431</v>
      </c>
      <c r="J241" s="5" t="s">
        <v>172</v>
      </c>
      <c r="K241" s="5" t="s">
        <v>1246</v>
      </c>
      <c r="L241" s="5" t="s">
        <v>15192</v>
      </c>
      <c r="M241" s="5" t="s">
        <v>1713</v>
      </c>
      <c r="N241" s="5" t="s">
        <v>13995</v>
      </c>
      <c r="O241" s="5" t="s">
        <v>2810</v>
      </c>
      <c r="P241" s="5" t="s">
        <v>2811</v>
      </c>
      <c r="Q241" s="5" t="s">
        <v>2812</v>
      </c>
      <c r="R241" s="5" t="s">
        <v>2813</v>
      </c>
      <c r="S241" s="5" t="s">
        <v>2814</v>
      </c>
      <c r="T241" s="5" t="s">
        <v>2815</v>
      </c>
      <c r="U241" s="5" t="s">
        <v>2816</v>
      </c>
      <c r="V241" s="5" t="s">
        <v>2817</v>
      </c>
      <c r="W241" s="5" t="s">
        <v>2818</v>
      </c>
      <c r="X241" s="5" t="s">
        <v>14949</v>
      </c>
      <c r="Y241" s="39" t="str">
        <f>IF(OR($A241&lt;&gt;"", $G241=""),"",CONCATENATE(";",EscStr(CONCATENATE("NavNode_",getCategoryLevelAsString($B241))),";",EscStr($J241),";",IF($B241&lt;&gt;"","""MainCategoryNavNode""",EscStr(CONCATENATE("NavNode_",getSuperCategory($B241, getCategoryLevelAsNumber($B241))))),";"))</f>
        <v>;"NavNode_L3D_525402";"Plastic / Metal Enclosures";"NavNode_L2D_379531";</v>
      </c>
      <c r="Z241" s="39" t="str">
        <f>IF(getCategoryLevelAsString($B241)="L0D_324785","",IF(G241="",CONCATENATE(";",EscStr(CONCATENATE("NavNode_",getCategoryLevelAsString($B241))),";",EscStr($J241),";"),CONCATENATE(";",EscStr(CONCATENATE("NavNode_",getCategoryLevelAsString($B241))),";",EscStr(G241),";")))</f>
        <v>;"NavNode_L3D_525402";"Kunststoff- / Metallgehäuse";</v>
      </c>
      <c r="AA241" s="39" t="str">
        <f>IF(getCategoryLevelAsString($B241)="L0D_324785","",IF(H241="",CONCATENATE(";",EscStr(CONCATENATE("NavNode_",getCategoryLevelAsString($B241))),";",EscStr($J241),";"),CONCATENATE(";",EscStr(CONCATENATE("NavNode_",getCategoryLevelAsString($B241))),";",EscStr(H241),";")))</f>
        <v>;"NavNode_L3D_525402";"Boîtiers plastiques / métalliques";</v>
      </c>
      <c r="AB241" s="39" t="str">
        <f>IF(getCategoryLevelAsString($B241)="L0D_324785","",IF(I241="",CONCATENATE(";",EscStr(CONCATENATE("NavNode_",getCategoryLevelAsString($B241))),";",EscStr($J241),";"),CONCATENATE(";",EscStr(CONCATENATE("NavNode_",getCategoryLevelAsString($B241))),";",EscStr(I241),";")))</f>
        <v>;"NavNode_L3D_525402";"Contenitori in plastica / metallo";</v>
      </c>
      <c r="AC241" s="39" t="str">
        <f>IF(getCategoryLevelAsString($B241)="L0D_324785","",IF(J241="",CONCATENATE(";",EscStr(CONCATENATE("NavNode_",getCategoryLevelAsString($B241))),";",EscStr($J241),";"),CONCATENATE(";",EscStr(CONCATENATE("NavNode_",getCategoryLevelAsString($B241))),";",EscStr(J241),";")))</f>
        <v>;"NavNode_L3D_525402";"Plastic / Metal Enclosures";</v>
      </c>
      <c r="AD241" s="39" t="str">
        <f>IF(getCategoryLevelAsString($B241)="L0D_324785","",IF(K241="",CONCATENATE(";",EscStr(CONCATENATE("NavNode_",getCategoryLevelAsString($B241))),";",EscStr($J241),";"),CONCATENATE(";",EscStr(CONCATENATE("NavNode_",getCategoryLevelAsString($B241))),";",EscStr(K241),";")))</f>
        <v>;"NavNode_L3D_525402";"Plast-/metalkabinetter";</v>
      </c>
      <c r="AE241" s="39" t="str">
        <f>IF(getCategoryLevelAsString($B241)="L0D_324785","",IF(L241="",CONCATENATE(";",EscStr(CONCATENATE("NavNode_",getCategoryLevelAsString($B241))),";",EscStr($J241),";"),CONCATENATE(";",EscStr(CONCATENATE("NavNode_",getCategoryLevelAsString($B241))),";",EscStr(L241),";")))</f>
        <v>;"NavNode_L3D_525402";"Plastikinės / metalinės dėžutės";</v>
      </c>
      <c r="AF241" s="39" t="str">
        <f>IF(getCategoryLevelAsString($B241)="L0D_324785","",IF(M241="",CONCATENATE(";",EscStr(CONCATENATE("NavNode_",getCategoryLevelAsString($B241))),";",EscStr($J241),";"),CONCATENATE(";",EscStr(CONCATENATE("NavNode_",getCategoryLevelAsString($B241))),";",EscStr(M241),";")))</f>
        <v>;"NavNode_L3D_525402";"Plast-/metallkabinetter";</v>
      </c>
      <c r="AG241" s="39" t="str">
        <f>IF(getCategoryLevelAsString($B241)="L0D_324785","",IF(N241="",CONCATENATE(";",EscStr(CONCATENATE("NavNode_",getCategoryLevelAsString($B241))),";",EscStr($J241),";"),CONCATENATE(";",EscStr(CONCATENATE("NavNode_",getCategoryLevelAsString($B241))),";",EscStr(N241),";")))</f>
        <v>;"NavNode_L3D_525402";"Plast-/Metallådor";</v>
      </c>
      <c r="AH241" s="39" t="str">
        <f>IF(getCategoryLevelAsString($B241)="L0D_324785","",IF(O241="",CONCATENATE(";",EscStr(CONCATENATE("NavNode_",getCategoryLevelAsString($B241))),";",EscStr($J241),";"),CONCATENATE(";",EscStr(CONCATENATE("NavNode_",getCategoryLevelAsString($B241))),";",EscStr(O241),";")))</f>
        <v>;"NavNode_L3D_525402";"Plastist ja metallist kaitseümbrised";</v>
      </c>
      <c r="AI241" s="39" t="str">
        <f>IF(getCategoryLevelAsString($B241)="L0D_324785","",IF(P241="",CONCATENATE(";",EscStr(CONCATENATE("NavNode_",getCategoryLevelAsString($B241))),";",EscStr($J241),";"),CONCATENATE(";",EscStr(CONCATENATE("NavNode_",getCategoryLevelAsString($B241))),";",EscStr(P241),";")))</f>
        <v>;"NavNode_L3D_525402";"Muovi/metallikotelot";</v>
      </c>
      <c r="AJ241" s="39" t="str">
        <f>IF(getCategoryLevelAsString($B241)="L0D_324785","",IF(Q241="",CONCATENATE(";",EscStr(CONCATENATE("NavNode_",getCategoryLevelAsString($B241))),";",EscStr($J241),";"),CONCATENATE(";",EscStr(CONCATENATE("NavNode_",getCategoryLevelAsString($B241))),";",EscStr(Q241),";")))</f>
        <v>;"NavNode_L3D_525402";"Plastmasas / metāla korpusi";</v>
      </c>
      <c r="AK241" s="39" t="str">
        <f>IF(getCategoryLevelAsString($B241)="L0D_324785","",IF(R241="",CONCATENATE(";",EscStr(CONCATENATE("NavNode_",getCategoryLevelAsString($B241))),";",EscStr($J241),";"),CONCATENATE(";",EscStr(CONCATENATE("NavNode_",getCategoryLevelAsString($B241))),";",EscStr(R241),";")))</f>
        <v>;"NavNode_L3D_525402";"Kunststof / metalen behuizingen";</v>
      </c>
      <c r="AL241" s="39" t="str">
        <f>IF(getCategoryLevelAsString($B241)="L0D_324785","",IF(S241="",CONCATENATE(";",EscStr(CONCATENATE("NavNode_",getCategoryLevelAsString($B241))),";",EscStr($J241),";"),CONCATENATE(";",EscStr(CONCATENATE("NavNode_",getCategoryLevelAsString($B241))),";",EscStr(S241),";")))</f>
        <v>;"NavNode_L3D_525402";"Obudowy Plastikowe / Metalowe";</v>
      </c>
      <c r="AM241" s="39" t="str">
        <f>IF(getCategoryLevelAsString($B241)="L0D_324785","",IF(T241="",CONCATENATE(";",EscStr(CONCATENATE("NavNode_",getCategoryLevelAsString($B241))),";",EscStr($J241),";"),CONCATENATE(";",EscStr(CONCATENATE("NavNode_",getCategoryLevelAsString($B241))),";",EscStr(T241),";")))</f>
        <v>;"NavNode_L3D_525402";"Пластиковые / металлические корпуса";</v>
      </c>
      <c r="AN241" s="39" t="str">
        <f>IF(getCategoryLevelAsString($B241)="L0D_324785","",IF(U241="",CONCATENATE(";",EscStr(CONCATENATE("NavNode_",getCategoryLevelAsString($B241))),";",EscStr($J241),";"),CONCATENATE(";",EscStr(CONCATENATE("NavNode_",getCategoryLevelAsString($B241))),";",EscStr(U241),";")))</f>
        <v>;"NavNode_L3D_525402";"Plastová / kovová pouzdra";</v>
      </c>
      <c r="AO241" s="39" t="str">
        <f>IF(getCategoryLevelAsString($B241)="L0D_324785","",IF(V241="",CONCATENATE(";",EscStr(CONCATENATE("NavNode_",getCategoryLevelAsString($B241))),";",EscStr($J241),";"),CONCATENATE(";",EscStr(CONCATENATE("NavNode_",getCategoryLevelAsString($B241))),";",EscStr(V241),";")))</f>
        <v>;"NavNode_L3D_525402";"Carcase din plastic / metal";</v>
      </c>
      <c r="AP241" s="39" t="str">
        <f>IF(getCategoryLevelAsString($B241)="L0D_324785","",IF(W241="",CONCATENATE(";",EscStr(CONCATENATE("NavNode_",getCategoryLevelAsString($B241))),";",EscStr($J241),";"),CONCATENATE(";",EscStr(CONCATENATE("NavNode_",getCategoryLevelAsString($B241))),";",EscStr(W241),";")))</f>
        <v>;"NavNode_L3D_525402";"Műanyag- / Fémházak";</v>
      </c>
      <c r="AQ241" s="39" t="str">
        <f>IF(getCategoryLevelAsString($B241)="L0D_324785","",IF(X241="",CONCATENATE(";",EscStr(CONCATENATE("NavNode_",getCategoryLevelAsString($B241))),";",EscStr($J241),";"),CONCATENATE(";",EscStr(CONCATENATE("NavNode_",getCategoryLevelAsString($B241))),";",EscStr(X241),";")))</f>
        <v>;"NavNode_L3D_525402";"Plastová / kovová púzdra";</v>
      </c>
      <c r="AR241" s="39" t="str">
        <f>IF(OR($A241&lt;&gt;"", $G241=""),"",CONCATENATE(";",EscStr(CONCATENATE("NavEntry_",getCategoryLevelAsString($B241))),";",EscStr(CONCATENATE($J241," Navigation Entry")),";",EscStr(CONCATENATE("cat-",getCategoryLevelAsString($B241))),";",EscStr(CONCATENATE("NavNode_",getCategoryLevelAsString($B241))),";"))</f>
        <v>;"NavEntry_L3D_525402";"Plastic / Metal Enclosures Navigation Entry";"cat-L3D_525402";"NavNode_L3D_525402";</v>
      </c>
    </row>
    <row r="242" spans="1:44" s="34" customFormat="1" ht="15" x14ac:dyDescent="0.25">
      <c r="A242" s="25"/>
      <c r="B242" s="5"/>
      <c r="C242" s="5"/>
      <c r="D242" s="5" t="s">
        <v>168</v>
      </c>
      <c r="E242" s="5"/>
      <c r="F242" s="5"/>
      <c r="G242" s="5" t="s">
        <v>426</v>
      </c>
      <c r="H242" s="5" t="s">
        <v>427</v>
      </c>
      <c r="I242" s="5" t="s">
        <v>428</v>
      </c>
      <c r="J242" s="5" t="s">
        <v>169</v>
      </c>
      <c r="K242" s="5" t="s">
        <v>1247</v>
      </c>
      <c r="L242" s="5" t="s">
        <v>1482</v>
      </c>
      <c r="M242" s="5" t="s">
        <v>1714</v>
      </c>
      <c r="N242" s="5" t="s">
        <v>1916</v>
      </c>
      <c r="O242" s="5" t="s">
        <v>2819</v>
      </c>
      <c r="P242" s="5" t="s">
        <v>2820</v>
      </c>
      <c r="Q242" s="5" t="s">
        <v>2821</v>
      </c>
      <c r="R242" s="5" t="s">
        <v>2822</v>
      </c>
      <c r="S242" s="5" t="s">
        <v>2823</v>
      </c>
      <c r="T242" s="5" t="s">
        <v>2824</v>
      </c>
      <c r="U242" s="5" t="s">
        <v>2825</v>
      </c>
      <c r="V242" s="5" t="s">
        <v>2826</v>
      </c>
      <c r="W242" s="5" t="s">
        <v>2827</v>
      </c>
      <c r="X242" s="5" t="s">
        <v>2825</v>
      </c>
      <c r="Y242" s="39" t="str">
        <f>IF(OR($A242&lt;&gt;"", $G242=""),"",CONCATENATE(";",EscStr(CONCATENATE("NavNode_",getCategoryLevelAsString($B242))),";",EscStr($J242),";",IF($B242&lt;&gt;"","""MainCategoryNavNode""",EscStr(CONCATENATE("NavNode_",getSuperCategory($B242, getCategoryLevelAsNumber($B242))))),";"))</f>
        <v>;"NavNode_L3D_525403";"Fans";"NavNode_L2D_379531";</v>
      </c>
      <c r="Z242" s="39" t="str">
        <f>IF(getCategoryLevelAsString($B242)="L0D_324785","",IF(G242="",CONCATENATE(";",EscStr(CONCATENATE("NavNode_",getCategoryLevelAsString($B242))),";",EscStr($J242),";"),CONCATENATE(";",EscStr(CONCATENATE("NavNode_",getCategoryLevelAsString($B242))),";",EscStr(G242),";")))</f>
        <v>;"NavNode_L3D_525403";"Lüfter";</v>
      </c>
      <c r="AA242" s="39" t="str">
        <f>IF(getCategoryLevelAsString($B242)="L0D_324785","",IF(H242="",CONCATENATE(";",EscStr(CONCATENATE("NavNode_",getCategoryLevelAsString($B242))),";",EscStr($J242),";"),CONCATENATE(";",EscStr(CONCATENATE("NavNode_",getCategoryLevelAsString($B242))),";",EscStr(H242),";")))</f>
        <v>;"NavNode_L3D_525403";"Ventilateurs";</v>
      </c>
      <c r="AB242" s="39" t="str">
        <f>IF(getCategoryLevelAsString($B242)="L0D_324785","",IF(I242="",CONCATENATE(";",EscStr(CONCATENATE("NavNode_",getCategoryLevelAsString($B242))),";",EscStr($J242),";"),CONCATENATE(";",EscStr(CONCATENATE("NavNode_",getCategoryLevelAsString($B242))),";",EscStr(I242),";")))</f>
        <v>;"NavNode_L3D_525403";"Ventole";</v>
      </c>
      <c r="AC242" s="39" t="str">
        <f>IF(getCategoryLevelAsString($B242)="L0D_324785","",IF(J242="",CONCATENATE(";",EscStr(CONCATENATE("NavNode_",getCategoryLevelAsString($B242))),";",EscStr($J242),";"),CONCATENATE(";",EscStr(CONCATENATE("NavNode_",getCategoryLevelAsString($B242))),";",EscStr(J242),";")))</f>
        <v>;"NavNode_L3D_525403";"Fans";</v>
      </c>
      <c r="AD242" s="39" t="str">
        <f>IF(getCategoryLevelAsString($B242)="L0D_324785","",IF(K242="",CONCATENATE(";",EscStr(CONCATENATE("NavNode_",getCategoryLevelAsString($B242))),";",EscStr($J242),";"),CONCATENATE(";",EscStr(CONCATENATE("NavNode_",getCategoryLevelAsString($B242))),";",EscStr(K242),";")))</f>
        <v>;"NavNode_L3D_525403";"Ventilatorer";</v>
      </c>
      <c r="AE242" s="39" t="str">
        <f>IF(getCategoryLevelAsString($B242)="L0D_324785","",IF(L242="",CONCATENATE(";",EscStr(CONCATENATE("NavNode_",getCategoryLevelAsString($B242))),";",EscStr($J242),";"),CONCATENATE(";",EscStr(CONCATENATE("NavNode_",getCategoryLevelAsString($B242))),";",EscStr(L242),";")))</f>
        <v>;"NavNode_L3D_525403";"Ventiliatoriai";</v>
      </c>
      <c r="AF242" s="39" t="str">
        <f>IF(getCategoryLevelAsString($B242)="L0D_324785","",IF(M242="",CONCATENATE(";",EscStr(CONCATENATE("NavNode_",getCategoryLevelAsString($B242))),";",EscStr($J242),";"),CONCATENATE(";",EscStr(CONCATENATE("NavNode_",getCategoryLevelAsString($B242))),";",EscStr(M242),";")))</f>
        <v>;"NavNode_L3D_525403";"Vifter";</v>
      </c>
      <c r="AG242" s="39" t="str">
        <f>IF(getCategoryLevelAsString($B242)="L0D_324785","",IF(N242="",CONCATENATE(";",EscStr(CONCATENATE("NavNode_",getCategoryLevelAsString($B242))),";",EscStr($J242),";"),CONCATENATE(";",EscStr(CONCATENATE("NavNode_",getCategoryLevelAsString($B242))),";",EscStr(N242),";")))</f>
        <v>;"NavNode_L3D_525403";"Fläktar";</v>
      </c>
      <c r="AH242" s="39" t="str">
        <f>IF(getCategoryLevelAsString($B242)="L0D_324785","",IF(O242="",CONCATENATE(";",EscStr(CONCATENATE("NavNode_",getCategoryLevelAsString($B242))),";",EscStr($J242),";"),CONCATENATE(";",EscStr(CONCATENATE("NavNode_",getCategoryLevelAsString($B242))),";",EscStr(O242),";")))</f>
        <v>;"NavNode_L3D_525403";"Ventilaatorid";</v>
      </c>
      <c r="AI242" s="39" t="str">
        <f>IF(getCategoryLevelAsString($B242)="L0D_324785","",IF(P242="",CONCATENATE(";",EscStr(CONCATENATE("NavNode_",getCategoryLevelAsString($B242))),";",EscStr($J242),";"),CONCATENATE(";",EscStr(CONCATENATE("NavNode_",getCategoryLevelAsString($B242))),";",EscStr(P242),";")))</f>
        <v>;"NavNode_L3D_525403";"Tuulettimet";</v>
      </c>
      <c r="AJ242" s="39" t="str">
        <f>IF(getCategoryLevelAsString($B242)="L0D_324785","",IF(Q242="",CONCATENATE(";",EscStr(CONCATENATE("NavNode_",getCategoryLevelAsString($B242))),";",EscStr($J242),";"),CONCATENATE(";",EscStr(CONCATENATE("NavNode_",getCategoryLevelAsString($B242))),";",EscStr(Q242),";")))</f>
        <v>;"NavNode_L3D_525403";"Ventilatori";</v>
      </c>
      <c r="AK242" s="39" t="str">
        <f>IF(getCategoryLevelAsString($B242)="L0D_324785","",IF(R242="",CONCATENATE(";",EscStr(CONCATENATE("NavNode_",getCategoryLevelAsString($B242))),";",EscStr($J242),";"),CONCATENATE(";",EscStr(CONCATENATE("NavNode_",getCategoryLevelAsString($B242))),";",EscStr(R242),";")))</f>
        <v>;"NavNode_L3D_525403";"Ventilatoren";</v>
      </c>
      <c r="AL242" s="39" t="str">
        <f>IF(getCategoryLevelAsString($B242)="L0D_324785","",IF(S242="",CONCATENATE(";",EscStr(CONCATENATE("NavNode_",getCategoryLevelAsString($B242))),";",EscStr($J242),";"),CONCATENATE(";",EscStr(CONCATENATE("NavNode_",getCategoryLevelAsString($B242))),";",EscStr(S242),";")))</f>
        <v>;"NavNode_L3D_525403";"Wentylatory";</v>
      </c>
      <c r="AM242" s="39" t="str">
        <f>IF(getCategoryLevelAsString($B242)="L0D_324785","",IF(T242="",CONCATENATE(";",EscStr(CONCATENATE("NavNode_",getCategoryLevelAsString($B242))),";",EscStr($J242),";"),CONCATENATE(";",EscStr(CONCATENATE("NavNode_",getCategoryLevelAsString($B242))),";",EscStr(T242),";")))</f>
        <v>;"NavNode_L3D_525403";"Вентиляторы";</v>
      </c>
      <c r="AN242" s="39" t="str">
        <f>IF(getCategoryLevelAsString($B242)="L0D_324785","",IF(U242="",CONCATENATE(";",EscStr(CONCATENATE("NavNode_",getCategoryLevelAsString($B242))),";",EscStr($J242),";"),CONCATENATE(";",EscStr(CONCATENATE("NavNode_",getCategoryLevelAsString($B242))),";",EscStr(U242),";")))</f>
        <v>;"NavNode_L3D_525403";"Ventilátory";</v>
      </c>
      <c r="AO242" s="39" t="str">
        <f>IF(getCategoryLevelAsString($B242)="L0D_324785","",IF(V242="",CONCATENATE(";",EscStr(CONCATENATE("NavNode_",getCategoryLevelAsString($B242))),";",EscStr($J242),";"),CONCATENATE(";",EscStr(CONCATENATE("NavNode_",getCategoryLevelAsString($B242))),";",EscStr(V242),";")))</f>
        <v>;"NavNode_L3D_525403";"Ventilatoare";</v>
      </c>
      <c r="AP242" s="39" t="str">
        <f>IF(getCategoryLevelAsString($B242)="L0D_324785","",IF(W242="",CONCATENATE(";",EscStr(CONCATENATE("NavNode_",getCategoryLevelAsString($B242))),";",EscStr($J242),";"),CONCATENATE(";",EscStr(CONCATENATE("NavNode_",getCategoryLevelAsString($B242))),";",EscStr(W242),";")))</f>
        <v>;"NavNode_L3D_525403";"Ventillátorok";</v>
      </c>
      <c r="AQ242" s="39" t="str">
        <f>IF(getCategoryLevelAsString($B242)="L0D_324785","",IF(X242="",CONCATENATE(";",EscStr(CONCATENATE("NavNode_",getCategoryLevelAsString($B242))),";",EscStr($J242),";"),CONCATENATE(";",EscStr(CONCATENATE("NavNode_",getCategoryLevelAsString($B242))),";",EscStr(X242),";")))</f>
        <v>;"NavNode_L3D_525403";"Ventilátory";</v>
      </c>
      <c r="AR242" s="39" t="str">
        <f>IF(OR($A242&lt;&gt;"", $G242=""),"",CONCATENATE(";",EscStr(CONCATENATE("NavEntry_",getCategoryLevelAsString($B242))),";",EscStr(CONCATENATE($J242," Navigation Entry")),";",EscStr(CONCATENATE("cat-",getCategoryLevelAsString($B242))),";",EscStr(CONCATENATE("NavNode_",getCategoryLevelAsString($B242))),";"))</f>
        <v>;"NavEntry_L3D_525403";"Fans Navigation Entry";"cat-L3D_525403";"NavNode_L3D_525403";</v>
      </c>
    </row>
    <row r="243" spans="1:44" s="34" customFormat="1" ht="15" x14ac:dyDescent="0.25">
      <c r="A243" s="25"/>
      <c r="B243" s="5"/>
      <c r="C243" s="5"/>
      <c r="D243" s="5" t="s">
        <v>164</v>
      </c>
      <c r="E243" s="5"/>
      <c r="F243" s="5"/>
      <c r="G243" s="5" t="s">
        <v>420</v>
      </c>
      <c r="H243" s="5" t="s">
        <v>421</v>
      </c>
      <c r="I243" s="5" t="s">
        <v>422</v>
      </c>
      <c r="J243" s="5" t="s">
        <v>165</v>
      </c>
      <c r="K243" s="5" t="s">
        <v>13844</v>
      </c>
      <c r="L243" s="5" t="s">
        <v>1483</v>
      </c>
      <c r="M243" s="5" t="s">
        <v>1715</v>
      </c>
      <c r="N243" s="5" t="s">
        <v>13996</v>
      </c>
      <c r="O243" s="5" t="s">
        <v>2828</v>
      </c>
      <c r="P243" s="5" t="s">
        <v>2829</v>
      </c>
      <c r="Q243" s="5" t="s">
        <v>2830</v>
      </c>
      <c r="R243" s="5" t="s">
        <v>2831</v>
      </c>
      <c r="S243" s="5" t="s">
        <v>2832</v>
      </c>
      <c r="T243" s="5" t="s">
        <v>2833</v>
      </c>
      <c r="U243" s="5" t="s">
        <v>2834</v>
      </c>
      <c r="V243" s="5" t="s">
        <v>2835</v>
      </c>
      <c r="W243" s="5" t="s">
        <v>2836</v>
      </c>
      <c r="X243" s="5" t="s">
        <v>14950</v>
      </c>
      <c r="Y243" s="39" t="str">
        <f>IF(OR($A243&lt;&gt;"", $G243=""),"",CONCATENATE(";",EscStr(CONCATENATE("NavNode_",getCategoryLevelAsString($B243))),";",EscStr($J243),";",IF($B243&lt;&gt;"","""MainCategoryNavNode""",EscStr(CONCATENATE("NavNode_",getSuperCategory($B243, getCategoryLevelAsNumber($B243))))),";"))</f>
        <v>;"NavNode_L3D_525404";"Accessories for Blowers";"NavNode_L2D_379531";</v>
      </c>
      <c r="Z243" s="39" t="str">
        <f>IF(getCategoryLevelAsString($B243)="L0D_324785","",IF(G243="",CONCATENATE(";",EscStr(CONCATENATE("NavNode_",getCategoryLevelAsString($B243))),";",EscStr($J243),";"),CONCATENATE(";",EscStr(CONCATENATE("NavNode_",getCategoryLevelAsString($B243))),";",EscStr(G243),";")))</f>
        <v>;"NavNode_L3D_525404";"Lüfterzubehör";</v>
      </c>
      <c r="AA243" s="39" t="str">
        <f>IF(getCategoryLevelAsString($B243)="L0D_324785","",IF(H243="",CONCATENATE(";",EscStr(CONCATENATE("NavNode_",getCategoryLevelAsString($B243))),";",EscStr($J243),";"),CONCATENATE(";",EscStr(CONCATENATE("NavNode_",getCategoryLevelAsString($B243))),";",EscStr(H243),";")))</f>
        <v>;"NavNode_L3D_525404";"Accessoires pour ventilateurs";</v>
      </c>
      <c r="AB243" s="39" t="str">
        <f>IF(getCategoryLevelAsString($B243)="L0D_324785","",IF(I243="",CONCATENATE(";",EscStr(CONCATENATE("NavNode_",getCategoryLevelAsString($B243))),";",EscStr($J243),";"),CONCATENATE(";",EscStr(CONCATENATE("NavNode_",getCategoryLevelAsString($B243))),";",EscStr(I243),";")))</f>
        <v>;"NavNode_L3D_525404";"Accessori per aeratori";</v>
      </c>
      <c r="AC243" s="39" t="str">
        <f>IF(getCategoryLevelAsString($B243)="L0D_324785","",IF(J243="",CONCATENATE(";",EscStr(CONCATENATE("NavNode_",getCategoryLevelAsString($B243))),";",EscStr($J243),";"),CONCATENATE(";",EscStr(CONCATENATE("NavNode_",getCategoryLevelAsString($B243))),";",EscStr(J243),";")))</f>
        <v>;"NavNode_L3D_525404";"Accessories for Blowers";</v>
      </c>
      <c r="AD243" s="39" t="str">
        <f>IF(getCategoryLevelAsString($B243)="L0D_324785","",IF(K243="",CONCATENATE(";",EscStr(CONCATENATE("NavNode_",getCategoryLevelAsString($B243))),";",EscStr($J243),";"),CONCATENATE(";",EscStr(CONCATENATE("NavNode_",getCategoryLevelAsString($B243))),";",EscStr(K243),";")))</f>
        <v>;"NavNode_L3D_525404";"Tilbehør til ventilatorer";</v>
      </c>
      <c r="AE243" s="39" t="str">
        <f>IF(getCategoryLevelAsString($B243)="L0D_324785","",IF(L243="",CONCATENATE(";",EscStr(CONCATENATE("NavNode_",getCategoryLevelAsString($B243))),";",EscStr($J243),";"),CONCATENATE(";",EscStr(CONCATENATE("NavNode_",getCategoryLevelAsString($B243))),";",EscStr(L243),";")))</f>
        <v>;"NavNode_L3D_525404";"Ventiliatorių priedai";</v>
      </c>
      <c r="AF243" s="39" t="str">
        <f>IF(getCategoryLevelAsString($B243)="L0D_324785","",IF(M243="",CONCATENATE(";",EscStr(CONCATENATE("NavNode_",getCategoryLevelAsString($B243))),";",EscStr($J243),";"),CONCATENATE(";",EscStr(CONCATENATE("NavNode_",getCategoryLevelAsString($B243))),";",EscStr(M243),";")))</f>
        <v>;"NavNode_L3D_525404";"Tilbehør for vifter";</v>
      </c>
      <c r="AG243" s="39" t="str">
        <f>IF(getCategoryLevelAsString($B243)="L0D_324785","",IF(N243="",CONCATENATE(";",EscStr(CONCATENATE("NavNode_",getCategoryLevelAsString($B243))),";",EscStr($J243),";"),CONCATENATE(";",EscStr(CONCATENATE("NavNode_",getCategoryLevelAsString($B243))),";",EscStr(N243),";")))</f>
        <v>;"NavNode_L3D_525404";"Tillbehör till fläktar";</v>
      </c>
      <c r="AH243" s="39" t="str">
        <f>IF(getCategoryLevelAsString($B243)="L0D_324785","",IF(O243="",CONCATENATE(";",EscStr(CONCATENATE("NavNode_",getCategoryLevelAsString($B243))),";",EscStr($J243),";"),CONCATENATE(";",EscStr(CONCATENATE("NavNode_",getCategoryLevelAsString($B243))),";",EscStr(O243),";")))</f>
        <v>;"NavNode_L3D_525404";"Ventilaatorite lisatarvikud";</v>
      </c>
      <c r="AI243" s="39" t="str">
        <f>IF(getCategoryLevelAsString($B243)="L0D_324785","",IF(P243="",CONCATENATE(";",EscStr(CONCATENATE("NavNode_",getCategoryLevelAsString($B243))),";",EscStr($J243),";"),CONCATENATE(";",EscStr(CONCATENATE("NavNode_",getCategoryLevelAsString($B243))),";",EscStr(P243),";")))</f>
        <v>;"NavNode_L3D_525404";"Tuulettimien tarvikkeet";</v>
      </c>
      <c r="AJ243" s="39" t="str">
        <f>IF(getCategoryLevelAsString($B243)="L0D_324785","",IF(Q243="",CONCATENATE(";",EscStr(CONCATENATE("NavNode_",getCategoryLevelAsString($B243))),";",EscStr($J243),";"),CONCATENATE(";",EscStr(CONCATENATE("NavNode_",getCategoryLevelAsString($B243))),";",EscStr(Q243),";")))</f>
        <v>;"NavNode_L3D_525404";"Ventilatoru piederumi";</v>
      </c>
      <c r="AK243" s="39" t="str">
        <f>IF(getCategoryLevelAsString($B243)="L0D_324785","",IF(R243="",CONCATENATE(";",EscStr(CONCATENATE("NavNode_",getCategoryLevelAsString($B243))),";",EscStr($J243),";"),CONCATENATE(";",EscStr(CONCATENATE("NavNode_",getCategoryLevelAsString($B243))),";",EscStr(R243),";")))</f>
        <v>;"NavNode_L3D_525404";"Accessoires voor ventilatoren";</v>
      </c>
      <c r="AL243" s="39" t="str">
        <f>IF(getCategoryLevelAsString($B243)="L0D_324785","",IF(S243="",CONCATENATE(";",EscStr(CONCATENATE("NavNode_",getCategoryLevelAsString($B243))),";",EscStr($J243),";"),CONCATENATE(";",EscStr(CONCATENATE("NavNode_",getCategoryLevelAsString($B243))),";",EscStr(S243),";")))</f>
        <v>;"NavNode_L3D_525404";"Akcesoria do wentylatorów";</v>
      </c>
      <c r="AM243" s="39" t="str">
        <f>IF(getCategoryLevelAsString($B243)="L0D_324785","",IF(T243="",CONCATENATE(";",EscStr(CONCATENATE("NavNode_",getCategoryLevelAsString($B243))),";",EscStr($J243),";"),CONCATENATE(";",EscStr(CONCATENATE("NavNode_",getCategoryLevelAsString($B243))),";",EscStr(T243),";")))</f>
        <v>;"NavNode_L3D_525404";"Аксессуары для Воздуходувки";</v>
      </c>
      <c r="AN243" s="39" t="str">
        <f>IF(getCategoryLevelAsString($B243)="L0D_324785","",IF(U243="",CONCATENATE(";",EscStr(CONCATENATE("NavNode_",getCategoryLevelAsString($B243))),";",EscStr($J243),";"),CONCATENATE(";",EscStr(CONCATENATE("NavNode_",getCategoryLevelAsString($B243))),";",EscStr(U243),";")))</f>
        <v>;"NavNode_L3D_525404";"Příslušenství pro ventilátory";</v>
      </c>
      <c r="AO243" s="39" t="str">
        <f>IF(getCategoryLevelAsString($B243)="L0D_324785","",IF(V243="",CONCATENATE(";",EscStr(CONCATENATE("NavNode_",getCategoryLevelAsString($B243))),";",EscStr($J243),";"),CONCATENATE(";",EscStr(CONCATENATE("NavNode_",getCategoryLevelAsString($B243))),";",EscStr(V243),";")))</f>
        <v>;"NavNode_L3D_525404";"Accesorii pentru ventilatoare";</v>
      </c>
      <c r="AP243" s="39" t="str">
        <f>IF(getCategoryLevelAsString($B243)="L0D_324785","",IF(W243="",CONCATENATE(";",EscStr(CONCATENATE("NavNode_",getCategoryLevelAsString($B243))),";",EscStr($J243),";"),CONCATENATE(";",EscStr(CONCATENATE("NavNode_",getCategoryLevelAsString($B243))),";",EscStr(W243),";")))</f>
        <v>;"NavNode_L3D_525404";"Ventilátor tartozékok";</v>
      </c>
      <c r="AQ243" s="39" t="str">
        <f>IF(getCategoryLevelAsString($B243)="L0D_324785","",IF(X243="",CONCATENATE(";",EscStr(CONCATENATE("NavNode_",getCategoryLevelAsString($B243))),";",EscStr($J243),";"),CONCATENATE(";",EscStr(CONCATENATE("NavNode_",getCategoryLevelAsString($B243))),";",EscStr(X243),";")))</f>
        <v>;"NavNode_L3D_525404";"Príslušenstvo pre ventilátor";</v>
      </c>
      <c r="AR243" s="39" t="str">
        <f>IF(OR($A243&lt;&gt;"", $G243=""),"",CONCATENATE(";",EscStr(CONCATENATE("NavEntry_",getCategoryLevelAsString($B243))),";",EscStr(CONCATENATE($J243," Navigation Entry")),";",EscStr(CONCATENATE("cat-",getCategoryLevelAsString($B243))),";",EscStr(CONCATENATE("NavNode_",getCategoryLevelAsString($B243))),";"))</f>
        <v>;"NavEntry_L3D_525404";"Accessories for Blowers Navigation Entry";"cat-L3D_525404";"NavNode_L3D_525404";</v>
      </c>
    </row>
    <row r="244" spans="1:44" s="34" customFormat="1" ht="15" x14ac:dyDescent="0.25">
      <c r="A244" s="25"/>
      <c r="B244" s="5"/>
      <c r="C244" s="5" t="s">
        <v>24</v>
      </c>
      <c r="D244" s="5"/>
      <c r="E244" s="5"/>
      <c r="F244" s="5"/>
      <c r="G244" s="5" t="s">
        <v>2712</v>
      </c>
      <c r="H244" s="5" t="s">
        <v>379</v>
      </c>
      <c r="I244" s="5" t="s">
        <v>380</v>
      </c>
      <c r="J244" s="5" t="s">
        <v>7</v>
      </c>
      <c r="K244" s="5" t="s">
        <v>1235</v>
      </c>
      <c r="L244" s="5" t="s">
        <v>1469</v>
      </c>
      <c r="M244" s="5" t="s">
        <v>1702</v>
      </c>
      <c r="N244" s="5" t="s">
        <v>1904</v>
      </c>
      <c r="O244" s="5" t="s">
        <v>2713</v>
      </c>
      <c r="P244" s="5" t="s">
        <v>2714</v>
      </c>
      <c r="Q244" s="5" t="s">
        <v>2715</v>
      </c>
      <c r="R244" s="5" t="s">
        <v>2716</v>
      </c>
      <c r="S244" s="5" t="s">
        <v>2717</v>
      </c>
      <c r="T244" s="5" t="s">
        <v>2718</v>
      </c>
      <c r="U244" s="5" t="s">
        <v>2719</v>
      </c>
      <c r="V244" s="5" t="s">
        <v>2720</v>
      </c>
      <c r="W244" s="5" t="s">
        <v>2721</v>
      </c>
      <c r="X244" s="5" t="s">
        <v>14951</v>
      </c>
      <c r="Y244" s="39" t="str">
        <f>IF(OR($A244&lt;&gt;"", $G244=""),"",CONCATENATE(";",EscStr(CONCATENATE("NavNode_",getCategoryLevelAsString($B244))),";",EscStr($J244),";",IF($B244&lt;&gt;"","""MainCategoryNavNode""",EscStr(CONCATENATE("NavNode_",getSuperCategory($B244, getCategoryLevelAsNumber($B244))))),";"))</f>
        <v>;"NavNode_L2D_379529";"Cables &amp; Installation Materials";"NavNode_Electrical Engineering / Cables";</v>
      </c>
      <c r="Z244" s="39" t="str">
        <f>IF(getCategoryLevelAsString($B244)="L0D_324785","",IF(G244="",CONCATENATE(";",EscStr(CONCATENATE("NavNode_",getCategoryLevelAsString($B244))),";",EscStr($J244),";"),CONCATENATE(";",EscStr(CONCATENATE("NavNode_",getCategoryLevelAsString($B244))),";",EscStr(G244),";")))</f>
        <v>;"NavNode_L2D_379529";"Kabel &amp; Installationsmaterial";</v>
      </c>
      <c r="AA244" s="39" t="str">
        <f>IF(getCategoryLevelAsString($B244)="L0D_324785","",IF(H244="",CONCATENATE(";",EscStr(CONCATENATE("NavNode_",getCategoryLevelAsString($B244))),";",EscStr($J244),";"),CONCATENATE(";",EscStr(CONCATENATE("NavNode_",getCategoryLevelAsString($B244))),";",EscStr(H244),";")))</f>
        <v>;"NavNode_L2D_379529";"Câbles et matériel d'installation";</v>
      </c>
      <c r="AB244" s="39" t="str">
        <f>IF(getCategoryLevelAsString($B244)="L0D_324785","",IF(I244="",CONCATENATE(";",EscStr(CONCATENATE("NavNode_",getCategoryLevelAsString($B244))),";",EscStr($J244),";"),CONCATENATE(";",EscStr(CONCATENATE("NavNode_",getCategoryLevelAsString($B244))),";",EscStr(I244),";")))</f>
        <v>;"NavNode_L2D_379529";"Cavi e materiali per assemblaggio";</v>
      </c>
      <c r="AC244" s="39" t="str">
        <f>IF(getCategoryLevelAsString($B244)="L0D_324785","",IF(J244="",CONCATENATE(";",EscStr(CONCATENATE("NavNode_",getCategoryLevelAsString($B244))),";",EscStr($J244),";"),CONCATENATE(";",EscStr(CONCATENATE("NavNode_",getCategoryLevelAsString($B244))),";",EscStr(J244),";")))</f>
        <v>;"NavNode_L2D_379529";"Cables &amp; Installation Materials";</v>
      </c>
      <c r="AD244" s="39" t="str">
        <f>IF(getCategoryLevelAsString($B244)="L0D_324785","",IF(K244="",CONCATENATE(";",EscStr(CONCATENATE("NavNode_",getCategoryLevelAsString($B244))),";",EscStr($J244),";"),CONCATENATE(";",EscStr(CONCATENATE("NavNode_",getCategoryLevelAsString($B244))),";",EscStr(K244),";")))</f>
        <v>;"NavNode_L2D_379529";"Kabler &amp; installationsmaterialer";</v>
      </c>
      <c r="AE244" s="39" t="str">
        <f>IF(getCategoryLevelAsString($B244)="L0D_324785","",IF(L244="",CONCATENATE(";",EscStr(CONCATENATE("NavNode_",getCategoryLevelAsString($B244))),";",EscStr($J244),";"),CONCATENATE(";",EscStr(CONCATENATE("NavNode_",getCategoryLevelAsString($B244))),";",EscStr(L244),";")))</f>
        <v>;"NavNode_L2D_379529";"Kabeliai ir instaliavimo medžiagos";</v>
      </c>
      <c r="AF244" s="39" t="str">
        <f>IF(getCategoryLevelAsString($B244)="L0D_324785","",IF(M244="",CONCATENATE(";",EscStr(CONCATENATE("NavNode_",getCategoryLevelAsString($B244))),";",EscStr($J244),";"),CONCATENATE(";",EscStr(CONCATENATE("NavNode_",getCategoryLevelAsString($B244))),";",EscStr(M244),";")))</f>
        <v>;"NavNode_L2D_379529";"Kabler og installasjonsmateriell";</v>
      </c>
      <c r="AG244" s="39" t="str">
        <f>IF(getCategoryLevelAsString($B244)="L0D_324785","",IF(N244="",CONCATENATE(";",EscStr(CONCATENATE("NavNode_",getCategoryLevelAsString($B244))),";",EscStr($J244),";"),CONCATENATE(";",EscStr(CONCATENATE("NavNode_",getCategoryLevelAsString($B244))),";",EscStr(N244),";")))</f>
        <v>;"NavNode_L2D_379529";"Kablar och installationsmaterial";</v>
      </c>
      <c r="AH244" s="39" t="str">
        <f>IF(getCategoryLevelAsString($B244)="L0D_324785","",IF(O244="",CONCATENATE(";",EscStr(CONCATENATE("NavNode_",getCategoryLevelAsString($B244))),";",EscStr($J244),";"),CONCATENATE(";",EscStr(CONCATENATE("NavNode_",getCategoryLevelAsString($B244))),";",EscStr(O244),";")))</f>
        <v>;"NavNode_L2D_379529";"Kaablid ja installatsioonimaterjalid";</v>
      </c>
      <c r="AI244" s="39" t="str">
        <f>IF(getCategoryLevelAsString($B244)="L0D_324785","",IF(P244="",CONCATENATE(";",EscStr(CONCATENATE("NavNode_",getCategoryLevelAsString($B244))),";",EscStr($J244),";"),CONCATENATE(";",EscStr(CONCATENATE("NavNode_",getCategoryLevelAsString($B244))),";",EscStr(P244),";")))</f>
        <v>;"NavNode_L2D_379529";"Johdot ja asennustarvikkeet";</v>
      </c>
      <c r="AJ244" s="39" t="str">
        <f>IF(getCategoryLevelAsString($B244)="L0D_324785","",IF(Q244="",CONCATENATE(";",EscStr(CONCATENATE("NavNode_",getCategoryLevelAsString($B244))),";",EscStr($J244),";"),CONCATENATE(";",EscStr(CONCATENATE("NavNode_",getCategoryLevelAsString($B244))),";",EscStr(Q244),";")))</f>
        <v>;"NavNode_L2D_379529";"Kabeļi un instalācijas materiāli";</v>
      </c>
      <c r="AK244" s="39" t="str">
        <f>IF(getCategoryLevelAsString($B244)="L0D_324785","",IF(R244="",CONCATENATE(";",EscStr(CONCATENATE("NavNode_",getCategoryLevelAsString($B244))),";",EscStr($J244),";"),CONCATENATE(";",EscStr(CONCATENATE("NavNode_",getCategoryLevelAsString($B244))),";",EscStr(R244),";")))</f>
        <v>;"NavNode_L2D_379529";"Kabels &amp; Installatiemateriaal";</v>
      </c>
      <c r="AL244" s="39" t="str">
        <f>IF(getCategoryLevelAsString($B244)="L0D_324785","",IF(S244="",CONCATENATE(";",EscStr(CONCATENATE("NavNode_",getCategoryLevelAsString($B244))),";",EscStr($J244),";"),CONCATENATE(";",EscStr(CONCATENATE("NavNode_",getCategoryLevelAsString($B244))),";",EscStr(S244),";")))</f>
        <v>;"NavNode_L2D_379529";"Kable i Materiały instalacyjne";</v>
      </c>
      <c r="AM244" s="39" t="str">
        <f>IF(getCategoryLevelAsString($B244)="L0D_324785","",IF(T244="",CONCATENATE(";",EscStr(CONCATENATE("NavNode_",getCategoryLevelAsString($B244))),";",EscStr($J244),";"),CONCATENATE(";",EscStr(CONCATENATE("NavNode_",getCategoryLevelAsString($B244))),";",EscStr(T244),";")))</f>
        <v>;"NavNode_L2D_379529";"Кабели &amp; Материалы для установки";</v>
      </c>
      <c r="AN244" s="39" t="str">
        <f>IF(getCategoryLevelAsString($B244)="L0D_324785","",IF(U244="",CONCATENATE(";",EscStr(CONCATENATE("NavNode_",getCategoryLevelAsString($B244))),";",EscStr($J244),";"),CONCATENATE(";",EscStr(CONCATENATE("NavNode_",getCategoryLevelAsString($B244))),";",EscStr(U244),";")))</f>
        <v>;"NavNode_L2D_379529";"Kabely a Instalační materiál";</v>
      </c>
      <c r="AO244" s="39" t="str">
        <f>IF(getCategoryLevelAsString($B244)="L0D_324785","",IF(V244="",CONCATENATE(";",EscStr(CONCATENATE("NavNode_",getCategoryLevelAsString($B244))),";",EscStr($J244),";"),CONCATENATE(";",EscStr(CONCATENATE("NavNode_",getCategoryLevelAsString($B244))),";",EscStr(V244),";")))</f>
        <v>;"NavNode_L2D_379529";"Cabluri şi materiale de instalare";</v>
      </c>
      <c r="AP244" s="39" t="str">
        <f>IF(getCategoryLevelAsString($B244)="L0D_324785","",IF(W244="",CONCATENATE(";",EscStr(CONCATENATE("NavNode_",getCategoryLevelAsString($B244))),";",EscStr($J244),";"),CONCATENATE(";",EscStr(CONCATENATE("NavNode_",getCategoryLevelAsString($B244))),";",EscStr(W244),";")))</f>
        <v>;"NavNode_L2D_379529";"Kábelek és szerelési anyagok";</v>
      </c>
      <c r="AQ244" s="39" t="str">
        <f>IF(getCategoryLevelAsString($B244)="L0D_324785","",IF(X244="",CONCATENATE(";",EscStr(CONCATENATE("NavNode_",getCategoryLevelAsString($B244))),";",EscStr($J244),";"),CONCATENATE(";",EscStr(CONCATENATE("NavNode_",getCategoryLevelAsString($B244))),";",EscStr(X244),";")))</f>
        <v>;"NavNode_L2D_379529";"Káble a inštalačný materiál";</v>
      </c>
      <c r="AR244" s="39" t="str">
        <f>IF(OR($A244&lt;&gt;"", $G244=""),"",CONCATENATE(";",EscStr(CONCATENATE("NavEntry_",getCategoryLevelAsString($B244))),";",EscStr(CONCATENATE($J244," Navigation Entry")),";",EscStr(CONCATENATE("cat-",getCategoryLevelAsString($B244))),";",EscStr(CONCATENATE("NavNode_",getCategoryLevelAsString($B244))),";"))</f>
        <v>;"NavEntry_L2D_379529";"Cables &amp; Installation Materials Navigation Entry";"cat-L2D_379529";"NavNode_L2D_379529";</v>
      </c>
    </row>
    <row r="245" spans="1:44" s="34" customFormat="1" ht="15" x14ac:dyDescent="0.25">
      <c r="A245" s="25"/>
      <c r="B245" s="5"/>
      <c r="C245" s="5"/>
      <c r="D245" s="5" t="s">
        <v>144</v>
      </c>
      <c r="E245" s="5"/>
      <c r="F245" s="5"/>
      <c r="G245" s="5" t="s">
        <v>385</v>
      </c>
      <c r="H245" s="5" t="s">
        <v>386</v>
      </c>
      <c r="I245" s="5" t="s">
        <v>387</v>
      </c>
      <c r="J245" s="5" t="s">
        <v>145</v>
      </c>
      <c r="K245" s="5" t="s">
        <v>1236</v>
      </c>
      <c r="L245" s="5" t="s">
        <v>1470</v>
      </c>
      <c r="M245" s="5" t="s">
        <v>1703</v>
      </c>
      <c r="N245" s="5" t="s">
        <v>1905</v>
      </c>
      <c r="O245" s="5" t="s">
        <v>2722</v>
      </c>
      <c r="P245" s="5" t="s">
        <v>2723</v>
      </c>
      <c r="Q245" s="5" t="s">
        <v>2724</v>
      </c>
      <c r="R245" s="5" t="s">
        <v>2725</v>
      </c>
      <c r="S245" s="5" t="s">
        <v>2726</v>
      </c>
      <c r="T245" s="5" t="s">
        <v>2727</v>
      </c>
      <c r="U245" s="5" t="s">
        <v>2728</v>
      </c>
      <c r="V245" s="5" t="s">
        <v>2729</v>
      </c>
      <c r="W245" s="5" t="s">
        <v>2730</v>
      </c>
      <c r="X245" s="5" t="s">
        <v>14952</v>
      </c>
      <c r="Y245" s="39" t="str">
        <f>IF(OR($A245&lt;&gt;"", $G245=""),"",CONCATENATE(";",EscStr(CONCATENATE("NavNode_",getCategoryLevelAsString($B245))),";",EscStr($J245),";",IF($B245&lt;&gt;"","""MainCategoryNavNode""",EscStr(CONCATENATE("NavNode_",getSuperCategory($B245, getCategoryLevelAsNumber($B245))))),";"))</f>
        <v>;"NavNode_L3D_525382";"Equipment Wires";"NavNode_L2D_379529";</v>
      </c>
      <c r="Z245" s="39" t="str">
        <f>IF(getCategoryLevelAsString($B245)="L0D_324785","",IF(G245="",CONCATENATE(";",EscStr(CONCATENATE("NavNode_",getCategoryLevelAsString($B245))),";",EscStr($J245),";"),CONCATENATE(";",EscStr(CONCATENATE("NavNode_",getCategoryLevelAsString($B245))),";",EscStr(G245),";")))</f>
        <v>;"NavNode_L3D_525382";"Geräteleitungen";</v>
      </c>
      <c r="AA245" s="39" t="str">
        <f>IF(getCategoryLevelAsString($B245)="L0D_324785","",IF(H245="",CONCATENATE(";",EscStr(CONCATENATE("NavNode_",getCategoryLevelAsString($B245))),";",EscStr($J245),";"),CONCATENATE(";",EscStr(CONCATENATE("NavNode_",getCategoryLevelAsString($B245))),";",EscStr(H245),";")))</f>
        <v>;"NavNode_L3D_525382";"Câbles pour appareils";</v>
      </c>
      <c r="AB245" s="39" t="str">
        <f>IF(getCategoryLevelAsString($B245)="L0D_324785","",IF(I245="",CONCATENATE(";",EscStr(CONCATENATE("NavNode_",getCategoryLevelAsString($B245))),";",EscStr($J245),";"),CONCATENATE(";",EscStr(CONCATENATE("NavNode_",getCategoryLevelAsString($B245))),";",EscStr(I245),";")))</f>
        <v>;"NavNode_L3D_525382";"Fili per apparecchi";</v>
      </c>
      <c r="AC245" s="39" t="str">
        <f>IF(getCategoryLevelAsString($B245)="L0D_324785","",IF(J245="",CONCATENATE(";",EscStr(CONCATENATE("NavNode_",getCategoryLevelAsString($B245))),";",EscStr($J245),";"),CONCATENATE(";",EscStr(CONCATENATE("NavNode_",getCategoryLevelAsString($B245))),";",EscStr(J245),";")))</f>
        <v>;"NavNode_L3D_525382";"Equipment Wires";</v>
      </c>
      <c r="AD245" s="39" t="str">
        <f>IF(getCategoryLevelAsString($B245)="L0D_324785","",IF(K245="",CONCATENATE(";",EscStr(CONCATENATE("NavNode_",getCategoryLevelAsString($B245))),";",EscStr($J245),";"),CONCATENATE(";",EscStr(CONCATENATE("NavNode_",getCategoryLevelAsString($B245))),";",EscStr(K245),";")))</f>
        <v>;"NavNode_L3D_525382";"Ledningsudstyr";</v>
      </c>
      <c r="AE245" s="39" t="str">
        <f>IF(getCategoryLevelAsString($B245)="L0D_324785","",IF(L245="",CONCATENATE(";",EscStr(CONCATENATE("NavNode_",getCategoryLevelAsString($B245))),";",EscStr($J245),";"),CONCATENATE(";",EscStr(CONCATENATE("NavNode_",getCategoryLevelAsString($B245))),";",EscStr(L245),";")))</f>
        <v>;"NavNode_L3D_525382";"Įrangos laidai";</v>
      </c>
      <c r="AF245" s="39" t="str">
        <f>IF(getCategoryLevelAsString($B245)="L0D_324785","",IF(M245="",CONCATENATE(";",EscStr(CONCATENATE("NavNode_",getCategoryLevelAsString($B245))),";",EscStr($J245),";"),CONCATENATE(";",EscStr(CONCATENATE("NavNode_",getCategoryLevelAsString($B245))),";",EscStr(M245),";")))</f>
        <v>;"NavNode_L3D_525382";"Utstyrskabler";</v>
      </c>
      <c r="AG245" s="39" t="str">
        <f>IF(getCategoryLevelAsString($B245)="L0D_324785","",IF(N245="",CONCATENATE(";",EscStr(CONCATENATE("NavNode_",getCategoryLevelAsString($B245))),";",EscStr($J245),";"),CONCATENATE(";",EscStr(CONCATENATE("NavNode_",getCategoryLevelAsString($B245))),";",EscStr(N245),";")))</f>
        <v>;"NavNode_L3D_525382";"Utrustningsledare";</v>
      </c>
      <c r="AH245" s="39" t="str">
        <f>IF(getCategoryLevelAsString($B245)="L0D_324785","",IF(O245="",CONCATENATE(";",EscStr(CONCATENATE("NavNode_",getCategoryLevelAsString($B245))),";",EscStr($J245),";"),CONCATENATE(";",EscStr(CONCATENATE("NavNode_",getCategoryLevelAsString($B245))),";",EscStr(O245),";")))</f>
        <v>;"NavNode_L3D_525382";"Seadmete juhtmed";</v>
      </c>
      <c r="AI245" s="39" t="str">
        <f>IF(getCategoryLevelAsString($B245)="L0D_324785","",IF(P245="",CONCATENATE(";",EscStr(CONCATENATE("NavNode_",getCategoryLevelAsString($B245))),";",EscStr($J245),";"),CONCATENATE(";",EscStr(CONCATENATE("NavNode_",getCategoryLevelAsString($B245))),";",EscStr(P245),";")))</f>
        <v>;"NavNode_L3D_525382";"Laitejohdot";</v>
      </c>
      <c r="AJ245" s="39" t="str">
        <f>IF(getCategoryLevelAsString($B245)="L0D_324785","",IF(Q245="",CONCATENATE(";",EscStr(CONCATENATE("NavNode_",getCategoryLevelAsString($B245))),";",EscStr($J245),";"),CONCATENATE(";",EscStr(CONCATENATE("NavNode_",getCategoryLevelAsString($B245))),";",EscStr(Q245),";")))</f>
        <v>;"NavNode_L3D_525382";"Iekārtu vadi";</v>
      </c>
      <c r="AK245" s="39" t="str">
        <f>IF(getCategoryLevelAsString($B245)="L0D_324785","",IF(R245="",CONCATENATE(";",EscStr(CONCATENATE("NavNode_",getCategoryLevelAsString($B245))),";",EscStr($J245),";"),CONCATENATE(";",EscStr(CONCATENATE("NavNode_",getCategoryLevelAsString($B245))),";",EscStr(R245),";")))</f>
        <v>;"NavNode_L3D_525382";"Draad";</v>
      </c>
      <c r="AL245" s="39" t="str">
        <f>IF(getCategoryLevelAsString($B245)="L0D_324785","",IF(S245="",CONCATENATE(";",EscStr(CONCATENATE("NavNode_",getCategoryLevelAsString($B245))),";",EscStr($J245),";"),CONCATENATE(";",EscStr(CONCATENATE("NavNode_",getCategoryLevelAsString($B245))),";",EscStr(S245),";")))</f>
        <v>;"NavNode_L3D_525382";"Przewody połączeniowe";</v>
      </c>
      <c r="AM245" s="39" t="str">
        <f>IF(getCategoryLevelAsString($B245)="L0D_324785","",IF(T245="",CONCATENATE(";",EscStr(CONCATENATE("NavNode_",getCategoryLevelAsString($B245))),";",EscStr($J245),";"),CONCATENATE(";",EscStr(CONCATENATE("NavNode_",getCategoryLevelAsString($B245))),";",EscStr(T245),";")))</f>
        <v>;"NavNode_L3D_525382";"Монтажные провода";</v>
      </c>
      <c r="AN245" s="39" t="str">
        <f>IF(getCategoryLevelAsString($B245)="L0D_324785","",IF(U245="",CONCATENATE(";",EscStr(CONCATENATE("NavNode_",getCategoryLevelAsString($B245))),";",EscStr($J245),";"),CONCATENATE(";",EscStr(CONCATENATE("NavNode_",getCategoryLevelAsString($B245))),";",EscStr(U245),";")))</f>
        <v>;"NavNode_L3D_525382";"Napájecí kabely";</v>
      </c>
      <c r="AO245" s="39" t="str">
        <f>IF(getCategoryLevelAsString($B245)="L0D_324785","",IF(V245="",CONCATENATE(";",EscStr(CONCATENATE("NavNode_",getCategoryLevelAsString($B245))),";",EscStr($J245),";"),CONCATENATE(";",EscStr(CONCATENATE("NavNode_",getCategoryLevelAsString($B245))),";",EscStr(V245),";")))</f>
        <v>;"NavNode_L3D_525382";"Cabluri de circuit";</v>
      </c>
      <c r="AP245" s="39" t="str">
        <f>IF(getCategoryLevelAsString($B245)="L0D_324785","",IF(W245="",CONCATENATE(";",EscStr(CONCATENATE("NavNode_",getCategoryLevelAsString($B245))),";",EscStr($J245),";"),CONCATENATE(";",EscStr(CONCATENATE("NavNode_",getCategoryLevelAsString($B245))),";",EscStr(W245),";")))</f>
        <v>;"NavNode_L3D_525382";"Készülékkábelek";</v>
      </c>
      <c r="AQ245" s="39" t="str">
        <f>IF(getCategoryLevelAsString($B245)="L0D_324785","",IF(X245="",CONCATENATE(";",EscStr(CONCATENATE("NavNode_",getCategoryLevelAsString($B245))),";",EscStr($J245),";"),CONCATENATE(";",EscStr(CONCATENATE("NavNode_",getCategoryLevelAsString($B245))),";",EscStr(X245),";")))</f>
        <v>;"NavNode_L3D_525382";"Napájacie káble";</v>
      </c>
      <c r="AR245" s="39" t="str">
        <f>IF(OR($A245&lt;&gt;"", $G245=""),"",CONCATENATE(";",EscStr(CONCATENATE("NavEntry_",getCategoryLevelAsString($B245))),";",EscStr(CONCATENATE($J245," Navigation Entry")),";",EscStr(CONCATENATE("cat-",getCategoryLevelAsString($B245))),";",EscStr(CONCATENATE("NavNode_",getCategoryLevelAsString($B245))),";"))</f>
        <v>;"NavEntry_L3D_525382";"Equipment Wires Navigation Entry";"cat-L3D_525382";"NavNode_L3D_525382";</v>
      </c>
    </row>
    <row r="246" spans="1:44" s="34" customFormat="1" ht="15" x14ac:dyDescent="0.25">
      <c r="A246" s="25"/>
      <c r="B246" s="5"/>
      <c r="C246" s="5"/>
      <c r="D246" s="5" t="s">
        <v>136</v>
      </c>
      <c r="E246" s="5"/>
      <c r="F246" s="5"/>
      <c r="G246" s="5" t="s">
        <v>1191</v>
      </c>
      <c r="H246" s="5" t="s">
        <v>1196</v>
      </c>
      <c r="I246" s="5" t="s">
        <v>1198</v>
      </c>
      <c r="J246" s="5" t="s">
        <v>137</v>
      </c>
      <c r="K246" s="5" t="s">
        <v>1237</v>
      </c>
      <c r="L246" s="5" t="s">
        <v>15193</v>
      </c>
      <c r="M246" s="5" t="s">
        <v>1704</v>
      </c>
      <c r="N246" s="5" t="s">
        <v>1906</v>
      </c>
      <c r="O246" s="5" t="s">
        <v>2731</v>
      </c>
      <c r="P246" s="5" t="s">
        <v>2732</v>
      </c>
      <c r="Q246" s="5" t="s">
        <v>2733</v>
      </c>
      <c r="R246" s="5" t="s">
        <v>2734</v>
      </c>
      <c r="S246" s="5" t="s">
        <v>2735</v>
      </c>
      <c r="T246" s="5" t="s">
        <v>2736</v>
      </c>
      <c r="U246" s="5" t="s">
        <v>2737</v>
      </c>
      <c r="V246" s="5" t="s">
        <v>2738</v>
      </c>
      <c r="W246" s="5" t="s">
        <v>2739</v>
      </c>
      <c r="X246" s="5" t="s">
        <v>14953</v>
      </c>
      <c r="Y246" s="39" t="str">
        <f>IF(OR($A246&lt;&gt;"", $G246=""),"",CONCATENATE(";",EscStr(CONCATENATE("NavNode_",getCategoryLevelAsString($B246))),";",EscStr($J246),";",IF($B246&lt;&gt;"","""MainCategoryNavNode""",EscStr(CONCATENATE("NavNode_",getSuperCategory($B246, getCategoryLevelAsNumber($B246))))),";"))</f>
        <v>;"NavNode_L3D_525396";"Lighting Controls / Switches";"NavNode_L2D_379529";</v>
      </c>
      <c r="Z246" s="39" t="str">
        <f>IF(getCategoryLevelAsString($B246)="L0D_324785","",IF(G246="",CONCATENATE(";",EscStr(CONCATENATE("NavNode_",getCategoryLevelAsString($B246))),";",EscStr($J246),";"),CONCATENATE(";",EscStr(CONCATENATE("NavNode_",getCategoryLevelAsString($B246))),";",EscStr(G246),";")))</f>
        <v>;"NavNode_L3D_525396";"Lichtsteuergeräte / Schalter";</v>
      </c>
      <c r="AA246" s="39" t="str">
        <f>IF(getCategoryLevelAsString($B246)="L0D_324785","",IF(H246="",CONCATENATE(";",EscStr(CONCATENATE("NavNode_",getCategoryLevelAsString($B246))),";",EscStr($J246),";"),CONCATENATE(";",EscStr(CONCATENATE("NavNode_",getCategoryLevelAsString($B246))),";",EscStr(H246),";")))</f>
        <v>;"NavNode_L3D_525396";"Commutateurs de contrôle de la lumière";</v>
      </c>
      <c r="AB246" s="39" t="str">
        <f>IF(getCategoryLevelAsString($B246)="L0D_324785","",IF(I246="",CONCATENATE(";",EscStr(CONCATENATE("NavNode_",getCategoryLevelAsString($B246))),";",EscStr($J246),";"),CONCATENATE(";",EscStr(CONCATENATE("NavNode_",getCategoryLevelAsString($B246))),";",EscStr(I246),";")))</f>
        <v>;"NavNode_L3D_525396";"Comandi per illuminazione / Interruttori";</v>
      </c>
      <c r="AC246" s="39" t="str">
        <f>IF(getCategoryLevelAsString($B246)="L0D_324785","",IF(J246="",CONCATENATE(";",EscStr(CONCATENATE("NavNode_",getCategoryLevelAsString($B246))),";",EscStr($J246),";"),CONCATENATE(";",EscStr(CONCATENATE("NavNode_",getCategoryLevelAsString($B246))),";",EscStr(J246),";")))</f>
        <v>;"NavNode_L3D_525396";"Lighting Controls / Switches";</v>
      </c>
      <c r="AD246" s="39" t="str">
        <f>IF(getCategoryLevelAsString($B246)="L0D_324785","",IF(K246="",CONCATENATE(";",EscStr(CONCATENATE("NavNode_",getCategoryLevelAsString($B246))),";",EscStr($J246),";"),CONCATENATE(";",EscStr(CONCATENATE("NavNode_",getCategoryLevelAsString($B246))),";",EscStr(K246),";")))</f>
        <v>;"NavNode_L3D_525396";"Lysstyringsenheder/afbrydere";</v>
      </c>
      <c r="AE246" s="39" t="str">
        <f>IF(getCategoryLevelAsString($B246)="L0D_324785","",IF(L246="",CONCATENATE(";",EscStr(CONCATENATE("NavNode_",getCategoryLevelAsString($B246))),";",EscStr($J246),";"),CONCATENATE(";",EscStr(CONCATENATE("NavNode_",getCategoryLevelAsString($B246))),";",EscStr(L246),";")))</f>
        <v>;"NavNode_L3D_525396";"Apšvietimo valdikliai / Perjungėjai";</v>
      </c>
      <c r="AF246" s="39" t="str">
        <f>IF(getCategoryLevelAsString($B246)="L0D_324785","",IF(M246="",CONCATENATE(";",EscStr(CONCATENATE("NavNode_",getCategoryLevelAsString($B246))),";",EscStr($J246),";"),CONCATENATE(";",EscStr(CONCATENATE("NavNode_",getCategoryLevelAsString($B246))),";",EscStr(M246),";")))</f>
        <v>;"NavNode_L3D_525396";"Lyskontroller/-brytere";</v>
      </c>
      <c r="AG246" s="39" t="str">
        <f>IF(getCategoryLevelAsString($B246)="L0D_324785","",IF(N246="",CONCATENATE(";",EscStr(CONCATENATE("NavNode_",getCategoryLevelAsString($B246))),";",EscStr($J246),";"),CONCATENATE(";",EscStr(CONCATENATE("NavNode_",getCategoryLevelAsString($B246))),";",EscStr(N246),";")))</f>
        <v>;"NavNode_L3D_525396";"Belysningsreglage/Brytare";</v>
      </c>
      <c r="AH246" s="39" t="str">
        <f>IF(getCategoryLevelAsString($B246)="L0D_324785","",IF(O246="",CONCATENATE(";",EscStr(CONCATENATE("NavNode_",getCategoryLevelAsString($B246))),";",EscStr($J246),";"),CONCATENATE(";",EscStr(CONCATENATE("NavNode_",getCategoryLevelAsString($B246))),";",EscStr(O246),";")))</f>
        <v>;"NavNode_L3D_525396";"Valgustuse juhtimine / Lülitid";</v>
      </c>
      <c r="AI246" s="39" t="str">
        <f>IF(getCategoryLevelAsString($B246)="L0D_324785","",IF(P246="",CONCATENATE(";",EscStr(CONCATENATE("NavNode_",getCategoryLevelAsString($B246))),";",EscStr($J246),";"),CONCATENATE(";",EscStr(CONCATENATE("NavNode_",getCategoryLevelAsString($B246))),";",EscStr(P246),";")))</f>
        <v>;"NavNode_L3D_525396";"Valaistusohjaimet";</v>
      </c>
      <c r="AJ246" s="39" t="str">
        <f>IF(getCategoryLevelAsString($B246)="L0D_324785","",IF(Q246="",CONCATENATE(";",EscStr(CONCATENATE("NavNode_",getCategoryLevelAsString($B246))),";",EscStr($J246),";"),CONCATENATE(";",EscStr(CONCATENATE("NavNode_",getCategoryLevelAsString($B246))),";",EscStr(Q246),";")))</f>
        <v>;"NavNode_L3D_525396";"Apgaismojuma vadība / slēdži";</v>
      </c>
      <c r="AK246" s="39" t="str">
        <f>IF(getCategoryLevelAsString($B246)="L0D_324785","",IF(R246="",CONCATENATE(";",EscStr(CONCATENATE("NavNode_",getCategoryLevelAsString($B246))),";",EscStr($J246),";"),CONCATENATE(";",EscStr(CONCATENATE("NavNode_",getCategoryLevelAsString($B246))),";",EscStr(R246),";")))</f>
        <v>;"NavNode_L3D_525396";"Lighting Controls / Schakelaars";</v>
      </c>
      <c r="AL246" s="39" t="str">
        <f>IF(getCategoryLevelAsString($B246)="L0D_324785","",IF(S246="",CONCATENATE(";",EscStr(CONCATENATE("NavNode_",getCategoryLevelAsString($B246))),";",EscStr($J246),";"),CONCATENATE(";",EscStr(CONCATENATE("NavNode_",getCategoryLevelAsString($B246))),";",EscStr(S246),";")))</f>
        <v>;"NavNode_L3D_525396";"Sterowania oświetleniem / Wyłączniki";</v>
      </c>
      <c r="AM246" s="39" t="str">
        <f>IF(getCategoryLevelAsString($B246)="L0D_324785","",IF(T246="",CONCATENATE(";",EscStr(CONCATENATE("NavNode_",getCategoryLevelAsString($B246))),";",EscStr($J246),";"),CONCATENATE(";",EscStr(CONCATENATE("NavNode_",getCategoryLevelAsString($B246))),";",EscStr(T246),";")))</f>
        <v>;"NavNode_L3D_525396";"Регуляторы освещения / Коммутаторы";</v>
      </c>
      <c r="AN246" s="39" t="str">
        <f>IF(getCategoryLevelAsString($B246)="L0D_324785","",IF(U246="",CONCATENATE(";",EscStr(CONCATENATE("NavNode_",getCategoryLevelAsString($B246))),";",EscStr($J246),";"),CONCATENATE(";",EscStr(CONCATENATE("NavNode_",getCategoryLevelAsString($B246))),";",EscStr(U246),";")))</f>
        <v>;"NavNode_L3D_525396";"Regulace světla / spínače";</v>
      </c>
      <c r="AO246" s="39" t="str">
        <f>IF(getCategoryLevelAsString($B246)="L0D_324785","",IF(V246="",CONCATENATE(";",EscStr(CONCATENATE("NavNode_",getCategoryLevelAsString($B246))),";",EscStr($J246),";"),CONCATENATE(";",EscStr(CONCATENATE("NavNode_",getCategoryLevelAsString($B246))),";",EscStr(V246),";")))</f>
        <v>;"NavNode_L3D_525396";"Temporizatoare de lumină / Comutatoare";</v>
      </c>
      <c r="AP246" s="39" t="str">
        <f>IF(getCategoryLevelAsString($B246)="L0D_324785","",IF(W246="",CONCATENATE(";",EscStr(CONCATENATE("NavNode_",getCategoryLevelAsString($B246))),";",EscStr($J246),";"),CONCATENATE(";",EscStr(CONCATENATE("NavNode_",getCategoryLevelAsString($B246))),";",EscStr(W246),";")))</f>
        <v>;"NavNode_L3D_525396";"Világításvezérlők / Kapcsolók";</v>
      </c>
      <c r="AQ246" s="39" t="str">
        <f>IF(getCategoryLevelAsString($B246)="L0D_324785","",IF(X246="",CONCATENATE(";",EscStr(CONCATENATE("NavNode_",getCategoryLevelAsString($B246))),";",EscStr($J246),";"),CONCATENATE(";",EscStr(CONCATENATE("NavNode_",getCategoryLevelAsString($B246))),";",EscStr(X246),";")))</f>
        <v>;"NavNode_L3D_525396";"Regulácia Svetlá / spínače";</v>
      </c>
      <c r="AR246" s="39" t="str">
        <f>IF(OR($A246&lt;&gt;"", $G246=""),"",CONCATENATE(";",EscStr(CONCATENATE("NavEntry_",getCategoryLevelAsString($B246))),";",EscStr(CONCATENATE($J246," Navigation Entry")),";",EscStr(CONCATENATE("cat-",getCategoryLevelAsString($B246))),";",EscStr(CONCATENATE("NavNode_",getCategoryLevelAsString($B246))),";"))</f>
        <v>;"NavEntry_L3D_525396";"Lighting Controls / Switches Navigation Entry";"cat-L3D_525396";"NavNode_L3D_525396";</v>
      </c>
    </row>
    <row r="247" spans="1:44" s="34" customFormat="1" ht="15" x14ac:dyDescent="0.25">
      <c r="A247" s="25"/>
      <c r="B247" s="5"/>
      <c r="C247" s="5"/>
      <c r="D247" s="5" t="s">
        <v>4683</v>
      </c>
      <c r="E247" s="5"/>
      <c r="F247" s="5"/>
      <c r="G247" s="5" t="s">
        <v>4684</v>
      </c>
      <c r="H247" s="5" t="s">
        <v>4684</v>
      </c>
      <c r="I247" s="5" t="s">
        <v>4684</v>
      </c>
      <c r="J247" s="5" t="s">
        <v>4684</v>
      </c>
      <c r="K247" s="5" t="s">
        <v>4684</v>
      </c>
      <c r="L247" s="5" t="s">
        <v>4684</v>
      </c>
      <c r="M247" s="5" t="s">
        <v>4684</v>
      </c>
      <c r="N247" s="5" t="s">
        <v>4684</v>
      </c>
      <c r="O247" s="5" t="s">
        <v>4684</v>
      </c>
      <c r="P247" s="5" t="s">
        <v>4684</v>
      </c>
      <c r="Q247" s="5" t="s">
        <v>4684</v>
      </c>
      <c r="R247" s="5" t="s">
        <v>4684</v>
      </c>
      <c r="S247" s="5" t="s">
        <v>4684</v>
      </c>
      <c r="T247" s="5" t="s">
        <v>4684</v>
      </c>
      <c r="U247" s="5" t="s">
        <v>4684</v>
      </c>
      <c r="V247" s="5" t="s">
        <v>4684</v>
      </c>
      <c r="W247" s="5" t="s">
        <v>4684</v>
      </c>
      <c r="X247" s="5" t="s">
        <v>4684</v>
      </c>
      <c r="Y247" s="39" t="str">
        <f>IF(OR($A247&lt;&gt;"", $G247=""),"",CONCATENATE(";",EscStr(CONCATENATE("NavNode_",getCategoryLevelAsString($B247))),";",EscStr($J247),";",IF($B247&lt;&gt;"","""MainCategoryNavNode""",EscStr(CONCATENATE("NavNode_",getSuperCategory($B247, getCategoryLevelAsNumber($B247))))),";"))</f>
        <v>;"NavNode_L3D_706185";"E-Mobility";"NavNode_L2D_379529";</v>
      </c>
      <c r="Z247" s="39" t="str">
        <f>IF(getCategoryLevelAsString($B247)="L0D_324785","",IF(G247="",CONCATENATE(";",EscStr(CONCATENATE("NavNode_",getCategoryLevelAsString($B247))),";",EscStr($J247),";"),CONCATENATE(";",EscStr(CONCATENATE("NavNode_",getCategoryLevelAsString($B247))),";",EscStr(G247),";")))</f>
        <v>;"NavNode_L3D_706185";"E-Mobility";</v>
      </c>
      <c r="AA247" s="39" t="str">
        <f>IF(getCategoryLevelAsString($B247)="L0D_324785","",IF(H247="",CONCATENATE(";",EscStr(CONCATENATE("NavNode_",getCategoryLevelAsString($B247))),";",EscStr($J247),";"),CONCATENATE(";",EscStr(CONCATENATE("NavNode_",getCategoryLevelAsString($B247))),";",EscStr(H247),";")))</f>
        <v>;"NavNode_L3D_706185";"E-Mobility";</v>
      </c>
      <c r="AB247" s="39" t="str">
        <f>IF(getCategoryLevelAsString($B247)="L0D_324785","",IF(I247="",CONCATENATE(";",EscStr(CONCATENATE("NavNode_",getCategoryLevelAsString($B247))),";",EscStr($J247),";"),CONCATENATE(";",EscStr(CONCATENATE("NavNode_",getCategoryLevelAsString($B247))),";",EscStr(I247),";")))</f>
        <v>;"NavNode_L3D_706185";"E-Mobility";</v>
      </c>
      <c r="AC247" s="39" t="str">
        <f>IF(getCategoryLevelAsString($B247)="L0D_324785","",IF(J247="",CONCATENATE(";",EscStr(CONCATENATE("NavNode_",getCategoryLevelAsString($B247))),";",EscStr($J247),";"),CONCATENATE(";",EscStr(CONCATENATE("NavNode_",getCategoryLevelAsString($B247))),";",EscStr(J247),";")))</f>
        <v>;"NavNode_L3D_706185";"E-Mobility";</v>
      </c>
      <c r="AD247" s="39" t="str">
        <f>IF(getCategoryLevelAsString($B247)="L0D_324785","",IF(K247="",CONCATENATE(";",EscStr(CONCATENATE("NavNode_",getCategoryLevelAsString($B247))),";",EscStr($J247),";"),CONCATENATE(";",EscStr(CONCATENATE("NavNode_",getCategoryLevelAsString($B247))),";",EscStr(K247),";")))</f>
        <v>;"NavNode_L3D_706185";"E-Mobility";</v>
      </c>
      <c r="AE247" s="39" t="str">
        <f>IF(getCategoryLevelAsString($B247)="L0D_324785","",IF(L247="",CONCATENATE(";",EscStr(CONCATENATE("NavNode_",getCategoryLevelAsString($B247))),";",EscStr($J247),";"),CONCATENATE(";",EscStr(CONCATENATE("NavNode_",getCategoryLevelAsString($B247))),";",EscStr(L247),";")))</f>
        <v>;"NavNode_L3D_706185";"E-Mobility";</v>
      </c>
      <c r="AF247" s="39" t="str">
        <f>IF(getCategoryLevelAsString($B247)="L0D_324785","",IF(M247="",CONCATENATE(";",EscStr(CONCATENATE("NavNode_",getCategoryLevelAsString($B247))),";",EscStr($J247),";"),CONCATENATE(";",EscStr(CONCATENATE("NavNode_",getCategoryLevelAsString($B247))),";",EscStr(M247),";")))</f>
        <v>;"NavNode_L3D_706185";"E-Mobility";</v>
      </c>
      <c r="AG247" s="39" t="str">
        <f>IF(getCategoryLevelAsString($B247)="L0D_324785","",IF(N247="",CONCATENATE(";",EscStr(CONCATENATE("NavNode_",getCategoryLevelAsString($B247))),";",EscStr($J247),";"),CONCATENATE(";",EscStr(CONCATENATE("NavNode_",getCategoryLevelAsString($B247))),";",EscStr(N247),";")))</f>
        <v>;"NavNode_L3D_706185";"E-Mobility";</v>
      </c>
      <c r="AH247" s="39" t="str">
        <f>IF(getCategoryLevelAsString($B247)="L0D_324785","",IF(O247="",CONCATENATE(";",EscStr(CONCATENATE("NavNode_",getCategoryLevelAsString($B247))),";",EscStr($J247),";"),CONCATENATE(";",EscStr(CONCATENATE("NavNode_",getCategoryLevelAsString($B247))),";",EscStr(O247),";")))</f>
        <v>;"NavNode_L3D_706185";"E-Mobility";</v>
      </c>
      <c r="AI247" s="39" t="str">
        <f>IF(getCategoryLevelAsString($B247)="L0D_324785","",IF(P247="",CONCATENATE(";",EscStr(CONCATENATE("NavNode_",getCategoryLevelAsString($B247))),";",EscStr($J247),";"),CONCATENATE(";",EscStr(CONCATENATE("NavNode_",getCategoryLevelAsString($B247))),";",EscStr(P247),";")))</f>
        <v>;"NavNode_L3D_706185";"E-Mobility";</v>
      </c>
      <c r="AJ247" s="39" t="str">
        <f>IF(getCategoryLevelAsString($B247)="L0D_324785","",IF(Q247="",CONCATENATE(";",EscStr(CONCATENATE("NavNode_",getCategoryLevelAsString($B247))),";",EscStr($J247),";"),CONCATENATE(";",EscStr(CONCATENATE("NavNode_",getCategoryLevelAsString($B247))),";",EscStr(Q247),";")))</f>
        <v>;"NavNode_L3D_706185";"E-Mobility";</v>
      </c>
      <c r="AK247" s="39" t="str">
        <f>IF(getCategoryLevelAsString($B247)="L0D_324785","",IF(R247="",CONCATENATE(";",EscStr(CONCATENATE("NavNode_",getCategoryLevelAsString($B247))),";",EscStr($J247),";"),CONCATENATE(";",EscStr(CONCATENATE("NavNode_",getCategoryLevelAsString($B247))),";",EscStr(R247),";")))</f>
        <v>;"NavNode_L3D_706185";"E-Mobility";</v>
      </c>
      <c r="AL247" s="39" t="str">
        <f>IF(getCategoryLevelAsString($B247)="L0D_324785","",IF(S247="",CONCATENATE(";",EscStr(CONCATENATE("NavNode_",getCategoryLevelAsString($B247))),";",EscStr($J247),";"),CONCATENATE(";",EscStr(CONCATENATE("NavNode_",getCategoryLevelAsString($B247))),";",EscStr(S247),";")))</f>
        <v>;"NavNode_L3D_706185";"E-Mobility";</v>
      </c>
      <c r="AM247" s="39" t="str">
        <f>IF(getCategoryLevelAsString($B247)="L0D_324785","",IF(T247="",CONCATENATE(";",EscStr(CONCATENATE("NavNode_",getCategoryLevelAsString($B247))),";",EscStr($J247),";"),CONCATENATE(";",EscStr(CONCATENATE("NavNode_",getCategoryLevelAsString($B247))),";",EscStr(T247),";")))</f>
        <v>;"NavNode_L3D_706185";"E-Mobility";</v>
      </c>
      <c r="AN247" s="39" t="str">
        <f>IF(getCategoryLevelAsString($B247)="L0D_324785","",IF(U247="",CONCATENATE(";",EscStr(CONCATENATE("NavNode_",getCategoryLevelAsString($B247))),";",EscStr($J247),";"),CONCATENATE(";",EscStr(CONCATENATE("NavNode_",getCategoryLevelAsString($B247))),";",EscStr(U247),";")))</f>
        <v>;"NavNode_L3D_706185";"E-Mobility";</v>
      </c>
      <c r="AO247" s="39" t="str">
        <f>IF(getCategoryLevelAsString($B247)="L0D_324785","",IF(V247="",CONCATENATE(";",EscStr(CONCATENATE("NavNode_",getCategoryLevelAsString($B247))),";",EscStr($J247),";"),CONCATENATE(";",EscStr(CONCATENATE("NavNode_",getCategoryLevelAsString($B247))),";",EscStr(V247),";")))</f>
        <v>;"NavNode_L3D_706185";"E-Mobility";</v>
      </c>
      <c r="AP247" s="39" t="str">
        <f>IF(getCategoryLevelAsString($B247)="L0D_324785","",IF(W247="",CONCATENATE(";",EscStr(CONCATENATE("NavNode_",getCategoryLevelAsString($B247))),";",EscStr($J247),";"),CONCATENATE(";",EscStr(CONCATENATE("NavNode_",getCategoryLevelAsString($B247))),";",EscStr(W247),";")))</f>
        <v>;"NavNode_L3D_706185";"E-Mobility";</v>
      </c>
      <c r="AQ247" s="39" t="str">
        <f>IF(getCategoryLevelAsString($B247)="L0D_324785","",IF(X247="",CONCATENATE(";",EscStr(CONCATENATE("NavNode_",getCategoryLevelAsString($B247))),";",EscStr($J247),";"),CONCATENATE(";",EscStr(CONCATENATE("NavNode_",getCategoryLevelAsString($B247))),";",EscStr(X247),";")))</f>
        <v>;"NavNode_L3D_706185";"E-Mobility";</v>
      </c>
      <c r="AR247" s="39" t="str">
        <f>IF(OR($A247&lt;&gt;"", $G247=""),"",CONCATENATE(";",EscStr(CONCATENATE("NavEntry_",getCategoryLevelAsString($B247))),";",EscStr(CONCATENATE($J247," Navigation Entry")),";",EscStr(CONCATENATE("cat-",getCategoryLevelAsString($B247))),";",EscStr(CONCATENATE("NavNode_",getCategoryLevelAsString($B247))),";"))</f>
        <v>;"NavEntry_L3D_706185";"E-Mobility Navigation Entry";"cat-L3D_706185";"NavNode_L3D_706185";</v>
      </c>
    </row>
    <row r="248" spans="1:44" s="34" customFormat="1" ht="15" x14ac:dyDescent="0.25">
      <c r="A248" s="25"/>
      <c r="B248" s="5"/>
      <c r="C248" s="5"/>
      <c r="D248" s="5" t="s">
        <v>146</v>
      </c>
      <c r="E248" s="5"/>
      <c r="F248" s="5"/>
      <c r="G248" s="5" t="s">
        <v>388</v>
      </c>
      <c r="H248" s="5" t="s">
        <v>389</v>
      </c>
      <c r="I248" s="5" t="s">
        <v>390</v>
      </c>
      <c r="J248" s="5" t="s">
        <v>147</v>
      </c>
      <c r="K248" s="5" t="s">
        <v>1238</v>
      </c>
      <c r="L248" s="5" t="s">
        <v>15194</v>
      </c>
      <c r="M248" s="5" t="s">
        <v>1705</v>
      </c>
      <c r="N248" s="5" t="s">
        <v>1907</v>
      </c>
      <c r="O248" s="5" t="s">
        <v>2740</v>
      </c>
      <c r="P248" s="5" t="s">
        <v>2741</v>
      </c>
      <c r="Q248" s="5" t="s">
        <v>2742</v>
      </c>
      <c r="R248" s="5" t="s">
        <v>2743</v>
      </c>
      <c r="S248" s="5" t="s">
        <v>2744</v>
      </c>
      <c r="T248" s="5" t="s">
        <v>2745</v>
      </c>
      <c r="U248" s="5" t="s">
        <v>2746</v>
      </c>
      <c r="V248" s="5" t="s">
        <v>2747</v>
      </c>
      <c r="W248" s="5" t="s">
        <v>2748</v>
      </c>
      <c r="X248" s="5" t="s">
        <v>14954</v>
      </c>
      <c r="Y248" s="39" t="str">
        <f>IF(OR($A248&lt;&gt;"", $G248=""),"",CONCATENATE(";",EscStr(CONCATENATE("NavNode_",getCategoryLevelAsString($B248))),";",EscStr($J248),";",IF($B248&lt;&gt;"","""MainCategoryNavNode""",EscStr(CONCATENATE("NavNode_",getSuperCategory($B248, getCategoryLevelAsNumber($B248))))),";"))</f>
        <v>;"NavNode_L3D_525383";"Network Cables / Control Cables / Data Cables / Optical Fibre Cables";"NavNode_L2D_379529";</v>
      </c>
      <c r="Z248" s="39" t="str">
        <f>IF(getCategoryLevelAsString($B248)="L0D_324785","",IF(G248="",CONCATENATE(";",EscStr(CONCATENATE("NavNode_",getCategoryLevelAsString($B248))),";",EscStr($J248),";"),CONCATENATE(";",EscStr(CONCATENATE("NavNode_",getCategoryLevelAsString($B248))),";",EscStr(G248),";")))</f>
        <v>;"NavNode_L3D_525383";"Netzwerkkabel / Steuerkabel / Datenkabel / LWL-Kabel";</v>
      </c>
      <c r="AA248" s="39" t="str">
        <f>IF(getCategoryLevelAsString($B248)="L0D_324785","",IF(H248="",CONCATENATE(";",EscStr(CONCATENATE("NavNode_",getCategoryLevelAsString($B248))),";",EscStr($J248),";"),CONCATENATE(";",EscStr(CONCATENATE("NavNode_",getCategoryLevelAsString($B248))),";",EscStr(H248),";")))</f>
        <v>;"NavNode_L3D_525383";"Câbles réseau / Câbles de contrôle / Câbles de données / Câbles en fibres optiques";</v>
      </c>
      <c r="AB248" s="39" t="str">
        <f>IF(getCategoryLevelAsString($B248)="L0D_324785","",IF(I248="",CONCATENATE(";",EscStr(CONCATENATE("NavNode_",getCategoryLevelAsString($B248))),";",EscStr($J248),";"),CONCATENATE(";",EscStr(CONCATENATE("NavNode_",getCategoryLevelAsString($B248))),";",EscStr(I248),";")))</f>
        <v>;"NavNode_L3D_525383";"Cavi di rete / Cavi di comando / Cavi dati / Cavi a fibre ottiche";</v>
      </c>
      <c r="AC248" s="39" t="str">
        <f>IF(getCategoryLevelAsString($B248)="L0D_324785","",IF(J248="",CONCATENATE(";",EscStr(CONCATENATE("NavNode_",getCategoryLevelAsString($B248))),";",EscStr($J248),";"),CONCATENATE(";",EscStr(CONCATENATE("NavNode_",getCategoryLevelAsString($B248))),";",EscStr(J248),";")))</f>
        <v>;"NavNode_L3D_525383";"Network Cables / Control Cables / Data Cables / Optical Fibre Cables";</v>
      </c>
      <c r="AD248" s="39" t="str">
        <f>IF(getCategoryLevelAsString($B248)="L0D_324785","",IF(K248="",CONCATENATE(";",EscStr(CONCATENATE("NavNode_",getCategoryLevelAsString($B248))),";",EscStr($J248),";"),CONCATENATE(";",EscStr(CONCATENATE("NavNode_",getCategoryLevelAsString($B248))),";",EscStr(K248),";")))</f>
        <v>;"NavNode_L3D_525383";"Netværkskabler/styrekabler/datakabler/optiske fiberkabler";</v>
      </c>
      <c r="AE248" s="39" t="str">
        <f>IF(getCategoryLevelAsString($B248)="L0D_324785","",IF(L248="",CONCATENATE(";",EscStr(CONCATENATE("NavNode_",getCategoryLevelAsString($B248))),";",EscStr($J248),";"),CONCATENATE(";",EscStr(CONCATENATE("NavNode_",getCategoryLevelAsString($B248))),";",EscStr(L248),";")))</f>
        <v>;"NavNode_L3D_525383";"Tinklo kabeliai / valdymo kabeliai / duomenų kabeliai / šviesolaidiniai kabeliai";</v>
      </c>
      <c r="AF248" s="39" t="str">
        <f>IF(getCategoryLevelAsString($B248)="L0D_324785","",IF(M248="",CONCATENATE(";",EscStr(CONCATENATE("NavNode_",getCategoryLevelAsString($B248))),";",EscStr($J248),";"),CONCATENATE(";",EscStr(CONCATENATE("NavNode_",getCategoryLevelAsString($B248))),";",EscStr(M248),";")))</f>
        <v>;"NavNode_L3D_525383";"Nettverkskabler / kontrollkabler / datakabler / fiberoptiske kabler";</v>
      </c>
      <c r="AG248" s="39" t="str">
        <f>IF(getCategoryLevelAsString($B248)="L0D_324785","",IF(N248="",CONCATENATE(";",EscStr(CONCATENATE("NavNode_",getCategoryLevelAsString($B248))),";",EscStr($J248),";"),CONCATENATE(";",EscStr(CONCATENATE("NavNode_",getCategoryLevelAsString($B248))),";",EscStr(N248),";")))</f>
        <v>;"NavNode_L3D_525383";"Nätverkskablar/Styrkablar/Datakablar/Optofiberkablar";</v>
      </c>
      <c r="AH248" s="39" t="str">
        <f>IF(getCategoryLevelAsString($B248)="L0D_324785","",IF(O248="",CONCATENATE(";",EscStr(CONCATENATE("NavNode_",getCategoryLevelAsString($B248))),";",EscStr($J248),";"),CONCATENATE(";",EscStr(CONCATENATE("NavNode_",getCategoryLevelAsString($B248))),";",EscStr(O248),";")))</f>
        <v>;"NavNode_L3D_525383";"Sidevõrgu kaablid / Juhtkaablid / Andmekaablid / Optilised kaablid";</v>
      </c>
      <c r="AI248" s="39" t="str">
        <f>IF(getCategoryLevelAsString($B248)="L0D_324785","",IF(P248="",CONCATENATE(";",EscStr(CONCATENATE("NavNode_",getCategoryLevelAsString($B248))),";",EscStr($J248),";"),CONCATENATE(";",EscStr(CONCATENATE("NavNode_",getCategoryLevelAsString($B248))),";",EscStr(P248),";")))</f>
        <v>;"NavNode_L3D_525383";"Lähiverkkokaapelit";</v>
      </c>
      <c r="AJ248" s="39" t="str">
        <f>IF(getCategoryLevelAsString($B248)="L0D_324785","",IF(Q248="",CONCATENATE(";",EscStr(CONCATENATE("NavNode_",getCategoryLevelAsString($B248))),";",EscStr($J248),";"),CONCATENATE(";",EscStr(CONCATENATE("NavNode_",getCategoryLevelAsString($B248))),";",EscStr(Q248),";")))</f>
        <v>;"NavNode_L3D_525383";"Tīkla kabeļi / Vadības kabeļi / Datu kabeļi / Optiskie kabeļi";</v>
      </c>
      <c r="AK248" s="39" t="str">
        <f>IF(getCategoryLevelAsString($B248)="L0D_324785","",IF(R248="",CONCATENATE(";",EscStr(CONCATENATE("NavNode_",getCategoryLevelAsString($B248))),";",EscStr($J248),";"),CONCATENATE(";",EscStr(CONCATENATE("NavNode_",getCategoryLevelAsString($B248))),";",EscStr(R248),";")))</f>
        <v>;"NavNode_L3D_525383";"Netwerkkabels / Stuurstroomkabels / Glasvezelkabels";</v>
      </c>
      <c r="AL248" s="39" t="str">
        <f>IF(getCategoryLevelAsString($B248)="L0D_324785","",IF(S248="",CONCATENATE(";",EscStr(CONCATENATE("NavNode_",getCategoryLevelAsString($B248))),";",EscStr($J248),";"),CONCATENATE(";",EscStr(CONCATENATE("NavNode_",getCategoryLevelAsString($B248))),";",EscStr(S248),";")))</f>
        <v>;"NavNode_L3D_525383";"Kable sieciowe / Kable sterujące /  Kable do transmisji danych / Światłowody";</v>
      </c>
      <c r="AM248" s="39" t="str">
        <f>IF(getCategoryLevelAsString($B248)="L0D_324785","",IF(T248="",CONCATENATE(";",EscStr(CONCATENATE("NavNode_",getCategoryLevelAsString($B248))),";",EscStr($J248),";"),CONCATENATE(";",EscStr(CONCATENATE("NavNode_",getCategoryLevelAsString($B248))),";",EscStr(T248),";")))</f>
        <v>;"NavNode_L3D_525383";"Сетевые кабели / Кабели управления / Кабели данных / Оптические кабели";</v>
      </c>
      <c r="AN248" s="39" t="str">
        <f>IF(getCategoryLevelAsString($B248)="L0D_324785","",IF(U248="",CONCATENATE(";",EscStr(CONCATENATE("NavNode_",getCategoryLevelAsString($B248))),";",EscStr($J248),";"),CONCATENATE(";",EscStr(CONCATENATE("NavNode_",getCategoryLevelAsString($B248))),";",EscStr(U248),";")))</f>
        <v>;"NavNode_L3D_525383";"Síťové kabely / ovládací kabely / Datové kabely / kabely z optických vláken";</v>
      </c>
      <c r="AO248" s="39" t="str">
        <f>IF(getCategoryLevelAsString($B248)="L0D_324785","",IF(V248="",CONCATENATE(";",EscStr(CONCATENATE("NavNode_",getCategoryLevelAsString($B248))),";",EscStr($J248),";"),CONCATENATE(";",EscStr(CONCATENATE("NavNode_",getCategoryLevelAsString($B248))),";",EscStr(V248),";")))</f>
        <v>;"NavNode_L3D_525383";"Cabluri de retea / Cabluri de control / Cabluri de date / Cabluri cu fibră optică";</v>
      </c>
      <c r="AP248" s="39" t="str">
        <f>IF(getCategoryLevelAsString($B248)="L0D_324785","",IF(W248="",CONCATENATE(";",EscStr(CONCATENATE("NavNode_",getCategoryLevelAsString($B248))),";",EscStr($J248),";"),CONCATENATE(";",EscStr(CONCATENATE("NavNode_",getCategoryLevelAsString($B248))),";",EscStr(W248),";")))</f>
        <v>;"NavNode_L3D_525383";"Adathálózati kábel / Vezérlőkábel / Adatkábel / Üvegszálas kábel";</v>
      </c>
      <c r="AQ248" s="39" t="str">
        <f>IF(getCategoryLevelAsString($B248)="L0D_324785","",IF(X248="",CONCATENATE(";",EscStr(CONCATENATE("NavNode_",getCategoryLevelAsString($B248))),";",EscStr($J248),";"),CONCATENATE(";",EscStr(CONCATENATE("NavNode_",getCategoryLevelAsString($B248))),";",EscStr(X248),";")))</f>
        <v>;"NavNode_L3D_525383";"Sieťový kábel / ovládací kábel / dátový kábel / optický kábel";</v>
      </c>
      <c r="AR248" s="39" t="str">
        <f>IF(OR($A248&lt;&gt;"", $G248=""),"",CONCATENATE(";",EscStr(CONCATENATE("NavEntry_",getCategoryLevelAsString($B248))),";",EscStr(CONCATENATE($J248," Navigation Entry")),";",EscStr(CONCATENATE("cat-",getCategoryLevelAsString($B248))),";",EscStr(CONCATENATE("NavNode_",getCategoryLevelAsString($B248))),";"))</f>
        <v>;"NavEntry_L3D_525383";"Network Cables / Control Cables / Data Cables / Optical Fibre Cables Navigation Entry";"cat-L3D_525383";"NavNode_L3D_525383";</v>
      </c>
    </row>
    <row r="249" spans="1:44" s="34" customFormat="1" ht="15" x14ac:dyDescent="0.25">
      <c r="A249" s="25"/>
      <c r="B249" s="5"/>
      <c r="C249" s="5"/>
      <c r="D249" s="5" t="s">
        <v>143</v>
      </c>
      <c r="E249" s="5"/>
      <c r="F249" s="5"/>
      <c r="G249" s="5" t="s">
        <v>991</v>
      </c>
      <c r="H249" s="5" t="s">
        <v>747</v>
      </c>
      <c r="I249" s="5" t="s">
        <v>644</v>
      </c>
      <c r="J249" s="5" t="s">
        <v>384</v>
      </c>
      <c r="K249" s="5" t="s">
        <v>1239</v>
      </c>
      <c r="L249" s="5" t="s">
        <v>15195</v>
      </c>
      <c r="M249" s="5" t="s">
        <v>1706</v>
      </c>
      <c r="N249" s="5" t="s">
        <v>1908</v>
      </c>
      <c r="O249" s="5" t="s">
        <v>2749</v>
      </c>
      <c r="P249" s="5" t="s">
        <v>2750</v>
      </c>
      <c r="Q249" s="5" t="s">
        <v>2751</v>
      </c>
      <c r="R249" s="5" t="s">
        <v>2752</v>
      </c>
      <c r="S249" s="5" t="s">
        <v>2753</v>
      </c>
      <c r="T249" s="5" t="s">
        <v>2754</v>
      </c>
      <c r="U249" s="5" t="s">
        <v>2755</v>
      </c>
      <c r="V249" s="5" t="s">
        <v>2756</v>
      </c>
      <c r="W249" s="5" t="s">
        <v>2757</v>
      </c>
      <c r="X249" s="5" t="s">
        <v>14955</v>
      </c>
      <c r="Y249" s="39" t="str">
        <f>IF(OR($A249&lt;&gt;"", $G249=""),"",CONCATENATE(";",EscStr(CONCATENATE("NavNode_",getCategoryLevelAsString($B249))),";",EscStr($J249),";",IF($B249&lt;&gt;"","""MainCategoryNavNode""",EscStr(CONCATENATE("NavNode_",getSuperCategory($B249, getCategoryLevelAsNumber($B249))))),";"))</f>
        <v>;"NavNode_L3D_525384";"Coaxial Cables / Audio Cables / Flat Cables / Power Cables";"NavNode_L2D_379529";</v>
      </c>
      <c r="Z249" s="39" t="str">
        <f>IF(getCategoryLevelAsString($B249)="L0D_324785","",IF(G249="",CONCATENATE(";",EscStr(CONCATENATE("NavNode_",getCategoryLevelAsString($B249))),";",EscStr($J249),";"),CONCATENATE(";",EscStr(CONCATENATE("NavNode_",getCategoryLevelAsString($B249))),";",EscStr(G249),";")))</f>
        <v>;"NavNode_L3D_525384";"Koaxialkabel / Audiokabel / Flachkabel / Netzkabel";</v>
      </c>
      <c r="AA249" s="39" t="str">
        <f>IF(getCategoryLevelAsString($B249)="L0D_324785","",IF(H249="",CONCATENATE(";",EscStr(CONCATENATE("NavNode_",getCategoryLevelAsString($B249))),";",EscStr($J249),";"),CONCATENATE(";",EscStr(CONCATENATE("NavNode_",getCategoryLevelAsString($B249))),";",EscStr(H249),";")))</f>
        <v>;"NavNode_L3D_525384";"Câbles coaxiaux / Câbles audio / Câbles plats / Câbles d'alimentation";</v>
      </c>
      <c r="AB249" s="39" t="str">
        <f>IF(getCategoryLevelAsString($B249)="L0D_324785","",IF(I249="",CONCATENATE(";",EscStr(CONCATENATE("NavNode_",getCategoryLevelAsString($B249))),";",EscStr($J249),";"),CONCATENATE(";",EscStr(CONCATENATE("NavNode_",getCategoryLevelAsString($B249))),";",EscStr(I249),";")))</f>
        <v>;"NavNode_L3D_525384";"Cavi coassiali / cavi audio / cavi piatti / cavi alimentazione";</v>
      </c>
      <c r="AC249" s="39" t="str">
        <f>IF(getCategoryLevelAsString($B249)="L0D_324785","",IF(J249="",CONCATENATE(";",EscStr(CONCATENATE("NavNode_",getCategoryLevelAsString($B249))),";",EscStr($J249),";"),CONCATENATE(";",EscStr(CONCATENATE("NavNode_",getCategoryLevelAsString($B249))),";",EscStr(J249),";")))</f>
        <v>;"NavNode_L3D_525384";"Coaxial Cables / Audio Cables / Flat Cables / Power Cables";</v>
      </c>
      <c r="AD249" s="39" t="str">
        <f>IF(getCategoryLevelAsString($B249)="L0D_324785","",IF(K249="",CONCATENATE(";",EscStr(CONCATENATE("NavNode_",getCategoryLevelAsString($B249))),";",EscStr($J249),";"),CONCATENATE(";",EscStr(CONCATENATE("NavNode_",getCategoryLevelAsString($B249))),";",EscStr(K249),";")))</f>
        <v>;"NavNode_L3D_525384";"Koaksialkabler/audiokabler/fladkabler/effektkabler";</v>
      </c>
      <c r="AE249" s="39" t="str">
        <f>IF(getCategoryLevelAsString($B249)="L0D_324785","",IF(L249="",CONCATENATE(";",EscStr(CONCATENATE("NavNode_",getCategoryLevelAsString($B249))),";",EscStr($J249),";"),CONCATENATE(";",EscStr(CONCATENATE("NavNode_",getCategoryLevelAsString($B249))),";",EscStr(L249),";")))</f>
        <v>;"NavNode_L3D_525384";"Koaksialiniai kabeliai / audio kabeliai / plokšti kabeliai / maitinimo kabeliai";</v>
      </c>
      <c r="AF249" s="39" t="str">
        <f>IF(getCategoryLevelAsString($B249)="L0D_324785","",IF(M249="",CONCATENATE(";",EscStr(CONCATENATE("NavNode_",getCategoryLevelAsString($B249))),";",EscStr($J249),";"),CONCATENATE(";",EscStr(CONCATENATE("NavNode_",getCategoryLevelAsString($B249))),";",EscStr(M249),";")))</f>
        <v>;"NavNode_L3D_525384";"Koaksiale kabler / lydkabler / flatkabler / strømkabler";</v>
      </c>
      <c r="AG249" s="39" t="str">
        <f>IF(getCategoryLevelAsString($B249)="L0D_324785","",IF(N249="",CONCATENATE(";",EscStr(CONCATENATE("NavNode_",getCategoryLevelAsString($B249))),";",EscStr($J249),";"),CONCATENATE(";",EscStr(CONCATENATE("NavNode_",getCategoryLevelAsString($B249))),";",EscStr(N249),";")))</f>
        <v>;"NavNode_L3D_525384";"Koaxialkablar/Ljudkablar/Flata kablar/Strömkablar";</v>
      </c>
      <c r="AH249" s="39" t="str">
        <f>IF(getCategoryLevelAsString($B249)="L0D_324785","",IF(O249="",CONCATENATE(";",EscStr(CONCATENATE("NavNode_",getCategoryLevelAsString($B249))),";",EscStr($J249),";"),CONCATENATE(";",EscStr(CONCATENATE("NavNode_",getCategoryLevelAsString($B249))),";",EscStr(O249),";")))</f>
        <v>;"NavNode_L3D_525384";"Koaksiaalkaablid / Helikaablid / Lintkaablid / Toitekaablid";</v>
      </c>
      <c r="AI249" s="39" t="str">
        <f>IF(getCategoryLevelAsString($B249)="L0D_324785","",IF(P249="",CONCATENATE(";",EscStr(CONCATENATE("NavNode_",getCategoryLevelAsString($B249))),";",EscStr($J249),";"),CONCATENATE(";",EscStr(CONCATENATE("NavNode_",getCategoryLevelAsString($B249))),";",EscStr(P249),";")))</f>
        <v>;"NavNode_L3D_525384";"Koxi-kaapelit";</v>
      </c>
      <c r="AJ249" s="39" t="str">
        <f>IF(getCategoryLevelAsString($B249)="L0D_324785","",IF(Q249="",CONCATENATE(";",EscStr(CONCATENATE("NavNode_",getCategoryLevelAsString($B249))),";",EscStr($J249),";"),CONCATENATE(";",EscStr(CONCATENATE("NavNode_",getCategoryLevelAsString($B249))),";",EscStr(Q249),";")))</f>
        <v>;"NavNode_L3D_525384";"Koaksiālie kabeļi / Audio kabeļi / Plakani kabeļi / Barošanas kabeļi";</v>
      </c>
      <c r="AK249" s="39" t="str">
        <f>IF(getCategoryLevelAsString($B249)="L0D_324785","",IF(R249="",CONCATENATE(";",EscStr(CONCATENATE("NavNode_",getCategoryLevelAsString($B249))),";",EscStr($J249),";"),CONCATENATE(";",EscStr(CONCATENATE("NavNode_",getCategoryLevelAsString($B249))),";",EscStr(R249),";")))</f>
        <v>;"NavNode_L3D_525384";"Coaxkabels / Audiokabels / Bandkabels / Voedingskabels";</v>
      </c>
      <c r="AL249" s="39" t="str">
        <f>IF(getCategoryLevelAsString($B249)="L0D_324785","",IF(S249="",CONCATENATE(";",EscStr(CONCATENATE("NavNode_",getCategoryLevelAsString($B249))),";",EscStr($J249),";"),CONCATENATE(";",EscStr(CONCATENATE("NavNode_",getCategoryLevelAsString($B249))),";",EscStr(S249),";")))</f>
        <v>;"NavNode_L3D_525384";"Kable koncentryczne / Kable Audio / Kable Płaskie / Kable zasilające";</v>
      </c>
      <c r="AM249" s="39" t="str">
        <f>IF(getCategoryLevelAsString($B249)="L0D_324785","",IF(T249="",CONCATENATE(";",EscStr(CONCATENATE("NavNode_",getCategoryLevelAsString($B249))),";",EscStr($J249),";"),CONCATENATE(";",EscStr(CONCATENATE("NavNode_",getCategoryLevelAsString($B249))),";",EscStr(T249),";")))</f>
        <v>;"NavNode_L3D_525384";"Коаксиальные кабели/ Адиокабели / Плоские кабели / Кабели для питания";</v>
      </c>
      <c r="AN249" s="39" t="str">
        <f>IF(getCategoryLevelAsString($B249)="L0D_324785","",IF(U249="",CONCATENATE(";",EscStr(CONCATENATE("NavNode_",getCategoryLevelAsString($B249))),";",EscStr($J249),";"),CONCATENATE(";",EscStr(CONCATENATE("NavNode_",getCategoryLevelAsString($B249))),";",EscStr(U249),";")))</f>
        <v>;"NavNode_L3D_525384";"Koaxiální kabel / kabel Audio / plochý kabel / síťový kabel";</v>
      </c>
      <c r="AO249" s="39" t="str">
        <f>IF(getCategoryLevelAsString($B249)="L0D_324785","",IF(V249="",CONCATENATE(";",EscStr(CONCATENATE("NavNode_",getCategoryLevelAsString($B249))),";",EscStr($J249),";"),CONCATENATE(";",EscStr(CONCATENATE("NavNode_",getCategoryLevelAsString($B249))),";",EscStr(V249),";")))</f>
        <v>;"NavNode_L3D_525384";"Cabluri coaxiale / Cabluri audio/ Cabluri tip bandă / Cabluri de alimentare";</v>
      </c>
      <c r="AP249" s="39" t="str">
        <f>IF(getCategoryLevelAsString($B249)="L0D_324785","",IF(W249="",CONCATENATE(";",EscStr(CONCATENATE("NavNode_",getCategoryLevelAsString($B249))),";",EscStr($J249),";"),CONCATENATE(";",EscStr(CONCATENATE("NavNode_",getCategoryLevelAsString($B249))),";",EscStr(W249),";")))</f>
        <v>;"NavNode_L3D_525384";"Koaxiáliskábel / Audiókábel / Szalagkábel / Hálózatikábel";</v>
      </c>
      <c r="AQ249" s="39" t="str">
        <f>IF(getCategoryLevelAsString($B249)="L0D_324785","",IF(X249="",CONCATENATE(";",EscStr(CONCATENATE("NavNode_",getCategoryLevelAsString($B249))),";",EscStr($J249),";"),CONCATENATE(";",EscStr(CONCATENATE("NavNode_",getCategoryLevelAsString($B249))),";",EscStr(X249),";")))</f>
        <v>;"NavNode_L3D_525384";"Koaxiálny kábel / Audio kábel  / plochý kábel / napájací kábel";</v>
      </c>
      <c r="AR249" s="39" t="str">
        <f>IF(OR($A249&lt;&gt;"", $G249=""),"",CONCATENATE(";",EscStr(CONCATENATE("NavEntry_",getCategoryLevelAsString($B249))),";",EscStr(CONCATENATE($J249," Navigation Entry")),";",EscStr(CONCATENATE("cat-",getCategoryLevelAsString($B249))),";",EscStr(CONCATENATE("NavNode_",getCategoryLevelAsString($B249))),";"))</f>
        <v>;"NavEntry_L3D_525384";"Coaxial Cables / Audio Cables / Flat Cables / Power Cables Navigation Entry";"cat-L3D_525384";"NavNode_L3D_525384";</v>
      </c>
    </row>
    <row r="250" spans="1:44" s="34" customFormat="1" ht="15" x14ac:dyDescent="0.25">
      <c r="A250" s="25"/>
      <c r="B250" s="5"/>
      <c r="C250" s="5"/>
      <c r="D250" s="5" t="s">
        <v>141</v>
      </c>
      <c r="E250" s="5"/>
      <c r="F250" s="5"/>
      <c r="G250" s="5" t="s">
        <v>381</v>
      </c>
      <c r="H250" s="5" t="s">
        <v>382</v>
      </c>
      <c r="I250" s="5" t="s">
        <v>383</v>
      </c>
      <c r="J250" s="5" t="s">
        <v>142</v>
      </c>
      <c r="K250" s="5" t="s">
        <v>1240</v>
      </c>
      <c r="L250" s="5" t="s">
        <v>1474</v>
      </c>
      <c r="M250" s="5" t="s">
        <v>1707</v>
      </c>
      <c r="N250" s="5" t="s">
        <v>1909</v>
      </c>
      <c r="O250" s="5" t="s">
        <v>2758</v>
      </c>
      <c r="P250" s="5" t="s">
        <v>2759</v>
      </c>
      <c r="Q250" s="5" t="s">
        <v>2760</v>
      </c>
      <c r="R250" s="5" t="s">
        <v>2761</v>
      </c>
      <c r="S250" s="5" t="s">
        <v>2762</v>
      </c>
      <c r="T250" s="5" t="s">
        <v>2763</v>
      </c>
      <c r="U250" s="5" t="s">
        <v>2764</v>
      </c>
      <c r="V250" s="5" t="s">
        <v>2765</v>
      </c>
      <c r="W250" s="5" t="s">
        <v>2766</v>
      </c>
      <c r="X250" s="5" t="s">
        <v>14956</v>
      </c>
      <c r="Y250" s="39" t="str">
        <f>IF(OR($A250&lt;&gt;"", $G250=""),"",CONCATENATE(";",EscStr(CONCATENATE("NavNode_",getCategoryLevelAsString($B250))),";",EscStr($J250),";",IF($B250&lt;&gt;"","""MainCategoryNavNode""",EscStr(CONCATENATE("NavNode_",getSuperCategory($B250, getCategoryLevelAsNumber($B250))))),";"))</f>
        <v>;"NavNode_L3D_525385";"Cable Ties / Cable Support";"NavNode_L2D_379529";</v>
      </c>
      <c r="Z250" s="39" t="str">
        <f>IF(getCategoryLevelAsString($B250)="L0D_324785","",IF(G250="",CONCATENATE(";",EscStr(CONCATENATE("NavNode_",getCategoryLevelAsString($B250))),";",EscStr($J250),";"),CONCATENATE(";",EscStr(CONCATENATE("NavNode_",getCategoryLevelAsString($B250))),";",EscStr(G250),";")))</f>
        <v>;"NavNode_L3D_525385";"Kabelbinder / Kabelhalter";</v>
      </c>
      <c r="AA250" s="39" t="str">
        <f>IF(getCategoryLevelAsString($B250)="L0D_324785","",IF(H250="",CONCATENATE(";",EscStr(CONCATENATE("NavNode_",getCategoryLevelAsString($B250))),";",EscStr($J250),";"),CONCATENATE(";",EscStr(CONCATENATE("NavNode_",getCategoryLevelAsString($B250))),";",EscStr(H250),";")))</f>
        <v>;"NavNode_L3D_525385";"Colliers de câble / Fixations de câble";</v>
      </c>
      <c r="AB250" s="39" t="str">
        <f>IF(getCategoryLevelAsString($B250)="L0D_324785","",IF(I250="",CONCATENATE(";",EscStr(CONCATENATE("NavNode_",getCategoryLevelAsString($B250))),";",EscStr($J250),";"),CONCATENATE(";",EscStr(CONCATENATE("NavNode_",getCategoryLevelAsString($B250))),";",EscStr(I250),";")))</f>
        <v>;"NavNode_L3D_525385";"Fascette fermacavi / Portacavi";</v>
      </c>
      <c r="AC250" s="39" t="str">
        <f>IF(getCategoryLevelAsString($B250)="L0D_324785","",IF(J250="",CONCATENATE(";",EscStr(CONCATENATE("NavNode_",getCategoryLevelAsString($B250))),";",EscStr($J250),";"),CONCATENATE(";",EscStr(CONCATENATE("NavNode_",getCategoryLevelAsString($B250))),";",EscStr(J250),";")))</f>
        <v>;"NavNode_L3D_525385";"Cable Ties / Cable Support";</v>
      </c>
      <c r="AD250" s="39" t="str">
        <f>IF(getCategoryLevelAsString($B250)="L0D_324785","",IF(K250="",CONCATENATE(";",EscStr(CONCATENATE("NavNode_",getCategoryLevelAsString($B250))),";",EscStr($J250),";"),CONCATENATE(";",EscStr(CONCATENATE("NavNode_",getCategoryLevelAsString($B250))),";",EscStr(K250),";")))</f>
        <v>;"NavNode_L3D_525385";"Kabelbindere/kabelunderstøtning";</v>
      </c>
      <c r="AE250" s="39" t="str">
        <f>IF(getCategoryLevelAsString($B250)="L0D_324785","",IF(L250="",CONCATENATE(";",EscStr(CONCATENATE("NavNode_",getCategoryLevelAsString($B250))),";",EscStr($J250),";"),CONCATENATE(";",EscStr(CONCATENATE("NavNode_",getCategoryLevelAsString($B250))),";",EscStr(L250),";")))</f>
        <v>;"NavNode_L3D_525385";"Kabelių dirželiai / kabelių laikikliai";</v>
      </c>
      <c r="AF250" s="39" t="str">
        <f>IF(getCategoryLevelAsString($B250)="L0D_324785","",IF(M250="",CONCATENATE(";",EscStr(CONCATENATE("NavNode_",getCategoryLevelAsString($B250))),";",EscStr($J250),";"),CONCATENATE(";",EscStr(CONCATENATE("NavNode_",getCategoryLevelAsString($B250))),";",EscStr(M250),";")))</f>
        <v>;"NavNode_L3D_525385";"Kabelbånd/kabelstøtte";</v>
      </c>
      <c r="AG250" s="39" t="str">
        <f>IF(getCategoryLevelAsString($B250)="L0D_324785","",IF(N250="",CONCATENATE(";",EscStr(CONCATENATE("NavNode_",getCategoryLevelAsString($B250))),";",EscStr($J250),";"),CONCATENATE(";",EscStr(CONCATENATE("NavNode_",getCategoryLevelAsString($B250))),";",EscStr(N250),";")))</f>
        <v>;"NavNode_L3D_525385";"Buntband/Kabelstöd";</v>
      </c>
      <c r="AH250" s="39" t="str">
        <f>IF(getCategoryLevelAsString($B250)="L0D_324785","",IF(O250="",CONCATENATE(";",EscStr(CONCATENATE("NavNode_",getCategoryLevelAsString($B250))),";",EscStr($J250),";"),CONCATENATE(";",EscStr(CONCATENATE("NavNode_",getCategoryLevelAsString($B250))),";",EscStr(O250),";")))</f>
        <v>;"NavNode_L3D_525385";"Kaablisidemed / Kaablikinnitused";</v>
      </c>
      <c r="AI250" s="39" t="str">
        <f>IF(getCategoryLevelAsString($B250)="L0D_324785","",IF(P250="",CONCATENATE(";",EscStr(CONCATENATE("NavNode_",getCategoryLevelAsString($B250))),";",EscStr($J250),";"),CONCATENATE(";",EscStr(CONCATENATE("NavNode_",getCategoryLevelAsString($B250))),";",EscStr(P250),";")))</f>
        <v>;"NavNode_L3D_525385";"Nippusiteet/ tuenta";</v>
      </c>
      <c r="AJ250" s="39" t="str">
        <f>IF(getCategoryLevelAsString($B250)="L0D_324785","",IF(Q250="",CONCATENATE(";",EscStr(CONCATENATE("NavNode_",getCategoryLevelAsString($B250))),";",EscStr($J250),";"),CONCATENATE(";",EscStr(CONCATENATE("NavNode_",getCategoryLevelAsString($B250))),";",EscStr(Q250),";")))</f>
        <v>;"NavNode_L3D_525385";"Kabeļu savilcēji / Kabeļu turētāji";</v>
      </c>
      <c r="AK250" s="39" t="str">
        <f>IF(getCategoryLevelAsString($B250)="L0D_324785","",IF(R250="",CONCATENATE(";",EscStr(CONCATENATE("NavNode_",getCategoryLevelAsString($B250))),";",EscStr($J250),";"),CONCATENATE(";",EscStr(CONCATENATE("NavNode_",getCategoryLevelAsString($B250))),";",EscStr(R250),";")))</f>
        <v>;"NavNode_L3D_525385";"Kabelbinders / Kabelmontage";</v>
      </c>
      <c r="AL250" s="39" t="str">
        <f>IF(getCategoryLevelAsString($B250)="L0D_324785","",IF(S250="",CONCATENATE(";",EscStr(CONCATENATE("NavNode_",getCategoryLevelAsString($B250))),";",EscStr($J250),";"),CONCATENATE(";",EscStr(CONCATENATE("NavNode_",getCategoryLevelAsString($B250))),";",EscStr(S250),";")))</f>
        <v>;"NavNode_L3D_525385";"Opaski zaciskowe / Mocowanie kabla";</v>
      </c>
      <c r="AM250" s="39" t="str">
        <f>IF(getCategoryLevelAsString($B250)="L0D_324785","",IF(T250="",CONCATENATE(";",EscStr(CONCATENATE("NavNode_",getCategoryLevelAsString($B250))),";",EscStr($J250),";"),CONCATENATE(";",EscStr(CONCATENATE("NavNode_",getCategoryLevelAsString($B250))),";",EscStr(T250),";")))</f>
        <v>;"NavNode_L3D_525385";"Кабельные стяжки / Кабельное крепление";</v>
      </c>
      <c r="AN250" s="39" t="str">
        <f>IF(getCategoryLevelAsString($B250)="L0D_324785","",IF(U250="",CONCATENATE(";",EscStr(CONCATENATE("NavNode_",getCategoryLevelAsString($B250))),";",EscStr($J250),";"),CONCATENATE(";",EscStr(CONCATENATE("NavNode_",getCategoryLevelAsString($B250))),";",EscStr(U250),";")))</f>
        <v>;"NavNode_L3D_525385";"Vázací pásky pro kabely / nosné prvky pro kabely";</v>
      </c>
      <c r="AO250" s="39" t="str">
        <f>IF(getCategoryLevelAsString($B250)="L0D_324785","",IF(V250="",CONCATENATE(";",EscStr(CONCATENATE("NavNode_",getCategoryLevelAsString($B250))),";",EscStr($J250),";"),CONCATENATE(";",EscStr(CONCATENATE("NavNode_",getCategoryLevelAsString($B250))),";",EscStr(V250),";")))</f>
        <v>;"NavNode_L3D_525385";"Accesorii de legare a cablurilor / Suporţi de cablu";</v>
      </c>
      <c r="AP250" s="39" t="str">
        <f>IF(getCategoryLevelAsString($B250)="L0D_324785","",IF(W250="",CONCATENATE(";",EscStr(CONCATENATE("NavNode_",getCategoryLevelAsString($B250))),";",EscStr($J250),";"),CONCATENATE(";",EscStr(CONCATENATE("NavNode_",getCategoryLevelAsString($B250))),";",EscStr(W250),";")))</f>
        <v>;"NavNode_L3D_525385";"Kábelkötözők / Kábelrögzítők";</v>
      </c>
      <c r="AQ250" s="39" t="str">
        <f>IF(getCategoryLevelAsString($B250)="L0D_324785","",IF(X250="",CONCATENATE(";",EscStr(CONCATENATE("NavNode_",getCategoryLevelAsString($B250))),";",EscStr($J250),";"),CONCATENATE(";",EscStr(CONCATENATE("NavNode_",getCategoryLevelAsString($B250))),";",EscStr(X250),";")))</f>
        <v>;"NavNode_L3D_525385";"Viazacie pásky pre káble / nosné prvky pre káble";</v>
      </c>
      <c r="AR250" s="39" t="str">
        <f>IF(OR($A250&lt;&gt;"", $G250=""),"",CONCATENATE(";",EscStr(CONCATENATE("NavEntry_",getCategoryLevelAsString($B250))),";",EscStr(CONCATENATE($J250," Navigation Entry")),";",EscStr(CONCATENATE("cat-",getCategoryLevelAsString($B250))),";",EscStr(CONCATENATE("NavNode_",getCategoryLevelAsString($B250))),";"))</f>
        <v>;"NavEntry_L3D_525385";"Cable Ties / Cable Support Navigation Entry";"cat-L3D_525385";"NavNode_L3D_525385";</v>
      </c>
    </row>
    <row r="251" spans="1:44" s="34" customFormat="1" ht="15" x14ac:dyDescent="0.25">
      <c r="A251" s="25"/>
      <c r="B251" s="5"/>
      <c r="C251" s="5"/>
      <c r="D251" s="5" t="s">
        <v>139</v>
      </c>
      <c r="E251" s="5"/>
      <c r="F251" s="5"/>
      <c r="G251" s="5" t="s">
        <v>992</v>
      </c>
      <c r="H251" s="5" t="s">
        <v>1094</v>
      </c>
      <c r="I251" s="5" t="s">
        <v>1153</v>
      </c>
      <c r="J251" s="5" t="s">
        <v>140</v>
      </c>
      <c r="K251" s="5" t="s">
        <v>1241</v>
      </c>
      <c r="L251" s="5" t="s">
        <v>15196</v>
      </c>
      <c r="M251" s="5" t="s">
        <v>1708</v>
      </c>
      <c r="N251" s="5" t="s">
        <v>1910</v>
      </c>
      <c r="O251" s="5" t="s">
        <v>2616</v>
      </c>
      <c r="P251" s="5" t="s">
        <v>2767</v>
      </c>
      <c r="Q251" s="5" t="s">
        <v>2768</v>
      </c>
      <c r="R251" s="5" t="s">
        <v>2769</v>
      </c>
      <c r="S251" s="5" t="s">
        <v>2620</v>
      </c>
      <c r="T251" s="5" t="s">
        <v>2770</v>
      </c>
      <c r="U251" s="5" t="s">
        <v>2771</v>
      </c>
      <c r="V251" s="5" t="s">
        <v>2772</v>
      </c>
      <c r="W251" s="5" t="s">
        <v>2773</v>
      </c>
      <c r="X251" s="5" t="s">
        <v>14957</v>
      </c>
      <c r="Y251" s="39" t="str">
        <f>IF(OR($A251&lt;&gt;"", $G251=""),"",CONCATENATE(";",EscStr(CONCATENATE("NavNode_",getCategoryLevelAsString($B251))),";",EscStr($J251),";",IF($B251&lt;&gt;"","""MainCategoryNavNode""",EscStr(CONCATENATE("NavNode_",getSuperCategory($B251, getCategoryLevelAsNumber($B251))))),";"))</f>
        <v>;"NavNode_L3D_525386";"Terminal Strip / Light Terminals";"NavNode_L2D_379529";</v>
      </c>
      <c r="Z251" s="39" t="str">
        <f>IF(getCategoryLevelAsString($B251)="L0D_324785","",IF(G251="",CONCATENATE(";",EscStr(CONCATENATE("NavNode_",getCategoryLevelAsString($B251))),";",EscStr($J251),";"),CONCATENATE(";",EscStr(CONCATENATE("NavNode_",getCategoryLevelAsString($B251))),";",EscStr(G251),";")))</f>
        <v>;"NavNode_L3D_525386";"Klemmenleiste / Leuchtenklemmen";</v>
      </c>
      <c r="AA251" s="39" t="str">
        <f>IF(getCategoryLevelAsString($B251)="L0D_324785","",IF(H251="",CONCATENATE(";",EscStr(CONCATENATE("NavNode_",getCategoryLevelAsString($B251))),";",EscStr($J251),";"),CONCATENATE(";",EscStr(CONCATENATE("NavNode_",getCategoryLevelAsString($B251))),";",EscStr(H251),";")))</f>
        <v>;"NavNode_L3D_525386";"Borniers / Borniers pour lampe";</v>
      </c>
      <c r="AB251" s="39" t="str">
        <f>IF(getCategoryLevelAsString($B251)="L0D_324785","",IF(I251="",CONCATENATE(";",EscStr(CONCATENATE("NavNode_",getCategoryLevelAsString($B251))),";",EscStr($J251),";"),CONCATENATE(";",EscStr(CONCATENATE("NavNode_",getCategoryLevelAsString($B251))),";",EscStr(I251),";")))</f>
        <v>;"NavNode_L3D_525386";"Morsettiere / Morsetti per lampade";</v>
      </c>
      <c r="AC251" s="39" t="str">
        <f>IF(getCategoryLevelAsString($B251)="L0D_324785","",IF(J251="",CONCATENATE(";",EscStr(CONCATENATE("NavNode_",getCategoryLevelAsString($B251))),";",EscStr($J251),";"),CONCATENATE(";",EscStr(CONCATENATE("NavNode_",getCategoryLevelAsString($B251))),";",EscStr(J251),";")))</f>
        <v>;"NavNode_L3D_525386";"Terminal Strip / Light Terminals";</v>
      </c>
      <c r="AD251" s="39" t="str">
        <f>IF(getCategoryLevelAsString($B251)="L0D_324785","",IF(K251="",CONCATENATE(";",EscStr(CONCATENATE("NavNode_",getCategoryLevelAsString($B251))),";",EscStr($J251),";"),CONCATENATE(";",EscStr(CONCATENATE("NavNode_",getCategoryLevelAsString($B251))),";",EscStr(K251),";")))</f>
        <v>;"NavNode_L3D_525386";"Klemliste/lysterminaler";</v>
      </c>
      <c r="AE251" s="39" t="str">
        <f>IF(getCategoryLevelAsString($B251)="L0D_324785","",IF(L251="",CONCATENATE(";",EscStr(CONCATENATE("NavNode_",getCategoryLevelAsString($B251))),";",EscStr($J251),";"),CONCATENATE(";",EscStr(CONCATENATE("NavNode_",getCategoryLevelAsString($B251))),";",EscStr(L251),";")))</f>
        <v>;"NavNode_L3D_525386";"Gnybtų žymėjimo juostos / apšvietimo gnybtai";</v>
      </c>
      <c r="AF251" s="39" t="str">
        <f>IF(getCategoryLevelAsString($B251)="L0D_324785","",IF(M251="",CONCATENATE(";",EscStr(CONCATENATE("NavNode_",getCategoryLevelAsString($B251))),";",EscStr($J251),";"),CONCATENATE(";",EscStr(CONCATENATE("NavNode_",getCategoryLevelAsString($B251))),";",EscStr(M251),";")))</f>
        <v>;"NavNode_L3D_525386";"Klemmelist/lysklemmer";</v>
      </c>
      <c r="AG251" s="39" t="str">
        <f>IF(getCategoryLevelAsString($B251)="L0D_324785","",IF(N251="",CONCATENATE(";",EscStr(CONCATENATE("NavNode_",getCategoryLevelAsString($B251))),";",EscStr($J251),";"),CONCATENATE(";",EscStr(CONCATENATE("NavNode_",getCategoryLevelAsString($B251))),";",EscStr(N251),";")))</f>
        <v>;"NavNode_L3D_525386";"Kopplingsplint/Ljusplintar";</v>
      </c>
      <c r="AH251" s="39" t="str">
        <f>IF(getCategoryLevelAsString($B251)="L0D_324785","",IF(O251="",CONCATENATE(";",EscStr(CONCATENATE("NavNode_",getCategoryLevelAsString($B251))),";",EscStr($J251),";"),CONCATENATE(";",EscStr(CONCATENATE("NavNode_",getCategoryLevelAsString($B251))),";",EscStr(O251),";")))</f>
        <v>;"NavNode_L3D_525386";"Klemmliistud";</v>
      </c>
      <c r="AI251" s="39" t="str">
        <f>IF(getCategoryLevelAsString($B251)="L0D_324785","",IF(P251="",CONCATENATE(";",EscStr(CONCATENATE("NavNode_",getCategoryLevelAsString($B251))),";",EscStr($J251),";"),CONCATENATE(";",EscStr(CONCATENATE("NavNode_",getCategoryLevelAsString($B251))),";",EscStr(P251),";")))</f>
        <v>;"NavNode_L3D_525386";"Kytkentärimat";</v>
      </c>
      <c r="AJ251" s="39" t="str">
        <f>IF(getCategoryLevelAsString($B251)="L0D_324785","",IF(Q251="",CONCATENATE(";",EscStr(CONCATENATE("NavNode_",getCategoryLevelAsString($B251))),";",EscStr($J251),";"),CONCATENATE(";",EscStr(CONCATENATE("NavNode_",getCategoryLevelAsString($B251))),";",EscStr(Q251),";")))</f>
        <v>;"NavNode_L3D_525386";"Plakanspailes / apgaismes termināļi";</v>
      </c>
      <c r="AK251" s="39" t="str">
        <f>IF(getCategoryLevelAsString($B251)="L0D_324785","",IF(R251="",CONCATENATE(";",EscStr(CONCATENATE("NavNode_",getCategoryLevelAsString($B251))),";",EscStr($J251),";"),CONCATENATE(";",EscStr(CONCATENATE("NavNode_",getCategoryLevelAsString($B251))),";",EscStr(R251),";")))</f>
        <v>;"NavNode_L3D_525386";"Kroonsteen strips / kroonklem";</v>
      </c>
      <c r="AL251" s="39" t="str">
        <f>IF(getCategoryLevelAsString($B251)="L0D_324785","",IF(S251="",CONCATENATE(";",EscStr(CONCATENATE("NavNode_",getCategoryLevelAsString($B251))),";",EscStr($J251),";"),CONCATENATE(";",EscStr(CONCATENATE("NavNode_",getCategoryLevelAsString($B251))),";",EscStr(S251),";")))</f>
        <v>;"NavNode_L3D_525386";"Listwy łączeniowe";</v>
      </c>
      <c r="AM251" s="39" t="str">
        <f>IF(getCategoryLevelAsString($B251)="L0D_324785","",IF(T251="",CONCATENATE(";",EscStr(CONCATENATE("NavNode_",getCategoryLevelAsString($B251))),";",EscStr($J251),";"),CONCATENATE(";",EscStr(CONCATENATE("NavNode_",getCategoryLevelAsString($B251))),";",EscStr(T251),";")))</f>
        <v>;"NavNode_L3D_525386";"Клеммные полосы / Клеммы для осветительного оборудования";</v>
      </c>
      <c r="AN251" s="39" t="str">
        <f>IF(getCategoryLevelAsString($B251)="L0D_324785","",IF(U251="",CONCATENATE(";",EscStr(CONCATENATE("NavNode_",getCategoryLevelAsString($B251))),";",EscStr($J251),";"),CONCATENATE(";",EscStr(CONCATENATE("NavNode_",getCategoryLevelAsString($B251))),";",EscStr(U251),";")))</f>
        <v>;"NavNode_L3D_525386";"Pásková svorkovnice / svorky pro osvětlení";</v>
      </c>
      <c r="AO251" s="39" t="str">
        <f>IF(getCategoryLevelAsString($B251)="L0D_324785","",IF(V251="",CONCATENATE(";",EscStr(CONCATENATE("NavNode_",getCategoryLevelAsString($B251))),";",EscStr($J251),";"),CONCATENATE(";",EscStr(CONCATENATE("NavNode_",getCategoryLevelAsString($B251))),";",EscStr(V251),";")))</f>
        <v>;"NavNode_L3D_525386";"Bloc terminal / lumină terminale";</v>
      </c>
      <c r="AP251" s="39" t="str">
        <f>IF(getCategoryLevelAsString($B251)="L0D_324785","",IF(W251="",CONCATENATE(";",EscStr(CONCATENATE("NavNode_",getCategoryLevelAsString($B251))),";",EscStr($J251),";"),CONCATENATE(";",EscStr(CONCATENATE("NavNode_",getCategoryLevelAsString($B251))),";",EscStr(W251),";")))</f>
        <v>;"NavNode_L3D_525386";"Sorkapcsok / Gyorscsatlakozók";</v>
      </c>
      <c r="AQ251" s="39" t="str">
        <f>IF(getCategoryLevelAsString($B251)="L0D_324785","",IF(X251="",CONCATENATE(";",EscStr(CONCATENATE("NavNode_",getCategoryLevelAsString($B251))),";",EscStr($J251),";"),CONCATENATE(";",EscStr(CONCATENATE("NavNode_",getCategoryLevelAsString($B251))),";",EscStr(X251),";")))</f>
        <v>;"NavNode_L3D_525386";"Pásková svorkovnice / svorky pre osvetlenie";</v>
      </c>
      <c r="AR251" s="39" t="str">
        <f>IF(OR($A251&lt;&gt;"", $G251=""),"",CONCATENATE(";",EscStr(CONCATENATE("NavEntry_",getCategoryLevelAsString($B251))),";",EscStr(CONCATENATE($J251," Navigation Entry")),";",EscStr(CONCATENATE("cat-",getCategoryLevelAsString($B251))),";",EscStr(CONCATENATE("NavNode_",getCategoryLevelAsString($B251))),";"))</f>
        <v>;"NavEntry_L3D_525386";"Terminal Strip / Light Terminals Navigation Entry";"cat-L3D_525386";"NavNode_L3D_525386";</v>
      </c>
    </row>
    <row r="252" spans="1:44" s="34" customFormat="1" ht="15" x14ac:dyDescent="0.25">
      <c r="A252" s="25"/>
      <c r="B252" s="5"/>
      <c r="C252" s="5" t="s">
        <v>2114</v>
      </c>
      <c r="D252" s="5"/>
      <c r="E252" s="5"/>
      <c r="F252" s="5"/>
      <c r="G252" s="5" t="s">
        <v>2115</v>
      </c>
      <c r="H252" s="5" t="s">
        <v>3729</v>
      </c>
      <c r="I252" s="41" t="s">
        <v>13740</v>
      </c>
      <c r="J252" s="5" t="s">
        <v>2124</v>
      </c>
      <c r="K252" s="5" t="s">
        <v>3731</v>
      </c>
      <c r="L252" s="5" t="s">
        <v>3732</v>
      </c>
      <c r="M252" s="5" t="s">
        <v>3733</v>
      </c>
      <c r="N252" s="5" t="s">
        <v>3734</v>
      </c>
      <c r="O252" s="5" t="s">
        <v>14092</v>
      </c>
      <c r="P252" s="5" t="s">
        <v>3736</v>
      </c>
      <c r="Q252" s="5" t="s">
        <v>14269</v>
      </c>
      <c r="R252" s="5" t="s">
        <v>14351</v>
      </c>
      <c r="S252" s="5" t="s">
        <v>3739</v>
      </c>
      <c r="T252" s="5" t="s">
        <v>3740</v>
      </c>
      <c r="U252" s="5" t="s">
        <v>3741</v>
      </c>
      <c r="V252" s="5" t="s">
        <v>3742</v>
      </c>
      <c r="W252" s="5" t="s">
        <v>3743</v>
      </c>
      <c r="X252" s="5" t="s">
        <v>3741</v>
      </c>
      <c r="Y252" s="39" t="str">
        <f>IF(OR($A252&lt;&gt;"", $G252=""),"",CONCATENATE(";",EscStr(CONCATENATE("NavNode_",getCategoryLevelAsString($B252))),";",EscStr($J252),";",IF($B252&lt;&gt;"","""MainCategoryNavNode""",EscStr(CONCATENATE("NavNode_",getSuperCategory($B252, getCategoryLevelAsNumber($B252))))),";"))</f>
        <v>;"NavNode_L2D_653174";"Building Technologies";"NavNode_Electrical Engineering / Cables";</v>
      </c>
      <c r="Z252" s="39" t="str">
        <f>IF(getCategoryLevelAsString($B252)="L0D_324785","",IF(G252="",CONCATENATE(";",EscStr(CONCATENATE("NavNode_",getCategoryLevelAsString($B252))),";",EscStr($J252),";"),CONCATENATE(";",EscStr(CONCATENATE("NavNode_",getCategoryLevelAsString($B252))),";",EscStr(G252),";")))</f>
        <v>;"NavNode_L2D_653174";"Gebäudetechnik";</v>
      </c>
      <c r="AA252" s="39" t="str">
        <f>IF(getCategoryLevelAsString($B252)="L0D_324785","",IF(H252="",CONCATENATE(";",EscStr(CONCATENATE("NavNode_",getCategoryLevelAsString($B252))),";",EscStr($J252),";"),CONCATENATE(";",EscStr(CONCATENATE("NavNode_",getCategoryLevelAsString($B252))),";",EscStr(H252),";")))</f>
        <v>;"NavNode_L2D_653174";"Techniques de bâtiment";</v>
      </c>
      <c r="AB252" s="39" t="str">
        <f>IF(getCategoryLevelAsString($B252)="L0D_324785","",IF(I252="",CONCATENATE(";",EscStr(CONCATENATE("NavNode_",getCategoryLevelAsString($B252))),";",EscStr($J252),";"),CONCATENATE(";",EscStr(CONCATENATE("NavNode_",getCategoryLevelAsString($B252))),";",EscStr(I252),";")))</f>
        <v>;"NavNode_L2D_653174";"Tecnologia per gli edifici";</v>
      </c>
      <c r="AC252" s="39" t="str">
        <f>IF(getCategoryLevelAsString($B252)="L0D_324785","",IF(J252="",CONCATENATE(";",EscStr(CONCATENATE("NavNode_",getCategoryLevelAsString($B252))),";",EscStr($J252),";"),CONCATENATE(";",EscStr(CONCATENATE("NavNode_",getCategoryLevelAsString($B252))),";",EscStr(J252),";")))</f>
        <v>;"NavNode_L2D_653174";"Building Technologies";</v>
      </c>
      <c r="AD252" s="39" t="str">
        <f>IF(getCategoryLevelAsString($B252)="L0D_324785","",IF(K252="",CONCATENATE(";",EscStr(CONCATENATE("NavNode_",getCategoryLevelAsString($B252))),";",EscStr($J252),";"),CONCATENATE(";",EscStr(CONCATENATE("NavNode_",getCategoryLevelAsString($B252))),";",EscStr(K252),";")))</f>
        <v>;"NavNode_L2D_653174";"Bygningsteknologi";</v>
      </c>
      <c r="AE252" s="39" t="str">
        <f>IF(getCategoryLevelAsString($B252)="L0D_324785","",IF(L252="",CONCATENATE(";",EscStr(CONCATENATE("NavNode_",getCategoryLevelAsString($B252))),";",EscStr($J252),";"),CONCATENATE(";",EscStr(CONCATENATE("NavNode_",getCategoryLevelAsString($B252))),";",EscStr(L252),";")))</f>
        <v>;"NavNode_L2D_653174";"Protingo namo technologijos";</v>
      </c>
      <c r="AF252" s="39" t="str">
        <f>IF(getCategoryLevelAsString($B252)="L0D_324785","",IF(M252="",CONCATENATE(";",EscStr(CONCATENATE("NavNode_",getCategoryLevelAsString($B252))),";",EscStr($J252),";"),CONCATENATE(";",EscStr(CONCATENATE("NavNode_",getCategoryLevelAsString($B252))),";",EscStr(M252),";")))</f>
        <v>;"NavNode_L2D_653174";"Bygningsteknologier";</v>
      </c>
      <c r="AG252" s="39" t="str">
        <f>IF(getCategoryLevelAsString($B252)="L0D_324785","",IF(N252="",CONCATENATE(";",EscStr(CONCATENATE("NavNode_",getCategoryLevelAsString($B252))),";",EscStr($J252),";"),CONCATENATE(";",EscStr(CONCATENATE("NavNode_",getCategoryLevelAsString($B252))),";",EscStr(N252),";")))</f>
        <v>;"NavNode_L2D_653174";"Byggteknik";</v>
      </c>
      <c r="AH252" s="39" t="str">
        <f>IF(getCategoryLevelAsString($B252)="L0D_324785","",IF(O252="",CONCATENATE(";",EscStr(CONCATENATE("NavNode_",getCategoryLevelAsString($B252))),";",EscStr($J252),";"),CONCATENATE(";",EscStr(CONCATENATE("NavNode_",getCategoryLevelAsString($B252))),";",EscStr(O252),";")))</f>
        <v>;"NavNode_L2D_653174";"Tehnoloogiate loomine";</v>
      </c>
      <c r="AI252" s="39" t="str">
        <f>IF(getCategoryLevelAsString($B252)="L0D_324785","",IF(P252="",CONCATENATE(";",EscStr(CONCATENATE("NavNode_",getCategoryLevelAsString($B252))),";",EscStr($J252),";"),CONCATENATE(";",EscStr(CONCATENATE("NavNode_",getCategoryLevelAsString($B252))),";",EscStr(P252),";")))</f>
        <v>;"NavNode_L2D_653174";"Rakennustekniikka";</v>
      </c>
      <c r="AJ252" s="39" t="str">
        <f>IF(getCategoryLevelAsString($B252)="L0D_324785","",IF(Q252="",CONCATENATE(";",EscStr(CONCATENATE("NavNode_",getCategoryLevelAsString($B252))),";",EscStr($J252),";"),CONCATENATE(";",EscStr(CONCATENATE("NavNode_",getCategoryLevelAsString($B252))),";",EscStr(Q252),";")))</f>
        <v>;"NavNode_L2D_653174";"Būvniecības tehnoloģijas";</v>
      </c>
      <c r="AK252" s="39" t="str">
        <f>IF(getCategoryLevelAsString($B252)="L0D_324785","",IF(R252="",CONCATENATE(";",EscStr(CONCATENATE("NavNode_",getCategoryLevelAsString($B252))),";",EscStr($J252),";"),CONCATENATE(";",EscStr(CONCATENATE("NavNode_",getCategoryLevelAsString($B252))),";",EscStr(R252),";")))</f>
        <v>;"NavNode_L2D_653174";"Bouwtechnologieën";</v>
      </c>
      <c r="AL252" s="39" t="str">
        <f>IF(getCategoryLevelAsString($B252)="L0D_324785","",IF(S252="",CONCATENATE(";",EscStr(CONCATENATE("NavNode_",getCategoryLevelAsString($B252))),";",EscStr($J252),";"),CONCATENATE(";",EscStr(CONCATENATE("NavNode_",getCategoryLevelAsString($B252))),";",EscStr(S252),";")))</f>
        <v>;"NavNode_L2D_653174";"Technika budowlana";</v>
      </c>
      <c r="AM252" s="39" t="str">
        <f>IF(getCategoryLevelAsString($B252)="L0D_324785","",IF(T252="",CONCATENATE(";",EscStr(CONCATENATE("NavNode_",getCategoryLevelAsString($B252))),";",EscStr($J252),";"),CONCATENATE(";",EscStr(CONCATENATE("NavNode_",getCategoryLevelAsString($B252))),";",EscStr(T252),";")))</f>
        <v>;"NavNode_L2D_653174";"Строительные технологии";</v>
      </c>
      <c r="AN252" s="39" t="str">
        <f>IF(getCategoryLevelAsString($B252)="L0D_324785","",IF(U252="",CONCATENATE(";",EscStr(CONCATENATE("NavNode_",getCategoryLevelAsString($B252))),";",EscStr($J252),";"),CONCATENATE(";",EscStr(CONCATENATE("NavNode_",getCategoryLevelAsString($B252))),";",EscStr(U252),";")))</f>
        <v>;"NavNode_L2D_653174";"Stavební technologie";</v>
      </c>
      <c r="AO252" s="39" t="str">
        <f>IF(getCategoryLevelAsString($B252)="L0D_324785","",IF(V252="",CONCATENATE(";",EscStr(CONCATENATE("NavNode_",getCategoryLevelAsString($B252))),";",EscStr($J252),";"),CONCATENATE(";",EscStr(CONCATENATE("NavNode_",getCategoryLevelAsString($B252))),";",EscStr(V252),";")))</f>
        <v>;"NavNode_L2D_653174";"Tehnologii clădiri";</v>
      </c>
      <c r="AP252" s="39" t="str">
        <f>IF(getCategoryLevelAsString($B252)="L0D_324785","",IF(W252="",CONCATENATE(";",EscStr(CONCATENATE("NavNode_",getCategoryLevelAsString($B252))),";",EscStr($J252),";"),CONCATENATE(";",EscStr(CONCATENATE("NavNode_",getCategoryLevelAsString($B252))),";",EscStr(W252),";")))</f>
        <v>;"NavNode_L2D_653174";"Épülettechnológiák";</v>
      </c>
      <c r="AQ252" s="39" t="str">
        <f>IF(getCategoryLevelAsString($B252)="L0D_324785","",IF(X252="",CONCATENATE(";",EscStr(CONCATENATE("NavNode_",getCategoryLevelAsString($B252))),";",EscStr($J252),";"),CONCATENATE(";",EscStr(CONCATENATE("NavNode_",getCategoryLevelAsString($B252))),";",EscStr(X252),";")))</f>
        <v>;"NavNode_L2D_653174";"Stavební technologie";</v>
      </c>
      <c r="AR252" s="39" t="str">
        <f>IF(OR($A252&lt;&gt;"", $G252=""),"",CONCATENATE(";",EscStr(CONCATENATE("NavEntry_",getCategoryLevelAsString($B252))),";",EscStr(CONCATENATE($J252," Navigation Entry")),";",EscStr(CONCATENATE("cat-",getCategoryLevelAsString($B252))),";",EscStr(CONCATENATE("NavNode_",getCategoryLevelAsString($B252))),";"))</f>
        <v>;"NavEntry_L2D_653174";"Building Technologies Navigation Entry";"cat-L2D_653174";"NavNode_L2D_653174";</v>
      </c>
    </row>
    <row r="253" spans="1:44" s="34" customFormat="1" ht="15" x14ac:dyDescent="0.25">
      <c r="A253" s="25"/>
      <c r="B253" s="5"/>
      <c r="C253" s="5"/>
      <c r="D253" s="5" t="s">
        <v>2117</v>
      </c>
      <c r="E253" s="5"/>
      <c r="F253" s="5"/>
      <c r="G253" s="5" t="s">
        <v>2121</v>
      </c>
      <c r="H253" s="5" t="s">
        <v>3759</v>
      </c>
      <c r="I253" s="5" t="s">
        <v>3760</v>
      </c>
      <c r="J253" s="5" t="s">
        <v>2126</v>
      </c>
      <c r="K253" s="5" t="s">
        <v>3761</v>
      </c>
      <c r="L253" s="5" t="s">
        <v>3762</v>
      </c>
      <c r="M253" s="5" t="s">
        <v>3763</v>
      </c>
      <c r="N253" s="5" t="s">
        <v>3764</v>
      </c>
      <c r="O253" s="5" t="s">
        <v>14093</v>
      </c>
      <c r="P253" s="5" t="s">
        <v>3766</v>
      </c>
      <c r="Q253" s="5" t="s">
        <v>14270</v>
      </c>
      <c r="R253" s="5" t="s">
        <v>14352</v>
      </c>
      <c r="S253" s="5" t="s">
        <v>3769</v>
      </c>
      <c r="T253" s="5" t="s">
        <v>3770</v>
      </c>
      <c r="U253" s="5" t="s">
        <v>3771</v>
      </c>
      <c r="V253" s="5" t="s">
        <v>3772</v>
      </c>
      <c r="W253" s="5" t="s">
        <v>3773</v>
      </c>
      <c r="X253" s="5" t="s">
        <v>3771</v>
      </c>
      <c r="Y253" s="39" t="str">
        <f>IF(OR($A253&lt;&gt;"", $G253=""),"",CONCATENATE(";",EscStr(CONCATENATE("NavNode_",getCategoryLevelAsString($B253))),";",EscStr($J253),";",IF($B253&lt;&gt;"","""MainCategoryNavNode""",EscStr(CONCATENATE("NavNode_",getSuperCategory($B253, getCategoryLevelAsNumber($B253))))),";"))</f>
        <v>;"NavNode_L3D_657103";"Building Security";"NavNode_L2D_653174";</v>
      </c>
      <c r="Z253" s="39" t="str">
        <f>IF(getCategoryLevelAsString($B253)="L0D_324785","",IF(G253="",CONCATENATE(";",EscStr(CONCATENATE("NavNode_",getCategoryLevelAsString($B253))),";",EscStr($J253),";"),CONCATENATE(";",EscStr(CONCATENATE("NavNode_",getCategoryLevelAsString($B253))),";",EscStr(G253),";")))</f>
        <v>;"NavNode_L3D_657103";"Gebäudesicherheit";</v>
      </c>
      <c r="AA253" s="39" t="str">
        <f>IF(getCategoryLevelAsString($B253)="L0D_324785","",IF(H253="",CONCATENATE(";",EscStr(CONCATENATE("NavNode_",getCategoryLevelAsString($B253))),";",EscStr($J253),";"),CONCATENATE(";",EscStr(CONCATENATE("NavNode_",getCategoryLevelAsString($B253))),";",EscStr(H253),";")))</f>
        <v>;"NavNode_L3D_657103";"Sécurité des bâtiments";</v>
      </c>
      <c r="AB253" s="39" t="str">
        <f>IF(getCategoryLevelAsString($B253)="L0D_324785","",IF(I253="",CONCATENATE(";",EscStr(CONCATENATE("NavNode_",getCategoryLevelAsString($B253))),";",EscStr($J253),";"),CONCATENATE(";",EscStr(CONCATENATE("NavNode_",getCategoryLevelAsString($B253))),";",EscStr(I253),";")))</f>
        <v>;"NavNode_L3D_657103";"Sicurezza degli edifici";</v>
      </c>
      <c r="AC253" s="39" t="str">
        <f>IF(getCategoryLevelAsString($B253)="L0D_324785","",IF(J253="",CONCATENATE(";",EscStr(CONCATENATE("NavNode_",getCategoryLevelAsString($B253))),";",EscStr($J253),";"),CONCATENATE(";",EscStr(CONCATENATE("NavNode_",getCategoryLevelAsString($B253))),";",EscStr(J253),";")))</f>
        <v>;"NavNode_L3D_657103";"Building Security";</v>
      </c>
      <c r="AD253" s="39" t="str">
        <f>IF(getCategoryLevelAsString($B253)="L0D_324785","",IF(K253="",CONCATENATE(";",EscStr(CONCATENATE("NavNode_",getCategoryLevelAsString($B253))),";",EscStr($J253),";"),CONCATENATE(";",EscStr(CONCATENATE("NavNode_",getCategoryLevelAsString($B253))),";",EscStr(K253),";")))</f>
        <v>;"NavNode_L3D_657103";"Bygningssikkerhed";</v>
      </c>
      <c r="AE253" s="39" t="str">
        <f>IF(getCategoryLevelAsString($B253)="L0D_324785","",IF(L253="",CONCATENATE(";",EscStr(CONCATENATE("NavNode_",getCategoryLevelAsString($B253))),";",EscStr($J253),";"),CONCATENATE(";",EscStr(CONCATENATE("NavNode_",getCategoryLevelAsString($B253))),";",EscStr(L253),";")))</f>
        <v>;"NavNode_L3D_657103";"Apsaugos komponentai";</v>
      </c>
      <c r="AF253" s="39" t="str">
        <f>IF(getCategoryLevelAsString($B253)="L0D_324785","",IF(M253="",CONCATENATE(";",EscStr(CONCATENATE("NavNode_",getCategoryLevelAsString($B253))),";",EscStr($J253),";"),CONCATENATE(";",EscStr(CONCATENATE("NavNode_",getCategoryLevelAsString($B253))),";",EscStr(M253),";")))</f>
        <v>;"NavNode_L3D_657103";"Bygningssikkerhet";</v>
      </c>
      <c r="AG253" s="39" t="str">
        <f>IF(getCategoryLevelAsString($B253)="L0D_324785","",IF(N253="",CONCATENATE(";",EscStr(CONCATENATE("NavNode_",getCategoryLevelAsString($B253))),";",EscStr($J253),";"),CONCATENATE(";",EscStr(CONCATENATE("NavNode_",getCategoryLevelAsString($B253))),";",EscStr(N253),";")))</f>
        <v>;"NavNode_L3D_657103";"Byggsäkerhet";</v>
      </c>
      <c r="AH253" s="39" t="str">
        <f>IF(getCategoryLevelAsString($B253)="L0D_324785","",IF(O253="",CONCATENATE(";",EscStr(CONCATENATE("NavNode_",getCategoryLevelAsString($B253))),";",EscStr($J253),";"),CONCATENATE(";",EscStr(CONCATENATE("NavNode_",getCategoryLevelAsString($B253))),";",EscStr(O253),";")))</f>
        <v>;"NavNode_L3D_657103";"Turvalisuse loomine";</v>
      </c>
      <c r="AI253" s="39" t="str">
        <f>IF(getCategoryLevelAsString($B253)="L0D_324785","",IF(P253="",CONCATENATE(";",EscStr(CONCATENATE("NavNode_",getCategoryLevelAsString($B253))),";",EscStr($J253),";"),CONCATENATE(";",EscStr(CONCATENATE("NavNode_",getCategoryLevelAsString($B253))),";",EscStr(P253),";")))</f>
        <v>;"NavNode_L3D_657103";"Rakennusturvallisuus";</v>
      </c>
      <c r="AJ253" s="39" t="str">
        <f>IF(getCategoryLevelAsString($B253)="L0D_324785","",IF(Q253="",CONCATENATE(";",EscStr(CONCATENATE("NavNode_",getCategoryLevelAsString($B253))),";",EscStr($J253),";"),CONCATENATE(";",EscStr(CONCATENATE("NavNode_",getCategoryLevelAsString($B253))),";",EscStr(Q253),";")))</f>
        <v>;"NavNode_L3D_657103";"Ēkas drošība";</v>
      </c>
      <c r="AK253" s="39" t="str">
        <f>IF(getCategoryLevelAsString($B253)="L0D_324785","",IF(R253="",CONCATENATE(";",EscStr(CONCATENATE("NavNode_",getCategoryLevelAsString($B253))),";",EscStr($J253),";"),CONCATENATE(";",EscStr(CONCATENATE("NavNode_",getCategoryLevelAsString($B253))),";",EscStr(R253),";")))</f>
        <v>;"NavNode_L3D_657103";"Gebouwbeveiliging";</v>
      </c>
      <c r="AL253" s="39" t="str">
        <f>IF(getCategoryLevelAsString($B253)="L0D_324785","",IF(S253="",CONCATENATE(";",EscStr(CONCATENATE("NavNode_",getCategoryLevelAsString($B253))),";",EscStr($J253),";"),CONCATENATE(";",EscStr(CONCATENATE("NavNode_",getCategoryLevelAsString($B253))),";",EscStr(S253),";")))</f>
        <v>;"NavNode_L3D_657103";"Bezpieczeństwo budynków";</v>
      </c>
      <c r="AM253" s="39" t="str">
        <f>IF(getCategoryLevelAsString($B253)="L0D_324785","",IF(T253="",CONCATENATE(";",EscStr(CONCATENATE("NavNode_",getCategoryLevelAsString($B253))),";",EscStr($J253),";"),CONCATENATE(";",EscStr(CONCATENATE("NavNode_",getCategoryLevelAsString($B253))),";",EscStr(T253),";")))</f>
        <v>;"NavNode_L3D_657103";"Строительная безопасность";</v>
      </c>
      <c r="AN253" s="39" t="str">
        <f>IF(getCategoryLevelAsString($B253)="L0D_324785","",IF(U253="",CONCATENATE(";",EscStr(CONCATENATE("NavNode_",getCategoryLevelAsString($B253))),";",EscStr($J253),";"),CONCATENATE(";",EscStr(CONCATENATE("NavNode_",getCategoryLevelAsString($B253))),";",EscStr(U253),";")))</f>
        <v>;"NavNode_L3D_657103";"Stavební bezpečnost";</v>
      </c>
      <c r="AO253" s="39" t="str">
        <f>IF(getCategoryLevelAsString($B253)="L0D_324785","",IF(V253="",CONCATENATE(";",EscStr(CONCATENATE("NavNode_",getCategoryLevelAsString($B253))),";",EscStr($J253),";"),CONCATENATE(";",EscStr(CONCATENATE("NavNode_",getCategoryLevelAsString($B253))),";",EscStr(V253),";")))</f>
        <v>;"NavNode_L3D_657103";"Sisteme de securitate clădiri";</v>
      </c>
      <c r="AP253" s="39" t="str">
        <f>IF(getCategoryLevelAsString($B253)="L0D_324785","",IF(W253="",CONCATENATE(";",EscStr(CONCATENATE("NavNode_",getCategoryLevelAsString($B253))),";",EscStr($J253),";"),CONCATENATE(";",EscStr(CONCATENATE("NavNode_",getCategoryLevelAsString($B253))),";",EscStr(W253),";")))</f>
        <v>;"NavNode_L3D_657103";"Épületbiztonság";</v>
      </c>
      <c r="AQ253" s="39" t="str">
        <f>IF(getCategoryLevelAsString($B253)="L0D_324785","",IF(X253="",CONCATENATE(";",EscStr(CONCATENATE("NavNode_",getCategoryLevelAsString($B253))),";",EscStr($J253),";"),CONCATENATE(";",EscStr(CONCATENATE("NavNode_",getCategoryLevelAsString($B253))),";",EscStr(X253),";")))</f>
        <v>;"NavNode_L3D_657103";"Stavební bezpečnost";</v>
      </c>
      <c r="AR253" s="39" t="str">
        <f>IF(OR($A253&lt;&gt;"", $G253=""),"",CONCATENATE(";",EscStr(CONCATENATE("NavEntry_",getCategoryLevelAsString($B253))),";",EscStr(CONCATENATE($J253," Navigation Entry")),";",EscStr(CONCATENATE("cat-",getCategoryLevelAsString($B253))),";",EscStr(CONCATENATE("NavNode_",getCategoryLevelAsString($B253))),";"))</f>
        <v>;"NavEntry_L3D_657103";"Building Security Navigation Entry";"cat-L3D_657103";"NavNode_L3D_657103";</v>
      </c>
    </row>
    <row r="254" spans="1:44" s="34" customFormat="1" ht="15" x14ac:dyDescent="0.25">
      <c r="A254" s="25"/>
      <c r="B254" s="5"/>
      <c r="C254" s="5"/>
      <c r="D254" s="5" t="s">
        <v>2118</v>
      </c>
      <c r="E254" s="5"/>
      <c r="F254" s="5"/>
      <c r="G254" s="5" t="s">
        <v>2122</v>
      </c>
      <c r="H254" s="5" t="s">
        <v>3774</v>
      </c>
      <c r="I254" s="5" t="s">
        <v>3775</v>
      </c>
      <c r="J254" s="5" t="s">
        <v>2127</v>
      </c>
      <c r="K254" s="5" t="s">
        <v>3776</v>
      </c>
      <c r="L254" s="5" t="s">
        <v>3777</v>
      </c>
      <c r="M254" s="5" t="s">
        <v>3778</v>
      </c>
      <c r="N254" s="5" t="s">
        <v>3779</v>
      </c>
      <c r="O254" s="5" t="s">
        <v>14094</v>
      </c>
      <c r="P254" s="5" t="s">
        <v>3781</v>
      </c>
      <c r="Q254" s="5" t="s">
        <v>14271</v>
      </c>
      <c r="R254" s="5" t="s">
        <v>14353</v>
      </c>
      <c r="S254" s="5" t="s">
        <v>3784</v>
      </c>
      <c r="T254" s="5" t="s">
        <v>3785</v>
      </c>
      <c r="U254" s="5" t="s">
        <v>3786</v>
      </c>
      <c r="V254" s="5" t="s">
        <v>3787</v>
      </c>
      <c r="W254" s="5" t="s">
        <v>3788</v>
      </c>
      <c r="X254" s="5" t="s">
        <v>3786</v>
      </c>
      <c r="Y254" s="39" t="str">
        <f>IF(OR($A254&lt;&gt;"", $G254=""),"",CONCATENATE(";",EscStr(CONCATENATE("NavNode_",getCategoryLevelAsString($B254))),";",EscStr($J254),";",IF($B254&lt;&gt;"","""MainCategoryNavNode""",EscStr(CONCATENATE("NavNode_",getSuperCategory($B254, getCategoryLevelAsNumber($B254))))),";"))</f>
        <v>;"NavNode_L3D_658528";"Remote Switching Systems";"NavNode_L2D_653174";</v>
      </c>
      <c r="Z254" s="39" t="str">
        <f>IF(getCategoryLevelAsString($B254)="L0D_324785","",IF(G254="",CONCATENATE(";",EscStr(CONCATENATE("NavNode_",getCategoryLevelAsString($B254))),";",EscStr($J254),";"),CONCATENATE(";",EscStr(CONCATENATE("NavNode_",getCategoryLevelAsString($B254))),";",EscStr(G254),";")))</f>
        <v>;"NavNode_L3D_658528";"Fernschaltsysteme";</v>
      </c>
      <c r="AA254" s="39" t="str">
        <f>IF(getCategoryLevelAsString($B254)="L0D_324785","",IF(H254="",CONCATENATE(";",EscStr(CONCATENATE("NavNode_",getCategoryLevelAsString($B254))),";",EscStr($J254),";"),CONCATENATE(";",EscStr(CONCATENATE("NavNode_",getCategoryLevelAsString($B254))),";",EscStr(H254),";")))</f>
        <v>;"NavNode_L3D_658528";"Systèmes de commutation à distance";</v>
      </c>
      <c r="AB254" s="39" t="str">
        <f>IF(getCategoryLevelAsString($B254)="L0D_324785","",IF(I254="",CONCATENATE(";",EscStr(CONCATENATE("NavNode_",getCategoryLevelAsString($B254))),";",EscStr($J254),";"),CONCATENATE(";",EscStr(CONCATENATE("NavNode_",getCategoryLevelAsString($B254))),";",EscStr(I254),";")))</f>
        <v>;"NavNode_L3D_658528";"Sistemi di commutazione remoti";</v>
      </c>
      <c r="AC254" s="39" t="str">
        <f>IF(getCategoryLevelAsString($B254)="L0D_324785","",IF(J254="",CONCATENATE(";",EscStr(CONCATENATE("NavNode_",getCategoryLevelAsString($B254))),";",EscStr($J254),";"),CONCATENATE(";",EscStr(CONCATENATE("NavNode_",getCategoryLevelAsString($B254))),";",EscStr(J254),";")))</f>
        <v>;"NavNode_L3D_658528";"Remote Switching Systems";</v>
      </c>
      <c r="AD254" s="39" t="str">
        <f>IF(getCategoryLevelAsString($B254)="L0D_324785","",IF(K254="",CONCATENATE(";",EscStr(CONCATENATE("NavNode_",getCategoryLevelAsString($B254))),";",EscStr($J254),";"),CONCATENATE(";",EscStr(CONCATENATE("NavNode_",getCategoryLevelAsString($B254))),";",EscStr(K254),";")))</f>
        <v>;"NavNode_L3D_658528";"Fjernstyrede switchsystemer";</v>
      </c>
      <c r="AE254" s="39" t="str">
        <f>IF(getCategoryLevelAsString($B254)="L0D_324785","",IF(L254="",CONCATENATE(";",EscStr(CONCATENATE("NavNode_",getCategoryLevelAsString($B254))),";",EscStr($J254),";"),CONCATENATE(";",EscStr(CONCATENATE("NavNode_",getCategoryLevelAsString($B254))),";",EscStr(L254),";")))</f>
        <v>;"NavNode_L3D_658528";"Nuotolinio valdymo sistemos";</v>
      </c>
      <c r="AF254" s="39" t="str">
        <f>IF(getCategoryLevelAsString($B254)="L0D_324785","",IF(M254="",CONCATENATE(";",EscStr(CONCATENATE("NavNode_",getCategoryLevelAsString($B254))),";",EscStr($J254),";"),CONCATENATE(";",EscStr(CONCATENATE("NavNode_",getCategoryLevelAsString($B254))),";",EscStr(M254),";")))</f>
        <v>;"NavNode_L3D_658528";"Eksterne vekslesystemer";</v>
      </c>
      <c r="AG254" s="39" t="str">
        <f>IF(getCategoryLevelAsString($B254)="L0D_324785","",IF(N254="",CONCATENATE(";",EscStr(CONCATENATE("NavNode_",getCategoryLevelAsString($B254))),";",EscStr($J254),";"),CONCATENATE(";",EscStr(CONCATENATE("NavNode_",getCategoryLevelAsString($B254))),";",EscStr(N254),";")))</f>
        <v>;"NavNode_L3D_658528";"Fjärrstyrda switchsystem";</v>
      </c>
      <c r="AH254" s="39" t="str">
        <f>IF(getCategoryLevelAsString($B254)="L0D_324785","",IF(O254="",CONCATENATE(";",EscStr(CONCATENATE("NavNode_",getCategoryLevelAsString($B254))),";",EscStr($J254),";"),CONCATENATE(";",EscStr(CONCATENATE("NavNode_",getCategoryLevelAsString($B254))),";",EscStr(O254),";")))</f>
        <v>;"NavNode_L3D_658528";"Kauglülitussüsteemid";</v>
      </c>
      <c r="AI254" s="39" t="str">
        <f>IF(getCategoryLevelAsString($B254)="L0D_324785","",IF(P254="",CONCATENATE(";",EscStr(CONCATENATE("NavNode_",getCategoryLevelAsString($B254))),";",EscStr($J254),";"),CONCATENATE(";",EscStr(CONCATENATE("NavNode_",getCategoryLevelAsString($B254))),";",EscStr(P254),";")))</f>
        <v>;"NavNode_L3D_658528";"Etäkytkentäjärjestelmät";</v>
      </c>
      <c r="AJ254" s="39" t="str">
        <f>IF(getCategoryLevelAsString($B254)="L0D_324785","",IF(Q254="",CONCATENATE(";",EscStr(CONCATENATE("NavNode_",getCategoryLevelAsString($B254))),";",EscStr($J254),";"),CONCATENATE(";",EscStr(CONCATENATE("NavNode_",getCategoryLevelAsString($B254))),";",EscStr(Q254),";")))</f>
        <v>;"NavNode_L3D_658528";"Attāli pārslēdzamas sistēmas";</v>
      </c>
      <c r="AK254" s="39" t="str">
        <f>IF(getCategoryLevelAsString($B254)="L0D_324785","",IF(R254="",CONCATENATE(";",EscStr(CONCATENATE("NavNode_",getCategoryLevelAsString($B254))),";",EscStr($J254),";"),CONCATENATE(";",EscStr(CONCATENATE("NavNode_",getCategoryLevelAsString($B254))),";",EscStr(R254),";")))</f>
        <v>;"NavNode_L3D_658528";"Op afstand bedienbare schakelsystemen";</v>
      </c>
      <c r="AL254" s="39" t="str">
        <f>IF(getCategoryLevelAsString($B254)="L0D_324785","",IF(S254="",CONCATENATE(";",EscStr(CONCATENATE("NavNode_",getCategoryLevelAsString($B254))),";",EscStr($J254),";"),CONCATENATE(";",EscStr(CONCATENATE("NavNode_",getCategoryLevelAsString($B254))),";",EscStr(S254),";")))</f>
        <v>;"NavNode_L3D_658528";"Systemy zdalnego przełączania";</v>
      </c>
      <c r="AM254" s="39" t="str">
        <f>IF(getCategoryLevelAsString($B254)="L0D_324785","",IF(T254="",CONCATENATE(";",EscStr(CONCATENATE("NavNode_",getCategoryLevelAsString($B254))),";",EscStr($J254),";"),CONCATENATE(";",EscStr(CONCATENATE("NavNode_",getCategoryLevelAsString($B254))),";",EscStr(T254),";")))</f>
        <v>;"NavNode_L3D_658528";"Системы дистанционного переключения";</v>
      </c>
      <c r="AN254" s="39" t="str">
        <f>IF(getCategoryLevelAsString($B254)="L0D_324785","",IF(U254="",CONCATENATE(";",EscStr(CONCATENATE("NavNode_",getCategoryLevelAsString($B254))),";",EscStr($J254),";"),CONCATENATE(";",EscStr(CONCATENATE("NavNode_",getCategoryLevelAsString($B254))),";",EscStr(U254),";")))</f>
        <v>;"NavNode_L3D_658528";"Dálkové přepínací systémy";</v>
      </c>
      <c r="AO254" s="39" t="str">
        <f>IF(getCategoryLevelAsString($B254)="L0D_324785","",IF(V254="",CONCATENATE(";",EscStr(CONCATENATE("NavNode_",getCategoryLevelAsString($B254))),";",EscStr($J254),";"),CONCATENATE(";",EscStr(CONCATENATE("NavNode_",getCategoryLevelAsString($B254))),";",EscStr(V254),";")))</f>
        <v>;"NavNode_L3D_658528";"Sisteme de comutare la distanţă";</v>
      </c>
      <c r="AP254" s="39" t="str">
        <f>IF(getCategoryLevelAsString($B254)="L0D_324785","",IF(W254="",CONCATENATE(";",EscStr(CONCATENATE("NavNode_",getCategoryLevelAsString($B254))),";",EscStr($J254),";"),CONCATENATE(";",EscStr(CONCATENATE("NavNode_",getCategoryLevelAsString($B254))),";",EscStr(W254),";")))</f>
        <v>;"NavNode_L3D_658528";"Távirányítós kapcsolórendszerek";</v>
      </c>
      <c r="AQ254" s="39" t="str">
        <f>IF(getCategoryLevelAsString($B254)="L0D_324785","",IF(X254="",CONCATENATE(";",EscStr(CONCATENATE("NavNode_",getCategoryLevelAsString($B254))),";",EscStr($J254),";"),CONCATENATE(";",EscStr(CONCATENATE("NavNode_",getCategoryLevelAsString($B254))),";",EscStr(X254),";")))</f>
        <v>;"NavNode_L3D_658528";"Dálkové přepínací systémy";</v>
      </c>
      <c r="AR254" s="39" t="str">
        <f>IF(OR($A254&lt;&gt;"", $G254=""),"",CONCATENATE(";",EscStr(CONCATENATE("NavEntry_",getCategoryLevelAsString($B254))),";",EscStr(CONCATENATE($J254," Navigation Entry")),";",EscStr(CONCATENATE("cat-",getCategoryLevelAsString($B254))),";",EscStr(CONCATENATE("NavNode_",getCategoryLevelAsString($B254))),";"))</f>
        <v>;"NavEntry_L3D_658528";"Remote Switching Systems Navigation Entry";"cat-L3D_658528";"NavNode_L3D_658528";</v>
      </c>
    </row>
    <row r="255" spans="1:44" s="34" customFormat="1" ht="15" x14ac:dyDescent="0.25">
      <c r="A255" s="25"/>
      <c r="B255" s="5"/>
      <c r="C255" s="5"/>
      <c r="D255" s="5" t="s">
        <v>2119</v>
      </c>
      <c r="E255" s="5"/>
      <c r="F255" s="5"/>
      <c r="G255" s="5" t="s">
        <v>2123</v>
      </c>
      <c r="H255" s="5" t="s">
        <v>3789</v>
      </c>
      <c r="I255" s="5" t="s">
        <v>3790</v>
      </c>
      <c r="J255" s="5" t="s">
        <v>3791</v>
      </c>
      <c r="K255" s="5" t="s">
        <v>3792</v>
      </c>
      <c r="L255" s="5" t="s">
        <v>3793</v>
      </c>
      <c r="M255" s="5" t="s">
        <v>3794</v>
      </c>
      <c r="N255" s="5" t="s">
        <v>3795</v>
      </c>
      <c r="O255" s="5" t="s">
        <v>14095</v>
      </c>
      <c r="P255" s="5" t="s">
        <v>3797</v>
      </c>
      <c r="Q255" s="5" t="s">
        <v>14272</v>
      </c>
      <c r="R255" s="5" t="s">
        <v>14354</v>
      </c>
      <c r="S255" s="5" t="s">
        <v>3800</v>
      </c>
      <c r="T255" s="5" t="s">
        <v>3801</v>
      </c>
      <c r="U255" s="5" t="s">
        <v>3802</v>
      </c>
      <c r="V255" s="5" t="s">
        <v>3803</v>
      </c>
      <c r="W255" s="5" t="s">
        <v>3804</v>
      </c>
      <c r="X255" s="5" t="s">
        <v>3802</v>
      </c>
      <c r="Y255" s="39" t="str">
        <f>IF(OR($A255&lt;&gt;"", $G255=""),"",CONCATENATE(";",EscStr(CONCATENATE("NavNode_",getCategoryLevelAsString($B255))),";",EscStr($J255),";",IF($B255&lt;&gt;"","""MainCategoryNavNode""",EscStr(CONCATENATE("NavNode_",getSuperCategory($B255, getCategoryLevelAsNumber($B255))))),";"))</f>
        <v>;"NavNode_L3D_658525";"Control Units";"NavNode_L2D_653174";</v>
      </c>
      <c r="Z255" s="39" t="str">
        <f>IF(getCategoryLevelAsString($B255)="L0D_324785","",IF(G255="",CONCATENATE(";",EscStr(CONCATENATE("NavNode_",getCategoryLevelAsString($B255))),";",EscStr($J255),";"),CONCATENATE(";",EscStr(CONCATENATE("NavNode_",getCategoryLevelAsString($B255))),";",EscStr(G255),";")))</f>
        <v>;"NavNode_L3D_658525";"Reguliereinheiten";</v>
      </c>
      <c r="AA255" s="39" t="str">
        <f>IF(getCategoryLevelAsString($B255)="L0D_324785","",IF(H255="",CONCATENATE(";",EscStr(CONCATENATE("NavNode_",getCategoryLevelAsString($B255))),";",EscStr($J255),";"),CONCATENATE(";",EscStr(CONCATENATE("NavNode_",getCategoryLevelAsString($B255))),";",EscStr(H255),";")))</f>
        <v>;"NavNode_L3D_658525";"Unités de commande";</v>
      </c>
      <c r="AB255" s="39" t="str">
        <f>IF(getCategoryLevelAsString($B255)="L0D_324785","",IF(I255="",CONCATENATE(";",EscStr(CONCATENATE("NavNode_",getCategoryLevelAsString($B255))),";",EscStr($J255),";"),CONCATENATE(";",EscStr(CONCATENATE("NavNode_",getCategoryLevelAsString($B255))),";",EscStr(I255),";")))</f>
        <v>;"NavNode_L3D_658525";"Unità di controllo";</v>
      </c>
      <c r="AC255" s="39" t="str">
        <f>IF(getCategoryLevelAsString($B255)="L0D_324785","",IF(J255="",CONCATENATE(";",EscStr(CONCATENATE("NavNode_",getCategoryLevelAsString($B255))),";",EscStr($J255),";"),CONCATENATE(";",EscStr(CONCATENATE("NavNode_",getCategoryLevelAsString($B255))),";",EscStr(J255),";")))</f>
        <v>;"NavNode_L3D_658525";"Control Units";</v>
      </c>
      <c r="AD255" s="39" t="str">
        <f>IF(getCategoryLevelAsString($B255)="L0D_324785","",IF(K255="",CONCATENATE(";",EscStr(CONCATENATE("NavNode_",getCategoryLevelAsString($B255))),";",EscStr($J255),";"),CONCATENATE(";",EscStr(CONCATENATE("NavNode_",getCategoryLevelAsString($B255))),";",EscStr(K255),";")))</f>
        <v>;"NavNode_L3D_658525";"Styreenheder";</v>
      </c>
      <c r="AE255" s="39" t="str">
        <f>IF(getCategoryLevelAsString($B255)="L0D_324785","",IF(L255="",CONCATENATE(";",EscStr(CONCATENATE("NavNode_",getCategoryLevelAsString($B255))),";",EscStr($J255),";"),CONCATENATE(";",EscStr(CONCATENATE("NavNode_",getCategoryLevelAsString($B255))),";",EscStr(L255),";")))</f>
        <v>;"NavNode_L3D_658525";"Kontrolės prietaisai";</v>
      </c>
      <c r="AF255" s="39" t="str">
        <f>IF(getCategoryLevelAsString($B255)="L0D_324785","",IF(M255="",CONCATENATE(";",EscStr(CONCATENATE("NavNode_",getCategoryLevelAsString($B255))),";",EscStr($J255),";"),CONCATENATE(";",EscStr(CONCATENATE("NavNode_",getCategoryLevelAsString($B255))),";",EscStr(M255),";")))</f>
        <v>;"NavNode_L3D_658525";"Kontrollenheter";</v>
      </c>
      <c r="AG255" s="39" t="str">
        <f>IF(getCategoryLevelAsString($B255)="L0D_324785","",IF(N255="",CONCATENATE(";",EscStr(CONCATENATE("NavNode_",getCategoryLevelAsString($B255))),";",EscStr($J255),";"),CONCATENATE(";",EscStr(CONCATENATE("NavNode_",getCategoryLevelAsString($B255))),";",EscStr(N255),";")))</f>
        <v>;"NavNode_L3D_658525";"Styrenheter";</v>
      </c>
      <c r="AH255" s="39" t="str">
        <f>IF(getCategoryLevelAsString($B255)="L0D_324785","",IF(O255="",CONCATENATE(";",EscStr(CONCATENATE("NavNode_",getCategoryLevelAsString($B255))),";",EscStr($J255),";"),CONCATENATE(";",EscStr(CONCATENATE("NavNode_",getCategoryLevelAsString($B255))),";",EscStr(O255),";")))</f>
        <v>;"NavNode_L3D_658525";"Juhtseadmed";</v>
      </c>
      <c r="AI255" s="39" t="str">
        <f>IF(getCategoryLevelAsString($B255)="L0D_324785","",IF(P255="",CONCATENATE(";",EscStr(CONCATENATE("NavNode_",getCategoryLevelAsString($B255))),";",EscStr($J255),";"),CONCATENATE(";",EscStr(CONCATENATE("NavNode_",getCategoryLevelAsString($B255))),";",EscStr(P255),";")))</f>
        <v>;"NavNode_L3D_658525";"Ohjausyksiköt";</v>
      </c>
      <c r="AJ255" s="39" t="str">
        <f>IF(getCategoryLevelAsString($B255)="L0D_324785","",IF(Q255="",CONCATENATE(";",EscStr(CONCATENATE("NavNode_",getCategoryLevelAsString($B255))),";",EscStr($J255),";"),CONCATENATE(";",EscStr(CONCATENATE("NavNode_",getCategoryLevelAsString($B255))),";",EscStr(Q255),";")))</f>
        <v>;"NavNode_L3D_658525";"Vadības ierīces";</v>
      </c>
      <c r="AK255" s="39" t="str">
        <f>IF(getCategoryLevelAsString($B255)="L0D_324785","",IF(R255="",CONCATENATE(";",EscStr(CONCATENATE("NavNode_",getCategoryLevelAsString($B255))),";",EscStr($J255),";"),CONCATENATE(";",EscStr(CONCATENATE("NavNode_",getCategoryLevelAsString($B255))),";",EscStr(R255),";")))</f>
        <v>;"NavNode_L3D_658525";"Regeleenheden";</v>
      </c>
      <c r="AL255" s="39" t="str">
        <f>IF(getCategoryLevelAsString($B255)="L0D_324785","",IF(S255="",CONCATENATE(";",EscStr(CONCATENATE("NavNode_",getCategoryLevelAsString($B255))),";",EscStr($J255),";"),CONCATENATE(";",EscStr(CONCATENATE("NavNode_",getCategoryLevelAsString($B255))),";",EscStr(S255),";")))</f>
        <v>;"NavNode_L3D_658525";"Układy sterujące";</v>
      </c>
      <c r="AM255" s="39" t="str">
        <f>IF(getCategoryLevelAsString($B255)="L0D_324785","",IF(T255="",CONCATENATE(";",EscStr(CONCATENATE("NavNode_",getCategoryLevelAsString($B255))),";",EscStr($J255),";"),CONCATENATE(";",EscStr(CONCATENATE("NavNode_",getCategoryLevelAsString($B255))),";",EscStr(T255),";")))</f>
        <v>;"NavNode_L3D_658525";"Блоки управления";</v>
      </c>
      <c r="AN255" s="39" t="str">
        <f>IF(getCategoryLevelAsString($B255)="L0D_324785","",IF(U255="",CONCATENATE(";",EscStr(CONCATENATE("NavNode_",getCategoryLevelAsString($B255))),";",EscStr($J255),";"),CONCATENATE(";",EscStr(CONCATENATE("NavNode_",getCategoryLevelAsString($B255))),";",EscStr(U255),";")))</f>
        <v>;"NavNode_L3D_658525";"Řídicí jednotky";</v>
      </c>
      <c r="AO255" s="39" t="str">
        <f>IF(getCategoryLevelAsString($B255)="L0D_324785","",IF(V255="",CONCATENATE(";",EscStr(CONCATENATE("NavNode_",getCategoryLevelAsString($B255))),";",EscStr($J255),";"),CONCATENATE(";",EscStr(CONCATENATE("NavNode_",getCategoryLevelAsString($B255))),";",EscStr(V255),";")))</f>
        <v>;"NavNode_L3D_658525";"Unităţi de comandă";</v>
      </c>
      <c r="AP255" s="39" t="str">
        <f>IF(getCategoryLevelAsString($B255)="L0D_324785","",IF(W255="",CONCATENATE(";",EscStr(CONCATENATE("NavNode_",getCategoryLevelAsString($B255))),";",EscStr($J255),";"),CONCATENATE(";",EscStr(CONCATENATE("NavNode_",getCategoryLevelAsString($B255))),";",EscStr(W255),";")))</f>
        <v>;"NavNode_L3D_658525";"Vezérlőegységek";</v>
      </c>
      <c r="AQ255" s="39" t="str">
        <f>IF(getCategoryLevelAsString($B255)="L0D_324785","",IF(X255="",CONCATENATE(";",EscStr(CONCATENATE("NavNode_",getCategoryLevelAsString($B255))),";",EscStr($J255),";"),CONCATENATE(";",EscStr(CONCATENATE("NavNode_",getCategoryLevelAsString($B255))),";",EscStr(X255),";")))</f>
        <v>;"NavNode_L3D_658525";"Řídicí jednotky";</v>
      </c>
      <c r="AR255" s="39" t="str">
        <f>IF(OR($A255&lt;&gt;"", $G255=""),"",CONCATENATE(";",EscStr(CONCATENATE("NavEntry_",getCategoryLevelAsString($B255))),";",EscStr(CONCATENATE($J255," Navigation Entry")),";",EscStr(CONCATENATE("cat-",getCategoryLevelAsString($B255))),";",EscStr(CONCATENATE("NavNode_",getCategoryLevelAsString($B255))),";"))</f>
        <v>;"NavEntry_L3D_658525";"Control Units Navigation Entry";"cat-L3D_658525";"NavNode_L3D_658525";</v>
      </c>
    </row>
    <row r="256" spans="1:44" s="38" customFormat="1" ht="15" x14ac:dyDescent="0.25">
      <c r="A256" s="32"/>
      <c r="B256" s="29" t="s">
        <v>10806</v>
      </c>
      <c r="C256" s="37"/>
      <c r="E256" s="29"/>
      <c r="F256" s="29"/>
      <c r="G256" s="31" t="s">
        <v>15333</v>
      </c>
      <c r="H256" s="31" t="s">
        <v>2237</v>
      </c>
      <c r="I256" s="31" t="s">
        <v>15334</v>
      </c>
      <c r="J256" s="31" t="s">
        <v>10806</v>
      </c>
      <c r="K256" s="31" t="s">
        <v>15335</v>
      </c>
      <c r="L256" s="31" t="s">
        <v>15336</v>
      </c>
      <c r="M256" s="31" t="s">
        <v>15337</v>
      </c>
      <c r="N256" s="31" t="s">
        <v>15338</v>
      </c>
      <c r="O256" s="31" t="s">
        <v>15339</v>
      </c>
      <c r="P256" s="31" t="s">
        <v>15340</v>
      </c>
      <c r="Q256" s="31" t="s">
        <v>15341</v>
      </c>
      <c r="R256" s="31" t="s">
        <v>15342</v>
      </c>
      <c r="S256" s="31" t="s">
        <v>15343</v>
      </c>
      <c r="T256" s="31" t="s">
        <v>15344</v>
      </c>
      <c r="U256" s="31" t="s">
        <v>15345</v>
      </c>
      <c r="V256" s="31" t="s">
        <v>15346</v>
      </c>
      <c r="W256" s="31" t="s">
        <v>15347</v>
      </c>
      <c r="X256" s="31" t="s">
        <v>15348</v>
      </c>
      <c r="Y256" s="39" t="str">
        <f>IF(OR($A256&lt;&gt;"", $G256=""),"",CONCATENATE(";",EscStr(CONCATENATE("NavNode_",getCategoryLevelAsString($B256))),";",EscStr($J256),";",IF($B256&lt;&gt;"","""MainCategoryNavNode""",EscStr(CONCATENATE("NavNode_",getSuperCategory($B256, getCategoryLevelAsNumber($B256))))),";"))</f>
        <v>;"NavNode_Lighting";"Lighting";"MainCategoryNavNode";</v>
      </c>
      <c r="Z256" s="39" t="str">
        <f>IF(getCategoryLevelAsString($B256)="L0D_324785","",IF(G256="",CONCATENATE(";",EscStr(CONCATENATE("NavNode_",getCategoryLevelAsString($B256))),";",EscStr($J256),";"),CONCATENATE(";",EscStr(CONCATENATE("NavNode_",getCategoryLevelAsString($B256))),";",EscStr(G256),";")))</f>
        <v>;"NavNode_Lighting";"Licht";</v>
      </c>
      <c r="AA256" s="39" t="str">
        <f>IF(getCategoryLevelAsString($B256)="L0D_324785","",IF(H256="",CONCATENATE(";",EscStr(CONCATENATE("NavNode_",getCategoryLevelAsString($B256))),";",EscStr($J256),";"),CONCATENATE(";",EscStr(CONCATENATE("NavNode_",getCategoryLevelAsString($B256))),";",EscStr(H256),";")))</f>
        <v>;"NavNode_Lighting";"Eclairage";</v>
      </c>
      <c r="AB256" s="39" t="str">
        <f>IF(getCategoryLevelAsString($B256)="L0D_324785","",IF(I256="",CONCATENATE(";",EscStr(CONCATENATE("NavNode_",getCategoryLevelAsString($B256))),";",EscStr($J256),";"),CONCATENATE(";",EscStr(CONCATENATE("NavNode_",getCategoryLevelAsString($B256))),";",EscStr(I256),";")))</f>
        <v>;"NavNode_Lighting";"Illuminazione";</v>
      </c>
      <c r="AC256" s="39" t="str">
        <f>IF(getCategoryLevelAsString($B256)="L0D_324785","",IF(J256="",CONCATENATE(";",EscStr(CONCATENATE("NavNode_",getCategoryLevelAsString($B256))),";",EscStr($J256),";"),CONCATENATE(";",EscStr(CONCATENATE("NavNode_",getCategoryLevelAsString($B256))),";",EscStr(J256),";")))</f>
        <v>;"NavNode_Lighting";"Lighting";</v>
      </c>
      <c r="AD256" s="39" t="str">
        <f>IF(getCategoryLevelAsString($B256)="L0D_324785","",IF(K256="",CONCATENATE(";",EscStr(CONCATENATE("NavNode_",getCategoryLevelAsString($B256))),";",EscStr($J256),";"),CONCATENATE(";",EscStr(CONCATENATE("NavNode_",getCategoryLevelAsString($B256))),";",EscStr(K256),";")))</f>
        <v>;"NavNode_Lighting";"Belysning";</v>
      </c>
      <c r="AE256" s="39" t="str">
        <f>IF(getCategoryLevelAsString($B256)="L0D_324785","",IF(L256="",CONCATENATE(";",EscStr(CONCATENATE("NavNode_",getCategoryLevelAsString($B256))),";",EscStr($J256),";"),CONCATENATE(";",EscStr(CONCATENATE("NavNode_",getCategoryLevelAsString($B256))),";",EscStr(L256),";")))</f>
        <v>;"NavNode_Lighting";"Apšvietimas";</v>
      </c>
      <c r="AF256" s="39" t="str">
        <f>IF(getCategoryLevelAsString($B256)="L0D_324785","",IF(M256="",CONCATENATE(";",EscStr(CONCATENATE("NavNode_",getCategoryLevelAsString($B256))),";",EscStr($J256),";"),CONCATENATE(";",EscStr(CONCATENATE("NavNode_",getCategoryLevelAsString($B256))),";",EscStr(M256),";")))</f>
        <v>;"NavNode_Lighting";"Lys";</v>
      </c>
      <c r="AG256" s="39" t="str">
        <f>IF(getCategoryLevelAsString($B256)="L0D_324785","",IF(N256="",CONCATENATE(";",EscStr(CONCATENATE("NavNode_",getCategoryLevelAsString($B256))),";",EscStr($J256),";"),CONCATENATE(";",EscStr(CONCATENATE("NavNode_",getCategoryLevelAsString($B256))),";",EscStr(N256),";")))</f>
        <v>;"NavNode_Lighting";"Ljus";</v>
      </c>
      <c r="AH256" s="39" t="str">
        <f>IF(getCategoryLevelAsString($B256)="L0D_324785","",IF(O256="",CONCATENATE(";",EscStr(CONCATENATE("NavNode_",getCategoryLevelAsString($B256))),";",EscStr($J256),";"),CONCATENATE(";",EscStr(CONCATENATE("NavNode_",getCategoryLevelAsString($B256))),";",EscStr(O256),";")))</f>
        <v>;"NavNode_Lighting";"Valgustus";</v>
      </c>
      <c r="AI256" s="39" t="str">
        <f>IF(getCategoryLevelAsString($B256)="L0D_324785","",IF(P256="",CONCATENATE(";",EscStr(CONCATENATE("NavNode_",getCategoryLevelAsString($B256))),";",EscStr($J256),";"),CONCATENATE(";",EscStr(CONCATENATE("NavNode_",getCategoryLevelAsString($B256))),";",EscStr(P256),";")))</f>
        <v>;"NavNode_Lighting";"Valaistus";</v>
      </c>
      <c r="AJ256" s="39" t="str">
        <f>IF(getCategoryLevelAsString($B256)="L0D_324785","",IF(Q256="",CONCATENATE(";",EscStr(CONCATENATE("NavNode_",getCategoryLevelAsString($B256))),";",EscStr($J256),";"),CONCATENATE(";",EscStr(CONCATENATE("NavNode_",getCategoryLevelAsString($B256))),";",EscStr(Q256),";")))</f>
        <v>;"NavNode_Lighting";"Apgaismojums";</v>
      </c>
      <c r="AK256" s="39" t="str">
        <f>IF(getCategoryLevelAsString($B256)="L0D_324785","",IF(R256="",CONCATENATE(";",EscStr(CONCATENATE("NavNode_",getCategoryLevelAsString($B256))),";",EscStr($J256),";"),CONCATENATE(";",EscStr(CONCATENATE("NavNode_",getCategoryLevelAsString($B256))),";",EscStr(R256),";")))</f>
        <v>;"NavNode_Lighting";"Verlichting";</v>
      </c>
      <c r="AL256" s="39" t="str">
        <f>IF(getCategoryLevelAsString($B256)="L0D_324785","",IF(S256="",CONCATENATE(";",EscStr(CONCATENATE("NavNode_",getCategoryLevelAsString($B256))),";",EscStr($J256),";"),CONCATENATE(";",EscStr(CONCATENATE("NavNode_",getCategoryLevelAsString($B256))),";",EscStr(S256),";")))</f>
        <v>;"NavNode_Lighting";"Światło";</v>
      </c>
      <c r="AM256" s="39" t="str">
        <f>IF(getCategoryLevelAsString($B256)="L0D_324785","",IF(T256="",CONCATENATE(";",EscStr(CONCATENATE("NavNode_",getCategoryLevelAsString($B256))),";",EscStr($J256),";"),CONCATENATE(";",EscStr(CONCATENATE("NavNode_",getCategoryLevelAsString($B256))),";",EscStr(T256),";")))</f>
        <v>;"NavNode_Lighting";"Освещение";</v>
      </c>
      <c r="AN256" s="39" t="str">
        <f>IF(getCategoryLevelAsString($B256)="L0D_324785","",IF(U256="",CONCATENATE(";",EscStr(CONCATENATE("NavNode_",getCategoryLevelAsString($B256))),";",EscStr($J256),";"),CONCATENATE(";",EscStr(CONCATENATE("NavNode_",getCategoryLevelAsString($B256))),";",EscStr(U256),";")))</f>
        <v>;"NavNode_Lighting";"Osvětlení";</v>
      </c>
      <c r="AO256" s="39" t="str">
        <f>IF(getCategoryLevelAsString($B256)="L0D_324785","",IF(V256="",CONCATENATE(";",EscStr(CONCATENATE("NavNode_",getCategoryLevelAsString($B256))),";",EscStr($J256),";"),CONCATENATE(";",EscStr(CONCATENATE("NavNode_",getCategoryLevelAsString($B256))),";",EscStr(V256),";")))</f>
        <v>;"NavNode_Lighting";"Iluminare";</v>
      </c>
      <c r="AP256" s="39" t="str">
        <f>IF(getCategoryLevelAsString($B256)="L0D_324785","",IF(W256="",CONCATENATE(";",EscStr(CONCATENATE("NavNode_",getCategoryLevelAsString($B256))),";",EscStr($J256),";"),CONCATENATE(";",EscStr(CONCATENATE("NavNode_",getCategoryLevelAsString($B256))),";",EscStr(W256),";")))</f>
        <v>;"NavNode_Lighting";"Fény";</v>
      </c>
      <c r="AQ256" s="39" t="str">
        <f>IF(getCategoryLevelAsString($B256)="L0D_324785","",IF(X256="",CONCATENATE(";",EscStr(CONCATENATE("NavNode_",getCategoryLevelAsString($B256))),";",EscStr($J256),";"),CONCATENATE(";",EscStr(CONCATENATE("NavNode_",getCategoryLevelAsString($B256))),";",EscStr(X256),";")))</f>
        <v>;"NavNode_Lighting";"Osvetlenie";</v>
      </c>
      <c r="AR256" s="39" t="str">
        <f>IF(OR($A256&lt;&gt;"", $G256=""),"",CONCATENATE(";",EscStr(CONCATENATE("NavEntry_",getCategoryLevelAsString($B256))),";",EscStr(CONCATENATE($J256," Navigation Entry")),";",EscStr(CONCATENATE("cat-",getCategoryLevelAsString($B256))),";",EscStr(CONCATENATE("NavNode_",getCategoryLevelAsString($B256))),";"))</f>
        <v>;"NavEntry_Lighting";"Lighting Navigation Entry";"cat-Lighting";"NavNode_Lighting";</v>
      </c>
    </row>
    <row r="257" spans="1:44" s="34" customFormat="1" ht="15" x14ac:dyDescent="0.25">
      <c r="A257" s="25"/>
      <c r="B257" s="5"/>
      <c r="C257" s="5" t="s">
        <v>50</v>
      </c>
      <c r="D257" s="5"/>
      <c r="E257" s="5"/>
      <c r="F257" s="5"/>
      <c r="G257" s="5" t="s">
        <v>959</v>
      </c>
      <c r="H257" s="5" t="s">
        <v>722</v>
      </c>
      <c r="I257" s="5" t="s">
        <v>705</v>
      </c>
      <c r="J257" s="5" t="s">
        <v>493</v>
      </c>
      <c r="K257" s="5" t="s">
        <v>1357</v>
      </c>
      <c r="L257" s="5" t="s">
        <v>1593</v>
      </c>
      <c r="M257" s="5" t="s">
        <v>1802</v>
      </c>
      <c r="N257" s="5" t="s">
        <v>2014</v>
      </c>
      <c r="O257" s="5" t="s">
        <v>3971</v>
      </c>
      <c r="P257" s="5" t="s">
        <v>3972</v>
      </c>
      <c r="Q257" s="5" t="s">
        <v>3973</v>
      </c>
      <c r="R257" s="5" t="s">
        <v>3974</v>
      </c>
      <c r="S257" s="5" t="s">
        <v>3975</v>
      </c>
      <c r="T257" s="5" t="s">
        <v>3976</v>
      </c>
      <c r="U257" s="5" t="s">
        <v>3977</v>
      </c>
      <c r="V257" s="5" t="s">
        <v>3978</v>
      </c>
      <c r="W257" s="5" t="s">
        <v>3979</v>
      </c>
      <c r="X257" s="5" t="s">
        <v>14958</v>
      </c>
      <c r="Y257" s="39" t="str">
        <f>IF(OR($A257&lt;&gt;"", $G257=""),"",CONCATENATE(";",EscStr(CONCATENATE("NavNode_",getCategoryLevelAsString($B257))),";",EscStr($J257),";",IF($B257&lt;&gt;"","""MainCategoryNavNode""",EscStr(CONCATENATE("NavNode_",getSuperCategory($B257, getCategoryLevelAsNumber($B257))))),";"))</f>
        <v>;"NavNode_L2D_379658";"Lighting technology";"NavNode_Lighting";</v>
      </c>
      <c r="Z257" s="39" t="str">
        <f>IF(getCategoryLevelAsString($B257)="L0D_324785","",IF(G257="",CONCATENATE(";",EscStr(CONCATENATE("NavNode_",getCategoryLevelAsString($B257))),";",EscStr($J257),";"),CONCATENATE(";",EscStr(CONCATENATE("NavNode_",getCategoryLevelAsString($B257))),";",EscStr(G257),";")))</f>
        <v>;"NavNode_L2D_379658";"Lichttechnik";</v>
      </c>
      <c r="AA257" s="39" t="str">
        <f>IF(getCategoryLevelAsString($B257)="L0D_324785","",IF(H257="",CONCATENATE(";",EscStr(CONCATENATE("NavNode_",getCategoryLevelAsString($B257))),";",EscStr($J257),";"),CONCATENATE(";",EscStr(CONCATENATE("NavNode_",getCategoryLevelAsString($B257))),";",EscStr(H257),";")))</f>
        <v>;"NavNode_L2D_379658";"Technologie d'éclairage";</v>
      </c>
      <c r="AB257" s="39" t="str">
        <f>IF(getCategoryLevelAsString($B257)="L0D_324785","",IF(I257="",CONCATENATE(";",EscStr(CONCATENATE("NavNode_",getCategoryLevelAsString($B257))),";",EscStr($J257),";"),CONCATENATE(";",EscStr(CONCATENATE("NavNode_",getCategoryLevelAsString($B257))),";",EscStr(I257),";")))</f>
        <v>;"NavNode_L2D_379658";"Tecnologia di illuminazione";</v>
      </c>
      <c r="AC257" s="39" t="str">
        <f>IF(getCategoryLevelAsString($B257)="L0D_324785","",IF(J257="",CONCATENATE(";",EscStr(CONCATENATE("NavNode_",getCategoryLevelAsString($B257))),";",EscStr($J257),";"),CONCATENATE(";",EscStr(CONCATENATE("NavNode_",getCategoryLevelAsString($B257))),";",EscStr(J257),";")))</f>
        <v>;"NavNode_L2D_379658";"Lighting technology";</v>
      </c>
      <c r="AD257" s="39" t="str">
        <f>IF(getCategoryLevelAsString($B257)="L0D_324785","",IF(K257="",CONCATENATE(";",EscStr(CONCATENATE("NavNode_",getCategoryLevelAsString($B257))),";",EscStr($J257),";"),CONCATENATE(";",EscStr(CONCATENATE("NavNode_",getCategoryLevelAsString($B257))),";",EscStr(K257),";")))</f>
        <v>;"NavNode_L2D_379658";"Lysteknologi";</v>
      </c>
      <c r="AE257" s="39" t="str">
        <f>IF(getCategoryLevelAsString($B257)="L0D_324785","",IF(L257="",CONCATENATE(";",EscStr(CONCATENATE("NavNode_",getCategoryLevelAsString($B257))),";",EscStr($J257),";"),CONCATENATE(";",EscStr(CONCATENATE("NavNode_",getCategoryLevelAsString($B257))),";",EscStr(L257),";")))</f>
        <v>;"NavNode_L2D_379658";"Apšvietimo technologija";</v>
      </c>
      <c r="AF257" s="39" t="str">
        <f>IF(getCategoryLevelAsString($B257)="L0D_324785","",IF(M257="",CONCATENATE(";",EscStr(CONCATENATE("NavNode_",getCategoryLevelAsString($B257))),";",EscStr($J257),";"),CONCATENATE(";",EscStr(CONCATENATE("NavNode_",getCategoryLevelAsString($B257))),";",EscStr(M257),";")))</f>
        <v>;"NavNode_L2D_379658";"Belysningsteknologi";</v>
      </c>
      <c r="AG257" s="39" t="str">
        <f>IF(getCategoryLevelAsString($B257)="L0D_324785","",IF(N257="",CONCATENATE(";",EscStr(CONCATENATE("NavNode_",getCategoryLevelAsString($B257))),";",EscStr($J257),";"),CONCATENATE(";",EscStr(CONCATENATE("NavNode_",getCategoryLevelAsString($B257))),";",EscStr(N257),";")))</f>
        <v>;"NavNode_L2D_379658";"Ljusteknik";</v>
      </c>
      <c r="AH257" s="39" t="str">
        <f>IF(getCategoryLevelAsString($B257)="L0D_324785","",IF(O257="",CONCATENATE(";",EscStr(CONCATENATE("NavNode_",getCategoryLevelAsString($B257))),";",EscStr($J257),";"),CONCATENATE(";",EscStr(CONCATENATE("NavNode_",getCategoryLevelAsString($B257))),";",EscStr(O257),";")))</f>
        <v>;"NavNode_L2D_379658";"Valgustehnoloogia";</v>
      </c>
      <c r="AI257" s="39" t="str">
        <f>IF(getCategoryLevelAsString($B257)="L0D_324785","",IF(P257="",CONCATENATE(";",EscStr(CONCATENATE("NavNode_",getCategoryLevelAsString($B257))),";",EscStr($J257),";"),CONCATENATE(";",EscStr(CONCATENATE("NavNode_",getCategoryLevelAsString($B257))),";",EscStr(P257),";")))</f>
        <v>;"NavNode_L2D_379658";"Valaistustekniikka";</v>
      </c>
      <c r="AJ257" s="39" t="str">
        <f>IF(getCategoryLevelAsString($B257)="L0D_324785","",IF(Q257="",CONCATENATE(";",EscStr(CONCATENATE("NavNode_",getCategoryLevelAsString($B257))),";",EscStr($J257),";"),CONCATENATE(";",EscStr(CONCATENATE("NavNode_",getCategoryLevelAsString($B257))),";",EscStr(Q257),";")))</f>
        <v>;"NavNode_L2D_379658";"Apgaismošanas tehnoloģijas";</v>
      </c>
      <c r="AK257" s="39" t="str">
        <f>IF(getCategoryLevelAsString($B257)="L0D_324785","",IF(R257="",CONCATENATE(";",EscStr(CONCATENATE("NavNode_",getCategoryLevelAsString($B257))),";",EscStr($J257),";"),CONCATENATE(";",EscStr(CONCATENATE("NavNode_",getCategoryLevelAsString($B257))),";",EscStr(R257),";")))</f>
        <v>;"NavNode_L2D_379658";"Lichttechniek";</v>
      </c>
      <c r="AL257" s="39" t="str">
        <f>IF(getCategoryLevelAsString($B257)="L0D_324785","",IF(S257="",CONCATENATE(";",EscStr(CONCATENATE("NavNode_",getCategoryLevelAsString($B257))),";",EscStr($J257),";"),CONCATENATE(";",EscStr(CONCATENATE("NavNode_",getCategoryLevelAsString($B257))),";",EscStr(S257),";")))</f>
        <v>;"NavNode_L2D_379658";"Technika świetlna";</v>
      </c>
      <c r="AM257" s="39" t="str">
        <f>IF(getCategoryLevelAsString($B257)="L0D_324785","",IF(T257="",CONCATENATE(";",EscStr(CONCATENATE("NavNode_",getCategoryLevelAsString($B257))),";",EscStr($J257),";"),CONCATENATE(";",EscStr(CONCATENATE("NavNode_",getCategoryLevelAsString($B257))),";",EscStr(T257),";")))</f>
        <v>;"NavNode_L2D_379658";"Светотехника";</v>
      </c>
      <c r="AN257" s="39" t="str">
        <f>IF(getCategoryLevelAsString($B257)="L0D_324785","",IF(U257="",CONCATENATE(";",EscStr(CONCATENATE("NavNode_",getCategoryLevelAsString($B257))),";",EscStr($J257),";"),CONCATENATE(";",EscStr(CONCATENATE("NavNode_",getCategoryLevelAsString($B257))),";",EscStr(U257),";")))</f>
        <v>;"NavNode_L2D_379658";"Osvětlovací technika";</v>
      </c>
      <c r="AO257" s="39" t="str">
        <f>IF(getCategoryLevelAsString($B257)="L0D_324785","",IF(V257="",CONCATENATE(";",EscStr(CONCATENATE("NavNode_",getCategoryLevelAsString($B257))),";",EscStr($J257),";"),CONCATENATE(";",EscStr(CONCATENATE("NavNode_",getCategoryLevelAsString($B257))),";",EscStr(V257),";")))</f>
        <v>;"NavNode_L2D_379658";"Tehnică de iluminat";</v>
      </c>
      <c r="AP257" s="39" t="str">
        <f>IF(getCategoryLevelAsString($B257)="L0D_324785","",IF(W257="",CONCATENATE(";",EscStr(CONCATENATE("NavNode_",getCategoryLevelAsString($B257))),";",EscStr($J257),";"),CONCATENATE(";",EscStr(CONCATENATE("NavNode_",getCategoryLevelAsString($B257))),";",EscStr(W257),";")))</f>
        <v>;"NavNode_L2D_379658";"Világítástechnika";</v>
      </c>
      <c r="AQ257" s="39" t="str">
        <f>IF(getCategoryLevelAsString($B257)="L0D_324785","",IF(X257="",CONCATENATE(";",EscStr(CONCATENATE("NavNode_",getCategoryLevelAsString($B257))),";",EscStr($J257),";"),CONCATENATE(";",EscStr(CONCATENATE("NavNode_",getCategoryLevelAsString($B257))),";",EscStr(X257),";")))</f>
        <v>;"NavNode_L2D_379658";"Osvetľovacia technika";</v>
      </c>
      <c r="AR257" s="39" t="str">
        <f>IF(OR($A257&lt;&gt;"", $G257=""),"",CONCATENATE(";",EscStr(CONCATENATE("NavEntry_",getCategoryLevelAsString($B257))),";",EscStr(CONCATENATE($J257," Navigation Entry")),";",EscStr(CONCATENATE("cat-",getCategoryLevelAsString($B257))),";",EscStr(CONCATENATE("NavNode_",getCategoryLevelAsString($B257))),";"))</f>
        <v>;"NavEntry_L2D_379658";"Lighting technology Navigation Entry";"cat-L2D_379658";"NavNode_L2D_379658";</v>
      </c>
    </row>
    <row r="258" spans="1:44" s="34" customFormat="1" ht="15" x14ac:dyDescent="0.25">
      <c r="A258" s="25"/>
      <c r="B258" s="5"/>
      <c r="C258" s="5"/>
      <c r="D258" s="5" t="s">
        <v>221</v>
      </c>
      <c r="E258" s="5"/>
      <c r="F258" s="5"/>
      <c r="G258" s="5" t="s">
        <v>507</v>
      </c>
      <c r="H258" s="5" t="s">
        <v>508</v>
      </c>
      <c r="I258" s="5" t="s">
        <v>509</v>
      </c>
      <c r="J258" s="5" t="s">
        <v>54</v>
      </c>
      <c r="K258" s="5" t="s">
        <v>1358</v>
      </c>
      <c r="L258" s="5" t="s">
        <v>15197</v>
      </c>
      <c r="M258" s="5" t="s">
        <v>1803</v>
      </c>
      <c r="N258" s="5" t="s">
        <v>2015</v>
      </c>
      <c r="O258" s="5" t="s">
        <v>3980</v>
      </c>
      <c r="P258" s="5" t="s">
        <v>3981</v>
      </c>
      <c r="Q258" s="5" t="s">
        <v>3982</v>
      </c>
      <c r="R258" s="5" t="s">
        <v>54</v>
      </c>
      <c r="S258" s="5" t="s">
        <v>3983</v>
      </c>
      <c r="T258" s="5" t="s">
        <v>3984</v>
      </c>
      <c r="U258" s="5" t="s">
        <v>3985</v>
      </c>
      <c r="V258" s="5" t="s">
        <v>3986</v>
      </c>
      <c r="W258" s="5" t="s">
        <v>3987</v>
      </c>
      <c r="X258" s="5" t="s">
        <v>3985</v>
      </c>
      <c r="Y258" s="39" t="str">
        <f>IF(OR($A258&lt;&gt;"", $G258=""),"",CONCATENATE(";",EscStr(CONCATENATE("NavNode_",getCategoryLevelAsString($B258))),";",EscStr($J258),";",IF($B258&lt;&gt;"","""MainCategoryNavNode""",EscStr(CONCATENATE("NavNode_",getSuperCategory($B258, getCategoryLevelAsNumber($B258))))),";"))</f>
        <v>;"NavNode_L3D_525560";"Power LEDs";"NavNode_L2D_379658";</v>
      </c>
      <c r="Z258" s="39" t="str">
        <f>IF(getCategoryLevelAsString($B258)="L0D_324785","",IF(G258="",CONCATENATE(";",EscStr(CONCATENATE("NavNode_",getCategoryLevelAsString($B258))),";",EscStr($J258),";"),CONCATENATE(";",EscStr(CONCATENATE("NavNode_",getCategoryLevelAsString($B258))),";",EscStr(G258),";")))</f>
        <v>;"NavNode_L3D_525560";"Power-LEDs";</v>
      </c>
      <c r="AA258" s="39" t="str">
        <f>IF(getCategoryLevelAsString($B258)="L0D_324785","",IF(H258="",CONCATENATE(";",EscStr(CONCATENATE("NavNode_",getCategoryLevelAsString($B258))),";",EscStr($J258),";"),CONCATENATE(";",EscStr(CONCATENATE("NavNode_",getCategoryLevelAsString($B258))),";",EscStr(H258),";")))</f>
        <v>;"NavNode_L3D_525560";"LED de puissance";</v>
      </c>
      <c r="AB258" s="39" t="str">
        <f>IF(getCategoryLevelAsString($B258)="L0D_324785","",IF(I258="",CONCATENATE(";",EscStr(CONCATENATE("NavNode_",getCategoryLevelAsString($B258))),";",EscStr($J258),";"),CONCATENATE(";",EscStr(CONCATENATE("NavNode_",getCategoryLevelAsString($B258))),";",EscStr(I258),";")))</f>
        <v>;"NavNode_L3D_525560";"LED corrente";</v>
      </c>
      <c r="AC258" s="39" t="str">
        <f>IF(getCategoryLevelAsString($B258)="L0D_324785","",IF(J258="",CONCATENATE(";",EscStr(CONCATENATE("NavNode_",getCategoryLevelAsString($B258))),";",EscStr($J258),";"),CONCATENATE(";",EscStr(CONCATENATE("NavNode_",getCategoryLevelAsString($B258))),";",EscStr(J258),";")))</f>
        <v>;"NavNode_L3D_525560";"Power LEDs";</v>
      </c>
      <c r="AD258" s="39" t="str">
        <f>IF(getCategoryLevelAsString($B258)="L0D_324785","",IF(K258="",CONCATENATE(";",EscStr(CONCATENATE("NavNode_",getCategoryLevelAsString($B258))),";",EscStr($J258),";"),CONCATENATE(";",EscStr(CONCATENATE("NavNode_",getCategoryLevelAsString($B258))),";",EscStr(K258),";")))</f>
        <v>;"NavNode_L3D_525560";"Effektdioder";</v>
      </c>
      <c r="AE258" s="39" t="str">
        <f>IF(getCategoryLevelAsString($B258)="L0D_324785","",IF(L258="",CONCATENATE(";",EscStr(CONCATENATE("NavNode_",getCategoryLevelAsString($B258))),";",EscStr($J258),";"),CONCATENATE(";",EscStr(CONCATENATE("NavNode_",getCategoryLevelAsString($B258))),";",EscStr(L258),";")))</f>
        <v>;"NavNode_L3D_525560";"LED komponentai";</v>
      </c>
      <c r="AF258" s="39" t="str">
        <f>IF(getCategoryLevelAsString($B258)="L0D_324785","",IF(M258="",CONCATENATE(";",EscStr(CONCATENATE("NavNode_",getCategoryLevelAsString($B258))),";",EscStr($J258),";"),CONCATENATE(";",EscStr(CONCATENATE("NavNode_",getCategoryLevelAsString($B258))),";",EscStr(M258),";")))</f>
        <v>;"NavNode_L3D_525560";"Strøm-LED-er";</v>
      </c>
      <c r="AG258" s="39" t="str">
        <f>IF(getCategoryLevelAsString($B258)="L0D_324785","",IF(N258="",CONCATENATE(";",EscStr(CONCATENATE("NavNode_",getCategoryLevelAsString($B258))),";",EscStr($J258),";"),CONCATENATE(";",EscStr(CONCATENATE("NavNode_",getCategoryLevelAsString($B258))),";",EscStr(N258),";")))</f>
        <v>;"NavNode_L3D_525560";"Effekt-LED";</v>
      </c>
      <c r="AH258" s="39" t="str">
        <f>IF(getCategoryLevelAsString($B258)="L0D_324785","",IF(O258="",CONCATENATE(";",EscStr(CONCATENATE("NavNode_",getCategoryLevelAsString($B258))),";",EscStr($J258),";"),CONCATENATE(";",EscStr(CONCATENATE("NavNode_",getCategoryLevelAsString($B258))),";",EscStr(O258),";")))</f>
        <v>;"NavNode_L3D_525560";"Võimsad LEDid";</v>
      </c>
      <c r="AI258" s="39" t="str">
        <f>IF(getCategoryLevelAsString($B258)="L0D_324785","",IF(P258="",CONCATENATE(";",EscStr(CONCATENATE("NavNode_",getCategoryLevelAsString($B258))),";",EscStr($J258),";"),CONCATENATE(";",EscStr(CONCATENATE("NavNode_",getCategoryLevelAsString($B258))),";",EscStr(P258),";")))</f>
        <v>;"NavNode_L3D_525560";"Teholedit";</v>
      </c>
      <c r="AJ258" s="39" t="str">
        <f>IF(getCategoryLevelAsString($B258)="L0D_324785","",IF(Q258="",CONCATENATE(";",EscStr(CONCATENATE("NavNode_",getCategoryLevelAsString($B258))),";",EscStr($J258),";"),CONCATENATE(";",EscStr(CONCATENATE("NavNode_",getCategoryLevelAsString($B258))),";",EscStr(Q258),";")))</f>
        <v>;"NavNode_L3D_525560";"Jaudas LED";</v>
      </c>
      <c r="AK258" s="39" t="str">
        <f>IF(getCategoryLevelAsString($B258)="L0D_324785","",IF(R258="",CONCATENATE(";",EscStr(CONCATENATE("NavNode_",getCategoryLevelAsString($B258))),";",EscStr($J258),";"),CONCATENATE(";",EscStr(CONCATENATE("NavNode_",getCategoryLevelAsString($B258))),";",EscStr(R258),";")))</f>
        <v>;"NavNode_L3D_525560";"Power LEDs";</v>
      </c>
      <c r="AL258" s="39" t="str">
        <f>IF(getCategoryLevelAsString($B258)="L0D_324785","",IF(S258="",CONCATENATE(";",EscStr(CONCATENATE("NavNode_",getCategoryLevelAsString($B258))),";",EscStr($J258),";"),CONCATENATE(";",EscStr(CONCATENATE("NavNode_",getCategoryLevelAsString($B258))),";",EscStr(S258),";")))</f>
        <v>;"NavNode_L3D_525560";"LED mocy";</v>
      </c>
      <c r="AM258" s="39" t="str">
        <f>IF(getCategoryLevelAsString($B258)="L0D_324785","",IF(T258="",CONCATENATE(";",EscStr(CONCATENATE("NavNode_",getCategoryLevelAsString($B258))),";",EscStr($J258),";"),CONCATENATE(";",EscStr(CONCATENATE("NavNode_",getCategoryLevelAsString($B258))),";",EscStr(T258),";")))</f>
        <v>;"NavNode_L3D_525560";"Мощные светодиоды";</v>
      </c>
      <c r="AN258" s="39" t="str">
        <f>IF(getCategoryLevelAsString($B258)="L0D_324785","",IF(U258="",CONCATENATE(";",EscStr(CONCATENATE("NavNode_",getCategoryLevelAsString($B258))),";",EscStr($J258),";"),CONCATENATE(";",EscStr(CONCATENATE("NavNode_",getCategoryLevelAsString($B258))),";",EscStr(U258),";")))</f>
        <v>;"NavNode_L3D_525560";"Výkonové LED diody";</v>
      </c>
      <c r="AO258" s="39" t="str">
        <f>IF(getCategoryLevelAsString($B258)="L0D_324785","",IF(V258="",CONCATENATE(";",EscStr(CONCATENATE("NavNode_",getCategoryLevelAsString($B258))),";",EscStr($J258),";"),CONCATENATE(";",EscStr(CONCATENATE("NavNode_",getCategoryLevelAsString($B258))),";",EscStr(V258),";")))</f>
        <v>;"NavNode_L3D_525560";"Diode LED de putere";</v>
      </c>
      <c r="AP258" s="39" t="str">
        <f>IF(getCategoryLevelAsString($B258)="L0D_324785","",IF(W258="",CONCATENATE(";",EscStr(CONCATENATE("NavNode_",getCategoryLevelAsString($B258))),";",EscStr($J258),";"),CONCATENATE(";",EscStr(CONCATENATE("NavNode_",getCategoryLevelAsString($B258))),";",EscStr(W258),";")))</f>
        <v>;"NavNode_L3D_525560";"Power LED-ek";</v>
      </c>
      <c r="AQ258" s="39" t="str">
        <f>IF(getCategoryLevelAsString($B258)="L0D_324785","",IF(X258="",CONCATENATE(";",EscStr(CONCATENATE("NavNode_",getCategoryLevelAsString($B258))),";",EscStr($J258),";"),CONCATENATE(";",EscStr(CONCATENATE("NavNode_",getCategoryLevelAsString($B258))),";",EscStr(X258),";")))</f>
        <v>;"NavNode_L3D_525560";"Výkonové LED diody";</v>
      </c>
      <c r="AR258" s="39" t="str">
        <f>IF(OR($A258&lt;&gt;"", $G258=""),"",CONCATENATE(";",EscStr(CONCATENATE("NavEntry_",getCategoryLevelAsString($B258))),";",EscStr(CONCATENATE($J258," Navigation Entry")),";",EscStr(CONCATENATE("cat-",getCategoryLevelAsString($B258))),";",EscStr(CONCATENATE("NavNode_",getCategoryLevelAsString($B258))),";"))</f>
        <v>;"NavEntry_L3D_525560";"Power LEDs Navigation Entry";"cat-L3D_525560";"NavNode_L3D_525560";</v>
      </c>
    </row>
    <row r="259" spans="1:44" s="34" customFormat="1" ht="15" x14ac:dyDescent="0.25">
      <c r="A259" s="25"/>
      <c r="B259" s="5"/>
      <c r="C259" s="5"/>
      <c r="D259" s="5" t="s">
        <v>220</v>
      </c>
      <c r="E259" s="5"/>
      <c r="F259" s="5"/>
      <c r="G259" s="5" t="s">
        <v>2203</v>
      </c>
      <c r="H259" s="5" t="s">
        <v>2204</v>
      </c>
      <c r="I259" s="5" t="s">
        <v>2205</v>
      </c>
      <c r="J259" s="5" t="s">
        <v>2206</v>
      </c>
      <c r="K259" s="5" t="s">
        <v>2207</v>
      </c>
      <c r="L259" s="5" t="s">
        <v>15198</v>
      </c>
      <c r="M259" s="5" t="s">
        <v>2209</v>
      </c>
      <c r="N259" s="5" t="s">
        <v>2207</v>
      </c>
      <c r="O259" s="5" t="s">
        <v>2210</v>
      </c>
      <c r="P259" s="5" t="s">
        <v>2211</v>
      </c>
      <c r="Q259" s="5" t="s">
        <v>2212</v>
      </c>
      <c r="R259" s="5" t="s">
        <v>2213</v>
      </c>
      <c r="S259" s="5" t="s">
        <v>2214</v>
      </c>
      <c r="T259" s="5" t="s">
        <v>2215</v>
      </c>
      <c r="U259" s="5" t="s">
        <v>2216</v>
      </c>
      <c r="V259" s="5" t="s">
        <v>2217</v>
      </c>
      <c r="W259" s="5" t="s">
        <v>2218</v>
      </c>
      <c r="X259" s="5" t="s">
        <v>14959</v>
      </c>
      <c r="Y259" s="39" t="str">
        <f>IF(OR($A259&lt;&gt;"", $G259=""),"",CONCATENATE(";",EscStr(CONCATENATE("NavNode_",getCategoryLevelAsString($B259))),";",EscStr($J259),";",IF($B259&lt;&gt;"","""MainCategoryNavNode""",EscStr(CONCATENATE("NavNode_",getSuperCategory($B259, getCategoryLevelAsNumber($B259))))),";"))</f>
        <v>;"NavNode_L3D_525561";"LED Spot Modules";"NavNode_L2D_379658";</v>
      </c>
      <c r="Z259" s="39" t="str">
        <f>IF(getCategoryLevelAsString($B259)="L0D_324785","",IF(G259="",CONCATENATE(";",EscStr(CONCATENATE("NavNode_",getCategoryLevelAsString($B259))),";",EscStr($J259),";"),CONCATENATE(";",EscStr(CONCATENATE("NavNode_",getCategoryLevelAsString($B259))),";",EscStr(G259),";")))</f>
        <v>;"NavNode_L3D_525561";"LED Spot Module";</v>
      </c>
      <c r="AA259" s="39" t="str">
        <f>IF(getCategoryLevelAsString($B259)="L0D_324785","",IF(H259="",CONCATENATE(";",EscStr(CONCATENATE("NavNode_",getCategoryLevelAsString($B259))),";",EscStr($J259),";"),CONCATENATE(";",EscStr(CONCATENATE("NavNode_",getCategoryLevelAsString($B259))),";",EscStr(H259),";")))</f>
        <v>;"NavNode_L3D_525561";"Modules de spot à LED";</v>
      </c>
      <c r="AB259" s="39" t="str">
        <f>IF(getCategoryLevelAsString($B259)="L0D_324785","",IF(I259="",CONCATENATE(";",EscStr(CONCATENATE("NavNode_",getCategoryLevelAsString($B259))),";",EscStr($J259),";"),CONCATENATE(";",EscStr(CONCATENATE("NavNode_",getCategoryLevelAsString($B259))),";",EscStr(I259),";")))</f>
        <v>;"NavNode_L3D_525561";"Moduli faretti a LED";</v>
      </c>
      <c r="AC259" s="39" t="str">
        <f>IF(getCategoryLevelAsString($B259)="L0D_324785","",IF(J259="",CONCATENATE(";",EscStr(CONCATENATE("NavNode_",getCategoryLevelAsString($B259))),";",EscStr($J259),";"),CONCATENATE(";",EscStr(CONCATENATE("NavNode_",getCategoryLevelAsString($B259))),";",EscStr(J259),";")))</f>
        <v>;"NavNode_L3D_525561";"LED Spot Modules";</v>
      </c>
      <c r="AD259" s="39" t="str">
        <f>IF(getCategoryLevelAsString($B259)="L0D_324785","",IF(K259="",CONCATENATE(";",EscStr(CONCATENATE("NavNode_",getCategoryLevelAsString($B259))),";",EscStr($J259),";"),CONCATENATE(";",EscStr(CONCATENATE("NavNode_",getCategoryLevelAsString($B259))),";",EscStr(K259),";")))</f>
        <v>;"NavNode_L3D_525561";"LED-spotmoduler";</v>
      </c>
      <c r="AE259" s="39" t="str">
        <f>IF(getCategoryLevelAsString($B259)="L0D_324785","",IF(L259="",CONCATENATE(";",EscStr(CONCATENATE("NavNode_",getCategoryLevelAsString($B259))),";",EscStr($J259),";"),CONCATENATE(";",EscStr(CONCATENATE("NavNode_",getCategoryLevelAsString($B259))),";",EscStr(L259),";")))</f>
        <v>;"NavNode_L3D_525561";"LED lemputės";</v>
      </c>
      <c r="AF259" s="39" t="str">
        <f>IF(getCategoryLevelAsString($B259)="L0D_324785","",IF(M259="",CONCATENATE(";",EscStr(CONCATENATE("NavNode_",getCategoryLevelAsString($B259))),";",EscStr($J259),";"),CONCATENATE(";",EscStr(CONCATENATE("NavNode_",getCategoryLevelAsString($B259))),";",EscStr(M259),";")))</f>
        <v>;"NavNode_L3D_525561";"LED-spotmodul";</v>
      </c>
      <c r="AG259" s="39" t="str">
        <f>IF(getCategoryLevelAsString($B259)="L0D_324785","",IF(N259="",CONCATENATE(";",EscStr(CONCATENATE("NavNode_",getCategoryLevelAsString($B259))),";",EscStr($J259),";"),CONCATENATE(";",EscStr(CONCATENATE("NavNode_",getCategoryLevelAsString($B259))),";",EscStr(N259),";")))</f>
        <v>;"NavNode_L3D_525561";"LED-spotmoduler";</v>
      </c>
      <c r="AH259" s="39" t="str">
        <f>IF(getCategoryLevelAsString($B259)="L0D_324785","",IF(O259="",CONCATENATE(";",EscStr(CONCATENATE("NavNode_",getCategoryLevelAsString($B259))),";",EscStr($J259),";"),CONCATENATE(";",EscStr(CONCATENATE("NavNode_",getCategoryLevelAsString($B259))),";",EscStr(O259),";")))</f>
        <v>;"NavNode_L3D_525561";"LED-kohtmoodulid";</v>
      </c>
      <c r="AI259" s="39" t="str">
        <f>IF(getCategoryLevelAsString($B259)="L0D_324785","",IF(P259="",CONCATENATE(";",EscStr(CONCATENATE("NavNode_",getCategoryLevelAsString($B259))),";",EscStr($J259),";"),CONCATENATE(";",EscStr(CONCATENATE("NavNode_",getCategoryLevelAsString($B259))),";",EscStr(P259),";")))</f>
        <v>;"NavNode_L3D_525561";"LED-kohdevalomoduulit";</v>
      </c>
      <c r="AJ259" s="39" t="str">
        <f>IF(getCategoryLevelAsString($B259)="L0D_324785","",IF(Q259="",CONCATENATE(";",EscStr(CONCATENATE("NavNode_",getCategoryLevelAsString($B259))),";",EscStr($J259),";"),CONCATENATE(";",EscStr(CONCATENATE("NavNode_",getCategoryLevelAsString($B259))),";",EscStr(Q259),";")))</f>
        <v>;"NavNode_L3D_525561";"Gaismas diožu punkta moduļi";</v>
      </c>
      <c r="AK259" s="39" t="str">
        <f>IF(getCategoryLevelAsString($B259)="L0D_324785","",IF(R259="",CONCATENATE(";",EscStr(CONCATENATE("NavNode_",getCategoryLevelAsString($B259))),";",EscStr($J259),";"),CONCATENATE(";",EscStr(CONCATENATE("NavNode_",getCategoryLevelAsString($B259))),";",EscStr(R259),";")))</f>
        <v>;"NavNode_L3D_525561";"LED-spotmodules";</v>
      </c>
      <c r="AL259" s="39" t="str">
        <f>IF(getCategoryLevelAsString($B259)="L0D_324785","",IF(S259="",CONCATENATE(";",EscStr(CONCATENATE("NavNode_",getCategoryLevelAsString($B259))),";",EscStr($J259),";"),CONCATENATE(";",EscStr(CONCATENATE("NavNode_",getCategoryLevelAsString($B259))),";",EscStr(S259),";")))</f>
        <v>;"NavNode_L3D_525561";"Moduły punktowe LED";</v>
      </c>
      <c r="AM259" s="39" t="str">
        <f>IF(getCategoryLevelAsString($B259)="L0D_324785","",IF(T259="",CONCATENATE(";",EscStr(CONCATENATE("NavNode_",getCategoryLevelAsString($B259))),";",EscStr($J259),";"),CONCATENATE(";",EscStr(CONCATENATE("NavNode_",getCategoryLevelAsString($B259))),";",EscStr(T259),";")))</f>
        <v>;"NavNode_L3D_525561";"Модули точечных светодиодов";</v>
      </c>
      <c r="AN259" s="39" t="str">
        <f>IF(getCategoryLevelAsString($B259)="L0D_324785","",IF(U259="",CONCATENATE(";",EscStr(CONCATENATE("NavNode_",getCategoryLevelAsString($B259))),";",EscStr($J259),";"),CONCATENATE(";",EscStr(CONCATENATE("NavNode_",getCategoryLevelAsString($B259))),";",EscStr(U259),";")))</f>
        <v>;"NavNode_L3D_525561";"Bodové moduly LED";</v>
      </c>
      <c r="AO259" s="39" t="str">
        <f>IF(getCategoryLevelAsString($B259)="L0D_324785","",IF(V259="",CONCATENATE(";",EscStr(CONCATENATE("NavNode_",getCategoryLevelAsString($B259))),";",EscStr($J259),";"),CONCATENATE(";",EscStr(CONCATENATE("NavNode_",getCategoryLevelAsString($B259))),";",EscStr(V259),";")))</f>
        <v>;"NavNode_L3D_525561";"Module spot cu LED";</v>
      </c>
      <c r="AP259" s="39" t="str">
        <f>IF(getCategoryLevelAsString($B259)="L0D_324785","",IF(W259="",CONCATENATE(";",EscStr(CONCATENATE("NavNode_",getCategoryLevelAsString($B259))),";",EscStr($J259),";"),CONCATENATE(";",EscStr(CONCATENATE("NavNode_",getCategoryLevelAsString($B259))),";",EscStr(W259),";")))</f>
        <v>;"NavNode_L3D_525561";"LED-es spotlámpa modulok";</v>
      </c>
      <c r="AQ259" s="39" t="str">
        <f>IF(getCategoryLevelAsString($B259)="L0D_324785","",IF(X259="",CONCATENATE(";",EscStr(CONCATENATE("NavNode_",getCategoryLevelAsString($B259))),";",EscStr($J259),";"),CONCATENATE(";",EscStr(CONCATENATE("NavNode_",getCategoryLevelAsString($B259))),";",EscStr(X259),";")))</f>
        <v>;"NavNode_L3D_525561";"LED bodové svetlá";</v>
      </c>
      <c r="AR259" s="39" t="str">
        <f>IF(OR($A259&lt;&gt;"", $G259=""),"",CONCATENATE(";",EscStr(CONCATENATE("NavEntry_",getCategoryLevelAsString($B259))),";",EscStr(CONCATENATE($J259," Navigation Entry")),";",EscStr(CONCATENATE("cat-",getCategoryLevelAsString($B259))),";",EscStr(CONCATENATE("NavNode_",getCategoryLevelAsString($B259))),";"))</f>
        <v>;"NavEntry_L3D_525561";"LED Spot Modules Navigation Entry";"cat-L3D_525561";"NavNode_L3D_525561";</v>
      </c>
    </row>
    <row r="260" spans="1:44" s="34" customFormat="1" ht="15" x14ac:dyDescent="0.25">
      <c r="A260" s="25"/>
      <c r="B260" s="5"/>
      <c r="C260" s="5"/>
      <c r="D260" s="5" t="s">
        <v>218</v>
      </c>
      <c r="E260" s="5"/>
      <c r="F260" s="5"/>
      <c r="G260" s="5" t="s">
        <v>504</v>
      </c>
      <c r="H260" s="5" t="s">
        <v>505</v>
      </c>
      <c r="I260" s="5" t="s">
        <v>506</v>
      </c>
      <c r="J260" s="5" t="s">
        <v>219</v>
      </c>
      <c r="K260" s="5" t="s">
        <v>1359</v>
      </c>
      <c r="L260" s="5" t="s">
        <v>15199</v>
      </c>
      <c r="M260" s="5" t="s">
        <v>1804</v>
      </c>
      <c r="N260" s="5" t="s">
        <v>1804</v>
      </c>
      <c r="O260" s="5" t="s">
        <v>3988</v>
      </c>
      <c r="P260" s="5" t="s">
        <v>3989</v>
      </c>
      <c r="Q260" s="5" t="s">
        <v>3990</v>
      </c>
      <c r="R260" s="5" t="s">
        <v>219</v>
      </c>
      <c r="S260" s="5" t="s">
        <v>3991</v>
      </c>
      <c r="T260" s="5" t="s">
        <v>3992</v>
      </c>
      <c r="U260" s="5" t="s">
        <v>3993</v>
      </c>
      <c r="V260" s="5" t="s">
        <v>3994</v>
      </c>
      <c r="W260" s="5" t="s">
        <v>3995</v>
      </c>
      <c r="X260" s="5" t="s">
        <v>3993</v>
      </c>
      <c r="Y260" s="39" t="str">
        <f>IF(OR($A260&lt;&gt;"", $G260=""),"",CONCATENATE(";",EscStr(CONCATENATE("NavNode_",getCategoryLevelAsString($B260))),";",EscStr($J260),";",IF($B260&lt;&gt;"","""MainCategoryNavNode""",EscStr(CONCATENATE("NavNode_",getSuperCategory($B260, getCategoryLevelAsNumber($B260))))),";"))</f>
        <v>;"NavNode_L3D_525562";"LED Modules";"NavNode_L2D_379658";</v>
      </c>
      <c r="Z260" s="39" t="str">
        <f>IF(getCategoryLevelAsString($B260)="L0D_324785","",IF(G260="",CONCATENATE(";",EscStr(CONCATENATE("NavNode_",getCategoryLevelAsString($B260))),";",EscStr($J260),";"),CONCATENATE(";",EscStr(CONCATENATE("NavNode_",getCategoryLevelAsString($B260))),";",EscStr(G260),";")))</f>
        <v>;"NavNode_L3D_525562";"LED-Module";</v>
      </c>
      <c r="AA260" s="39" t="str">
        <f>IF(getCategoryLevelAsString($B260)="L0D_324785","",IF(H260="",CONCATENATE(";",EscStr(CONCATENATE("NavNode_",getCategoryLevelAsString($B260))),";",EscStr($J260),";"),CONCATENATE(";",EscStr(CONCATENATE("NavNode_",getCategoryLevelAsString($B260))),";",EscStr(H260),";")))</f>
        <v>;"NavNode_L3D_525562";"Module LED";</v>
      </c>
      <c r="AB260" s="39" t="str">
        <f>IF(getCategoryLevelAsString($B260)="L0D_324785","",IF(I260="",CONCATENATE(";",EscStr(CONCATENATE("NavNode_",getCategoryLevelAsString($B260))),";",EscStr($J260),";"),CONCATENATE(";",EscStr(CONCATENATE("NavNode_",getCategoryLevelAsString($B260))),";",EscStr(I260),";")))</f>
        <v>;"NavNode_L3D_525562";"Moduli LED";</v>
      </c>
      <c r="AC260" s="39" t="str">
        <f>IF(getCategoryLevelAsString($B260)="L0D_324785","",IF(J260="",CONCATENATE(";",EscStr(CONCATENATE("NavNode_",getCategoryLevelAsString($B260))),";",EscStr($J260),";"),CONCATENATE(";",EscStr(CONCATENATE("NavNode_",getCategoryLevelAsString($B260))),";",EscStr(J260),";")))</f>
        <v>;"NavNode_L3D_525562";"LED Modules";</v>
      </c>
      <c r="AD260" s="39" t="str">
        <f>IF(getCategoryLevelAsString($B260)="L0D_324785","",IF(K260="",CONCATENATE(";",EscStr(CONCATENATE("NavNode_",getCategoryLevelAsString($B260))),";",EscStr($J260),";"),CONCATENATE(";",EscStr(CONCATENATE("NavNode_",getCategoryLevelAsString($B260))),";",EscStr(K260),";")))</f>
        <v>;"NavNode_L3D_525562";"LED-modul";</v>
      </c>
      <c r="AE260" s="39" t="str">
        <f>IF(getCategoryLevelAsString($B260)="L0D_324785","",IF(L260="",CONCATENATE(";",EscStr(CONCATENATE("NavNode_",getCategoryLevelAsString($B260))),";",EscStr($J260),";"),CONCATENATE(";",EscStr(CONCATENATE("NavNode_",getCategoryLevelAsString($B260))),";",EscStr(L260),";")))</f>
        <v>;"NavNode_L3D_525562";"LED moduliai";</v>
      </c>
      <c r="AF260" s="39" t="str">
        <f>IF(getCategoryLevelAsString($B260)="L0D_324785","",IF(M260="",CONCATENATE(";",EscStr(CONCATENATE("NavNode_",getCategoryLevelAsString($B260))),";",EscStr($J260),";"),CONCATENATE(";",EscStr(CONCATENATE("NavNode_",getCategoryLevelAsString($B260))),";",EscStr(M260),";")))</f>
        <v>;"NavNode_L3D_525562";"LED-moduler";</v>
      </c>
      <c r="AG260" s="39" t="str">
        <f>IF(getCategoryLevelAsString($B260)="L0D_324785","",IF(N260="",CONCATENATE(";",EscStr(CONCATENATE("NavNode_",getCategoryLevelAsString($B260))),";",EscStr($J260),";"),CONCATENATE(";",EscStr(CONCATENATE("NavNode_",getCategoryLevelAsString($B260))),";",EscStr(N260),";")))</f>
        <v>;"NavNode_L3D_525562";"LED-moduler";</v>
      </c>
      <c r="AH260" s="39" t="str">
        <f>IF(getCategoryLevelAsString($B260)="L0D_324785","",IF(O260="",CONCATENATE(";",EscStr(CONCATENATE("NavNode_",getCategoryLevelAsString($B260))),";",EscStr($J260),";"),CONCATENATE(";",EscStr(CONCATENATE("NavNode_",getCategoryLevelAsString($B260))),";",EscStr(O260),";")))</f>
        <v>;"NavNode_L3D_525562";"LED moodulid";</v>
      </c>
      <c r="AI260" s="39" t="str">
        <f>IF(getCategoryLevelAsString($B260)="L0D_324785","",IF(P260="",CONCATENATE(";",EscStr(CONCATENATE("NavNode_",getCategoryLevelAsString($B260))),";",EscStr($J260),";"),CONCATENATE(";",EscStr(CONCATENATE("NavNode_",getCategoryLevelAsString($B260))),";",EscStr(P260),";")))</f>
        <v>;"NavNode_L3D_525562";"Led Moduulit";</v>
      </c>
      <c r="AJ260" s="39" t="str">
        <f>IF(getCategoryLevelAsString($B260)="L0D_324785","",IF(Q260="",CONCATENATE(";",EscStr(CONCATENATE("NavNode_",getCategoryLevelAsString($B260))),";",EscStr($J260),";"),CONCATENATE(";",EscStr(CONCATENATE("NavNode_",getCategoryLevelAsString($B260))),";",EscStr(Q260),";")))</f>
        <v>;"NavNode_L3D_525562";"LED moduļi";</v>
      </c>
      <c r="AK260" s="39" t="str">
        <f>IF(getCategoryLevelAsString($B260)="L0D_324785","",IF(R260="",CONCATENATE(";",EscStr(CONCATENATE("NavNode_",getCategoryLevelAsString($B260))),";",EscStr($J260),";"),CONCATENATE(";",EscStr(CONCATENATE("NavNode_",getCategoryLevelAsString($B260))),";",EscStr(R260),";")))</f>
        <v>;"NavNode_L3D_525562";"LED Modules";</v>
      </c>
      <c r="AL260" s="39" t="str">
        <f>IF(getCategoryLevelAsString($B260)="L0D_324785","",IF(S260="",CONCATENATE(";",EscStr(CONCATENATE("NavNode_",getCategoryLevelAsString($B260))),";",EscStr($J260),";"),CONCATENATE(";",EscStr(CONCATENATE("NavNode_",getCategoryLevelAsString($B260))),";",EscStr(S260),";")))</f>
        <v>;"NavNode_L3D_525562";"Moduły LED";</v>
      </c>
      <c r="AM260" s="39" t="str">
        <f>IF(getCategoryLevelAsString($B260)="L0D_324785","",IF(T260="",CONCATENATE(";",EscStr(CONCATENATE("NavNode_",getCategoryLevelAsString($B260))),";",EscStr($J260),";"),CONCATENATE(";",EscStr(CONCATENATE("NavNode_",getCategoryLevelAsString($B260))),";",EscStr(T260),";")))</f>
        <v>;"NavNode_L3D_525562";"Светодиодные модули";</v>
      </c>
      <c r="AN260" s="39" t="str">
        <f>IF(getCategoryLevelAsString($B260)="L0D_324785","",IF(U260="",CONCATENATE(";",EscStr(CONCATENATE("NavNode_",getCategoryLevelAsString($B260))),";",EscStr($J260),";"),CONCATENATE(";",EscStr(CONCATENATE("NavNode_",getCategoryLevelAsString($B260))),";",EscStr(U260),";")))</f>
        <v>;"NavNode_L3D_525562";"LED moduly";</v>
      </c>
      <c r="AO260" s="39" t="str">
        <f>IF(getCategoryLevelAsString($B260)="L0D_324785","",IF(V260="",CONCATENATE(";",EscStr(CONCATENATE("NavNode_",getCategoryLevelAsString($B260))),";",EscStr($J260),";"),CONCATENATE(";",EscStr(CONCATENATE("NavNode_",getCategoryLevelAsString($B260))),";",EscStr(V260),";")))</f>
        <v>;"NavNode_L3D_525562";"Module cu LED-uri";</v>
      </c>
      <c r="AP260" s="39" t="str">
        <f>IF(getCategoryLevelAsString($B260)="L0D_324785","",IF(W260="",CONCATENATE(";",EscStr(CONCATENATE("NavNode_",getCategoryLevelAsString($B260))),";",EscStr($J260),";"),CONCATENATE(";",EscStr(CONCATENATE("NavNode_",getCategoryLevelAsString($B260))),";",EscStr(W260),";")))</f>
        <v>;"NavNode_L3D_525562";"LED Modulok";</v>
      </c>
      <c r="AQ260" s="39" t="str">
        <f>IF(getCategoryLevelAsString($B260)="L0D_324785","",IF(X260="",CONCATENATE(";",EscStr(CONCATENATE("NavNode_",getCategoryLevelAsString($B260))),";",EscStr($J260),";"),CONCATENATE(";",EscStr(CONCATENATE("NavNode_",getCategoryLevelAsString($B260))),";",EscStr(X260),";")))</f>
        <v>;"NavNode_L3D_525562";"LED moduly";</v>
      </c>
      <c r="AR260" s="39" t="str">
        <f>IF(OR($A260&lt;&gt;"", $G260=""),"",CONCATENATE(";",EscStr(CONCATENATE("NavEntry_",getCategoryLevelAsString($B260))),";",EscStr(CONCATENATE($J260," Navigation Entry")),";",EscStr(CONCATENATE("cat-",getCategoryLevelAsString($B260))),";",EscStr(CONCATENATE("NavNode_",getCategoryLevelAsString($B260))),";"))</f>
        <v>;"NavEntry_L3D_525562";"LED Modules Navigation Entry";"cat-L3D_525562";"NavNode_L3D_525562";</v>
      </c>
    </row>
    <row r="261" spans="1:44" s="34" customFormat="1" ht="15" x14ac:dyDescent="0.25">
      <c r="A261" s="25"/>
      <c r="B261" s="5"/>
      <c r="C261" s="5"/>
      <c r="D261" s="5" t="s">
        <v>216</v>
      </c>
      <c r="E261" s="5"/>
      <c r="F261" s="5"/>
      <c r="G261" s="5" t="s">
        <v>501</v>
      </c>
      <c r="H261" s="5" t="s">
        <v>502</v>
      </c>
      <c r="I261" s="5" t="s">
        <v>503</v>
      </c>
      <c r="J261" s="5" t="s">
        <v>217</v>
      </c>
      <c r="K261" s="5" t="s">
        <v>1360</v>
      </c>
      <c r="L261" s="5" t="s">
        <v>15200</v>
      </c>
      <c r="M261" s="5" t="s">
        <v>1805</v>
      </c>
      <c r="N261" s="5" t="s">
        <v>1805</v>
      </c>
      <c r="O261" s="5" t="s">
        <v>3996</v>
      </c>
      <c r="P261" s="5" t="s">
        <v>3997</v>
      </c>
      <c r="Q261" s="5" t="s">
        <v>3998</v>
      </c>
      <c r="R261" s="5" t="s">
        <v>3999</v>
      </c>
      <c r="S261" s="5" t="s">
        <v>4000</v>
      </c>
      <c r="T261" s="5" t="s">
        <v>4001</v>
      </c>
      <c r="U261" s="5" t="s">
        <v>4002</v>
      </c>
      <c r="V261" s="5" t="s">
        <v>4003</v>
      </c>
      <c r="W261" s="5" t="s">
        <v>4004</v>
      </c>
      <c r="X261" s="5" t="s">
        <v>14960</v>
      </c>
      <c r="Y261" s="39" t="str">
        <f>IF(OR($A261&lt;&gt;"", $G261=""),"",CONCATENATE(";",EscStr(CONCATENATE("NavNode_",getCategoryLevelAsString($B261))),";",EscStr($J261),";",IF($B261&lt;&gt;"","""MainCategoryNavNode""",EscStr(CONCATENATE("NavNode_",getSuperCategory($B261, getCategoryLevelAsNumber($B261))))),";"))</f>
        <v>;"NavNode_L3D_525563";"LED Fittings";"NavNode_L2D_379658";</v>
      </c>
      <c r="Z261" s="39" t="str">
        <f>IF(getCategoryLevelAsString($B261)="L0D_324785","",IF(G261="",CONCATENATE(";",EscStr(CONCATENATE("NavNode_",getCategoryLevelAsString($B261))),";",EscStr($J261),";"),CONCATENATE(";",EscStr(CONCATENATE("NavNode_",getCategoryLevelAsString($B261))),";",EscStr(G261),";")))</f>
        <v>;"NavNode_L3D_525563";"LED-Leuchten";</v>
      </c>
      <c r="AA261" s="39" t="str">
        <f>IF(getCategoryLevelAsString($B261)="L0D_324785","",IF(H261="",CONCATENATE(";",EscStr(CONCATENATE("NavNode_",getCategoryLevelAsString($B261))),";",EscStr($J261),";"),CONCATENATE(";",EscStr(CONCATENATE("NavNode_",getCategoryLevelAsString($B261))),";",EscStr(H261),";")))</f>
        <v>;"NavNode_L3D_525563";"Lampes LED";</v>
      </c>
      <c r="AB261" s="39" t="str">
        <f>IF(getCategoryLevelAsString($B261)="L0D_324785","",IF(I261="",CONCATENATE(";",EscStr(CONCATENATE("NavNode_",getCategoryLevelAsString($B261))),";",EscStr($J261),";"),CONCATENATE(";",EscStr(CONCATENATE("NavNode_",getCategoryLevelAsString($B261))),";",EscStr(I261),";")))</f>
        <v>;"NavNode_L3D_525563";"Lampade LED";</v>
      </c>
      <c r="AC261" s="39" t="str">
        <f>IF(getCategoryLevelAsString($B261)="L0D_324785","",IF(J261="",CONCATENATE(";",EscStr(CONCATENATE("NavNode_",getCategoryLevelAsString($B261))),";",EscStr($J261),";"),CONCATENATE(";",EscStr(CONCATENATE("NavNode_",getCategoryLevelAsString($B261))),";",EscStr(J261),";")))</f>
        <v>;"NavNode_L3D_525563";"LED Fittings";</v>
      </c>
      <c r="AD261" s="39" t="str">
        <f>IF(getCategoryLevelAsString($B261)="L0D_324785","",IF(K261="",CONCATENATE(";",EscStr(CONCATENATE("NavNode_",getCategoryLevelAsString($B261))),";",EscStr($J261),";"),CONCATENATE(";",EscStr(CONCATENATE("NavNode_",getCategoryLevelAsString($B261))),";",EscStr(K261),";")))</f>
        <v>;"NavNode_L3D_525563";"LED-beslag";</v>
      </c>
      <c r="AE261" s="39" t="str">
        <f>IF(getCategoryLevelAsString($B261)="L0D_324785","",IF(L261="",CONCATENATE(";",EscStr(CONCATENATE("NavNode_",getCategoryLevelAsString($B261))),";",EscStr($J261),";"),CONCATENATE(";",EscStr(CONCATENATE("NavNode_",getCategoryLevelAsString($B261))),";",EscStr(L261),";")))</f>
        <v>;"NavNode_L3D_525563";"LED jungtys";</v>
      </c>
      <c r="AF261" s="39" t="str">
        <f>IF(getCategoryLevelAsString($B261)="L0D_324785","",IF(M261="",CONCATENATE(";",EscStr(CONCATENATE("NavNode_",getCategoryLevelAsString($B261))),";",EscStr($J261),";"),CONCATENATE(";",EscStr(CONCATENATE("NavNode_",getCategoryLevelAsString($B261))),";",EscStr(M261),";")))</f>
        <v>;"NavNode_L3D_525563";"LED-armaturer";</v>
      </c>
      <c r="AG261" s="39" t="str">
        <f>IF(getCategoryLevelAsString($B261)="L0D_324785","",IF(N261="",CONCATENATE(";",EscStr(CONCATENATE("NavNode_",getCategoryLevelAsString($B261))),";",EscStr($J261),";"),CONCATENATE(";",EscStr(CONCATENATE("NavNode_",getCategoryLevelAsString($B261))),";",EscStr(N261),";")))</f>
        <v>;"NavNode_L3D_525563";"LED-armaturer";</v>
      </c>
      <c r="AH261" s="39" t="str">
        <f>IF(getCategoryLevelAsString($B261)="L0D_324785","",IF(O261="",CONCATENATE(";",EscStr(CONCATENATE("NavNode_",getCategoryLevelAsString($B261))),";",EscStr($J261),";"),CONCATENATE(";",EscStr(CONCATENATE("NavNode_",getCategoryLevelAsString($B261))),";",EscStr(O261),";")))</f>
        <v>;"NavNode_L3D_525563";"LED valgustid";</v>
      </c>
      <c r="AI261" s="39" t="str">
        <f>IF(getCategoryLevelAsString($B261)="L0D_324785","",IF(P261="",CONCATENATE(";",EscStr(CONCATENATE("NavNode_",getCategoryLevelAsString($B261))),";",EscStr($J261),";"),CONCATENATE(";",EscStr(CONCATENATE("NavNode_",getCategoryLevelAsString($B261))),";",EscStr(P261),";")))</f>
        <v>;"NavNode_L3D_525563";"LED Sovittimet";</v>
      </c>
      <c r="AJ261" s="39" t="str">
        <f>IF(getCategoryLevelAsString($B261)="L0D_324785","",IF(Q261="",CONCATENATE(";",EscStr(CONCATENATE("NavNode_",getCategoryLevelAsString($B261))),";",EscStr($J261),";"),CONCATENATE(";",EscStr(CONCATENATE("NavNode_",getCategoryLevelAsString($B261))),";",EscStr(Q261),";")))</f>
        <v>;"NavNode_L3D_525563";"LED turētāji";</v>
      </c>
      <c r="AK261" s="39" t="str">
        <f>IF(getCategoryLevelAsString($B261)="L0D_324785","",IF(R261="",CONCATENATE(";",EscStr(CONCATENATE("NavNode_",getCategoryLevelAsString($B261))),";",EscStr($J261),";"),CONCATENATE(";",EscStr(CONCATENATE("NavNode_",getCategoryLevelAsString($B261))),";",EscStr(R261),";")))</f>
        <v>;"NavNode_L3D_525563";"LED Fittingen";</v>
      </c>
      <c r="AL261" s="39" t="str">
        <f>IF(getCategoryLevelAsString($B261)="L0D_324785","",IF(S261="",CONCATENATE(";",EscStr(CONCATENATE("NavNode_",getCategoryLevelAsString($B261))),";",EscStr($J261),";"),CONCATENATE(";",EscStr(CONCATENATE("NavNode_",getCategoryLevelAsString($B261))),";",EscStr(S261),";")))</f>
        <v>;"NavNode_L3D_525563";"Źródła światła LED";</v>
      </c>
      <c r="AM261" s="39" t="str">
        <f>IF(getCategoryLevelAsString($B261)="L0D_324785","",IF(T261="",CONCATENATE(";",EscStr(CONCATENATE("NavNode_",getCategoryLevelAsString($B261))),";",EscStr($J261),";"),CONCATENATE(";",EscStr(CONCATENATE("NavNode_",getCategoryLevelAsString($B261))),";",EscStr(T261),";")))</f>
        <v>;"NavNode_L3D_525563";"Арматура для светодиодных ламп";</v>
      </c>
      <c r="AN261" s="39" t="str">
        <f>IF(getCategoryLevelAsString($B261)="L0D_324785","",IF(U261="",CONCATENATE(";",EscStr(CONCATENATE("NavNode_",getCategoryLevelAsString($B261))),";",EscStr($J261),";"),CONCATENATE(";",EscStr(CONCATENATE("NavNode_",getCategoryLevelAsString($B261))),";",EscStr(U261),";")))</f>
        <v>;"NavNode_L3D_525563";"LED světla";</v>
      </c>
      <c r="AO261" s="39" t="str">
        <f>IF(getCategoryLevelAsString($B261)="L0D_324785","",IF(V261="",CONCATENATE(";",EscStr(CONCATENATE("NavNode_",getCategoryLevelAsString($B261))),";",EscStr($J261),";"),CONCATENATE(";",EscStr(CONCATENATE("NavNode_",getCategoryLevelAsString($B261))),";",EscStr(V261),";")))</f>
        <v>;"NavNode_L3D_525563";"Lumini cu LED-uri";</v>
      </c>
      <c r="AP261" s="39" t="str">
        <f>IF(getCategoryLevelAsString($B261)="L0D_324785","",IF(W261="",CONCATENATE(";",EscStr(CONCATENATE("NavNode_",getCategoryLevelAsString($B261))),";",EscStr($J261),";"),CONCATENATE(";",EscStr(CONCATENATE("NavNode_",getCategoryLevelAsString($B261))),";",EscStr(W261),";")))</f>
        <v>;"NavNode_L3D_525563";"LED világítás";</v>
      </c>
      <c r="AQ261" s="39" t="str">
        <f>IF(getCategoryLevelAsString($B261)="L0D_324785","",IF(X261="",CONCATENATE(";",EscStr(CONCATENATE("NavNode_",getCategoryLevelAsString($B261))),";",EscStr($J261),";"),CONCATENATE(";",EscStr(CONCATENATE("NavNode_",getCategoryLevelAsString($B261))),";",EscStr(X261),";")))</f>
        <v>;"NavNode_L3D_525563";"LED svetlá";</v>
      </c>
      <c r="AR261" s="39" t="str">
        <f>IF(OR($A261&lt;&gt;"", $G261=""),"",CONCATENATE(";",EscStr(CONCATENATE("NavEntry_",getCategoryLevelAsString($B261))),";",EscStr(CONCATENATE($J261," Navigation Entry")),";",EscStr(CONCATENATE("cat-",getCategoryLevelAsString($B261))),";",EscStr(CONCATENATE("NavNode_",getCategoryLevelAsString($B261))),";"))</f>
        <v>;"NavEntry_L3D_525563";"LED Fittings Navigation Entry";"cat-L3D_525563";"NavNode_L3D_525563";</v>
      </c>
    </row>
    <row r="262" spans="1:44" s="34" customFormat="1" ht="15" x14ac:dyDescent="0.25">
      <c r="A262" s="25"/>
      <c r="B262" s="5"/>
      <c r="C262" s="5"/>
      <c r="D262" s="5" t="s">
        <v>214</v>
      </c>
      <c r="E262" s="5"/>
      <c r="F262" s="5"/>
      <c r="G262" s="5" t="s">
        <v>498</v>
      </c>
      <c r="H262" s="5" t="s">
        <v>499</v>
      </c>
      <c r="I262" s="5" t="s">
        <v>500</v>
      </c>
      <c r="J262" s="5" t="s">
        <v>215</v>
      </c>
      <c r="K262" s="5" t="s">
        <v>1361</v>
      </c>
      <c r="L262" s="5" t="s">
        <v>15201</v>
      </c>
      <c r="M262" s="5" t="s">
        <v>1361</v>
      </c>
      <c r="N262" s="5" t="s">
        <v>2016</v>
      </c>
      <c r="O262" s="5" t="s">
        <v>4005</v>
      </c>
      <c r="P262" s="5" t="s">
        <v>4006</v>
      </c>
      <c r="Q262" s="5" t="s">
        <v>4007</v>
      </c>
      <c r="R262" s="5" t="s">
        <v>215</v>
      </c>
      <c r="S262" s="5" t="s">
        <v>4008</v>
      </c>
      <c r="T262" s="5" t="s">
        <v>4009</v>
      </c>
      <c r="U262" s="5" t="s">
        <v>4010</v>
      </c>
      <c r="V262" s="5" t="s">
        <v>4011</v>
      </c>
      <c r="W262" s="5" t="s">
        <v>4012</v>
      </c>
      <c r="X262" s="5" t="s">
        <v>4010</v>
      </c>
      <c r="Y262" s="39" t="str">
        <f>IF(OR($A262&lt;&gt;"", $G262=""),"",CONCATENATE(";",EscStr(CONCATENATE("NavNode_",getCategoryLevelAsString($B262))),";",EscStr($J262),";",IF($B262&lt;&gt;"","""MainCategoryNavNode""",EscStr(CONCATENATE("NavNode_",getSuperCategory($B262, getCategoryLevelAsNumber($B262))))),";"))</f>
        <v>;"NavNode_L3D_525565";"LED Drivers";"NavNode_L2D_379658";</v>
      </c>
      <c r="Z262" s="39" t="str">
        <f>IF(getCategoryLevelAsString($B262)="L0D_324785","",IF(G262="",CONCATENATE(";",EscStr(CONCATENATE("NavNode_",getCategoryLevelAsString($B262))),";",EscStr($J262),";"),CONCATENATE(";",EscStr(CONCATENATE("NavNode_",getCategoryLevelAsString($B262))),";",EscStr(G262),";")))</f>
        <v>;"NavNode_L3D_525565";"LED-Treiber";</v>
      </c>
      <c r="AA262" s="39" t="str">
        <f>IF(getCategoryLevelAsString($B262)="L0D_324785","",IF(H262="",CONCATENATE(";",EscStr(CONCATENATE("NavNode_",getCategoryLevelAsString($B262))),";",EscStr($J262),";"),CONCATENATE(";",EscStr(CONCATENATE("NavNode_",getCategoryLevelAsString($B262))),";",EscStr(H262),";")))</f>
        <v>;"NavNode_L3D_525565";"Pilotes pour LED";</v>
      </c>
      <c r="AB262" s="39" t="str">
        <f>IF(getCategoryLevelAsString($B262)="L0D_324785","",IF(I262="",CONCATENATE(";",EscStr(CONCATENATE("NavNode_",getCategoryLevelAsString($B262))),";",EscStr($J262),";"),CONCATENATE(";",EscStr(CONCATENATE("NavNode_",getCategoryLevelAsString($B262))),";",EscStr(I262),";")))</f>
        <v>;"NavNode_L3D_525565";"Alimentatori LED";</v>
      </c>
      <c r="AC262" s="39" t="str">
        <f>IF(getCategoryLevelAsString($B262)="L0D_324785","",IF(J262="",CONCATENATE(";",EscStr(CONCATENATE("NavNode_",getCategoryLevelAsString($B262))),";",EscStr($J262),";"),CONCATENATE(";",EscStr(CONCATENATE("NavNode_",getCategoryLevelAsString($B262))),";",EscStr(J262),";")))</f>
        <v>;"NavNode_L3D_525565";"LED Drivers";</v>
      </c>
      <c r="AD262" s="39" t="str">
        <f>IF(getCategoryLevelAsString($B262)="L0D_324785","",IF(K262="",CONCATENATE(";",EscStr(CONCATENATE("NavNode_",getCategoryLevelAsString($B262))),";",EscStr($J262),";"),CONCATENATE(";",EscStr(CONCATENATE("NavNode_",getCategoryLevelAsString($B262))),";",EscStr(K262),";")))</f>
        <v>;"NavNode_L3D_525565";"LED-drivere";</v>
      </c>
      <c r="AE262" s="39" t="str">
        <f>IF(getCategoryLevelAsString($B262)="L0D_324785","",IF(L262="",CONCATENATE(";",EscStr(CONCATENATE("NavNode_",getCategoryLevelAsString($B262))),";",EscStr($J262),";"),CONCATENATE(";",EscStr(CONCATENATE("NavNode_",getCategoryLevelAsString($B262))),";",EscStr(L262),";")))</f>
        <v>;"NavNode_L3D_525565";"LED valdikliai";</v>
      </c>
      <c r="AF262" s="39" t="str">
        <f>IF(getCategoryLevelAsString($B262)="L0D_324785","",IF(M262="",CONCATENATE(";",EscStr(CONCATENATE("NavNode_",getCategoryLevelAsString($B262))),";",EscStr($J262),";"),CONCATENATE(";",EscStr(CONCATENATE("NavNode_",getCategoryLevelAsString($B262))),";",EscStr(M262),";")))</f>
        <v>;"NavNode_L3D_525565";"LED-drivere";</v>
      </c>
      <c r="AG262" s="39" t="str">
        <f>IF(getCategoryLevelAsString($B262)="L0D_324785","",IF(N262="",CONCATENATE(";",EscStr(CONCATENATE("NavNode_",getCategoryLevelAsString($B262))),";",EscStr($J262),";"),CONCATENATE(";",EscStr(CONCATENATE("NavNode_",getCategoryLevelAsString($B262))),";",EscStr(N262),";")))</f>
        <v>;"NavNode_L3D_525565";"LED-drivkretsar";</v>
      </c>
      <c r="AH262" s="39" t="str">
        <f>IF(getCategoryLevelAsString($B262)="L0D_324785","",IF(O262="",CONCATENATE(";",EscStr(CONCATENATE("NavNode_",getCategoryLevelAsString($B262))),";",EscStr($J262),";"),CONCATENATE(";",EscStr(CONCATENATE("NavNode_",getCategoryLevelAsString($B262))),";",EscStr(O262),";")))</f>
        <v>;"NavNode_L3D_525565";"LEDide toiteplokid";</v>
      </c>
      <c r="AI262" s="39" t="str">
        <f>IF(getCategoryLevelAsString($B262)="L0D_324785","",IF(P262="",CONCATENATE(";",EscStr(CONCATENATE("NavNode_",getCategoryLevelAsString($B262))),";",EscStr($J262),";"),CONCATENATE(";",EscStr(CONCATENATE("NavNode_",getCategoryLevelAsString($B262))),";",EscStr(P262),";")))</f>
        <v>;"NavNode_L3D_525565";"LED Ohjaimet";</v>
      </c>
      <c r="AJ262" s="39" t="str">
        <f>IF(getCategoryLevelAsString($B262)="L0D_324785","",IF(Q262="",CONCATENATE(";",EscStr(CONCATENATE("NavNode_",getCategoryLevelAsString($B262))),";",EscStr($J262),";"),CONCATENATE(";",EscStr(CONCATENATE("NavNode_",getCategoryLevelAsString($B262))),";",EscStr(Q262),";")))</f>
        <v>;"NavNode_L3D_525565";"LED vadības iekārtas";</v>
      </c>
      <c r="AK262" s="39" t="str">
        <f>IF(getCategoryLevelAsString($B262)="L0D_324785","",IF(R262="",CONCATENATE(";",EscStr(CONCATENATE("NavNode_",getCategoryLevelAsString($B262))),";",EscStr($J262),";"),CONCATENATE(";",EscStr(CONCATENATE("NavNode_",getCategoryLevelAsString($B262))),";",EscStr(R262),";")))</f>
        <v>;"NavNode_L3D_525565";"LED Drivers";</v>
      </c>
      <c r="AL262" s="39" t="str">
        <f>IF(getCategoryLevelAsString($B262)="L0D_324785","",IF(S262="",CONCATENATE(";",EscStr(CONCATENATE("NavNode_",getCategoryLevelAsString($B262))),";",EscStr($J262),";"),CONCATENATE(";",EscStr(CONCATENATE("NavNode_",getCategoryLevelAsString($B262))),";",EscStr(S262),";")))</f>
        <v>;"NavNode_L3D_525565";"Sterowniki LED";</v>
      </c>
      <c r="AM262" s="39" t="str">
        <f>IF(getCategoryLevelAsString($B262)="L0D_324785","",IF(T262="",CONCATENATE(";",EscStr(CONCATENATE("NavNode_",getCategoryLevelAsString($B262))),";",EscStr($J262),";"),CONCATENATE(";",EscStr(CONCATENATE("NavNode_",getCategoryLevelAsString($B262))),";",EscStr(T262),";")))</f>
        <v>;"NavNode_L3D_525565";"Драйверы светодиодов";</v>
      </c>
      <c r="AN262" s="39" t="str">
        <f>IF(getCategoryLevelAsString($B262)="L0D_324785","",IF(U262="",CONCATENATE(";",EscStr(CONCATENATE("NavNode_",getCategoryLevelAsString($B262))),";",EscStr($J262),";"),CONCATENATE(";",EscStr(CONCATENATE("NavNode_",getCategoryLevelAsString($B262))),";",EscStr(U262),";")))</f>
        <v>;"NavNode_L3D_525565";"LED budiče";</v>
      </c>
      <c r="AO262" s="39" t="str">
        <f>IF(getCategoryLevelAsString($B262)="L0D_324785","",IF(V262="",CONCATENATE(";",EscStr(CONCATENATE("NavNode_",getCategoryLevelAsString($B262))),";",EscStr($J262),";"),CONCATENATE(";",EscStr(CONCATENATE("NavNode_",getCategoryLevelAsString($B262))),";",EscStr(V262),";")))</f>
        <v>;"NavNode_L3D_525565";"LED driver";</v>
      </c>
      <c r="AP262" s="39" t="str">
        <f>IF(getCategoryLevelAsString($B262)="L0D_324785","",IF(W262="",CONCATENATE(";",EscStr(CONCATENATE("NavNode_",getCategoryLevelAsString($B262))),";",EscStr($J262),";"),CONCATENATE(";",EscStr(CONCATENATE("NavNode_",getCategoryLevelAsString($B262))),";",EscStr(W262),";")))</f>
        <v>;"NavNode_L3D_525565";"LED meghajtó";</v>
      </c>
      <c r="AQ262" s="39" t="str">
        <f>IF(getCategoryLevelAsString($B262)="L0D_324785","",IF(X262="",CONCATENATE(";",EscStr(CONCATENATE("NavNode_",getCategoryLevelAsString($B262))),";",EscStr($J262),";"),CONCATENATE(";",EscStr(CONCATENATE("NavNode_",getCategoryLevelAsString($B262))),";",EscStr(X262),";")))</f>
        <v>;"NavNode_L3D_525565";"LED budiče";</v>
      </c>
      <c r="AR262" s="39" t="str">
        <f>IF(OR($A262&lt;&gt;"", $G262=""),"",CONCATENATE(";",EscStr(CONCATENATE("NavEntry_",getCategoryLevelAsString($B262))),";",EscStr(CONCATENATE($J262," Navigation Entry")),";",EscStr(CONCATENATE("cat-",getCategoryLevelAsString($B262))),";",EscStr(CONCATENATE("NavNode_",getCategoryLevelAsString($B262))),";"))</f>
        <v>;"NavEntry_L3D_525565";"LED Drivers Navigation Entry";"cat-L3D_525565";"NavNode_L3D_525565";</v>
      </c>
    </row>
    <row r="263" spans="1:44" s="34" customFormat="1" ht="15" x14ac:dyDescent="0.25">
      <c r="A263" s="25"/>
      <c r="B263" s="5"/>
      <c r="C263" s="5"/>
      <c r="D263" s="5" t="s">
        <v>213</v>
      </c>
      <c r="E263" s="5"/>
      <c r="F263" s="5"/>
      <c r="G263" s="5" t="s">
        <v>960</v>
      </c>
      <c r="H263" s="5" t="s">
        <v>723</v>
      </c>
      <c r="I263" s="5" t="s">
        <v>497</v>
      </c>
      <c r="J263" s="5" t="s">
        <v>907</v>
      </c>
      <c r="K263" s="5" t="s">
        <v>1362</v>
      </c>
      <c r="L263" s="5" t="s">
        <v>15202</v>
      </c>
      <c r="M263" s="5" t="s">
        <v>1806</v>
      </c>
      <c r="N263" s="5" t="s">
        <v>2017</v>
      </c>
      <c r="O263" s="5" t="s">
        <v>4013</v>
      </c>
      <c r="P263" s="5" t="s">
        <v>4014</v>
      </c>
      <c r="Q263" s="5" t="s">
        <v>4015</v>
      </c>
      <c r="R263" s="5" t="s">
        <v>4016</v>
      </c>
      <c r="S263" s="5" t="s">
        <v>4017</v>
      </c>
      <c r="T263" s="5" t="s">
        <v>4018</v>
      </c>
      <c r="U263" s="5" t="s">
        <v>4019</v>
      </c>
      <c r="V263" s="5" t="s">
        <v>4020</v>
      </c>
      <c r="W263" s="5" t="s">
        <v>4021</v>
      </c>
      <c r="X263" s="5" t="s">
        <v>14961</v>
      </c>
      <c r="Y263" s="39" t="str">
        <f>IF(OR($A263&lt;&gt;"", $G263=""),"",CONCATENATE(";",EscStr(CONCATENATE("NavNode_",getCategoryLevelAsString($B263))),";",EscStr($J263),";",IF($B263&lt;&gt;"","""MainCategoryNavNode""",EscStr(CONCATENATE("NavNode_",getSuperCategory($B263, getCategoryLevelAsNumber($B263))))),";"))</f>
        <v>;"NavNode_L3D_525566";"Electroluminescence Panels";"NavNode_L2D_379658";</v>
      </c>
      <c r="Z263" s="39" t="str">
        <f>IF(getCategoryLevelAsString($B263)="L0D_324785","",IF(G263="",CONCATENATE(";",EscStr(CONCATENATE("NavNode_",getCategoryLevelAsString($B263))),";",EscStr($J263),";"),CONCATENATE(";",EscStr(CONCATENATE("NavNode_",getCategoryLevelAsString($B263))),";",EscStr(G263),";")))</f>
        <v>;"NavNode_L3D_525566";"Elektrolumineszenz-Folien";</v>
      </c>
      <c r="AA263" s="39" t="str">
        <f>IF(getCategoryLevelAsString($B263)="L0D_324785","",IF(H263="",CONCATENATE(";",EscStr(CONCATENATE("NavNode_",getCategoryLevelAsString($B263))),";",EscStr($J263),";"),CONCATENATE(";",EscStr(CONCATENATE("NavNode_",getCategoryLevelAsString($B263))),";",EscStr(H263),";")))</f>
        <v>;"NavNode_L3D_525566";"Panneaux électroluminescents";</v>
      </c>
      <c r="AB263" s="39" t="str">
        <f>IF(getCategoryLevelAsString($B263)="L0D_324785","",IF(I263="",CONCATENATE(";",EscStr(CONCATENATE("NavNode_",getCategoryLevelAsString($B263))),";",EscStr($J263),";"),CONCATENATE(";",EscStr(CONCATENATE("NavNode_",getCategoryLevelAsString($B263))),";",EscStr(I263),";")))</f>
        <v>;"NavNode_L3D_525566";"Pannelli elettroluminescenti";</v>
      </c>
      <c r="AC263" s="39" t="str">
        <f>IF(getCategoryLevelAsString($B263)="L0D_324785","",IF(J263="",CONCATENATE(";",EscStr(CONCATENATE("NavNode_",getCategoryLevelAsString($B263))),";",EscStr($J263),";"),CONCATENATE(";",EscStr(CONCATENATE("NavNode_",getCategoryLevelAsString($B263))),";",EscStr(J263),";")))</f>
        <v>;"NavNode_L3D_525566";"Electroluminescence Panels";</v>
      </c>
      <c r="AD263" s="39" t="str">
        <f>IF(getCategoryLevelAsString($B263)="L0D_324785","",IF(K263="",CONCATENATE(";",EscStr(CONCATENATE("NavNode_",getCategoryLevelAsString($B263))),";",EscStr($J263),";"),CONCATENATE(";",EscStr(CONCATENATE("NavNode_",getCategoryLevelAsString($B263))),";",EscStr(K263),";")))</f>
        <v>;"NavNode_L3D_525566";"Elektroluminescens-paneler";</v>
      </c>
      <c r="AE263" s="39" t="str">
        <f>IF(getCategoryLevelAsString($B263)="L0D_324785","",IF(L263="",CONCATENATE(";",EscStr(CONCATENATE("NavNode_",getCategoryLevelAsString($B263))),";",EscStr($J263),";"),CONCATENATE(";",EscStr(CONCATENATE("NavNode_",getCategoryLevelAsString($B263))),";",EscStr(L263),";")))</f>
        <v>;"NavNode_L3D_525566";"Elektroliuminescencinės plokštės";</v>
      </c>
      <c r="AF263" s="39" t="str">
        <f>IF(getCategoryLevelAsString($B263)="L0D_324785","",IF(M263="",CONCATENATE(";",EscStr(CONCATENATE("NavNode_",getCategoryLevelAsString($B263))),";",EscStr($J263),";"),CONCATENATE(";",EscStr(CONCATENATE("NavNode_",getCategoryLevelAsString($B263))),";",EscStr(M263),";")))</f>
        <v>;"NavNode_L3D_525566";"Electroluminescence-paneler";</v>
      </c>
      <c r="AG263" s="39" t="str">
        <f>IF(getCategoryLevelAsString($B263)="L0D_324785","",IF(N263="",CONCATENATE(";",EscStr(CONCATENATE("NavNode_",getCategoryLevelAsString($B263))),";",EscStr($J263),";"),CONCATENATE(";",EscStr(CONCATENATE("NavNode_",getCategoryLevelAsString($B263))),";",EscStr(N263),";")))</f>
        <v>;"NavNode_L3D_525566";"Elektroluminiscenspaneler";</v>
      </c>
      <c r="AH263" s="39" t="str">
        <f>IF(getCategoryLevelAsString($B263)="L0D_324785","",IF(O263="",CONCATENATE(";",EscStr(CONCATENATE("NavNode_",getCategoryLevelAsString($B263))),";",EscStr($J263),";"),CONCATENATE(";",EscStr(CONCATENATE("NavNode_",getCategoryLevelAsString($B263))),";",EscStr(O263),";")))</f>
        <v>;"NavNode_L3D_525566";"Elektroluminestseeruvad  paneelid";</v>
      </c>
      <c r="AI263" s="39" t="str">
        <f>IF(getCategoryLevelAsString($B263)="L0D_324785","",IF(P263="",CONCATENATE(";",EscStr(CONCATENATE("NavNode_",getCategoryLevelAsString($B263))),";",EscStr($J263),";"),CONCATENATE(";",EscStr(CONCATENATE("NavNode_",getCategoryLevelAsString($B263))),";",EscStr(P263),";")))</f>
        <v>;"NavNode_L3D_525566";"Luminenssipaneelit";</v>
      </c>
      <c r="AJ263" s="39" t="str">
        <f>IF(getCategoryLevelAsString($B263)="L0D_324785","",IF(Q263="",CONCATENATE(";",EscStr(CONCATENATE("NavNode_",getCategoryLevelAsString($B263))),";",EscStr($J263),";"),CONCATENATE(";",EscStr(CONCATENATE("NavNode_",getCategoryLevelAsString($B263))),";",EscStr(Q263),";")))</f>
        <v>;"NavNode_L3D_525566";"Elektroluminiscences paneļi";</v>
      </c>
      <c r="AK263" s="39" t="str">
        <f>IF(getCategoryLevelAsString($B263)="L0D_324785","",IF(R263="",CONCATENATE(";",EscStr(CONCATENATE("NavNode_",getCategoryLevelAsString($B263))),";",EscStr($J263),";"),CONCATENATE(";",EscStr(CONCATENATE("NavNode_",getCategoryLevelAsString($B263))),";",EscStr(R263),";")))</f>
        <v>;"NavNode_L3D_525566";"Elektroluminescentie panelen";</v>
      </c>
      <c r="AL263" s="39" t="str">
        <f>IF(getCategoryLevelAsString($B263)="L0D_324785","",IF(S263="",CONCATENATE(";",EscStr(CONCATENATE("NavNode_",getCategoryLevelAsString($B263))),";",EscStr($J263),";"),CONCATENATE(";",EscStr(CONCATENATE("NavNode_",getCategoryLevelAsString($B263))),";",EscStr(S263),";")))</f>
        <v>;"NavNode_L3D_525566";"Panele elektroluminescencyjne";</v>
      </c>
      <c r="AM263" s="39" t="str">
        <f>IF(getCategoryLevelAsString($B263)="L0D_324785","",IF(T263="",CONCATENATE(";",EscStr(CONCATENATE("NavNode_",getCategoryLevelAsString($B263))),";",EscStr($J263),";"),CONCATENATE(";",EscStr(CONCATENATE("NavNode_",getCategoryLevelAsString($B263))),";",EscStr(T263),";")))</f>
        <v>;"NavNode_L3D_525566";"Электролюминесцентные Панели";</v>
      </c>
      <c r="AN263" s="39" t="str">
        <f>IF(getCategoryLevelAsString($B263)="L0D_324785","",IF(U263="",CONCATENATE(";",EscStr(CONCATENATE("NavNode_",getCategoryLevelAsString($B263))),";",EscStr($J263),";"),CONCATENATE(";",EscStr(CONCATENATE("NavNode_",getCategoryLevelAsString($B263))),";",EscStr(U263),";")))</f>
        <v>;"NavNode_L3D_525566";"Elektroluminiscenční fólie";</v>
      </c>
      <c r="AO263" s="39" t="str">
        <f>IF(getCategoryLevelAsString($B263)="L0D_324785","",IF(V263="",CONCATENATE(";",EscStr(CONCATENATE("NavNode_",getCategoryLevelAsString($B263))),";",EscStr($J263),";"),CONCATENATE(";",EscStr(CONCATENATE("NavNode_",getCategoryLevelAsString($B263))),";",EscStr(V263),";")))</f>
        <v>;"NavNode_L3D_525566";"Folie electroluminescentă";</v>
      </c>
      <c r="AP263" s="39" t="str">
        <f>IF(getCategoryLevelAsString($B263)="L0D_324785","",IF(W263="",CONCATENATE(";",EscStr(CONCATENATE("NavNode_",getCategoryLevelAsString($B263))),";",EscStr($J263),";"),CONCATENATE(";",EscStr(CONCATENATE("NavNode_",getCategoryLevelAsString($B263))),";",EscStr(W263),";")))</f>
        <v>;"NavNode_L3D_525566";"Elektrolumineszcens világító fóliák";</v>
      </c>
      <c r="AQ263" s="39" t="str">
        <f>IF(getCategoryLevelAsString($B263)="L0D_324785","",IF(X263="",CONCATENATE(";",EscStr(CONCATENATE("NavNode_",getCategoryLevelAsString($B263))),";",EscStr($J263),";"),CONCATENATE(";",EscStr(CONCATENATE("NavNode_",getCategoryLevelAsString($B263))),";",EscStr(X263),";")))</f>
        <v>;"NavNode_L3D_525566";"Elektroluminiscenčné fólie";</v>
      </c>
      <c r="AR263" s="39" t="str">
        <f>IF(OR($A263&lt;&gt;"", $G263=""),"",CONCATENATE(";",EscStr(CONCATENATE("NavEntry_",getCategoryLevelAsString($B263))),";",EscStr(CONCATENATE($J263," Navigation Entry")),";",EscStr(CONCATENATE("cat-",getCategoryLevelAsString($B263))),";",EscStr(CONCATENATE("NavNode_",getCategoryLevelAsString($B263))),";"))</f>
        <v>;"NavEntry_L3D_525566";"Electroluminescence Panels Navigation Entry";"cat-L3D_525566";"NavNode_L3D_525566";</v>
      </c>
    </row>
    <row r="264" spans="1:44" s="34" customFormat="1" ht="15" x14ac:dyDescent="0.25">
      <c r="A264" s="25"/>
      <c r="B264" s="5"/>
      <c r="C264" s="5"/>
      <c r="D264" s="5" t="s">
        <v>211</v>
      </c>
      <c r="E264" s="5"/>
      <c r="F264" s="5"/>
      <c r="G264" s="5" t="s">
        <v>494</v>
      </c>
      <c r="H264" s="5" t="s">
        <v>495</v>
      </c>
      <c r="I264" s="5" t="s">
        <v>496</v>
      </c>
      <c r="J264" s="5" t="s">
        <v>212</v>
      </c>
      <c r="K264" s="5" t="s">
        <v>13845</v>
      </c>
      <c r="L264" s="5" t="s">
        <v>15203</v>
      </c>
      <c r="M264" s="5" t="s">
        <v>1807</v>
      </c>
      <c r="N264" s="5" t="s">
        <v>2018</v>
      </c>
      <c r="O264" s="5" t="s">
        <v>4022</v>
      </c>
      <c r="P264" s="5" t="s">
        <v>4023</v>
      </c>
      <c r="Q264" s="5" t="s">
        <v>4024</v>
      </c>
      <c r="R264" s="5" t="s">
        <v>4025</v>
      </c>
      <c r="S264" s="5" t="s">
        <v>4026</v>
      </c>
      <c r="T264" s="5" t="s">
        <v>4027</v>
      </c>
      <c r="U264" s="5" t="s">
        <v>4028</v>
      </c>
      <c r="V264" s="5" t="s">
        <v>4029</v>
      </c>
      <c r="W264" s="5" t="s">
        <v>4030</v>
      </c>
      <c r="X264" s="5" t="s">
        <v>14962</v>
      </c>
      <c r="Y264" s="39" t="str">
        <f>IF(OR($A264&lt;&gt;"", $G264=""),"",CONCATENATE(";",EscStr(CONCATENATE("NavNode_",getCategoryLevelAsString($B264))),";",EscStr($J264),";",IF($B264&lt;&gt;"","""MainCategoryNavNode""",EscStr(CONCATENATE("NavNode_",getSuperCategory($B264, getCategoryLevelAsNumber($B264))))),";"))</f>
        <v>;"NavNode_L3D_525564";"Accessories for Power LEDs";"NavNode_L2D_379658";</v>
      </c>
      <c r="Z264" s="39" t="str">
        <f>IF(getCategoryLevelAsString($B264)="L0D_324785","",IF(G264="",CONCATENATE(";",EscStr(CONCATENATE("NavNode_",getCategoryLevelAsString($B264))),";",EscStr($J264),";"),CONCATENATE(";",EscStr(CONCATENATE("NavNode_",getCategoryLevelAsString($B264))),";",EscStr(G264),";")))</f>
        <v>;"NavNode_L3D_525564";"Zubehör für Power-LEDs";</v>
      </c>
      <c r="AA264" s="39" t="str">
        <f>IF(getCategoryLevelAsString($B264)="L0D_324785","",IF(H264="",CONCATENATE(";",EscStr(CONCATENATE("NavNode_",getCategoryLevelAsString($B264))),";",EscStr($J264),";"),CONCATENATE(";",EscStr(CONCATENATE("NavNode_",getCategoryLevelAsString($B264))),";",EscStr(H264),";")))</f>
        <v>;"NavNode_L3D_525564";"Accessoires pour LED de puissance";</v>
      </c>
      <c r="AB264" s="39" t="str">
        <f>IF(getCategoryLevelAsString($B264)="L0D_324785","",IF(I264="",CONCATENATE(";",EscStr(CONCATENATE("NavNode_",getCategoryLevelAsString($B264))),";",EscStr($J264),";"),CONCATENATE(";",EscStr(CONCATENATE("NavNode_",getCategoryLevelAsString($B264))),";",EscStr(I264),";")))</f>
        <v>;"NavNode_L3D_525564";"Accessori per LED corrente";</v>
      </c>
      <c r="AC264" s="39" t="str">
        <f>IF(getCategoryLevelAsString($B264)="L0D_324785","",IF(J264="",CONCATENATE(";",EscStr(CONCATENATE("NavNode_",getCategoryLevelAsString($B264))),";",EscStr($J264),";"),CONCATENATE(";",EscStr(CONCATENATE("NavNode_",getCategoryLevelAsString($B264))),";",EscStr(J264),";")))</f>
        <v>;"NavNode_L3D_525564";"Accessories for Power LEDs";</v>
      </c>
      <c r="AD264" s="39" t="str">
        <f>IF(getCategoryLevelAsString($B264)="L0D_324785","",IF(K264="",CONCATENATE(";",EscStr(CONCATENATE("NavNode_",getCategoryLevelAsString($B264))),";",EscStr($J264),";"),CONCATENATE(";",EscStr(CONCATENATE("NavNode_",getCategoryLevelAsString($B264))),";",EscStr(K264),";")))</f>
        <v>;"NavNode_L3D_525564";"Tilbehør  til effektdioder";</v>
      </c>
      <c r="AE264" s="39" t="str">
        <f>IF(getCategoryLevelAsString($B264)="L0D_324785","",IF(L264="",CONCATENATE(";",EscStr(CONCATENATE("NavNode_",getCategoryLevelAsString($B264))),";",EscStr($J264),";"),CONCATENATE(";",EscStr(CONCATENATE("NavNode_",getCategoryLevelAsString($B264))),";",EscStr(L264),";")))</f>
        <v>;"NavNode_L3D_525564";"LED priedai";</v>
      </c>
      <c r="AF264" s="39" t="str">
        <f>IF(getCategoryLevelAsString($B264)="L0D_324785","",IF(M264="",CONCATENATE(";",EscStr(CONCATENATE("NavNode_",getCategoryLevelAsString($B264))),";",EscStr($J264),";"),CONCATENATE(";",EscStr(CONCATENATE("NavNode_",getCategoryLevelAsString($B264))),";",EscStr(M264),";")))</f>
        <v>;"NavNode_L3D_525564";"Tilbehør for strøm-LED-er";</v>
      </c>
      <c r="AG264" s="39" t="str">
        <f>IF(getCategoryLevelAsString($B264)="L0D_324785","",IF(N264="",CONCATENATE(";",EscStr(CONCATENATE("NavNode_",getCategoryLevelAsString($B264))),";",EscStr($J264),";"),CONCATENATE(";",EscStr(CONCATENATE("NavNode_",getCategoryLevelAsString($B264))),";",EscStr(N264),";")))</f>
        <v>;"NavNode_L3D_525564";"Tillbehör för effekt-LED";</v>
      </c>
      <c r="AH264" s="39" t="str">
        <f>IF(getCategoryLevelAsString($B264)="L0D_324785","",IF(O264="",CONCATENATE(";",EscStr(CONCATENATE("NavNode_",getCategoryLevelAsString($B264))),";",EscStr($J264),";"),CONCATENATE(";",EscStr(CONCATENATE("NavNode_",getCategoryLevelAsString($B264))),";",EscStr(O264),";")))</f>
        <v>;"NavNode_L3D_525564";"Võimsate LEDide tarvikud";</v>
      </c>
      <c r="AI264" s="39" t="str">
        <f>IF(getCategoryLevelAsString($B264)="L0D_324785","",IF(P264="",CONCATENATE(";",EscStr(CONCATENATE("NavNode_",getCategoryLevelAsString($B264))),";",EscStr($J264),";"),CONCATENATE(";",EscStr(CONCATENATE("NavNode_",getCategoryLevelAsString($B264))),";",EscStr(P264),";")))</f>
        <v>;"NavNode_L3D_525564";"Tarvikkeet TehoLED";</v>
      </c>
      <c r="AJ264" s="39" t="str">
        <f>IF(getCategoryLevelAsString($B264)="L0D_324785","",IF(Q264="",CONCATENATE(";",EscStr(CONCATENATE("NavNode_",getCategoryLevelAsString($B264))),";",EscStr($J264),";"),CONCATENATE(";",EscStr(CONCATENATE("NavNode_",getCategoryLevelAsString($B264))),";",EscStr(Q264),";")))</f>
        <v>;"NavNode_L3D_525564";"Jaudas LED piederumi";</v>
      </c>
      <c r="AK264" s="39" t="str">
        <f>IF(getCategoryLevelAsString($B264)="L0D_324785","",IF(R264="",CONCATENATE(";",EscStr(CONCATENATE("NavNode_",getCategoryLevelAsString($B264))),";",EscStr($J264),";"),CONCATENATE(";",EscStr(CONCATENATE("NavNode_",getCategoryLevelAsString($B264))),";",EscStr(R264),";")))</f>
        <v>;"NavNode_L3D_525564";"Accessoires voor power LEDs";</v>
      </c>
      <c r="AL264" s="39" t="str">
        <f>IF(getCategoryLevelAsString($B264)="L0D_324785","",IF(S264="",CONCATENATE(";",EscStr(CONCATENATE("NavNode_",getCategoryLevelAsString($B264))),";",EscStr($J264),";"),CONCATENATE(";",EscStr(CONCATENATE("NavNode_",getCategoryLevelAsString($B264))),";",EscStr(S264),";")))</f>
        <v>;"NavNode_L3D_525564";"Akcesoria do LED mocy";</v>
      </c>
      <c r="AM264" s="39" t="str">
        <f>IF(getCategoryLevelAsString($B264)="L0D_324785","",IF(T264="",CONCATENATE(";",EscStr(CONCATENATE("NavNode_",getCategoryLevelAsString($B264))),";",EscStr($J264),";"),CONCATENATE(";",EscStr(CONCATENATE("NavNode_",getCategoryLevelAsString($B264))),";",EscStr(T264),";")))</f>
        <v>;"NavNode_L3D_525564";"Аксессуары для мощных светодиодов";</v>
      </c>
      <c r="AN264" s="39" t="str">
        <f>IF(getCategoryLevelAsString($B264)="L0D_324785","",IF(U264="",CONCATENATE(";",EscStr(CONCATENATE("NavNode_",getCategoryLevelAsString($B264))),";",EscStr($J264),";"),CONCATENATE(";",EscStr(CONCATENATE("NavNode_",getCategoryLevelAsString($B264))),";",EscStr(U264),";")))</f>
        <v>;"NavNode_L3D_525564";"Příslušenství pro výkonové LED";</v>
      </c>
      <c r="AO264" s="39" t="str">
        <f>IF(getCategoryLevelAsString($B264)="L0D_324785","",IF(V264="",CONCATENATE(";",EscStr(CONCATENATE("NavNode_",getCategoryLevelAsString($B264))),";",EscStr($J264),";"),CONCATENATE(";",EscStr(CONCATENATE("NavNode_",getCategoryLevelAsString($B264))),";",EscStr(V264),";")))</f>
        <v>;"NavNode_L3D_525564";"Accesorii pentru diode LED de putere";</v>
      </c>
      <c r="AP264" s="39" t="str">
        <f>IF(getCategoryLevelAsString($B264)="L0D_324785","",IF(W264="",CONCATENATE(";",EscStr(CONCATENATE("NavNode_",getCategoryLevelAsString($B264))),";",EscStr($J264),";"),CONCATENATE(";",EscStr(CONCATENATE("NavNode_",getCategoryLevelAsString($B264))),";",EscStr(W264),";")))</f>
        <v>;"NavNode_L3D_525564";"Tartozékok Power LED-ekhez";</v>
      </c>
      <c r="AQ264" s="39" t="str">
        <f>IF(getCategoryLevelAsString($B264)="L0D_324785","",IF(X264="",CONCATENATE(";",EscStr(CONCATENATE("NavNode_",getCategoryLevelAsString($B264))),";",EscStr($J264),";"),CONCATENATE(";",EscStr(CONCATENATE("NavNode_",getCategoryLevelAsString($B264))),";",EscStr(X264),";")))</f>
        <v>;"NavNode_L3D_525564";"Príslušenstvo pre výkonové LED";</v>
      </c>
      <c r="AR264" s="39" t="str">
        <f>IF(OR($A264&lt;&gt;"", $G264=""),"",CONCATENATE(";",EscStr(CONCATENATE("NavEntry_",getCategoryLevelAsString($B264))),";",EscStr(CONCATENATE($J264," Navigation Entry")),";",EscStr(CONCATENATE("cat-",getCategoryLevelAsString($B264))),";",EscStr(CONCATENATE("NavNode_",getCategoryLevelAsString($B264))),";"))</f>
        <v>;"NavEntry_L3D_525564";"Accessories for Power LEDs Navigation Entry";"cat-L3D_525564";"NavNode_L3D_525564";</v>
      </c>
    </row>
    <row r="265" spans="1:44" s="34" customFormat="1" ht="15" x14ac:dyDescent="0.25">
      <c r="A265" s="25"/>
      <c r="B265" s="5"/>
      <c r="C265" s="5" t="s">
        <v>51</v>
      </c>
      <c r="D265" s="5"/>
      <c r="E265" s="5"/>
      <c r="F265" s="5"/>
      <c r="G265" s="5" t="s">
        <v>4031</v>
      </c>
      <c r="H265" s="5" t="s">
        <v>487</v>
      </c>
      <c r="I265" s="5" t="s">
        <v>702</v>
      </c>
      <c r="J265" s="5" t="s">
        <v>486</v>
      </c>
      <c r="K265" s="5" t="s">
        <v>1364</v>
      </c>
      <c r="L265" s="5" t="s">
        <v>1600</v>
      </c>
      <c r="M265" s="5" t="s">
        <v>1364</v>
      </c>
      <c r="N265" s="5" t="s">
        <v>2019</v>
      </c>
      <c r="O265" s="5" t="s">
        <v>4032</v>
      </c>
      <c r="P265" s="5" t="s">
        <v>2244</v>
      </c>
      <c r="Q265" s="5" t="s">
        <v>4033</v>
      </c>
      <c r="R265" s="5" t="s">
        <v>4034</v>
      </c>
      <c r="S265" s="5" t="s">
        <v>4035</v>
      </c>
      <c r="T265" s="5" t="s">
        <v>4036</v>
      </c>
      <c r="U265" s="5" t="s">
        <v>4037</v>
      </c>
      <c r="V265" s="5" t="s">
        <v>4038</v>
      </c>
      <c r="W265" s="5" t="s">
        <v>4039</v>
      </c>
      <c r="X265" s="5" t="s">
        <v>14963</v>
      </c>
      <c r="Y265" s="39" t="str">
        <f>IF(OR($A265&lt;&gt;"", $G265=""),"",CONCATENATE(";",EscStr(CONCATENATE("NavNode_",getCategoryLevelAsString($B265))),";",EscStr($J265),";",IF($B265&lt;&gt;"","""MainCategoryNavNode""",EscStr(CONCATENATE("NavNode_",getSuperCategory($B265, getCategoryLevelAsNumber($B265))))),";"))</f>
        <v>;"NavNode_L2D_379659";"Light sources";"NavNode_Lighting";</v>
      </c>
      <c r="Z265" s="39" t="str">
        <f>IF(getCategoryLevelAsString($B265)="L0D_324785","",IF(G265="",CONCATENATE(";",EscStr(CONCATENATE("NavNode_",getCategoryLevelAsString($B265))),";",EscStr($J265),";"),CONCATENATE(";",EscStr(CONCATENATE("NavNode_",getCategoryLevelAsString($B265))),";",EscStr(G265),";")))</f>
        <v>;"NavNode_L2D_379659";"Leuchtmittel";</v>
      </c>
      <c r="AA265" s="39" t="str">
        <f>IF(getCategoryLevelAsString($B265)="L0D_324785","",IF(H265="",CONCATENATE(";",EscStr(CONCATENATE("NavNode_",getCategoryLevelAsString($B265))),";",EscStr($J265),";"),CONCATENATE(";",EscStr(CONCATENATE("NavNode_",getCategoryLevelAsString($B265))),";",EscStr(H265),";")))</f>
        <v>;"NavNode_L2D_379659";"Sources lumineuses";</v>
      </c>
      <c r="AB265" s="39" t="str">
        <f>IF(getCategoryLevelAsString($B265)="L0D_324785","",IF(I265="",CONCATENATE(";",EscStr(CONCATENATE("NavNode_",getCategoryLevelAsString($B265))),";",EscStr($J265),";"),CONCATENATE(";",EscStr(CONCATENATE("NavNode_",getCategoryLevelAsString($B265))),";",EscStr(I265),";")))</f>
        <v>;"NavNode_L2D_379659";"Sorgenti di luce";</v>
      </c>
      <c r="AC265" s="39" t="str">
        <f>IF(getCategoryLevelAsString($B265)="L0D_324785","",IF(J265="",CONCATENATE(";",EscStr(CONCATENATE("NavNode_",getCategoryLevelAsString($B265))),";",EscStr($J265),";"),CONCATENATE(";",EscStr(CONCATENATE("NavNode_",getCategoryLevelAsString($B265))),";",EscStr(J265),";")))</f>
        <v>;"NavNode_L2D_379659";"Light sources";</v>
      </c>
      <c r="AD265" s="39" t="str">
        <f>IF(getCategoryLevelAsString($B265)="L0D_324785","",IF(K265="",CONCATENATE(";",EscStr(CONCATENATE("NavNode_",getCategoryLevelAsString($B265))),";",EscStr($J265),";"),CONCATENATE(";",EscStr(CONCATENATE("NavNode_",getCategoryLevelAsString($B265))),";",EscStr(K265),";")))</f>
        <v>;"NavNode_L2D_379659";"Lyskilder";</v>
      </c>
      <c r="AE265" s="39" t="str">
        <f>IF(getCategoryLevelAsString($B265)="L0D_324785","",IF(L265="",CONCATENATE(";",EscStr(CONCATENATE("NavNode_",getCategoryLevelAsString($B265))),";",EscStr($J265),";"),CONCATENATE(";",EscStr(CONCATENATE("NavNode_",getCategoryLevelAsString($B265))),";",EscStr(L265),";")))</f>
        <v>;"NavNode_L2D_379659";"Šviesos šaltiniai";</v>
      </c>
      <c r="AF265" s="39" t="str">
        <f>IF(getCategoryLevelAsString($B265)="L0D_324785","",IF(M265="",CONCATENATE(";",EscStr(CONCATENATE("NavNode_",getCategoryLevelAsString($B265))),";",EscStr($J265),";"),CONCATENATE(";",EscStr(CONCATENATE("NavNode_",getCategoryLevelAsString($B265))),";",EscStr(M265),";")))</f>
        <v>;"NavNode_L2D_379659";"Lyskilder";</v>
      </c>
      <c r="AG265" s="39" t="str">
        <f>IF(getCategoryLevelAsString($B265)="L0D_324785","",IF(N265="",CONCATENATE(";",EscStr(CONCATENATE("NavNode_",getCategoryLevelAsString($B265))),";",EscStr($J265),";"),CONCATENATE(";",EscStr(CONCATENATE("NavNode_",getCategoryLevelAsString($B265))),";",EscStr(N265),";")))</f>
        <v>;"NavNode_L2D_379659";"Ljuskällor";</v>
      </c>
      <c r="AH265" s="39" t="str">
        <f>IF(getCategoryLevelAsString($B265)="L0D_324785","",IF(O265="",CONCATENATE(";",EscStr(CONCATENATE("NavNode_",getCategoryLevelAsString($B265))),";",EscStr($J265),";"),CONCATENATE(";",EscStr(CONCATENATE("NavNode_",getCategoryLevelAsString($B265))),";",EscStr(O265),";")))</f>
        <v>;"NavNode_L2D_379659";"Valgustid";</v>
      </c>
      <c r="AI265" s="39" t="str">
        <f>IF(getCategoryLevelAsString($B265)="L0D_324785","",IF(P265="",CONCATENATE(";",EscStr(CONCATENATE("NavNode_",getCategoryLevelAsString($B265))),";",EscStr($J265),";"),CONCATENATE(";",EscStr(CONCATENATE("NavNode_",getCategoryLevelAsString($B265))),";",EscStr(P265),";")))</f>
        <v>;"NavNode_L2D_379659";"Lamput";</v>
      </c>
      <c r="AJ265" s="39" t="str">
        <f>IF(getCategoryLevelAsString($B265)="L0D_324785","",IF(Q265="",CONCATENATE(";",EscStr(CONCATENATE("NavNode_",getCategoryLevelAsString($B265))),";",EscStr($J265),";"),CONCATENATE(";",EscStr(CONCATENATE("NavNode_",getCategoryLevelAsString($B265))),";",EscStr(Q265),";")))</f>
        <v>;"NavNode_L2D_379659";"Gaismas avoti";</v>
      </c>
      <c r="AK265" s="39" t="str">
        <f>IF(getCategoryLevelAsString($B265)="L0D_324785","",IF(R265="",CONCATENATE(";",EscStr(CONCATENATE("NavNode_",getCategoryLevelAsString($B265))),";",EscStr($J265),";"),CONCATENATE(";",EscStr(CONCATENATE("NavNode_",getCategoryLevelAsString($B265))),";",EscStr(R265),";")))</f>
        <v>;"NavNode_L2D_379659";"Lichtbronnen";</v>
      </c>
      <c r="AL265" s="39" t="str">
        <f>IF(getCategoryLevelAsString($B265)="L0D_324785","",IF(S265="",CONCATENATE(";",EscStr(CONCATENATE("NavNode_",getCategoryLevelAsString($B265))),";",EscStr($J265),";"),CONCATENATE(";",EscStr(CONCATENATE("NavNode_",getCategoryLevelAsString($B265))),";",EscStr(S265),";")))</f>
        <v>;"NavNode_L2D_379659";"Źródła światła";</v>
      </c>
      <c r="AM265" s="39" t="str">
        <f>IF(getCategoryLevelAsString($B265)="L0D_324785","",IF(T265="",CONCATENATE(";",EscStr(CONCATENATE("NavNode_",getCategoryLevelAsString($B265))),";",EscStr($J265),";"),CONCATENATE(";",EscStr(CONCATENATE("NavNode_",getCategoryLevelAsString($B265))),";",EscStr(T265),";")))</f>
        <v>;"NavNode_L2D_379659";"Автомобильные лампы";</v>
      </c>
      <c r="AN265" s="39" t="str">
        <f>IF(getCategoryLevelAsString($B265)="L0D_324785","",IF(U265="",CONCATENATE(";",EscStr(CONCATENATE("NavNode_",getCategoryLevelAsString($B265))),";",EscStr($J265),";"),CONCATENATE(";",EscStr(CONCATENATE("NavNode_",getCategoryLevelAsString($B265))),";",EscStr(U265),";")))</f>
        <v>;"NavNode_L2D_379659";"Světelné zdroje";</v>
      </c>
      <c r="AO265" s="39" t="str">
        <f>IF(getCategoryLevelAsString($B265)="L0D_324785","",IF(V265="",CONCATENATE(";",EscStr(CONCATENATE("NavNode_",getCategoryLevelAsString($B265))),";",EscStr($J265),";"),CONCATENATE(";",EscStr(CONCATENATE("NavNode_",getCategoryLevelAsString($B265))),";",EscStr(V265),";")))</f>
        <v>;"NavNode_L2D_379659";"Surse de lumină";</v>
      </c>
      <c r="AP265" s="39" t="str">
        <f>IF(getCategoryLevelAsString($B265)="L0D_324785","",IF(W265="",CONCATENATE(";",EscStr(CONCATENATE("NavNode_",getCategoryLevelAsString($B265))),";",EscStr($J265),";"),CONCATENATE(";",EscStr(CONCATENATE("NavNode_",getCategoryLevelAsString($B265))),";",EscStr(W265),";")))</f>
        <v>;"NavNode_L2D_379659";"Fényforrások";</v>
      </c>
      <c r="AQ265" s="39" t="str">
        <f>IF(getCategoryLevelAsString($B265)="L0D_324785","",IF(X265="",CONCATENATE(";",EscStr(CONCATENATE("NavNode_",getCategoryLevelAsString($B265))),";",EscStr($J265),";"),CONCATENATE(";",EscStr(CONCATENATE("NavNode_",getCategoryLevelAsString($B265))),";",EscStr(X265),";")))</f>
        <v>;"NavNode_L2D_379659";"Svetelné zdroje";</v>
      </c>
      <c r="AR265" s="39" t="str">
        <f>IF(OR($A265&lt;&gt;"", $G265=""),"",CONCATENATE(";",EscStr(CONCATENATE("NavEntry_",getCategoryLevelAsString($B265))),";",EscStr(CONCATENATE($J265," Navigation Entry")),";",EscStr(CONCATENATE("cat-",getCategoryLevelAsString($B265))),";",EscStr(CONCATENATE("NavNode_",getCategoryLevelAsString($B265))),";"))</f>
        <v>;"NavEntry_L2D_379659";"Light sources Navigation Entry";"cat-L2D_379659";"NavNode_L2D_379659";</v>
      </c>
    </row>
    <row r="266" spans="1:44" s="34" customFormat="1" ht="15" x14ac:dyDescent="0.25">
      <c r="A266" s="25"/>
      <c r="B266" s="5"/>
      <c r="C266" s="5"/>
      <c r="D266" s="5" t="s">
        <v>207</v>
      </c>
      <c r="E266" s="5"/>
      <c r="F266" s="5"/>
      <c r="G266" s="5" t="s">
        <v>957</v>
      </c>
      <c r="H266" s="5" t="s">
        <v>502</v>
      </c>
      <c r="I266" s="5" t="s">
        <v>703</v>
      </c>
      <c r="J266" s="5" t="s">
        <v>488</v>
      </c>
      <c r="K266" s="5" t="s">
        <v>1365</v>
      </c>
      <c r="L266" s="5" t="s">
        <v>15204</v>
      </c>
      <c r="M266" s="5" t="s">
        <v>1365</v>
      </c>
      <c r="N266" s="5" t="s">
        <v>2020</v>
      </c>
      <c r="O266" s="5" t="s">
        <v>4040</v>
      </c>
      <c r="P266" s="5" t="s">
        <v>4041</v>
      </c>
      <c r="Q266" s="5" t="s">
        <v>4042</v>
      </c>
      <c r="R266" s="5" t="s">
        <v>4043</v>
      </c>
      <c r="S266" s="5" t="s">
        <v>4044</v>
      </c>
      <c r="T266" s="5" t="s">
        <v>4045</v>
      </c>
      <c r="U266" s="5" t="s">
        <v>4046</v>
      </c>
      <c r="V266" s="5" t="s">
        <v>4047</v>
      </c>
      <c r="W266" s="5" t="s">
        <v>4048</v>
      </c>
      <c r="X266" s="5" t="s">
        <v>14964</v>
      </c>
      <c r="Y266" s="39" t="str">
        <f>IF(OR($A266&lt;&gt;"", $G266=""),"",CONCATENATE(";",EscStr(CONCATENATE("NavNode_",getCategoryLevelAsString($B266))),";",EscStr($J266),";",IF($B266&lt;&gt;"","""MainCategoryNavNode""",EscStr(CONCATENATE("NavNode_",getSuperCategory($B266, getCategoryLevelAsNumber($B266))))),";"))</f>
        <v>;"NavNode_L3D_525567";"LED Lamps";"NavNode_L2D_379659";</v>
      </c>
      <c r="Z266" s="39" t="str">
        <f>IF(getCategoryLevelAsString($B266)="L0D_324785","",IF(G266="",CONCATENATE(";",EscStr(CONCATENATE("NavNode_",getCategoryLevelAsString($B266))),";",EscStr($J266),";"),CONCATENATE(";",EscStr(CONCATENATE("NavNode_",getCategoryLevelAsString($B266))),";",EscStr(G266),";")))</f>
        <v>;"NavNode_L3D_525567";"LED-Lampen";</v>
      </c>
      <c r="AA266" s="39" t="str">
        <f>IF(getCategoryLevelAsString($B266)="L0D_324785","",IF(H266="",CONCATENATE(";",EscStr(CONCATENATE("NavNode_",getCategoryLevelAsString($B266))),";",EscStr($J266),";"),CONCATENATE(";",EscStr(CONCATENATE("NavNode_",getCategoryLevelAsString($B266))),";",EscStr(H266),";")))</f>
        <v>;"NavNode_L3D_525567";"Lampes LED";</v>
      </c>
      <c r="AB266" s="39" t="str">
        <f>IF(getCategoryLevelAsString($B266)="L0D_324785","",IF(I266="",CONCATENATE(";",EscStr(CONCATENATE("NavNode_",getCategoryLevelAsString($B266))),";",EscStr($J266),";"),CONCATENATE(";",EscStr(CONCATENATE("NavNode_",getCategoryLevelAsString($B266))),";",EscStr(I266),";")))</f>
        <v>;"NavNode_L3D_525567";"Lampade a LED";</v>
      </c>
      <c r="AC266" s="39" t="str">
        <f>IF(getCategoryLevelAsString($B266)="L0D_324785","",IF(J266="",CONCATENATE(";",EscStr(CONCATENATE("NavNode_",getCategoryLevelAsString($B266))),";",EscStr($J266),";"),CONCATENATE(";",EscStr(CONCATENATE("NavNode_",getCategoryLevelAsString($B266))),";",EscStr(J266),";")))</f>
        <v>;"NavNode_L3D_525567";"LED Lamps";</v>
      </c>
      <c r="AD266" s="39" t="str">
        <f>IF(getCategoryLevelAsString($B266)="L0D_324785","",IF(K266="",CONCATENATE(";",EscStr(CONCATENATE("NavNode_",getCategoryLevelAsString($B266))),";",EscStr($J266),";"),CONCATENATE(";",EscStr(CONCATENATE("NavNode_",getCategoryLevelAsString($B266))),";",EscStr(K266),";")))</f>
        <v>;"NavNode_L3D_525567";"LED-lamper";</v>
      </c>
      <c r="AE266" s="39" t="str">
        <f>IF(getCategoryLevelAsString($B266)="L0D_324785","",IF(L266="",CONCATENATE(";",EscStr(CONCATENATE("NavNode_",getCategoryLevelAsString($B266))),";",EscStr($J266),";"),CONCATENATE(";",EscStr(CONCATENATE("NavNode_",getCategoryLevelAsString($B266))),";",EscStr(L266),";")))</f>
        <v>;"NavNode_L3D_525567";"LED lempos";</v>
      </c>
      <c r="AF266" s="39" t="str">
        <f>IF(getCategoryLevelAsString($B266)="L0D_324785","",IF(M266="",CONCATENATE(";",EscStr(CONCATENATE("NavNode_",getCategoryLevelAsString($B266))),";",EscStr($J266),";"),CONCATENATE(";",EscStr(CONCATENATE("NavNode_",getCategoryLevelAsString($B266))),";",EscStr(M266),";")))</f>
        <v>;"NavNode_L3D_525567";"LED-lamper";</v>
      </c>
      <c r="AG266" s="39" t="str">
        <f>IF(getCategoryLevelAsString($B266)="L0D_324785","",IF(N266="",CONCATENATE(";",EscStr(CONCATENATE("NavNode_",getCategoryLevelAsString($B266))),";",EscStr($J266),";"),CONCATENATE(";",EscStr(CONCATENATE("NavNode_",getCategoryLevelAsString($B266))),";",EscStr(N266),";")))</f>
        <v>;"NavNode_L3D_525567";"LED-lampor";</v>
      </c>
      <c r="AH266" s="39" t="str">
        <f>IF(getCategoryLevelAsString($B266)="L0D_324785","",IF(O266="",CONCATENATE(";",EscStr(CONCATENATE("NavNode_",getCategoryLevelAsString($B266))),";",EscStr($J266),";"),CONCATENATE(";",EscStr(CONCATENATE("NavNode_",getCategoryLevelAsString($B266))),";",EscStr(O266),";")))</f>
        <v>;"NavNode_L3D_525567";"LED pirnid";</v>
      </c>
      <c r="AI266" s="39" t="str">
        <f>IF(getCategoryLevelAsString($B266)="L0D_324785","",IF(P266="",CONCATENATE(";",EscStr(CONCATENATE("NavNode_",getCategoryLevelAsString($B266))),";",EscStr($J266),";"),CONCATENATE(";",EscStr(CONCATENATE("NavNode_",getCategoryLevelAsString($B266))),";",EscStr(P266),";")))</f>
        <v>;"NavNode_L3D_525567";"LED-lamput";</v>
      </c>
      <c r="AJ266" s="39" t="str">
        <f>IF(getCategoryLevelAsString($B266)="L0D_324785","",IF(Q266="",CONCATENATE(";",EscStr(CONCATENATE("NavNode_",getCategoryLevelAsString($B266))),";",EscStr($J266),";"),CONCATENATE(";",EscStr(CONCATENATE("NavNode_",getCategoryLevelAsString($B266))),";",EscStr(Q266),";")))</f>
        <v>;"NavNode_L3D_525567";"LED lampas";</v>
      </c>
      <c r="AK266" s="39" t="str">
        <f>IF(getCategoryLevelAsString($B266)="L0D_324785","",IF(R266="",CONCATENATE(";",EscStr(CONCATENATE("NavNode_",getCategoryLevelAsString($B266))),";",EscStr($J266),";"),CONCATENATE(";",EscStr(CONCATENATE("NavNode_",getCategoryLevelAsString($B266))),";",EscStr(R266),";")))</f>
        <v>;"NavNode_L3D_525567";"LED Lampen";</v>
      </c>
      <c r="AL266" s="39" t="str">
        <f>IF(getCategoryLevelAsString($B266)="L0D_324785","",IF(S266="",CONCATENATE(";",EscStr(CONCATENATE("NavNode_",getCategoryLevelAsString($B266))),";",EscStr($J266),";"),CONCATENATE(";",EscStr(CONCATENATE("NavNode_",getCategoryLevelAsString($B266))),";",EscStr(S266),";")))</f>
        <v>;"NavNode_L3D_525567";"Żarówki LED";</v>
      </c>
      <c r="AM266" s="39" t="str">
        <f>IF(getCategoryLevelAsString($B266)="L0D_324785","",IF(T266="",CONCATENATE(";",EscStr(CONCATENATE("NavNode_",getCategoryLevelAsString($B266))),";",EscStr($J266),";"),CONCATENATE(";",EscStr(CONCATENATE("NavNode_",getCategoryLevelAsString($B266))),";",EscStr(T266),";")))</f>
        <v>;"NavNode_L3D_525567";"LED лампы";</v>
      </c>
      <c r="AN266" s="39" t="str">
        <f>IF(getCategoryLevelAsString($B266)="L0D_324785","",IF(U266="",CONCATENATE(";",EscStr(CONCATENATE("NavNode_",getCategoryLevelAsString($B266))),";",EscStr($J266),";"),CONCATENATE(";",EscStr(CONCATENATE("NavNode_",getCategoryLevelAsString($B266))),";",EscStr(U266),";")))</f>
        <v>;"NavNode_L3D_525567";"LED žárovky";</v>
      </c>
      <c r="AO266" s="39" t="str">
        <f>IF(getCategoryLevelAsString($B266)="L0D_324785","",IF(V266="",CONCATENATE(";",EscStr(CONCATENATE("NavNode_",getCategoryLevelAsString($B266))),";",EscStr($J266),";"),CONCATENATE(";",EscStr(CONCATENATE("NavNode_",getCategoryLevelAsString($B266))),";",EscStr(V266),";")))</f>
        <v>;"NavNode_L3D_525567";"Lămpi LED";</v>
      </c>
      <c r="AP266" s="39" t="str">
        <f>IF(getCategoryLevelAsString($B266)="L0D_324785","",IF(W266="",CONCATENATE(";",EscStr(CONCATENATE("NavNode_",getCategoryLevelAsString($B266))),";",EscStr($J266),";"),CONCATENATE(";",EscStr(CONCATENATE("NavNode_",getCategoryLevelAsString($B266))),";",EscStr(W266),";")))</f>
        <v>;"NavNode_L3D_525567";"LED lámpák";</v>
      </c>
      <c r="AQ266" s="39" t="str">
        <f>IF(getCategoryLevelAsString($B266)="L0D_324785","",IF(X266="",CONCATENATE(";",EscStr(CONCATENATE("NavNode_",getCategoryLevelAsString($B266))),";",EscStr($J266),";"),CONCATENATE(";",EscStr(CONCATENATE("NavNode_",getCategoryLevelAsString($B266))),";",EscStr(X266),";")))</f>
        <v>;"NavNode_L3D_525567";"LED žiarovky";</v>
      </c>
      <c r="AR266" s="39" t="str">
        <f>IF(OR($A266&lt;&gt;"", $G266=""),"",CONCATENATE(";",EscStr(CONCATENATE("NavEntry_",getCategoryLevelAsString($B266))),";",EscStr(CONCATENATE($J266," Navigation Entry")),";",EscStr(CONCATENATE("cat-",getCategoryLevelAsString($B266))),";",EscStr(CONCATENATE("NavNode_",getCategoryLevelAsString($B266))),";"))</f>
        <v>;"NavEntry_L3D_525567";"LED Lamps Navigation Entry";"cat-L3D_525567";"NavNode_L3D_525567";</v>
      </c>
    </row>
    <row r="267" spans="1:44" s="34" customFormat="1" ht="15" x14ac:dyDescent="0.25">
      <c r="A267" s="25"/>
      <c r="B267" s="5"/>
      <c r="C267" s="5"/>
      <c r="D267" s="5" t="s">
        <v>724</v>
      </c>
      <c r="E267" s="5"/>
      <c r="F267" s="5"/>
      <c r="G267" s="5" t="s">
        <v>1040</v>
      </c>
      <c r="H267" s="5" t="s">
        <v>1069</v>
      </c>
      <c r="I267" s="5" t="s">
        <v>1127</v>
      </c>
      <c r="J267" s="5" t="s">
        <v>908</v>
      </c>
      <c r="K267" s="5" t="s">
        <v>1366</v>
      </c>
      <c r="L267" s="5" t="s">
        <v>1602</v>
      </c>
      <c r="M267" s="5" t="s">
        <v>1808</v>
      </c>
      <c r="N267" s="5" t="s">
        <v>2021</v>
      </c>
      <c r="O267" s="5" t="s">
        <v>4049</v>
      </c>
      <c r="P267" s="5" t="s">
        <v>4050</v>
      </c>
      <c r="Q267" s="5" t="s">
        <v>4051</v>
      </c>
      <c r="R267" s="5" t="s">
        <v>4052</v>
      </c>
      <c r="S267" s="5" t="s">
        <v>4053</v>
      </c>
      <c r="T267" s="5" t="s">
        <v>4054</v>
      </c>
      <c r="U267" s="5" t="s">
        <v>4055</v>
      </c>
      <c r="V267" s="5" t="s">
        <v>4056</v>
      </c>
      <c r="W267" s="5" t="s">
        <v>4057</v>
      </c>
      <c r="X267" s="5" t="s">
        <v>14965</v>
      </c>
      <c r="Y267" s="39" t="str">
        <f>IF(OR($A267&lt;&gt;"", $G267=""),"",CONCATENATE(";",EscStr(CONCATENATE("NavNode_",getCategoryLevelAsString($B267))),";",EscStr($J267),";",IF($B267&lt;&gt;"","""MainCategoryNavNode""",EscStr(CONCATENATE("NavNode_",getSuperCategory($B267, getCategoryLevelAsNumber($B267))))),";"))</f>
        <v>;"NavNode_L3D_531386";"Halogen Lamps";"NavNode_L2D_379659";</v>
      </c>
      <c r="Z267" s="39" t="str">
        <f>IF(getCategoryLevelAsString($B267)="L0D_324785","",IF(G267="",CONCATENATE(";",EscStr(CONCATENATE("NavNode_",getCategoryLevelAsString($B267))),";",EscStr($J267),";"),CONCATENATE(";",EscStr(CONCATENATE("NavNode_",getCategoryLevelAsString($B267))),";",EscStr(G267),";")))</f>
        <v>;"NavNode_L3D_531386";"Halogenlampen";</v>
      </c>
      <c r="AA267" s="39" t="str">
        <f>IF(getCategoryLevelAsString($B267)="L0D_324785","",IF(H267="",CONCATENATE(";",EscStr(CONCATENATE("NavNode_",getCategoryLevelAsString($B267))),";",EscStr($J267),";"),CONCATENATE(";",EscStr(CONCATENATE("NavNode_",getCategoryLevelAsString($B267))),";",EscStr(H267),";")))</f>
        <v>;"NavNode_L3D_531386";"Lampes halogènes";</v>
      </c>
      <c r="AB267" s="39" t="str">
        <f>IF(getCategoryLevelAsString($B267)="L0D_324785","",IF(I267="",CONCATENATE(";",EscStr(CONCATENATE("NavNode_",getCategoryLevelAsString($B267))),";",EscStr($J267),";"),CONCATENATE(";",EscStr(CONCATENATE("NavNode_",getCategoryLevelAsString($B267))),";",EscStr(I267),";")))</f>
        <v>;"NavNode_L3D_531386";"Lampade alogene";</v>
      </c>
      <c r="AC267" s="39" t="str">
        <f>IF(getCategoryLevelAsString($B267)="L0D_324785","",IF(J267="",CONCATENATE(";",EscStr(CONCATENATE("NavNode_",getCategoryLevelAsString($B267))),";",EscStr($J267),";"),CONCATENATE(";",EscStr(CONCATENATE("NavNode_",getCategoryLevelAsString($B267))),";",EscStr(J267),";")))</f>
        <v>;"NavNode_L3D_531386";"Halogen Lamps";</v>
      </c>
      <c r="AD267" s="39" t="str">
        <f>IF(getCategoryLevelAsString($B267)="L0D_324785","",IF(K267="",CONCATENATE(";",EscStr(CONCATENATE("NavNode_",getCategoryLevelAsString($B267))),";",EscStr($J267),";"),CONCATENATE(";",EscStr(CONCATENATE("NavNode_",getCategoryLevelAsString($B267))),";",EscStr(K267),";")))</f>
        <v>;"NavNode_L3D_531386";"Halogen-lamper";</v>
      </c>
      <c r="AE267" s="39" t="str">
        <f>IF(getCategoryLevelAsString($B267)="L0D_324785","",IF(L267="",CONCATENATE(";",EscStr(CONCATENATE("NavNode_",getCategoryLevelAsString($B267))),";",EscStr($J267),";"),CONCATENATE(";",EscStr(CONCATENATE("NavNode_",getCategoryLevelAsString($B267))),";",EscStr(L267),";")))</f>
        <v>;"NavNode_L3D_531386";"Halogeninės lempos";</v>
      </c>
      <c r="AF267" s="39" t="str">
        <f>IF(getCategoryLevelAsString($B267)="L0D_324785","",IF(M267="",CONCATENATE(";",EscStr(CONCATENATE("NavNode_",getCategoryLevelAsString($B267))),";",EscStr($J267),";"),CONCATENATE(";",EscStr(CONCATENATE("NavNode_",getCategoryLevelAsString($B267))),";",EscStr(M267),";")))</f>
        <v>;"NavNode_L3D_531386";"Halogenlamper";</v>
      </c>
      <c r="AG267" s="39" t="str">
        <f>IF(getCategoryLevelAsString($B267)="L0D_324785","",IF(N267="",CONCATENATE(";",EscStr(CONCATENATE("NavNode_",getCategoryLevelAsString($B267))),";",EscStr($J267),";"),CONCATENATE(";",EscStr(CONCATENATE("NavNode_",getCategoryLevelAsString($B267))),";",EscStr(N267),";")))</f>
        <v>;"NavNode_L3D_531386";"Halogenlampor";</v>
      </c>
      <c r="AH267" s="39" t="str">
        <f>IF(getCategoryLevelAsString($B267)="L0D_324785","",IF(O267="",CONCATENATE(";",EscStr(CONCATENATE("NavNode_",getCategoryLevelAsString($B267))),";",EscStr($J267),";"),CONCATENATE(";",EscStr(CONCATENATE("NavNode_",getCategoryLevelAsString($B267))),";",EscStr(O267),";")))</f>
        <v>;"NavNode_L3D_531386";"Halogeenpirnid";</v>
      </c>
      <c r="AI267" s="39" t="str">
        <f>IF(getCategoryLevelAsString($B267)="L0D_324785","",IF(P267="",CONCATENATE(";",EscStr(CONCATENATE("NavNode_",getCategoryLevelAsString($B267))),";",EscStr($J267),";"),CONCATENATE(";",EscStr(CONCATENATE("NavNode_",getCategoryLevelAsString($B267))),";",EscStr(P267),";")))</f>
        <v>;"NavNode_L3D_531386";"Halogeenilamput";</v>
      </c>
      <c r="AJ267" s="39" t="str">
        <f>IF(getCategoryLevelAsString($B267)="L0D_324785","",IF(Q267="",CONCATENATE(";",EscStr(CONCATENATE("NavNode_",getCategoryLevelAsString($B267))),";",EscStr($J267),";"),CONCATENATE(";",EscStr(CONCATENATE("NavNode_",getCategoryLevelAsString($B267))),";",EscStr(Q267),";")))</f>
        <v>;"NavNode_L3D_531386";"Halogēnās lampas";</v>
      </c>
      <c r="AK267" s="39" t="str">
        <f>IF(getCategoryLevelAsString($B267)="L0D_324785","",IF(R267="",CONCATENATE(";",EscStr(CONCATENATE("NavNode_",getCategoryLevelAsString($B267))),";",EscStr($J267),";"),CONCATENATE(";",EscStr(CONCATENATE("NavNode_",getCategoryLevelAsString($B267))),";",EscStr(R267),";")))</f>
        <v>;"NavNode_L3D_531386";"Halogen Lampen";</v>
      </c>
      <c r="AL267" s="39" t="str">
        <f>IF(getCategoryLevelAsString($B267)="L0D_324785","",IF(S267="",CONCATENATE(";",EscStr(CONCATENATE("NavNode_",getCategoryLevelAsString($B267))),";",EscStr($J267),";"),CONCATENATE(";",EscStr(CONCATENATE("NavNode_",getCategoryLevelAsString($B267))),";",EscStr(S267),";")))</f>
        <v>;"NavNode_L3D_531386";"Żarówki halogenowe";</v>
      </c>
      <c r="AM267" s="39" t="str">
        <f>IF(getCategoryLevelAsString($B267)="L0D_324785","",IF(T267="",CONCATENATE(";",EscStr(CONCATENATE("NavNode_",getCategoryLevelAsString($B267))),";",EscStr($J267),";"),CONCATENATE(";",EscStr(CONCATENATE("NavNode_",getCategoryLevelAsString($B267))),";",EscStr(T267),";")))</f>
        <v>;"NavNode_L3D_531386";"Галогеновые лампы";</v>
      </c>
      <c r="AN267" s="39" t="str">
        <f>IF(getCategoryLevelAsString($B267)="L0D_324785","",IF(U267="",CONCATENATE(";",EscStr(CONCATENATE("NavNode_",getCategoryLevelAsString($B267))),";",EscStr($J267),";"),CONCATENATE(";",EscStr(CONCATENATE("NavNode_",getCategoryLevelAsString($B267))),";",EscStr(U267),";")))</f>
        <v>;"NavNode_L3D_531386";"Halogenové žárovky";</v>
      </c>
      <c r="AO267" s="39" t="str">
        <f>IF(getCategoryLevelAsString($B267)="L0D_324785","",IF(V267="",CONCATENATE(";",EscStr(CONCATENATE("NavNode_",getCategoryLevelAsString($B267))),";",EscStr($J267),";"),CONCATENATE(";",EscStr(CONCATENATE("NavNode_",getCategoryLevelAsString($B267))),";",EscStr(V267),";")))</f>
        <v>;"NavNode_L3D_531386";"Lămpi cu halogen";</v>
      </c>
      <c r="AP267" s="39" t="str">
        <f>IF(getCategoryLevelAsString($B267)="L0D_324785","",IF(W267="",CONCATENATE(";",EscStr(CONCATENATE("NavNode_",getCategoryLevelAsString($B267))),";",EscStr($J267),";"),CONCATENATE(";",EscStr(CONCATENATE("NavNode_",getCategoryLevelAsString($B267))),";",EscStr(W267),";")))</f>
        <v>;"NavNode_L3D_531386";"Halogénlámpák";</v>
      </c>
      <c r="AQ267" s="39" t="str">
        <f>IF(getCategoryLevelAsString($B267)="L0D_324785","",IF(X267="",CONCATENATE(";",EscStr(CONCATENATE("NavNode_",getCategoryLevelAsString($B267))),";",EscStr($J267),";"),CONCATENATE(";",EscStr(CONCATENATE("NavNode_",getCategoryLevelAsString($B267))),";",EscStr(X267),";")))</f>
        <v>;"NavNode_L3D_531386";"Halogénové žiarovky";</v>
      </c>
      <c r="AR267" s="39" t="str">
        <f>IF(OR($A267&lt;&gt;"", $G267=""),"",CONCATENATE(";",EscStr(CONCATENATE("NavEntry_",getCategoryLevelAsString($B267))),";",EscStr(CONCATENATE($J267," Navigation Entry")),";",EscStr(CONCATENATE("cat-",getCategoryLevelAsString($B267))),";",EscStr(CONCATENATE("NavNode_",getCategoryLevelAsString($B267))),";"))</f>
        <v>;"NavEntry_L3D_531386";"Halogen Lamps Navigation Entry";"cat-L3D_531386";"NavNode_L3D_531386";</v>
      </c>
    </row>
    <row r="268" spans="1:44" s="34" customFormat="1" ht="15" x14ac:dyDescent="0.25">
      <c r="A268" s="25"/>
      <c r="B268" s="5"/>
      <c r="C268" s="5"/>
      <c r="D268" s="5" t="s">
        <v>725</v>
      </c>
      <c r="E268" s="5"/>
      <c r="F268" s="5"/>
      <c r="G268" s="5" t="s">
        <v>1041</v>
      </c>
      <c r="H268" s="5" t="s">
        <v>1070</v>
      </c>
      <c r="I268" s="5" t="s">
        <v>1128</v>
      </c>
      <c r="J268" s="5" t="s">
        <v>909</v>
      </c>
      <c r="K268" s="5" t="s">
        <v>1367</v>
      </c>
      <c r="L268" s="5" t="s">
        <v>1603</v>
      </c>
      <c r="M268" s="5" t="s">
        <v>1809</v>
      </c>
      <c r="N268" s="5" t="s">
        <v>2022</v>
      </c>
      <c r="O268" s="5" t="s">
        <v>4058</v>
      </c>
      <c r="P268" s="5" t="s">
        <v>4059</v>
      </c>
      <c r="Q268" s="5" t="s">
        <v>4060</v>
      </c>
      <c r="R268" s="5" t="s">
        <v>4061</v>
      </c>
      <c r="S268" s="5" t="s">
        <v>4062</v>
      </c>
      <c r="T268" s="5" t="s">
        <v>4063</v>
      </c>
      <c r="U268" s="5" t="s">
        <v>4064</v>
      </c>
      <c r="V268" s="5" t="s">
        <v>4065</v>
      </c>
      <c r="W268" s="5" t="s">
        <v>4066</v>
      </c>
      <c r="X268" s="5" t="s">
        <v>14966</v>
      </c>
      <c r="Y268" s="39" t="str">
        <f>IF(OR($A268&lt;&gt;"", $G268=""),"",CONCATENATE(";",EscStr(CONCATENATE("NavNode_",getCategoryLevelAsString($B268))),";",EscStr($J268),";",IF($B268&lt;&gt;"","""MainCategoryNavNode""",EscStr(CONCATENATE("NavNode_",getSuperCategory($B268, getCategoryLevelAsNumber($B268))))),";"))</f>
        <v>;"NavNode_L3D_531392";"Fluorescent Lamps";"NavNode_L2D_379659";</v>
      </c>
      <c r="Z268" s="39" t="str">
        <f>IF(getCategoryLevelAsString($B268)="L0D_324785","",IF(G268="",CONCATENATE(";",EscStr(CONCATENATE("NavNode_",getCategoryLevelAsString($B268))),";",EscStr($J268),";"),CONCATENATE(";",EscStr(CONCATENATE("NavNode_",getCategoryLevelAsString($B268))),";",EscStr(G268),";")))</f>
        <v>;"NavNode_L3D_531392";"Leuchtstofflampen";</v>
      </c>
      <c r="AA268" s="39" t="str">
        <f>IF(getCategoryLevelAsString($B268)="L0D_324785","",IF(H268="",CONCATENATE(";",EscStr(CONCATENATE("NavNode_",getCategoryLevelAsString($B268))),";",EscStr($J268),";"),CONCATENATE(";",EscStr(CONCATENATE("NavNode_",getCategoryLevelAsString($B268))),";",EscStr(H268),";")))</f>
        <v>;"NavNode_L3D_531392";"Tubes fluorescents";</v>
      </c>
      <c r="AB268" s="39" t="str">
        <f>IF(getCategoryLevelAsString($B268)="L0D_324785","",IF(I268="",CONCATENATE(";",EscStr(CONCATENATE("NavNode_",getCategoryLevelAsString($B268))),";",EscStr($J268),";"),CONCATENATE(";",EscStr(CONCATENATE("NavNode_",getCategoryLevelAsString($B268))),";",EscStr(I268),";")))</f>
        <v>;"NavNode_L3D_531392";"Lampade a fluorescenza";</v>
      </c>
      <c r="AC268" s="39" t="str">
        <f>IF(getCategoryLevelAsString($B268)="L0D_324785","",IF(J268="",CONCATENATE(";",EscStr(CONCATENATE("NavNode_",getCategoryLevelAsString($B268))),";",EscStr($J268),";"),CONCATENATE(";",EscStr(CONCATENATE("NavNode_",getCategoryLevelAsString($B268))),";",EscStr(J268),";")))</f>
        <v>;"NavNode_L3D_531392";"Fluorescent Lamps";</v>
      </c>
      <c r="AD268" s="39" t="str">
        <f>IF(getCategoryLevelAsString($B268)="L0D_324785","",IF(K268="",CONCATENATE(";",EscStr(CONCATENATE("NavNode_",getCategoryLevelAsString($B268))),";",EscStr($J268),";"),CONCATENATE(";",EscStr(CONCATENATE("NavNode_",getCategoryLevelAsString($B268))),";",EscStr(K268),";")))</f>
        <v>;"NavNode_L3D_531392";"Lysstofrør";</v>
      </c>
      <c r="AE268" s="39" t="str">
        <f>IF(getCategoryLevelAsString($B268)="L0D_324785","",IF(L268="",CONCATENATE(";",EscStr(CONCATENATE("NavNode_",getCategoryLevelAsString($B268))),";",EscStr($J268),";"),CONCATENATE(";",EscStr(CONCATENATE("NavNode_",getCategoryLevelAsString($B268))),";",EscStr(L268),";")))</f>
        <v>;"NavNode_L3D_531392";"Liuminescencinės lempos";</v>
      </c>
      <c r="AF268" s="39" t="str">
        <f>IF(getCategoryLevelAsString($B268)="L0D_324785","",IF(M268="",CONCATENATE(";",EscStr(CONCATENATE("NavNode_",getCategoryLevelAsString($B268))),";",EscStr($J268),";"),CONCATENATE(";",EscStr(CONCATENATE("NavNode_",getCategoryLevelAsString($B268))),";",EscStr(M268),";")))</f>
        <v>;"NavNode_L3D_531392";"Lysstoffrør";</v>
      </c>
      <c r="AG268" s="39" t="str">
        <f>IF(getCategoryLevelAsString($B268)="L0D_324785","",IF(N268="",CONCATENATE(";",EscStr(CONCATENATE("NavNode_",getCategoryLevelAsString($B268))),";",EscStr($J268),";"),CONCATENATE(";",EscStr(CONCATENATE("NavNode_",getCategoryLevelAsString($B268))),";",EscStr(N268),";")))</f>
        <v>;"NavNode_L3D_531392";"Lysrörslampor";</v>
      </c>
      <c r="AH268" s="39" t="str">
        <f>IF(getCategoryLevelAsString($B268)="L0D_324785","",IF(O268="",CONCATENATE(";",EscStr(CONCATENATE("NavNode_",getCategoryLevelAsString($B268))),";",EscStr($J268),";"),CONCATENATE(";",EscStr(CONCATENATE("NavNode_",getCategoryLevelAsString($B268))),";",EscStr(O268),";")))</f>
        <v>;"NavNode_L3D_531392";"Luminofoortorud";</v>
      </c>
      <c r="AI268" s="39" t="str">
        <f>IF(getCategoryLevelAsString($B268)="L0D_324785","",IF(P268="",CONCATENATE(";",EscStr(CONCATENATE("NavNode_",getCategoryLevelAsString($B268))),";",EscStr($J268),";"),CONCATENATE(";",EscStr(CONCATENATE("NavNode_",getCategoryLevelAsString($B268))),";",EscStr(P268),";")))</f>
        <v>;"NavNode_L3D_531392";"Loisteputket";</v>
      </c>
      <c r="AJ268" s="39" t="str">
        <f>IF(getCategoryLevelAsString($B268)="L0D_324785","",IF(Q268="",CONCATENATE(";",EscStr(CONCATENATE("NavNode_",getCategoryLevelAsString($B268))),";",EscStr($J268),";"),CONCATENATE(";",EscStr(CONCATENATE("NavNode_",getCategoryLevelAsString($B268))),";",EscStr(Q268),";")))</f>
        <v>;"NavNode_L3D_531392";"Fluorescentās lampas";</v>
      </c>
      <c r="AK268" s="39" t="str">
        <f>IF(getCategoryLevelAsString($B268)="L0D_324785","",IF(R268="",CONCATENATE(";",EscStr(CONCATENATE("NavNode_",getCategoryLevelAsString($B268))),";",EscStr($J268),";"),CONCATENATE(";",EscStr(CONCATENATE("NavNode_",getCategoryLevelAsString($B268))),";",EscStr(R268),";")))</f>
        <v>;"NavNode_L3D_531392";"Fluorescent Lampen";</v>
      </c>
      <c r="AL268" s="39" t="str">
        <f>IF(getCategoryLevelAsString($B268)="L0D_324785","",IF(S268="",CONCATENATE(";",EscStr(CONCATENATE("NavNode_",getCategoryLevelAsString($B268))),";",EscStr($J268),";"),CONCATENATE(";",EscStr(CONCATENATE("NavNode_",getCategoryLevelAsString($B268))),";",EscStr(S268),";")))</f>
        <v>;"NavNode_L3D_531392";"Świetlówki";</v>
      </c>
      <c r="AM268" s="39" t="str">
        <f>IF(getCategoryLevelAsString($B268)="L0D_324785","",IF(T268="",CONCATENATE(";",EscStr(CONCATENATE("NavNode_",getCategoryLevelAsString($B268))),";",EscStr($J268),";"),CONCATENATE(";",EscStr(CONCATENATE("NavNode_",getCategoryLevelAsString($B268))),";",EscStr(T268),";")))</f>
        <v>;"NavNode_L3D_531392";"Люминесцентные лампы";</v>
      </c>
      <c r="AN268" s="39" t="str">
        <f>IF(getCategoryLevelAsString($B268)="L0D_324785","",IF(U268="",CONCATENATE(";",EscStr(CONCATENATE("NavNode_",getCategoryLevelAsString($B268))),";",EscStr($J268),";"),CONCATENATE(";",EscStr(CONCATENATE("NavNode_",getCategoryLevelAsString($B268))),";",EscStr(U268),";")))</f>
        <v>;"NavNode_L3D_531392";"Zářivky";</v>
      </c>
      <c r="AO268" s="39" t="str">
        <f>IF(getCategoryLevelAsString($B268)="L0D_324785","",IF(V268="",CONCATENATE(";",EscStr(CONCATENATE("NavNode_",getCategoryLevelAsString($B268))),";",EscStr($J268),";"),CONCATENATE(";",EscStr(CONCATENATE("NavNode_",getCategoryLevelAsString($B268))),";",EscStr(V268),";")))</f>
        <v>;"NavNode_L3D_531392";"Lămpi fluorescente";</v>
      </c>
      <c r="AP268" s="39" t="str">
        <f>IF(getCategoryLevelAsString($B268)="L0D_324785","",IF(W268="",CONCATENATE(";",EscStr(CONCATENATE("NavNode_",getCategoryLevelAsString($B268))),";",EscStr($J268),";"),CONCATENATE(";",EscStr(CONCATENATE("NavNode_",getCategoryLevelAsString($B268))),";",EscStr(W268),";")))</f>
        <v>;"NavNode_L3D_531392";"Fénycsövek";</v>
      </c>
      <c r="AQ268" s="39" t="str">
        <f>IF(getCategoryLevelAsString($B268)="L0D_324785","",IF(X268="",CONCATENATE(";",EscStr(CONCATENATE("NavNode_",getCategoryLevelAsString($B268))),";",EscStr($J268),";"),CONCATENATE(";",EscStr(CONCATENATE("NavNode_",getCategoryLevelAsString($B268))),";",EscStr(X268),";")))</f>
        <v>;"NavNode_L3D_531392";"Žiarivky";</v>
      </c>
      <c r="AR268" s="39" t="str">
        <f>IF(OR($A268&lt;&gt;"", $G268=""),"",CONCATENATE(";",EscStr(CONCATENATE("NavEntry_",getCategoryLevelAsString($B268))),";",EscStr(CONCATENATE($J268," Navigation Entry")),";",EscStr(CONCATENATE("cat-",getCategoryLevelAsString($B268))),";",EscStr(CONCATENATE("NavNode_",getCategoryLevelAsString($B268))),";"))</f>
        <v>;"NavEntry_L3D_531392";"Fluorescent Lamps Navigation Entry";"cat-L3D_531392";"NavNode_L3D_531392";</v>
      </c>
    </row>
    <row r="269" spans="1:44" s="34" customFormat="1" ht="15" x14ac:dyDescent="0.25">
      <c r="A269" s="25"/>
      <c r="B269" s="5"/>
      <c r="C269" s="5"/>
      <c r="D269" s="5" t="s">
        <v>726</v>
      </c>
      <c r="E269" s="5"/>
      <c r="F269" s="5"/>
      <c r="G269" s="5" t="s">
        <v>1042</v>
      </c>
      <c r="H269" s="5" t="s">
        <v>1071</v>
      </c>
      <c r="I269" s="5" t="s">
        <v>1129</v>
      </c>
      <c r="J269" s="5" t="s">
        <v>910</v>
      </c>
      <c r="K269" s="5" t="s">
        <v>1368</v>
      </c>
      <c r="L269" s="5" t="s">
        <v>1604</v>
      </c>
      <c r="M269" s="5" t="s">
        <v>1810</v>
      </c>
      <c r="N269" s="5" t="s">
        <v>2023</v>
      </c>
      <c r="O269" s="5" t="s">
        <v>4067</v>
      </c>
      <c r="P269" s="5" t="s">
        <v>4068</v>
      </c>
      <c r="Q269" s="5" t="s">
        <v>4069</v>
      </c>
      <c r="R269" s="5" t="s">
        <v>4070</v>
      </c>
      <c r="S269" s="5" t="s">
        <v>4071</v>
      </c>
      <c r="T269" s="5" t="s">
        <v>4072</v>
      </c>
      <c r="U269" s="5" t="s">
        <v>4073</v>
      </c>
      <c r="V269" s="5" t="s">
        <v>4074</v>
      </c>
      <c r="W269" s="5" t="s">
        <v>4075</v>
      </c>
      <c r="X269" s="5" t="s">
        <v>14967</v>
      </c>
      <c r="Y269" s="39" t="str">
        <f>IF(OR($A269&lt;&gt;"", $G269=""),"",CONCATENATE(";",EscStr(CONCATENATE("NavNode_",getCategoryLevelAsString($B269))),";",EscStr($J269),";",IF($B269&lt;&gt;"","""MainCategoryNavNode""",EscStr(CONCATENATE("NavNode_",getSuperCategory($B269, getCategoryLevelAsNumber($B269))))),";"))</f>
        <v>;"NavNode_L3D_531395";"Automotive Bulbs";"NavNode_L2D_379659";</v>
      </c>
      <c r="Z269" s="39" t="str">
        <f>IF(getCategoryLevelAsString($B269)="L0D_324785","",IF(G269="",CONCATENATE(";",EscStr(CONCATENATE("NavNode_",getCategoryLevelAsString($B269))),";",EscStr($J269),";"),CONCATENATE(";",EscStr(CONCATENATE("NavNode_",getCategoryLevelAsString($B269))),";",EscStr(G269),";")))</f>
        <v>;"NavNode_L3D_531395";"Kfz-Glühlampen";</v>
      </c>
      <c r="AA269" s="39" t="str">
        <f>IF(getCategoryLevelAsString($B269)="L0D_324785","",IF(H269="",CONCATENATE(";",EscStr(CONCATENATE("NavNode_",getCategoryLevelAsString($B269))),";",EscStr($J269),";"),CONCATENATE(";",EscStr(CONCATENATE("NavNode_",getCategoryLevelAsString($B269))),";",EscStr(H269),";")))</f>
        <v>;"NavNode_L3D_531395";"Ampoules pour automobiles";</v>
      </c>
      <c r="AB269" s="39" t="str">
        <f>IF(getCategoryLevelAsString($B269)="L0D_324785","",IF(I269="",CONCATENATE(";",EscStr(CONCATENATE("NavNode_",getCategoryLevelAsString($B269))),";",EscStr($J269),";"),CONCATENATE(";",EscStr(CONCATENATE("NavNode_",getCategoryLevelAsString($B269))),";",EscStr(I269),";")))</f>
        <v>;"NavNode_L3D_531395";"Lampadine per veicoli";</v>
      </c>
      <c r="AC269" s="39" t="str">
        <f>IF(getCategoryLevelAsString($B269)="L0D_324785","",IF(J269="",CONCATENATE(";",EscStr(CONCATENATE("NavNode_",getCategoryLevelAsString($B269))),";",EscStr($J269),";"),CONCATENATE(";",EscStr(CONCATENATE("NavNode_",getCategoryLevelAsString($B269))),";",EscStr(J269),";")))</f>
        <v>;"NavNode_L3D_531395";"Automotive Bulbs";</v>
      </c>
      <c r="AD269" s="39" t="str">
        <f>IF(getCategoryLevelAsString($B269)="L0D_324785","",IF(K269="",CONCATENATE(";",EscStr(CONCATENATE("NavNode_",getCategoryLevelAsString($B269))),";",EscStr($J269),";"),CONCATENATE(";",EscStr(CONCATENATE("NavNode_",getCategoryLevelAsString($B269))),";",EscStr(K269),";")))</f>
        <v>;"NavNode_L3D_531395";"Bilpærer";</v>
      </c>
      <c r="AE269" s="39" t="str">
        <f>IF(getCategoryLevelAsString($B269)="L0D_324785","",IF(L269="",CONCATENATE(";",EscStr(CONCATENATE("NavNode_",getCategoryLevelAsString($B269))),";",EscStr($J269),";"),CONCATENATE(";",EscStr(CONCATENATE("NavNode_",getCategoryLevelAsString($B269))),";",EscStr(L269),";")))</f>
        <v>;"NavNode_L3D_531395";"Automobilinės lemputės";</v>
      </c>
      <c r="AF269" s="39" t="str">
        <f>IF(getCategoryLevelAsString($B269)="L0D_324785","",IF(M269="",CONCATENATE(";",EscStr(CONCATENATE("NavNode_",getCategoryLevelAsString($B269))),";",EscStr($J269),";"),CONCATENATE(";",EscStr(CONCATENATE("NavNode_",getCategoryLevelAsString($B269))),";",EscStr(M269),";")))</f>
        <v>;"NavNode_L3D_531395";"Automotive pærer";</v>
      </c>
      <c r="AG269" s="39" t="str">
        <f>IF(getCategoryLevelAsString($B269)="L0D_324785","",IF(N269="",CONCATENATE(";",EscStr(CONCATENATE("NavNode_",getCategoryLevelAsString($B269))),";",EscStr($J269),";"),CONCATENATE(";",EscStr(CONCATENATE("NavNode_",getCategoryLevelAsString($B269))),";",EscStr(N269),";")))</f>
        <v>;"NavNode_L3D_531395";"Fordonslampor";</v>
      </c>
      <c r="AH269" s="39" t="str">
        <f>IF(getCategoryLevelAsString($B269)="L0D_324785","",IF(O269="",CONCATENATE(";",EscStr(CONCATENATE("NavNode_",getCategoryLevelAsString($B269))),";",EscStr($J269),";"),CONCATENATE(";",EscStr(CONCATENATE("NavNode_",getCategoryLevelAsString($B269))),";",EscStr(O269),";")))</f>
        <v>;"NavNode_L3D_531395";"Autopirnid";</v>
      </c>
      <c r="AI269" s="39" t="str">
        <f>IF(getCategoryLevelAsString($B269)="L0D_324785","",IF(P269="",CONCATENATE(";",EscStr(CONCATENATE("NavNode_",getCategoryLevelAsString($B269))),";",EscStr($J269),";"),CONCATENATE(";",EscStr(CONCATENATE("NavNode_",getCategoryLevelAsString($B269))),";",EscStr(P269),";")))</f>
        <v>;"NavNode_L3D_531395";"Autolamput";</v>
      </c>
      <c r="AJ269" s="39" t="str">
        <f>IF(getCategoryLevelAsString($B269)="L0D_324785","",IF(Q269="",CONCATENATE(";",EscStr(CONCATENATE("NavNode_",getCategoryLevelAsString($B269))),";",EscStr($J269),";"),CONCATENATE(";",EscStr(CONCATENATE("NavNode_",getCategoryLevelAsString($B269))),";",EscStr(Q269),";")))</f>
        <v>;"NavNode_L3D_531395";"Automašīnu lampas";</v>
      </c>
      <c r="AK269" s="39" t="str">
        <f>IF(getCategoryLevelAsString($B269)="L0D_324785","",IF(R269="",CONCATENATE(";",EscStr(CONCATENATE("NavNode_",getCategoryLevelAsString($B269))),";",EscStr($J269),";"),CONCATENATE(";",EscStr(CONCATENATE("NavNode_",getCategoryLevelAsString($B269))),";",EscStr(R269),";")))</f>
        <v>;"NavNode_L3D_531395";"Autolampen";</v>
      </c>
      <c r="AL269" s="39" t="str">
        <f>IF(getCategoryLevelAsString($B269)="L0D_324785","",IF(S269="",CONCATENATE(";",EscStr(CONCATENATE("NavNode_",getCategoryLevelAsString($B269))),";",EscStr($J269),";"),CONCATENATE(";",EscStr(CONCATENATE("NavNode_",getCategoryLevelAsString($B269))),";",EscStr(S269),";")))</f>
        <v>;"NavNode_L3D_531395";"Żarówki samochodowe";</v>
      </c>
      <c r="AM269" s="39" t="str">
        <f>IF(getCategoryLevelAsString($B269)="L0D_324785","",IF(T269="",CONCATENATE(";",EscStr(CONCATENATE("NavNode_",getCategoryLevelAsString($B269))),";",EscStr($J269),";"),CONCATENATE(";",EscStr(CONCATENATE("NavNode_",getCategoryLevelAsString($B269))),";",EscStr(T269),";")))</f>
        <v>;"NavNode_L3D_531395";"Автомобильные лампочки";</v>
      </c>
      <c r="AN269" s="39" t="str">
        <f>IF(getCategoryLevelAsString($B269)="L0D_324785","",IF(U269="",CONCATENATE(";",EscStr(CONCATENATE("NavNode_",getCategoryLevelAsString($B269))),";",EscStr($J269),";"),CONCATENATE(";",EscStr(CONCATENATE("NavNode_",getCategoryLevelAsString($B269))),";",EscStr(U269),";")))</f>
        <v>;"NavNode_L3D_531395";"Automobilové žárovky";</v>
      </c>
      <c r="AO269" s="39" t="str">
        <f>IF(getCategoryLevelAsString($B269)="L0D_324785","",IF(V269="",CONCATENATE(";",EscStr(CONCATENATE("NavNode_",getCategoryLevelAsString($B269))),";",EscStr($J269),";"),CONCATENATE(";",EscStr(CONCATENATE("NavNode_",getCategoryLevelAsString($B269))),";",EscStr(V269),";")))</f>
        <v>;"NavNode_L3D_531395";"Becuri automotive";</v>
      </c>
      <c r="AP269" s="39" t="str">
        <f>IF(getCategoryLevelAsString($B269)="L0D_324785","",IF(W269="",CONCATENATE(";",EscStr(CONCATENATE("NavNode_",getCategoryLevelAsString($B269))),";",EscStr($J269),";"),CONCATENATE(";",EscStr(CONCATENATE("NavNode_",getCategoryLevelAsString($B269))),";",EscStr(W269),";")))</f>
        <v>;"NavNode_L3D_531395";"Gépjármű izzók";</v>
      </c>
      <c r="AQ269" s="39" t="str">
        <f>IF(getCategoryLevelAsString($B269)="L0D_324785","",IF(X269="",CONCATENATE(";",EscStr(CONCATENATE("NavNode_",getCategoryLevelAsString($B269))),";",EscStr($J269),";"),CONCATENATE(";",EscStr(CONCATENATE("NavNode_",getCategoryLevelAsString($B269))),";",EscStr(X269),";")))</f>
        <v>;"NavNode_L3D_531395";"Automobilové žiarovky";</v>
      </c>
      <c r="AR269" s="39" t="str">
        <f>IF(OR($A269&lt;&gt;"", $G269=""),"",CONCATENATE(";",EscStr(CONCATENATE("NavEntry_",getCategoryLevelAsString($B269))),";",EscStr(CONCATENATE($J269," Navigation Entry")),";",EscStr(CONCATENATE("cat-",getCategoryLevelAsString($B269))),";",EscStr(CONCATENATE("NavNode_",getCategoryLevelAsString($B269))),";"))</f>
        <v>;"NavEntry_L3D_531395";"Automotive Bulbs Navigation Entry";"cat-L3D_531395";"NavNode_L3D_531395";</v>
      </c>
    </row>
    <row r="270" spans="1:44" s="34" customFormat="1" ht="15" x14ac:dyDescent="0.25">
      <c r="A270" s="25"/>
      <c r="B270" s="5"/>
      <c r="C270" s="5"/>
      <c r="D270" s="5" t="s">
        <v>208</v>
      </c>
      <c r="E270" s="5"/>
      <c r="F270" s="5"/>
      <c r="G270" s="5" t="s">
        <v>489</v>
      </c>
      <c r="H270" s="5" t="s">
        <v>490</v>
      </c>
      <c r="I270" s="5" t="s">
        <v>491</v>
      </c>
      <c r="J270" s="5" t="s">
        <v>209</v>
      </c>
      <c r="K270" s="5" t="s">
        <v>1369</v>
      </c>
      <c r="L270" s="5" t="s">
        <v>1605</v>
      </c>
      <c r="M270" s="5" t="s">
        <v>1811</v>
      </c>
      <c r="N270" s="5" t="s">
        <v>2024</v>
      </c>
      <c r="O270" s="5" t="s">
        <v>4076</v>
      </c>
      <c r="P270" s="5" t="s">
        <v>4077</v>
      </c>
      <c r="Q270" s="5" t="s">
        <v>4078</v>
      </c>
      <c r="R270" s="5" t="s">
        <v>4079</v>
      </c>
      <c r="S270" s="5" t="s">
        <v>4080</v>
      </c>
      <c r="T270" s="5" t="s">
        <v>4081</v>
      </c>
      <c r="U270" s="5" t="s">
        <v>4082</v>
      </c>
      <c r="V270" s="5" t="s">
        <v>4083</v>
      </c>
      <c r="W270" s="5" t="s">
        <v>4084</v>
      </c>
      <c r="X270" s="5" t="s">
        <v>4082</v>
      </c>
      <c r="Y270" s="39" t="str">
        <f>IF(OR($A270&lt;&gt;"", $G270=""),"",CONCATENATE(";",EscStr(CONCATENATE("NavNode_",getCategoryLevelAsString($B270))),";",EscStr($J270),";",IF($B270&lt;&gt;"","""MainCategoryNavNode""",EscStr(CONCATENATE("NavNode_",getSuperCategory($B270, getCategoryLevelAsNumber($B270))))),";"))</f>
        <v>;"NavNode_L3D_525569";"Lamp Holders / Sockets";"NavNode_L2D_379659";</v>
      </c>
      <c r="Z270" s="39" t="str">
        <f>IF(getCategoryLevelAsString($B270)="L0D_324785","",IF(G270="",CONCATENATE(";",EscStr(CONCATENATE("NavNode_",getCategoryLevelAsString($B270))),";",EscStr($J270),";"),CONCATENATE(";",EscStr(CONCATENATE("NavNode_",getCategoryLevelAsString($B270))),";",EscStr(G270),";")))</f>
        <v>;"NavNode_L3D_525569";"Lampenfassungen";</v>
      </c>
      <c r="AA270" s="39" t="str">
        <f>IF(getCategoryLevelAsString($B270)="L0D_324785","",IF(H270="",CONCATENATE(";",EscStr(CONCATENATE("NavNode_",getCategoryLevelAsString($B270))),";",EscStr($J270),";"),CONCATENATE(";",EscStr(CONCATENATE("NavNode_",getCategoryLevelAsString($B270))),";",EscStr(H270),";")))</f>
        <v>;"NavNode_L3D_525569";"Culots / Socles";</v>
      </c>
      <c r="AB270" s="39" t="str">
        <f>IF(getCategoryLevelAsString($B270)="L0D_324785","",IF(I270="",CONCATENATE(";",EscStr(CONCATENATE("NavNode_",getCategoryLevelAsString($B270))),";",EscStr($J270),";"),CONCATENATE(";",EscStr(CONCATENATE("NavNode_",getCategoryLevelAsString($B270))),";",EscStr(I270),";")))</f>
        <v>;"NavNode_L3D_525569";"Portalampada / Prese";</v>
      </c>
      <c r="AC270" s="39" t="str">
        <f>IF(getCategoryLevelAsString($B270)="L0D_324785","",IF(J270="",CONCATENATE(";",EscStr(CONCATENATE("NavNode_",getCategoryLevelAsString($B270))),";",EscStr($J270),";"),CONCATENATE(";",EscStr(CONCATENATE("NavNode_",getCategoryLevelAsString($B270))),";",EscStr(J270),";")))</f>
        <v>;"NavNode_L3D_525569";"Lamp Holders / Sockets";</v>
      </c>
      <c r="AD270" s="39" t="str">
        <f>IF(getCategoryLevelAsString($B270)="L0D_324785","",IF(K270="",CONCATENATE(";",EscStr(CONCATENATE("NavNode_",getCategoryLevelAsString($B270))),";",EscStr($J270),";"),CONCATENATE(";",EscStr(CONCATENATE("NavNode_",getCategoryLevelAsString($B270))),";",EscStr(K270),";")))</f>
        <v>;"NavNode_L3D_525569";"Lygteholdere/-sokler";</v>
      </c>
      <c r="AE270" s="39" t="str">
        <f>IF(getCategoryLevelAsString($B270)="L0D_324785","",IF(L270="",CONCATENATE(";",EscStr(CONCATENATE("NavNode_",getCategoryLevelAsString($B270))),";",EscStr($J270),";"),CONCATENATE(";",EscStr(CONCATENATE("NavNode_",getCategoryLevelAsString($B270))),";",EscStr(L270),";")))</f>
        <v>;"NavNode_L3D_525569";"Lempų laikikliai / lizdai";</v>
      </c>
      <c r="AF270" s="39" t="str">
        <f>IF(getCategoryLevelAsString($B270)="L0D_324785","",IF(M270="",CONCATENATE(";",EscStr(CONCATENATE("NavNode_",getCategoryLevelAsString($B270))),";",EscStr($J270),";"),CONCATENATE(";",EscStr(CONCATENATE("NavNode_",getCategoryLevelAsString($B270))),";",EscStr(M270),";")))</f>
        <v>;"NavNode_L3D_525569";"Lampeholdere/kontakter";</v>
      </c>
      <c r="AG270" s="39" t="str">
        <f>IF(getCategoryLevelAsString($B270)="L0D_324785","",IF(N270="",CONCATENATE(";",EscStr(CONCATENATE("NavNode_",getCategoryLevelAsString($B270))),";",EscStr($J270),";"),CONCATENATE(";",EscStr(CONCATENATE("NavNode_",getCategoryLevelAsString($B270))),";",EscStr(N270),";")))</f>
        <v>;"NavNode_L3D_525569";"Lamphållare/Uttag";</v>
      </c>
      <c r="AH270" s="39" t="str">
        <f>IF(getCategoryLevelAsString($B270)="L0D_324785","",IF(O270="",CONCATENATE(";",EscStr(CONCATENATE("NavNode_",getCategoryLevelAsString($B270))),";",EscStr($J270),";"),CONCATENATE(";",EscStr(CONCATENATE("NavNode_",getCategoryLevelAsString($B270))),";",EscStr(O270),";")))</f>
        <v>;"NavNode_L3D_525569";"Lambipesad";</v>
      </c>
      <c r="AI270" s="39" t="str">
        <f>IF(getCategoryLevelAsString($B270)="L0D_324785","",IF(P270="",CONCATENATE(";",EscStr(CONCATENATE("NavNode_",getCategoryLevelAsString($B270))),";",EscStr($J270),";"),CONCATENATE(";",EscStr(CONCATENATE("NavNode_",getCategoryLevelAsString($B270))),";",EscStr(P270),";")))</f>
        <v>;"NavNode_L3D_525569";"Lampunpitimet";</v>
      </c>
      <c r="AJ270" s="39" t="str">
        <f>IF(getCategoryLevelAsString($B270)="L0D_324785","",IF(Q270="",CONCATENATE(";",EscStr(CONCATENATE("NavNode_",getCategoryLevelAsString($B270))),";",EscStr($J270),";"),CONCATENATE(";",EscStr(CONCATENATE("NavNode_",getCategoryLevelAsString($B270))),";",EscStr(Q270),";")))</f>
        <v>;"NavNode_L3D_525569";"Lampu turētāji / ligzdas";</v>
      </c>
      <c r="AK270" s="39" t="str">
        <f>IF(getCategoryLevelAsString($B270)="L0D_324785","",IF(R270="",CONCATENATE(";",EscStr(CONCATENATE("NavNode_",getCategoryLevelAsString($B270))),";",EscStr($J270),";"),CONCATENATE(";",EscStr(CONCATENATE("NavNode_",getCategoryLevelAsString($B270))),";",EscStr(R270),";")))</f>
        <v>;"NavNode_L3D_525569";"Lamphouders en fittingen";</v>
      </c>
      <c r="AL270" s="39" t="str">
        <f>IF(getCategoryLevelAsString($B270)="L0D_324785","",IF(S270="",CONCATENATE(";",EscStr(CONCATENATE("NavNode_",getCategoryLevelAsString($B270))),";",EscStr($J270),";"),CONCATENATE(";",EscStr(CONCATENATE("NavNode_",getCategoryLevelAsString($B270))),";",EscStr(S270),";")))</f>
        <v>;"NavNode_L3D_525569";"Oprawki do lampek";</v>
      </c>
      <c r="AM270" s="39" t="str">
        <f>IF(getCategoryLevelAsString($B270)="L0D_324785","",IF(T270="",CONCATENATE(";",EscStr(CONCATENATE("NavNode_",getCategoryLevelAsString($B270))),";",EscStr($J270),";"),CONCATENATE(";",EscStr(CONCATENATE("NavNode_",getCategoryLevelAsString($B270))),";",EscStr(T270),";")))</f>
        <v>;"NavNode_L3D_525569";"Ламподержатели / Розетки";</v>
      </c>
      <c r="AN270" s="39" t="str">
        <f>IF(getCategoryLevelAsString($B270)="L0D_324785","",IF(U270="",CONCATENATE(";",EscStr(CONCATENATE("NavNode_",getCategoryLevelAsString($B270))),";",EscStr($J270),";"),CONCATENATE(";",EscStr(CONCATENATE("NavNode_",getCategoryLevelAsString($B270))),";",EscStr(U270),";")))</f>
        <v>;"NavNode_L3D_525569";"Objímky";</v>
      </c>
      <c r="AO270" s="39" t="str">
        <f>IF(getCategoryLevelAsString($B270)="L0D_324785","",IF(V270="",CONCATENATE(";",EscStr(CONCATENATE("NavNode_",getCategoryLevelAsString($B270))),";",EscStr($J270),";"),CONCATENATE(";",EscStr(CONCATENATE("NavNode_",getCategoryLevelAsString($B270))),";",EscStr(V270),";")))</f>
        <v>;"NavNode_L3D_525569";"Socluri pentru Lămpi";</v>
      </c>
      <c r="AP270" s="39" t="str">
        <f>IF(getCategoryLevelAsString($B270)="L0D_324785","",IF(W270="",CONCATENATE(";",EscStr(CONCATENATE("NavNode_",getCategoryLevelAsString($B270))),";",EscStr($J270),";"),CONCATENATE(";",EscStr(CONCATENATE("NavNode_",getCategoryLevelAsString($B270))),";",EscStr(W270),";")))</f>
        <v>;"NavNode_L3D_525569";"Izzófoglalatok";</v>
      </c>
      <c r="AQ270" s="39" t="str">
        <f>IF(getCategoryLevelAsString($B270)="L0D_324785","",IF(X270="",CONCATENATE(";",EscStr(CONCATENATE("NavNode_",getCategoryLevelAsString($B270))),";",EscStr($J270),";"),CONCATENATE(";",EscStr(CONCATENATE("NavNode_",getCategoryLevelAsString($B270))),";",EscStr(X270),";")))</f>
        <v>;"NavNode_L3D_525569";"Objímky";</v>
      </c>
      <c r="AR270" s="39" t="str">
        <f>IF(OR($A270&lt;&gt;"", $G270=""),"",CONCATENATE(";",EscStr(CONCATENATE("NavEntry_",getCategoryLevelAsString($B270))),";",EscStr(CONCATENATE($J270," Navigation Entry")),";",EscStr(CONCATENATE("cat-",getCategoryLevelAsString($B270))),";",EscStr(CONCATENATE("NavNode_",getCategoryLevelAsString($B270))),";"))</f>
        <v>;"NavEntry_L3D_525569";"Lamp Holders / Sockets Navigation Entry";"cat-L3D_525569";"NavNode_L3D_525569";</v>
      </c>
    </row>
    <row r="271" spans="1:44" s="34" customFormat="1" ht="15" x14ac:dyDescent="0.25">
      <c r="A271" s="25"/>
      <c r="B271" s="5"/>
      <c r="C271" s="5"/>
      <c r="D271" s="5" t="s">
        <v>210</v>
      </c>
      <c r="E271" s="5"/>
      <c r="F271" s="5"/>
      <c r="G271" s="5" t="s">
        <v>958</v>
      </c>
      <c r="H271" s="5" t="s">
        <v>727</v>
      </c>
      <c r="I271" s="5" t="s">
        <v>704</v>
      </c>
      <c r="J271" s="5" t="s">
        <v>492</v>
      </c>
      <c r="K271" s="5" t="s">
        <v>1370</v>
      </c>
      <c r="L271" s="5" t="s">
        <v>1606</v>
      </c>
      <c r="M271" s="5" t="s">
        <v>1370</v>
      </c>
      <c r="N271" s="5" t="s">
        <v>2025</v>
      </c>
      <c r="O271" s="5" t="s">
        <v>4085</v>
      </c>
      <c r="P271" s="5" t="s">
        <v>4086</v>
      </c>
      <c r="Q271" s="5" t="s">
        <v>4087</v>
      </c>
      <c r="R271" s="5" t="s">
        <v>4088</v>
      </c>
      <c r="S271" s="5" t="s">
        <v>4089</v>
      </c>
      <c r="T271" s="5" t="s">
        <v>4090</v>
      </c>
      <c r="U271" s="5" t="s">
        <v>4091</v>
      </c>
      <c r="V271" s="5" t="s">
        <v>4092</v>
      </c>
      <c r="W271" s="5" t="s">
        <v>4093</v>
      </c>
      <c r="X271" s="5" t="s">
        <v>14968</v>
      </c>
      <c r="Y271" s="39" t="str">
        <f>IF(OR($A271&lt;&gt;"", $G271=""),"",CONCATENATE(";",EscStr(CONCATENATE("NavNode_",getCategoryLevelAsString($B271))),";",EscStr($J271),";",IF($B271&lt;&gt;"","""MainCategoryNavNode""",EscStr(CONCATENATE("NavNode_",getSuperCategory($B271, getCategoryLevelAsNumber($B271))))),";"))</f>
        <v>;"NavNode_L3D_525568";"Indicator lamps";"NavNode_L2D_379659";</v>
      </c>
      <c r="Z271" s="39" t="str">
        <f>IF(getCategoryLevelAsString($B271)="L0D_324785","",IF(G271="",CONCATENATE(";",EscStr(CONCATENATE("NavNode_",getCategoryLevelAsString($B271))),";",EscStr($J271),";"),CONCATENATE(";",EscStr(CONCATENATE("NavNode_",getCategoryLevelAsString($B271))),";",EscStr(G271),";")))</f>
        <v>;"NavNode_L3D_525568";"Signallampen";</v>
      </c>
      <c r="AA271" s="39" t="str">
        <f>IF(getCategoryLevelAsString($B271)="L0D_324785","",IF(H271="",CONCATENATE(";",EscStr(CONCATENATE("NavNode_",getCategoryLevelAsString($B271))),";",EscStr($J271),";"),CONCATENATE(";",EscStr(CONCATENATE("NavNode_",getCategoryLevelAsString($B271))),";",EscStr(H271),";")))</f>
        <v>;"NavNode_L3D_525568";"Lampes de signalisation";</v>
      </c>
      <c r="AB271" s="39" t="str">
        <f>IF(getCategoryLevelAsString($B271)="L0D_324785","",IF(I271="",CONCATENATE(";",EscStr(CONCATENATE("NavNode_",getCategoryLevelAsString($B271))),";",EscStr($J271),";"),CONCATENATE(";",EscStr(CONCATENATE("NavNode_",getCategoryLevelAsString($B271))),";",EscStr(I271),";")))</f>
        <v>;"NavNode_L3D_525568";"Lampade di segnalazione";</v>
      </c>
      <c r="AC271" s="39" t="str">
        <f>IF(getCategoryLevelAsString($B271)="L0D_324785","",IF(J271="",CONCATENATE(";",EscStr(CONCATENATE("NavNode_",getCategoryLevelAsString($B271))),";",EscStr($J271),";"),CONCATENATE(";",EscStr(CONCATENATE("NavNode_",getCategoryLevelAsString($B271))),";",EscStr(J271),";")))</f>
        <v>;"NavNode_L3D_525568";"Indicator lamps";</v>
      </c>
      <c r="AD271" s="39" t="str">
        <f>IF(getCategoryLevelAsString($B271)="L0D_324785","",IF(K271="",CONCATENATE(";",EscStr(CONCATENATE("NavNode_",getCategoryLevelAsString($B271))),";",EscStr($J271),";"),CONCATENATE(";",EscStr(CONCATENATE("NavNode_",getCategoryLevelAsString($B271))),";",EscStr(K271),";")))</f>
        <v>;"NavNode_L3D_525568";"Indikatorlamper";</v>
      </c>
      <c r="AE271" s="39" t="str">
        <f>IF(getCategoryLevelAsString($B271)="L0D_324785","",IF(L271="",CONCATENATE(";",EscStr(CONCATENATE("NavNode_",getCategoryLevelAsString($B271))),";",EscStr($J271),";"),CONCATENATE(";",EscStr(CONCATENATE("NavNode_",getCategoryLevelAsString($B271))),";",EscStr(L271),";")))</f>
        <v>;"NavNode_L3D_525568";"Indikatorių lemputės";</v>
      </c>
      <c r="AF271" s="39" t="str">
        <f>IF(getCategoryLevelAsString($B271)="L0D_324785","",IF(M271="",CONCATENATE(";",EscStr(CONCATENATE("NavNode_",getCategoryLevelAsString($B271))),";",EscStr($J271),";"),CONCATENATE(";",EscStr(CONCATENATE("NavNode_",getCategoryLevelAsString($B271))),";",EscStr(M271),";")))</f>
        <v>;"NavNode_L3D_525568";"Indikatorlamper";</v>
      </c>
      <c r="AG271" s="39" t="str">
        <f>IF(getCategoryLevelAsString($B271)="L0D_324785","",IF(N271="",CONCATENATE(";",EscStr(CONCATENATE("NavNode_",getCategoryLevelAsString($B271))),";",EscStr($J271),";"),CONCATENATE(";",EscStr(CONCATENATE("NavNode_",getCategoryLevelAsString($B271))),";",EscStr(N271),";")))</f>
        <v>;"NavNode_L3D_525568";"Indikatorlampor";</v>
      </c>
      <c r="AH271" s="39" t="str">
        <f>IF(getCategoryLevelAsString($B271)="L0D_324785","",IF(O271="",CONCATENATE(";",EscStr(CONCATENATE("NavNode_",getCategoryLevelAsString($B271))),";",EscStr($J271),";"),CONCATENATE(";",EscStr(CONCATENATE("NavNode_",getCategoryLevelAsString($B271))),";",EscStr(O271),";")))</f>
        <v>;"NavNode_L3D_525568";"Indikaatorlambid";</v>
      </c>
      <c r="AI271" s="39" t="str">
        <f>IF(getCategoryLevelAsString($B271)="L0D_324785","",IF(P271="",CONCATENATE(";",EscStr(CONCATENATE("NavNode_",getCategoryLevelAsString($B271))),";",EscStr($J271),";"),CONCATENATE(";",EscStr(CONCATENATE("NavNode_",getCategoryLevelAsString($B271))),";",EscStr(P271),";")))</f>
        <v>;"NavNode_L3D_525568";"Merkkilamput";</v>
      </c>
      <c r="AJ271" s="39" t="str">
        <f>IF(getCategoryLevelAsString($B271)="L0D_324785","",IF(Q271="",CONCATENATE(";",EscStr(CONCATENATE("NavNode_",getCategoryLevelAsString($B271))),";",EscStr($J271),";"),CONCATENATE(";",EscStr(CONCATENATE("NavNode_",getCategoryLevelAsString($B271))),";",EscStr(Q271),";")))</f>
        <v>;"NavNode_L3D_525568";"Indikatoru lampas";</v>
      </c>
      <c r="AK271" s="39" t="str">
        <f>IF(getCategoryLevelAsString($B271)="L0D_324785","",IF(R271="",CONCATENATE(";",EscStr(CONCATENATE("NavNode_",getCategoryLevelAsString($B271))),";",EscStr($J271),";"),CONCATENATE(";",EscStr(CONCATENATE("NavNode_",getCategoryLevelAsString($B271))),";",EscStr(R271),";")))</f>
        <v>;"NavNode_L3D_525568";"Indicatielampjes";</v>
      </c>
      <c r="AL271" s="39" t="str">
        <f>IF(getCategoryLevelAsString($B271)="L0D_324785","",IF(S271="",CONCATENATE(";",EscStr(CONCATENATE("NavNode_",getCategoryLevelAsString($B271))),";",EscStr($J271),";"),CONCATENATE(";",EscStr(CONCATENATE("NavNode_",getCategoryLevelAsString($B271))),";",EscStr(S271),";")))</f>
        <v>;"NavNode_L3D_525568";"Lampki sygnalizacyjne";</v>
      </c>
      <c r="AM271" s="39" t="str">
        <f>IF(getCategoryLevelAsString($B271)="L0D_324785","",IF(T271="",CONCATENATE(";",EscStr(CONCATENATE("NavNode_",getCategoryLevelAsString($B271))),";",EscStr($J271),";"),CONCATENATE(";",EscStr(CONCATENATE("NavNode_",getCategoryLevelAsString($B271))),";",EscStr(T271),";")))</f>
        <v>;"NavNode_L3D_525568";"Световые индикаторы";</v>
      </c>
      <c r="AN271" s="39" t="str">
        <f>IF(getCategoryLevelAsString($B271)="L0D_324785","",IF(U271="",CONCATENATE(";",EscStr(CONCATENATE("NavNode_",getCategoryLevelAsString($B271))),";",EscStr($J271),";"),CONCATENATE(";",EscStr(CONCATENATE("NavNode_",getCategoryLevelAsString($B271))),";",EscStr(U271),";")))</f>
        <v>;"NavNode_L3D_525568";"Signální lampy";</v>
      </c>
      <c r="AO271" s="39" t="str">
        <f>IF(getCategoryLevelAsString($B271)="L0D_324785","",IF(V271="",CONCATENATE(";",EscStr(CONCATENATE("NavNode_",getCategoryLevelAsString($B271))),";",EscStr($J271),";"),CONCATENATE(";",EscStr(CONCATENATE("NavNode_",getCategoryLevelAsString($B271))),";",EscStr(V271),";")))</f>
        <v>;"NavNode_L3D_525568";"Lămpi de semnalizare";</v>
      </c>
      <c r="AP271" s="39" t="str">
        <f>IF(getCategoryLevelAsString($B271)="L0D_324785","",IF(W271="",CONCATENATE(";",EscStr(CONCATENATE("NavNode_",getCategoryLevelAsString($B271))),";",EscStr($J271),";"),CONCATENATE(";",EscStr(CONCATENATE("NavNode_",getCategoryLevelAsString($B271))),";",EscStr(W271),";")))</f>
        <v>;"NavNode_L3D_525568";"Jelzőlámpák";</v>
      </c>
      <c r="AQ271" s="39" t="str">
        <f>IF(getCategoryLevelAsString($B271)="L0D_324785","",IF(X271="",CONCATENATE(";",EscStr(CONCATENATE("NavNode_",getCategoryLevelAsString($B271))),";",EscStr($J271),";"),CONCATENATE(";",EscStr(CONCATENATE("NavNode_",getCategoryLevelAsString($B271))),";",EscStr(X271),";")))</f>
        <v>;"NavNode_L3D_525568";"Signálne lampy";</v>
      </c>
      <c r="AR271" s="39" t="str">
        <f>IF(OR($A271&lt;&gt;"", $G271=""),"",CONCATENATE(";",EscStr(CONCATENATE("NavEntry_",getCategoryLevelAsString($B271))),";",EscStr(CONCATENATE($J271," Navigation Entry")),";",EscStr(CONCATENATE("cat-",getCategoryLevelAsString($B271))),";",EscStr(CONCATENATE("NavNode_",getCategoryLevelAsString($B271))),";"))</f>
        <v>;"NavEntry_L3D_525568";"Indicator lamps Navigation Entry";"cat-L3D_525568";"NavNode_L3D_525568";</v>
      </c>
    </row>
    <row r="272" spans="1:44" s="34" customFormat="1" ht="15" x14ac:dyDescent="0.25">
      <c r="A272" s="25"/>
      <c r="B272" s="5"/>
      <c r="C272" s="5"/>
      <c r="D272" s="5" t="s">
        <v>728</v>
      </c>
      <c r="E272" s="5"/>
      <c r="F272" s="5"/>
      <c r="G272" s="5" t="s">
        <v>1043</v>
      </c>
      <c r="H272" s="5" t="s">
        <v>1072</v>
      </c>
      <c r="I272" s="5" t="s">
        <v>1130</v>
      </c>
      <c r="J272" s="5" t="s">
        <v>911</v>
      </c>
      <c r="K272" s="5" t="s">
        <v>1371</v>
      </c>
      <c r="L272" s="5" t="s">
        <v>1607</v>
      </c>
      <c r="M272" s="5" t="s">
        <v>1812</v>
      </c>
      <c r="N272" s="5" t="s">
        <v>2026</v>
      </c>
      <c r="O272" s="5" t="s">
        <v>4094</v>
      </c>
      <c r="P272" s="5" t="s">
        <v>4095</v>
      </c>
      <c r="Q272" s="5" t="s">
        <v>4096</v>
      </c>
      <c r="R272" s="5" t="s">
        <v>4097</v>
      </c>
      <c r="S272" s="5" t="s">
        <v>4098</v>
      </c>
      <c r="T272" s="5" t="s">
        <v>4099</v>
      </c>
      <c r="U272" s="5" t="s">
        <v>4100</v>
      </c>
      <c r="V272" s="5" t="s">
        <v>4101</v>
      </c>
      <c r="W272" s="5" t="s">
        <v>4102</v>
      </c>
      <c r="X272" s="5" t="s">
        <v>14969</v>
      </c>
      <c r="Y272" s="39" t="str">
        <f>IF(OR($A272&lt;&gt;"", $G272=""),"",CONCATENATE(";",EscStr(CONCATENATE("NavNode_",getCategoryLevelAsString($B272))),";",EscStr($J272),";",IF($B272&lt;&gt;"","""MainCategoryNavNode""",EscStr(CONCATENATE("NavNode_",getSuperCategory($B272, getCategoryLevelAsNumber($B272))))),";"))</f>
        <v>;"NavNode_L3D_531397";"Starters and Ballasts";"NavNode_L2D_379659";</v>
      </c>
      <c r="Z272" s="39" t="str">
        <f>IF(getCategoryLevelAsString($B272)="L0D_324785","",IF(G272="",CONCATENATE(";",EscStr(CONCATENATE("NavNode_",getCategoryLevelAsString($B272))),";",EscStr($J272),";"),CONCATENATE(";",EscStr(CONCATENATE("NavNode_",getCategoryLevelAsString($B272))),";",EscStr(G272),";")))</f>
        <v>;"NavNode_L3D_531397";"Starter und Vorschaltgeräte";</v>
      </c>
      <c r="AA272" s="39" t="str">
        <f>IF(getCategoryLevelAsString($B272)="L0D_324785","",IF(H272="",CONCATENATE(";",EscStr(CONCATENATE("NavNode_",getCategoryLevelAsString($B272))),";",EscStr($J272),";"),CONCATENATE(";",EscStr(CONCATENATE("NavNode_",getCategoryLevelAsString($B272))),";",EscStr(H272),";")))</f>
        <v>;"NavNode_L3D_531397";"Starters et ballasts";</v>
      </c>
      <c r="AB272" s="39" t="str">
        <f>IF(getCategoryLevelAsString($B272)="L0D_324785","",IF(I272="",CONCATENATE(";",EscStr(CONCATENATE("NavNode_",getCategoryLevelAsString($B272))),";",EscStr($J272),";"),CONCATENATE(";",EscStr(CONCATENATE("NavNode_",getCategoryLevelAsString($B272))),";",EscStr(I272),";")))</f>
        <v>;"NavNode_L3D_531397";"Starter e alimentatori";</v>
      </c>
      <c r="AC272" s="39" t="str">
        <f>IF(getCategoryLevelAsString($B272)="L0D_324785","",IF(J272="",CONCATENATE(";",EscStr(CONCATENATE("NavNode_",getCategoryLevelAsString($B272))),";",EscStr($J272),";"),CONCATENATE(";",EscStr(CONCATENATE("NavNode_",getCategoryLevelAsString($B272))),";",EscStr(J272),";")))</f>
        <v>;"NavNode_L3D_531397";"Starters and Ballasts";</v>
      </c>
      <c r="AD272" s="39" t="str">
        <f>IF(getCategoryLevelAsString($B272)="L0D_324785","",IF(K272="",CONCATENATE(";",EscStr(CONCATENATE("NavNode_",getCategoryLevelAsString($B272))),";",EscStr($J272),";"),CONCATENATE(";",EscStr(CONCATENATE("NavNode_",getCategoryLevelAsString($B272))),";",EscStr(K272),";")))</f>
        <v>;"NavNode_L3D_531397";"Startere og ballastenheder";</v>
      </c>
      <c r="AE272" s="39" t="str">
        <f>IF(getCategoryLevelAsString($B272)="L0D_324785","",IF(L272="",CONCATENATE(";",EscStr(CONCATENATE("NavNode_",getCategoryLevelAsString($B272))),";",EscStr($J272),";"),CONCATENATE(";",EscStr(CONCATENATE("NavNode_",getCategoryLevelAsString($B272))),";",EscStr(L272),";")))</f>
        <v>;"NavNode_L3D_531397";"Starteriai ir balastai";</v>
      </c>
      <c r="AF272" s="39" t="str">
        <f>IF(getCategoryLevelAsString($B272)="L0D_324785","",IF(M272="",CONCATENATE(";",EscStr(CONCATENATE("NavNode_",getCategoryLevelAsString($B272))),";",EscStr($J272),";"),CONCATENATE(";",EscStr(CONCATENATE("NavNode_",getCategoryLevelAsString($B272))),";",EscStr(M272),";")))</f>
        <v>;"NavNode_L3D_531397";"Startere og ballaster";</v>
      </c>
      <c r="AG272" s="39" t="str">
        <f>IF(getCategoryLevelAsString($B272)="L0D_324785","",IF(N272="",CONCATENATE(";",EscStr(CONCATENATE("NavNode_",getCategoryLevelAsString($B272))),";",EscStr($J272),";"),CONCATENATE(";",EscStr(CONCATENATE("NavNode_",getCategoryLevelAsString($B272))),";",EscStr(N272),";")))</f>
        <v>;"NavNode_L3D_531397";"Startapparater och driftdon";</v>
      </c>
      <c r="AH272" s="39" t="str">
        <f>IF(getCategoryLevelAsString($B272)="L0D_324785","",IF(O272="",CONCATENATE(";",EscStr(CONCATENATE("NavNode_",getCategoryLevelAsString($B272))),";",EscStr($J272),";"),CONCATENATE(";",EscStr(CONCATENATE("NavNode_",getCategoryLevelAsString($B272))),";",EscStr(O272),";")))</f>
        <v>;"NavNode_L3D_531397";"Starterid ja ballastid";</v>
      </c>
      <c r="AI272" s="39" t="str">
        <f>IF(getCategoryLevelAsString($B272)="L0D_324785","",IF(P272="",CONCATENATE(";",EscStr(CONCATENATE("NavNode_",getCategoryLevelAsString($B272))),";",EscStr($J272),";"),CONCATENATE(";",EscStr(CONCATENATE("NavNode_",getCategoryLevelAsString($B272))),";",EscStr(P272),";")))</f>
        <v>;"NavNode_L3D_531397";"Sytyttimet ja Kuormat";</v>
      </c>
      <c r="AJ272" s="39" t="str">
        <f>IF(getCategoryLevelAsString($B272)="L0D_324785","",IF(Q272="",CONCATENATE(";",EscStr(CONCATENATE("NavNode_",getCategoryLevelAsString($B272))),";",EscStr($J272),";"),CONCATENATE(";",EscStr(CONCATENATE("NavNode_",getCategoryLevelAsString($B272))),";",EscStr(Q272),";")))</f>
        <v>;"NavNode_L3D_531397";"Starteri un balasti";</v>
      </c>
      <c r="AK272" s="39" t="str">
        <f>IF(getCategoryLevelAsString($B272)="L0D_324785","",IF(R272="",CONCATENATE(";",EscStr(CONCATENATE("NavNode_",getCategoryLevelAsString($B272))),";",EscStr($J272),";"),CONCATENATE(";",EscStr(CONCATENATE("NavNode_",getCategoryLevelAsString($B272))),";",EscStr(R272),";")))</f>
        <v>;"NavNode_L3D_531397";"Starters en voorschakelapparaten";</v>
      </c>
      <c r="AL272" s="39" t="str">
        <f>IF(getCategoryLevelAsString($B272)="L0D_324785","",IF(S272="",CONCATENATE(";",EscStr(CONCATENATE("NavNode_",getCategoryLevelAsString($B272))),";",EscStr($J272),";"),CONCATENATE(";",EscStr(CONCATENATE("NavNode_",getCategoryLevelAsString($B272))),";",EscStr(S272),";")))</f>
        <v>;"NavNode_L3D_531397";"Startery i Stateczniki";</v>
      </c>
      <c r="AM272" s="39" t="str">
        <f>IF(getCategoryLevelAsString($B272)="L0D_324785","",IF(T272="",CONCATENATE(";",EscStr(CONCATENATE("NavNode_",getCategoryLevelAsString($B272))),";",EscStr($J272),";"),CONCATENATE(";",EscStr(CONCATENATE("NavNode_",getCategoryLevelAsString($B272))),";",EscStr(T272),";")))</f>
        <v>;"NavNode_L3D_531397";"Стартеры и балласт";</v>
      </c>
      <c r="AN272" s="39" t="str">
        <f>IF(getCategoryLevelAsString($B272)="L0D_324785","",IF(U272="",CONCATENATE(";",EscStr(CONCATENATE("NavNode_",getCategoryLevelAsString($B272))),";",EscStr($J272),";"),CONCATENATE(";",EscStr(CONCATENATE("NavNode_",getCategoryLevelAsString($B272))),";",EscStr(U272),";")))</f>
        <v>;"NavNode_L3D_531397";"Startery a předřadníky";</v>
      </c>
      <c r="AO272" s="39" t="str">
        <f>IF(getCategoryLevelAsString($B272)="L0D_324785","",IF(V272="",CONCATENATE(";",EscStr(CONCATENATE("NavNode_",getCategoryLevelAsString($B272))),";",EscStr($J272),";"),CONCATENATE(";",EscStr(CONCATENATE("NavNode_",getCategoryLevelAsString($B272))),";",EscStr(V272),";")))</f>
        <v>;"NavNode_L3D_531397";"Ştarter şi balasturi";</v>
      </c>
      <c r="AP272" s="39" t="str">
        <f>IF(getCategoryLevelAsString($B272)="L0D_324785","",IF(W272="",CONCATENATE(";",EscStr(CONCATENATE("NavNode_",getCategoryLevelAsString($B272))),";",EscStr($J272),";"),CONCATENATE(";",EscStr(CONCATENATE("NavNode_",getCategoryLevelAsString($B272))),";",EscStr(W272),";")))</f>
        <v>;"NavNode_L3D_531397";"Fénycsőgyújtó és előtét";</v>
      </c>
      <c r="AQ272" s="39" t="str">
        <f>IF(getCategoryLevelAsString($B272)="L0D_324785","",IF(X272="",CONCATENATE(";",EscStr(CONCATENATE("NavNode_",getCategoryLevelAsString($B272))),";",EscStr($J272),";"),CONCATENATE(";",EscStr(CONCATENATE("NavNode_",getCategoryLevelAsString($B272))),";",EscStr(X272),";")))</f>
        <v>;"NavNode_L3D_531397";"Štartéry a predradníky";</v>
      </c>
      <c r="AR272" s="39" t="str">
        <f>IF(OR($A272&lt;&gt;"", $G272=""),"",CONCATENATE(";",EscStr(CONCATENATE("NavEntry_",getCategoryLevelAsString($B272))),";",EscStr(CONCATENATE($J272," Navigation Entry")),";",EscStr(CONCATENATE("cat-",getCategoryLevelAsString($B272))),";",EscStr(CONCATENATE("NavNode_",getCategoryLevelAsString($B272))),";"))</f>
        <v>;"NavEntry_L3D_531397";"Starters and Ballasts Navigation Entry";"cat-L3D_531397";"NavNode_L3D_531397";</v>
      </c>
    </row>
    <row r="273" spans="1:44" s="34" customFormat="1" ht="15" x14ac:dyDescent="0.25">
      <c r="A273" s="25"/>
      <c r="B273" s="5"/>
      <c r="C273" s="5" t="s">
        <v>52</v>
      </c>
      <c r="D273" s="5"/>
      <c r="E273" s="5"/>
      <c r="F273" s="5"/>
      <c r="G273" s="5" t="s">
        <v>1194</v>
      </c>
      <c r="H273" s="5" t="s">
        <v>729</v>
      </c>
      <c r="I273" s="5" t="s">
        <v>706</v>
      </c>
      <c r="J273" s="5" t="s">
        <v>912</v>
      </c>
      <c r="K273" s="5" t="s">
        <v>1372</v>
      </c>
      <c r="L273" s="5" t="s">
        <v>15205</v>
      </c>
      <c r="M273" s="5" t="s">
        <v>1813</v>
      </c>
      <c r="N273" s="5" t="s">
        <v>2027</v>
      </c>
      <c r="O273" s="5" t="s">
        <v>4103</v>
      </c>
      <c r="P273" s="5" t="s">
        <v>4104</v>
      </c>
      <c r="Q273" s="5" t="s">
        <v>4105</v>
      </c>
      <c r="R273" s="5" t="s">
        <v>4106</v>
      </c>
      <c r="S273" s="5" t="s">
        <v>4107</v>
      </c>
      <c r="T273" s="5" t="s">
        <v>4108</v>
      </c>
      <c r="U273" s="5" t="s">
        <v>4109</v>
      </c>
      <c r="V273" s="5" t="s">
        <v>4110</v>
      </c>
      <c r="W273" s="5" t="s">
        <v>4111</v>
      </c>
      <c r="X273" s="5" t="s">
        <v>14970</v>
      </c>
      <c r="Y273" s="39" t="str">
        <f>IF(OR($A273&lt;&gt;"", $G273=""),"",CONCATENATE(";",EscStr(CONCATENATE("NavNode_",getCategoryLevelAsString($B273))),";",EscStr($J273),";",IF($B273&lt;&gt;"","""MainCategoryNavNode""",EscStr(CONCATENATE("NavNode_",getSuperCategory($B273, getCategoryLevelAsNumber($B273))))),";"))</f>
        <v>;"NavNode_L2D_379661";"Torches / Workplace / Light Fixtures";"NavNode_Lighting";</v>
      </c>
      <c r="Z273" s="39" t="str">
        <f>IF(getCategoryLevelAsString($B273)="L0D_324785","",IF(G273="",CONCATENATE(";",EscStr(CONCATENATE("NavNode_",getCategoryLevelAsString($B273))),";",EscStr($J273),";"),CONCATENATE(";",EscStr(CONCATENATE("NavNode_",getCategoryLevelAsString($B273))),";",EscStr(G273),";")))</f>
        <v>;"NavNode_L2D_379661";"Taschenlampen / Arbeitsplatzleuchten / Leuchten";</v>
      </c>
      <c r="AA273" s="39" t="str">
        <f>IF(getCategoryLevelAsString($B273)="L0D_324785","",IF(H273="",CONCATENATE(";",EscStr(CONCATENATE("NavNode_",getCategoryLevelAsString($B273))),";",EscStr($J273),";"),CONCATENATE(";",EscStr(CONCATENATE("NavNode_",getCategoryLevelAsString($B273))),";",EscStr(H273),";")))</f>
        <v>;"NavNode_L2D_379661";"Lampes torches / Poste de travail / Eclairage";</v>
      </c>
      <c r="AB273" s="39" t="str">
        <f>IF(getCategoryLevelAsString($B273)="L0D_324785","",IF(I273="",CONCATENATE(";",EscStr(CONCATENATE("NavNode_",getCategoryLevelAsString($B273))),";",EscStr($J273),";"),CONCATENATE(";",EscStr(CONCATENATE("NavNode_",getCategoryLevelAsString($B273))),";",EscStr(I273),";")))</f>
        <v>;"NavNode_L2D_379661";"Torce / lampade da lavoro / lampade";</v>
      </c>
      <c r="AC273" s="39" t="str">
        <f>IF(getCategoryLevelAsString($B273)="L0D_324785","",IF(J273="",CONCATENATE(";",EscStr(CONCATENATE("NavNode_",getCategoryLevelAsString($B273))),";",EscStr($J273),";"),CONCATENATE(";",EscStr(CONCATENATE("NavNode_",getCategoryLevelAsString($B273))),";",EscStr(J273),";")))</f>
        <v>;"NavNode_L2D_379661";"Torches / Workplace / Light Fixtures";</v>
      </c>
      <c r="AD273" s="39" t="str">
        <f>IF(getCategoryLevelAsString($B273)="L0D_324785","",IF(K273="",CONCATENATE(";",EscStr(CONCATENATE("NavNode_",getCategoryLevelAsString($B273))),";",EscStr($J273),";"),CONCATENATE(";",EscStr(CONCATENATE("NavNode_",getCategoryLevelAsString($B273))),";",EscStr(K273),";")))</f>
        <v>;"NavNode_L2D_379661";"Lommelygter/arbejdsplads/lyslamper";</v>
      </c>
      <c r="AE273" s="39" t="str">
        <f>IF(getCategoryLevelAsString($B273)="L0D_324785","",IF(L273="",CONCATENATE(";",EscStr(CONCATENATE("NavNode_",getCategoryLevelAsString($B273))),";",EscStr($J273),";"),CONCATENATE(";",EscStr(CONCATENATE("NavNode_",getCategoryLevelAsString($B273))),";",EscStr(L273),";")))</f>
        <v>;"NavNode_L2D_379661";"Žibintai / darbo vietos apšvietimas / šviestuvai";</v>
      </c>
      <c r="AF273" s="39" t="str">
        <f>IF(getCategoryLevelAsString($B273)="L0D_324785","",IF(M273="",CONCATENATE(";",EscStr(CONCATENATE("NavNode_",getCategoryLevelAsString($B273))),";",EscStr($J273),";"),CONCATENATE(";",EscStr(CONCATENATE("NavNode_",getCategoryLevelAsString($B273))),";",EscStr(M273),";")))</f>
        <v>;"NavNode_L2D_379661";"Lykter/arbeidsbelysning/lysarmaturer";</v>
      </c>
      <c r="AG273" s="39" t="str">
        <f>IF(getCategoryLevelAsString($B273)="L0D_324785","",IF(N273="",CONCATENATE(";",EscStr(CONCATENATE("NavNode_",getCategoryLevelAsString($B273))),";",EscStr($J273),";"),CONCATENATE(";",EscStr(CONCATENATE("NavNode_",getCategoryLevelAsString($B273))),";",EscStr(N273),";")))</f>
        <v>;"NavNode_L2D_379661";"Ficklampor/Arbetsplats/Ljusarmaturer";</v>
      </c>
      <c r="AH273" s="39" t="str">
        <f>IF(getCategoryLevelAsString($B273)="L0D_324785","",IF(O273="",CONCATENATE(";",EscStr(CONCATENATE("NavNode_",getCategoryLevelAsString($B273))),";",EscStr($J273),";"),CONCATENATE(";",EscStr(CONCATENATE("NavNode_",getCategoryLevelAsString($B273))),";",EscStr(O273),";")))</f>
        <v>;"NavNode_L2D_379661";"Taskulambid / Töökohavalgustid / Valgustid";</v>
      </c>
      <c r="AI273" s="39" t="str">
        <f>IF(getCategoryLevelAsString($B273)="L0D_324785","",IF(P273="",CONCATENATE(";",EscStr(CONCATENATE("NavNode_",getCategoryLevelAsString($B273))),";",EscStr($J273),";"),CONCATENATE(";",EscStr(CONCATENATE("NavNode_",getCategoryLevelAsString($B273))),";",EscStr(P273),";")))</f>
        <v>;"NavNode_L2D_379661";"Valaisimet";</v>
      </c>
      <c r="AJ273" s="39" t="str">
        <f>IF(getCategoryLevelAsString($B273)="L0D_324785","",IF(Q273="",CONCATENATE(";",EscStr(CONCATENATE("NavNode_",getCategoryLevelAsString($B273))),";",EscStr($J273),";"),CONCATENATE(";",EscStr(CONCATENATE("NavNode_",getCategoryLevelAsString($B273))),";",EscStr(Q273),";")))</f>
        <v>;"NavNode_L2D_379661";"Lukturīši / Darba vieta / Lustras";</v>
      </c>
      <c r="AK273" s="39" t="str">
        <f>IF(getCategoryLevelAsString($B273)="L0D_324785","",IF(R273="",CONCATENATE(";",EscStr(CONCATENATE("NavNode_",getCategoryLevelAsString($B273))),";",EscStr($J273),";"),CONCATENATE(";",EscStr(CONCATENATE("NavNode_",getCategoryLevelAsString($B273))),";",EscStr(R273),";")))</f>
        <v>;"NavNode_L2D_379661";"Zaklampen / Werkplekverlichting / Armaturen";</v>
      </c>
      <c r="AL273" s="39" t="str">
        <f>IF(getCategoryLevelAsString($B273)="L0D_324785","",IF(S273="",CONCATENATE(";",EscStr(CONCATENATE("NavNode_",getCategoryLevelAsString($B273))),";",EscStr($J273),";"),CONCATENATE(";",EscStr(CONCATENATE("NavNode_",getCategoryLevelAsString($B273))),";",EscStr(S273),";")))</f>
        <v>;"NavNode_L2D_379661";"Latarki / Lampy robocze / Oprawy oświetleniowe";</v>
      </c>
      <c r="AM273" s="39" t="str">
        <f>IF(getCategoryLevelAsString($B273)="L0D_324785","",IF(T273="",CONCATENATE(";",EscStr(CONCATENATE("NavNode_",getCategoryLevelAsString($B273))),";",EscStr($J273),";"),CONCATENATE(";",EscStr(CONCATENATE("NavNode_",getCategoryLevelAsString($B273))),";",EscStr(T273),";")))</f>
        <v>;"NavNode_L2D_379661";"Карманные фонари / Рабочее место / Светильники";</v>
      </c>
      <c r="AN273" s="39" t="str">
        <f>IF(getCategoryLevelAsString($B273)="L0D_324785","",IF(U273="",CONCATENATE(";",EscStr(CONCATENATE("NavNode_",getCategoryLevelAsString($B273))),";",EscStr($J273),";"),CONCATENATE(";",EscStr(CONCATENATE("NavNode_",getCategoryLevelAsString($B273))),";",EscStr(U273),";")))</f>
        <v>;"NavNode_L2D_379661";"Svítilny / Pracovní lampy / Osvětlení";</v>
      </c>
      <c r="AO273" s="39" t="str">
        <f>IF(getCategoryLevelAsString($B273)="L0D_324785","",IF(V273="",CONCATENATE(";",EscStr(CONCATENATE("NavNode_",getCategoryLevelAsString($B273))),";",EscStr($J273),";"),CONCATENATE(";",EscStr(CONCATENATE("NavNode_",getCategoryLevelAsString($B273))),";",EscStr(V273),";")))</f>
        <v>;"NavNode_L2D_379661";"Lanterne / lumini pentru locul de muncă / lampi";</v>
      </c>
      <c r="AP273" s="39" t="str">
        <f>IF(getCategoryLevelAsString($B273)="L0D_324785","",IF(W273="",CONCATENATE(";",EscStr(CONCATENATE("NavNode_",getCategoryLevelAsString($B273))),";",EscStr($J273),";"),CONCATENATE(";",EscStr(CONCATENATE("NavNode_",getCategoryLevelAsString($B273))),";",EscStr(W273),";")))</f>
        <v>;"NavNode_L2D_379661";"Zseblámpák / Munkahely megvilágítások / Világítótestek";</v>
      </c>
      <c r="AQ273" s="39" t="str">
        <f>IF(getCategoryLevelAsString($B273)="L0D_324785","",IF(X273="",CONCATENATE(";",EscStr(CONCATENATE("NavNode_",getCategoryLevelAsString($B273))),";",EscStr($J273),";"),CONCATENATE(";",EscStr(CONCATENATE("NavNode_",getCategoryLevelAsString($B273))),";",EscStr(X273),";")))</f>
        <v>;"NavNode_L2D_379661";"Svietidlá / Pracovné lampy /Osvetlenie";</v>
      </c>
      <c r="AR273" s="39" t="str">
        <f>IF(OR($A273&lt;&gt;"", $G273=""),"",CONCATENATE(";",EscStr(CONCATENATE("NavEntry_",getCategoryLevelAsString($B273))),";",EscStr(CONCATENATE($J273," Navigation Entry")),";",EscStr(CONCATENATE("cat-",getCategoryLevelAsString($B273))),";",EscStr(CONCATENATE("NavNode_",getCategoryLevelAsString($B273))),";"))</f>
        <v>;"NavEntry_L2D_379661";"Torches / Workplace / Light Fixtures Navigation Entry";"cat-L2D_379661";"NavNode_L2D_379661";</v>
      </c>
    </row>
    <row r="274" spans="1:44" s="34" customFormat="1" ht="15" x14ac:dyDescent="0.25">
      <c r="A274" s="25"/>
      <c r="B274" s="5"/>
      <c r="C274" s="5"/>
      <c r="D274" s="5" t="s">
        <v>223</v>
      </c>
      <c r="E274" s="5"/>
      <c r="F274" s="5"/>
      <c r="G274" s="5" t="s">
        <v>962</v>
      </c>
      <c r="H274" s="5" t="s">
        <v>730</v>
      </c>
      <c r="I274" s="5" t="s">
        <v>708</v>
      </c>
      <c r="J274" s="5" t="s">
        <v>511</v>
      </c>
      <c r="K274" s="5" t="s">
        <v>1373</v>
      </c>
      <c r="L274" s="5" t="s">
        <v>1609</v>
      </c>
      <c r="M274" s="5" t="s">
        <v>1814</v>
      </c>
      <c r="N274" s="5" t="s">
        <v>2028</v>
      </c>
      <c r="O274" s="5" t="s">
        <v>4112</v>
      </c>
      <c r="P274" s="5" t="s">
        <v>4113</v>
      </c>
      <c r="Q274" s="5" t="s">
        <v>4114</v>
      </c>
      <c r="R274" s="5" t="s">
        <v>4115</v>
      </c>
      <c r="S274" s="5" t="s">
        <v>4116</v>
      </c>
      <c r="T274" s="5" t="s">
        <v>4117</v>
      </c>
      <c r="U274" s="5" t="s">
        <v>4118</v>
      </c>
      <c r="V274" s="5" t="s">
        <v>4119</v>
      </c>
      <c r="W274" s="5" t="s">
        <v>4120</v>
      </c>
      <c r="X274" s="5" t="s">
        <v>4118</v>
      </c>
      <c r="Y274" s="39" t="str">
        <f>IF(OR($A274&lt;&gt;"", $G274=""),"",CONCATENATE(";",EscStr(CONCATENATE("NavNode_",getCategoryLevelAsString($B274))),";",EscStr($J274),";",IF($B274&lt;&gt;"","""MainCategoryNavNode""",EscStr(CONCATENATE("NavNode_",getSuperCategory($B274, getCategoryLevelAsNumber($B274))))),";"))</f>
        <v>;"NavNode_L3D_525570";"Torches";"NavNode_L2D_379661";</v>
      </c>
      <c r="Z274" s="39" t="str">
        <f>IF(getCategoryLevelAsString($B274)="L0D_324785","",IF(G274="",CONCATENATE(";",EscStr(CONCATENATE("NavNode_",getCategoryLevelAsString($B274))),";",EscStr($J274),";"),CONCATENATE(";",EscStr(CONCATENATE("NavNode_",getCategoryLevelAsString($B274))),";",EscStr(G274),";")))</f>
        <v>;"NavNode_L3D_525570";"Taschenlampen";</v>
      </c>
      <c r="AA274" s="39" t="str">
        <f>IF(getCategoryLevelAsString($B274)="L0D_324785","",IF(H274="",CONCATENATE(";",EscStr(CONCATENATE("NavNode_",getCategoryLevelAsString($B274))),";",EscStr($J274),";"),CONCATENATE(";",EscStr(CONCATENATE("NavNode_",getCategoryLevelAsString($B274))),";",EscStr(H274),";")))</f>
        <v>;"NavNode_L3D_525570";"Lampes torches";</v>
      </c>
      <c r="AB274" s="39" t="str">
        <f>IF(getCategoryLevelAsString($B274)="L0D_324785","",IF(I274="",CONCATENATE(";",EscStr(CONCATENATE("NavNode_",getCategoryLevelAsString($B274))),";",EscStr($J274),";"),CONCATENATE(";",EscStr(CONCATENATE("NavNode_",getCategoryLevelAsString($B274))),";",EscStr(I274),";")))</f>
        <v>;"NavNode_L3D_525570";"Torce";</v>
      </c>
      <c r="AC274" s="39" t="str">
        <f>IF(getCategoryLevelAsString($B274)="L0D_324785","",IF(J274="",CONCATENATE(";",EscStr(CONCATENATE("NavNode_",getCategoryLevelAsString($B274))),";",EscStr($J274),";"),CONCATENATE(";",EscStr(CONCATENATE("NavNode_",getCategoryLevelAsString($B274))),";",EscStr(J274),";")))</f>
        <v>;"NavNode_L3D_525570";"Torches";</v>
      </c>
      <c r="AD274" s="39" t="str">
        <f>IF(getCategoryLevelAsString($B274)="L0D_324785","",IF(K274="",CONCATENATE(";",EscStr(CONCATENATE("NavNode_",getCategoryLevelAsString($B274))),";",EscStr($J274),";"),CONCATENATE(";",EscStr(CONCATENATE("NavNode_",getCategoryLevelAsString($B274))),";",EscStr(K274),";")))</f>
        <v>;"NavNode_L3D_525570";"Lygter";</v>
      </c>
      <c r="AE274" s="39" t="str">
        <f>IF(getCategoryLevelAsString($B274)="L0D_324785","",IF(L274="",CONCATENATE(";",EscStr(CONCATENATE("NavNode_",getCategoryLevelAsString($B274))),";",EscStr($J274),";"),CONCATENATE(";",EscStr(CONCATENATE("NavNode_",getCategoryLevelAsString($B274))),";",EscStr(L274),";")))</f>
        <v>;"NavNode_L3D_525570";"Žibintai";</v>
      </c>
      <c r="AF274" s="39" t="str">
        <f>IF(getCategoryLevelAsString($B274)="L0D_324785","",IF(M274="",CONCATENATE(";",EscStr(CONCATENATE("NavNode_",getCategoryLevelAsString($B274))),";",EscStr($J274),";"),CONCATENATE(";",EscStr(CONCATENATE("NavNode_",getCategoryLevelAsString($B274))),";",EscStr(M274),";")))</f>
        <v>;"NavNode_L3D_525570";"Lykter";</v>
      </c>
      <c r="AG274" s="39" t="str">
        <f>IF(getCategoryLevelAsString($B274)="L0D_324785","",IF(N274="",CONCATENATE(";",EscStr(CONCATENATE("NavNode_",getCategoryLevelAsString($B274))),";",EscStr($J274),";"),CONCATENATE(";",EscStr(CONCATENATE("NavNode_",getCategoryLevelAsString($B274))),";",EscStr(N274),";")))</f>
        <v>;"NavNode_L3D_525570";"Ficklampor";</v>
      </c>
      <c r="AH274" s="39" t="str">
        <f>IF(getCategoryLevelAsString($B274)="L0D_324785","",IF(O274="",CONCATENATE(";",EscStr(CONCATENATE("NavNode_",getCategoryLevelAsString($B274))),";",EscStr($J274),";"),CONCATENATE(";",EscStr(CONCATENATE("NavNode_",getCategoryLevelAsString($B274))),";",EscStr(O274),";")))</f>
        <v>;"NavNode_L3D_525570";"Taskulambid";</v>
      </c>
      <c r="AI274" s="39" t="str">
        <f>IF(getCategoryLevelAsString($B274)="L0D_324785","",IF(P274="",CONCATENATE(";",EscStr(CONCATENATE("NavNode_",getCategoryLevelAsString($B274))),";",EscStr($J274),";"),CONCATENATE(";",EscStr(CONCATENATE("NavNode_",getCategoryLevelAsString($B274))),";",EscStr(P274),";")))</f>
        <v>;"NavNode_L3D_525570";"Taskulamput";</v>
      </c>
      <c r="AJ274" s="39" t="str">
        <f>IF(getCategoryLevelAsString($B274)="L0D_324785","",IF(Q274="",CONCATENATE(";",EscStr(CONCATENATE("NavNode_",getCategoryLevelAsString($B274))),";",EscStr($J274),";"),CONCATENATE(";",EscStr(CONCATENATE("NavNode_",getCategoryLevelAsString($B274))),";",EscStr(Q274),";")))</f>
        <v>;"NavNode_L3D_525570";"Lukturīši";</v>
      </c>
      <c r="AK274" s="39" t="str">
        <f>IF(getCategoryLevelAsString($B274)="L0D_324785","",IF(R274="",CONCATENATE(";",EscStr(CONCATENATE("NavNode_",getCategoryLevelAsString($B274))),";",EscStr($J274),";"),CONCATENATE(";",EscStr(CONCATENATE("NavNode_",getCategoryLevelAsString($B274))),";",EscStr(R274),";")))</f>
        <v>;"NavNode_L3D_525570";"Zaklampen";</v>
      </c>
      <c r="AL274" s="39" t="str">
        <f>IF(getCategoryLevelAsString($B274)="L0D_324785","",IF(S274="",CONCATENATE(";",EscStr(CONCATENATE("NavNode_",getCategoryLevelAsString($B274))),";",EscStr($J274),";"),CONCATENATE(";",EscStr(CONCATENATE("NavNode_",getCategoryLevelAsString($B274))),";",EscStr(S274),";")))</f>
        <v>;"NavNode_L3D_525570";"Latarki";</v>
      </c>
      <c r="AM274" s="39" t="str">
        <f>IF(getCategoryLevelAsString($B274)="L0D_324785","",IF(T274="",CONCATENATE(";",EscStr(CONCATENATE("NavNode_",getCategoryLevelAsString($B274))),";",EscStr($J274),";"),CONCATENATE(";",EscStr(CONCATENATE("NavNode_",getCategoryLevelAsString($B274))),";",EscStr(T274),";")))</f>
        <v>;"NavNode_L3D_525570";"Карманные фонари";</v>
      </c>
      <c r="AN274" s="39" t="str">
        <f>IF(getCategoryLevelAsString($B274)="L0D_324785","",IF(U274="",CONCATENATE(";",EscStr(CONCATENATE("NavNode_",getCategoryLevelAsString($B274))),";",EscStr($J274),";"),CONCATENATE(";",EscStr(CONCATENATE("NavNode_",getCategoryLevelAsString($B274))),";",EscStr(U274),";")))</f>
        <v>;"NavNode_L3D_525570";"Baterky";</v>
      </c>
      <c r="AO274" s="39" t="str">
        <f>IF(getCategoryLevelAsString($B274)="L0D_324785","",IF(V274="",CONCATENATE(";",EscStr(CONCATENATE("NavNode_",getCategoryLevelAsString($B274))),";",EscStr($J274),";"),CONCATENATE(";",EscStr(CONCATENATE("NavNode_",getCategoryLevelAsString($B274))),";",EscStr(V274),";")))</f>
        <v>;"NavNode_L3D_525570";"Lanterne";</v>
      </c>
      <c r="AP274" s="39" t="str">
        <f>IF(getCategoryLevelAsString($B274)="L0D_324785","",IF(W274="",CONCATENATE(";",EscStr(CONCATENATE("NavNode_",getCategoryLevelAsString($B274))),";",EscStr($J274),";"),CONCATENATE(";",EscStr(CONCATENATE("NavNode_",getCategoryLevelAsString($B274))),";",EscStr(W274),";")))</f>
        <v>;"NavNode_L3D_525570";"Zseblámpák";</v>
      </c>
      <c r="AQ274" s="39" t="str">
        <f>IF(getCategoryLevelAsString($B274)="L0D_324785","",IF(X274="",CONCATENATE(";",EscStr(CONCATENATE("NavNode_",getCategoryLevelAsString($B274))),";",EscStr($J274),";"),CONCATENATE(";",EscStr(CONCATENATE("NavNode_",getCategoryLevelAsString($B274))),";",EscStr(X274),";")))</f>
        <v>;"NavNode_L3D_525570";"Baterky";</v>
      </c>
      <c r="AR274" s="39" t="str">
        <f>IF(OR($A274&lt;&gt;"", $G274=""),"",CONCATENATE(";",EscStr(CONCATENATE("NavEntry_",getCategoryLevelAsString($B274))),";",EscStr(CONCATENATE($J274," Navigation Entry")),";",EscStr(CONCATENATE("cat-",getCategoryLevelAsString($B274))),";",EscStr(CONCATENATE("NavNode_",getCategoryLevelAsString($B274))),";"))</f>
        <v>;"NavEntry_L3D_525570";"Torches Navigation Entry";"cat-L3D_525570";"NavNode_L3D_525570";</v>
      </c>
    </row>
    <row r="275" spans="1:44" s="34" customFormat="1" ht="15" x14ac:dyDescent="0.25">
      <c r="A275" s="25"/>
      <c r="B275" s="5"/>
      <c r="C275" s="5"/>
      <c r="D275" s="5" t="s">
        <v>222</v>
      </c>
      <c r="E275" s="5"/>
      <c r="F275" s="5"/>
      <c r="G275" s="5" t="s">
        <v>961</v>
      </c>
      <c r="H275" s="5" t="s">
        <v>731</v>
      </c>
      <c r="I275" s="5" t="s">
        <v>707</v>
      </c>
      <c r="J275" s="5" t="s">
        <v>510</v>
      </c>
      <c r="K275" s="5" t="s">
        <v>1374</v>
      </c>
      <c r="L275" s="5" t="s">
        <v>1610</v>
      </c>
      <c r="M275" s="5" t="s">
        <v>1374</v>
      </c>
      <c r="N275" s="5" t="s">
        <v>2029</v>
      </c>
      <c r="O275" s="5" t="s">
        <v>4121</v>
      </c>
      <c r="P275" s="5" t="s">
        <v>4122</v>
      </c>
      <c r="Q275" s="5" t="s">
        <v>4123</v>
      </c>
      <c r="R275" s="5" t="s">
        <v>4124</v>
      </c>
      <c r="S275" s="5" t="s">
        <v>4125</v>
      </c>
      <c r="T275" s="5" t="s">
        <v>4126</v>
      </c>
      <c r="U275" s="5" t="s">
        <v>4127</v>
      </c>
      <c r="V275" s="5" t="s">
        <v>4128</v>
      </c>
      <c r="W275" s="5" t="s">
        <v>4129</v>
      </c>
      <c r="X275" s="5" t="s">
        <v>14971</v>
      </c>
      <c r="Y275" s="39" t="str">
        <f>IF(OR($A275&lt;&gt;"", $G275=""),"",CONCATENATE(";",EscStr(CONCATENATE("NavNode_",getCategoryLevelAsString($B275))),";",EscStr($J275),";",IF($B275&lt;&gt;"","""MainCategoryNavNode""",EscStr(CONCATENATE("NavNode_",getSuperCategory($B275, getCategoryLevelAsNumber($B275))))),";"))</f>
        <v>;"NavNode_L3D_525572";"Office Lamps";"NavNode_L2D_379661";</v>
      </c>
      <c r="Z275" s="39" t="str">
        <f>IF(getCategoryLevelAsString($B275)="L0D_324785","",IF(G275="",CONCATENATE(";",EscStr(CONCATENATE("NavNode_",getCategoryLevelAsString($B275))),";",EscStr($J275),";"),CONCATENATE(";",EscStr(CONCATENATE("NavNode_",getCategoryLevelAsString($B275))),";",EscStr(G275),";")))</f>
        <v>;"NavNode_L3D_525572";"Bürolampen";</v>
      </c>
      <c r="AA275" s="39" t="str">
        <f>IF(getCategoryLevelAsString($B275)="L0D_324785","",IF(H275="",CONCATENATE(";",EscStr(CONCATENATE("NavNode_",getCategoryLevelAsString($B275))),";",EscStr($J275),";"),CONCATENATE(";",EscStr(CONCATENATE("NavNode_",getCategoryLevelAsString($B275))),";",EscStr(H275),";")))</f>
        <v>;"NavNode_L3D_525572";"Lampes de bureau";</v>
      </c>
      <c r="AB275" s="39" t="str">
        <f>IF(getCategoryLevelAsString($B275)="L0D_324785","",IF(I275="",CONCATENATE(";",EscStr(CONCATENATE("NavNode_",getCategoryLevelAsString($B275))),";",EscStr($J275),";"),CONCATENATE(";",EscStr(CONCATENATE("NavNode_",getCategoryLevelAsString($B275))),";",EscStr(I275),";")))</f>
        <v>;"NavNode_L3D_525572";"Lampade da ufficio";</v>
      </c>
      <c r="AC275" s="39" t="str">
        <f>IF(getCategoryLevelAsString($B275)="L0D_324785","",IF(J275="",CONCATENATE(";",EscStr(CONCATENATE("NavNode_",getCategoryLevelAsString($B275))),";",EscStr($J275),";"),CONCATENATE(";",EscStr(CONCATENATE("NavNode_",getCategoryLevelAsString($B275))),";",EscStr(J275),";")))</f>
        <v>;"NavNode_L3D_525572";"Office Lamps";</v>
      </c>
      <c r="AD275" s="39" t="str">
        <f>IF(getCategoryLevelAsString($B275)="L0D_324785","",IF(K275="",CONCATENATE(";",EscStr(CONCATENATE("NavNode_",getCategoryLevelAsString($B275))),";",EscStr($J275),";"),CONCATENATE(";",EscStr(CONCATENATE("NavNode_",getCategoryLevelAsString($B275))),";",EscStr(K275),";")))</f>
        <v>;"NavNode_L3D_525572";"Kontorlamper";</v>
      </c>
      <c r="AE275" s="39" t="str">
        <f>IF(getCategoryLevelAsString($B275)="L0D_324785","",IF(L275="",CONCATENATE(";",EscStr(CONCATENATE("NavNode_",getCategoryLevelAsString($B275))),";",EscStr($J275),";"),CONCATENATE(";",EscStr(CONCATENATE("NavNode_",getCategoryLevelAsString($B275))),";",EscStr(L275),";")))</f>
        <v>;"NavNode_L3D_525572";"Biuro lempos";</v>
      </c>
      <c r="AF275" s="39" t="str">
        <f>IF(getCategoryLevelAsString($B275)="L0D_324785","",IF(M275="",CONCATENATE(";",EscStr(CONCATENATE("NavNode_",getCategoryLevelAsString($B275))),";",EscStr($J275),";"),CONCATENATE(";",EscStr(CONCATENATE("NavNode_",getCategoryLevelAsString($B275))),";",EscStr(M275),";")))</f>
        <v>;"NavNode_L3D_525572";"Kontorlamper";</v>
      </c>
      <c r="AG275" s="39" t="str">
        <f>IF(getCategoryLevelAsString($B275)="L0D_324785","",IF(N275="",CONCATENATE(";",EscStr(CONCATENATE("NavNode_",getCategoryLevelAsString($B275))),";",EscStr($J275),";"),CONCATENATE(";",EscStr(CONCATENATE("NavNode_",getCategoryLevelAsString($B275))),";",EscStr(N275),";")))</f>
        <v>;"NavNode_L3D_525572";"Kontorsbelysning";</v>
      </c>
      <c r="AH275" s="39" t="str">
        <f>IF(getCategoryLevelAsString($B275)="L0D_324785","",IF(O275="",CONCATENATE(";",EscStr(CONCATENATE("NavNode_",getCategoryLevelAsString($B275))),";",EscStr($J275),";"),CONCATENATE(";",EscStr(CONCATENATE("NavNode_",getCategoryLevelAsString($B275))),";",EscStr(O275),";")))</f>
        <v>;"NavNode_L3D_525572";"Kontorivalgustid";</v>
      </c>
      <c r="AI275" s="39" t="str">
        <f>IF(getCategoryLevelAsString($B275)="L0D_324785","",IF(P275="",CONCATENATE(";",EscStr(CONCATENATE("NavNode_",getCategoryLevelAsString($B275))),";",EscStr($J275),";"),CONCATENATE(";",EscStr(CONCATENATE("NavNode_",getCategoryLevelAsString($B275))),";",EscStr(P275),";")))</f>
        <v>;"NavNode_L3D_525572";"Toimistolamput";</v>
      </c>
      <c r="AJ275" s="39" t="str">
        <f>IF(getCategoryLevelAsString($B275)="L0D_324785","",IF(Q275="",CONCATENATE(";",EscStr(CONCATENATE("NavNode_",getCategoryLevelAsString($B275))),";",EscStr($J275),";"),CONCATENATE(";",EscStr(CONCATENATE("NavNode_",getCategoryLevelAsString($B275))),";",EscStr(Q275),";")))</f>
        <v>;"NavNode_L3D_525572";"Biroja lampas";</v>
      </c>
      <c r="AK275" s="39" t="str">
        <f>IF(getCategoryLevelAsString($B275)="L0D_324785","",IF(R275="",CONCATENATE(";",EscStr(CONCATENATE("NavNode_",getCategoryLevelAsString($B275))),";",EscStr($J275),";"),CONCATENATE(";",EscStr(CONCATENATE("NavNode_",getCategoryLevelAsString($B275))),";",EscStr(R275),";")))</f>
        <v>;"NavNode_L3D_525572";"Bureaulampen";</v>
      </c>
      <c r="AL275" s="39" t="str">
        <f>IF(getCategoryLevelAsString($B275)="L0D_324785","",IF(S275="",CONCATENATE(";",EscStr(CONCATENATE("NavNode_",getCategoryLevelAsString($B275))),";",EscStr($J275),";"),CONCATENATE(";",EscStr(CONCATENATE("NavNode_",getCategoryLevelAsString($B275))),";",EscStr(S275),";")))</f>
        <v>;"NavNode_L3D_525572";"Lampy stołowe";</v>
      </c>
      <c r="AM275" s="39" t="str">
        <f>IF(getCategoryLevelAsString($B275)="L0D_324785","",IF(T275="",CONCATENATE(";",EscStr(CONCATENATE("NavNode_",getCategoryLevelAsString($B275))),";",EscStr($J275),";"),CONCATENATE(";",EscStr(CONCATENATE("NavNode_",getCategoryLevelAsString($B275))),";",EscStr(T275),";")))</f>
        <v>;"NavNode_L3D_525572";"Офисные лампы";</v>
      </c>
      <c r="AN275" s="39" t="str">
        <f>IF(getCategoryLevelAsString($B275)="L0D_324785","",IF(U275="",CONCATENATE(";",EscStr(CONCATENATE("NavNode_",getCategoryLevelAsString($B275))),";",EscStr($J275),";"),CONCATENATE(";",EscStr(CONCATENATE("NavNode_",getCategoryLevelAsString($B275))),";",EscStr(U275),";")))</f>
        <v>;"NavNode_L3D_525572";"Kancelářské lampy";</v>
      </c>
      <c r="AO275" s="39" t="str">
        <f>IF(getCategoryLevelAsString($B275)="L0D_324785","",IF(V275="",CONCATENATE(";",EscStr(CONCATENATE("NavNode_",getCategoryLevelAsString($B275))),";",EscStr($J275),";"),CONCATENATE(";",EscStr(CONCATENATE("NavNode_",getCategoryLevelAsString($B275))),";",EscStr(V275),";")))</f>
        <v>;"NavNode_L3D_525572";"Lămpi de birou";</v>
      </c>
      <c r="AP275" s="39" t="str">
        <f>IF(getCategoryLevelAsString($B275)="L0D_324785","",IF(W275="",CONCATENATE(";",EscStr(CONCATENATE("NavNode_",getCategoryLevelAsString($B275))),";",EscStr($J275),";"),CONCATENATE(";",EscStr(CONCATENATE("NavNode_",getCategoryLevelAsString($B275))),";",EscStr(W275),";")))</f>
        <v>;"NavNode_L3D_525572";"Irodai lámpák";</v>
      </c>
      <c r="AQ275" s="39" t="str">
        <f>IF(getCategoryLevelAsString($B275)="L0D_324785","",IF(X275="",CONCATENATE(";",EscStr(CONCATENATE("NavNode_",getCategoryLevelAsString($B275))),";",EscStr($J275),";"),CONCATENATE(";",EscStr(CONCATENATE("NavNode_",getCategoryLevelAsString($B275))),";",EscStr(X275),";")))</f>
        <v>;"NavNode_L3D_525572";"Kancelárske lampy";</v>
      </c>
      <c r="AR275" s="39" t="str">
        <f>IF(OR($A275&lt;&gt;"", $G275=""),"",CONCATENATE(";",EscStr(CONCATENATE("NavEntry_",getCategoryLevelAsString($B275))),";",EscStr(CONCATENATE($J275," Navigation Entry")),";",EscStr(CONCATENATE("cat-",getCategoryLevelAsString($B275))),";",EscStr(CONCATENATE("NavNode_",getCategoryLevelAsString($B275))),";"))</f>
        <v>;"NavEntry_L3D_525572";"Office Lamps Navigation Entry";"cat-L3D_525572";"NavNode_L3D_525572";</v>
      </c>
    </row>
    <row r="276" spans="1:44" s="34" customFormat="1" ht="15" x14ac:dyDescent="0.25">
      <c r="A276" s="25"/>
      <c r="B276" s="5"/>
      <c r="C276" s="5"/>
      <c r="D276" s="5" t="s">
        <v>224</v>
      </c>
      <c r="E276" s="5"/>
      <c r="F276" s="5"/>
      <c r="G276" s="5" t="s">
        <v>2219</v>
      </c>
      <c r="H276" s="5" t="s">
        <v>2220</v>
      </c>
      <c r="I276" s="5" t="s">
        <v>2221</v>
      </c>
      <c r="J276" s="5" t="s">
        <v>2222</v>
      </c>
      <c r="K276" s="5" t="s">
        <v>2223</v>
      </c>
      <c r="L276" s="5" t="s">
        <v>15206</v>
      </c>
      <c r="M276" s="5" t="s">
        <v>2225</v>
      </c>
      <c r="N276" s="5" t="s">
        <v>2226</v>
      </c>
      <c r="O276" s="5" t="s">
        <v>2227</v>
      </c>
      <c r="P276" s="5" t="s">
        <v>2228</v>
      </c>
      <c r="Q276" s="5" t="s">
        <v>2229</v>
      </c>
      <c r="R276" s="5" t="s">
        <v>2230</v>
      </c>
      <c r="S276" s="5" t="s">
        <v>2231</v>
      </c>
      <c r="T276" s="5" t="s">
        <v>2232</v>
      </c>
      <c r="U276" s="5" t="s">
        <v>2233</v>
      </c>
      <c r="V276" s="5" t="s">
        <v>2234</v>
      </c>
      <c r="W276" s="5" t="s">
        <v>2235</v>
      </c>
      <c r="X276" s="5" t="s">
        <v>14972</v>
      </c>
      <c r="Y276" s="39" t="str">
        <f>IF(OR($A276&lt;&gt;"", $G276=""),"",CONCATENATE(";",EscStr(CONCATENATE("NavNode_",getCategoryLevelAsString($B276))),";",EscStr($J276),";",IF($B276&lt;&gt;"","""MainCategoryNavNode""",EscStr(CONCATENATE("NavNode_",getSuperCategory($B276, getCategoryLevelAsNumber($B276))))),";"))</f>
        <v>;"NavNode_L3D_525571";"Lamps for Workplaces";"NavNode_L2D_379661";</v>
      </c>
      <c r="Z276" s="39" t="str">
        <f>IF(getCategoryLevelAsString($B276)="L0D_324785","",IF(G276="",CONCATENATE(";",EscStr(CONCATENATE("NavNode_",getCategoryLevelAsString($B276))),";",EscStr($J276),";"),CONCATENATE(";",EscStr(CONCATENATE("NavNode_",getCategoryLevelAsString($B276))),";",EscStr(G276),";")))</f>
        <v>;"NavNode_L3D_525571";"Leuchten für den Arbeitsplatz";</v>
      </c>
      <c r="AA276" s="39" t="str">
        <f>IF(getCategoryLevelAsString($B276)="L0D_324785","",IF(H276="",CONCATENATE(";",EscStr(CONCATENATE("NavNode_",getCategoryLevelAsString($B276))),";",EscStr($J276),";"),CONCATENATE(";",EscStr(CONCATENATE("NavNode_",getCategoryLevelAsString($B276))),";",EscStr(H276),";")))</f>
        <v>;"NavNode_L3D_525571";"Lampes pour postes de travail";</v>
      </c>
      <c r="AB276" s="39" t="str">
        <f>IF(getCategoryLevelAsString($B276)="L0D_324785","",IF(I276="",CONCATENATE(";",EscStr(CONCATENATE("NavNode_",getCategoryLevelAsString($B276))),";",EscStr($J276),";"),CONCATENATE(";",EscStr(CONCATENATE("NavNode_",getCategoryLevelAsString($B276))),";",EscStr(I276),";")))</f>
        <v>;"NavNode_L3D_525571";"Lampade per luoghi di lavoro";</v>
      </c>
      <c r="AC276" s="39" t="str">
        <f>IF(getCategoryLevelAsString($B276)="L0D_324785","",IF(J276="",CONCATENATE(";",EscStr(CONCATENATE("NavNode_",getCategoryLevelAsString($B276))),";",EscStr($J276),";"),CONCATENATE(";",EscStr(CONCATENATE("NavNode_",getCategoryLevelAsString($B276))),";",EscStr(J276),";")))</f>
        <v>;"NavNode_L3D_525571";"Lamps for Workplaces";</v>
      </c>
      <c r="AD276" s="39" t="str">
        <f>IF(getCategoryLevelAsString($B276)="L0D_324785","",IF(K276="",CONCATENATE(";",EscStr(CONCATENATE("NavNode_",getCategoryLevelAsString($B276))),";",EscStr($J276),";"),CONCATENATE(";",EscStr(CONCATENATE("NavNode_",getCategoryLevelAsString($B276))),";",EscStr(K276),";")))</f>
        <v>;"NavNode_L3D_525571";"Lamper til arbejdspladser";</v>
      </c>
      <c r="AE276" s="39" t="str">
        <f>IF(getCategoryLevelAsString($B276)="L0D_324785","",IF(L276="",CONCATENATE(";",EscStr(CONCATENATE("NavNode_",getCategoryLevelAsString($B276))),";",EscStr($J276),";"),CONCATENATE(";",EscStr(CONCATENATE("NavNode_",getCategoryLevelAsString($B276))),";",EscStr(L276),";")))</f>
        <v>;"NavNode_L3D_525571";"Darbo vietos lempos";</v>
      </c>
      <c r="AF276" s="39" t="str">
        <f>IF(getCategoryLevelAsString($B276)="L0D_324785","",IF(M276="",CONCATENATE(";",EscStr(CONCATENATE("NavNode_",getCategoryLevelAsString($B276))),";",EscStr($J276),";"),CONCATENATE(";",EscStr(CONCATENATE("NavNode_",getCategoryLevelAsString($B276))),";",EscStr(M276),";")))</f>
        <v>;"NavNode_L3D_525571";"Lamper til arbeidsplasser";</v>
      </c>
      <c r="AG276" s="39" t="str">
        <f>IF(getCategoryLevelAsString($B276)="L0D_324785","",IF(N276="",CONCATENATE(";",EscStr(CONCATENATE("NavNode_",getCategoryLevelAsString($B276))),";",EscStr($J276),";"),CONCATENATE(";",EscStr(CONCATENATE("NavNode_",getCategoryLevelAsString($B276))),";",EscStr(N276),";")))</f>
        <v>;"NavNode_L3D_525571";"Lampor för arbetsplatser";</v>
      </c>
      <c r="AH276" s="39" t="str">
        <f>IF(getCategoryLevelAsString($B276)="L0D_324785","",IF(O276="",CONCATENATE(";",EscStr(CONCATENATE("NavNode_",getCategoryLevelAsString($B276))),";",EscStr($J276),";"),CONCATENATE(";",EscStr(CONCATENATE("NavNode_",getCategoryLevelAsString($B276))),";",EscStr(O276),";")))</f>
        <v>;"NavNode_L3D_525571";"Töökoha valgustid";</v>
      </c>
      <c r="AI276" s="39" t="str">
        <f>IF(getCategoryLevelAsString($B276)="L0D_324785","",IF(P276="",CONCATENATE(";",EscStr(CONCATENATE("NavNode_",getCategoryLevelAsString($B276))),";",EscStr($J276),";"),CONCATENATE(";",EscStr(CONCATENATE("NavNode_",getCategoryLevelAsString($B276))),";",EscStr(P276),";")))</f>
        <v>;"NavNode_L3D_525571";"Lamput työpaikoille";</v>
      </c>
      <c r="AJ276" s="39" t="str">
        <f>IF(getCategoryLevelAsString($B276)="L0D_324785","",IF(Q276="",CONCATENATE(";",EscStr(CONCATENATE("NavNode_",getCategoryLevelAsString($B276))),";",EscStr($J276),";"),CONCATENATE(";",EscStr(CONCATENATE("NavNode_",getCategoryLevelAsString($B276))),";",EscStr(Q276),";")))</f>
        <v>;"NavNode_L3D_525571";"Lampas darba vietām";</v>
      </c>
      <c r="AK276" s="39" t="str">
        <f>IF(getCategoryLevelAsString($B276)="L0D_324785","",IF(R276="",CONCATENATE(";",EscStr(CONCATENATE("NavNode_",getCategoryLevelAsString($B276))),";",EscStr($J276),";"),CONCATENATE(";",EscStr(CONCATENATE("NavNode_",getCategoryLevelAsString($B276))),";",EscStr(R276),";")))</f>
        <v>;"NavNode_L3D_525571";"Werkplaatslampen";</v>
      </c>
      <c r="AL276" s="39" t="str">
        <f>IF(getCategoryLevelAsString($B276)="L0D_324785","",IF(S276="",CONCATENATE(";",EscStr(CONCATENATE("NavNode_",getCategoryLevelAsString($B276))),";",EscStr($J276),";"),CONCATENATE(";",EscStr(CONCATENATE("NavNode_",getCategoryLevelAsString($B276))),";",EscStr(S276),";")))</f>
        <v>;"NavNode_L3D_525571";"Lampy do stanowisk pracy";</v>
      </c>
      <c r="AM276" s="39" t="str">
        <f>IF(getCategoryLevelAsString($B276)="L0D_324785","",IF(T276="",CONCATENATE(";",EscStr(CONCATENATE("NavNode_",getCategoryLevelAsString($B276))),";",EscStr($J276),";"),CONCATENATE(";",EscStr(CONCATENATE("NavNode_",getCategoryLevelAsString($B276))),";",EscStr(T276),";")))</f>
        <v>;"NavNode_L3D_525571";"Лампы для рабочих мест";</v>
      </c>
      <c r="AN276" s="39" t="str">
        <f>IF(getCategoryLevelAsString($B276)="L0D_324785","",IF(U276="",CONCATENATE(";",EscStr(CONCATENATE("NavNode_",getCategoryLevelAsString($B276))),";",EscStr($J276),";"),CONCATENATE(";",EscStr(CONCATENATE("NavNode_",getCategoryLevelAsString($B276))),";",EscStr(U276),";")))</f>
        <v>;"NavNode_L3D_525571";"Pracovní osvětlení";</v>
      </c>
      <c r="AO276" s="39" t="str">
        <f>IF(getCategoryLevelAsString($B276)="L0D_324785","",IF(V276="",CONCATENATE(";",EscStr(CONCATENATE("NavNode_",getCategoryLevelAsString($B276))),";",EscStr($J276),";"),CONCATENATE(";",EscStr(CONCATENATE("NavNode_",getCategoryLevelAsString($B276))),";",EscStr(V276),";")))</f>
        <v>;"NavNode_L3D_525571";"Corpuri de iluminat pentru locuri de munca";</v>
      </c>
      <c r="AP276" s="39" t="str">
        <f>IF(getCategoryLevelAsString($B276)="L0D_324785","",IF(W276="",CONCATENATE(";",EscStr(CONCATENATE("NavNode_",getCategoryLevelAsString($B276))),";",EscStr($J276),";"),CONCATENATE(";",EscStr(CONCATENATE("NavNode_",getCategoryLevelAsString($B276))),";",EscStr(W276),";")))</f>
        <v>;"NavNode_L3D_525571";"Munkahelyi világítás";</v>
      </c>
      <c r="AQ276" s="39" t="str">
        <f>IF(getCategoryLevelAsString($B276)="L0D_324785","",IF(X276="",CONCATENATE(";",EscStr(CONCATENATE("NavNode_",getCategoryLevelAsString($B276))),";",EscStr($J276),";"),CONCATENATE(";",EscStr(CONCATENATE("NavNode_",getCategoryLevelAsString($B276))),";",EscStr(X276),";")))</f>
        <v>;"NavNode_L3D_525571";"Pracovné lampy";</v>
      </c>
      <c r="AR276" s="39" t="str">
        <f>IF(OR($A276&lt;&gt;"", $G276=""),"",CONCATENATE(";",EscStr(CONCATENATE("NavEntry_",getCategoryLevelAsString($B276))),";",EscStr(CONCATENATE($J276," Navigation Entry")),";",EscStr(CONCATENATE("cat-",getCategoryLevelAsString($B276))),";",EscStr(CONCATENATE("NavNode_",getCategoryLevelAsString($B276))),";"))</f>
        <v>;"NavEntry_L3D_525571";"Lamps for Workplaces Navigation Entry";"cat-L3D_525571";"NavNode_L3D_525571";</v>
      </c>
    </row>
    <row r="277" spans="1:44" s="34" customFormat="1" ht="15" x14ac:dyDescent="0.25">
      <c r="A277" s="25"/>
      <c r="B277" s="5"/>
      <c r="C277" s="5"/>
      <c r="D277" s="5" t="s">
        <v>732</v>
      </c>
      <c r="E277" s="5"/>
      <c r="F277" s="5"/>
      <c r="G277" s="5" t="s">
        <v>1044</v>
      </c>
      <c r="H277" s="5" t="s">
        <v>1073</v>
      </c>
      <c r="I277" s="5" t="s">
        <v>1131</v>
      </c>
      <c r="J277" s="5" t="s">
        <v>913</v>
      </c>
      <c r="K277" s="5" t="s">
        <v>1375</v>
      </c>
      <c r="L277" s="5" t="s">
        <v>1611</v>
      </c>
      <c r="M277" s="5" t="s">
        <v>1375</v>
      </c>
      <c r="N277" s="5" t="s">
        <v>2030</v>
      </c>
      <c r="O277" s="5" t="s">
        <v>4130</v>
      </c>
      <c r="P277" s="5" t="s">
        <v>4131</v>
      </c>
      <c r="Q277" s="5" t="s">
        <v>4132</v>
      </c>
      <c r="R277" s="5" t="s">
        <v>4133</v>
      </c>
      <c r="S277" s="5" t="s">
        <v>4134</v>
      </c>
      <c r="T277" s="5" t="s">
        <v>4135</v>
      </c>
      <c r="U277" s="5" t="s">
        <v>4136</v>
      </c>
      <c r="V277" s="5" t="s">
        <v>4137</v>
      </c>
      <c r="W277" s="5" t="s">
        <v>4138</v>
      </c>
      <c r="X277" s="5" t="s">
        <v>14973</v>
      </c>
      <c r="Y277" s="39" t="str">
        <f>IF(OR($A277&lt;&gt;"", $G277=""),"",CONCATENATE(";",EscStr(CONCATENATE("NavNode_",getCategoryLevelAsString($B277))),";",EscStr($J277),";",IF($B277&lt;&gt;"","""MainCategoryNavNode""",EscStr(CONCATENATE("NavNode_",getSuperCategory($B277, getCategoryLevelAsNumber($B277))))),";"))</f>
        <v>;"NavNode_L3D_531404";"Machine Lamps";"NavNode_L2D_379661";</v>
      </c>
      <c r="Z277" s="39" t="str">
        <f>IF(getCategoryLevelAsString($B277)="L0D_324785","",IF(G277="",CONCATENATE(";",EscStr(CONCATENATE("NavNode_",getCategoryLevelAsString($B277))),";",EscStr($J277),";"),CONCATENATE(";",EscStr(CONCATENATE("NavNode_",getCategoryLevelAsString($B277))),";",EscStr(G277),";")))</f>
        <v>;"NavNode_L3D_531404";"Maschinenleuchten";</v>
      </c>
      <c r="AA277" s="39" t="str">
        <f>IF(getCategoryLevelAsString($B277)="L0D_324785","",IF(H277="",CONCATENATE(";",EscStr(CONCATENATE("NavNode_",getCategoryLevelAsString($B277))),";",EscStr($J277),";"),CONCATENATE(";",EscStr(CONCATENATE("NavNode_",getCategoryLevelAsString($B277))),";",EscStr(H277),";")))</f>
        <v>;"NavNode_L3D_531404";"Eclairages de machines";</v>
      </c>
      <c r="AB277" s="39" t="str">
        <f>IF(getCategoryLevelAsString($B277)="L0D_324785","",IF(I277="",CONCATENATE(";",EscStr(CONCATENATE("NavNode_",getCategoryLevelAsString($B277))),";",EscStr($J277),";"),CONCATENATE(";",EscStr(CONCATENATE("NavNode_",getCategoryLevelAsString($B277))),";",EscStr(I277),";")))</f>
        <v>;"NavNode_L3D_531404";"Lampade per macchine";</v>
      </c>
      <c r="AC277" s="39" t="str">
        <f>IF(getCategoryLevelAsString($B277)="L0D_324785","",IF(J277="",CONCATENATE(";",EscStr(CONCATENATE("NavNode_",getCategoryLevelAsString($B277))),";",EscStr($J277),";"),CONCATENATE(";",EscStr(CONCATENATE("NavNode_",getCategoryLevelAsString($B277))),";",EscStr(J277),";")))</f>
        <v>;"NavNode_L3D_531404";"Machine Lamps";</v>
      </c>
      <c r="AD277" s="39" t="str">
        <f>IF(getCategoryLevelAsString($B277)="L0D_324785","",IF(K277="",CONCATENATE(";",EscStr(CONCATENATE("NavNode_",getCategoryLevelAsString($B277))),";",EscStr($J277),";"),CONCATENATE(";",EscStr(CONCATENATE("NavNode_",getCategoryLevelAsString($B277))),";",EscStr(K277),";")))</f>
        <v>;"NavNode_L3D_531404";"Maskinlamper";</v>
      </c>
      <c r="AE277" s="39" t="str">
        <f>IF(getCategoryLevelAsString($B277)="L0D_324785","",IF(L277="",CONCATENATE(";",EscStr(CONCATENATE("NavNode_",getCategoryLevelAsString($B277))),";",EscStr($J277),";"),CONCATENATE(";",EscStr(CONCATENATE("NavNode_",getCategoryLevelAsString($B277))),";",EscStr(L277),";")))</f>
        <v>;"NavNode_L3D_531404";"Mašinų lempos";</v>
      </c>
      <c r="AF277" s="39" t="str">
        <f>IF(getCategoryLevelAsString($B277)="L0D_324785","",IF(M277="",CONCATENATE(";",EscStr(CONCATENATE("NavNode_",getCategoryLevelAsString($B277))),";",EscStr($J277),";"),CONCATENATE(";",EscStr(CONCATENATE("NavNode_",getCategoryLevelAsString($B277))),";",EscStr(M277),";")))</f>
        <v>;"NavNode_L3D_531404";"Maskinlamper";</v>
      </c>
      <c r="AG277" s="39" t="str">
        <f>IF(getCategoryLevelAsString($B277)="L0D_324785","",IF(N277="",CONCATENATE(";",EscStr(CONCATENATE("NavNode_",getCategoryLevelAsString($B277))),";",EscStr($J277),";"),CONCATENATE(";",EscStr(CONCATENATE("NavNode_",getCategoryLevelAsString($B277))),";",EscStr(N277),";")))</f>
        <v>;"NavNode_L3D_531404";"Maskinbelysning";</v>
      </c>
      <c r="AH277" s="39" t="str">
        <f>IF(getCategoryLevelAsString($B277)="L0D_324785","",IF(O277="",CONCATENATE(";",EscStr(CONCATENATE("NavNode_",getCategoryLevelAsString($B277))),";",EscStr($J277),";"),CONCATENATE(";",EscStr(CONCATENATE("NavNode_",getCategoryLevelAsString($B277))),";",EscStr(O277),";")))</f>
        <v>;"NavNode_L3D_531404";"Tööstusvalgustid";</v>
      </c>
      <c r="AI277" s="39" t="str">
        <f>IF(getCategoryLevelAsString($B277)="L0D_324785","",IF(P277="",CONCATENATE(";",EscStr(CONCATENATE("NavNode_",getCategoryLevelAsString($B277))),";",EscStr($J277),";"),CONCATENATE(";",EscStr(CONCATENATE("NavNode_",getCategoryLevelAsString($B277))),";",EscStr(P277),";")))</f>
        <v>;"NavNode_L3D_531404";"Konevalaistus";</v>
      </c>
      <c r="AJ277" s="39" t="str">
        <f>IF(getCategoryLevelAsString($B277)="L0D_324785","",IF(Q277="",CONCATENATE(";",EscStr(CONCATENATE("NavNode_",getCategoryLevelAsString($B277))),";",EscStr($J277),";"),CONCATENATE(";",EscStr(CONCATENATE("NavNode_",getCategoryLevelAsString($B277))),";",EscStr(Q277),";")))</f>
        <v>;"NavNode_L3D_531404";"Mašīnu lampas";</v>
      </c>
      <c r="AK277" s="39" t="str">
        <f>IF(getCategoryLevelAsString($B277)="L0D_324785","",IF(R277="",CONCATENATE(";",EscStr(CONCATENATE("NavNode_",getCategoryLevelAsString($B277))),";",EscStr($J277),";"),CONCATENATE(";",EscStr(CONCATENATE("NavNode_",getCategoryLevelAsString($B277))),";",EscStr(R277),";")))</f>
        <v>;"NavNode_L3D_531404";"Machineverlichting en werkbankverlichting";</v>
      </c>
      <c r="AL277" s="39" t="str">
        <f>IF(getCategoryLevelAsString($B277)="L0D_324785","",IF(S277="",CONCATENATE(";",EscStr(CONCATENATE("NavNode_",getCategoryLevelAsString($B277))),";",EscStr($J277),";"),CONCATENATE(";",EscStr(CONCATENATE("NavNode_",getCategoryLevelAsString($B277))),";",EscStr(S277),";")))</f>
        <v>;"NavNode_L3D_531404";"Lampy do maszyn";</v>
      </c>
      <c r="AM277" s="39" t="str">
        <f>IF(getCategoryLevelAsString($B277)="L0D_324785","",IF(T277="",CONCATENATE(";",EscStr(CONCATENATE("NavNode_",getCategoryLevelAsString($B277))),";",EscStr($J277),";"),CONCATENATE(";",EscStr(CONCATENATE("NavNode_",getCategoryLevelAsString($B277))),";",EscStr(T277),";")))</f>
        <v>;"NavNode_L3D_531404";"Светодиодные светильники производств.";</v>
      </c>
      <c r="AN277" s="39" t="str">
        <f>IF(getCategoryLevelAsString($B277)="L0D_324785","",IF(U277="",CONCATENATE(";",EscStr(CONCATENATE("NavNode_",getCategoryLevelAsString($B277))),";",EscStr($J277),";"),CONCATENATE(";",EscStr(CONCATENATE("NavNode_",getCategoryLevelAsString($B277))),";",EscStr(U277),";")))</f>
        <v>;"NavNode_L3D_531404";"Osvětlení přístrojů";</v>
      </c>
      <c r="AO277" s="39" t="str">
        <f>IF(getCategoryLevelAsString($B277)="L0D_324785","",IF(V277="",CONCATENATE(";",EscStr(CONCATENATE("NavNode_",getCategoryLevelAsString($B277))),";",EscStr($J277),";"),CONCATENATE(";",EscStr(CONCATENATE("NavNode_",getCategoryLevelAsString($B277))),";",EscStr(V277),";")))</f>
        <v>;"NavNode_L3D_531404";"Lumini pentru aparate şi automate";</v>
      </c>
      <c r="AP277" s="39" t="str">
        <f>IF(getCategoryLevelAsString($B277)="L0D_324785","",IF(W277="",CONCATENATE(";",EscStr(CONCATENATE("NavNode_",getCategoryLevelAsString($B277))),";",EscStr($J277),";"),CONCATENATE(";",EscStr(CONCATENATE("NavNode_",getCategoryLevelAsString($B277))),";",EscStr(W277),";")))</f>
        <v>;"NavNode_L3D_531404";"Géplámpák";</v>
      </c>
      <c r="AQ277" s="39" t="str">
        <f>IF(getCategoryLevelAsString($B277)="L0D_324785","",IF(X277="",CONCATENATE(";",EscStr(CONCATENATE("NavNode_",getCategoryLevelAsString($B277))),";",EscStr($J277),";"),CONCATENATE(";",EscStr(CONCATENATE("NavNode_",getCategoryLevelAsString($B277))),";",EscStr(X277),";")))</f>
        <v>;"NavNode_L3D_531404";"Osvetlenie prístrojov";</v>
      </c>
      <c r="AR277" s="39" t="str">
        <f>IF(OR($A277&lt;&gt;"", $G277=""),"",CONCATENATE(";",EscStr(CONCATENATE("NavEntry_",getCategoryLevelAsString($B277))),";",EscStr(CONCATENATE($J277," Navigation Entry")),";",EscStr(CONCATENATE("cat-",getCategoryLevelAsString($B277))),";",EscStr(CONCATENATE("NavNode_",getCategoryLevelAsString($B277))),";"))</f>
        <v>;"NavEntry_L3D_531404";"Machine Lamps Navigation Entry";"cat-L3D_531404";"NavNode_L3D_531404";</v>
      </c>
    </row>
    <row r="278" spans="1:44" s="34" customFormat="1" ht="15" x14ac:dyDescent="0.25">
      <c r="A278" s="25"/>
      <c r="B278" s="5"/>
      <c r="C278" s="5"/>
      <c r="D278" s="5" t="s">
        <v>733</v>
      </c>
      <c r="E278" s="5"/>
      <c r="F278" s="5"/>
      <c r="G278" s="5" t="s">
        <v>2236</v>
      </c>
      <c r="H278" s="5" t="s">
        <v>2237</v>
      </c>
      <c r="I278" s="5" t="s">
        <v>2238</v>
      </c>
      <c r="J278" s="5" t="s">
        <v>2239</v>
      </c>
      <c r="K278" s="5" t="s">
        <v>2240</v>
      </c>
      <c r="L278" s="5" t="s">
        <v>15207</v>
      </c>
      <c r="M278" s="5" t="s">
        <v>2240</v>
      </c>
      <c r="N278" s="5" t="s">
        <v>2242</v>
      </c>
      <c r="O278" s="5" t="s">
        <v>2243</v>
      </c>
      <c r="P278" s="5" t="s">
        <v>2244</v>
      </c>
      <c r="Q278" s="5" t="s">
        <v>2245</v>
      </c>
      <c r="R278" s="5" t="s">
        <v>2246</v>
      </c>
      <c r="S278" s="5" t="s">
        <v>2247</v>
      </c>
      <c r="T278" s="5" t="s">
        <v>2248</v>
      </c>
      <c r="U278" s="5" t="s">
        <v>2249</v>
      </c>
      <c r="V278" s="5" t="s">
        <v>2250</v>
      </c>
      <c r="W278" s="5" t="s">
        <v>2251</v>
      </c>
      <c r="X278" s="5" t="s">
        <v>14974</v>
      </c>
      <c r="Y278" s="39" t="str">
        <f>IF(OR($A278&lt;&gt;"", $G278=""),"",CONCATENATE(";",EscStr(CONCATENATE("NavNode_",getCategoryLevelAsString($B278))),";",EscStr($J278),";",IF($B278&lt;&gt;"","""MainCategoryNavNode""",EscStr(CONCATENATE("NavNode_",getSuperCategory($B278, getCategoryLevelAsNumber($B278))))),";"))</f>
        <v>;"NavNode_L3D_531406";"Light Fixtures";"NavNode_L2D_379661";</v>
      </c>
      <c r="Z278" s="39" t="str">
        <f>IF(getCategoryLevelAsString($B278)="L0D_324785","",IF(G278="",CONCATENATE(";",EscStr(CONCATENATE("NavNode_",getCategoryLevelAsString($B278))),";",EscStr($J278),";"),CONCATENATE(";",EscStr(CONCATENATE("NavNode_",getCategoryLevelAsString($B278))),";",EscStr(G278),";")))</f>
        <v>;"NavNode_L3D_531406";"Leuchten für Wand und Decke";</v>
      </c>
      <c r="AA278" s="39" t="str">
        <f>IF(getCategoryLevelAsString($B278)="L0D_324785","",IF(H278="",CONCATENATE(";",EscStr(CONCATENATE("NavNode_",getCategoryLevelAsString($B278))),";",EscStr($J278),";"),CONCATENATE(";",EscStr(CONCATENATE("NavNode_",getCategoryLevelAsString($B278))),";",EscStr(H278),";")))</f>
        <v>;"NavNode_L3D_531406";"Eclairage";</v>
      </c>
      <c r="AB278" s="39" t="str">
        <f>IF(getCategoryLevelAsString($B278)="L0D_324785","",IF(I278="",CONCATENATE(";",EscStr(CONCATENATE("NavNode_",getCategoryLevelAsString($B278))),";",EscStr($J278),";"),CONCATENATE(";",EscStr(CONCATENATE("NavNode_",getCategoryLevelAsString($B278))),";",EscStr(I278),";")))</f>
        <v>;"NavNode_L3D_531406";"Lampade fisse";</v>
      </c>
      <c r="AC278" s="39" t="str">
        <f>IF(getCategoryLevelAsString($B278)="L0D_324785","",IF(J278="",CONCATENATE(";",EscStr(CONCATENATE("NavNode_",getCategoryLevelAsString($B278))),";",EscStr($J278),";"),CONCATENATE(";",EscStr(CONCATENATE("NavNode_",getCategoryLevelAsString($B278))),";",EscStr(J278),";")))</f>
        <v>;"NavNode_L3D_531406";"Light Fixtures";</v>
      </c>
      <c r="AD278" s="39" t="str">
        <f>IF(getCategoryLevelAsString($B278)="L0D_324785","",IF(K278="",CONCATENATE(";",EscStr(CONCATENATE("NavNode_",getCategoryLevelAsString($B278))),";",EscStr($J278),";"),CONCATENATE(";",EscStr(CONCATENATE("NavNode_",getCategoryLevelAsString($B278))),";",EscStr(K278),";")))</f>
        <v>;"NavNode_L3D_531406";"Lysarmaturer";</v>
      </c>
      <c r="AE278" s="39" t="str">
        <f>IF(getCategoryLevelAsString($B278)="L0D_324785","",IF(L278="",CONCATENATE(";",EscStr(CONCATENATE("NavNode_",getCategoryLevelAsString($B278))),";",EscStr($J278),";"),CONCATENATE(";",EscStr(CONCATENATE("NavNode_",getCategoryLevelAsString($B278))),";",EscStr(L278),";")))</f>
        <v>;"NavNode_L3D_531406";"Sienų ir lubų apšvietimo įranga";</v>
      </c>
      <c r="AF278" s="39" t="str">
        <f>IF(getCategoryLevelAsString($B278)="L0D_324785","",IF(M278="",CONCATENATE(";",EscStr(CONCATENATE("NavNode_",getCategoryLevelAsString($B278))),";",EscStr($J278),";"),CONCATENATE(";",EscStr(CONCATENATE("NavNode_",getCategoryLevelAsString($B278))),";",EscStr(M278),";")))</f>
        <v>;"NavNode_L3D_531406";"Lysarmaturer";</v>
      </c>
      <c r="AG278" s="39" t="str">
        <f>IF(getCategoryLevelAsString($B278)="L0D_324785","",IF(N278="",CONCATENATE(";",EscStr(CONCATENATE("NavNode_",getCategoryLevelAsString($B278))),";",EscStr($J278),";"),CONCATENATE(";",EscStr(CONCATENATE("NavNode_",getCategoryLevelAsString($B278))),";",EscStr(N278),";")))</f>
        <v>;"NavNode_L3D_531406";"Ljusarmaturer";</v>
      </c>
      <c r="AH278" s="39" t="str">
        <f>IF(getCategoryLevelAsString($B278)="L0D_324785","",IF(O278="",CONCATENATE(";",EscStr(CONCATENATE("NavNode_",getCategoryLevelAsString($B278))),";",EscStr($J278),";"),CONCATENATE(";",EscStr(CONCATENATE("NavNode_",getCategoryLevelAsString($B278))),";",EscStr(O278),";")))</f>
        <v>;"NavNode_L3D_531406";"Valgusti alused";</v>
      </c>
      <c r="AI278" s="39" t="str">
        <f>IF(getCategoryLevelAsString($B278)="L0D_324785","",IF(P278="",CONCATENATE(";",EscStr(CONCATENATE("NavNode_",getCategoryLevelAsString($B278))),";",EscStr($J278),";"),CONCATENATE(";",EscStr(CONCATENATE("NavNode_",getCategoryLevelAsString($B278))),";",EscStr(P278),";")))</f>
        <v>;"NavNode_L3D_531406";"Lamput";</v>
      </c>
      <c r="AJ278" s="39" t="str">
        <f>IF(getCategoryLevelAsString($B278)="L0D_324785","",IF(Q278="",CONCATENATE(";",EscStr(CONCATENATE("NavNode_",getCategoryLevelAsString($B278))),";",EscStr($J278),";"),CONCATENATE(";",EscStr(CONCATENATE("NavNode_",getCategoryLevelAsString($B278))),";",EscStr(Q278),";")))</f>
        <v>;"NavNode_L3D_531406";"Apgaismojuma instalācijas";</v>
      </c>
      <c r="AK278" s="39" t="str">
        <f>IF(getCategoryLevelAsString($B278)="L0D_324785","",IF(R278="",CONCATENATE(";",EscStr(CONCATENATE("NavNode_",getCategoryLevelAsString($B278))),";",EscStr($J278),";"),CONCATENATE(";",EscStr(CONCATENATE("NavNode_",getCategoryLevelAsString($B278))),";",EscStr(R278),";")))</f>
        <v>;"NavNode_L3D_531406";"Armaturen";</v>
      </c>
      <c r="AL278" s="39" t="str">
        <f>IF(getCategoryLevelAsString($B278)="L0D_324785","",IF(S278="",CONCATENATE(";",EscStr(CONCATENATE("NavNode_",getCategoryLevelAsString($B278))),";",EscStr($J278),";"),CONCATENATE(";",EscStr(CONCATENATE("NavNode_",getCategoryLevelAsString($B278))),";",EscStr(S278),";")))</f>
        <v>;"NavNode_L3D_531406";"Oprawy oświetleniowe";</v>
      </c>
      <c r="AM278" s="39" t="str">
        <f>IF(getCategoryLevelAsString($B278)="L0D_324785","",IF(T278="",CONCATENATE(";",EscStr(CONCATENATE("NavNode_",getCategoryLevelAsString($B278))),";",EscStr($J278),";"),CONCATENATE(";",EscStr(CONCATENATE("NavNode_",getCategoryLevelAsString($B278))),";",EscStr(T278),";")))</f>
        <v>;"NavNode_L3D_531406";"Осветительная арматура";</v>
      </c>
      <c r="AN278" s="39" t="str">
        <f>IF(getCategoryLevelAsString($B278)="L0D_324785","",IF(U278="",CONCATENATE(";",EscStr(CONCATENATE("NavNode_",getCategoryLevelAsString($B278))),";",EscStr($J278),";"),CONCATENATE(";",EscStr(CONCATENATE("NavNode_",getCategoryLevelAsString($B278))),";",EscStr(U278),";")))</f>
        <v>;"NavNode_L3D_531406";"Svítidla";</v>
      </c>
      <c r="AO278" s="39" t="str">
        <f>IF(getCategoryLevelAsString($B278)="L0D_324785","",IF(V278="",CONCATENATE(";",EscStr(CONCATENATE("NavNode_",getCategoryLevelAsString($B278))),";",EscStr($J278),";"),CONCATENATE(";",EscStr(CONCATENATE("NavNode_",getCategoryLevelAsString($B278))),";",EscStr(V278),";")))</f>
        <v>;"NavNode_L3D_531406";"Echipamente de iluminare";</v>
      </c>
      <c r="AP278" s="39" t="str">
        <f>IF(getCategoryLevelAsString($B278)="L0D_324785","",IF(W278="",CONCATENATE(";",EscStr(CONCATENATE("NavNode_",getCategoryLevelAsString($B278))),";",EscStr($J278),";"),CONCATENATE(";",EscStr(CONCATENATE("NavNode_",getCategoryLevelAsString($B278))),";",EscStr(W278),";")))</f>
        <v>;"NavNode_L3D_531406";"Világítótestek";</v>
      </c>
      <c r="AQ278" s="39" t="str">
        <f>IF(getCategoryLevelAsString($B278)="L0D_324785","",IF(X278="",CONCATENATE(";",EscStr(CONCATENATE("NavNode_",getCategoryLevelAsString($B278))),";",EscStr($J278),";"),CONCATENATE(";",EscStr(CONCATENATE("NavNode_",getCategoryLevelAsString($B278))),";",EscStr(X278),";")))</f>
        <v>;"NavNode_L3D_531406";"Nástenné a stropné svietidlá";</v>
      </c>
      <c r="AR278" s="39" t="str">
        <f>IF(OR($A278&lt;&gt;"", $G278=""),"",CONCATENATE(";",EscStr(CONCATENATE("NavEntry_",getCategoryLevelAsString($B278))),";",EscStr(CONCATENATE($J278," Navigation Entry")),";",EscStr(CONCATENATE("cat-",getCategoryLevelAsString($B278))),";",EscStr(CONCATENATE("NavNode_",getCategoryLevelAsString($B278))),";"))</f>
        <v>;"NavEntry_L3D_531406";"Light Fixtures Navigation Entry";"cat-L3D_531406";"NavNode_L3D_531406";</v>
      </c>
    </row>
    <row r="279" spans="1:44" s="34" customFormat="1" ht="15" x14ac:dyDescent="0.25">
      <c r="A279" s="25"/>
      <c r="B279" s="5"/>
      <c r="C279" s="5"/>
      <c r="D279" s="5" t="s">
        <v>734</v>
      </c>
      <c r="E279" s="5"/>
      <c r="F279" s="5"/>
      <c r="G279" s="5" t="s">
        <v>1045</v>
      </c>
      <c r="H279" s="5" t="s">
        <v>1074</v>
      </c>
      <c r="I279" s="5" t="s">
        <v>1132</v>
      </c>
      <c r="J279" s="5" t="s">
        <v>914</v>
      </c>
      <c r="K279" s="5" t="s">
        <v>1376</v>
      </c>
      <c r="L279" s="5" t="s">
        <v>1612</v>
      </c>
      <c r="M279" s="5" t="s">
        <v>1815</v>
      </c>
      <c r="N279" s="5" t="s">
        <v>2031</v>
      </c>
      <c r="O279" s="5" t="s">
        <v>4139</v>
      </c>
      <c r="P279" s="5" t="s">
        <v>4140</v>
      </c>
      <c r="Q279" s="5" t="s">
        <v>4141</v>
      </c>
      <c r="R279" s="5" t="s">
        <v>4142</v>
      </c>
      <c r="S279" s="5" t="s">
        <v>4143</v>
      </c>
      <c r="T279" s="5" t="s">
        <v>4144</v>
      </c>
      <c r="U279" s="5" t="s">
        <v>4145</v>
      </c>
      <c r="V279" s="5" t="s">
        <v>4146</v>
      </c>
      <c r="W279" s="5" t="s">
        <v>4147</v>
      </c>
      <c r="X279" s="5" t="s">
        <v>14975</v>
      </c>
      <c r="Y279" s="39" t="str">
        <f>IF(OR($A279&lt;&gt;"", $G279=""),"",CONCATENATE(";",EscStr(CONCATENATE("NavNode_",getCategoryLevelAsString($B279))),";",EscStr($J279),";",IF($B279&lt;&gt;"","""MainCategoryNavNode""",EscStr(CONCATENATE("NavNode_",getSuperCategory($B279, getCategoryLevelAsNumber($B279))))),";"))</f>
        <v>;"NavNode_L3D_531408";"Exterior Lights";"NavNode_L2D_379661";</v>
      </c>
      <c r="Z279" s="39" t="str">
        <f>IF(getCategoryLevelAsString($B279)="L0D_324785","",IF(G279="",CONCATENATE(";",EscStr(CONCATENATE("NavNode_",getCategoryLevelAsString($B279))),";",EscStr($J279),";"),CONCATENATE(";",EscStr(CONCATENATE("NavNode_",getCategoryLevelAsString($B279))),";",EscStr(G279),";")))</f>
        <v>;"NavNode_L3D_531408";"Aussenleuchten";</v>
      </c>
      <c r="AA279" s="39" t="str">
        <f>IF(getCategoryLevelAsString($B279)="L0D_324785","",IF(H279="",CONCATENATE(";",EscStr(CONCATENATE("NavNode_",getCategoryLevelAsString($B279))),";",EscStr($J279),";"),CONCATENATE(";",EscStr(CONCATENATE("NavNode_",getCategoryLevelAsString($B279))),";",EscStr(H279),";")))</f>
        <v>;"NavNode_L3D_531408";"Lampes extérieures";</v>
      </c>
      <c r="AB279" s="39" t="str">
        <f>IF(getCategoryLevelAsString($B279)="L0D_324785","",IF(I279="",CONCATENATE(";",EscStr(CONCATENATE("NavNode_",getCategoryLevelAsString($B279))),";",EscStr($J279),";"),CONCATENATE(";",EscStr(CONCATENATE("NavNode_",getCategoryLevelAsString($B279))),";",EscStr(I279),";")))</f>
        <v>;"NavNode_L3D_531408";"Lampade esterne";</v>
      </c>
      <c r="AC279" s="39" t="str">
        <f>IF(getCategoryLevelAsString($B279)="L0D_324785","",IF(J279="",CONCATENATE(";",EscStr(CONCATENATE("NavNode_",getCategoryLevelAsString($B279))),";",EscStr($J279),";"),CONCATENATE(";",EscStr(CONCATENATE("NavNode_",getCategoryLevelAsString($B279))),";",EscStr(J279),";")))</f>
        <v>;"NavNode_L3D_531408";"Exterior Lights";</v>
      </c>
      <c r="AD279" s="39" t="str">
        <f>IF(getCategoryLevelAsString($B279)="L0D_324785","",IF(K279="",CONCATENATE(";",EscStr(CONCATENATE("NavNode_",getCategoryLevelAsString($B279))),";",EscStr($J279),";"),CONCATENATE(";",EscStr(CONCATENATE("NavNode_",getCategoryLevelAsString($B279))),";",EscStr(K279),";")))</f>
        <v>;"NavNode_L3D_531408";"Udelygter";</v>
      </c>
      <c r="AE279" s="39" t="str">
        <f>IF(getCategoryLevelAsString($B279)="L0D_324785","",IF(L279="",CONCATENATE(";",EscStr(CONCATENATE("NavNode_",getCategoryLevelAsString($B279))),";",EscStr($J279),";"),CONCATENATE(";",EscStr(CONCATENATE("NavNode_",getCategoryLevelAsString($B279))),";",EscStr(L279),";")))</f>
        <v>;"NavNode_L3D_531408";"Lauko apšvietimas";</v>
      </c>
      <c r="AF279" s="39" t="str">
        <f>IF(getCategoryLevelAsString($B279)="L0D_324785","",IF(M279="",CONCATENATE(";",EscStr(CONCATENATE("NavNode_",getCategoryLevelAsString($B279))),";",EscStr($J279),";"),CONCATENATE(";",EscStr(CONCATENATE("NavNode_",getCategoryLevelAsString($B279))),";",EscStr(M279),";")))</f>
        <v>;"NavNode_L3D_531408";"Utendørslamper";</v>
      </c>
      <c r="AG279" s="39" t="str">
        <f>IF(getCategoryLevelAsString($B279)="L0D_324785","",IF(N279="",CONCATENATE(";",EscStr(CONCATENATE("NavNode_",getCategoryLevelAsString($B279))),";",EscStr($J279),";"),CONCATENATE(";",EscStr(CONCATENATE("NavNode_",getCategoryLevelAsString($B279))),";",EscStr(N279),";")))</f>
        <v>;"NavNode_L3D_531408";"Utomhusbelysning";</v>
      </c>
      <c r="AH279" s="39" t="str">
        <f>IF(getCategoryLevelAsString($B279)="L0D_324785","",IF(O279="",CONCATENATE(";",EscStr(CONCATENATE("NavNode_",getCategoryLevelAsString($B279))),";",EscStr($J279),";"),CONCATENATE(";",EscStr(CONCATENATE("NavNode_",getCategoryLevelAsString($B279))),";",EscStr(O279),";")))</f>
        <v>;"NavNode_L3D_531408";"Välisvalgustid";</v>
      </c>
      <c r="AI279" s="39" t="str">
        <f>IF(getCategoryLevelAsString($B279)="L0D_324785","",IF(P279="",CONCATENATE(";",EscStr(CONCATENATE("NavNode_",getCategoryLevelAsString($B279))),";",EscStr($J279),";"),CONCATENATE(";",EscStr(CONCATENATE("NavNode_",getCategoryLevelAsString($B279))),";",EscStr(P279),";")))</f>
        <v>;"NavNode_L3D_531408";"Ulkovalaistus";</v>
      </c>
      <c r="AJ279" s="39" t="str">
        <f>IF(getCategoryLevelAsString($B279)="L0D_324785","",IF(Q279="",CONCATENATE(";",EscStr(CONCATENATE("NavNode_",getCategoryLevelAsString($B279))),";",EscStr($J279),";"),CONCATENATE(";",EscStr(CONCATENATE("NavNode_",getCategoryLevelAsString($B279))),";",EscStr(Q279),";")))</f>
        <v>;"NavNode_L3D_531408";"Ārējais apgaismojums";</v>
      </c>
      <c r="AK279" s="39" t="str">
        <f>IF(getCategoryLevelAsString($B279)="L0D_324785","",IF(R279="",CONCATENATE(";",EscStr(CONCATENATE("NavNode_",getCategoryLevelAsString($B279))),";",EscStr($J279),";"),CONCATENATE(";",EscStr(CONCATENATE("NavNode_",getCategoryLevelAsString($B279))),";",EscStr(R279),";")))</f>
        <v>;"NavNode_L3D_531408";"Buitenverlichting";</v>
      </c>
      <c r="AL279" s="39" t="str">
        <f>IF(getCategoryLevelAsString($B279)="L0D_324785","",IF(S279="",CONCATENATE(";",EscStr(CONCATENATE("NavNode_",getCategoryLevelAsString($B279))),";",EscStr($J279),";"),CONCATENATE(";",EscStr(CONCATENATE("NavNode_",getCategoryLevelAsString($B279))),";",EscStr(S279),";")))</f>
        <v>;"NavNode_L3D_531408";"Oprawy oświetleniowe zewnętrzne";</v>
      </c>
      <c r="AM279" s="39" t="str">
        <f>IF(getCategoryLevelAsString($B279)="L0D_324785","",IF(T279="",CONCATENATE(";",EscStr(CONCATENATE("NavNode_",getCategoryLevelAsString($B279))),";",EscStr($J279),";"),CONCATENATE(";",EscStr(CONCATENATE("NavNode_",getCategoryLevelAsString($B279))),";",EscStr(T279),";")))</f>
        <v>;"NavNode_L3D_531408";"Внешние осветительные приборы";</v>
      </c>
      <c r="AN279" s="39" t="str">
        <f>IF(getCategoryLevelAsString($B279)="L0D_324785","",IF(U279="",CONCATENATE(";",EscStr(CONCATENATE("NavNode_",getCategoryLevelAsString($B279))),";",EscStr($J279),";"),CONCATENATE(";",EscStr(CONCATENATE("NavNode_",getCategoryLevelAsString($B279))),";",EscStr(U279),";")))</f>
        <v>;"NavNode_L3D_531408";"Venkovní světla";</v>
      </c>
      <c r="AO279" s="39" t="str">
        <f>IF(getCategoryLevelAsString($B279)="L0D_324785","",IF(V279="",CONCATENATE(";",EscStr(CONCATENATE("NavNode_",getCategoryLevelAsString($B279))),";",EscStr($J279),";"),CONCATENATE(";",EscStr(CONCATENATE("NavNode_",getCategoryLevelAsString($B279))),";",EscStr(V279),";")))</f>
        <v>;"NavNode_L3D_531408";"Iluminat exterior";</v>
      </c>
      <c r="AP279" s="39" t="str">
        <f>IF(getCategoryLevelAsString($B279)="L0D_324785","",IF(W279="",CONCATENATE(";",EscStr(CONCATENATE("NavNode_",getCategoryLevelAsString($B279))),";",EscStr($J279),";"),CONCATENATE(";",EscStr(CONCATENATE("NavNode_",getCategoryLevelAsString($B279))),";",EscStr(W279),";")))</f>
        <v>;"NavNode_L3D_531408";"Kültéri világítás";</v>
      </c>
      <c r="AQ279" s="39" t="str">
        <f>IF(getCategoryLevelAsString($B279)="L0D_324785","",IF(X279="",CONCATENATE(";",EscStr(CONCATENATE("NavNode_",getCategoryLevelAsString($B279))),";",EscStr($J279),";"),CONCATENATE(";",EscStr(CONCATENATE("NavNode_",getCategoryLevelAsString($B279))),";",EscStr(X279),";")))</f>
        <v>;"NavNode_L3D_531408";"Vonkajšie svetlá";</v>
      </c>
      <c r="AR279" s="39" t="str">
        <f>IF(OR($A279&lt;&gt;"", $G279=""),"",CONCATENATE(";",EscStr(CONCATENATE("NavEntry_",getCategoryLevelAsString($B279))),";",EscStr(CONCATENATE($J279," Navigation Entry")),";",EscStr(CONCATENATE("cat-",getCategoryLevelAsString($B279))),";",EscStr(CONCATENATE("NavNode_",getCategoryLevelAsString($B279))),";"))</f>
        <v>;"NavEntry_L3D_531408";"Exterior Lights Navigation Entry";"cat-L3D_531408";"NavNode_L3D_531408";</v>
      </c>
    </row>
    <row r="280" spans="1:44" s="44" customFormat="1" ht="15" x14ac:dyDescent="0.25">
      <c r="A280" s="32"/>
      <c r="B280" s="29" t="s">
        <v>11145</v>
      </c>
      <c r="C280" s="37"/>
      <c r="D280" s="38"/>
      <c r="E280" s="29"/>
      <c r="F280" s="29"/>
      <c r="G280" s="31" t="s">
        <v>15349</v>
      </c>
      <c r="H280" s="31" t="s">
        <v>15350</v>
      </c>
      <c r="I280" s="31" t="s">
        <v>15351</v>
      </c>
      <c r="J280" s="31" t="s">
        <v>11145</v>
      </c>
      <c r="K280" s="31" t="s">
        <v>15352</v>
      </c>
      <c r="L280" s="28" t="s">
        <v>15353</v>
      </c>
      <c r="M280" s="31" t="s">
        <v>15354</v>
      </c>
      <c r="N280" s="31" t="s">
        <v>15355</v>
      </c>
      <c r="O280" s="31" t="s">
        <v>15356</v>
      </c>
      <c r="P280" s="31" t="s">
        <v>15357</v>
      </c>
      <c r="Q280" s="31" t="s">
        <v>15358</v>
      </c>
      <c r="R280" s="31" t="s">
        <v>15359</v>
      </c>
      <c r="S280" s="31" t="s">
        <v>15360</v>
      </c>
      <c r="T280" s="31" t="s">
        <v>15361</v>
      </c>
      <c r="U280" s="31" t="s">
        <v>15362</v>
      </c>
      <c r="V280" s="31" t="s">
        <v>15363</v>
      </c>
      <c r="W280" s="31" t="s">
        <v>15364</v>
      </c>
      <c r="X280" s="28" t="s">
        <v>15365</v>
      </c>
      <c r="Y280" s="39" t="str">
        <f>IF(OR($A280&lt;&gt;"", $G280=""),"",CONCATENATE(";",EscStr(CONCATENATE("NavNode_",getCategoryLevelAsString($B280))),";",EscStr($J280),";",IF($B280&lt;&gt;"","""MainCategoryNavNode""",EscStr(CONCATENATE("NavNode_",getSuperCategory($B280, getCategoryLevelAsNumber($B280))))),";"))</f>
        <v>;"NavNode_Tools / Soldering";"Tools / Soldering";"MainCategoryNavNode";</v>
      </c>
      <c r="Z280" s="39" t="str">
        <f>IF(getCategoryLevelAsString($B280)="L0D_324785","",IF(G280="",CONCATENATE(";",EscStr(CONCATENATE("NavNode_",getCategoryLevelAsString($B280))),";",EscStr($J280),";"),CONCATENATE(";",EscStr(CONCATENATE("NavNode_",getCategoryLevelAsString($B280))),";",EscStr(G280),";")))</f>
        <v>;"NavNode_Tools / Soldering";"Werkzeuge / Löttechnik";</v>
      </c>
      <c r="AA280" s="39" t="str">
        <f>IF(getCategoryLevelAsString($B280)="L0D_324785","",IF(H280="",CONCATENATE(";",EscStr(CONCATENATE("NavNode_",getCategoryLevelAsString($B280))),";",EscStr($J280),";"),CONCATENATE(";",EscStr(CONCATENATE("NavNode_",getCategoryLevelAsString($B280))),";",EscStr(H280),";")))</f>
        <v>;"NavNode_Tools / Soldering";"Outils / Soudage";</v>
      </c>
      <c r="AB280" s="39" t="str">
        <f>IF(getCategoryLevelAsString($B280)="L0D_324785","",IF(I280="",CONCATENATE(";",EscStr(CONCATENATE("NavNode_",getCategoryLevelAsString($B280))),";",EscStr($J280),";"),CONCATENATE(";",EscStr(CONCATENATE("NavNode_",getCategoryLevelAsString($B280))),";",EscStr(I280),";")))</f>
        <v>;"NavNode_Tools / Soldering";"Utensileria / Saldatura";</v>
      </c>
      <c r="AC280" s="39" t="str">
        <f>IF(getCategoryLevelAsString($B280)="L0D_324785","",IF(J280="",CONCATENATE(";",EscStr(CONCATENATE("NavNode_",getCategoryLevelAsString($B280))),";",EscStr($J280),";"),CONCATENATE(";",EscStr(CONCATENATE("NavNode_",getCategoryLevelAsString($B280))),";",EscStr(J280),";")))</f>
        <v>;"NavNode_Tools / Soldering";"Tools / Soldering";</v>
      </c>
      <c r="AD280" s="39" t="str">
        <f>IF(getCategoryLevelAsString($B280)="L0D_324785","",IF(K280="",CONCATENATE(";",EscStr(CONCATENATE("NavNode_",getCategoryLevelAsString($B280))),";",EscStr($J280),";"),CONCATENATE(";",EscStr(CONCATENATE("NavNode_",getCategoryLevelAsString($B280))),";",EscStr(K280),";")))</f>
        <v>;"NavNode_Tools / Soldering";"Værktøj / Loddeteknik";</v>
      </c>
      <c r="AE280" s="39" t="str">
        <f>IF(getCategoryLevelAsString($B280)="L0D_324785","",IF(L280="",CONCATENATE(";",EscStr(CONCATENATE("NavNode_",getCategoryLevelAsString($B280))),";",EscStr($J280),";"),CONCATENATE(";",EscStr(CONCATENATE("NavNode_",getCategoryLevelAsString($B280))),";",EscStr(L280),";")))</f>
        <v>;"NavNode_Tools / Soldering";"Įrankiai / Litavimas";</v>
      </c>
      <c r="AF280" s="39" t="str">
        <f>IF(getCategoryLevelAsString($B280)="L0D_324785","",IF(M280="",CONCATENATE(";",EscStr(CONCATENATE("NavNode_",getCategoryLevelAsString($B280))),";",EscStr($J280),";"),CONCATENATE(";",EscStr(CONCATENATE("NavNode_",getCategoryLevelAsString($B280))),";",EscStr(M280),";")))</f>
        <v>;"NavNode_Tools / Soldering";"Verktøy / Lodding";</v>
      </c>
      <c r="AG280" s="39" t="str">
        <f>IF(getCategoryLevelAsString($B280)="L0D_324785","",IF(N280="",CONCATENATE(";",EscStr(CONCATENATE("NavNode_",getCategoryLevelAsString($B280))),";",EscStr($J280),";"),CONCATENATE(";",EscStr(CONCATENATE("NavNode_",getCategoryLevelAsString($B280))),";",EscStr(N280),";")))</f>
        <v>;"NavNode_Tools / Soldering";"Verktyg / Lödning";</v>
      </c>
      <c r="AH280" s="39" t="str">
        <f>IF(getCategoryLevelAsString($B280)="L0D_324785","",IF(O280="",CONCATENATE(";",EscStr(CONCATENATE("NavNode_",getCategoryLevelAsString($B280))),";",EscStr($J280),";"),CONCATENATE(";",EscStr(CONCATENATE("NavNode_",getCategoryLevelAsString($B280))),";",EscStr(O280),";")))</f>
        <v>;"NavNode_Tools / Soldering";"Tööriistad / jootmine";</v>
      </c>
      <c r="AI280" s="39" t="str">
        <f>IF(getCategoryLevelAsString($B280)="L0D_324785","",IF(P280="",CONCATENATE(";",EscStr(CONCATENATE("NavNode_",getCategoryLevelAsString($B280))),";",EscStr($J280),";"),CONCATENATE(";",EscStr(CONCATENATE("NavNode_",getCategoryLevelAsString($B280))),";",EscStr(P280),";")))</f>
        <v>;"NavNode_Tools / Soldering";"Työkalut / Juotostekniikka";</v>
      </c>
      <c r="AJ280" s="39" t="str">
        <f>IF(getCategoryLevelAsString($B280)="L0D_324785","",IF(Q280="",CONCATENATE(";",EscStr(CONCATENATE("NavNode_",getCategoryLevelAsString($B280))),";",EscStr($J280),";"),CONCATENATE(";",EscStr(CONCATENATE("NavNode_",getCategoryLevelAsString($B280))),";",EscStr(Q280),";")))</f>
        <v>;"NavNode_Tools / Soldering";"Instrumenti/lodēšana";</v>
      </c>
      <c r="AK280" s="39" t="str">
        <f>IF(getCategoryLevelAsString($B280)="L0D_324785","",IF(R280="",CONCATENATE(";",EscStr(CONCATENATE("NavNode_",getCategoryLevelAsString($B280))),";",EscStr($J280),";"),CONCATENATE(";",EscStr(CONCATENATE("NavNode_",getCategoryLevelAsString($B280))),";",EscStr(R280),";")))</f>
        <v>;"NavNode_Tools / Soldering";"Gereedschap / solderen";</v>
      </c>
      <c r="AL280" s="39" t="str">
        <f>IF(getCategoryLevelAsString($B280)="L0D_324785","",IF(S280="",CONCATENATE(";",EscStr(CONCATENATE("NavNode_",getCategoryLevelAsString($B280))),";",EscStr($J280),";"),CONCATENATE(";",EscStr(CONCATENATE("NavNode_",getCategoryLevelAsString($B280))),";",EscStr(S280),";")))</f>
        <v>;"NavNode_Tools / Soldering";"Narzędzia / Lutowanie";</v>
      </c>
      <c r="AM280" s="39" t="str">
        <f>IF(getCategoryLevelAsString($B280)="L0D_324785","",IF(T280="",CONCATENATE(";",EscStr(CONCATENATE("NavNode_",getCategoryLevelAsString($B280))),";",EscStr($J280),";"),CONCATENATE(";",EscStr(CONCATENATE("NavNode_",getCategoryLevelAsString($B280))),";",EscStr(T280),";")))</f>
        <v>;"NavNode_Tools / Soldering";"Инструменты / Пайка";</v>
      </c>
      <c r="AN280" s="39" t="str">
        <f>IF(getCategoryLevelAsString($B280)="L0D_324785","",IF(U280="",CONCATENATE(";",EscStr(CONCATENATE("NavNode_",getCategoryLevelAsString($B280))),";",EscStr($J280),";"),CONCATENATE(";",EscStr(CONCATENATE("NavNode_",getCategoryLevelAsString($B280))),";",EscStr(U280),";")))</f>
        <v>;"NavNode_Tools / Soldering";"Nástroje / pájení";</v>
      </c>
      <c r="AO280" s="39" t="str">
        <f>IF(getCategoryLevelAsString($B280)="L0D_324785","",IF(V280="",CONCATENATE(";",EscStr(CONCATENATE("NavNode_",getCategoryLevelAsString($B280))),";",EscStr($J280),";"),CONCATENATE(";",EscStr(CONCATENATE("NavNode_",getCategoryLevelAsString($B280))),";",EscStr(V280),";")))</f>
        <v>;"NavNode_Tools / Soldering";"Scule/Sudură";</v>
      </c>
      <c r="AP280" s="39" t="str">
        <f>IF(getCategoryLevelAsString($B280)="L0D_324785","",IF(W280="",CONCATENATE(";",EscStr(CONCATENATE("NavNode_",getCategoryLevelAsString($B280))),";",EscStr($J280),";"),CONCATENATE(";",EscStr(CONCATENATE("NavNode_",getCategoryLevelAsString($B280))),";",EscStr(W280),";")))</f>
        <v>;"NavNode_Tools / Soldering";"Szerszámok / Forrasztástechnika";</v>
      </c>
      <c r="AQ280" s="39" t="str">
        <f>IF(getCategoryLevelAsString($B280)="L0D_324785","",IF(X280="",CONCATENATE(";",EscStr(CONCATENATE("NavNode_",getCategoryLevelAsString($B280))),";",EscStr($J280),";"),CONCATENATE(";",EscStr(CONCATENATE("NavNode_",getCategoryLevelAsString($B280))),";",EscStr(X280),";")))</f>
        <v>;"NavNode_Tools / Soldering";"Nástroje/Spájkovanie";</v>
      </c>
      <c r="AR280" s="39" t="str">
        <f>IF(OR($A280&lt;&gt;"", $G280=""),"",CONCATENATE(";",EscStr(CONCATENATE("NavEntry_",getCategoryLevelAsString($B280))),";",EscStr(CONCATENATE($J280," Navigation Entry")),";",EscStr(CONCATENATE("cat-",getCategoryLevelAsString($B280))),";",EscStr(CONCATENATE("NavNode_",getCategoryLevelAsString($B280))),";"))</f>
        <v>;"NavEntry_Tools / Soldering";"Tools / Soldering Navigation Entry";"cat-Tools / Soldering";"NavNode_Tools / Soldering";</v>
      </c>
    </row>
    <row r="281" spans="1:44" s="34" customFormat="1" ht="15" x14ac:dyDescent="0.25">
      <c r="A281" s="25"/>
      <c r="B281" s="5"/>
      <c r="C281" s="5" t="s">
        <v>27</v>
      </c>
      <c r="D281" s="5"/>
      <c r="E281" s="5"/>
      <c r="F281" s="5"/>
      <c r="G281" s="5" t="s">
        <v>581</v>
      </c>
      <c r="H281" s="5" t="s">
        <v>582</v>
      </c>
      <c r="I281" s="5" t="s">
        <v>583</v>
      </c>
      <c r="J281" s="5" t="s">
        <v>8</v>
      </c>
      <c r="K281" s="5" t="s">
        <v>1250</v>
      </c>
      <c r="L281" s="5" t="s">
        <v>1485</v>
      </c>
      <c r="M281" s="5" t="s">
        <v>1716</v>
      </c>
      <c r="N281" s="5" t="s">
        <v>1918</v>
      </c>
      <c r="O281" s="5" t="s">
        <v>2846</v>
      </c>
      <c r="P281" s="5" t="s">
        <v>2847</v>
      </c>
      <c r="Q281" s="5" t="s">
        <v>2848</v>
      </c>
      <c r="R281" s="5" t="s">
        <v>2849</v>
      </c>
      <c r="S281" s="5" t="s">
        <v>2850</v>
      </c>
      <c r="T281" s="5" t="s">
        <v>2851</v>
      </c>
      <c r="U281" s="5" t="s">
        <v>2852</v>
      </c>
      <c r="V281" s="5" t="s">
        <v>2853</v>
      </c>
      <c r="W281" s="5" t="s">
        <v>2854</v>
      </c>
      <c r="X281" s="5" t="s">
        <v>14978</v>
      </c>
      <c r="Y281" s="39" t="str">
        <f>IF(OR($A281&lt;&gt;"", $G281=""),"",CONCATENATE(";",EscStr(CONCATENATE("NavNode_",getCategoryLevelAsString($B281))),";",EscStr($J281),";",IF($B281&lt;&gt;"","""MainCategoryNavNode""",EscStr(CONCATENATE("NavNode_",getSuperCategory($B281, getCategoryLevelAsNumber($B281))))),";"))</f>
        <v>;"NavNode_L2D_379532";"Tools";"NavNode_Tools / Soldering";</v>
      </c>
      <c r="Z281" s="39" t="str">
        <f>IF(getCategoryLevelAsString($B281)="L0D_324785","",IF(G281="",CONCATENATE(";",EscStr(CONCATENATE("NavNode_",getCategoryLevelAsString($B281))),";",EscStr($J281),";"),CONCATENATE(";",EscStr(CONCATENATE("NavNode_",getCategoryLevelAsString($B281))),";",EscStr(G281),";")))</f>
        <v>;"NavNode_L2D_379532";"Werkzeuge";</v>
      </c>
      <c r="AA281" s="39" t="str">
        <f>IF(getCategoryLevelAsString($B281)="L0D_324785","",IF(H281="",CONCATENATE(";",EscStr(CONCATENATE("NavNode_",getCategoryLevelAsString($B281))),";",EscStr($J281),";"),CONCATENATE(";",EscStr(CONCATENATE("NavNode_",getCategoryLevelAsString($B281))),";",EscStr(H281),";")))</f>
        <v>;"NavNode_L2D_379532";"Outils";</v>
      </c>
      <c r="AB281" s="39" t="str">
        <f>IF(getCategoryLevelAsString($B281)="L0D_324785","",IF(I281="",CONCATENATE(";",EscStr(CONCATENATE("NavNode_",getCategoryLevelAsString($B281))),";",EscStr($J281),";"),CONCATENATE(";",EscStr(CONCATENATE("NavNode_",getCategoryLevelAsString($B281))),";",EscStr(I281),";")))</f>
        <v>;"NavNode_L2D_379532";"Utensili";</v>
      </c>
      <c r="AC281" s="39" t="str">
        <f>IF(getCategoryLevelAsString($B281)="L0D_324785","",IF(J281="",CONCATENATE(";",EscStr(CONCATENATE("NavNode_",getCategoryLevelAsString($B281))),";",EscStr($J281),";"),CONCATENATE(";",EscStr(CONCATENATE("NavNode_",getCategoryLevelAsString($B281))),";",EscStr(J281),";")))</f>
        <v>;"NavNode_L2D_379532";"Tools";</v>
      </c>
      <c r="AD281" s="39" t="str">
        <f>IF(getCategoryLevelAsString($B281)="L0D_324785","",IF(K281="",CONCATENATE(";",EscStr(CONCATENATE("NavNode_",getCategoryLevelAsString($B281))),";",EscStr($J281),";"),CONCATENATE(";",EscStr(CONCATENATE("NavNode_",getCategoryLevelAsString($B281))),";",EscStr(K281),";")))</f>
        <v>;"NavNode_L2D_379532";"Værktøj";</v>
      </c>
      <c r="AE281" s="39" t="str">
        <f>IF(getCategoryLevelAsString($B281)="L0D_324785","",IF(L281="",CONCATENATE(";",EscStr(CONCATENATE("NavNode_",getCategoryLevelAsString($B281))),";",EscStr($J281),";"),CONCATENATE(";",EscStr(CONCATENATE("NavNode_",getCategoryLevelAsString($B281))),";",EscStr(L281),";")))</f>
        <v>;"NavNode_L2D_379532";"Įrankiai";</v>
      </c>
      <c r="AF281" s="39" t="str">
        <f>IF(getCategoryLevelAsString($B281)="L0D_324785","",IF(M281="",CONCATENATE(";",EscStr(CONCATENATE("NavNode_",getCategoryLevelAsString($B281))),";",EscStr($J281),";"),CONCATENATE(";",EscStr(CONCATENATE("NavNode_",getCategoryLevelAsString($B281))),";",EscStr(M281),";")))</f>
        <v>;"NavNode_L2D_379532";"Verktøy";</v>
      </c>
      <c r="AG281" s="39" t="str">
        <f>IF(getCategoryLevelAsString($B281)="L0D_324785","",IF(N281="",CONCATENATE(";",EscStr(CONCATENATE("NavNode_",getCategoryLevelAsString($B281))),";",EscStr($J281),";"),CONCATENATE(";",EscStr(CONCATENATE("NavNode_",getCategoryLevelAsString($B281))),";",EscStr(N281),";")))</f>
        <v>;"NavNode_L2D_379532";"Verktyg";</v>
      </c>
      <c r="AH281" s="39" t="str">
        <f>IF(getCategoryLevelAsString($B281)="L0D_324785","",IF(O281="",CONCATENATE(";",EscStr(CONCATENATE("NavNode_",getCategoryLevelAsString($B281))),";",EscStr($J281),";"),CONCATENATE(";",EscStr(CONCATENATE("NavNode_",getCategoryLevelAsString($B281))),";",EscStr(O281),";")))</f>
        <v>;"NavNode_L2D_379532";"Tööriistad";</v>
      </c>
      <c r="AI281" s="39" t="str">
        <f>IF(getCategoryLevelAsString($B281)="L0D_324785","",IF(P281="",CONCATENATE(";",EscStr(CONCATENATE("NavNode_",getCategoryLevelAsString($B281))),";",EscStr($J281),";"),CONCATENATE(";",EscStr(CONCATENATE("NavNode_",getCategoryLevelAsString($B281))),";",EscStr(P281),";")))</f>
        <v>;"NavNode_L2D_379532";"Työkalut";</v>
      </c>
      <c r="AJ281" s="39" t="str">
        <f>IF(getCategoryLevelAsString($B281)="L0D_324785","",IF(Q281="",CONCATENATE(";",EscStr(CONCATENATE("NavNode_",getCategoryLevelAsString($B281))),";",EscStr($J281),";"),CONCATENATE(";",EscStr(CONCATENATE("NavNode_",getCategoryLevelAsString($B281))),";",EscStr(Q281),";")))</f>
        <v>;"NavNode_L2D_379532";"Instrumenti";</v>
      </c>
      <c r="AK281" s="39" t="str">
        <f>IF(getCategoryLevelAsString($B281)="L0D_324785","",IF(R281="",CONCATENATE(";",EscStr(CONCATENATE("NavNode_",getCategoryLevelAsString($B281))),";",EscStr($J281),";"),CONCATENATE(";",EscStr(CONCATENATE("NavNode_",getCategoryLevelAsString($B281))),";",EscStr(R281),";")))</f>
        <v>;"NavNode_L2D_379532";"Gereedschap";</v>
      </c>
      <c r="AL281" s="39" t="str">
        <f>IF(getCategoryLevelAsString($B281)="L0D_324785","",IF(S281="",CONCATENATE(";",EscStr(CONCATENATE("NavNode_",getCategoryLevelAsString($B281))),";",EscStr($J281),";"),CONCATENATE(";",EscStr(CONCATENATE("NavNode_",getCategoryLevelAsString($B281))),";",EscStr(S281),";")))</f>
        <v>;"NavNode_L2D_379532";"Narzędzia";</v>
      </c>
      <c r="AM281" s="39" t="str">
        <f>IF(getCategoryLevelAsString($B281)="L0D_324785","",IF(T281="",CONCATENATE(";",EscStr(CONCATENATE("NavNode_",getCategoryLevelAsString($B281))),";",EscStr($J281),";"),CONCATENATE(";",EscStr(CONCATENATE("NavNode_",getCategoryLevelAsString($B281))),";",EscStr(T281),";")))</f>
        <v>;"NavNode_L2D_379532";"Инструменты";</v>
      </c>
      <c r="AN281" s="39" t="str">
        <f>IF(getCategoryLevelAsString($B281)="L0D_324785","",IF(U281="",CONCATENATE(";",EscStr(CONCATENATE("NavNode_",getCategoryLevelAsString($B281))),";",EscStr($J281),";"),CONCATENATE(";",EscStr(CONCATENATE("NavNode_",getCategoryLevelAsString($B281))),";",EscStr(U281),";")))</f>
        <v>;"NavNode_L2D_379532";"Nářadí";</v>
      </c>
      <c r="AO281" s="39" t="str">
        <f>IF(getCategoryLevelAsString($B281)="L0D_324785","",IF(V281="",CONCATENATE(";",EscStr(CONCATENATE("NavNode_",getCategoryLevelAsString($B281))),";",EscStr($J281),";"),CONCATENATE(";",EscStr(CONCATENATE("NavNode_",getCategoryLevelAsString($B281))),";",EscStr(V281),";")))</f>
        <v>;"NavNode_L2D_379532";"Scule";</v>
      </c>
      <c r="AP281" s="39" t="str">
        <f>IF(getCategoryLevelAsString($B281)="L0D_324785","",IF(W281="",CONCATENATE(";",EscStr(CONCATENATE("NavNode_",getCategoryLevelAsString($B281))),";",EscStr($J281),";"),CONCATENATE(";",EscStr(CONCATENATE("NavNode_",getCategoryLevelAsString($B281))),";",EscStr(W281),";")))</f>
        <v>;"NavNode_L2D_379532";"Szerszámok";</v>
      </c>
      <c r="AQ281" s="39" t="str">
        <f>IF(getCategoryLevelAsString($B281)="L0D_324785","",IF(X281="",CONCATENATE(";",EscStr(CONCATENATE("NavNode_",getCategoryLevelAsString($B281))),";",EscStr($J281),";"),CONCATENATE(";",EscStr(CONCATENATE("NavNode_",getCategoryLevelAsString($B281))),";",EscStr(X281),";")))</f>
        <v>;"NavNode_L2D_379532";"Náradie";</v>
      </c>
      <c r="AR281" s="39" t="str">
        <f>IF(OR($A281&lt;&gt;"", $G281=""),"",CONCATENATE(";",EscStr(CONCATENATE("NavEntry_",getCategoryLevelAsString($B281))),";",EscStr(CONCATENATE($J281," Navigation Entry")),";",EscStr(CONCATENATE("cat-",getCategoryLevelAsString($B281))),";",EscStr(CONCATENATE("NavNode_",getCategoryLevelAsString($B281))),";"))</f>
        <v>;"NavEntry_L2D_379532";"Tools Navigation Entry";"cat-L2D_379532";"NavNode_L2D_379532";</v>
      </c>
    </row>
    <row r="282" spans="1:44" s="34" customFormat="1" ht="15" x14ac:dyDescent="0.25">
      <c r="A282" s="25"/>
      <c r="B282" s="5"/>
      <c r="C282" s="5"/>
      <c r="D282" s="5" t="s">
        <v>805</v>
      </c>
      <c r="E282" s="5"/>
      <c r="F282" s="5"/>
      <c r="G282" s="5" t="s">
        <v>1048</v>
      </c>
      <c r="H282" s="5" t="s">
        <v>1101</v>
      </c>
      <c r="I282" s="5" t="s">
        <v>1160</v>
      </c>
      <c r="J282" s="5" t="s">
        <v>917</v>
      </c>
      <c r="K282" s="5" t="s">
        <v>1251</v>
      </c>
      <c r="L282" s="5" t="s">
        <v>1486</v>
      </c>
      <c r="M282" s="5" t="s">
        <v>1717</v>
      </c>
      <c r="N282" s="5" t="s">
        <v>1919</v>
      </c>
      <c r="O282" s="5" t="s">
        <v>2855</v>
      </c>
      <c r="P282" s="5" t="s">
        <v>2856</v>
      </c>
      <c r="Q282" s="5" t="s">
        <v>2857</v>
      </c>
      <c r="R282" s="5" t="s">
        <v>2858</v>
      </c>
      <c r="S282" s="5" t="s">
        <v>2859</v>
      </c>
      <c r="T282" s="5" t="s">
        <v>2860</v>
      </c>
      <c r="U282" s="5" t="s">
        <v>2861</v>
      </c>
      <c r="V282" s="5" t="s">
        <v>2862</v>
      </c>
      <c r="W282" s="5" t="s">
        <v>2863</v>
      </c>
      <c r="X282" s="5" t="s">
        <v>14979</v>
      </c>
      <c r="Y282" s="39" t="str">
        <f>IF(OR($A282&lt;&gt;"", $G282=""),"",CONCATENATE(";",EscStr(CONCATENATE("NavNode_",getCategoryLevelAsString($B282))),";",EscStr($J282),";",IF($B282&lt;&gt;"","""MainCategoryNavNode""",EscStr(CONCATENATE("NavNode_",getSuperCategory($B282, getCategoryLevelAsNumber($B282))))),";"))</f>
        <v>;"NavNode_L2-3D_530524";"Hand Tools";"NavNode_L2D_379532";</v>
      </c>
      <c r="Z282" s="39" t="str">
        <f>IF(getCategoryLevelAsString($B282)="L0D_324785","",IF(G282="",CONCATENATE(";",EscStr(CONCATENATE("NavNode_",getCategoryLevelAsString($B282))),";",EscStr($J282),";"),CONCATENATE(";",EscStr(CONCATENATE("NavNode_",getCategoryLevelAsString($B282))),";",EscStr(G282),";")))</f>
        <v>;"NavNode_L2-3D_530524";"Handwerkzeuge";</v>
      </c>
      <c r="AA282" s="39" t="str">
        <f>IF(getCategoryLevelAsString($B282)="L0D_324785","",IF(H282="",CONCATENATE(";",EscStr(CONCATENATE("NavNode_",getCategoryLevelAsString($B282))),";",EscStr($J282),";"),CONCATENATE(";",EscStr(CONCATENATE("NavNode_",getCategoryLevelAsString($B282))),";",EscStr(H282),";")))</f>
        <v>;"NavNode_L2-3D_530524";"Outils manuels";</v>
      </c>
      <c r="AB282" s="39" t="str">
        <f>IF(getCategoryLevelAsString($B282)="L0D_324785","",IF(I282="",CONCATENATE(";",EscStr(CONCATENATE("NavNode_",getCategoryLevelAsString($B282))),";",EscStr($J282),";"),CONCATENATE(";",EscStr(CONCATENATE("NavNode_",getCategoryLevelAsString($B282))),";",EscStr(I282),";")))</f>
        <v>;"NavNode_L2-3D_530524";"Utensileria manuale";</v>
      </c>
      <c r="AC282" s="39" t="str">
        <f>IF(getCategoryLevelAsString($B282)="L0D_324785","",IF(J282="",CONCATENATE(";",EscStr(CONCATENATE("NavNode_",getCategoryLevelAsString($B282))),";",EscStr($J282),";"),CONCATENATE(";",EscStr(CONCATENATE("NavNode_",getCategoryLevelAsString($B282))),";",EscStr(J282),";")))</f>
        <v>;"NavNode_L2-3D_530524";"Hand Tools";</v>
      </c>
      <c r="AD282" s="39" t="str">
        <f>IF(getCategoryLevelAsString($B282)="L0D_324785","",IF(K282="",CONCATENATE(";",EscStr(CONCATENATE("NavNode_",getCategoryLevelAsString($B282))),";",EscStr($J282),";"),CONCATENATE(";",EscStr(CONCATENATE("NavNode_",getCategoryLevelAsString($B282))),";",EscStr(K282),";")))</f>
        <v>;"NavNode_L2-3D_530524";"Håndværktøj";</v>
      </c>
      <c r="AE282" s="39" t="str">
        <f>IF(getCategoryLevelAsString($B282)="L0D_324785","",IF(L282="",CONCATENATE(";",EscStr(CONCATENATE("NavNode_",getCategoryLevelAsString($B282))),";",EscStr($J282),";"),CONCATENATE(";",EscStr(CONCATENATE("NavNode_",getCategoryLevelAsString($B282))),";",EscStr(L282),";")))</f>
        <v>;"NavNode_L2-3D_530524";"Rankiniai įrankiai";</v>
      </c>
      <c r="AF282" s="39" t="str">
        <f>IF(getCategoryLevelAsString($B282)="L0D_324785","",IF(M282="",CONCATENATE(";",EscStr(CONCATENATE("NavNode_",getCategoryLevelAsString($B282))),";",EscStr($J282),";"),CONCATENATE(";",EscStr(CONCATENATE("NavNode_",getCategoryLevelAsString($B282))),";",EscStr(M282),";")))</f>
        <v>;"NavNode_L2-3D_530524";"Håndverktøy";</v>
      </c>
      <c r="AG282" s="39" t="str">
        <f>IF(getCategoryLevelAsString($B282)="L0D_324785","",IF(N282="",CONCATENATE(";",EscStr(CONCATENATE("NavNode_",getCategoryLevelAsString($B282))),";",EscStr($J282),";"),CONCATENATE(";",EscStr(CONCATENATE("NavNode_",getCategoryLevelAsString($B282))),";",EscStr(N282),";")))</f>
        <v>;"NavNode_L2-3D_530524";"Handverktyg";</v>
      </c>
      <c r="AH282" s="39" t="str">
        <f>IF(getCategoryLevelAsString($B282)="L0D_324785","",IF(O282="",CONCATENATE(";",EscStr(CONCATENATE("NavNode_",getCategoryLevelAsString($B282))),";",EscStr($J282),";"),CONCATENATE(";",EscStr(CONCATENATE("NavNode_",getCategoryLevelAsString($B282))),";",EscStr(O282),";")))</f>
        <v>;"NavNode_L2-3D_530524";"Käsitööriistad";</v>
      </c>
      <c r="AI282" s="39" t="str">
        <f>IF(getCategoryLevelAsString($B282)="L0D_324785","",IF(P282="",CONCATENATE(";",EscStr(CONCATENATE("NavNode_",getCategoryLevelAsString($B282))),";",EscStr($J282),";"),CONCATENATE(";",EscStr(CONCATENATE("NavNode_",getCategoryLevelAsString($B282))),";",EscStr(P282),";")))</f>
        <v>;"NavNode_L2-3D_530524";"Käsityökalut";</v>
      </c>
      <c r="AJ282" s="39" t="str">
        <f>IF(getCategoryLevelAsString($B282)="L0D_324785","",IF(Q282="",CONCATENATE(";",EscStr(CONCATENATE("NavNode_",getCategoryLevelAsString($B282))),";",EscStr($J282),";"),CONCATENATE(";",EscStr(CONCATENATE("NavNode_",getCategoryLevelAsString($B282))),";",EscStr(Q282),";")))</f>
        <v>;"NavNode_L2-3D_530524";"Rokas instrumenti";</v>
      </c>
      <c r="AK282" s="39" t="str">
        <f>IF(getCategoryLevelAsString($B282)="L0D_324785","",IF(R282="",CONCATENATE(";",EscStr(CONCATENATE("NavNode_",getCategoryLevelAsString($B282))),";",EscStr($J282),";"),CONCATENATE(";",EscStr(CONCATENATE("NavNode_",getCategoryLevelAsString($B282))),";",EscStr(R282),";")))</f>
        <v>;"NavNode_L2-3D_530524";"Handgereedschap";</v>
      </c>
      <c r="AL282" s="39" t="str">
        <f>IF(getCategoryLevelAsString($B282)="L0D_324785","",IF(S282="",CONCATENATE(";",EscStr(CONCATENATE("NavNode_",getCategoryLevelAsString($B282))),";",EscStr($J282),";"),CONCATENATE(";",EscStr(CONCATENATE("NavNode_",getCategoryLevelAsString($B282))),";",EscStr(S282),";")))</f>
        <v>;"NavNode_L2-3D_530524";"Narzędzia ręczne";</v>
      </c>
      <c r="AM282" s="39" t="str">
        <f>IF(getCategoryLevelAsString($B282)="L0D_324785","",IF(T282="",CONCATENATE(";",EscStr(CONCATENATE("NavNode_",getCategoryLevelAsString($B282))),";",EscStr($J282),";"),CONCATENATE(";",EscStr(CONCATENATE("NavNode_",getCategoryLevelAsString($B282))),";",EscStr(T282),";")))</f>
        <v>;"NavNode_L2-3D_530524";"Ручной инструмент";</v>
      </c>
      <c r="AN282" s="39" t="str">
        <f>IF(getCategoryLevelAsString($B282)="L0D_324785","",IF(U282="",CONCATENATE(";",EscStr(CONCATENATE("NavNode_",getCategoryLevelAsString($B282))),";",EscStr($J282),";"),CONCATENATE(";",EscStr(CONCATENATE("NavNode_",getCategoryLevelAsString($B282))),";",EscStr(U282),";")))</f>
        <v>;"NavNode_L2-3D_530524";"Ruční nářadí";</v>
      </c>
      <c r="AO282" s="39" t="str">
        <f>IF(getCategoryLevelAsString($B282)="L0D_324785","",IF(V282="",CONCATENATE(";",EscStr(CONCATENATE("NavNode_",getCategoryLevelAsString($B282))),";",EscStr($J282),";"),CONCATENATE(";",EscStr(CONCATENATE("NavNode_",getCategoryLevelAsString($B282))),";",EscStr(V282),";")))</f>
        <v>;"NavNode_L2-3D_530524";"Scule de mâna";</v>
      </c>
      <c r="AP282" s="39" t="str">
        <f>IF(getCategoryLevelAsString($B282)="L0D_324785","",IF(W282="",CONCATENATE(";",EscStr(CONCATENATE("NavNode_",getCategoryLevelAsString($B282))),";",EscStr($J282),";"),CONCATENATE(";",EscStr(CONCATENATE("NavNode_",getCategoryLevelAsString($B282))),";",EscStr(W282),";")))</f>
        <v>;"NavNode_L2-3D_530524";"Kéziszerszámok";</v>
      </c>
      <c r="AQ282" s="39" t="str">
        <f>IF(getCategoryLevelAsString($B282)="L0D_324785","",IF(X282="",CONCATENATE(";",EscStr(CONCATENATE("NavNode_",getCategoryLevelAsString($B282))),";",EscStr($J282),";"),CONCATENATE(";",EscStr(CONCATENATE("NavNode_",getCategoryLevelAsString($B282))),";",EscStr(X282),";")))</f>
        <v>;"NavNode_L2-3D_530524";"Ručné náradie";</v>
      </c>
      <c r="AR282" s="39" t="str">
        <f>IF(OR($A282&lt;&gt;"", $G282=""),"",CONCATENATE(";",EscStr(CONCATENATE("NavEntry_",getCategoryLevelAsString($B282))),";",EscStr(CONCATENATE($J282," Navigation Entry")),";",EscStr(CONCATENATE("cat-",getCategoryLevelAsString($B282))),";",EscStr(CONCATENATE("NavNode_",getCategoryLevelAsString($B282))),";"))</f>
        <v>;"NavEntry_L2-3D_530524";"Hand Tools Navigation Entry";"cat-L2-3D_530524";"NavNode_L2-3D_530524";</v>
      </c>
    </row>
    <row r="283" spans="1:44" s="34" customFormat="1" ht="15" x14ac:dyDescent="0.25">
      <c r="A283" s="25"/>
      <c r="B283" s="5"/>
      <c r="C283" s="5"/>
      <c r="D283" s="5" t="s">
        <v>806</v>
      </c>
      <c r="E283" s="5"/>
      <c r="F283" s="5"/>
      <c r="G283" s="5" t="s">
        <v>1049</v>
      </c>
      <c r="H283" s="5" t="s">
        <v>1102</v>
      </c>
      <c r="I283" s="5" t="s">
        <v>1161</v>
      </c>
      <c r="J283" s="5" t="s">
        <v>918</v>
      </c>
      <c r="K283" s="5" t="s">
        <v>1252</v>
      </c>
      <c r="L283" s="5" t="s">
        <v>1487</v>
      </c>
      <c r="M283" s="5" t="s">
        <v>1718</v>
      </c>
      <c r="N283" s="5" t="s">
        <v>1920</v>
      </c>
      <c r="O283" s="5" t="s">
        <v>2864</v>
      </c>
      <c r="P283" s="5" t="s">
        <v>2865</v>
      </c>
      <c r="Q283" s="5" t="s">
        <v>2866</v>
      </c>
      <c r="R283" s="5" t="s">
        <v>2867</v>
      </c>
      <c r="S283" s="5" t="s">
        <v>2868</v>
      </c>
      <c r="T283" s="5" t="s">
        <v>2869</v>
      </c>
      <c r="U283" s="5" t="s">
        <v>2870</v>
      </c>
      <c r="V283" s="5" t="s">
        <v>2871</v>
      </c>
      <c r="W283" s="5" t="s">
        <v>2872</v>
      </c>
      <c r="X283" s="5" t="s">
        <v>14980</v>
      </c>
      <c r="Y283" s="39" t="str">
        <f>IF(OR($A283&lt;&gt;"", $G283=""),"",CONCATENATE(";",EscStr(CONCATENATE("NavNode_",getCategoryLevelAsString($B283))),";",EscStr($J283),";",IF($B283&lt;&gt;"","""MainCategoryNavNode""",EscStr(CONCATENATE("NavNode_",getSuperCategory($B283, getCategoryLevelAsNumber($B283))))),";"))</f>
        <v>;"NavNode_L3D_530052";"Power Tools";"NavNode_L2D_379532";</v>
      </c>
      <c r="Z283" s="39" t="str">
        <f>IF(getCategoryLevelAsString($B283)="L0D_324785","",IF(G283="",CONCATENATE(";",EscStr(CONCATENATE("NavNode_",getCategoryLevelAsString($B283))),";",EscStr($J283),";"),CONCATENATE(";",EscStr(CONCATENATE("NavNode_",getCategoryLevelAsString($B283))),";",EscStr(G283),";")))</f>
        <v>;"NavNode_L3D_530052";"Elektrowerkzeuge";</v>
      </c>
      <c r="AA283" s="39" t="str">
        <f>IF(getCategoryLevelAsString($B283)="L0D_324785","",IF(H283="",CONCATENATE(";",EscStr(CONCATENATE("NavNode_",getCategoryLevelAsString($B283))),";",EscStr($J283),";"),CONCATENATE(";",EscStr(CONCATENATE("NavNode_",getCategoryLevelAsString($B283))),";",EscStr(H283),";")))</f>
        <v>;"NavNode_L3D_530052";"Outils électriques";</v>
      </c>
      <c r="AB283" s="39" t="str">
        <f>IF(getCategoryLevelAsString($B283)="L0D_324785","",IF(I283="",CONCATENATE(";",EscStr(CONCATENATE("NavNode_",getCategoryLevelAsString($B283))),";",EscStr($J283),";"),CONCATENATE(";",EscStr(CONCATENATE("NavNode_",getCategoryLevelAsString($B283))),";",EscStr(I283),";")))</f>
        <v>;"NavNode_L3D_530052";"Elettroutensili";</v>
      </c>
      <c r="AC283" s="39" t="str">
        <f>IF(getCategoryLevelAsString($B283)="L0D_324785","",IF(J283="",CONCATENATE(";",EscStr(CONCATENATE("NavNode_",getCategoryLevelAsString($B283))),";",EscStr($J283),";"),CONCATENATE(";",EscStr(CONCATENATE("NavNode_",getCategoryLevelAsString($B283))),";",EscStr(J283),";")))</f>
        <v>;"NavNode_L3D_530052";"Power Tools";</v>
      </c>
      <c r="AD283" s="39" t="str">
        <f>IF(getCategoryLevelAsString($B283)="L0D_324785","",IF(K283="",CONCATENATE(";",EscStr(CONCATENATE("NavNode_",getCategoryLevelAsString($B283))),";",EscStr($J283),";"),CONCATENATE(";",EscStr(CONCATENATE("NavNode_",getCategoryLevelAsString($B283))),";",EscStr(K283),";")))</f>
        <v>;"NavNode_L3D_530052";"El-værktøj";</v>
      </c>
      <c r="AE283" s="39" t="str">
        <f>IF(getCategoryLevelAsString($B283)="L0D_324785","",IF(L283="",CONCATENATE(";",EscStr(CONCATENATE("NavNode_",getCategoryLevelAsString($B283))),";",EscStr($J283),";"),CONCATENATE(";",EscStr(CONCATENATE("NavNode_",getCategoryLevelAsString($B283))),";",EscStr(L283),";")))</f>
        <v>;"NavNode_L3D_530052";"Elektriniai įrankiai";</v>
      </c>
      <c r="AF283" s="39" t="str">
        <f>IF(getCategoryLevelAsString($B283)="L0D_324785","",IF(M283="",CONCATENATE(";",EscStr(CONCATENATE("NavNode_",getCategoryLevelAsString($B283))),";",EscStr($J283),";"),CONCATENATE(";",EscStr(CONCATENATE("NavNode_",getCategoryLevelAsString($B283))),";",EscStr(M283),";")))</f>
        <v>;"NavNode_L3D_530052";"Elektroverktøy";</v>
      </c>
      <c r="AG283" s="39" t="str">
        <f>IF(getCategoryLevelAsString($B283)="L0D_324785","",IF(N283="",CONCATENATE(";",EscStr(CONCATENATE("NavNode_",getCategoryLevelAsString($B283))),";",EscStr($J283),";"),CONCATENATE(";",EscStr(CONCATENATE("NavNode_",getCategoryLevelAsString($B283))),";",EscStr(N283),";")))</f>
        <v>;"NavNode_L3D_530052";"Elverktyg";</v>
      </c>
      <c r="AH283" s="39" t="str">
        <f>IF(getCategoryLevelAsString($B283)="L0D_324785","",IF(O283="",CONCATENATE(";",EscStr(CONCATENATE("NavNode_",getCategoryLevelAsString($B283))),";",EscStr($J283),";"),CONCATENATE(";",EscStr(CONCATENATE("NavNode_",getCategoryLevelAsString($B283))),";",EscStr(O283),";")))</f>
        <v>;"NavNode_L3D_530052";"Elektrilised tööriistad";</v>
      </c>
      <c r="AI283" s="39" t="str">
        <f>IF(getCategoryLevelAsString($B283)="L0D_324785","",IF(P283="",CONCATENATE(";",EscStr(CONCATENATE("NavNode_",getCategoryLevelAsString($B283))),";",EscStr($J283),";"),CONCATENATE(";",EscStr(CONCATENATE("NavNode_",getCategoryLevelAsString($B283))),";",EscStr(P283),";")))</f>
        <v>;"NavNode_L3D_530052";"Sähkötyökalut";</v>
      </c>
      <c r="AJ283" s="39" t="str">
        <f>IF(getCategoryLevelAsString($B283)="L0D_324785","",IF(Q283="",CONCATENATE(";",EscStr(CONCATENATE("NavNode_",getCategoryLevelAsString($B283))),";",EscStr($J283),";"),CONCATENATE(";",EscStr(CONCATENATE("NavNode_",getCategoryLevelAsString($B283))),";",EscStr(Q283),";")))</f>
        <v>;"NavNode_L3D_530052";"Elektroinstrumenti";</v>
      </c>
      <c r="AK283" s="39" t="str">
        <f>IF(getCategoryLevelAsString($B283)="L0D_324785","",IF(R283="",CONCATENATE(";",EscStr(CONCATENATE("NavNode_",getCategoryLevelAsString($B283))),";",EscStr($J283),";"),CONCATENATE(";",EscStr(CONCATENATE("NavNode_",getCategoryLevelAsString($B283))),";",EscStr(R283),";")))</f>
        <v>;"NavNode_L3D_530052";"Elektrisch gereedschap";</v>
      </c>
      <c r="AL283" s="39" t="str">
        <f>IF(getCategoryLevelAsString($B283)="L0D_324785","",IF(S283="",CONCATENATE(";",EscStr(CONCATENATE("NavNode_",getCategoryLevelAsString($B283))),";",EscStr($J283),";"),CONCATENATE(";",EscStr(CONCATENATE("NavNode_",getCategoryLevelAsString($B283))),";",EscStr(S283),";")))</f>
        <v>;"NavNode_L3D_530052";"Elektronarzędzia";</v>
      </c>
      <c r="AM283" s="39" t="str">
        <f>IF(getCategoryLevelAsString($B283)="L0D_324785","",IF(T283="",CONCATENATE(";",EscStr(CONCATENATE("NavNode_",getCategoryLevelAsString($B283))),";",EscStr($J283),";"),CONCATENATE(";",EscStr(CONCATENATE("NavNode_",getCategoryLevelAsString($B283))),";",EscStr(T283),";")))</f>
        <v>;"NavNode_L3D_530052";"Электроинструменты";</v>
      </c>
      <c r="AN283" s="39" t="str">
        <f>IF(getCategoryLevelAsString($B283)="L0D_324785","",IF(U283="",CONCATENATE(";",EscStr(CONCATENATE("NavNode_",getCategoryLevelAsString($B283))),";",EscStr($J283),";"),CONCATENATE(";",EscStr(CONCATENATE("NavNode_",getCategoryLevelAsString($B283))),";",EscStr(U283),";")))</f>
        <v>;"NavNode_L3D_530052";"Elektrické nářadí";</v>
      </c>
      <c r="AO283" s="39" t="str">
        <f>IF(getCategoryLevelAsString($B283)="L0D_324785","",IF(V283="",CONCATENATE(";",EscStr(CONCATENATE("NavNode_",getCategoryLevelAsString($B283))),";",EscStr($J283),";"),CONCATENATE(";",EscStr(CONCATENATE("NavNode_",getCategoryLevelAsString($B283))),";",EscStr(V283),";")))</f>
        <v>;"NavNode_L3D_530052";"Instrumente electrice";</v>
      </c>
      <c r="AP283" s="39" t="str">
        <f>IF(getCategoryLevelAsString($B283)="L0D_324785","",IF(W283="",CONCATENATE(";",EscStr(CONCATENATE("NavNode_",getCategoryLevelAsString($B283))),";",EscStr($J283),";"),CONCATENATE(";",EscStr(CONCATENATE("NavNode_",getCategoryLevelAsString($B283))),";",EscStr(W283),";")))</f>
        <v>;"NavNode_L3D_530052";"Elektromos szerszámok";</v>
      </c>
      <c r="AQ283" s="39" t="str">
        <f>IF(getCategoryLevelAsString($B283)="L0D_324785","",IF(X283="",CONCATENATE(";",EscStr(CONCATENATE("NavNode_",getCategoryLevelAsString($B283))),";",EscStr($J283),";"),CONCATENATE(";",EscStr(CONCATENATE("NavNode_",getCategoryLevelAsString($B283))),";",EscStr(X283),";")))</f>
        <v>;"NavNode_L3D_530052";"Elektrické náradie";</v>
      </c>
      <c r="AR283" s="39" t="str">
        <f>IF(OR($A283&lt;&gt;"", $G283=""),"",CONCATENATE(";",EscStr(CONCATENATE("NavEntry_",getCategoryLevelAsString($B283))),";",EscStr(CONCATENATE($J283," Navigation Entry")),";",EscStr(CONCATENATE("cat-",getCategoryLevelAsString($B283))),";",EscStr(CONCATENATE("NavNode_",getCategoryLevelAsString($B283))),";"))</f>
        <v>;"NavEntry_L3D_530052";"Power Tools Navigation Entry";"cat-L3D_530052";"NavNode_L3D_530052";</v>
      </c>
    </row>
    <row r="284" spans="1:44" s="34" customFormat="1" ht="15" x14ac:dyDescent="0.25">
      <c r="A284" s="25"/>
      <c r="B284" s="5"/>
      <c r="C284" s="5"/>
      <c r="D284" s="5" t="s">
        <v>807</v>
      </c>
      <c r="E284" s="5"/>
      <c r="F284" s="5"/>
      <c r="G284" s="5" t="s">
        <v>1050</v>
      </c>
      <c r="H284" s="5" t="s">
        <v>1103</v>
      </c>
      <c r="I284" s="5" t="s">
        <v>1162</v>
      </c>
      <c r="J284" s="5" t="s">
        <v>919</v>
      </c>
      <c r="K284" s="5" t="s">
        <v>1253</v>
      </c>
      <c r="L284" s="5" t="s">
        <v>15209</v>
      </c>
      <c r="M284" s="5" t="s">
        <v>1719</v>
      </c>
      <c r="N284" s="5" t="s">
        <v>1921</v>
      </c>
      <c r="O284" s="5" t="s">
        <v>2873</v>
      </c>
      <c r="P284" s="5" t="s">
        <v>2874</v>
      </c>
      <c r="Q284" s="5" t="s">
        <v>2875</v>
      </c>
      <c r="R284" s="5" t="s">
        <v>2876</v>
      </c>
      <c r="S284" s="5" t="s">
        <v>2877</v>
      </c>
      <c r="T284" s="5" t="s">
        <v>2878</v>
      </c>
      <c r="U284" s="5" t="s">
        <v>2879</v>
      </c>
      <c r="V284" s="5" t="s">
        <v>2880</v>
      </c>
      <c r="W284" s="5" t="s">
        <v>2881</v>
      </c>
      <c r="X284" s="5" t="s">
        <v>14981</v>
      </c>
      <c r="Y284" s="39" t="str">
        <f>IF(OR($A284&lt;&gt;"", $G284=""),"",CONCATENATE(";",EscStr(CONCATENATE("NavNode_",getCategoryLevelAsString($B284))),";",EscStr($J284),";",IF($B284&lt;&gt;"","""MainCategoryNavNode""",EscStr(CONCATENATE("NavNode_",getSuperCategory($B284, getCategoryLevelAsNumber($B284))))),";"))</f>
        <v>;"NavNode_L3D_529903";"Cordless Power Tool Systems";"NavNode_L2D_379532";</v>
      </c>
      <c r="Z284" s="39" t="str">
        <f>IF(getCategoryLevelAsString($B284)="L0D_324785","",IF(G284="",CONCATENATE(";",EscStr(CONCATENATE("NavNode_",getCategoryLevelAsString($B284))),";",EscStr($J284),";"),CONCATENATE(";",EscStr(CONCATENATE("NavNode_",getCategoryLevelAsString($B284))),";",EscStr(G284),";")))</f>
        <v>;"NavNode_L3D_529903";"Kabellose Elektrowerkzeugsysteme";</v>
      </c>
      <c r="AA284" s="39" t="str">
        <f>IF(getCategoryLevelAsString($B284)="L0D_324785","",IF(H284="",CONCATENATE(";",EscStr(CONCATENATE("NavNode_",getCategoryLevelAsString($B284))),";",EscStr($J284),";"),CONCATENATE(";",EscStr(CONCATENATE("NavNode_",getCategoryLevelAsString($B284))),";",EscStr(H284),";")))</f>
        <v>;"NavNode_L3D_529903";"Système d'outils électriques sans fil";</v>
      </c>
      <c r="AB284" s="39" t="str">
        <f>IF(getCategoryLevelAsString($B284)="L0D_324785","",IF(I284="",CONCATENATE(";",EscStr(CONCATENATE("NavNode_",getCategoryLevelAsString($B284))),";",EscStr($J284),";"),CONCATENATE(";",EscStr(CONCATENATE("NavNode_",getCategoryLevelAsString($B284))),";",EscStr(I284),";")))</f>
        <v>;"NavNode_L3D_529903";"Elettroutensili a batteria";</v>
      </c>
      <c r="AC284" s="39" t="str">
        <f>IF(getCategoryLevelAsString($B284)="L0D_324785","",IF(J284="",CONCATENATE(";",EscStr(CONCATENATE("NavNode_",getCategoryLevelAsString($B284))),";",EscStr($J284),";"),CONCATENATE(";",EscStr(CONCATENATE("NavNode_",getCategoryLevelAsString($B284))),";",EscStr(J284),";")))</f>
        <v>;"NavNode_L3D_529903";"Cordless Power Tool Systems";</v>
      </c>
      <c r="AD284" s="39" t="str">
        <f>IF(getCategoryLevelAsString($B284)="L0D_324785","",IF(K284="",CONCATENATE(";",EscStr(CONCATENATE("NavNode_",getCategoryLevelAsString($B284))),";",EscStr($J284),";"),CONCATENATE(";",EscStr(CONCATENATE("NavNode_",getCategoryLevelAsString($B284))),";",EscStr(K284),";")))</f>
        <v>;"NavNode_L3D_529903";"Trådløst elværktøjssæt";</v>
      </c>
      <c r="AE284" s="39" t="str">
        <f>IF(getCategoryLevelAsString($B284)="L0D_324785","",IF(L284="",CONCATENATE(";",EscStr(CONCATENATE("NavNode_",getCategoryLevelAsString($B284))),";",EscStr($J284),";"),CONCATENATE(";",EscStr(CONCATENATE("NavNode_",getCategoryLevelAsString($B284))),";",EscStr(L284),";")))</f>
        <v>;"NavNode_L3D_529903";"Akumuliatoriniai įrankiai";</v>
      </c>
      <c r="AF284" s="39" t="str">
        <f>IF(getCategoryLevelAsString($B284)="L0D_324785","",IF(M284="",CONCATENATE(";",EscStr(CONCATENATE("NavNode_",getCategoryLevelAsString($B284))),";",EscStr($J284),";"),CONCATENATE(";",EscStr(CONCATENATE("NavNode_",getCategoryLevelAsString($B284))),";",EscStr(M284),";")))</f>
        <v>;"NavNode_L3D_529903";"Systemer for trådløse elektroverktøy";</v>
      </c>
      <c r="AG284" s="39" t="str">
        <f>IF(getCategoryLevelAsString($B284)="L0D_324785","",IF(N284="",CONCATENATE(";",EscStr(CONCATENATE("NavNode_",getCategoryLevelAsString($B284))),";",EscStr($J284),";"),CONCATENATE(";",EscStr(CONCATENATE("NavNode_",getCategoryLevelAsString($B284))),";",EscStr(N284),";")))</f>
        <v>;"NavNode_L3D_529903";"Sladdlösa elverktygssystem";</v>
      </c>
      <c r="AH284" s="39" t="str">
        <f>IF(getCategoryLevelAsString($B284)="L0D_324785","",IF(O284="",CONCATENATE(";",EscStr(CONCATENATE("NavNode_",getCategoryLevelAsString($B284))),";",EscStr($J284),";"),CONCATENATE(";",EscStr(CONCATENATE("NavNode_",getCategoryLevelAsString($B284))),";",EscStr(O284),";")))</f>
        <v>;"NavNode_L3D_529903";"Akutööriistad";</v>
      </c>
      <c r="AI284" s="39" t="str">
        <f>IF(getCategoryLevelAsString($B284)="L0D_324785","",IF(P284="",CONCATENATE(";",EscStr(CONCATENATE("NavNode_",getCategoryLevelAsString($B284))),";",EscStr($J284),";"),CONCATENATE(";",EscStr(CONCATENATE("NavNode_",getCategoryLevelAsString($B284))),";",EscStr(P284),";")))</f>
        <v>;"NavNode_L3D_529903";"Johdottomat työkalut";</v>
      </c>
      <c r="AJ284" s="39" t="str">
        <f>IF(getCategoryLevelAsString($B284)="L0D_324785","",IF(Q284="",CONCATENATE(";",EscStr(CONCATENATE("NavNode_",getCategoryLevelAsString($B284))),";",EscStr($J284),";"),CONCATENATE(";",EscStr(CONCATENATE("NavNode_",getCategoryLevelAsString($B284))),";",EscStr(Q284),";")))</f>
        <v>;"NavNode_L3D_529903";"Bezvadu elektroinstrumentu sistēmas";</v>
      </c>
      <c r="AK284" s="39" t="str">
        <f>IF(getCategoryLevelAsString($B284)="L0D_324785","",IF(R284="",CONCATENATE(";",EscStr(CONCATENATE("NavNode_",getCategoryLevelAsString($B284))),";",EscStr($J284),";"),CONCATENATE(";",EscStr(CONCATENATE("NavNode_",getCategoryLevelAsString($B284))),";",EscStr(R284),";")))</f>
        <v>;"NavNode_L3D_529903";"Accuboor en schroefmachines";</v>
      </c>
      <c r="AL284" s="39" t="str">
        <f>IF(getCategoryLevelAsString($B284)="L0D_324785","",IF(S284="",CONCATENATE(";",EscStr(CONCATENATE("NavNode_",getCategoryLevelAsString($B284))),";",EscStr($J284),";"),CONCATENATE(";",EscStr(CONCATENATE("NavNode_",getCategoryLevelAsString($B284))),";",EscStr(S284),";")))</f>
        <v>;"NavNode_L3D_529903";"Elektronarzędzia bezprzewodowe";</v>
      </c>
      <c r="AM284" s="39" t="str">
        <f>IF(getCategoryLevelAsString($B284)="L0D_324785","",IF(T284="",CONCATENATE(";",EscStr(CONCATENATE("NavNode_",getCategoryLevelAsString($B284))),";",EscStr($J284),";"),CONCATENATE(";",EscStr(CONCATENATE("NavNode_",getCategoryLevelAsString($B284))),";",EscStr(T284),";")))</f>
        <v>;"NavNode_L3D_529903";"Беспроводной электроинструмент";</v>
      </c>
      <c r="AN284" s="39" t="str">
        <f>IF(getCategoryLevelAsString($B284)="L0D_324785","",IF(U284="",CONCATENATE(";",EscStr(CONCATENATE("NavNode_",getCategoryLevelAsString($B284))),";",EscStr($J284),";"),CONCATENATE(";",EscStr(CONCATENATE("NavNode_",getCategoryLevelAsString($B284))),";",EscStr(U284),";")))</f>
        <v>;"NavNode_L3D_529903";"Bezšňůrové elektrické nářadí";</v>
      </c>
      <c r="AO284" s="39" t="str">
        <f>IF(getCategoryLevelAsString($B284)="L0D_324785","",IF(V284="",CONCATENATE(";",EscStr(CONCATENATE("NavNode_",getCategoryLevelAsString($B284))),";",EscStr($J284),";"),CONCATENATE(";",EscStr(CONCATENATE("NavNode_",getCategoryLevelAsString($B284))),";",EscStr(V284),";")))</f>
        <v>;"NavNode_L3D_529903";"Instrumente şi sisteme electrice fără fir";</v>
      </c>
      <c r="AP284" s="39" t="str">
        <f>IF(getCategoryLevelAsString($B284)="L0D_324785","",IF(W284="",CONCATENATE(";",EscStr(CONCATENATE("NavNode_",getCategoryLevelAsString($B284))),";",EscStr($J284),";"),CONCATENATE(";",EscStr(CONCATENATE("NavNode_",getCategoryLevelAsString($B284))),";",EscStr(W284),";")))</f>
        <v>;"NavNode_L3D_529903";"Vezetéknélküli elektromos szerszámok";</v>
      </c>
      <c r="AQ284" s="39" t="str">
        <f>IF(getCategoryLevelAsString($B284)="L0D_324785","",IF(X284="",CONCATENATE(";",EscStr(CONCATENATE("NavNode_",getCategoryLevelAsString($B284))),";",EscStr($J284),";"),CONCATENATE(";",EscStr(CONCATENATE("NavNode_",getCategoryLevelAsString($B284))),";",EscStr(X284),";")))</f>
        <v>;"NavNode_L3D_529903";"Bezšnúrové elektrické náradie";</v>
      </c>
      <c r="AR284" s="39" t="str">
        <f>IF(OR($A284&lt;&gt;"", $G284=""),"",CONCATENATE(";",EscStr(CONCATENATE("NavEntry_",getCategoryLevelAsString($B284))),";",EscStr(CONCATENATE($J284," Navigation Entry")),";",EscStr(CONCATENATE("cat-",getCategoryLevelAsString($B284))),";",EscStr(CONCATENATE("NavNode_",getCategoryLevelAsString($B284))),";"))</f>
        <v>;"NavEntry_L3D_529903";"Cordless Power Tool Systems Navigation Entry";"cat-L3D_529903";"NavNode_L3D_529903";</v>
      </c>
    </row>
    <row r="285" spans="1:44" s="34" customFormat="1" ht="15" x14ac:dyDescent="0.25">
      <c r="A285" s="25"/>
      <c r="B285" s="5"/>
      <c r="C285" s="5" t="s">
        <v>28</v>
      </c>
      <c r="D285" s="5"/>
      <c r="E285" s="5"/>
      <c r="F285" s="5"/>
      <c r="G285" s="5" t="s">
        <v>567</v>
      </c>
      <c r="H285" s="5" t="s">
        <v>568</v>
      </c>
      <c r="I285" s="5" t="s">
        <v>569</v>
      </c>
      <c r="J285" s="5" t="s">
        <v>9</v>
      </c>
      <c r="K285" s="5" t="s">
        <v>1258</v>
      </c>
      <c r="L285" s="5" t="s">
        <v>1493</v>
      </c>
      <c r="M285" s="5" t="s">
        <v>1724</v>
      </c>
      <c r="N285" s="5" t="s">
        <v>1926</v>
      </c>
      <c r="O285" s="5" t="s">
        <v>2936</v>
      </c>
      <c r="P285" s="5" t="s">
        <v>2937</v>
      </c>
      <c r="Q285" s="5" t="s">
        <v>2938</v>
      </c>
      <c r="R285" s="5" t="s">
        <v>2939</v>
      </c>
      <c r="S285" s="5" t="s">
        <v>2940</v>
      </c>
      <c r="T285" s="5" t="s">
        <v>2941</v>
      </c>
      <c r="U285" s="5" t="s">
        <v>2942</v>
      </c>
      <c r="V285" s="5" t="s">
        <v>2943</v>
      </c>
      <c r="W285" s="5" t="s">
        <v>2944</v>
      </c>
      <c r="X285" s="5" t="s">
        <v>14982</v>
      </c>
      <c r="Y285" s="39" t="str">
        <f>IF(OR($A285&lt;&gt;"", $G285=""),"",CONCATENATE(";",EscStr(CONCATENATE("NavNode_",getCategoryLevelAsString($B285))),";",EscStr($J285),";",IF($B285&lt;&gt;"","""MainCategoryNavNode""",EscStr(CONCATENATE("NavNode_",getSuperCategory($B285, getCategoryLevelAsNumber($B285))))),";"))</f>
        <v>;"NavNode_L2D_379533";"Soldering";"NavNode_Tools / Soldering";</v>
      </c>
      <c r="Z285" s="39" t="str">
        <f>IF(getCategoryLevelAsString($B285)="L0D_324785","",IF(G285="",CONCATENATE(";",EscStr(CONCATENATE("NavNode_",getCategoryLevelAsString($B285))),";",EscStr($J285),";"),CONCATENATE(";",EscStr(CONCATENATE("NavNode_",getCategoryLevelAsString($B285))),";",EscStr(G285),";")))</f>
        <v>;"NavNode_L2D_379533";"Löten";</v>
      </c>
      <c r="AA285" s="39" t="str">
        <f>IF(getCategoryLevelAsString($B285)="L0D_324785","",IF(H285="",CONCATENATE(";",EscStr(CONCATENATE("NavNode_",getCategoryLevelAsString($B285))),";",EscStr($J285),";"),CONCATENATE(";",EscStr(CONCATENATE("NavNode_",getCategoryLevelAsString($B285))),";",EscStr(H285),";")))</f>
        <v>;"NavNode_L2D_379533";"Soudage";</v>
      </c>
      <c r="AB285" s="39" t="str">
        <f>IF(getCategoryLevelAsString($B285)="L0D_324785","",IF(I285="",CONCATENATE(";",EscStr(CONCATENATE("NavNode_",getCategoryLevelAsString($B285))),";",EscStr($J285),";"),CONCATENATE(";",EscStr(CONCATENATE("NavNode_",getCategoryLevelAsString($B285))),";",EscStr(I285),";")))</f>
        <v>;"NavNode_L2D_379533";"Saldatura";</v>
      </c>
      <c r="AC285" s="39" t="str">
        <f>IF(getCategoryLevelAsString($B285)="L0D_324785","",IF(J285="",CONCATENATE(";",EscStr(CONCATENATE("NavNode_",getCategoryLevelAsString($B285))),";",EscStr($J285),";"),CONCATENATE(";",EscStr(CONCATENATE("NavNode_",getCategoryLevelAsString($B285))),";",EscStr(J285),";")))</f>
        <v>;"NavNode_L2D_379533";"Soldering";</v>
      </c>
      <c r="AD285" s="39" t="str">
        <f>IF(getCategoryLevelAsString($B285)="L0D_324785","",IF(K285="",CONCATENATE(";",EscStr(CONCATENATE("NavNode_",getCategoryLevelAsString($B285))),";",EscStr($J285),";"),CONCATENATE(";",EscStr(CONCATENATE("NavNode_",getCategoryLevelAsString($B285))),";",EscStr(K285),";")))</f>
        <v>;"NavNode_L2D_379533";"Lodning";</v>
      </c>
      <c r="AE285" s="39" t="str">
        <f>IF(getCategoryLevelAsString($B285)="L0D_324785","",IF(L285="",CONCATENATE(";",EscStr(CONCATENATE("NavNode_",getCategoryLevelAsString($B285))),";",EscStr($J285),";"),CONCATENATE(";",EscStr(CONCATENATE("NavNode_",getCategoryLevelAsString($B285))),";",EscStr(L285),";")))</f>
        <v>;"NavNode_L2D_379533";"Litavimas";</v>
      </c>
      <c r="AF285" s="39" t="str">
        <f>IF(getCategoryLevelAsString($B285)="L0D_324785","",IF(M285="",CONCATENATE(";",EscStr(CONCATENATE("NavNode_",getCategoryLevelAsString($B285))),";",EscStr($J285),";"),CONCATENATE(";",EscStr(CONCATENATE("NavNode_",getCategoryLevelAsString($B285))),";",EscStr(M285),";")))</f>
        <v>;"NavNode_L2D_379533";"Lodding";</v>
      </c>
      <c r="AG285" s="39" t="str">
        <f>IF(getCategoryLevelAsString($B285)="L0D_324785","",IF(N285="",CONCATENATE(";",EscStr(CONCATENATE("NavNode_",getCategoryLevelAsString($B285))),";",EscStr($J285),";"),CONCATENATE(";",EscStr(CONCATENATE("NavNode_",getCategoryLevelAsString($B285))),";",EscStr(N285),";")))</f>
        <v>;"NavNode_L2D_379533";"Lödning";</v>
      </c>
      <c r="AH285" s="39" t="str">
        <f>IF(getCategoryLevelAsString($B285)="L0D_324785","",IF(O285="",CONCATENATE(";",EscStr(CONCATENATE("NavNode_",getCategoryLevelAsString($B285))),";",EscStr($J285),";"),CONCATENATE(";",EscStr(CONCATENATE("NavNode_",getCategoryLevelAsString($B285))),";",EscStr(O285),";")))</f>
        <v>;"NavNode_L2D_379533";"Jooteseadmed";</v>
      </c>
      <c r="AI285" s="39" t="str">
        <f>IF(getCategoryLevelAsString($B285)="L0D_324785","",IF(P285="",CONCATENATE(";",EscStr(CONCATENATE("NavNode_",getCategoryLevelAsString($B285))),";",EscStr($J285),";"),CONCATENATE(";",EscStr(CONCATENATE("NavNode_",getCategoryLevelAsString($B285))),";",EscStr(P285),";")))</f>
        <v>;"NavNode_L2D_379533";"Juotos";</v>
      </c>
      <c r="AJ285" s="39" t="str">
        <f>IF(getCategoryLevelAsString($B285)="L0D_324785","",IF(Q285="",CONCATENATE(";",EscStr(CONCATENATE("NavNode_",getCategoryLevelAsString($B285))),";",EscStr($J285),";"),CONCATENATE(";",EscStr(CONCATENATE("NavNode_",getCategoryLevelAsString($B285))),";",EscStr(Q285),";")))</f>
        <v>;"NavNode_L2D_379533";"Lodēšana";</v>
      </c>
      <c r="AK285" s="39" t="str">
        <f>IF(getCategoryLevelAsString($B285)="L0D_324785","",IF(R285="",CONCATENATE(";",EscStr(CONCATENATE("NavNode_",getCategoryLevelAsString($B285))),";",EscStr($J285),";"),CONCATENATE(";",EscStr(CONCATENATE("NavNode_",getCategoryLevelAsString($B285))),";",EscStr(R285),";")))</f>
        <v>;"NavNode_L2D_379533";"Solderen";</v>
      </c>
      <c r="AL285" s="39" t="str">
        <f>IF(getCategoryLevelAsString($B285)="L0D_324785","",IF(S285="",CONCATENATE(";",EscStr(CONCATENATE("NavNode_",getCategoryLevelAsString($B285))),";",EscStr($J285),";"),CONCATENATE(";",EscStr(CONCATENATE("NavNode_",getCategoryLevelAsString($B285))),";",EscStr(S285),";")))</f>
        <v>;"NavNode_L2D_379533";"Lutowanie";</v>
      </c>
      <c r="AM285" s="39" t="str">
        <f>IF(getCategoryLevelAsString($B285)="L0D_324785","",IF(T285="",CONCATENATE(";",EscStr(CONCATENATE("NavNode_",getCategoryLevelAsString($B285))),";",EscStr($J285),";"),CONCATENATE(";",EscStr(CONCATENATE("NavNode_",getCategoryLevelAsString($B285))),";",EscStr(T285),";")))</f>
        <v>;"NavNode_L2D_379533";"Паяльное оборудование";</v>
      </c>
      <c r="AN285" s="39" t="str">
        <f>IF(getCategoryLevelAsString($B285)="L0D_324785","",IF(U285="",CONCATENATE(";",EscStr(CONCATENATE("NavNode_",getCategoryLevelAsString($B285))),";",EscStr($J285),";"),CONCATENATE(";",EscStr(CONCATENATE("NavNode_",getCategoryLevelAsString($B285))),";",EscStr(U285),";")))</f>
        <v>;"NavNode_L2D_379533";"Pájení";</v>
      </c>
      <c r="AO285" s="39" t="str">
        <f>IF(getCategoryLevelAsString($B285)="L0D_324785","",IF(V285="",CONCATENATE(";",EscStr(CONCATENATE("NavNode_",getCategoryLevelAsString($B285))),";",EscStr($J285),";"),CONCATENATE(";",EscStr(CONCATENATE("NavNode_",getCategoryLevelAsString($B285))),";",EscStr(V285),";")))</f>
        <v>;"NavNode_L2D_379533";"Lipit / Cositorit";</v>
      </c>
      <c r="AP285" s="39" t="str">
        <f>IF(getCategoryLevelAsString($B285)="L0D_324785","",IF(W285="",CONCATENATE(";",EscStr(CONCATENATE("NavNode_",getCategoryLevelAsString($B285))),";",EscStr($J285),";"),CONCATENATE(";",EscStr(CONCATENATE("NavNode_",getCategoryLevelAsString($B285))),";",EscStr(W285),";")))</f>
        <v>;"NavNode_L2D_379533";"Forrasztás";</v>
      </c>
      <c r="AQ285" s="39" t="str">
        <f>IF(getCategoryLevelAsString($B285)="L0D_324785","",IF(X285="",CONCATENATE(";",EscStr(CONCATENATE("NavNode_",getCategoryLevelAsString($B285))),";",EscStr($J285),";"),CONCATENATE(";",EscStr(CONCATENATE("NavNode_",getCategoryLevelAsString($B285))),";",EscStr(X285),";")))</f>
        <v>;"NavNode_L2D_379533";"Spájkovanie";</v>
      </c>
      <c r="AR285" s="39" t="str">
        <f>IF(OR($A285&lt;&gt;"", $G285=""),"",CONCATENATE(";",EscStr(CONCATENATE("NavEntry_",getCategoryLevelAsString($B285))),";",EscStr(CONCATENATE($J285," Navigation Entry")),";",EscStr(CONCATENATE("cat-",getCategoryLevelAsString($B285))),";",EscStr(CONCATENATE("NavNode_",getCategoryLevelAsString($B285))),";"))</f>
        <v>;"NavEntry_L2D_379533";"Soldering Navigation Entry";"cat-L2D_379533";"NavNode_L2D_379533";</v>
      </c>
    </row>
    <row r="286" spans="1:44" s="34" customFormat="1" ht="15" x14ac:dyDescent="0.25">
      <c r="A286" s="25"/>
      <c r="B286" s="5"/>
      <c r="C286" s="5"/>
      <c r="D286" s="5" t="s">
        <v>258</v>
      </c>
      <c r="E286" s="5"/>
      <c r="F286" s="5"/>
      <c r="G286" s="5" t="s">
        <v>576</v>
      </c>
      <c r="H286" s="5" t="s">
        <v>577</v>
      </c>
      <c r="I286" s="5" t="s">
        <v>578</v>
      </c>
      <c r="J286" s="5" t="s">
        <v>1201</v>
      </c>
      <c r="K286" s="5" t="s">
        <v>1259</v>
      </c>
      <c r="L286" s="5" t="s">
        <v>1494</v>
      </c>
      <c r="M286" s="5" t="s">
        <v>1725</v>
      </c>
      <c r="N286" s="5" t="s">
        <v>1927</v>
      </c>
      <c r="O286" s="5" t="s">
        <v>2945</v>
      </c>
      <c r="P286" s="5" t="s">
        <v>2946</v>
      </c>
      <c r="Q286" s="5" t="s">
        <v>2947</v>
      </c>
      <c r="R286" s="5" t="s">
        <v>2948</v>
      </c>
      <c r="S286" s="5" t="s">
        <v>2949</v>
      </c>
      <c r="T286" s="5" t="s">
        <v>2950</v>
      </c>
      <c r="U286" s="5" t="s">
        <v>2951</v>
      </c>
      <c r="V286" s="5" t="s">
        <v>2952</v>
      </c>
      <c r="W286" s="5" t="s">
        <v>2953</v>
      </c>
      <c r="X286" s="5" t="s">
        <v>14983</v>
      </c>
      <c r="Y286" s="39" t="str">
        <f>IF(OR($A286&lt;&gt;"", $G286=""),"",CONCATENATE(";",EscStr(CONCATENATE("NavNode_",getCategoryLevelAsString($B286))),";",EscStr($J286),";",IF($B286&lt;&gt;"","""MainCategoryNavNode""",EscStr(CONCATENATE("NavNode_",getSuperCategory($B286, getCategoryLevelAsNumber($B286))))),";"))</f>
        <v>;"NavNode_L3D_525436";"Standalone Soldering Irons";"NavNode_L2D_379533";</v>
      </c>
      <c r="Z286" s="39" t="str">
        <f>IF(getCategoryLevelAsString($B286)="L0D_324785","",IF(G286="",CONCATENATE(";",EscStr(CONCATENATE("NavNode_",getCategoryLevelAsString($B286))),";",EscStr($J286),";"),CONCATENATE(";",EscStr(CONCATENATE("NavNode_",getCategoryLevelAsString($B286))),";",EscStr(G286),";")))</f>
        <v>;"NavNode_L3D_525436";"Unabhängige Lötkolben";</v>
      </c>
      <c r="AA286" s="39" t="str">
        <f>IF(getCategoryLevelAsString($B286)="L0D_324785","",IF(H286="",CONCATENATE(";",EscStr(CONCATENATE("NavNode_",getCategoryLevelAsString($B286))),";",EscStr($J286),";"),CONCATENATE(";",EscStr(CONCATENATE("NavNode_",getCategoryLevelAsString($B286))),";",EscStr(H286),";")))</f>
        <v>;"NavNode_L3D_525436";"Fers à souder indépendants";</v>
      </c>
      <c r="AB286" s="39" t="str">
        <f>IF(getCategoryLevelAsString($B286)="L0D_324785","",IF(I286="",CONCATENATE(";",EscStr(CONCATENATE("NavNode_",getCategoryLevelAsString($B286))),";",EscStr($J286),";"),CONCATENATE(";",EscStr(CONCATENATE("NavNode_",getCategoryLevelAsString($B286))),";",EscStr(I286),";")))</f>
        <v>;"NavNode_L3D_525436";"Saldatori indipendenti";</v>
      </c>
      <c r="AC286" s="39" t="str">
        <f>IF(getCategoryLevelAsString($B286)="L0D_324785","",IF(J286="",CONCATENATE(";",EscStr(CONCATENATE("NavNode_",getCategoryLevelAsString($B286))),";",EscStr($J286),";"),CONCATENATE(";",EscStr(CONCATENATE("NavNode_",getCategoryLevelAsString($B286))),";",EscStr(J286),";")))</f>
        <v>;"NavNode_L3D_525436";"Standalone Soldering Irons";</v>
      </c>
      <c r="AD286" s="39" t="str">
        <f>IF(getCategoryLevelAsString($B286)="L0D_324785","",IF(K286="",CONCATENATE(";",EscStr(CONCATENATE("NavNode_",getCategoryLevelAsString($B286))),";",EscStr($J286),";"),CONCATENATE(";",EscStr(CONCATENATE("NavNode_",getCategoryLevelAsString($B286))),";",EscStr(K286),";")))</f>
        <v>;"NavNode_L3D_525436";"Uafhængige loddekolber";</v>
      </c>
      <c r="AE286" s="39" t="str">
        <f>IF(getCategoryLevelAsString($B286)="L0D_324785","",IF(L286="",CONCATENATE(";",EscStr(CONCATENATE("NavNode_",getCategoryLevelAsString($B286))),";",EscStr($J286),";"),CONCATENATE(";",EscStr(CONCATENATE("NavNode_",getCategoryLevelAsString($B286))),";",EscStr(L286),";")))</f>
        <v>;"NavNode_L3D_525436";"Autonominiai lituokliai";</v>
      </c>
      <c r="AF286" s="39" t="str">
        <f>IF(getCategoryLevelAsString($B286)="L0D_324785","",IF(M286="",CONCATENATE(";",EscStr(CONCATENATE("NavNode_",getCategoryLevelAsString($B286))),";",EscStr($J286),";"),CONCATENATE(";",EscStr(CONCATENATE("NavNode_",getCategoryLevelAsString($B286))),";",EscStr(M286),";")))</f>
        <v>;"NavNode_L3D_525436";"Frittstående loddebolter";</v>
      </c>
      <c r="AG286" s="39" t="str">
        <f>IF(getCategoryLevelAsString($B286)="L0D_324785","",IF(N286="",CONCATENATE(";",EscStr(CONCATENATE("NavNode_",getCategoryLevelAsString($B286))),";",EscStr($J286),";"),CONCATENATE(";",EscStr(CONCATENATE("NavNode_",getCategoryLevelAsString($B286))),";",EscStr(N286),";")))</f>
        <v>;"NavNode_L3D_525436";"Fristående lödkolvar";</v>
      </c>
      <c r="AH286" s="39" t="str">
        <f>IF(getCategoryLevelAsString($B286)="L0D_324785","",IF(O286="",CONCATENATE(";",EscStr(CONCATENATE("NavNode_",getCategoryLevelAsString($B286))),";",EscStr($J286),";"),CONCATENATE(";",EscStr(CONCATENATE("NavNode_",getCategoryLevelAsString($B286))),";",EscStr(O286),";")))</f>
        <v>;"NavNode_L3D_525436";"Autonoomsed jootekolvid";</v>
      </c>
      <c r="AI286" s="39" t="str">
        <f>IF(getCategoryLevelAsString($B286)="L0D_324785","",IF(P286="",CONCATENATE(";",EscStr(CONCATENATE("NavNode_",getCategoryLevelAsString($B286))),";",EscStr($J286),";"),CONCATENATE(";",EscStr(CONCATENATE("NavNode_",getCategoryLevelAsString($B286))),";",EscStr(P286),";")))</f>
        <v>;"NavNode_L3D_525436";"Juotosasemat";</v>
      </c>
      <c r="AJ286" s="39" t="str">
        <f>IF(getCategoryLevelAsString($B286)="L0D_324785","",IF(Q286="",CONCATENATE(";",EscStr(CONCATENATE("NavNode_",getCategoryLevelAsString($B286))),";",EscStr($J286),";"),CONCATENATE(";",EscStr(CONCATENATE("NavNode_",getCategoryLevelAsString($B286))),";",EscStr(Q286),";")))</f>
        <v>;"NavNode_L3D_525436";"Atsevišķi lodāmuri";</v>
      </c>
      <c r="AK286" s="39" t="str">
        <f>IF(getCategoryLevelAsString($B286)="L0D_324785","",IF(R286="",CONCATENATE(";",EscStr(CONCATENATE("NavNode_",getCategoryLevelAsString($B286))),";",EscStr($J286),";"),CONCATENATE(";",EscStr(CONCATENATE("NavNode_",getCategoryLevelAsString($B286))),";",EscStr(R286),";")))</f>
        <v>;"NavNode_L3D_525436";"Losse soldeerbouten";</v>
      </c>
      <c r="AL286" s="39" t="str">
        <f>IF(getCategoryLevelAsString($B286)="L0D_324785","",IF(S286="",CONCATENATE(";",EscStr(CONCATENATE("NavNode_",getCategoryLevelAsString($B286))),";",EscStr($J286),";"),CONCATENATE(";",EscStr(CONCATENATE("NavNode_",getCategoryLevelAsString($B286))),";",EscStr(S286),";")))</f>
        <v>;"NavNode_L3D_525436";"Kolby lutownicze";</v>
      </c>
      <c r="AM286" s="39" t="str">
        <f>IF(getCategoryLevelAsString($B286)="L0D_324785","",IF(T286="",CONCATENATE(";",EscStr(CONCATENATE("NavNode_",getCategoryLevelAsString($B286))),";",EscStr($J286),";"),CONCATENATE(";",EscStr(CONCATENATE("NavNode_",getCategoryLevelAsString($B286))),";",EscStr(T286),";")))</f>
        <v>;"NavNode_L3D_525436";"Автономные Паяльники";</v>
      </c>
      <c r="AN286" s="39" t="str">
        <f>IF(getCategoryLevelAsString($B286)="L0D_324785","",IF(U286="",CONCATENATE(";",EscStr(CONCATENATE("NavNode_",getCategoryLevelAsString($B286))),";",EscStr($J286),";"),CONCATENATE(";",EscStr(CONCATENATE("NavNode_",getCategoryLevelAsString($B286))),";",EscStr(U286),";")))</f>
        <v>;"NavNode_L3D_525436";"Páječky";</v>
      </c>
      <c r="AO286" s="39" t="str">
        <f>IF(getCategoryLevelAsString($B286)="L0D_324785","",IF(V286="",CONCATENATE(";",EscStr(CONCATENATE("NavNode_",getCategoryLevelAsString($B286))),";",EscStr($J286),";"),CONCATENATE(";",EscStr(CONCATENATE("NavNode_",getCategoryLevelAsString($B286))),";",EscStr(V286),";")))</f>
        <v>;"NavNode_L3D_525436";"Aparat de cositorit fără fir";</v>
      </c>
      <c r="AP286" s="39" t="str">
        <f>IF(getCategoryLevelAsString($B286)="L0D_324785","",IF(W286="",CONCATENATE(";",EscStr(CONCATENATE("NavNode_",getCategoryLevelAsString($B286))),";",EscStr($J286),";"),CONCATENATE(";",EscStr(CONCATENATE("NavNode_",getCategoryLevelAsString($B286))),";",EscStr(W286),";")))</f>
        <v>;"NavNode_L3D_525436";"Különálló forrasztópáka";</v>
      </c>
      <c r="AQ286" s="39" t="str">
        <f>IF(getCategoryLevelAsString($B286)="L0D_324785","",IF(X286="",CONCATENATE(";",EscStr(CONCATENATE("NavNode_",getCategoryLevelAsString($B286))),";",EscStr($J286),";"),CONCATENATE(";",EscStr(CONCATENATE("NavNode_",getCategoryLevelAsString($B286))),";",EscStr(X286),";")))</f>
        <v>;"NavNode_L3D_525436";"Spájkovačky";</v>
      </c>
      <c r="AR286" s="39" t="str">
        <f>IF(OR($A286&lt;&gt;"", $G286=""),"",CONCATENATE(";",EscStr(CONCATENATE("NavEntry_",getCategoryLevelAsString($B286))),";",EscStr(CONCATENATE($J286," Navigation Entry")),";",EscStr(CONCATENATE("cat-",getCategoryLevelAsString($B286))),";",EscStr(CONCATENATE("NavNode_",getCategoryLevelAsString($B286))),";"))</f>
        <v>;"NavEntry_L3D_525436";"Standalone Soldering Irons Navigation Entry";"cat-L3D_525436";"NavNode_L3D_525436";</v>
      </c>
    </row>
    <row r="287" spans="1:44" s="34" customFormat="1" ht="15" x14ac:dyDescent="0.25">
      <c r="A287" s="25"/>
      <c r="B287" s="5"/>
      <c r="C287" s="5"/>
      <c r="D287" s="5" t="s">
        <v>260</v>
      </c>
      <c r="E287" s="5"/>
      <c r="F287" s="5"/>
      <c r="G287" s="5" t="s">
        <v>1052</v>
      </c>
      <c r="H287" s="5" t="s">
        <v>1105</v>
      </c>
      <c r="I287" s="5" t="s">
        <v>1164</v>
      </c>
      <c r="J287" s="5" t="s">
        <v>921</v>
      </c>
      <c r="K287" s="5" t="s">
        <v>1260</v>
      </c>
      <c r="L287" s="5" t="s">
        <v>15210</v>
      </c>
      <c r="M287" s="5" t="s">
        <v>1726</v>
      </c>
      <c r="N287" s="5" t="s">
        <v>1928</v>
      </c>
      <c r="O287" s="5" t="s">
        <v>2954</v>
      </c>
      <c r="P287" s="5" t="s">
        <v>2955</v>
      </c>
      <c r="Q287" s="5" t="s">
        <v>2956</v>
      </c>
      <c r="R287" s="5" t="s">
        <v>2957</v>
      </c>
      <c r="S287" s="5" t="s">
        <v>2958</v>
      </c>
      <c r="T287" s="5" t="s">
        <v>2959</v>
      </c>
      <c r="U287" s="5" t="s">
        <v>2960</v>
      </c>
      <c r="V287" s="5" t="s">
        <v>2961</v>
      </c>
      <c r="W287" s="5" t="s">
        <v>2962</v>
      </c>
      <c r="X287" s="5" t="s">
        <v>14984</v>
      </c>
      <c r="Y287" s="39" t="str">
        <f>IF(OR($A287&lt;&gt;"", $G287=""),"",CONCATENATE(";",EscStr(CONCATENATE("NavNode_",getCategoryLevelAsString($B287))),";",EscStr($J287),";",IF($B287&lt;&gt;"","""MainCategoryNavNode""",EscStr(CONCATENATE("NavNode_",getSuperCategory($B287, getCategoryLevelAsNumber($B287))))),";"))</f>
        <v>;"NavNode_L3D_525437";"Soldering, Desoldering and Rework Stations";"NavNode_L2D_379533";</v>
      </c>
      <c r="Z287" s="39" t="str">
        <f>IF(getCategoryLevelAsString($B287)="L0D_324785","",IF(G287="",CONCATENATE(";",EscStr(CONCATENATE("NavNode_",getCategoryLevelAsString($B287))),";",EscStr($J287),";"),CONCATENATE(";",EscStr(CONCATENATE("NavNode_",getCategoryLevelAsString($B287))),";",EscStr(G287),";")))</f>
        <v>;"NavNode_L3D_525437";"Stationen für Löt-, Entlöt-und Rework-Arbeiten";</v>
      </c>
      <c r="AA287" s="39" t="str">
        <f>IF(getCategoryLevelAsString($B287)="L0D_324785","",IF(H287="",CONCATENATE(";",EscStr(CONCATENATE("NavNode_",getCategoryLevelAsString($B287))),";",EscStr($J287),";"),CONCATENATE(";",EscStr(CONCATENATE("NavNode_",getCategoryLevelAsString($B287))),";",EscStr(H287),";")))</f>
        <v>;"NavNode_L3D_525437";"Soudage, dessoudage et stations de réparation";</v>
      </c>
      <c r="AB287" s="39" t="str">
        <f>IF(getCategoryLevelAsString($B287)="L0D_324785","",IF(I287="",CONCATENATE(";",EscStr(CONCATENATE("NavNode_",getCategoryLevelAsString($B287))),";",EscStr($J287),";"),CONCATENATE(";",EscStr(CONCATENATE("NavNode_",getCategoryLevelAsString($B287))),";",EscStr(I287),";")))</f>
        <v>;"NavNode_L3D_525437";"Stazioni di saldatura, dissaldatura e rilavorazione";</v>
      </c>
      <c r="AC287" s="39" t="str">
        <f>IF(getCategoryLevelAsString($B287)="L0D_324785","",IF(J287="",CONCATENATE(";",EscStr(CONCATENATE("NavNode_",getCategoryLevelAsString($B287))),";",EscStr($J287),";"),CONCATENATE(";",EscStr(CONCATENATE("NavNode_",getCategoryLevelAsString($B287))),";",EscStr(J287),";")))</f>
        <v>;"NavNode_L3D_525437";"Soldering, Desoldering and Rework Stations";</v>
      </c>
      <c r="AD287" s="39" t="str">
        <f>IF(getCategoryLevelAsString($B287)="L0D_324785","",IF(K287="",CONCATENATE(";",EscStr(CONCATENATE("NavNode_",getCategoryLevelAsString($B287))),";",EscStr($J287),";"),CONCATENATE(";",EscStr(CONCATENATE("NavNode_",getCategoryLevelAsString($B287))),";",EscStr(K287),";")))</f>
        <v>;"NavNode_L3D_525437";"Lodde-, aflodnings- og reparationsstationer";</v>
      </c>
      <c r="AE287" s="39" t="str">
        <f>IF(getCategoryLevelAsString($B287)="L0D_324785","",IF(L287="",CONCATENATE(";",EscStr(CONCATENATE("NavNode_",getCategoryLevelAsString($B287))),";",EscStr($J287),";"),CONCATENATE(";",EscStr(CONCATENATE("NavNode_",getCategoryLevelAsString($B287))),";",EscStr(L287),";")))</f>
        <v>;"NavNode_L3D_525437";"Litavimo, lydmetalio šalinimo ir perlitavimo stotelės";</v>
      </c>
      <c r="AF287" s="39" t="str">
        <f>IF(getCategoryLevelAsString($B287)="L0D_324785","",IF(M287="",CONCATENATE(";",EscStr(CONCATENATE("NavNode_",getCategoryLevelAsString($B287))),";",EscStr($J287),";"),CONCATENATE(";",EscStr(CONCATENATE("NavNode_",getCategoryLevelAsString($B287))),";",EscStr(M287),";")))</f>
        <v>;"NavNode_L3D_525437";"Lodde-, avloddings- og omarbeidingsstasjoner";</v>
      </c>
      <c r="AG287" s="39" t="str">
        <f>IF(getCategoryLevelAsString($B287)="L0D_324785","",IF(N287="",CONCATENATE(";",EscStr(CONCATENATE("NavNode_",getCategoryLevelAsString($B287))),";",EscStr($J287),";"),CONCATENATE(";",EscStr(CONCATENATE("NavNode_",getCategoryLevelAsString($B287))),";",EscStr(N287),";")))</f>
        <v>;"NavNode_L3D_525437";"Lödnings-, avlödnings- och omarbetningsstationer";</v>
      </c>
      <c r="AH287" s="39" t="str">
        <f>IF(getCategoryLevelAsString($B287)="L0D_324785","",IF(O287="",CONCATENATE(";",EscStr(CONCATENATE("NavNode_",getCategoryLevelAsString($B287))),";",EscStr($J287),";"),CONCATENATE(";",EscStr(CONCATENATE("NavNode_",getCategoryLevelAsString($B287))),";",EscStr(O287),";")))</f>
        <v>;"NavNode_L3D_525437";"Joote- ja lahtijootejaamad";</v>
      </c>
      <c r="AI287" s="39" t="str">
        <f>IF(getCategoryLevelAsString($B287)="L0D_324785","",IF(P287="",CONCATENATE(";",EscStr(CONCATENATE("NavNode_",getCategoryLevelAsString($B287))),";",EscStr($J287),";"),CONCATENATE(";",EscStr(CONCATENATE("NavNode_",getCategoryLevelAsString($B287))),";",EscStr(P287),";")))</f>
        <v>;"NavNode_L3D_525437";"Juotosasema, irroitus ja juottaminen";</v>
      </c>
      <c r="AJ287" s="39" t="str">
        <f>IF(getCategoryLevelAsString($B287)="L0D_324785","",IF(Q287="",CONCATENATE(";",EscStr(CONCATENATE("NavNode_",getCategoryLevelAsString($B287))),";",EscStr($J287),";"),CONCATENATE(";",EscStr(CONCATENATE("NavNode_",getCategoryLevelAsString($B287))),";",EscStr(Q287),";")))</f>
        <v>;"NavNode_L3D_525437";"Lodēšanas, atlodēšanas un karstā gaisa stacijas";</v>
      </c>
      <c r="AK287" s="39" t="str">
        <f>IF(getCategoryLevelAsString($B287)="L0D_324785","",IF(R287="",CONCATENATE(";",EscStr(CONCATENATE("NavNode_",getCategoryLevelAsString($B287))),";",EscStr($J287),";"),CONCATENATE(";",EscStr(CONCATENATE("NavNode_",getCategoryLevelAsString($B287))),";",EscStr(R287),";")))</f>
        <v>;"NavNode_L3D_525437";"Solderen, desolderen en rework stations";</v>
      </c>
      <c r="AL287" s="39" t="str">
        <f>IF(getCategoryLevelAsString($B287)="L0D_324785","",IF(S287="",CONCATENATE(";",EscStr(CONCATENATE("NavNode_",getCategoryLevelAsString($B287))),";",EscStr($J287),";"),CONCATENATE(";",EscStr(CONCATENATE("NavNode_",getCategoryLevelAsString($B287))),";",EscStr(S287),";")))</f>
        <v>;"NavNode_L3D_525437";"Stacje lutownicze, Stacje do rozlutowywania i Stacje naprawcze";</v>
      </c>
      <c r="AM287" s="39" t="str">
        <f>IF(getCategoryLevelAsString($B287)="L0D_324785","",IF(T287="",CONCATENATE(";",EscStr(CONCATENATE("NavNode_",getCategoryLevelAsString($B287))),";",EscStr($J287),";"),CONCATENATE(";",EscStr(CONCATENATE("NavNode_",getCategoryLevelAsString($B287))),";",EscStr(T287),";")))</f>
        <v>;"NavNode_L3D_525437";"Пайка, Припои и Паяльные станции";</v>
      </c>
      <c r="AN287" s="39" t="str">
        <f>IF(getCategoryLevelAsString($B287)="L0D_324785","",IF(U287="",CONCATENATE(";",EscStr(CONCATENATE("NavNode_",getCategoryLevelAsString($B287))),";",EscStr($J287),";"),CONCATENATE(";",EscStr(CONCATENATE("NavNode_",getCategoryLevelAsString($B287))),";",EscStr(U287),";")))</f>
        <v>;"NavNode_L3D_525437";"Stanice pro opravy, horkovzdušné pájení a odpájení";</v>
      </c>
      <c r="AO287" s="39" t="str">
        <f>IF(getCategoryLevelAsString($B287)="L0D_324785","",IF(V287="",CONCATENATE(";",EscStr(CONCATENATE("NavNode_",getCategoryLevelAsString($B287))),";",EscStr($J287),";"),CONCATENATE(";",EscStr(CONCATENATE("NavNode_",getCategoryLevelAsString($B287))),";",EscStr(V287),";")))</f>
        <v>;"NavNode_L3D_525437";"Staţii de lipit, dezlipit şi lucru de revizuire";</v>
      </c>
      <c r="AP287" s="39" t="str">
        <f>IF(getCategoryLevelAsString($B287)="L0D_324785","",IF(W287="",CONCATENATE(";",EscStr(CONCATENATE("NavNode_",getCategoryLevelAsString($B287))),";",EscStr($J287),";"),CONCATENATE(";",EscStr(CONCATENATE("NavNode_",getCategoryLevelAsString($B287))),";",EscStr(W287),";")))</f>
        <v>;"NavNode_L3D_525437";"Forrasztó- , kiforrasztó- és Rework-állomások";</v>
      </c>
      <c r="AQ287" s="39" t="str">
        <f>IF(getCategoryLevelAsString($B287)="L0D_324785","",IF(X287="",CONCATENATE(";",EscStr(CONCATENATE("NavNode_",getCategoryLevelAsString($B287))),";",EscStr($J287),";"),CONCATENATE(";",EscStr(CONCATENATE("NavNode_",getCategoryLevelAsString($B287))),";",EscStr(X287),";")))</f>
        <v>;"NavNode_L3D_525437";"Stanice pre opravy, teplovzdušné spájkovanie a odspájkovanie";</v>
      </c>
      <c r="AR287" s="39" t="str">
        <f>IF(OR($A287&lt;&gt;"", $G287=""),"",CONCATENATE(";",EscStr(CONCATENATE("NavEntry_",getCategoryLevelAsString($B287))),";",EscStr(CONCATENATE($J287," Navigation Entry")),";",EscStr(CONCATENATE("cat-",getCategoryLevelAsString($B287))),";",EscStr(CONCATENATE("NavNode_",getCategoryLevelAsString($B287))),";"))</f>
        <v>;"NavEntry_L3D_525437";"Soldering, Desoldering and Rework Stations Navigation Entry";"cat-L3D_525437";"NavNode_L3D_525437";</v>
      </c>
    </row>
    <row r="288" spans="1:44" s="34" customFormat="1" ht="15" x14ac:dyDescent="0.25">
      <c r="A288" s="25"/>
      <c r="B288" s="5"/>
      <c r="C288" s="5"/>
      <c r="D288" s="5" t="s">
        <v>257</v>
      </c>
      <c r="E288" s="5"/>
      <c r="F288" s="5"/>
      <c r="G288" s="5" t="s">
        <v>965</v>
      </c>
      <c r="H288" s="5" t="s">
        <v>810</v>
      </c>
      <c r="I288" s="5" t="s">
        <v>711</v>
      </c>
      <c r="J288" s="5" t="s">
        <v>574</v>
      </c>
      <c r="K288" s="5" t="s">
        <v>1261</v>
      </c>
      <c r="L288" s="5" t="s">
        <v>1496</v>
      </c>
      <c r="M288" s="5" t="s">
        <v>1727</v>
      </c>
      <c r="N288" s="5" t="s">
        <v>1929</v>
      </c>
      <c r="O288" s="5" t="s">
        <v>2963</v>
      </c>
      <c r="P288" s="5" t="s">
        <v>2964</v>
      </c>
      <c r="Q288" s="5" t="s">
        <v>2965</v>
      </c>
      <c r="R288" s="5" t="s">
        <v>2966</v>
      </c>
      <c r="S288" s="5" t="s">
        <v>2967</v>
      </c>
      <c r="T288" s="5" t="s">
        <v>2968</v>
      </c>
      <c r="U288" s="5" t="s">
        <v>2969</v>
      </c>
      <c r="V288" s="5" t="s">
        <v>2970</v>
      </c>
      <c r="W288" s="5" t="s">
        <v>2971</v>
      </c>
      <c r="X288" s="5" t="s">
        <v>14985</v>
      </c>
      <c r="Y288" s="39" t="str">
        <f>IF(OR($A288&lt;&gt;"", $G288=""),"",CONCATENATE(";",EscStr(CONCATENATE("NavNode_",getCategoryLevelAsString($B288))),";",EscStr($J288),";",IF($B288&lt;&gt;"","""MainCategoryNavNode""",EscStr(CONCATENATE("NavNode_",getSuperCategory($B288, getCategoryLevelAsNumber($B288))))),";"))</f>
        <v>;"NavNode_L3D_525440";"Solder Fume Extractor and Filter Systems";"NavNode_L2D_379533";</v>
      </c>
      <c r="Z288" s="39" t="str">
        <f>IF(getCategoryLevelAsString($B288)="L0D_324785","",IF(G288="",CONCATENATE(";",EscStr(CONCATENATE("NavNode_",getCategoryLevelAsString($B288))),";",EscStr($J288),";"),CONCATENATE(";",EscStr(CONCATENATE("NavNode_",getCategoryLevelAsString($B288))),";",EscStr(G288),";")))</f>
        <v>;"NavNode_L3D_525440";"Lötdampfabsorber und Filtersysteme";</v>
      </c>
      <c r="AA288" s="39" t="str">
        <f>IF(getCategoryLevelAsString($B288)="L0D_324785","",IF(H288="",CONCATENATE(";",EscStr(CONCATENATE("NavNode_",getCategoryLevelAsString($B288))),";",EscStr($J288),";"),CONCATENATE(";",EscStr(CONCATENATE("NavNode_",getCategoryLevelAsString($B288))),";",EscStr(H288),";")))</f>
        <v>;"NavNode_L3D_525440";"Absorbeur de vapeur de soudure et systèmes de filtre";</v>
      </c>
      <c r="AB288" s="39" t="str">
        <f>IF(getCategoryLevelAsString($B288)="L0D_324785","",IF(I288="",CONCATENATE(";",EscStr(CONCATENATE("NavNode_",getCategoryLevelAsString($B288))),";",EscStr($J288),";"),CONCATENATE(";",EscStr(CONCATENATE("NavNode_",getCategoryLevelAsString($B288))),";",EscStr(I288),";")))</f>
        <v>;"NavNode_L3D_525440";"Assorbenti del vapore di saldatura e sistemi di filtraggio";</v>
      </c>
      <c r="AC288" s="39" t="str">
        <f>IF(getCategoryLevelAsString($B288)="L0D_324785","",IF(J288="",CONCATENATE(";",EscStr(CONCATENATE("NavNode_",getCategoryLevelAsString($B288))),";",EscStr($J288),";"),CONCATENATE(";",EscStr(CONCATENATE("NavNode_",getCategoryLevelAsString($B288))),";",EscStr(J288),";")))</f>
        <v>;"NavNode_L3D_525440";"Solder Fume Extractor and Filter Systems";</v>
      </c>
      <c r="AD288" s="39" t="str">
        <f>IF(getCategoryLevelAsString($B288)="L0D_324785","",IF(K288="",CONCATENATE(";",EscStr(CONCATENATE("NavNode_",getCategoryLevelAsString($B288))),";",EscStr($J288),";"),CONCATENATE(";",EscStr(CONCATENATE("NavNode_",getCategoryLevelAsString($B288))),";",EscStr(K288),";")))</f>
        <v>;"NavNode_L3D_525440";"Lodderøgsudsugnings- og filtersystemer";</v>
      </c>
      <c r="AE288" s="39" t="str">
        <f>IF(getCategoryLevelAsString($B288)="L0D_324785","",IF(L288="",CONCATENATE(";",EscStr(CONCATENATE("NavNode_",getCategoryLevelAsString($B288))),";",EscStr($J288),";"),CONCATENATE(";",EscStr(CONCATENATE("NavNode_",getCategoryLevelAsString($B288))),";",EscStr(L288),";")))</f>
        <v>;"NavNode_L3D_525440";"Litavimo dūmų ištraukimo ir filtravimo sistemos";</v>
      </c>
      <c r="AF288" s="39" t="str">
        <f>IF(getCategoryLevelAsString($B288)="L0D_324785","",IF(M288="",CONCATENATE(";",EscStr(CONCATENATE("NavNode_",getCategoryLevelAsString($B288))),";",EscStr($J288),";"),CONCATENATE(";",EscStr(CONCATENATE("NavNode_",getCategoryLevelAsString($B288))),";",EscStr(M288),";")))</f>
        <v>;"NavNode_L3D_525440";"Ventilator for lodderøyk og filtersystemer";</v>
      </c>
      <c r="AG288" s="39" t="str">
        <f>IF(getCategoryLevelAsString($B288)="L0D_324785","",IF(N288="",CONCATENATE(";",EscStr(CONCATENATE("NavNode_",getCategoryLevelAsString($B288))),";",EscStr($J288),";"),CONCATENATE(";",EscStr(CONCATENATE("NavNode_",getCategoryLevelAsString($B288))),";",EscStr(N288),";")))</f>
        <v>;"NavNode_L3D_525440";"System för utsug och filtrering av lödrök";</v>
      </c>
      <c r="AH288" s="39" t="str">
        <f>IF(getCategoryLevelAsString($B288)="L0D_324785","",IF(O288="",CONCATENATE(";",EscStr(CONCATENATE("NavNode_",getCategoryLevelAsString($B288))),";",EscStr($J288),";"),CONCATENATE(";",EscStr(CONCATENATE("NavNode_",getCategoryLevelAsString($B288))),";",EscStr(O288),";")))</f>
        <v>;"NavNode_L3D_525440";"Jooteaurude eemaldajad ja filtreerimisseadmed";</v>
      </c>
      <c r="AI288" s="39" t="str">
        <f>IF(getCategoryLevelAsString($B288)="L0D_324785","",IF(P288="",CONCATENATE(";",EscStr(CONCATENATE("NavNode_",getCategoryLevelAsString($B288))),";",EscStr($J288),";"),CONCATENATE(";",EscStr(CONCATENATE("NavNode_",getCategoryLevelAsString($B288))),";",EscStr(P288),";")))</f>
        <v>;"NavNode_L3D_525440";"Juotoskaasuimuri";</v>
      </c>
      <c r="AJ288" s="39" t="str">
        <f>IF(getCategoryLevelAsString($B288)="L0D_324785","",IF(Q288="",CONCATENATE(";",EscStr(CONCATENATE("NavNode_",getCategoryLevelAsString($B288))),";",EscStr($J288),";"),CONCATENATE(";",EscStr(CONCATENATE("NavNode_",getCategoryLevelAsString($B288))),";",EscStr(Q288),";")))</f>
        <v>;"NavNode_L3D_525440";"Lodēšanas tvaiku atsūcēji un filtri";</v>
      </c>
      <c r="AK288" s="39" t="str">
        <f>IF(getCategoryLevelAsString($B288)="L0D_324785","",IF(R288="",CONCATENATE(";",EscStr(CONCATENATE("NavNode_",getCategoryLevelAsString($B288))),";",EscStr($J288),";"),CONCATENATE(";",EscStr(CONCATENATE("NavNode_",getCategoryLevelAsString($B288))),";",EscStr(R288),";")))</f>
        <v>;"NavNode_L3D_525440";"Soldeerdampafzuiging en filtersystemen";</v>
      </c>
      <c r="AL288" s="39" t="str">
        <f>IF(getCategoryLevelAsString($B288)="L0D_324785","",IF(S288="",CONCATENATE(";",EscStr(CONCATENATE("NavNode_",getCategoryLevelAsString($B288))),";",EscStr($J288),";"),CONCATENATE(";",EscStr(CONCATENATE("NavNode_",getCategoryLevelAsString($B288))),";",EscStr(S288),";")))</f>
        <v>;"NavNode_L3D_525440";"Pochłaniacze oparów lutowania i Systemy filtrowania";</v>
      </c>
      <c r="AM288" s="39" t="str">
        <f>IF(getCategoryLevelAsString($B288)="L0D_324785","",IF(T288="",CONCATENATE(";",EscStr(CONCATENATE("NavNode_",getCategoryLevelAsString($B288))),";",EscStr($J288),";"),CONCATENATE(";",EscStr(CONCATENATE("NavNode_",getCategoryLevelAsString($B288))),";",EscStr(T288),";")))</f>
        <v>;"NavNode_L3D_525440";"Поглотители дыма при пайке и системы фильтров";</v>
      </c>
      <c r="AN288" s="39" t="str">
        <f>IF(getCategoryLevelAsString($B288)="L0D_324785","",IF(U288="",CONCATENATE(";",EscStr(CONCATENATE("NavNode_",getCategoryLevelAsString($B288))),";",EscStr($J288),";"),CONCATENATE(";",EscStr(CONCATENATE("NavNode_",getCategoryLevelAsString($B288))),";",EscStr(U288),";")))</f>
        <v>;"NavNode_L3D_525440";"Zachycovač výparů z pájení / filtrační systémy";</v>
      </c>
      <c r="AO288" s="39" t="str">
        <f>IF(getCategoryLevelAsString($B288)="L0D_324785","",IF(V288="",CONCATENATE(";",EscStr(CONCATENATE("NavNode_",getCategoryLevelAsString($B288))),";",EscStr($J288),";"),CONCATENATE(";",EscStr(CONCATENATE("NavNode_",getCategoryLevelAsString($B288))),";",EscStr(V288),";")))</f>
        <v>;"NavNode_L3D_525440";"Sisteme de absorbţie şi filtrare a vaporilor de la cositorire";</v>
      </c>
      <c r="AP288" s="39" t="str">
        <f>IF(getCategoryLevelAsString($B288)="L0D_324785","",IF(W288="",CONCATENATE(";",EscStr(CONCATENATE("NavNode_",getCategoryLevelAsString($B288))),";",EscStr($J288),";"),CONCATENATE(";",EscStr(CONCATENATE("NavNode_",getCategoryLevelAsString($B288))),";",EscStr(W288),";")))</f>
        <v>;"NavNode_L3D_525440";"Forrasztófüst elszívó- és szűrőrendszerek";</v>
      </c>
      <c r="AQ288" s="39" t="str">
        <f>IF(getCategoryLevelAsString($B288)="L0D_324785","",IF(X288="",CONCATENATE(";",EscStr(CONCATENATE("NavNode_",getCategoryLevelAsString($B288))),";",EscStr($J288),";"),CONCATENATE(";",EscStr(CONCATENATE("NavNode_",getCategoryLevelAsString($B288))),";",EscStr(X288),";")))</f>
        <v>;"NavNode_L3D_525440";"Zachytávač výparov zo spájkovania a filtračné systémy";</v>
      </c>
      <c r="AR288" s="39" t="str">
        <f>IF(OR($A288&lt;&gt;"", $G288=""),"",CONCATENATE(";",EscStr(CONCATENATE("NavEntry_",getCategoryLevelAsString($B288))),";",EscStr(CONCATENATE($J288," Navigation Entry")),";",EscStr(CONCATENATE("cat-",getCategoryLevelAsString($B288))),";",EscStr(CONCATENATE("NavNode_",getCategoryLevelAsString($B288))),";"))</f>
        <v>;"NavEntry_L3D_525440";"Solder Fume Extractor and Filter Systems Navigation Entry";"cat-L3D_525440";"NavNode_L3D_525440";</v>
      </c>
    </row>
    <row r="289" spans="1:44" s="34" customFormat="1" ht="15" x14ac:dyDescent="0.25">
      <c r="A289" s="25"/>
      <c r="B289" s="5"/>
      <c r="C289" s="5"/>
      <c r="D289" s="5" t="s">
        <v>261</v>
      </c>
      <c r="E289" s="5"/>
      <c r="F289" s="5"/>
      <c r="G289" s="5" t="s">
        <v>1053</v>
      </c>
      <c r="H289" s="5" t="s">
        <v>1106</v>
      </c>
      <c r="I289" s="5" t="s">
        <v>1165</v>
      </c>
      <c r="J289" s="5" t="s">
        <v>922</v>
      </c>
      <c r="K289" s="5" t="s">
        <v>1262</v>
      </c>
      <c r="L289" s="5" t="s">
        <v>1497</v>
      </c>
      <c r="M289" s="5" t="s">
        <v>1728</v>
      </c>
      <c r="N289" s="5" t="s">
        <v>1930</v>
      </c>
      <c r="O289" s="5" t="s">
        <v>2972</v>
      </c>
      <c r="P289" s="5" t="s">
        <v>2973</v>
      </c>
      <c r="Q289" s="5" t="s">
        <v>2974</v>
      </c>
      <c r="R289" s="5" t="s">
        <v>2975</v>
      </c>
      <c r="S289" s="5" t="s">
        <v>2976</v>
      </c>
      <c r="T289" s="5" t="s">
        <v>2977</v>
      </c>
      <c r="U289" s="5" t="s">
        <v>2978</v>
      </c>
      <c r="V289" s="5" t="s">
        <v>2979</v>
      </c>
      <c r="W289" s="5" t="s">
        <v>2980</v>
      </c>
      <c r="X289" s="5" t="s">
        <v>14986</v>
      </c>
      <c r="Y289" s="39" t="str">
        <f>IF(OR($A289&lt;&gt;"", $G289=""),"",CONCATENATE(";",EscStr(CONCATENATE("NavNode_",getCategoryLevelAsString($B289))),";",EscStr($J289),";",IF($B289&lt;&gt;"","""MainCategoryNavNode""",EscStr(CONCATENATE("NavNode_",getSuperCategory($B289, getCategoryLevelAsNumber($B289))))),";"))</f>
        <v>;"NavNode_L3D_525438";"Soldering tips, Desoldering and Hot Air Nozzles";"NavNode_L2D_379533";</v>
      </c>
      <c r="Z289" s="39" t="str">
        <f>IF(getCategoryLevelAsString($B289)="L0D_324785","",IF(G289="",CONCATENATE(";",EscStr(CONCATENATE("NavNode_",getCategoryLevelAsString($B289))),";",EscStr($J289),";"),CONCATENATE(";",EscStr(CONCATENATE("NavNode_",getCategoryLevelAsString($B289))),";",EscStr(G289),";")))</f>
        <v>;"NavNode_L3D_525438";"Lötspitzen, Entlöt- und Heissluftdüsen";</v>
      </c>
      <c r="AA289" s="39" t="str">
        <f>IF(getCategoryLevelAsString($B289)="L0D_324785","",IF(H289="",CONCATENATE(";",EscStr(CONCATENATE("NavNode_",getCategoryLevelAsString($B289))),";",EscStr($J289),";"),CONCATENATE(";",EscStr(CONCATENATE("NavNode_",getCategoryLevelAsString($B289))),";",EscStr(H289),";")))</f>
        <v>;"NavNode_L3D_525438";"Pannes à souder, dessoudage et buses de souffleur d'air chaud";</v>
      </c>
      <c r="AB289" s="39" t="str">
        <f>IF(getCategoryLevelAsString($B289)="L0D_324785","",IF(I289="",CONCATENATE(";",EscStr(CONCATENATE("NavNode_",getCategoryLevelAsString($B289))),";",EscStr($J289),";"),CONCATENATE(";",EscStr(CONCATENATE("NavNode_",getCategoryLevelAsString($B289))),";",EscStr(I289),";")))</f>
        <v>;"NavNode_L3D_525438";"Punte per saldatore, ugelli aria calda e dissaldanti";</v>
      </c>
      <c r="AC289" s="39" t="str">
        <f>IF(getCategoryLevelAsString($B289)="L0D_324785","",IF(J289="",CONCATENATE(";",EscStr(CONCATENATE("NavNode_",getCategoryLevelAsString($B289))),";",EscStr($J289),";"),CONCATENATE(";",EscStr(CONCATENATE("NavNode_",getCategoryLevelAsString($B289))),";",EscStr(J289),";")))</f>
        <v>;"NavNode_L3D_525438";"Soldering tips, Desoldering and Hot Air Nozzles";</v>
      </c>
      <c r="AD289" s="39" t="str">
        <f>IF(getCategoryLevelAsString($B289)="L0D_324785","",IF(K289="",CONCATENATE(";",EscStr(CONCATENATE("NavNode_",getCategoryLevelAsString($B289))),";",EscStr($J289),";"),CONCATENATE(";",EscStr(CONCATENATE("NavNode_",getCategoryLevelAsString($B289))),";",EscStr(K289),";")))</f>
        <v>;"NavNode_L3D_525438";"Loddespidser, aflodnings- og varmluftsdyser";</v>
      </c>
      <c r="AE289" s="39" t="str">
        <f>IF(getCategoryLevelAsString($B289)="L0D_324785","",IF(L289="",CONCATENATE(";",EscStr(CONCATENATE("NavNode_",getCategoryLevelAsString($B289))),";",EscStr($J289),";"),CONCATENATE(";",EscStr(CONCATENATE("NavNode_",getCategoryLevelAsString($B289))),";",EscStr(L289),";")))</f>
        <v>;"NavNode_L3D_525438";"Litavimo antgaliai, lydmetalio šalinimo ir karšto oro antgaliai";</v>
      </c>
      <c r="AF289" s="39" t="str">
        <f>IF(getCategoryLevelAsString($B289)="L0D_324785","",IF(M289="",CONCATENATE(";",EscStr(CONCATENATE("NavNode_",getCategoryLevelAsString($B289))),";",EscStr($J289),";"),CONCATENATE(";",EscStr(CONCATENATE("NavNode_",getCategoryLevelAsString($B289))),";",EscStr(M289),";")))</f>
        <v>;"NavNode_L3D_525438";"Loddespisser, tinnfjerning og varmluftsdyser";</v>
      </c>
      <c r="AG289" s="39" t="str">
        <f>IF(getCategoryLevelAsString($B289)="L0D_324785","",IF(N289="",CONCATENATE(";",EscStr(CONCATENATE("NavNode_",getCategoryLevelAsString($B289))),";",EscStr($J289),";"),CONCATENATE(";",EscStr(CONCATENATE("NavNode_",getCategoryLevelAsString($B289))),";",EscStr(N289),";")))</f>
        <v>;"NavNode_L3D_525438";"Lödspetsar, avlödnings- och hetluftsmunstycken";</v>
      </c>
      <c r="AH289" s="39" t="str">
        <f>IF(getCategoryLevelAsString($B289)="L0D_324785","",IF(O289="",CONCATENATE(";",EscStr(CONCATENATE("NavNode_",getCategoryLevelAsString($B289))),";",EscStr($J289),";"),CONCATENATE(";",EscStr(CONCATENATE("NavNode_",getCategoryLevelAsString($B289))),";",EscStr(O289),";")))</f>
        <v>;"NavNode_L3D_525438";"Kolviotsad, lahtijootmis ja kuumaõhu kolbide otsikud";</v>
      </c>
      <c r="AI289" s="39" t="str">
        <f>IF(getCategoryLevelAsString($B289)="L0D_324785","",IF(P289="",CONCATENATE(";",EscStr(CONCATENATE("NavNode_",getCategoryLevelAsString($B289))),";",EscStr($J289),";"),CONCATENATE(";",EscStr(CONCATENATE("NavNode_",getCategoryLevelAsString($B289))),";",EscStr(P289),";")))</f>
        <v>;"NavNode_L3D_525438";"Juottimen kärjet,kuumailma suuttimet";</v>
      </c>
      <c r="AJ289" s="39" t="str">
        <f>IF(getCategoryLevelAsString($B289)="L0D_324785","",IF(Q289="",CONCATENATE(";",EscStr(CONCATENATE("NavNode_",getCategoryLevelAsString($B289))),";",EscStr($J289),";"),CONCATENATE(";",EscStr(CONCATENATE("NavNode_",getCategoryLevelAsString($B289))),";",EscStr(Q289),";")))</f>
        <v>;"NavNode_L3D_525438";"Lodēšanas uzgaļi, atlodēšanas un karstā gaisa sprauslas";</v>
      </c>
      <c r="AK289" s="39" t="str">
        <f>IF(getCategoryLevelAsString($B289)="L0D_324785","",IF(R289="",CONCATENATE(";",EscStr(CONCATENATE("NavNode_",getCategoryLevelAsString($B289))),";",EscStr($J289),";"),CONCATENATE(";",EscStr(CONCATENATE("NavNode_",getCategoryLevelAsString($B289))),";",EscStr(R289),";")))</f>
        <v>;"NavNode_L3D_525438";"Soldeerstiften, desoldeer en hetelucht mondstuken";</v>
      </c>
      <c r="AL289" s="39" t="str">
        <f>IF(getCategoryLevelAsString($B289)="L0D_324785","",IF(S289="",CONCATENATE(";",EscStr(CONCATENATE("NavNode_",getCategoryLevelAsString($B289))),";",EscStr($J289),";"),CONCATENATE(";",EscStr(CONCATENATE("NavNode_",getCategoryLevelAsString($B289))),";",EscStr(S289),";")))</f>
        <v>;"NavNode_L3D_525438";"Groty lutownicze, końcówki do rozlutownic i dysze gorącego powietrza";</v>
      </c>
      <c r="AM289" s="39" t="str">
        <f>IF(getCategoryLevelAsString($B289)="L0D_324785","",IF(T289="",CONCATENATE(";",EscStr(CONCATENATE("NavNode_",getCategoryLevelAsString($B289))),";",EscStr($J289),";"),CONCATENATE(";",EscStr(CONCATENATE("NavNode_",getCategoryLevelAsString($B289))),";",EscStr(T289),";")))</f>
        <v>;"NavNode_L3D_525438";"Паяльные наконечники, Демонтажные и  Насадки горячего воздуха";</v>
      </c>
      <c r="AN289" s="39" t="str">
        <f>IF(getCategoryLevelAsString($B289)="L0D_324785","",IF(U289="",CONCATENATE(";",EscStr(CONCATENATE("NavNode_",getCategoryLevelAsString($B289))),";",EscStr($J289),";"),CONCATENATE(";",EscStr(CONCATENATE("NavNode_",getCategoryLevelAsString($B289))),";",EscStr(U289),";")))</f>
        <v>;"NavNode_L3D_525438";"Pájení, odpájení a horkovzdušné trysky";</v>
      </c>
      <c r="AO289" s="39" t="str">
        <f>IF(getCategoryLevelAsString($B289)="L0D_324785","",IF(V289="",CONCATENATE(";",EscStr(CONCATENATE("NavNode_",getCategoryLevelAsString($B289))),";",EscStr($J289),";"),CONCATENATE(";",EscStr(CONCATENATE("NavNode_",getCategoryLevelAsString($B289))),";",EscStr(V289),";")))</f>
        <v>;"NavNode_L3D_525438";"Vârfuri pentru aparatele de cositorit , descositorit - şi jeturi pentru aer fierbinte";</v>
      </c>
      <c r="AP289" s="39" t="str">
        <f>IF(getCategoryLevelAsString($B289)="L0D_324785","",IF(W289="",CONCATENATE(";",EscStr(CONCATENATE("NavNode_",getCategoryLevelAsString($B289))),";",EscStr($J289),";"),CONCATENATE(";",EscStr(CONCATENATE("NavNode_",getCategoryLevelAsString($B289))),";",EscStr(W289),";")))</f>
        <v>;"NavNode_L3D_525438";"Pákahegyek, kiforrasztó- és meleglevegő-adapterek";</v>
      </c>
      <c r="AQ289" s="39" t="str">
        <f>IF(getCategoryLevelAsString($B289)="L0D_324785","",IF(X289="",CONCATENATE(";",EscStr(CONCATENATE("NavNode_",getCategoryLevelAsString($B289))),";",EscStr($J289),";"),CONCATENATE(";",EscStr(CONCATENATE("NavNode_",getCategoryLevelAsString($B289))),";",EscStr(X289),";")))</f>
        <v>;"NavNode_L3D_525438";"Spájkovanie, odspájkovanie a teplovzdušné dýzy";</v>
      </c>
      <c r="AR289" s="39" t="str">
        <f>IF(OR($A289&lt;&gt;"", $G289=""),"",CONCATENATE(";",EscStr(CONCATENATE("NavEntry_",getCategoryLevelAsString($B289))),";",EscStr(CONCATENATE($J289," Navigation Entry")),";",EscStr(CONCATENATE("cat-",getCategoryLevelAsString($B289))),";",EscStr(CONCATENATE("NavNode_",getCategoryLevelAsString($B289))),";"))</f>
        <v>;"NavEntry_L3D_525438";"Soldering tips, Desoldering and Hot Air Nozzles Navigation Entry";"cat-L3D_525438";"NavNode_L3D_525438";</v>
      </c>
    </row>
    <row r="290" spans="1:44" s="34" customFormat="1" ht="15" x14ac:dyDescent="0.25">
      <c r="A290" s="25"/>
      <c r="B290" s="5"/>
      <c r="C290" s="5"/>
      <c r="D290" s="5" t="s">
        <v>255</v>
      </c>
      <c r="E290" s="5"/>
      <c r="F290" s="5"/>
      <c r="G290" s="5" t="s">
        <v>570</v>
      </c>
      <c r="H290" s="5" t="s">
        <v>571</v>
      </c>
      <c r="I290" s="5" t="s">
        <v>572</v>
      </c>
      <c r="J290" s="5" t="s">
        <v>573</v>
      </c>
      <c r="K290" s="5" t="s">
        <v>1263</v>
      </c>
      <c r="L290" s="5" t="s">
        <v>1498</v>
      </c>
      <c r="M290" s="5" t="s">
        <v>1729</v>
      </c>
      <c r="N290" s="5" t="s">
        <v>1931</v>
      </c>
      <c r="O290" s="5" t="s">
        <v>2981</v>
      </c>
      <c r="P290" s="5" t="s">
        <v>2982</v>
      </c>
      <c r="Q290" s="5" t="s">
        <v>2983</v>
      </c>
      <c r="R290" s="5" t="s">
        <v>2984</v>
      </c>
      <c r="S290" s="5" t="s">
        <v>2985</v>
      </c>
      <c r="T290" s="5" t="s">
        <v>2986</v>
      </c>
      <c r="U290" s="5" t="s">
        <v>2987</v>
      </c>
      <c r="V290" s="5" t="s">
        <v>2988</v>
      </c>
      <c r="W290" s="5" t="s">
        <v>2989</v>
      </c>
      <c r="X290" s="5" t="s">
        <v>14987</v>
      </c>
      <c r="Y290" s="39" t="str">
        <f>IF(OR($A290&lt;&gt;"", $G290=""),"",CONCATENATE(";",EscStr(CONCATENATE("NavNode_",getCategoryLevelAsString($B290))),";",EscStr($J290),";",IF($B290&lt;&gt;"","""MainCategoryNavNode""",EscStr(CONCATENATE("NavNode_",getSuperCategory($B290, getCategoryLevelAsNumber($B290))))),";"))</f>
        <v>;"NavNode_L3D_525446";"Soldering Accessories and Replacement Parts";"NavNode_L2D_379533";</v>
      </c>
      <c r="Z290" s="39" t="str">
        <f>IF(getCategoryLevelAsString($B290)="L0D_324785","",IF(G290="",CONCATENATE(";",EscStr(CONCATENATE("NavNode_",getCategoryLevelAsString($B290))),";",EscStr($J290),";"),CONCATENATE(";",EscStr(CONCATENATE("NavNode_",getCategoryLevelAsString($B290))),";",EscStr(G290),";")))</f>
        <v>;"NavNode_L3D_525446";"Lötzubehör und Ersatzteile";</v>
      </c>
      <c r="AA290" s="39" t="str">
        <f>IF(getCategoryLevelAsString($B290)="L0D_324785","",IF(H290="",CONCATENATE(";",EscStr(CONCATENATE("NavNode_",getCategoryLevelAsString($B290))),";",EscStr($J290),";"),CONCATENATE(";",EscStr(CONCATENATE("NavNode_",getCategoryLevelAsString($B290))),";",EscStr(H290),";")))</f>
        <v>;"NavNode_L3D_525446";"Accessoires pour soudage et pièces de rechange";</v>
      </c>
      <c r="AB290" s="39" t="str">
        <f>IF(getCategoryLevelAsString($B290)="L0D_324785","",IF(I290="",CONCATENATE(";",EscStr(CONCATENATE("NavNode_",getCategoryLevelAsString($B290))),";",EscStr($J290),";"),CONCATENATE(";",EscStr(CONCATENATE("NavNode_",getCategoryLevelAsString($B290))),";",EscStr(I290),";")))</f>
        <v>;"NavNode_L3D_525446";"Accessori per saldatura e ricambi";</v>
      </c>
      <c r="AC290" s="39" t="str">
        <f>IF(getCategoryLevelAsString($B290)="L0D_324785","",IF(J290="",CONCATENATE(";",EscStr(CONCATENATE("NavNode_",getCategoryLevelAsString($B290))),";",EscStr($J290),";"),CONCATENATE(";",EscStr(CONCATENATE("NavNode_",getCategoryLevelAsString($B290))),";",EscStr(J290),";")))</f>
        <v>;"NavNode_L3D_525446";"Soldering Accessories and Replacement Parts";</v>
      </c>
      <c r="AD290" s="39" t="str">
        <f>IF(getCategoryLevelAsString($B290)="L0D_324785","",IF(K290="",CONCATENATE(";",EscStr(CONCATENATE("NavNode_",getCategoryLevelAsString($B290))),";",EscStr($J290),";"),CONCATENATE(";",EscStr(CONCATENATE("NavNode_",getCategoryLevelAsString($B290))),";",EscStr(K290),";")))</f>
        <v>;"NavNode_L3D_525446";"Loddetilbehør og reservedele";</v>
      </c>
      <c r="AE290" s="39" t="str">
        <f>IF(getCategoryLevelAsString($B290)="L0D_324785","",IF(L290="",CONCATENATE(";",EscStr(CONCATENATE("NavNode_",getCategoryLevelAsString($B290))),";",EscStr($J290),";"),CONCATENATE(";",EscStr(CONCATENATE("NavNode_",getCategoryLevelAsString($B290))),";",EscStr(L290),";")))</f>
        <v>;"NavNode_L3D_525446";"Litavimo priedai ir pakaitinės dalys";</v>
      </c>
      <c r="AF290" s="39" t="str">
        <f>IF(getCategoryLevelAsString($B290)="L0D_324785","",IF(M290="",CONCATENATE(";",EscStr(CONCATENATE("NavNode_",getCategoryLevelAsString($B290))),";",EscStr($J290),";"),CONCATENATE(";",EscStr(CONCATENATE("NavNode_",getCategoryLevelAsString($B290))),";",EscStr(M290),";")))</f>
        <v>;"NavNode_L3D_525446";"Tilbhør og reservedeler til loddeutstyr";</v>
      </c>
      <c r="AG290" s="39" t="str">
        <f>IF(getCategoryLevelAsString($B290)="L0D_324785","",IF(N290="",CONCATENATE(";",EscStr(CONCATENATE("NavNode_",getCategoryLevelAsString($B290))),";",EscStr($J290),";"),CONCATENATE(";",EscStr(CONCATENATE("NavNode_",getCategoryLevelAsString($B290))),";",EscStr(N290),";")))</f>
        <v>;"NavNode_L3D_525446";"Lödtillbehör och reservdelar";</v>
      </c>
      <c r="AH290" s="39" t="str">
        <f>IF(getCategoryLevelAsString($B290)="L0D_324785","",IF(O290="",CONCATENATE(";",EscStr(CONCATENATE("NavNode_",getCategoryLevelAsString($B290))),";",EscStr($J290),";"),CONCATENATE(";",EscStr(CONCATENATE("NavNode_",getCategoryLevelAsString($B290))),";",EscStr(O290),";")))</f>
        <v>;"NavNode_L3D_525446";"Jootetarvikud ja varuosad";</v>
      </c>
      <c r="AI290" s="39" t="str">
        <f>IF(getCategoryLevelAsString($B290)="L0D_324785","",IF(P290="",CONCATENATE(";",EscStr(CONCATENATE("NavNode_",getCategoryLevelAsString($B290))),";",EscStr($J290),";"),CONCATENATE(";",EscStr(CONCATENATE("NavNode_",getCategoryLevelAsString($B290))),";",EscStr(P290),";")))</f>
        <v>;"NavNode_L3D_525446";"Juottimen osia";</v>
      </c>
      <c r="AJ290" s="39" t="str">
        <f>IF(getCategoryLevelAsString($B290)="L0D_324785","",IF(Q290="",CONCATENATE(";",EscStr(CONCATENATE("NavNode_",getCategoryLevelAsString($B290))),";",EscStr($J290),";"),CONCATENATE(";",EscStr(CONCATENATE("NavNode_",getCategoryLevelAsString($B290))),";",EscStr(Q290),";")))</f>
        <v>;"NavNode_L3D_525446";"Lodēšanas piederumi un rezerves daļas";</v>
      </c>
      <c r="AK290" s="39" t="str">
        <f>IF(getCategoryLevelAsString($B290)="L0D_324785","",IF(R290="",CONCATENATE(";",EscStr(CONCATENATE("NavNode_",getCategoryLevelAsString($B290))),";",EscStr($J290),";"),CONCATENATE(";",EscStr(CONCATENATE("NavNode_",getCategoryLevelAsString($B290))),";",EscStr(R290),";")))</f>
        <v>;"NavNode_L3D_525446";"Soldeer accessoires en vervangende onderdelen";</v>
      </c>
      <c r="AL290" s="39" t="str">
        <f>IF(getCategoryLevelAsString($B290)="L0D_324785","",IF(S290="",CONCATENATE(";",EscStr(CONCATENATE("NavNode_",getCategoryLevelAsString($B290))),";",EscStr($J290),";"),CONCATENATE(";",EscStr(CONCATENATE("NavNode_",getCategoryLevelAsString($B290))),";",EscStr(S290),";")))</f>
        <v>;"NavNode_L3D_525446";"Akcesoria lutownicze i Części zamienne";</v>
      </c>
      <c r="AM290" s="39" t="str">
        <f>IF(getCategoryLevelAsString($B290)="L0D_324785","",IF(T290="",CONCATENATE(";",EscStr(CONCATENATE("NavNode_",getCategoryLevelAsString($B290))),";",EscStr($J290),";"),CONCATENATE(";",EscStr(CONCATENATE("NavNode_",getCategoryLevelAsString($B290))),";",EscStr(T290),";")))</f>
        <v>;"NavNode_L3D_525446";"Принадлежности и запчасти для пайки";</v>
      </c>
      <c r="AN290" s="39" t="str">
        <f>IF(getCategoryLevelAsString($B290)="L0D_324785","",IF(U290="",CONCATENATE(";",EscStr(CONCATENATE("NavNode_",getCategoryLevelAsString($B290))),";",EscStr($J290),";"),CONCATENATE(";",EscStr(CONCATENATE("NavNode_",getCategoryLevelAsString($B290))),";",EscStr(U290),";")))</f>
        <v>;"NavNode_L3D_525446";"Pájecí příslušenství a náhradní díly";</v>
      </c>
      <c r="AO290" s="39" t="str">
        <f>IF(getCategoryLevelAsString($B290)="L0D_324785","",IF(V290="",CONCATENATE(";",EscStr(CONCATENATE("NavNode_",getCategoryLevelAsString($B290))),";",EscStr($J290),";"),CONCATENATE(";",EscStr(CONCATENATE("NavNode_",getCategoryLevelAsString($B290))),";",EscStr(V290),";")))</f>
        <v>;"NavNode_L3D_525446";"Piese si accesorii de cositorit";</v>
      </c>
      <c r="AP290" s="39" t="str">
        <f>IF(getCategoryLevelAsString($B290)="L0D_324785","",IF(W290="",CONCATENATE(";",EscStr(CONCATENATE("NavNode_",getCategoryLevelAsString($B290))),";",EscStr($J290),";"),CONCATENATE(";",EscStr(CONCATENATE("NavNode_",getCategoryLevelAsString($B290))),";",EscStr(W290),";")))</f>
        <v>;"NavNode_L3D_525446";"Forrasztó kellékek és tartozékok";</v>
      </c>
      <c r="AQ290" s="39" t="str">
        <f>IF(getCategoryLevelAsString($B290)="L0D_324785","",IF(X290="",CONCATENATE(";",EscStr(CONCATENATE("NavNode_",getCategoryLevelAsString($B290))),";",EscStr($J290),";"),CONCATENATE(";",EscStr(CONCATENATE("NavNode_",getCategoryLevelAsString($B290))),";",EscStr(X290),";")))</f>
        <v>;"NavNode_L3D_525446";"Spájkovacie príslušenstvo a náhradné diely";</v>
      </c>
      <c r="AR290" s="39" t="str">
        <f>IF(OR($A290&lt;&gt;"", $G290=""),"",CONCATENATE(";",EscStr(CONCATENATE("NavEntry_",getCategoryLevelAsString($B290))),";",EscStr(CONCATENATE($J290," Navigation Entry")),";",EscStr(CONCATENATE("cat-",getCategoryLevelAsString($B290))),";",EscStr(CONCATENATE("NavNode_",getCategoryLevelAsString($B290))),";"))</f>
        <v>;"NavEntry_L3D_525446";"Soldering Accessories and Replacement Parts Navigation Entry";"cat-L3D_525446";"NavNode_L3D_525446";</v>
      </c>
    </row>
    <row r="291" spans="1:44" s="34" customFormat="1" ht="15" x14ac:dyDescent="0.25">
      <c r="A291" s="25"/>
      <c r="B291" s="5"/>
      <c r="C291" s="5"/>
      <c r="D291" s="5" t="s">
        <v>259</v>
      </c>
      <c r="E291" s="5"/>
      <c r="F291" s="5"/>
      <c r="G291" s="5" t="s">
        <v>966</v>
      </c>
      <c r="H291" s="5" t="s">
        <v>811</v>
      </c>
      <c r="I291" s="5" t="s">
        <v>712</v>
      </c>
      <c r="J291" s="5" t="s">
        <v>575</v>
      </c>
      <c r="K291" s="5" t="s">
        <v>1264</v>
      </c>
      <c r="L291" s="5" t="s">
        <v>1499</v>
      </c>
      <c r="M291" s="5" t="s">
        <v>1264</v>
      </c>
      <c r="N291" s="5" t="s">
        <v>1932</v>
      </c>
      <c r="O291" s="5" t="s">
        <v>2990</v>
      </c>
      <c r="P291" s="5" t="s">
        <v>2991</v>
      </c>
      <c r="Q291" s="5" t="s">
        <v>2992</v>
      </c>
      <c r="R291" s="5" t="s">
        <v>2993</v>
      </c>
      <c r="S291" s="5" t="s">
        <v>2994</v>
      </c>
      <c r="T291" s="5" t="s">
        <v>2995</v>
      </c>
      <c r="U291" s="5" t="s">
        <v>2996</v>
      </c>
      <c r="V291" s="5" t="s">
        <v>2997</v>
      </c>
      <c r="W291" s="5" t="s">
        <v>2998</v>
      </c>
      <c r="X291" s="5" t="s">
        <v>14988</v>
      </c>
      <c r="Y291" s="39" t="str">
        <f>IF(OR($A291&lt;&gt;"", $G291=""),"",CONCATENATE(";",EscStr(CONCATENATE("NavNode_",getCategoryLevelAsString($B291))),";",EscStr($J291),";",IF($B291&lt;&gt;"","""MainCategoryNavNode""",EscStr(CONCATENATE("NavNode_",getSuperCategory($B291, getCategoryLevelAsNumber($B291))))),";"))</f>
        <v>;"NavNode_L3D_525444";"Soldering Materials";"NavNode_L2D_379533";</v>
      </c>
      <c r="Z291" s="39" t="str">
        <f>IF(getCategoryLevelAsString($B291)="L0D_324785","",IF(G291="",CONCATENATE(";",EscStr(CONCATENATE("NavNode_",getCategoryLevelAsString($B291))),";",EscStr($J291),";"),CONCATENATE(";",EscStr(CONCATENATE("NavNode_",getCategoryLevelAsString($B291))),";",EscStr(G291),";")))</f>
        <v>;"NavNode_L3D_525444";"Lötmaterialien";</v>
      </c>
      <c r="AA291" s="39" t="str">
        <f>IF(getCategoryLevelAsString($B291)="L0D_324785","",IF(H291="",CONCATENATE(";",EscStr(CONCATENATE("NavNode_",getCategoryLevelAsString($B291))),";",EscStr($J291),";"),CONCATENATE(";",EscStr(CONCATENATE("NavNode_",getCategoryLevelAsString($B291))),";",EscStr(H291),";")))</f>
        <v>;"NavNode_L3D_525444";"Matériaux de soudage";</v>
      </c>
      <c r="AB291" s="39" t="str">
        <f>IF(getCategoryLevelAsString($B291)="L0D_324785","",IF(I291="",CONCATENATE(";",EscStr(CONCATENATE("NavNode_",getCategoryLevelAsString($B291))),";",EscStr($J291),";"),CONCATENATE(";",EscStr(CONCATENATE("NavNode_",getCategoryLevelAsString($B291))),";",EscStr(I291),";")))</f>
        <v>;"NavNode_L3D_525444";"Materiali di brasatura";</v>
      </c>
      <c r="AC291" s="39" t="str">
        <f>IF(getCategoryLevelAsString($B291)="L0D_324785","",IF(J291="",CONCATENATE(";",EscStr(CONCATENATE("NavNode_",getCategoryLevelAsString($B291))),";",EscStr($J291),";"),CONCATENATE(";",EscStr(CONCATENATE("NavNode_",getCategoryLevelAsString($B291))),";",EscStr(J291),";")))</f>
        <v>;"NavNode_L3D_525444";"Soldering Materials";</v>
      </c>
      <c r="AD291" s="39" t="str">
        <f>IF(getCategoryLevelAsString($B291)="L0D_324785","",IF(K291="",CONCATENATE(";",EscStr(CONCATENATE("NavNode_",getCategoryLevelAsString($B291))),";",EscStr($J291),";"),CONCATENATE(";",EscStr(CONCATENATE("NavNode_",getCategoryLevelAsString($B291))),";",EscStr(K291),";")))</f>
        <v>;"NavNode_L3D_525444";"Loddematerialer";</v>
      </c>
      <c r="AE291" s="39" t="str">
        <f>IF(getCategoryLevelAsString($B291)="L0D_324785","",IF(L291="",CONCATENATE(";",EscStr(CONCATENATE("NavNode_",getCategoryLevelAsString($B291))),";",EscStr($J291),";"),CONCATENATE(";",EscStr(CONCATENATE("NavNode_",getCategoryLevelAsString($B291))),";",EscStr(L291),";")))</f>
        <v>;"NavNode_L3D_525444";"Litavimo medžiagos";</v>
      </c>
      <c r="AF291" s="39" t="str">
        <f>IF(getCategoryLevelAsString($B291)="L0D_324785","",IF(M291="",CONCATENATE(";",EscStr(CONCATENATE("NavNode_",getCategoryLevelAsString($B291))),";",EscStr($J291),";"),CONCATENATE(";",EscStr(CONCATENATE("NavNode_",getCategoryLevelAsString($B291))),";",EscStr(M291),";")))</f>
        <v>;"NavNode_L3D_525444";"Loddematerialer";</v>
      </c>
      <c r="AG291" s="39" t="str">
        <f>IF(getCategoryLevelAsString($B291)="L0D_324785","",IF(N291="",CONCATENATE(";",EscStr(CONCATENATE("NavNode_",getCategoryLevelAsString($B291))),";",EscStr($J291),";"),CONCATENATE(";",EscStr(CONCATENATE("NavNode_",getCategoryLevelAsString($B291))),";",EscStr(N291),";")))</f>
        <v>;"NavNode_L3D_525444";"Lödmaterial";</v>
      </c>
      <c r="AH291" s="39" t="str">
        <f>IF(getCategoryLevelAsString($B291)="L0D_324785","",IF(O291="",CONCATENATE(";",EscStr(CONCATENATE("NavNode_",getCategoryLevelAsString($B291))),";",EscStr($J291),";"),CONCATENATE(";",EscStr(CONCATENATE("NavNode_",getCategoryLevelAsString($B291))),";",EscStr(O291),";")))</f>
        <v>;"NavNode_L3D_525444";"Jootematerjalid";</v>
      </c>
      <c r="AI291" s="39" t="str">
        <f>IF(getCategoryLevelAsString($B291)="L0D_324785","",IF(P291="",CONCATENATE(";",EscStr(CONCATENATE("NavNode_",getCategoryLevelAsString($B291))),";",EscStr($J291),";"),CONCATENATE(";",EscStr(CONCATENATE("NavNode_",getCategoryLevelAsString($B291))),";",EscStr(P291),";")))</f>
        <v>;"NavNode_L3D_525444";"Juotostarvikkeet";</v>
      </c>
      <c r="AJ291" s="39" t="str">
        <f>IF(getCategoryLevelAsString($B291)="L0D_324785","",IF(Q291="",CONCATENATE(";",EscStr(CONCATENATE("NavNode_",getCategoryLevelAsString($B291))),";",EscStr($J291),";"),CONCATENATE(";",EscStr(CONCATENATE("NavNode_",getCategoryLevelAsString($B291))),";",EscStr(Q291),";")))</f>
        <v>;"NavNode_L3D_525444";"Lodēšanas materiāli";</v>
      </c>
      <c r="AK291" s="39" t="str">
        <f>IF(getCategoryLevelAsString($B291)="L0D_324785","",IF(R291="",CONCATENATE(";",EscStr(CONCATENATE("NavNode_",getCategoryLevelAsString($B291))),";",EscStr($J291),";"),CONCATENATE(";",EscStr(CONCATENATE("NavNode_",getCategoryLevelAsString($B291))),";",EscStr(R291),";")))</f>
        <v>;"NavNode_L3D_525444";"Soldeermaterialen";</v>
      </c>
      <c r="AL291" s="39" t="str">
        <f>IF(getCategoryLevelAsString($B291)="L0D_324785","",IF(S291="",CONCATENATE(";",EscStr(CONCATENATE("NavNode_",getCategoryLevelAsString($B291))),";",EscStr($J291),";"),CONCATENATE(";",EscStr(CONCATENATE("NavNode_",getCategoryLevelAsString($B291))),";",EscStr(S291),";")))</f>
        <v>;"NavNode_L3D_525444";"Materiały lutownicze";</v>
      </c>
      <c r="AM291" s="39" t="str">
        <f>IF(getCategoryLevelAsString($B291)="L0D_324785","",IF(T291="",CONCATENATE(";",EscStr(CONCATENATE("NavNode_",getCategoryLevelAsString($B291))),";",EscStr($J291),";"),CONCATENATE(";",EscStr(CONCATENATE("NavNode_",getCategoryLevelAsString($B291))),";",EscStr(T291),";")))</f>
        <v>;"NavNode_L3D_525444";"Материалы для пайки";</v>
      </c>
      <c r="AN291" s="39" t="str">
        <f>IF(getCategoryLevelAsString($B291)="L0D_324785","",IF(U291="",CONCATENATE(";",EscStr(CONCATENATE("NavNode_",getCategoryLevelAsString($B291))),";",EscStr($J291),";"),CONCATENATE(";",EscStr(CONCATENATE("NavNode_",getCategoryLevelAsString($B291))),";",EscStr(U291),";")))</f>
        <v>;"NavNode_L3D_525444";"Materiály a nástroje pro pájení";</v>
      </c>
      <c r="AO291" s="39" t="str">
        <f>IF(getCategoryLevelAsString($B291)="L0D_324785","",IF(V291="",CONCATENATE(";",EscStr(CONCATENATE("NavNode_",getCategoryLevelAsString($B291))),";",EscStr($J291),";"),CONCATENATE(";",EscStr(CONCATENATE("NavNode_",getCategoryLevelAsString($B291))),";",EscStr(V291),";")))</f>
        <v>;"NavNode_L3D_525444";"Materiale de cositorit";</v>
      </c>
      <c r="AP291" s="39" t="str">
        <f>IF(getCategoryLevelAsString($B291)="L0D_324785","",IF(W291="",CONCATENATE(";",EscStr(CONCATENATE("NavNode_",getCategoryLevelAsString($B291))),";",EscStr($J291),";"),CONCATENATE(";",EscStr(CONCATENATE("NavNode_",getCategoryLevelAsString($B291))),";",EscStr(W291),";")))</f>
        <v>;"NavNode_L3D_525444";"Forrasztóanyagok";</v>
      </c>
      <c r="AQ291" s="39" t="str">
        <f>IF(getCategoryLevelAsString($B291)="L0D_324785","",IF(X291="",CONCATENATE(";",EscStr(CONCATENATE("NavNode_",getCategoryLevelAsString($B291))),";",EscStr($J291),";"),CONCATENATE(";",EscStr(CONCATENATE("NavNode_",getCategoryLevelAsString($B291))),";",EscStr(X291),";")))</f>
        <v>;"NavNode_L3D_525444";"Spájkovacie materiály";</v>
      </c>
      <c r="AR291" s="39" t="str">
        <f>IF(OR($A291&lt;&gt;"", $G291=""),"",CONCATENATE(";",EscStr(CONCATENATE("NavEntry_",getCategoryLevelAsString($B291))),";",EscStr(CONCATENATE($J291," Navigation Entry")),";",EscStr(CONCATENATE("cat-",getCategoryLevelAsString($B291))),";",EscStr(CONCATENATE("NavNode_",getCategoryLevelAsString($B291))),";"))</f>
        <v>;"NavEntry_L3D_525444";"Soldering Materials Navigation Entry";"cat-L3D_525444";"NavNode_L3D_525444";</v>
      </c>
    </row>
    <row r="292" spans="1:44" s="34" customFormat="1" ht="15" x14ac:dyDescent="0.25">
      <c r="A292" s="25"/>
      <c r="B292" s="5"/>
      <c r="C292" s="5"/>
      <c r="D292" s="5" t="s">
        <v>256</v>
      </c>
      <c r="E292" s="5"/>
      <c r="F292" s="5"/>
      <c r="G292" s="5" t="s">
        <v>1193</v>
      </c>
      <c r="H292" s="5" t="s">
        <v>1197</v>
      </c>
      <c r="I292" s="5" t="s">
        <v>1199</v>
      </c>
      <c r="J292" s="5" t="s">
        <v>923</v>
      </c>
      <c r="K292" s="5" t="s">
        <v>1265</v>
      </c>
      <c r="L292" s="5" t="s">
        <v>15211</v>
      </c>
      <c r="M292" s="5" t="s">
        <v>1730</v>
      </c>
      <c r="N292" s="5" t="s">
        <v>13997</v>
      </c>
      <c r="O292" s="5" t="s">
        <v>2999</v>
      </c>
      <c r="P292" s="5" t="s">
        <v>3000</v>
      </c>
      <c r="Q292" s="5" t="s">
        <v>3001</v>
      </c>
      <c r="R292" s="5" t="s">
        <v>3002</v>
      </c>
      <c r="S292" s="5" t="s">
        <v>3003</v>
      </c>
      <c r="T292" s="5" t="s">
        <v>3004</v>
      </c>
      <c r="U292" s="5" t="s">
        <v>3005</v>
      </c>
      <c r="V292" s="5" t="s">
        <v>3006</v>
      </c>
      <c r="W292" s="5" t="s">
        <v>3007</v>
      </c>
      <c r="X292" s="5" t="s">
        <v>14989</v>
      </c>
      <c r="Y292" s="39" t="str">
        <f>IF(OR($A292&lt;&gt;"", $G292=""),"",CONCATENATE(";",EscStr(CONCATENATE("NavNode_",getCategoryLevelAsString($B292))),";",EscStr($J292),";",IF($B292&lt;&gt;"","""MainCategoryNavNode""",EscStr(CONCATENATE("NavNode_",getSuperCategory($B292, getCategoryLevelAsNumber($B292))))),";"))</f>
        <v>;"NavNode_L3D_525443";"Dispensing Equipment";"NavNode_L2D_379533";</v>
      </c>
      <c r="Z292" s="39" t="str">
        <f>IF(getCategoryLevelAsString($B292)="L0D_324785","",IF(G292="",CONCATENATE(";",EscStr(CONCATENATE("NavNode_",getCategoryLevelAsString($B292))),";",EscStr($J292),";"),CONCATENATE(";",EscStr(CONCATENATE("NavNode_",getCategoryLevelAsString($B292))),";",EscStr(G292),";")))</f>
        <v>;"NavNode_L3D_525443";"Dosiersysteme";</v>
      </c>
      <c r="AA292" s="39" t="str">
        <f>IF(getCategoryLevelAsString($B292)="L0D_324785","",IF(H292="",CONCATENATE(";",EscStr(CONCATENATE("NavNode_",getCategoryLevelAsString($B292))),";",EscStr($J292),";"),CONCATENATE(";",EscStr(CONCATENATE("NavNode_",getCategoryLevelAsString($B292))),";",EscStr(H292),";")))</f>
        <v>;"NavNode_L3D_525443";"Système de dosage";</v>
      </c>
      <c r="AB292" s="39" t="str">
        <f>IF(getCategoryLevelAsString($B292)="L0D_324785","",IF(I292="",CONCATENATE(";",EscStr(CONCATENATE("NavNode_",getCategoryLevelAsString($B292))),";",EscStr($J292),";"),CONCATENATE(";",EscStr(CONCATENATE("NavNode_",getCategoryLevelAsString($B292))),";",EscStr(I292),";")))</f>
        <v>;"NavNode_L3D_525443";"Sistema di dosaggio";</v>
      </c>
      <c r="AC292" s="39" t="str">
        <f>IF(getCategoryLevelAsString($B292)="L0D_324785","",IF(J292="",CONCATENATE(";",EscStr(CONCATENATE("NavNode_",getCategoryLevelAsString($B292))),";",EscStr($J292),";"),CONCATENATE(";",EscStr(CONCATENATE("NavNode_",getCategoryLevelAsString($B292))),";",EscStr(J292),";")))</f>
        <v>;"NavNode_L3D_525443";"Dispensing Equipment";</v>
      </c>
      <c r="AD292" s="39" t="str">
        <f>IF(getCategoryLevelAsString($B292)="L0D_324785","",IF(K292="",CONCATENATE(";",EscStr(CONCATENATE("NavNode_",getCategoryLevelAsString($B292))),";",EscStr($J292),";"),CONCATENATE(";",EscStr(CONCATENATE("NavNode_",getCategoryLevelAsString($B292))),";",EscStr(K292),";")))</f>
        <v>;"NavNode_L3D_525443";"Dispenserudstyr";</v>
      </c>
      <c r="AE292" s="39" t="str">
        <f>IF(getCategoryLevelAsString($B292)="L0D_324785","",IF(L292="",CONCATENATE(";",EscStr(CONCATENATE("NavNode_",getCategoryLevelAsString($B292))),";",EscStr($J292),";"),CONCATENATE(";",EscStr(CONCATENATE("NavNode_",getCategoryLevelAsString($B292))),";",EscStr(L292),";")))</f>
        <v>;"NavNode_L3D_525443";"Lydmetalio padavimo įranga";</v>
      </c>
      <c r="AF292" s="39" t="str">
        <f>IF(getCategoryLevelAsString($B292)="L0D_324785","",IF(M292="",CONCATENATE(";",EscStr(CONCATENATE("NavNode_",getCategoryLevelAsString($B292))),";",EscStr($J292),";"),CONCATENATE(";",EscStr(CONCATENATE("NavNode_",getCategoryLevelAsString($B292))),";",EscStr(M292),";")))</f>
        <v>;"NavNode_L3D_525443";"Tappeutstyr";</v>
      </c>
      <c r="AG292" s="39" t="str">
        <f>IF(getCategoryLevelAsString($B292)="L0D_324785","",IF(N292="",CONCATENATE(";",EscStr(CONCATENATE("NavNode_",getCategoryLevelAsString($B292))),";",EscStr($J292),";"),CONCATENATE(";",EscStr(CONCATENATE("NavNode_",getCategoryLevelAsString($B292))),";",EscStr(N292),";")))</f>
        <v>;"NavNode_L3D_525443";"Doseringsutrustning";</v>
      </c>
      <c r="AH292" s="39" t="str">
        <f>IF(getCategoryLevelAsString($B292)="L0D_324785","",IF(O292="",CONCATENATE(";",EscStr(CONCATENATE("NavNode_",getCategoryLevelAsString($B292))),";",EscStr($J292),";"),CONCATENATE(";",EscStr(CONCATENATE("NavNode_",getCategoryLevelAsString($B292))),";",EscStr(O292),";")))</f>
        <v>;"NavNode_L3D_525443";"Doseerimisseadmed";</v>
      </c>
      <c r="AI292" s="39" t="str">
        <f>IF(getCategoryLevelAsString($B292)="L0D_324785","",IF(P292="",CONCATENATE(";",EscStr(CONCATENATE("NavNode_",getCategoryLevelAsString($B292))),";",EscStr($J292),";"),CONCATENATE(";",EscStr(CONCATENATE("NavNode_",getCategoryLevelAsString($B292))),";",EscStr(P292),";")))</f>
        <v>;"NavNode_L3D_525443";"Annostelulaitteet";</v>
      </c>
      <c r="AJ292" s="39" t="str">
        <f>IF(getCategoryLevelAsString($B292)="L0D_324785","",IF(Q292="",CONCATENATE(";",EscStr(CONCATENATE("NavNode_",getCategoryLevelAsString($B292))),";",EscStr($J292),";"),CONCATENATE(";",EscStr(CONCATENATE("NavNode_",getCategoryLevelAsString($B292))),";",EscStr(Q292),";")))</f>
        <v>;"NavNode_L3D_525443";"Padeves iekārtas";</v>
      </c>
      <c r="AK292" s="39" t="str">
        <f>IF(getCategoryLevelAsString($B292)="L0D_324785","",IF(R292="",CONCATENATE(";",EscStr(CONCATENATE("NavNode_",getCategoryLevelAsString($B292))),";",EscStr($J292),";"),CONCATENATE(";",EscStr(CONCATENATE("NavNode_",getCategoryLevelAsString($B292))),";",EscStr(R292),";")))</f>
        <v>;"NavNode_L3D_525443";"Doseerapparatuur";</v>
      </c>
      <c r="AL292" s="39" t="str">
        <f>IF(getCategoryLevelAsString($B292)="L0D_324785","",IF(S292="",CONCATENATE(";",EscStr(CONCATENATE("NavNode_",getCategoryLevelAsString($B292))),";",EscStr($J292),";"),CONCATENATE(";",EscStr(CONCATENATE("NavNode_",getCategoryLevelAsString($B292))),";",EscStr(S292),";")))</f>
        <v>;"NavNode_L3D_525443";"Systemy dozujące";</v>
      </c>
      <c r="AM292" s="39" t="str">
        <f>IF(getCategoryLevelAsString($B292)="L0D_324785","",IF(T292="",CONCATENATE(";",EscStr(CONCATENATE("NavNode_",getCategoryLevelAsString($B292))),";",EscStr($J292),";"),CONCATENATE(";",EscStr(CONCATENATE("NavNode_",getCategoryLevelAsString($B292))),";",EscStr(T292),";")))</f>
        <v>;"NavNode_L3D_525443";"Оборудование для розлива";</v>
      </c>
      <c r="AN292" s="39" t="str">
        <f>IF(getCategoryLevelAsString($B292)="L0D_324785","",IF(U292="",CONCATENATE(";",EscStr(CONCATENATE("NavNode_",getCategoryLevelAsString($B292))),";",EscStr($J292),";"),CONCATENATE(";",EscStr(CONCATENATE("NavNode_",getCategoryLevelAsString($B292))),";",EscStr(U292),";")))</f>
        <v>;"NavNode_L3D_525443";"Dávkovací zařízení";</v>
      </c>
      <c r="AO292" s="39" t="str">
        <f>IF(getCategoryLevelAsString($B292)="L0D_324785","",IF(V292="",CONCATENATE(";",EscStr(CONCATENATE("NavNode_",getCategoryLevelAsString($B292))),";",EscStr($J292),";"),CONCATENATE(";",EscStr(CONCATENATE("NavNode_",getCategoryLevelAsString($B292))),";",EscStr(V292),";")))</f>
        <v>;"NavNode_L3D_525443";"Sisteme de dozare";</v>
      </c>
      <c r="AP292" s="39" t="str">
        <f>IF(getCategoryLevelAsString($B292)="L0D_324785","",IF(W292="",CONCATENATE(";",EscStr(CONCATENATE("NavNode_",getCategoryLevelAsString($B292))),";",EscStr($J292),";"),CONCATENATE(";",EscStr(CONCATENATE("NavNode_",getCategoryLevelAsString($B292))),";",EscStr(W292),";")))</f>
        <v>;"NavNode_L3D_525443";"Adagolórendszerek";</v>
      </c>
      <c r="AQ292" s="39" t="str">
        <f>IF(getCategoryLevelAsString($B292)="L0D_324785","",IF(X292="",CONCATENATE(";",EscStr(CONCATENATE("NavNode_",getCategoryLevelAsString($B292))),";",EscStr($J292),";"),CONCATENATE(";",EscStr(CONCATENATE("NavNode_",getCategoryLevelAsString($B292))),";",EscStr(X292),";")))</f>
        <v>;"NavNode_L3D_525443";"Dávkovacie zariadenie";</v>
      </c>
      <c r="AR292" s="39" t="str">
        <f>IF(OR($A292&lt;&gt;"", $G292=""),"",CONCATENATE(";",EscStr(CONCATENATE("NavEntry_",getCategoryLevelAsString($B292))),";",EscStr(CONCATENATE($J292," Navigation Entry")),";",EscStr(CONCATENATE("cat-",getCategoryLevelAsString($B292))),";",EscStr(CONCATENATE("NavNode_",getCategoryLevelAsString($B292))),";"))</f>
        <v>;"NavEntry_L3D_525443";"Dispensing Equipment Navigation Entry";"cat-L3D_525443";"NavNode_L3D_525443";</v>
      </c>
    </row>
    <row r="293" spans="1:44" s="44" customFormat="1" ht="15" x14ac:dyDescent="0.25">
      <c r="A293" s="32"/>
      <c r="B293" s="29" t="s">
        <v>12007</v>
      </c>
      <c r="C293" s="37"/>
      <c r="D293" s="38"/>
      <c r="E293" s="29"/>
      <c r="F293" s="29"/>
      <c r="G293" s="31" t="s">
        <v>15366</v>
      </c>
      <c r="H293" s="31" t="s">
        <v>15367</v>
      </c>
      <c r="I293" s="31" t="s">
        <v>15368</v>
      </c>
      <c r="J293" s="31" t="s">
        <v>12007</v>
      </c>
      <c r="K293" s="31" t="s">
        <v>15369</v>
      </c>
      <c r="L293" s="28" t="s">
        <v>15370</v>
      </c>
      <c r="M293" s="31" t="s">
        <v>15371</v>
      </c>
      <c r="N293" s="31" t="s">
        <v>15372</v>
      </c>
      <c r="O293" s="31" t="s">
        <v>15373</v>
      </c>
      <c r="P293" s="31" t="s">
        <v>15374</v>
      </c>
      <c r="Q293" s="31" t="s">
        <v>15375</v>
      </c>
      <c r="R293" s="31" t="s">
        <v>15376</v>
      </c>
      <c r="S293" s="31" t="s">
        <v>15377</v>
      </c>
      <c r="T293" s="31" t="s">
        <v>15378</v>
      </c>
      <c r="U293" s="31" t="s">
        <v>15379</v>
      </c>
      <c r="V293" s="31" t="s">
        <v>15380</v>
      </c>
      <c r="W293" s="31" t="s">
        <v>15381</v>
      </c>
      <c r="X293" s="28" t="s">
        <v>15382</v>
      </c>
      <c r="Y293" s="39" t="str">
        <f>IF(OR($A293&lt;&gt;"", $G293=""),"",CONCATENATE(";",EscStr(CONCATENATE("NavNode_",getCategoryLevelAsString($B293))),";",EscStr($J293),";",IF($B293&lt;&gt;"","""MainCategoryNavNode""",EscStr(CONCATENATE("NavNode_",getSuperCategory($B293, getCategoryLevelAsNumber($B293))))),";"))</f>
        <v>;"NavNode_Workplace / Maintenance / Mechanical Components";"Workplace / Maintenance / Mechanical Components";"MainCategoryNavNode";</v>
      </c>
      <c r="Z293" s="39" t="str">
        <f>IF(getCategoryLevelAsString($B293)="L0D_324785","",IF(G293="",CONCATENATE(";",EscStr(CONCATENATE("NavNode_",getCategoryLevelAsString($B293))),";",EscStr($J293),";"),CONCATENATE(";",EscStr(CONCATENATE("NavNode_",getCategoryLevelAsString($B293))),";",EscStr(G293),";")))</f>
        <v>;"NavNode_Workplace / Maintenance / Mechanical Components";"Arbeitsplatz / Wartung / Mechanik";</v>
      </c>
      <c r="AA293" s="39" t="str">
        <f>IF(getCategoryLevelAsString($B293)="L0D_324785","",IF(H293="",CONCATENATE(";",EscStr(CONCATENATE("NavNode_",getCategoryLevelAsString($B293))),";",EscStr($J293),";"),CONCATENATE(";",EscStr(CONCATENATE("NavNode_",getCategoryLevelAsString($B293))),";",EscStr(H293),";")))</f>
        <v>;"NavNode_Workplace / Maintenance / Mechanical Components";"Poste de travail / Maintenance / Composants mécaniques";</v>
      </c>
      <c r="AB293" s="39" t="str">
        <f>IF(getCategoryLevelAsString($B293)="L0D_324785","",IF(I293="",CONCATENATE(";",EscStr(CONCATENATE("NavNode_",getCategoryLevelAsString($B293))),";",EscStr($J293),";"),CONCATENATE(";",EscStr(CONCATENATE("NavNode_",getCategoryLevelAsString($B293))),";",EscStr(I293),";")))</f>
        <v>;"NavNode_Workplace / Maintenance / Mechanical Components";"Postazione di lavoro / Manutenzione / Meccanica";</v>
      </c>
      <c r="AC293" s="39" t="str">
        <f>IF(getCategoryLevelAsString($B293)="L0D_324785","",IF(J293="",CONCATENATE(";",EscStr(CONCATENATE("NavNode_",getCategoryLevelAsString($B293))),";",EscStr($J293),";"),CONCATENATE(";",EscStr(CONCATENATE("NavNode_",getCategoryLevelAsString($B293))),";",EscStr(J293),";")))</f>
        <v>;"NavNode_Workplace / Maintenance / Mechanical Components";"Workplace / Maintenance / Mechanical Components";</v>
      </c>
      <c r="AD293" s="39" t="str">
        <f>IF(getCategoryLevelAsString($B293)="L0D_324785","",IF(K293="",CONCATENATE(";",EscStr(CONCATENATE("NavNode_",getCategoryLevelAsString($B293))),";",EscStr($J293),";"),CONCATENATE(";",EscStr(CONCATENATE("NavNode_",getCategoryLevelAsString($B293))),";",EscStr(K293),";")))</f>
        <v>;"NavNode_Workplace / Maintenance / Mechanical Components";"Arbejdsplads / Vedligeholdelse / Mekanik";</v>
      </c>
      <c r="AE293" s="39" t="str">
        <f>IF(getCategoryLevelAsString($B293)="L0D_324785","",IF(L293="",CONCATENATE(";",EscStr(CONCATENATE("NavNode_",getCategoryLevelAsString($B293))),";",EscStr($J293),";"),CONCATENATE(";",EscStr(CONCATENATE("NavNode_",getCategoryLevelAsString($B293))),";",EscStr(L293),";")))</f>
        <v>;"NavNode_Workplace / Maintenance / Mechanical Components";"Darbo vietos / Techninės priežiūros / Mechaniniai komponentai";</v>
      </c>
      <c r="AF293" s="39" t="str">
        <f>IF(getCategoryLevelAsString($B293)="L0D_324785","",IF(M293="",CONCATENATE(";",EscStr(CONCATENATE("NavNode_",getCategoryLevelAsString($B293))),";",EscStr($J293),";"),CONCATENATE(";",EscStr(CONCATENATE("NavNode_",getCategoryLevelAsString($B293))),";",EscStr(M293),";")))</f>
        <v>;"NavNode_Workplace / Maintenance / Mechanical Components";"Arbeidsplass / Vedlikehold / Mekanikk";</v>
      </c>
      <c r="AG293" s="39" t="str">
        <f>IF(getCategoryLevelAsString($B293)="L0D_324785","",IF(N293="",CONCATENATE(";",EscStr(CONCATENATE("NavNode_",getCategoryLevelAsString($B293))),";",EscStr($J293),";"),CONCATENATE(";",EscStr(CONCATENATE("NavNode_",getCategoryLevelAsString($B293))),";",EscStr(N293),";")))</f>
        <v>;"NavNode_Workplace / Maintenance / Mechanical Components";"Arbetsplats / Underhåll / Mekanik";</v>
      </c>
      <c r="AH293" s="39" t="str">
        <f>IF(getCategoryLevelAsString($B293)="L0D_324785","",IF(O293="",CONCATENATE(";",EscStr(CONCATENATE("NavNode_",getCategoryLevelAsString($B293))),";",EscStr($J293),";"),CONCATENATE(";",EscStr(CONCATENATE("NavNode_",getCategoryLevelAsString($B293))),";",EscStr(O293),";")))</f>
        <v>;"NavNode_Workplace / Maintenance / Mechanical Components";"Tööpaik / hooldus / mehaanilised komponendid";</v>
      </c>
      <c r="AI293" s="39" t="str">
        <f>IF(getCategoryLevelAsString($B293)="L0D_324785","",IF(P293="",CONCATENATE(";",EscStr(CONCATENATE("NavNode_",getCategoryLevelAsString($B293))),";",EscStr($J293),";"),CONCATENATE(";",EscStr(CONCATENATE("NavNode_",getCategoryLevelAsString($B293))),";",EscStr(P293),";")))</f>
        <v>;"NavNode_Workplace / Maintenance / Mechanical Components";"Työpisteet / Huolto / Mekaniikka";</v>
      </c>
      <c r="AJ293" s="39" t="str">
        <f>IF(getCategoryLevelAsString($B293)="L0D_324785","",IF(Q293="",CONCATENATE(";",EscStr(CONCATENATE("NavNode_",getCategoryLevelAsString($B293))),";",EscStr($J293),";"),CONCATENATE(";",EscStr(CONCATENATE("NavNode_",getCategoryLevelAsString($B293))),";",EscStr(Q293),";")))</f>
        <v>;"NavNode_Workplace / Maintenance / Mechanical Components";"Darbvieta/apkope/mehāniskie komponenti";</v>
      </c>
      <c r="AK293" s="39" t="str">
        <f>IF(getCategoryLevelAsString($B293)="L0D_324785","",IF(R293="",CONCATENATE(";",EscStr(CONCATENATE("NavNode_",getCategoryLevelAsString($B293))),";",EscStr($J293),";"),CONCATENATE(";",EscStr(CONCATENATE("NavNode_",getCategoryLevelAsString($B293))),";",EscStr(R293),";")))</f>
        <v>;"NavNode_Workplace / Maintenance / Mechanical Components";"Werkplaats / onderhoud / mechanische componenten";</v>
      </c>
      <c r="AL293" s="39" t="str">
        <f>IF(getCategoryLevelAsString($B293)="L0D_324785","",IF(S293="",CONCATENATE(";",EscStr(CONCATENATE("NavNode_",getCategoryLevelAsString($B293))),";",EscStr($J293),";"),CONCATENATE(";",EscStr(CONCATENATE("NavNode_",getCategoryLevelAsString($B293))),";",EscStr(S293),";")))</f>
        <v>;"NavNode_Workplace / Maintenance / Mechanical Components";"Stanowisko pracy / Serwis / Mechanika";</v>
      </c>
      <c r="AM293" s="39" t="str">
        <f>IF(getCategoryLevelAsString($B293)="L0D_324785","",IF(T293="",CONCATENATE(";",EscStr(CONCATENATE("NavNode_",getCategoryLevelAsString($B293))),";",EscStr($J293),";"),CONCATENATE(";",EscStr(CONCATENATE("NavNode_",getCategoryLevelAsString($B293))),";",EscStr(T293),";")))</f>
        <v>;"NavNode_Workplace / Maintenance / Mechanical Components";"Рабочее место / Техническое обслуживание / Механические компоненты";</v>
      </c>
      <c r="AN293" s="39" t="str">
        <f>IF(getCategoryLevelAsString($B293)="L0D_324785","",IF(U293="",CONCATENATE(";",EscStr(CONCATENATE("NavNode_",getCategoryLevelAsString($B293))),";",EscStr($J293),";"),CONCATENATE(";",EscStr(CONCATENATE("NavNode_",getCategoryLevelAsString($B293))),";",EscStr(U293),";")))</f>
        <v>;"NavNode_Workplace / Maintenance / Mechanical Components";"Pracoviště / údržba / mechanické součástky";</v>
      </c>
      <c r="AO293" s="39" t="str">
        <f>IF(getCategoryLevelAsString($B293)="L0D_324785","",IF(V293="",CONCATENATE(";",EscStr(CONCATENATE("NavNode_",getCategoryLevelAsString($B293))),";",EscStr($J293),";"),CONCATENATE(";",EscStr(CONCATENATE("NavNode_",getCategoryLevelAsString($B293))),";",EscStr(V293),";")))</f>
        <v>;"NavNode_Workplace / Maintenance / Mechanical Components";"Loc de muncă/Întreţinere/Componente mecanice";</v>
      </c>
      <c r="AP293" s="39" t="str">
        <f>IF(getCategoryLevelAsString($B293)="L0D_324785","",IF(W293="",CONCATENATE(";",EscStr(CONCATENATE("NavNode_",getCategoryLevelAsString($B293))),";",EscStr($J293),";"),CONCATENATE(";",EscStr(CONCATENATE("NavNode_",getCategoryLevelAsString($B293))),";",EscStr(W293),";")))</f>
        <v>;"NavNode_Workplace / Maintenance / Mechanical Components";"Munkahely / Karbantartás / Mechanika";</v>
      </c>
      <c r="AQ293" s="39" t="str">
        <f>IF(getCategoryLevelAsString($B293)="L0D_324785","",IF(X293="",CONCATENATE(";",EscStr(CONCATENATE("NavNode_",getCategoryLevelAsString($B293))),";",EscStr($J293),";"),CONCATENATE(";",EscStr(CONCATENATE("NavNode_",getCategoryLevelAsString($B293))),";",EscStr(X293),";")))</f>
        <v>;"NavNode_Workplace / Maintenance / Mechanical Components";"Pracovisko/Údržba/Mechanické súčiastky";</v>
      </c>
      <c r="AR293" s="39" t="str">
        <f>IF(OR($A293&lt;&gt;"", $G293=""),"",CONCATENATE(";",EscStr(CONCATENATE("NavEntry_",getCategoryLevelAsString($B293))),";",EscStr(CONCATENATE($J293," Navigation Entry")),";",EscStr(CONCATENATE("cat-",getCategoryLevelAsString($B293))),";",EscStr(CONCATENATE("NavNode_",getCategoryLevelAsString($B293))),";"))</f>
        <v>;"NavEntry_Workplace / Maintenance / Mechanical Components";"Workplace / Maintenance / Mechanical Components Navigation Entry";"cat-Workplace / Maintenance / Mechanical Components";"NavNode_Workplace / Maintenance / Mechanical Components";</v>
      </c>
    </row>
    <row r="294" spans="1:44" s="34" customFormat="1" ht="15" x14ac:dyDescent="0.25">
      <c r="A294" s="25"/>
      <c r="B294" s="5"/>
      <c r="C294" s="5" t="s">
        <v>29</v>
      </c>
      <c r="D294" s="5"/>
      <c r="E294" s="5"/>
      <c r="F294" s="5"/>
      <c r="G294" s="5" t="s">
        <v>536</v>
      </c>
      <c r="H294" s="5" t="s">
        <v>56</v>
      </c>
      <c r="I294" s="5" t="s">
        <v>537</v>
      </c>
      <c r="J294" s="5" t="s">
        <v>56</v>
      </c>
      <c r="K294" s="5" t="s">
        <v>1266</v>
      </c>
      <c r="L294" s="5" t="s">
        <v>15212</v>
      </c>
      <c r="M294" s="5" t="s">
        <v>1731</v>
      </c>
      <c r="N294" s="5" t="s">
        <v>1934</v>
      </c>
      <c r="O294" s="5" t="s">
        <v>3008</v>
      </c>
      <c r="P294" s="5" t="s">
        <v>3009</v>
      </c>
      <c r="Q294" s="5" t="s">
        <v>3010</v>
      </c>
      <c r="R294" s="5" t="s">
        <v>3011</v>
      </c>
      <c r="S294" s="5" t="s">
        <v>3012</v>
      </c>
      <c r="T294" s="5" t="s">
        <v>3013</v>
      </c>
      <c r="U294" s="5" t="s">
        <v>3014</v>
      </c>
      <c r="V294" s="5" t="s">
        <v>3015</v>
      </c>
      <c r="W294" s="5" t="s">
        <v>3016</v>
      </c>
      <c r="X294" s="5" t="s">
        <v>3014</v>
      </c>
      <c r="Y294" s="39" t="str">
        <f>IF(OR($A294&lt;&gt;"", $G294=""),"",CONCATENATE(";",EscStr(CONCATENATE("NavNode_",getCategoryLevelAsString($B294))),";",EscStr($J294),";",IF($B294&lt;&gt;"","""MainCategoryNavNode""",EscStr(CONCATENATE("NavNode_",getSuperCategory($B294, getCategoryLevelAsNumber($B294))))),";"))</f>
        <v>;"NavNode_L2D_379535";"Maintenance";"NavNode_Workplace / Maintenance / Mechanical Components";</v>
      </c>
      <c r="Z294" s="39" t="str">
        <f>IF(getCategoryLevelAsString($B294)="L0D_324785","",IF(G294="",CONCATENATE(";",EscStr(CONCATENATE("NavNode_",getCategoryLevelAsString($B294))),";",EscStr($J294),";"),CONCATENATE(";",EscStr(CONCATENATE("NavNode_",getCategoryLevelAsString($B294))),";",EscStr(G294),";")))</f>
        <v>;"NavNode_L2D_379535";"Wartung";</v>
      </c>
      <c r="AA294" s="39" t="str">
        <f>IF(getCategoryLevelAsString($B294)="L0D_324785","",IF(H294="",CONCATENATE(";",EscStr(CONCATENATE("NavNode_",getCategoryLevelAsString($B294))),";",EscStr($J294),";"),CONCATENATE(";",EscStr(CONCATENATE("NavNode_",getCategoryLevelAsString($B294))),";",EscStr(H294),";")))</f>
        <v>;"NavNode_L2D_379535";"Maintenance";</v>
      </c>
      <c r="AB294" s="39" t="str">
        <f>IF(getCategoryLevelAsString($B294)="L0D_324785","",IF(I294="",CONCATENATE(";",EscStr(CONCATENATE("NavNode_",getCategoryLevelAsString($B294))),";",EscStr($J294),";"),CONCATENATE(";",EscStr(CONCATENATE("NavNode_",getCategoryLevelAsString($B294))),";",EscStr(I294),";")))</f>
        <v>;"NavNode_L2D_379535";"Manutenzione";</v>
      </c>
      <c r="AC294" s="39" t="str">
        <f>IF(getCategoryLevelAsString($B294)="L0D_324785","",IF(J294="",CONCATENATE(";",EscStr(CONCATENATE("NavNode_",getCategoryLevelAsString($B294))),";",EscStr($J294),";"),CONCATENATE(";",EscStr(CONCATENATE("NavNode_",getCategoryLevelAsString($B294))),";",EscStr(J294),";")))</f>
        <v>;"NavNode_L2D_379535";"Maintenance";</v>
      </c>
      <c r="AD294" s="39" t="str">
        <f>IF(getCategoryLevelAsString($B294)="L0D_324785","",IF(K294="",CONCATENATE(";",EscStr(CONCATENATE("NavNode_",getCategoryLevelAsString($B294))),";",EscStr($J294),";"),CONCATENATE(";",EscStr(CONCATENATE("NavNode_",getCategoryLevelAsString($B294))),";",EscStr(K294),";")))</f>
        <v>;"NavNode_L2D_379535";"Vedligeholdelse";</v>
      </c>
      <c r="AE294" s="39" t="str">
        <f>IF(getCategoryLevelAsString($B294)="L0D_324785","",IF(L294="",CONCATENATE(";",EscStr(CONCATENATE("NavNode_",getCategoryLevelAsString($B294))),";",EscStr($J294),";"),CONCATENATE(";",EscStr(CONCATENATE("NavNode_",getCategoryLevelAsString($B294))),";",EscStr(L294),";")))</f>
        <v>;"NavNode_L2D_379535";"Priežiūros priemonės";</v>
      </c>
      <c r="AF294" s="39" t="str">
        <f>IF(getCategoryLevelAsString($B294)="L0D_324785","",IF(M294="",CONCATENATE(";",EscStr(CONCATENATE("NavNode_",getCategoryLevelAsString($B294))),";",EscStr($J294),";"),CONCATENATE(";",EscStr(CONCATENATE("NavNode_",getCategoryLevelAsString($B294))),";",EscStr(M294),";")))</f>
        <v>;"NavNode_L2D_379535";"Vedlikehold";</v>
      </c>
      <c r="AG294" s="39" t="str">
        <f>IF(getCategoryLevelAsString($B294)="L0D_324785","",IF(N294="",CONCATENATE(";",EscStr(CONCATENATE("NavNode_",getCategoryLevelAsString($B294))),";",EscStr($J294),";"),CONCATENATE(";",EscStr(CONCATENATE("NavNode_",getCategoryLevelAsString($B294))),";",EscStr(N294),";")))</f>
        <v>;"NavNode_L2D_379535";"Underhåll";</v>
      </c>
      <c r="AH294" s="39" t="str">
        <f>IF(getCategoryLevelAsString($B294)="L0D_324785","",IF(O294="",CONCATENATE(";",EscStr(CONCATENATE("NavNode_",getCategoryLevelAsString($B294))),";",EscStr($J294),";"),CONCATENATE(";",EscStr(CONCATENATE("NavNode_",getCategoryLevelAsString($B294))),";",EscStr(O294),";")))</f>
        <v>;"NavNode_L2D_379535";"Hooldus";</v>
      </c>
      <c r="AI294" s="39" t="str">
        <f>IF(getCategoryLevelAsString($B294)="L0D_324785","",IF(P294="",CONCATENATE(";",EscStr(CONCATENATE("NavNode_",getCategoryLevelAsString($B294))),";",EscStr($J294),";"),CONCATENATE(";",EscStr(CONCATENATE("NavNode_",getCategoryLevelAsString($B294))),";",EscStr(P294),";")))</f>
        <v>;"NavNode_L2D_379535";"Ylläpito";</v>
      </c>
      <c r="AJ294" s="39" t="str">
        <f>IF(getCategoryLevelAsString($B294)="L0D_324785","",IF(Q294="",CONCATENATE(";",EscStr(CONCATENATE("NavNode_",getCategoryLevelAsString($B294))),";",EscStr($J294),";"),CONCATENATE(";",EscStr(CONCATENATE("NavNode_",getCategoryLevelAsString($B294))),";",EscStr(Q294),";")))</f>
        <v>;"NavNode_L2D_379535";"Apkope";</v>
      </c>
      <c r="AK294" s="39" t="str">
        <f>IF(getCategoryLevelAsString($B294)="L0D_324785","",IF(R294="",CONCATENATE(";",EscStr(CONCATENATE("NavNode_",getCategoryLevelAsString($B294))),";",EscStr($J294),";"),CONCATENATE(";",EscStr(CONCATENATE("NavNode_",getCategoryLevelAsString($B294))),";",EscStr(R294),";")))</f>
        <v>;"NavNode_L2D_379535";"Onderhoud";</v>
      </c>
      <c r="AL294" s="39" t="str">
        <f>IF(getCategoryLevelAsString($B294)="L0D_324785","",IF(S294="",CONCATENATE(";",EscStr(CONCATENATE("NavNode_",getCategoryLevelAsString($B294))),";",EscStr($J294),";"),CONCATENATE(";",EscStr(CONCATENATE("NavNode_",getCategoryLevelAsString($B294))),";",EscStr(S294),";")))</f>
        <v>;"NavNode_L2D_379535";"Konserwacja";</v>
      </c>
      <c r="AM294" s="39" t="str">
        <f>IF(getCategoryLevelAsString($B294)="L0D_324785","",IF(T294="",CONCATENATE(";",EscStr(CONCATENATE("NavNode_",getCategoryLevelAsString($B294))),";",EscStr($J294),";"),CONCATENATE(";",EscStr(CONCATENATE("NavNode_",getCategoryLevelAsString($B294))),";",EscStr(T294),";")))</f>
        <v>;"NavNode_L2D_379535";"Обслуживание";</v>
      </c>
      <c r="AN294" s="39" t="str">
        <f>IF(getCategoryLevelAsString($B294)="L0D_324785","",IF(U294="",CONCATENATE(";",EscStr(CONCATENATE("NavNode_",getCategoryLevelAsString($B294))),";",EscStr($J294),";"),CONCATENATE(";",EscStr(CONCATENATE("NavNode_",getCategoryLevelAsString($B294))),";",EscStr(U294),";")))</f>
        <v>;"NavNode_L2D_379535";"Údržba";</v>
      </c>
      <c r="AO294" s="39" t="str">
        <f>IF(getCategoryLevelAsString($B294)="L0D_324785","",IF(V294="",CONCATENATE(";",EscStr(CONCATENATE("NavNode_",getCategoryLevelAsString($B294))),";",EscStr($J294),";"),CONCATENATE(";",EscStr(CONCATENATE("NavNode_",getCategoryLevelAsString($B294))),";",EscStr(V294),";")))</f>
        <v>;"NavNode_L2D_379535";"Intreţinere";</v>
      </c>
      <c r="AP294" s="39" t="str">
        <f>IF(getCategoryLevelAsString($B294)="L0D_324785","",IF(W294="",CONCATENATE(";",EscStr(CONCATENATE("NavNode_",getCategoryLevelAsString($B294))),";",EscStr($J294),";"),CONCATENATE(";",EscStr(CONCATENATE("NavNode_",getCategoryLevelAsString($B294))),";",EscStr(W294),";")))</f>
        <v>;"NavNode_L2D_379535";"Karbantartás";</v>
      </c>
      <c r="AQ294" s="39" t="str">
        <f>IF(getCategoryLevelAsString($B294)="L0D_324785","",IF(X294="",CONCATENATE(";",EscStr(CONCATENATE("NavNode_",getCategoryLevelAsString($B294))),";",EscStr($J294),";"),CONCATENATE(";",EscStr(CONCATENATE("NavNode_",getCategoryLevelAsString($B294))),";",EscStr(X294),";")))</f>
        <v>;"NavNode_L2D_379535";"Údržba";</v>
      </c>
      <c r="AR294" s="39" t="str">
        <f>IF(OR($A294&lt;&gt;"", $G294=""),"",CONCATENATE(";",EscStr(CONCATENATE("NavEntry_",getCategoryLevelAsString($B294))),";",EscStr(CONCATENATE($J294," Navigation Entry")),";",EscStr(CONCATENATE("cat-",getCategoryLevelAsString($B294))),";",EscStr(CONCATENATE("NavNode_",getCategoryLevelAsString($B294))),";"))</f>
        <v>;"NavEntry_L2D_379535";"Maintenance Navigation Entry";"cat-L2D_379535";"NavNode_L2D_379535";</v>
      </c>
    </row>
    <row r="295" spans="1:44" s="34" customFormat="1" ht="15" x14ac:dyDescent="0.25">
      <c r="A295" s="25"/>
      <c r="B295" s="5"/>
      <c r="C295" s="5"/>
      <c r="D295" s="5" t="s">
        <v>812</v>
      </c>
      <c r="E295" s="5"/>
      <c r="F295" s="5"/>
      <c r="G295" s="5" t="s">
        <v>1054</v>
      </c>
      <c r="H295" s="5" t="s">
        <v>1107</v>
      </c>
      <c r="I295" s="5" t="s">
        <v>1166</v>
      </c>
      <c r="J295" s="5" t="s">
        <v>924</v>
      </c>
      <c r="K295" s="5" t="s">
        <v>1267</v>
      </c>
      <c r="L295" s="5" t="s">
        <v>1502</v>
      </c>
      <c r="M295" s="5" t="s">
        <v>1732</v>
      </c>
      <c r="N295" s="5" t="s">
        <v>1935</v>
      </c>
      <c r="O295" s="5" t="s">
        <v>3017</v>
      </c>
      <c r="P295" s="5" t="s">
        <v>3018</v>
      </c>
      <c r="Q295" s="5" t="s">
        <v>3019</v>
      </c>
      <c r="R295" s="5" t="s">
        <v>3020</v>
      </c>
      <c r="S295" s="5" t="s">
        <v>3021</v>
      </c>
      <c r="T295" s="5" t="s">
        <v>3022</v>
      </c>
      <c r="U295" s="5" t="s">
        <v>3023</v>
      </c>
      <c r="V295" s="5" t="s">
        <v>3024</v>
      </c>
      <c r="W295" s="5" t="s">
        <v>3025</v>
      </c>
      <c r="X295" s="5" t="s">
        <v>14990</v>
      </c>
      <c r="Y295" s="39" t="str">
        <f>IF(OR($A295&lt;&gt;"", $G295=""),"",CONCATENATE(";",EscStr(CONCATENATE("NavNode_",getCategoryLevelAsString($B295))),";",EscStr($J295),";",IF($B295&lt;&gt;"","""MainCategoryNavNode""",EscStr(CONCATENATE("NavNode_",getSuperCategory($B295, getCategoryLevelAsNumber($B295))))),";"))</f>
        <v>;"NavNode_L3D_529774";"Cleaners, Lubricants and Protective Lacquer";"NavNode_L2D_379535";</v>
      </c>
      <c r="Z295" s="39" t="str">
        <f>IF(getCategoryLevelAsString($B295)="L0D_324785","",IF(G295="",CONCATENATE(";",EscStr(CONCATENATE("NavNode_",getCategoryLevelAsString($B295))),";",EscStr($J295),";"),CONCATENATE(";",EscStr(CONCATENATE("NavNode_",getCategoryLevelAsString($B295))),";",EscStr(G295),";")))</f>
        <v>;"NavNode_L3D_529774";"Reiniger, Schmiermittel und Schutzlack";</v>
      </c>
      <c r="AA295" s="39" t="str">
        <f>IF(getCategoryLevelAsString($B295)="L0D_324785","",IF(H295="",CONCATENATE(";",EscStr(CONCATENATE("NavNode_",getCategoryLevelAsString($B295))),";",EscStr($J295),";"),CONCATENATE(";",EscStr(CONCATENATE("NavNode_",getCategoryLevelAsString($B295))),";",EscStr(H295),";")))</f>
        <v>;"NavNode_L3D_529774";"Nettoyants, lubrifiants et laque protectrice";</v>
      </c>
      <c r="AB295" s="39" t="str">
        <f>IF(getCategoryLevelAsString($B295)="L0D_324785","",IF(I295="",CONCATENATE(";",EscStr(CONCATENATE("NavNode_",getCategoryLevelAsString($B295))),";",EscStr($J295),";"),CONCATENATE(";",EscStr(CONCATENATE("NavNode_",getCategoryLevelAsString($B295))),";",EscStr(I295),";")))</f>
        <v>;"NavNode_L3D_529774";"Detergenti, lubrificanti e lacca protettiva";</v>
      </c>
      <c r="AC295" s="39" t="str">
        <f>IF(getCategoryLevelAsString($B295)="L0D_324785","",IF(J295="",CONCATENATE(";",EscStr(CONCATENATE("NavNode_",getCategoryLevelAsString($B295))),";",EscStr($J295),";"),CONCATENATE(";",EscStr(CONCATENATE("NavNode_",getCategoryLevelAsString($B295))),";",EscStr(J295),";")))</f>
        <v>;"NavNode_L3D_529774";"Cleaners, Lubricants and Protective Lacquer";</v>
      </c>
      <c r="AD295" s="39" t="str">
        <f>IF(getCategoryLevelAsString($B295)="L0D_324785","",IF(K295="",CONCATENATE(";",EscStr(CONCATENATE("NavNode_",getCategoryLevelAsString($B295))),";",EscStr($J295),";"),CONCATENATE(";",EscStr(CONCATENATE("NavNode_",getCategoryLevelAsString($B295))),";",EscStr(K295),";")))</f>
        <v>;"NavNode_L3D_529774";"Rensemidler, smøremidler og beskyttelseslak";</v>
      </c>
      <c r="AE295" s="39" t="str">
        <f>IF(getCategoryLevelAsString($B295)="L0D_324785","",IF(L295="",CONCATENATE(";",EscStr(CONCATENATE("NavNode_",getCategoryLevelAsString($B295))),";",EscStr($J295),";"),CONCATENATE(";",EscStr(CONCATENATE("NavNode_",getCategoryLevelAsString($B295))),";",EscStr(L295),";")))</f>
        <v>;"NavNode_L3D_529774";"Valikliai, lubrikantai ir apsauginis lakas";</v>
      </c>
      <c r="AF295" s="39" t="str">
        <f>IF(getCategoryLevelAsString($B295)="L0D_324785","",IF(M295="",CONCATENATE(";",EscStr(CONCATENATE("NavNode_",getCategoryLevelAsString($B295))),";",EscStr($J295),";"),CONCATENATE(";",EscStr(CONCATENATE("NavNode_",getCategoryLevelAsString($B295))),";",EscStr(M295),";")))</f>
        <v>;"NavNode_L3D_529774";"Rengjøringsmidler, smøremidler og beskyttelseslakk";</v>
      </c>
      <c r="AG295" s="39" t="str">
        <f>IF(getCategoryLevelAsString($B295)="L0D_324785","",IF(N295="",CONCATENATE(";",EscStr(CONCATENATE("NavNode_",getCategoryLevelAsString($B295))),";",EscStr($J295),";"),CONCATENATE(";",EscStr(CONCATENATE("NavNode_",getCategoryLevelAsString($B295))),";",EscStr(N295),";")))</f>
        <v>;"NavNode_L3D_529774";"Rengöringsmedel, smörjmedel och skyddslack";</v>
      </c>
      <c r="AH295" s="39" t="str">
        <f>IF(getCategoryLevelAsString($B295)="L0D_324785","",IF(O295="",CONCATENATE(";",EscStr(CONCATENATE("NavNode_",getCategoryLevelAsString($B295))),";",EscStr($J295),";"),CONCATENATE(";",EscStr(CONCATENATE("NavNode_",getCategoryLevelAsString($B295))),";",EscStr(O295),";")))</f>
        <v>;"NavNode_L3D_529774";"Puhastusvahendid, määrdeained ja kaitselakid";</v>
      </c>
      <c r="AI295" s="39" t="str">
        <f>IF(getCategoryLevelAsString($B295)="L0D_324785","",IF(P295="",CONCATENATE(";",EscStr(CONCATENATE("NavNode_",getCategoryLevelAsString($B295))),";",EscStr($J295),";"),CONCATENATE(";",EscStr(CONCATENATE("NavNode_",getCategoryLevelAsString($B295))),";",EscStr(P295),";")))</f>
        <v>;"NavNode_L3D_529774";"Puhditimet ja suojalakat";</v>
      </c>
      <c r="AJ295" s="39" t="str">
        <f>IF(getCategoryLevelAsString($B295)="L0D_324785","",IF(Q295="",CONCATENATE(";",EscStr(CONCATENATE("NavNode_",getCategoryLevelAsString($B295))),";",EscStr($J295),";"),CONCATENATE(";",EscStr(CONCATENATE("NavNode_",getCategoryLevelAsString($B295))),";",EscStr(Q295),";")))</f>
        <v>;"NavNode_L3D_529774";"Tīrīšanas līdzekļi, smērvielas un aizsarglakas";</v>
      </c>
      <c r="AK295" s="39" t="str">
        <f>IF(getCategoryLevelAsString($B295)="L0D_324785","",IF(R295="",CONCATENATE(";",EscStr(CONCATENATE("NavNode_",getCategoryLevelAsString($B295))),";",EscStr($J295),";"),CONCATENATE(";",EscStr(CONCATENATE("NavNode_",getCategoryLevelAsString($B295))),";",EscStr(R295),";")))</f>
        <v>;"NavNode_L3D_529774";"Reinigingsmiddelen, smeermiddelen en beschermende lakken";</v>
      </c>
      <c r="AL295" s="39" t="str">
        <f>IF(getCategoryLevelAsString($B295)="L0D_324785","",IF(S295="",CONCATENATE(";",EscStr(CONCATENATE("NavNode_",getCategoryLevelAsString($B295))),";",EscStr($J295),";"),CONCATENATE(";",EscStr(CONCATENATE("NavNode_",getCategoryLevelAsString($B295))),";",EscStr(S295),";")))</f>
        <v>;"NavNode_L3D_529774";"Płyny czyszczące, Smary i Lakiery ochronne";</v>
      </c>
      <c r="AM295" s="39" t="str">
        <f>IF(getCategoryLevelAsString($B295)="L0D_324785","",IF(T295="",CONCATENATE(";",EscStr(CONCATENATE("NavNode_",getCategoryLevelAsString($B295))),";",EscStr($J295),";"),CONCATENATE(";",EscStr(CONCATENATE("NavNode_",getCategoryLevelAsString($B295))),";",EscStr(T295),";")))</f>
        <v>;"NavNode_L3D_529774";"Очистители, Смазки и Защитные лаки";</v>
      </c>
      <c r="AN295" s="39" t="str">
        <f>IF(getCategoryLevelAsString($B295)="L0D_324785","",IF(U295="",CONCATENATE(";",EscStr(CONCATENATE("NavNode_",getCategoryLevelAsString($B295))),";",EscStr($J295),";"),CONCATENATE(";",EscStr(CONCATENATE("NavNode_",getCategoryLevelAsString($B295))),";",EscStr(U295),";")))</f>
        <v>;"NavNode_L3D_529774";"Laky, čístící prostředky a brusný papír";</v>
      </c>
      <c r="AO295" s="39" t="str">
        <f>IF(getCategoryLevelAsString($B295)="L0D_324785","",IF(V295="",CONCATENATE(";",EscStr(CONCATENATE("NavNode_",getCategoryLevelAsString($B295))),";",EscStr($J295),";"),CONCATENATE(";",EscStr(CONCATENATE("NavNode_",getCategoryLevelAsString($B295))),";",EscStr(V295),";")))</f>
        <v>;"NavNode_L3D_529774";"Soluţii de curăţat, lubrifiant şi lac de protecţie";</v>
      </c>
      <c r="AP295" s="39" t="str">
        <f>IF(getCategoryLevelAsString($B295)="L0D_324785","",IF(W295="",CONCATENATE(";",EscStr(CONCATENATE("NavNode_",getCategoryLevelAsString($B295))),";",EscStr($J295),";"),CONCATENATE(";",EscStr(CONCATENATE("NavNode_",getCategoryLevelAsString($B295))),";",EscStr(W295),";")))</f>
        <v>;"NavNode_L3D_529774";"Tisztító-, kenőanyagok és védőlakk";</v>
      </c>
      <c r="AQ295" s="39" t="str">
        <f>IF(getCategoryLevelAsString($B295)="L0D_324785","",IF(X295="",CONCATENATE(";",EscStr(CONCATENATE("NavNode_",getCategoryLevelAsString($B295))),";",EscStr($J295),";"),CONCATENATE(";",EscStr(CONCATENATE("NavNode_",getCategoryLevelAsString($B295))),";",EscStr(X295),";")))</f>
        <v>;"NavNode_L3D_529774";"Laky, čistiace prostriedky a brúsny papier";</v>
      </c>
      <c r="AR295" s="39" t="str">
        <f>IF(OR($A295&lt;&gt;"", $G295=""),"",CONCATENATE(";",EscStr(CONCATENATE("NavEntry_",getCategoryLevelAsString($B295))),";",EscStr(CONCATENATE($J295," Navigation Entry")),";",EscStr(CONCATENATE("cat-",getCategoryLevelAsString($B295))),";",EscStr(CONCATENATE("NavNode_",getCategoryLevelAsString($B295))),";"))</f>
        <v>;"NavEntry_L3D_529774";"Cleaners, Lubricants and Protective Lacquer Navigation Entry";"cat-L3D_529774";"NavNode_L3D_529774";</v>
      </c>
    </row>
    <row r="296" spans="1:44" s="34" customFormat="1" ht="15" x14ac:dyDescent="0.25">
      <c r="A296" s="25"/>
      <c r="B296" s="5"/>
      <c r="C296" s="5"/>
      <c r="D296" s="5" t="s">
        <v>813</v>
      </c>
      <c r="E296" s="5"/>
      <c r="F296" s="5"/>
      <c r="G296" s="5" t="s">
        <v>1055</v>
      </c>
      <c r="H296" s="5" t="s">
        <v>1108</v>
      </c>
      <c r="I296" s="5" t="s">
        <v>1167</v>
      </c>
      <c r="J296" s="5" t="s">
        <v>925</v>
      </c>
      <c r="K296" s="5" t="s">
        <v>1268</v>
      </c>
      <c r="L296" s="5" t="s">
        <v>1503</v>
      </c>
      <c r="M296" s="5" t="s">
        <v>1733</v>
      </c>
      <c r="N296" s="5" t="s">
        <v>1936</v>
      </c>
      <c r="O296" s="5" t="s">
        <v>3026</v>
      </c>
      <c r="P296" s="5" t="s">
        <v>3027</v>
      </c>
      <c r="Q296" s="5" t="s">
        <v>3028</v>
      </c>
      <c r="R296" s="5" t="s">
        <v>3029</v>
      </c>
      <c r="S296" s="5" t="s">
        <v>3030</v>
      </c>
      <c r="T296" s="5" t="s">
        <v>3031</v>
      </c>
      <c r="U296" s="5" t="s">
        <v>3032</v>
      </c>
      <c r="V296" s="5" t="s">
        <v>3033</v>
      </c>
      <c r="W296" s="5" t="s">
        <v>3034</v>
      </c>
      <c r="X296" s="5" t="s">
        <v>14991</v>
      </c>
      <c r="Y296" s="39" t="str">
        <f>IF(OR($A296&lt;&gt;"", $G296=""),"",CONCATENATE(";",EscStr(CONCATENATE("NavNode_",getCategoryLevelAsString($B296))),";",EscStr($J296),";",IF($B296&lt;&gt;"","""MainCategoryNavNode""",EscStr(CONCATENATE("NavNode_",getSuperCategory($B296, getCategoryLevelAsNumber($B296))))),";"))</f>
        <v>;"NavNode_L3D_529788";"Cleaning Clothes &amp; Accessories";"NavNode_L2D_379535";</v>
      </c>
      <c r="Z296" s="39" t="str">
        <f>IF(getCategoryLevelAsString($B296)="L0D_324785","",IF(G296="",CONCATENATE(";",EscStr(CONCATENATE("NavNode_",getCategoryLevelAsString($B296))),";",EscStr($J296),";"),CONCATENATE(";",EscStr(CONCATENATE("NavNode_",getCategoryLevelAsString($B296))),";",EscStr(G296),";")))</f>
        <v>;"NavNode_L3D_529788";"Reinigungstücher und Zubehör";</v>
      </c>
      <c r="AA296" s="39" t="str">
        <f>IF(getCategoryLevelAsString($B296)="L0D_324785","",IF(H296="",CONCATENATE(";",EscStr(CONCATENATE("NavNode_",getCategoryLevelAsString($B296))),";",EscStr($J296),";"),CONCATENATE(";",EscStr(CONCATENATE("NavNode_",getCategoryLevelAsString($B296))),";",EscStr(H296),";")))</f>
        <v>;"NavNode_L3D_529788";"Chiffons et accessoires de nettoyage";</v>
      </c>
      <c r="AB296" s="39" t="str">
        <f>IF(getCategoryLevelAsString($B296)="L0D_324785","",IF(I296="",CONCATENATE(";",EscStr(CONCATENATE("NavNode_",getCategoryLevelAsString($B296))),";",EscStr($J296),";"),CONCATENATE(";",EscStr(CONCATENATE("NavNode_",getCategoryLevelAsString($B296))),";",EscStr(I296),";")))</f>
        <v>;"NavNode_L3D_529788";"Panni per pulizia e accessori";</v>
      </c>
      <c r="AC296" s="39" t="str">
        <f>IF(getCategoryLevelAsString($B296)="L0D_324785","",IF(J296="",CONCATENATE(";",EscStr(CONCATENATE("NavNode_",getCategoryLevelAsString($B296))),";",EscStr($J296),";"),CONCATENATE(";",EscStr(CONCATENATE("NavNode_",getCategoryLevelAsString($B296))),";",EscStr(J296),";")))</f>
        <v>;"NavNode_L3D_529788";"Cleaning Clothes &amp; Accessories";</v>
      </c>
      <c r="AD296" s="39" t="str">
        <f>IF(getCategoryLevelAsString($B296)="L0D_324785","",IF(K296="",CONCATENATE(";",EscStr(CONCATENATE("NavNode_",getCategoryLevelAsString($B296))),";",EscStr($J296),";"),CONCATENATE(";",EscStr(CONCATENATE("NavNode_",getCategoryLevelAsString($B296))),";",EscStr(K296),";")))</f>
        <v>;"NavNode_L3D_529788";"Rengøringstøj &amp; -udstyr";</v>
      </c>
      <c r="AE296" s="39" t="str">
        <f>IF(getCategoryLevelAsString($B296)="L0D_324785","",IF(L296="",CONCATENATE(";",EscStr(CONCATENATE("NavNode_",getCategoryLevelAsString($B296))),";",EscStr($J296),";"),CONCATENATE(";",EscStr(CONCATENATE("NavNode_",getCategoryLevelAsString($B296))),";",EscStr(L296),";")))</f>
        <v>;"NavNode_L3D_529788";"Valymo rūbai ir priedai";</v>
      </c>
      <c r="AF296" s="39" t="str">
        <f>IF(getCategoryLevelAsString($B296)="L0D_324785","",IF(M296="",CONCATENATE(";",EscStr(CONCATENATE("NavNode_",getCategoryLevelAsString($B296))),";",EscStr($J296),";"),CONCATENATE(";",EscStr(CONCATENATE("NavNode_",getCategoryLevelAsString($B296))),";",EscStr(M296),";")))</f>
        <v>;"NavNode_L3D_529788";"Rengjøringskluter og tilbehør";</v>
      </c>
      <c r="AG296" s="39" t="str">
        <f>IF(getCategoryLevelAsString($B296)="L0D_324785","",IF(N296="",CONCATENATE(";",EscStr(CONCATENATE("NavNode_",getCategoryLevelAsString($B296))),";",EscStr($J296),";"),CONCATENATE(";",EscStr(CONCATENATE("NavNode_",getCategoryLevelAsString($B296))),";",EscStr(N296),";")))</f>
        <v>;"NavNode_L3D_529788";"Rengöringskläder och tillbehör";</v>
      </c>
      <c r="AH296" s="39" t="str">
        <f>IF(getCategoryLevelAsString($B296)="L0D_324785","",IF(O296="",CONCATENATE(";",EscStr(CONCATENATE("NavNode_",getCategoryLevelAsString($B296))),";",EscStr($J296),";"),CONCATENATE(";",EscStr(CONCATENATE("NavNode_",getCategoryLevelAsString($B296))),";",EscStr(O296),";")))</f>
        <v>;"NavNode_L3D_529788";"Puhastuslapid ja tarvikud";</v>
      </c>
      <c r="AI296" s="39" t="str">
        <f>IF(getCategoryLevelAsString($B296)="L0D_324785","",IF(P296="",CONCATENATE(";",EscStr(CONCATENATE("NavNode_",getCategoryLevelAsString($B296))),";",EscStr($J296),";"),CONCATENATE(";",EscStr(CONCATENATE("NavNode_",getCategoryLevelAsString($B296))),";",EscStr(P296),";")))</f>
        <v>;"NavNode_L3D_529788";"Pyyheliinat";</v>
      </c>
      <c r="AJ296" s="39" t="str">
        <f>IF(getCategoryLevelAsString($B296)="L0D_324785","",IF(Q296="",CONCATENATE(";",EscStr(CONCATENATE("NavNode_",getCategoryLevelAsString($B296))),";",EscStr($J296),";"),CONCATENATE(";",EscStr(CONCATENATE("NavNode_",getCategoryLevelAsString($B296))),";",EscStr(Q296),";")))</f>
        <v>;"NavNode_L3D_529788";"Tīrīšanas lupatiņas un piederumi";</v>
      </c>
      <c r="AK296" s="39" t="str">
        <f>IF(getCategoryLevelAsString($B296)="L0D_324785","",IF(R296="",CONCATENATE(";",EscStr(CONCATENATE("NavNode_",getCategoryLevelAsString($B296))),";",EscStr($J296),";"),CONCATENATE(";",EscStr(CONCATENATE("NavNode_",getCategoryLevelAsString($B296))),";",EscStr(R296),";")))</f>
        <v>;"NavNode_L3D_529788";"Reinigingsdoekjes en accessoires";</v>
      </c>
      <c r="AL296" s="39" t="str">
        <f>IF(getCategoryLevelAsString($B296)="L0D_324785","",IF(S296="",CONCATENATE(";",EscStr(CONCATENATE("NavNode_",getCategoryLevelAsString($B296))),";",EscStr($J296),";"),CONCATENATE(";",EscStr(CONCATENATE("NavNode_",getCategoryLevelAsString($B296))),";",EscStr(S296),";")))</f>
        <v>;"NavNode_L3D_529788";"Ściereczki do czyszczenia i akcesoria";</v>
      </c>
      <c r="AM296" s="39" t="str">
        <f>IF(getCategoryLevelAsString($B296)="L0D_324785","",IF(T296="",CONCATENATE(";",EscStr(CONCATENATE("NavNode_",getCategoryLevelAsString($B296))),";",EscStr($J296),";"),CONCATENATE(";",EscStr(CONCATENATE("NavNode_",getCategoryLevelAsString($B296))),";",EscStr(T296),";")))</f>
        <v>;"NavNode_L3D_529788";"Чистки одежды &amp; Аксессуары";</v>
      </c>
      <c r="AN296" s="39" t="str">
        <f>IF(getCategoryLevelAsString($B296)="L0D_324785","",IF(U296="",CONCATENATE(";",EscStr(CONCATENATE("NavNode_",getCategoryLevelAsString($B296))),";",EscStr($J296),";"),CONCATENATE(";",EscStr(CONCATENATE("NavNode_",getCategoryLevelAsString($B296))),";",EscStr(U296),";")))</f>
        <v>;"NavNode_L3D_529788";"Čisticí utěrky a příslušenství";</v>
      </c>
      <c r="AO296" s="39" t="str">
        <f>IF(getCategoryLevelAsString($B296)="L0D_324785","",IF(V296="",CONCATENATE(";",EscStr(CONCATENATE("NavNode_",getCategoryLevelAsString($B296))),";",EscStr($J296),";"),CONCATENATE(";",EscStr(CONCATENATE("NavNode_",getCategoryLevelAsString($B296))),";",EscStr(V296),";")))</f>
        <v>;"NavNode_L3D_529788";"Cârpe de curăţănie şi accesorii";</v>
      </c>
      <c r="AP296" s="39" t="str">
        <f>IF(getCategoryLevelAsString($B296)="L0D_324785","",IF(W296="",CONCATENATE(";",EscStr(CONCATENATE("NavNode_",getCategoryLevelAsString($B296))),";",EscStr($J296),";"),CONCATENATE(";",EscStr(CONCATENATE("NavNode_",getCategoryLevelAsString($B296))),";",EscStr(W296),";")))</f>
        <v>;"NavNode_L3D_529788";"Tisztitókendők és tartozékok";</v>
      </c>
      <c r="AQ296" s="39" t="str">
        <f>IF(getCategoryLevelAsString($B296)="L0D_324785","",IF(X296="",CONCATENATE(";",EscStr(CONCATENATE("NavNode_",getCategoryLevelAsString($B296))),";",EscStr($J296),";"),CONCATENATE(";",EscStr(CONCATENATE("NavNode_",getCategoryLevelAsString($B296))),";",EscStr(X296),";")))</f>
        <v>;"NavNode_L3D_529788";"Čistiace utierky a príslušenstvo";</v>
      </c>
      <c r="AR296" s="39" t="str">
        <f>IF(OR($A296&lt;&gt;"", $G296=""),"",CONCATENATE(";",EscStr(CONCATENATE("NavEntry_",getCategoryLevelAsString($B296))),";",EscStr(CONCATENATE($J296," Navigation Entry")),";",EscStr(CONCATENATE("cat-",getCategoryLevelAsString($B296))),";",EscStr(CONCATENATE("NavNode_",getCategoryLevelAsString($B296))),";"))</f>
        <v>;"NavEntry_L3D_529788";"Cleaning Clothes &amp; Accessories Navigation Entry";"cat-L3D_529788";"NavNode_L3D_529788";</v>
      </c>
    </row>
    <row r="297" spans="1:44" s="34" customFormat="1" ht="15" x14ac:dyDescent="0.25">
      <c r="A297" s="25"/>
      <c r="B297" s="5"/>
      <c r="C297" s="5"/>
      <c r="D297" s="5" t="s">
        <v>814</v>
      </c>
      <c r="E297" s="5"/>
      <c r="F297" s="5"/>
      <c r="G297" s="5" t="s">
        <v>1056</v>
      </c>
      <c r="H297" s="5" t="s">
        <v>2268</v>
      </c>
      <c r="I297" s="5" t="s">
        <v>2269</v>
      </c>
      <c r="J297" s="5" t="s">
        <v>2270</v>
      </c>
      <c r="K297" s="5" t="s">
        <v>2271</v>
      </c>
      <c r="L297" s="5" t="s">
        <v>15213</v>
      </c>
      <c r="M297" s="5" t="s">
        <v>2273</v>
      </c>
      <c r="N297" s="5" t="s">
        <v>2274</v>
      </c>
      <c r="O297" s="5" t="s">
        <v>2275</v>
      </c>
      <c r="P297" s="5" t="s">
        <v>2276</v>
      </c>
      <c r="Q297" s="5" t="s">
        <v>2277</v>
      </c>
      <c r="R297" s="5" t="s">
        <v>2278</v>
      </c>
      <c r="S297" s="5" t="s">
        <v>2279</v>
      </c>
      <c r="T297" s="5" t="s">
        <v>2280</v>
      </c>
      <c r="U297" s="5" t="s">
        <v>2281</v>
      </c>
      <c r="V297" s="5" t="s">
        <v>2282</v>
      </c>
      <c r="W297" s="5" t="s">
        <v>2283</v>
      </c>
      <c r="X297" s="5" t="s">
        <v>14992</v>
      </c>
      <c r="Y297" s="39" t="str">
        <f>IF(OR($A297&lt;&gt;"", $G297=""),"",CONCATENATE(";",EscStr(CONCATENATE("NavNode_",getCategoryLevelAsString($B297))),";",EscStr($J297),";",IF($B297&lt;&gt;"","""MainCategoryNavNode""",EscStr(CONCATENATE("NavNode_",getSuperCategory($B297, getCategoryLevelAsNumber($B297))))),";"))</f>
        <v>;"NavNode_L3D_529776";"Sealing Compounds and Coating";"NavNode_L2D_379535";</v>
      </c>
      <c r="Z297" s="39" t="str">
        <f>IF(getCategoryLevelAsString($B297)="L0D_324785","",IF(G297="",CONCATENATE(";",EscStr(CONCATENATE("NavNode_",getCategoryLevelAsString($B297))),";",EscStr($J297),";"),CONCATENATE(";",EscStr(CONCATENATE("NavNode_",getCategoryLevelAsString($B297))),";",EscStr(G297),";")))</f>
        <v>;"NavNode_L3D_529776";"Vergussmasse";</v>
      </c>
      <c r="AA297" s="39" t="str">
        <f>IF(getCategoryLevelAsString($B297)="L0D_324785","",IF(H297="",CONCATENATE(";",EscStr(CONCATENATE("NavNode_",getCategoryLevelAsString($B297))),";",EscStr($J297),";"),CONCATENATE(";",EscStr(CONCATENATE("NavNode_",getCategoryLevelAsString($B297))),";",EscStr(H297),";")))</f>
        <v>;"NavNode_L3D_529776";"Masse de scellement et revêtement";</v>
      </c>
      <c r="AB297" s="39" t="str">
        <f>IF(getCategoryLevelAsString($B297)="L0D_324785","",IF(I297="",CONCATENATE(";",EscStr(CONCATENATE("NavNode_",getCategoryLevelAsString($B297))),";",EscStr($J297),";"),CONCATENATE(";",EscStr(CONCATENATE("NavNode_",getCategoryLevelAsString($B297))),";",EscStr(I297),";")))</f>
        <v>;"NavNode_L3D_529776";"Rivestimento e composti sigillanti";</v>
      </c>
      <c r="AC297" s="39" t="str">
        <f>IF(getCategoryLevelAsString($B297)="L0D_324785","",IF(J297="",CONCATENATE(";",EscStr(CONCATENATE("NavNode_",getCategoryLevelAsString($B297))),";",EscStr($J297),";"),CONCATENATE(";",EscStr(CONCATENATE("NavNode_",getCategoryLevelAsString($B297))),";",EscStr(J297),";")))</f>
        <v>;"NavNode_L3D_529776";"Sealing Compounds and Coating";</v>
      </c>
      <c r="AD297" s="39" t="str">
        <f>IF(getCategoryLevelAsString($B297)="L0D_324785","",IF(K297="",CONCATENATE(";",EscStr(CONCATENATE("NavNode_",getCategoryLevelAsString($B297))),";",EscStr($J297),";"),CONCATENATE(";",EscStr(CONCATENATE("NavNode_",getCategoryLevelAsString($B297))),";",EscStr(K297),";")))</f>
        <v>;"NavNode_L3D_529776";"Tætningsmidler og belægning";</v>
      </c>
      <c r="AE297" s="39" t="str">
        <f>IF(getCategoryLevelAsString($B297)="L0D_324785","",IF(L297="",CONCATENATE(";",EscStr(CONCATENATE("NavNode_",getCategoryLevelAsString($B297))),";",EscStr($J297),";"),CONCATENATE(";",EscStr(CONCATENATE("NavNode_",getCategoryLevelAsString($B297))),";",EscStr(L297),";")))</f>
        <v>;"NavNode_L3D_529776";"Sandarinimo medžiagos";</v>
      </c>
      <c r="AF297" s="39" t="str">
        <f>IF(getCategoryLevelAsString($B297)="L0D_324785","",IF(M297="",CONCATENATE(";",EscStr(CONCATENATE("NavNode_",getCategoryLevelAsString($B297))),";",EscStr($J297),";"),CONCATENATE(";",EscStr(CONCATENATE("NavNode_",getCategoryLevelAsString($B297))),";",EscStr(M297),";")))</f>
        <v>;"NavNode_L3D_529776";"Tetningsmaterialer og belegg";</v>
      </c>
      <c r="AG297" s="39" t="str">
        <f>IF(getCategoryLevelAsString($B297)="L0D_324785","",IF(N297="",CONCATENATE(";",EscStr(CONCATENATE("NavNode_",getCategoryLevelAsString($B297))),";",EscStr($J297),";"),CONCATENATE(";",EscStr(CONCATENATE("NavNode_",getCategoryLevelAsString($B297))),";",EscStr(N297),";")))</f>
        <v>;"NavNode_L3D_529776";"Tätningsmassor och beläggning";</v>
      </c>
      <c r="AH297" s="39" t="str">
        <f>IF(getCategoryLevelAsString($B297)="L0D_324785","",IF(O297="",CONCATENATE(";",EscStr(CONCATENATE("NavNode_",getCategoryLevelAsString($B297))),";",EscStr($J297),";"),CONCATENATE(";",EscStr(CONCATENATE("NavNode_",getCategoryLevelAsString($B297))),";",EscStr(O297),";")))</f>
        <v>;"NavNode_L3D_529776";"Tihendusühendid ja -katted";</v>
      </c>
      <c r="AI297" s="39" t="str">
        <f>IF(getCategoryLevelAsString($B297)="L0D_324785","",IF(P297="",CONCATENATE(";",EscStr(CONCATENATE("NavNode_",getCategoryLevelAsString($B297))),";",EscStr($J297),";"),CONCATENATE(";",EscStr(CONCATENATE("NavNode_",getCategoryLevelAsString($B297))),";",EscStr(P297),";")))</f>
        <v>;"NavNode_L3D_529776";"Tiivisteaineet ja pinnoitteet";</v>
      </c>
      <c r="AJ297" s="39" t="str">
        <f>IF(getCategoryLevelAsString($B297)="L0D_324785","",IF(Q297="",CONCATENATE(";",EscStr(CONCATENATE("NavNode_",getCategoryLevelAsString($B297))),";",EscStr($J297),";"),CONCATENATE(";",EscStr(CONCATENATE("NavNode_",getCategoryLevelAsString($B297))),";",EscStr(Q297),";")))</f>
        <v>;"NavNode_L3D_529776";"Izolācijas līdzekļi un pārklājumi";</v>
      </c>
      <c r="AK297" s="39" t="str">
        <f>IF(getCategoryLevelAsString($B297)="L0D_324785","",IF(R297="",CONCATENATE(";",EscStr(CONCATENATE("NavNode_",getCategoryLevelAsString($B297))),";",EscStr($J297),";"),CONCATENATE(";",EscStr(CONCATENATE("NavNode_",getCategoryLevelAsString($B297))),";",EscStr(R297),";")))</f>
        <v>;"NavNode_L3D_529776";"Afdichtmiddelen en coatings";</v>
      </c>
      <c r="AL297" s="39" t="str">
        <f>IF(getCategoryLevelAsString($B297)="L0D_324785","",IF(S297="",CONCATENATE(";",EscStr(CONCATENATE("NavNode_",getCategoryLevelAsString($B297))),";",EscStr($J297),";"),CONCATENATE(";",EscStr(CONCATENATE("NavNode_",getCategoryLevelAsString($B297))),";",EscStr(S297),";")))</f>
        <v>;"NavNode_L3D_529776";"Środki uszczelniające i powłoki";</v>
      </c>
      <c r="AM297" s="39" t="str">
        <f>IF(getCategoryLevelAsString($B297)="L0D_324785","",IF(T297="",CONCATENATE(";",EscStr(CONCATENATE("NavNode_",getCategoryLevelAsString($B297))),";",EscStr($J297),";"),CONCATENATE(";",EscStr(CONCATENATE("NavNode_",getCategoryLevelAsString($B297))),";",EscStr(T297),";")))</f>
        <v>;"NavNode_L3D_529776";"Уплотняющие составы и покрытия";</v>
      </c>
      <c r="AN297" s="39" t="str">
        <f>IF(getCategoryLevelAsString($B297)="L0D_324785","",IF(U297="",CONCATENATE(";",EscStr(CONCATENATE("NavNode_",getCategoryLevelAsString($B297))),";",EscStr($J297),";"),CONCATENATE(";",EscStr(CONCATENATE("NavNode_",getCategoryLevelAsString($B297))),";",EscStr(U297),";")))</f>
        <v>;"NavNode_L3D_529776";"Těsnicí hmoty a povlaky";</v>
      </c>
      <c r="AO297" s="39" t="str">
        <f>IF(getCategoryLevelAsString($B297)="L0D_324785","",IF(V297="",CONCATENATE(";",EscStr(CONCATENATE("NavNode_",getCategoryLevelAsString($B297))),";",EscStr($J297),";"),CONCATENATE(";",EscStr(CONCATENATE("NavNode_",getCategoryLevelAsString($B297))),";",EscStr(V297),";")))</f>
        <v>;"NavNode_L3D_529776";"Compuşi şi protecţie de etanşare";</v>
      </c>
      <c r="AP297" s="39" t="str">
        <f>IF(getCategoryLevelAsString($B297)="L0D_324785","",IF(W297="",CONCATENATE(";",EscStr(CONCATENATE("NavNode_",getCategoryLevelAsString($B297))),";",EscStr($J297),";"),CONCATENATE(";",EscStr(CONCATENATE("NavNode_",getCategoryLevelAsString($B297))),";",EscStr(W297),";")))</f>
        <v>;"NavNode_L3D_529776";"Tömítőanyagok és bevonatok";</v>
      </c>
      <c r="AQ297" s="39" t="str">
        <f>IF(getCategoryLevelAsString($B297)="L0D_324785","",IF(X297="",CONCATENATE(";",EscStr(CONCATENATE("NavNode_",getCategoryLevelAsString($B297))),";",EscStr($J297),";"),CONCATENATE(";",EscStr(CONCATENATE("NavNode_",getCategoryLevelAsString($B297))),";",EscStr(X297),";")))</f>
        <v>;"NavNode_L3D_529776";"Tesniace zmesi";</v>
      </c>
      <c r="AR297" s="39" t="str">
        <f>IF(OR($A297&lt;&gt;"", $G297=""),"",CONCATENATE(";",EscStr(CONCATENATE("NavEntry_",getCategoryLevelAsString($B297))),";",EscStr(CONCATENATE($J297," Navigation Entry")),";",EscStr(CONCATENATE("cat-",getCategoryLevelAsString($B297))),";",EscStr(CONCATENATE("NavNode_",getCategoryLevelAsString($B297))),";"))</f>
        <v>;"NavEntry_L3D_529776";"Sealing Compounds and Coating Navigation Entry";"cat-L3D_529776";"NavNode_L3D_529776";</v>
      </c>
    </row>
    <row r="298" spans="1:44" s="34" customFormat="1" ht="15" x14ac:dyDescent="0.25">
      <c r="A298" s="25"/>
      <c r="B298" s="5"/>
      <c r="C298" s="5"/>
      <c r="D298" s="5" t="s">
        <v>244</v>
      </c>
      <c r="E298" s="5"/>
      <c r="F298" s="5"/>
      <c r="G298" s="5" t="s">
        <v>1057</v>
      </c>
      <c r="H298" s="5" t="s">
        <v>2284</v>
      </c>
      <c r="I298" s="5" t="s">
        <v>2285</v>
      </c>
      <c r="J298" s="5" t="s">
        <v>2286</v>
      </c>
      <c r="K298" s="5" t="s">
        <v>1269</v>
      </c>
      <c r="L298" s="5" t="s">
        <v>15214</v>
      </c>
      <c r="M298" s="5" t="s">
        <v>1269</v>
      </c>
      <c r="N298" s="5" t="s">
        <v>1937</v>
      </c>
      <c r="O298" s="5" t="s">
        <v>2288</v>
      </c>
      <c r="P298" s="5" t="s">
        <v>2289</v>
      </c>
      <c r="Q298" s="5" t="s">
        <v>2290</v>
      </c>
      <c r="R298" s="5" t="s">
        <v>1269</v>
      </c>
      <c r="S298" s="5" t="s">
        <v>2291</v>
      </c>
      <c r="T298" s="5" t="s">
        <v>2292</v>
      </c>
      <c r="U298" s="5" t="s">
        <v>2293</v>
      </c>
      <c r="V298" s="5" t="s">
        <v>2294</v>
      </c>
      <c r="W298" s="5" t="s">
        <v>2295</v>
      </c>
      <c r="X298" s="5" t="s">
        <v>14993</v>
      </c>
      <c r="Y298" s="39" t="str">
        <f>IF(OR($A298&lt;&gt;"", $G298=""),"",CONCATENATE(";",EscStr(CONCATENATE("NavNode_",getCategoryLevelAsString($B298))),";",EscStr($J298),";",IF($B298&lt;&gt;"","""MainCategoryNavNode""",EscStr(CONCATENATE("NavNode_",getSuperCategory($B298, getCategoryLevelAsNumber($B298))))),";"))</f>
        <v>;"NavNode_L3D_525454";"Tapes";"NavNode_L2D_379535";</v>
      </c>
      <c r="Z298" s="39" t="str">
        <f>IF(getCategoryLevelAsString($B298)="L0D_324785","",IF(G298="",CONCATENATE(";",EscStr(CONCATENATE("NavNode_",getCategoryLevelAsString($B298))),";",EscStr($J298),";"),CONCATENATE(";",EscStr(CONCATENATE("NavNode_",getCategoryLevelAsString($B298))),";",EscStr(G298),";")))</f>
        <v>;"NavNode_L3D_525454";"Klebebänder";</v>
      </c>
      <c r="AA298" s="39" t="str">
        <f>IF(getCategoryLevelAsString($B298)="L0D_324785","",IF(H298="",CONCATENATE(";",EscStr(CONCATENATE("NavNode_",getCategoryLevelAsString($B298))),";",EscStr($J298),";"),CONCATENATE(";",EscStr(CONCATENATE("NavNode_",getCategoryLevelAsString($B298))),";",EscStr(H298),";")))</f>
        <v>;"NavNode_L3D_525454";"Rubans";</v>
      </c>
      <c r="AB298" s="39" t="str">
        <f>IF(getCategoryLevelAsString($B298)="L0D_324785","",IF(I298="",CONCATENATE(";",EscStr(CONCATENATE("NavNode_",getCategoryLevelAsString($B298))),";",EscStr($J298),";"),CONCATENATE(";",EscStr(CONCATENATE("NavNode_",getCategoryLevelAsString($B298))),";",EscStr(I298),";")))</f>
        <v>;"NavNode_L3D_525454";"Nastri";</v>
      </c>
      <c r="AC298" s="39" t="str">
        <f>IF(getCategoryLevelAsString($B298)="L0D_324785","",IF(J298="",CONCATENATE(";",EscStr(CONCATENATE("NavNode_",getCategoryLevelAsString($B298))),";",EscStr($J298),";"),CONCATENATE(";",EscStr(CONCATENATE("NavNode_",getCategoryLevelAsString($B298))),";",EscStr(J298),";")))</f>
        <v>;"NavNode_L3D_525454";"Tapes";</v>
      </c>
      <c r="AD298" s="39" t="str">
        <f>IF(getCategoryLevelAsString($B298)="L0D_324785","",IF(K298="",CONCATENATE(";",EscStr(CONCATENATE("NavNode_",getCategoryLevelAsString($B298))),";",EscStr($J298),";"),CONCATENATE(";",EscStr(CONCATENATE("NavNode_",getCategoryLevelAsString($B298))),";",EscStr(K298),";")))</f>
        <v>;"NavNode_L3D_525454";"Tape";</v>
      </c>
      <c r="AE298" s="39" t="str">
        <f>IF(getCategoryLevelAsString($B298)="L0D_324785","",IF(L298="",CONCATENATE(";",EscStr(CONCATENATE("NavNode_",getCategoryLevelAsString($B298))),";",EscStr($J298),";"),CONCATENATE(";",EscStr(CONCATENATE("NavNode_",getCategoryLevelAsString($B298))),";",EscStr(L298),";")))</f>
        <v>;"NavNode_L3D_525454";"Lipnios juostos";</v>
      </c>
      <c r="AF298" s="39" t="str">
        <f>IF(getCategoryLevelAsString($B298)="L0D_324785","",IF(M298="",CONCATENATE(";",EscStr(CONCATENATE("NavNode_",getCategoryLevelAsString($B298))),";",EscStr($J298),";"),CONCATENATE(";",EscStr(CONCATENATE("NavNode_",getCategoryLevelAsString($B298))),";",EscStr(M298),";")))</f>
        <v>;"NavNode_L3D_525454";"Tape";</v>
      </c>
      <c r="AG298" s="39" t="str">
        <f>IF(getCategoryLevelAsString($B298)="L0D_324785","",IF(N298="",CONCATENATE(";",EscStr(CONCATENATE("NavNode_",getCategoryLevelAsString($B298))),";",EscStr($J298),";"),CONCATENATE(";",EscStr(CONCATENATE("NavNode_",getCategoryLevelAsString($B298))),";",EscStr(N298),";")))</f>
        <v>;"NavNode_L3D_525454";"Tejp";</v>
      </c>
      <c r="AH298" s="39" t="str">
        <f>IF(getCategoryLevelAsString($B298)="L0D_324785","",IF(O298="",CONCATENATE(";",EscStr(CONCATENATE("NavNode_",getCategoryLevelAsString($B298))),";",EscStr($J298),";"),CONCATENATE(";",EscStr(CONCATENATE("NavNode_",getCategoryLevelAsString($B298))),";",EscStr(O298),";")))</f>
        <v>;"NavNode_L3D_525454";"Kleepribad";</v>
      </c>
      <c r="AI298" s="39" t="str">
        <f>IF(getCategoryLevelAsString($B298)="L0D_324785","",IF(P298="",CONCATENATE(";",EscStr(CONCATENATE("NavNode_",getCategoryLevelAsString($B298))),";",EscStr($J298),";"),CONCATENATE(";",EscStr(CONCATENATE("NavNode_",getCategoryLevelAsString($B298))),";",EscStr(P298),";")))</f>
        <v>;"NavNode_L3D_525454";"Teipit";</v>
      </c>
      <c r="AJ298" s="39" t="str">
        <f>IF(getCategoryLevelAsString($B298)="L0D_324785","",IF(Q298="",CONCATENATE(";",EscStr(CONCATENATE("NavNode_",getCategoryLevelAsString($B298))),";",EscStr($J298),";"),CONCATENATE(";",EscStr(CONCATENATE("NavNode_",getCategoryLevelAsString($B298))),";",EscStr(Q298),";")))</f>
        <v>;"NavNode_L3D_525454";"Lentas";</v>
      </c>
      <c r="AK298" s="39" t="str">
        <f>IF(getCategoryLevelAsString($B298)="L0D_324785","",IF(R298="",CONCATENATE(";",EscStr(CONCATENATE("NavNode_",getCategoryLevelAsString($B298))),";",EscStr($J298),";"),CONCATENATE(";",EscStr(CONCATENATE("NavNode_",getCategoryLevelAsString($B298))),";",EscStr(R298),";")))</f>
        <v>;"NavNode_L3D_525454";"Tape";</v>
      </c>
      <c r="AL298" s="39" t="str">
        <f>IF(getCategoryLevelAsString($B298)="L0D_324785","",IF(S298="",CONCATENATE(";",EscStr(CONCATENATE("NavNode_",getCategoryLevelAsString($B298))),";",EscStr($J298),";"),CONCATENATE(";",EscStr(CONCATENATE("NavNode_",getCategoryLevelAsString($B298))),";",EscStr(S298),";")))</f>
        <v>;"NavNode_L3D_525454";"Taśmy";</v>
      </c>
      <c r="AM298" s="39" t="str">
        <f>IF(getCategoryLevelAsString($B298)="L0D_324785","",IF(T298="",CONCATENATE(";",EscStr(CONCATENATE("NavNode_",getCategoryLevelAsString($B298))),";",EscStr($J298),";"),CONCATENATE(";",EscStr(CONCATENATE("NavNode_",getCategoryLevelAsString($B298))),";",EscStr(T298),";")))</f>
        <v>;"NavNode_L3D_525454";"Ленты";</v>
      </c>
      <c r="AN298" s="39" t="str">
        <f>IF(getCategoryLevelAsString($B298)="L0D_324785","",IF(U298="",CONCATENATE(";",EscStr(CONCATENATE("NavNode_",getCategoryLevelAsString($B298))),";",EscStr($J298),";"),CONCATENATE(";",EscStr(CONCATENATE("NavNode_",getCategoryLevelAsString($B298))),";",EscStr(U298),";")))</f>
        <v>;"NavNode_L3D_525454";"Pásky";</v>
      </c>
      <c r="AO298" s="39" t="str">
        <f>IF(getCategoryLevelAsString($B298)="L0D_324785","",IF(V298="",CONCATENATE(";",EscStr(CONCATENATE("NavNode_",getCategoryLevelAsString($B298))),";",EscStr($J298),";"),CONCATENATE(";",EscStr(CONCATENATE("NavNode_",getCategoryLevelAsString($B298))),";",EscStr(V298),";")))</f>
        <v>;"NavNode_L3D_525454";"Benzi";</v>
      </c>
      <c r="AP298" s="39" t="str">
        <f>IF(getCategoryLevelAsString($B298)="L0D_324785","",IF(W298="",CONCATENATE(";",EscStr(CONCATENATE("NavNode_",getCategoryLevelAsString($B298))),";",EscStr($J298),";"),CONCATENATE(";",EscStr(CONCATENATE("NavNode_",getCategoryLevelAsString($B298))),";",EscStr(W298),";")))</f>
        <v>;"NavNode_L3D_525454";"Ragasztószalagok";</v>
      </c>
      <c r="AQ298" s="39" t="str">
        <f>IF(getCategoryLevelAsString($B298)="L0D_324785","",IF(X298="",CONCATENATE(";",EscStr(CONCATENATE("NavNode_",getCategoryLevelAsString($B298))),";",EscStr($J298),";"),CONCATENATE(";",EscStr(CONCATENATE("NavNode_",getCategoryLevelAsString($B298))),";",EscStr(X298),";")))</f>
        <v>;"NavNode_L3D_525454";"Lepiace pásky";</v>
      </c>
      <c r="AR298" s="39" t="str">
        <f>IF(OR($A298&lt;&gt;"", $G298=""),"",CONCATENATE(";",EscStr(CONCATENATE("NavEntry_",getCategoryLevelAsString($B298))),";",EscStr(CONCATENATE($J298," Navigation Entry")),";",EscStr(CONCATENATE("cat-",getCategoryLevelAsString($B298))),";",EscStr(CONCATENATE("NavNode_",getCategoryLevelAsString($B298))),";"))</f>
        <v>;"NavEntry_L3D_525454";"Tapes Navigation Entry";"cat-L3D_525454";"NavNode_L3D_525454";</v>
      </c>
    </row>
    <row r="299" spans="1:44" s="34" customFormat="1" ht="15" x14ac:dyDescent="0.25">
      <c r="A299" s="25"/>
      <c r="B299" s="5"/>
      <c r="C299" s="5"/>
      <c r="D299" s="5" t="s">
        <v>237</v>
      </c>
      <c r="E299" s="5"/>
      <c r="F299" s="5"/>
      <c r="G299" s="5" t="s">
        <v>538</v>
      </c>
      <c r="H299" s="5" t="s">
        <v>539</v>
      </c>
      <c r="I299" s="5" t="s">
        <v>540</v>
      </c>
      <c r="J299" s="5" t="s">
        <v>238</v>
      </c>
      <c r="K299" s="5" t="s">
        <v>1270</v>
      </c>
      <c r="L299" s="5" t="s">
        <v>1504</v>
      </c>
      <c r="M299" s="5" t="s">
        <v>1734</v>
      </c>
      <c r="N299" s="5" t="s">
        <v>1270</v>
      </c>
      <c r="O299" s="5" t="s">
        <v>3035</v>
      </c>
      <c r="P299" s="5" t="s">
        <v>3036</v>
      </c>
      <c r="Q299" s="5" t="s">
        <v>3037</v>
      </c>
      <c r="R299" s="5" t="s">
        <v>3038</v>
      </c>
      <c r="S299" s="5" t="s">
        <v>3039</v>
      </c>
      <c r="T299" s="5" t="s">
        <v>3040</v>
      </c>
      <c r="U299" s="5" t="s">
        <v>3041</v>
      </c>
      <c r="V299" s="5" t="s">
        <v>3042</v>
      </c>
      <c r="W299" s="5" t="s">
        <v>3043</v>
      </c>
      <c r="X299" s="5" t="s">
        <v>14994</v>
      </c>
      <c r="Y299" s="39" t="str">
        <f>IF(OR($A299&lt;&gt;"", $G299=""),"",CONCATENATE(";",EscStr(CONCATENATE("NavNode_",getCategoryLevelAsString($B299))),";",EscStr($J299),";",IF($B299&lt;&gt;"","""MainCategoryNavNode""",EscStr(CONCATENATE("NavNode_",getSuperCategory($B299, getCategoryLevelAsNumber($B299))))),";"))</f>
        <v>;"NavNode_L3D_525455";"Adhesives";"NavNode_L2D_379535";</v>
      </c>
      <c r="Z299" s="39" t="str">
        <f>IF(getCategoryLevelAsString($B299)="L0D_324785","",IF(G299="",CONCATENATE(";",EscStr(CONCATENATE("NavNode_",getCategoryLevelAsString($B299))),";",EscStr($J299),";"),CONCATENATE(";",EscStr(CONCATENATE("NavNode_",getCategoryLevelAsString($B299))),";",EscStr(G299),";")))</f>
        <v>;"NavNode_L3D_525455";"Klebetechnik";</v>
      </c>
      <c r="AA299" s="39" t="str">
        <f>IF(getCategoryLevelAsString($B299)="L0D_324785","",IF(H299="",CONCATENATE(";",EscStr(CONCATENATE("NavNode_",getCategoryLevelAsString($B299))),";",EscStr($J299),";"),CONCATENATE(";",EscStr(CONCATENATE("NavNode_",getCategoryLevelAsString($B299))),";",EscStr(H299),";")))</f>
        <v>;"NavNode_L3D_525455";"Adhésifs";</v>
      </c>
      <c r="AB299" s="39" t="str">
        <f>IF(getCategoryLevelAsString($B299)="L0D_324785","",IF(I299="",CONCATENATE(";",EscStr(CONCATENATE("NavNode_",getCategoryLevelAsString($B299))),";",EscStr($J299),";"),CONCATENATE(";",EscStr(CONCATENATE("NavNode_",getCategoryLevelAsString($B299))),";",EscStr(I299),";")))</f>
        <v>;"NavNode_L3D_525455";"Adesivi";</v>
      </c>
      <c r="AC299" s="39" t="str">
        <f>IF(getCategoryLevelAsString($B299)="L0D_324785","",IF(J299="",CONCATENATE(";",EscStr(CONCATENATE("NavNode_",getCategoryLevelAsString($B299))),";",EscStr($J299),";"),CONCATENATE(";",EscStr(CONCATENATE("NavNode_",getCategoryLevelAsString($B299))),";",EscStr(J299),";")))</f>
        <v>;"NavNode_L3D_525455";"Adhesives";</v>
      </c>
      <c r="AD299" s="39" t="str">
        <f>IF(getCategoryLevelAsString($B299)="L0D_324785","",IF(K299="",CONCATENATE(";",EscStr(CONCATENATE("NavNode_",getCategoryLevelAsString($B299))),";",EscStr($J299),";"),CONCATENATE(";",EscStr(CONCATENATE("NavNode_",getCategoryLevelAsString($B299))),";",EscStr(K299),";")))</f>
        <v>;"NavNode_L3D_525455";"Lim";</v>
      </c>
      <c r="AE299" s="39" t="str">
        <f>IF(getCategoryLevelAsString($B299)="L0D_324785","",IF(L299="",CONCATENATE(";",EscStr(CONCATENATE("NavNode_",getCategoryLevelAsString($B299))),";",EscStr($J299),";"),CONCATENATE(";",EscStr(CONCATENATE("NavNode_",getCategoryLevelAsString($B299))),";",EscStr(L299),";")))</f>
        <v>;"NavNode_L3D_525455";"Klijai";</v>
      </c>
      <c r="AF299" s="39" t="str">
        <f>IF(getCategoryLevelAsString($B299)="L0D_324785","",IF(M299="",CONCATENATE(";",EscStr(CONCATENATE("NavNode_",getCategoryLevelAsString($B299))),";",EscStr($J299),";"),CONCATENATE(";",EscStr(CONCATENATE("NavNode_",getCategoryLevelAsString($B299))),";",EscStr(M299),";")))</f>
        <v>;"NavNode_L3D_525455";"Limprodukter";</v>
      </c>
      <c r="AG299" s="39" t="str">
        <f>IF(getCategoryLevelAsString($B299)="L0D_324785","",IF(N299="",CONCATENATE(";",EscStr(CONCATENATE("NavNode_",getCategoryLevelAsString($B299))),";",EscStr($J299),";"),CONCATENATE(";",EscStr(CONCATENATE("NavNode_",getCategoryLevelAsString($B299))),";",EscStr(N299),";")))</f>
        <v>;"NavNode_L3D_525455";"Lim";</v>
      </c>
      <c r="AH299" s="39" t="str">
        <f>IF(getCategoryLevelAsString($B299)="L0D_324785","",IF(O299="",CONCATENATE(";",EscStr(CONCATENATE("NavNode_",getCategoryLevelAsString($B299))),";",EscStr($J299),";"),CONCATENATE(";",EscStr(CONCATENATE("NavNode_",getCategoryLevelAsString($B299))),";",EscStr(O299),";")))</f>
        <v>;"NavNode_L3D_525455";"Liimid";</v>
      </c>
      <c r="AI299" s="39" t="str">
        <f>IF(getCategoryLevelAsString($B299)="L0D_324785","",IF(P299="",CONCATENATE(";",EscStr(CONCATENATE("NavNode_",getCategoryLevelAsString($B299))),";",EscStr($J299),";"),CONCATENATE(";",EscStr(CONCATENATE("NavNode_",getCategoryLevelAsString($B299))),";",EscStr(P299),";")))</f>
        <v>;"NavNode_L3D_525455";"Liimat";</v>
      </c>
      <c r="AJ299" s="39" t="str">
        <f>IF(getCategoryLevelAsString($B299)="L0D_324785","",IF(Q299="",CONCATENATE(";",EscStr(CONCATENATE("NavNode_",getCategoryLevelAsString($B299))),";",EscStr($J299),";"),CONCATENATE(";",EscStr(CONCATENATE("NavNode_",getCategoryLevelAsString($B299))),";",EscStr(Q299),";")))</f>
        <v>;"NavNode_L3D_525455";"Līmes";</v>
      </c>
      <c r="AK299" s="39" t="str">
        <f>IF(getCategoryLevelAsString($B299)="L0D_324785","",IF(R299="",CONCATENATE(";",EscStr(CONCATENATE("NavNode_",getCategoryLevelAsString($B299))),";",EscStr($J299),";"),CONCATENATE(";",EscStr(CONCATENATE("NavNode_",getCategoryLevelAsString($B299))),";",EscStr(R299),";")))</f>
        <v>;"NavNode_L3D_525455";"Lijmen";</v>
      </c>
      <c r="AL299" s="39" t="str">
        <f>IF(getCategoryLevelAsString($B299)="L0D_324785","",IF(S299="",CONCATENATE(";",EscStr(CONCATENATE("NavNode_",getCategoryLevelAsString($B299))),";",EscStr($J299),";"),CONCATENATE(";",EscStr(CONCATENATE("NavNode_",getCategoryLevelAsString($B299))),";",EscStr(S299),";")))</f>
        <v>;"NavNode_L3D_525455";"Kleje";</v>
      </c>
      <c r="AM299" s="39" t="str">
        <f>IF(getCategoryLevelAsString($B299)="L0D_324785","",IF(T299="",CONCATENATE(";",EscStr(CONCATENATE("NavNode_",getCategoryLevelAsString($B299))),";",EscStr($J299),";"),CONCATENATE(";",EscStr(CONCATENATE("NavNode_",getCategoryLevelAsString($B299))),";",EscStr(T299),";")))</f>
        <v>;"NavNode_L3D_525455";"Клеи";</v>
      </c>
      <c r="AN299" s="39" t="str">
        <f>IF(getCategoryLevelAsString($B299)="L0D_324785","",IF(U299="",CONCATENATE(";",EscStr(CONCATENATE("NavNode_",getCategoryLevelAsString($B299))),";",EscStr($J299),";"),CONCATENATE(";",EscStr(CONCATENATE("NavNode_",getCategoryLevelAsString($B299))),";",EscStr(U299),";")))</f>
        <v>;"NavNode_L3D_525455";"Lepící technika";</v>
      </c>
      <c r="AO299" s="39" t="str">
        <f>IF(getCategoryLevelAsString($B299)="L0D_324785","",IF(V299="",CONCATENATE(";",EscStr(CONCATENATE("NavNode_",getCategoryLevelAsString($B299))),";",EscStr($J299),";"),CONCATENATE(";",EscStr(CONCATENATE("NavNode_",getCategoryLevelAsString($B299))),";",EscStr(V299),";")))</f>
        <v>;"NavNode_L3D_525455";"Tehnologie Adeziv";</v>
      </c>
      <c r="AP299" s="39" t="str">
        <f>IF(getCategoryLevelAsString($B299)="L0D_324785","",IF(W299="",CONCATENATE(";",EscStr(CONCATENATE("NavNode_",getCategoryLevelAsString($B299))),";",EscStr($J299),";"),CONCATENATE(";",EscStr(CONCATENATE("NavNode_",getCategoryLevelAsString($B299))),";",EscStr(W299),";")))</f>
        <v>;"NavNode_L3D_525455";"Ragasztástechnika";</v>
      </c>
      <c r="AQ299" s="39" t="str">
        <f>IF(getCategoryLevelAsString($B299)="L0D_324785","",IF(X299="",CONCATENATE(";",EscStr(CONCATENATE("NavNode_",getCategoryLevelAsString($B299))),";",EscStr($J299),";"),CONCATENATE(";",EscStr(CONCATENATE("NavNode_",getCategoryLevelAsString($B299))),";",EscStr(X299),";")))</f>
        <v>;"NavNode_L3D_525455";"Lepiaca technika";</v>
      </c>
      <c r="AR299" s="39" t="str">
        <f>IF(OR($A299&lt;&gt;"", $G299=""),"",CONCATENATE(";",EscStr(CONCATENATE("NavEntry_",getCategoryLevelAsString($B299))),";",EscStr(CONCATENATE($J299," Navigation Entry")),";",EscStr(CONCATENATE("cat-",getCategoryLevelAsString($B299))),";",EscStr(CONCATENATE("NavNode_",getCategoryLevelAsString($B299))),";"))</f>
        <v>;"NavEntry_L3D_525455";"Adhesives Navigation Entry";"cat-L3D_525455";"NavNode_L3D_525455";</v>
      </c>
    </row>
    <row r="300" spans="1:44" s="34" customFormat="1" ht="15" x14ac:dyDescent="0.25">
      <c r="A300" s="25"/>
      <c r="B300" s="5"/>
      <c r="C300" s="5"/>
      <c r="D300" s="5" t="s">
        <v>239</v>
      </c>
      <c r="E300" s="5"/>
      <c r="F300" s="5"/>
      <c r="G300" s="5" t="s">
        <v>963</v>
      </c>
      <c r="H300" s="5" t="s">
        <v>808</v>
      </c>
      <c r="I300" s="5" t="s">
        <v>709</v>
      </c>
      <c r="J300" s="5" t="s">
        <v>541</v>
      </c>
      <c r="K300" s="5" t="s">
        <v>1254</v>
      </c>
      <c r="L300" s="5" t="s">
        <v>15215</v>
      </c>
      <c r="M300" s="5" t="s">
        <v>1720</v>
      </c>
      <c r="N300" s="5" t="s">
        <v>1922</v>
      </c>
      <c r="O300" s="5" t="s">
        <v>2882</v>
      </c>
      <c r="P300" s="5" t="s">
        <v>2883</v>
      </c>
      <c r="Q300" s="5" t="s">
        <v>2884</v>
      </c>
      <c r="R300" s="5" t="s">
        <v>2885</v>
      </c>
      <c r="S300" s="5" t="s">
        <v>2886</v>
      </c>
      <c r="T300" s="5" t="s">
        <v>2887</v>
      </c>
      <c r="U300" s="5" t="s">
        <v>2888</v>
      </c>
      <c r="V300" s="5" t="s">
        <v>2889</v>
      </c>
      <c r="W300" s="5" t="s">
        <v>2890</v>
      </c>
      <c r="X300" s="5" t="s">
        <v>14995</v>
      </c>
      <c r="Y300" s="39" t="str">
        <f>IF(OR($A300&lt;&gt;"", $G300=""),"",CONCATENATE(";",EscStr(CONCATENATE("NavNode_",getCategoryLevelAsString($B300))),";",EscStr($J300),";",IF($B300&lt;&gt;"","""MainCategoryNavNode""",EscStr(CONCATENATE("NavNode_",getSuperCategory($B300, getCategoryLevelAsNumber($B300))))),";"))</f>
        <v>;"NavNode_L3D_525448";"Boxes, Drawers and Containers";"NavNode_L2D_379535";</v>
      </c>
      <c r="Z300" s="39" t="str">
        <f>IF(getCategoryLevelAsString($B300)="L0D_324785","",IF(G300="",CONCATENATE(";",EscStr(CONCATENATE("NavNode_",getCategoryLevelAsString($B300))),";",EscStr($J300),";"),CONCATENATE(";",EscStr(CONCATENATE("NavNode_",getCategoryLevelAsString($B300))),";",EscStr(G300),";")))</f>
        <v>;"NavNode_L3D_525448";"Boxen, Schubladen und Behälter";</v>
      </c>
      <c r="AA300" s="39" t="str">
        <f>IF(getCategoryLevelAsString($B300)="L0D_324785","",IF(H300="",CONCATENATE(";",EscStr(CONCATENATE("NavNode_",getCategoryLevelAsString($B300))),";",EscStr($J300),";"),CONCATENATE(";",EscStr(CONCATENATE("NavNode_",getCategoryLevelAsString($B300))),";",EscStr(H300),";")))</f>
        <v>;"NavNode_L3D_525448";"Boîtes, tiroirs et conteneurs";</v>
      </c>
      <c r="AB300" s="39" t="str">
        <f>IF(getCategoryLevelAsString($B300)="L0D_324785","",IF(I300="",CONCATENATE(";",EscStr(CONCATENATE("NavNode_",getCategoryLevelAsString($B300))),";",EscStr($J300),";"),CONCATENATE(";",EscStr(CONCATENATE("NavNode_",getCategoryLevelAsString($B300))),";",EscStr(I300),";")))</f>
        <v>;"NavNode_L3D_525448";"Scatole, cassettiere e contenitori";</v>
      </c>
      <c r="AC300" s="39" t="str">
        <f>IF(getCategoryLevelAsString($B300)="L0D_324785","",IF(J300="",CONCATENATE(";",EscStr(CONCATENATE("NavNode_",getCategoryLevelAsString($B300))),";",EscStr($J300),";"),CONCATENATE(";",EscStr(CONCATENATE("NavNode_",getCategoryLevelAsString($B300))),";",EscStr(J300),";")))</f>
        <v>;"NavNode_L3D_525448";"Boxes, Drawers and Containers";</v>
      </c>
      <c r="AD300" s="39" t="str">
        <f>IF(getCategoryLevelAsString($B300)="L0D_324785","",IF(K300="",CONCATENATE(";",EscStr(CONCATENATE("NavNode_",getCategoryLevelAsString($B300))),";",EscStr($J300),";"),CONCATENATE(";",EscStr(CONCATENATE("NavNode_",getCategoryLevelAsString($B300))),";",EscStr(K300),";")))</f>
        <v>;"NavNode_L3D_525448";"Kasser, skuffer og beholdere";</v>
      </c>
      <c r="AE300" s="39" t="str">
        <f>IF(getCategoryLevelAsString($B300)="L0D_324785","",IF(L300="",CONCATENATE(";",EscStr(CONCATENATE("NavNode_",getCategoryLevelAsString($B300))),";",EscStr($J300),";"),CONCATENATE(";",EscStr(CONCATENATE("NavNode_",getCategoryLevelAsString($B300))),";",EscStr(L300),";")))</f>
        <v>;"NavNode_L3D_525448";"Dėžės, spintos su stalčiais ir konteineriai";</v>
      </c>
      <c r="AF300" s="39" t="str">
        <f>IF(getCategoryLevelAsString($B300)="L0D_324785","",IF(M300="",CONCATENATE(";",EscStr(CONCATENATE("NavNode_",getCategoryLevelAsString($B300))),";",EscStr($J300),";"),CONCATENATE(";",EscStr(CONCATENATE("NavNode_",getCategoryLevelAsString($B300))),";",EscStr(M300),";")))</f>
        <v>;"NavNode_L3D_525448";"Bokser, skuffer og beholdere";</v>
      </c>
      <c r="AG300" s="39" t="str">
        <f>IF(getCategoryLevelAsString($B300)="L0D_324785","",IF(N300="",CONCATENATE(";",EscStr(CONCATENATE("NavNode_",getCategoryLevelAsString($B300))),";",EscStr($J300),";"),CONCATENATE(";",EscStr(CONCATENATE("NavNode_",getCategoryLevelAsString($B300))),";",EscStr(N300),";")))</f>
        <v>;"NavNode_L3D_525448";"Lådor och behållare";</v>
      </c>
      <c r="AH300" s="39" t="str">
        <f>IF(getCategoryLevelAsString($B300)="L0D_324785","",IF(O300="",CONCATENATE(";",EscStr(CONCATENATE("NavNode_",getCategoryLevelAsString($B300))),";",EscStr($J300),";"),CONCATENATE(";",EscStr(CONCATENATE("NavNode_",getCategoryLevelAsString($B300))),";",EscStr(O300),";")))</f>
        <v>;"NavNode_L3D_525448";"Karbid, sahtlid ja konteinerid";</v>
      </c>
      <c r="AI300" s="39" t="str">
        <f>IF(getCategoryLevelAsString($B300)="L0D_324785","",IF(P300="",CONCATENATE(";",EscStr(CONCATENATE("NavNode_",getCategoryLevelAsString($B300))),";",EscStr($J300),";"),CONCATENATE(";",EscStr(CONCATENATE("NavNode_",getCategoryLevelAsString($B300))),";",EscStr(P300),";")))</f>
        <v>;"NavNode_L3D_525448";"Laatikot, säilytyslaatikot";</v>
      </c>
      <c r="AJ300" s="39" t="str">
        <f>IF(getCategoryLevelAsString($B300)="L0D_324785","",IF(Q300="",CONCATENATE(";",EscStr(CONCATENATE("NavNode_",getCategoryLevelAsString($B300))),";",EscStr($J300),";"),CONCATENATE(";",EscStr(CONCATENATE("NavNode_",getCategoryLevelAsString($B300))),";",EscStr(Q300),";")))</f>
        <v>;"NavNode_L3D_525448";"Kastes, atvilktnes un konteineri";</v>
      </c>
      <c r="AK300" s="39" t="str">
        <f>IF(getCategoryLevelAsString($B300)="L0D_324785","",IF(R300="",CONCATENATE(";",EscStr(CONCATENATE("NavNode_",getCategoryLevelAsString($B300))),";",EscStr($J300),";"),CONCATENATE(";",EscStr(CONCATENATE("NavNode_",getCategoryLevelAsString($B300))),";",EscStr(R300),";")))</f>
        <v>;"NavNode_L3D_525448";"Assortiment dozen / Ladekasten / Transport en opslagdozen / Verpakkingsmateriaal";</v>
      </c>
      <c r="AL300" s="39" t="str">
        <f>IF(getCategoryLevelAsString($B300)="L0D_324785","",IF(S300="",CONCATENATE(";",EscStr(CONCATENATE("NavNode_",getCategoryLevelAsString($B300))),";",EscStr($J300),";"),CONCATENATE(";",EscStr(CONCATENATE("NavNode_",getCategoryLevelAsString($B300))),";",EscStr(S300),";")))</f>
        <v>;"NavNode_L3D_525448";"Pudełka, Szuflady i Pojemniki";</v>
      </c>
      <c r="AM300" s="39" t="str">
        <f>IF(getCategoryLevelAsString($B300)="L0D_324785","",IF(T300="",CONCATENATE(";",EscStr(CONCATENATE("NavNode_",getCategoryLevelAsString($B300))),";",EscStr($J300),";"),CONCATENATE(";",EscStr(CONCATENATE("NavNode_",getCategoryLevelAsString($B300))),";",EscStr(T300),";")))</f>
        <v>;"NavNode_L3D_525448";"Коробки, Ящики и Контейнеры";</v>
      </c>
      <c r="AN300" s="39" t="str">
        <f>IF(getCategoryLevelAsString($B300)="L0D_324785","",IF(U300="",CONCATENATE(";",EscStr(CONCATENATE("NavNode_",getCategoryLevelAsString($B300))),";",EscStr($J300),";"),CONCATENATE(";",EscStr(CONCATENATE("NavNode_",getCategoryLevelAsString($B300))),";",EscStr(U300),";")))</f>
        <v>;"NavNode_L3D_525448";"Krabice, zásuvky a kontejnery";</v>
      </c>
      <c r="AO300" s="39" t="str">
        <f>IF(getCategoryLevelAsString($B300)="L0D_324785","",IF(V300="",CONCATENATE(";",EscStr(CONCATENATE("NavNode_",getCategoryLevelAsString($B300))),";",EscStr($J300),";"),CONCATENATE(";",EscStr(CONCATENATE("NavNode_",getCategoryLevelAsString($B300))),";",EscStr(V300),";")))</f>
        <v>;"NavNode_L3D_525448";"Cutii, sertare şi containere";</v>
      </c>
      <c r="AP300" s="39" t="str">
        <f>IF(getCategoryLevelAsString($B300)="L0D_324785","",IF(W300="",CONCATENATE(";",EscStr(CONCATENATE("NavNode_",getCategoryLevelAsString($B300))),";",EscStr($J300),";"),CONCATENATE(";",EscStr(CONCATENATE("NavNode_",getCategoryLevelAsString($B300))),";",EscStr(W300),";")))</f>
        <v>;"NavNode_L3D_525448";"Dobozok, fiókok és tartók";</v>
      </c>
      <c r="AQ300" s="39" t="str">
        <f>IF(getCategoryLevelAsString($B300)="L0D_324785","",IF(X300="",CONCATENATE(";",EscStr(CONCATENATE("NavNode_",getCategoryLevelAsString($B300))),";",EscStr($J300),";"),CONCATENATE(";",EscStr(CONCATENATE("NavNode_",getCategoryLevelAsString($B300))),";",EscStr(X300),";")))</f>
        <v>;"NavNode_L3D_525448";"Krabice, zásuvky a kontajnery";</v>
      </c>
      <c r="AR300" s="39" t="str">
        <f>IF(OR($A300&lt;&gt;"", $G300=""),"",CONCATENATE(";",EscStr(CONCATENATE("NavEntry_",getCategoryLevelAsString($B300))),";",EscStr(CONCATENATE($J300," Navigation Entry")),";",EscStr(CONCATENATE("cat-",getCategoryLevelAsString($B300))),";",EscStr(CONCATENATE("NavNode_",getCategoryLevelAsString($B300))),";"))</f>
        <v>;"NavEntry_L3D_525448";"Boxes, Drawers and Containers Navigation Entry";"cat-L3D_525448";"NavNode_L3D_525448";</v>
      </c>
    </row>
    <row r="301" spans="1:44" s="34" customFormat="1" ht="15" x14ac:dyDescent="0.25">
      <c r="A301" s="25"/>
      <c r="B301" s="5"/>
      <c r="C301" s="5"/>
      <c r="D301" s="5" t="s">
        <v>240</v>
      </c>
      <c r="E301" s="5"/>
      <c r="F301" s="5"/>
      <c r="G301" s="5" t="s">
        <v>964</v>
      </c>
      <c r="H301" s="5" t="s">
        <v>809</v>
      </c>
      <c r="I301" s="5" t="s">
        <v>710</v>
      </c>
      <c r="J301" s="5" t="s">
        <v>542</v>
      </c>
      <c r="K301" s="5" t="s">
        <v>1255</v>
      </c>
      <c r="L301" s="5" t="s">
        <v>15216</v>
      </c>
      <c r="M301" s="5" t="s">
        <v>1721</v>
      </c>
      <c r="N301" s="5" t="s">
        <v>1923</v>
      </c>
      <c r="O301" s="5" t="s">
        <v>2891</v>
      </c>
      <c r="P301" s="5" t="s">
        <v>2892</v>
      </c>
      <c r="Q301" s="5" t="s">
        <v>2893</v>
      </c>
      <c r="R301" s="5" t="s">
        <v>2894</v>
      </c>
      <c r="S301" s="5" t="s">
        <v>2895</v>
      </c>
      <c r="T301" s="5" t="s">
        <v>2896</v>
      </c>
      <c r="U301" s="5" t="s">
        <v>2897</v>
      </c>
      <c r="V301" s="5" t="s">
        <v>2898</v>
      </c>
      <c r="W301" s="5" t="s">
        <v>2899</v>
      </c>
      <c r="X301" s="5" t="s">
        <v>14996</v>
      </c>
      <c r="Y301" s="39" t="str">
        <f>IF(OR($A301&lt;&gt;"", $G301=""),"",CONCATENATE(";",EscStr(CONCATENATE("NavNode_",getCategoryLevelAsString($B301))),";",EscStr($J301),";",IF($B301&lt;&gt;"","""MainCategoryNavNode""",EscStr(CONCATENATE("NavNode_",getSuperCategory($B301, getCategoryLevelAsNumber($B301))))),";"))</f>
        <v>;"NavNode_L3D_525451";"ESD Safe products";"NavNode_L2D_379535";</v>
      </c>
      <c r="Z301" s="39" t="str">
        <f>IF(getCategoryLevelAsString($B301)="L0D_324785","",IF(G301="",CONCATENATE(";",EscStr(CONCATENATE("NavNode_",getCategoryLevelAsString($B301))),";",EscStr($J301),";"),CONCATENATE(";",EscStr(CONCATENATE("NavNode_",getCategoryLevelAsString($B301))),";",EscStr(G301),";")))</f>
        <v>;"NavNode_L3D_525451";"ESD-sichere Produkte";</v>
      </c>
      <c r="AA301" s="39" t="str">
        <f>IF(getCategoryLevelAsString($B301)="L0D_324785","",IF(H301="",CONCATENATE(";",EscStr(CONCATENATE("NavNode_",getCategoryLevelAsString($B301))),";",EscStr($J301),";"),CONCATENATE(";",EscStr(CONCATENATE("NavNode_",getCategoryLevelAsString($B301))),";",EscStr(H301),";")))</f>
        <v>;"NavNode_L3D_525451";"Produits antistatiques";</v>
      </c>
      <c r="AB301" s="39" t="str">
        <f>IF(getCategoryLevelAsString($B301)="L0D_324785","",IF(I301="",CONCATENATE(";",EscStr(CONCATENATE("NavNode_",getCategoryLevelAsString($B301))),";",EscStr($J301),";"),CONCATENATE(";",EscStr(CONCATENATE("NavNode_",getCategoryLevelAsString($B301))),";",EscStr(I301),";")))</f>
        <v>;"NavNode_L3D_525451";"Prodotti con protezione da scariche elettrostatiche";</v>
      </c>
      <c r="AC301" s="39" t="str">
        <f>IF(getCategoryLevelAsString($B301)="L0D_324785","",IF(J301="",CONCATENATE(";",EscStr(CONCATENATE("NavNode_",getCategoryLevelAsString($B301))),";",EscStr($J301),";"),CONCATENATE(";",EscStr(CONCATENATE("NavNode_",getCategoryLevelAsString($B301))),";",EscStr(J301),";")))</f>
        <v>;"NavNode_L3D_525451";"ESD Safe products";</v>
      </c>
      <c r="AD301" s="39" t="str">
        <f>IF(getCategoryLevelAsString($B301)="L0D_324785","",IF(K301="",CONCATENATE(";",EscStr(CONCATENATE("NavNode_",getCategoryLevelAsString($B301))),";",EscStr($J301),";"),CONCATENATE(";",EscStr(CONCATENATE("NavNode_",getCategoryLevelAsString($B301))),";",EscStr(K301),";")))</f>
        <v>;"NavNode_L3D_525451";"ESD-sikkerhedsprodukter";</v>
      </c>
      <c r="AE301" s="39" t="str">
        <f>IF(getCategoryLevelAsString($B301)="L0D_324785","",IF(L301="",CONCATENATE(";",EscStr(CONCATENATE("NavNode_",getCategoryLevelAsString($B301))),";",EscStr($J301),";"),CONCATENATE(";",EscStr(CONCATENATE("NavNode_",getCategoryLevelAsString($B301))),";",EscStr(L301),";")))</f>
        <v>;"NavNode_L3D_525451";"ESD prekės";</v>
      </c>
      <c r="AF301" s="39" t="str">
        <f>IF(getCategoryLevelAsString($B301)="L0D_324785","",IF(M301="",CONCATENATE(";",EscStr(CONCATENATE("NavNode_",getCategoryLevelAsString($B301))),";",EscStr($J301),";"),CONCATENATE(";",EscStr(CONCATENATE("NavNode_",getCategoryLevelAsString($B301))),";",EscStr(M301),";")))</f>
        <v>;"NavNode_L3D_525451";"ESD-beskyttede produkter";</v>
      </c>
      <c r="AG301" s="39" t="str">
        <f>IF(getCategoryLevelAsString($B301)="L0D_324785","",IF(N301="",CONCATENATE(";",EscStr(CONCATENATE("NavNode_",getCategoryLevelAsString($B301))),";",EscStr($J301),";"),CONCATENATE(";",EscStr(CONCATENATE("NavNode_",getCategoryLevelAsString($B301))),";",EscStr(N301),";")))</f>
        <v>;"NavNode_L3D_525451";"ESD-säkra produkter";</v>
      </c>
      <c r="AH301" s="39" t="str">
        <f>IF(getCategoryLevelAsString($B301)="L0D_324785","",IF(O301="",CONCATENATE(";",EscStr(CONCATENATE("NavNode_",getCategoryLevelAsString($B301))),";",EscStr($J301),";"),CONCATENATE(";",EscStr(CONCATENATE("NavNode_",getCategoryLevelAsString($B301))),";",EscStr(O301),";")))</f>
        <v>;"NavNode_L3D_525451";"ESD tooted";</v>
      </c>
      <c r="AI301" s="39" t="str">
        <f>IF(getCategoryLevelAsString($B301)="L0D_324785","",IF(P301="",CONCATENATE(";",EscStr(CONCATENATE("NavNode_",getCategoryLevelAsString($B301))),";",EscStr($J301),";"),CONCATENATE(";",EscStr(CONCATENATE("NavNode_",getCategoryLevelAsString($B301))),";",EscStr(P301),";")))</f>
        <v>;"NavNode_L3D_525451";"ESD tuotteet";</v>
      </c>
      <c r="AJ301" s="39" t="str">
        <f>IF(getCategoryLevelAsString($B301)="L0D_324785","",IF(Q301="",CONCATENATE(";",EscStr(CONCATENATE("NavNode_",getCategoryLevelAsString($B301))),";",EscStr($J301),";"),CONCATENATE(";",EscStr(CONCATENATE("NavNode_",getCategoryLevelAsString($B301))),";",EscStr(Q301),";")))</f>
        <v>;"NavNode_L3D_525451";"ESD drošas preces";</v>
      </c>
      <c r="AK301" s="39" t="str">
        <f>IF(getCategoryLevelAsString($B301)="L0D_324785","",IF(R301="",CONCATENATE(";",EscStr(CONCATENATE("NavNode_",getCategoryLevelAsString($B301))),";",EscStr($J301),";"),CONCATENATE(";",EscStr(CONCATENATE("NavNode_",getCategoryLevelAsString($B301))),";",EscStr(R301),";")))</f>
        <v>;"NavNode_L3D_525451";"ESD veilge producten";</v>
      </c>
      <c r="AL301" s="39" t="str">
        <f>IF(getCategoryLevelAsString($B301)="L0D_324785","",IF(S301="",CONCATENATE(";",EscStr(CONCATENATE("NavNode_",getCategoryLevelAsString($B301))),";",EscStr($J301),";"),CONCATENATE(";",EscStr(CONCATENATE("NavNode_",getCategoryLevelAsString($B301))),";",EscStr(S301),";")))</f>
        <v>;"NavNode_L3D_525451";"Ochrona ESD";</v>
      </c>
      <c r="AM301" s="39" t="str">
        <f>IF(getCategoryLevelAsString($B301)="L0D_324785","",IF(T301="",CONCATENATE(";",EscStr(CONCATENATE("NavNode_",getCategoryLevelAsString($B301))),";",EscStr($J301),";"),CONCATENATE(";",EscStr(CONCATENATE("NavNode_",getCategoryLevelAsString($B301))),";",EscStr(T301),";")))</f>
        <v>;"NavNode_L3D_525451";"Продукты ESD защиты";</v>
      </c>
      <c r="AN301" s="39" t="str">
        <f>IF(getCategoryLevelAsString($B301)="L0D_324785","",IF(U301="",CONCATENATE(";",EscStr(CONCATENATE("NavNode_",getCategoryLevelAsString($B301))),";",EscStr($J301),";"),CONCATENATE(";",EscStr(CONCATENATE("NavNode_",getCategoryLevelAsString($B301))),";",EscStr(U301),";")))</f>
        <v>;"NavNode_L3D_525451";"ESD- bezpečnostní produkty";</v>
      </c>
      <c r="AO301" s="39" t="str">
        <f>IF(getCategoryLevelAsString($B301)="L0D_324785","",IF(V301="",CONCATENATE(";",EscStr(CONCATENATE("NavNode_",getCategoryLevelAsString($B301))),";",EscStr($J301),";"),CONCATENATE(";",EscStr(CONCATENATE("NavNode_",getCategoryLevelAsString($B301))),";",EscStr(V301),";")))</f>
        <v>;"NavNode_L3D_525451";"ESD produse sigure";</v>
      </c>
      <c r="AP301" s="39" t="str">
        <f>IF(getCategoryLevelAsString($B301)="L0D_324785","",IF(W301="",CONCATENATE(";",EscStr(CONCATENATE("NavNode_",getCategoryLevelAsString($B301))),";",EscStr($J301),";"),CONCATENATE(";",EscStr(CONCATENATE("NavNode_",getCategoryLevelAsString($B301))),";",EscStr(W301),";")))</f>
        <v>;"NavNode_L3D_525451";"ESD védett termékek";</v>
      </c>
      <c r="AQ301" s="39" t="str">
        <f>IF(getCategoryLevelAsString($B301)="L0D_324785","",IF(X301="",CONCATENATE(";",EscStr(CONCATENATE("NavNode_",getCategoryLevelAsString($B301))),";",EscStr($J301),";"),CONCATENATE(";",EscStr(CONCATENATE("NavNode_",getCategoryLevelAsString($B301))),";",EscStr(X301),";")))</f>
        <v>;"NavNode_L3D_525451";"ESD- bezpečnostné produkty";</v>
      </c>
      <c r="AR301" s="39" t="str">
        <f>IF(OR($A301&lt;&gt;"", $G301=""),"",CONCATENATE(";",EscStr(CONCATENATE("NavEntry_",getCategoryLevelAsString($B301))),";",EscStr(CONCATENATE($J301," Navigation Entry")),";",EscStr(CONCATENATE("cat-",getCategoryLevelAsString($B301))),";",EscStr(CONCATENATE("NavNode_",getCategoryLevelAsString($B301))),";"))</f>
        <v>;"NavEntry_L3D_525451";"ESD Safe products Navigation Entry";"cat-L3D_525451";"NavNode_L3D_525451";</v>
      </c>
    </row>
    <row r="302" spans="1:44" s="34" customFormat="1" ht="15" x14ac:dyDescent="0.25">
      <c r="A302" s="25"/>
      <c r="B302" s="5"/>
      <c r="C302" s="5"/>
      <c r="D302" s="5" t="s">
        <v>245</v>
      </c>
      <c r="E302" s="5"/>
      <c r="F302" s="5"/>
      <c r="G302" s="5" t="s">
        <v>1051</v>
      </c>
      <c r="H302" s="5" t="s">
        <v>1104</v>
      </c>
      <c r="I302" s="5" t="s">
        <v>1163</v>
      </c>
      <c r="J302" s="5" t="s">
        <v>920</v>
      </c>
      <c r="K302" s="5" t="s">
        <v>1256</v>
      </c>
      <c r="L302" s="5" t="s">
        <v>1491</v>
      </c>
      <c r="M302" s="5" t="s">
        <v>1722</v>
      </c>
      <c r="N302" s="5" t="s">
        <v>1924</v>
      </c>
      <c r="O302" s="5" t="s">
        <v>2900</v>
      </c>
      <c r="P302" s="5" t="s">
        <v>2901</v>
      </c>
      <c r="Q302" s="5" t="s">
        <v>2902</v>
      </c>
      <c r="R302" s="5" t="s">
        <v>2903</v>
      </c>
      <c r="S302" s="5" t="s">
        <v>2904</v>
      </c>
      <c r="T302" s="5" t="s">
        <v>2905</v>
      </c>
      <c r="U302" s="5" t="s">
        <v>2906</v>
      </c>
      <c r="V302" s="5" t="s">
        <v>2907</v>
      </c>
      <c r="W302" s="5" t="s">
        <v>2908</v>
      </c>
      <c r="X302" s="5" t="s">
        <v>14997</v>
      </c>
      <c r="Y302" s="39" t="str">
        <f>IF(OR($A302&lt;&gt;"", $G302=""),"",CONCATENATE(";",EscStr(CONCATENATE("NavNode_",getCategoryLevelAsString($B302))),";",EscStr($J302),";",IF($B302&lt;&gt;"","""MainCategoryNavNode""",EscStr(CONCATENATE("NavNode_",getSuperCategory($B302, getCategoryLevelAsNumber($B302))))),";"))</f>
        <v>;"NavNode_L3D_525453";"Personal Protection";"NavNode_L2D_379535";</v>
      </c>
      <c r="Z302" s="39" t="str">
        <f>IF(getCategoryLevelAsString($B302)="L0D_324785","",IF(G302="",CONCATENATE(";",EscStr(CONCATENATE("NavNode_",getCategoryLevelAsString($B302))),";",EscStr($J302),";"),CONCATENATE(";",EscStr(CONCATENATE("NavNode_",getCategoryLevelAsString($B302))),";",EscStr(G302),";")))</f>
        <v>;"NavNode_L3D_525453";"Persönlicher Schutz";</v>
      </c>
      <c r="AA302" s="39" t="str">
        <f>IF(getCategoryLevelAsString($B302)="L0D_324785","",IF(H302="",CONCATENATE(";",EscStr(CONCATENATE("NavNode_",getCategoryLevelAsString($B302))),";",EscStr($J302),";"),CONCATENATE(";",EscStr(CONCATENATE("NavNode_",getCategoryLevelAsString($B302))),";",EscStr(H302),";")))</f>
        <v>;"NavNode_L3D_525453";"Protection individuelle";</v>
      </c>
      <c r="AB302" s="39" t="str">
        <f>IF(getCategoryLevelAsString($B302)="L0D_324785","",IF(I302="",CONCATENATE(";",EscStr(CONCATENATE("NavNode_",getCategoryLevelAsString($B302))),";",EscStr($J302),";"),CONCATENATE(";",EscStr(CONCATENATE("NavNode_",getCategoryLevelAsString($B302))),";",EscStr(I302),";")))</f>
        <v>;"NavNode_L3D_525453";"Protezione individuale";</v>
      </c>
      <c r="AC302" s="39" t="str">
        <f>IF(getCategoryLevelAsString($B302)="L0D_324785","",IF(J302="",CONCATENATE(";",EscStr(CONCATENATE("NavNode_",getCategoryLevelAsString($B302))),";",EscStr($J302),";"),CONCATENATE(";",EscStr(CONCATENATE("NavNode_",getCategoryLevelAsString($B302))),";",EscStr(J302),";")))</f>
        <v>;"NavNode_L3D_525453";"Personal Protection";</v>
      </c>
      <c r="AD302" s="39" t="str">
        <f>IF(getCategoryLevelAsString($B302)="L0D_324785","",IF(K302="",CONCATENATE(";",EscStr(CONCATENATE("NavNode_",getCategoryLevelAsString($B302))),";",EscStr($J302),";"),CONCATENATE(";",EscStr(CONCATENATE("NavNode_",getCategoryLevelAsString($B302))),";",EscStr(K302),";")))</f>
        <v>;"NavNode_L3D_525453";"Personlig beskyttelse";</v>
      </c>
      <c r="AE302" s="39" t="str">
        <f>IF(getCategoryLevelAsString($B302)="L0D_324785","",IF(L302="",CONCATENATE(";",EscStr(CONCATENATE("NavNode_",getCategoryLevelAsString($B302))),";",EscStr($J302),";"),CONCATENATE(";",EscStr(CONCATENATE("NavNode_",getCategoryLevelAsString($B302))),";",EscStr(L302),";")))</f>
        <v>;"NavNode_L3D_525453";"Asmens apsauga";</v>
      </c>
      <c r="AF302" s="39" t="str">
        <f>IF(getCategoryLevelAsString($B302)="L0D_324785","",IF(M302="",CONCATENATE(";",EscStr(CONCATENATE("NavNode_",getCategoryLevelAsString($B302))),";",EscStr($J302),";"),CONCATENATE(";",EscStr(CONCATENATE("NavNode_",getCategoryLevelAsString($B302))),";",EscStr(M302),";")))</f>
        <v>;"NavNode_L3D_525453";"Personlig verneutstyr";</v>
      </c>
      <c r="AG302" s="39" t="str">
        <f>IF(getCategoryLevelAsString($B302)="L0D_324785","",IF(N302="",CONCATENATE(";",EscStr(CONCATENATE("NavNode_",getCategoryLevelAsString($B302))),";",EscStr($J302),";"),CONCATENATE(";",EscStr(CONCATENATE("NavNode_",getCategoryLevelAsString($B302))),";",EscStr(N302),";")))</f>
        <v>;"NavNode_L3D_525453";"Personskydd";</v>
      </c>
      <c r="AH302" s="39" t="str">
        <f>IF(getCategoryLevelAsString($B302)="L0D_324785","",IF(O302="",CONCATENATE(";",EscStr(CONCATENATE("NavNode_",getCategoryLevelAsString($B302))),";",EscStr($J302),";"),CONCATENATE(";",EscStr(CONCATENATE("NavNode_",getCategoryLevelAsString($B302))),";",EscStr(O302),";")))</f>
        <v>;"NavNode_L3D_525453";"Isiklikud kaitsevahendid";</v>
      </c>
      <c r="AI302" s="39" t="str">
        <f>IF(getCategoryLevelAsString($B302)="L0D_324785","",IF(P302="",CONCATENATE(";",EscStr(CONCATENATE("NavNode_",getCategoryLevelAsString($B302))),";",EscStr($J302),";"),CONCATENATE(";",EscStr(CONCATENATE("NavNode_",getCategoryLevelAsString($B302))),";",EscStr(P302),";")))</f>
        <v>;"NavNode_L3D_525453";"Henkilösuoja";</v>
      </c>
      <c r="AJ302" s="39" t="str">
        <f>IF(getCategoryLevelAsString($B302)="L0D_324785","",IF(Q302="",CONCATENATE(";",EscStr(CONCATENATE("NavNode_",getCategoryLevelAsString($B302))),";",EscStr($J302),";"),CONCATENATE(";",EscStr(CONCATENATE("NavNode_",getCategoryLevelAsString($B302))),";",EscStr(Q302),";")))</f>
        <v>;"NavNode_L3D_525453";"Individuālās aizsardzības līdzekļi";</v>
      </c>
      <c r="AK302" s="39" t="str">
        <f>IF(getCategoryLevelAsString($B302)="L0D_324785","",IF(R302="",CONCATENATE(";",EscStr(CONCATENATE("NavNode_",getCategoryLevelAsString($B302))),";",EscStr($J302),";"),CONCATENATE(";",EscStr(CONCATENATE("NavNode_",getCategoryLevelAsString($B302))),";",EscStr(R302),";")))</f>
        <v>;"NavNode_L3D_525453";"Persoonlijke bescherming";</v>
      </c>
      <c r="AL302" s="39" t="str">
        <f>IF(getCategoryLevelAsString($B302)="L0D_324785","",IF(S302="",CONCATENATE(";",EscStr(CONCATENATE("NavNode_",getCategoryLevelAsString($B302))),";",EscStr($J302),";"),CONCATENATE(";",EscStr(CONCATENATE("NavNode_",getCategoryLevelAsString($B302))),";",EscStr(S302),";")))</f>
        <v>;"NavNode_L3D_525453";"Ochrona osobista";</v>
      </c>
      <c r="AM302" s="39" t="str">
        <f>IF(getCategoryLevelAsString($B302)="L0D_324785","",IF(T302="",CONCATENATE(";",EscStr(CONCATENATE("NavNode_",getCategoryLevelAsString($B302))),";",EscStr($J302),";"),CONCATENATE(";",EscStr(CONCATENATE("NavNode_",getCategoryLevelAsString($B302))),";",EscStr(T302),";")))</f>
        <v>;"NavNode_L3D_525453";"Средства индивидуальной защиты";</v>
      </c>
      <c r="AN302" s="39" t="str">
        <f>IF(getCategoryLevelAsString($B302)="L0D_324785","",IF(U302="",CONCATENATE(";",EscStr(CONCATENATE("NavNode_",getCategoryLevelAsString($B302))),";",EscStr($J302),";"),CONCATENATE(";",EscStr(CONCATENATE("NavNode_",getCategoryLevelAsString($B302))),";",EscStr(U302),";")))</f>
        <v>;"NavNode_L3D_525453";"Osobní ochrana";</v>
      </c>
      <c r="AO302" s="39" t="str">
        <f>IF(getCategoryLevelAsString($B302)="L0D_324785","",IF(V302="",CONCATENATE(";",EscStr(CONCATENATE("NavNode_",getCategoryLevelAsString($B302))),";",EscStr($J302),";"),CONCATENATE(";",EscStr(CONCATENATE("NavNode_",getCategoryLevelAsString($B302))),";",EscStr(V302),";")))</f>
        <v>;"NavNode_L3D_525453";"Protecţie personală";</v>
      </c>
      <c r="AP302" s="39" t="str">
        <f>IF(getCategoryLevelAsString($B302)="L0D_324785","",IF(W302="",CONCATENATE(";",EscStr(CONCATENATE("NavNode_",getCategoryLevelAsString($B302))),";",EscStr($J302),";"),CONCATENATE(";",EscStr(CONCATENATE("NavNode_",getCategoryLevelAsString($B302))),";",EscStr(W302),";")))</f>
        <v>;"NavNode_L3D_525453";"Egyéni védelem";</v>
      </c>
      <c r="AQ302" s="39" t="str">
        <f>IF(getCategoryLevelAsString($B302)="L0D_324785","",IF(X302="",CONCATENATE(";",EscStr(CONCATENATE("NavNode_",getCategoryLevelAsString($B302))),";",EscStr($J302),";"),CONCATENATE(";",EscStr(CONCATENATE("NavNode_",getCategoryLevelAsString($B302))),";",EscStr(X302),";")))</f>
        <v>;"NavNode_L3D_525453";"Osobná ochrana";</v>
      </c>
      <c r="AR302" s="39" t="str">
        <f>IF(OR($A302&lt;&gt;"", $G302=""),"",CONCATENATE(";",EscStr(CONCATENATE("NavEntry_",getCategoryLevelAsString($B302))),";",EscStr(CONCATENATE($J302," Navigation Entry")),";",EscStr(CONCATENATE("cat-",getCategoryLevelAsString($B302))),";",EscStr(CONCATENATE("NavNode_",getCategoryLevelAsString($B302))),";"))</f>
        <v>;"NavEntry_L3D_525453";"Personal Protection Navigation Entry";"cat-L3D_525453";"NavNode_L3D_525453";</v>
      </c>
    </row>
    <row r="303" spans="1:44" s="34" customFormat="1" ht="15" x14ac:dyDescent="0.25">
      <c r="A303" s="25"/>
      <c r="B303" s="5"/>
      <c r="C303" s="5"/>
      <c r="D303" s="5" t="s">
        <v>243</v>
      </c>
      <c r="E303" s="5"/>
      <c r="F303" s="5"/>
      <c r="G303" s="5" t="s">
        <v>546</v>
      </c>
      <c r="H303" s="5" t="s">
        <v>547</v>
      </c>
      <c r="I303" s="5" t="s">
        <v>548</v>
      </c>
      <c r="J303" s="5" t="s">
        <v>549</v>
      </c>
      <c r="K303" s="5" t="s">
        <v>1257</v>
      </c>
      <c r="L303" s="5" t="s">
        <v>1492</v>
      </c>
      <c r="M303" s="5" t="s">
        <v>1723</v>
      </c>
      <c r="N303" s="5" t="s">
        <v>1925</v>
      </c>
      <c r="O303" s="5" t="s">
        <v>2909</v>
      </c>
      <c r="P303" s="5" t="s">
        <v>2910</v>
      </c>
      <c r="Q303" s="5" t="s">
        <v>2911</v>
      </c>
      <c r="R303" s="5" t="s">
        <v>2912</v>
      </c>
      <c r="S303" s="5" t="s">
        <v>2913</v>
      </c>
      <c r="T303" s="5" t="s">
        <v>2914</v>
      </c>
      <c r="U303" s="5" t="s">
        <v>2915</v>
      </c>
      <c r="V303" s="5" t="s">
        <v>2916</v>
      </c>
      <c r="W303" s="5" t="s">
        <v>2917</v>
      </c>
      <c r="X303" s="5" t="s">
        <v>2915</v>
      </c>
      <c r="Y303" s="39" t="str">
        <f>IF(OR($A303&lt;&gt;"", $G303=""),"",CONCATENATE(";",EscStr(CONCATENATE("NavNode_",getCategoryLevelAsString($B303))),";",EscStr($J303),";",IF($B303&lt;&gt;"","""MainCategoryNavNode""",EscStr(CONCATENATE("NavNode_",getSuperCategory($B303, getCategoryLevelAsNumber($B303))))),";"))</f>
        <v>;"NavNode_L3D_525449";"Magnifying Glasses &amp; Microscopes";"NavNode_L2D_379535";</v>
      </c>
      <c r="Z303" s="39" t="str">
        <f>IF(getCategoryLevelAsString($B303)="L0D_324785","",IF(G303="",CONCATENATE(";",EscStr(CONCATENATE("NavNode_",getCategoryLevelAsString($B303))),";",EscStr($J303),";"),CONCATENATE(";",EscStr(CONCATENATE("NavNode_",getCategoryLevelAsString($B303))),";",EscStr(G303),";")))</f>
        <v>;"NavNode_L3D_525449";"Lupen / Mikroskope";</v>
      </c>
      <c r="AA303" s="39" t="str">
        <f>IF(getCategoryLevelAsString($B303)="L0D_324785","",IF(H303="",CONCATENATE(";",EscStr(CONCATENATE("NavNode_",getCategoryLevelAsString($B303))),";",EscStr($J303),";"),CONCATENATE(";",EscStr(CONCATENATE("NavNode_",getCategoryLevelAsString($B303))),";",EscStr(H303),";")))</f>
        <v>;"NavNode_L3D_525449";"Loupes / Microscopes";</v>
      </c>
      <c r="AB303" s="39" t="str">
        <f>IF(getCategoryLevelAsString($B303)="L0D_324785","",IF(I303="",CONCATENATE(";",EscStr(CONCATENATE("NavNode_",getCategoryLevelAsString($B303))),";",EscStr($J303),";"),CONCATENATE(";",EscStr(CONCATENATE("NavNode_",getCategoryLevelAsString($B303))),";",EscStr(I303),";")))</f>
        <v>;"NavNode_L3D_525449";"Lenti d'ingrandimento / Microscopi";</v>
      </c>
      <c r="AC303" s="39" t="str">
        <f>IF(getCategoryLevelAsString($B303)="L0D_324785","",IF(J303="",CONCATENATE(";",EscStr(CONCATENATE("NavNode_",getCategoryLevelAsString($B303))),";",EscStr($J303),";"),CONCATENATE(";",EscStr(CONCATENATE("NavNode_",getCategoryLevelAsString($B303))),";",EscStr(J303),";")))</f>
        <v>;"NavNode_L3D_525449";"Magnifying Glasses &amp; Microscopes";</v>
      </c>
      <c r="AD303" s="39" t="str">
        <f>IF(getCategoryLevelAsString($B303)="L0D_324785","",IF(K303="",CONCATENATE(";",EscStr(CONCATENATE("NavNode_",getCategoryLevelAsString($B303))),";",EscStr($J303),";"),CONCATENATE(";",EscStr(CONCATENATE("NavNode_",getCategoryLevelAsString($B303))),";",EscStr(K303),";")))</f>
        <v>;"NavNode_L3D_525449";"Forstørrelsesglas &amp; mikroskoper";</v>
      </c>
      <c r="AE303" s="39" t="str">
        <f>IF(getCategoryLevelAsString($B303)="L0D_324785","",IF(L303="",CONCATENATE(";",EscStr(CONCATENATE("NavNode_",getCategoryLevelAsString($B303))),";",EscStr($J303),";"),CONCATENATE(";",EscStr(CONCATENATE("NavNode_",getCategoryLevelAsString($B303))),";",EscStr(L303),";")))</f>
        <v>;"NavNode_L3D_525449";"Didinamieji stiklai ir mikroskopai";</v>
      </c>
      <c r="AF303" s="39" t="str">
        <f>IF(getCategoryLevelAsString($B303)="L0D_324785","",IF(M303="",CONCATENATE(";",EscStr(CONCATENATE("NavNode_",getCategoryLevelAsString($B303))),";",EscStr($J303),";"),CONCATENATE(";",EscStr(CONCATENATE("NavNode_",getCategoryLevelAsString($B303))),";",EscStr(M303),";")))</f>
        <v>;"NavNode_L3D_525449";"Forstørrelsesglass og mikroskoper";</v>
      </c>
      <c r="AG303" s="39" t="str">
        <f>IF(getCategoryLevelAsString($B303)="L0D_324785","",IF(N303="",CONCATENATE(";",EscStr(CONCATENATE("NavNode_",getCategoryLevelAsString($B303))),";",EscStr($J303),";"),CONCATENATE(";",EscStr(CONCATENATE("NavNode_",getCategoryLevelAsString($B303))),";",EscStr(N303),";")))</f>
        <v>;"NavNode_L3D_525449";"Förstoringsglas och mikroskop";</v>
      </c>
      <c r="AH303" s="39" t="str">
        <f>IF(getCategoryLevelAsString($B303)="L0D_324785","",IF(O303="",CONCATENATE(";",EscStr(CONCATENATE("NavNode_",getCategoryLevelAsString($B303))),";",EscStr($J303),";"),CONCATENATE(";",EscStr(CONCATENATE("NavNode_",getCategoryLevelAsString($B303))),";",EscStr(O303),";")))</f>
        <v>;"NavNode_L3D_525449";"Suurendusklaasid ja mikroskoobid";</v>
      </c>
      <c r="AI303" s="39" t="str">
        <f>IF(getCategoryLevelAsString($B303)="L0D_324785","",IF(P303="",CONCATENATE(";",EscStr(CONCATENATE("NavNode_",getCategoryLevelAsString($B303))),";",EscStr($J303),";"),CONCATENATE(";",EscStr(CONCATENATE("NavNode_",getCategoryLevelAsString($B303))),";",EscStr(P303),";")))</f>
        <v>;"NavNode_L3D_525449";"Suurennuslasit /Mikroskoopit";</v>
      </c>
      <c r="AJ303" s="39" t="str">
        <f>IF(getCategoryLevelAsString($B303)="L0D_324785","",IF(Q303="",CONCATENATE(";",EscStr(CONCATENATE("NavNode_",getCategoryLevelAsString($B303))),";",EscStr($J303),";"),CONCATENATE(";",EscStr(CONCATENATE("NavNode_",getCategoryLevelAsString($B303))),";",EscStr(Q303),";")))</f>
        <v>;"NavNode_L3D_525449";"Palielināmie stikli un mikroskopi";</v>
      </c>
      <c r="AK303" s="39" t="str">
        <f>IF(getCategoryLevelAsString($B303)="L0D_324785","",IF(R303="",CONCATENATE(";",EscStr(CONCATENATE("NavNode_",getCategoryLevelAsString($B303))),";",EscStr($J303),";"),CONCATENATE(";",EscStr(CONCATENATE("NavNode_",getCategoryLevelAsString($B303))),";",EscStr(R303),";")))</f>
        <v>;"NavNode_L3D_525449";"Vergrootglazen / microscopen";</v>
      </c>
      <c r="AL303" s="39" t="str">
        <f>IF(getCategoryLevelAsString($B303)="L0D_324785","",IF(S303="",CONCATENATE(";",EscStr(CONCATENATE("NavNode_",getCategoryLevelAsString($B303))),";",EscStr($J303),";"),CONCATENATE(";",EscStr(CONCATENATE("NavNode_",getCategoryLevelAsString($B303))),";",EscStr(S303),";")))</f>
        <v>;"NavNode_L3D_525449";"Lupy i Mikroskopy";</v>
      </c>
      <c r="AM303" s="39" t="str">
        <f>IF(getCategoryLevelAsString($B303)="L0D_324785","",IF(T303="",CONCATENATE(";",EscStr(CONCATENATE("NavNode_",getCategoryLevelAsString($B303))),";",EscStr($J303),";"),CONCATENATE(";",EscStr(CONCATENATE("NavNode_",getCategoryLevelAsString($B303))),";",EscStr(T303),";")))</f>
        <v>;"NavNode_L3D_525449";"Лупы &amp; Микроскопы";</v>
      </c>
      <c r="AN303" s="39" t="str">
        <f>IF(getCategoryLevelAsString($B303)="L0D_324785","",IF(U303="",CONCATENATE(";",EscStr(CONCATENATE("NavNode_",getCategoryLevelAsString($B303))),";",EscStr($J303),";"),CONCATENATE(";",EscStr(CONCATENATE("NavNode_",getCategoryLevelAsString($B303))),";",EscStr(U303),";")))</f>
        <v>;"NavNode_L3D_525449";"Lupy / mikroskopy";</v>
      </c>
      <c r="AO303" s="39" t="str">
        <f>IF(getCategoryLevelAsString($B303)="L0D_324785","",IF(V303="",CONCATENATE(";",EscStr(CONCATENATE("NavNode_",getCategoryLevelAsString($B303))),";",EscStr($J303),";"),CONCATENATE(";",EscStr(CONCATENATE("NavNode_",getCategoryLevelAsString($B303))),";",EscStr(V303),";")))</f>
        <v>;"NavNode_L3D_525449";"Lupe / Microscoape";</v>
      </c>
      <c r="AP303" s="39" t="str">
        <f>IF(getCategoryLevelAsString($B303)="L0D_324785","",IF(W303="",CONCATENATE(";",EscStr(CONCATENATE("NavNode_",getCategoryLevelAsString($B303))),";",EscStr($J303),";"),CONCATENATE(";",EscStr(CONCATENATE("NavNode_",getCategoryLevelAsString($B303))),";",EscStr(W303),";")))</f>
        <v>;"NavNode_L3D_525449";"Nagyítók / Mikroszkópok";</v>
      </c>
      <c r="AQ303" s="39" t="str">
        <f>IF(getCategoryLevelAsString($B303)="L0D_324785","",IF(X303="",CONCATENATE(";",EscStr(CONCATENATE("NavNode_",getCategoryLevelAsString($B303))),";",EscStr($J303),";"),CONCATENATE(";",EscStr(CONCATENATE("NavNode_",getCategoryLevelAsString($B303))),";",EscStr(X303),";")))</f>
        <v>;"NavNode_L3D_525449";"Lupy / mikroskopy";</v>
      </c>
      <c r="AR303" s="39" t="str">
        <f>IF(OR($A303&lt;&gt;"", $G303=""),"",CONCATENATE(";",EscStr(CONCATENATE("NavEntry_",getCategoryLevelAsString($B303))),";",EscStr(CONCATENATE($J303," Navigation Entry")),";",EscStr(CONCATENATE("cat-",getCategoryLevelAsString($B303))),";",EscStr(CONCATENATE("NavNode_",getCategoryLevelAsString($B303))),";"))</f>
        <v>;"NavEntry_L3D_525449";"Magnifying Glasses &amp; Microscopes Navigation Entry";"cat-L3D_525449";"NavNode_L3D_525449";</v>
      </c>
    </row>
    <row r="304" spans="1:44" s="34" customFormat="1" ht="15" x14ac:dyDescent="0.25">
      <c r="A304" s="25"/>
      <c r="B304" s="5"/>
      <c r="C304" s="5"/>
      <c r="D304" s="5" t="s">
        <v>241</v>
      </c>
      <c r="E304" s="5"/>
      <c r="F304" s="5"/>
      <c r="G304" s="5" t="s">
        <v>543</v>
      </c>
      <c r="H304" s="5" t="s">
        <v>544</v>
      </c>
      <c r="I304" s="5" t="s">
        <v>545</v>
      </c>
      <c r="J304" s="5" t="s">
        <v>242</v>
      </c>
      <c r="K304" s="5" t="s">
        <v>1271</v>
      </c>
      <c r="L304" s="5" t="s">
        <v>1505</v>
      </c>
      <c r="M304" s="5" t="s">
        <v>1735</v>
      </c>
      <c r="N304" s="5" t="s">
        <v>1938</v>
      </c>
      <c r="O304" s="5" t="s">
        <v>3044</v>
      </c>
      <c r="P304" s="5" t="s">
        <v>3045</v>
      </c>
      <c r="Q304" s="5" t="s">
        <v>3046</v>
      </c>
      <c r="R304" s="5" t="s">
        <v>3047</v>
      </c>
      <c r="S304" s="5" t="s">
        <v>3048</v>
      </c>
      <c r="T304" s="5" t="s">
        <v>3049</v>
      </c>
      <c r="U304" s="5" t="s">
        <v>3050</v>
      </c>
      <c r="V304" s="5" t="s">
        <v>3051</v>
      </c>
      <c r="W304" s="5" t="s">
        <v>3052</v>
      </c>
      <c r="X304" s="5" t="s">
        <v>14998</v>
      </c>
      <c r="Y304" s="39" t="str">
        <f>IF(OR($A304&lt;&gt;"", $G304=""),"",CONCATENATE(";",EscStr(CONCATENATE("NavNode_",getCategoryLevelAsString($B304))),";",EscStr($J304),";",IF($B304&lt;&gt;"","""MainCategoryNavNode""",EscStr(CONCATENATE("NavNode_",getSuperCategory($B304, getCategoryLevelAsNumber($B304))))),";"))</f>
        <v>;"NavNode_L3D_525456";"Labelling";"NavNode_L2D_379535";</v>
      </c>
      <c r="Z304" s="39" t="str">
        <f>IF(getCategoryLevelAsString($B304)="L0D_324785","",IF(G304="",CONCATENATE(";",EscStr(CONCATENATE("NavNode_",getCategoryLevelAsString($B304))),";",EscStr($J304),";"),CONCATENATE(";",EscStr(CONCATENATE("NavNode_",getCategoryLevelAsString($B304))),";",EscStr(G304),";")))</f>
        <v>;"NavNode_L3D_525456";"Kennzeichnung";</v>
      </c>
      <c r="AA304" s="39" t="str">
        <f>IF(getCategoryLevelAsString($B304)="L0D_324785","",IF(H304="",CONCATENATE(";",EscStr(CONCATENATE("NavNode_",getCategoryLevelAsString($B304))),";",EscStr($J304),";"),CONCATENATE(";",EscStr(CONCATENATE("NavNode_",getCategoryLevelAsString($B304))),";",EscStr(H304),";")))</f>
        <v>;"NavNode_L3D_525456";"Etiquetage";</v>
      </c>
      <c r="AB304" s="39" t="str">
        <f>IF(getCategoryLevelAsString($B304)="L0D_324785","",IF(I304="",CONCATENATE(";",EscStr(CONCATENATE("NavNode_",getCategoryLevelAsString($B304))),";",EscStr($J304),";"),CONCATENATE(";",EscStr(CONCATENATE("NavNode_",getCategoryLevelAsString($B304))),";",EscStr(I304),";")))</f>
        <v>;"NavNode_L3D_525456";"Etichettatura";</v>
      </c>
      <c r="AC304" s="39" t="str">
        <f>IF(getCategoryLevelAsString($B304)="L0D_324785","",IF(J304="",CONCATENATE(";",EscStr(CONCATENATE("NavNode_",getCategoryLevelAsString($B304))),";",EscStr($J304),";"),CONCATENATE(";",EscStr(CONCATENATE("NavNode_",getCategoryLevelAsString($B304))),";",EscStr(J304),";")))</f>
        <v>;"NavNode_L3D_525456";"Labelling";</v>
      </c>
      <c r="AD304" s="39" t="str">
        <f>IF(getCategoryLevelAsString($B304)="L0D_324785","",IF(K304="",CONCATENATE(";",EscStr(CONCATENATE("NavNode_",getCategoryLevelAsString($B304))),";",EscStr($J304),";"),CONCATENATE(";",EscStr(CONCATENATE("NavNode_",getCategoryLevelAsString($B304))),";",EscStr(K304),";")))</f>
        <v>;"NavNode_L3D_525456";"Mærkning";</v>
      </c>
      <c r="AE304" s="39" t="str">
        <f>IF(getCategoryLevelAsString($B304)="L0D_324785","",IF(L304="",CONCATENATE(";",EscStr(CONCATENATE("NavNode_",getCategoryLevelAsString($B304))),";",EscStr($J304),";"),CONCATENATE(";",EscStr(CONCATENATE("NavNode_",getCategoryLevelAsString($B304))),";",EscStr(L304),";")))</f>
        <v>;"NavNode_L3D_525456";"Ženklinimo priemonės";</v>
      </c>
      <c r="AF304" s="39" t="str">
        <f>IF(getCategoryLevelAsString($B304)="L0D_324785","",IF(M304="",CONCATENATE(";",EscStr(CONCATENATE("NavNode_",getCategoryLevelAsString($B304))),";",EscStr($J304),";"),CONCATENATE(";",EscStr(CONCATENATE("NavNode_",getCategoryLevelAsString($B304))),";",EscStr(M304),";")))</f>
        <v>;"NavNode_L3D_525456";"Merking";</v>
      </c>
      <c r="AG304" s="39" t="str">
        <f>IF(getCategoryLevelAsString($B304)="L0D_324785","",IF(N304="",CONCATENATE(";",EscStr(CONCATENATE("NavNode_",getCategoryLevelAsString($B304))),";",EscStr($J304),";"),CONCATENATE(";",EscStr(CONCATENATE("NavNode_",getCategoryLevelAsString($B304))),";",EscStr(N304),";")))</f>
        <v>;"NavNode_L3D_525456";"Märkning";</v>
      </c>
      <c r="AH304" s="39" t="str">
        <f>IF(getCategoryLevelAsString($B304)="L0D_324785","",IF(O304="",CONCATENATE(";",EscStr(CONCATENATE("NavNode_",getCategoryLevelAsString($B304))),";",EscStr($J304),";"),CONCATENATE(";",EscStr(CONCATENATE("NavNode_",getCategoryLevelAsString($B304))),";",EscStr(O304),";")))</f>
        <v>;"NavNode_L3D_525456";"Märgistamine";</v>
      </c>
      <c r="AI304" s="39" t="str">
        <f>IF(getCategoryLevelAsString($B304)="L0D_324785","",IF(P304="",CONCATENATE(";",EscStr(CONCATENATE("NavNode_",getCategoryLevelAsString($B304))),";",EscStr($J304),";"),CONCATENATE(";",EscStr(CONCATENATE("NavNode_",getCategoryLevelAsString($B304))),";",EscStr(P304),";")))</f>
        <v>;"NavNode_L3D_525456";"Merkintä";</v>
      </c>
      <c r="AJ304" s="39" t="str">
        <f>IF(getCategoryLevelAsString($B304)="L0D_324785","",IF(Q304="",CONCATENATE(";",EscStr(CONCATENATE("NavNode_",getCategoryLevelAsString($B304))),";",EscStr($J304),";"),CONCATENATE(";",EscStr(CONCATENATE("NavNode_",getCategoryLevelAsString($B304))),";",EscStr(Q304),";")))</f>
        <v>;"NavNode_L3D_525456";"Marķēšana";</v>
      </c>
      <c r="AK304" s="39" t="str">
        <f>IF(getCategoryLevelAsString($B304)="L0D_324785","",IF(R304="",CONCATENATE(";",EscStr(CONCATENATE("NavNode_",getCategoryLevelAsString($B304))),";",EscStr($J304),";"),CONCATENATE(";",EscStr(CONCATENATE("NavNode_",getCategoryLevelAsString($B304))),";",EscStr(R304),";")))</f>
        <v>;"NavNode_L3D_525456";"Etikettering";</v>
      </c>
      <c r="AL304" s="39" t="str">
        <f>IF(getCategoryLevelAsString($B304)="L0D_324785","",IF(S304="",CONCATENATE(";",EscStr(CONCATENATE("NavNode_",getCategoryLevelAsString($B304))),";",EscStr($J304),";"),CONCATENATE(";",EscStr(CONCATENATE("NavNode_",getCategoryLevelAsString($B304))),";",EscStr(S304),";")))</f>
        <v>;"NavNode_L3D_525456";"Znakowanie";</v>
      </c>
      <c r="AM304" s="39" t="str">
        <f>IF(getCategoryLevelAsString($B304)="L0D_324785","",IF(T304="",CONCATENATE(";",EscStr(CONCATENATE("NavNode_",getCategoryLevelAsString($B304))),";",EscStr($J304),";"),CONCATENATE(";",EscStr(CONCATENATE("NavNode_",getCategoryLevelAsString($B304))),";",EscStr(T304),";")))</f>
        <v>;"NavNode_L3D_525456";"Маркировка";</v>
      </c>
      <c r="AN304" s="39" t="str">
        <f>IF(getCategoryLevelAsString($B304)="L0D_324785","",IF(U304="",CONCATENATE(";",EscStr(CONCATENATE("NavNode_",getCategoryLevelAsString($B304))),";",EscStr($J304),";"),CONCATENATE(";",EscStr(CONCATENATE("NavNode_",getCategoryLevelAsString($B304))),";",EscStr(U304),";")))</f>
        <v>;"NavNode_L3D_525456";"Testovací značky";</v>
      </c>
      <c r="AO304" s="39" t="str">
        <f>IF(getCategoryLevelAsString($B304)="L0D_324785","",IF(V304="",CONCATENATE(";",EscStr(CONCATENATE("NavNode_",getCategoryLevelAsString($B304))),";",EscStr($J304),";"),CONCATENATE(";",EscStr(CONCATENATE("NavNode_",getCategoryLevelAsString($B304))),";",EscStr(V304),";")))</f>
        <v>;"NavNode_L3D_525456";"Marcare";</v>
      </c>
      <c r="AP304" s="39" t="str">
        <f>IF(getCategoryLevelAsString($B304)="L0D_324785","",IF(W304="",CONCATENATE(";",EscStr(CONCATENATE("NavNode_",getCategoryLevelAsString($B304))),";",EscStr($J304),";"),CONCATENATE(";",EscStr(CONCATENATE("NavNode_",getCategoryLevelAsString($B304))),";",EscStr(W304),";")))</f>
        <v>;"NavNode_L3D_525456";"Jelöléstechnika";</v>
      </c>
      <c r="AQ304" s="39" t="str">
        <f>IF(getCategoryLevelAsString($B304)="L0D_324785","",IF(X304="",CONCATENATE(";",EscStr(CONCATENATE("NavNode_",getCategoryLevelAsString($B304))),";",EscStr($J304),";"),CONCATENATE(";",EscStr(CONCATENATE("NavNode_",getCategoryLevelAsString($B304))),";",EscStr(X304),";")))</f>
        <v>;"NavNode_L3D_525456";"Testovacie značky";</v>
      </c>
      <c r="AR304" s="39" t="str">
        <f>IF(OR($A304&lt;&gt;"", $G304=""),"",CONCATENATE(";",EscStr(CONCATENATE("NavEntry_",getCategoryLevelAsString($B304))),";",EscStr(CONCATENATE($J304," Navigation Entry")),";",EscStr(CONCATENATE("cat-",getCategoryLevelAsString($B304))),";",EscStr(CONCATENATE("NavNode_",getCategoryLevelAsString($B304))),";"))</f>
        <v>;"NavEntry_L3D_525456";"Labelling Navigation Entry";"cat-L3D_525456";"NavNode_L3D_525456";</v>
      </c>
    </row>
    <row r="305" spans="1:44" s="34" customFormat="1" ht="15" x14ac:dyDescent="0.25">
      <c r="A305" s="25"/>
      <c r="B305" s="5"/>
      <c r="C305" s="5" t="s">
        <v>30</v>
      </c>
      <c r="D305" s="5"/>
      <c r="E305" s="5"/>
      <c r="F305" s="5"/>
      <c r="G305" s="5" t="s">
        <v>550</v>
      </c>
      <c r="H305" s="5" t="s">
        <v>551</v>
      </c>
      <c r="I305" s="5" t="s">
        <v>552</v>
      </c>
      <c r="J305" s="5" t="s">
        <v>10</v>
      </c>
      <c r="K305" s="5" t="s">
        <v>1272</v>
      </c>
      <c r="L305" s="5" t="s">
        <v>1506</v>
      </c>
      <c r="M305" s="5" t="s">
        <v>1272</v>
      </c>
      <c r="N305" s="5" t="s">
        <v>1939</v>
      </c>
      <c r="O305" s="5" t="s">
        <v>3053</v>
      </c>
      <c r="P305" s="5" t="s">
        <v>3054</v>
      </c>
      <c r="Q305" s="5" t="s">
        <v>3055</v>
      </c>
      <c r="R305" s="5" t="s">
        <v>3056</v>
      </c>
      <c r="S305" s="5" t="s">
        <v>3057</v>
      </c>
      <c r="T305" s="5" t="s">
        <v>3058</v>
      </c>
      <c r="U305" s="5" t="s">
        <v>3059</v>
      </c>
      <c r="V305" s="5" t="s">
        <v>3060</v>
      </c>
      <c r="W305" s="5" t="s">
        <v>3061</v>
      </c>
      <c r="X305" s="5" t="s">
        <v>14999</v>
      </c>
      <c r="Y305" s="39" t="str">
        <f>IF(OR($A305&lt;&gt;"", $G305=""),"",CONCATENATE(";",EscStr(CONCATENATE("NavNode_",getCategoryLevelAsString($B305))),";",EscStr($J305),";",IF($B305&lt;&gt;"","""MainCategoryNavNode""",EscStr(CONCATENATE("NavNode_",getSuperCategory($B305, getCategoryLevelAsNumber($B305))))),";"))</f>
        <v>;"NavNode_L2D_379536";"Mechanical components";"NavNode_Workplace / Maintenance / Mechanical Components";</v>
      </c>
      <c r="Z305" s="39" t="str">
        <f>IF(getCategoryLevelAsString($B305)="L0D_324785","",IF(G305="",CONCATENATE(";",EscStr(CONCATENATE("NavNode_",getCategoryLevelAsString($B305))),";",EscStr($J305),";"),CONCATENATE(";",EscStr(CONCATENATE("NavNode_",getCategoryLevelAsString($B305))),";",EscStr(G305),";")))</f>
        <v>;"NavNode_L2D_379536";"Mechanische Komponenten";</v>
      </c>
      <c r="AA305" s="39" t="str">
        <f>IF(getCategoryLevelAsString($B305)="L0D_324785","",IF(H305="",CONCATENATE(";",EscStr(CONCATENATE("NavNode_",getCategoryLevelAsString($B305))),";",EscStr($J305),";"),CONCATENATE(";",EscStr(CONCATENATE("NavNode_",getCategoryLevelAsString($B305))),";",EscStr(H305),";")))</f>
        <v>;"NavNode_L2D_379536";"Organes mécaniques";</v>
      </c>
      <c r="AB305" s="39" t="str">
        <f>IF(getCategoryLevelAsString($B305)="L0D_324785","",IF(I305="",CONCATENATE(";",EscStr(CONCATENATE("NavNode_",getCategoryLevelAsString($B305))),";",EscStr($J305),";"),CONCATENATE(";",EscStr(CONCATENATE("NavNode_",getCategoryLevelAsString($B305))),";",EscStr(I305),";")))</f>
        <v>;"NavNode_L2D_379536";"Componenti meccanici";</v>
      </c>
      <c r="AC305" s="39" t="str">
        <f>IF(getCategoryLevelAsString($B305)="L0D_324785","",IF(J305="",CONCATENATE(";",EscStr(CONCATENATE("NavNode_",getCategoryLevelAsString($B305))),";",EscStr($J305),";"),CONCATENATE(";",EscStr(CONCATENATE("NavNode_",getCategoryLevelAsString($B305))),";",EscStr(J305),";")))</f>
        <v>;"NavNode_L2D_379536";"Mechanical components";</v>
      </c>
      <c r="AD305" s="39" t="str">
        <f>IF(getCategoryLevelAsString($B305)="L0D_324785","",IF(K305="",CONCATENATE(";",EscStr(CONCATENATE("NavNode_",getCategoryLevelAsString($B305))),";",EscStr($J305),";"),CONCATENATE(";",EscStr(CONCATENATE("NavNode_",getCategoryLevelAsString($B305))),";",EscStr(K305),";")))</f>
        <v>;"NavNode_L2D_379536";"Mekaniske komponenter";</v>
      </c>
      <c r="AE305" s="39" t="str">
        <f>IF(getCategoryLevelAsString($B305)="L0D_324785","",IF(L305="",CONCATENATE(";",EscStr(CONCATENATE("NavNode_",getCategoryLevelAsString($B305))),";",EscStr($J305),";"),CONCATENATE(";",EscStr(CONCATENATE("NavNode_",getCategoryLevelAsString($B305))),";",EscStr(L305),";")))</f>
        <v>;"NavNode_L2D_379536";"Mechaniniai komponentai";</v>
      </c>
      <c r="AF305" s="39" t="str">
        <f>IF(getCategoryLevelAsString($B305)="L0D_324785","",IF(M305="",CONCATENATE(";",EscStr(CONCATENATE("NavNode_",getCategoryLevelAsString($B305))),";",EscStr($J305),";"),CONCATENATE(";",EscStr(CONCATENATE("NavNode_",getCategoryLevelAsString($B305))),";",EscStr(M305),";")))</f>
        <v>;"NavNode_L2D_379536";"Mekaniske komponenter";</v>
      </c>
      <c r="AG305" s="39" t="str">
        <f>IF(getCategoryLevelAsString($B305)="L0D_324785","",IF(N305="",CONCATENATE(";",EscStr(CONCATENATE("NavNode_",getCategoryLevelAsString($B305))),";",EscStr($J305),";"),CONCATENATE(";",EscStr(CONCATENATE("NavNode_",getCategoryLevelAsString($B305))),";",EscStr(N305),";")))</f>
        <v>;"NavNode_L2D_379536";"Mekaniska komponenter";</v>
      </c>
      <c r="AH305" s="39" t="str">
        <f>IF(getCategoryLevelAsString($B305)="L0D_324785","",IF(O305="",CONCATENATE(";",EscStr(CONCATENATE("NavNode_",getCategoryLevelAsString($B305))),";",EscStr($J305),";"),CONCATENATE(";",EscStr(CONCATENATE("NavNode_",getCategoryLevelAsString($B305))),";",EscStr(O305),";")))</f>
        <v>;"NavNode_L2D_379536";"Mehaanilised komponendid";</v>
      </c>
      <c r="AI305" s="39" t="str">
        <f>IF(getCategoryLevelAsString($B305)="L0D_324785","",IF(P305="",CONCATENATE(";",EscStr(CONCATENATE("NavNode_",getCategoryLevelAsString($B305))),";",EscStr($J305),";"),CONCATENATE(";",EscStr(CONCATENATE("NavNode_",getCategoryLevelAsString($B305))),";",EscStr(P305),";")))</f>
        <v>;"NavNode_L2D_379536";"Mekaaniset komponentit";</v>
      </c>
      <c r="AJ305" s="39" t="str">
        <f>IF(getCategoryLevelAsString($B305)="L0D_324785","",IF(Q305="",CONCATENATE(";",EscStr(CONCATENATE("NavNode_",getCategoryLevelAsString($B305))),";",EscStr($J305),";"),CONCATENATE(";",EscStr(CONCATENATE("NavNode_",getCategoryLevelAsString($B305))),";",EscStr(Q305),";")))</f>
        <v>;"NavNode_L2D_379536";"Mehāniskās komponentes";</v>
      </c>
      <c r="AK305" s="39" t="str">
        <f>IF(getCategoryLevelAsString($B305)="L0D_324785","",IF(R305="",CONCATENATE(";",EscStr(CONCATENATE("NavNode_",getCategoryLevelAsString($B305))),";",EscStr($J305),";"),CONCATENATE(";",EscStr(CONCATENATE("NavNode_",getCategoryLevelAsString($B305))),";",EscStr(R305),";")))</f>
        <v>;"NavNode_L2D_379536";"Mechanische componenten";</v>
      </c>
      <c r="AL305" s="39" t="str">
        <f>IF(getCategoryLevelAsString($B305)="L0D_324785","",IF(S305="",CONCATENATE(";",EscStr(CONCATENATE("NavNode_",getCategoryLevelAsString($B305))),";",EscStr($J305),";"),CONCATENATE(";",EscStr(CONCATENATE("NavNode_",getCategoryLevelAsString($B305))),";",EscStr(S305),";")))</f>
        <v>;"NavNode_L2D_379536";"Elementy mechaniczne";</v>
      </c>
      <c r="AM305" s="39" t="str">
        <f>IF(getCategoryLevelAsString($B305)="L0D_324785","",IF(T305="",CONCATENATE(";",EscStr(CONCATENATE("NavNode_",getCategoryLevelAsString($B305))),";",EscStr($J305),";"),CONCATENATE(";",EscStr(CONCATENATE("NavNode_",getCategoryLevelAsString($B305))),";",EscStr(T305),";")))</f>
        <v>;"NavNode_L2D_379536";"Механические компоненты";</v>
      </c>
      <c r="AN305" s="39" t="str">
        <f>IF(getCategoryLevelAsString($B305)="L0D_324785","",IF(U305="",CONCATENATE(";",EscStr(CONCATENATE("NavNode_",getCategoryLevelAsString($B305))),";",EscStr($J305),";"),CONCATENATE(";",EscStr(CONCATENATE("NavNode_",getCategoryLevelAsString($B305))),";",EscStr(U305),";")))</f>
        <v>;"NavNode_L2D_379536";"Mechanické součástky";</v>
      </c>
      <c r="AO305" s="39" t="str">
        <f>IF(getCategoryLevelAsString($B305)="L0D_324785","",IF(V305="",CONCATENATE(";",EscStr(CONCATENATE("NavNode_",getCategoryLevelAsString($B305))),";",EscStr($J305),";"),CONCATENATE(";",EscStr(CONCATENATE("NavNode_",getCategoryLevelAsString($B305))),";",EscStr(V305),";")))</f>
        <v>;"NavNode_L2D_379536";"Componente mecanice";</v>
      </c>
      <c r="AP305" s="39" t="str">
        <f>IF(getCategoryLevelAsString($B305)="L0D_324785","",IF(W305="",CONCATENATE(";",EscStr(CONCATENATE("NavNode_",getCategoryLevelAsString($B305))),";",EscStr($J305),";"),CONCATENATE(";",EscStr(CONCATENATE("NavNode_",getCategoryLevelAsString($B305))),";",EscStr(W305),";")))</f>
        <v>;"NavNode_L2D_379536";"Mechanikai alkatrészek";</v>
      </c>
      <c r="AQ305" s="39" t="str">
        <f>IF(getCategoryLevelAsString($B305)="L0D_324785","",IF(X305="",CONCATENATE(";",EscStr(CONCATENATE("NavNode_",getCategoryLevelAsString($B305))),";",EscStr($J305),";"),CONCATENATE(";",EscStr(CONCATENATE("NavNode_",getCategoryLevelAsString($B305))),";",EscStr(X305),";")))</f>
        <v>;"NavNode_L2D_379536";"Mechanické súčiastky";</v>
      </c>
      <c r="AR305" s="39" t="str">
        <f>IF(OR($A305&lt;&gt;"", $G305=""),"",CONCATENATE(";",EscStr(CONCATENATE("NavEntry_",getCategoryLevelAsString($B305))),";",EscStr(CONCATENATE($J305," Navigation Entry")),";",EscStr(CONCATENATE("cat-",getCategoryLevelAsString($B305))),";",EscStr(CONCATENATE("NavNode_",getCategoryLevelAsString($B305))),";"))</f>
        <v>;"NavEntry_L2D_379536";"Mechanical components Navigation Entry";"cat-L2D_379536";"NavNode_L2D_379536";</v>
      </c>
    </row>
    <row r="306" spans="1:44" s="34" customFormat="1" ht="15" x14ac:dyDescent="0.25">
      <c r="A306" s="25"/>
      <c r="B306" s="5"/>
      <c r="C306" s="5"/>
      <c r="D306" s="5" t="s">
        <v>252</v>
      </c>
      <c r="E306" s="5"/>
      <c r="F306" s="5"/>
      <c r="G306" s="5" t="s">
        <v>1058</v>
      </c>
      <c r="H306" s="5" t="s">
        <v>1109</v>
      </c>
      <c r="I306" s="5" t="s">
        <v>1168</v>
      </c>
      <c r="J306" s="5" t="s">
        <v>926</v>
      </c>
      <c r="K306" s="5" t="s">
        <v>1273</v>
      </c>
      <c r="L306" s="5" t="s">
        <v>1507</v>
      </c>
      <c r="M306" s="5" t="s">
        <v>1736</v>
      </c>
      <c r="N306" s="5" t="s">
        <v>13998</v>
      </c>
      <c r="O306" s="5" t="s">
        <v>3062</v>
      </c>
      <c r="P306" s="5" t="s">
        <v>3063</v>
      </c>
      <c r="Q306" s="5" t="s">
        <v>3064</v>
      </c>
      <c r="R306" s="5" t="s">
        <v>3065</v>
      </c>
      <c r="S306" s="5" t="s">
        <v>3066</v>
      </c>
      <c r="T306" s="5" t="s">
        <v>3067</v>
      </c>
      <c r="U306" s="5" t="s">
        <v>3068</v>
      </c>
      <c r="V306" s="5" t="s">
        <v>3069</v>
      </c>
      <c r="W306" s="5" t="s">
        <v>3070</v>
      </c>
      <c r="X306" s="5" t="s">
        <v>15000</v>
      </c>
      <c r="Y306" s="39" t="str">
        <f>IF(OR($A306&lt;&gt;"", $G306=""),"",CONCATENATE(";",EscStr(CONCATENATE("NavNode_",getCategoryLevelAsString($B306))),";",EscStr($J306),";",IF($B306&lt;&gt;"","""MainCategoryNavNode""",EscStr(CONCATENATE("NavNode_",getSuperCategory($B306, getCategoryLevelAsNumber($B306))))),";"))</f>
        <v>;"NavNode_L3D_525457";"Screws, Dowels &amp; Springs";"NavNode_L2D_379536";</v>
      </c>
      <c r="Z306" s="39" t="str">
        <f>IF(getCategoryLevelAsString($B306)="L0D_324785","",IF(G306="",CONCATENATE(";",EscStr(CONCATENATE("NavNode_",getCategoryLevelAsString($B306))),";",EscStr($J306),";"),CONCATENATE(";",EscStr(CONCATENATE("NavNode_",getCategoryLevelAsString($B306))),";",EscStr(G306),";")))</f>
        <v>;"NavNode_L3D_525457";"Schrauben, Dübel und Federn";</v>
      </c>
      <c r="AA306" s="39" t="str">
        <f>IF(getCategoryLevelAsString($B306)="L0D_324785","",IF(H306="",CONCATENATE(";",EscStr(CONCATENATE("NavNode_",getCategoryLevelAsString($B306))),";",EscStr($J306),";"),CONCATENATE(";",EscStr(CONCATENATE("NavNode_",getCategoryLevelAsString($B306))),";",EscStr(H306),";")))</f>
        <v>;"NavNode_L3D_525457";"Vis, tampons et ressorts";</v>
      </c>
      <c r="AB306" s="39" t="str">
        <f>IF(getCategoryLevelAsString($B306)="L0D_324785","",IF(I306="",CONCATENATE(";",EscStr(CONCATENATE("NavNode_",getCategoryLevelAsString($B306))),";",EscStr($J306),";"),CONCATENATE(";",EscStr(CONCATENATE("NavNode_",getCategoryLevelAsString($B306))),";",EscStr(I306),";")))</f>
        <v>;"NavNode_L3D_525457";"Viti, tasselli e molle";</v>
      </c>
      <c r="AC306" s="39" t="str">
        <f>IF(getCategoryLevelAsString($B306)="L0D_324785","",IF(J306="",CONCATENATE(";",EscStr(CONCATENATE("NavNode_",getCategoryLevelAsString($B306))),";",EscStr($J306),";"),CONCATENATE(";",EscStr(CONCATENATE("NavNode_",getCategoryLevelAsString($B306))),";",EscStr(J306),";")))</f>
        <v>;"NavNode_L3D_525457";"Screws, Dowels &amp; Springs";</v>
      </c>
      <c r="AD306" s="39" t="str">
        <f>IF(getCategoryLevelAsString($B306)="L0D_324785","",IF(K306="",CONCATENATE(";",EscStr(CONCATENATE("NavNode_",getCategoryLevelAsString($B306))),";",EscStr($J306),";"),CONCATENATE(";",EscStr(CONCATENATE("NavNode_",getCategoryLevelAsString($B306))),";",EscStr(K306),";")))</f>
        <v>;"NavNode_L3D_525457";"Skruer, dyvler &amp; fjedre";</v>
      </c>
      <c r="AE306" s="39" t="str">
        <f>IF(getCategoryLevelAsString($B306)="L0D_324785","",IF(L306="",CONCATENATE(";",EscStr(CONCATENATE("NavNode_",getCategoryLevelAsString($B306))),";",EscStr($J306),";"),CONCATENATE(";",EscStr(CONCATENATE("NavNode_",getCategoryLevelAsString($B306))),";",EscStr(L306),";")))</f>
        <v>;"NavNode_L3D_525457";"Varžtai, kaiščiai ir spyruoklės";</v>
      </c>
      <c r="AF306" s="39" t="str">
        <f>IF(getCategoryLevelAsString($B306)="L0D_324785","",IF(M306="",CONCATENATE(";",EscStr(CONCATENATE("NavNode_",getCategoryLevelAsString($B306))),";",EscStr($J306),";"),CONCATENATE(";",EscStr(CONCATENATE("NavNode_",getCategoryLevelAsString($B306))),";",EscStr(M306),";")))</f>
        <v>;"NavNode_L3D_525457";"Skruer, tapper og fjærer";</v>
      </c>
      <c r="AG306" s="39" t="str">
        <f>IF(getCategoryLevelAsString($B306)="L0D_324785","",IF(N306="",CONCATENATE(";",EscStr(CONCATENATE("NavNode_",getCategoryLevelAsString($B306))),";",EscStr($J306),";"),CONCATENATE(";",EscStr(CONCATENATE("NavNode_",getCategoryLevelAsString($B306))),";",EscStr(N306),";")))</f>
        <v>;"NavNode_L3D_525457";"Skruv, plugg och fjädrar";</v>
      </c>
      <c r="AH306" s="39" t="str">
        <f>IF(getCategoryLevelAsString($B306)="L0D_324785","",IF(O306="",CONCATENATE(";",EscStr(CONCATENATE("NavNode_",getCategoryLevelAsString($B306))),";",EscStr($J306),";"),CONCATENATE(";",EscStr(CONCATENATE("NavNode_",getCategoryLevelAsString($B306))),";",EscStr(O306),";")))</f>
        <v>;"NavNode_L3D_525457";"Kruvid, tüüblid ja vedrud";</v>
      </c>
      <c r="AI306" s="39" t="str">
        <f>IF(getCategoryLevelAsString($B306)="L0D_324785","",IF(P306="",CONCATENATE(";",EscStr(CONCATENATE("NavNode_",getCategoryLevelAsString($B306))),";",EscStr($J306),";"),CONCATENATE(";",EscStr(CONCATENATE("NavNode_",getCategoryLevelAsString($B306))),";",EscStr(P306),";")))</f>
        <v>;"NavNode_L3D_525457";"Ruuvit, prikat ja jouset";</v>
      </c>
      <c r="AJ306" s="39" t="str">
        <f>IF(getCategoryLevelAsString($B306)="L0D_324785","",IF(Q306="",CONCATENATE(";",EscStr(CONCATENATE("NavNode_",getCategoryLevelAsString($B306))),";",EscStr($J306),";"),CONCATENATE(";",EscStr(CONCATENATE("NavNode_",getCategoryLevelAsString($B306))),";",EscStr(Q306),";")))</f>
        <v>;"NavNode_L3D_525457";"Skrūves, tapas un atsperes";</v>
      </c>
      <c r="AK306" s="39" t="str">
        <f>IF(getCategoryLevelAsString($B306)="L0D_324785","",IF(R306="",CONCATENATE(";",EscStr(CONCATENATE("NavNode_",getCategoryLevelAsString($B306))),";",EscStr($J306),";"),CONCATENATE(";",EscStr(CONCATENATE("NavNode_",getCategoryLevelAsString($B306))),";",EscStr(R306),";")))</f>
        <v>;"NavNode_L3D_525457";"Schroeven, muurpluggen en veren";</v>
      </c>
      <c r="AL306" s="39" t="str">
        <f>IF(getCategoryLevelAsString($B306)="L0D_324785","",IF(S306="",CONCATENATE(";",EscStr(CONCATENATE("NavNode_",getCategoryLevelAsString($B306))),";",EscStr($J306),";"),CONCATENATE(";",EscStr(CONCATENATE("NavNode_",getCategoryLevelAsString($B306))),";",EscStr(S306),";")))</f>
        <v>;"NavNode_L3D_525457";"Śruby, Kołki, Sprężyny";</v>
      </c>
      <c r="AM306" s="39" t="str">
        <f>IF(getCategoryLevelAsString($B306)="L0D_324785","",IF(T306="",CONCATENATE(";",EscStr(CONCATENATE("NavNode_",getCategoryLevelAsString($B306))),";",EscStr($J306),";"),CONCATENATE(";",EscStr(CONCATENATE("NavNode_",getCategoryLevelAsString($B306))),";",EscStr(T306),";")))</f>
        <v>;"NavNode_L3D_525457";"Винты / Штифты / Пружины";</v>
      </c>
      <c r="AN306" s="39" t="str">
        <f>IF(getCategoryLevelAsString($B306)="L0D_324785","",IF(U306="",CONCATENATE(";",EscStr(CONCATENATE("NavNode_",getCategoryLevelAsString($B306))),";",EscStr($J306),";"),CONCATENATE(";",EscStr(CONCATENATE("NavNode_",getCategoryLevelAsString($B306))),";",EscStr(U306),";")))</f>
        <v>;"NavNode_L3D_525457";"Šrouby, hmoždinky a pružiny";</v>
      </c>
      <c r="AO306" s="39" t="str">
        <f>IF(getCategoryLevelAsString($B306)="L0D_324785","",IF(V306="",CONCATENATE(";",EscStr(CONCATENATE("NavNode_",getCategoryLevelAsString($B306))),";",EscStr($J306),";"),CONCATENATE(";",EscStr(CONCATENATE("NavNode_",getCategoryLevelAsString($B306))),";",EscStr(V306),";")))</f>
        <v>;"NavNode_L3D_525457";"Şuruburi, dibluri şi arcuri";</v>
      </c>
      <c r="AP306" s="39" t="str">
        <f>IF(getCategoryLevelAsString($B306)="L0D_324785","",IF(W306="",CONCATENATE(";",EscStr(CONCATENATE("NavNode_",getCategoryLevelAsString($B306))),";",EscStr($J306),";"),CONCATENATE(";",EscStr(CONCATENATE("NavNode_",getCategoryLevelAsString($B306))),";",EscStr(W306),";")))</f>
        <v>;"NavNode_L3D_525457";"Csavarok, dübelek és rugók";</v>
      </c>
      <c r="AQ306" s="39" t="str">
        <f>IF(getCategoryLevelAsString($B306)="L0D_324785","",IF(X306="",CONCATENATE(";",EscStr(CONCATENATE("NavNode_",getCategoryLevelAsString($B306))),";",EscStr($J306),";"),CONCATENATE(";",EscStr(CONCATENATE("NavNode_",getCategoryLevelAsString($B306))),";",EscStr(X306),";")))</f>
        <v>;"NavNode_L3D_525457";"Šroby, hmoždinky a pružiny";</v>
      </c>
      <c r="AR306" s="39" t="str">
        <f>IF(OR($A306&lt;&gt;"", $G306=""),"",CONCATENATE(";",EscStr(CONCATENATE("NavEntry_",getCategoryLevelAsString($B306))),";",EscStr(CONCATENATE($J306," Navigation Entry")),";",EscStr(CONCATENATE("cat-",getCategoryLevelAsString($B306))),";",EscStr(CONCATENATE("NavNode_",getCategoryLevelAsString($B306))),";"))</f>
        <v>;"NavEntry_L3D_525457";"Screws, Dowels &amp; Springs Navigation Entry";"cat-L3D_525457";"NavNode_L3D_525457";</v>
      </c>
    </row>
    <row r="307" spans="1:44" s="34" customFormat="1" ht="15" x14ac:dyDescent="0.25">
      <c r="A307" s="25"/>
      <c r="B307" s="5"/>
      <c r="C307" s="5"/>
      <c r="D307" s="5" t="s">
        <v>250</v>
      </c>
      <c r="E307" s="5"/>
      <c r="F307" s="5"/>
      <c r="G307" s="5" t="s">
        <v>564</v>
      </c>
      <c r="H307" s="5" t="s">
        <v>565</v>
      </c>
      <c r="I307" s="5" t="s">
        <v>566</v>
      </c>
      <c r="J307" s="5" t="s">
        <v>251</v>
      </c>
      <c r="K307" s="5" t="s">
        <v>1274</v>
      </c>
      <c r="L307" s="5" t="s">
        <v>15217</v>
      </c>
      <c r="M307" s="5" t="s">
        <v>1737</v>
      </c>
      <c r="N307" s="5" t="s">
        <v>1941</v>
      </c>
      <c r="O307" s="5" t="s">
        <v>3071</v>
      </c>
      <c r="P307" s="5" t="s">
        <v>3072</v>
      </c>
      <c r="Q307" s="5" t="s">
        <v>3073</v>
      </c>
      <c r="R307" s="5" t="s">
        <v>3074</v>
      </c>
      <c r="S307" s="5" t="s">
        <v>3075</v>
      </c>
      <c r="T307" s="5" t="s">
        <v>3076</v>
      </c>
      <c r="U307" s="5" t="s">
        <v>3077</v>
      </c>
      <c r="V307" s="5" t="s">
        <v>3078</v>
      </c>
      <c r="W307" s="5" t="s">
        <v>3079</v>
      </c>
      <c r="X307" s="5" t="s">
        <v>15001</v>
      </c>
      <c r="Y307" s="39" t="str">
        <f>IF(OR($A307&lt;&gt;"", $G307=""),"",CONCATENATE(";",EscStr(CONCATENATE("NavNode_",getCategoryLevelAsString($B307))),";",EscStr($J307),";",IF($B307&lt;&gt;"","""MainCategoryNavNode""",EscStr(CONCATENATE("NavNode_",getSuperCategory($B307, getCategoryLevelAsNumber($B307))))),";"))</f>
        <v>;"NavNode_L3D_525458";"Mounting Accessories and Spacers";"NavNode_L2D_379536";</v>
      </c>
      <c r="Z307" s="39" t="str">
        <f>IF(getCategoryLevelAsString($B307)="L0D_324785","",IF(G307="",CONCATENATE(";",EscStr(CONCATENATE("NavNode_",getCategoryLevelAsString($B307))),";",EscStr($J307),";"),CONCATENATE(";",EscStr(CONCATENATE("NavNode_",getCategoryLevelAsString($B307))),";",EscStr(G307),";")))</f>
        <v>;"NavNode_L3D_525458";"Distanzbolzen und Distanzhalter";</v>
      </c>
      <c r="AA307" s="39" t="str">
        <f>IF(getCategoryLevelAsString($B307)="L0D_324785","",IF(H307="",CONCATENATE(";",EscStr(CONCATENATE("NavNode_",getCategoryLevelAsString($B307))),";",EscStr($J307),";"),CONCATENATE(";",EscStr(CONCATENATE("NavNode_",getCategoryLevelAsString($B307))),";",EscStr(H307),";")))</f>
        <v>;"NavNode_L3D_525458";"Pièces de montage et entretoises";</v>
      </c>
      <c r="AB307" s="39" t="str">
        <f>IF(getCategoryLevelAsString($B307)="L0D_324785","",IF(I307="",CONCATENATE(";",EscStr(CONCATENATE("NavNode_",getCategoryLevelAsString($B307))),";",EscStr($J307),";"),CONCATENATE(";",EscStr(CONCATENATE("NavNode_",getCategoryLevelAsString($B307))),";",EscStr(I307),";")))</f>
        <v>;"NavNode_L3D_525458";"Componenti di montaggio e distanziali";</v>
      </c>
      <c r="AC307" s="39" t="str">
        <f>IF(getCategoryLevelAsString($B307)="L0D_324785","",IF(J307="",CONCATENATE(";",EscStr(CONCATENATE("NavNode_",getCategoryLevelAsString($B307))),";",EscStr($J307),";"),CONCATENATE(";",EscStr(CONCATENATE("NavNode_",getCategoryLevelAsString($B307))),";",EscStr(J307),";")))</f>
        <v>;"NavNode_L3D_525458";"Mounting Accessories and Spacers";</v>
      </c>
      <c r="AD307" s="39" t="str">
        <f>IF(getCategoryLevelAsString($B307)="L0D_324785","",IF(K307="",CONCATENATE(";",EscStr(CONCATENATE("NavNode_",getCategoryLevelAsString($B307))),";",EscStr($J307),";"),CONCATENATE(";",EscStr(CONCATENATE("NavNode_",getCategoryLevelAsString($B307))),";",EscStr(K307),";")))</f>
        <v>;"NavNode_L3D_525458";"Monteringskomponenter og afstandsholdere";</v>
      </c>
      <c r="AE307" s="39" t="str">
        <f>IF(getCategoryLevelAsString($B307)="L0D_324785","",IF(L307="",CONCATENATE(";",EscStr(CONCATENATE("NavNode_",getCategoryLevelAsString($B307))),";",EscStr($J307),";"),CONCATENATE(";",EscStr(CONCATENATE("NavNode_",getCategoryLevelAsString($B307))),";",EscStr(L307),";")))</f>
        <v>;"NavNode_L3D_525458";"Montavimo priedai ir tarpinės";</v>
      </c>
      <c r="AF307" s="39" t="str">
        <f>IF(getCategoryLevelAsString($B307)="L0D_324785","",IF(M307="",CONCATENATE(";",EscStr(CONCATENATE("NavNode_",getCategoryLevelAsString($B307))),";",EscStr($J307),";"),CONCATENATE(";",EscStr(CONCATENATE("NavNode_",getCategoryLevelAsString($B307))),";",EscStr(M307),";")))</f>
        <v>;"NavNode_L3D_525458";"Monteringstilbehør og avstandsstykker";</v>
      </c>
      <c r="AG307" s="39" t="str">
        <f>IF(getCategoryLevelAsString($B307)="L0D_324785","",IF(N307="",CONCATENATE(";",EscStr(CONCATENATE("NavNode_",getCategoryLevelAsString($B307))),";",EscStr($J307),";"),CONCATENATE(";",EscStr(CONCATENATE("NavNode_",getCategoryLevelAsString($B307))),";",EscStr(N307),";")))</f>
        <v>;"NavNode_L3D_525458";"Monteringstillbehör och distanser";</v>
      </c>
      <c r="AH307" s="39" t="str">
        <f>IF(getCategoryLevelAsString($B307)="L0D_324785","",IF(O307="",CONCATENATE(";",EscStr(CONCATENATE("NavNode_",getCategoryLevelAsString($B307))),";",EscStr($J307),";"),CONCATENATE(";",EscStr(CONCATENATE("NavNode_",getCategoryLevelAsString($B307))),";",EscStr(O307),";")))</f>
        <v>;"NavNode_L3D_525458";"Paigaldustarvikud ja vahepuksid";</v>
      </c>
      <c r="AI307" s="39" t="str">
        <f>IF(getCategoryLevelAsString($B307)="L0D_324785","",IF(P307="",CONCATENATE(";",EscStr(CONCATENATE("NavNode_",getCategoryLevelAsString($B307))),";",EscStr($J307),";"),CONCATENATE(";",EscStr(CONCATENATE("NavNode_",getCategoryLevelAsString($B307))),";",EscStr(P307),";")))</f>
        <v>;"NavNode_L3D_525458";"Asennustarvikkeet ja holkit";</v>
      </c>
      <c r="AJ307" s="39" t="str">
        <f>IF(getCategoryLevelAsString($B307)="L0D_324785","",IF(Q307="",CONCATENATE(";",EscStr(CONCATENATE("NavNode_",getCategoryLevelAsString($B307))),";",EscStr($J307),";"),CONCATENATE(";",EscStr(CONCATENATE("NavNode_",getCategoryLevelAsString($B307))),";",EscStr(Q307),";")))</f>
        <v>;"NavNode_L3D_525458";"Montāžas piederumi un distanceri";</v>
      </c>
      <c r="AK307" s="39" t="str">
        <f>IF(getCategoryLevelAsString($B307)="L0D_324785","",IF(R307="",CONCATENATE(";",EscStr(CONCATENATE("NavNode_",getCategoryLevelAsString($B307))),";",EscStr($J307),";"),CONCATENATE(";",EscStr(CONCATENATE("NavNode_",getCategoryLevelAsString($B307))),";",EscStr(R307),";")))</f>
        <v>;"NavNode_L3D_525458";"Montage accessoires en afstandsstukken";</v>
      </c>
      <c r="AL307" s="39" t="str">
        <f>IF(getCategoryLevelAsString($B307)="L0D_324785","",IF(S307="",CONCATENATE(";",EscStr(CONCATENATE("NavNode_",getCategoryLevelAsString($B307))),";",EscStr($J307),";"),CONCATENATE(";",EscStr(CONCATENATE("NavNode_",getCategoryLevelAsString($B307))),";",EscStr(S307),";")))</f>
        <v>;"NavNode_L3D_525458";"Elementy montażowe i Dystanse";</v>
      </c>
      <c r="AM307" s="39" t="str">
        <f>IF(getCategoryLevelAsString($B307)="L0D_324785","",IF(T307="",CONCATENATE(";",EscStr(CONCATENATE("NavNode_",getCategoryLevelAsString($B307))),";",EscStr($J307),";"),CONCATENATE(";",EscStr(CONCATENATE("NavNode_",getCategoryLevelAsString($B307))),";",EscStr(T307),";")))</f>
        <v>;"NavNode_L3D_525458";"Монтажные принадлежности и Распорки";</v>
      </c>
      <c r="AN307" s="39" t="str">
        <f>IF(getCategoryLevelAsString($B307)="L0D_324785","",IF(U307="",CONCATENATE(";",EscStr(CONCATENATE("NavNode_",getCategoryLevelAsString($B307))),";",EscStr($J307),";"),CONCATENATE(";",EscStr(CONCATENATE("NavNode_",getCategoryLevelAsString($B307))),";",EscStr(U307),";")))</f>
        <v>;"NavNode_L3D_525458";"Distanční šrouby a podložky";</v>
      </c>
      <c r="AO307" s="39" t="str">
        <f>IF(getCategoryLevelAsString($B307)="L0D_324785","",IF(V307="",CONCATENATE(";",EscStr(CONCATENATE("NavNode_",getCategoryLevelAsString($B307))),";",EscStr($J307),";"),CONCATENATE(";",EscStr(CONCATENATE("NavNode_",getCategoryLevelAsString($B307))),";",EscStr(V307),";")))</f>
        <v>;"NavNode_L3D_525458";"Distanţiere şi suporţi pentru distanţiere";</v>
      </c>
      <c r="AP307" s="39" t="str">
        <f>IF(getCategoryLevelAsString($B307)="L0D_324785","",IF(W307="",CONCATENATE(";",EscStr(CONCATENATE("NavNode_",getCategoryLevelAsString($B307))),";",EscStr($J307),";"),CONCATENATE(";",EscStr(CONCATENATE("NavNode_",getCategoryLevelAsString($B307))),";",EscStr(W307),";")))</f>
        <v>;"NavNode_L3D_525458";"Távtartók és távtartó csapok";</v>
      </c>
      <c r="AQ307" s="39" t="str">
        <f>IF(getCategoryLevelAsString($B307)="L0D_324785","",IF(X307="",CONCATENATE(";",EscStr(CONCATENATE("NavNode_",getCategoryLevelAsString($B307))),";",EscStr($J307),";"),CONCATENATE(";",EscStr(CONCATENATE("NavNode_",getCategoryLevelAsString($B307))),";",EscStr(X307),";")))</f>
        <v>;"NavNode_L3D_525458";"Dištančné skrutky a podložky";</v>
      </c>
      <c r="AR307" s="39" t="str">
        <f>IF(OR($A307&lt;&gt;"", $G307=""),"",CONCATENATE(";",EscStr(CONCATENATE("NavEntry_",getCategoryLevelAsString($B307))),";",EscStr(CONCATENATE($J307," Navigation Entry")),";",EscStr(CONCATENATE("cat-",getCategoryLevelAsString($B307))),";",EscStr(CONCATENATE("NavNode_",getCategoryLevelAsString($B307))),";"))</f>
        <v>;"NavEntry_L3D_525458";"Mounting Accessories and Spacers Navigation Entry";"cat-L3D_525458";"NavNode_L3D_525458";</v>
      </c>
    </row>
    <row r="308" spans="1:44" s="34" customFormat="1" ht="15" x14ac:dyDescent="0.25">
      <c r="A308" s="25"/>
      <c r="B308" s="5"/>
      <c r="C308" s="5"/>
      <c r="D308" s="5" t="s">
        <v>249</v>
      </c>
      <c r="E308" s="5"/>
      <c r="F308" s="5"/>
      <c r="G308" s="5" t="s">
        <v>560</v>
      </c>
      <c r="H308" s="5" t="s">
        <v>561</v>
      </c>
      <c r="I308" s="5" t="s">
        <v>562</v>
      </c>
      <c r="J308" s="5" t="s">
        <v>563</v>
      </c>
      <c r="K308" s="5" t="s">
        <v>1275</v>
      </c>
      <c r="L308" s="5" t="s">
        <v>1509</v>
      </c>
      <c r="M308" s="5" t="s">
        <v>1738</v>
      </c>
      <c r="N308" s="5" t="s">
        <v>1942</v>
      </c>
      <c r="O308" s="5" t="s">
        <v>3080</v>
      </c>
      <c r="P308" s="5" t="s">
        <v>3081</v>
      </c>
      <c r="Q308" s="5" t="s">
        <v>3082</v>
      </c>
      <c r="R308" s="5" t="s">
        <v>3083</v>
      </c>
      <c r="S308" s="5" t="s">
        <v>3084</v>
      </c>
      <c r="T308" s="5" t="s">
        <v>3085</v>
      </c>
      <c r="U308" s="5" t="s">
        <v>3086</v>
      </c>
      <c r="V308" s="5" t="s">
        <v>3087</v>
      </c>
      <c r="W308" s="5" t="s">
        <v>3088</v>
      </c>
      <c r="X308" s="5" t="s">
        <v>15002</v>
      </c>
      <c r="Y308" s="39" t="str">
        <f>IF(OR($A308&lt;&gt;"", $G308=""),"",CONCATENATE(";",EscStr(CONCATENATE("NavNode_",getCategoryLevelAsString($B308))),";",EscStr($J308),";",IF($B308&lt;&gt;"","""MainCategoryNavNode""",EscStr(CONCATENATE("NavNode_",getSuperCategory($B308, getCategoryLevelAsNumber($B308))))),";"))</f>
        <v>;"NavNode_L3D_525460";"Hinges &amp; Locks";"NavNode_L2D_379536";</v>
      </c>
      <c r="Z308" s="39" t="str">
        <f>IF(getCategoryLevelAsString($B308)="L0D_324785","",IF(G308="",CONCATENATE(";",EscStr(CONCATENATE("NavNode_",getCategoryLevelAsString($B308))),";",EscStr($J308),";"),CONCATENATE(";",EscStr(CONCATENATE("NavNode_",getCategoryLevelAsString($B308))),";",EscStr(G308),";")))</f>
        <v>;"NavNode_L3D_525460";"Scharniere / Schlösser";</v>
      </c>
      <c r="AA308" s="39" t="str">
        <f>IF(getCategoryLevelAsString($B308)="L0D_324785","",IF(H308="",CONCATENATE(";",EscStr(CONCATENATE("NavNode_",getCategoryLevelAsString($B308))),";",EscStr($J308),";"),CONCATENATE(";",EscStr(CONCATENATE("NavNode_",getCategoryLevelAsString($B308))),";",EscStr(H308),";")))</f>
        <v>;"NavNode_L3D_525460";"Charnières / Serrures";</v>
      </c>
      <c r="AB308" s="39" t="str">
        <f>IF(getCategoryLevelAsString($B308)="L0D_324785","",IF(I308="",CONCATENATE(";",EscStr(CONCATENATE("NavNode_",getCategoryLevelAsString($B308))),";",EscStr($J308),";"),CONCATENATE(";",EscStr(CONCATENATE("NavNode_",getCategoryLevelAsString($B308))),";",EscStr(I308),";")))</f>
        <v>;"NavNode_L3D_525460";"Cerniere / Serrature";</v>
      </c>
      <c r="AC308" s="39" t="str">
        <f>IF(getCategoryLevelAsString($B308)="L0D_324785","",IF(J308="",CONCATENATE(";",EscStr(CONCATENATE("NavNode_",getCategoryLevelAsString($B308))),";",EscStr($J308),";"),CONCATENATE(";",EscStr(CONCATENATE("NavNode_",getCategoryLevelAsString($B308))),";",EscStr(J308),";")))</f>
        <v>;"NavNode_L3D_525460";"Hinges &amp; Locks";</v>
      </c>
      <c r="AD308" s="39" t="str">
        <f>IF(getCategoryLevelAsString($B308)="L0D_324785","",IF(K308="",CONCATENATE(";",EscStr(CONCATENATE("NavNode_",getCategoryLevelAsString($B308))),";",EscStr($J308),";"),CONCATENATE(";",EscStr(CONCATENATE("NavNode_",getCategoryLevelAsString($B308))),";",EscStr(K308),";")))</f>
        <v>;"NavNode_L3D_525460";"Hængsler &amp; låse";</v>
      </c>
      <c r="AE308" s="39" t="str">
        <f>IF(getCategoryLevelAsString($B308)="L0D_324785","",IF(L308="",CONCATENATE(";",EscStr(CONCATENATE("NavNode_",getCategoryLevelAsString($B308))),";",EscStr($J308),";"),CONCATENATE(";",EscStr(CONCATENATE("NavNode_",getCategoryLevelAsString($B308))),";",EscStr(L308),";")))</f>
        <v>;"NavNode_L3D_525460";"Vyriai ir spynos";</v>
      </c>
      <c r="AF308" s="39" t="str">
        <f>IF(getCategoryLevelAsString($B308)="L0D_324785","",IF(M308="",CONCATENATE(";",EscStr(CONCATENATE("NavNode_",getCategoryLevelAsString($B308))),";",EscStr($J308),";"),CONCATENATE(";",EscStr(CONCATENATE("NavNode_",getCategoryLevelAsString($B308))),";",EscStr(M308),";")))</f>
        <v>;"NavNode_L3D_525460";"Hengsler og låser";</v>
      </c>
      <c r="AG308" s="39" t="str">
        <f>IF(getCategoryLevelAsString($B308)="L0D_324785","",IF(N308="",CONCATENATE(";",EscStr(CONCATENATE("NavNode_",getCategoryLevelAsString($B308))),";",EscStr($J308),";"),CONCATENATE(";",EscStr(CONCATENATE("NavNode_",getCategoryLevelAsString($B308))),";",EscStr(N308),";")))</f>
        <v>;"NavNode_L3D_525460";"Gångjärn och lås";</v>
      </c>
      <c r="AH308" s="39" t="str">
        <f>IF(getCategoryLevelAsString($B308)="L0D_324785","",IF(O308="",CONCATENATE(";",EscStr(CONCATENATE("NavNode_",getCategoryLevelAsString($B308))),";",EscStr($J308),";"),CONCATENATE(";",EscStr(CONCATENATE("NavNode_",getCategoryLevelAsString($B308))),";",EscStr(O308),";")))</f>
        <v>;"NavNode_L3D_525460";"Hinged ja lukud";</v>
      </c>
      <c r="AI308" s="39" t="str">
        <f>IF(getCategoryLevelAsString($B308)="L0D_324785","",IF(P308="",CONCATENATE(";",EscStr(CONCATENATE("NavNode_",getCategoryLevelAsString($B308))),";",EscStr($J308),";"),CONCATENATE(";",EscStr(CONCATENATE("NavNode_",getCategoryLevelAsString($B308))),";",EscStr(P308),";")))</f>
        <v>;"NavNode_L3D_525460";"Saranat ja lukot";</v>
      </c>
      <c r="AJ308" s="39" t="str">
        <f>IF(getCategoryLevelAsString($B308)="L0D_324785","",IF(Q308="",CONCATENATE(";",EscStr(CONCATENATE("NavNode_",getCategoryLevelAsString($B308))),";",EscStr($J308),";"),CONCATENATE(";",EscStr(CONCATENATE("NavNode_",getCategoryLevelAsString($B308))),";",EscStr(Q308),";")))</f>
        <v>;"NavNode_L3D_525460";"Eņģes un atslēgas";</v>
      </c>
      <c r="AK308" s="39" t="str">
        <f>IF(getCategoryLevelAsString($B308)="L0D_324785","",IF(R308="",CONCATENATE(";",EscStr(CONCATENATE("NavNode_",getCategoryLevelAsString($B308))),";",EscStr($J308),";"),CONCATENATE(";",EscStr(CONCATENATE("NavNode_",getCategoryLevelAsString($B308))),";",EscStr(R308),";")))</f>
        <v>;"NavNode_L3D_525460";"Scharnieren en sloten";</v>
      </c>
      <c r="AL308" s="39" t="str">
        <f>IF(getCategoryLevelAsString($B308)="L0D_324785","",IF(S308="",CONCATENATE(";",EscStr(CONCATENATE("NavNode_",getCategoryLevelAsString($B308))),";",EscStr($J308),";"),CONCATENATE(";",EscStr(CONCATENATE("NavNode_",getCategoryLevelAsString($B308))),";",EscStr(S308),";")))</f>
        <v>;"NavNode_L3D_525460";"Zawiasy i Zamki";</v>
      </c>
      <c r="AM308" s="39" t="str">
        <f>IF(getCategoryLevelAsString($B308)="L0D_324785","",IF(T308="",CONCATENATE(";",EscStr(CONCATENATE("NavNode_",getCategoryLevelAsString($B308))),";",EscStr($J308),";"),CONCATENATE(";",EscStr(CONCATENATE("NavNode_",getCategoryLevelAsString($B308))),";",EscStr(T308),";")))</f>
        <v>;"NavNode_L3D_525460";"Петли &amp; Замок";</v>
      </c>
      <c r="AN308" s="39" t="str">
        <f>IF(getCategoryLevelAsString($B308)="L0D_324785","",IF(U308="",CONCATENATE(";",EscStr(CONCATENATE("NavNode_",getCategoryLevelAsString($B308))),";",EscStr($J308),";"),CONCATENATE(";",EscStr(CONCATENATE("NavNode_",getCategoryLevelAsString($B308))),";",EscStr(U308),";")))</f>
        <v>;"NavNode_L3D_525460";"Závěsy / Zámky";</v>
      </c>
      <c r="AO308" s="39" t="str">
        <f>IF(getCategoryLevelAsString($B308)="L0D_324785","",IF(V308="",CONCATENATE(";",EscStr(CONCATENATE("NavNode_",getCategoryLevelAsString($B308))),";",EscStr($J308),";"),CONCATENATE(";",EscStr(CONCATENATE("NavNode_",getCategoryLevelAsString($B308))),";",EscStr(V308),";")))</f>
        <v>;"NavNode_L3D_525460";"Balamale / încuietori";</v>
      </c>
      <c r="AP308" s="39" t="str">
        <f>IF(getCategoryLevelAsString($B308)="L0D_324785","",IF(W308="",CONCATENATE(";",EscStr(CONCATENATE("NavNode_",getCategoryLevelAsString($B308))),";",EscStr($J308),";"),CONCATENATE(";",EscStr(CONCATENATE("NavNode_",getCategoryLevelAsString($B308))),";",EscStr(W308),";")))</f>
        <v>;"NavNode_L3D_525460";"Zsanérok / Zárak";</v>
      </c>
      <c r="AQ308" s="39" t="str">
        <f>IF(getCategoryLevelAsString($B308)="L0D_324785","",IF(X308="",CONCATENATE(";",EscStr(CONCATENATE("NavNode_",getCategoryLevelAsString($B308))),";",EscStr($J308),";"),CONCATENATE(";",EscStr(CONCATENATE("NavNode_",getCategoryLevelAsString($B308))),";",EscStr(X308),";")))</f>
        <v>;"NavNode_L3D_525460";"Závesy / Zámky";</v>
      </c>
      <c r="AR308" s="39" t="str">
        <f>IF(OR($A308&lt;&gt;"", $G308=""),"",CONCATENATE(";",EscStr(CONCATENATE("NavEntry_",getCategoryLevelAsString($B308))),";",EscStr(CONCATENATE($J308," Navigation Entry")),";",EscStr(CONCATENATE("cat-",getCategoryLevelAsString($B308))),";",EscStr(CONCATENATE("NavNode_",getCategoryLevelAsString($B308))),";"))</f>
        <v>;"NavEntry_L3D_525460";"Hinges &amp; Locks Navigation Entry";"cat-L3D_525460";"NavNode_L3D_525460";</v>
      </c>
    </row>
    <row r="309" spans="1:44" s="34" customFormat="1" ht="15" x14ac:dyDescent="0.25">
      <c r="A309" s="25"/>
      <c r="B309" s="5"/>
      <c r="C309" s="5"/>
      <c r="D309" s="5" t="s">
        <v>254</v>
      </c>
      <c r="E309" s="5"/>
      <c r="F309" s="5"/>
      <c r="G309" s="5" t="s">
        <v>3089</v>
      </c>
      <c r="H309" s="5" t="s">
        <v>3090</v>
      </c>
      <c r="I309" s="5" t="s">
        <v>3091</v>
      </c>
      <c r="J309" s="41" t="s">
        <v>13563</v>
      </c>
      <c r="K309" s="5" t="s">
        <v>3093</v>
      </c>
      <c r="L309" s="5" t="s">
        <v>15218</v>
      </c>
      <c r="M309" s="5" t="s">
        <v>3095</v>
      </c>
      <c r="N309" s="5" t="s">
        <v>13999</v>
      </c>
      <c r="O309" s="5" t="s">
        <v>3097</v>
      </c>
      <c r="P309" s="5" t="s">
        <v>3098</v>
      </c>
      <c r="Q309" s="5" t="s">
        <v>3099</v>
      </c>
      <c r="R309" s="5" t="s">
        <v>3100</v>
      </c>
      <c r="S309" s="5" t="s">
        <v>3101</v>
      </c>
      <c r="T309" s="5" t="s">
        <v>3102</v>
      </c>
      <c r="U309" s="5" t="s">
        <v>3103</v>
      </c>
      <c r="V309" s="5" t="s">
        <v>3104</v>
      </c>
      <c r="W309" s="5" t="s">
        <v>3105</v>
      </c>
      <c r="X309" s="5" t="s">
        <v>3103</v>
      </c>
      <c r="Y309" s="39" t="str">
        <f>IF(OR($A309&lt;&gt;"", $G309=""),"",CONCATENATE(";",EscStr(CONCATENATE("NavNode_",getCategoryLevelAsString($B309))),";",EscStr($J309),";",IF($B309&lt;&gt;"","""MainCategoryNavNode""",EscStr(CONCATENATE("NavNode_",getSuperCategory($B309, getCategoryLevelAsNumber($B309))))),";"))</f>
        <v>;"NavNode_L3D_525461";"Telescopic and Linear Motion Slides";"NavNode_L2D_379536";</v>
      </c>
      <c r="Z309" s="39" t="str">
        <f>IF(getCategoryLevelAsString($B309)="L0D_324785","",IF(G309="",CONCATENATE(";",EscStr(CONCATENATE("NavNode_",getCategoryLevelAsString($B309))),";",EscStr($J309),";"),CONCATENATE(";",EscStr(CONCATENATE("NavNode_",getCategoryLevelAsString($B309))),";",EscStr(G309),";")))</f>
        <v>;"NavNode_L3D_525461";"Teleskop- und Linearschienen";</v>
      </c>
      <c r="AA309" s="39" t="str">
        <f>IF(getCategoryLevelAsString($B309)="L0D_324785","",IF(H309="",CONCATENATE(";",EscStr(CONCATENATE("NavNode_",getCategoryLevelAsString($B309))),";",EscStr($J309),";"),CONCATENATE(";",EscStr(CONCATENATE("NavNode_",getCategoryLevelAsString($B309))),";",EscStr(H309),";")))</f>
        <v>;"NavNode_L3D_525461";"Glissières pour mouvements télescopiques et linéaires";</v>
      </c>
      <c r="AB309" s="39" t="str">
        <f>IF(getCategoryLevelAsString($B309)="L0D_324785","",IF(I309="",CONCATENATE(";",EscStr(CONCATENATE("NavNode_",getCategoryLevelAsString($B309))),";",EscStr($J309),";"),CONCATENATE(";",EscStr(CONCATENATE("NavNode_",getCategoryLevelAsString($B309))),";",EscStr(I309),";")))</f>
        <v>;"NavNode_L3D_525461";"Guide di movimento telescopiche e lineari";</v>
      </c>
      <c r="AC309" s="39" t="str">
        <f>IF(getCategoryLevelAsString($B309)="L0D_324785","",IF(J309="",CONCATENATE(";",EscStr(CONCATENATE("NavNode_",getCategoryLevelAsString($B309))),";",EscStr($J309),";"),CONCATENATE(";",EscStr(CONCATENATE("NavNode_",getCategoryLevelAsString($B309))),";",EscStr(J309),";")))</f>
        <v>;"NavNode_L3D_525461";"Telescopic and Linear Motion Slides";</v>
      </c>
      <c r="AD309" s="39" t="str">
        <f>IF(getCategoryLevelAsString($B309)="L0D_324785","",IF(K309="",CONCATENATE(";",EscStr(CONCATENATE("NavNode_",getCategoryLevelAsString($B309))),";",EscStr($J309),";"),CONCATENATE(";",EscStr(CONCATENATE("NavNode_",getCategoryLevelAsString($B309))),";",EscStr(K309),";")))</f>
        <v>;"NavNode_L3D_525461";"Teleskopiske og lineære føringsskinner";</v>
      </c>
      <c r="AE309" s="39" t="str">
        <f>IF(getCategoryLevelAsString($B309)="L0D_324785","",IF(L309="",CONCATENATE(";",EscStr(CONCATENATE("NavNode_",getCategoryLevelAsString($B309))),";",EscStr($J309),";"),CONCATENATE(";",EscStr(CONCATENATE("NavNode_",getCategoryLevelAsString($B309))),";",EscStr(L309),";")))</f>
        <v>;"NavNode_L3D_525461";"Teleskopiniai ir linijiniai bėgeliai";</v>
      </c>
      <c r="AF309" s="39" t="str">
        <f>IF(getCategoryLevelAsString($B309)="L0D_324785","",IF(M309="",CONCATENATE(";",EscStr(CONCATENATE("NavNode_",getCategoryLevelAsString($B309))),";",EscStr($J309),";"),CONCATENATE(";",EscStr(CONCATENATE("NavNode_",getCategoryLevelAsString($B309))),";",EscStr(M309),";")))</f>
        <v>;"NavNode_L3D_525461";"Teleskopskinner og lineære bevegelsesskinner";</v>
      </c>
      <c r="AG309" s="39" t="str">
        <f>IF(getCategoryLevelAsString($B309)="L0D_324785","",IF(N309="",CONCATENATE(";",EscStr(CONCATENATE("NavNode_",getCategoryLevelAsString($B309))),";",EscStr($J309),";"),CONCATENATE(";",EscStr(CONCATENATE("NavNode_",getCategoryLevelAsString($B309))),";",EscStr(N309),";")))</f>
        <v>;"NavNode_L3D_525461";"Teleskopskenor och linjära rörelsskenor";</v>
      </c>
      <c r="AH309" s="39" t="str">
        <f>IF(getCategoryLevelAsString($B309)="L0D_324785","",IF(O309="",CONCATENATE(";",EscStr(CONCATENATE("NavNode_",getCategoryLevelAsString($B309))),";",EscStr($J309),";"),CONCATENATE(";",EscStr(CONCATENATE("NavNode_",getCategoryLevelAsString($B309))),";",EscStr(O309),";")))</f>
        <v>;"NavNode_L3D_525461";"Teleskoop- ja lineaarliugurid";</v>
      </c>
      <c r="AI309" s="39" t="str">
        <f>IF(getCategoryLevelAsString($B309)="L0D_324785","",IF(P309="",CONCATENATE(";",EscStr(CONCATENATE("NavNode_",getCategoryLevelAsString($B309))),";",EscStr($J309),";"),CONCATENATE(";",EscStr(CONCATENATE("NavNode_",getCategoryLevelAsString($B309))),";",EscStr(P309),";")))</f>
        <v>;"NavNode_L3D_525461";"Teleskooppiset liu'ut ja lineaariliu'ut";</v>
      </c>
      <c r="AJ309" s="39" t="str">
        <f>IF(getCategoryLevelAsString($B309)="L0D_324785","",IF(Q309="",CONCATENATE(";",EscStr(CONCATENATE("NavNode_",getCategoryLevelAsString($B309))),";",EscStr($J309),";"),CONCATENATE(";",EscStr(CONCATENATE("NavNode_",getCategoryLevelAsString($B309))),";",EscStr(Q309),";")))</f>
        <v>;"NavNode_L3D_525461";"Teleskopiski un lineāri kustības slīdņi";</v>
      </c>
      <c r="AK309" s="39" t="str">
        <f>IF(getCategoryLevelAsString($B309)="L0D_324785","",IF(R309="",CONCATENATE(";",EscStr(CONCATENATE("NavNode_",getCategoryLevelAsString($B309))),";",EscStr($J309),";"),CONCATENATE(";",EscStr(CONCATENATE("NavNode_",getCategoryLevelAsString($B309))),";",EscStr(R309),";")))</f>
        <v>;"NavNode_L3D_525461";"Telescopische en lineaire geleidingssystemen";</v>
      </c>
      <c r="AL309" s="39" t="str">
        <f>IF(getCategoryLevelAsString($B309)="L0D_324785","",IF(S309="",CONCATENATE(";",EscStr(CONCATENATE("NavNode_",getCategoryLevelAsString($B309))),";",EscStr($J309),";"),CONCATENATE(";",EscStr(CONCATENATE("NavNode_",getCategoryLevelAsString($B309))),";",EscStr(S309),";")))</f>
        <v>;"NavNode_L3D_525461";"Szyny teleskopowe i liniowe";</v>
      </c>
      <c r="AM309" s="39" t="str">
        <f>IF(getCategoryLevelAsString($B309)="L0D_324785","",IF(T309="",CONCATENATE(";",EscStr(CONCATENATE("NavNode_",getCategoryLevelAsString($B309))),";",EscStr($J309),";"),CONCATENATE(";",EscStr(CONCATENATE("NavNode_",getCategoryLevelAsString($B309))),";",EscStr(T309),";")))</f>
        <v>;"NavNode_L3D_525461";"Телескопические и линейные направляющие";</v>
      </c>
      <c r="AN309" s="39" t="str">
        <f>IF(getCategoryLevelAsString($B309)="L0D_324785","",IF(U309="",CONCATENATE(";",EscStr(CONCATENATE("NavNode_",getCategoryLevelAsString($B309))),";",EscStr($J309),";"),CONCATENATE(";",EscStr(CONCATENATE("NavNode_",getCategoryLevelAsString($B309))),";",EscStr(U309),";")))</f>
        <v>;"NavNode_L3D_525461";"Teleskopické a lineární posuvy";</v>
      </c>
      <c r="AO309" s="39" t="str">
        <f>IF(getCategoryLevelAsString($B309)="L0D_324785","",IF(V309="",CONCATENATE(";",EscStr(CONCATENATE("NavNode_",getCategoryLevelAsString($B309))),";",EscStr($J309),";"),CONCATENATE(";",EscStr(CONCATENATE("NavNode_",getCategoryLevelAsString($B309))),";",EscStr(V309),";")))</f>
        <v>;"NavNode_L3D_525461";"Ghidaje liniare şi telescopice";</v>
      </c>
      <c r="AP309" s="39" t="str">
        <f>IF(getCategoryLevelAsString($B309)="L0D_324785","",IF(W309="",CONCATENATE(";",EscStr(CONCATENATE("NavNode_",getCategoryLevelAsString($B309))),";",EscStr($J309),";"),CONCATENATE(";",EscStr(CONCATENATE("NavNode_",getCategoryLevelAsString($B309))),";",EscStr(W309),";")))</f>
        <v>;"NavNode_L3D_525461";"Teleszkópos és lineáris csúszószánok";</v>
      </c>
      <c r="AQ309" s="39" t="str">
        <f>IF(getCategoryLevelAsString($B309)="L0D_324785","",IF(X309="",CONCATENATE(";",EscStr(CONCATENATE("NavNode_",getCategoryLevelAsString($B309))),";",EscStr($J309),";"),CONCATENATE(";",EscStr(CONCATENATE("NavNode_",getCategoryLevelAsString($B309))),";",EscStr(X309),";")))</f>
        <v>;"NavNode_L3D_525461";"Teleskopické a lineární posuvy";</v>
      </c>
      <c r="AR309" s="39" t="str">
        <f>IF(OR($A309&lt;&gt;"", $G309=""),"",CONCATENATE(";",EscStr(CONCATENATE("NavEntry_",getCategoryLevelAsString($B309))),";",EscStr(CONCATENATE($J309," Navigation Entry")),";",EscStr(CONCATENATE("cat-",getCategoryLevelAsString($B309))),";",EscStr(CONCATENATE("NavNode_",getCategoryLevelAsString($B309))),";"))</f>
        <v>;"NavEntry_L3D_525461";"Telescopic and Linear Motion Slides Navigation Entry";"cat-L3D_525461";"NavNode_L3D_525461";</v>
      </c>
    </row>
    <row r="310" spans="1:44" s="34" customFormat="1" ht="15" x14ac:dyDescent="0.25">
      <c r="A310" s="25"/>
      <c r="B310" s="5"/>
      <c r="C310" s="5"/>
      <c r="D310" s="5" t="s">
        <v>248</v>
      </c>
      <c r="E310" s="5"/>
      <c r="F310" s="5"/>
      <c r="G310" s="5" t="s">
        <v>556</v>
      </c>
      <c r="H310" s="5" t="s">
        <v>557</v>
      </c>
      <c r="I310" s="5" t="s">
        <v>558</v>
      </c>
      <c r="J310" s="5" t="s">
        <v>559</v>
      </c>
      <c r="K310" s="5" t="s">
        <v>1276</v>
      </c>
      <c r="L310" s="5" t="s">
        <v>15219</v>
      </c>
      <c r="M310" s="5" t="s">
        <v>1739</v>
      </c>
      <c r="N310" s="5" t="s">
        <v>1943</v>
      </c>
      <c r="O310" s="5" t="s">
        <v>3106</v>
      </c>
      <c r="P310" s="5" t="s">
        <v>3107</v>
      </c>
      <c r="Q310" s="5" t="s">
        <v>3108</v>
      </c>
      <c r="R310" s="5" t="s">
        <v>3109</v>
      </c>
      <c r="S310" s="5" t="s">
        <v>3110</v>
      </c>
      <c r="T310" s="5" t="s">
        <v>3111</v>
      </c>
      <c r="U310" s="5" t="s">
        <v>3112</v>
      </c>
      <c r="V310" s="5" t="s">
        <v>3113</v>
      </c>
      <c r="W310" s="5" t="s">
        <v>3114</v>
      </c>
      <c r="X310" s="5" t="s">
        <v>15003</v>
      </c>
      <c r="Y310" s="39" t="str">
        <f>IF(OR($A310&lt;&gt;"", $G310=""),"",CONCATENATE(";",EscStr(CONCATENATE("NavNode_",getCategoryLevelAsString($B310))),";",EscStr($J310),";",IF($B310&lt;&gt;"","""MainCategoryNavNode""",EscStr(CONCATENATE("NavNode_",getSuperCategory($B310, getCategoryLevelAsNumber($B310))))),";"))</f>
        <v>;"NavNode_L3D_525462";"Castors &amp; Wheels";"NavNode_L2D_379536";</v>
      </c>
      <c r="Z310" s="39" t="str">
        <f>IF(getCategoryLevelAsString($B310)="L0D_324785","",IF(G310="",CONCATENATE(";",EscStr(CONCATENATE("NavNode_",getCategoryLevelAsString($B310))),";",EscStr($J310),";"),CONCATENATE(";",EscStr(CONCATENATE("NavNode_",getCategoryLevelAsString($B310))),";",EscStr(G310),";")))</f>
        <v>;"NavNode_L3D_525462";"Rollen / Räder";</v>
      </c>
      <c r="AA310" s="39" t="str">
        <f>IF(getCategoryLevelAsString($B310)="L0D_324785","",IF(H310="",CONCATENATE(";",EscStr(CONCATENATE("NavNode_",getCategoryLevelAsString($B310))),";",EscStr($J310),";"),CONCATENATE(";",EscStr(CONCATENATE("NavNode_",getCategoryLevelAsString($B310))),";",EscStr(H310),";")))</f>
        <v>;"NavNode_L3D_525462";"Roulettes / Roues";</v>
      </c>
      <c r="AB310" s="39" t="str">
        <f>IF(getCategoryLevelAsString($B310)="L0D_324785","",IF(I310="",CONCATENATE(";",EscStr(CONCATENATE("NavNode_",getCategoryLevelAsString($B310))),";",EscStr($J310),";"),CONCATENATE(";",EscStr(CONCATENATE("NavNode_",getCategoryLevelAsString($B310))),";",EscStr(I310),";")))</f>
        <v>;"NavNode_L3D_525462";"Rullini / Ruote";</v>
      </c>
      <c r="AC310" s="39" t="str">
        <f>IF(getCategoryLevelAsString($B310)="L0D_324785","",IF(J310="",CONCATENATE(";",EscStr(CONCATENATE("NavNode_",getCategoryLevelAsString($B310))),";",EscStr($J310),";"),CONCATENATE(";",EscStr(CONCATENATE("NavNode_",getCategoryLevelAsString($B310))),";",EscStr(J310),";")))</f>
        <v>;"NavNode_L3D_525462";"Castors &amp; Wheels";</v>
      </c>
      <c r="AD310" s="39" t="str">
        <f>IF(getCategoryLevelAsString($B310)="L0D_324785","",IF(K310="",CONCATENATE(";",EscStr(CONCATENATE("NavNode_",getCategoryLevelAsString($B310))),";",EscStr($J310),";"),CONCATENATE(";",EscStr(CONCATENATE("NavNode_",getCategoryLevelAsString($B310))),";",EscStr(K310),";")))</f>
        <v>;"NavNode_L3D_525462";"Ruller &amp; hjul";</v>
      </c>
      <c r="AE310" s="39" t="str">
        <f>IF(getCategoryLevelAsString($B310)="L0D_324785","",IF(L310="",CONCATENATE(";",EscStr(CONCATENATE("NavNode_",getCategoryLevelAsString($B310))),";",EscStr($J310),";"),CONCATENATE(";",EscStr(CONCATENATE("NavNode_",getCategoryLevelAsString($B310))),";",EscStr(L310),";")))</f>
        <v>;"NavNode_L3D_525462";"Ratukai įrangai";</v>
      </c>
      <c r="AF310" s="39" t="str">
        <f>IF(getCategoryLevelAsString($B310)="L0D_324785","",IF(M310="",CONCATENATE(";",EscStr(CONCATENATE("NavNode_",getCategoryLevelAsString($B310))),";",EscStr($J310),";"),CONCATENATE(";",EscStr(CONCATENATE("NavNode_",getCategoryLevelAsString($B310))),";",EscStr(M310),";")))</f>
        <v>;"NavNode_L3D_525462";"Trinser og hjul";</v>
      </c>
      <c r="AG310" s="39" t="str">
        <f>IF(getCategoryLevelAsString($B310)="L0D_324785","",IF(N310="",CONCATENATE(";",EscStr(CONCATENATE("NavNode_",getCategoryLevelAsString($B310))),";",EscStr($J310),";"),CONCATENATE(";",EscStr(CONCATENATE("NavNode_",getCategoryLevelAsString($B310))),";",EscStr(N310),";")))</f>
        <v>;"NavNode_L3D_525462";"Hjul";</v>
      </c>
      <c r="AH310" s="39" t="str">
        <f>IF(getCategoryLevelAsString($B310)="L0D_324785","",IF(O310="",CONCATENATE(";",EscStr(CONCATENATE("NavNode_",getCategoryLevelAsString($B310))),";",EscStr($J310),";"),CONCATENATE(";",EscStr(CONCATENATE("NavNode_",getCategoryLevelAsString($B310))),";",EscStr(O310),";")))</f>
        <v>;"NavNode_L3D_525462";"Rullikud ja rattad";</v>
      </c>
      <c r="AI310" s="39" t="str">
        <f>IF(getCategoryLevelAsString($B310)="L0D_324785","",IF(P310="",CONCATENATE(";",EscStr(CONCATENATE("NavNode_",getCategoryLevelAsString($B310))),";",EscStr($J310),";"),CONCATENATE(";",EscStr(CONCATENATE("NavNode_",getCategoryLevelAsString($B310))),";",EscStr(P310),";")))</f>
        <v>;"NavNode_L3D_525462";"Pyörät";</v>
      </c>
      <c r="AJ310" s="39" t="str">
        <f>IF(getCategoryLevelAsString($B310)="L0D_324785","",IF(Q310="",CONCATENATE(";",EscStr(CONCATENATE("NavNode_",getCategoryLevelAsString($B310))),";",EscStr($J310),";"),CONCATENATE(";",EscStr(CONCATENATE("NavNode_",getCategoryLevelAsString($B310))),";",EscStr(Q310),";")))</f>
        <v>;"NavNode_L3D_525462";"Riteņi";</v>
      </c>
      <c r="AK310" s="39" t="str">
        <f>IF(getCategoryLevelAsString($B310)="L0D_324785","",IF(R310="",CONCATENATE(";",EscStr(CONCATENATE("NavNode_",getCategoryLevelAsString($B310))),";",EscStr($J310),";"),CONCATENATE(";",EscStr(CONCATENATE("NavNode_",getCategoryLevelAsString($B310))),";",EscStr(R310),";")))</f>
        <v>;"NavNode_L3D_525462";"Zwenkwielen en tandwielen";</v>
      </c>
      <c r="AL310" s="39" t="str">
        <f>IF(getCategoryLevelAsString($B310)="L0D_324785","",IF(S310="",CONCATENATE(";",EscStr(CONCATENATE("NavNode_",getCategoryLevelAsString($B310))),";",EscStr($J310),";"),CONCATENATE(";",EscStr(CONCATENATE("NavNode_",getCategoryLevelAsString($B310))),";",EscStr(S310),";")))</f>
        <v>;"NavNode_L3D_525462";"Rolki i Koła";</v>
      </c>
      <c r="AM310" s="39" t="str">
        <f>IF(getCategoryLevelAsString($B310)="L0D_324785","",IF(T310="",CONCATENATE(";",EscStr(CONCATENATE("NavNode_",getCategoryLevelAsString($B310))),";",EscStr($J310),";"),CONCATENATE(";",EscStr(CONCATENATE("NavNode_",getCategoryLevelAsString($B310))),";",EscStr(T310),";")))</f>
        <v>;"NavNode_L3D_525462";"Ролики &amp; Колеса";</v>
      </c>
      <c r="AN310" s="39" t="str">
        <f>IF(getCategoryLevelAsString($B310)="L0D_324785","",IF(U310="",CONCATENATE(";",EscStr(CONCATENATE("NavNode_",getCategoryLevelAsString($B310))),";",EscStr($J310),";"),CONCATENATE(";",EscStr(CONCATENATE("NavNode_",getCategoryLevelAsString($B310))),";",EscStr(U310),";")))</f>
        <v>;"NavNode_L3D_525462";"Válce / Kola";</v>
      </c>
      <c r="AO310" s="39" t="str">
        <f>IF(getCategoryLevelAsString($B310)="L0D_324785","",IF(V310="",CONCATENATE(";",EscStr(CONCATENATE("NavNode_",getCategoryLevelAsString($B310))),";",EscStr($J310),";"),CONCATENATE(";",EscStr(CONCATENATE("NavNode_",getCategoryLevelAsString($B310))),";",EscStr(V310),";")))</f>
        <v>;"NavNode_L3D_525462";"Role / roţi";</v>
      </c>
      <c r="AP310" s="39" t="str">
        <f>IF(getCategoryLevelAsString($B310)="L0D_324785","",IF(W310="",CONCATENATE(";",EscStr(CONCATENATE("NavNode_",getCategoryLevelAsString($B310))),";",EscStr($J310),";"),CONCATENATE(";",EscStr(CONCATENATE("NavNode_",getCategoryLevelAsString($B310))),";",EscStr(W310),";")))</f>
        <v>;"NavNode_L3D_525462";"Görgők / Kerekek";</v>
      </c>
      <c r="AQ310" s="39" t="str">
        <f>IF(getCategoryLevelAsString($B310)="L0D_324785","",IF(X310="",CONCATENATE(";",EscStr(CONCATENATE("NavNode_",getCategoryLevelAsString($B310))),";",EscStr($J310),";"),CONCATENATE(";",EscStr(CONCATENATE("NavNode_",getCategoryLevelAsString($B310))),";",EscStr(X310),";")))</f>
        <v>;"NavNode_L3D_525462";"Valce / Kolesá";</v>
      </c>
      <c r="AR310" s="39" t="str">
        <f>IF(OR($A310&lt;&gt;"", $G310=""),"",CONCATENATE(";",EscStr(CONCATENATE("NavEntry_",getCategoryLevelAsString($B310))),";",EscStr(CONCATENATE($J310," Navigation Entry")),";",EscStr(CONCATENATE("cat-",getCategoryLevelAsString($B310))),";",EscStr(CONCATENATE("NavNode_",getCategoryLevelAsString($B310))),";"))</f>
        <v>;"NavEntry_L3D_525462";"Castors &amp; Wheels Navigation Entry";"cat-L3D_525462";"NavNode_L3D_525462";</v>
      </c>
    </row>
    <row r="311" spans="1:44" s="34" customFormat="1" ht="15" x14ac:dyDescent="0.25">
      <c r="A311" s="25"/>
      <c r="B311" s="5"/>
      <c r="C311" s="5"/>
      <c r="D311" s="5" t="s">
        <v>246</v>
      </c>
      <c r="E311" s="5"/>
      <c r="F311" s="5"/>
      <c r="G311" s="5" t="s">
        <v>553</v>
      </c>
      <c r="H311" s="5" t="s">
        <v>554</v>
      </c>
      <c r="I311" s="5" t="s">
        <v>555</v>
      </c>
      <c r="J311" s="5" t="s">
        <v>247</v>
      </c>
      <c r="K311" s="5" t="s">
        <v>1277</v>
      </c>
      <c r="L311" s="5" t="s">
        <v>1511</v>
      </c>
      <c r="M311" s="5" t="s">
        <v>1740</v>
      </c>
      <c r="N311" s="5" t="s">
        <v>1944</v>
      </c>
      <c r="O311" s="5" t="s">
        <v>3115</v>
      </c>
      <c r="P311" s="5" t="s">
        <v>3116</v>
      </c>
      <c r="Q311" s="5" t="s">
        <v>3117</v>
      </c>
      <c r="R311" s="5" t="s">
        <v>3118</v>
      </c>
      <c r="S311" s="5" t="s">
        <v>3119</v>
      </c>
      <c r="T311" s="5" t="s">
        <v>3120</v>
      </c>
      <c r="U311" s="5" t="s">
        <v>3121</v>
      </c>
      <c r="V311" s="5" t="s">
        <v>3122</v>
      </c>
      <c r="W311" s="5" t="s">
        <v>3123</v>
      </c>
      <c r="X311" s="5" t="s">
        <v>15004</v>
      </c>
      <c r="Y311" s="39" t="str">
        <f>IF(OR($A311&lt;&gt;"", $G311=""),"",CONCATENATE(";",EscStr(CONCATENATE("NavNode_",getCategoryLevelAsString($B311))),";",EscStr($J311),";",IF($B311&lt;&gt;"","""MainCategoryNavNode""",EscStr(CONCATENATE("NavNode_",getSuperCategory($B311, getCategoryLevelAsNumber($B311))))),";"))</f>
        <v>;"NavNode_L3D_525463";"Ball Bearings";"NavNode_L2D_379536";</v>
      </c>
      <c r="Z311" s="39" t="str">
        <f>IF(getCategoryLevelAsString($B311)="L0D_324785","",IF(G311="",CONCATENATE(";",EscStr(CONCATENATE("NavNode_",getCategoryLevelAsString($B311))),";",EscStr($J311),";"),CONCATENATE(";",EscStr(CONCATENATE("NavNode_",getCategoryLevelAsString($B311))),";",EscStr(G311),";")))</f>
        <v>;"NavNode_L3D_525463";"Kugellager";</v>
      </c>
      <c r="AA311" s="39" t="str">
        <f>IF(getCategoryLevelAsString($B311)="L0D_324785","",IF(H311="",CONCATENATE(";",EscStr(CONCATENATE("NavNode_",getCategoryLevelAsString($B311))),";",EscStr($J311),";"),CONCATENATE(";",EscStr(CONCATENATE("NavNode_",getCategoryLevelAsString($B311))),";",EscStr(H311),";")))</f>
        <v>;"NavNode_L3D_525463";"Roulements à bille";</v>
      </c>
      <c r="AB311" s="39" t="str">
        <f>IF(getCategoryLevelAsString($B311)="L0D_324785","",IF(I311="",CONCATENATE(";",EscStr(CONCATENATE("NavNode_",getCategoryLevelAsString($B311))),";",EscStr($J311),";"),CONCATENATE(";",EscStr(CONCATENATE("NavNode_",getCategoryLevelAsString($B311))),";",EscStr(I311),";")))</f>
        <v>;"NavNode_L3D_525463";"Cuscinetti a sfere";</v>
      </c>
      <c r="AC311" s="39" t="str">
        <f>IF(getCategoryLevelAsString($B311)="L0D_324785","",IF(J311="",CONCATENATE(";",EscStr(CONCATENATE("NavNode_",getCategoryLevelAsString($B311))),";",EscStr($J311),";"),CONCATENATE(";",EscStr(CONCATENATE("NavNode_",getCategoryLevelAsString($B311))),";",EscStr(J311),";")))</f>
        <v>;"NavNode_L3D_525463";"Ball Bearings";</v>
      </c>
      <c r="AD311" s="39" t="str">
        <f>IF(getCategoryLevelAsString($B311)="L0D_324785","",IF(K311="",CONCATENATE(";",EscStr(CONCATENATE("NavNode_",getCategoryLevelAsString($B311))),";",EscStr($J311),";"),CONCATENATE(";",EscStr(CONCATENATE("NavNode_",getCategoryLevelAsString($B311))),";",EscStr(K311),";")))</f>
        <v>;"NavNode_L3D_525463";"Kuglelejer";</v>
      </c>
      <c r="AE311" s="39" t="str">
        <f>IF(getCategoryLevelAsString($B311)="L0D_324785","",IF(L311="",CONCATENATE(";",EscStr(CONCATENATE("NavNode_",getCategoryLevelAsString($B311))),";",EscStr($J311),";"),CONCATENATE(";",EscStr(CONCATENATE("NavNode_",getCategoryLevelAsString($B311))),";",EscStr(L311),";")))</f>
        <v>;"NavNode_L3D_525463";"Rutuliniai guoliai";</v>
      </c>
      <c r="AF311" s="39" t="str">
        <f>IF(getCategoryLevelAsString($B311)="L0D_324785","",IF(M311="",CONCATENATE(";",EscStr(CONCATENATE("NavNode_",getCategoryLevelAsString($B311))),";",EscStr($J311),";"),CONCATENATE(";",EscStr(CONCATENATE("NavNode_",getCategoryLevelAsString($B311))),";",EscStr(M311),";")))</f>
        <v>;"NavNode_L3D_525463";"Kulelager";</v>
      </c>
      <c r="AG311" s="39" t="str">
        <f>IF(getCategoryLevelAsString($B311)="L0D_324785","",IF(N311="",CONCATENATE(";",EscStr(CONCATENATE("NavNode_",getCategoryLevelAsString($B311))),";",EscStr($J311),";"),CONCATENATE(";",EscStr(CONCATENATE("NavNode_",getCategoryLevelAsString($B311))),";",EscStr(N311),";")))</f>
        <v>;"NavNode_L3D_525463";"Kullager";</v>
      </c>
      <c r="AH311" s="39" t="str">
        <f>IF(getCategoryLevelAsString($B311)="L0D_324785","",IF(O311="",CONCATENATE(";",EscStr(CONCATENATE("NavNode_",getCategoryLevelAsString($B311))),";",EscStr($J311),";"),CONCATENATE(";",EscStr(CONCATENATE("NavNode_",getCategoryLevelAsString($B311))),";",EscStr(O311),";")))</f>
        <v>;"NavNode_L3D_525463";"Kuullaagrid";</v>
      </c>
      <c r="AI311" s="39" t="str">
        <f>IF(getCategoryLevelAsString($B311)="L0D_324785","",IF(P311="",CONCATENATE(";",EscStr(CONCATENATE("NavNode_",getCategoryLevelAsString($B311))),";",EscStr($J311),";"),CONCATENATE(";",EscStr(CONCATENATE("NavNode_",getCategoryLevelAsString($B311))),";",EscStr(P311),";")))</f>
        <v>;"NavNode_L3D_525463";"Laakerit";</v>
      </c>
      <c r="AJ311" s="39" t="str">
        <f>IF(getCategoryLevelAsString($B311)="L0D_324785","",IF(Q311="",CONCATENATE(";",EscStr(CONCATENATE("NavNode_",getCategoryLevelAsString($B311))),";",EscStr($J311),";"),CONCATENATE(";",EscStr(CONCATENATE("NavNode_",getCategoryLevelAsString($B311))),";",EscStr(Q311),";")))</f>
        <v>;"NavNode_L3D_525463";"Lodīšu gultņi";</v>
      </c>
      <c r="AK311" s="39" t="str">
        <f>IF(getCategoryLevelAsString($B311)="L0D_324785","",IF(R311="",CONCATENATE(";",EscStr(CONCATENATE("NavNode_",getCategoryLevelAsString($B311))),";",EscStr($J311),";"),CONCATENATE(";",EscStr(CONCATENATE("NavNode_",getCategoryLevelAsString($B311))),";",EscStr(R311),";")))</f>
        <v>;"NavNode_L3D_525463";"Kogellagers";</v>
      </c>
      <c r="AL311" s="39" t="str">
        <f>IF(getCategoryLevelAsString($B311)="L0D_324785","",IF(S311="",CONCATENATE(";",EscStr(CONCATENATE("NavNode_",getCategoryLevelAsString($B311))),";",EscStr($J311),";"),CONCATENATE(";",EscStr(CONCATENATE("NavNode_",getCategoryLevelAsString($B311))),";",EscStr(S311),";")))</f>
        <v>;"NavNode_L3D_525463";"Łożyska kulkowe";</v>
      </c>
      <c r="AM311" s="39" t="str">
        <f>IF(getCategoryLevelAsString($B311)="L0D_324785","",IF(T311="",CONCATENATE(";",EscStr(CONCATENATE("NavNode_",getCategoryLevelAsString($B311))),";",EscStr($J311),";"),CONCATENATE(";",EscStr(CONCATENATE("NavNode_",getCategoryLevelAsString($B311))),";",EscStr(T311),";")))</f>
        <v>;"NavNode_L3D_525463";"Шариковые подшипники";</v>
      </c>
      <c r="AN311" s="39" t="str">
        <f>IF(getCategoryLevelAsString($B311)="L0D_324785","",IF(U311="",CONCATENATE(";",EscStr(CONCATENATE("NavNode_",getCategoryLevelAsString($B311))),";",EscStr($J311),";"),CONCATENATE(";",EscStr(CONCATENATE("NavNode_",getCategoryLevelAsString($B311))),";",EscStr(U311),";")))</f>
        <v>;"NavNode_L3D_525463";"Ložiska";</v>
      </c>
      <c r="AO311" s="39" t="str">
        <f>IF(getCategoryLevelAsString($B311)="L0D_324785","",IF(V311="",CONCATENATE(";",EscStr(CONCATENATE("NavNode_",getCategoryLevelAsString($B311))),";",EscStr($J311),";"),CONCATENATE(";",EscStr(CONCATENATE("NavNode_",getCategoryLevelAsString($B311))),";",EscStr(V311),";")))</f>
        <v>;"NavNode_L3D_525463";"Rulmenţi cu bile";</v>
      </c>
      <c r="AP311" s="39" t="str">
        <f>IF(getCategoryLevelAsString($B311)="L0D_324785","",IF(W311="",CONCATENATE(";",EscStr(CONCATENATE("NavNode_",getCategoryLevelAsString($B311))),";",EscStr($J311),";"),CONCATENATE(";",EscStr(CONCATENATE("NavNode_",getCategoryLevelAsString($B311))),";",EscStr(W311),";")))</f>
        <v>;"NavNode_L3D_525463";"Csapágyak";</v>
      </c>
      <c r="AQ311" s="39" t="str">
        <f>IF(getCategoryLevelAsString($B311)="L0D_324785","",IF(X311="",CONCATENATE(";",EscStr(CONCATENATE("NavNode_",getCategoryLevelAsString($B311))),";",EscStr($J311),";"),CONCATENATE(";",EscStr(CONCATENATE("NavNode_",getCategoryLevelAsString($B311))),";",EscStr(X311),";")))</f>
        <v>;"NavNode_L3D_525463";"Ložiská";</v>
      </c>
      <c r="AR311" s="39" t="str">
        <f>IF(OR($A311&lt;&gt;"", $G311=""),"",CONCATENATE(";",EscStr(CONCATENATE("NavEntry_",getCategoryLevelAsString($B311))),";",EscStr(CONCATENATE($J311," Navigation Entry")),";",EscStr(CONCATENATE("cat-",getCategoryLevelAsString($B311))),";",EscStr(CONCATENATE("NavNode_",getCategoryLevelAsString($B311))),";"))</f>
        <v>;"NavEntry_L3D_525463";"Ball Bearings Navigation Entry";"cat-L3D_525463";"NavNode_L3D_525463";</v>
      </c>
    </row>
    <row r="312" spans="1:44" s="34" customFormat="1" ht="15" x14ac:dyDescent="0.25">
      <c r="A312" s="25"/>
      <c r="B312" s="5"/>
      <c r="C312" s="5"/>
      <c r="D312" s="5" t="s">
        <v>253</v>
      </c>
      <c r="E312" s="5"/>
      <c r="F312" s="5"/>
      <c r="G312" s="5" t="s">
        <v>1059</v>
      </c>
      <c r="H312" s="5" t="s">
        <v>1110</v>
      </c>
      <c r="I312" s="5" t="s">
        <v>1169</v>
      </c>
      <c r="J312" s="5" t="s">
        <v>927</v>
      </c>
      <c r="K312" s="5" t="s">
        <v>1278</v>
      </c>
      <c r="L312" s="5" t="s">
        <v>1512</v>
      </c>
      <c r="M312" s="5" t="s">
        <v>1741</v>
      </c>
      <c r="N312" s="5" t="s">
        <v>14000</v>
      </c>
      <c r="O312" s="5" t="s">
        <v>3124</v>
      </c>
      <c r="P312" s="5" t="s">
        <v>3125</v>
      </c>
      <c r="Q312" s="5" t="s">
        <v>3126</v>
      </c>
      <c r="R312" s="5" t="s">
        <v>3127</v>
      </c>
      <c r="S312" s="5" t="s">
        <v>3128</v>
      </c>
      <c r="T312" s="5" t="s">
        <v>3129</v>
      </c>
      <c r="U312" s="5" t="s">
        <v>3130</v>
      </c>
      <c r="V312" s="5" t="s">
        <v>3131</v>
      </c>
      <c r="W312" s="5" t="s">
        <v>3132</v>
      </c>
      <c r="X312" s="5" t="s">
        <v>3130</v>
      </c>
      <c r="Y312" s="39" t="str">
        <f>IF(OR($A312&lt;&gt;"", $G312=""),"",CONCATENATE(";",EscStr(CONCATENATE("NavNode_",getCategoryLevelAsString($B312))),";",EscStr($J312),";",IF($B312&lt;&gt;"","""MainCategoryNavNode""",EscStr(CONCATENATE("NavNode_",getSuperCategory($B312, getCategoryLevelAsNumber($B312))))),";"))</f>
        <v>;"NavNode_L3D_525466";"Semi-finished Products";"NavNode_L2D_379536";</v>
      </c>
      <c r="Z312" s="39" t="str">
        <f>IF(getCategoryLevelAsString($B312)="L0D_324785","",IF(G312="",CONCATENATE(";",EscStr(CONCATENATE("NavNode_",getCategoryLevelAsString($B312))),";",EscStr($J312),";"),CONCATENATE(";",EscStr(CONCATENATE("NavNode_",getCategoryLevelAsString($B312))),";",EscStr(G312),";")))</f>
        <v>;"NavNode_L3D_525466";"Halbzeug";</v>
      </c>
      <c r="AA312" s="39" t="str">
        <f>IF(getCategoryLevelAsString($B312)="L0D_324785","",IF(H312="",CONCATENATE(";",EscStr(CONCATENATE("NavNode_",getCategoryLevelAsString($B312))),";",EscStr($J312),";"),CONCATENATE(";",EscStr(CONCATENATE("NavNode_",getCategoryLevelAsString($B312))),";",EscStr(H312),";")))</f>
        <v>;"NavNode_L3D_525466";"Produits semi-finis";</v>
      </c>
      <c r="AB312" s="39" t="str">
        <f>IF(getCategoryLevelAsString($B312)="L0D_324785","",IF(I312="",CONCATENATE(";",EscStr(CONCATENATE("NavNode_",getCategoryLevelAsString($B312))),";",EscStr($J312),";"),CONCATENATE(";",EscStr(CONCATENATE("NavNode_",getCategoryLevelAsString($B312))),";",EscStr(I312),";")))</f>
        <v>;"NavNode_L3D_525466";"Pezzi semilavorati";</v>
      </c>
      <c r="AC312" s="39" t="str">
        <f>IF(getCategoryLevelAsString($B312)="L0D_324785","",IF(J312="",CONCATENATE(";",EscStr(CONCATENATE("NavNode_",getCategoryLevelAsString($B312))),";",EscStr($J312),";"),CONCATENATE(";",EscStr(CONCATENATE("NavNode_",getCategoryLevelAsString($B312))),";",EscStr(J312),";")))</f>
        <v>;"NavNode_L3D_525466";"Semi-finished Products";</v>
      </c>
      <c r="AD312" s="39" t="str">
        <f>IF(getCategoryLevelAsString($B312)="L0D_324785","",IF(K312="",CONCATENATE(";",EscStr(CONCATENATE("NavNode_",getCategoryLevelAsString($B312))),";",EscStr($J312),";"),CONCATENATE(";",EscStr(CONCATENATE("NavNode_",getCategoryLevelAsString($B312))),";",EscStr(K312),";")))</f>
        <v>;"NavNode_L3D_525466";"Halvfabrikata";</v>
      </c>
      <c r="AE312" s="39" t="str">
        <f>IF(getCategoryLevelAsString($B312)="L0D_324785","",IF(L312="",CONCATENATE(";",EscStr(CONCATENATE("NavNode_",getCategoryLevelAsString($B312))),";",EscStr($J312),";"),CONCATENATE(";",EscStr(CONCATENATE("NavNode_",getCategoryLevelAsString($B312))),";",EscStr(L312),";")))</f>
        <v>;"NavNode_L3D_525466";"Pusgaminiai";</v>
      </c>
      <c r="AF312" s="39" t="str">
        <f>IF(getCategoryLevelAsString($B312)="L0D_324785","",IF(M312="",CONCATENATE(";",EscStr(CONCATENATE("NavNode_",getCategoryLevelAsString($B312))),";",EscStr($J312),";"),CONCATENATE(";",EscStr(CONCATENATE("NavNode_",getCategoryLevelAsString($B312))),";",EscStr(M312),";")))</f>
        <v>;"NavNode_L3D_525466";"Halvfabrikater";</v>
      </c>
      <c r="AG312" s="39" t="str">
        <f>IF(getCategoryLevelAsString($B312)="L0D_324785","",IF(N312="",CONCATENATE(";",EscStr(CONCATENATE("NavNode_",getCategoryLevelAsString($B312))),";",EscStr($J312),";"),CONCATENATE(";",EscStr(CONCATENATE("NavNode_",getCategoryLevelAsString($B312))),";",EscStr(N312),";")))</f>
        <v>;"NavNode_L3D_525466";"Halvfabrikat";</v>
      </c>
      <c r="AH312" s="39" t="str">
        <f>IF(getCategoryLevelAsString($B312)="L0D_324785","",IF(O312="",CONCATENATE(";",EscStr(CONCATENATE("NavNode_",getCategoryLevelAsString($B312))),";",EscStr($J312),";"),CONCATENATE(";",EscStr(CONCATENATE("NavNode_",getCategoryLevelAsString($B312))),";",EscStr(O312),";")))</f>
        <v>;"NavNode_L3D_525466";"Pooltooted";</v>
      </c>
      <c r="AI312" s="39" t="str">
        <f>IF(getCategoryLevelAsString($B312)="L0D_324785","",IF(P312="",CONCATENATE(";",EscStr(CONCATENATE("NavNode_",getCategoryLevelAsString($B312))),";",EscStr($J312),";"),CONCATENATE(";",EscStr(CONCATENATE("NavNode_",getCategoryLevelAsString($B312))),";",EscStr(P312),";")))</f>
        <v>;"NavNode_L3D_525466";"Osavalmisteet";</v>
      </c>
      <c r="AJ312" s="39" t="str">
        <f>IF(getCategoryLevelAsString($B312)="L0D_324785","",IF(Q312="",CONCATENATE(";",EscStr(CONCATENATE("NavNode_",getCategoryLevelAsString($B312))),";",EscStr($J312),";"),CONCATENATE(";",EscStr(CONCATENATE("NavNode_",getCategoryLevelAsString($B312))),";",EscStr(Q312),";")))</f>
        <v>;"NavNode_L3D_525466";"Pusfabrikāti";</v>
      </c>
      <c r="AK312" s="39" t="str">
        <f>IF(getCategoryLevelAsString($B312)="L0D_324785","",IF(R312="",CONCATENATE(";",EscStr(CONCATENATE("NavNode_",getCategoryLevelAsString($B312))),";",EscStr($J312),";"),CONCATENATE(";",EscStr(CONCATENATE("NavNode_",getCategoryLevelAsString($B312))),";",EscStr(R312),";")))</f>
        <v>;"NavNode_L3D_525466";"Halffabrikaten";</v>
      </c>
      <c r="AL312" s="39" t="str">
        <f>IF(getCategoryLevelAsString($B312)="L0D_324785","",IF(S312="",CONCATENATE(";",EscStr(CONCATENATE("NavNode_",getCategoryLevelAsString($B312))),";",EscStr($J312),";"),CONCATENATE(";",EscStr(CONCATENATE("NavNode_",getCategoryLevelAsString($B312))),";",EscStr(S312),";")))</f>
        <v>;"NavNode_L3D_525466";"Półfabrykaty";</v>
      </c>
      <c r="AM312" s="39" t="str">
        <f>IF(getCategoryLevelAsString($B312)="L0D_324785","",IF(T312="",CONCATENATE(";",EscStr(CONCATENATE("NavNode_",getCategoryLevelAsString($B312))),";",EscStr($J312),";"),CONCATENATE(";",EscStr(CONCATENATE("NavNode_",getCategoryLevelAsString($B312))),";",EscStr(T312),";")))</f>
        <v>;"NavNode_L3D_525466";"Полуфабрикаты";</v>
      </c>
      <c r="AN312" s="39" t="str">
        <f>IF(getCategoryLevelAsString($B312)="L0D_324785","",IF(U312="",CONCATENATE(";",EscStr(CONCATENATE("NavNode_",getCategoryLevelAsString($B312))),";",EscStr($J312),";"),CONCATENATE(";",EscStr(CONCATENATE("NavNode_",getCategoryLevelAsString($B312))),";",EscStr(U312),";")))</f>
        <v>;"NavNode_L3D_525466";"Polotovary";</v>
      </c>
      <c r="AO312" s="39" t="str">
        <f>IF(getCategoryLevelAsString($B312)="L0D_324785","",IF(V312="",CONCATENATE(";",EscStr(CONCATENATE("NavNode_",getCategoryLevelAsString($B312))),";",EscStr($J312),";"),CONCATENATE(";",EscStr(CONCATENATE("NavNode_",getCategoryLevelAsString($B312))),";",EscStr(V312),";")))</f>
        <v>;"NavNode_L3D_525466";"Produse semi-finite";</v>
      </c>
      <c r="AP312" s="39" t="str">
        <f>IF(getCategoryLevelAsString($B312)="L0D_324785","",IF(W312="",CONCATENATE(";",EscStr(CONCATENATE("NavNode_",getCategoryLevelAsString($B312))),";",EscStr($J312),";"),CONCATENATE(";",EscStr(CONCATENATE("NavNode_",getCategoryLevelAsString($B312))),";",EscStr(W312),";")))</f>
        <v>;"NavNode_L3D_525466";"Félkész áru";</v>
      </c>
      <c r="AQ312" s="39" t="str">
        <f>IF(getCategoryLevelAsString($B312)="L0D_324785","",IF(X312="",CONCATENATE(";",EscStr(CONCATENATE("NavNode_",getCategoryLevelAsString($B312))),";",EscStr($J312),";"),CONCATENATE(";",EscStr(CONCATENATE("NavNode_",getCategoryLevelAsString($B312))),";",EscStr(X312),";")))</f>
        <v>;"NavNode_L3D_525466";"Polotovary";</v>
      </c>
      <c r="AR312" s="39" t="str">
        <f>IF(OR($A312&lt;&gt;"", $G312=""),"",CONCATENATE(";",EscStr(CONCATENATE("NavEntry_",getCategoryLevelAsString($B312))),";",EscStr(CONCATENATE($J312," Navigation Entry")),";",EscStr(CONCATENATE("cat-",getCategoryLevelAsString($B312))),";",EscStr(CONCATENATE("NavNode_",getCategoryLevelAsString($B312))),";"))</f>
        <v>;"NavEntry_L3D_525466";"Semi-finished Products Navigation Entry";"cat-L3D_525466";"NavNode_L3D_525466";</v>
      </c>
    </row>
    <row r="313" spans="1:44" s="38" customFormat="1" ht="15" x14ac:dyDescent="0.25">
      <c r="A313" s="32"/>
      <c r="B313" s="29" t="s">
        <v>12410</v>
      </c>
      <c r="C313" s="37"/>
      <c r="E313" s="29"/>
      <c r="F313" s="29"/>
      <c r="G313" s="31" t="s">
        <v>15383</v>
      </c>
      <c r="H313" s="28" t="s">
        <v>15384</v>
      </c>
      <c r="I313" s="43" t="s">
        <v>15385</v>
      </c>
      <c r="J313" s="31" t="s">
        <v>12410</v>
      </c>
      <c r="K313" s="43" t="s">
        <v>15386</v>
      </c>
      <c r="L313" s="28" t="s">
        <v>15387</v>
      </c>
      <c r="M313" s="45" t="s">
        <v>15418</v>
      </c>
      <c r="N313" s="45" t="s">
        <v>15415</v>
      </c>
      <c r="O313" s="31" t="s">
        <v>15388</v>
      </c>
      <c r="P313" s="28" t="s">
        <v>15389</v>
      </c>
      <c r="Q313" s="31" t="s">
        <v>15390</v>
      </c>
      <c r="R313" s="31" t="s">
        <v>15391</v>
      </c>
      <c r="S313" s="28" t="s">
        <v>15392</v>
      </c>
      <c r="T313" s="31" t="s">
        <v>15393</v>
      </c>
      <c r="U313" s="31" t="s">
        <v>15394</v>
      </c>
      <c r="V313" s="31" t="s">
        <v>15395</v>
      </c>
      <c r="W313" s="28" t="s">
        <v>15396</v>
      </c>
      <c r="X313" s="28" t="s">
        <v>15397</v>
      </c>
      <c r="Y313" s="39" t="str">
        <f>IF(OR($A313&lt;&gt;"", $G313=""),"",CONCATENATE(";",EscStr(CONCATENATE("NavNode_",getCategoryLevelAsString($B313))),";",EscStr($J313),";",IF($B313&lt;&gt;"","""MainCategoryNavNode""",EscStr(CONCATENATE("NavNode_",getSuperCategory($B313, getCategoryLevelAsNumber($B313))))),";"))</f>
        <v>;"NavNode_Cable Assemblies / Audio / Video";"Cable Assemblies / Audio / Video";"MainCategoryNavNode";</v>
      </c>
      <c r="Z313" s="39" t="str">
        <f>IF(getCategoryLevelAsString($B313)="L0D_324785","",IF(G313="",CONCATENATE(";",EscStr(CONCATENATE("NavNode_",getCategoryLevelAsString($B313))),";",EscStr($J313),";"),CONCATENATE(";",EscStr(CONCATENATE("NavNode_",getCategoryLevelAsString($B313))),";",EscStr(G313),";")))</f>
        <v>;"NavNode_Cable Assemblies / Audio / Video";"Kabel (konfektioniert) / Audio- / Videotechnik";</v>
      </c>
      <c r="AA313" s="39" t="str">
        <f>IF(getCategoryLevelAsString($B313)="L0D_324785","",IF(H313="",CONCATENATE(";",EscStr(CONCATENATE("NavNode_",getCategoryLevelAsString($B313))),";",EscStr($J313),";"),CONCATENATE(";",EscStr(CONCATENATE("NavNode_",getCategoryLevelAsString($B313))),";",EscStr(H313),";")))</f>
        <v>;"NavNode_Cable Assemblies / Audio / Video";"Câbles confectionnés / Audio / Vidéo";</v>
      </c>
      <c r="AB313" s="39" t="str">
        <f>IF(getCategoryLevelAsString($B313)="L0D_324785","",IF(I313="",CONCATENATE(";",EscStr(CONCATENATE("NavNode_",getCategoryLevelAsString($B313))),";",EscStr($J313),";"),CONCATENATE(";",EscStr(CONCATENATE("NavNode_",getCategoryLevelAsString($B313))),";",EscStr(I313),";")))</f>
        <v>;"NavNode_Cable Assemblies / Audio / Video";"Gruppi di cavi/Audio/Video";</v>
      </c>
      <c r="AC313" s="39" t="str">
        <f>IF(getCategoryLevelAsString($B313)="L0D_324785","",IF(J313="",CONCATENATE(";",EscStr(CONCATENATE("NavNode_",getCategoryLevelAsString($B313))),";",EscStr($J313),";"),CONCATENATE(";",EscStr(CONCATENATE("NavNode_",getCategoryLevelAsString($B313))),";",EscStr(J313),";")))</f>
        <v>;"NavNode_Cable Assemblies / Audio / Video";"Cable Assemblies / Audio / Video";</v>
      </c>
      <c r="AD313" s="39" t="str">
        <f>IF(getCategoryLevelAsString($B313)="L0D_324785","",IF(K313="",CONCATENATE(";",EscStr(CONCATENATE("NavNode_",getCategoryLevelAsString($B313))),";",EscStr($J313),";"),CONCATENATE(";",EscStr(CONCATENATE("NavNode_",getCategoryLevelAsString($B313))),";",EscStr(K313),";")))</f>
        <v>;"NavNode_Cable Assemblies / Audio / Video";"Kabelteknik / Audio / Video";</v>
      </c>
      <c r="AE313" s="39" t="str">
        <f>IF(getCategoryLevelAsString($B313)="L0D_324785","",IF(L313="",CONCATENATE(";",EscStr(CONCATENATE("NavNode_",getCategoryLevelAsString($B313))),";",EscStr($J313),";"),CONCATENATE(";",EscStr(CONCATENATE("NavNode_",getCategoryLevelAsString($B313))),";",EscStr(L313),";")))</f>
        <v>;"NavNode_Cable Assemblies / Audio / Video";"Kabelių rinkiniai / Garsas / Vaizdas";</v>
      </c>
      <c r="AF313" s="39" t="str">
        <f>IF(getCategoryLevelAsString($B313)="L0D_324785","",IF(M313="",CONCATENATE(";",EscStr(CONCATENATE("NavNode_",getCategoryLevelAsString($B313))),";",EscStr($J313),";"),CONCATENATE(";",EscStr(CONCATENATE("NavNode_",getCategoryLevelAsString($B313))),";",EscStr(M313),";")))</f>
        <v>;"NavNode_Cable Assemblies / Audio / Video";"Kabelenheter / lyd / video";</v>
      </c>
      <c r="AG313" s="39" t="str">
        <f>IF(getCategoryLevelAsString($B313)="L0D_324785","",IF(N313="",CONCATENATE(";",EscStr(CONCATENATE("NavNode_",getCategoryLevelAsString($B313))),";",EscStr($J313),";"),CONCATENATE(";",EscStr(CONCATENATE("NavNode_",getCategoryLevelAsString($B313))),";",EscStr(N313),";")))</f>
        <v>;"NavNode_Cable Assemblies / Audio / Video";"Kablage / ljud / bild";</v>
      </c>
      <c r="AH313" s="39" t="str">
        <f>IF(getCategoryLevelAsString($B313)="L0D_324785","",IF(O313="",CONCATENATE(";",EscStr(CONCATENATE("NavNode_",getCategoryLevelAsString($B313))),";",EscStr($J313),";"),CONCATENATE(";",EscStr(CONCATENATE("NavNode_",getCategoryLevelAsString($B313))),";",EscStr(O313),";")))</f>
        <v>;"NavNode_Cable Assemblies / Audio / Video";"Kaablikoostud / heli / video";</v>
      </c>
      <c r="AI313" s="39" t="str">
        <f>IF(getCategoryLevelAsString($B313)="L0D_324785","",IF(P313="",CONCATENATE(";",EscStr(CONCATENATE("NavNode_",getCategoryLevelAsString($B313))),";",EscStr($J313),";"),CONCATENATE(";",EscStr(CONCATENATE("NavNode_",getCategoryLevelAsString($B313))),";",EscStr(P313),";")))</f>
        <v>;"NavNode_Cable Assemblies / Audio / Video";"Kaapelisarjat / Audio- / Video-";</v>
      </c>
      <c r="AJ313" s="39" t="str">
        <f>IF(getCategoryLevelAsString($B313)="L0D_324785","",IF(Q313="",CONCATENATE(";",EscStr(CONCATENATE("NavNode_",getCategoryLevelAsString($B313))),";",EscStr($J313),";"),CONCATENATE(";",EscStr(CONCATENATE("NavNode_",getCategoryLevelAsString($B313))),";",EscStr(Q313),";")))</f>
        <v>;"NavNode_Cable Assemblies / Audio / Video";"Kabeļu montāžas/audio/video";</v>
      </c>
      <c r="AK313" s="39" t="str">
        <f>IF(getCategoryLevelAsString($B313)="L0D_324785","",IF(R313="",CONCATENATE(";",EscStr(CONCATENATE("NavNode_",getCategoryLevelAsString($B313))),";",EscStr($J313),";"),CONCATENATE(";",EscStr(CONCATENATE("NavNode_",getCategoryLevelAsString($B313))),";",EscStr(R313),";")))</f>
        <v>;"NavNode_Cable Assemblies / Audio / Video";"Bekabeling / audio / video";</v>
      </c>
      <c r="AL313" s="39" t="str">
        <f>IF(getCategoryLevelAsString($B313)="L0D_324785","",IF(S313="",CONCATENATE(";",EscStr(CONCATENATE("NavNode_",getCategoryLevelAsString($B313))),";",EscStr($J313),";"),CONCATENATE(";",EscStr(CONCATENATE("NavNode_",getCategoryLevelAsString($B313))),";",EscStr(S313),";")))</f>
        <v>;"NavNode_Cable Assemblies / Audio / Video";"Zespoły kablowe/Audio/Wideo";</v>
      </c>
      <c r="AM313" s="39" t="str">
        <f>IF(getCategoryLevelAsString($B313)="L0D_324785","",IF(T313="",CONCATENATE(";",EscStr(CONCATENATE("NavNode_",getCategoryLevelAsString($B313))),";",EscStr($J313),";"),CONCATENATE(";",EscStr(CONCATENATE("NavNode_",getCategoryLevelAsString($B313))),";",EscStr(T313),";")))</f>
        <v>;"NavNode_Cable Assemblies / Audio / Video";"Кабельные сборки / Аудио / Видео";</v>
      </c>
      <c r="AN313" s="39" t="str">
        <f>IF(getCategoryLevelAsString($B313)="L0D_324785","",IF(U313="",CONCATENATE(";",EscStr(CONCATENATE("NavNode_",getCategoryLevelAsString($B313))),";",EscStr($J313),";"),CONCATENATE(";",EscStr(CONCATENATE("NavNode_",getCategoryLevelAsString($B313))),";",EscStr(U313),";")))</f>
        <v>;"NavNode_Cable Assemblies / Audio / Video";"Kabelové sestavy / audio / video";</v>
      </c>
      <c r="AO313" s="39" t="str">
        <f>IF(getCategoryLevelAsString($B313)="L0D_324785","",IF(V313="",CONCATENATE(";",EscStr(CONCATENATE("NavNode_",getCategoryLevelAsString($B313))),";",EscStr($J313),";"),CONCATENATE(";",EscStr(CONCATENATE("NavNode_",getCategoryLevelAsString($B313))),";",EscStr(V313),";")))</f>
        <v>;"NavNode_Cable Assemblies / Audio / Video";"Ansambluri cablu/Audio/Video";</v>
      </c>
      <c r="AP313" s="39" t="str">
        <f>IF(getCategoryLevelAsString($B313)="L0D_324785","",IF(W313="",CONCATENATE(";",EscStr(CONCATENATE("NavNode_",getCategoryLevelAsString($B313))),";",EscStr($J313),";"),CONCATENATE(";",EscStr(CONCATENATE("NavNode_",getCategoryLevelAsString($B313))),";",EscStr(W313),";")))</f>
        <v>;"NavNode_Cable Assemblies / Audio / Video";"Kábelszerelvények / Audió / Videó";</v>
      </c>
      <c r="AQ313" s="39" t="str">
        <f>IF(getCategoryLevelAsString($B313)="L0D_324785","",IF(X313="",CONCATENATE(";",EscStr(CONCATENATE("NavNode_",getCategoryLevelAsString($B313))),";",EscStr($J313),";"),CONCATENATE(";",EscStr(CONCATENATE("NavNode_",getCategoryLevelAsString($B313))),";",EscStr(X313),";")))</f>
        <v>;"NavNode_Cable Assemblies / Audio / Video";"Káblové zostavy/Audio/Video";</v>
      </c>
      <c r="AR313" s="39" t="str">
        <f>IF(OR($A313&lt;&gt;"", $G313=""),"",CONCATENATE(";",EscStr(CONCATENATE("NavEntry_",getCategoryLevelAsString($B313))),";",EscStr(CONCATENATE($J313," Navigation Entry")),";",EscStr(CONCATENATE("cat-",getCategoryLevelAsString($B313))),";",EscStr(CONCATENATE("NavNode_",getCategoryLevelAsString($B313))),";"))</f>
        <v>;"NavEntry_Cable Assemblies / Audio / Video";"Cable Assemblies / Audio / Video Navigation Entry";"cat-Cable Assemblies / Audio / Video";"NavNode_Cable Assemblies / Audio / Video";</v>
      </c>
    </row>
    <row r="314" spans="1:44" s="34" customFormat="1" ht="15" x14ac:dyDescent="0.25">
      <c r="A314" s="25"/>
      <c r="B314" s="5"/>
      <c r="C314" s="5" t="s">
        <v>586</v>
      </c>
      <c r="D314" s="5"/>
      <c r="E314" s="5"/>
      <c r="F314" s="5"/>
      <c r="G314" s="5" t="s">
        <v>1017</v>
      </c>
      <c r="H314" s="5" t="s">
        <v>779</v>
      </c>
      <c r="I314" s="5" t="s">
        <v>645</v>
      </c>
      <c r="J314" s="5" t="s">
        <v>880</v>
      </c>
      <c r="K314" t="s">
        <v>15413</v>
      </c>
      <c r="L314" s="5" t="s">
        <v>1647</v>
      </c>
      <c r="M314" s="5" t="s">
        <v>1848</v>
      </c>
      <c r="N314" s="5" t="s">
        <v>2066</v>
      </c>
      <c r="O314" s="5" t="s">
        <v>4448</v>
      </c>
      <c r="P314" s="5" t="s">
        <v>4449</v>
      </c>
      <c r="Q314" s="5" t="s">
        <v>4450</v>
      </c>
      <c r="R314" s="5" t="s">
        <v>4451</v>
      </c>
      <c r="S314" s="5" t="s">
        <v>4452</v>
      </c>
      <c r="T314" s="5" t="s">
        <v>4453</v>
      </c>
      <c r="U314" s="5" t="s">
        <v>4454</v>
      </c>
      <c r="V314" s="5" t="s">
        <v>4455</v>
      </c>
      <c r="W314" s="5" t="s">
        <v>4456</v>
      </c>
      <c r="X314" s="5" t="s">
        <v>15005</v>
      </c>
      <c r="Y314" s="39" t="str">
        <f>IF(OR($A314&lt;&gt;"", $G314=""),"",CONCATENATE(";",EscStr(CONCATENATE("NavNode_",getCategoryLevelAsString($B314))),";",EscStr($J314),";",IF($B314&lt;&gt;"","""MainCategoryNavNode""",EscStr(CONCATENATE("NavNode_",getSuperCategory($B314, getCategoryLevelAsNumber($B314))))),";"))</f>
        <v>;"NavNode_L2D_542709";"Cables &amp; Power Supplies";"NavNode_Cable Assemblies / Audio / Video";</v>
      </c>
      <c r="Z314" s="39" t="str">
        <f>IF(getCategoryLevelAsString($B314)="L0D_324785","",IF(G314="",CONCATENATE(";",EscStr(CONCATENATE("NavNode_",getCategoryLevelAsString($B314))),";",EscStr($J314),";"),CONCATENATE(";",EscStr(CONCATENATE("NavNode_",getCategoryLevelAsString($B314))),";",EscStr(G314),";")))</f>
        <v>;"NavNode_L2D_542709";"Kabel und Stromversorgung";</v>
      </c>
      <c r="AA314" s="39" t="str">
        <f>IF(getCategoryLevelAsString($B314)="L0D_324785","",IF(H314="",CONCATENATE(";",EscStr(CONCATENATE("NavNode_",getCategoryLevelAsString($B314))),";",EscStr($J314),";"),CONCATENATE(";",EscStr(CONCATENATE("NavNode_",getCategoryLevelAsString($B314))),";",EscStr(H314),";")))</f>
        <v>;"NavNode_L2D_542709";"Alimentations et câbles";</v>
      </c>
      <c r="AB314" s="39" t="str">
        <f>IF(getCategoryLevelAsString($B314)="L0D_324785","",IF(I314="",CONCATENATE(";",EscStr(CONCATENATE("NavNode_",getCategoryLevelAsString($B314))),";",EscStr($J314),";"),CONCATENATE(";",EscStr(CONCATENATE("NavNode_",getCategoryLevelAsString($B314))),";",EscStr(I314),";")))</f>
        <v>;"NavNode_L2D_542709";"Cavi e alimentatori";</v>
      </c>
      <c r="AC314" s="39" t="str">
        <f>IF(getCategoryLevelAsString($B314)="L0D_324785","",IF(J314="",CONCATENATE(";",EscStr(CONCATENATE("NavNode_",getCategoryLevelAsString($B314))),";",EscStr($J314),";"),CONCATENATE(";",EscStr(CONCATENATE("NavNode_",getCategoryLevelAsString($B314))),";",EscStr(J314),";")))</f>
        <v>;"NavNode_L2D_542709";"Cables &amp; Power Supplies";</v>
      </c>
      <c r="AD314" s="39" t="str">
        <f>IF(getCategoryLevelAsString($B314)="L0D_324785","",IF(K314="",CONCATENATE(";",EscStr(CONCATENATE("NavNode_",getCategoryLevelAsString($B314))),";",EscStr($J314),";"),CONCATENATE(";",EscStr(CONCATENATE("NavNode_",getCategoryLevelAsString($B314))),";",EscStr(K314),";")))</f>
        <v>;"NavNode_L2D_542709";"Kabel og strømforsyninger";</v>
      </c>
      <c r="AE314" s="39" t="str">
        <f>IF(getCategoryLevelAsString($B314)="L0D_324785","",IF(L314="",CONCATENATE(";",EscStr(CONCATENATE("NavNode_",getCategoryLevelAsString($B314))),";",EscStr($J314),";"),CONCATENATE(";",EscStr(CONCATENATE("NavNode_",getCategoryLevelAsString($B314))),";",EscStr(L314),";")))</f>
        <v>;"NavNode_L2D_542709";"Kabeliai ir maitinimo šaltiniai";</v>
      </c>
      <c r="AF314" s="39" t="str">
        <f>IF(getCategoryLevelAsString($B314)="L0D_324785","",IF(M314="",CONCATENATE(";",EscStr(CONCATENATE("NavNode_",getCategoryLevelAsString($B314))),";",EscStr($J314),";"),CONCATENATE(";",EscStr(CONCATENATE("NavNode_",getCategoryLevelAsString($B314))),";",EscStr(M314),";")))</f>
        <v>;"NavNode_L2D_542709";"Kabler og strømforsyning";</v>
      </c>
      <c r="AG314" s="39" t="str">
        <f>IF(getCategoryLevelAsString($B314)="L0D_324785","",IF(N314="",CONCATENATE(";",EscStr(CONCATENATE("NavNode_",getCategoryLevelAsString($B314))),";",EscStr($J314),";"),CONCATENATE(";",EscStr(CONCATENATE("NavNode_",getCategoryLevelAsString($B314))),";",EscStr(N314),";")))</f>
        <v>;"NavNode_L2D_542709";"Kablar och strömförsörjning";</v>
      </c>
      <c r="AH314" s="39" t="str">
        <f>IF(getCategoryLevelAsString($B314)="L0D_324785","",IF(O314="",CONCATENATE(";",EscStr(CONCATENATE("NavNode_",getCategoryLevelAsString($B314))),";",EscStr($J314),";"),CONCATENATE(";",EscStr(CONCATENATE("NavNode_",getCategoryLevelAsString($B314))),";",EscStr(O314),";")))</f>
        <v>;"NavNode_L2D_542709";"Kaablid / Toiteplokid";</v>
      </c>
      <c r="AI314" s="39" t="str">
        <f>IF(getCategoryLevelAsString($B314)="L0D_324785","",IF(P314="",CONCATENATE(";",EscStr(CONCATENATE("NavNode_",getCategoryLevelAsString($B314))),";",EscStr($J314),";"),CONCATENATE(";",EscStr(CONCATENATE("NavNode_",getCategoryLevelAsString($B314))),";",EscStr(P314),";")))</f>
        <v>;"NavNode_L2D_542709";"Johdot ja virtalähteet";</v>
      </c>
      <c r="AJ314" s="39" t="str">
        <f>IF(getCategoryLevelAsString($B314)="L0D_324785","",IF(Q314="",CONCATENATE(";",EscStr(CONCATENATE("NavNode_",getCategoryLevelAsString($B314))),";",EscStr($J314),";"),CONCATENATE(";",EscStr(CONCATENATE("NavNode_",getCategoryLevelAsString($B314))),";",EscStr(Q314),";")))</f>
        <v>;"NavNode_L2D_542709";"Kabeļi un barošanas avoti";</v>
      </c>
      <c r="AK314" s="39" t="str">
        <f>IF(getCategoryLevelAsString($B314)="L0D_324785","",IF(R314="",CONCATENATE(";",EscStr(CONCATENATE("NavNode_",getCategoryLevelAsString($B314))),";",EscStr($J314),";"),CONCATENATE(";",EscStr(CONCATENATE("NavNode_",getCategoryLevelAsString($B314))),";",EscStr(R314),";")))</f>
        <v>;"NavNode_L2D_542709";"Kabels (geassembleerd) &amp; Voedingen";</v>
      </c>
      <c r="AL314" s="39" t="str">
        <f>IF(getCategoryLevelAsString($B314)="L0D_324785","",IF(S314="",CONCATENATE(";",EscStr(CONCATENATE("NavNode_",getCategoryLevelAsString($B314))),";",EscStr($J314),";"),CONCATENATE(";",EscStr(CONCATENATE("NavNode_",getCategoryLevelAsString($B314))),";",EscStr(S314),";")))</f>
        <v>;"NavNode_L2D_542709";"Kable &amp; Zasilacze";</v>
      </c>
      <c r="AM314" s="39" t="str">
        <f>IF(getCategoryLevelAsString($B314)="L0D_324785","",IF(T314="",CONCATENATE(";",EscStr(CONCATENATE("NavNode_",getCategoryLevelAsString($B314))),";",EscStr($J314),";"),CONCATENATE(";",EscStr(CONCATENATE("NavNode_",getCategoryLevelAsString($B314))),";",EscStr(T314),";")))</f>
        <v>;"NavNode_L2D_542709";"Кабели и блоки питания";</v>
      </c>
      <c r="AN314" s="39" t="str">
        <f>IF(getCategoryLevelAsString($B314)="L0D_324785","",IF(U314="",CONCATENATE(";",EscStr(CONCATENATE("NavNode_",getCategoryLevelAsString($B314))),";",EscStr($J314),";"),CONCATENATE(";",EscStr(CONCATENATE("NavNode_",getCategoryLevelAsString($B314))),";",EscStr(U314),";")))</f>
        <v>;"NavNode_L2D_542709";"Kabely a napájecí zdroje";</v>
      </c>
      <c r="AO314" s="39" t="str">
        <f>IF(getCategoryLevelAsString($B314)="L0D_324785","",IF(V314="",CONCATENATE(";",EscStr(CONCATENATE("NavNode_",getCategoryLevelAsString($B314))),";",EscStr($J314),";"),CONCATENATE(";",EscStr(CONCATENATE("NavNode_",getCategoryLevelAsString($B314))),";",EscStr(V314),";")))</f>
        <v>;"NavNode_L2D_542709";"Cablu şi alimentatoare de curent";</v>
      </c>
      <c r="AP314" s="39" t="str">
        <f>IF(getCategoryLevelAsString($B314)="L0D_324785","",IF(W314="",CONCATENATE(";",EscStr(CONCATENATE("NavNode_",getCategoryLevelAsString($B314))),";",EscStr($J314),";"),CONCATENATE(";",EscStr(CONCATENATE("NavNode_",getCategoryLevelAsString($B314))),";",EscStr(W314),";")))</f>
        <v>;"NavNode_L2D_542709";"Kábel és tápellátás";</v>
      </c>
      <c r="AQ314" s="39" t="str">
        <f>IF(getCategoryLevelAsString($B314)="L0D_324785","",IF(X314="",CONCATENATE(";",EscStr(CONCATENATE("NavNode_",getCategoryLevelAsString($B314))),";",EscStr($J314),";"),CONCATENATE(";",EscStr(CONCATENATE("NavNode_",getCategoryLevelAsString($B314))),";",EscStr(X314),";")))</f>
        <v>;"NavNode_L2D_542709";"Káble a napájacie zdroje";</v>
      </c>
      <c r="AR314" s="39" t="str">
        <f>IF(OR($A314&lt;&gt;"", $G314=""),"",CONCATENATE(";",EscStr(CONCATENATE("NavEntry_",getCategoryLevelAsString($B314))),";",EscStr(CONCATENATE($J314," Navigation Entry")),";",EscStr(CONCATENATE("cat-",getCategoryLevelAsString($B314))),";",EscStr(CONCATENATE("NavNode_",getCategoryLevelAsString($B314))),";"))</f>
        <v>;"NavEntry_L2D_542709";"Cables &amp; Power Supplies Navigation Entry";"cat-L2D_542709";"NavNode_L2D_542709";</v>
      </c>
    </row>
    <row r="315" spans="1:44" s="34" customFormat="1" ht="15" x14ac:dyDescent="0.25">
      <c r="A315" s="25"/>
      <c r="B315" s="5"/>
      <c r="C315" s="5"/>
      <c r="D315" s="5" t="s">
        <v>587</v>
      </c>
      <c r="E315" s="5"/>
      <c r="F315" s="5"/>
      <c r="G315" s="5" t="s">
        <v>1018</v>
      </c>
      <c r="H315" s="5" t="s">
        <v>780</v>
      </c>
      <c r="I315" s="5" t="s">
        <v>646</v>
      </c>
      <c r="J315" s="5" t="s">
        <v>881</v>
      </c>
      <c r="K315" s="5" t="s">
        <v>1411</v>
      </c>
      <c r="L315" s="5" t="s">
        <v>15220</v>
      </c>
      <c r="M315" s="5" t="s">
        <v>1849</v>
      </c>
      <c r="N315" s="5" t="s">
        <v>2067</v>
      </c>
      <c r="O315" s="5" t="s">
        <v>4457</v>
      </c>
      <c r="P315" s="5" t="s">
        <v>4458</v>
      </c>
      <c r="Q315" s="5" t="s">
        <v>4459</v>
      </c>
      <c r="R315" s="5" t="s">
        <v>4460</v>
      </c>
      <c r="S315" s="5" t="s">
        <v>4461</v>
      </c>
      <c r="T315" s="5" t="s">
        <v>4462</v>
      </c>
      <c r="U315" s="5" t="s">
        <v>4463</v>
      </c>
      <c r="V315" s="5" t="s">
        <v>4464</v>
      </c>
      <c r="W315" s="5" t="s">
        <v>4465</v>
      </c>
      <c r="X315" s="5" t="s">
        <v>15006</v>
      </c>
      <c r="Y315" s="39" t="str">
        <f>IF(OR($A315&lt;&gt;"", $G315=""),"",CONCATENATE(";",EscStr(CONCATENATE("NavNode_",getCategoryLevelAsString($B315))),";",EscStr($J315),";",IF($B315&lt;&gt;"","""MainCategoryNavNode""",EscStr(CONCATENATE("NavNode_",getSuperCategory($B315, getCategoryLevelAsNumber($B315))))),";"))</f>
        <v>;"NavNode_L3D_542711";"Computer cables / Power cables";"NavNode_L2D_542709";</v>
      </c>
      <c r="Z315" s="39" t="str">
        <f>IF(getCategoryLevelAsString($B315)="L0D_324785","",IF(G315="",CONCATENATE(";",EscStr(CONCATENATE("NavNode_",getCategoryLevelAsString($B315))),";",EscStr($J315),";"),CONCATENATE(";",EscStr(CONCATENATE("NavNode_",getCategoryLevelAsString($B315))),";",EscStr(G315),";")))</f>
        <v>;"NavNode_L3D_542711";"Computerkabel / Stromversorgungskabel";</v>
      </c>
      <c r="AA315" s="39" t="str">
        <f>IF(getCategoryLevelAsString($B315)="L0D_324785","",IF(H315="",CONCATENATE(";",EscStr(CONCATENATE("NavNode_",getCategoryLevelAsString($B315))),";",EscStr($J315),";"),CONCATENATE(";",EscStr(CONCATENATE("NavNode_",getCategoryLevelAsString($B315))),";",EscStr(H315),";")))</f>
        <v>;"NavNode_L3D_542711";"Câbles d'ordinateur / Câbles d'alimentation";</v>
      </c>
      <c r="AB315" s="39" t="str">
        <f>IF(getCategoryLevelAsString($B315)="L0D_324785","",IF(I315="",CONCATENATE(";",EscStr(CONCATENATE("NavNode_",getCategoryLevelAsString($B315))),";",EscStr($J315),";"),CONCATENATE(";",EscStr(CONCATENATE("NavNode_",getCategoryLevelAsString($B315))),";",EscStr(I315),";")))</f>
        <v>;"NavNode_L3D_542711";"Cavi / alimentatori computer";</v>
      </c>
      <c r="AC315" s="39" t="str">
        <f>IF(getCategoryLevelAsString($B315)="L0D_324785","",IF(J315="",CONCATENATE(";",EscStr(CONCATENATE("NavNode_",getCategoryLevelAsString($B315))),";",EscStr($J315),";"),CONCATENATE(";",EscStr(CONCATENATE("NavNode_",getCategoryLevelAsString($B315))),";",EscStr(J315),";")))</f>
        <v>;"NavNode_L3D_542711";"Computer cables / Power cables";</v>
      </c>
      <c r="AD315" s="39" t="str">
        <f>IF(getCategoryLevelAsString($B315)="L0D_324785","",IF(K315="",CONCATENATE(";",EscStr(CONCATENATE("NavNode_",getCategoryLevelAsString($B315))),";",EscStr($J315),";"),CONCATENATE(";",EscStr(CONCATENATE("NavNode_",getCategoryLevelAsString($B315))),";",EscStr(K315),";")))</f>
        <v>;"NavNode_L3D_542711";"Computer-kabler/strømkabler";</v>
      </c>
      <c r="AE315" s="39" t="str">
        <f>IF(getCategoryLevelAsString($B315)="L0D_324785","",IF(L315="",CONCATENATE(";",EscStr(CONCATENATE("NavNode_",getCategoryLevelAsString($B315))),";",EscStr($J315),";"),CONCATENATE(";",EscStr(CONCATENATE("NavNode_",getCategoryLevelAsString($B315))),";",EscStr(L315),";")))</f>
        <v>;"NavNode_L3D_542711";"Kompiuterių kabeliai / Maitinimo kabeliai";</v>
      </c>
      <c r="AF315" s="39" t="str">
        <f>IF(getCategoryLevelAsString($B315)="L0D_324785","",IF(M315="",CONCATENATE(";",EscStr(CONCATENATE("NavNode_",getCategoryLevelAsString($B315))),";",EscStr($J315),";"),CONCATENATE(";",EscStr(CONCATENATE("NavNode_",getCategoryLevelAsString($B315))),";",EscStr(M315),";")))</f>
        <v>;"NavNode_L3D_542711";"Datakabler/strømkabler";</v>
      </c>
      <c r="AG315" s="39" t="str">
        <f>IF(getCategoryLevelAsString($B315)="L0D_324785","",IF(N315="",CONCATENATE(";",EscStr(CONCATENATE("NavNode_",getCategoryLevelAsString($B315))),";",EscStr($J315),";"),CONCATENATE(";",EscStr(CONCATENATE("NavNode_",getCategoryLevelAsString($B315))),";",EscStr(N315),";")))</f>
        <v>;"NavNode_L3D_542711";"Datorkablar/Strömkablar";</v>
      </c>
      <c r="AH315" s="39" t="str">
        <f>IF(getCategoryLevelAsString($B315)="L0D_324785","",IF(O315="",CONCATENATE(";",EscStr(CONCATENATE("NavNode_",getCategoryLevelAsString($B315))),";",EscStr($J315),";"),CONCATENATE(";",EscStr(CONCATENATE("NavNode_",getCategoryLevelAsString($B315))),";",EscStr(O315),";")))</f>
        <v>;"NavNode_L3D_542711";"Arvutikaablid / Toitekaablid";</v>
      </c>
      <c r="AI315" s="39" t="str">
        <f>IF(getCategoryLevelAsString($B315)="L0D_324785","",IF(P315="",CONCATENATE(";",EscStr(CONCATENATE("NavNode_",getCategoryLevelAsString($B315))),";",EscStr($J315),";"),CONCATENATE(";",EscStr(CONCATENATE("NavNode_",getCategoryLevelAsString($B315))),";",EscStr(P315),";")))</f>
        <v>;"NavNode_L3D_542711";"PC-verkko ja laitejohdot";</v>
      </c>
      <c r="AJ315" s="39" t="str">
        <f>IF(getCategoryLevelAsString($B315)="L0D_324785","",IF(Q315="",CONCATENATE(";",EscStr(CONCATENATE("NavNode_",getCategoryLevelAsString($B315))),";",EscStr($J315),";"),CONCATENATE(";",EscStr(CONCATENATE("NavNode_",getCategoryLevelAsString($B315))),";",EscStr(Q315),";")))</f>
        <v>;"NavNode_L3D_542711";"Datoru kabeļi / Barošanas kabeļi";</v>
      </c>
      <c r="AK315" s="39" t="str">
        <f>IF(getCategoryLevelAsString($B315)="L0D_324785","",IF(R315="",CONCATENATE(";",EscStr(CONCATENATE("NavNode_",getCategoryLevelAsString($B315))),";",EscStr($J315),";"),CONCATENATE(";",EscStr(CONCATENATE("NavNode_",getCategoryLevelAsString($B315))),";",EscStr(R315),";")))</f>
        <v>;"NavNode_L3D_542711";"Computer kabels / Netsnoeren";</v>
      </c>
      <c r="AL315" s="39" t="str">
        <f>IF(getCategoryLevelAsString($B315)="L0D_324785","",IF(S315="",CONCATENATE(";",EscStr(CONCATENATE("NavNode_",getCategoryLevelAsString($B315))),";",EscStr($J315),";"),CONCATENATE(";",EscStr(CONCATENATE("NavNode_",getCategoryLevelAsString($B315))),";",EscStr(S315),";")))</f>
        <v>;"NavNode_L3D_542711";"Kable komputerowe / Kable zasilające";</v>
      </c>
      <c r="AM315" s="39" t="str">
        <f>IF(getCategoryLevelAsString($B315)="L0D_324785","",IF(T315="",CONCATENATE(";",EscStr(CONCATENATE("NavNode_",getCategoryLevelAsString($B315))),";",EscStr($J315),";"),CONCATENATE(";",EscStr(CONCATENATE("NavNode_",getCategoryLevelAsString($B315))),";",EscStr(T315),";")))</f>
        <v>;"NavNode_L3D_542711";"Компьютерные кабели / Силовые кабели";</v>
      </c>
      <c r="AN315" s="39" t="str">
        <f>IF(getCategoryLevelAsString($B315)="L0D_324785","",IF(U315="",CONCATENATE(";",EscStr(CONCATENATE("NavNode_",getCategoryLevelAsString($B315))),";",EscStr($J315),";"),CONCATENATE(";",EscStr(CONCATENATE("NavNode_",getCategoryLevelAsString($B315))),";",EscStr(U315),";")))</f>
        <v>;"NavNode_L3D_542711";"Počítačové kabely / Napájecí kabely";</v>
      </c>
      <c r="AO315" s="39" t="str">
        <f>IF(getCategoryLevelAsString($B315)="L0D_324785","",IF(V315="",CONCATENATE(";",EscStr(CONCATENATE("NavNode_",getCategoryLevelAsString($B315))),";",EscStr($J315),";"),CONCATENATE(";",EscStr(CONCATENATE("NavNode_",getCategoryLevelAsString($B315))),";",EscStr(V315),";")))</f>
        <v>;"NavNode_L3D_542711";"Cablu pentru calculator / cablu de alimentare";</v>
      </c>
      <c r="AP315" s="39" t="str">
        <f>IF(getCategoryLevelAsString($B315)="L0D_324785","",IF(W315="",CONCATENATE(";",EscStr(CONCATENATE("NavNode_",getCategoryLevelAsString($B315))),";",EscStr($J315),";"),CONCATENATE(";",EscStr(CONCATENATE("NavNode_",getCategoryLevelAsString($B315))),";",EscStr(W315),";")))</f>
        <v>;"NavNode_L3D_542711";"Számítógép kábel / hálózati tápkábel";</v>
      </c>
      <c r="AQ315" s="39" t="str">
        <f>IF(getCategoryLevelAsString($B315)="L0D_324785","",IF(X315="",CONCATENATE(";",EscStr(CONCATENATE("NavNode_",getCategoryLevelAsString($B315))),";",EscStr($J315),";"),CONCATENATE(";",EscStr(CONCATENATE("NavNode_",getCategoryLevelAsString($B315))),";",EscStr(X315),";")))</f>
        <v>;"NavNode_L3D_542711";"Počítačové káble / Napájacie káble";</v>
      </c>
      <c r="AR315" s="39" t="str">
        <f>IF(OR($A315&lt;&gt;"", $G315=""),"",CONCATENATE(";",EscStr(CONCATENATE("NavEntry_",getCategoryLevelAsString($B315))),";",EscStr(CONCATENATE($J315," Navigation Entry")),";",EscStr(CONCATENATE("cat-",getCategoryLevelAsString($B315))),";",EscStr(CONCATENATE("NavNode_",getCategoryLevelAsString($B315))),";"))</f>
        <v>;"NavEntry_L3D_542711";"Computer cables / Power cables Navigation Entry";"cat-L3D_542711";"NavNode_L3D_542711";</v>
      </c>
    </row>
    <row r="316" spans="1:44" s="34" customFormat="1" ht="15" x14ac:dyDescent="0.25">
      <c r="A316" s="25"/>
      <c r="B316" s="5"/>
      <c r="C316" s="5"/>
      <c r="D316" s="5" t="s">
        <v>588</v>
      </c>
      <c r="E316" s="5"/>
      <c r="F316" s="5"/>
      <c r="G316" s="5" t="s">
        <v>1019</v>
      </c>
      <c r="H316" s="5" t="s">
        <v>781</v>
      </c>
      <c r="I316" s="5" t="s">
        <v>647</v>
      </c>
      <c r="J316" s="5" t="s">
        <v>882</v>
      </c>
      <c r="K316" s="5" t="s">
        <v>1412</v>
      </c>
      <c r="L316" s="5" t="s">
        <v>15221</v>
      </c>
      <c r="M316" s="5" t="s">
        <v>1850</v>
      </c>
      <c r="N316" s="5" t="s">
        <v>2068</v>
      </c>
      <c r="O316" s="5" t="s">
        <v>4466</v>
      </c>
      <c r="P316" s="5" t="s">
        <v>4467</v>
      </c>
      <c r="Q316" s="5" t="s">
        <v>4468</v>
      </c>
      <c r="R316" s="5" t="s">
        <v>4469</v>
      </c>
      <c r="S316" s="5" t="s">
        <v>4470</v>
      </c>
      <c r="T316" s="5" t="s">
        <v>4471</v>
      </c>
      <c r="U316" s="5" t="s">
        <v>4472</v>
      </c>
      <c r="V316" s="5" t="s">
        <v>4473</v>
      </c>
      <c r="W316" s="5" t="s">
        <v>4474</v>
      </c>
      <c r="X316" s="5" t="s">
        <v>15007</v>
      </c>
      <c r="Y316" s="39" t="str">
        <f>IF(OR($A316&lt;&gt;"", $G316=""),"",CONCATENATE(";",EscStr(CONCATENATE("NavNode_",getCategoryLevelAsString($B316))),";",EscStr($J316),";",IF($B316&lt;&gt;"","""MainCategoryNavNode""",EscStr(CONCATENATE("NavNode_",getSuperCategory($B316, getCategoryLevelAsNumber($B316))))),";"))</f>
        <v>;"NavNode_L3D_542713";"Network cables / Telephone cables";"NavNode_L2D_542709";</v>
      </c>
      <c r="Z316" s="39" t="str">
        <f>IF(getCategoryLevelAsString($B316)="L0D_324785","",IF(G316="",CONCATENATE(";",EscStr(CONCATENATE("NavNode_",getCategoryLevelAsString($B316))),";",EscStr($J316),";"),CONCATENATE(";",EscStr(CONCATENATE("NavNode_",getCategoryLevelAsString($B316))),";",EscStr(G316),";")))</f>
        <v>;"NavNode_L3D_542713";"Netzwerkkabel / Telefonkabel";</v>
      </c>
      <c r="AA316" s="39" t="str">
        <f>IF(getCategoryLevelAsString($B316)="L0D_324785","",IF(H316="",CONCATENATE(";",EscStr(CONCATENATE("NavNode_",getCategoryLevelAsString($B316))),";",EscStr($J316),";"),CONCATENATE(";",EscStr(CONCATENATE("NavNode_",getCategoryLevelAsString($B316))),";",EscStr(H316),";")))</f>
        <v>;"NavNode_L3D_542713";"Câbles réseau / Câbles téléphoniques";</v>
      </c>
      <c r="AB316" s="39" t="str">
        <f>IF(getCategoryLevelAsString($B316)="L0D_324785","",IF(I316="",CONCATENATE(";",EscStr(CONCATENATE("NavNode_",getCategoryLevelAsString($B316))),";",EscStr($J316),";"),CONCATENATE(";",EscStr(CONCATENATE("NavNode_",getCategoryLevelAsString($B316))),";",EscStr(I316),";")))</f>
        <v>;"NavNode_L3D_542713";"Cavi di rete / cavi telefonici";</v>
      </c>
      <c r="AC316" s="39" t="str">
        <f>IF(getCategoryLevelAsString($B316)="L0D_324785","",IF(J316="",CONCATENATE(";",EscStr(CONCATENATE("NavNode_",getCategoryLevelAsString($B316))),";",EscStr($J316),";"),CONCATENATE(";",EscStr(CONCATENATE("NavNode_",getCategoryLevelAsString($B316))),";",EscStr(J316),";")))</f>
        <v>;"NavNode_L3D_542713";"Network cables / Telephone cables";</v>
      </c>
      <c r="AD316" s="39" t="str">
        <f>IF(getCategoryLevelAsString($B316)="L0D_324785","",IF(K316="",CONCATENATE(";",EscStr(CONCATENATE("NavNode_",getCategoryLevelAsString($B316))),";",EscStr($J316),";"),CONCATENATE(";",EscStr(CONCATENATE("NavNode_",getCategoryLevelAsString($B316))),";",EscStr(K316),";")))</f>
        <v>;"NavNode_L3D_542713";"Netværks-kabler/telefonkabler";</v>
      </c>
      <c r="AE316" s="39" t="str">
        <f>IF(getCategoryLevelAsString($B316)="L0D_324785","",IF(L316="",CONCATENATE(";",EscStr(CONCATENATE("NavNode_",getCategoryLevelAsString($B316))),";",EscStr($J316),";"),CONCATENATE(";",EscStr(CONCATENATE("NavNode_",getCategoryLevelAsString($B316))),";",EscStr(L316),";")))</f>
        <v>;"NavNode_L3D_542713";"Tinklo kabeliai / Telefoniniai kabeliai";</v>
      </c>
      <c r="AF316" s="39" t="str">
        <f>IF(getCategoryLevelAsString($B316)="L0D_324785","",IF(M316="",CONCATENATE(";",EscStr(CONCATENATE("NavNode_",getCategoryLevelAsString($B316))),";",EscStr($J316),";"),CONCATENATE(";",EscStr(CONCATENATE("NavNode_",getCategoryLevelAsString($B316))),";",EscStr(M316),";")))</f>
        <v>;"NavNode_L3D_542713";"Nettverkkabler/telefonkabler";</v>
      </c>
      <c r="AG316" s="39" t="str">
        <f>IF(getCategoryLevelAsString($B316)="L0D_324785","",IF(N316="",CONCATENATE(";",EscStr(CONCATENATE("NavNode_",getCategoryLevelAsString($B316))),";",EscStr($J316),";"),CONCATENATE(";",EscStr(CONCATENATE("NavNode_",getCategoryLevelAsString($B316))),";",EscStr(N316),";")))</f>
        <v>;"NavNode_L3D_542713";"Nätverkskablar/Telefonkablar";</v>
      </c>
      <c r="AH316" s="39" t="str">
        <f>IF(getCategoryLevelAsString($B316)="L0D_324785","",IF(O316="",CONCATENATE(";",EscStr(CONCATENATE("NavNode_",getCategoryLevelAsString($B316))),";",EscStr($J316),";"),CONCATENATE(";",EscStr(CONCATENATE("NavNode_",getCategoryLevelAsString($B316))),";",EscStr(O316),";")))</f>
        <v>;"NavNode_L3D_542713";"Arvutivõrgu kaablid / Telefonikaablid";</v>
      </c>
      <c r="AI316" s="39" t="str">
        <f>IF(getCategoryLevelAsString($B316)="L0D_324785","",IF(P316="",CONCATENATE(";",EscStr(CONCATENATE("NavNode_",getCategoryLevelAsString($B316))),";",EscStr($J316),";"),CONCATENATE(";",EscStr(CONCATENATE("NavNode_",getCategoryLevelAsString($B316))),";",EscStr(P316),";")))</f>
        <v>;"NavNode_L3D_542713";"Verkko ja puhelinjohdot";</v>
      </c>
      <c r="AJ316" s="39" t="str">
        <f>IF(getCategoryLevelAsString($B316)="L0D_324785","",IF(Q316="",CONCATENATE(";",EscStr(CONCATENATE("NavNode_",getCategoryLevelAsString($B316))),";",EscStr($J316),";"),CONCATENATE(";",EscStr(CONCATENATE("NavNode_",getCategoryLevelAsString($B316))),";",EscStr(Q316),";")))</f>
        <v>;"NavNode_L3D_542713";"Tīkla kabeļi / Telefonu kabeļi";</v>
      </c>
      <c r="AK316" s="39" t="str">
        <f>IF(getCategoryLevelAsString($B316)="L0D_324785","",IF(R316="",CONCATENATE(";",EscStr(CONCATENATE("NavNode_",getCategoryLevelAsString($B316))),";",EscStr($J316),";"),CONCATENATE(";",EscStr(CONCATENATE("NavNode_",getCategoryLevelAsString($B316))),";",EscStr(R316),";")))</f>
        <v>;"NavNode_L3D_542713";"Netwerk kabels / Telefoon kabels";</v>
      </c>
      <c r="AL316" s="39" t="str">
        <f>IF(getCategoryLevelAsString($B316)="L0D_324785","",IF(S316="",CONCATENATE(";",EscStr(CONCATENATE("NavNode_",getCategoryLevelAsString($B316))),";",EscStr($J316),";"),CONCATENATE(";",EscStr(CONCATENATE("NavNode_",getCategoryLevelAsString($B316))),";",EscStr(S316),";")))</f>
        <v>;"NavNode_L3D_542713";"Kable sieciowe / Kable telefoniczne";</v>
      </c>
      <c r="AM316" s="39" t="str">
        <f>IF(getCategoryLevelAsString($B316)="L0D_324785","",IF(T316="",CONCATENATE(";",EscStr(CONCATENATE("NavNode_",getCategoryLevelAsString($B316))),";",EscStr($J316),";"),CONCATENATE(";",EscStr(CONCATENATE("NavNode_",getCategoryLevelAsString($B316))),";",EscStr(T316),";")))</f>
        <v>;"NavNode_L3D_542713";"Сетевые кабели / Телефонные кабели";</v>
      </c>
      <c r="AN316" s="39" t="str">
        <f>IF(getCategoryLevelAsString($B316)="L0D_324785","",IF(U316="",CONCATENATE(";",EscStr(CONCATENATE("NavNode_",getCategoryLevelAsString($B316))),";",EscStr($J316),";"),CONCATENATE(";",EscStr(CONCATENATE("NavNode_",getCategoryLevelAsString($B316))),";",EscStr(U316),";")))</f>
        <v>;"NavNode_L3D_542713";"Síťový kabel / Telefonní kabel";</v>
      </c>
      <c r="AO316" s="39" t="str">
        <f>IF(getCategoryLevelAsString($B316)="L0D_324785","",IF(V316="",CONCATENATE(";",EscStr(CONCATENATE("NavNode_",getCategoryLevelAsString($B316))),";",EscStr($J316),";"),CONCATENATE(";",EscStr(CONCATENATE("NavNode_",getCategoryLevelAsString($B316))),";",EscStr(V316),";")))</f>
        <v>;"NavNode_L3D_542713";"Cablu de retea / cablu de telefon";</v>
      </c>
      <c r="AP316" s="39" t="str">
        <f>IF(getCategoryLevelAsString($B316)="L0D_324785","",IF(W316="",CONCATENATE(";",EscStr(CONCATENATE("NavNode_",getCategoryLevelAsString($B316))),";",EscStr($J316),";"),CONCATENATE(";",EscStr(CONCATENATE("NavNode_",getCategoryLevelAsString($B316))),";",EscStr(W316),";")))</f>
        <v>;"NavNode_L3D_542713";"Hálózati kábel / Telefonkábel";</v>
      </c>
      <c r="AQ316" s="39" t="str">
        <f>IF(getCategoryLevelAsString($B316)="L0D_324785","",IF(X316="",CONCATENATE(";",EscStr(CONCATENATE("NavNode_",getCategoryLevelAsString($B316))),";",EscStr($J316),";"),CONCATENATE(";",EscStr(CONCATENATE("NavNode_",getCategoryLevelAsString($B316))),";",EscStr(X316),";")))</f>
        <v>;"NavNode_L3D_542713";"Sieťový kábel / Telefónny kábel";</v>
      </c>
      <c r="AR316" s="39" t="str">
        <f>IF(OR($A316&lt;&gt;"", $G316=""),"",CONCATENATE(";",EscStr(CONCATENATE("NavEntry_",getCategoryLevelAsString($B316))),";",EscStr(CONCATENATE($J316," Navigation Entry")),";",EscStr(CONCATENATE("cat-",getCategoryLevelAsString($B316))),";",EscStr(CONCATENATE("NavNode_",getCategoryLevelAsString($B316))),";"))</f>
        <v>;"NavEntry_L3D_542713";"Network cables / Telephone cables Navigation Entry";"cat-L3D_542713";"NavNode_L3D_542713";</v>
      </c>
    </row>
    <row r="317" spans="1:44" s="34" customFormat="1" ht="15" x14ac:dyDescent="0.25">
      <c r="A317" s="25"/>
      <c r="B317" s="5"/>
      <c r="C317" s="5"/>
      <c r="D317" s="5" t="s">
        <v>589</v>
      </c>
      <c r="E317" s="5"/>
      <c r="F317" s="5"/>
      <c r="G317" s="5" t="s">
        <v>1020</v>
      </c>
      <c r="H317" s="5" t="s">
        <v>782</v>
      </c>
      <c r="I317" s="5" t="s">
        <v>648</v>
      </c>
      <c r="J317" s="5" t="s">
        <v>883</v>
      </c>
      <c r="K317" s="5" t="s">
        <v>1413</v>
      </c>
      <c r="L317" s="5" t="s">
        <v>15222</v>
      </c>
      <c r="M317" s="5" t="s">
        <v>1851</v>
      </c>
      <c r="N317" s="5" t="s">
        <v>2069</v>
      </c>
      <c r="O317" s="5" t="s">
        <v>4475</v>
      </c>
      <c r="P317" s="5" t="s">
        <v>4476</v>
      </c>
      <c r="Q317" s="5" t="s">
        <v>4477</v>
      </c>
      <c r="R317" s="5" t="s">
        <v>4478</v>
      </c>
      <c r="S317" s="5" t="s">
        <v>4479</v>
      </c>
      <c r="T317" s="5" t="s">
        <v>4480</v>
      </c>
      <c r="U317" s="5" t="s">
        <v>4481</v>
      </c>
      <c r="V317" s="5" t="s">
        <v>4482</v>
      </c>
      <c r="W317" s="5" t="s">
        <v>4483</v>
      </c>
      <c r="X317" s="5" t="s">
        <v>15008</v>
      </c>
      <c r="Y317" s="39" t="str">
        <f>IF(OR($A317&lt;&gt;"", $G317=""),"",CONCATENATE(";",EscStr(CONCATENATE("NavNode_",getCategoryLevelAsString($B317))),";",EscStr($J317),";",IF($B317&lt;&gt;"","""MainCategoryNavNode""",EscStr(CONCATENATE("NavNode_",getSuperCategory($B317, getCategoryLevelAsNumber($B317))))),";"))</f>
        <v>;"NavNode_L3D_542715";"Audio cables / Video cables";"NavNode_L2D_542709";</v>
      </c>
      <c r="Z317" s="39" t="str">
        <f>IF(getCategoryLevelAsString($B317)="L0D_324785","",IF(G317="",CONCATENATE(";",EscStr(CONCATENATE("NavNode_",getCategoryLevelAsString($B317))),";",EscStr($J317),";"),CONCATENATE(";",EscStr(CONCATENATE("NavNode_",getCategoryLevelAsString($B317))),";",EscStr(G317),";")))</f>
        <v>;"NavNode_L3D_542715";"Audiokabel / Videokabel";</v>
      </c>
      <c r="AA317" s="39" t="str">
        <f>IF(getCategoryLevelAsString($B317)="L0D_324785","",IF(H317="",CONCATENATE(";",EscStr(CONCATENATE("NavNode_",getCategoryLevelAsString($B317))),";",EscStr($J317),";"),CONCATENATE(";",EscStr(CONCATENATE("NavNode_",getCategoryLevelAsString($B317))),";",EscStr(H317),";")))</f>
        <v>;"NavNode_L3D_542715";"Câbles audio / Câbles vidéo";</v>
      </c>
      <c r="AB317" s="39" t="str">
        <f>IF(getCategoryLevelAsString($B317)="L0D_324785","",IF(I317="",CONCATENATE(";",EscStr(CONCATENATE("NavNode_",getCategoryLevelAsString($B317))),";",EscStr($J317),";"),CONCATENATE(";",EscStr(CONCATENATE("NavNode_",getCategoryLevelAsString($B317))),";",EscStr(I317),";")))</f>
        <v>;"NavNode_L3D_542715";"Cavi audio / cavi video";</v>
      </c>
      <c r="AC317" s="39" t="str">
        <f>IF(getCategoryLevelAsString($B317)="L0D_324785","",IF(J317="",CONCATENATE(";",EscStr(CONCATENATE("NavNode_",getCategoryLevelAsString($B317))),";",EscStr($J317),";"),CONCATENATE(";",EscStr(CONCATENATE("NavNode_",getCategoryLevelAsString($B317))),";",EscStr(J317),";")))</f>
        <v>;"NavNode_L3D_542715";"Audio cables / Video cables";</v>
      </c>
      <c r="AD317" s="39" t="str">
        <f>IF(getCategoryLevelAsString($B317)="L0D_324785","",IF(K317="",CONCATENATE(";",EscStr(CONCATENATE("NavNode_",getCategoryLevelAsString($B317))),";",EscStr($J317),";"),CONCATENATE(";",EscStr(CONCATENATE("NavNode_",getCategoryLevelAsString($B317))),";",EscStr(K317),";")))</f>
        <v>;"NavNode_L3D_542715";"Audio-kabler/video-kabler";</v>
      </c>
      <c r="AE317" s="39" t="str">
        <f>IF(getCategoryLevelAsString($B317)="L0D_324785","",IF(L317="",CONCATENATE(";",EscStr(CONCATENATE("NavNode_",getCategoryLevelAsString($B317))),";",EscStr($J317),";"),CONCATENATE(";",EscStr(CONCATENATE("NavNode_",getCategoryLevelAsString($B317))),";",EscStr(L317),";")))</f>
        <v>;"NavNode_L3D_542715";"Audio kabeliai / Video kabeliai";</v>
      </c>
      <c r="AF317" s="39" t="str">
        <f>IF(getCategoryLevelAsString($B317)="L0D_324785","",IF(M317="",CONCATENATE(";",EscStr(CONCATENATE("NavNode_",getCategoryLevelAsString($B317))),";",EscStr($J317),";"),CONCATENATE(";",EscStr(CONCATENATE("NavNode_",getCategoryLevelAsString($B317))),";",EscStr(M317),";")))</f>
        <v>;"NavNode_L3D_542715";"Lydkabler/videokabler";</v>
      </c>
      <c r="AG317" s="39" t="str">
        <f>IF(getCategoryLevelAsString($B317)="L0D_324785","",IF(N317="",CONCATENATE(";",EscStr(CONCATENATE("NavNode_",getCategoryLevelAsString($B317))),";",EscStr($J317),";"),CONCATENATE(";",EscStr(CONCATENATE("NavNode_",getCategoryLevelAsString($B317))),";",EscStr(N317),";")))</f>
        <v>;"NavNode_L3D_542715";"Ljudkablar/Videokablar";</v>
      </c>
      <c r="AH317" s="39" t="str">
        <f>IF(getCategoryLevelAsString($B317)="L0D_324785","",IF(O317="",CONCATENATE(";",EscStr(CONCATENATE("NavNode_",getCategoryLevelAsString($B317))),";",EscStr($J317),";"),CONCATENATE(";",EscStr(CONCATENATE("NavNode_",getCategoryLevelAsString($B317))),";",EscStr(O317),";")))</f>
        <v>;"NavNode_L3D_542715";"Audiokaablid / Videokaablid";</v>
      </c>
      <c r="AI317" s="39" t="str">
        <f>IF(getCategoryLevelAsString($B317)="L0D_324785","",IF(P317="",CONCATENATE(";",EscStr(CONCATENATE("NavNode_",getCategoryLevelAsString($B317))),";",EscStr($J317),";"),CONCATENATE(";",EscStr(CONCATENATE("NavNode_",getCategoryLevelAsString($B317))),";",EscStr(P317),";")))</f>
        <v>;"NavNode_L3D_542715";"Audio/ Video välijohdot";</v>
      </c>
      <c r="AJ317" s="39" t="str">
        <f>IF(getCategoryLevelAsString($B317)="L0D_324785","",IF(Q317="",CONCATENATE(";",EscStr(CONCATENATE("NavNode_",getCategoryLevelAsString($B317))),";",EscStr($J317),";"),CONCATENATE(";",EscStr(CONCATENATE("NavNode_",getCategoryLevelAsString($B317))),";",EscStr(Q317),";")))</f>
        <v>;"NavNode_L3D_542715";"Audio kabeļi / Video kabeļi";</v>
      </c>
      <c r="AK317" s="39" t="str">
        <f>IF(getCategoryLevelAsString($B317)="L0D_324785","",IF(R317="",CONCATENATE(";",EscStr(CONCATENATE("NavNode_",getCategoryLevelAsString($B317))),";",EscStr($J317),";"),CONCATENATE(";",EscStr(CONCATENATE("NavNode_",getCategoryLevelAsString($B317))),";",EscStr(R317),";")))</f>
        <v>;"NavNode_L3D_542715";"Audio kabels / Video kabels";</v>
      </c>
      <c r="AL317" s="39" t="str">
        <f>IF(getCategoryLevelAsString($B317)="L0D_324785","",IF(S317="",CONCATENATE(";",EscStr(CONCATENATE("NavNode_",getCategoryLevelAsString($B317))),";",EscStr($J317),";"),CONCATENATE(";",EscStr(CONCATENATE("NavNode_",getCategoryLevelAsString($B317))),";",EscStr(S317),";")))</f>
        <v>;"NavNode_L3D_542715";"Kable audio / video";</v>
      </c>
      <c r="AM317" s="39" t="str">
        <f>IF(getCategoryLevelAsString($B317)="L0D_324785","",IF(T317="",CONCATENATE(";",EscStr(CONCATENATE("NavNode_",getCategoryLevelAsString($B317))),";",EscStr($J317),";"),CONCATENATE(";",EscStr(CONCATENATE("NavNode_",getCategoryLevelAsString($B317))),";",EscStr(T317),";")))</f>
        <v>;"NavNode_L3D_542715";"Аудио кабели / Видео кабели";</v>
      </c>
      <c r="AN317" s="39" t="str">
        <f>IF(getCategoryLevelAsString($B317)="L0D_324785","",IF(U317="",CONCATENATE(";",EscStr(CONCATENATE("NavNode_",getCategoryLevelAsString($B317))),";",EscStr($J317),";"),CONCATENATE(";",EscStr(CONCATENATE("NavNode_",getCategoryLevelAsString($B317))),";",EscStr(U317),";")))</f>
        <v>;"NavNode_L3D_542715";"Audio kabel / Video kabel";</v>
      </c>
      <c r="AO317" s="39" t="str">
        <f>IF(getCategoryLevelAsString($B317)="L0D_324785","",IF(V317="",CONCATENATE(";",EscStr(CONCATENATE("NavNode_",getCategoryLevelAsString($B317))),";",EscStr($J317),";"),CONCATENATE(";",EscStr(CONCATENATE("NavNode_",getCategoryLevelAsString($B317))),";",EscStr(V317),";")))</f>
        <v>;"NavNode_L3D_542715";"Cabluri audio / cabluri video";</v>
      </c>
      <c r="AP317" s="39" t="str">
        <f>IF(getCategoryLevelAsString($B317)="L0D_324785","",IF(W317="",CONCATENATE(";",EscStr(CONCATENATE("NavNode_",getCategoryLevelAsString($B317))),";",EscStr($J317),";"),CONCATENATE(";",EscStr(CONCATENATE("NavNode_",getCategoryLevelAsString($B317))),";",EscStr(W317),";")))</f>
        <v>;"NavNode_L3D_542715";"Audiókábel / Videókábel";</v>
      </c>
      <c r="AQ317" s="39" t="str">
        <f>IF(getCategoryLevelAsString($B317)="L0D_324785","",IF(X317="",CONCATENATE(";",EscStr(CONCATENATE("NavNode_",getCategoryLevelAsString($B317))),";",EscStr($J317),";"),CONCATENATE(";",EscStr(CONCATENATE("NavNode_",getCategoryLevelAsString($B317))),";",EscStr(X317),";")))</f>
        <v>;"NavNode_L3D_542715";"Audio kábel / Video kábel";</v>
      </c>
      <c r="AR317" s="39" t="str">
        <f>IF(OR($A317&lt;&gt;"", $G317=""),"",CONCATENATE(";",EscStr(CONCATENATE("NavEntry_",getCategoryLevelAsString($B317))),";",EscStr(CONCATENATE($J317," Navigation Entry")),";",EscStr(CONCATENATE("cat-",getCategoryLevelAsString($B317))),";",EscStr(CONCATENATE("NavNode_",getCategoryLevelAsString($B317))),";"))</f>
        <v>;"NavEntry_L3D_542715";"Audio cables / Video cables Navigation Entry";"cat-L3D_542715";"NavNode_L3D_542715";</v>
      </c>
    </row>
    <row r="318" spans="1:44" s="34" customFormat="1" ht="15" x14ac:dyDescent="0.25">
      <c r="A318" s="25"/>
      <c r="B318" s="5"/>
      <c r="C318" s="5"/>
      <c r="D318" s="5" t="s">
        <v>590</v>
      </c>
      <c r="E318" s="5"/>
      <c r="F318" s="5"/>
      <c r="G318" s="5" t="s">
        <v>1195</v>
      </c>
      <c r="H318" s="5" t="s">
        <v>783</v>
      </c>
      <c r="I318" s="5" t="s">
        <v>649</v>
      </c>
      <c r="J318" s="5" t="s">
        <v>884</v>
      </c>
      <c r="K318" s="5" t="s">
        <v>1414</v>
      </c>
      <c r="L318" s="5" t="s">
        <v>1651</v>
      </c>
      <c r="M318" s="5" t="s">
        <v>1852</v>
      </c>
      <c r="N318" s="5" t="s">
        <v>2070</v>
      </c>
      <c r="O318" s="5" t="s">
        <v>4484</v>
      </c>
      <c r="P318" s="5" t="s">
        <v>4485</v>
      </c>
      <c r="Q318" s="5" t="s">
        <v>4486</v>
      </c>
      <c r="R318" s="5" t="s">
        <v>4487</v>
      </c>
      <c r="S318" s="5" t="s">
        <v>4488</v>
      </c>
      <c r="T318" s="5" t="s">
        <v>4489</v>
      </c>
      <c r="U318" s="5" t="s">
        <v>4490</v>
      </c>
      <c r="V318" s="5" t="s">
        <v>4491</v>
      </c>
      <c r="W318" s="5" t="s">
        <v>4492</v>
      </c>
      <c r="X318" s="5" t="s">
        <v>4490</v>
      </c>
      <c r="Y318" s="39" t="str">
        <f>IF(OR($A318&lt;&gt;"", $G318=""),"",CONCATENATE(";",EscStr(CONCATENATE("NavNode_",getCategoryLevelAsString($B318))),";",EscStr($J318),";",IF($B318&lt;&gt;"","""MainCategoryNavNode""",EscStr(CONCATENATE("NavNode_",getSuperCategory($B318, getCategoryLevelAsNumber($B318))))),";"))</f>
        <v>;"NavNode_L3D_542717";"Connectors / Adapters";"NavNode_L2D_542709";</v>
      </c>
      <c r="Z318" s="39" t="str">
        <f>IF(getCategoryLevelAsString($B318)="L0D_324785","",IF(G318="",CONCATENATE(";",EscStr(CONCATENATE("NavNode_",getCategoryLevelAsString($B318))),";",EscStr($J318),";"),CONCATENATE(";",EscStr(CONCATENATE("NavNode_",getCategoryLevelAsString($B318))),";",EscStr(G318),";")))</f>
        <v>;"NavNode_L3D_542717";"Stecker / Adapter";</v>
      </c>
      <c r="AA318" s="39" t="str">
        <f>IF(getCategoryLevelAsString($B318)="L0D_324785","",IF(H318="",CONCATENATE(";",EscStr(CONCATENATE("NavNode_",getCategoryLevelAsString($B318))),";",EscStr($J318),";"),CONCATENATE(";",EscStr(CONCATENATE("NavNode_",getCategoryLevelAsString($B318))),";",EscStr(H318),";")))</f>
        <v>;"NavNode_L3D_542717";"Connecteurs / Adaptateurs";</v>
      </c>
      <c r="AB318" s="39" t="str">
        <f>IF(getCategoryLevelAsString($B318)="L0D_324785","",IF(I318="",CONCATENATE(";",EscStr(CONCATENATE("NavNode_",getCategoryLevelAsString($B318))),";",EscStr($J318),";"),CONCATENATE(";",EscStr(CONCATENATE("NavNode_",getCategoryLevelAsString($B318))),";",EscStr(I318),";")))</f>
        <v>;"NavNode_L3D_542717";"Connettori / Adattatori";</v>
      </c>
      <c r="AC318" s="39" t="str">
        <f>IF(getCategoryLevelAsString($B318)="L0D_324785","",IF(J318="",CONCATENATE(";",EscStr(CONCATENATE("NavNode_",getCategoryLevelAsString($B318))),";",EscStr($J318),";"),CONCATENATE(";",EscStr(CONCATENATE("NavNode_",getCategoryLevelAsString($B318))),";",EscStr(J318),";")))</f>
        <v>;"NavNode_L3D_542717";"Connectors / Adapters";</v>
      </c>
      <c r="AD318" s="39" t="str">
        <f>IF(getCategoryLevelAsString($B318)="L0D_324785","",IF(K318="",CONCATENATE(";",EscStr(CONCATENATE("NavNode_",getCategoryLevelAsString($B318))),";",EscStr($J318),";"),CONCATENATE(";",EscStr(CONCATENATE("NavNode_",getCategoryLevelAsString($B318))),";",EscStr(K318),";")))</f>
        <v>;"NavNode_L3D_542717";"Stik/adaptere";</v>
      </c>
      <c r="AE318" s="39" t="str">
        <f>IF(getCategoryLevelAsString($B318)="L0D_324785","",IF(L318="",CONCATENATE(";",EscStr(CONCATENATE("NavNode_",getCategoryLevelAsString($B318))),";",EscStr($J318),";"),CONCATENATE(";",EscStr(CONCATENATE("NavNode_",getCategoryLevelAsString($B318))),";",EscStr(L318),";")))</f>
        <v>;"NavNode_L3D_542717";"Jungtys / adapteriai";</v>
      </c>
      <c r="AF318" s="39" t="str">
        <f>IF(getCategoryLevelAsString($B318)="L0D_324785","",IF(M318="",CONCATENATE(";",EscStr(CONCATENATE("NavNode_",getCategoryLevelAsString($B318))),";",EscStr($J318),";"),CONCATENATE(";",EscStr(CONCATENATE("NavNode_",getCategoryLevelAsString($B318))),";",EscStr(M318),";")))</f>
        <v>;"NavNode_L3D_542717";"Kontakter/adaptere";</v>
      </c>
      <c r="AG318" s="39" t="str">
        <f>IF(getCategoryLevelAsString($B318)="L0D_324785","",IF(N318="",CONCATENATE(";",EscStr(CONCATENATE("NavNode_",getCategoryLevelAsString($B318))),";",EscStr($J318),";"),CONCATENATE(";",EscStr(CONCATENATE("NavNode_",getCategoryLevelAsString($B318))),";",EscStr(N318),";")))</f>
        <v>;"NavNode_L3D_542717";"Kontakter/adaptrar";</v>
      </c>
      <c r="AH318" s="39" t="str">
        <f>IF(getCategoryLevelAsString($B318)="L0D_324785","",IF(O318="",CONCATENATE(";",EscStr(CONCATENATE("NavNode_",getCategoryLevelAsString($B318))),";",EscStr($J318),";"),CONCATENATE(";",EscStr(CONCATENATE("NavNode_",getCategoryLevelAsString($B318))),";",EscStr(O318),";")))</f>
        <v>;"NavNode_L3D_542717";"Ühendused / Adapterid";</v>
      </c>
      <c r="AI318" s="39" t="str">
        <f>IF(getCategoryLevelAsString($B318)="L0D_324785","",IF(P318="",CONCATENATE(";",EscStr(CONCATENATE("NavNode_",getCategoryLevelAsString($B318))),";",EscStr($J318),";"),CONCATENATE(";",EscStr(CONCATENATE("NavNode_",getCategoryLevelAsString($B318))),";",EscStr(P318),";")))</f>
        <v>;"NavNode_L3D_542717";"Liittimet/ sovittimet";</v>
      </c>
      <c r="AJ318" s="39" t="str">
        <f>IF(getCategoryLevelAsString($B318)="L0D_324785","",IF(Q318="",CONCATENATE(";",EscStr(CONCATENATE("NavNode_",getCategoryLevelAsString($B318))),";",EscStr($J318),";"),CONCATENATE(";",EscStr(CONCATENATE("NavNode_",getCategoryLevelAsString($B318))),";",EscStr(Q318),";")))</f>
        <v>;"NavNode_L3D_542717";"Konektori / Adapteri";</v>
      </c>
      <c r="AK318" s="39" t="str">
        <f>IF(getCategoryLevelAsString($B318)="L0D_324785","",IF(R318="",CONCATENATE(";",EscStr(CONCATENATE("NavNode_",getCategoryLevelAsString($B318))),";",EscStr($J318),";"),CONCATENATE(";",EscStr(CONCATENATE("NavNode_",getCategoryLevelAsString($B318))),";",EscStr(R318),";")))</f>
        <v>;"NavNode_L3D_542717";"Connectoren / Adapters";</v>
      </c>
      <c r="AL318" s="39" t="str">
        <f>IF(getCategoryLevelAsString($B318)="L0D_324785","",IF(S318="",CONCATENATE(";",EscStr(CONCATENATE("NavNode_",getCategoryLevelAsString($B318))),";",EscStr($J318),";"),CONCATENATE(";",EscStr(CONCATENATE("NavNode_",getCategoryLevelAsString($B318))),";",EscStr(S318),";")))</f>
        <v>;"NavNode_L3D_542717";"Złącza / Adaptery";</v>
      </c>
      <c r="AM318" s="39" t="str">
        <f>IF(getCategoryLevelAsString($B318)="L0D_324785","",IF(T318="",CONCATENATE(";",EscStr(CONCATENATE("NavNode_",getCategoryLevelAsString($B318))),";",EscStr($J318),";"),CONCATENATE(";",EscStr(CONCATENATE("NavNode_",getCategoryLevelAsString($B318))),";",EscStr(T318),";")))</f>
        <v>;"NavNode_L3D_542717";"Разъемы / Адаптеры";</v>
      </c>
      <c r="AN318" s="39" t="str">
        <f>IF(getCategoryLevelAsString($B318)="L0D_324785","",IF(U318="",CONCATENATE(";",EscStr(CONCATENATE("NavNode_",getCategoryLevelAsString($B318))),";",EscStr($J318),";"),CONCATENATE(";",EscStr(CONCATENATE("NavNode_",getCategoryLevelAsString($B318))),";",EscStr(U318),";")))</f>
        <v>;"NavNode_L3D_542717";"Konektor / Adaptér";</v>
      </c>
      <c r="AO318" s="39" t="str">
        <f>IF(getCategoryLevelAsString($B318)="L0D_324785","",IF(V318="",CONCATENATE(";",EscStr(CONCATENATE("NavNode_",getCategoryLevelAsString($B318))),";",EscStr($J318),";"),CONCATENATE(";",EscStr(CONCATENATE("NavNode_",getCategoryLevelAsString($B318))),";",EscStr(V318),";")))</f>
        <v>;"NavNode_L3D_542717";"Plug-in / adaptor";</v>
      </c>
      <c r="AP318" s="39" t="str">
        <f>IF(getCategoryLevelAsString($B318)="L0D_324785","",IF(W318="",CONCATENATE(";",EscStr(CONCATENATE("NavNode_",getCategoryLevelAsString($B318))),";",EscStr($J318),";"),CONCATENATE(";",EscStr(CONCATENATE("NavNode_",getCategoryLevelAsString($B318))),";",EscStr(W318),";")))</f>
        <v>;"NavNode_L3D_542717";"Csatlakozó / Adapter";</v>
      </c>
      <c r="AQ318" s="39" t="str">
        <f>IF(getCategoryLevelAsString($B318)="L0D_324785","",IF(X318="",CONCATENATE(";",EscStr(CONCATENATE("NavNode_",getCategoryLevelAsString($B318))),";",EscStr($J318),";"),CONCATENATE(";",EscStr(CONCATENATE("NavNode_",getCategoryLevelAsString($B318))),";",EscStr(X318),";")))</f>
        <v>;"NavNode_L3D_542717";"Konektor / Adaptér";</v>
      </c>
      <c r="AR318" s="39" t="str">
        <f>IF(OR($A318&lt;&gt;"", $G318=""),"",CONCATENATE(";",EscStr(CONCATENATE("NavEntry_",getCategoryLevelAsString($B318))),";",EscStr(CONCATENATE($J318," Navigation Entry")),";",EscStr(CONCATENATE("cat-",getCategoryLevelAsString($B318))),";",EscStr(CONCATENATE("NavNode_",getCategoryLevelAsString($B318))),";"))</f>
        <v>;"NavEntry_L3D_542717";"Connectors / Adapters Navigation Entry";"cat-L3D_542717";"NavNode_L3D_542717";</v>
      </c>
    </row>
    <row r="319" spans="1:44" s="34" customFormat="1" ht="15" x14ac:dyDescent="0.25">
      <c r="A319" s="25"/>
      <c r="B319" s="5"/>
      <c r="C319" s="5"/>
      <c r="D319" s="5" t="s">
        <v>591</v>
      </c>
      <c r="E319" s="5"/>
      <c r="F319" s="5"/>
      <c r="G319" s="5" t="s">
        <v>1021</v>
      </c>
      <c r="H319" s="5" t="s">
        <v>1099</v>
      </c>
      <c r="I319" s="5" t="s">
        <v>1158</v>
      </c>
      <c r="J319" s="5" t="s">
        <v>885</v>
      </c>
      <c r="K319" s="5" t="s">
        <v>1415</v>
      </c>
      <c r="L319" s="5" t="s">
        <v>1652</v>
      </c>
      <c r="M319" s="5" t="s">
        <v>1853</v>
      </c>
      <c r="N319" s="5" t="s">
        <v>2071</v>
      </c>
      <c r="O319" s="5" t="s">
        <v>4493</v>
      </c>
      <c r="P319" s="5" t="s">
        <v>4494</v>
      </c>
      <c r="Q319" s="5" t="s">
        <v>4495</v>
      </c>
      <c r="R319" s="5" t="s">
        <v>4496</v>
      </c>
      <c r="S319" s="5" t="s">
        <v>4497</v>
      </c>
      <c r="T319" s="5" t="s">
        <v>4498</v>
      </c>
      <c r="U319" s="5" t="s">
        <v>4499</v>
      </c>
      <c r="V319" s="5" t="s">
        <v>4500</v>
      </c>
      <c r="W319" s="5" t="s">
        <v>4501</v>
      </c>
      <c r="X319" s="5" t="s">
        <v>4499</v>
      </c>
      <c r="Y319" s="39" t="str">
        <f>IF(OR($A319&lt;&gt;"", $G319=""),"",CONCATENATE(";",EscStr(CONCATENATE("NavNode_",getCategoryLevelAsString($B319))),";",EscStr($J319),";",IF($B319&lt;&gt;"","""MainCategoryNavNode""",EscStr(CONCATENATE("NavNode_",getSuperCategory($B319, getCategoryLevelAsNumber($B319))))),";"))</f>
        <v>;"NavNode_L3D_542719";"UPS Power Supplies";"NavNode_L2D_542709";</v>
      </c>
      <c r="Z319" s="39" t="str">
        <f>IF(getCategoryLevelAsString($B319)="L0D_324785","",IF(G319="",CONCATENATE(";",EscStr(CONCATENATE("NavNode_",getCategoryLevelAsString($B319))),";",EscStr($J319),";"),CONCATENATE(";",EscStr(CONCATENATE("NavNode_",getCategoryLevelAsString($B319))),";",EscStr(G319),";")))</f>
        <v>;"NavNode_L3D_542719";"USV Stromversorgung";</v>
      </c>
      <c r="AA319" s="39" t="str">
        <f>IF(getCategoryLevelAsString($B319)="L0D_324785","",IF(H319="",CONCATENATE(";",EscStr(CONCATENATE("NavNode_",getCategoryLevelAsString($B319))),";",EscStr($J319),";"),CONCATENATE(";",EscStr(CONCATENATE("NavNode_",getCategoryLevelAsString($B319))),";",EscStr(H319),";")))</f>
        <v>;"NavNode_L3D_542719";"Alimentations sans interruption";</v>
      </c>
      <c r="AB319" s="39" t="str">
        <f>IF(getCategoryLevelAsString($B319)="L0D_324785","",IF(I319="",CONCATENATE(";",EscStr(CONCATENATE("NavNode_",getCategoryLevelAsString($B319))),";",EscStr($J319),";"),CONCATENATE(";",EscStr(CONCATENATE("NavNode_",getCategoryLevelAsString($B319))),";",EscStr(I319),";")))</f>
        <v>;"NavNode_L3D_542719";"Alimentatori UPS";</v>
      </c>
      <c r="AC319" s="39" t="str">
        <f>IF(getCategoryLevelAsString($B319)="L0D_324785","",IF(J319="",CONCATENATE(";",EscStr(CONCATENATE("NavNode_",getCategoryLevelAsString($B319))),";",EscStr($J319),";"),CONCATENATE(";",EscStr(CONCATENATE("NavNode_",getCategoryLevelAsString($B319))),";",EscStr(J319),";")))</f>
        <v>;"NavNode_L3D_542719";"UPS Power Supplies";</v>
      </c>
      <c r="AD319" s="39" t="str">
        <f>IF(getCategoryLevelAsString($B319)="L0D_324785","",IF(K319="",CONCATENATE(";",EscStr(CONCATENATE("NavNode_",getCategoryLevelAsString($B319))),";",EscStr($J319),";"),CONCATENATE(";",EscStr(CONCATENATE("NavNode_",getCategoryLevelAsString($B319))),";",EscStr(K319),";")))</f>
        <v>;"NavNode_L3D_542719";"LED-strømforsyning";</v>
      </c>
      <c r="AE319" s="39" t="str">
        <f>IF(getCategoryLevelAsString($B319)="L0D_324785","",IF(L319="",CONCATENATE(";",EscStr(CONCATENATE("NavNode_",getCategoryLevelAsString($B319))),";",EscStr($J319),";"),CONCATENATE(";",EscStr(CONCATENATE("NavNode_",getCategoryLevelAsString($B319))),";",EscStr(L319),";")))</f>
        <v>;"NavNode_L3D_542719";"UPS maitinimo šaltiniai";</v>
      </c>
      <c r="AF319" s="39" t="str">
        <f>IF(getCategoryLevelAsString($B319)="L0D_324785","",IF(M319="",CONCATENATE(";",EscStr(CONCATENATE("NavNode_",getCategoryLevelAsString($B319))),";",EscStr($J319),";"),CONCATENATE(";",EscStr(CONCATENATE("NavNode_",getCategoryLevelAsString($B319))),";",EscStr(M319),";")))</f>
        <v>;"NavNode_L3D_542719";"UPS-strømforsyning";</v>
      </c>
      <c r="AG319" s="39" t="str">
        <f>IF(getCategoryLevelAsString($B319)="L0D_324785","",IF(N319="",CONCATENATE(";",EscStr(CONCATENATE("NavNode_",getCategoryLevelAsString($B319))),";",EscStr($J319),";"),CONCATENATE(";",EscStr(CONCATENATE("NavNode_",getCategoryLevelAsString($B319))),";",EscStr(N319),";")))</f>
        <v>;"NavNode_L3D_542719";"UPS-strömförsörjningar";</v>
      </c>
      <c r="AH319" s="39" t="str">
        <f>IF(getCategoryLevelAsString($B319)="L0D_324785","",IF(O319="",CONCATENATE(";",EscStr(CONCATENATE("NavNode_",getCategoryLevelAsString($B319))),";",EscStr($J319),";"),CONCATENATE(";",EscStr(CONCATENATE("NavNode_",getCategoryLevelAsString($B319))),";",EscStr(O319),";")))</f>
        <v>;"NavNode_L3D_542719";"Katkematu pinge allikad";</v>
      </c>
      <c r="AI319" s="39" t="str">
        <f>IF(getCategoryLevelAsString($B319)="L0D_324785","",IF(P319="",CONCATENATE(";",EscStr(CONCATENATE("NavNode_",getCategoryLevelAsString($B319))),";",EscStr($J319),";"),CONCATENATE(";",EscStr(CONCATENATE("NavNode_",getCategoryLevelAsString($B319))),";",EscStr(P319),";")))</f>
        <v>;"NavNode_L3D_542719";"UPS Virtavarmistuslaitteet";</v>
      </c>
      <c r="AJ319" s="39" t="str">
        <f>IF(getCategoryLevelAsString($B319)="L0D_324785","",IF(Q319="",CONCATENATE(";",EscStr(CONCATENATE("NavNode_",getCategoryLevelAsString($B319))),";",EscStr($J319),";"),CONCATENATE(";",EscStr(CONCATENATE("NavNode_",getCategoryLevelAsString($B319))),";",EscStr(Q319),";")))</f>
        <v>;"NavNode_L3D_542719";"UPS barošanas avoti";</v>
      </c>
      <c r="AK319" s="39" t="str">
        <f>IF(getCategoryLevelAsString($B319)="L0D_324785","",IF(R319="",CONCATENATE(";",EscStr(CONCATENATE("NavNode_",getCategoryLevelAsString($B319))),";",EscStr($J319),";"),CONCATENATE(";",EscStr(CONCATENATE("NavNode_",getCategoryLevelAsString($B319))),";",EscStr(R319),";")))</f>
        <v>;"NavNode_L3D_542719";"UPS voedingen";</v>
      </c>
      <c r="AL319" s="39" t="str">
        <f>IF(getCategoryLevelAsString($B319)="L0D_324785","",IF(S319="",CONCATENATE(";",EscStr(CONCATENATE("NavNode_",getCategoryLevelAsString($B319))),";",EscStr($J319),";"),CONCATENATE(";",EscStr(CONCATENATE("NavNode_",getCategoryLevelAsString($B319))),";",EscStr(S319),";")))</f>
        <v>;"NavNode_L3D_542719";"Zasilacze  UPS";</v>
      </c>
      <c r="AM319" s="39" t="str">
        <f>IF(getCategoryLevelAsString($B319)="L0D_324785","",IF(T319="",CONCATENATE(";",EscStr(CONCATENATE("NavNode_",getCategoryLevelAsString($B319))),";",EscStr($J319),";"),CONCATENATE(";",EscStr(CONCATENATE("NavNode_",getCategoryLevelAsString($B319))),";",EscStr(T319),";")))</f>
        <v>;"NavNode_L3D_542719";"UPS Источники питания";</v>
      </c>
      <c r="AN319" s="39" t="str">
        <f>IF(getCategoryLevelAsString($B319)="L0D_324785","",IF(U319="",CONCATENATE(";",EscStr(CONCATENATE("NavNode_",getCategoryLevelAsString($B319))),";",EscStr($J319),";"),CONCATENATE(";",EscStr(CONCATENATE("NavNode_",getCategoryLevelAsString($B319))),";",EscStr(U319),";")))</f>
        <v>;"NavNode_L3D_542719";"UPS zdroje";</v>
      </c>
      <c r="AO319" s="39" t="str">
        <f>IF(getCategoryLevelAsString($B319)="L0D_324785","",IF(V319="",CONCATENATE(";",EscStr(CONCATENATE("NavNode_",getCategoryLevelAsString($B319))),";",EscStr($J319),";"),CONCATENATE(";",EscStr(CONCATENATE("NavNode_",getCategoryLevelAsString($B319))),";",EscStr(V319),";")))</f>
        <v>;"NavNode_L3D_542719";"UPS sursă de alimentare";</v>
      </c>
      <c r="AP319" s="39" t="str">
        <f>IF(getCategoryLevelAsString($B319)="L0D_324785","",IF(W319="",CONCATENATE(";",EscStr(CONCATENATE("NavNode_",getCategoryLevelAsString($B319))),";",EscStr($J319),";"),CONCATENATE(";",EscStr(CONCATENATE("NavNode_",getCategoryLevelAsString($B319))),";",EscStr(W319),";")))</f>
        <v>;"NavNode_L3D_542719";"Szünetmentes tápegységek";</v>
      </c>
      <c r="AQ319" s="39" t="str">
        <f>IF(getCategoryLevelAsString($B319)="L0D_324785","",IF(X319="",CONCATENATE(";",EscStr(CONCATENATE("NavNode_",getCategoryLevelAsString($B319))),";",EscStr($J319),";"),CONCATENATE(";",EscStr(CONCATENATE("NavNode_",getCategoryLevelAsString($B319))),";",EscStr(X319),";")))</f>
        <v>;"NavNode_L3D_542719";"UPS zdroje";</v>
      </c>
      <c r="AR319" s="39" t="str">
        <f>IF(OR($A319&lt;&gt;"", $G319=""),"",CONCATENATE(";",EscStr(CONCATENATE("NavEntry_",getCategoryLevelAsString($B319))),";",EscStr(CONCATENATE($J319," Navigation Entry")),";",EscStr(CONCATENATE("cat-",getCategoryLevelAsString($B319))),";",EscStr(CONCATENATE("NavNode_",getCategoryLevelAsString($B319))),";"))</f>
        <v>;"NavEntry_L3D_542719";"UPS Power Supplies Navigation Entry";"cat-L3D_542719";"NavNode_L3D_542719";</v>
      </c>
    </row>
    <row r="320" spans="1:44" s="34" customFormat="1" ht="15" x14ac:dyDescent="0.25">
      <c r="A320" s="25"/>
      <c r="B320" s="5"/>
      <c r="C320" s="5"/>
      <c r="D320" s="5" t="s">
        <v>592</v>
      </c>
      <c r="E320" s="5"/>
      <c r="F320" s="5"/>
      <c r="G320" s="5" t="s">
        <v>1022</v>
      </c>
      <c r="H320" s="5" t="s">
        <v>784</v>
      </c>
      <c r="I320" s="5" t="s">
        <v>650</v>
      </c>
      <c r="J320" s="5" t="s">
        <v>886</v>
      </c>
      <c r="K320" s="5" t="s">
        <v>1416</v>
      </c>
      <c r="L320" s="5" t="s">
        <v>15223</v>
      </c>
      <c r="M320" s="5" t="s">
        <v>1854</v>
      </c>
      <c r="N320" s="5" t="s">
        <v>2072</v>
      </c>
      <c r="O320" s="5" t="s">
        <v>886</v>
      </c>
      <c r="P320" s="5" t="s">
        <v>4502</v>
      </c>
      <c r="Q320" s="5" t="s">
        <v>4503</v>
      </c>
      <c r="R320" s="5" t="s">
        <v>4504</v>
      </c>
      <c r="S320" s="5" t="s">
        <v>4505</v>
      </c>
      <c r="T320" s="5" t="s">
        <v>4506</v>
      </c>
      <c r="U320" s="5" t="s">
        <v>4507</v>
      </c>
      <c r="V320" s="5" t="s">
        <v>4508</v>
      </c>
      <c r="W320" s="5" t="s">
        <v>4509</v>
      </c>
      <c r="X320" s="5" t="s">
        <v>15009</v>
      </c>
      <c r="Y320" s="39" t="str">
        <f>IF(OR($A320&lt;&gt;"", $G320=""),"",CONCATENATE(";",EscStr(CONCATENATE("NavNode_",getCategoryLevelAsString($B320))),";",EscStr($J320),";",IF($B320&lt;&gt;"","""MainCategoryNavNode""",EscStr(CONCATENATE("NavNode_",getSuperCategory($B320, getCategoryLevelAsNumber($B320))))),";"))</f>
        <v>;"NavNode_L3D_542721";"Power Strips / Protective Attachments";"NavNode_L2D_542709";</v>
      </c>
      <c r="Z320" s="39" t="str">
        <f>IF(getCategoryLevelAsString($B320)="L0D_324785","",IF(G320="",CONCATENATE(";",EscStr(CONCATENATE("NavNode_",getCategoryLevelAsString($B320))),";",EscStr($J320),";"),CONCATENATE(";",EscStr(CONCATENATE("NavNode_",getCategoryLevelAsString($B320))),";",EscStr(G320),";")))</f>
        <v>;"NavNode_L3D_542721";"Steckdosenleisten / Überspannungsschutz";</v>
      </c>
      <c r="AA320" s="39" t="str">
        <f>IF(getCategoryLevelAsString($B320)="L0D_324785","",IF(H320="",CONCATENATE(";",EscStr(CONCATENATE("NavNode_",getCategoryLevelAsString($B320))),";",EscStr($J320),";"),CONCATENATE(";",EscStr(CONCATENATE("NavNode_",getCategoryLevelAsString($B320))),";",EscStr(H320),";")))</f>
        <v>;"NavNode_L3D_542721";"Prises multiples / Attaches de protection";</v>
      </c>
      <c r="AB320" s="39" t="str">
        <f>IF(getCategoryLevelAsString($B320)="L0D_324785","",IF(I320="",CONCATENATE(";",EscStr(CONCATENATE("NavNode_",getCategoryLevelAsString($B320))),";",EscStr($J320),";"),CONCATENATE(";",EscStr(CONCATENATE("NavNode_",getCategoryLevelAsString($B320))),";",EscStr(I320),";")))</f>
        <v>;"NavNode_L3D_542721";"Ciabatte multipresa / accessori di protezione";</v>
      </c>
      <c r="AC320" s="39" t="str">
        <f>IF(getCategoryLevelAsString($B320)="L0D_324785","",IF(J320="",CONCATENATE(";",EscStr(CONCATENATE("NavNode_",getCategoryLevelAsString($B320))),";",EscStr($J320),";"),CONCATENATE(";",EscStr(CONCATENATE("NavNode_",getCategoryLevelAsString($B320))),";",EscStr(J320),";")))</f>
        <v>;"NavNode_L3D_542721";"Power Strips / Protective Attachments";</v>
      </c>
      <c r="AD320" s="39" t="str">
        <f>IF(getCategoryLevelAsString($B320)="L0D_324785","",IF(K320="",CONCATENATE(";",EscStr(CONCATENATE("NavNode_",getCategoryLevelAsString($B320))),";",EscStr($J320),";"),CONCATENATE(";",EscStr(CONCATENATE("NavNode_",getCategoryLevelAsString($B320))),";",EscStr(K320),";")))</f>
        <v>;"NavNode_L3D_542721";"Multistikdåser/beskyttende udstyr";</v>
      </c>
      <c r="AE320" s="39" t="str">
        <f>IF(getCategoryLevelAsString($B320)="L0D_324785","",IF(L320="",CONCATENATE(";",EscStr(CONCATENATE("NavNode_",getCategoryLevelAsString($B320))),";",EscStr($J320),";"),CONCATENATE(";",EscStr(CONCATENATE("NavNode_",getCategoryLevelAsString($B320))),";",EscStr(L320),";")))</f>
        <v>;"NavNode_L3D_542721";"Šakotuvai / Apsauginiai priedai";</v>
      </c>
      <c r="AF320" s="39" t="str">
        <f>IF(getCategoryLevelAsString($B320)="L0D_324785","",IF(M320="",CONCATENATE(";",EscStr(CONCATENATE("NavNode_",getCategoryLevelAsString($B320))),";",EscStr($J320),";"),CONCATENATE(";",EscStr(CONCATENATE("NavNode_",getCategoryLevelAsString($B320))),";",EscStr(M320),";")))</f>
        <v>;"NavNode_L3D_542721";"Strømlister/sikkerhetstilbehør";</v>
      </c>
      <c r="AG320" s="39" t="str">
        <f>IF(getCategoryLevelAsString($B320)="L0D_324785","",IF(N320="",CONCATENATE(";",EscStr(CONCATENATE("NavNode_",getCategoryLevelAsString($B320))),";",EscStr($J320),";"),CONCATENATE(";",EscStr(CONCATENATE("NavNode_",getCategoryLevelAsString($B320))),";",EscStr(N320),";")))</f>
        <v>;"NavNode_L3D_542721";"Grenuttag/Skyddskomponenter";</v>
      </c>
      <c r="AH320" s="39" t="str">
        <f>IF(getCategoryLevelAsString($B320)="L0D_324785","",IF(O320="",CONCATENATE(";",EscStr(CONCATENATE("NavNode_",getCategoryLevelAsString($B320))),";",EscStr($J320),";"),CONCATENATE(";",EscStr(CONCATENATE("NavNode_",getCategoryLevelAsString($B320))),";",EscStr(O320),";")))</f>
        <v>;"NavNode_L3D_542721";"Power Strips / Protective Attachments";</v>
      </c>
      <c r="AI320" s="39" t="str">
        <f>IF(getCategoryLevelAsString($B320)="L0D_324785","",IF(P320="",CONCATENATE(";",EscStr(CONCATENATE("NavNode_",getCategoryLevelAsString($B320))),";",EscStr($J320),";"),CONCATENATE(";",EscStr(CONCATENATE("NavNode_",getCategoryLevelAsString($B320))),";",EscStr(P320),";")))</f>
        <v>;"NavNode_L3D_542721";"Jatkojohdot/suojat";</v>
      </c>
      <c r="AJ320" s="39" t="str">
        <f>IF(getCategoryLevelAsString($B320)="L0D_324785","",IF(Q320="",CONCATENATE(";",EscStr(CONCATENATE("NavNode_",getCategoryLevelAsString($B320))),";",EscStr($J320),";"),CONCATENATE(";",EscStr(CONCATENATE("NavNode_",getCategoryLevelAsString($B320))),";",EscStr(Q320),";")))</f>
        <v>;"NavNode_L3D_542721";"Pagarinātāji / Aizsardzības piederumi";</v>
      </c>
      <c r="AK320" s="39" t="str">
        <f>IF(getCategoryLevelAsString($B320)="L0D_324785","",IF(R320="",CONCATENATE(";",EscStr(CONCATENATE("NavNode_",getCategoryLevelAsString($B320))),";",EscStr($J320),";"),CONCATENATE(";",EscStr(CONCATENATE("NavNode_",getCategoryLevelAsString($B320))),";",EscStr(R320),";")))</f>
        <v>;"NavNode_L3D_542721";"Stekkerdozen / Overspanningsbeveiliging";</v>
      </c>
      <c r="AL320" s="39" t="str">
        <f>IF(getCategoryLevelAsString($B320)="L0D_324785","",IF(S320="",CONCATENATE(";",EscStr(CONCATENATE("NavNode_",getCategoryLevelAsString($B320))),";",EscStr($J320),";"),CONCATENATE(";",EscStr(CONCATENATE("NavNode_",getCategoryLevelAsString($B320))),";",EscStr(S320),";")))</f>
        <v>;"NavNode_L3D_542721";"Listwy zasilające / Urządzenia zabezpieczające";</v>
      </c>
      <c r="AM320" s="39" t="str">
        <f>IF(getCategoryLevelAsString($B320)="L0D_324785","",IF(T320="",CONCATENATE(";",EscStr(CONCATENATE("NavNode_",getCategoryLevelAsString($B320))),";",EscStr($J320),";"),CONCATENATE(";",EscStr(CONCATENATE("NavNode_",getCategoryLevelAsString($B320))),";",EscStr(T320),";")))</f>
        <v>;"NavNode_L3D_542721";"Удлинители  / Защитные принадлежности";</v>
      </c>
      <c r="AN320" s="39" t="str">
        <f>IF(getCategoryLevelAsString($B320)="L0D_324785","",IF(U320="",CONCATENATE(";",EscStr(CONCATENATE("NavNode_",getCategoryLevelAsString($B320))),";",EscStr($J320),";"),CONCATENATE(";",EscStr(CONCATENATE("NavNode_",getCategoryLevelAsString($B320))),";",EscStr(U320),";")))</f>
        <v>;"NavNode_L3D_542721";"Rozdvojky / Ochrana proti přepětí";</v>
      </c>
      <c r="AO320" s="39" t="str">
        <f>IF(getCategoryLevelAsString($B320)="L0D_324785","",IF(V320="",CONCATENATE(";",EscStr(CONCATENATE("NavNode_",getCategoryLevelAsString($B320))),";",EscStr($J320),";"),CONCATENATE(";",EscStr(CONCATENATE("NavNode_",getCategoryLevelAsString($B320))),";",EscStr(V320),";")))</f>
        <v>;"NavNode_L3D_542721";"Benzi pentru prize / protecţie la supratensiuni";</v>
      </c>
      <c r="AP320" s="39" t="str">
        <f>IF(getCategoryLevelAsString($B320)="L0D_324785","",IF(W320="",CONCATENATE(";",EscStr(CONCATENATE("NavNode_",getCategoryLevelAsString($B320))),";",EscStr($J320),";"),CONCATENATE(";",EscStr(CONCATENATE("NavNode_",getCategoryLevelAsString($B320))),";",EscStr(W320),";")))</f>
        <v>;"NavNode_L3D_542721";"Hálózati elosztók / túlfeszültségvédelem";</v>
      </c>
      <c r="AQ320" s="39" t="str">
        <f>IF(getCategoryLevelAsString($B320)="L0D_324785","",IF(X320="",CONCATENATE(";",EscStr(CONCATENATE("NavNode_",getCategoryLevelAsString($B320))),";",EscStr($J320),";"),CONCATENATE(";",EscStr(CONCATENATE("NavNode_",getCategoryLevelAsString($B320))),";",EscStr(X320),";")))</f>
        <v>;"NavNode_L3D_542721";"Rozdvojky / Ochrana proti prepätiu";</v>
      </c>
      <c r="AR320" s="39" t="str">
        <f>IF(OR($A320&lt;&gt;"", $G320=""),"",CONCATENATE(";",EscStr(CONCATENATE("NavEntry_",getCategoryLevelAsString($B320))),";",EscStr(CONCATENATE($J320," Navigation Entry")),";",EscStr(CONCATENATE("cat-",getCategoryLevelAsString($B320))),";",EscStr(CONCATENATE("NavNode_",getCategoryLevelAsString($B320))),";"))</f>
        <v>;"NavEntry_L3D_542721";"Power Strips / Protective Attachments Navigation Entry";"cat-L3D_542721";"NavNode_L3D_542721";</v>
      </c>
    </row>
    <row r="321" spans="1:44" s="34" customFormat="1" ht="15" x14ac:dyDescent="0.25">
      <c r="A321" s="25"/>
      <c r="B321" s="5"/>
      <c r="C321" s="5" t="s">
        <v>609</v>
      </c>
      <c r="D321" s="5"/>
      <c r="E321" s="5"/>
      <c r="F321" s="5"/>
      <c r="G321" s="5" t="s">
        <v>1029</v>
      </c>
      <c r="H321" s="5" t="s">
        <v>794</v>
      </c>
      <c r="I321" s="5" t="s">
        <v>691</v>
      </c>
      <c r="J321" s="5" t="s">
        <v>894</v>
      </c>
      <c r="K321" s="5" t="s">
        <v>1424</v>
      </c>
      <c r="L321" s="5" t="s">
        <v>15224</v>
      </c>
      <c r="M321" s="5" t="s">
        <v>1864</v>
      </c>
      <c r="N321" s="5" t="s">
        <v>2082</v>
      </c>
      <c r="O321" s="5" t="s">
        <v>4587</v>
      </c>
      <c r="P321" s="5" t="s">
        <v>4588</v>
      </c>
      <c r="Q321" s="5" t="s">
        <v>4589</v>
      </c>
      <c r="R321" s="5" t="s">
        <v>4590</v>
      </c>
      <c r="S321" s="5" t="s">
        <v>4591</v>
      </c>
      <c r="T321" s="5" t="s">
        <v>4592</v>
      </c>
      <c r="U321" s="5" t="s">
        <v>4593</v>
      </c>
      <c r="V321" s="5" t="s">
        <v>4594</v>
      </c>
      <c r="W321" s="5" t="s">
        <v>4595</v>
      </c>
      <c r="X321" s="5" t="s">
        <v>15010</v>
      </c>
      <c r="Y321" s="39" t="str">
        <f>IF(OR($A321&lt;&gt;"", $G321=""),"",CONCATENATE(";",EscStr(CONCATENATE("NavNode_",getCategoryLevelAsString($B321))),";",EscStr($J321),";",IF($B321&lt;&gt;"","""MainCategoryNavNode""",EscStr(CONCATENATE("NavNode_",getSuperCategory($B321, getCategoryLevelAsNumber($B321))))),";"))</f>
        <v>;"NavNode_L2D_542667";"Multimedia / Presentation";"NavNode_Cable Assemblies / Audio / Video";</v>
      </c>
      <c r="Z321" s="39" t="str">
        <f>IF(getCategoryLevelAsString($B321)="L0D_324785","",IF(G321="",CONCATENATE(";",EscStr(CONCATENATE("NavNode_",getCategoryLevelAsString($B321))),";",EscStr($J321),";"),CONCATENATE(";",EscStr(CONCATENATE("NavNode_",getCategoryLevelAsString($B321))),";",EscStr(G321),";")))</f>
        <v>;"NavNode_L2D_542667";"Multimedia und Präsentation";</v>
      </c>
      <c r="AA321" s="39" t="str">
        <f>IF(getCategoryLevelAsString($B321)="L0D_324785","",IF(H321="",CONCATENATE(";",EscStr(CONCATENATE("NavNode_",getCategoryLevelAsString($B321))),";",EscStr($J321),";"),CONCATENATE(";",EscStr(CONCATENATE("NavNode_",getCategoryLevelAsString($B321))),";",EscStr(H321),";")))</f>
        <v>;"NavNode_L2D_542667";"Multimédia / Présentation";</v>
      </c>
      <c r="AB321" s="39" t="str">
        <f>IF(getCategoryLevelAsString($B321)="L0D_324785","",IF(I321="",CONCATENATE(";",EscStr(CONCATENATE("NavNode_",getCategoryLevelAsString($B321))),";",EscStr($J321),";"),CONCATENATE(";",EscStr(CONCATENATE("NavNode_",getCategoryLevelAsString($B321))),";",EscStr(I321),";")))</f>
        <v>;"NavNode_L2D_542667";"Multimedialità / presentazione";</v>
      </c>
      <c r="AC321" s="39" t="str">
        <f>IF(getCategoryLevelAsString($B321)="L0D_324785","",IF(J321="",CONCATENATE(";",EscStr(CONCATENATE("NavNode_",getCategoryLevelAsString($B321))),";",EscStr($J321),";"),CONCATENATE(";",EscStr(CONCATENATE("NavNode_",getCategoryLevelAsString($B321))),";",EscStr(J321),";")))</f>
        <v>;"NavNode_L2D_542667";"Multimedia / Presentation";</v>
      </c>
      <c r="AD321" s="39" t="str">
        <f>IF(getCategoryLevelAsString($B321)="L0D_324785","",IF(K321="",CONCATENATE(";",EscStr(CONCATENATE("NavNode_",getCategoryLevelAsString($B321))),";",EscStr($J321),";"),CONCATENATE(";",EscStr(CONCATENATE("NavNode_",getCategoryLevelAsString($B321))),";",EscStr(K321),";")))</f>
        <v>;"NavNode_L2D_542667";"Multimedia/præsentation";</v>
      </c>
      <c r="AE321" s="39" t="str">
        <f>IF(getCategoryLevelAsString($B321)="L0D_324785","",IF(L321="",CONCATENATE(";",EscStr(CONCATENATE("NavNode_",getCategoryLevelAsString($B321))),";",EscStr($J321),";"),CONCATENATE(";",EscStr(CONCATENATE("NavNode_",getCategoryLevelAsString($B321))),";",EscStr(L321),";")))</f>
        <v>;"NavNode_L2D_542667";"Multimedija / Priedai";</v>
      </c>
      <c r="AF321" s="39" t="str">
        <f>IF(getCategoryLevelAsString($B321)="L0D_324785","",IF(M321="",CONCATENATE(";",EscStr(CONCATENATE("NavNode_",getCategoryLevelAsString($B321))),";",EscStr($J321),";"),CONCATENATE(";",EscStr(CONCATENATE("NavNode_",getCategoryLevelAsString($B321))),";",EscStr(M321),";")))</f>
        <v>;"NavNode_L2D_542667";"Multimedia/presentasjon";</v>
      </c>
      <c r="AG321" s="39" t="str">
        <f>IF(getCategoryLevelAsString($B321)="L0D_324785","",IF(N321="",CONCATENATE(";",EscStr(CONCATENATE("NavNode_",getCategoryLevelAsString($B321))),";",EscStr($J321),";"),CONCATENATE(";",EscStr(CONCATENATE("NavNode_",getCategoryLevelAsString($B321))),";",EscStr(N321),";")))</f>
        <v>;"NavNode_L2D_542667";"Multimedia/Presentation";</v>
      </c>
      <c r="AH321" s="39" t="str">
        <f>IF(getCategoryLevelAsString($B321)="L0D_324785","",IF(O321="",CONCATENATE(";",EscStr(CONCATENATE("NavNode_",getCategoryLevelAsString($B321))),";",EscStr($J321),";"),CONCATENATE(";",EscStr(CONCATENATE("NavNode_",getCategoryLevelAsString($B321))),";",EscStr(O321),";")))</f>
        <v>;"NavNode_L2D_542667";"Multimeedia / Esitlustehnika";</v>
      </c>
      <c r="AI321" s="39" t="str">
        <f>IF(getCategoryLevelAsString($B321)="L0D_324785","",IF(P321="",CONCATENATE(";",EscStr(CONCATENATE("NavNode_",getCategoryLevelAsString($B321))),";",EscStr($J321),";"),CONCATENATE(";",EscStr(CONCATENATE("NavNode_",getCategoryLevelAsString($B321))),";",EscStr(P321),";")))</f>
        <v>;"NavNode_L2D_542667";"Esitystekniikka";</v>
      </c>
      <c r="AJ321" s="39" t="str">
        <f>IF(getCategoryLevelAsString($B321)="L0D_324785","",IF(Q321="",CONCATENATE(";",EscStr(CONCATENATE("NavNode_",getCategoryLevelAsString($B321))),";",EscStr($J321),";"),CONCATENATE(";",EscStr(CONCATENATE("NavNode_",getCategoryLevelAsString($B321))),";",EscStr(Q321),";")))</f>
        <v>;"NavNode_L2D_542667";"Multimediji / Prezentācijas";</v>
      </c>
      <c r="AK321" s="39" t="str">
        <f>IF(getCategoryLevelAsString($B321)="L0D_324785","",IF(R321="",CONCATENATE(";",EscStr(CONCATENATE("NavNode_",getCategoryLevelAsString($B321))),";",EscStr($J321),";"),CONCATENATE(";",EscStr(CONCATENATE("NavNode_",getCategoryLevelAsString($B321))),";",EscStr(R321),";")))</f>
        <v>;"NavNode_L2D_542667";"Multimedia / Presentatie";</v>
      </c>
      <c r="AL321" s="39" t="str">
        <f>IF(getCategoryLevelAsString($B321)="L0D_324785","",IF(S321="",CONCATENATE(";",EscStr(CONCATENATE("NavNode_",getCategoryLevelAsString($B321))),";",EscStr($J321),";"),CONCATENATE(";",EscStr(CONCATENATE("NavNode_",getCategoryLevelAsString($B321))),";",EscStr(S321),";")))</f>
        <v>;"NavNode_L2D_542667";"Multimedia / Prezentacje";</v>
      </c>
      <c r="AM321" s="39" t="str">
        <f>IF(getCategoryLevelAsString($B321)="L0D_324785","",IF(T321="",CONCATENATE(";",EscStr(CONCATENATE("NavNode_",getCategoryLevelAsString($B321))),";",EscStr($J321),";"),CONCATENATE(";",EscStr(CONCATENATE("NavNode_",getCategoryLevelAsString($B321))),";",EscStr(T321),";")))</f>
        <v>;"NavNode_L2D_542667";"Мультимедиа / Презентация";</v>
      </c>
      <c r="AN321" s="39" t="str">
        <f>IF(getCategoryLevelAsString($B321)="L0D_324785","",IF(U321="",CONCATENATE(";",EscStr(CONCATENATE("NavNode_",getCategoryLevelAsString($B321))),";",EscStr($J321),";"),CONCATENATE(";",EscStr(CONCATENATE("NavNode_",getCategoryLevelAsString($B321))),";",EscStr(U321),";")))</f>
        <v>;"NavNode_L2D_542667";"Multimédia a prezentace";</v>
      </c>
      <c r="AO321" s="39" t="str">
        <f>IF(getCategoryLevelAsString($B321)="L0D_324785","",IF(V321="",CONCATENATE(";",EscStr(CONCATENATE("NavNode_",getCategoryLevelAsString($B321))),";",EscStr($J321),";"),CONCATENATE(";",EscStr(CONCATENATE("NavNode_",getCategoryLevelAsString($B321))),";",EscStr(V321),";")))</f>
        <v>;"NavNode_L2D_542667";"Multimedia şi de prezentare";</v>
      </c>
      <c r="AP321" s="39" t="str">
        <f>IF(getCategoryLevelAsString($B321)="L0D_324785","",IF(W321="",CONCATENATE(";",EscStr(CONCATENATE("NavNode_",getCategoryLevelAsString($B321))),";",EscStr($J321),";"),CONCATENATE(";",EscStr(CONCATENATE("NavNode_",getCategoryLevelAsString($B321))),";",EscStr(W321),";")))</f>
        <v>;"NavNode_L2D_542667";"Multimédia és Prezentáció";</v>
      </c>
      <c r="AQ321" s="39" t="str">
        <f>IF(getCategoryLevelAsString($B321)="L0D_324785","",IF(X321="",CONCATENATE(";",EscStr(CONCATENATE("NavNode_",getCategoryLevelAsString($B321))),";",EscStr($J321),";"),CONCATENATE(";",EscStr(CONCATENATE("NavNode_",getCategoryLevelAsString($B321))),";",EscStr(X321),";")))</f>
        <v>;"NavNode_L2D_542667";"Multimédia a prezentácie";</v>
      </c>
      <c r="AR321" s="39" t="str">
        <f>IF(OR($A321&lt;&gt;"", $G321=""),"",CONCATENATE(";",EscStr(CONCATENATE("NavEntry_",getCategoryLevelAsString($B321))),";",EscStr(CONCATENATE($J321," Navigation Entry")),";",EscStr(CONCATENATE("cat-",getCategoryLevelAsString($B321))),";",EscStr(CONCATENATE("NavNode_",getCategoryLevelAsString($B321))),";"))</f>
        <v>;"NavEntry_L2D_542667";"Multimedia / Presentation Navigation Entry";"cat-L2D_542667";"NavNode_L2D_542667";</v>
      </c>
    </row>
    <row r="322" spans="1:44" s="34" customFormat="1" ht="15" x14ac:dyDescent="0.25">
      <c r="A322" s="25"/>
      <c r="B322" s="5"/>
      <c r="C322" s="5"/>
      <c r="D322" s="5" t="s">
        <v>610</v>
      </c>
      <c r="E322" s="5"/>
      <c r="F322" s="5"/>
      <c r="G322" s="5" t="s">
        <v>1030</v>
      </c>
      <c r="H322" s="5" t="s">
        <v>795</v>
      </c>
      <c r="I322" s="5" t="s">
        <v>692</v>
      </c>
      <c r="J322" s="5" t="s">
        <v>895</v>
      </c>
      <c r="K322" s="5" t="s">
        <v>1425</v>
      </c>
      <c r="L322" s="5" t="s">
        <v>15225</v>
      </c>
      <c r="M322" s="5" t="s">
        <v>1865</v>
      </c>
      <c r="N322" s="5" t="s">
        <v>2083</v>
      </c>
      <c r="O322" s="5" t="s">
        <v>4596</v>
      </c>
      <c r="P322" s="5" t="s">
        <v>4597</v>
      </c>
      <c r="Q322" s="5" t="s">
        <v>4598</v>
      </c>
      <c r="R322" s="5" t="s">
        <v>4599</v>
      </c>
      <c r="S322" s="5" t="s">
        <v>4600</v>
      </c>
      <c r="T322" s="5" t="s">
        <v>4601</v>
      </c>
      <c r="U322" s="5" t="s">
        <v>4602</v>
      </c>
      <c r="V322" s="5" t="s">
        <v>4603</v>
      </c>
      <c r="W322" s="5" t="s">
        <v>4604</v>
      </c>
      <c r="X322" s="5" t="s">
        <v>15011</v>
      </c>
      <c r="Y322" s="39" t="str">
        <f>IF(OR($A322&lt;&gt;"", $G322=""),"",CONCATENATE(";",EscStr(CONCATENATE("NavNode_",getCategoryLevelAsString($B322))),";",EscStr($J322),";",IF($B322&lt;&gt;"","""MainCategoryNavNode""",EscStr(CONCATENATE("NavNode_",getSuperCategory($B322, getCategoryLevelAsNumber($B322))))),";"))</f>
        <v>;"NavNode_L3D_542694";"TVs / Displays / Media players / DVB";"NavNode_L2D_542667";</v>
      </c>
      <c r="Z322" s="39" t="str">
        <f>IF(getCategoryLevelAsString($B322)="L0D_324785","",IF(G322="",CONCATENATE(";",EscStr(CONCATENATE("NavNode_",getCategoryLevelAsString($B322))),";",EscStr($J322),";"),CONCATENATE(";",EscStr(CONCATENATE("NavNode_",getCategoryLevelAsString($B322))),";",EscStr(G322),";")))</f>
        <v>;"NavNode_L3D_542694";"TV-Geräte / Displays / Mediaplayer / DVB";</v>
      </c>
      <c r="AA322" s="39" t="str">
        <f>IF(getCategoryLevelAsString($B322)="L0D_324785","",IF(H322="",CONCATENATE(";",EscStr(CONCATENATE("NavNode_",getCategoryLevelAsString($B322))),";",EscStr($J322),";"),CONCATENATE(";",EscStr(CONCATENATE("NavNode_",getCategoryLevelAsString($B322))),";",EscStr(H322),";")))</f>
        <v>;"NavNode_L3D_542694";"Télévisions / Ecrans / Lecteurs multimédia / Télévision numérique";</v>
      </c>
      <c r="AB322" s="39" t="str">
        <f>IF(getCategoryLevelAsString($B322)="L0D_324785","",IF(I322="",CONCATENATE(";",EscStr(CONCATENATE("NavNode_",getCategoryLevelAsString($B322))),";",EscStr($J322),";"),CONCATENATE(";",EscStr(CONCATENATE("NavNode_",getCategoryLevelAsString($B322))),";",EscStr(I322),";")))</f>
        <v>;"NavNode_L3D_542694";"TV / display / lettori / DVB";</v>
      </c>
      <c r="AC322" s="39" t="str">
        <f>IF(getCategoryLevelAsString($B322)="L0D_324785","",IF(J322="",CONCATENATE(";",EscStr(CONCATENATE("NavNode_",getCategoryLevelAsString($B322))),";",EscStr($J322),";"),CONCATENATE(";",EscStr(CONCATENATE("NavNode_",getCategoryLevelAsString($B322))),";",EscStr(J322),";")))</f>
        <v>;"NavNode_L3D_542694";"TVs / Displays / Media players / DVB";</v>
      </c>
      <c r="AD322" s="39" t="str">
        <f>IF(getCategoryLevelAsString($B322)="L0D_324785","",IF(K322="",CONCATENATE(";",EscStr(CONCATENATE("NavNode_",getCategoryLevelAsString($B322))),";",EscStr($J322),";"),CONCATENATE(";",EscStr(CONCATENATE("NavNode_",getCategoryLevelAsString($B322))),";",EscStr(K322),";")))</f>
        <v>;"NavNode_L3D_542694";"Fjernsyn/display/medie-afspillere/DVB";</v>
      </c>
      <c r="AE322" s="39" t="str">
        <f>IF(getCategoryLevelAsString($B322)="L0D_324785","",IF(L322="",CONCATENATE(";",EscStr(CONCATENATE("NavNode_",getCategoryLevelAsString($B322))),";",EscStr($J322),";"),CONCATENATE(";",EscStr(CONCATENATE("NavNode_",getCategoryLevelAsString($B322))),";",EscStr(L322),";")))</f>
        <v>;"NavNode_L3D_542694";"Televizoriai / Ekranai / Medijos failų leistuvai / DVB";</v>
      </c>
      <c r="AF322" s="39" t="str">
        <f>IF(getCategoryLevelAsString($B322)="L0D_324785","",IF(M322="",CONCATENATE(";",EscStr(CONCATENATE("NavNode_",getCategoryLevelAsString($B322))),";",EscStr($J322),";"),CONCATENATE(";",EscStr(CONCATENATE("NavNode_",getCategoryLevelAsString($B322))),";",EscStr(M322),";")))</f>
        <v>;"NavNode_L3D_542694";"TV-er/skjermer/medieavspillere/DVB";</v>
      </c>
      <c r="AG322" s="39" t="str">
        <f>IF(getCategoryLevelAsString($B322)="L0D_324785","",IF(N322="",CONCATENATE(";",EscStr(CONCATENATE("NavNode_",getCategoryLevelAsString($B322))),";",EscStr($J322),";"),CONCATENATE(";",EscStr(CONCATENATE("NavNode_",getCategoryLevelAsString($B322))),";",EscStr(N322),";")))</f>
        <v>;"NavNode_L3D_542694";"TV/Skärmar/Mediaspelare/DVB";</v>
      </c>
      <c r="AH322" s="39" t="str">
        <f>IF(getCategoryLevelAsString($B322)="L0D_324785","",IF(O322="",CONCATENATE(";",EscStr(CONCATENATE("NavNode_",getCategoryLevelAsString($B322))),";",EscStr($J322),";"),CONCATENATE(";",EscStr(CONCATENATE("NavNode_",getCategoryLevelAsString($B322))),";",EscStr(O322),";")))</f>
        <v>;"NavNode_L3D_542694";"Televiisorid / Kuvarid / Meedia mängijad / DVB";</v>
      </c>
      <c r="AI322" s="39" t="str">
        <f>IF(getCategoryLevelAsString($B322)="L0D_324785","",IF(P322="",CONCATENATE(";",EscStr(CONCATENATE("NavNode_",getCategoryLevelAsString($B322))),";",EscStr($J322),";"),CONCATENATE(";",EscStr(CONCATENATE("NavNode_",getCategoryLevelAsString($B322))),";",EscStr(P322),";")))</f>
        <v>;"NavNode_L3D_542694";"TV/näytöt/Mediatoistimet";</v>
      </c>
      <c r="AJ322" s="39" t="str">
        <f>IF(getCategoryLevelAsString($B322)="L0D_324785","",IF(Q322="",CONCATENATE(";",EscStr(CONCATENATE("NavNode_",getCategoryLevelAsString($B322))),";",EscStr($J322),";"),CONCATENATE(";",EscStr(CONCATENATE("NavNode_",getCategoryLevelAsString($B322))),";",EscStr(Q322),";")))</f>
        <v>;"NavNode_L3D_542694";"Televizori / Displeji / Mediju atskaņotāji / DVB";</v>
      </c>
      <c r="AK322" s="39" t="str">
        <f>IF(getCategoryLevelAsString($B322)="L0D_324785","",IF(R322="",CONCATENATE(";",EscStr(CONCATENATE("NavNode_",getCategoryLevelAsString($B322))),";",EscStr($J322),";"),CONCATENATE(";",EscStr(CONCATENATE("NavNode_",getCategoryLevelAsString($B322))),";",EscStr(R322),";")))</f>
        <v>;"NavNode_L3D_542694";"TVs / Displays / Media spelers / DVB";</v>
      </c>
      <c r="AL322" s="39" t="str">
        <f>IF(getCategoryLevelAsString($B322)="L0D_324785","",IF(S322="",CONCATENATE(";",EscStr(CONCATENATE("NavNode_",getCategoryLevelAsString($B322))),";",EscStr($J322),";"),CONCATENATE(";",EscStr(CONCATENATE("NavNode_",getCategoryLevelAsString($B322))),";",EscStr(S322),";")))</f>
        <v>;"NavNode_L3D_542694";"Telewizory / Wyświetlacze / Odtwarzacze / Dekodery DVB";</v>
      </c>
      <c r="AM322" s="39" t="str">
        <f>IF(getCategoryLevelAsString($B322)="L0D_324785","",IF(T322="",CONCATENATE(";",EscStr(CONCATENATE("NavNode_",getCategoryLevelAsString($B322))),";",EscStr($J322),";"),CONCATENATE(";",EscStr(CONCATENATE("NavNode_",getCategoryLevelAsString($B322))),";",EscStr(T322),";")))</f>
        <v>;"NavNode_L3D_542694";"Телевизоры /Мониторы / Медиаплееры / DVB";</v>
      </c>
      <c r="AN322" s="39" t="str">
        <f>IF(getCategoryLevelAsString($B322)="L0D_324785","",IF(U322="",CONCATENATE(";",EscStr(CONCATENATE("NavNode_",getCategoryLevelAsString($B322))),";",EscStr($J322),";"),CONCATENATE(";",EscStr(CONCATENATE("NavNode_",getCategoryLevelAsString($B322))),";",EscStr(U322),";")))</f>
        <v>;"NavNode_L3D_542694";"Televizory / Despleje / Mediální přehrávače / DVB";</v>
      </c>
      <c r="AO322" s="39" t="str">
        <f>IF(getCategoryLevelAsString($B322)="L0D_324785","",IF(V322="",CONCATENATE(";",EscStr(CONCATENATE("NavNode_",getCategoryLevelAsString($B322))),";",EscStr($J322),";"),CONCATENATE(";",EscStr(CONCATENATE("NavNode_",getCategoryLevelAsString($B322))),";",EscStr(V322),";")))</f>
        <v>;"NavNode_L3D_542694";"Televizoare / afişoare / Media Player / DVB";</v>
      </c>
      <c r="AP322" s="39" t="str">
        <f>IF(getCategoryLevelAsString($B322)="L0D_324785","",IF(W322="",CONCATENATE(";",EscStr(CONCATENATE("NavNode_",getCategoryLevelAsString($B322))),";",EscStr($J322),";"),CONCATENATE(";",EscStr(CONCATENATE("NavNode_",getCategoryLevelAsString($B322))),";",EscStr(W322),";")))</f>
        <v>;"NavNode_L3D_542694";"TV készülékek / kijelzők / médialejátszók / DVB";</v>
      </c>
      <c r="AQ322" s="39" t="str">
        <f>IF(getCategoryLevelAsString($B322)="L0D_324785","",IF(X322="",CONCATENATE(";",EscStr(CONCATENATE("NavNode_",getCategoryLevelAsString($B322))),";",EscStr($J322),";"),CONCATENATE(";",EscStr(CONCATENATE("NavNode_",getCategoryLevelAsString($B322))),";",EscStr(X322),";")))</f>
        <v>;"NavNode_L3D_542694";"Televízory / Despleje / Mediálne prehrávače / DVB";</v>
      </c>
      <c r="AR322" s="39" t="str">
        <f>IF(OR($A322&lt;&gt;"", $G322=""),"",CONCATENATE(";",EscStr(CONCATENATE("NavEntry_",getCategoryLevelAsString($B322))),";",EscStr(CONCATENATE($J322," Navigation Entry")),";",EscStr(CONCATENATE("cat-",getCategoryLevelAsString($B322))),";",EscStr(CONCATENATE("NavNode_",getCategoryLevelAsString($B322))),";"))</f>
        <v>;"NavEntry_L3D_542694";"TVs / Displays / Media players / DVB Navigation Entry";"cat-L3D_542694";"NavNode_L3D_542694";</v>
      </c>
    </row>
    <row r="323" spans="1:44" s="34" customFormat="1" ht="15" x14ac:dyDescent="0.25">
      <c r="A323" s="25"/>
      <c r="B323" s="5"/>
      <c r="C323" s="5"/>
      <c r="D323" s="5" t="s">
        <v>612</v>
      </c>
      <c r="E323" s="5"/>
      <c r="F323" s="5"/>
      <c r="G323" s="5" t="s">
        <v>897</v>
      </c>
      <c r="H323" s="5" t="s">
        <v>797</v>
      </c>
      <c r="I323" s="5" t="s">
        <v>694</v>
      </c>
      <c r="J323" s="5" t="s">
        <v>897</v>
      </c>
      <c r="K323" s="5" t="s">
        <v>1427</v>
      </c>
      <c r="L323" s="5" t="s">
        <v>15226</v>
      </c>
      <c r="M323" s="5" t="s">
        <v>1867</v>
      </c>
      <c r="N323" s="5" t="s">
        <v>2085</v>
      </c>
      <c r="O323" s="5" t="s">
        <v>4614</v>
      </c>
      <c r="P323" s="5" t="s">
        <v>4615</v>
      </c>
      <c r="Q323" s="5" t="s">
        <v>4616</v>
      </c>
      <c r="R323" s="5" t="s">
        <v>4617</v>
      </c>
      <c r="S323" s="5" t="s">
        <v>4618</v>
      </c>
      <c r="T323" s="5" t="s">
        <v>4619</v>
      </c>
      <c r="U323" s="5" t="s">
        <v>4620</v>
      </c>
      <c r="V323" s="5" t="s">
        <v>4621</v>
      </c>
      <c r="W323" s="5" t="s">
        <v>4622</v>
      </c>
      <c r="X323" s="5" t="s">
        <v>15012</v>
      </c>
      <c r="Y323" s="39" t="str">
        <f>IF(OR($A323&lt;&gt;"", $G323=""),"",CONCATENATE(";",EscStr(CONCATENATE("NavNode_",getCategoryLevelAsString($B323))),";",EscStr($J323),";",IF($B323&lt;&gt;"","""MainCategoryNavNode""",EscStr(CONCATENATE("NavNode_",getSuperCategory($B323, getCategoryLevelAsNumber($B323))))),";"))</f>
        <v>;"NavNode_L3D_542698";"Portable Audio / MP3 / Radio";"NavNode_L2D_542667";</v>
      </c>
      <c r="Z323" s="39" t="str">
        <f>IF(getCategoryLevelAsString($B323)="L0D_324785","",IF(G323="",CONCATENATE(";",EscStr(CONCATENATE("NavNode_",getCategoryLevelAsString($B323))),";",EscStr($J323),";"),CONCATENATE(";",EscStr(CONCATENATE("NavNode_",getCategoryLevelAsString($B323))),";",EscStr(G323),";")))</f>
        <v>;"NavNode_L3D_542698";"Portable Audio / MP3 / Radio";</v>
      </c>
      <c r="AA323" s="39" t="str">
        <f>IF(getCategoryLevelAsString($B323)="L0D_324785","",IF(H323="",CONCATENATE(";",EscStr(CONCATENATE("NavNode_",getCategoryLevelAsString($B323))),";",EscStr($J323),";"),CONCATENATE(";",EscStr(CONCATENATE("NavNode_",getCategoryLevelAsString($B323))),";",EscStr(H323),";")))</f>
        <v>;"NavNode_L3D_542698";"Systèmes audio portables / MP3 / Radio";</v>
      </c>
      <c r="AB323" s="39" t="str">
        <f>IF(getCategoryLevelAsString($B323)="L0D_324785","",IF(I323="",CONCATENATE(";",EscStr(CONCATENATE("NavNode_",getCategoryLevelAsString($B323))),";",EscStr($J323),";"),CONCATENATE(";",EscStr(CONCATENATE("NavNode_",getCategoryLevelAsString($B323))),";",EscStr(I323),";")))</f>
        <v>;"NavNode_L3D_542698";"Dispositivi audio portatili / MP3 / Radio";</v>
      </c>
      <c r="AC323" s="39" t="str">
        <f>IF(getCategoryLevelAsString($B323)="L0D_324785","",IF(J323="",CONCATENATE(";",EscStr(CONCATENATE("NavNode_",getCategoryLevelAsString($B323))),";",EscStr($J323),";"),CONCATENATE(";",EscStr(CONCATENATE("NavNode_",getCategoryLevelAsString($B323))),";",EscStr(J323),";")))</f>
        <v>;"NavNode_L3D_542698";"Portable Audio / MP3 / Radio";</v>
      </c>
      <c r="AD323" s="39" t="str">
        <f>IF(getCategoryLevelAsString($B323)="L0D_324785","",IF(K323="",CONCATENATE(";",EscStr(CONCATENATE("NavNode_",getCategoryLevelAsString($B323))),";",EscStr($J323),";"),CONCATENATE(";",EscStr(CONCATENATE("NavNode_",getCategoryLevelAsString($B323))),";",EscStr(K323),";")))</f>
        <v>;"NavNode_L3D_542698";"Bærbar audio/MP3/radio";</v>
      </c>
      <c r="AE323" s="39" t="str">
        <f>IF(getCategoryLevelAsString($B323)="L0D_324785","",IF(L323="",CONCATENATE(";",EscStr(CONCATENATE("NavNode_",getCategoryLevelAsString($B323))),";",EscStr($J323),";"),CONCATENATE(";",EscStr(CONCATENATE("NavNode_",getCategoryLevelAsString($B323))),";",EscStr(L323),";")))</f>
        <v>;"NavNode_L3D_542698";"Nešiojamoji garso įranga / MP3 / Radijos";</v>
      </c>
      <c r="AF323" s="39" t="str">
        <f>IF(getCategoryLevelAsString($B323)="L0D_324785","",IF(M323="",CONCATENATE(";",EscStr(CONCATENATE("NavNode_",getCategoryLevelAsString($B323))),";",EscStr($J323),";"),CONCATENATE(";",EscStr(CONCATENATE("NavNode_",getCategoryLevelAsString($B323))),";",EscStr(M323),";")))</f>
        <v>;"NavNode_L3D_542698";"Bærbar lyd / MP3 / Radio";</v>
      </c>
      <c r="AG323" s="39" t="str">
        <f>IF(getCategoryLevelAsString($B323)="L0D_324785","",IF(N323="",CONCATENATE(";",EscStr(CONCATENATE("NavNode_",getCategoryLevelAsString($B323))),";",EscStr($J323),";"),CONCATENATE(";",EscStr(CONCATENATE("NavNode_",getCategoryLevelAsString($B323))),";",EscStr(N323),";")))</f>
        <v>;"NavNode_L3D_542698";"Bärbart ljud/mp3/Radio";</v>
      </c>
      <c r="AH323" s="39" t="str">
        <f>IF(getCategoryLevelAsString($B323)="L0D_324785","",IF(O323="",CONCATENATE(";",EscStr(CONCATENATE("NavNode_",getCategoryLevelAsString($B323))),";",EscStr($J323),";"),CONCATENATE(";",EscStr(CONCATENATE("NavNode_",getCategoryLevelAsString($B323))),";",EscStr(O323),";")))</f>
        <v>;"NavNode_L3D_542698";"Kaasaskantav audio / MP3 / Raadiod";</v>
      </c>
      <c r="AI323" s="39" t="str">
        <f>IF(getCategoryLevelAsString($B323)="L0D_324785","",IF(P323="",CONCATENATE(";",EscStr(CONCATENATE("NavNode_",getCategoryLevelAsString($B323))),";",EscStr($J323),";"),CONCATENATE(";",EscStr(CONCATENATE("NavNode_",getCategoryLevelAsString($B323))),";",EscStr(P323),";")))</f>
        <v>;"NavNode_L3D_542698";"Kannettavat Audio/MP3";</v>
      </c>
      <c r="AJ323" s="39" t="str">
        <f>IF(getCategoryLevelAsString($B323)="L0D_324785","",IF(Q323="",CONCATENATE(";",EscStr(CONCATENATE("NavNode_",getCategoryLevelAsString($B323))),";",EscStr($J323),";"),CONCATENATE(";",EscStr(CONCATENATE("NavNode_",getCategoryLevelAsString($B323))),";",EscStr(Q323),";")))</f>
        <v>;"NavNode_L3D_542698";"Audiopleijeri / MP3 / Radio";</v>
      </c>
      <c r="AK323" s="39" t="str">
        <f>IF(getCategoryLevelAsString($B323)="L0D_324785","",IF(R323="",CONCATENATE(";",EscStr(CONCATENATE("NavNode_",getCategoryLevelAsString($B323))),";",EscStr($J323),";"),CONCATENATE(";",EscStr(CONCATENATE("NavNode_",getCategoryLevelAsString($B323))),";",EscStr(R323),";")))</f>
        <v>;"NavNode_L3D_542698";"Draagbare audio / MP3 / Radio";</v>
      </c>
      <c r="AL323" s="39" t="str">
        <f>IF(getCategoryLevelAsString($B323)="L0D_324785","",IF(S323="",CONCATENATE(";",EscStr(CONCATENATE("NavNode_",getCategoryLevelAsString($B323))),";",EscStr($J323),";"),CONCATENATE(";",EscStr(CONCATENATE("NavNode_",getCategoryLevelAsString($B323))),";",EscStr(S323),";")))</f>
        <v>;"NavNode_L3D_542698";"Przenośny sprzęt Audio / MP3 / Radio";</v>
      </c>
      <c r="AM323" s="39" t="str">
        <f>IF(getCategoryLevelAsString($B323)="L0D_324785","",IF(T323="",CONCATENATE(";",EscStr(CONCATENATE("NavNode_",getCategoryLevelAsString($B323))),";",EscStr($J323),";"),CONCATENATE(";",EscStr(CONCATENATE("NavNode_",getCategoryLevelAsString($B323))),";",EscStr(T323),";")))</f>
        <v>;"NavNode_L3D_542698";"Aудиоплейеры / MP3 / Радио";</v>
      </c>
      <c r="AN323" s="39" t="str">
        <f>IF(getCategoryLevelAsString($B323)="L0D_324785","",IF(U323="",CONCATENATE(";",EscStr(CONCATENATE("NavNode_",getCategoryLevelAsString($B323))),";",EscStr($J323),";"),CONCATENATE(";",EscStr(CONCATENATE("NavNode_",getCategoryLevelAsString($B323))),";",EscStr(U323),";")))</f>
        <v>;"NavNode_L3D_542698";"Přenosné audio / MP3 / Radio";</v>
      </c>
      <c r="AO323" s="39" t="str">
        <f>IF(getCategoryLevelAsString($B323)="L0D_324785","",IF(V323="",CONCATENATE(";",EscStr(CONCATENATE("NavNode_",getCategoryLevelAsString($B323))),";",EscStr($J323),";"),CONCATENATE(";",EscStr(CONCATENATE("NavNode_",getCategoryLevelAsString($B323))),";",EscStr(V323),";")))</f>
        <v>;"NavNode_L3D_542698";"Audio portabile / MP3 / radio";</v>
      </c>
      <c r="AP323" s="39" t="str">
        <f>IF(getCategoryLevelAsString($B323)="L0D_324785","",IF(W323="",CONCATENATE(";",EscStr(CONCATENATE("NavNode_",getCategoryLevelAsString($B323))),";",EscStr($J323),";"),CONCATENATE(";",EscStr(CONCATENATE("NavNode_",getCategoryLevelAsString($B323))),";",EscStr(W323),";")))</f>
        <v>;"NavNode_L3D_542698";"Portable Audio / MP3 / Radió";</v>
      </c>
      <c r="AQ323" s="39" t="str">
        <f>IF(getCategoryLevelAsString($B323)="L0D_324785","",IF(X323="",CONCATENATE(";",EscStr(CONCATENATE("NavNode_",getCategoryLevelAsString($B323))),";",EscStr($J323),";"),CONCATENATE(";",EscStr(CONCATENATE("NavNode_",getCategoryLevelAsString($B323))),";",EscStr(X323),";")))</f>
        <v>;"NavNode_L3D_542698";"Prenosné audio / MP3 / Radio";</v>
      </c>
      <c r="AR323" s="39" t="str">
        <f>IF(OR($A323&lt;&gt;"", $G323=""),"",CONCATENATE(";",EscStr(CONCATENATE("NavEntry_",getCategoryLevelAsString($B323))),";",EscStr(CONCATENATE($J323," Navigation Entry")),";",EscStr(CONCATENATE("cat-",getCategoryLevelAsString($B323))),";",EscStr(CONCATENATE("NavNode_",getCategoryLevelAsString($B323))),";"))</f>
        <v>;"NavEntry_L3D_542698";"Portable Audio / MP3 / Radio Navigation Entry";"cat-L3D_542698";"NavNode_L3D_542698";</v>
      </c>
    </row>
    <row r="324" spans="1:44" s="34" customFormat="1" ht="15" x14ac:dyDescent="0.25">
      <c r="A324" s="25"/>
      <c r="B324" s="5"/>
      <c r="C324" s="5"/>
      <c r="D324" s="5" t="s">
        <v>613</v>
      </c>
      <c r="E324" s="5"/>
      <c r="F324" s="5"/>
      <c r="G324" s="5" t="s">
        <v>1032</v>
      </c>
      <c r="H324" s="5" t="s">
        <v>798</v>
      </c>
      <c r="I324" s="5" t="s">
        <v>695</v>
      </c>
      <c r="J324" s="5" t="s">
        <v>898</v>
      </c>
      <c r="K324" s="5" t="s">
        <v>1428</v>
      </c>
      <c r="L324" s="5" t="s">
        <v>15227</v>
      </c>
      <c r="M324" s="5" t="s">
        <v>1868</v>
      </c>
      <c r="N324" s="5" t="s">
        <v>2086</v>
      </c>
      <c r="O324" s="5" t="s">
        <v>4623</v>
      </c>
      <c r="P324" s="5" t="s">
        <v>4624</v>
      </c>
      <c r="Q324" s="5" t="s">
        <v>4625</v>
      </c>
      <c r="R324" s="5" t="s">
        <v>4626</v>
      </c>
      <c r="S324" s="5" t="s">
        <v>4627</v>
      </c>
      <c r="T324" s="5" t="s">
        <v>4628</v>
      </c>
      <c r="U324" s="5" t="s">
        <v>4629</v>
      </c>
      <c r="V324" s="5" t="s">
        <v>4630</v>
      </c>
      <c r="W324" s="5" t="s">
        <v>4631</v>
      </c>
      <c r="X324" s="5" t="s">
        <v>15013</v>
      </c>
      <c r="Y324" s="39" t="str">
        <f>IF(OR($A324&lt;&gt;"", $G324=""),"",CONCATENATE(";",EscStr(CONCATENATE("NavNode_",getCategoryLevelAsString($B324))),";",EscStr($J324),";",IF($B324&lt;&gt;"","""MainCategoryNavNode""",EscStr(CONCATENATE("NavNode_",getSuperCategory($B324, getCategoryLevelAsNumber($B324))))),";"))</f>
        <v>;"NavNode_L3D_542700";"HiFi / Speakers / Headsets / Microphones";"NavNode_L2D_542667";</v>
      </c>
      <c r="Z324" s="39" t="str">
        <f>IF(getCategoryLevelAsString($B324)="L0D_324785","",IF(G324="",CONCATENATE(";",EscStr(CONCATENATE("NavNode_",getCategoryLevelAsString($B324))),";",EscStr($J324),";"),CONCATENATE(";",EscStr(CONCATENATE("NavNode_",getCategoryLevelAsString($B324))),";",EscStr(G324),";")))</f>
        <v>;"NavNode_L3D_542700";"HiFi / Lautsprecher / Kopfhörer / Mikrofone";</v>
      </c>
      <c r="AA324" s="39" t="str">
        <f>IF(getCategoryLevelAsString($B324)="L0D_324785","",IF(H324="",CONCATENATE(";",EscStr(CONCATENATE("NavNode_",getCategoryLevelAsString($B324))),";",EscStr($J324),";"),CONCATENATE(";",EscStr(CONCATENATE("NavNode_",getCategoryLevelAsString($B324))),";",EscStr(H324),";")))</f>
        <v>;"NavNode_L3D_542700";"HiFi / Haut-parleurs / Casques / Microphones";</v>
      </c>
      <c r="AB324" s="39" t="str">
        <f>IF(getCategoryLevelAsString($B324)="L0D_324785","",IF(I324="",CONCATENATE(";",EscStr(CONCATENATE("NavNode_",getCategoryLevelAsString($B324))),";",EscStr($J324),";"),CONCATENATE(";",EscStr(CONCATENATE("NavNode_",getCategoryLevelAsString($B324))),";",EscStr(I324),";")))</f>
        <v>;"NavNode_L3D_542700";"HiFi / altoparlanti / cuffie / microfoni";</v>
      </c>
      <c r="AC324" s="39" t="str">
        <f>IF(getCategoryLevelAsString($B324)="L0D_324785","",IF(J324="",CONCATENATE(";",EscStr(CONCATENATE("NavNode_",getCategoryLevelAsString($B324))),";",EscStr($J324),";"),CONCATENATE(";",EscStr(CONCATENATE("NavNode_",getCategoryLevelAsString($B324))),";",EscStr(J324),";")))</f>
        <v>;"NavNode_L3D_542700";"HiFi / Speakers / Headsets / Microphones";</v>
      </c>
      <c r="AD324" s="39" t="str">
        <f>IF(getCategoryLevelAsString($B324)="L0D_324785","",IF(K324="",CONCATENATE(";",EscStr(CONCATENATE("NavNode_",getCategoryLevelAsString($B324))),";",EscStr($J324),";"),CONCATENATE(";",EscStr(CONCATENATE("NavNode_",getCategoryLevelAsString($B324))),";",EscStr(K324),";")))</f>
        <v>;"NavNode_L3D_542700";"HiFi/højtalere/headsets/mikrofoner";</v>
      </c>
      <c r="AE324" s="39" t="str">
        <f>IF(getCategoryLevelAsString($B324)="L0D_324785","",IF(L324="",CONCATENATE(";",EscStr(CONCATENATE("NavNode_",getCategoryLevelAsString($B324))),";",EscStr($J324),";"),CONCATENATE(";",EscStr(CONCATENATE("NavNode_",getCategoryLevelAsString($B324))),";",EscStr(L324),";")))</f>
        <v>;"NavNode_L3D_542700";"„HiFi“ / Garsiakalbiai / Ausinės / Mikrofonai";</v>
      </c>
      <c r="AF324" s="39" t="str">
        <f>IF(getCategoryLevelAsString($B324)="L0D_324785","",IF(M324="",CONCATENATE(";",EscStr(CONCATENATE("NavNode_",getCategoryLevelAsString($B324))),";",EscStr($J324),";"),CONCATENATE(";",EscStr(CONCATENATE("NavNode_",getCategoryLevelAsString($B324))),";",EscStr(M324),";")))</f>
        <v>;"NavNode_L3D_542700";"HiFi/høytalere/hodetelefoner/mikrofoner";</v>
      </c>
      <c r="AG324" s="39" t="str">
        <f>IF(getCategoryLevelAsString($B324)="L0D_324785","",IF(N324="",CONCATENATE(";",EscStr(CONCATENATE("NavNode_",getCategoryLevelAsString($B324))),";",EscStr($J324),";"),CONCATENATE(";",EscStr(CONCATENATE("NavNode_",getCategoryLevelAsString($B324))),";",EscStr(N324),";")))</f>
        <v>;"NavNode_L3D_542700";"HiFi/Högtalare/Headsets/Mikrofoner";</v>
      </c>
      <c r="AH324" s="39" t="str">
        <f>IF(getCategoryLevelAsString($B324)="L0D_324785","",IF(O324="",CONCATENATE(";",EscStr(CONCATENATE("NavNode_",getCategoryLevelAsString($B324))),";",EscStr($J324),";"),CONCATENATE(";",EscStr(CONCATENATE("NavNode_",getCategoryLevelAsString($B324))),";",EscStr(O324),";")))</f>
        <v>;"NavNode_L3D_542700";"HiFi / Kõlarid / Kõrvaklapid / Mikrofonid";</v>
      </c>
      <c r="AI324" s="39" t="str">
        <f>IF(getCategoryLevelAsString($B324)="L0D_324785","",IF(P324="",CONCATENATE(";",EscStr(CONCATENATE("NavNode_",getCategoryLevelAsString($B324))),";",EscStr($J324),";"),CONCATENATE(";",EscStr(CONCATENATE("NavNode_",getCategoryLevelAsString($B324))),";",EscStr(P324),";")))</f>
        <v>;"NavNode_L3D_542700";"HiFi/ kaiuttimet/kuulokkeet";</v>
      </c>
      <c r="AJ324" s="39" t="str">
        <f>IF(getCategoryLevelAsString($B324)="L0D_324785","",IF(Q324="",CONCATENATE(";",EscStr(CONCATENATE("NavNode_",getCategoryLevelAsString($B324))),";",EscStr($J324),";"),CONCATENATE(";",EscStr(CONCATENATE("NavNode_",getCategoryLevelAsString($B324))),";",EscStr(Q324),";")))</f>
        <v>;"NavNode_L3D_542700";"HiFi / Skaļruņi / Austiņas / Mikrofoni";</v>
      </c>
      <c r="AK324" s="39" t="str">
        <f>IF(getCategoryLevelAsString($B324)="L0D_324785","",IF(R324="",CONCATENATE(";",EscStr(CONCATENATE("NavNode_",getCategoryLevelAsString($B324))),";",EscStr($J324),";"),CONCATENATE(";",EscStr(CONCATENATE("NavNode_",getCategoryLevelAsString($B324))),";",EscStr(R324),";")))</f>
        <v>;"NavNode_L3D_542700";"HiFi / Luisprekers / Hoofdtelefoons / Microfoons";</v>
      </c>
      <c r="AL324" s="39" t="str">
        <f>IF(getCategoryLevelAsString($B324)="L0D_324785","",IF(S324="",CONCATENATE(";",EscStr(CONCATENATE("NavNode_",getCategoryLevelAsString($B324))),";",EscStr($J324),";"),CONCATENATE(";",EscStr(CONCATENATE("NavNode_",getCategoryLevelAsString($B324))),";",EscStr(S324),";")))</f>
        <v>;"NavNode_L3D_542700";"HiFi / Głosniki / Słuchawki / Mikrofony";</v>
      </c>
      <c r="AM324" s="39" t="str">
        <f>IF(getCategoryLevelAsString($B324)="L0D_324785","",IF(T324="",CONCATENATE(";",EscStr(CONCATENATE("NavNode_",getCategoryLevelAsString($B324))),";",EscStr($J324),";"),CONCATENATE(";",EscStr(CONCATENATE("NavNode_",getCategoryLevelAsString($B324))),";",EscStr(T324),";")))</f>
        <v>;"NavNode_L3D_542700";"HiFi / Динамики / Наушники / Микрофоны";</v>
      </c>
      <c r="AN324" s="39" t="str">
        <f>IF(getCategoryLevelAsString($B324)="L0D_324785","",IF(U324="",CONCATENATE(";",EscStr(CONCATENATE("NavNode_",getCategoryLevelAsString($B324))),";",EscStr($J324),";"),CONCATENATE(";",EscStr(CONCATENATE("NavNode_",getCategoryLevelAsString($B324))),";",EscStr(U324),";")))</f>
        <v>;"NavNode_L3D_542700";"HiFi / Reproduktory / Sluchátka / Mikrofony";</v>
      </c>
      <c r="AO324" s="39" t="str">
        <f>IF(getCategoryLevelAsString($B324)="L0D_324785","",IF(V324="",CONCATENATE(";",EscStr(CONCATENATE("NavNode_",getCategoryLevelAsString($B324))),";",EscStr($J324),";"),CONCATENATE(";",EscStr(CONCATENATE("NavNode_",getCategoryLevelAsString($B324))),";",EscStr(V324),";")))</f>
        <v>;"NavNode_L3D_542700";"HiFi / boxe / căşti audio / microfoane";</v>
      </c>
      <c r="AP324" s="39" t="str">
        <f>IF(getCategoryLevelAsString($B324)="L0D_324785","",IF(W324="",CONCATENATE(";",EscStr(CONCATENATE("NavNode_",getCategoryLevelAsString($B324))),";",EscStr($J324),";"),CONCATENATE(";",EscStr(CONCATENATE("NavNode_",getCategoryLevelAsString($B324))),";",EscStr(W324),";")))</f>
        <v>;"NavNode_L3D_542700";"HiFi / hangszorók / fejhallgatók / mikrofonok";</v>
      </c>
      <c r="AQ324" s="39" t="str">
        <f>IF(getCategoryLevelAsString($B324)="L0D_324785","",IF(X324="",CONCATENATE(";",EscStr(CONCATENATE("NavNode_",getCategoryLevelAsString($B324))),";",EscStr($J324),";"),CONCATENATE(";",EscStr(CONCATENATE("NavNode_",getCategoryLevelAsString($B324))),";",EscStr(X324),";")))</f>
        <v>;"NavNode_L3D_542700";"HiFi / Reproduktory / Slúchadlá / Mikrofóny";</v>
      </c>
      <c r="AR324" s="39" t="str">
        <f>IF(OR($A324&lt;&gt;"", $G324=""),"",CONCATENATE(";",EscStr(CONCATENATE("NavEntry_",getCategoryLevelAsString($B324))),";",EscStr(CONCATENATE($J324," Navigation Entry")),";",EscStr(CONCATENATE("cat-",getCategoryLevelAsString($B324))),";",EscStr(CONCATENATE("NavNode_",getCategoryLevelAsString($B324))),";"))</f>
        <v>;"NavEntry_L3D_542700";"HiFi / Speakers / Headsets / Microphones Navigation Entry";"cat-L3D_542700";"NavNode_L3D_542700";</v>
      </c>
    </row>
    <row r="325" spans="1:44" s="34" customFormat="1" ht="15" x14ac:dyDescent="0.25">
      <c r="A325" s="25"/>
      <c r="B325" s="5"/>
      <c r="C325" s="5"/>
      <c r="D325" s="5" t="s">
        <v>614</v>
      </c>
      <c r="E325" s="5"/>
      <c r="F325" s="5"/>
      <c r="G325" s="5" t="s">
        <v>1033</v>
      </c>
      <c r="H325" s="5" t="s">
        <v>799</v>
      </c>
      <c r="I325" s="5" t="s">
        <v>696</v>
      </c>
      <c r="J325" s="5" t="s">
        <v>899</v>
      </c>
      <c r="K325" s="5" t="s">
        <v>1429</v>
      </c>
      <c r="L325" s="5" t="s">
        <v>15228</v>
      </c>
      <c r="M325" s="5" t="s">
        <v>1869</v>
      </c>
      <c r="N325" s="5" t="s">
        <v>2087</v>
      </c>
      <c r="O325" s="5" t="s">
        <v>4632</v>
      </c>
      <c r="P325" s="5" t="s">
        <v>4633</v>
      </c>
      <c r="Q325" s="5" t="s">
        <v>4634</v>
      </c>
      <c r="R325" s="5" t="s">
        <v>4635</v>
      </c>
      <c r="S325" s="5" t="s">
        <v>4636</v>
      </c>
      <c r="T325" s="5" t="s">
        <v>4637</v>
      </c>
      <c r="U325" s="5" t="s">
        <v>4638</v>
      </c>
      <c r="V325" s="5" t="s">
        <v>4639</v>
      </c>
      <c r="W325" s="5" t="s">
        <v>4640</v>
      </c>
      <c r="X325" s="5" t="s">
        <v>15014</v>
      </c>
      <c r="Y325" s="39" t="str">
        <f>IF(OR($A325&lt;&gt;"", $G325=""),"",CONCATENATE(";",EscStr(CONCATENATE("NavNode_",getCategoryLevelAsString($B325))),";",EscStr($J325),";",IF($B325&lt;&gt;"","""MainCategoryNavNode""",EscStr(CONCATENATE("NavNode_",getSuperCategory($B325, getCategoryLevelAsNumber($B325))))),";"))</f>
        <v>;"NavNode_L3D_542702";"Digital cameras / Accessories";"NavNode_L2D_542667";</v>
      </c>
      <c r="Z325" s="39" t="str">
        <f>IF(getCategoryLevelAsString($B325)="L0D_324785","",IF(G325="",CONCATENATE(";",EscStr(CONCATENATE("NavNode_",getCategoryLevelAsString($B325))),";",EscStr($J325),";"),CONCATENATE(";",EscStr(CONCATENATE("NavNode_",getCategoryLevelAsString($B325))),";",EscStr(G325),";")))</f>
        <v>;"NavNode_L3D_542702";"Digitalkameras / Zubehör";</v>
      </c>
      <c r="AA325" s="39" t="str">
        <f>IF(getCategoryLevelAsString($B325)="L0D_324785","",IF(H325="",CONCATENATE(";",EscStr(CONCATENATE("NavNode_",getCategoryLevelAsString($B325))),";",EscStr($J325),";"),CONCATENATE(";",EscStr(CONCATENATE("NavNode_",getCategoryLevelAsString($B325))),";",EscStr(H325),";")))</f>
        <v>;"NavNode_L3D_542702";"Appareils photo numériques / Accessoires";</v>
      </c>
      <c r="AB325" s="39" t="str">
        <f>IF(getCategoryLevelAsString($B325)="L0D_324785","",IF(I325="",CONCATENATE(";",EscStr(CONCATENATE("NavNode_",getCategoryLevelAsString($B325))),";",EscStr($J325),";"),CONCATENATE(";",EscStr(CONCATENATE("NavNode_",getCategoryLevelAsString($B325))),";",EscStr(I325),";")))</f>
        <v>;"NavNode_L3D_542702";"Fotocamere digitali / accessori";</v>
      </c>
      <c r="AC325" s="39" t="str">
        <f>IF(getCategoryLevelAsString($B325)="L0D_324785","",IF(J325="",CONCATENATE(";",EscStr(CONCATENATE("NavNode_",getCategoryLevelAsString($B325))),";",EscStr($J325),";"),CONCATENATE(";",EscStr(CONCATENATE("NavNode_",getCategoryLevelAsString($B325))),";",EscStr(J325),";")))</f>
        <v>;"NavNode_L3D_542702";"Digital cameras / Accessories";</v>
      </c>
      <c r="AD325" s="39" t="str">
        <f>IF(getCategoryLevelAsString($B325)="L0D_324785","",IF(K325="",CONCATENATE(";",EscStr(CONCATENATE("NavNode_",getCategoryLevelAsString($B325))),";",EscStr($J325),";"),CONCATENATE(";",EscStr(CONCATENATE("NavNode_",getCategoryLevelAsString($B325))),";",EscStr(K325),";")))</f>
        <v>;"NavNode_L3D_542702";"Digitalkameraer/tilbehør";</v>
      </c>
      <c r="AE325" s="39" t="str">
        <f>IF(getCategoryLevelAsString($B325)="L0D_324785","",IF(L325="",CONCATENATE(";",EscStr(CONCATENATE("NavNode_",getCategoryLevelAsString($B325))),";",EscStr($J325),";"),CONCATENATE(";",EscStr(CONCATENATE("NavNode_",getCategoryLevelAsString($B325))),";",EscStr(L325),";")))</f>
        <v>;"NavNode_L3D_542702";"Skaitmeniniai fotoaparatai / Priedai";</v>
      </c>
      <c r="AF325" s="39" t="str">
        <f>IF(getCategoryLevelAsString($B325)="L0D_324785","",IF(M325="",CONCATENATE(";",EscStr(CONCATENATE("NavNode_",getCategoryLevelAsString($B325))),";",EscStr($J325),";"),CONCATENATE(";",EscStr(CONCATENATE("NavNode_",getCategoryLevelAsString($B325))),";",EscStr(M325),";")))</f>
        <v>;"NavNode_L3D_542702";"Digitale kameraer/tilbehør";</v>
      </c>
      <c r="AG325" s="39" t="str">
        <f>IF(getCategoryLevelAsString($B325)="L0D_324785","",IF(N325="",CONCATENATE(";",EscStr(CONCATENATE("NavNode_",getCategoryLevelAsString($B325))),";",EscStr($J325),";"),CONCATENATE(";",EscStr(CONCATENATE("NavNode_",getCategoryLevelAsString($B325))),";",EscStr(N325),";")))</f>
        <v>;"NavNode_L3D_542702";"Digitalkameror/Tillbehör";</v>
      </c>
      <c r="AH325" s="39" t="str">
        <f>IF(getCategoryLevelAsString($B325)="L0D_324785","",IF(O325="",CONCATENATE(";",EscStr(CONCATENATE("NavNode_",getCategoryLevelAsString($B325))),";",EscStr($J325),";"),CONCATENATE(";",EscStr(CONCATENATE("NavNode_",getCategoryLevelAsString($B325))),";",EscStr(O325),";")))</f>
        <v>;"NavNode_L3D_542702";"Digitaalsed kaamerad / Tarvikud";</v>
      </c>
      <c r="AI325" s="39" t="str">
        <f>IF(getCategoryLevelAsString($B325)="L0D_324785","",IF(P325="",CONCATENATE(";",EscStr(CONCATENATE("NavNode_",getCategoryLevelAsString($B325))),";",EscStr($J325),";"),CONCATENATE(";",EscStr(CONCATENATE("NavNode_",getCategoryLevelAsString($B325))),";",EscStr(P325),";")))</f>
        <v>;"NavNode_L3D_542702";"Digikamerat/tarvikkeet";</v>
      </c>
      <c r="AJ325" s="39" t="str">
        <f>IF(getCategoryLevelAsString($B325)="L0D_324785","",IF(Q325="",CONCATENATE(";",EscStr(CONCATENATE("NavNode_",getCategoryLevelAsString($B325))),";",EscStr($J325),";"),CONCATENATE(";",EscStr(CONCATENATE("NavNode_",getCategoryLevelAsString($B325))),";",EscStr(Q325),";")))</f>
        <v>;"NavNode_L3D_542702";"Digitālās fotokameras / Piederumi";</v>
      </c>
      <c r="AK325" s="39" t="str">
        <f>IF(getCategoryLevelAsString($B325)="L0D_324785","",IF(R325="",CONCATENATE(";",EscStr(CONCATENATE("NavNode_",getCategoryLevelAsString($B325))),";",EscStr($J325),";"),CONCATENATE(";",EscStr(CONCATENATE("NavNode_",getCategoryLevelAsString($B325))),";",EscStr(R325),";")))</f>
        <v>;"NavNode_L3D_542702";"Digitale cameras / accessoires";</v>
      </c>
      <c r="AL325" s="39" t="str">
        <f>IF(getCategoryLevelAsString($B325)="L0D_324785","",IF(S325="",CONCATENATE(";",EscStr(CONCATENATE("NavNode_",getCategoryLevelAsString($B325))),";",EscStr($J325),";"),CONCATENATE(";",EscStr(CONCATENATE("NavNode_",getCategoryLevelAsString($B325))),";",EscStr(S325),";")))</f>
        <v>;"NavNode_L3D_542702";"Kamery cyfrowe / Akcesoria";</v>
      </c>
      <c r="AM325" s="39" t="str">
        <f>IF(getCategoryLevelAsString($B325)="L0D_324785","",IF(T325="",CONCATENATE(";",EscStr(CONCATENATE("NavNode_",getCategoryLevelAsString($B325))),";",EscStr($J325),";"),CONCATENATE(";",EscStr(CONCATENATE("NavNode_",getCategoryLevelAsString($B325))),";",EscStr(T325),";")))</f>
        <v>;"NavNode_L3D_542702";"Цифровые фотокамеры / Аксессуары";</v>
      </c>
      <c r="AN325" s="39" t="str">
        <f>IF(getCategoryLevelAsString($B325)="L0D_324785","",IF(U325="",CONCATENATE(";",EscStr(CONCATENATE("NavNode_",getCategoryLevelAsString($B325))),";",EscStr($J325),";"),CONCATENATE(";",EscStr(CONCATENATE("NavNode_",getCategoryLevelAsString($B325))),";",EscStr(U325),";")))</f>
        <v>;"NavNode_L3D_542702";"Digitální fotoaparáty / Příslušenství";</v>
      </c>
      <c r="AO325" s="39" t="str">
        <f>IF(getCategoryLevelAsString($B325)="L0D_324785","",IF(V325="",CONCATENATE(";",EscStr(CONCATENATE("NavNode_",getCategoryLevelAsString($B325))),";",EscStr($J325),";"),CONCATENATE(";",EscStr(CONCATENATE("NavNode_",getCategoryLevelAsString($B325))),";",EscStr(V325),";")))</f>
        <v>;"NavNode_L3D_542702";"Aparat digital de fotografiat / accesorii";</v>
      </c>
      <c r="AP325" s="39" t="str">
        <f>IF(getCategoryLevelAsString($B325)="L0D_324785","",IF(W325="",CONCATENATE(";",EscStr(CONCATENATE("NavNode_",getCategoryLevelAsString($B325))),";",EscStr($J325),";"),CONCATENATE(";",EscStr(CONCATENATE("NavNode_",getCategoryLevelAsString($B325))),";",EscStr(W325),";")))</f>
        <v>;"NavNode_L3D_542702";"Digitális kamerák / tartozékok";</v>
      </c>
      <c r="AQ325" s="39" t="str">
        <f>IF(getCategoryLevelAsString($B325)="L0D_324785","",IF(X325="",CONCATENATE(";",EscStr(CONCATENATE("NavNode_",getCategoryLevelAsString($B325))),";",EscStr($J325),";"),CONCATENATE(";",EscStr(CONCATENATE("NavNode_",getCategoryLevelAsString($B325))),";",EscStr(X325),";")))</f>
        <v>;"NavNode_L3D_542702";"Digitálne fotoaparáty / Príslušenstvo";</v>
      </c>
      <c r="AR325" s="39" t="str">
        <f>IF(OR($A325&lt;&gt;"", $G325=""),"",CONCATENATE(";",EscStr(CONCATENATE("NavEntry_",getCategoryLevelAsString($B325))),";",EscStr(CONCATENATE($J325," Navigation Entry")),";",EscStr(CONCATENATE("cat-",getCategoryLevelAsString($B325))),";",EscStr(CONCATENATE("NavNode_",getCategoryLevelAsString($B325))),";"))</f>
        <v>;"NavEntry_L3D_542702";"Digital cameras / Accessories Navigation Entry";"cat-L3D_542702";"NavNode_L3D_542702";</v>
      </c>
    </row>
    <row r="326" spans="1:44" s="34" customFormat="1" ht="15" x14ac:dyDescent="0.25">
      <c r="A326" s="25"/>
      <c r="B326" s="5"/>
      <c r="C326" s="5"/>
      <c r="D326" s="5" t="s">
        <v>615</v>
      </c>
      <c r="E326" s="5"/>
      <c r="F326" s="5"/>
      <c r="G326" s="5" t="s">
        <v>1034</v>
      </c>
      <c r="H326" s="5" t="s">
        <v>800</v>
      </c>
      <c r="I326" s="5" t="s">
        <v>697</v>
      </c>
      <c r="J326" s="5" t="s">
        <v>900</v>
      </c>
      <c r="K326" s="5" t="s">
        <v>1430</v>
      </c>
      <c r="L326" s="5" t="s">
        <v>15229</v>
      </c>
      <c r="M326" s="5" t="s">
        <v>1870</v>
      </c>
      <c r="N326" s="5" t="s">
        <v>2088</v>
      </c>
      <c r="O326" s="5" t="s">
        <v>4641</v>
      </c>
      <c r="P326" s="5" t="s">
        <v>4642</v>
      </c>
      <c r="Q326" s="5" t="s">
        <v>4643</v>
      </c>
      <c r="R326" s="5" t="s">
        <v>4644</v>
      </c>
      <c r="S326" s="5" t="s">
        <v>4645</v>
      </c>
      <c r="T326" s="5" t="s">
        <v>4646</v>
      </c>
      <c r="U326" s="5" t="s">
        <v>4647</v>
      </c>
      <c r="V326" s="5" t="s">
        <v>4648</v>
      </c>
      <c r="W326" s="5" t="s">
        <v>4649</v>
      </c>
      <c r="X326" s="5" t="s">
        <v>15015</v>
      </c>
      <c r="Y326" s="39" t="str">
        <f>IF(OR($A326&lt;&gt;"", $G326=""),"",CONCATENATE(";",EscStr(CONCATENATE("NavNode_",getCategoryLevelAsString($B326))),";",EscStr($J326),";",IF($B326&lt;&gt;"","""MainCategoryNavNode""",EscStr(CONCATENATE("NavNode_",getSuperCategory($B326, getCategoryLevelAsNumber($B326))))),";"))</f>
        <v>;"NavNode_L3D_542704";"Video cameras / Accessories";"NavNode_L2D_542667";</v>
      </c>
      <c r="Z326" s="39" t="str">
        <f>IF(getCategoryLevelAsString($B326)="L0D_324785","",IF(G326="",CONCATENATE(";",EscStr(CONCATENATE("NavNode_",getCategoryLevelAsString($B326))),";",EscStr($J326),";"),CONCATENATE(";",EscStr(CONCATENATE("NavNode_",getCategoryLevelAsString($B326))),";",EscStr(G326),";")))</f>
        <v>;"NavNode_L3D_542704";"Videokameras / Zubehör";</v>
      </c>
      <c r="AA326" s="39" t="str">
        <f>IF(getCategoryLevelAsString($B326)="L0D_324785","",IF(H326="",CONCATENATE(";",EscStr(CONCATENATE("NavNode_",getCategoryLevelAsString($B326))),";",EscStr($J326),";"),CONCATENATE(";",EscStr(CONCATENATE("NavNode_",getCategoryLevelAsString($B326))),";",EscStr(H326),";")))</f>
        <v>;"NavNode_L3D_542704";"Caméras vidéo / Accessoires";</v>
      </c>
      <c r="AB326" s="39" t="str">
        <f>IF(getCategoryLevelAsString($B326)="L0D_324785","",IF(I326="",CONCATENATE(";",EscStr(CONCATENATE("NavNode_",getCategoryLevelAsString($B326))),";",EscStr($J326),";"),CONCATENATE(";",EscStr(CONCATENATE("NavNode_",getCategoryLevelAsString($B326))),";",EscStr(I326),";")))</f>
        <v>;"NavNode_L3D_542704";"Videocamere / accessori";</v>
      </c>
      <c r="AC326" s="39" t="str">
        <f>IF(getCategoryLevelAsString($B326)="L0D_324785","",IF(J326="",CONCATENATE(";",EscStr(CONCATENATE("NavNode_",getCategoryLevelAsString($B326))),";",EscStr($J326),";"),CONCATENATE(";",EscStr(CONCATENATE("NavNode_",getCategoryLevelAsString($B326))),";",EscStr(J326),";")))</f>
        <v>;"NavNode_L3D_542704";"Video cameras / Accessories";</v>
      </c>
      <c r="AD326" s="39" t="str">
        <f>IF(getCategoryLevelAsString($B326)="L0D_324785","",IF(K326="",CONCATENATE(";",EscStr(CONCATENATE("NavNode_",getCategoryLevelAsString($B326))),";",EscStr($J326),";"),CONCATENATE(";",EscStr(CONCATENATE("NavNode_",getCategoryLevelAsString($B326))),";",EscStr(K326),";")))</f>
        <v>;"NavNode_L3D_542704";"Video-kameraer/tilbehør";</v>
      </c>
      <c r="AE326" s="39" t="str">
        <f>IF(getCategoryLevelAsString($B326)="L0D_324785","",IF(L326="",CONCATENATE(";",EscStr(CONCATENATE("NavNode_",getCategoryLevelAsString($B326))),";",EscStr($J326),";"),CONCATENATE(";",EscStr(CONCATENATE("NavNode_",getCategoryLevelAsString($B326))),";",EscStr(L326),";")))</f>
        <v>;"NavNode_L3D_542704";"Vaizdo kameros / Priedai";</v>
      </c>
      <c r="AF326" s="39" t="str">
        <f>IF(getCategoryLevelAsString($B326)="L0D_324785","",IF(M326="",CONCATENATE(";",EscStr(CONCATENATE("NavNode_",getCategoryLevelAsString($B326))),";",EscStr($J326),";"),CONCATENATE(";",EscStr(CONCATENATE("NavNode_",getCategoryLevelAsString($B326))),";",EscStr(M326),";")))</f>
        <v>;"NavNode_L3D_542704";"Videokameraer/tilbehør";</v>
      </c>
      <c r="AG326" s="39" t="str">
        <f>IF(getCategoryLevelAsString($B326)="L0D_324785","",IF(N326="",CONCATENATE(";",EscStr(CONCATENATE("NavNode_",getCategoryLevelAsString($B326))),";",EscStr($J326),";"),CONCATENATE(";",EscStr(CONCATENATE("NavNode_",getCategoryLevelAsString($B326))),";",EscStr(N326),";")))</f>
        <v>;"NavNode_L3D_542704";"Videokameror/Tillbehör";</v>
      </c>
      <c r="AH326" s="39" t="str">
        <f>IF(getCategoryLevelAsString($B326)="L0D_324785","",IF(O326="",CONCATENATE(";",EscStr(CONCATENATE("NavNode_",getCategoryLevelAsString($B326))),";",EscStr($J326),";"),CONCATENATE(";",EscStr(CONCATENATE("NavNode_",getCategoryLevelAsString($B326))),";",EscStr(O326),";")))</f>
        <v>;"NavNode_L3D_542704";"Videokaamerad / Tarvikud";</v>
      </c>
      <c r="AI326" s="39" t="str">
        <f>IF(getCategoryLevelAsString($B326)="L0D_324785","",IF(P326="",CONCATENATE(";",EscStr(CONCATENATE("NavNode_",getCategoryLevelAsString($B326))),";",EscStr($J326),";"),CONCATENATE(";",EscStr(CONCATENATE("NavNode_",getCategoryLevelAsString($B326))),";",EscStr(P326),";")))</f>
        <v>;"NavNode_L3D_542704";"Videokamerat/tarvikkeet";</v>
      </c>
      <c r="AJ326" s="39" t="str">
        <f>IF(getCategoryLevelAsString($B326)="L0D_324785","",IF(Q326="",CONCATENATE(";",EscStr(CONCATENATE("NavNode_",getCategoryLevelAsString($B326))),";",EscStr($J326),";"),CONCATENATE(";",EscStr(CONCATENATE("NavNode_",getCategoryLevelAsString($B326))),";",EscStr(Q326),";")))</f>
        <v>;"NavNode_L3D_542704";"Video kameras / Piederumi";</v>
      </c>
      <c r="AK326" s="39" t="str">
        <f>IF(getCategoryLevelAsString($B326)="L0D_324785","",IF(R326="",CONCATENATE(";",EscStr(CONCATENATE("NavNode_",getCategoryLevelAsString($B326))),";",EscStr($J326),";"),CONCATENATE(";",EscStr(CONCATENATE("NavNode_",getCategoryLevelAsString($B326))),";",EscStr(R326),";")))</f>
        <v>;"NavNode_L3D_542704";"Video cameras / accessoires";</v>
      </c>
      <c r="AL326" s="39" t="str">
        <f>IF(getCategoryLevelAsString($B326)="L0D_324785","",IF(S326="",CONCATENATE(";",EscStr(CONCATENATE("NavNode_",getCategoryLevelAsString($B326))),";",EscStr($J326),";"),CONCATENATE(";",EscStr(CONCATENATE("NavNode_",getCategoryLevelAsString($B326))),";",EscStr(S326),";")))</f>
        <v>;"NavNode_L3D_542704";"Kamery video/Akcesoria";</v>
      </c>
      <c r="AM326" s="39" t="str">
        <f>IF(getCategoryLevelAsString($B326)="L0D_324785","",IF(T326="",CONCATENATE(";",EscStr(CONCATENATE("NavNode_",getCategoryLevelAsString($B326))),";",EscStr($J326),";"),CONCATENATE(";",EscStr(CONCATENATE("NavNode_",getCategoryLevelAsString($B326))),";",EscStr(T326),";")))</f>
        <v>;"NavNode_L3D_542704";"Видеокамеры / Аксессуары";</v>
      </c>
      <c r="AN326" s="39" t="str">
        <f>IF(getCategoryLevelAsString($B326)="L0D_324785","",IF(U326="",CONCATENATE(";",EscStr(CONCATENATE("NavNode_",getCategoryLevelAsString($B326))),";",EscStr($J326),";"),CONCATENATE(";",EscStr(CONCATENATE("NavNode_",getCategoryLevelAsString($B326))),";",EscStr(U326),";")))</f>
        <v>;"NavNode_L3D_542704";"Videokamery / Příslušenství";</v>
      </c>
      <c r="AO326" s="39" t="str">
        <f>IF(getCategoryLevelAsString($B326)="L0D_324785","",IF(V326="",CONCATENATE(";",EscStr(CONCATENATE("NavNode_",getCategoryLevelAsString($B326))),";",EscStr($J326),";"),CONCATENATE(";",EscStr(CONCATENATE("NavNode_",getCategoryLevelAsString($B326))),";",EscStr(V326),";")))</f>
        <v>;"NavNode_L3D_542704";"Camere video / accesorii";</v>
      </c>
      <c r="AP326" s="39" t="str">
        <f>IF(getCategoryLevelAsString($B326)="L0D_324785","",IF(W326="",CONCATENATE(";",EscStr(CONCATENATE("NavNode_",getCategoryLevelAsString($B326))),";",EscStr($J326),";"),CONCATENATE(";",EscStr(CONCATENATE("NavNode_",getCategoryLevelAsString($B326))),";",EscStr(W326),";")))</f>
        <v>;"NavNode_L3D_542704";"Videókamerák / tartozékok";</v>
      </c>
      <c r="AQ326" s="39" t="str">
        <f>IF(getCategoryLevelAsString($B326)="L0D_324785","",IF(X326="",CONCATENATE(";",EscStr(CONCATENATE("NavNode_",getCategoryLevelAsString($B326))),";",EscStr($J326),";"),CONCATENATE(";",EscStr(CONCATENATE("NavNode_",getCategoryLevelAsString($B326))),";",EscStr(X326),";")))</f>
        <v>;"NavNode_L3D_542704";"Videokamery / Príslušenstvo";</v>
      </c>
      <c r="AR326" s="39" t="str">
        <f>IF(OR($A326&lt;&gt;"", $G326=""),"",CONCATENATE(";",EscStr(CONCATENATE("NavEntry_",getCategoryLevelAsString($B326))),";",EscStr(CONCATENATE($J326," Navigation Entry")),";",EscStr(CONCATENATE("cat-",getCategoryLevelAsString($B326))),";",EscStr(CONCATENATE("NavNode_",getCategoryLevelAsString($B326))),";"))</f>
        <v>;"NavEntry_L3D_542704";"Video cameras / Accessories Navigation Entry";"cat-L3D_542704";"NavNode_L3D_542704";</v>
      </c>
    </row>
    <row r="327" spans="1:44" s="34" customFormat="1" ht="15" x14ac:dyDescent="0.25">
      <c r="A327" s="25"/>
      <c r="B327" s="5"/>
      <c r="C327" s="5"/>
      <c r="D327" s="5" t="s">
        <v>616</v>
      </c>
      <c r="E327" s="5"/>
      <c r="F327" s="5"/>
      <c r="G327" s="5" t="s">
        <v>1035</v>
      </c>
      <c r="H327" s="5" t="s">
        <v>801</v>
      </c>
      <c r="I327" s="5" t="s">
        <v>698</v>
      </c>
      <c r="J327" s="5" t="s">
        <v>901</v>
      </c>
      <c r="K327" s="5" t="s">
        <v>13846</v>
      </c>
      <c r="L327" s="5" t="s">
        <v>15230</v>
      </c>
      <c r="M327" s="5" t="s">
        <v>1871</v>
      </c>
      <c r="N327" s="5" t="s">
        <v>2089</v>
      </c>
      <c r="O327" s="5" t="s">
        <v>4650</v>
      </c>
      <c r="P327" s="5" t="s">
        <v>4651</v>
      </c>
      <c r="Q327" s="5" t="s">
        <v>4652</v>
      </c>
      <c r="R327" s="5" t="s">
        <v>4653</v>
      </c>
      <c r="S327" s="5" t="s">
        <v>4654</v>
      </c>
      <c r="T327" s="5" t="s">
        <v>4655</v>
      </c>
      <c r="U327" s="5" t="s">
        <v>4656</v>
      </c>
      <c r="V327" s="5" t="s">
        <v>4657</v>
      </c>
      <c r="W327" s="5" t="s">
        <v>4658</v>
      </c>
      <c r="X327" s="5" t="s">
        <v>15016</v>
      </c>
      <c r="Y327" s="39" t="str">
        <f>IF(OR($A327&lt;&gt;"", $G327=""),"",CONCATENATE(";",EscStr(CONCATENATE("NavNode_",getCategoryLevelAsString($B327))),";",EscStr($J327),";",IF($B327&lt;&gt;"","""MainCategoryNavNode""",EscStr(CONCATENATE("NavNode_",getSuperCategory($B327, getCategoryLevelAsNumber($B327))))),";"))</f>
        <v>;"NavNode_L3D_542706";"SAT / Digital Receivers / Aerials";"NavNode_L2D_542667";</v>
      </c>
      <c r="Z327" s="39" t="str">
        <f>IF(getCategoryLevelAsString($B327)="L0D_324785","",IF(G327="",CONCATENATE(";",EscStr(CONCATENATE("NavNode_",getCategoryLevelAsString($B327))),";",EscStr($J327),";"),CONCATENATE(";",EscStr(CONCATENATE("NavNode_",getCategoryLevelAsString($B327))),";",EscStr(G327),";")))</f>
        <v>;"NavNode_L3D_542706";"SAT / Digitalreceiver / Antennen";</v>
      </c>
      <c r="AA327" s="39" t="str">
        <f>IF(getCategoryLevelAsString($B327)="L0D_324785","",IF(H327="",CONCATENATE(";",EscStr(CONCATENATE("NavNode_",getCategoryLevelAsString($B327))),";",EscStr($J327),";"),CONCATENATE(";",EscStr(CONCATENATE("NavNode_",getCategoryLevelAsString($B327))),";",EscStr(H327),";")))</f>
        <v>;"NavNode_L3D_542706";"SAT / Récepteurs numériques / Antennes";</v>
      </c>
      <c r="AB327" s="39" t="str">
        <f>IF(getCategoryLevelAsString($B327)="L0D_324785","",IF(I327="",CONCATENATE(";",EscStr(CONCATENATE("NavNode_",getCategoryLevelAsString($B327))),";",EscStr($J327),";"),CONCATENATE(";",EscStr(CONCATENATE("NavNode_",getCategoryLevelAsString($B327))),";",EscStr(I327),";")))</f>
        <v>;"NavNode_L3D_542706";"SAT / ricevitori digitali / antenne";</v>
      </c>
      <c r="AC327" s="39" t="str">
        <f>IF(getCategoryLevelAsString($B327)="L0D_324785","",IF(J327="",CONCATENATE(";",EscStr(CONCATENATE("NavNode_",getCategoryLevelAsString($B327))),";",EscStr($J327),";"),CONCATENATE(";",EscStr(CONCATENATE("NavNode_",getCategoryLevelAsString($B327))),";",EscStr(J327),";")))</f>
        <v>;"NavNode_L3D_542706";"SAT / Digital Receivers / Aerials";</v>
      </c>
      <c r="AD327" s="39" t="str">
        <f>IF(getCategoryLevelAsString($B327)="L0D_324785","",IF(K327="",CONCATENATE(";",EscStr(CONCATENATE("NavNode_",getCategoryLevelAsString($B327))),";",EscStr($J327),";"),CONCATENATE(";",EscStr(CONCATENATE("NavNode_",getCategoryLevelAsString($B327))),";",EscStr(K327),";")))</f>
        <v>;"NavNode_L3D_542706";"SAT/digitale modtagere/antenner";</v>
      </c>
      <c r="AE327" s="39" t="str">
        <f>IF(getCategoryLevelAsString($B327)="L0D_324785","",IF(L327="",CONCATENATE(";",EscStr(CONCATENATE("NavNode_",getCategoryLevelAsString($B327))),";",EscStr($J327),";"),CONCATENATE(";",EscStr(CONCATENATE("NavNode_",getCategoryLevelAsString($B327))),";",EscStr(L327),";")))</f>
        <v>;"NavNode_L3D_542706";"SAT / Skaitmeniniai imtuvai / Antenos";</v>
      </c>
      <c r="AF327" s="39" t="str">
        <f>IF(getCategoryLevelAsString($B327)="L0D_324785","",IF(M327="",CONCATENATE(";",EscStr(CONCATENATE("NavNode_",getCategoryLevelAsString($B327))),";",EscStr($J327),";"),CONCATENATE(";",EscStr(CONCATENATE("NavNode_",getCategoryLevelAsString($B327))),";",EscStr(M327),";")))</f>
        <v>;"NavNode_L3D_542706";"SAT/digitale mottakere/antenner";</v>
      </c>
      <c r="AG327" s="39" t="str">
        <f>IF(getCategoryLevelAsString($B327)="L0D_324785","",IF(N327="",CONCATENATE(";",EscStr(CONCATENATE("NavNode_",getCategoryLevelAsString($B327))),";",EscStr($J327),";"),CONCATENATE(";",EscStr(CONCATENATE("NavNode_",getCategoryLevelAsString($B327))),";",EscStr(N327),";")))</f>
        <v>;"NavNode_L3D_542706";"SAT/Digitala mottagare/Antenner";</v>
      </c>
      <c r="AH327" s="39" t="str">
        <f>IF(getCategoryLevelAsString($B327)="L0D_324785","",IF(O327="",CONCATENATE(";",EscStr(CONCATENATE("NavNode_",getCategoryLevelAsString($B327))),";",EscStr($J327),";"),CONCATENATE(";",EscStr(CONCATENATE("NavNode_",getCategoryLevelAsString($B327))),";",EscStr(O327),";")))</f>
        <v>;"NavNode_L3D_542706";"SAT / Digi vastuvõtjad / Antennid";</v>
      </c>
      <c r="AI327" s="39" t="str">
        <f>IF(getCategoryLevelAsString($B327)="L0D_324785","",IF(P327="",CONCATENATE(";",EscStr(CONCATENATE("NavNode_",getCategoryLevelAsString($B327))),";",EscStr($J327),";"),CONCATENATE(";",EscStr(CONCATENATE("NavNode_",getCategoryLevelAsString($B327))),";",EscStr(P327),";")))</f>
        <v>;"NavNode_L3D_542706";"SAT / Digiboxit/Antennit";</v>
      </c>
      <c r="AJ327" s="39" t="str">
        <f>IF(getCategoryLevelAsString($B327)="L0D_324785","",IF(Q327="",CONCATENATE(";",EscStr(CONCATENATE("NavNode_",getCategoryLevelAsString($B327))),";",EscStr($J327),";"),CONCATENATE(";",EscStr(CONCATENATE("NavNode_",getCategoryLevelAsString($B327))),";",EscStr(Q327),";")))</f>
        <v>;"NavNode_L3D_542706";"SAT / Digitālie uztvērēji / Antenas";</v>
      </c>
      <c r="AK327" s="39" t="str">
        <f>IF(getCategoryLevelAsString($B327)="L0D_324785","",IF(R327="",CONCATENATE(";",EscStr(CONCATENATE("NavNode_",getCategoryLevelAsString($B327))),";",EscStr($J327),";"),CONCATENATE(";",EscStr(CONCATENATE("NavNode_",getCategoryLevelAsString($B327))),";",EscStr(R327),";")))</f>
        <v>;"NavNode_L3D_542706";"SAT / Digitale ontvangers / Antennes";</v>
      </c>
      <c r="AL327" s="39" t="str">
        <f>IF(getCategoryLevelAsString($B327)="L0D_324785","",IF(S327="",CONCATENATE(";",EscStr(CONCATENATE("NavNode_",getCategoryLevelAsString($B327))),";",EscStr($J327),";"),CONCATENATE(";",EscStr(CONCATENATE("NavNode_",getCategoryLevelAsString($B327))),";",EscStr(S327),";")))</f>
        <v>;"NavNode_L3D_542706";"SAT/Dekodery SAT / Anteny";</v>
      </c>
      <c r="AM327" s="39" t="str">
        <f>IF(getCategoryLevelAsString($B327)="L0D_324785","",IF(T327="",CONCATENATE(";",EscStr(CONCATENATE("NavNode_",getCategoryLevelAsString($B327))),";",EscStr($J327),";"),CONCATENATE(";",EscStr(CONCATENATE("NavNode_",getCategoryLevelAsString($B327))),";",EscStr(T327),";")))</f>
        <v>;"NavNode_L3D_542706";"SAT /  Цифровые приемники / Антенны";</v>
      </c>
      <c r="AN327" s="39" t="str">
        <f>IF(getCategoryLevelAsString($B327)="L0D_324785","",IF(U327="",CONCATENATE(";",EscStr(CONCATENATE("NavNode_",getCategoryLevelAsString($B327))),";",EscStr($J327),";"),CONCATENATE(";",EscStr(CONCATENATE("NavNode_",getCategoryLevelAsString($B327))),";",EscStr(U327),";")))</f>
        <v>;"NavNode_L3D_542706";"SAT / Digitální přijímač / Antény";</v>
      </c>
      <c r="AO327" s="39" t="str">
        <f>IF(getCategoryLevelAsString($B327)="L0D_324785","",IF(V327="",CONCATENATE(";",EscStr(CONCATENATE("NavNode_",getCategoryLevelAsString($B327))),";",EscStr($J327),";"),CONCATENATE(";",EscStr(CONCATENATE("NavNode_",getCategoryLevelAsString($B327))),";",EscStr(V327),";")))</f>
        <v>;"NavNode_L3D_542706";"Satelit / receptor digital / antena";</v>
      </c>
      <c r="AP327" s="39" t="str">
        <f>IF(getCategoryLevelAsString($B327)="L0D_324785","",IF(W327="",CONCATENATE(";",EscStr(CONCATENATE("NavNode_",getCategoryLevelAsString($B327))),";",EscStr($J327),";"),CONCATENATE(";",EscStr(CONCATENATE("NavNode_",getCategoryLevelAsString($B327))),";",EscStr(W327),";")))</f>
        <v>;"NavNode_L3D_542706";"SAT / Digitalreceiver / Antenna";</v>
      </c>
      <c r="AQ327" s="39" t="str">
        <f>IF(getCategoryLevelAsString($B327)="L0D_324785","",IF(X327="",CONCATENATE(";",EscStr(CONCATENATE("NavNode_",getCategoryLevelAsString($B327))),";",EscStr($J327),";"),CONCATENATE(";",EscStr(CONCATENATE("NavNode_",getCategoryLevelAsString($B327))),";",EscStr(X327),";")))</f>
        <v>;"NavNode_L3D_542706";"SAT / Digitálny prijímač / Antény";</v>
      </c>
      <c r="AR327" s="39" t="str">
        <f>IF(OR($A327&lt;&gt;"", $G327=""),"",CONCATENATE(";",EscStr(CONCATENATE("NavEntry_",getCategoryLevelAsString($B327))),";",EscStr(CONCATENATE($J327," Navigation Entry")),";",EscStr(CONCATENATE("cat-",getCategoryLevelAsString($B327))),";",EscStr(CONCATENATE("NavNode_",getCategoryLevelAsString($B327))),";"))</f>
        <v>;"NavEntry_L3D_542706";"SAT / Digital Receivers / Aerials Navigation Entry";"cat-L3D_542706";"NavNode_L3D_542706";</v>
      </c>
    </row>
    <row r="328" spans="1:44" s="34" customFormat="1" ht="15" x14ac:dyDescent="0.25">
      <c r="A328" s="25"/>
      <c r="B328" s="5"/>
      <c r="C328" s="5"/>
      <c r="D328" s="5" t="s">
        <v>585</v>
      </c>
      <c r="E328" s="5"/>
      <c r="F328" s="5"/>
      <c r="G328" s="5" t="s">
        <v>802</v>
      </c>
      <c r="H328" s="5" t="s">
        <v>802</v>
      </c>
      <c r="I328" s="5" t="s">
        <v>653</v>
      </c>
      <c r="J328" s="5" t="s">
        <v>802</v>
      </c>
      <c r="K328" s="5" t="s">
        <v>1433</v>
      </c>
      <c r="L328" s="5" t="s">
        <v>1672</v>
      </c>
      <c r="M328" s="5" t="s">
        <v>1873</v>
      </c>
      <c r="N328" s="5" t="s">
        <v>2091</v>
      </c>
      <c r="O328" s="5" t="s">
        <v>4659</v>
      </c>
      <c r="P328" s="5" t="s">
        <v>4660</v>
      </c>
      <c r="Q328" s="5" t="s">
        <v>4661</v>
      </c>
      <c r="R328" s="5" t="s">
        <v>4662</v>
      </c>
      <c r="S328" s="5" t="s">
        <v>4663</v>
      </c>
      <c r="T328" s="5" t="s">
        <v>4664</v>
      </c>
      <c r="U328" s="5" t="s">
        <v>4665</v>
      </c>
      <c r="V328" s="5" t="s">
        <v>4662</v>
      </c>
      <c r="W328" s="5" t="s">
        <v>4666</v>
      </c>
      <c r="X328" s="5" t="s">
        <v>15017</v>
      </c>
      <c r="Y328" s="39" t="str">
        <f>IF(OR($A328&lt;&gt;"", $G328=""),"",CONCATENATE(";",EscStr(CONCATENATE("NavNode_",getCategoryLevelAsString($B328))),";",EscStr($J328),";",IF($B328&lt;&gt;"","""MainCategoryNavNode""",EscStr(CONCATENATE("NavNode_",getSuperCategory($B328, getCategoryLevelAsNumber($B328))))),";"))</f>
        <v>;"NavNode_L3D_542671";"Navigation / GPS";"NavNode_L2D_542667";</v>
      </c>
      <c r="Z328" s="39" t="str">
        <f>IF(getCategoryLevelAsString($B328)="L0D_324785","",IF(G328="",CONCATENATE(";",EscStr(CONCATENATE("NavNode_",getCategoryLevelAsString($B328))),";",EscStr($J328),";"),CONCATENATE(";",EscStr(CONCATENATE("NavNode_",getCategoryLevelAsString($B328))),";",EscStr(G328),";")))</f>
        <v>;"NavNode_L3D_542671";"Navigation / GPS";</v>
      </c>
      <c r="AA328" s="39" t="str">
        <f>IF(getCategoryLevelAsString($B328)="L0D_324785","",IF(H328="",CONCATENATE(";",EscStr(CONCATENATE("NavNode_",getCategoryLevelAsString($B328))),";",EscStr($J328),";"),CONCATENATE(";",EscStr(CONCATENATE("NavNode_",getCategoryLevelAsString($B328))),";",EscStr(H328),";")))</f>
        <v>;"NavNode_L3D_542671";"Navigation / GPS";</v>
      </c>
      <c r="AB328" s="39" t="str">
        <f>IF(getCategoryLevelAsString($B328)="L0D_324785","",IF(I328="",CONCATENATE(";",EscStr(CONCATENATE("NavNode_",getCategoryLevelAsString($B328))),";",EscStr($J328),";"),CONCATENATE(";",EscStr(CONCATENATE("NavNode_",getCategoryLevelAsString($B328))),";",EscStr(I328),";")))</f>
        <v>;"NavNode_L3D_542671";"Navigazione / GPS";</v>
      </c>
      <c r="AC328" s="39" t="str">
        <f>IF(getCategoryLevelAsString($B328)="L0D_324785","",IF(J328="",CONCATENATE(";",EscStr(CONCATENATE("NavNode_",getCategoryLevelAsString($B328))),";",EscStr($J328),";"),CONCATENATE(";",EscStr(CONCATENATE("NavNode_",getCategoryLevelAsString($B328))),";",EscStr(J328),";")))</f>
        <v>;"NavNode_L3D_542671";"Navigation / GPS";</v>
      </c>
      <c r="AD328" s="39" t="str">
        <f>IF(getCategoryLevelAsString($B328)="L0D_324785","",IF(K328="",CONCATENATE(";",EscStr(CONCATENATE("NavNode_",getCategoryLevelAsString($B328))),";",EscStr($J328),";"),CONCATENATE(";",EscStr(CONCATENATE("NavNode_",getCategoryLevelAsString($B328))),";",EscStr(K328),";")))</f>
        <v>;"NavNode_L3D_542671";"Navigation/GPS";</v>
      </c>
      <c r="AE328" s="39" t="str">
        <f>IF(getCategoryLevelAsString($B328)="L0D_324785","",IF(L328="",CONCATENATE(";",EscStr(CONCATENATE("NavNode_",getCategoryLevelAsString($B328))),";",EscStr($J328),";"),CONCATENATE(";",EscStr(CONCATENATE("NavNode_",getCategoryLevelAsString($B328))),";",EscStr(L328),";")))</f>
        <v>;"NavNode_L3D_542671";"Navigacija / GPS";</v>
      </c>
      <c r="AF328" s="39" t="str">
        <f>IF(getCategoryLevelAsString($B328)="L0D_324785","",IF(M328="",CONCATENATE(";",EscStr(CONCATENATE("NavNode_",getCategoryLevelAsString($B328))),";",EscStr($J328),";"),CONCATENATE(";",EscStr(CONCATENATE("NavNode_",getCategoryLevelAsString($B328))),";",EscStr(M328),";")))</f>
        <v>;"NavNode_L3D_542671";"Navigasjon/GPS";</v>
      </c>
      <c r="AG328" s="39" t="str">
        <f>IF(getCategoryLevelAsString($B328)="L0D_324785","",IF(N328="",CONCATENATE(";",EscStr(CONCATENATE("NavNode_",getCategoryLevelAsString($B328))),";",EscStr($J328),";"),CONCATENATE(";",EscStr(CONCATENATE("NavNode_",getCategoryLevelAsString($B328))),";",EscStr(N328),";")))</f>
        <v>;"NavNode_L3D_542671";"Navigering/GPS";</v>
      </c>
      <c r="AH328" s="39" t="str">
        <f>IF(getCategoryLevelAsString($B328)="L0D_324785","",IF(O328="",CONCATENATE(";",EscStr(CONCATENATE("NavNode_",getCategoryLevelAsString($B328))),";",EscStr($J328),";"),CONCATENATE(";",EscStr(CONCATENATE("NavNode_",getCategoryLevelAsString($B328))),";",EscStr(O328),";")))</f>
        <v>;"NavNode_L3D_542671";"Navigatsioon / GPS";</v>
      </c>
      <c r="AI328" s="39" t="str">
        <f>IF(getCategoryLevelAsString($B328)="L0D_324785","",IF(P328="",CONCATENATE(";",EscStr(CONCATENATE("NavNode_",getCategoryLevelAsString($B328))),";",EscStr($J328),";"),CONCATENATE(";",EscStr(CONCATENATE("NavNode_",getCategoryLevelAsString($B328))),";",EscStr(P328),";")))</f>
        <v>;"NavNode_L3D_542671";"Navigaattorit / GPS";</v>
      </c>
      <c r="AJ328" s="39" t="str">
        <f>IF(getCategoryLevelAsString($B328)="L0D_324785","",IF(Q328="",CONCATENATE(";",EscStr(CONCATENATE("NavNode_",getCategoryLevelAsString($B328))),";",EscStr($J328),";"),CONCATENATE(";",EscStr(CONCATENATE("NavNode_",getCategoryLevelAsString($B328))),";",EscStr(Q328),";")))</f>
        <v>;"NavNode_L3D_542671";"Navigācija / GPS";</v>
      </c>
      <c r="AK328" s="39" t="str">
        <f>IF(getCategoryLevelAsString($B328)="L0D_324785","",IF(R328="",CONCATENATE(";",EscStr(CONCATENATE("NavNode_",getCategoryLevelAsString($B328))),";",EscStr($J328),";"),CONCATENATE(";",EscStr(CONCATENATE("NavNode_",getCategoryLevelAsString($B328))),";",EscStr(R328),";")))</f>
        <v>;"NavNode_L3D_542671";"Navigatie / GPS";</v>
      </c>
      <c r="AL328" s="39" t="str">
        <f>IF(getCategoryLevelAsString($B328)="L0D_324785","",IF(S328="",CONCATENATE(";",EscStr(CONCATENATE("NavNode_",getCategoryLevelAsString($B328))),";",EscStr($J328),";"),CONCATENATE(";",EscStr(CONCATENATE("NavNode_",getCategoryLevelAsString($B328))),";",EscStr(S328),";")))</f>
        <v>;"NavNode_L3D_542671";"Nawigacje GPS";</v>
      </c>
      <c r="AM328" s="39" t="str">
        <f>IF(getCategoryLevelAsString($B328)="L0D_324785","",IF(T328="",CONCATENATE(";",EscStr(CONCATENATE("NavNode_",getCategoryLevelAsString($B328))),";",EscStr($J328),";"),CONCATENATE(";",EscStr(CONCATENATE("NavNode_",getCategoryLevelAsString($B328))),";",EscStr(T328),";")))</f>
        <v>;"NavNode_L3D_542671";"Навигация / GPS";</v>
      </c>
      <c r="AN328" s="39" t="str">
        <f>IF(getCategoryLevelAsString($B328)="L0D_324785","",IF(U328="",CONCATENATE(";",EscStr(CONCATENATE("NavNode_",getCategoryLevelAsString($B328))),";",EscStr($J328),";"),CONCATENATE(";",EscStr(CONCATENATE("NavNode_",getCategoryLevelAsString($B328))),";",EscStr(U328),";")))</f>
        <v>;"NavNode_L3D_542671";"Navigace / GPS";</v>
      </c>
      <c r="AO328" s="39" t="str">
        <f>IF(getCategoryLevelAsString($B328)="L0D_324785","",IF(V328="",CONCATENATE(";",EscStr(CONCATENATE("NavNode_",getCategoryLevelAsString($B328))),";",EscStr($J328),";"),CONCATENATE(";",EscStr(CONCATENATE("NavNode_",getCategoryLevelAsString($B328))),";",EscStr(V328),";")))</f>
        <v>;"NavNode_L3D_542671";"Navigatie / GPS";</v>
      </c>
      <c r="AP328" s="39" t="str">
        <f>IF(getCategoryLevelAsString($B328)="L0D_324785","",IF(W328="",CONCATENATE(";",EscStr(CONCATENATE("NavNode_",getCategoryLevelAsString($B328))),";",EscStr($J328),";"),CONCATENATE(";",EscStr(CONCATENATE("NavNode_",getCategoryLevelAsString($B328))),";",EscStr(W328),";")))</f>
        <v>;"NavNode_L3D_542671";"Navigáció / GPS";</v>
      </c>
      <c r="AQ328" s="39" t="str">
        <f>IF(getCategoryLevelAsString($B328)="L0D_324785","",IF(X328="",CONCATENATE(";",EscStr(CONCATENATE("NavNode_",getCategoryLevelAsString($B328))),";",EscStr($J328),";"),CONCATENATE(";",EscStr(CONCATENATE("NavNode_",getCategoryLevelAsString($B328))),";",EscStr(X328),";")))</f>
        <v>;"NavNode_L3D_542671";"Navigácie / GPS";</v>
      </c>
      <c r="AR328" s="39" t="str">
        <f>IF(OR($A328&lt;&gt;"", $G328=""),"",CONCATENATE(";",EscStr(CONCATENATE("NavEntry_",getCategoryLevelAsString($B328))),";",EscStr(CONCATENATE($J328," Navigation Entry")),";",EscStr(CONCATENATE("cat-",getCategoryLevelAsString($B328))),";",EscStr(CONCATENATE("NavNode_",getCategoryLevelAsString($B328))),";"))</f>
        <v>;"NavEntry_L3D_542671";"Navigation / GPS Navigation Entry";"cat-L3D_542671";"NavNode_L3D_542671";</v>
      </c>
    </row>
    <row r="329" spans="1:44" s="38" customFormat="1" ht="14.25" x14ac:dyDescent="0.2">
      <c r="A329" s="32"/>
      <c r="B329" s="29" t="s">
        <v>12585</v>
      </c>
      <c r="C329" s="37"/>
      <c r="E329" s="29"/>
      <c r="F329" s="29"/>
      <c r="G329" s="31" t="s">
        <v>15398</v>
      </c>
      <c r="H329" s="31" t="s">
        <v>15399</v>
      </c>
      <c r="I329" s="31" t="s">
        <v>15400</v>
      </c>
      <c r="J329" s="31" t="s">
        <v>12585</v>
      </c>
      <c r="K329" s="31" t="s">
        <v>15401</v>
      </c>
      <c r="L329" s="31" t="s">
        <v>15402</v>
      </c>
      <c r="M329" s="31" t="s">
        <v>15403</v>
      </c>
      <c r="N329" s="31" t="s">
        <v>15416</v>
      </c>
      <c r="O329" s="31" t="s">
        <v>4166</v>
      </c>
      <c r="P329" s="31" t="s">
        <v>15404</v>
      </c>
      <c r="Q329" s="31" t="s">
        <v>15405</v>
      </c>
      <c r="R329" s="31" t="s">
        <v>15406</v>
      </c>
      <c r="S329" s="31" t="s">
        <v>15407</v>
      </c>
      <c r="T329" s="31" t="s">
        <v>15408</v>
      </c>
      <c r="U329" s="31" t="s">
        <v>15409</v>
      </c>
      <c r="V329" s="31" t="s">
        <v>15410</v>
      </c>
      <c r="W329" s="31" t="s">
        <v>15411</v>
      </c>
      <c r="X329" s="31" t="s">
        <v>15412</v>
      </c>
      <c r="Y329" s="39" t="str">
        <f>IF(OR($A329&lt;&gt;"", $G329=""),"",CONCATENATE(";",EscStr(CONCATENATE("NavNode_",getCategoryLevelAsString($B329))),";",EscStr($J329),";",IF($B329&lt;&gt;"","""MainCategoryNavNode""",EscStr(CONCATENATE("NavNode_",getSuperCategory($B329, getCategoryLevelAsNumber($B329))))),";"))</f>
        <v>;"NavNode_Computing / Office";"Computing / Office";"MainCategoryNavNode";</v>
      </c>
      <c r="Z329" s="39" t="str">
        <f>IF(getCategoryLevelAsString($B329)="L0D_324785","",IF(G329="",CONCATENATE(";",EscStr(CONCATENATE("NavNode_",getCategoryLevelAsString($B329))),";",EscStr($J329),";"),CONCATENATE(";",EscStr(CONCATENATE("NavNode_",getCategoryLevelAsString($B329))),";",EscStr(G329),";")))</f>
        <v>;"NavNode_Computing / Office";"Computer / Bürobedarf";</v>
      </c>
      <c r="AA329" s="39" t="str">
        <f>IF(getCategoryLevelAsString($B329)="L0D_324785","",IF(H329="",CONCATENATE(";",EscStr(CONCATENATE("NavNode_",getCategoryLevelAsString($B329))),";",EscStr($J329),";"),CONCATENATE(";",EscStr(CONCATENATE("NavNode_",getCategoryLevelAsString($B329))),";",EscStr(H329),";")))</f>
        <v>;"NavNode_Computing / Office";"Informatique / Bureau";</v>
      </c>
      <c r="AB329" s="39" t="str">
        <f>IF(getCategoryLevelAsString($B329)="L0D_324785","",IF(I329="",CONCATENATE(";",EscStr(CONCATENATE("NavNode_",getCategoryLevelAsString($B329))),";",EscStr($J329),";"),CONCATENATE(";",EscStr(CONCATENATE("NavNode_",getCategoryLevelAsString($B329))),";",EscStr(I329),";")))</f>
        <v>;"NavNode_Computing / Office";"Computing/Ufficio";</v>
      </c>
      <c r="AC329" s="39" t="str">
        <f>IF(getCategoryLevelAsString($B329)="L0D_324785","",IF(J329="",CONCATENATE(";",EscStr(CONCATENATE("NavNode_",getCategoryLevelAsString($B329))),";",EscStr($J329),";"),CONCATENATE(";",EscStr(CONCATENATE("NavNode_",getCategoryLevelAsString($B329))),";",EscStr(J329),";")))</f>
        <v>;"NavNode_Computing / Office";"Computing / Office";</v>
      </c>
      <c r="AD329" s="39" t="str">
        <f>IF(getCategoryLevelAsString($B329)="L0D_324785","",IF(K329="",CONCATENATE(";",EscStr(CONCATENATE("NavNode_",getCategoryLevelAsString($B329))),";",EscStr($J329),";"),CONCATENATE(";",EscStr(CONCATENATE("NavNode_",getCategoryLevelAsString($B329))),";",EscStr(K329),";")))</f>
        <v>;"NavNode_Computing / Office";"IT / Kontor";</v>
      </c>
      <c r="AE329" s="39" t="str">
        <f>IF(getCategoryLevelAsString($B329)="L0D_324785","",IF(L329="",CONCATENATE(";",EscStr(CONCATENATE("NavNode_",getCategoryLevelAsString($B329))),";",EscStr($J329),";"),CONCATENATE(";",EscStr(CONCATENATE("NavNode_",getCategoryLevelAsString($B329))),";",EscStr(L329),";")))</f>
        <v>;"NavNode_Computing / Office";"Kompiuterių sistemos / Biuras";</v>
      </c>
      <c r="AF329" s="39" t="str">
        <f>IF(getCategoryLevelAsString($B329)="L0D_324785","",IF(M329="",CONCATENATE(";",EscStr(CONCATENATE("NavNode_",getCategoryLevelAsString($B329))),";",EscStr($J329),";"),CONCATENATE(";",EscStr(CONCATENATE("NavNode_",getCategoryLevelAsString($B329))),";",EscStr(M329),";")))</f>
        <v>;"NavNode_Computing / Office";"Databehandling / kontorutstyr";</v>
      </c>
      <c r="AG329" s="39" t="str">
        <f>IF(getCategoryLevelAsString($B329)="L0D_324785","",IF(N329="",CONCATENATE(";",EscStr(CONCATENATE("NavNode_",getCategoryLevelAsString($B329))),";",EscStr($J329),";"),CONCATENATE(";",EscStr(CONCATENATE("NavNode_",getCategoryLevelAsString($B329))),";",EscStr(N329),";")))</f>
        <v>;"NavNode_Computing / Office";"Datorer / kontor";</v>
      </c>
      <c r="AH329" s="39" t="str">
        <f>IF(getCategoryLevelAsString($B329)="L0D_324785","",IF(O329="",CONCATENATE(";",EscStr(CONCATENATE("NavNode_",getCategoryLevelAsString($B329))),";",EscStr($J329),";"),CONCATENATE(";",EscStr(CONCATENATE("NavNode_",getCategoryLevelAsString($B329))),";",EscStr(O329),";")))</f>
        <v>;"NavNode_Computing / Office";"Arvutustehnika ja hobi";</v>
      </c>
      <c r="AI329" s="39" t="str">
        <f>IF(getCategoryLevelAsString($B329)="L0D_324785","",IF(P329="",CONCATENATE(";",EscStr(CONCATENATE("NavNode_",getCategoryLevelAsString($B329))),";",EscStr($J329),";"),CONCATENATE(";",EscStr(CONCATENATE("NavNode_",getCategoryLevelAsString($B329))),";",EscStr(P329),";")))</f>
        <v>;"NavNode_Computing / Office";"Tietokoneet / Toimistotuotteet";</v>
      </c>
      <c r="AJ329" s="39" t="str">
        <f>IF(getCategoryLevelAsString($B329)="L0D_324785","",IF(Q329="",CONCATENATE(";",EscStr(CONCATENATE("NavNode_",getCategoryLevelAsString($B329))),";",EscStr($J329),";"),CONCATENATE(";",EscStr(CONCATENATE("NavNode_",getCategoryLevelAsString($B329))),";",EscStr(Q329),";")))</f>
        <v>;"NavNode_Computing / Office";"Datošana/Birojs";</v>
      </c>
      <c r="AK329" s="39" t="str">
        <f>IF(getCategoryLevelAsString($B329)="L0D_324785","",IF(R329="",CONCATENATE(";",EscStr(CONCATENATE("NavNode_",getCategoryLevelAsString($B329))),";",EscStr($J329),";"),CONCATENATE(";",EscStr(CONCATENATE("NavNode_",getCategoryLevelAsString($B329))),";",EscStr(R329),";")))</f>
        <v>;"NavNode_Computing / Office";"Computers en kantoorapparatuur";</v>
      </c>
      <c r="AL329" s="39" t="str">
        <f>IF(getCategoryLevelAsString($B329)="L0D_324785","",IF(S329="",CONCATENATE(";",EscStr(CONCATENATE("NavNode_",getCategoryLevelAsString($B329))),";",EscStr($J329),";"),CONCATENATE(";",EscStr(CONCATENATE("NavNode_",getCategoryLevelAsString($B329))),";",EscStr(S329),";")))</f>
        <v>;"NavNode_Computing / Office";"Sprzęt komputerowy/Urządzenia biurowe";</v>
      </c>
      <c r="AM329" s="39" t="str">
        <f>IF(getCategoryLevelAsString($B329)="L0D_324785","",IF(T329="",CONCATENATE(";",EscStr(CONCATENATE("NavNode_",getCategoryLevelAsString($B329))),";",EscStr($J329),";"),CONCATENATE(";",EscStr(CONCATENATE("NavNode_",getCategoryLevelAsString($B329))),";",EscStr(T329),";")))</f>
        <v>;"NavNode_Computing / Office";"Вычислительная техника / Офисные принадлежности";</v>
      </c>
      <c r="AN329" s="39" t="str">
        <f>IF(getCategoryLevelAsString($B329)="L0D_324785","",IF(U329="",CONCATENATE(";",EscStr(CONCATENATE("NavNode_",getCategoryLevelAsString($B329))),";",EscStr($J329),";"),CONCATENATE(";",EscStr(CONCATENATE("NavNode_",getCategoryLevelAsString($B329))),";",EscStr(U329),";")))</f>
        <v>;"NavNode_Computing / Office";"Výpočetní technika / kancelářské vybavení";</v>
      </c>
      <c r="AO329" s="39" t="str">
        <f>IF(getCategoryLevelAsString($B329)="L0D_324785","",IF(V329="",CONCATENATE(";",EscStr(CONCATENATE("NavNode_",getCategoryLevelAsString($B329))),";",EscStr($J329),";"),CONCATENATE(";",EscStr(CONCATENATE("NavNode_",getCategoryLevelAsString($B329))),";",EscStr(V329),";")))</f>
        <v>;"NavNode_Computing / Office";"Calcul/Birou";</v>
      </c>
      <c r="AP329" s="39" t="str">
        <f>IF(getCategoryLevelAsString($B329)="L0D_324785","",IF(W329="",CONCATENATE(";",EscStr(CONCATENATE("NavNode_",getCategoryLevelAsString($B329))),";",EscStr($J329),";"),CONCATENATE(";",EscStr(CONCATENATE("NavNode_",getCategoryLevelAsString($B329))),";",EscStr(W329),";")))</f>
        <v>;"NavNode_Computing / Office";"Számítástechnika / Iroda";</v>
      </c>
      <c r="AQ329" s="39" t="str">
        <f>IF(getCategoryLevelAsString($B329)="L0D_324785","",IF(X329="",CONCATENATE(";",EscStr(CONCATENATE("NavNode_",getCategoryLevelAsString($B329))),";",EscStr($J329),";"),CONCATENATE(";",EscStr(CONCATENATE("NavNode_",getCategoryLevelAsString($B329))),";",EscStr(X329),";")))</f>
        <v>;"NavNode_Computing / Office";"Výpočtová technika/Kancelárske potreby";</v>
      </c>
      <c r="AR329" s="39" t="str">
        <f>IF(OR($A329&lt;&gt;"", $G329=""),"",CONCATENATE(";",EscStr(CONCATENATE("NavEntry_",getCategoryLevelAsString($B329))),";",EscStr(CONCATENATE($J329," Navigation Entry")),";",EscStr(CONCATENATE("cat-",getCategoryLevelAsString($B329))),";",EscStr(CONCATENATE("NavNode_",getCategoryLevelAsString($B329))),";"))</f>
        <v>;"NavEntry_Computing / Office";"Computing / Office Navigation Entry";"cat-Computing / Office";"NavNode_Computing / Office";</v>
      </c>
    </row>
    <row r="330" spans="1:44" s="34" customFormat="1" ht="15" x14ac:dyDescent="0.25">
      <c r="A330" s="25"/>
      <c r="B330" s="5"/>
      <c r="C330" s="5" t="s">
        <v>625</v>
      </c>
      <c r="D330" s="5"/>
      <c r="E330" s="5"/>
      <c r="F330" s="5"/>
      <c r="G330" s="5" t="s">
        <v>950</v>
      </c>
      <c r="H330" s="5" t="s">
        <v>748</v>
      </c>
      <c r="I330" s="5" t="s">
        <v>676</v>
      </c>
      <c r="J330" s="5" t="s">
        <v>848</v>
      </c>
      <c r="K330" s="5" t="s">
        <v>1379</v>
      </c>
      <c r="L330" s="5" t="s">
        <v>15231</v>
      </c>
      <c r="M330" s="5" t="s">
        <v>1817</v>
      </c>
      <c r="N330" s="5" t="s">
        <v>2034</v>
      </c>
      <c r="O330" s="5" t="s">
        <v>4174</v>
      </c>
      <c r="P330" s="5" t="s">
        <v>4175</v>
      </c>
      <c r="Q330" s="5" t="s">
        <v>4176</v>
      </c>
      <c r="R330" s="5" t="s">
        <v>4177</v>
      </c>
      <c r="S330" s="5" t="s">
        <v>4178</v>
      </c>
      <c r="T330" s="5" t="s">
        <v>4179</v>
      </c>
      <c r="U330" s="5" t="s">
        <v>4180</v>
      </c>
      <c r="V330" s="5" t="s">
        <v>4181</v>
      </c>
      <c r="W330" s="5" t="s">
        <v>4182</v>
      </c>
      <c r="X330" s="5" t="s">
        <v>4180</v>
      </c>
      <c r="Y330" s="39" t="str">
        <f>IF(OR($A330&lt;&gt;"", $G330=""),"",CONCATENATE(";",EscStr(CONCATENATE("NavNode_",getCategoryLevelAsString($B330))),";",EscStr($J330),";",IF($B330&lt;&gt;"","""MainCategoryNavNode""",EscStr(CONCATENATE("NavNode_",getSuperCategory($B330, getCategoryLevelAsNumber($B330))))),";"))</f>
        <v>;"NavNode_L2D_542662";"Computing &amp; PC components";"NavNode_Computing / Office";</v>
      </c>
      <c r="Z330" s="39" t="str">
        <f>IF(getCategoryLevelAsString($B330)="L0D_324785","",IF(G330="",CONCATENATE(";",EscStr(CONCATENATE("NavNode_",getCategoryLevelAsString($B330))),";",EscStr($J330),";"),CONCATENATE(";",EscStr(CONCATENATE("NavNode_",getCategoryLevelAsString($B330))),";",EscStr(G330),";")))</f>
        <v>;"NavNode_L2D_542662";"Computer und PC-Komponenten";</v>
      </c>
      <c r="AA330" s="39" t="str">
        <f>IF(getCategoryLevelAsString($B330)="L0D_324785","",IF(H330="",CONCATENATE(";",EscStr(CONCATENATE("NavNode_",getCategoryLevelAsString($B330))),";",EscStr($J330),";"),CONCATENATE(";",EscStr(CONCATENATE("NavNode_",getCategoryLevelAsString($B330))),";",EscStr(H330),";")))</f>
        <v>;"NavNode_L2D_542662";"Composants informatiques et pour PC";</v>
      </c>
      <c r="AB330" s="39" t="str">
        <f>IF(getCategoryLevelAsString($B330)="L0D_324785","",IF(I330="",CONCATENATE(";",EscStr(CONCATENATE("NavNode_",getCategoryLevelAsString($B330))),";",EscStr($J330),";"),CONCATENATE(";",EscStr(CONCATENATE("NavNode_",getCategoryLevelAsString($B330))),";",EscStr(I330),";")))</f>
        <v>;"NavNode_L2D_542662";"Informatica e componenti PC";</v>
      </c>
      <c r="AC330" s="39" t="str">
        <f>IF(getCategoryLevelAsString($B330)="L0D_324785","",IF(J330="",CONCATENATE(";",EscStr(CONCATENATE("NavNode_",getCategoryLevelAsString($B330))),";",EscStr($J330),";"),CONCATENATE(";",EscStr(CONCATENATE("NavNode_",getCategoryLevelAsString($B330))),";",EscStr(J330),";")))</f>
        <v>;"NavNode_L2D_542662";"Computing &amp; PC components";</v>
      </c>
      <c r="AD330" s="39" t="str">
        <f>IF(getCategoryLevelAsString($B330)="L0D_324785","",IF(K330="",CONCATENATE(";",EscStr(CONCATENATE("NavNode_",getCategoryLevelAsString($B330))),";",EscStr($J330),";"),CONCATENATE(";",EscStr(CONCATENATE("NavNode_",getCategoryLevelAsString($B330))),";",EscStr(K330),";")))</f>
        <v>;"NavNode_L2D_542662";"Computerteknik &amp; pc-komponenter";</v>
      </c>
      <c r="AE330" s="39" t="str">
        <f>IF(getCategoryLevelAsString($B330)="L0D_324785","",IF(L330="",CONCATENATE(";",EscStr(CONCATENATE("NavNode_",getCategoryLevelAsString($B330))),";",EscStr($J330),";"),CONCATENATE(";",EscStr(CONCATENATE("NavNode_",getCategoryLevelAsString($B330))),";",EscStr(L330),";")))</f>
        <v>;"NavNode_L2D_542662";"Kompiuterijos ir PC komponentai";</v>
      </c>
      <c r="AF330" s="39" t="str">
        <f>IF(getCategoryLevelAsString($B330)="L0D_324785","",IF(M330="",CONCATENATE(";",EscStr(CONCATENATE("NavNode_",getCategoryLevelAsString($B330))),";",EscStr($J330),";"),CONCATENATE(";",EscStr(CONCATENATE("NavNode_",getCategoryLevelAsString($B330))),";",EscStr(M330),";")))</f>
        <v>;"NavNode_L2D_542662";"Databehandling og PC-komponenter";</v>
      </c>
      <c r="AG330" s="39" t="str">
        <f>IF(getCategoryLevelAsString($B330)="L0D_324785","",IF(N330="",CONCATENATE(";",EscStr(CONCATENATE("NavNode_",getCategoryLevelAsString($B330))),";",EscStr($J330),";"),CONCATENATE(";",EscStr(CONCATENATE("NavNode_",getCategoryLevelAsString($B330))),";",EscStr(N330),";")))</f>
        <v>;"NavNode_L2D_542662";"Datorkomponenter";</v>
      </c>
      <c r="AH330" s="39" t="str">
        <f>IF(getCategoryLevelAsString($B330)="L0D_324785","",IF(O330="",CONCATENATE(";",EscStr(CONCATENATE("NavNode_",getCategoryLevelAsString($B330))),";",EscStr($J330),";"),CONCATENATE(";",EscStr(CONCATENATE("NavNode_",getCategoryLevelAsString($B330))),";",EscStr(O330),";")))</f>
        <v>;"NavNode_L2D_542662";"Arvutustehnika ja lauaarvuti komponendid";</v>
      </c>
      <c r="AI330" s="39" t="str">
        <f>IF(getCategoryLevelAsString($B330)="L0D_324785","",IF(P330="",CONCATENATE(";",EscStr(CONCATENATE("NavNode_",getCategoryLevelAsString($B330))),";",EscStr($J330),";"),CONCATENATE(";",EscStr(CONCATENATE("NavNode_",getCategoryLevelAsString($B330))),";",EscStr(P330),";")))</f>
        <v>;"NavNode_L2D_542662";"Tietokoneet ja komponentit";</v>
      </c>
      <c r="AJ330" s="39" t="str">
        <f>IF(getCategoryLevelAsString($B330)="L0D_324785","",IF(Q330="",CONCATENATE(";",EscStr(CONCATENATE("NavNode_",getCategoryLevelAsString($B330))),";",EscStr($J330),";"),CONCATENATE(";",EscStr(CONCATENATE("NavNode_",getCategoryLevelAsString($B330))),";",EscStr(Q330),";")))</f>
        <v>;"NavNode_L2D_542662";"Datortehnika un PC komponentes";</v>
      </c>
      <c r="AK330" s="39" t="str">
        <f>IF(getCategoryLevelAsString($B330)="L0D_324785","",IF(R330="",CONCATENATE(";",EscStr(CONCATENATE("NavNode_",getCategoryLevelAsString($B330))),";",EscStr($J330),";"),CONCATENATE(";",EscStr(CONCATENATE("NavNode_",getCategoryLevelAsString($B330))),";",EscStr(R330),";")))</f>
        <v>;"NavNode_L2D_542662";"Computing &amp; PC componenten";</v>
      </c>
      <c r="AL330" s="39" t="str">
        <f>IF(getCategoryLevelAsString($B330)="L0D_324785","",IF(S330="",CONCATENATE(";",EscStr(CONCATENATE("NavNode_",getCategoryLevelAsString($B330))),";",EscStr($J330),";"),CONCATENATE(";",EscStr(CONCATENATE("NavNode_",getCategoryLevelAsString($B330))),";",EscStr(S330),";")))</f>
        <v>;"NavNode_L2D_542662";"Informatyka i części do PC";</v>
      </c>
      <c r="AM330" s="39" t="str">
        <f>IF(getCategoryLevelAsString($B330)="L0D_324785","",IF(T330="",CONCATENATE(";",EscStr(CONCATENATE("NavNode_",getCategoryLevelAsString($B330))),";",EscStr($J330),";"),CONCATENATE(";",EscStr(CONCATENATE("NavNode_",getCategoryLevelAsString($B330))),";",EscStr(T330),";")))</f>
        <v>;"NavNode_L2D_542662";"Компьютеры &amp; Компоненты";</v>
      </c>
      <c r="AN330" s="39" t="str">
        <f>IF(getCategoryLevelAsString($B330)="L0D_324785","",IF(U330="",CONCATENATE(";",EscStr(CONCATENATE("NavNode_",getCategoryLevelAsString($B330))),";",EscStr($J330),";"),CONCATENATE(";",EscStr(CONCATENATE("NavNode_",getCategoryLevelAsString($B330))),";",EscStr(U330),";")))</f>
        <v>;"NavNode_L2D_542662";"Počítače a PC komponenty";</v>
      </c>
      <c r="AO330" s="39" t="str">
        <f>IF(getCategoryLevelAsString($B330)="L0D_324785","",IF(V330="",CONCATENATE(";",EscStr(CONCATENATE("NavNode_",getCategoryLevelAsString($B330))),";",EscStr($J330),";"),CONCATENATE(";",EscStr(CONCATENATE("NavNode_",getCategoryLevelAsString($B330))),";",EscStr(V330),";")))</f>
        <v>;"NavNode_L2D_542662";"Calculatoare şi componente de PC";</v>
      </c>
      <c r="AP330" s="39" t="str">
        <f>IF(getCategoryLevelAsString($B330)="L0D_324785","",IF(W330="",CONCATENATE(";",EscStr(CONCATENATE("NavNode_",getCategoryLevelAsString($B330))),";",EscStr($J330),";"),CONCATENATE(";",EscStr(CONCATENATE("NavNode_",getCategoryLevelAsString($B330))),";",EscStr(W330),";")))</f>
        <v>;"NavNode_L2D_542662";"Számítástechnika és tartozékok";</v>
      </c>
      <c r="AQ330" s="39" t="str">
        <f>IF(getCategoryLevelAsString($B330)="L0D_324785","",IF(X330="",CONCATENATE(";",EscStr(CONCATENATE("NavNode_",getCategoryLevelAsString($B330))),";",EscStr($J330),";"),CONCATENATE(";",EscStr(CONCATENATE("NavNode_",getCategoryLevelAsString($B330))),";",EscStr(X330),";")))</f>
        <v>;"NavNode_L2D_542662";"Počítače a PC komponenty";</v>
      </c>
      <c r="AR330" s="39" t="str">
        <f>IF(OR($A330&lt;&gt;"", $G330=""),"",CONCATENATE(";",EscStr(CONCATENATE("NavEntry_",getCategoryLevelAsString($B330))),";",EscStr(CONCATENATE($J330," Navigation Entry")),";",EscStr(CONCATENATE("cat-",getCategoryLevelAsString($B330))),";",EscStr(CONCATENATE("NavNode_",getCategoryLevelAsString($B330))),";"))</f>
        <v>;"NavEntry_L2D_542662";"Computing &amp; PC components Navigation Entry";"cat-L2D_542662";"NavNode_L2D_542662";</v>
      </c>
    </row>
    <row r="331" spans="1:44" s="34" customFormat="1" ht="15" x14ac:dyDescent="0.25">
      <c r="A331" s="25"/>
      <c r="B331" s="5"/>
      <c r="C331" s="5"/>
      <c r="D331" s="5" t="s">
        <v>626</v>
      </c>
      <c r="E331" s="5"/>
      <c r="F331" s="5"/>
      <c r="G331" s="5" t="s">
        <v>849</v>
      </c>
      <c r="H331" s="5" t="s">
        <v>749</v>
      </c>
      <c r="I331" s="5" t="s">
        <v>677</v>
      </c>
      <c r="J331" s="5" t="s">
        <v>849</v>
      </c>
      <c r="K331" s="5" t="s">
        <v>1380</v>
      </c>
      <c r="L331" s="5" t="s">
        <v>15232</v>
      </c>
      <c r="M331" s="5" t="s">
        <v>1818</v>
      </c>
      <c r="N331" s="5" t="s">
        <v>2035</v>
      </c>
      <c r="O331" s="5" t="s">
        <v>4183</v>
      </c>
      <c r="P331" s="5" t="s">
        <v>4184</v>
      </c>
      <c r="Q331" s="5" t="s">
        <v>4185</v>
      </c>
      <c r="R331" s="5" t="s">
        <v>849</v>
      </c>
      <c r="S331" s="5" t="s">
        <v>4186</v>
      </c>
      <c r="T331" s="5" t="s">
        <v>4187</v>
      </c>
      <c r="U331" s="5" t="s">
        <v>4188</v>
      </c>
      <c r="V331" s="5" t="s">
        <v>4189</v>
      </c>
      <c r="W331" s="5" t="s">
        <v>677</v>
      </c>
      <c r="X331" s="5" t="s">
        <v>4188</v>
      </c>
      <c r="Y331" s="39" t="str">
        <f>IF(OR($A331&lt;&gt;"", $G331=""),"",CONCATENATE(";",EscStr(CONCATENATE("NavNode_",getCategoryLevelAsString($B331))),";",EscStr($J331),";",IF($B331&lt;&gt;"","""MainCategoryNavNode""",EscStr(CONCATENATE("NavNode_",getSuperCategory($B331, getCategoryLevelAsNumber($B331))))),";"))</f>
        <v>;"NavNode_L3D_542666";"Notebooks / Tablets / eReader";"NavNode_L2D_542662";</v>
      </c>
      <c r="Z331" s="39" t="str">
        <f>IF(getCategoryLevelAsString($B331)="L0D_324785","",IF(G331="",CONCATENATE(";",EscStr(CONCATENATE("NavNode_",getCategoryLevelAsString($B331))),";",EscStr($J331),";"),CONCATENATE(";",EscStr(CONCATENATE("NavNode_",getCategoryLevelAsString($B331))),";",EscStr(G331),";")))</f>
        <v>;"NavNode_L3D_542666";"Notebooks / Tablets / eReader";</v>
      </c>
      <c r="AA331" s="39" t="str">
        <f>IF(getCategoryLevelAsString($B331)="L0D_324785","",IF(H331="",CONCATENATE(";",EscStr(CONCATENATE("NavNode_",getCategoryLevelAsString($B331))),";",EscStr($J331),";"),CONCATENATE(";",EscStr(CONCATENATE("NavNode_",getCategoryLevelAsString($B331))),";",EscStr(H331),";")))</f>
        <v>;"NavNode_L3D_542666";"Ordinateurs portables / Tablettes / Liseuses numériques";</v>
      </c>
      <c r="AB331" s="39" t="str">
        <f>IF(getCategoryLevelAsString($B331)="L0D_324785","",IF(I331="",CONCATENATE(";",EscStr(CONCATENATE("NavNode_",getCategoryLevelAsString($B331))),";",EscStr($J331),";"),CONCATENATE(";",EscStr(CONCATENATE("NavNode_",getCategoryLevelAsString($B331))),";",EscStr(I331),";")))</f>
        <v>;"NavNode_L3D_542666";"Notebook / Tablet / eReader";</v>
      </c>
      <c r="AC331" s="39" t="str">
        <f>IF(getCategoryLevelAsString($B331)="L0D_324785","",IF(J331="",CONCATENATE(";",EscStr(CONCATENATE("NavNode_",getCategoryLevelAsString($B331))),";",EscStr($J331),";"),CONCATENATE(";",EscStr(CONCATENATE("NavNode_",getCategoryLevelAsString($B331))),";",EscStr(J331),";")))</f>
        <v>;"NavNode_L3D_542666";"Notebooks / Tablets / eReader";</v>
      </c>
      <c r="AD331" s="39" t="str">
        <f>IF(getCategoryLevelAsString($B331)="L0D_324785","",IF(K331="",CONCATENATE(";",EscStr(CONCATENATE("NavNode_",getCategoryLevelAsString($B331))),";",EscStr($J331),";"),CONCATENATE(";",EscStr(CONCATENATE("NavNode_",getCategoryLevelAsString($B331))),";",EscStr(K331),";")))</f>
        <v>;"NavNode_L3D_542666";"Notebooks/tablets/eReader";</v>
      </c>
      <c r="AE331" s="39" t="str">
        <f>IF(getCategoryLevelAsString($B331)="L0D_324785","",IF(L331="",CONCATENATE(";",EscStr(CONCATENATE("NavNode_",getCategoryLevelAsString($B331))),";",EscStr($J331),";"),CONCATENATE(";",EscStr(CONCATENATE("NavNode_",getCategoryLevelAsString($B331))),";",EscStr(L331),";")))</f>
        <v>;"NavNode_L3D_542666";"Nešiojami kompiuteriai / planšetės / el. skaitytuvai";</v>
      </c>
      <c r="AF331" s="39" t="str">
        <f>IF(getCategoryLevelAsString($B331)="L0D_324785","",IF(M331="",CONCATENATE(";",EscStr(CONCATENATE("NavNode_",getCategoryLevelAsString($B331))),";",EscStr($J331),";"),CONCATENATE(";",EscStr(CONCATENATE("NavNode_",getCategoryLevelAsString($B331))),";",EscStr(M331),";")))</f>
        <v>;"NavNode_L3D_542666";"Bærbare datamaskiner/nettbrett/lesebrett";</v>
      </c>
      <c r="AG331" s="39" t="str">
        <f>IF(getCategoryLevelAsString($B331)="L0D_324785","",IF(N331="",CONCATENATE(";",EscStr(CONCATENATE("NavNode_",getCategoryLevelAsString($B331))),";",EscStr($J331),";"),CONCATENATE(";",EscStr(CONCATENATE("NavNode_",getCategoryLevelAsString($B331))),";",EscStr(N331),";")))</f>
        <v>;"NavNode_L3D_542666";"Bärbara datorer/Surfplattor/Läsplattor";</v>
      </c>
      <c r="AH331" s="39" t="str">
        <f>IF(getCategoryLevelAsString($B331)="L0D_324785","",IF(O331="",CONCATENATE(";",EscStr(CONCATENATE("NavNode_",getCategoryLevelAsString($B331))),";",EscStr($J331),";"),CONCATENATE(";",EscStr(CONCATENATE("NavNode_",getCategoryLevelAsString($B331))),";",EscStr(O331),";")))</f>
        <v>;"NavNode_L3D_542666";"Sülearvutid / Tahvelarvutid / e-lugerid";</v>
      </c>
      <c r="AI331" s="39" t="str">
        <f>IF(getCategoryLevelAsString($B331)="L0D_324785","",IF(P331="",CONCATENATE(";",EscStr(CONCATENATE("NavNode_",getCategoryLevelAsString($B331))),";",EscStr($J331),";"),CONCATENATE(";",EscStr(CONCATENATE("NavNode_",getCategoryLevelAsString($B331))),";",EscStr(P331),";")))</f>
        <v>;"NavNode_L3D_542666";"Kannettavat/  tabletit";</v>
      </c>
      <c r="AJ331" s="39" t="str">
        <f>IF(getCategoryLevelAsString($B331)="L0D_324785","",IF(Q331="",CONCATENATE(";",EscStr(CONCATENATE("NavNode_",getCategoryLevelAsString($B331))),";",EscStr($J331),";"),CONCATENATE(";",EscStr(CONCATENATE("NavNode_",getCategoryLevelAsString($B331))),";",EscStr(Q331),";")))</f>
        <v>;"NavNode_L3D_542666";"Portatīvie datori / planšetdatori / e-grāmatas";</v>
      </c>
      <c r="AK331" s="39" t="str">
        <f>IF(getCategoryLevelAsString($B331)="L0D_324785","",IF(R331="",CONCATENATE(";",EscStr(CONCATENATE("NavNode_",getCategoryLevelAsString($B331))),";",EscStr($J331),";"),CONCATENATE(";",EscStr(CONCATENATE("NavNode_",getCategoryLevelAsString($B331))),";",EscStr(R331),";")))</f>
        <v>;"NavNode_L3D_542666";"Notebooks / Tablets / eReader";</v>
      </c>
      <c r="AL331" s="39" t="str">
        <f>IF(getCategoryLevelAsString($B331)="L0D_324785","",IF(S331="",CONCATENATE(";",EscStr(CONCATENATE("NavNode_",getCategoryLevelAsString($B331))),";",EscStr($J331),";"),CONCATENATE(";",EscStr(CONCATENATE("NavNode_",getCategoryLevelAsString($B331))),";",EscStr(S331),";")))</f>
        <v>;"NavNode_L3D_542666";"Notebooki / Tablety / E-czytniki";</v>
      </c>
      <c r="AM331" s="39" t="str">
        <f>IF(getCategoryLevelAsString($B331)="L0D_324785","",IF(T331="",CONCATENATE(";",EscStr(CONCATENATE("NavNode_",getCategoryLevelAsString($B331))),";",EscStr($J331),";"),CONCATENATE(";",EscStr(CONCATENATE("NavNode_",getCategoryLevelAsString($B331))),";",EscStr(T331),";")))</f>
        <v>;"NavNode_L3D_542666";"Портативные компьютеры / Планшеты / е-книги";</v>
      </c>
      <c r="AN331" s="39" t="str">
        <f>IF(getCategoryLevelAsString($B331)="L0D_324785","",IF(U331="",CONCATENATE(";",EscStr(CONCATENATE("NavNode_",getCategoryLevelAsString($B331))),";",EscStr($J331),";"),CONCATENATE(";",EscStr(CONCATENATE("NavNode_",getCategoryLevelAsString($B331))),";",EscStr(U331),";")))</f>
        <v>;"NavNode_L3D_542666";"Notebooky / Tablety / eČítačky";</v>
      </c>
      <c r="AO331" s="39" t="str">
        <f>IF(getCategoryLevelAsString($B331)="L0D_324785","",IF(V331="",CONCATENATE(";",EscStr(CONCATENATE("NavNode_",getCategoryLevelAsString($B331))),";",EscStr($J331),";"),CONCATENATE(";",EscStr(CONCATENATE("NavNode_",getCategoryLevelAsString($B331))),";",EscStr(V331),";")))</f>
        <v>;"NavNode_L3D_542666";"Notebook-uri / tablete / eReader";</v>
      </c>
      <c r="AP331" s="39" t="str">
        <f>IF(getCategoryLevelAsString($B331)="L0D_324785","",IF(W331="",CONCATENATE(";",EscStr(CONCATENATE("NavNode_",getCategoryLevelAsString($B331))),";",EscStr($J331),";"),CONCATENATE(";",EscStr(CONCATENATE("NavNode_",getCategoryLevelAsString($B331))),";",EscStr(W331),";")))</f>
        <v>;"NavNode_L3D_542666";"Notebook / Tablet / eReader";</v>
      </c>
      <c r="AQ331" s="39" t="str">
        <f>IF(getCategoryLevelAsString($B331)="L0D_324785","",IF(X331="",CONCATENATE(";",EscStr(CONCATENATE("NavNode_",getCategoryLevelAsString($B331))),";",EscStr($J331),";"),CONCATENATE(";",EscStr(CONCATENATE("NavNode_",getCategoryLevelAsString($B331))),";",EscStr(X331),";")))</f>
        <v>;"NavNode_L3D_542666";"Notebooky / Tablety / eČítačky";</v>
      </c>
      <c r="AR331" s="39" t="str">
        <f>IF(OR($A331&lt;&gt;"", $G331=""),"",CONCATENATE(";",EscStr(CONCATENATE("NavEntry_",getCategoryLevelAsString($B331))),";",EscStr(CONCATENATE($J331," Navigation Entry")),";",EscStr(CONCATENATE("cat-",getCategoryLevelAsString($B331))),";",EscStr(CONCATENATE("NavNode_",getCategoryLevelAsString($B331))),";"))</f>
        <v>;"NavEntry_L3D_542666";"Notebooks / Tablets / eReader Navigation Entry";"cat-L3D_542666";"NavNode_L3D_542666";</v>
      </c>
    </row>
    <row r="332" spans="1:44" s="34" customFormat="1" ht="15" x14ac:dyDescent="0.25">
      <c r="A332" s="25"/>
      <c r="B332" s="5"/>
      <c r="C332" s="5"/>
      <c r="D332" s="5" t="s">
        <v>627</v>
      </c>
      <c r="E332" s="5"/>
      <c r="F332" s="5"/>
      <c r="G332" s="5" t="s">
        <v>850</v>
      </c>
      <c r="H332" s="5" t="s">
        <v>750</v>
      </c>
      <c r="I332" s="5" t="s">
        <v>678</v>
      </c>
      <c r="J332" s="5" t="s">
        <v>850</v>
      </c>
      <c r="K332" s="5" t="s">
        <v>1381</v>
      </c>
      <c r="L332" s="5" t="s">
        <v>1617</v>
      </c>
      <c r="M332" s="5" t="s">
        <v>1819</v>
      </c>
      <c r="N332" s="5" t="s">
        <v>2036</v>
      </c>
      <c r="O332" s="5" t="s">
        <v>4190</v>
      </c>
      <c r="P332" s="5" t="s">
        <v>4191</v>
      </c>
      <c r="Q332" s="5" t="s">
        <v>4192</v>
      </c>
      <c r="R332" s="5" t="s">
        <v>850</v>
      </c>
      <c r="S332" s="5" t="s">
        <v>4193</v>
      </c>
      <c r="T332" s="5" t="s">
        <v>4194</v>
      </c>
      <c r="U332" s="5" t="s">
        <v>4195</v>
      </c>
      <c r="V332" s="5" t="s">
        <v>4196</v>
      </c>
      <c r="W332" s="5" t="s">
        <v>4197</v>
      </c>
      <c r="X332" s="5" t="s">
        <v>15018</v>
      </c>
      <c r="Y332" s="39" t="str">
        <f>IF(OR($A332&lt;&gt;"", $G332=""),"",CONCATENATE(";",EscStr(CONCATENATE("NavNode_",getCategoryLevelAsString($B332))),";",EscStr($J332),";",IF($B332&lt;&gt;"","""MainCategoryNavNode""",EscStr(CONCATENATE("NavNode_",getSuperCategory($B332, getCategoryLevelAsNumber($B332))))),";"))</f>
        <v>;"NavNode_L3D_542730";"PCs / Server";"NavNode_L2D_542662";</v>
      </c>
      <c r="Z332" s="39" t="str">
        <f>IF(getCategoryLevelAsString($B332)="L0D_324785","",IF(G332="",CONCATENATE(";",EscStr(CONCATENATE("NavNode_",getCategoryLevelAsString($B332))),";",EscStr($J332),";"),CONCATENATE(";",EscStr(CONCATENATE("NavNode_",getCategoryLevelAsString($B332))),";",EscStr(G332),";")))</f>
        <v>;"NavNode_L3D_542730";"PCs / Server";</v>
      </c>
      <c r="AA332" s="39" t="str">
        <f>IF(getCategoryLevelAsString($B332)="L0D_324785","",IF(H332="",CONCATENATE(";",EscStr(CONCATENATE("NavNode_",getCategoryLevelAsString($B332))),";",EscStr($J332),";"),CONCATENATE(";",EscStr(CONCATENATE("NavNode_",getCategoryLevelAsString($B332))),";",EscStr(H332),";")))</f>
        <v>;"NavNode_L3D_542730";"PC / Serveur";</v>
      </c>
      <c r="AB332" s="39" t="str">
        <f>IF(getCategoryLevelAsString($B332)="L0D_324785","",IF(I332="",CONCATENATE(";",EscStr(CONCATENATE("NavNode_",getCategoryLevelAsString($B332))),";",EscStr($J332),";"),CONCATENATE(";",EscStr(CONCATENATE("NavNode_",getCategoryLevelAsString($B332))),";",EscStr(I332),";")))</f>
        <v>;"NavNode_L3D_542730";"PC / Server";</v>
      </c>
      <c r="AC332" s="39" t="str">
        <f>IF(getCategoryLevelAsString($B332)="L0D_324785","",IF(J332="",CONCATENATE(";",EscStr(CONCATENATE("NavNode_",getCategoryLevelAsString($B332))),";",EscStr($J332),";"),CONCATENATE(";",EscStr(CONCATENATE("NavNode_",getCategoryLevelAsString($B332))),";",EscStr(J332),";")))</f>
        <v>;"NavNode_L3D_542730";"PCs / Server";</v>
      </c>
      <c r="AD332" s="39" t="str">
        <f>IF(getCategoryLevelAsString($B332)="L0D_324785","",IF(K332="",CONCATENATE(";",EscStr(CONCATENATE("NavNode_",getCategoryLevelAsString($B332))),";",EscStr($J332),";"),CONCATENATE(";",EscStr(CONCATENATE("NavNode_",getCategoryLevelAsString($B332))),";",EscStr(K332),";")))</f>
        <v>;"NavNode_L3D_542730";"Pc'er/server";</v>
      </c>
      <c r="AE332" s="39" t="str">
        <f>IF(getCategoryLevelAsString($B332)="L0D_324785","",IF(L332="",CONCATENATE(";",EscStr(CONCATENATE("NavNode_",getCategoryLevelAsString($B332))),";",EscStr($J332),";"),CONCATENATE(";",EscStr(CONCATENATE("NavNode_",getCategoryLevelAsString($B332))),";",EscStr(L332),";")))</f>
        <v>;"NavNode_L3D_542730";"PC / serveriai";</v>
      </c>
      <c r="AF332" s="39" t="str">
        <f>IF(getCategoryLevelAsString($B332)="L0D_324785","",IF(M332="",CONCATENATE(";",EscStr(CONCATENATE("NavNode_",getCategoryLevelAsString($B332))),";",EscStr($J332),";"),CONCATENATE(";",EscStr(CONCATENATE("NavNode_",getCategoryLevelAsString($B332))),";",EscStr(M332),";")))</f>
        <v>;"NavNode_L3D_542730";"PC-er/servere";</v>
      </c>
      <c r="AG332" s="39" t="str">
        <f>IF(getCategoryLevelAsString($B332)="L0D_324785","",IF(N332="",CONCATENATE(";",EscStr(CONCATENATE("NavNode_",getCategoryLevelAsString($B332))),";",EscStr($J332),";"),CONCATENATE(";",EscStr(CONCATENATE("NavNode_",getCategoryLevelAsString($B332))),";",EscStr(N332),";")))</f>
        <v>;"NavNode_L3D_542730";"Datorer/Servrar";</v>
      </c>
      <c r="AH332" s="39" t="str">
        <f>IF(getCategoryLevelAsString($B332)="L0D_324785","",IF(O332="",CONCATENATE(";",EscStr(CONCATENATE("NavNode_",getCategoryLevelAsString($B332))),";",EscStr($J332),";"),CONCATENATE(";",EscStr(CONCATENATE("NavNode_",getCategoryLevelAsString($B332))),";",EscStr(O332),";")))</f>
        <v>;"NavNode_L3D_542730";"Lauaarvutid / Serverid";</v>
      </c>
      <c r="AI332" s="39" t="str">
        <f>IF(getCategoryLevelAsString($B332)="L0D_324785","",IF(P332="",CONCATENATE(";",EscStr(CONCATENATE("NavNode_",getCategoryLevelAsString($B332))),";",EscStr($J332),";"),CONCATENATE(";",EscStr(CONCATENATE("NavNode_",getCategoryLevelAsString($B332))),";",EscStr(P332),";")))</f>
        <v>;"NavNode_L3D_542730";"PC:t/ Serverit";</v>
      </c>
      <c r="AJ332" s="39" t="str">
        <f>IF(getCategoryLevelAsString($B332)="L0D_324785","",IF(Q332="",CONCATENATE(";",EscStr(CONCATENATE("NavNode_",getCategoryLevelAsString($B332))),";",EscStr($J332),";"),CONCATENATE(";",EscStr(CONCATENATE("NavNode_",getCategoryLevelAsString($B332))),";",EscStr(Q332),";")))</f>
        <v>;"NavNode_L3D_542730";"Datori / serveri";</v>
      </c>
      <c r="AK332" s="39" t="str">
        <f>IF(getCategoryLevelAsString($B332)="L0D_324785","",IF(R332="",CONCATENATE(";",EscStr(CONCATENATE("NavNode_",getCategoryLevelAsString($B332))),";",EscStr($J332),";"),CONCATENATE(";",EscStr(CONCATENATE("NavNode_",getCategoryLevelAsString($B332))),";",EscStr(R332),";")))</f>
        <v>;"NavNode_L3D_542730";"PCs / Server";</v>
      </c>
      <c r="AL332" s="39" t="str">
        <f>IF(getCategoryLevelAsString($B332)="L0D_324785","",IF(S332="",CONCATENATE(";",EscStr(CONCATENATE("NavNode_",getCategoryLevelAsString($B332))),";",EscStr($J332),";"),CONCATENATE(";",EscStr(CONCATENATE("NavNode_",getCategoryLevelAsString($B332))),";",EscStr(S332),";")))</f>
        <v>;"NavNode_L3D_542730";"PC / Serwer";</v>
      </c>
      <c r="AM332" s="39" t="str">
        <f>IF(getCategoryLevelAsString($B332)="L0D_324785","",IF(T332="",CONCATENATE(";",EscStr(CONCATENATE("NavNode_",getCategoryLevelAsString($B332))),";",EscStr($J332),";"),CONCATENATE(";",EscStr(CONCATENATE("NavNode_",getCategoryLevelAsString($B332))),";",EscStr(T332),";")))</f>
        <v>;"NavNode_L3D_542730";"Компьютеры / Серверы";</v>
      </c>
      <c r="AN332" s="39" t="str">
        <f>IF(getCategoryLevelAsString($B332)="L0D_324785","",IF(U332="",CONCATENATE(";",EscStr(CONCATENATE("NavNode_",getCategoryLevelAsString($B332))),";",EscStr($J332),";"),CONCATENATE(";",EscStr(CONCATENATE("NavNode_",getCategoryLevelAsString($B332))),";",EscStr(U332),";")))</f>
        <v>;"NavNode_L3D_542730";"PC / Servery";</v>
      </c>
      <c r="AO332" s="39" t="str">
        <f>IF(getCategoryLevelAsString($B332)="L0D_324785","",IF(V332="",CONCATENATE(";",EscStr(CONCATENATE("NavNode_",getCategoryLevelAsString($B332))),";",EscStr($J332),";"),CONCATENATE(";",EscStr(CONCATENATE("NavNode_",getCategoryLevelAsString($B332))),";",EscStr(V332),";")))</f>
        <v>;"NavNode_L3D_542730";"PC / server";</v>
      </c>
      <c r="AP332" s="39" t="str">
        <f>IF(getCategoryLevelAsString($B332)="L0D_324785","",IF(W332="",CONCATENATE(";",EscStr(CONCATENATE("NavNode_",getCategoryLevelAsString($B332))),";",EscStr($J332),";"),CONCATENATE(";",EscStr(CONCATENATE("NavNode_",getCategoryLevelAsString($B332))),";",EscStr(W332),";")))</f>
        <v>;"NavNode_L3D_542730";"Számítógép / Szerver";</v>
      </c>
      <c r="AQ332" s="39" t="str">
        <f>IF(getCategoryLevelAsString($B332)="L0D_324785","",IF(X332="",CONCATENATE(";",EscStr(CONCATENATE("NavNode_",getCategoryLevelAsString($B332))),";",EscStr($J332),";"),CONCATENATE(";",EscStr(CONCATENATE("NavNode_",getCategoryLevelAsString($B332))),";",EscStr(X332),";")))</f>
        <v>;"NavNode_L3D_542730";"PC / Servre";</v>
      </c>
      <c r="AR332" s="39" t="str">
        <f>IF(OR($A332&lt;&gt;"", $G332=""),"",CONCATENATE(";",EscStr(CONCATENATE("NavEntry_",getCategoryLevelAsString($B332))),";",EscStr(CONCATENATE($J332," Navigation Entry")),";",EscStr(CONCATENATE("cat-",getCategoryLevelAsString($B332))),";",EscStr(CONCATENATE("NavNode_",getCategoryLevelAsString($B332))),";"))</f>
        <v>;"NavEntry_L3D_542730";"PCs / Server Navigation Entry";"cat-L3D_542730";"NavNode_L3D_542730";</v>
      </c>
    </row>
    <row r="333" spans="1:44" s="34" customFormat="1" ht="15" x14ac:dyDescent="0.25">
      <c r="A333" s="25"/>
      <c r="B333" s="5"/>
      <c r="C333" s="5"/>
      <c r="D333" s="5" t="s">
        <v>632</v>
      </c>
      <c r="E333" s="5"/>
      <c r="F333" s="5"/>
      <c r="G333" s="5" t="s">
        <v>995</v>
      </c>
      <c r="H333" s="5" t="s">
        <v>751</v>
      </c>
      <c r="I333" s="5" t="s">
        <v>682</v>
      </c>
      <c r="J333" s="5" t="s">
        <v>851</v>
      </c>
      <c r="K333" s="5" t="s">
        <v>1382</v>
      </c>
      <c r="L333" s="5" t="s">
        <v>15233</v>
      </c>
      <c r="M333" s="5" t="s">
        <v>1820</v>
      </c>
      <c r="N333" s="5" t="s">
        <v>2037</v>
      </c>
      <c r="O333" s="5" t="s">
        <v>4198</v>
      </c>
      <c r="P333" s="5" t="s">
        <v>4199</v>
      </c>
      <c r="Q333" s="5" t="s">
        <v>4200</v>
      </c>
      <c r="R333" s="5" t="s">
        <v>4201</v>
      </c>
      <c r="S333" s="5" t="s">
        <v>4202</v>
      </c>
      <c r="T333" s="5" t="s">
        <v>4203</v>
      </c>
      <c r="U333" s="5" t="s">
        <v>4204</v>
      </c>
      <c r="V333" s="5" t="s">
        <v>4205</v>
      </c>
      <c r="W333" s="5" t="s">
        <v>4206</v>
      </c>
      <c r="X333" s="5" t="s">
        <v>15019</v>
      </c>
      <c r="Y333" s="39" t="str">
        <f>IF(OR($A333&lt;&gt;"", $G333=""),"",CONCATENATE(";",EscStr(CONCATENATE("NavNode_",getCategoryLevelAsString($B333))),";",EscStr($J333),";",IF($B333&lt;&gt;"","""MainCategoryNavNode""",EscStr(CONCATENATE("NavNode_",getSuperCategory($B333, getCategoryLevelAsNumber($B333))))),";"))</f>
        <v>;"NavNode_L3D_542732";"Accessories Notebooks / Tablets / eReader";"NavNode_L2D_542662";</v>
      </c>
      <c r="Z333" s="39" t="str">
        <f>IF(getCategoryLevelAsString($B333)="L0D_324785","",IF(G333="",CONCATENATE(";",EscStr(CONCATENATE("NavNode_",getCategoryLevelAsString($B333))),";",EscStr($J333),";"),CONCATENATE(";",EscStr(CONCATENATE("NavNode_",getCategoryLevelAsString($B333))),";",EscStr(G333),";")))</f>
        <v>;"NavNode_L3D_542732";"Zubehör für Notebooks / Tablets / eReader";</v>
      </c>
      <c r="AA333" s="39" t="str">
        <f>IF(getCategoryLevelAsString($B333)="L0D_324785","",IF(H333="",CONCATENATE(";",EscStr(CONCATENATE("NavNode_",getCategoryLevelAsString($B333))),";",EscStr($J333),";"),CONCATENATE(";",EscStr(CONCATENATE("NavNode_",getCategoryLevelAsString($B333))),";",EscStr(H333),";")))</f>
        <v>;"NavNode_L3D_542732";"Accessoires pour ordinateurs portables / Tablettes / Liseuses numériques";</v>
      </c>
      <c r="AB333" s="39" t="str">
        <f>IF(getCategoryLevelAsString($B333)="L0D_324785","",IF(I333="",CONCATENATE(";",EscStr(CONCATENATE("NavNode_",getCategoryLevelAsString($B333))),";",EscStr($J333),";"),CONCATENATE(";",EscStr(CONCATENATE("NavNode_",getCategoryLevelAsString($B333))),";",EscStr(I333),";")))</f>
        <v>;"NavNode_L3D_542732";"Accessori per Notebook / Tablet / eReader";</v>
      </c>
      <c r="AC333" s="39" t="str">
        <f>IF(getCategoryLevelAsString($B333)="L0D_324785","",IF(J333="",CONCATENATE(";",EscStr(CONCATENATE("NavNode_",getCategoryLevelAsString($B333))),";",EscStr($J333),";"),CONCATENATE(";",EscStr(CONCATENATE("NavNode_",getCategoryLevelAsString($B333))),";",EscStr(J333),";")))</f>
        <v>;"NavNode_L3D_542732";"Accessories Notebooks / Tablets / eReader";</v>
      </c>
      <c r="AD333" s="39" t="str">
        <f>IF(getCategoryLevelAsString($B333)="L0D_324785","",IF(K333="",CONCATENATE(";",EscStr(CONCATENATE("NavNode_",getCategoryLevelAsString($B333))),";",EscStr($J333),";"),CONCATENATE(";",EscStr(CONCATENATE("NavNode_",getCategoryLevelAsString($B333))),";",EscStr(K333),";")))</f>
        <v>;"NavNode_L3D_542732";"Tilbehør til noteooks/tablets/eReader";</v>
      </c>
      <c r="AE333" s="39" t="str">
        <f>IF(getCategoryLevelAsString($B333)="L0D_324785","",IF(L333="",CONCATENATE(";",EscStr(CONCATENATE("NavNode_",getCategoryLevelAsString($B333))),";",EscStr($J333),";"),CONCATENATE(";",EscStr(CONCATENATE("NavNode_",getCategoryLevelAsString($B333))),";",EscStr(L333),";")))</f>
        <v>;"NavNode_L3D_542732";"Nešiojamų kompiuterių priedai";</v>
      </c>
      <c r="AF333" s="39" t="str">
        <f>IF(getCategoryLevelAsString($B333)="L0D_324785","",IF(M333="",CONCATENATE(";",EscStr(CONCATENATE("NavNode_",getCategoryLevelAsString($B333))),";",EscStr($J333),";"),CONCATENATE(";",EscStr(CONCATENATE("NavNode_",getCategoryLevelAsString($B333))),";",EscStr(M333),";")))</f>
        <v>;"NavNode_L3D_542732";"Tilbehør for bærbare datamaskiner/nettbrett/lesebrett";</v>
      </c>
      <c r="AG333" s="39" t="str">
        <f>IF(getCategoryLevelAsString($B333)="L0D_324785","",IF(N333="",CONCATENATE(";",EscStr(CONCATENATE("NavNode_",getCategoryLevelAsString($B333))),";",EscStr($J333),";"),CONCATENATE(";",EscStr(CONCATENATE("NavNode_",getCategoryLevelAsString($B333))),";",EscStr(N333),";")))</f>
        <v>;"NavNode_L3D_542732";"Tillbehör för bärbara datorer/surfplattor/läsplattor";</v>
      </c>
      <c r="AH333" s="39" t="str">
        <f>IF(getCategoryLevelAsString($B333)="L0D_324785","",IF(O333="",CONCATENATE(";",EscStr(CONCATENATE("NavNode_",getCategoryLevelAsString($B333))),";",EscStr($J333),";"),CONCATENATE(";",EscStr(CONCATENATE("NavNode_",getCategoryLevelAsString($B333))),";",EscStr(O333),";")))</f>
        <v>;"NavNode_L3D_542732";"Süle- , tahvelarvutite ja e-lugerite tarvikud";</v>
      </c>
      <c r="AI333" s="39" t="str">
        <f>IF(getCategoryLevelAsString($B333)="L0D_324785","",IF(P333="",CONCATENATE(";",EscStr(CONCATENATE("NavNode_",getCategoryLevelAsString($B333))),";",EscStr($J333),";"),CONCATENATE(";",EscStr(CONCATENATE("NavNode_",getCategoryLevelAsString($B333))),";",EscStr(P333),";")))</f>
        <v>;"NavNode_L3D_542732";"Tarvikkeet PC";</v>
      </c>
      <c r="AJ333" s="39" t="str">
        <f>IF(getCategoryLevelAsString($B333)="L0D_324785","",IF(Q333="",CONCATENATE(";",EscStr(CONCATENATE("NavNode_",getCategoryLevelAsString($B333))),";",EscStr($J333),";"),CONCATENATE(";",EscStr(CONCATENATE("NavNode_",getCategoryLevelAsString($B333))),";",EscStr(Q333),";")))</f>
        <v>;"NavNode_L3D_542732";"Portatīvie datoru / planšetdatoru / e-grāmatu piederumi";</v>
      </c>
      <c r="AK333" s="39" t="str">
        <f>IF(getCategoryLevelAsString($B333)="L0D_324785","",IF(R333="",CONCATENATE(";",EscStr(CONCATENATE("NavNode_",getCategoryLevelAsString($B333))),";",EscStr($J333),";"),CONCATENATE(";",EscStr(CONCATENATE("NavNode_",getCategoryLevelAsString($B333))),";",EscStr(R333),";")))</f>
        <v>;"NavNode_L3D_542732";"Accessoires Notebooks / Tablets / eReader";</v>
      </c>
      <c r="AL333" s="39" t="str">
        <f>IF(getCategoryLevelAsString($B333)="L0D_324785","",IF(S333="",CONCATENATE(";",EscStr(CONCATENATE("NavNode_",getCategoryLevelAsString($B333))),";",EscStr($J333),";"),CONCATENATE(";",EscStr(CONCATENATE("NavNode_",getCategoryLevelAsString($B333))),";",EscStr(S333),";")))</f>
        <v>;"NavNode_L3D_542732";"Akcesoria do notebooków / Tabletów/ E-czytników";</v>
      </c>
      <c r="AM333" s="39" t="str">
        <f>IF(getCategoryLevelAsString($B333)="L0D_324785","",IF(T333="",CONCATENATE(";",EscStr(CONCATENATE("NavNode_",getCategoryLevelAsString($B333))),";",EscStr($J333),";"),CONCATENATE(";",EscStr(CONCATENATE("NavNode_",getCategoryLevelAsString($B333))),";",EscStr(T333),";")))</f>
        <v>;"NavNode_L3D_542732";"Аксессуары для Портативных компьютеров / Планшетов / е-книги";</v>
      </c>
      <c r="AN333" s="39" t="str">
        <f>IF(getCategoryLevelAsString($B333)="L0D_324785","",IF(U333="",CONCATENATE(";",EscStr(CONCATENATE("NavNode_",getCategoryLevelAsString($B333))),";",EscStr($J333),";"),CONCATENATE(";",EscStr(CONCATENATE("NavNode_",getCategoryLevelAsString($B333))),";",EscStr(U333),";")))</f>
        <v>;"NavNode_L3D_542732";"Příslušenství pro Notebooky / Tablety / Čtečky elektronických knih";</v>
      </c>
      <c r="AO333" s="39" t="str">
        <f>IF(getCategoryLevelAsString($B333)="L0D_324785","",IF(V333="",CONCATENATE(";",EscStr(CONCATENATE("NavNode_",getCategoryLevelAsString($B333))),";",EscStr($J333),";"),CONCATENATE(";",EscStr(CONCATENATE("NavNode_",getCategoryLevelAsString($B333))),";",EscStr(V333),";")))</f>
        <v>;"NavNode_L3D_542732";"Accesorii pentru notebook-uri / tablete / eReader";</v>
      </c>
      <c r="AP333" s="39" t="str">
        <f>IF(getCategoryLevelAsString($B333)="L0D_324785","",IF(W333="",CONCATENATE(";",EscStr(CONCATENATE("NavNode_",getCategoryLevelAsString($B333))),";",EscStr($J333),";"),CONCATENATE(";",EscStr(CONCATENATE("NavNode_",getCategoryLevelAsString($B333))),";",EscStr(W333),";")))</f>
        <v>;"NavNode_L3D_542732";"Tartozékok Notebookhoz / Tablethez / eReaderhez";</v>
      </c>
      <c r="AQ333" s="39" t="str">
        <f>IF(getCategoryLevelAsString($B333)="L0D_324785","",IF(X333="",CONCATENATE(";",EscStr(CONCATENATE("NavNode_",getCategoryLevelAsString($B333))),";",EscStr($J333),";"),CONCATENATE(";",EscStr(CONCATENATE("NavNode_",getCategoryLevelAsString($B333))),";",EscStr(X333),";")))</f>
        <v>;"NavNode_L3D_542732";"Príslušenstvo pre Notebooky / Tablety / Čítačky elektronických kníh";</v>
      </c>
      <c r="AR333" s="39" t="str">
        <f>IF(OR($A333&lt;&gt;"", $G333=""),"",CONCATENATE(";",EscStr(CONCATENATE("NavEntry_",getCategoryLevelAsString($B333))),";",EscStr(CONCATENATE($J333," Navigation Entry")),";",EscStr(CONCATENATE("cat-",getCategoryLevelAsString($B333))),";",EscStr(CONCATENATE("NavNode_",getCategoryLevelAsString($B333))),";"))</f>
        <v>;"NavEntry_L3D_542732";"Accessories Notebooks / Tablets / eReader Navigation Entry";"cat-L3D_542732";"NavNode_L3D_542732";</v>
      </c>
    </row>
    <row r="334" spans="1:44" s="34" customFormat="1" ht="15" x14ac:dyDescent="0.25">
      <c r="A334" s="25"/>
      <c r="B334" s="5"/>
      <c r="C334" s="5"/>
      <c r="D334" s="5" t="s">
        <v>611</v>
      </c>
      <c r="E334" s="5"/>
      <c r="F334" s="5"/>
      <c r="G334" s="5" t="s">
        <v>1031</v>
      </c>
      <c r="H334" s="5" t="s">
        <v>796</v>
      </c>
      <c r="I334" s="5" t="s">
        <v>693</v>
      </c>
      <c r="J334" s="5" t="s">
        <v>896</v>
      </c>
      <c r="K334" s="5" t="s">
        <v>1426</v>
      </c>
      <c r="L334" s="5" t="s">
        <v>15234</v>
      </c>
      <c r="M334" s="5" t="s">
        <v>1866</v>
      </c>
      <c r="N334" s="5" t="s">
        <v>2084</v>
      </c>
      <c r="O334" s="5" t="s">
        <v>4605</v>
      </c>
      <c r="P334" s="5" t="s">
        <v>4606</v>
      </c>
      <c r="Q334" s="5" t="s">
        <v>4607</v>
      </c>
      <c r="R334" s="5" t="s">
        <v>4608</v>
      </c>
      <c r="S334" s="5" t="s">
        <v>4609</v>
      </c>
      <c r="T334" s="5" t="s">
        <v>4610</v>
      </c>
      <c r="U334" s="5" t="s">
        <v>4611</v>
      </c>
      <c r="V334" s="5" t="s">
        <v>4612</v>
      </c>
      <c r="W334" s="5" t="s">
        <v>4613</v>
      </c>
      <c r="X334" s="5" t="s">
        <v>15020</v>
      </c>
      <c r="Y334" s="39" t="str">
        <f>IF(OR($A334&lt;&gt;"", $G334=""),"",CONCATENATE(";",EscStr(CONCATENATE("NavNode_",getCategoryLevelAsString($B334))),";",EscStr($J334),";",IF($B334&lt;&gt;"","""MainCategoryNavNode""",EscStr(CONCATENATE("NavNode_",getSuperCategory($B334, getCategoryLevelAsNumber($B334))))),";"))</f>
        <v>;"NavNode_L3D_542696";"Projectors / Projection screens / Accessories";"NavNode_L2D_542662";</v>
      </c>
      <c r="Z334" s="39" t="str">
        <f>IF(getCategoryLevelAsString($B334)="L0D_324785","",IF(G334="",CONCATENATE(";",EscStr(CONCATENATE("NavNode_",getCategoryLevelAsString($B334))),";",EscStr($J334),";"),CONCATENATE(";",EscStr(CONCATENATE("NavNode_",getCategoryLevelAsString($B334))),";",EscStr(G334),";")))</f>
        <v>;"NavNode_L3D_542696";"Projektoren / Leinwände / Zubehör";</v>
      </c>
      <c r="AA334" s="39" t="str">
        <f>IF(getCategoryLevelAsString($B334)="L0D_324785","",IF(H334="",CONCATENATE(";",EscStr(CONCATENATE("NavNode_",getCategoryLevelAsString($B334))),";",EscStr($J334),";"),CONCATENATE(";",EscStr(CONCATENATE("NavNode_",getCategoryLevelAsString($B334))),";",EscStr(H334),";")))</f>
        <v>;"NavNode_L3D_542696";"Projecteurs / Ecrans de projection / Accessoires";</v>
      </c>
      <c r="AB334" s="39" t="str">
        <f>IF(getCategoryLevelAsString($B334)="L0D_324785","",IF(I334="",CONCATENATE(";",EscStr(CONCATENATE("NavNode_",getCategoryLevelAsString($B334))),";",EscStr($J334),";"),CONCATENATE(";",EscStr(CONCATENATE("NavNode_",getCategoryLevelAsString($B334))),";",EscStr(I334),";")))</f>
        <v>;"NavNode_L3D_542696";"Proiettori / schermi da proiezione / accessori";</v>
      </c>
      <c r="AC334" s="39" t="str">
        <f>IF(getCategoryLevelAsString($B334)="L0D_324785","",IF(J334="",CONCATENATE(";",EscStr(CONCATENATE("NavNode_",getCategoryLevelAsString($B334))),";",EscStr($J334),";"),CONCATENATE(";",EscStr(CONCATENATE("NavNode_",getCategoryLevelAsString($B334))),";",EscStr(J334),";")))</f>
        <v>;"NavNode_L3D_542696";"Projectors / Projection screens / Accessories";</v>
      </c>
      <c r="AD334" s="39" t="str">
        <f>IF(getCategoryLevelAsString($B334)="L0D_324785","",IF(K334="",CONCATENATE(";",EscStr(CONCATENATE("NavNode_",getCategoryLevelAsString($B334))),";",EscStr($J334),";"),CONCATENATE(";",EscStr(CONCATENATE("NavNode_",getCategoryLevelAsString($B334))),";",EscStr(K334),";")))</f>
        <v>;"NavNode_L3D_542696";"Projektorer/projektorskærme/tilbehør";</v>
      </c>
      <c r="AE334" s="39" t="str">
        <f>IF(getCategoryLevelAsString($B334)="L0D_324785","",IF(L334="",CONCATENATE(";",EscStr(CONCATENATE("NavNode_",getCategoryLevelAsString($B334))),";",EscStr($J334),";"),CONCATENATE(";",EscStr(CONCATENATE("NavNode_",getCategoryLevelAsString($B334))),";",EscStr(L334),";")))</f>
        <v>;"NavNode_L3D_542696";"Projektoriai / Projekcijų ekranai / Priedai";</v>
      </c>
      <c r="AF334" s="39" t="str">
        <f>IF(getCategoryLevelAsString($B334)="L0D_324785","",IF(M334="",CONCATENATE(";",EscStr(CONCATENATE("NavNode_",getCategoryLevelAsString($B334))),";",EscStr($J334),";"),CONCATENATE(";",EscStr(CONCATENATE("NavNode_",getCategoryLevelAsString($B334))),";",EscStr(M334),";")))</f>
        <v>;"NavNode_L3D_542696";"Projektorer/projektorskjermer/tilbehør";</v>
      </c>
      <c r="AG334" s="39" t="str">
        <f>IF(getCategoryLevelAsString($B334)="L0D_324785","",IF(N334="",CONCATENATE(";",EscStr(CONCATENATE("NavNode_",getCategoryLevelAsString($B334))),";",EscStr($J334),";"),CONCATENATE(";",EscStr(CONCATENATE("NavNode_",getCategoryLevelAsString($B334))),";",EscStr(N334),";")))</f>
        <v>;"NavNode_L3D_542696";"Projektorer/Projektordukar/Tillbehör";</v>
      </c>
      <c r="AH334" s="39" t="str">
        <f>IF(getCategoryLevelAsString($B334)="L0D_324785","",IF(O334="",CONCATENATE(";",EscStr(CONCATENATE("NavNode_",getCategoryLevelAsString($B334))),";",EscStr($J334),";"),CONCATENATE(";",EscStr(CONCATENATE("NavNode_",getCategoryLevelAsString($B334))),";",EscStr(O334),";")))</f>
        <v>;"NavNode_L3D_542696";"Projektorid / Ekraanid / Tarvikud";</v>
      </c>
      <c r="AI334" s="39" t="str">
        <f>IF(getCategoryLevelAsString($B334)="L0D_324785","",IF(P334="",CONCATENATE(";",EscStr(CONCATENATE("NavNode_",getCategoryLevelAsString($B334))),";",EscStr($J334),";"),CONCATENATE(";",EscStr(CONCATENATE("NavNode_",getCategoryLevelAsString($B334))),";",EscStr(P334),";")))</f>
        <v>;"NavNode_L3D_542696";"Projektorit/ kankaat";</v>
      </c>
      <c r="AJ334" s="39" t="str">
        <f>IF(getCategoryLevelAsString($B334)="L0D_324785","",IF(Q334="",CONCATENATE(";",EscStr(CONCATENATE("NavNode_",getCategoryLevelAsString($B334))),";",EscStr($J334),";"),CONCATENATE(";",EscStr(CONCATENATE("NavNode_",getCategoryLevelAsString($B334))),";",EscStr(Q334),";")))</f>
        <v>;"NavNode_L3D_542696";"Projektori / Projekcijas ekrāni / Piederumi";</v>
      </c>
      <c r="AK334" s="39" t="str">
        <f>IF(getCategoryLevelAsString($B334)="L0D_324785","",IF(R334="",CONCATENATE(";",EscStr(CONCATENATE("NavNode_",getCategoryLevelAsString($B334))),";",EscStr($J334),";"),CONCATENATE(";",EscStr(CONCATENATE("NavNode_",getCategoryLevelAsString($B334))),";",EscStr(R334),";")))</f>
        <v>;"NavNode_L3D_542696";"Projectoren / Projectieschermen / Accessoires";</v>
      </c>
      <c r="AL334" s="39" t="str">
        <f>IF(getCategoryLevelAsString($B334)="L0D_324785","",IF(S334="",CONCATENATE(";",EscStr(CONCATENATE("NavNode_",getCategoryLevelAsString($B334))),";",EscStr($J334),";"),CONCATENATE(";",EscStr(CONCATENATE("NavNode_",getCategoryLevelAsString($B334))),";",EscStr(S334),";")))</f>
        <v>;"NavNode_L3D_542696";"Projektory / Ekrany projekcyjne / Akcesoria";</v>
      </c>
      <c r="AM334" s="39" t="str">
        <f>IF(getCategoryLevelAsString($B334)="L0D_324785","",IF(T334="",CONCATENATE(";",EscStr(CONCATENATE("NavNode_",getCategoryLevelAsString($B334))),";",EscStr($J334),";"),CONCATENATE(";",EscStr(CONCATENATE("NavNode_",getCategoryLevelAsString($B334))),";",EscStr(T334),";")))</f>
        <v>;"NavNode_L3D_542696";"Проекторы / Экраны проекционные / Аксессуары";</v>
      </c>
      <c r="AN334" s="39" t="str">
        <f>IF(getCategoryLevelAsString($B334)="L0D_324785","",IF(U334="",CONCATENATE(";",EscStr(CONCATENATE("NavNode_",getCategoryLevelAsString($B334))),";",EscStr($J334),";"),CONCATENATE(";",EscStr(CONCATENATE("NavNode_",getCategoryLevelAsString($B334))),";",EscStr(U334),";")))</f>
        <v>;"NavNode_L3D_542696";"Projektory / Plátna / Příslušenství";</v>
      </c>
      <c r="AO334" s="39" t="str">
        <f>IF(getCategoryLevelAsString($B334)="L0D_324785","",IF(V334="",CONCATENATE(";",EscStr(CONCATENATE("NavNode_",getCategoryLevelAsString($B334))),";",EscStr($J334),";"),CONCATENATE(";",EscStr(CONCATENATE("NavNode_",getCategoryLevelAsString($B334))),";",EscStr(V334),";")))</f>
        <v>;"NavNode_L3D_542696";"Proiectoare Office / ecrane / accesorii";</v>
      </c>
      <c r="AP334" s="39" t="str">
        <f>IF(getCategoryLevelAsString($B334)="L0D_324785","",IF(W334="",CONCATENATE(";",EscStr(CONCATENATE("NavNode_",getCategoryLevelAsString($B334))),";",EscStr($J334),";"),CONCATENATE(";",EscStr(CONCATENATE("NavNode_",getCategoryLevelAsString($B334))),";",EscStr(W334),";")))</f>
        <v>;"NavNode_L3D_542696";"Projektorok / Vásznak / tartozékok";</v>
      </c>
      <c r="AQ334" s="39" t="str">
        <f>IF(getCategoryLevelAsString($B334)="L0D_324785","",IF(X334="",CONCATENATE(";",EscStr(CONCATENATE("NavNode_",getCategoryLevelAsString($B334))),";",EscStr($J334),";"),CONCATENATE(";",EscStr(CONCATENATE("NavNode_",getCategoryLevelAsString($B334))),";",EscStr(X334),";")))</f>
        <v>;"NavNode_L3D_542696";"Projektory / Plátna / Príslušenstvo";</v>
      </c>
      <c r="AR334" s="39" t="str">
        <f>IF(OR($A334&lt;&gt;"", $G334=""),"",CONCATENATE(";",EscStr(CONCATENATE("NavEntry_",getCategoryLevelAsString($B334))),";",EscStr(CONCATENATE($J334," Navigation Entry")),";",EscStr(CONCATENATE("cat-",getCategoryLevelAsString($B334))),";",EscStr(CONCATENATE("NavNode_",getCategoryLevelAsString($B334))),";"))</f>
        <v>;"NavEntry_L3D_542696";"Projectors / Projection screens / Accessories Navigation Entry";"cat-L3D_542696";"NavNode_L3D_542696";</v>
      </c>
    </row>
    <row r="335" spans="1:44" s="34" customFormat="1" ht="15" x14ac:dyDescent="0.25">
      <c r="A335" s="25"/>
      <c r="B335" s="5"/>
      <c r="C335" s="5"/>
      <c r="D335" s="5" t="s">
        <v>628</v>
      </c>
      <c r="E335" s="5"/>
      <c r="F335" s="5"/>
      <c r="G335" s="5" t="s">
        <v>996</v>
      </c>
      <c r="H335" s="5" t="s">
        <v>752</v>
      </c>
      <c r="I335" s="5" t="s">
        <v>670</v>
      </c>
      <c r="J335" s="5" t="s">
        <v>852</v>
      </c>
      <c r="K335" s="5" t="s">
        <v>1383</v>
      </c>
      <c r="L335" s="5" t="s">
        <v>1619</v>
      </c>
      <c r="M335" s="5" t="s">
        <v>1821</v>
      </c>
      <c r="N335" s="5" t="s">
        <v>2038</v>
      </c>
      <c r="O335" s="5" t="s">
        <v>4207</v>
      </c>
      <c r="P335" s="5" t="s">
        <v>4208</v>
      </c>
      <c r="Q335" s="5" t="s">
        <v>4209</v>
      </c>
      <c r="R335" s="5" t="s">
        <v>852</v>
      </c>
      <c r="S335" s="5" t="s">
        <v>4210</v>
      </c>
      <c r="T335" s="5" t="s">
        <v>4211</v>
      </c>
      <c r="U335" s="5" t="s">
        <v>4212</v>
      </c>
      <c r="V335" s="5" t="s">
        <v>4213</v>
      </c>
      <c r="W335" s="5" t="s">
        <v>4214</v>
      </c>
      <c r="X335" s="5" t="s">
        <v>4212</v>
      </c>
      <c r="Y335" s="39" t="str">
        <f>IF(OR($A335&lt;&gt;"", $G335=""),"",CONCATENATE(";",EscStr(CONCATENATE("NavNode_",getCategoryLevelAsString($B335))),";",EscStr($J335),";",IF($B335&lt;&gt;"","""MainCategoryNavNode""",EscStr(CONCATENATE("NavNode_",getSuperCategory($B335, getCategoryLevelAsNumber($B335))))),";"))</f>
        <v>;"NavNode_L3D_542734";"Hard Disks / SSD / RAM";"NavNode_L2D_542662";</v>
      </c>
      <c r="Z335" s="39" t="str">
        <f>IF(getCategoryLevelAsString($B335)="L0D_324785","",IF(G335="",CONCATENATE(";",EscStr(CONCATENATE("NavNode_",getCategoryLevelAsString($B335))),";",EscStr($J335),";"),CONCATENATE(";",EscStr(CONCATENATE("NavNode_",getCategoryLevelAsString($B335))),";",EscStr(G335),";")))</f>
        <v>;"NavNode_L3D_542734";"Festplatten / SSD / RAM";</v>
      </c>
      <c r="AA335" s="39" t="str">
        <f>IF(getCategoryLevelAsString($B335)="L0D_324785","",IF(H335="",CONCATENATE(";",EscStr(CONCATENATE("NavNode_",getCategoryLevelAsString($B335))),";",EscStr($J335),";"),CONCATENATE(";",EscStr(CONCATENATE("NavNode_",getCategoryLevelAsString($B335))),";",EscStr(H335),";")))</f>
        <v>;"NavNode_L3D_542734";"Disques durs / disques SSD / Mémoires";</v>
      </c>
      <c r="AB335" s="39" t="str">
        <f>IF(getCategoryLevelAsString($B335)="L0D_324785","",IF(I335="",CONCATENATE(";",EscStr(CONCATENATE("NavNode_",getCategoryLevelAsString($B335))),";",EscStr($J335),";"),CONCATENATE(";",EscStr(CONCATENATE("NavNode_",getCategoryLevelAsString($B335))),";",EscStr(I335),";")))</f>
        <v>;"NavNode_L3D_542734";"Hard Disk / SSD / RAM";</v>
      </c>
      <c r="AC335" s="39" t="str">
        <f>IF(getCategoryLevelAsString($B335)="L0D_324785","",IF(J335="",CONCATENATE(";",EscStr(CONCATENATE("NavNode_",getCategoryLevelAsString($B335))),";",EscStr($J335),";"),CONCATENATE(";",EscStr(CONCATENATE("NavNode_",getCategoryLevelAsString($B335))),";",EscStr(J335),";")))</f>
        <v>;"NavNode_L3D_542734";"Hard Disks / SSD / RAM";</v>
      </c>
      <c r="AD335" s="39" t="str">
        <f>IF(getCategoryLevelAsString($B335)="L0D_324785","",IF(K335="",CONCATENATE(";",EscStr(CONCATENATE("NavNode_",getCategoryLevelAsString($B335))),";",EscStr($J335),";"),CONCATENATE(";",EscStr(CONCATENATE("NavNode_",getCategoryLevelAsString($B335))),";",EscStr(K335),";")))</f>
        <v>;"NavNode_L3D_542734";"Harddiske/SSD/RAM";</v>
      </c>
      <c r="AE335" s="39" t="str">
        <f>IF(getCategoryLevelAsString($B335)="L0D_324785","",IF(L335="",CONCATENATE(";",EscStr(CONCATENATE("NavNode_",getCategoryLevelAsString($B335))),";",EscStr($J335),";"),CONCATENATE(";",EscStr(CONCATENATE("NavNode_",getCategoryLevelAsString($B335))),";",EscStr(L335),";")))</f>
        <v>;"NavNode_L3D_542734";"Standieji diskai / SSD / RAM";</v>
      </c>
      <c r="AF335" s="39" t="str">
        <f>IF(getCategoryLevelAsString($B335)="L0D_324785","",IF(M335="",CONCATENATE(";",EscStr(CONCATENATE("NavNode_",getCategoryLevelAsString($B335))),";",EscStr($J335),";"),CONCATENATE(";",EscStr(CONCATENATE("NavNode_",getCategoryLevelAsString($B335))),";",EscStr(M335),";")))</f>
        <v>;"NavNode_L3D_542734";"Harddisker/SSD/RAM";</v>
      </c>
      <c r="AG335" s="39" t="str">
        <f>IF(getCategoryLevelAsString($B335)="L0D_324785","",IF(N335="",CONCATENATE(";",EscStr(CONCATENATE("NavNode_",getCategoryLevelAsString($B335))),";",EscStr($J335),";"),CONCATENATE(";",EscStr(CONCATENATE("NavNode_",getCategoryLevelAsString($B335))),";",EscStr(N335),";")))</f>
        <v>;"NavNode_L3D_542734";"Hårddiskar/SSD/RAM";</v>
      </c>
      <c r="AH335" s="39" t="str">
        <f>IF(getCategoryLevelAsString($B335)="L0D_324785","",IF(O335="",CONCATENATE(";",EscStr(CONCATENATE("NavNode_",getCategoryLevelAsString($B335))),";",EscStr($J335),";"),CONCATENATE(";",EscStr(CONCATENATE("NavNode_",getCategoryLevelAsString($B335))),";",EscStr(O335),";")))</f>
        <v>;"NavNode_L3D_542734";"Kõvakettad / SSD / RAM";</v>
      </c>
      <c r="AI335" s="39" t="str">
        <f>IF(getCategoryLevelAsString($B335)="L0D_324785","",IF(P335="",CONCATENATE(";",EscStr(CONCATENATE("NavNode_",getCategoryLevelAsString($B335))),";",EscStr($J335),";"),CONCATENATE(";",EscStr(CONCATENATE("NavNode_",getCategoryLevelAsString($B335))),";",EscStr(P335),";")))</f>
        <v>;"NavNode_L3D_542734";"Kovalevyt/SSD/RAM";</v>
      </c>
      <c r="AJ335" s="39" t="str">
        <f>IF(getCategoryLevelAsString($B335)="L0D_324785","",IF(Q335="",CONCATENATE(";",EscStr(CONCATENATE("NavNode_",getCategoryLevelAsString($B335))),";",EscStr($J335),";"),CONCATENATE(";",EscStr(CONCATENATE("NavNode_",getCategoryLevelAsString($B335))),";",EscStr(Q335),";")))</f>
        <v>;"NavNode_L3D_542734";"Cietie diski / SSD / RAM";</v>
      </c>
      <c r="AK335" s="39" t="str">
        <f>IF(getCategoryLevelAsString($B335)="L0D_324785","",IF(R335="",CONCATENATE(";",EscStr(CONCATENATE("NavNode_",getCategoryLevelAsString($B335))),";",EscStr($J335),";"),CONCATENATE(";",EscStr(CONCATENATE("NavNode_",getCategoryLevelAsString($B335))),";",EscStr(R335),";")))</f>
        <v>;"NavNode_L3D_542734";"Hard Disks / SSD / RAM";</v>
      </c>
      <c r="AL335" s="39" t="str">
        <f>IF(getCategoryLevelAsString($B335)="L0D_324785","",IF(S335="",CONCATENATE(";",EscStr(CONCATENATE("NavNode_",getCategoryLevelAsString($B335))),";",EscStr($J335),";"),CONCATENATE(";",EscStr(CONCATENATE("NavNode_",getCategoryLevelAsString($B335))),";",EscStr(S335),";")))</f>
        <v>;"NavNode_L3D_542734";"Twarde dyski / SSD / RAM";</v>
      </c>
      <c r="AM335" s="39" t="str">
        <f>IF(getCategoryLevelAsString($B335)="L0D_324785","",IF(T335="",CONCATENATE(";",EscStr(CONCATENATE("NavNode_",getCategoryLevelAsString($B335))),";",EscStr($J335),";"),CONCATENATE(";",EscStr(CONCATENATE("NavNode_",getCategoryLevelAsString($B335))),";",EscStr(T335),";")))</f>
        <v>;"NavNode_L3D_542734";"Жесткие диски / SSD / RAM";</v>
      </c>
      <c r="AN335" s="39" t="str">
        <f>IF(getCategoryLevelAsString($B335)="L0D_324785","",IF(U335="",CONCATENATE(";",EscStr(CONCATENATE("NavNode_",getCategoryLevelAsString($B335))),";",EscStr($J335),";"),CONCATENATE(";",EscStr(CONCATENATE("NavNode_",getCategoryLevelAsString($B335))),";",EscStr(U335),";")))</f>
        <v>;"NavNode_L3D_542734";"Pevné disky / SSD / RAM";</v>
      </c>
      <c r="AO335" s="39" t="str">
        <f>IF(getCategoryLevelAsString($B335)="L0D_324785","",IF(V335="",CONCATENATE(";",EscStr(CONCATENATE("NavNode_",getCategoryLevelAsString($B335))),";",EscStr($J335),";"),CONCATENATE(";",EscStr(CONCATENATE("NavNode_",getCategoryLevelAsString($B335))),";",EscStr(V335),";")))</f>
        <v>;"NavNode_L3D_542734";"Hard disk-uri / SSD / RAM";</v>
      </c>
      <c r="AP335" s="39" t="str">
        <f>IF(getCategoryLevelAsString($B335)="L0D_324785","",IF(W335="",CONCATENATE(";",EscStr(CONCATENATE("NavNode_",getCategoryLevelAsString($B335))),";",EscStr($J335),";"),CONCATENATE(";",EscStr(CONCATENATE("NavNode_",getCategoryLevelAsString($B335))),";",EscStr(W335),";")))</f>
        <v>;"NavNode_L3D_542734";"Merevlemez / SSD / RAM";</v>
      </c>
      <c r="AQ335" s="39" t="str">
        <f>IF(getCategoryLevelAsString($B335)="L0D_324785","",IF(X335="",CONCATENATE(";",EscStr(CONCATENATE("NavNode_",getCategoryLevelAsString($B335))),";",EscStr($J335),";"),CONCATENATE(";",EscStr(CONCATENATE("NavNode_",getCategoryLevelAsString($B335))),";",EscStr(X335),";")))</f>
        <v>;"NavNode_L3D_542734";"Pevné disky / SSD / RAM";</v>
      </c>
      <c r="AR335" s="39" t="str">
        <f>IF(OR($A335&lt;&gt;"", $G335=""),"",CONCATENATE(";",EscStr(CONCATENATE("NavEntry_",getCategoryLevelAsString($B335))),";",EscStr(CONCATENATE($J335," Navigation Entry")),";",EscStr(CONCATENATE("cat-",getCategoryLevelAsString($B335))),";",EscStr(CONCATENATE("NavNode_",getCategoryLevelAsString($B335))),";"))</f>
        <v>;"NavEntry_L3D_542734";"Hard Disks / SSD / RAM Navigation Entry";"cat-L3D_542734";"NavNode_L3D_542734";</v>
      </c>
    </row>
    <row r="336" spans="1:44" s="34" customFormat="1" ht="15" x14ac:dyDescent="0.25">
      <c r="A336" s="25"/>
      <c r="B336" s="5"/>
      <c r="C336" s="5"/>
      <c r="D336" s="5" t="s">
        <v>629</v>
      </c>
      <c r="E336" s="5"/>
      <c r="F336" s="5"/>
      <c r="G336" s="5" t="s">
        <v>997</v>
      </c>
      <c r="H336" s="5" t="s">
        <v>753</v>
      </c>
      <c r="I336" s="5" t="s">
        <v>679</v>
      </c>
      <c r="J336" s="5" t="s">
        <v>853</v>
      </c>
      <c r="K336" s="5" t="s">
        <v>1384</v>
      </c>
      <c r="L336" s="5" t="s">
        <v>1620</v>
      </c>
      <c r="M336" s="5" t="s">
        <v>1822</v>
      </c>
      <c r="N336" s="5" t="s">
        <v>2039</v>
      </c>
      <c r="O336" s="5" t="s">
        <v>4215</v>
      </c>
      <c r="P336" s="5" t="s">
        <v>4216</v>
      </c>
      <c r="Q336" s="5" t="s">
        <v>4217</v>
      </c>
      <c r="R336" s="5" t="s">
        <v>4218</v>
      </c>
      <c r="S336" s="5" t="s">
        <v>4219</v>
      </c>
      <c r="T336" s="5" t="s">
        <v>4220</v>
      </c>
      <c r="U336" s="5" t="s">
        <v>4221</v>
      </c>
      <c r="V336" s="5" t="s">
        <v>4222</v>
      </c>
      <c r="W336" s="5" t="s">
        <v>4223</v>
      </c>
      <c r="X336" s="5" t="s">
        <v>15021</v>
      </c>
      <c r="Y336" s="39" t="str">
        <f>IF(OR($A336&lt;&gt;"", $G336=""),"",CONCATENATE(";",EscStr(CONCATENATE("NavNode_",getCategoryLevelAsString($B336))),";",EscStr($J336),";",IF($B336&lt;&gt;"","""MainCategoryNavNode""",EscStr(CONCATENATE("NavNode_",getSuperCategory($B336, getCategoryLevelAsNumber($B336))))),";"))</f>
        <v>;"NavNode_L3D_542736";"Mainboards / CPU / Cooler";"NavNode_L2D_542662";</v>
      </c>
      <c r="Z336" s="39" t="str">
        <f>IF(getCategoryLevelAsString($B336)="L0D_324785","",IF(G336="",CONCATENATE(";",EscStr(CONCATENATE("NavNode_",getCategoryLevelAsString($B336))),";",EscStr($J336),";"),CONCATENATE(";",EscStr(CONCATENATE("NavNode_",getCategoryLevelAsString($B336))),";",EscStr(G336),";")))</f>
        <v>;"NavNode_L3D_542736";"Mainboards / CPU / Kühler";</v>
      </c>
      <c r="AA336" s="39" t="str">
        <f>IF(getCategoryLevelAsString($B336)="L0D_324785","",IF(H336="",CONCATENATE(";",EscStr(CONCATENATE("NavNode_",getCategoryLevelAsString($B336))),";",EscStr($J336),";"),CONCATENATE(";",EscStr(CONCATENATE("NavNode_",getCategoryLevelAsString($B336))),";",EscStr(H336),";")))</f>
        <v>;"NavNode_L3D_542736";"Cartes mères / Processeur / Refroidisseur";</v>
      </c>
      <c r="AB336" s="39" t="str">
        <f>IF(getCategoryLevelAsString($B336)="L0D_324785","",IF(I336="",CONCATENATE(";",EscStr(CONCATENATE("NavNode_",getCategoryLevelAsString($B336))),";",EscStr($J336),";"),CONCATENATE(";",EscStr(CONCATENATE("NavNode_",getCategoryLevelAsString($B336))),";",EscStr(I336),";")))</f>
        <v>;"NavNode_L3D_542736";"Schede madri / CPU / dissipatore";</v>
      </c>
      <c r="AC336" s="39" t="str">
        <f>IF(getCategoryLevelAsString($B336)="L0D_324785","",IF(J336="",CONCATENATE(";",EscStr(CONCATENATE("NavNode_",getCategoryLevelAsString($B336))),";",EscStr($J336),";"),CONCATENATE(";",EscStr(CONCATENATE("NavNode_",getCategoryLevelAsString($B336))),";",EscStr(J336),";")))</f>
        <v>;"NavNode_L3D_542736";"Mainboards / CPU / Cooler";</v>
      </c>
      <c r="AD336" s="39" t="str">
        <f>IF(getCategoryLevelAsString($B336)="L0D_324785","",IF(K336="",CONCATENATE(";",EscStr(CONCATENATE("NavNode_",getCategoryLevelAsString($B336))),";",EscStr($J336),";"),CONCATENATE(";",EscStr(CONCATENATE("NavNode_",getCategoryLevelAsString($B336))),";",EscStr(K336),";")))</f>
        <v>;"NavNode_L3D_542736";"Hovedkort/CPU/køler";</v>
      </c>
      <c r="AE336" s="39" t="str">
        <f>IF(getCategoryLevelAsString($B336)="L0D_324785","",IF(L336="",CONCATENATE(";",EscStr(CONCATENATE("NavNode_",getCategoryLevelAsString($B336))),";",EscStr($J336),";"),CONCATENATE(";",EscStr(CONCATENATE("NavNode_",getCategoryLevelAsString($B336))),";",EscStr(L336),";")))</f>
        <v>;"NavNode_L3D_542736";"Pagrindinės plokštės / CPU / aušintuvai";</v>
      </c>
      <c r="AF336" s="39" t="str">
        <f>IF(getCategoryLevelAsString($B336)="L0D_324785","",IF(M336="",CONCATENATE(";",EscStr(CONCATENATE("NavNode_",getCategoryLevelAsString($B336))),";",EscStr($J336),";"),CONCATENATE(";",EscStr(CONCATENATE("NavNode_",getCategoryLevelAsString($B336))),";",EscStr(M336),";")))</f>
        <v>;"NavNode_L3D_542736";"Hovedkort/CPU/kjøler";</v>
      </c>
      <c r="AG336" s="39" t="str">
        <f>IF(getCategoryLevelAsString($B336)="L0D_324785","",IF(N336="",CONCATENATE(";",EscStr(CONCATENATE("NavNode_",getCategoryLevelAsString($B336))),";",EscStr($J336),";"),CONCATENATE(";",EscStr(CONCATENATE("NavNode_",getCategoryLevelAsString($B336))),";",EscStr(N336),";")))</f>
        <v>;"NavNode_L3D_542736";"Moderkort/CPU/Kylning";</v>
      </c>
      <c r="AH336" s="39" t="str">
        <f>IF(getCategoryLevelAsString($B336)="L0D_324785","",IF(O336="",CONCATENATE(";",EscStr(CONCATENATE("NavNode_",getCategoryLevelAsString($B336))),";",EscStr($J336),";"),CONCATENATE(";",EscStr(CONCATENATE("NavNode_",getCategoryLevelAsString($B336))),";",EscStr(O336),";")))</f>
        <v>;"NavNode_L3D_542736";"Emaplaadid / Protsessorid / Jahutid";</v>
      </c>
      <c r="AI336" s="39" t="str">
        <f>IF(getCategoryLevelAsString($B336)="L0D_324785","",IF(P336="",CONCATENATE(";",EscStr(CONCATENATE("NavNode_",getCategoryLevelAsString($B336))),";",EscStr($J336),";"),CONCATENATE(";",EscStr(CONCATENATE("NavNode_",getCategoryLevelAsString($B336))),";",EscStr(P336),";")))</f>
        <v>;"NavNode_L3D_542736";"Emolevyt";</v>
      </c>
      <c r="AJ336" s="39" t="str">
        <f>IF(getCategoryLevelAsString($B336)="L0D_324785","",IF(Q336="",CONCATENATE(";",EscStr(CONCATENATE("NavNode_",getCategoryLevelAsString($B336))),";",EscStr($J336),";"),CONCATENATE(";",EscStr(CONCATENATE("NavNode_",getCategoryLevelAsString($B336))),";",EscStr(Q336),";")))</f>
        <v>;"NavNode_L3D_542736";"Mātesplates / procesori / ventilatori";</v>
      </c>
      <c r="AK336" s="39" t="str">
        <f>IF(getCategoryLevelAsString($B336)="L0D_324785","",IF(R336="",CONCATENATE(";",EscStr(CONCATENATE("NavNode_",getCategoryLevelAsString($B336))),";",EscStr($J336),";"),CONCATENATE(";",EscStr(CONCATENATE("NavNode_",getCategoryLevelAsString($B336))),";",EscStr(R336),";")))</f>
        <v>;"NavNode_L3D_542736";"Moederborden / Processoren / Koelers";</v>
      </c>
      <c r="AL336" s="39" t="str">
        <f>IF(getCategoryLevelAsString($B336)="L0D_324785","",IF(S336="",CONCATENATE(";",EscStr(CONCATENATE("NavNode_",getCategoryLevelAsString($B336))),";",EscStr($J336),";"),CONCATENATE(";",EscStr(CONCATENATE("NavNode_",getCategoryLevelAsString($B336))),";",EscStr(S336),";")))</f>
        <v>;"NavNode_L3D_542736";"Płyty główne / Procesory / Wentylatory";</v>
      </c>
      <c r="AM336" s="39" t="str">
        <f>IF(getCategoryLevelAsString($B336)="L0D_324785","",IF(T336="",CONCATENATE(";",EscStr(CONCATENATE("NavNode_",getCategoryLevelAsString($B336))),";",EscStr($J336),";"),CONCATENATE(";",EscStr(CONCATENATE("NavNode_",getCategoryLevelAsString($B336))),";",EscStr(T336),";")))</f>
        <v>;"NavNode_L3D_542736";"Материнские платы / CPU / Кулеры";</v>
      </c>
      <c r="AN336" s="39" t="str">
        <f>IF(getCategoryLevelAsString($B336)="L0D_324785","",IF(U336="",CONCATENATE(";",EscStr(CONCATENATE("NavNode_",getCategoryLevelAsString($B336))),";",EscStr($J336),";"),CONCATENATE(";",EscStr(CONCATENATE("NavNode_",getCategoryLevelAsString($B336))),";",EscStr(U336),";")))</f>
        <v>;"NavNode_L3D_542736";"Základní desky / CPU / chladič";</v>
      </c>
      <c r="AO336" s="39" t="str">
        <f>IF(getCategoryLevelAsString($B336)="L0D_324785","",IF(V336="",CONCATENATE(";",EscStr(CONCATENATE("NavNode_",getCategoryLevelAsString($B336))),";",EscStr($J336),";"),CONCATENATE(";",EscStr(CONCATENATE("NavNode_",getCategoryLevelAsString($B336))),";",EscStr(V336),";")))</f>
        <v>;"NavNode_L3D_542736";"Placa de baza / CPU / radiator răcire";</v>
      </c>
      <c r="AP336" s="39" t="str">
        <f>IF(getCategoryLevelAsString($B336)="L0D_324785","",IF(W336="",CONCATENATE(";",EscStr(CONCATENATE("NavNode_",getCategoryLevelAsString($B336))),";",EscStr($J336),";"),CONCATENATE(";",EscStr(CONCATENATE("NavNode_",getCategoryLevelAsString($B336))),";",EscStr(W336),";")))</f>
        <v>;"NavNode_L3D_542736";"Alaplap / CPU / Hűtő";</v>
      </c>
      <c r="AQ336" s="39" t="str">
        <f>IF(getCategoryLevelAsString($B336)="L0D_324785","",IF(X336="",CONCATENATE(";",EscStr(CONCATENATE("NavNode_",getCategoryLevelAsString($B336))),";",EscStr($J336),";"),CONCATENATE(";",EscStr(CONCATENATE("NavNode_",getCategoryLevelAsString($B336))),";",EscStr(X336),";")))</f>
        <v>;"NavNode_L3D_542736";"Základné dosky / CPU / chladič";</v>
      </c>
      <c r="AR336" s="39" t="str">
        <f>IF(OR($A336&lt;&gt;"", $G336=""),"",CONCATENATE(";",EscStr(CONCATENATE("NavEntry_",getCategoryLevelAsString($B336))),";",EscStr(CONCATENATE($J336," Navigation Entry")),";",EscStr(CONCATENATE("cat-",getCategoryLevelAsString($B336))),";",EscStr(CONCATENATE("NavNode_",getCategoryLevelAsString($B336))),";"))</f>
        <v>;"NavEntry_L3D_542736";"Mainboards / CPU / Cooler Navigation Entry";"cat-L3D_542736";"NavNode_L3D_542736";</v>
      </c>
    </row>
    <row r="337" spans="1:44" s="34" customFormat="1" ht="15" x14ac:dyDescent="0.25">
      <c r="A337" s="25"/>
      <c r="B337" s="5"/>
      <c r="C337" s="5"/>
      <c r="D337" s="5" t="s">
        <v>630</v>
      </c>
      <c r="E337" s="5"/>
      <c r="F337" s="5"/>
      <c r="G337" s="5" t="s">
        <v>951</v>
      </c>
      <c r="H337" s="5" t="s">
        <v>754</v>
      </c>
      <c r="I337" s="5" t="s">
        <v>680</v>
      </c>
      <c r="J337" s="5" t="s">
        <v>854</v>
      </c>
      <c r="K337" s="5" t="s">
        <v>1385</v>
      </c>
      <c r="L337" s="5" t="s">
        <v>1621</v>
      </c>
      <c r="M337" s="5" t="s">
        <v>1823</v>
      </c>
      <c r="N337" s="5" t="s">
        <v>2040</v>
      </c>
      <c r="O337" s="5" t="s">
        <v>4224</v>
      </c>
      <c r="P337" s="5" t="s">
        <v>4225</v>
      </c>
      <c r="Q337" s="5" t="s">
        <v>4226</v>
      </c>
      <c r="R337" s="5" t="s">
        <v>4227</v>
      </c>
      <c r="S337" s="5" t="s">
        <v>4228</v>
      </c>
      <c r="T337" s="5" t="s">
        <v>4229</v>
      </c>
      <c r="U337" s="5" t="s">
        <v>4230</v>
      </c>
      <c r="V337" s="5" t="s">
        <v>4231</v>
      </c>
      <c r="W337" s="5" t="s">
        <v>4232</v>
      </c>
      <c r="X337" s="5" t="s">
        <v>15022</v>
      </c>
      <c r="Y337" s="39" t="str">
        <f>IF(OR($A337&lt;&gt;"", $G337=""),"",CONCATENATE(";",EscStr(CONCATENATE("NavNode_",getCategoryLevelAsString($B337))),";",EscStr($J337),";",IF($B337&lt;&gt;"","""MainCategoryNavNode""",EscStr(CONCATENATE("NavNode_",getSuperCategory($B337, getCategoryLevelAsNumber($B337))))),";"))</f>
        <v>;"NavNode_L3D_542738";"Expansion cards";"NavNode_L2D_542662";</v>
      </c>
      <c r="Z337" s="39" t="str">
        <f>IF(getCategoryLevelAsString($B337)="L0D_324785","",IF(G337="",CONCATENATE(";",EscStr(CONCATENATE("NavNode_",getCategoryLevelAsString($B337))),";",EscStr($J337),";"),CONCATENATE(";",EscStr(CONCATENATE("NavNode_",getCategoryLevelAsString($B337))),";",EscStr(G337),";")))</f>
        <v>;"NavNode_L3D_542738";"Erweiterungskarten";</v>
      </c>
      <c r="AA337" s="39" t="str">
        <f>IF(getCategoryLevelAsString($B337)="L0D_324785","",IF(H337="",CONCATENATE(";",EscStr(CONCATENATE("NavNode_",getCategoryLevelAsString($B337))),";",EscStr($J337),";"),CONCATENATE(";",EscStr(CONCATENATE("NavNode_",getCategoryLevelAsString($B337))),";",EscStr(H337),";")))</f>
        <v>;"NavNode_L3D_542738";"Cartes d'extension";</v>
      </c>
      <c r="AB337" s="39" t="str">
        <f>IF(getCategoryLevelAsString($B337)="L0D_324785","",IF(I337="",CONCATENATE(";",EscStr(CONCATENATE("NavNode_",getCategoryLevelAsString($B337))),";",EscStr($J337),";"),CONCATENATE(";",EscStr(CONCATENATE("NavNode_",getCategoryLevelAsString($B337))),";",EscStr(I337),";")))</f>
        <v>;"NavNode_L3D_542738";"Schede di espansione";</v>
      </c>
      <c r="AC337" s="39" t="str">
        <f>IF(getCategoryLevelAsString($B337)="L0D_324785","",IF(J337="",CONCATENATE(";",EscStr(CONCATENATE("NavNode_",getCategoryLevelAsString($B337))),";",EscStr($J337),";"),CONCATENATE(";",EscStr(CONCATENATE("NavNode_",getCategoryLevelAsString($B337))),";",EscStr(J337),";")))</f>
        <v>;"NavNode_L3D_542738";"Expansion cards";</v>
      </c>
      <c r="AD337" s="39" t="str">
        <f>IF(getCategoryLevelAsString($B337)="L0D_324785","",IF(K337="",CONCATENATE(";",EscStr(CONCATENATE("NavNode_",getCategoryLevelAsString($B337))),";",EscStr($J337),";"),CONCATENATE(";",EscStr(CONCATENATE("NavNode_",getCategoryLevelAsString($B337))),";",EscStr(K337),";")))</f>
        <v>;"NavNode_L3D_542738";"Udvidelseskort";</v>
      </c>
      <c r="AE337" s="39" t="str">
        <f>IF(getCategoryLevelAsString($B337)="L0D_324785","",IF(L337="",CONCATENATE(";",EscStr(CONCATENATE("NavNode_",getCategoryLevelAsString($B337))),";",EscStr($J337),";"),CONCATENATE(";",EscStr(CONCATENATE("NavNode_",getCategoryLevelAsString($B337))),";",EscStr(L337),";")))</f>
        <v>;"NavNode_L3D_542738";"Plėtimo plokštės";</v>
      </c>
      <c r="AF337" s="39" t="str">
        <f>IF(getCategoryLevelAsString($B337)="L0D_324785","",IF(M337="",CONCATENATE(";",EscStr(CONCATENATE("NavNode_",getCategoryLevelAsString($B337))),";",EscStr($J337),";"),CONCATENATE(";",EscStr(CONCATENATE("NavNode_",getCategoryLevelAsString($B337))),";",EscStr(M337),";")))</f>
        <v>;"NavNode_L3D_542738";"Utvidelseskort";</v>
      </c>
      <c r="AG337" s="39" t="str">
        <f>IF(getCategoryLevelAsString($B337)="L0D_324785","",IF(N337="",CONCATENATE(";",EscStr(CONCATENATE("NavNode_",getCategoryLevelAsString($B337))),";",EscStr($J337),";"),CONCATENATE(";",EscStr(CONCATENATE("NavNode_",getCategoryLevelAsString($B337))),";",EscStr(N337),";")))</f>
        <v>;"NavNode_L3D_542738";"Utbyggnadskort";</v>
      </c>
      <c r="AH337" s="39" t="str">
        <f>IF(getCategoryLevelAsString($B337)="L0D_324785","",IF(O337="",CONCATENATE(";",EscStr(CONCATENATE("NavNode_",getCategoryLevelAsString($B337))),";",EscStr($J337),";"),CONCATENATE(";",EscStr(CONCATENATE("NavNode_",getCategoryLevelAsString($B337))),";",EscStr(O337),";")))</f>
        <v>;"NavNode_L3D_542738";"Laienduskaardid";</v>
      </c>
      <c r="AI337" s="39" t="str">
        <f>IF(getCategoryLevelAsString($B337)="L0D_324785","",IF(P337="",CONCATENATE(";",EscStr(CONCATENATE("NavNode_",getCategoryLevelAsString($B337))),";",EscStr($J337),";"),CONCATENATE(";",EscStr(CONCATENATE("NavNode_",getCategoryLevelAsString($B337))),";",EscStr(P337),";")))</f>
        <v>;"NavNode_L3D_542738";"Laajennuskortit";</v>
      </c>
      <c r="AJ337" s="39" t="str">
        <f>IF(getCategoryLevelAsString($B337)="L0D_324785","",IF(Q337="",CONCATENATE(";",EscStr(CONCATENATE("NavNode_",getCategoryLevelAsString($B337))),";",EscStr($J337),";"),CONCATENATE(";",EscStr(CONCATENATE("NavNode_",getCategoryLevelAsString($B337))),";",EscStr(Q337),";")))</f>
        <v>;"NavNode_L3D_542738";"Paplašināšanas kartes";</v>
      </c>
      <c r="AK337" s="39" t="str">
        <f>IF(getCategoryLevelAsString($B337)="L0D_324785","",IF(R337="",CONCATENATE(";",EscStr(CONCATENATE("NavNode_",getCategoryLevelAsString($B337))),";",EscStr($J337),";"),CONCATENATE(";",EscStr(CONCATENATE("NavNode_",getCategoryLevelAsString($B337))),";",EscStr(R337),";")))</f>
        <v>;"NavNode_L3D_542738";"Uitbreidingskaarten";</v>
      </c>
      <c r="AL337" s="39" t="str">
        <f>IF(getCategoryLevelAsString($B337)="L0D_324785","",IF(S337="",CONCATENATE(";",EscStr(CONCATENATE("NavNode_",getCategoryLevelAsString($B337))),";",EscStr($J337),";"),CONCATENATE(";",EscStr(CONCATENATE("NavNode_",getCategoryLevelAsString($B337))),";",EscStr(S337),";")))</f>
        <v>;"NavNode_L3D_542738";"Karty rozszerzeń";</v>
      </c>
      <c r="AM337" s="39" t="str">
        <f>IF(getCategoryLevelAsString($B337)="L0D_324785","",IF(T337="",CONCATENATE(";",EscStr(CONCATENATE("NavNode_",getCategoryLevelAsString($B337))),";",EscStr($J337),";"),CONCATENATE(";",EscStr(CONCATENATE("NavNode_",getCategoryLevelAsString($B337))),";",EscStr(T337),";")))</f>
        <v>;"NavNode_L3D_542738";"Платы расширения";</v>
      </c>
      <c r="AN337" s="39" t="str">
        <f>IF(getCategoryLevelAsString($B337)="L0D_324785","",IF(U337="",CONCATENATE(";",EscStr(CONCATENATE("NavNode_",getCategoryLevelAsString($B337))),";",EscStr($J337),";"),CONCATENATE(";",EscStr(CONCATENATE("NavNode_",getCategoryLevelAsString($B337))),";",EscStr(U337),";")))</f>
        <v>;"NavNode_L3D_542738";"Rozšiřující karty";</v>
      </c>
      <c r="AO337" s="39" t="str">
        <f>IF(getCategoryLevelAsString($B337)="L0D_324785","",IF(V337="",CONCATENATE(";",EscStr(CONCATENATE("NavNode_",getCategoryLevelAsString($B337))),";",EscStr($J337),";"),CONCATENATE(";",EscStr(CONCATENATE("NavNode_",getCategoryLevelAsString($B337))),";",EscStr(V337),";")))</f>
        <v>;"NavNode_L3D_542738";"Plăci de expansiune";</v>
      </c>
      <c r="AP337" s="39" t="str">
        <f>IF(getCategoryLevelAsString($B337)="L0D_324785","",IF(W337="",CONCATENATE(";",EscStr(CONCATENATE("NavNode_",getCategoryLevelAsString($B337))),";",EscStr($J337),";"),CONCATENATE(";",EscStr(CONCATENATE("NavNode_",getCategoryLevelAsString($B337))),";",EscStr(W337),";")))</f>
        <v>;"NavNode_L3D_542738";"Bővítőkártyák";</v>
      </c>
      <c r="AQ337" s="39" t="str">
        <f>IF(getCategoryLevelAsString($B337)="L0D_324785","",IF(X337="",CONCATENATE(";",EscStr(CONCATENATE("NavNode_",getCategoryLevelAsString($B337))),";",EscStr($J337),";"),CONCATENATE(";",EscStr(CONCATENATE("NavNode_",getCategoryLevelAsString($B337))),";",EscStr(X337),";")))</f>
        <v>;"NavNode_L3D_542738";"Rozširujúce karty";</v>
      </c>
      <c r="AR337" s="39" t="str">
        <f>IF(OR($A337&lt;&gt;"", $G337=""),"",CONCATENATE(";",EscStr(CONCATENATE("NavEntry_",getCategoryLevelAsString($B337))),";",EscStr(CONCATENATE($J337," Navigation Entry")),";",EscStr(CONCATENATE("cat-",getCategoryLevelAsString($B337))),";",EscStr(CONCATENATE("NavNode_",getCategoryLevelAsString($B337))),";"))</f>
        <v>;"NavEntry_L3D_542738";"Expansion cards Navigation Entry";"cat-L3D_542738";"NavNode_L3D_542738";</v>
      </c>
    </row>
    <row r="338" spans="1:44" s="34" customFormat="1" ht="15" x14ac:dyDescent="0.25">
      <c r="A338" s="25"/>
      <c r="B338" s="5"/>
      <c r="C338" s="5"/>
      <c r="D338" s="5" t="s">
        <v>631</v>
      </c>
      <c r="E338" s="5"/>
      <c r="F338" s="5"/>
      <c r="G338" s="5" t="s">
        <v>998</v>
      </c>
      <c r="H338" s="5" t="s">
        <v>755</v>
      </c>
      <c r="I338" s="5" t="s">
        <v>681</v>
      </c>
      <c r="J338" s="5" t="s">
        <v>855</v>
      </c>
      <c r="K338" s="5" t="s">
        <v>1386</v>
      </c>
      <c r="L338" s="5" t="s">
        <v>1622</v>
      </c>
      <c r="M338" s="5" t="s">
        <v>1824</v>
      </c>
      <c r="N338" s="5" t="s">
        <v>2041</v>
      </c>
      <c r="O338" s="5" t="s">
        <v>4233</v>
      </c>
      <c r="P338" s="5" t="s">
        <v>4234</v>
      </c>
      <c r="Q338" s="5" t="s">
        <v>4235</v>
      </c>
      <c r="R338" s="5" t="s">
        <v>4236</v>
      </c>
      <c r="S338" s="5" t="s">
        <v>4237</v>
      </c>
      <c r="T338" s="5" t="s">
        <v>4238</v>
      </c>
      <c r="U338" s="5" t="s">
        <v>4239</v>
      </c>
      <c r="V338" s="5" t="s">
        <v>4240</v>
      </c>
      <c r="W338" s="5" t="s">
        <v>4241</v>
      </c>
      <c r="X338" s="5" t="s">
        <v>15023</v>
      </c>
      <c r="Y338" s="39" t="str">
        <f>IF(OR($A338&lt;&gt;"", $G338=""),"",CONCATENATE(";",EscStr(CONCATENATE("NavNode_",getCategoryLevelAsString($B338))),";",EscStr($J338),";",IF($B338&lt;&gt;"","""MainCategoryNavNode""",EscStr(CONCATENATE("NavNode_",getSuperCategory($B338, getCategoryLevelAsNumber($B338))))),";"))</f>
        <v>;"NavNode_L3D_542740";"PC cases / Accessories";"NavNode_L2D_542662";</v>
      </c>
      <c r="Z338" s="39" t="str">
        <f>IF(getCategoryLevelAsString($B338)="L0D_324785","",IF(G338="",CONCATENATE(";",EscStr(CONCATENATE("NavNode_",getCategoryLevelAsString($B338))),";",EscStr($J338),";"),CONCATENATE(";",EscStr(CONCATENATE("NavNode_",getCategoryLevelAsString($B338))),";",EscStr(G338),";")))</f>
        <v>;"NavNode_L3D_542740";"PC-Gehäuse / Zubehör";</v>
      </c>
      <c r="AA338" s="39" t="str">
        <f>IF(getCategoryLevelAsString($B338)="L0D_324785","",IF(H338="",CONCATENATE(";",EscStr(CONCATENATE("NavNode_",getCategoryLevelAsString($B338))),";",EscStr($J338),";"),CONCATENATE(";",EscStr(CONCATENATE("NavNode_",getCategoryLevelAsString($B338))),";",EscStr(H338),";")))</f>
        <v>;"NavNode_L3D_542740";"Sacoches / accessoires pour PC";</v>
      </c>
      <c r="AB338" s="39" t="str">
        <f>IF(getCategoryLevelAsString($B338)="L0D_324785","",IF(I338="",CONCATENATE(";",EscStr(CONCATENATE("NavNode_",getCategoryLevelAsString($B338))),";",EscStr($J338),";"),CONCATENATE(";",EscStr(CONCATENATE("NavNode_",getCategoryLevelAsString($B338))),";",EscStr(I338),";")))</f>
        <v>;"NavNode_L3D_542740";"Case PC / accessori";</v>
      </c>
      <c r="AC338" s="39" t="str">
        <f>IF(getCategoryLevelAsString($B338)="L0D_324785","",IF(J338="",CONCATENATE(";",EscStr(CONCATENATE("NavNode_",getCategoryLevelAsString($B338))),";",EscStr($J338),";"),CONCATENATE(";",EscStr(CONCATENATE("NavNode_",getCategoryLevelAsString($B338))),";",EscStr(J338),";")))</f>
        <v>;"NavNode_L3D_542740";"PC cases / Accessories";</v>
      </c>
      <c r="AD338" s="39" t="str">
        <f>IF(getCategoryLevelAsString($B338)="L0D_324785","",IF(K338="",CONCATENATE(";",EscStr(CONCATENATE("NavNode_",getCategoryLevelAsString($B338))),";",EscStr($J338),";"),CONCATENATE(";",EscStr(CONCATENATE("NavNode_",getCategoryLevelAsString($B338))),";",EscStr(K338),";")))</f>
        <v>;"NavNode_L3D_542740";"Pc-kabinetter/tilbehør";</v>
      </c>
      <c r="AE338" s="39" t="str">
        <f>IF(getCategoryLevelAsString($B338)="L0D_324785","",IF(L338="",CONCATENATE(";",EscStr(CONCATENATE("NavNode_",getCategoryLevelAsString($B338))),";",EscStr($J338),";"),CONCATENATE(";",EscStr(CONCATENATE("NavNode_",getCategoryLevelAsString($B338))),";",EscStr(L338),";")))</f>
        <v>;"NavNode_L3D_542740";"PC dėžės / Priedai";</v>
      </c>
      <c r="AF338" s="39" t="str">
        <f>IF(getCategoryLevelAsString($B338)="L0D_324785","",IF(M338="",CONCATENATE(";",EscStr(CONCATENATE("NavNode_",getCategoryLevelAsString($B338))),";",EscStr($J338),";"),CONCATENATE(";",EscStr(CONCATENATE("NavNode_",getCategoryLevelAsString($B338))),";",EscStr(M338),";")))</f>
        <v>;"NavNode_L3D_542740";"PC-kabinetter/tilbehør";</v>
      </c>
      <c r="AG338" s="39" t="str">
        <f>IF(getCategoryLevelAsString($B338)="L0D_324785","",IF(N338="",CONCATENATE(";",EscStr(CONCATENATE("NavNode_",getCategoryLevelAsString($B338))),";",EscStr($J338),";"),CONCATENATE(";",EscStr(CONCATENATE("NavNode_",getCategoryLevelAsString($B338))),";",EscStr(N338),";")))</f>
        <v>;"NavNode_L3D_542740";"Datorchassin/Tillbehör";</v>
      </c>
      <c r="AH338" s="39" t="str">
        <f>IF(getCategoryLevelAsString($B338)="L0D_324785","",IF(O338="",CONCATENATE(";",EscStr(CONCATENATE("NavNode_",getCategoryLevelAsString($B338))),";",EscStr($J338),";"),CONCATENATE(";",EscStr(CONCATENATE("NavNode_",getCategoryLevelAsString($B338))),";",EscStr(O338),";")))</f>
        <v>;"NavNode_L3D_542740";"Lauaarvuti korpused / Tarvikud";</v>
      </c>
      <c r="AI338" s="39" t="str">
        <f>IF(getCategoryLevelAsString($B338)="L0D_324785","",IF(P338="",CONCATENATE(";",EscStr(CONCATENATE("NavNode_",getCategoryLevelAsString($B338))),";",EscStr($J338),";"),CONCATENATE(";",EscStr(CONCATENATE("NavNode_",getCategoryLevelAsString($B338))),";",EscStr(P338),";")))</f>
        <v>;"NavNode_L3D_542740";"PC-kotelot/Tarvikkeet";</v>
      </c>
      <c r="AJ338" s="39" t="str">
        <f>IF(getCategoryLevelAsString($B338)="L0D_324785","",IF(Q338="",CONCATENATE(";",EscStr(CONCATENATE("NavNode_",getCategoryLevelAsString($B338))),";",EscStr($J338),";"),CONCATENATE(";",EscStr(CONCATENATE("NavNode_",getCategoryLevelAsString($B338))),";",EscStr(Q338),";")))</f>
        <v>;"NavNode_L3D_542740";"Datoru korpusi / piederumi";</v>
      </c>
      <c r="AK338" s="39" t="str">
        <f>IF(getCategoryLevelAsString($B338)="L0D_324785","",IF(R338="",CONCATENATE(";",EscStr(CONCATENATE("NavNode_",getCategoryLevelAsString($B338))),";",EscStr($J338),";"),CONCATENATE(";",EscStr(CONCATENATE("NavNode_",getCategoryLevelAsString($B338))),";",EscStr(R338),";")))</f>
        <v>;"NavNode_L3D_542740";"PC behuizingen / accessoires";</v>
      </c>
      <c r="AL338" s="39" t="str">
        <f>IF(getCategoryLevelAsString($B338)="L0D_324785","",IF(S338="",CONCATENATE(";",EscStr(CONCATENATE("NavNode_",getCategoryLevelAsString($B338))),";",EscStr($J338),";"),CONCATENATE(";",EscStr(CONCATENATE("NavNode_",getCategoryLevelAsString($B338))),";",EscStr(S338),";")))</f>
        <v>;"NavNode_L3D_542740";"Obudowy PC / Akcesoria";</v>
      </c>
      <c r="AM338" s="39" t="str">
        <f>IF(getCategoryLevelAsString($B338)="L0D_324785","",IF(T338="",CONCATENATE(";",EscStr(CONCATENATE("NavNode_",getCategoryLevelAsString($B338))),";",EscStr($J338),";"),CONCATENATE(";",EscStr(CONCATENATE("NavNode_",getCategoryLevelAsString($B338))),";",EscStr(T338),";")))</f>
        <v>;"NavNode_L3D_542740";"PC Кейсы / Аксессуары";</v>
      </c>
      <c r="AN338" s="39" t="str">
        <f>IF(getCategoryLevelAsString($B338)="L0D_324785","",IF(U338="",CONCATENATE(";",EscStr(CONCATENATE("NavNode_",getCategoryLevelAsString($B338))),";",EscStr($J338),";"),CONCATENATE(";",EscStr(CONCATENATE("NavNode_",getCategoryLevelAsString($B338))),";",EscStr(U338),";")))</f>
        <v>;"NavNode_L3D_542740";"Počítačové skříně / příslušenství";</v>
      </c>
      <c r="AO338" s="39" t="str">
        <f>IF(getCategoryLevelAsString($B338)="L0D_324785","",IF(V338="",CONCATENATE(";",EscStr(CONCATENATE("NavNode_",getCategoryLevelAsString($B338))),";",EscStr($J338),";"),CONCATENATE(";",EscStr(CONCATENATE("NavNode_",getCategoryLevelAsString($B338))),";",EscStr(V338),";")))</f>
        <v>;"NavNode_L3D_542740";"Carcase PC / accesorii";</v>
      </c>
      <c r="AP338" s="39" t="str">
        <f>IF(getCategoryLevelAsString($B338)="L0D_324785","",IF(W338="",CONCATENATE(";",EscStr(CONCATENATE("NavNode_",getCategoryLevelAsString($B338))),";",EscStr($J338),";"),CONCATENATE(";",EscStr(CONCATENATE("NavNode_",getCategoryLevelAsString($B338))),";",EscStr(W338),";")))</f>
        <v>;"NavNode_L3D_542740";"Számítógépház / Tartozék";</v>
      </c>
      <c r="AQ338" s="39" t="str">
        <f>IF(getCategoryLevelAsString($B338)="L0D_324785","",IF(X338="",CONCATENATE(";",EscStr(CONCATENATE("NavNode_",getCategoryLevelAsString($B338))),";",EscStr($J338),";"),CONCATENATE(";",EscStr(CONCATENATE("NavNode_",getCategoryLevelAsString($B338))),";",EscStr(X338),";")))</f>
        <v>;"NavNode_L3D_542740";"Počítačové skrine / príslušenstvo";</v>
      </c>
      <c r="AR338" s="39" t="str">
        <f>IF(OR($A338&lt;&gt;"", $G338=""),"",CONCATENATE(";",EscStr(CONCATENATE("NavEntry_",getCategoryLevelAsString($B338))),";",EscStr(CONCATENATE($J338," Navigation Entry")),";",EscStr(CONCATENATE("cat-",getCategoryLevelAsString($B338))),";",EscStr(CONCATENATE("NavNode_",getCategoryLevelAsString($B338))),";"))</f>
        <v>;"NavEntry_L3D_542740";"PC cases / Accessories Navigation Entry";"cat-L3D_542740";"NavNode_L3D_542740";</v>
      </c>
    </row>
    <row r="339" spans="1:44" s="34" customFormat="1" ht="15" x14ac:dyDescent="0.25">
      <c r="A339" s="25"/>
      <c r="B339" s="5"/>
      <c r="C339" s="5" t="s">
        <v>603</v>
      </c>
      <c r="D339" s="5"/>
      <c r="E339" s="5"/>
      <c r="F339" s="5"/>
      <c r="G339" s="5" t="s">
        <v>946</v>
      </c>
      <c r="H339" s="5" t="s">
        <v>771</v>
      </c>
      <c r="I339" s="5" t="s">
        <v>662</v>
      </c>
      <c r="J339" s="5" t="s">
        <v>872</v>
      </c>
      <c r="K339" s="5" t="s">
        <v>1403</v>
      </c>
      <c r="L339" s="5" t="s">
        <v>1639</v>
      </c>
      <c r="M339" s="5" t="s">
        <v>1841</v>
      </c>
      <c r="N339" s="5" t="s">
        <v>2058</v>
      </c>
      <c r="O339" s="5" t="s">
        <v>4379</v>
      </c>
      <c r="P339" s="5" t="s">
        <v>4380</v>
      </c>
      <c r="Q339" s="5" t="s">
        <v>4381</v>
      </c>
      <c r="R339" s="5" t="s">
        <v>872</v>
      </c>
      <c r="S339" s="5" t="s">
        <v>4382</v>
      </c>
      <c r="T339" s="5" t="s">
        <v>4383</v>
      </c>
      <c r="U339" s="5" t="s">
        <v>4384</v>
      </c>
      <c r="V339" s="5" t="s">
        <v>4385</v>
      </c>
      <c r="W339" s="5" t="s">
        <v>4386</v>
      </c>
      <c r="X339" s="5" t="s">
        <v>15024</v>
      </c>
      <c r="Y339" s="39" t="str">
        <f>IF(OR($A339&lt;&gt;"", $G339=""),"",CONCATENATE(";",EscStr(CONCATENATE("NavNode_",getCategoryLevelAsString($B339))),";",EscStr($J339),";",IF($B339&lt;&gt;"","""MainCategoryNavNode""",EscStr(CONCATENATE("NavNode_",getSuperCategory($B339, getCategoryLevelAsNumber($B339))))),";"))</f>
        <v>;"NavNode_L2D_542983";"Printers &amp; Supplies";"NavNode_Computing / Office";</v>
      </c>
      <c r="Z339" s="39" t="str">
        <f>IF(getCategoryLevelAsString($B339)="L0D_324785","",IF(G339="",CONCATENATE(";",EscStr(CONCATENATE("NavNode_",getCategoryLevelAsString($B339))),";",EscStr($J339),";"),CONCATENATE(";",EscStr(CONCATENATE("NavNode_",getCategoryLevelAsString($B339))),";",EscStr(G339),";")))</f>
        <v>;"NavNode_L2D_542983";"Drucker und Verbrauchsmaterial";</v>
      </c>
      <c r="AA339" s="39" t="str">
        <f>IF(getCategoryLevelAsString($B339)="L0D_324785","",IF(H339="",CONCATENATE(";",EscStr(CONCATENATE("NavNode_",getCategoryLevelAsString($B339))),";",EscStr($J339),";"),CONCATENATE(";",EscStr(CONCATENATE("NavNode_",getCategoryLevelAsString($B339))),";",EscStr(H339),";")))</f>
        <v>;"NavNode_L2D_542983";"Imprimantes et consommables";</v>
      </c>
      <c r="AB339" s="39" t="str">
        <f>IF(getCategoryLevelAsString($B339)="L0D_324785","",IF(I339="",CONCATENATE(";",EscStr(CONCATENATE("NavNode_",getCategoryLevelAsString($B339))),";",EscStr($J339),";"),CONCATENATE(";",EscStr(CONCATENATE("NavNode_",getCategoryLevelAsString($B339))),";",EscStr(I339),";")))</f>
        <v>;"NavNode_L2D_542983";"Stampanti e materiali di consumo";</v>
      </c>
      <c r="AC339" s="39" t="str">
        <f>IF(getCategoryLevelAsString($B339)="L0D_324785","",IF(J339="",CONCATENATE(";",EscStr(CONCATENATE("NavNode_",getCategoryLevelAsString($B339))),";",EscStr($J339),";"),CONCATENATE(";",EscStr(CONCATENATE("NavNode_",getCategoryLevelAsString($B339))),";",EscStr(J339),";")))</f>
        <v>;"NavNode_L2D_542983";"Printers &amp; Supplies";</v>
      </c>
      <c r="AD339" s="39" t="str">
        <f>IF(getCategoryLevelAsString($B339)="L0D_324785","",IF(K339="",CONCATENATE(";",EscStr(CONCATENATE("NavNode_",getCategoryLevelAsString($B339))),";",EscStr($J339),";"),CONCATENATE(";",EscStr(CONCATENATE("NavNode_",getCategoryLevelAsString($B339))),";",EscStr(K339),";")))</f>
        <v>;"NavNode_L2D_542983";"Printere &amp; og forsyninger";</v>
      </c>
      <c r="AE339" s="39" t="str">
        <f>IF(getCategoryLevelAsString($B339)="L0D_324785","",IF(L339="",CONCATENATE(";",EscStr(CONCATENATE("NavNode_",getCategoryLevelAsString($B339))),";",EscStr($J339),";"),CONCATENATE(";",EscStr(CONCATENATE("NavNode_",getCategoryLevelAsString($B339))),";",EscStr(L339),";")))</f>
        <v>;"NavNode_L2D_542983";"Spausdintuvai ir medžiagos";</v>
      </c>
      <c r="AF339" s="39" t="str">
        <f>IF(getCategoryLevelAsString($B339)="L0D_324785","",IF(M339="",CONCATENATE(";",EscStr(CONCATENATE("NavNode_",getCategoryLevelAsString($B339))),";",EscStr($J339),";"),CONCATENATE(";",EscStr(CONCATENATE("NavNode_",getCategoryLevelAsString($B339))),";",EscStr(M339),";")))</f>
        <v>;"NavNode_L2D_542983";"Skrivere og tilbehør";</v>
      </c>
      <c r="AG339" s="39" t="str">
        <f>IF(getCategoryLevelAsString($B339)="L0D_324785","",IF(N339="",CONCATENATE(";",EscStr(CONCATENATE("NavNode_",getCategoryLevelAsString($B339))),";",EscStr($J339),";"),CONCATENATE(";",EscStr(CONCATENATE("NavNode_",getCategoryLevelAsString($B339))),";",EscStr(N339),";")))</f>
        <v>;"NavNode_L2D_542983";"Skrivare och tillbehör";</v>
      </c>
      <c r="AH339" s="39" t="str">
        <f>IF(getCategoryLevelAsString($B339)="L0D_324785","",IF(O339="",CONCATENATE(";",EscStr(CONCATENATE("NavNode_",getCategoryLevelAsString($B339))),";",EscStr($J339),";"),CONCATENATE(";",EscStr(CONCATENATE("NavNode_",getCategoryLevelAsString($B339))),";",EscStr(O339),";")))</f>
        <v>;"NavNode_L2D_542983";"Printerid ja tarvikud";</v>
      </c>
      <c r="AI339" s="39" t="str">
        <f>IF(getCategoryLevelAsString($B339)="L0D_324785","",IF(P339="",CONCATENATE(";",EscStr(CONCATENATE("NavNode_",getCategoryLevelAsString($B339))),";",EscStr($J339),";"),CONCATENATE(";",EscStr(CONCATENATE("NavNode_",getCategoryLevelAsString($B339))),";",EscStr(P339),";")))</f>
        <v>;"NavNode_L2D_542983";"Kirjoittimet&amp; tarvikkeet";</v>
      </c>
      <c r="AJ339" s="39" t="str">
        <f>IF(getCategoryLevelAsString($B339)="L0D_324785","",IF(Q339="",CONCATENATE(";",EscStr(CONCATENATE("NavNode_",getCategoryLevelAsString($B339))),";",EscStr($J339),";"),CONCATENATE(";",EscStr(CONCATENATE("NavNode_",getCategoryLevelAsString($B339))),";",EscStr(Q339),";")))</f>
        <v>;"NavNode_L2D_542983";"Printeri un printeru materiāli";</v>
      </c>
      <c r="AK339" s="39" t="str">
        <f>IF(getCategoryLevelAsString($B339)="L0D_324785","",IF(R339="",CONCATENATE(";",EscStr(CONCATENATE("NavNode_",getCategoryLevelAsString($B339))),";",EscStr($J339),";"),CONCATENATE(";",EscStr(CONCATENATE("NavNode_",getCategoryLevelAsString($B339))),";",EscStr(R339),";")))</f>
        <v>;"NavNode_L2D_542983";"Printers &amp; Supplies";</v>
      </c>
      <c r="AL339" s="39" t="str">
        <f>IF(getCategoryLevelAsString($B339)="L0D_324785","",IF(S339="",CONCATENATE(";",EscStr(CONCATENATE("NavNode_",getCategoryLevelAsString($B339))),";",EscStr($J339),";"),CONCATENATE(";",EscStr(CONCATENATE("NavNode_",getCategoryLevelAsString($B339))),";",EscStr(S339),";")))</f>
        <v>;"NavNode_L2D_542983";"Drukarki i Wyposażenie";</v>
      </c>
      <c r="AM339" s="39" t="str">
        <f>IF(getCategoryLevelAsString($B339)="L0D_324785","",IF(T339="",CONCATENATE(";",EscStr(CONCATENATE("NavNode_",getCategoryLevelAsString($B339))),";",EscStr($J339),";"),CONCATENATE(";",EscStr(CONCATENATE("NavNode_",getCategoryLevelAsString($B339))),";",EscStr(T339),";")))</f>
        <v>;"NavNode_L2D_542983";"Принтеры и материалы для принтера";</v>
      </c>
      <c r="AN339" s="39" t="str">
        <f>IF(getCategoryLevelAsString($B339)="L0D_324785","",IF(U339="",CONCATENATE(";",EscStr(CONCATENATE("NavNode_",getCategoryLevelAsString($B339))),";",EscStr($J339),";"),CONCATENATE(";",EscStr(CONCATENATE("NavNode_",getCategoryLevelAsString($B339))),";",EscStr(U339),";")))</f>
        <v>;"NavNode_L2D_542983";"Tiskárny a spotřební materiál";</v>
      </c>
      <c r="AO339" s="39" t="str">
        <f>IF(getCategoryLevelAsString($B339)="L0D_324785","",IF(V339="",CONCATENATE(";",EscStr(CONCATENATE("NavNode_",getCategoryLevelAsString($B339))),";",EscStr($J339),";"),CONCATENATE(";",EscStr(CONCATENATE("NavNode_",getCategoryLevelAsString($B339))),";",EscStr(V339),";")))</f>
        <v>;"NavNode_L2D_542983";"Imprimante şi consumabile";</v>
      </c>
      <c r="AP339" s="39" t="str">
        <f>IF(getCategoryLevelAsString($B339)="L0D_324785","",IF(W339="",CONCATENATE(";",EscStr(CONCATENATE("NavNode_",getCategoryLevelAsString($B339))),";",EscStr($J339),";"),CONCATENATE(";",EscStr(CONCATENATE("NavNode_",getCategoryLevelAsString($B339))),";",EscStr(W339),";")))</f>
        <v>;"NavNode_L2D_542983";"Nyomtató és tartozékai";</v>
      </c>
      <c r="AQ339" s="39" t="str">
        <f>IF(getCategoryLevelAsString($B339)="L0D_324785","",IF(X339="",CONCATENATE(";",EscStr(CONCATENATE("NavNode_",getCategoryLevelAsString($B339))),";",EscStr($J339),";"),CONCATENATE(";",EscStr(CONCATENATE("NavNode_",getCategoryLevelAsString($B339))),";",EscStr(X339),";")))</f>
        <v>;"NavNode_L2D_542983";"Tlačiarne a spotrebný materiál";</v>
      </c>
      <c r="AR339" s="39" t="str">
        <f>IF(OR($A339&lt;&gt;"", $G339=""),"",CONCATENATE(";",EscStr(CONCATENATE("NavEntry_",getCategoryLevelAsString($B339))),";",EscStr(CONCATENATE($J339," Navigation Entry")),";",EscStr(CONCATENATE("cat-",getCategoryLevelAsString($B339))),";",EscStr(CONCATENATE("NavNode_",getCategoryLevelAsString($B339))),";"))</f>
        <v>;"NavEntry_L2D_542983";"Printers &amp; Supplies Navigation Entry";"cat-L2D_542983";"NavNode_L2D_542983";</v>
      </c>
    </row>
    <row r="340" spans="1:44" s="34" customFormat="1" ht="15" x14ac:dyDescent="0.25">
      <c r="A340" s="25"/>
      <c r="B340" s="5"/>
      <c r="C340" s="5"/>
      <c r="D340" s="5" t="s">
        <v>604</v>
      </c>
      <c r="E340" s="5"/>
      <c r="F340" s="5"/>
      <c r="G340" s="5" t="s">
        <v>1012</v>
      </c>
      <c r="H340" s="5" t="s">
        <v>772</v>
      </c>
      <c r="I340" s="5" t="s">
        <v>663</v>
      </c>
      <c r="J340" s="5" t="s">
        <v>873</v>
      </c>
      <c r="K340" s="5" t="s">
        <v>1404</v>
      </c>
      <c r="L340" s="5" t="s">
        <v>15235</v>
      </c>
      <c r="M340" s="5" t="s">
        <v>1842</v>
      </c>
      <c r="N340" s="5" t="s">
        <v>2059</v>
      </c>
      <c r="O340" s="5" t="s">
        <v>4387</v>
      </c>
      <c r="P340" s="5" t="s">
        <v>4388</v>
      </c>
      <c r="Q340" s="5" t="s">
        <v>4389</v>
      </c>
      <c r="R340" s="5" t="s">
        <v>4390</v>
      </c>
      <c r="S340" s="5" t="s">
        <v>4391</v>
      </c>
      <c r="T340" s="5" t="s">
        <v>4392</v>
      </c>
      <c r="U340" s="5" t="s">
        <v>4393</v>
      </c>
      <c r="V340" s="5" t="s">
        <v>4394</v>
      </c>
      <c r="W340" s="5" t="s">
        <v>4395</v>
      </c>
      <c r="X340" s="5" t="s">
        <v>15025</v>
      </c>
      <c r="Y340" s="39" t="str">
        <f>IF(OR($A340&lt;&gt;"", $G340=""),"",CONCATENATE(";",EscStr(CONCATENATE("NavNode_",getCategoryLevelAsString($B340))),";",EscStr($J340),";",IF($B340&lt;&gt;"","""MainCategoryNavNode""",EscStr(CONCATENATE("NavNode_",getSuperCategory($B340, getCategoryLevelAsNumber($B340))))),";"))</f>
        <v>;"NavNode_L3D_543028";"Printers / Multifunctional printers";"NavNode_L2D_542983";</v>
      </c>
      <c r="Z340" s="39" t="str">
        <f>IF(getCategoryLevelAsString($B340)="L0D_324785","",IF(G340="",CONCATENATE(";",EscStr(CONCATENATE("NavNode_",getCategoryLevelAsString($B340))),";",EscStr($J340),";"),CONCATENATE(";",EscStr(CONCATENATE("NavNode_",getCategoryLevelAsString($B340))),";",EscStr(G340),";")))</f>
        <v>;"NavNode_L3D_543028";"Drucker / Multifunktionsdrucker";</v>
      </c>
      <c r="AA340" s="39" t="str">
        <f>IF(getCategoryLevelAsString($B340)="L0D_324785","",IF(H340="",CONCATENATE(";",EscStr(CONCATENATE("NavNode_",getCategoryLevelAsString($B340))),";",EscStr($J340),";"),CONCATENATE(";",EscStr(CONCATENATE("NavNode_",getCategoryLevelAsString($B340))),";",EscStr(H340),";")))</f>
        <v>;"NavNode_L3D_543028";"Imprimantes / Imprimantes multifonction";</v>
      </c>
      <c r="AB340" s="39" t="str">
        <f>IF(getCategoryLevelAsString($B340)="L0D_324785","",IF(I340="",CONCATENATE(";",EscStr(CONCATENATE("NavNode_",getCategoryLevelAsString($B340))),";",EscStr($J340),";"),CONCATENATE(";",EscStr(CONCATENATE("NavNode_",getCategoryLevelAsString($B340))),";",EscStr(I340),";")))</f>
        <v>;"NavNode_L3D_543028";"Stampanti / stampanti multifunzione";</v>
      </c>
      <c r="AC340" s="39" t="str">
        <f>IF(getCategoryLevelAsString($B340)="L0D_324785","",IF(J340="",CONCATENATE(";",EscStr(CONCATENATE("NavNode_",getCategoryLevelAsString($B340))),";",EscStr($J340),";"),CONCATENATE(";",EscStr(CONCATENATE("NavNode_",getCategoryLevelAsString($B340))),";",EscStr(J340),";")))</f>
        <v>;"NavNode_L3D_543028";"Printers / Multifunctional printers";</v>
      </c>
      <c r="AD340" s="39" t="str">
        <f>IF(getCategoryLevelAsString($B340)="L0D_324785","",IF(K340="",CONCATENATE(";",EscStr(CONCATENATE("NavNode_",getCategoryLevelAsString($B340))),";",EscStr($J340),";"),CONCATENATE(";",EscStr(CONCATENATE("NavNode_",getCategoryLevelAsString($B340))),";",EscStr(K340),";")))</f>
        <v>;"NavNode_L3D_543028";"Printere/multifunktionelle printere";</v>
      </c>
      <c r="AE340" s="39" t="str">
        <f>IF(getCategoryLevelAsString($B340)="L0D_324785","",IF(L340="",CONCATENATE(";",EscStr(CONCATENATE("NavNode_",getCategoryLevelAsString($B340))),";",EscStr($J340),";"),CONCATENATE(";",EscStr(CONCATENATE("NavNode_",getCategoryLevelAsString($B340))),";",EscStr(L340),";")))</f>
        <v>;"NavNode_L3D_543028";"Spausdintuvai / Daugiafunkciai spausdintuvai";</v>
      </c>
      <c r="AF340" s="39" t="str">
        <f>IF(getCategoryLevelAsString($B340)="L0D_324785","",IF(M340="",CONCATENATE(";",EscStr(CONCATENATE("NavNode_",getCategoryLevelAsString($B340))),";",EscStr($J340),";"),CONCATENATE(";",EscStr(CONCATENATE("NavNode_",getCategoryLevelAsString($B340))),";",EscStr(M340),";")))</f>
        <v>;"NavNode_L3D_543028";"Skrivere/multifunksjonsskrivere";</v>
      </c>
      <c r="AG340" s="39" t="str">
        <f>IF(getCategoryLevelAsString($B340)="L0D_324785","",IF(N340="",CONCATENATE(";",EscStr(CONCATENATE("NavNode_",getCategoryLevelAsString($B340))),";",EscStr($J340),";"),CONCATENATE(";",EscStr(CONCATENATE("NavNode_",getCategoryLevelAsString($B340))),";",EscStr(N340),";")))</f>
        <v>;"NavNode_L3D_543028";"Skrivare/Multifunktionsskrivare";</v>
      </c>
      <c r="AH340" s="39" t="str">
        <f>IF(getCategoryLevelAsString($B340)="L0D_324785","",IF(O340="",CONCATENATE(";",EscStr(CONCATENATE("NavNode_",getCategoryLevelAsString($B340))),";",EscStr($J340),";"),CONCATENATE(";",EscStr(CONCATENATE("NavNode_",getCategoryLevelAsString($B340))),";",EscStr(O340),";")))</f>
        <v>;"NavNode_L3D_543028";"Printerid / Multifunktsionaalsed printerid";</v>
      </c>
      <c r="AI340" s="39" t="str">
        <f>IF(getCategoryLevelAsString($B340)="L0D_324785","",IF(P340="",CONCATENATE(";",EscStr(CONCATENATE("NavNode_",getCategoryLevelAsString($B340))),";",EscStr($J340),";"),CONCATENATE(";",EscStr(CONCATENATE("NavNode_",getCategoryLevelAsString($B340))),";",EscStr(P340),";")))</f>
        <v>;"NavNode_L3D_543028";"Printterit/ monitoimi";</v>
      </c>
      <c r="AJ340" s="39" t="str">
        <f>IF(getCategoryLevelAsString($B340)="L0D_324785","",IF(Q340="",CONCATENATE(";",EscStr(CONCATENATE("NavNode_",getCategoryLevelAsString($B340))),";",EscStr($J340),";"),CONCATENATE(";",EscStr(CONCATENATE("NavNode_",getCategoryLevelAsString($B340))),";",EscStr(Q340),";")))</f>
        <v>;"NavNode_L3D_543028";"Printeri / Multifunkcionālie printeri";</v>
      </c>
      <c r="AK340" s="39" t="str">
        <f>IF(getCategoryLevelAsString($B340)="L0D_324785","",IF(R340="",CONCATENATE(";",EscStr(CONCATENATE("NavNode_",getCategoryLevelAsString($B340))),";",EscStr($J340),";"),CONCATENATE(";",EscStr(CONCATENATE("NavNode_",getCategoryLevelAsString($B340))),";",EscStr(R340),";")))</f>
        <v>;"NavNode_L3D_543028";"Printers / Multifunctionele printers";</v>
      </c>
      <c r="AL340" s="39" t="str">
        <f>IF(getCategoryLevelAsString($B340)="L0D_324785","",IF(S340="",CONCATENATE(";",EscStr(CONCATENATE("NavNode_",getCategoryLevelAsString($B340))),";",EscStr($J340),";"),CONCATENATE(";",EscStr(CONCATENATE("NavNode_",getCategoryLevelAsString($B340))),";",EscStr(S340),";")))</f>
        <v>;"NavNode_L3D_543028";"Drukarki / Urządzenia wielofunkcyjne";</v>
      </c>
      <c r="AM340" s="39" t="str">
        <f>IF(getCategoryLevelAsString($B340)="L0D_324785","",IF(T340="",CONCATENATE(";",EscStr(CONCATENATE("NavNode_",getCategoryLevelAsString($B340))),";",EscStr($J340),";"),CONCATENATE(";",EscStr(CONCATENATE("NavNode_",getCategoryLevelAsString($B340))),";",EscStr(T340),";")))</f>
        <v>;"NavNode_L3D_543028";"Принтеры / Многофункциональные устройства";</v>
      </c>
      <c r="AN340" s="39" t="str">
        <f>IF(getCategoryLevelAsString($B340)="L0D_324785","",IF(U340="",CONCATENATE(";",EscStr(CONCATENATE("NavNode_",getCategoryLevelAsString($B340))),";",EscStr($J340),";"),CONCATENATE(";",EscStr(CONCATENATE("NavNode_",getCategoryLevelAsString($B340))),";",EscStr(U340),";")))</f>
        <v>;"NavNode_L3D_543028";"Tiskárny / Multifunkční tiskárny";</v>
      </c>
      <c r="AO340" s="39" t="str">
        <f>IF(getCategoryLevelAsString($B340)="L0D_324785","",IF(V340="",CONCATENATE(";",EscStr(CONCATENATE("NavNode_",getCategoryLevelAsString($B340))),";",EscStr($J340),";"),CONCATENATE(";",EscStr(CONCATENATE("NavNode_",getCategoryLevelAsString($B340))),";",EscStr(V340),";")))</f>
        <v>;"NavNode_L3D_543028";"Imprimante / imprimante multifunctionale";</v>
      </c>
      <c r="AP340" s="39" t="str">
        <f>IF(getCategoryLevelAsString($B340)="L0D_324785","",IF(W340="",CONCATENATE(";",EscStr(CONCATENATE("NavNode_",getCategoryLevelAsString($B340))),";",EscStr($J340),";"),CONCATENATE(";",EscStr(CONCATENATE("NavNode_",getCategoryLevelAsString($B340))),";",EscStr(W340),";")))</f>
        <v>;"NavNode_L3D_543028";"Nyomtató / Multifunkciós nyomtató";</v>
      </c>
      <c r="AQ340" s="39" t="str">
        <f>IF(getCategoryLevelAsString($B340)="L0D_324785","",IF(X340="",CONCATENATE(";",EscStr(CONCATENATE("NavNode_",getCategoryLevelAsString($B340))),";",EscStr($J340),";"),CONCATENATE(";",EscStr(CONCATENATE("NavNode_",getCategoryLevelAsString($B340))),";",EscStr(X340),";")))</f>
        <v>;"NavNode_L3D_543028";"Tlačiarne / Multifunkčné tlačiarne";</v>
      </c>
      <c r="AR340" s="39" t="str">
        <f>IF(OR($A340&lt;&gt;"", $G340=""),"",CONCATENATE(";",EscStr(CONCATENATE("NavEntry_",getCategoryLevelAsString($B340))),";",EscStr(CONCATENATE($J340," Navigation Entry")),";",EscStr(CONCATENATE("cat-",getCategoryLevelAsString($B340))),";",EscStr(CONCATENATE("NavNode_",getCategoryLevelAsString($B340))),";"))</f>
        <v>;"NavEntry_L3D_543028";"Printers / Multifunctional printers Navigation Entry";"cat-L3D_543028";"NavNode_L3D_543028";</v>
      </c>
    </row>
    <row r="341" spans="1:44" s="34" customFormat="1" ht="15" x14ac:dyDescent="0.25">
      <c r="A341" s="25"/>
      <c r="B341" s="5"/>
      <c r="C341" s="5"/>
      <c r="D341" s="5" t="s">
        <v>605</v>
      </c>
      <c r="E341" s="5"/>
      <c r="F341" s="5"/>
      <c r="G341" s="5" t="s">
        <v>947</v>
      </c>
      <c r="H341" s="5" t="s">
        <v>773</v>
      </c>
      <c r="I341" s="5" t="s">
        <v>664</v>
      </c>
      <c r="J341" s="5" t="s">
        <v>874</v>
      </c>
      <c r="K341" s="5" t="s">
        <v>13847</v>
      </c>
      <c r="L341" s="5" t="s">
        <v>1641</v>
      </c>
      <c r="M341" s="5" t="s">
        <v>1843</v>
      </c>
      <c r="N341" s="5" t="s">
        <v>2060</v>
      </c>
      <c r="O341" s="5" t="s">
        <v>4396</v>
      </c>
      <c r="P341" s="5" t="s">
        <v>4397</v>
      </c>
      <c r="Q341" s="5" t="s">
        <v>4398</v>
      </c>
      <c r="R341" s="5" t="s">
        <v>4399</v>
      </c>
      <c r="S341" s="5" t="s">
        <v>4400</v>
      </c>
      <c r="T341" s="5" t="s">
        <v>4401</v>
      </c>
      <c r="U341" s="5" t="s">
        <v>4402</v>
      </c>
      <c r="V341" s="5" t="s">
        <v>4403</v>
      </c>
      <c r="W341" s="5" t="s">
        <v>4404</v>
      </c>
      <c r="X341" s="5" t="s">
        <v>15026</v>
      </c>
      <c r="Y341" s="39" t="str">
        <f>IF(OR($A341&lt;&gt;"", $G341=""),"",CONCATENATE(";",EscStr(CONCATENATE("NavNode_",getCategoryLevelAsString($B341))),";",EscStr($J341),";",IF($B341&lt;&gt;"","""MainCategoryNavNode""",EscStr(CONCATENATE("NavNode_",getSuperCategory($B341, getCategoryLevelAsNumber($B341))))),";"))</f>
        <v>;"NavNode_L3D_543032";"Label Printers";"NavNode_L2D_542983";</v>
      </c>
      <c r="Z341" s="39" t="str">
        <f>IF(getCategoryLevelAsString($B341)="L0D_324785","",IF(G341="",CONCATENATE(";",EscStr(CONCATENATE("NavNode_",getCategoryLevelAsString($B341))),";",EscStr($J341),";"),CONCATENATE(";",EscStr(CONCATENATE("NavNode_",getCategoryLevelAsString($B341))),";",EscStr(G341),";")))</f>
        <v>;"NavNode_L3D_543032";"Etikettendrucker";</v>
      </c>
      <c r="AA341" s="39" t="str">
        <f>IF(getCategoryLevelAsString($B341)="L0D_324785","",IF(H341="",CONCATENATE(";",EscStr(CONCATENATE("NavNode_",getCategoryLevelAsString($B341))),";",EscStr($J341),";"),CONCATENATE(";",EscStr(CONCATENATE("NavNode_",getCategoryLevelAsString($B341))),";",EscStr(H341),";")))</f>
        <v>;"NavNode_L3D_543032";"Imprimantes d'étiquettes";</v>
      </c>
      <c r="AB341" s="39" t="str">
        <f>IF(getCategoryLevelAsString($B341)="L0D_324785","",IF(I341="",CONCATENATE(";",EscStr(CONCATENATE("NavNode_",getCategoryLevelAsString($B341))),";",EscStr($J341),";"),CONCATENATE(";",EscStr(CONCATENATE("NavNode_",getCategoryLevelAsString($B341))),";",EscStr(I341),";")))</f>
        <v>;"NavNode_L3D_543032";"Stampanti per etichette";</v>
      </c>
      <c r="AC341" s="39" t="str">
        <f>IF(getCategoryLevelAsString($B341)="L0D_324785","",IF(J341="",CONCATENATE(";",EscStr(CONCATENATE("NavNode_",getCategoryLevelAsString($B341))),";",EscStr($J341),";"),CONCATENATE(";",EscStr(CONCATENATE("NavNode_",getCategoryLevelAsString($B341))),";",EscStr(J341),";")))</f>
        <v>;"NavNode_L3D_543032";"Label Printers";</v>
      </c>
      <c r="AD341" s="39" t="str">
        <f>IF(getCategoryLevelAsString($B341)="L0D_324785","",IF(K341="",CONCATENATE(";",EscStr(CONCATENATE("NavNode_",getCategoryLevelAsString($B341))),";",EscStr($J341),";"),CONCATENATE(";",EscStr(CONCATENATE("NavNode_",getCategoryLevelAsString($B341))),";",EscStr(K341),";")))</f>
        <v>;"NavNode_L3D_543032";"Etiketprintere";</v>
      </c>
      <c r="AE341" s="39" t="str">
        <f>IF(getCategoryLevelAsString($B341)="L0D_324785","",IF(L341="",CONCATENATE(";",EscStr(CONCATENATE("NavNode_",getCategoryLevelAsString($B341))),";",EscStr($J341),";"),CONCATENATE(";",EscStr(CONCATENATE("NavNode_",getCategoryLevelAsString($B341))),";",EscStr(L341),";")))</f>
        <v>;"NavNode_L3D_543032";"Etikečių spausdintuvai";</v>
      </c>
      <c r="AF341" s="39" t="str">
        <f>IF(getCategoryLevelAsString($B341)="L0D_324785","",IF(M341="",CONCATENATE(";",EscStr(CONCATENATE("NavNode_",getCategoryLevelAsString($B341))),";",EscStr($J341),";"),CONCATENATE(";",EscStr(CONCATENATE("NavNode_",getCategoryLevelAsString($B341))),";",EscStr(M341),";")))</f>
        <v>;"NavNode_L3D_543032";"Etikettskrivere";</v>
      </c>
      <c r="AG341" s="39" t="str">
        <f>IF(getCategoryLevelAsString($B341)="L0D_324785","",IF(N341="",CONCATENATE(";",EscStr(CONCATENATE("NavNode_",getCategoryLevelAsString($B341))),";",EscStr($J341),";"),CONCATENATE(";",EscStr(CONCATENATE("NavNode_",getCategoryLevelAsString($B341))),";",EscStr(N341),";")))</f>
        <v>;"NavNode_L3D_543032";"Etikettskrivare";</v>
      </c>
      <c r="AH341" s="39" t="str">
        <f>IF(getCategoryLevelAsString($B341)="L0D_324785","",IF(O341="",CONCATENATE(";",EscStr(CONCATENATE("NavNode_",getCategoryLevelAsString($B341))),";",EscStr($J341),";"),CONCATENATE(";",EscStr(CONCATENATE("NavNode_",getCategoryLevelAsString($B341))),";",EscStr(O341),";")))</f>
        <v>;"NavNode_L3D_543032";"Etiketiprinterid";</v>
      </c>
      <c r="AI341" s="39" t="str">
        <f>IF(getCategoryLevelAsString($B341)="L0D_324785","",IF(P341="",CONCATENATE(";",EscStr(CONCATENATE("NavNode_",getCategoryLevelAsString($B341))),";",EscStr($J341),";"),CONCATENATE(";",EscStr(CONCATENATE("NavNode_",getCategoryLevelAsString($B341))),";",EscStr(P341),";")))</f>
        <v>;"NavNode_L3D_543032";"Tarrakirjoittimet";</v>
      </c>
      <c r="AJ341" s="39" t="str">
        <f>IF(getCategoryLevelAsString($B341)="L0D_324785","",IF(Q341="",CONCATENATE(";",EscStr(CONCATENATE("NavNode_",getCategoryLevelAsString($B341))),";",EscStr($J341),";"),CONCATENATE(";",EscStr(CONCATENATE("NavNode_",getCategoryLevelAsString($B341))),";",EscStr(Q341),";")))</f>
        <v>;"NavNode_L3D_543032";"Uzlīmju printeri";</v>
      </c>
      <c r="AK341" s="39" t="str">
        <f>IF(getCategoryLevelAsString($B341)="L0D_324785","",IF(R341="",CONCATENATE(";",EscStr(CONCATENATE("NavNode_",getCategoryLevelAsString($B341))),";",EscStr($J341),";"),CONCATENATE(";",EscStr(CONCATENATE("NavNode_",getCategoryLevelAsString($B341))),";",EscStr(R341),";")))</f>
        <v>;"NavNode_L3D_543032";"Labelprinters";</v>
      </c>
      <c r="AL341" s="39" t="str">
        <f>IF(getCategoryLevelAsString($B341)="L0D_324785","",IF(S341="",CONCATENATE(";",EscStr(CONCATENATE("NavNode_",getCategoryLevelAsString($B341))),";",EscStr($J341),";"),CONCATENATE(";",EscStr(CONCATENATE("NavNode_",getCategoryLevelAsString($B341))),";",EscStr(S341),";")))</f>
        <v>;"NavNode_L3D_543032";"Drukarki etykiet";</v>
      </c>
      <c r="AM341" s="39" t="str">
        <f>IF(getCategoryLevelAsString($B341)="L0D_324785","",IF(T341="",CONCATENATE(";",EscStr(CONCATENATE("NavNode_",getCategoryLevelAsString($B341))),";",EscStr($J341),";"),CONCATENATE(";",EscStr(CONCATENATE("NavNode_",getCategoryLevelAsString($B341))),";",EscStr(T341),";")))</f>
        <v>;"NavNode_L3D_543032";"Принтеры этикеток";</v>
      </c>
      <c r="AN341" s="39" t="str">
        <f>IF(getCategoryLevelAsString($B341)="L0D_324785","",IF(U341="",CONCATENATE(";",EscStr(CONCATENATE("NavNode_",getCategoryLevelAsString($B341))),";",EscStr($J341),";"),CONCATENATE(";",EscStr(CONCATENATE("NavNode_",getCategoryLevelAsString($B341))),";",EscStr(U341),";")))</f>
        <v>;"NavNode_L3D_543032";"Tiskárny etiket";</v>
      </c>
      <c r="AO341" s="39" t="str">
        <f>IF(getCategoryLevelAsString($B341)="L0D_324785","",IF(V341="",CONCATENATE(";",EscStr(CONCATENATE("NavNode_",getCategoryLevelAsString($B341))),";",EscStr($J341),";"),CONCATENATE(";",EscStr(CONCATENATE("NavNode_",getCategoryLevelAsString($B341))),";",EscStr(V341),";")))</f>
        <v>;"NavNode_L3D_543032";"Imprimantă pentru etichete";</v>
      </c>
      <c r="AP341" s="39" t="str">
        <f>IF(getCategoryLevelAsString($B341)="L0D_324785","",IF(W341="",CONCATENATE(";",EscStr(CONCATENATE("NavNode_",getCategoryLevelAsString($B341))),";",EscStr($J341),";"),CONCATENATE(";",EscStr(CONCATENATE("NavNode_",getCategoryLevelAsString($B341))),";",EscStr(W341),";")))</f>
        <v>;"NavNode_L3D_543032";"Etikettnyomtató";</v>
      </c>
      <c r="AQ341" s="39" t="str">
        <f>IF(getCategoryLevelAsString($B341)="L0D_324785","",IF(X341="",CONCATENATE(";",EscStr(CONCATENATE("NavNode_",getCategoryLevelAsString($B341))),";",EscStr($J341),";"),CONCATENATE(";",EscStr(CONCATENATE("NavNode_",getCategoryLevelAsString($B341))),";",EscStr(X341),";")))</f>
        <v>;"NavNode_L3D_543032";"Tlačiarne etikiet";</v>
      </c>
      <c r="AR341" s="39" t="str">
        <f>IF(OR($A341&lt;&gt;"", $G341=""),"",CONCATENATE(";",EscStr(CONCATENATE("NavEntry_",getCategoryLevelAsString($B341))),";",EscStr(CONCATENATE($J341," Navigation Entry")),";",EscStr(CONCATENATE("cat-",getCategoryLevelAsString($B341))),";",EscStr(CONCATENATE("NavNode_",getCategoryLevelAsString($B341))),";"))</f>
        <v>;"NavEntry_L3D_543032";"Label Printers Navigation Entry";"cat-L3D_543032";"NavNode_L3D_543032";</v>
      </c>
    </row>
    <row r="342" spans="1:44" s="34" customFormat="1" ht="15" x14ac:dyDescent="0.25">
      <c r="A342" s="25"/>
      <c r="B342" s="5"/>
      <c r="C342" s="5"/>
      <c r="D342" s="5" t="s">
        <v>606</v>
      </c>
      <c r="E342" s="5"/>
      <c r="F342" s="5"/>
      <c r="G342" s="5" t="s">
        <v>1013</v>
      </c>
      <c r="H342" s="5" t="s">
        <v>774</v>
      </c>
      <c r="I342" s="5" t="s">
        <v>665</v>
      </c>
      <c r="J342" s="5" t="s">
        <v>875</v>
      </c>
      <c r="K342" s="5" t="s">
        <v>1406</v>
      </c>
      <c r="L342" s="5" t="s">
        <v>1642</v>
      </c>
      <c r="M342" s="5" t="s">
        <v>1844</v>
      </c>
      <c r="N342" s="5" t="s">
        <v>2061</v>
      </c>
      <c r="O342" s="5" t="s">
        <v>4405</v>
      </c>
      <c r="P342" s="5" t="s">
        <v>4406</v>
      </c>
      <c r="Q342" s="5" t="s">
        <v>4407</v>
      </c>
      <c r="R342" s="5" t="s">
        <v>4408</v>
      </c>
      <c r="S342" s="5" t="s">
        <v>4409</v>
      </c>
      <c r="T342" s="5" t="s">
        <v>4410</v>
      </c>
      <c r="U342" s="5" t="s">
        <v>4411</v>
      </c>
      <c r="V342" s="5" t="s">
        <v>4412</v>
      </c>
      <c r="W342" s="5" t="s">
        <v>4413</v>
      </c>
      <c r="X342" s="5" t="s">
        <v>4411</v>
      </c>
      <c r="Y342" s="39" t="str">
        <f>IF(OR($A342&lt;&gt;"", $G342=""),"",CONCATENATE(";",EscStr(CONCATENATE("NavNode_",getCategoryLevelAsString($B342))),";",EscStr($J342),";",IF($B342&lt;&gt;"","""MainCategoryNavNode""",EscStr(CONCATENATE("NavNode_",getSuperCategory($B342, getCategoryLevelAsNumber($B342))))),";"))</f>
        <v>;"NavNode_L3D_543034";"Toner / Drums";"NavNode_L2D_542983";</v>
      </c>
      <c r="Z342" s="39" t="str">
        <f>IF(getCategoryLevelAsString($B342)="L0D_324785","",IF(G342="",CONCATENATE(";",EscStr(CONCATENATE("NavNode_",getCategoryLevelAsString($B342))),";",EscStr($J342),";"),CONCATENATE(";",EscStr(CONCATENATE("NavNode_",getCategoryLevelAsString($B342))),";",EscStr(G342),";")))</f>
        <v>;"NavNode_L3D_543034";"Toner / Trommeln";</v>
      </c>
      <c r="AA342" s="39" t="str">
        <f>IF(getCategoryLevelAsString($B342)="L0D_324785","",IF(H342="",CONCATENATE(";",EscStr(CONCATENATE("NavNode_",getCategoryLevelAsString($B342))),";",EscStr($J342),";"),CONCATENATE(";",EscStr(CONCATENATE("NavNode_",getCategoryLevelAsString($B342))),";",EscStr(H342),";")))</f>
        <v>;"NavNode_L3D_543034";"Toner / Tambours";</v>
      </c>
      <c r="AB342" s="39" t="str">
        <f>IF(getCategoryLevelAsString($B342)="L0D_324785","",IF(I342="",CONCATENATE(";",EscStr(CONCATENATE("NavNode_",getCategoryLevelAsString($B342))),";",EscStr($J342),";"),CONCATENATE(";",EscStr(CONCATENATE("NavNode_",getCategoryLevelAsString($B342))),";",EscStr(I342),";")))</f>
        <v>;"NavNode_L3D_543034";"Toner";</v>
      </c>
      <c r="AC342" s="39" t="str">
        <f>IF(getCategoryLevelAsString($B342)="L0D_324785","",IF(J342="",CONCATENATE(";",EscStr(CONCATENATE("NavNode_",getCategoryLevelAsString($B342))),";",EscStr($J342),";"),CONCATENATE(";",EscStr(CONCATENATE("NavNode_",getCategoryLevelAsString($B342))),";",EscStr(J342),";")))</f>
        <v>;"NavNode_L3D_543034";"Toner / Drums";</v>
      </c>
      <c r="AD342" s="39" t="str">
        <f>IF(getCategoryLevelAsString($B342)="L0D_324785","",IF(K342="",CONCATENATE(";",EscStr(CONCATENATE("NavNode_",getCategoryLevelAsString($B342))),";",EscStr($J342),";"),CONCATENATE(";",EscStr(CONCATENATE("NavNode_",getCategoryLevelAsString($B342))),";",EscStr(K342),";")))</f>
        <v>;"NavNode_L3D_543034";"Toner/tromler";</v>
      </c>
      <c r="AE342" s="39" t="str">
        <f>IF(getCategoryLevelAsString($B342)="L0D_324785","",IF(L342="",CONCATENATE(";",EscStr(CONCATENATE("NavNode_",getCategoryLevelAsString($B342))),";",EscStr($J342),";"),CONCATENATE(";",EscStr(CONCATENATE("NavNode_",getCategoryLevelAsString($B342))),";",EscStr(L342),";")))</f>
        <v>;"NavNode_L3D_543034";"Dažų milteliai / būgnai";</v>
      </c>
      <c r="AF342" s="39" t="str">
        <f>IF(getCategoryLevelAsString($B342)="L0D_324785","",IF(M342="",CONCATENATE(";",EscStr(CONCATENATE("NavNode_",getCategoryLevelAsString($B342))),";",EscStr($J342),";"),CONCATENATE(";",EscStr(CONCATENATE("NavNode_",getCategoryLevelAsString($B342))),";",EscStr(M342),";")))</f>
        <v>;"NavNode_L3D_543034";"Toner/kasetter";</v>
      </c>
      <c r="AG342" s="39" t="str">
        <f>IF(getCategoryLevelAsString($B342)="L0D_324785","",IF(N342="",CONCATENATE(";",EscStr(CONCATENATE("NavNode_",getCategoryLevelAsString($B342))),";",EscStr($J342),";"),CONCATENATE(";",EscStr(CONCATENATE("NavNode_",getCategoryLevelAsString($B342))),";",EscStr(N342),";")))</f>
        <v>;"NavNode_L3D_543034";"Toner/Trummor";</v>
      </c>
      <c r="AH342" s="39" t="str">
        <f>IF(getCategoryLevelAsString($B342)="L0D_324785","",IF(O342="",CONCATENATE(";",EscStr(CONCATENATE("NavNode_",getCategoryLevelAsString($B342))),";",EscStr($J342),";"),CONCATENATE(";",EscStr(CONCATENATE("NavNode_",getCategoryLevelAsString($B342))),";",EscStr(O342),";")))</f>
        <v>;"NavNode_L3D_543034";"Värvikassetid / Trumlid";</v>
      </c>
      <c r="AI342" s="39" t="str">
        <f>IF(getCategoryLevelAsString($B342)="L0D_324785","",IF(P342="",CONCATENATE(";",EscStr(CONCATENATE("NavNode_",getCategoryLevelAsString($B342))),";",EscStr($J342),";"),CONCATENATE(";",EscStr(CONCATENATE("NavNode_",getCategoryLevelAsString($B342))),";",EscStr(P342),";")))</f>
        <v>;"NavNode_L3D_543034";"Tonerit/ rummut";</v>
      </c>
      <c r="AJ342" s="39" t="str">
        <f>IF(getCategoryLevelAsString($B342)="L0D_324785","",IF(Q342="",CONCATENATE(";",EscStr(CONCATENATE("NavNode_",getCategoryLevelAsString($B342))),";",EscStr($J342),";"),CONCATENATE(";",EscStr(CONCATENATE("NavNode_",getCategoryLevelAsString($B342))),";",EscStr(Q342),";")))</f>
        <v>;"NavNode_L3D_543034";"Toneri / Cilindri";</v>
      </c>
      <c r="AK342" s="39" t="str">
        <f>IF(getCategoryLevelAsString($B342)="L0D_324785","",IF(R342="",CONCATENATE(";",EscStr(CONCATENATE("NavNode_",getCategoryLevelAsString($B342))),";",EscStr($J342),";"),CONCATENATE(";",EscStr(CONCATENATE("NavNode_",getCategoryLevelAsString($B342))),";",EscStr(R342),";")))</f>
        <v>;"NavNode_L3D_543034";"Toners / Drums";</v>
      </c>
      <c r="AL342" s="39" t="str">
        <f>IF(getCategoryLevelAsString($B342)="L0D_324785","",IF(S342="",CONCATENATE(";",EscStr(CONCATENATE("NavNode_",getCategoryLevelAsString($B342))),";",EscStr($J342),";"),CONCATENATE(";",EscStr(CONCATENATE("NavNode_",getCategoryLevelAsString($B342))),";",EscStr(S342),";")))</f>
        <v>;"NavNode_L3D_543034";"Tonery / Bębny";</v>
      </c>
      <c r="AM342" s="39" t="str">
        <f>IF(getCategoryLevelAsString($B342)="L0D_324785","",IF(T342="",CONCATENATE(";",EscStr(CONCATENATE("NavNode_",getCategoryLevelAsString($B342))),";",EscStr($J342),";"),CONCATENATE(";",EscStr(CONCATENATE("NavNode_",getCategoryLevelAsString($B342))),";",EscStr(T342),";")))</f>
        <v>;"NavNode_L3D_543034";"Тонер / Барабаны";</v>
      </c>
      <c r="AN342" s="39" t="str">
        <f>IF(getCategoryLevelAsString($B342)="L0D_324785","",IF(U342="",CONCATENATE(";",EscStr(CONCATENATE("NavNode_",getCategoryLevelAsString($B342))),";",EscStr($J342),";"),CONCATENATE(";",EscStr(CONCATENATE("NavNode_",getCategoryLevelAsString($B342))),";",EscStr(U342),";")))</f>
        <v>;"NavNode_L3D_543034";"Tonery / bubny";</v>
      </c>
      <c r="AO342" s="39" t="str">
        <f>IF(getCategoryLevelAsString($B342)="L0D_324785","",IF(V342="",CONCATENATE(";",EscStr(CONCATENATE("NavNode_",getCategoryLevelAsString($B342))),";",EscStr($J342),";"),CONCATENATE(";",EscStr(CONCATENATE("NavNode_",getCategoryLevelAsString($B342))),";",EscStr(V342),";")))</f>
        <v>;"NavNode_L3D_543034";"Tonere / tamburi";</v>
      </c>
      <c r="AP342" s="39" t="str">
        <f>IF(getCategoryLevelAsString($B342)="L0D_324785","",IF(W342="",CONCATENATE(";",EscStr(CONCATENATE("NavNode_",getCategoryLevelAsString($B342))),";",EscStr($J342),";"),CONCATENATE(";",EscStr(CONCATENATE("NavNode_",getCategoryLevelAsString($B342))),";",EscStr(W342),";")))</f>
        <v>;"NavNode_L3D_543034";"Toner / Festékdob";</v>
      </c>
      <c r="AQ342" s="39" t="str">
        <f>IF(getCategoryLevelAsString($B342)="L0D_324785","",IF(X342="",CONCATENATE(";",EscStr(CONCATENATE("NavNode_",getCategoryLevelAsString($B342))),";",EscStr($J342),";"),CONCATENATE(";",EscStr(CONCATENATE("NavNode_",getCategoryLevelAsString($B342))),";",EscStr(X342),";")))</f>
        <v>;"NavNode_L3D_543034";"Tonery / bubny";</v>
      </c>
      <c r="AR342" s="39" t="str">
        <f>IF(OR($A342&lt;&gt;"", $G342=""),"",CONCATENATE(";",EscStr(CONCATENATE("NavEntry_",getCategoryLevelAsString($B342))),";",EscStr(CONCATENATE($J342," Navigation Entry")),";",EscStr(CONCATENATE("cat-",getCategoryLevelAsString($B342))),";",EscStr(CONCATENATE("NavNode_",getCategoryLevelAsString($B342))),";"))</f>
        <v>;"NavEntry_L3D_543034";"Toner / Drums Navigation Entry";"cat-L3D_543034";"NavNode_L3D_543034";</v>
      </c>
    </row>
    <row r="343" spans="1:44" s="34" customFormat="1" ht="15" x14ac:dyDescent="0.25">
      <c r="A343" s="25"/>
      <c r="B343" s="5"/>
      <c r="C343" s="5"/>
      <c r="D343" s="5" t="s">
        <v>607</v>
      </c>
      <c r="E343" s="5"/>
      <c r="F343" s="5"/>
      <c r="G343" s="5" t="s">
        <v>948</v>
      </c>
      <c r="H343" s="5" t="s">
        <v>775</v>
      </c>
      <c r="I343" s="5" t="s">
        <v>666</v>
      </c>
      <c r="J343" s="5" t="s">
        <v>876</v>
      </c>
      <c r="K343" s="5" t="s">
        <v>1407</v>
      </c>
      <c r="L343" s="5" t="s">
        <v>1643</v>
      </c>
      <c r="M343" s="5" t="s">
        <v>1845</v>
      </c>
      <c r="N343" s="5" t="s">
        <v>2062</v>
      </c>
      <c r="O343" s="5" t="s">
        <v>4414</v>
      </c>
      <c r="P343" s="5" t="s">
        <v>4415</v>
      </c>
      <c r="Q343" s="5" t="s">
        <v>4416</v>
      </c>
      <c r="R343" s="5" t="s">
        <v>4417</v>
      </c>
      <c r="S343" s="5" t="s">
        <v>4418</v>
      </c>
      <c r="T343" s="5" t="s">
        <v>4419</v>
      </c>
      <c r="U343" s="5" t="s">
        <v>4420</v>
      </c>
      <c r="V343" s="5" t="s">
        <v>4421</v>
      </c>
      <c r="W343" s="5" t="s">
        <v>4422</v>
      </c>
      <c r="X343" s="5" t="s">
        <v>15027</v>
      </c>
      <c r="Y343" s="39" t="str">
        <f>IF(OR($A343&lt;&gt;"", $G343=""),"",CONCATENATE(";",EscStr(CONCATENATE("NavNode_",getCategoryLevelAsString($B343))),";",EscStr($J343),";",IF($B343&lt;&gt;"","""MainCategoryNavNode""",EscStr(CONCATENATE("NavNode_",getSuperCategory($B343, getCategoryLevelAsNumber($B343))))),";"))</f>
        <v>;"NavNode_L3D_543036";"Ink cartridges";"NavNode_L2D_542983";</v>
      </c>
      <c r="Z343" s="39" t="str">
        <f>IF(getCategoryLevelAsString($B343)="L0D_324785","",IF(G343="",CONCATENATE(";",EscStr(CONCATENATE("NavNode_",getCategoryLevelAsString($B343))),";",EscStr($J343),";"),CONCATENATE(";",EscStr(CONCATENATE("NavNode_",getCategoryLevelAsString($B343))),";",EscStr(G343),";")))</f>
        <v>;"NavNode_L3D_543036";"Tintenpatronen";</v>
      </c>
      <c r="AA343" s="39" t="str">
        <f>IF(getCategoryLevelAsString($B343)="L0D_324785","",IF(H343="",CONCATENATE(";",EscStr(CONCATENATE("NavNode_",getCategoryLevelAsString($B343))),";",EscStr($J343),";"),CONCATENATE(";",EscStr(CONCATENATE("NavNode_",getCategoryLevelAsString($B343))),";",EscStr(H343),";")))</f>
        <v>;"NavNode_L3D_543036";"Cartouches d'encre";</v>
      </c>
      <c r="AB343" s="39" t="str">
        <f>IF(getCategoryLevelAsString($B343)="L0D_324785","",IF(I343="",CONCATENATE(";",EscStr(CONCATENATE("NavNode_",getCategoryLevelAsString($B343))),";",EscStr($J343),";"),CONCATENATE(";",EscStr(CONCATENATE("NavNode_",getCategoryLevelAsString($B343))),";",EscStr(I343),";")))</f>
        <v>;"NavNode_L3D_543036";"Cartucce di inchiostro";</v>
      </c>
      <c r="AC343" s="39" t="str">
        <f>IF(getCategoryLevelAsString($B343)="L0D_324785","",IF(J343="",CONCATENATE(";",EscStr(CONCATENATE("NavNode_",getCategoryLevelAsString($B343))),";",EscStr($J343),";"),CONCATENATE(";",EscStr(CONCATENATE("NavNode_",getCategoryLevelAsString($B343))),";",EscStr(J343),";")))</f>
        <v>;"NavNode_L3D_543036";"Ink cartridges";</v>
      </c>
      <c r="AD343" s="39" t="str">
        <f>IF(getCategoryLevelAsString($B343)="L0D_324785","",IF(K343="",CONCATENATE(";",EscStr(CONCATENATE("NavNode_",getCategoryLevelAsString($B343))),";",EscStr($J343),";"),CONCATENATE(";",EscStr(CONCATENATE("NavNode_",getCategoryLevelAsString($B343))),";",EscStr(K343),";")))</f>
        <v>;"NavNode_L3D_543036";"Blækpatroner";</v>
      </c>
      <c r="AE343" s="39" t="str">
        <f>IF(getCategoryLevelAsString($B343)="L0D_324785","",IF(L343="",CONCATENATE(";",EscStr(CONCATENATE("NavNode_",getCategoryLevelAsString($B343))),";",EscStr($J343),";"),CONCATENATE(";",EscStr(CONCATENATE("NavNode_",getCategoryLevelAsString($B343))),";",EscStr(L343),";")))</f>
        <v>;"NavNode_L3D_543036";"Dažų kasetės";</v>
      </c>
      <c r="AF343" s="39" t="str">
        <f>IF(getCategoryLevelAsString($B343)="L0D_324785","",IF(M343="",CONCATENATE(";",EscStr(CONCATENATE("NavNode_",getCategoryLevelAsString($B343))),";",EscStr($J343),";"),CONCATENATE(";",EscStr(CONCATENATE("NavNode_",getCategoryLevelAsString($B343))),";",EscStr(M343),";")))</f>
        <v>;"NavNode_L3D_543036";"Blekkpatroner";</v>
      </c>
      <c r="AG343" s="39" t="str">
        <f>IF(getCategoryLevelAsString($B343)="L0D_324785","",IF(N343="",CONCATENATE(";",EscStr(CONCATENATE("NavNode_",getCategoryLevelAsString($B343))),";",EscStr($J343),";"),CONCATENATE(";",EscStr(CONCATENATE("NavNode_",getCategoryLevelAsString($B343))),";",EscStr(N343),";")))</f>
        <v>;"NavNode_L3D_543036";"Bläckpatroner";</v>
      </c>
      <c r="AH343" s="39" t="str">
        <f>IF(getCategoryLevelAsString($B343)="L0D_324785","",IF(O343="",CONCATENATE(";",EscStr(CONCATENATE("NavNode_",getCategoryLevelAsString($B343))),";",EscStr($J343),";"),CONCATENATE(";",EscStr(CONCATENATE("NavNode_",getCategoryLevelAsString($B343))),";",EscStr(O343),";")))</f>
        <v>;"NavNode_L3D_543036";"Tindikassetid";</v>
      </c>
      <c r="AI343" s="39" t="str">
        <f>IF(getCategoryLevelAsString($B343)="L0D_324785","",IF(P343="",CONCATENATE(";",EscStr(CONCATENATE("NavNode_",getCategoryLevelAsString($B343))),";",EscStr($J343),";"),CONCATENATE(";",EscStr(CONCATENATE("NavNode_",getCategoryLevelAsString($B343))),";",EscStr(P343),";")))</f>
        <v>;"NavNode_L3D_543036";"Väripatruunat";</v>
      </c>
      <c r="AJ343" s="39" t="str">
        <f>IF(getCategoryLevelAsString($B343)="L0D_324785","",IF(Q343="",CONCATENATE(";",EscStr(CONCATENATE("NavNode_",getCategoryLevelAsString($B343))),";",EscStr($J343),";"),CONCATENATE(";",EscStr(CONCATENATE("NavNode_",getCategoryLevelAsString($B343))),";",EscStr(Q343),";")))</f>
        <v>;"NavNode_L3D_543036";"Tintes kārtridži";</v>
      </c>
      <c r="AK343" s="39" t="str">
        <f>IF(getCategoryLevelAsString($B343)="L0D_324785","",IF(R343="",CONCATENATE(";",EscStr(CONCATENATE("NavNode_",getCategoryLevelAsString($B343))),";",EscStr($J343),";"),CONCATENATE(";",EscStr(CONCATENATE("NavNode_",getCategoryLevelAsString($B343))),";",EscStr(R343),";")))</f>
        <v>;"NavNode_L3D_543036";"Inkt cartridges";</v>
      </c>
      <c r="AL343" s="39" t="str">
        <f>IF(getCategoryLevelAsString($B343)="L0D_324785","",IF(S343="",CONCATENATE(";",EscStr(CONCATENATE("NavNode_",getCategoryLevelAsString($B343))),";",EscStr($J343),";"),CONCATENATE(";",EscStr(CONCATENATE("NavNode_",getCategoryLevelAsString($B343))),";",EscStr(S343),";")))</f>
        <v>;"NavNode_L3D_543036";"Kartridże atramentowe";</v>
      </c>
      <c r="AM343" s="39" t="str">
        <f>IF(getCategoryLevelAsString($B343)="L0D_324785","",IF(T343="",CONCATENATE(";",EscStr(CONCATENATE("NavNode_",getCategoryLevelAsString($B343))),";",EscStr($J343),";"),CONCATENATE(";",EscStr(CONCATENATE("NavNode_",getCategoryLevelAsString($B343))),";",EscStr(T343),";")))</f>
        <v>;"NavNode_L3D_543036";"Струйные картриджи";</v>
      </c>
      <c r="AN343" s="39" t="str">
        <f>IF(getCategoryLevelAsString($B343)="L0D_324785","",IF(U343="",CONCATENATE(";",EscStr(CONCATENATE("NavNode_",getCategoryLevelAsString($B343))),";",EscStr($J343),";"),CONCATENATE(";",EscStr(CONCATENATE("NavNode_",getCategoryLevelAsString($B343))),";",EscStr(U343),";")))</f>
        <v>;"NavNode_L3D_543036";"Inkoustové kazety";</v>
      </c>
      <c r="AO343" s="39" t="str">
        <f>IF(getCategoryLevelAsString($B343)="L0D_324785","",IF(V343="",CONCATENATE(";",EscStr(CONCATENATE("NavNode_",getCategoryLevelAsString($B343))),";",EscStr($J343),";"),CONCATENATE(";",EscStr(CONCATENATE("NavNode_",getCategoryLevelAsString($B343))),";",EscStr(V343),";")))</f>
        <v>;"NavNode_L3D_543036";"Cartuşe de cerneală";</v>
      </c>
      <c r="AP343" s="39" t="str">
        <f>IF(getCategoryLevelAsString($B343)="L0D_324785","",IF(W343="",CONCATENATE(";",EscStr(CONCATENATE("NavNode_",getCategoryLevelAsString($B343))),";",EscStr($J343),";"),CONCATENATE(";",EscStr(CONCATENATE("NavNode_",getCategoryLevelAsString($B343))),";",EscStr(W343),";")))</f>
        <v>;"NavNode_L3D_543036";"Tintapatron";</v>
      </c>
      <c r="AQ343" s="39" t="str">
        <f>IF(getCategoryLevelAsString($B343)="L0D_324785","",IF(X343="",CONCATENATE(";",EscStr(CONCATENATE("NavNode_",getCategoryLevelAsString($B343))),";",EscStr($J343),";"),CONCATENATE(";",EscStr(CONCATENATE("NavNode_",getCategoryLevelAsString($B343))),";",EscStr(X343),";")))</f>
        <v>;"NavNode_L3D_543036";"Atramentové kazety";</v>
      </c>
      <c r="AR343" s="39" t="str">
        <f>IF(OR($A343&lt;&gt;"", $G343=""),"",CONCATENATE(";",EscStr(CONCATENATE("NavEntry_",getCategoryLevelAsString($B343))),";",EscStr(CONCATENATE($J343," Navigation Entry")),";",EscStr(CONCATENATE("cat-",getCategoryLevelAsString($B343))),";",EscStr(CONCATENATE("NavNode_",getCategoryLevelAsString($B343))),";"))</f>
        <v>;"NavEntry_L3D_543036";"Ink cartridges Navigation Entry";"cat-L3D_543036";"NavNode_L3D_543036";</v>
      </c>
    </row>
    <row r="344" spans="1:44" s="34" customFormat="1" ht="15" x14ac:dyDescent="0.25">
      <c r="A344" s="25"/>
      <c r="B344" s="5"/>
      <c r="C344" s="5"/>
      <c r="D344" s="5" t="s">
        <v>776</v>
      </c>
      <c r="E344" s="5"/>
      <c r="F344" s="5"/>
      <c r="G344" s="5" t="s">
        <v>1014</v>
      </c>
      <c r="H344" s="5" t="s">
        <v>1097</v>
      </c>
      <c r="I344" s="5" t="s">
        <v>1156</v>
      </c>
      <c r="J344" s="5" t="s">
        <v>877</v>
      </c>
      <c r="K344" s="5" t="s">
        <v>1408</v>
      </c>
      <c r="L344" s="5" t="s">
        <v>15236</v>
      </c>
      <c r="M344" s="5" t="s">
        <v>1846</v>
      </c>
      <c r="N344" s="5" t="s">
        <v>2063</v>
      </c>
      <c r="O344" s="5" t="s">
        <v>4423</v>
      </c>
      <c r="P344" s="5" t="s">
        <v>4424</v>
      </c>
      <c r="Q344" s="5" t="s">
        <v>4425</v>
      </c>
      <c r="R344" s="5" t="s">
        <v>4426</v>
      </c>
      <c r="S344" s="5" t="s">
        <v>4427</v>
      </c>
      <c r="T344" s="5" t="s">
        <v>4428</v>
      </c>
      <c r="U344" s="5" t="s">
        <v>4429</v>
      </c>
      <c r="V344" s="5" t="s">
        <v>4430</v>
      </c>
      <c r="W344" s="5" t="s">
        <v>4431</v>
      </c>
      <c r="X344" s="5" t="s">
        <v>15028</v>
      </c>
      <c r="Y344" s="39" t="str">
        <f>IF(OR($A344&lt;&gt;"", $G344=""),"",CONCATENATE(";",EscStr(CONCATENATE("NavNode_",getCategoryLevelAsString($B344))),";",EscStr($J344),";",IF($B344&lt;&gt;"","""MainCategoryNavNode""",EscStr(CONCATENATE("NavNode_",getSuperCategory($B344, getCategoryLevelAsNumber($B344))))),";"))</f>
        <v>;"NavNode_L3D_543038";"Ink Ribbons / Labelling Machine Accessories";"NavNode_L2D_542983";</v>
      </c>
      <c r="Z344" s="39" t="str">
        <f>IF(getCategoryLevelAsString($B344)="L0D_324785","",IF(G344="",CONCATENATE(";",EscStr(CONCATENATE("NavNode_",getCategoryLevelAsString($B344))),";",EscStr($J344),";"),CONCATENATE(";",EscStr(CONCATENATE("NavNode_",getCategoryLevelAsString($B344))),";",EscStr(G344),";")))</f>
        <v>;"NavNode_L3D_543038";"Beschriftungsbänder";</v>
      </c>
      <c r="AA344" s="39" t="str">
        <f>IF(getCategoryLevelAsString($B344)="L0D_324785","",IF(H344="",CONCATENATE(";",EscStr(CONCATENATE("NavNode_",getCategoryLevelAsString($B344))),";",EscStr($J344),";"),CONCATENATE(";",EscStr(CONCATENATE("NavNode_",getCategoryLevelAsString($B344))),";",EscStr(H344),";")))</f>
        <v>;"NavNode_L3D_543038";"Rubans encreurs / Accessoires pour étiqueteuses";</v>
      </c>
      <c r="AB344" s="39" t="str">
        <f>IF(getCategoryLevelAsString($B344)="L0D_324785","",IF(I344="",CONCATENATE(";",EscStr(CONCATENATE("NavNode_",getCategoryLevelAsString($B344))),";",EscStr($J344),";"),CONCATENATE(";",EscStr(CONCATENATE("NavNode_",getCategoryLevelAsString($B344))),";",EscStr(I344),";")))</f>
        <v>;"NavNode_L3D_543038";"Nastri inchiostratori / accessori etichettatrici";</v>
      </c>
      <c r="AC344" s="39" t="str">
        <f>IF(getCategoryLevelAsString($B344)="L0D_324785","",IF(J344="",CONCATENATE(";",EscStr(CONCATENATE("NavNode_",getCategoryLevelAsString($B344))),";",EscStr($J344),";"),CONCATENATE(";",EscStr(CONCATENATE("NavNode_",getCategoryLevelAsString($B344))),";",EscStr(J344),";")))</f>
        <v>;"NavNode_L3D_543038";"Ink Ribbons / Labelling Machine Accessories";</v>
      </c>
      <c r="AD344" s="39" t="str">
        <f>IF(getCategoryLevelAsString($B344)="L0D_324785","",IF(K344="",CONCATENATE(";",EscStr(CONCATENATE("NavNode_",getCategoryLevelAsString($B344))),";",EscStr($J344),";"),CONCATENATE(";",EscStr(CONCATENATE("NavNode_",getCategoryLevelAsString($B344))),";",EscStr(K344),";")))</f>
        <v>;"NavNode_L3D_543038";"Farvebånd/tilbehør til etiketteringsmaskine";</v>
      </c>
      <c r="AE344" s="39" t="str">
        <f>IF(getCategoryLevelAsString($B344)="L0D_324785","",IF(L344="",CONCATENATE(";",EscStr(CONCATENATE("NavNode_",getCategoryLevelAsString($B344))),";",EscStr($J344),";"),CONCATENATE(";",EscStr(CONCATENATE("NavNode_",getCategoryLevelAsString($B344))),";",EscStr(L344),";")))</f>
        <v>;"NavNode_L3D_543038";"Dažų juostos / Ženklinimo mašinų priedai";</v>
      </c>
      <c r="AF344" s="39" t="str">
        <f>IF(getCategoryLevelAsString($B344)="L0D_324785","",IF(M344="",CONCATENATE(";",EscStr(CONCATENATE("NavNode_",getCategoryLevelAsString($B344))),";",EscStr($J344),";"),CONCATENATE(";",EscStr(CONCATENATE("NavNode_",getCategoryLevelAsString($B344))),";",EscStr(M344),";")))</f>
        <v>;"NavNode_L3D_543038";"Fargebånd/etikettskrivertilbehør";</v>
      </c>
      <c r="AG344" s="39" t="str">
        <f>IF(getCategoryLevelAsString($B344)="L0D_324785","",IF(N344="",CONCATENATE(";",EscStr(CONCATENATE("NavNode_",getCategoryLevelAsString($B344))),";",EscStr($J344),";"),CONCATENATE(";",EscStr(CONCATENATE("NavNode_",getCategoryLevelAsString($B344))),";",EscStr(N344),";")))</f>
        <v>;"NavNode_L3D_543038";"Tillbehör för Bläckband/Etikettmaskiner";</v>
      </c>
      <c r="AH344" s="39" t="str">
        <f>IF(getCategoryLevelAsString($B344)="L0D_324785","",IF(O344="",CONCATENATE(";",EscStr(CONCATENATE("NavNode_",getCategoryLevelAsString($B344))),";",EscStr($J344),";"),CONCATENATE(";",EscStr(CONCATENATE("NavNode_",getCategoryLevelAsString($B344))),";",EscStr(O344),";")))</f>
        <v>;"NavNode_L3D_543038";"Tindilindid / Etiketiprinteri tarvikud";</v>
      </c>
      <c r="AI344" s="39" t="str">
        <f>IF(getCategoryLevelAsString($B344)="L0D_324785","",IF(P344="",CONCATENATE(";",EscStr(CONCATENATE("NavNode_",getCategoryLevelAsString($B344))),";",EscStr($J344),";"),CONCATENATE(";",EscStr(CONCATENATE("NavNode_",getCategoryLevelAsString($B344))),";",EscStr(P344),";")))</f>
        <v>;"NavNode_L3D_543038";"Värinauhat";</v>
      </c>
      <c r="AJ344" s="39" t="str">
        <f>IF(getCategoryLevelAsString($B344)="L0D_324785","",IF(Q344="",CONCATENATE(";",EscStr(CONCATENATE("NavNode_",getCategoryLevelAsString($B344))),";",EscStr($J344),";"),CONCATENATE(";",EscStr(CONCATENATE("NavNode_",getCategoryLevelAsString($B344))),";",EscStr(Q344),";")))</f>
        <v>;"NavNode_L3D_543038";"Tintes lentes / Uzlīmju iekārtu piederumi";</v>
      </c>
      <c r="AK344" s="39" t="str">
        <f>IF(getCategoryLevelAsString($B344)="L0D_324785","",IF(R344="",CONCATENATE(";",EscStr(CONCATENATE("NavNode_",getCategoryLevelAsString($B344))),";",EscStr($J344),";"),CONCATENATE(";",EscStr(CONCATENATE("NavNode_",getCategoryLevelAsString($B344))),";",EscStr(R344),";")))</f>
        <v>;"NavNode_L3D_543038";"Inktlinten / Labelprinter accessoires";</v>
      </c>
      <c r="AL344" s="39" t="str">
        <f>IF(getCategoryLevelAsString($B344)="L0D_324785","",IF(S344="",CONCATENATE(";",EscStr(CONCATENATE("NavNode_",getCategoryLevelAsString($B344))),";",EscStr($J344),";"),CONCATENATE(";",EscStr(CONCATENATE("NavNode_",getCategoryLevelAsString($B344))),";",EscStr(S344),";")))</f>
        <v>;"NavNode_L3D_543038";"Taśmy / Akcesoria znakowarek";</v>
      </c>
      <c r="AM344" s="39" t="str">
        <f>IF(getCategoryLevelAsString($B344)="L0D_324785","",IF(T344="",CONCATENATE(";",EscStr(CONCATENATE("NavNode_",getCategoryLevelAsString($B344))),";",EscStr($J344),";"),CONCATENATE(";",EscStr(CONCATENATE("NavNode_",getCategoryLevelAsString($B344))),";",EscStr(T344),";")))</f>
        <v>;"NavNode_L3D_543038";"Красящие ленты / Аксессуары для маркировочных машины";</v>
      </c>
      <c r="AN344" s="39" t="str">
        <f>IF(getCategoryLevelAsString($B344)="L0D_324785","",IF(U344="",CONCATENATE(";",EscStr(CONCATENATE("NavNode_",getCategoryLevelAsString($B344))),";",EscStr($J344),";"),CONCATENATE(";",EscStr(CONCATENATE("NavNode_",getCategoryLevelAsString($B344))),";",EscStr(U344),";")))</f>
        <v>;"NavNode_L3D_543038";"Označovací pásky";</v>
      </c>
      <c r="AO344" s="39" t="str">
        <f>IF(getCategoryLevelAsString($B344)="L0D_324785","",IF(V344="",CONCATENATE(";",EscStr(CONCATENATE("NavNode_",getCategoryLevelAsString($B344))),";",EscStr($J344),";"),CONCATENATE(";",EscStr(CONCATENATE("NavNode_",getCategoryLevelAsString($B344))),";",EscStr(V344),";")))</f>
        <v>;"NavNode_L3D_543038";"Benzi de etichetare";</v>
      </c>
      <c r="AP344" s="39" t="str">
        <f>IF(getCategoryLevelAsString($B344)="L0D_324785","",IF(W344="",CONCATENATE(";",EscStr(CONCATENATE("NavNode_",getCategoryLevelAsString($B344))),";",EscStr($J344),";"),CONCATENATE(";",EscStr(CONCATENATE("NavNode_",getCategoryLevelAsString($B344))),";",EscStr(W344),";")))</f>
        <v>;"NavNode_L3D_543038";"Feliratszalag";</v>
      </c>
      <c r="AQ344" s="39" t="str">
        <f>IF(getCategoryLevelAsString($B344)="L0D_324785","",IF(X344="",CONCATENATE(";",EscStr(CONCATENATE("NavNode_",getCategoryLevelAsString($B344))),";",EscStr($J344),";"),CONCATENATE(";",EscStr(CONCATENATE("NavNode_",getCategoryLevelAsString($B344))),";",EscStr(X344),";")))</f>
        <v>;"NavNode_L3D_543038";"Označovacie pásky";</v>
      </c>
      <c r="AR344" s="39" t="str">
        <f>IF(OR($A344&lt;&gt;"", $G344=""),"",CONCATENATE(";",EscStr(CONCATENATE("NavEntry_",getCategoryLevelAsString($B344))),";",EscStr(CONCATENATE($J344," Navigation Entry")),";",EscStr(CONCATENATE("cat-",getCategoryLevelAsString($B344))),";",EscStr(CONCATENATE("NavNode_",getCategoryLevelAsString($B344))),";"))</f>
        <v>;"NavEntry_L3D_543038";"Ink Ribbons / Labelling Machine Accessories Navigation Entry";"cat-L3D_543038";"NavNode_L3D_543038";</v>
      </c>
    </row>
    <row r="345" spans="1:44" s="34" customFormat="1" ht="15" x14ac:dyDescent="0.25">
      <c r="A345" s="25"/>
      <c r="B345" s="5"/>
      <c r="C345" s="5"/>
      <c r="D345" s="5" t="s">
        <v>608</v>
      </c>
      <c r="E345" s="5"/>
      <c r="F345" s="5"/>
      <c r="G345" s="5" t="s">
        <v>1015</v>
      </c>
      <c r="H345" s="5" t="s">
        <v>777</v>
      </c>
      <c r="I345" s="5" t="s">
        <v>667</v>
      </c>
      <c r="J345" s="5" t="s">
        <v>878</v>
      </c>
      <c r="K345" s="5" t="s">
        <v>1409</v>
      </c>
      <c r="L345" s="5" t="s">
        <v>15237</v>
      </c>
      <c r="M345" s="5" t="s">
        <v>1409</v>
      </c>
      <c r="N345" s="5" t="s">
        <v>2064</v>
      </c>
      <c r="O345" s="5" t="s">
        <v>4432</v>
      </c>
      <c r="P345" s="5" t="s">
        <v>4433</v>
      </c>
      <c r="Q345" s="5" t="s">
        <v>4434</v>
      </c>
      <c r="R345" s="5" t="s">
        <v>4435</v>
      </c>
      <c r="S345" s="5" t="s">
        <v>4436</v>
      </c>
      <c r="T345" s="5" t="s">
        <v>4437</v>
      </c>
      <c r="U345" s="5" t="s">
        <v>4438</v>
      </c>
      <c r="V345" s="5" t="s">
        <v>4439</v>
      </c>
      <c r="W345" s="5" t="s">
        <v>4440</v>
      </c>
      <c r="X345" s="5" t="s">
        <v>15029</v>
      </c>
      <c r="Y345" s="39" t="str">
        <f>IF(OR($A345&lt;&gt;"", $G345=""),"",CONCATENATE(";",EscStr(CONCATENATE("NavNode_",getCategoryLevelAsString($B345))),";",EscStr($J345),";",IF($B345&lt;&gt;"","""MainCategoryNavNode""",EscStr(CONCATENATE("NavNode_",getSuperCategory($B345, getCategoryLevelAsNumber($B345))))),";"))</f>
        <v>;"NavNode_L3D_543040";"Paper / Transparencies / Labels";"NavNode_L2D_542983";</v>
      </c>
      <c r="Z345" s="39" t="str">
        <f>IF(getCategoryLevelAsString($B345)="L0D_324785","",IF(G345="",CONCATENATE(";",EscStr(CONCATENATE("NavNode_",getCategoryLevelAsString($B345))),";",EscStr($J345),";"),CONCATENATE(";",EscStr(CONCATENATE("NavNode_",getCategoryLevelAsString($B345))),";",EscStr(G345),";")))</f>
        <v>;"NavNode_L3D_543040";"Papier / Folien / Etiketten";</v>
      </c>
      <c r="AA345" s="39" t="str">
        <f>IF(getCategoryLevelAsString($B345)="L0D_324785","",IF(H345="",CONCATENATE(";",EscStr(CONCATENATE("NavNode_",getCategoryLevelAsString($B345))),";",EscStr($J345),";"),CONCATENATE(";",EscStr(CONCATENATE("NavNode_",getCategoryLevelAsString($B345))),";",EscStr(H345),";")))</f>
        <v>;"NavNode_L3D_543040";"Papier / Transparents / Etiquettes";</v>
      </c>
      <c r="AB345" s="39" t="str">
        <f>IF(getCategoryLevelAsString($B345)="L0D_324785","",IF(I345="",CONCATENATE(";",EscStr(CONCATENATE("NavNode_",getCategoryLevelAsString($B345))),";",EscStr($J345),";"),CONCATENATE(";",EscStr(CONCATENATE("NavNode_",getCategoryLevelAsString($B345))),";",EscStr(I345),";")))</f>
        <v>;"NavNode_L3D_543040";"Carta / lucidi / etichette";</v>
      </c>
      <c r="AC345" s="39" t="str">
        <f>IF(getCategoryLevelAsString($B345)="L0D_324785","",IF(J345="",CONCATENATE(";",EscStr(CONCATENATE("NavNode_",getCategoryLevelAsString($B345))),";",EscStr($J345),";"),CONCATENATE(";",EscStr(CONCATENATE("NavNode_",getCategoryLevelAsString($B345))),";",EscStr(J345),";")))</f>
        <v>;"NavNode_L3D_543040";"Paper / Transparencies / Labels";</v>
      </c>
      <c r="AD345" s="39" t="str">
        <f>IF(getCategoryLevelAsString($B345)="L0D_324785","",IF(K345="",CONCATENATE(";",EscStr(CONCATENATE("NavNode_",getCategoryLevelAsString($B345))),";",EscStr($J345),";"),CONCATENATE(";",EscStr(CONCATENATE("NavNode_",getCategoryLevelAsString($B345))),";",EscStr(K345),";")))</f>
        <v>;"NavNode_L3D_543040";"Papir/transparenter/etiketter";</v>
      </c>
      <c r="AE345" s="39" t="str">
        <f>IF(getCategoryLevelAsString($B345)="L0D_324785","",IF(L345="",CONCATENATE(";",EscStr(CONCATENATE("NavNode_",getCategoryLevelAsString($B345))),";",EscStr($J345),";"),CONCATENATE(";",EscStr(CONCATENATE("NavNode_",getCategoryLevelAsString($B345))),";",EscStr(L345),";")))</f>
        <v>;"NavNode_L3D_543040";"Popierius / Plėvelės / Etiketės";</v>
      </c>
      <c r="AF345" s="39" t="str">
        <f>IF(getCategoryLevelAsString($B345)="L0D_324785","",IF(M345="",CONCATENATE(";",EscStr(CONCATENATE("NavNode_",getCategoryLevelAsString($B345))),";",EscStr($J345),";"),CONCATENATE(";",EscStr(CONCATENATE("NavNode_",getCategoryLevelAsString($B345))),";",EscStr(M345),";")))</f>
        <v>;"NavNode_L3D_543040";"Papir/transparenter/etiketter";</v>
      </c>
      <c r="AG345" s="39" t="str">
        <f>IF(getCategoryLevelAsString($B345)="L0D_324785","",IF(N345="",CONCATENATE(";",EscStr(CONCATENATE("NavNode_",getCategoryLevelAsString($B345))),";",EscStr($J345),";"),CONCATENATE(";",EscStr(CONCATENATE("NavNode_",getCategoryLevelAsString($B345))),";",EscStr(N345),";")))</f>
        <v>;"NavNode_L3D_543040";"Papper/OH-ark/Etiketter";</v>
      </c>
      <c r="AH345" s="39" t="str">
        <f>IF(getCategoryLevelAsString($B345)="L0D_324785","",IF(O345="",CONCATENATE(";",EscStr(CONCATENATE("NavNode_",getCategoryLevelAsString($B345))),";",EscStr($J345),";"),CONCATENATE(";",EscStr(CONCATENATE("NavNode_",getCategoryLevelAsString($B345))),";",EscStr(O345),";")))</f>
        <v>;"NavNode_L3D_543040";"Paber / Kiled / Etiketid";</v>
      </c>
      <c r="AI345" s="39" t="str">
        <f>IF(getCategoryLevelAsString($B345)="L0D_324785","",IF(P345="",CONCATENATE(";",EscStr(CONCATENATE("NavNode_",getCategoryLevelAsString($B345))),";",EscStr($J345),";"),CONCATENATE(";",EscStr(CONCATENATE("NavNode_",getCategoryLevelAsString($B345))),";",EscStr(P345),";")))</f>
        <v>;"NavNode_L3D_543040";"Paperi/taskut/tarrat";</v>
      </c>
      <c r="AJ345" s="39" t="str">
        <f>IF(getCategoryLevelAsString($B345)="L0D_324785","",IF(Q345="",CONCATENATE(";",EscStr(CONCATENATE("NavNode_",getCategoryLevelAsString($B345))),";",EscStr($J345),";"),CONCATENATE(";",EscStr(CONCATENATE("NavNode_",getCategoryLevelAsString($B345))),";",EscStr(Q345),";")))</f>
        <v>;"NavNode_L3D_543040";"Papīrs / Kodoskopu plēves / Uzlīmes";</v>
      </c>
      <c r="AK345" s="39" t="str">
        <f>IF(getCategoryLevelAsString($B345)="L0D_324785","",IF(R345="",CONCATENATE(";",EscStr(CONCATENATE("NavNode_",getCategoryLevelAsString($B345))),";",EscStr($J345),";"),CONCATENATE(";",EscStr(CONCATENATE("NavNode_",getCategoryLevelAsString($B345))),";",EscStr(R345),";")))</f>
        <v>;"NavNode_L3D_543040";"Paper / Transparanten / Labels";</v>
      </c>
      <c r="AL345" s="39" t="str">
        <f>IF(getCategoryLevelAsString($B345)="L0D_324785","",IF(S345="",CONCATENATE(";",EscStr(CONCATENATE("NavNode_",getCategoryLevelAsString($B345))),";",EscStr($J345),";"),CONCATENATE(";",EscStr(CONCATENATE("NavNode_",getCategoryLevelAsString($B345))),";",EscStr(S345),";")))</f>
        <v>;"NavNode_L3D_543040";"Papiery / Folie / Etykiety";</v>
      </c>
      <c r="AM345" s="39" t="str">
        <f>IF(getCategoryLevelAsString($B345)="L0D_324785","",IF(T345="",CONCATENATE(";",EscStr(CONCATENATE("NavNode_",getCategoryLevelAsString($B345))),";",EscStr($J345),";"),CONCATENATE(";",EscStr(CONCATENATE("NavNode_",getCategoryLevelAsString($B345))),";",EscStr(T345),";")))</f>
        <v>;"NavNode_L3D_543040";"Бумажные / Прозрачные / Этикетки";</v>
      </c>
      <c r="AN345" s="39" t="str">
        <f>IF(getCategoryLevelAsString($B345)="L0D_324785","",IF(U345="",CONCATENATE(";",EscStr(CONCATENATE("NavNode_",getCategoryLevelAsString($B345))),";",EscStr($J345),";"),CONCATENATE(";",EscStr(CONCATENATE("NavNode_",getCategoryLevelAsString($B345))),";",EscStr(U345),";")))</f>
        <v>;"NavNode_L3D_543040";"Papír / Fólie / Etikety";</v>
      </c>
      <c r="AO345" s="39" t="str">
        <f>IF(getCategoryLevelAsString($B345)="L0D_324785","",IF(V345="",CONCATENATE(";",EscStr(CONCATENATE("NavNode_",getCategoryLevelAsString($B345))),";",EscStr($J345),";"),CONCATENATE(";",EscStr(CONCATENATE("NavNode_",getCategoryLevelAsString($B345))),";",EscStr(V345),";")))</f>
        <v>;"NavNode_L3D_543040";"Hârtie / folie / Etichete";</v>
      </c>
      <c r="AP345" s="39" t="str">
        <f>IF(getCategoryLevelAsString($B345)="L0D_324785","",IF(W345="",CONCATENATE(";",EscStr(CONCATENATE("NavNode_",getCategoryLevelAsString($B345))),";",EscStr($J345),";"),CONCATENATE(";",EscStr(CONCATENATE("NavNode_",getCategoryLevelAsString($B345))),";",EscStr(W345),";")))</f>
        <v>;"NavNode_L3D_543040";"Papír / Fólia / Címke";</v>
      </c>
      <c r="AQ345" s="39" t="str">
        <f>IF(getCategoryLevelAsString($B345)="L0D_324785","",IF(X345="",CONCATENATE(";",EscStr(CONCATENATE("NavNode_",getCategoryLevelAsString($B345))),";",EscStr($J345),";"),CONCATENATE(";",EscStr(CONCATENATE("NavNode_",getCategoryLevelAsString($B345))),";",EscStr(X345),";")))</f>
        <v>;"NavNode_L3D_543040";"Papier / Fólie / Etikety";</v>
      </c>
      <c r="AR345" s="39" t="str">
        <f>IF(OR($A345&lt;&gt;"", $G345=""),"",CONCATENATE(";",EscStr(CONCATENATE("NavEntry_",getCategoryLevelAsString($B345))),";",EscStr(CONCATENATE($J345," Navigation Entry")),";",EscStr(CONCATENATE("cat-",getCategoryLevelAsString($B345))),";",EscStr(CONCATENATE("NavNode_",getCategoryLevelAsString($B345))),";"))</f>
        <v>;"NavEntry_L3D_543040";"Paper / Transparencies / Labels Navigation Entry";"cat-L3D_543040";"NavNode_L3D_543040";</v>
      </c>
    </row>
    <row r="346" spans="1:44" s="34" customFormat="1" ht="15" x14ac:dyDescent="0.25">
      <c r="A346" s="25"/>
      <c r="B346" s="5"/>
      <c r="C346" s="5"/>
      <c r="D346" s="5" t="s">
        <v>778</v>
      </c>
      <c r="E346" s="5"/>
      <c r="F346" s="5"/>
      <c r="G346" s="5" t="s">
        <v>1016</v>
      </c>
      <c r="H346" s="5" t="s">
        <v>1098</v>
      </c>
      <c r="I346" s="5" t="s">
        <v>1157</v>
      </c>
      <c r="J346" s="5" t="s">
        <v>879</v>
      </c>
      <c r="K346" s="5" t="s">
        <v>1410</v>
      </c>
      <c r="L346" s="5" t="s">
        <v>1646</v>
      </c>
      <c r="M346" s="5" t="s">
        <v>1847</v>
      </c>
      <c r="N346" s="5" t="s">
        <v>2065</v>
      </c>
      <c r="O346" s="5" t="s">
        <v>4441</v>
      </c>
      <c r="P346" s="5" t="s">
        <v>4442</v>
      </c>
      <c r="Q346" s="5" t="s">
        <v>4443</v>
      </c>
      <c r="R346" s="5" t="s">
        <v>879</v>
      </c>
      <c r="S346" s="5" t="s">
        <v>4444</v>
      </c>
      <c r="T346" s="5" t="s">
        <v>4445</v>
      </c>
      <c r="U346" s="5" t="s">
        <v>4446</v>
      </c>
      <c r="V346" s="5" t="s">
        <v>4447</v>
      </c>
      <c r="W346" s="5" t="s">
        <v>1016</v>
      </c>
      <c r="X346" s="5" t="s">
        <v>4446</v>
      </c>
      <c r="Y346" s="39" t="str">
        <f>IF(OR($A346&lt;&gt;"", $G346=""),"",CONCATENATE(";",EscStr(CONCATENATE("NavNode_",getCategoryLevelAsString($B346))),";",EscStr($J346),";",IF($B346&lt;&gt;"","""MainCategoryNavNode""",EscStr(CONCATENATE("NavNode_",getSuperCategory($B346, getCategoryLevelAsNumber($B346))))),";"))</f>
        <v>;"NavNode_L3D_543042";"CD/ DVD/ Blu-ray Labels";"NavNode_L2D_542983";</v>
      </c>
      <c r="Z346" s="39" t="str">
        <f>IF(getCategoryLevelAsString($B346)="L0D_324785","",IF(G346="",CONCATENATE(";",EscStr(CONCATENATE("NavNode_",getCategoryLevelAsString($B346))),";",EscStr($J346),";"),CONCATENATE(";",EscStr(CONCATENATE("NavNode_",getCategoryLevelAsString($B346))),";",EscStr(G346),";")))</f>
        <v>;"NavNode_L3D_543042";"Etiketten für CD / DVD / Blu-ray";</v>
      </c>
      <c r="AA346" s="39" t="str">
        <f>IF(getCategoryLevelAsString($B346)="L0D_324785","",IF(H346="",CONCATENATE(";",EscStr(CONCATENATE("NavNode_",getCategoryLevelAsString($B346))),";",EscStr($J346),";"),CONCATENATE(";",EscStr(CONCATENATE("NavNode_",getCategoryLevelAsString($B346))),";",EscStr(H346),";")))</f>
        <v>;"NavNode_L3D_543042";"Etiquettes pour CD / DVD / Blu-ray";</v>
      </c>
      <c r="AB346" s="39" t="str">
        <f>IF(getCategoryLevelAsString($B346)="L0D_324785","",IF(I346="",CONCATENATE(";",EscStr(CONCATENATE("NavNode_",getCategoryLevelAsString($B346))),";",EscStr($J346),";"),CONCATENATE(";",EscStr(CONCATENATE("NavNode_",getCategoryLevelAsString($B346))),";",EscStr(I346),";")))</f>
        <v>;"NavNode_L3D_543042";"Etichette CD/ DVD/ Blu-ray";</v>
      </c>
      <c r="AC346" s="39" t="str">
        <f>IF(getCategoryLevelAsString($B346)="L0D_324785","",IF(J346="",CONCATENATE(";",EscStr(CONCATENATE("NavNode_",getCategoryLevelAsString($B346))),";",EscStr($J346),";"),CONCATENATE(";",EscStr(CONCATENATE("NavNode_",getCategoryLevelAsString($B346))),";",EscStr(J346),";")))</f>
        <v>;"NavNode_L3D_543042";"CD/ DVD/ Blu-ray Labels";</v>
      </c>
      <c r="AD346" s="39" t="str">
        <f>IF(getCategoryLevelAsString($B346)="L0D_324785","",IF(K346="",CONCATENATE(";",EscStr(CONCATENATE("NavNode_",getCategoryLevelAsString($B346))),";",EscStr($J346),";"),CONCATENATE(";",EscStr(CONCATENATE("NavNode_",getCategoryLevelAsString($B346))),";",EscStr(K346),";")))</f>
        <v>;"NavNode_L3D_543042";"Cd/dvd/Blu-ray-etiketter";</v>
      </c>
      <c r="AE346" s="39" t="str">
        <f>IF(getCategoryLevelAsString($B346)="L0D_324785","",IF(L346="",CONCATENATE(";",EscStr(CONCATENATE("NavNode_",getCategoryLevelAsString($B346))),";",EscStr($J346),";"),CONCATENATE(";",EscStr(CONCATENATE("NavNode_",getCategoryLevelAsString($B346))),";",EscStr(L346),";")))</f>
        <v>;"NavNode_L3D_543042";"CD/ DVD/ „Blu-ray“ etiketės";</v>
      </c>
      <c r="AF346" s="39" t="str">
        <f>IF(getCategoryLevelAsString($B346)="L0D_324785","",IF(M346="",CONCATENATE(";",EscStr(CONCATENATE("NavNode_",getCategoryLevelAsString($B346))),";",EscStr($J346),";"),CONCATENATE(";",EscStr(CONCATENATE("NavNode_",getCategoryLevelAsString($B346))),";",EscStr(M346),";")))</f>
        <v>;"NavNode_L3D_543042";"Etiketter for CD/DVD/Blu-ray";</v>
      </c>
      <c r="AG346" s="39" t="str">
        <f>IF(getCategoryLevelAsString($B346)="L0D_324785","",IF(N346="",CONCATENATE(";",EscStr(CONCATENATE("NavNode_",getCategoryLevelAsString($B346))),";",EscStr($J346),";"),CONCATENATE(";",EscStr(CONCATENATE("NavNode_",getCategoryLevelAsString($B346))),";",EscStr(N346),";")))</f>
        <v>;"NavNode_L3D_543042";"CD-/DVD-/Blu-ray-etiketter";</v>
      </c>
      <c r="AH346" s="39" t="str">
        <f>IF(getCategoryLevelAsString($B346)="L0D_324785","",IF(O346="",CONCATENATE(";",EscStr(CONCATENATE("NavNode_",getCategoryLevelAsString($B346))),";",EscStr($J346),";"),CONCATENATE(";",EscStr(CONCATENATE("NavNode_",getCategoryLevelAsString($B346))),";",EscStr(O346),";")))</f>
        <v>;"NavNode_L3D_543042";"CD / DVD / Blu-ray kleebised";</v>
      </c>
      <c r="AI346" s="39" t="str">
        <f>IF(getCategoryLevelAsString($B346)="L0D_324785","",IF(P346="",CONCATENATE(";",EscStr(CONCATENATE("NavNode_",getCategoryLevelAsString($B346))),";",EscStr($J346),";"),CONCATENATE(";",EscStr(CONCATENATE("NavNode_",getCategoryLevelAsString($B346))),";",EscStr(P346),";")))</f>
        <v>;"NavNode_L3D_543042";"CD/ DVD/ Blu-ray Tarrat";</v>
      </c>
      <c r="AJ346" s="39" t="str">
        <f>IF(getCategoryLevelAsString($B346)="L0D_324785","",IF(Q346="",CONCATENATE(";",EscStr(CONCATENATE("NavNode_",getCategoryLevelAsString($B346))),";",EscStr($J346),";"),CONCATENATE(";",EscStr(CONCATENATE("NavNode_",getCategoryLevelAsString($B346))),";",EscStr(Q346),";")))</f>
        <v>;"NavNode_L3D_543042";"CD/ DVD/ Blu-ray uzlīmes";</v>
      </c>
      <c r="AK346" s="39" t="str">
        <f>IF(getCategoryLevelAsString($B346)="L0D_324785","",IF(R346="",CONCATENATE(";",EscStr(CONCATENATE("NavNode_",getCategoryLevelAsString($B346))),";",EscStr($J346),";"),CONCATENATE(";",EscStr(CONCATENATE("NavNode_",getCategoryLevelAsString($B346))),";",EscStr(R346),";")))</f>
        <v>;"NavNode_L3D_543042";"CD/ DVD/ Blu-ray Labels";</v>
      </c>
      <c r="AL346" s="39" t="str">
        <f>IF(getCategoryLevelAsString($B346)="L0D_324785","",IF(S346="",CONCATENATE(";",EscStr(CONCATENATE("NavNode_",getCategoryLevelAsString($B346))),";",EscStr($J346),";"),CONCATENATE(";",EscStr(CONCATENATE("NavNode_",getCategoryLevelAsString($B346))),";",EscStr(S346),";")))</f>
        <v>;"NavNode_L3D_543042";"Etykiety do CD / DVD / Blu-ray";</v>
      </c>
      <c r="AM346" s="39" t="str">
        <f>IF(getCategoryLevelAsString($B346)="L0D_324785","",IF(T346="",CONCATENATE(";",EscStr(CONCATENATE("NavNode_",getCategoryLevelAsString($B346))),";",EscStr($J346),";"),CONCATENATE(";",EscStr(CONCATENATE("NavNode_",getCategoryLevelAsString($B346))),";",EscStr(T346),";")))</f>
        <v>;"NavNode_L3D_543042";"CD/ DVD/ Blu-ray Этикетки";</v>
      </c>
      <c r="AN346" s="39" t="str">
        <f>IF(getCategoryLevelAsString($B346)="L0D_324785","",IF(U346="",CONCATENATE(";",EscStr(CONCATENATE("NavNode_",getCategoryLevelAsString($B346))),";",EscStr($J346),";"),CONCATENATE(";",EscStr(CONCATENATE("NavNode_",getCategoryLevelAsString($B346))),";",EscStr(U346),";")))</f>
        <v>;"NavNode_L3D_543042";"Etikety na CD / DVD / Blu-ray";</v>
      </c>
      <c r="AO346" s="39" t="str">
        <f>IF(getCategoryLevelAsString($B346)="L0D_324785","",IF(V346="",CONCATENATE(";",EscStr(CONCATENATE("NavNode_",getCategoryLevelAsString($B346))),";",EscStr($J346),";"),CONCATENATE(";",EscStr(CONCATENATE("NavNode_",getCategoryLevelAsString($B346))),";",EscStr(V346),";")))</f>
        <v>;"NavNode_L3D_543042";"Etichete pentru CD / DVD / Blu-ray";</v>
      </c>
      <c r="AP346" s="39" t="str">
        <f>IF(getCategoryLevelAsString($B346)="L0D_324785","",IF(W346="",CONCATENATE(";",EscStr(CONCATENATE("NavNode_",getCategoryLevelAsString($B346))),";",EscStr($J346),";"),CONCATENATE(";",EscStr(CONCATENATE("NavNode_",getCategoryLevelAsString($B346))),";",EscStr(W346),";")))</f>
        <v>;"NavNode_L3D_543042";"Etiketten für CD / DVD / Blu-ray";</v>
      </c>
      <c r="AQ346" s="39" t="str">
        <f>IF(getCategoryLevelAsString($B346)="L0D_324785","",IF(X346="",CONCATENATE(";",EscStr(CONCATENATE("NavNode_",getCategoryLevelAsString($B346))),";",EscStr($J346),";"),CONCATENATE(";",EscStr(CONCATENATE("NavNode_",getCategoryLevelAsString($B346))),";",EscStr(X346),";")))</f>
        <v>;"NavNode_L3D_543042";"Etikety na CD / DVD / Blu-ray";</v>
      </c>
      <c r="AR346" s="39" t="str">
        <f>IF(OR($A346&lt;&gt;"", $G346=""),"",CONCATENATE(";",EscStr(CONCATENATE("NavEntry_",getCategoryLevelAsString($B346))),";",EscStr(CONCATENATE($J346," Navigation Entry")),";",EscStr(CONCATENATE("cat-",getCategoryLevelAsString($B346))),";",EscStr(CONCATENATE("NavNode_",getCategoryLevelAsString($B346))),";"))</f>
        <v>;"NavEntry_L3D_543042";"CD/ DVD/ Blu-ray Labels Navigation Entry";"cat-L3D_543042";"NavNode_L3D_543042";</v>
      </c>
    </row>
    <row r="347" spans="1:44" s="34" customFormat="1" ht="15" x14ac:dyDescent="0.25">
      <c r="A347" s="25"/>
      <c r="B347" s="5"/>
      <c r="C347" s="5" t="s">
        <v>633</v>
      </c>
      <c r="D347" s="5"/>
      <c r="E347" s="5"/>
      <c r="F347" s="5"/>
      <c r="G347" s="5" t="s">
        <v>952</v>
      </c>
      <c r="H347" s="5" t="s">
        <v>786</v>
      </c>
      <c r="I347" s="5" t="s">
        <v>683</v>
      </c>
      <c r="J347" s="5" t="s">
        <v>888</v>
      </c>
      <c r="K347" s="5" t="s">
        <v>13848</v>
      </c>
      <c r="L347" s="5" t="s">
        <v>1655</v>
      </c>
      <c r="M347" s="5" t="s">
        <v>1856</v>
      </c>
      <c r="N347" s="5" t="s">
        <v>2074</v>
      </c>
      <c r="O347" s="5" t="s">
        <v>4519</v>
      </c>
      <c r="P347" s="5" t="s">
        <v>4520</v>
      </c>
      <c r="Q347" s="5" t="s">
        <v>4521</v>
      </c>
      <c r="R347" s="5" t="s">
        <v>888</v>
      </c>
      <c r="S347" s="5" t="s">
        <v>4522</v>
      </c>
      <c r="T347" s="5" t="s">
        <v>4523</v>
      </c>
      <c r="U347" s="5" t="s">
        <v>4524</v>
      </c>
      <c r="V347" s="5" t="s">
        <v>4525</v>
      </c>
      <c r="W347" s="5" t="s">
        <v>4526</v>
      </c>
      <c r="X347" s="5" t="s">
        <v>15030</v>
      </c>
      <c r="Y347" s="39" t="str">
        <f>IF(OR($A347&lt;&gt;"", $G347=""),"",CONCATENATE(";",EscStr(CONCATENATE("NavNode_",getCategoryLevelAsString($B347))),";",EscStr($J347),";",IF($B347&lt;&gt;"","""MainCategoryNavNode""",EscStr(CONCATENATE("NavNode_",getSuperCategory($B347, getCategoryLevelAsNumber($B347))))),";"))</f>
        <v>;"NavNode_L2D_542984";"Software &amp; Office Supplies";"NavNode_Computing / Office";</v>
      </c>
      <c r="Z347" s="39" t="str">
        <f>IF(getCategoryLevelAsString($B347)="L0D_324785","",IF(G347="",CONCATENATE(";",EscStr(CONCATENATE("NavNode_",getCategoryLevelAsString($B347))),";",EscStr($J347),";"),CONCATENATE(";",EscStr(CONCATENATE("NavNode_",getCategoryLevelAsString($B347))),";",EscStr(G347),";")))</f>
        <v>;"NavNode_L2D_542984";"Software und Bürobedarf";</v>
      </c>
      <c r="AA347" s="39" t="str">
        <f>IF(getCategoryLevelAsString($B347)="L0D_324785","",IF(H347="",CONCATENATE(";",EscStr(CONCATENATE("NavNode_",getCategoryLevelAsString($B347))),";",EscStr($J347),";"),CONCATENATE(";",EscStr(CONCATENATE("NavNode_",getCategoryLevelAsString($B347))),";",EscStr(H347),";")))</f>
        <v>;"NavNode_L2D_542984";"Logiciels et fournitures de bureau";</v>
      </c>
      <c r="AB347" s="39" t="str">
        <f>IF(getCategoryLevelAsString($B347)="L0D_324785","",IF(I347="",CONCATENATE(";",EscStr(CONCATENATE("NavNode_",getCategoryLevelAsString($B347))),";",EscStr($J347),";"),CONCATENATE(";",EscStr(CONCATENATE("NavNode_",getCategoryLevelAsString($B347))),";",EscStr(I347),";")))</f>
        <v>;"NavNode_L2D_542984";"Software e forniture per ufficio";</v>
      </c>
      <c r="AC347" s="39" t="str">
        <f>IF(getCategoryLevelAsString($B347)="L0D_324785","",IF(J347="",CONCATENATE(";",EscStr(CONCATENATE("NavNode_",getCategoryLevelAsString($B347))),";",EscStr($J347),";"),CONCATENATE(";",EscStr(CONCATENATE("NavNode_",getCategoryLevelAsString($B347))),";",EscStr(J347),";")))</f>
        <v>;"NavNode_L2D_542984";"Software &amp; Office Supplies";</v>
      </c>
      <c r="AD347" s="39" t="str">
        <f>IF(getCategoryLevelAsString($B347)="L0D_324785","",IF(K347="",CONCATENATE(";",EscStr(CONCATENATE("NavNode_",getCategoryLevelAsString($B347))),";",EscStr($J347),";"),CONCATENATE(";",EscStr(CONCATENATE("NavNode_",getCategoryLevelAsString($B347))),";",EscStr(K347),";")))</f>
        <v>;"NavNode_L2D_542984";"Software &amp; kontorudstyr";</v>
      </c>
      <c r="AE347" s="39" t="str">
        <f>IF(getCategoryLevelAsString($B347)="L0D_324785","",IF(L347="",CONCATENATE(";",EscStr(CONCATENATE("NavNode_",getCategoryLevelAsString($B347))),";",EscStr($J347),";"),CONCATENATE(";",EscStr(CONCATENATE("NavNode_",getCategoryLevelAsString($B347))),";",EscStr(L347),";")))</f>
        <v>;"NavNode_L2D_542984";"Programinė įranga ir biuro reikmenys";</v>
      </c>
      <c r="AF347" s="39" t="str">
        <f>IF(getCategoryLevelAsString($B347)="L0D_324785","",IF(M347="",CONCATENATE(";",EscStr(CONCATENATE("NavNode_",getCategoryLevelAsString($B347))),";",EscStr($J347),";"),CONCATENATE(";",EscStr(CONCATENATE("NavNode_",getCategoryLevelAsString($B347))),";",EscStr(M347),";")))</f>
        <v>;"NavNode_L2D_542984";"Programvare- og kontortilbehør";</v>
      </c>
      <c r="AG347" s="39" t="str">
        <f>IF(getCategoryLevelAsString($B347)="L0D_324785","",IF(N347="",CONCATENATE(";",EscStr(CONCATENATE("NavNode_",getCategoryLevelAsString($B347))),";",EscStr($J347),";"),CONCATENATE(";",EscStr(CONCATENATE("NavNode_",getCategoryLevelAsString($B347))),";",EscStr(N347),";")))</f>
        <v>;"NavNode_L2D_542984";"Programvara och kontorstillbehör";</v>
      </c>
      <c r="AH347" s="39" t="str">
        <f>IF(getCategoryLevelAsString($B347)="L0D_324785","",IF(O347="",CONCATENATE(";",EscStr(CONCATENATE("NavNode_",getCategoryLevelAsString($B347))),";",EscStr($J347),";"),CONCATENATE(";",EscStr(CONCATENATE("NavNode_",getCategoryLevelAsString($B347))),";",EscStr(O347),";")))</f>
        <v>;"NavNode_L2D_542984";"Tarkvara ja kontoritarbed";</v>
      </c>
      <c r="AI347" s="39" t="str">
        <f>IF(getCategoryLevelAsString($B347)="L0D_324785","",IF(P347="",CONCATENATE(";",EscStr(CONCATENATE("NavNode_",getCategoryLevelAsString($B347))),";",EscStr($J347),";"),CONCATENATE(";",EscStr(CONCATENATE("NavNode_",getCategoryLevelAsString($B347))),";",EscStr(P347),";")))</f>
        <v>;"NavNode_L2D_542984";"Ohjelmisto ja toimistotarvikkeet";</v>
      </c>
      <c r="AJ347" s="39" t="str">
        <f>IF(getCategoryLevelAsString($B347)="L0D_324785","",IF(Q347="",CONCATENATE(";",EscStr(CONCATENATE("NavNode_",getCategoryLevelAsString($B347))),";",EscStr($J347),";"),CONCATENATE(";",EscStr(CONCATENATE("NavNode_",getCategoryLevelAsString($B347))),";",EscStr(Q347),";")))</f>
        <v>;"NavNode_L2D_542984";"Programmatūra un biroja preces";</v>
      </c>
      <c r="AK347" s="39" t="str">
        <f>IF(getCategoryLevelAsString($B347)="L0D_324785","",IF(R347="",CONCATENATE(";",EscStr(CONCATENATE("NavNode_",getCategoryLevelAsString($B347))),";",EscStr($J347),";"),CONCATENATE(";",EscStr(CONCATENATE("NavNode_",getCategoryLevelAsString($B347))),";",EscStr(R347),";")))</f>
        <v>;"NavNode_L2D_542984";"Software &amp; Office Supplies";</v>
      </c>
      <c r="AL347" s="39" t="str">
        <f>IF(getCategoryLevelAsString($B347)="L0D_324785","",IF(S347="",CONCATENATE(";",EscStr(CONCATENATE("NavNode_",getCategoryLevelAsString($B347))),";",EscStr($J347),";"),CONCATENATE(";",EscStr(CONCATENATE("NavNode_",getCategoryLevelAsString($B347))),";",EscStr(S347),";")))</f>
        <v>;"NavNode_L2D_542984";"Zaopatrzenie Oprogramowanie i Biuro";</v>
      </c>
      <c r="AM347" s="39" t="str">
        <f>IF(getCategoryLevelAsString($B347)="L0D_324785","",IF(T347="",CONCATENATE(";",EscStr(CONCATENATE("NavNode_",getCategoryLevelAsString($B347))),";",EscStr($J347),";"),CONCATENATE(";",EscStr(CONCATENATE("NavNode_",getCategoryLevelAsString($B347))),";",EscStr(T347),";")))</f>
        <v>;"NavNode_L2D_542984";"Программное обеспечение &amp; Офисное оборудование";</v>
      </c>
      <c r="AN347" s="39" t="str">
        <f>IF(getCategoryLevelAsString($B347)="L0D_324785","",IF(U347="",CONCATENATE(";",EscStr(CONCATENATE("NavNode_",getCategoryLevelAsString($B347))),";",EscStr($J347),";"),CONCATENATE(";",EscStr(CONCATENATE("NavNode_",getCategoryLevelAsString($B347))),";",EscStr(U347),";")))</f>
        <v>;"NavNode_L2D_542984";"Software a kancelářské potřeby";</v>
      </c>
      <c r="AO347" s="39" t="str">
        <f>IF(getCategoryLevelAsString($B347)="L0D_324785","",IF(V347="",CONCATENATE(";",EscStr(CONCATENATE("NavNode_",getCategoryLevelAsString($B347))),";",EscStr($J347),";"),CONCATENATE(";",EscStr(CONCATENATE("NavNode_",getCategoryLevelAsString($B347))),";",EscStr(V347),";")))</f>
        <v>;"NavNode_L2D_542984";"software şi necesar birotică";</v>
      </c>
      <c r="AP347" s="39" t="str">
        <f>IF(getCategoryLevelAsString($B347)="L0D_324785","",IF(W347="",CONCATENATE(";",EscStr(CONCATENATE("NavNode_",getCategoryLevelAsString($B347))),";",EscStr($J347),";"),CONCATENATE(";",EscStr(CONCATENATE("NavNode_",getCategoryLevelAsString($B347))),";",EscStr(W347),";")))</f>
        <v>;"NavNode_L2D_542984";"Programmok és irodaszerek";</v>
      </c>
      <c r="AQ347" s="39" t="str">
        <f>IF(getCategoryLevelAsString($B347)="L0D_324785","",IF(X347="",CONCATENATE(";",EscStr(CONCATENATE("NavNode_",getCategoryLevelAsString($B347))),";",EscStr($J347),";"),CONCATENATE(";",EscStr(CONCATENATE("NavNode_",getCategoryLevelAsString($B347))),";",EscStr(X347),";")))</f>
        <v>;"NavNode_L2D_542984";"Softvér a kancelárske potreby";</v>
      </c>
      <c r="AR347" s="39" t="str">
        <f>IF(OR($A347&lt;&gt;"", $G347=""),"",CONCATENATE(";",EscStr(CONCATENATE("NavEntry_",getCategoryLevelAsString($B347))),";",EscStr(CONCATENATE($J347," Navigation Entry")),";",EscStr(CONCATENATE("cat-",getCategoryLevelAsString($B347))),";",EscStr(CONCATENATE("NavNode_",getCategoryLevelAsString($B347))),";"))</f>
        <v>;"NavEntry_L2D_542984";"Software &amp; Office Supplies Navigation Entry";"cat-L2D_542984";"NavNode_L2D_542984";</v>
      </c>
    </row>
    <row r="348" spans="1:44" s="34" customFormat="1" ht="15" x14ac:dyDescent="0.25">
      <c r="A348" s="25"/>
      <c r="B348" s="5"/>
      <c r="C348" s="5"/>
      <c r="D348" s="5" t="s">
        <v>634</v>
      </c>
      <c r="E348" s="5"/>
      <c r="F348" s="5"/>
      <c r="G348" s="5" t="s">
        <v>684</v>
      </c>
      <c r="H348" s="5" t="s">
        <v>787</v>
      </c>
      <c r="I348" s="5" t="s">
        <v>684</v>
      </c>
      <c r="J348" s="5" t="s">
        <v>684</v>
      </c>
      <c r="K348" s="5" t="s">
        <v>684</v>
      </c>
      <c r="L348" s="5" t="s">
        <v>1656</v>
      </c>
      <c r="M348" s="5" t="s">
        <v>1857</v>
      </c>
      <c r="N348" s="5" t="s">
        <v>2075</v>
      </c>
      <c r="O348" s="5" t="s">
        <v>4527</v>
      </c>
      <c r="P348" s="5" t="s">
        <v>4528</v>
      </c>
      <c r="Q348" s="5" t="s">
        <v>4529</v>
      </c>
      <c r="R348" s="5" t="s">
        <v>684</v>
      </c>
      <c r="S348" s="5" t="s">
        <v>4530</v>
      </c>
      <c r="T348" s="5" t="s">
        <v>4531</v>
      </c>
      <c r="U348" s="5" t="s">
        <v>684</v>
      </c>
      <c r="V348" s="5" t="s">
        <v>684</v>
      </c>
      <c r="W348" s="5" t="s">
        <v>4532</v>
      </c>
      <c r="X348" s="5" t="s">
        <v>15031</v>
      </c>
      <c r="Y348" s="39" t="str">
        <f>IF(OR($A348&lt;&gt;"", $G348=""),"",CONCATENATE(";",EscStr(CONCATENATE("NavNode_",getCategoryLevelAsString($B348))),";",EscStr($J348),";",IF($B348&lt;&gt;"","""MainCategoryNavNode""",EscStr(CONCATENATE("NavNode_",getSuperCategory($B348, getCategoryLevelAsNumber($B348))))),";"))</f>
        <v>;"NavNode_L3D_543049";"Software";"NavNode_L2D_542984";</v>
      </c>
      <c r="Z348" s="39" t="str">
        <f>IF(getCategoryLevelAsString($B348)="L0D_324785","",IF(G348="",CONCATENATE(";",EscStr(CONCATENATE("NavNode_",getCategoryLevelAsString($B348))),";",EscStr($J348),";"),CONCATENATE(";",EscStr(CONCATENATE("NavNode_",getCategoryLevelAsString($B348))),";",EscStr(G348),";")))</f>
        <v>;"NavNode_L3D_543049";"Software";</v>
      </c>
      <c r="AA348" s="39" t="str">
        <f>IF(getCategoryLevelAsString($B348)="L0D_324785","",IF(H348="",CONCATENATE(";",EscStr(CONCATENATE("NavNode_",getCategoryLevelAsString($B348))),";",EscStr($J348),";"),CONCATENATE(";",EscStr(CONCATENATE("NavNode_",getCategoryLevelAsString($B348))),";",EscStr(H348),";")))</f>
        <v>;"NavNode_L3D_543049";"Logiciel";</v>
      </c>
      <c r="AB348" s="39" t="str">
        <f>IF(getCategoryLevelAsString($B348)="L0D_324785","",IF(I348="",CONCATENATE(";",EscStr(CONCATENATE("NavNode_",getCategoryLevelAsString($B348))),";",EscStr($J348),";"),CONCATENATE(";",EscStr(CONCATENATE("NavNode_",getCategoryLevelAsString($B348))),";",EscStr(I348),";")))</f>
        <v>;"NavNode_L3D_543049";"Software";</v>
      </c>
      <c r="AC348" s="39" t="str">
        <f>IF(getCategoryLevelAsString($B348)="L0D_324785","",IF(J348="",CONCATENATE(";",EscStr(CONCATENATE("NavNode_",getCategoryLevelAsString($B348))),";",EscStr($J348),";"),CONCATENATE(";",EscStr(CONCATENATE("NavNode_",getCategoryLevelAsString($B348))),";",EscStr(J348),";")))</f>
        <v>;"NavNode_L3D_543049";"Software";</v>
      </c>
      <c r="AD348" s="39" t="str">
        <f>IF(getCategoryLevelAsString($B348)="L0D_324785","",IF(K348="",CONCATENATE(";",EscStr(CONCATENATE("NavNode_",getCategoryLevelAsString($B348))),";",EscStr($J348),";"),CONCATENATE(";",EscStr(CONCATENATE("NavNode_",getCategoryLevelAsString($B348))),";",EscStr(K348),";")))</f>
        <v>;"NavNode_L3D_543049";"Software";</v>
      </c>
      <c r="AE348" s="39" t="str">
        <f>IF(getCategoryLevelAsString($B348)="L0D_324785","",IF(L348="",CONCATENATE(";",EscStr(CONCATENATE("NavNode_",getCategoryLevelAsString($B348))),";",EscStr($J348),";"),CONCATENATE(";",EscStr(CONCATENATE("NavNode_",getCategoryLevelAsString($B348))),";",EscStr(L348),";")))</f>
        <v>;"NavNode_L3D_543049";"Programinė įranga";</v>
      </c>
      <c r="AF348" s="39" t="str">
        <f>IF(getCategoryLevelAsString($B348)="L0D_324785","",IF(M348="",CONCATENATE(";",EscStr(CONCATENATE("NavNode_",getCategoryLevelAsString($B348))),";",EscStr($J348),";"),CONCATENATE(";",EscStr(CONCATENATE("NavNode_",getCategoryLevelAsString($B348))),";",EscStr(M348),";")))</f>
        <v>;"NavNode_L3D_543049";"Programvare";</v>
      </c>
      <c r="AG348" s="39" t="str">
        <f>IF(getCategoryLevelAsString($B348)="L0D_324785","",IF(N348="",CONCATENATE(";",EscStr(CONCATENATE("NavNode_",getCategoryLevelAsString($B348))),";",EscStr($J348),";"),CONCATENATE(";",EscStr(CONCATENATE("NavNode_",getCategoryLevelAsString($B348))),";",EscStr(N348),";")))</f>
        <v>;"NavNode_L3D_543049";"Programvara";</v>
      </c>
      <c r="AH348" s="39" t="str">
        <f>IF(getCategoryLevelAsString($B348)="L0D_324785","",IF(O348="",CONCATENATE(";",EscStr(CONCATENATE("NavNode_",getCategoryLevelAsString($B348))),";",EscStr($J348),";"),CONCATENATE(";",EscStr(CONCATENATE("NavNode_",getCategoryLevelAsString($B348))),";",EscStr(O348),";")))</f>
        <v>;"NavNode_L3D_543049";"Tarkvara";</v>
      </c>
      <c r="AI348" s="39" t="str">
        <f>IF(getCategoryLevelAsString($B348)="L0D_324785","",IF(P348="",CONCATENATE(";",EscStr(CONCATENATE("NavNode_",getCategoryLevelAsString($B348))),";",EscStr($J348),";"),CONCATENATE(";",EscStr(CONCATENATE("NavNode_",getCategoryLevelAsString($B348))),";",EscStr(P348),";")))</f>
        <v>;"NavNode_L3D_543049";"Ohjelmistotarvikkeet";</v>
      </c>
      <c r="AJ348" s="39" t="str">
        <f>IF(getCategoryLevelAsString($B348)="L0D_324785","",IF(Q348="",CONCATENATE(";",EscStr(CONCATENATE("NavNode_",getCategoryLevelAsString($B348))),";",EscStr($J348),";"),CONCATENATE(";",EscStr(CONCATENATE("NavNode_",getCategoryLevelAsString($B348))),";",EscStr(Q348),";")))</f>
        <v>;"NavNode_L3D_543049";"Programmatūra";</v>
      </c>
      <c r="AK348" s="39" t="str">
        <f>IF(getCategoryLevelAsString($B348)="L0D_324785","",IF(R348="",CONCATENATE(";",EscStr(CONCATENATE("NavNode_",getCategoryLevelAsString($B348))),";",EscStr($J348),";"),CONCATENATE(";",EscStr(CONCATENATE("NavNode_",getCategoryLevelAsString($B348))),";",EscStr(R348),";")))</f>
        <v>;"NavNode_L3D_543049";"Software";</v>
      </c>
      <c r="AL348" s="39" t="str">
        <f>IF(getCategoryLevelAsString($B348)="L0D_324785","",IF(S348="",CONCATENATE(";",EscStr(CONCATENATE("NavNode_",getCategoryLevelAsString($B348))),";",EscStr($J348),";"),CONCATENATE(";",EscStr(CONCATENATE("NavNode_",getCategoryLevelAsString($B348))),";",EscStr(S348),";")))</f>
        <v>;"NavNode_L3D_543049";"Oprogramowanie";</v>
      </c>
      <c r="AM348" s="39" t="str">
        <f>IF(getCategoryLevelAsString($B348)="L0D_324785","",IF(T348="",CONCATENATE(";",EscStr(CONCATENATE("NavNode_",getCategoryLevelAsString($B348))),";",EscStr($J348),";"),CONCATENATE(";",EscStr(CONCATENATE("NavNode_",getCategoryLevelAsString($B348))),";",EscStr(T348),";")))</f>
        <v>;"NavNode_L3D_543049";"Программное обеспечение";</v>
      </c>
      <c r="AN348" s="39" t="str">
        <f>IF(getCategoryLevelAsString($B348)="L0D_324785","",IF(U348="",CONCATENATE(";",EscStr(CONCATENATE("NavNode_",getCategoryLevelAsString($B348))),";",EscStr($J348),";"),CONCATENATE(";",EscStr(CONCATENATE("NavNode_",getCategoryLevelAsString($B348))),";",EscStr(U348),";")))</f>
        <v>;"NavNode_L3D_543049";"Software";</v>
      </c>
      <c r="AO348" s="39" t="str">
        <f>IF(getCategoryLevelAsString($B348)="L0D_324785","",IF(V348="",CONCATENATE(";",EscStr(CONCATENATE("NavNode_",getCategoryLevelAsString($B348))),";",EscStr($J348),";"),CONCATENATE(";",EscStr(CONCATENATE("NavNode_",getCategoryLevelAsString($B348))),";",EscStr(V348),";")))</f>
        <v>;"NavNode_L3D_543049";"Software";</v>
      </c>
      <c r="AP348" s="39" t="str">
        <f>IF(getCategoryLevelAsString($B348)="L0D_324785","",IF(W348="",CONCATENATE(";",EscStr(CONCATENATE("NavNode_",getCategoryLevelAsString($B348))),";",EscStr($J348),";"),CONCATENATE(";",EscStr(CONCATENATE("NavNode_",getCategoryLevelAsString($B348))),";",EscStr(W348),";")))</f>
        <v>;"NavNode_L3D_543049";"Programmok";</v>
      </c>
      <c r="AQ348" s="39" t="str">
        <f>IF(getCategoryLevelAsString($B348)="L0D_324785","",IF(X348="",CONCATENATE(";",EscStr(CONCATENATE("NavNode_",getCategoryLevelAsString($B348))),";",EscStr($J348),";"),CONCATENATE(";",EscStr(CONCATENATE("NavNode_",getCategoryLevelAsString($B348))),";",EscStr(X348),";")))</f>
        <v>;"NavNode_L3D_543049";"Softvér";</v>
      </c>
      <c r="AR348" s="39" t="str">
        <f>IF(OR($A348&lt;&gt;"", $G348=""),"",CONCATENATE(";",EscStr(CONCATENATE("NavEntry_",getCategoryLevelAsString($B348))),";",EscStr(CONCATENATE($J348," Navigation Entry")),";",EscStr(CONCATENATE("cat-",getCategoryLevelAsString($B348))),";",EscStr(CONCATENATE("NavNode_",getCategoryLevelAsString($B348))),";"))</f>
        <v>;"NavEntry_L3D_543049";"Software Navigation Entry";"cat-L3D_543049";"NavNode_L3D_543049";</v>
      </c>
    </row>
    <row r="349" spans="1:44" s="34" customFormat="1" ht="15" x14ac:dyDescent="0.25">
      <c r="A349" s="25"/>
      <c r="B349" s="5"/>
      <c r="C349" s="5"/>
      <c r="D349" s="5" t="s">
        <v>635</v>
      </c>
      <c r="E349" s="5"/>
      <c r="F349" s="5"/>
      <c r="G349" s="5" t="s">
        <v>953</v>
      </c>
      <c r="H349" s="5" t="s">
        <v>788</v>
      </c>
      <c r="I349" s="5" t="s">
        <v>685</v>
      </c>
      <c r="J349" s="5" t="s">
        <v>1183</v>
      </c>
      <c r="K349" s="5" t="s">
        <v>1418</v>
      </c>
      <c r="L349" s="5" t="s">
        <v>1657</v>
      </c>
      <c r="M349" s="5" t="s">
        <v>1858</v>
      </c>
      <c r="N349" s="5" t="s">
        <v>2076</v>
      </c>
      <c r="O349" s="5" t="s">
        <v>4533</v>
      </c>
      <c r="P349" s="5" t="s">
        <v>4534</v>
      </c>
      <c r="Q349" s="5" t="s">
        <v>4535</v>
      </c>
      <c r="R349" s="5" t="s">
        <v>4536</v>
      </c>
      <c r="S349" s="5" t="s">
        <v>4537</v>
      </c>
      <c r="T349" s="5" t="s">
        <v>4538</v>
      </c>
      <c r="U349" s="5" t="s">
        <v>4539</v>
      </c>
      <c r="V349" s="5" t="s">
        <v>4540</v>
      </c>
      <c r="W349" s="5" t="s">
        <v>4541</v>
      </c>
      <c r="X349" s="5" t="s">
        <v>15032</v>
      </c>
      <c r="Y349" s="39" t="str">
        <f>IF(OR($A349&lt;&gt;"", $G349=""),"",CONCATENATE(";",EscStr(CONCATENATE("NavNode_",getCategoryLevelAsString($B349))),";",EscStr($J349),";",IF($B349&lt;&gt;"","""MainCategoryNavNode""",EscStr(CONCATENATE("NavNode_",getSuperCategory($B349, getCategoryLevelAsNumber($B349))))),";"))</f>
        <v>;"NavNode_L3D_543051";"Cleaning";"NavNode_L2D_542984";</v>
      </c>
      <c r="Z349" s="39" t="str">
        <f>IF(getCategoryLevelAsString($B349)="L0D_324785","",IF(G349="",CONCATENATE(";",EscStr(CONCATENATE("NavNode_",getCategoryLevelAsString($B349))),";",EscStr($J349),";"),CONCATENATE(";",EscStr(CONCATENATE("NavNode_",getCategoryLevelAsString($B349))),";",EscStr(G349),";")))</f>
        <v>;"NavNode_L3D_543051";"Reinigungsprodukte";</v>
      </c>
      <c r="AA349" s="39" t="str">
        <f>IF(getCategoryLevelAsString($B349)="L0D_324785","",IF(H349="",CONCATENATE(";",EscStr(CONCATENATE("NavNode_",getCategoryLevelAsString($B349))),";",EscStr($J349),";"),CONCATENATE(";",EscStr(CONCATENATE("NavNode_",getCategoryLevelAsString($B349))),";",EscStr(H349),";")))</f>
        <v>;"NavNode_L3D_543051";"Produits de nettoyage";</v>
      </c>
      <c r="AB349" s="39" t="str">
        <f>IF(getCategoryLevelAsString($B349)="L0D_324785","",IF(I349="",CONCATENATE(";",EscStr(CONCATENATE("NavNode_",getCategoryLevelAsString($B349))),";",EscStr($J349),";"),CONCATENATE(";",EscStr(CONCATENATE("NavNode_",getCategoryLevelAsString($B349))),";",EscStr(I349),";")))</f>
        <v>;"NavNode_L3D_543051";"Prodotti detergenti";</v>
      </c>
      <c r="AC349" s="39" t="str">
        <f>IF(getCategoryLevelAsString($B349)="L0D_324785","",IF(J349="",CONCATENATE(";",EscStr(CONCATENATE("NavNode_",getCategoryLevelAsString($B349))),";",EscStr($J349),";"),CONCATENATE(";",EscStr(CONCATENATE("NavNode_",getCategoryLevelAsString($B349))),";",EscStr(J349),";")))</f>
        <v>;"NavNode_L3D_543051";"Cleaning";</v>
      </c>
      <c r="AD349" s="39" t="str">
        <f>IF(getCategoryLevelAsString($B349)="L0D_324785","",IF(K349="",CONCATENATE(";",EscStr(CONCATENATE("NavNode_",getCategoryLevelAsString($B349))),";",EscStr($J349),";"),CONCATENATE(";",EscStr(CONCATENATE("NavNode_",getCategoryLevelAsString($B349))),";",EscStr(K349),";")))</f>
        <v>;"NavNode_L3D_543051";"Rengøring";</v>
      </c>
      <c r="AE349" s="39" t="str">
        <f>IF(getCategoryLevelAsString($B349)="L0D_324785","",IF(L349="",CONCATENATE(";",EscStr(CONCATENATE("NavNode_",getCategoryLevelAsString($B349))),";",EscStr($J349),";"),CONCATENATE(";",EscStr(CONCATENATE("NavNode_",getCategoryLevelAsString($B349))),";",EscStr(L349),";")))</f>
        <v>;"NavNode_L3D_543051";"Valymas";</v>
      </c>
      <c r="AF349" s="39" t="str">
        <f>IF(getCategoryLevelAsString($B349)="L0D_324785","",IF(M349="",CONCATENATE(";",EscStr(CONCATENATE("NavNode_",getCategoryLevelAsString($B349))),";",EscStr($J349),";"),CONCATENATE(";",EscStr(CONCATENATE("NavNode_",getCategoryLevelAsString($B349))),";",EscStr(M349),";")))</f>
        <v>;"NavNode_L3D_543051";"Rengjøring";</v>
      </c>
      <c r="AG349" s="39" t="str">
        <f>IF(getCategoryLevelAsString($B349)="L0D_324785","",IF(N349="",CONCATENATE(";",EscStr(CONCATENATE("NavNode_",getCategoryLevelAsString($B349))),";",EscStr($J349),";"),CONCATENATE(";",EscStr(CONCATENATE("NavNode_",getCategoryLevelAsString($B349))),";",EscStr(N349),";")))</f>
        <v>;"NavNode_L3D_543051";"Rengöring";</v>
      </c>
      <c r="AH349" s="39" t="str">
        <f>IF(getCategoryLevelAsString($B349)="L0D_324785","",IF(O349="",CONCATENATE(";",EscStr(CONCATENATE("NavNode_",getCategoryLevelAsString($B349))),";",EscStr($J349),";"),CONCATENATE(";",EscStr(CONCATENATE("NavNode_",getCategoryLevelAsString($B349))),";",EscStr(O349),";")))</f>
        <v>;"NavNode_L3D_543051";"Puhastamine";</v>
      </c>
      <c r="AI349" s="39" t="str">
        <f>IF(getCategoryLevelAsString($B349)="L0D_324785","",IF(P349="",CONCATENATE(";",EscStr(CONCATENATE("NavNode_",getCategoryLevelAsString($B349))),";",EscStr($J349),";"),CONCATENATE(";",EscStr(CONCATENATE("NavNode_",getCategoryLevelAsString($B349))),";",EscStr(P349),";")))</f>
        <v>;"NavNode_L3D_543051";"Puhdistus";</v>
      </c>
      <c r="AJ349" s="39" t="str">
        <f>IF(getCategoryLevelAsString($B349)="L0D_324785","",IF(Q349="",CONCATENATE(";",EscStr(CONCATENATE("NavNode_",getCategoryLevelAsString($B349))),";",EscStr($J349),";"),CONCATENATE(";",EscStr(CONCATENATE("NavNode_",getCategoryLevelAsString($B349))),";",EscStr(Q349),";")))</f>
        <v>;"NavNode_L3D_543051";"Tīrīšana";</v>
      </c>
      <c r="AK349" s="39" t="str">
        <f>IF(getCategoryLevelAsString($B349)="L0D_324785","",IF(R349="",CONCATENATE(";",EscStr(CONCATENATE("NavNode_",getCategoryLevelAsString($B349))),";",EscStr($J349),";"),CONCATENATE(";",EscStr(CONCATENATE("NavNode_",getCategoryLevelAsString($B349))),";",EscStr(R349),";")))</f>
        <v>;"NavNode_L3D_543051";"Reiniging / schoonmaken";</v>
      </c>
      <c r="AL349" s="39" t="str">
        <f>IF(getCategoryLevelAsString($B349)="L0D_324785","",IF(S349="",CONCATENATE(";",EscStr(CONCATENATE("NavNode_",getCategoryLevelAsString($B349))),";",EscStr($J349),";"),CONCATENATE(";",EscStr(CONCATENATE("NavNode_",getCategoryLevelAsString($B349))),";",EscStr(S349),";")))</f>
        <v>;"NavNode_L3D_543051";"Sprzątanie";</v>
      </c>
      <c r="AM349" s="39" t="str">
        <f>IF(getCategoryLevelAsString($B349)="L0D_324785","",IF(T349="",CONCATENATE(";",EscStr(CONCATENATE("NavNode_",getCategoryLevelAsString($B349))),";",EscStr($J349),";"),CONCATENATE(";",EscStr(CONCATENATE("NavNode_",getCategoryLevelAsString($B349))),";",EscStr(T349),";")))</f>
        <v>;"NavNode_L3D_543051";"Уборка";</v>
      </c>
      <c r="AN349" s="39" t="str">
        <f>IF(getCategoryLevelAsString($B349)="L0D_324785","",IF(U349="",CONCATENATE(";",EscStr(CONCATENATE("NavNode_",getCategoryLevelAsString($B349))),";",EscStr($J349),";"),CONCATENATE(";",EscStr(CONCATENATE("NavNode_",getCategoryLevelAsString($B349))),";",EscStr(U349),";")))</f>
        <v>;"NavNode_L3D_543051";"Čisticí produkty";</v>
      </c>
      <c r="AO349" s="39" t="str">
        <f>IF(getCategoryLevelAsString($B349)="L0D_324785","",IF(V349="",CONCATENATE(";",EscStr(CONCATENATE("NavNode_",getCategoryLevelAsString($B349))),";",EscStr($J349),";"),CONCATENATE(";",EscStr(CONCATENATE("NavNode_",getCategoryLevelAsString($B349))),";",EscStr(V349),";")))</f>
        <v>;"NavNode_L3D_543051";"Produse de curăţare";</v>
      </c>
      <c r="AP349" s="39" t="str">
        <f>IF(getCategoryLevelAsString($B349)="L0D_324785","",IF(W349="",CONCATENATE(";",EscStr(CONCATENATE("NavNode_",getCategoryLevelAsString($B349))),";",EscStr($J349),";"),CONCATENATE(";",EscStr(CONCATENATE("NavNode_",getCategoryLevelAsString($B349))),";",EscStr(W349),";")))</f>
        <v>;"NavNode_L3D_543051";"Tisztító és takarító termékek";</v>
      </c>
      <c r="AQ349" s="39" t="str">
        <f>IF(getCategoryLevelAsString($B349)="L0D_324785","",IF(X349="",CONCATENATE(";",EscStr(CONCATENATE("NavNode_",getCategoryLevelAsString($B349))),";",EscStr($J349),";"),CONCATENATE(";",EscStr(CONCATENATE("NavNode_",getCategoryLevelAsString($B349))),";",EscStr(X349),";")))</f>
        <v>;"NavNode_L3D_543051";"Čistiace produkty";</v>
      </c>
      <c r="AR349" s="39" t="str">
        <f>IF(OR($A349&lt;&gt;"", $G349=""),"",CONCATENATE(";",EscStr(CONCATENATE("NavEntry_",getCategoryLevelAsString($B349))),";",EscStr(CONCATENATE($J349," Navigation Entry")),";",EscStr(CONCATENATE("cat-",getCategoryLevelAsString($B349))),";",EscStr(CONCATENATE("NavNode_",getCategoryLevelAsString($B349))),";"))</f>
        <v>;"NavEntry_L3D_543051";"Cleaning Navigation Entry";"cat-L3D_543051";"NavNode_L3D_543051";</v>
      </c>
    </row>
    <row r="350" spans="1:44" s="34" customFormat="1" ht="15" x14ac:dyDescent="0.25">
      <c r="A350" s="25"/>
      <c r="B350" s="5"/>
      <c r="C350" s="5"/>
      <c r="D350" s="5" t="s">
        <v>636</v>
      </c>
      <c r="E350" s="5"/>
      <c r="F350" s="5"/>
      <c r="G350" s="5" t="s">
        <v>1024</v>
      </c>
      <c r="H350" s="5" t="s">
        <v>789</v>
      </c>
      <c r="I350" s="5" t="s">
        <v>686</v>
      </c>
      <c r="J350" s="5" t="s">
        <v>889</v>
      </c>
      <c r="K350" s="5" t="s">
        <v>1419</v>
      </c>
      <c r="L350" s="5" t="s">
        <v>1658</v>
      </c>
      <c r="M350" s="5" t="s">
        <v>1859</v>
      </c>
      <c r="N350" s="5" t="s">
        <v>2077</v>
      </c>
      <c r="O350" s="5" t="s">
        <v>4542</v>
      </c>
      <c r="P350" s="5" t="s">
        <v>4543</v>
      </c>
      <c r="Q350" s="5" t="s">
        <v>4544</v>
      </c>
      <c r="R350" s="5" t="s">
        <v>4545</v>
      </c>
      <c r="S350" s="5" t="s">
        <v>4546</v>
      </c>
      <c r="T350" s="5" t="s">
        <v>4547</v>
      </c>
      <c r="U350" s="5" t="s">
        <v>4548</v>
      </c>
      <c r="V350" s="5" t="s">
        <v>4549</v>
      </c>
      <c r="W350" s="5" t="s">
        <v>4550</v>
      </c>
      <c r="X350" s="5" t="s">
        <v>15033</v>
      </c>
      <c r="Y350" s="39" t="str">
        <f>IF(OR($A350&lt;&gt;"", $G350=""),"",CONCATENATE(";",EscStr(CONCATENATE("NavNode_",getCategoryLevelAsString($B350))),";",EscStr($J350),";",IF($B350&lt;&gt;"","""MainCategoryNavNode""",EscStr(CONCATENATE("NavNode_",getSuperCategory($B350, getCategoryLevelAsNumber($B350))))),";"))</f>
        <v>;"NavNode_L3D_543053";"Filing / Archiving systems";"NavNode_L2D_542984";</v>
      </c>
      <c r="Z350" s="39" t="str">
        <f>IF(getCategoryLevelAsString($B350)="L0D_324785","",IF(G350="",CONCATENATE(";",EscStr(CONCATENATE("NavNode_",getCategoryLevelAsString($B350))),";",EscStr($J350),";"),CONCATENATE(";",EscStr(CONCATENATE("NavNode_",getCategoryLevelAsString($B350))),";",EscStr(G350),";")))</f>
        <v>;"NavNode_L3D_543053";"Ablage / Archivierung";</v>
      </c>
      <c r="AA350" s="39" t="str">
        <f>IF(getCategoryLevelAsString($B350)="L0D_324785","",IF(H350="",CONCATENATE(";",EscStr(CONCATENATE("NavNode_",getCategoryLevelAsString($B350))),";",EscStr($J350),";"),CONCATENATE(";",EscStr(CONCATENATE("NavNode_",getCategoryLevelAsString($B350))),";",EscStr(H350),";")))</f>
        <v>;"NavNode_L3D_543053";"Systèmes de classement / d'archivage";</v>
      </c>
      <c r="AB350" s="39" t="str">
        <f>IF(getCategoryLevelAsString($B350)="L0D_324785","",IF(I350="",CONCATENATE(";",EscStr(CONCATENATE("NavNode_",getCategoryLevelAsString($B350))),";",EscStr($J350),";"),CONCATENATE(";",EscStr(CONCATENATE("NavNode_",getCategoryLevelAsString($B350))),";",EscStr(I350),";")))</f>
        <v>;"NavNode_L3D_543053";"Sistemi di ordinamento / archiviazione";</v>
      </c>
      <c r="AC350" s="39" t="str">
        <f>IF(getCategoryLevelAsString($B350)="L0D_324785","",IF(J350="",CONCATENATE(";",EscStr(CONCATENATE("NavNode_",getCategoryLevelAsString($B350))),";",EscStr($J350),";"),CONCATENATE(";",EscStr(CONCATENATE("NavNode_",getCategoryLevelAsString($B350))),";",EscStr(J350),";")))</f>
        <v>;"NavNode_L3D_543053";"Filing / Archiving systems";</v>
      </c>
      <c r="AD350" s="39" t="str">
        <f>IF(getCategoryLevelAsString($B350)="L0D_324785","",IF(K350="",CONCATENATE(";",EscStr(CONCATENATE("NavNode_",getCategoryLevelAsString($B350))),";",EscStr($J350),";"),CONCATENATE(";",EscStr(CONCATENATE("NavNode_",getCategoryLevelAsString($B350))),";",EscStr(K350),";")))</f>
        <v>;"NavNode_L3D_543053";"Dokumenterings-/arkiveringssystemer";</v>
      </c>
      <c r="AE350" s="39" t="str">
        <f>IF(getCategoryLevelAsString($B350)="L0D_324785","",IF(L350="",CONCATENATE(";",EscStr(CONCATENATE("NavNode_",getCategoryLevelAsString($B350))),";",EscStr($J350),";"),CONCATENATE(";",EscStr(CONCATENATE("NavNode_",getCategoryLevelAsString($B350))),";",EscStr(L350),";")))</f>
        <v>;"NavNode_L3D_543053";"Sisteminimo / archyvavimo sistema";</v>
      </c>
      <c r="AF350" s="39" t="str">
        <f>IF(getCategoryLevelAsString($B350)="L0D_324785","",IF(M350="",CONCATENATE(";",EscStr(CONCATENATE("NavNode_",getCategoryLevelAsString($B350))),";",EscStr($J350),";"),CONCATENATE(";",EscStr(CONCATENATE("NavNode_",getCategoryLevelAsString($B350))),";",EscStr(M350),";")))</f>
        <v>;"NavNode_L3D_543053";"Arkiveringssystemer";</v>
      </c>
      <c r="AG350" s="39" t="str">
        <f>IF(getCategoryLevelAsString($B350)="L0D_324785","",IF(N350="",CONCATENATE(";",EscStr(CONCATENATE("NavNode_",getCategoryLevelAsString($B350))),";",EscStr($J350),";"),CONCATENATE(";",EscStr(CONCATENATE("NavNode_",getCategoryLevelAsString($B350))),";",EscStr(N350),";")))</f>
        <v>;"NavNode_L3D_543053";"Dokumentations-/Arkiveringssystem";</v>
      </c>
      <c r="AH350" s="39" t="str">
        <f>IF(getCategoryLevelAsString($B350)="L0D_324785","",IF(O350="",CONCATENATE(";",EscStr(CONCATENATE("NavNode_",getCategoryLevelAsString($B350))),";",EscStr($J350),";"),CONCATENATE(";",EscStr(CONCATENATE("NavNode_",getCategoryLevelAsString($B350))),";",EscStr(O350),";")))</f>
        <v>;"NavNode_L3D_543053";"Kartoteegid / Arhiveerimise süsteemid";</v>
      </c>
      <c r="AI350" s="39" t="str">
        <f>IF(getCategoryLevelAsString($B350)="L0D_324785","",IF(P350="",CONCATENATE(";",EscStr(CONCATENATE("NavNode_",getCategoryLevelAsString($B350))),";",EscStr($J350),";"),CONCATENATE(";",EscStr(CONCATENATE("NavNode_",getCategoryLevelAsString($B350))),";",EscStr(P350),";")))</f>
        <v>;"NavNode_L3D_543053";"Arkistointijärjestelmät";</v>
      </c>
      <c r="AJ350" s="39" t="str">
        <f>IF(getCategoryLevelAsString($B350)="L0D_324785","",IF(Q350="",CONCATENATE(";",EscStr(CONCATENATE("NavNode_",getCategoryLevelAsString($B350))),";",EscStr($J350),";"),CONCATENATE(";",EscStr(CONCATENATE("NavNode_",getCategoryLevelAsString($B350))),";",EscStr(Q350),";")))</f>
        <v>;"NavNode_L3D_543053";"Failu / Arhivēšanas sistēmas";</v>
      </c>
      <c r="AK350" s="39" t="str">
        <f>IF(getCategoryLevelAsString($B350)="L0D_324785","",IF(R350="",CONCATENATE(";",EscStr(CONCATENATE("NavNode_",getCategoryLevelAsString($B350))),";",EscStr($J350),";"),CONCATENATE(";",EscStr(CONCATENATE("NavNode_",getCategoryLevelAsString($B350))),";",EscStr(R350),";")))</f>
        <v>;"NavNode_L3D_543053";"Archivering / Archiveringssytemen";</v>
      </c>
      <c r="AL350" s="39" t="str">
        <f>IF(getCategoryLevelAsString($B350)="L0D_324785","",IF(S350="",CONCATENATE(";",EscStr(CONCATENATE("NavNode_",getCategoryLevelAsString($B350))),";",EscStr($J350),";"),CONCATENATE(";",EscStr(CONCATENATE("NavNode_",getCategoryLevelAsString($B350))),";",EscStr(S350),";")))</f>
        <v>;"NavNode_L3D_543053";"Systemy archiwizowania i segregowania";</v>
      </c>
      <c r="AM350" s="39" t="str">
        <f>IF(getCategoryLevelAsString($B350)="L0D_324785","",IF(T350="",CONCATENATE(";",EscStr(CONCATENATE("NavNode_",getCategoryLevelAsString($B350))),";",EscStr($J350),";"),CONCATENATE(";",EscStr(CONCATENATE("NavNode_",getCategoryLevelAsString($B350))),";",EscStr(T350),";")))</f>
        <v>;"NavNode_L3D_543053";"Файлы / Системы для архивирования";</v>
      </c>
      <c r="AN350" s="39" t="str">
        <f>IF(getCategoryLevelAsString($B350)="L0D_324785","",IF(U350="",CONCATENATE(";",EscStr(CONCATENATE("NavNode_",getCategoryLevelAsString($B350))),";",EscStr($J350),";"),CONCATENATE(";",EscStr(CONCATENATE("NavNode_",getCategoryLevelAsString($B350))),";",EscStr(U350),";")))</f>
        <v>;"NavNode_L3D_543053";"Evidence / Archivácia";</v>
      </c>
      <c r="AO350" s="39" t="str">
        <f>IF(getCategoryLevelAsString($B350)="L0D_324785","",IF(V350="",CONCATENATE(";",EscStr(CONCATENATE("NavNode_",getCategoryLevelAsString($B350))),";",EscStr($J350),";"),CONCATENATE(";",EscStr(CONCATENATE("NavNode_",getCategoryLevelAsString($B350))),";",EscStr(V350),";")))</f>
        <v>;"NavNode_L3D_543053";"Stocare / arhivare";</v>
      </c>
      <c r="AP350" s="39" t="str">
        <f>IF(getCategoryLevelAsString($B350)="L0D_324785","",IF(W350="",CONCATENATE(";",EscStr(CONCATENATE("NavNode_",getCategoryLevelAsString($B350))),";",EscStr($J350),";"),CONCATENATE(";",EscStr(CONCATENATE("NavNode_",getCategoryLevelAsString($B350))),";",EscStr(W350),";")))</f>
        <v>;"NavNode_L3D_543053";"Rakodás / Archíválás";</v>
      </c>
      <c r="AQ350" s="39" t="str">
        <f>IF(getCategoryLevelAsString($B350)="L0D_324785","",IF(X350="",CONCATENATE(";",EscStr(CONCATENATE("NavNode_",getCategoryLevelAsString($B350))),";",EscStr($J350),";"),CONCATENATE(";",EscStr(CONCATENATE("NavNode_",getCategoryLevelAsString($B350))),";",EscStr(X350),";")))</f>
        <v>;"NavNode_L3D_543053";"Evidencia / Archivácia";</v>
      </c>
      <c r="AR350" s="39" t="str">
        <f>IF(OR($A350&lt;&gt;"", $G350=""),"",CONCATENATE(";",EscStr(CONCATENATE("NavEntry_",getCategoryLevelAsString($B350))),";",EscStr(CONCATENATE($J350," Navigation Entry")),";",EscStr(CONCATENATE("cat-",getCategoryLevelAsString($B350))),";",EscStr(CONCATENATE("NavNode_",getCategoryLevelAsString($B350))),";"))</f>
        <v>;"NavEntry_L3D_543053";"Filing / Archiving systems Navigation Entry";"cat-L3D_543053";"NavNode_L3D_543053";</v>
      </c>
    </row>
    <row r="351" spans="1:44" s="34" customFormat="1" ht="15" x14ac:dyDescent="0.25">
      <c r="A351" s="25"/>
      <c r="B351" s="5"/>
      <c r="C351" s="5"/>
      <c r="D351" s="5" t="s">
        <v>637</v>
      </c>
      <c r="E351" s="5"/>
      <c r="F351" s="5"/>
      <c r="G351" s="5" t="s">
        <v>1025</v>
      </c>
      <c r="H351" s="5" t="s">
        <v>790</v>
      </c>
      <c r="I351" s="5" t="s">
        <v>687</v>
      </c>
      <c r="J351" s="5" t="s">
        <v>890</v>
      </c>
      <c r="K351" s="5" t="s">
        <v>1420</v>
      </c>
      <c r="L351" s="5" t="s">
        <v>1659</v>
      </c>
      <c r="M351" s="5" t="s">
        <v>1860</v>
      </c>
      <c r="N351" s="5" t="s">
        <v>2078</v>
      </c>
      <c r="O351" s="5" t="s">
        <v>4551</v>
      </c>
      <c r="P351" s="5" t="s">
        <v>4552</v>
      </c>
      <c r="Q351" s="5" t="s">
        <v>4553</v>
      </c>
      <c r="R351" s="5" t="s">
        <v>4554</v>
      </c>
      <c r="S351" s="5" t="s">
        <v>4555</v>
      </c>
      <c r="T351" s="5" t="s">
        <v>4556</v>
      </c>
      <c r="U351" s="5" t="s">
        <v>4557</v>
      </c>
      <c r="V351" s="5" t="s">
        <v>4558</v>
      </c>
      <c r="W351" s="5" t="s">
        <v>4559</v>
      </c>
      <c r="X351" s="5" t="s">
        <v>15034</v>
      </c>
      <c r="Y351" s="39" t="str">
        <f>IF(OR($A351&lt;&gt;"", $G351=""),"",CONCATENATE(";",EscStr(CONCATENATE("NavNode_",getCategoryLevelAsString($B351))),";",EscStr($J351),";",IF($B351&lt;&gt;"","""MainCategoryNavNode""",EscStr(CONCATENATE("NavNode_",getSuperCategory($B351, getCategoryLevelAsNumber($B351))))),";"))</f>
        <v>;"NavNode_L3D_543055";"Office Equipment";"NavNode_L2D_542984";</v>
      </c>
      <c r="Z351" s="39" t="str">
        <f>IF(getCategoryLevelAsString($B351)="L0D_324785","",IF(G351="",CONCATENATE(";",EscStr(CONCATENATE("NavNode_",getCategoryLevelAsString($B351))),";",EscStr($J351),";"),CONCATENATE(";",EscStr(CONCATENATE("NavNode_",getCategoryLevelAsString($B351))),";",EscStr(G351),";")))</f>
        <v>;"NavNode_L3D_543055";"Büroausstattung / Bürozubehör";</v>
      </c>
      <c r="AA351" s="39" t="str">
        <f>IF(getCategoryLevelAsString($B351)="L0D_324785","",IF(H351="",CONCATENATE(";",EscStr(CONCATENATE("NavNode_",getCategoryLevelAsString($B351))),";",EscStr($J351),";"),CONCATENATE(";",EscStr(CONCATENATE("NavNode_",getCategoryLevelAsString($B351))),";",EscStr(H351),";")))</f>
        <v>;"NavNode_L3D_543055";"Équipement de bureau";</v>
      </c>
      <c r="AB351" s="39" t="str">
        <f>IF(getCategoryLevelAsString($B351)="L0D_324785","",IF(I351="",CONCATENATE(";",EscStr(CONCATENATE("NavNode_",getCategoryLevelAsString($B351))),";",EscStr($J351),";"),CONCATENATE(";",EscStr(CONCATENATE("NavNode_",getCategoryLevelAsString($B351))),";",EscStr(I351),";")))</f>
        <v>;"NavNode_L3D_543055";"Apparecchiatura per ufficio";</v>
      </c>
      <c r="AC351" s="39" t="str">
        <f>IF(getCategoryLevelAsString($B351)="L0D_324785","",IF(J351="",CONCATENATE(";",EscStr(CONCATENATE("NavNode_",getCategoryLevelAsString($B351))),";",EscStr($J351),";"),CONCATENATE(";",EscStr(CONCATENATE("NavNode_",getCategoryLevelAsString($B351))),";",EscStr(J351),";")))</f>
        <v>;"NavNode_L3D_543055";"Office Equipment";</v>
      </c>
      <c r="AD351" s="39" t="str">
        <f>IF(getCategoryLevelAsString($B351)="L0D_324785","",IF(K351="",CONCATENATE(";",EscStr(CONCATENATE("NavNode_",getCategoryLevelAsString($B351))),";",EscStr($J351),";"),CONCATENATE(";",EscStr(CONCATENATE("NavNode_",getCategoryLevelAsString($B351))),";",EscStr(K351),";")))</f>
        <v>;"NavNode_L3D_543055";"Kontorudstyr";</v>
      </c>
      <c r="AE351" s="39" t="str">
        <f>IF(getCategoryLevelAsString($B351)="L0D_324785","",IF(L351="",CONCATENATE(";",EscStr(CONCATENATE("NavNode_",getCategoryLevelAsString($B351))),";",EscStr($J351),";"),CONCATENATE(";",EscStr(CONCATENATE("NavNode_",getCategoryLevelAsString($B351))),";",EscStr(L351),";")))</f>
        <v>;"NavNode_L3D_543055";"Biuro įranga";</v>
      </c>
      <c r="AF351" s="39" t="str">
        <f>IF(getCategoryLevelAsString($B351)="L0D_324785","",IF(M351="",CONCATENATE(";",EscStr(CONCATENATE("NavNode_",getCategoryLevelAsString($B351))),";",EscStr($J351),";"),CONCATENATE(";",EscStr(CONCATENATE("NavNode_",getCategoryLevelAsString($B351))),";",EscStr(M351),";")))</f>
        <v>;"NavNode_L3D_543055";"Kontorutstyr";</v>
      </c>
      <c r="AG351" s="39" t="str">
        <f>IF(getCategoryLevelAsString($B351)="L0D_324785","",IF(N351="",CONCATENATE(";",EscStr(CONCATENATE("NavNode_",getCategoryLevelAsString($B351))),";",EscStr($J351),";"),CONCATENATE(";",EscStr(CONCATENATE("NavNode_",getCategoryLevelAsString($B351))),";",EscStr(N351),";")))</f>
        <v>;"NavNode_L3D_543055";"Kontorsutrustning";</v>
      </c>
      <c r="AH351" s="39" t="str">
        <f>IF(getCategoryLevelAsString($B351)="L0D_324785","",IF(O351="",CONCATENATE(";",EscStr(CONCATENATE("NavNode_",getCategoryLevelAsString($B351))),";",EscStr($J351),";"),CONCATENATE(";",EscStr(CONCATENATE("NavNode_",getCategoryLevelAsString($B351))),";",EscStr(O351),";")))</f>
        <v>;"NavNode_L3D_543055";"Kontoritehnika";</v>
      </c>
      <c r="AI351" s="39" t="str">
        <f>IF(getCategoryLevelAsString($B351)="L0D_324785","",IF(P351="",CONCATENATE(";",EscStr(CONCATENATE("NavNode_",getCategoryLevelAsString($B351))),";",EscStr($J351),";"),CONCATENATE(";",EscStr(CONCATENATE("NavNode_",getCategoryLevelAsString($B351))),";",EscStr(P351),";")))</f>
        <v>;"NavNode_L3D_543055";"Toimistotarvikkeet";</v>
      </c>
      <c r="AJ351" s="39" t="str">
        <f>IF(getCategoryLevelAsString($B351)="L0D_324785","",IF(Q351="",CONCATENATE(";",EscStr(CONCATENATE("NavNode_",getCategoryLevelAsString($B351))),";",EscStr($J351),";"),CONCATENATE(";",EscStr(CONCATENATE("NavNode_",getCategoryLevelAsString($B351))),";",EscStr(Q351),";")))</f>
        <v>;"NavNode_L3D_543055";"Biroja aprīkojums";</v>
      </c>
      <c r="AK351" s="39" t="str">
        <f>IF(getCategoryLevelAsString($B351)="L0D_324785","",IF(R351="",CONCATENATE(";",EscStr(CONCATENATE("NavNode_",getCategoryLevelAsString($B351))),";",EscStr($J351),";"),CONCATENATE(";",EscStr(CONCATENATE("NavNode_",getCategoryLevelAsString($B351))),";",EscStr(R351),";")))</f>
        <v>;"NavNode_L3D_543055";"Kantoorapparatuur";</v>
      </c>
      <c r="AL351" s="39" t="str">
        <f>IF(getCategoryLevelAsString($B351)="L0D_324785","",IF(S351="",CONCATENATE(";",EscStr(CONCATENATE("NavNode_",getCategoryLevelAsString($B351))),";",EscStr($J351),";"),CONCATENATE(";",EscStr(CONCATENATE("NavNode_",getCategoryLevelAsString($B351))),";",EscStr(S351),";")))</f>
        <v>;"NavNode_L3D_543055";"Sprzęt biurowy";</v>
      </c>
      <c r="AM351" s="39" t="str">
        <f>IF(getCategoryLevelAsString($B351)="L0D_324785","",IF(T351="",CONCATENATE(";",EscStr(CONCATENATE("NavNode_",getCategoryLevelAsString($B351))),";",EscStr($J351),";"),CONCATENATE(";",EscStr(CONCATENATE("NavNode_",getCategoryLevelAsString($B351))),";",EscStr(T351),";")))</f>
        <v>;"NavNode_L3D_543055";"Офисное оборудование";</v>
      </c>
      <c r="AN351" s="39" t="str">
        <f>IF(getCategoryLevelAsString($B351)="L0D_324785","",IF(U351="",CONCATENATE(";",EscStr(CONCATENATE("NavNode_",getCategoryLevelAsString($B351))),";",EscStr($J351),";"),CONCATENATE(";",EscStr(CONCATENATE("NavNode_",getCategoryLevelAsString($B351))),";",EscStr(U351),";")))</f>
        <v>;"NavNode_L3D_543055";"Vybavení kanceláří / příslušenství";</v>
      </c>
      <c r="AO351" s="39" t="str">
        <f>IF(getCategoryLevelAsString($B351)="L0D_324785","",IF(V351="",CONCATENATE(";",EscStr(CONCATENATE("NavNode_",getCategoryLevelAsString($B351))),";",EscStr($J351),";"),CONCATENATE(";",EscStr(CONCATENATE("NavNode_",getCategoryLevelAsString($B351))),";",EscStr(V351),";")))</f>
        <v>;"NavNode_L3D_543055";"Aparate de birou / Birotica";</v>
      </c>
      <c r="AP351" s="39" t="str">
        <f>IF(getCategoryLevelAsString($B351)="L0D_324785","",IF(W351="",CONCATENATE(";",EscStr(CONCATENATE("NavNode_",getCategoryLevelAsString($B351))),";",EscStr($J351),";"),CONCATENATE(";",EscStr(CONCATENATE("NavNode_",getCategoryLevelAsString($B351))),";",EscStr(W351),";")))</f>
        <v>;"NavNode_L3D_543055";"Irodaberendezés / Irodai tartozék";</v>
      </c>
      <c r="AQ351" s="39" t="str">
        <f>IF(getCategoryLevelAsString($B351)="L0D_324785","",IF(X351="",CONCATENATE(";",EscStr(CONCATENATE("NavNode_",getCategoryLevelAsString($B351))),";",EscStr($J351),";"),CONCATENATE(";",EscStr(CONCATENATE("NavNode_",getCategoryLevelAsString($B351))),";",EscStr(X351),";")))</f>
        <v>;"NavNode_L3D_543055";"Vybavenie kancelárií / príslušenstvo";</v>
      </c>
      <c r="AR351" s="39" t="str">
        <f>IF(OR($A351&lt;&gt;"", $G351=""),"",CONCATENATE(";",EscStr(CONCATENATE("NavEntry_",getCategoryLevelAsString($B351))),";",EscStr(CONCATENATE($J351," Navigation Entry")),";",EscStr(CONCATENATE("cat-",getCategoryLevelAsString($B351))),";",EscStr(CONCATENATE("NavNode_",getCategoryLevelAsString($B351))),";"))</f>
        <v>;"NavEntry_L3D_543055";"Office Equipment Navigation Entry";"cat-L3D_543055";"NavNode_L3D_543055";</v>
      </c>
    </row>
    <row r="352" spans="1:44" s="34" customFormat="1" ht="15" x14ac:dyDescent="0.25">
      <c r="A352" s="25"/>
      <c r="B352" s="5"/>
      <c r="C352" s="5"/>
      <c r="D352" s="5" t="s">
        <v>638</v>
      </c>
      <c r="E352" s="5"/>
      <c r="F352" s="5"/>
      <c r="G352" s="5" t="s">
        <v>1026</v>
      </c>
      <c r="H352" s="5" t="s">
        <v>791</v>
      </c>
      <c r="I352" s="5" t="s">
        <v>688</v>
      </c>
      <c r="J352" s="5" t="s">
        <v>891</v>
      </c>
      <c r="K352" s="5" t="s">
        <v>1421</v>
      </c>
      <c r="L352" s="5" t="s">
        <v>15238</v>
      </c>
      <c r="M352" s="5" t="s">
        <v>1861</v>
      </c>
      <c r="N352" s="5" t="s">
        <v>2079</v>
      </c>
      <c r="O352" s="5" t="s">
        <v>4560</v>
      </c>
      <c r="P352" s="5" t="s">
        <v>4561</v>
      </c>
      <c r="Q352" s="5" t="s">
        <v>4562</v>
      </c>
      <c r="R352" s="5" t="s">
        <v>4563</v>
      </c>
      <c r="S352" s="5" t="s">
        <v>4564</v>
      </c>
      <c r="T352" s="5" t="s">
        <v>4565</v>
      </c>
      <c r="U352" s="5" t="s">
        <v>4566</v>
      </c>
      <c r="V352" s="5" t="s">
        <v>4567</v>
      </c>
      <c r="W352" s="5" t="s">
        <v>4568</v>
      </c>
      <c r="X352" s="5" t="s">
        <v>15035</v>
      </c>
      <c r="Y352" s="39" t="str">
        <f>IF(OR($A352&lt;&gt;"", $G352=""),"",CONCATENATE(";",EscStr(CONCATENATE("NavNode_",getCategoryLevelAsString($B352))),";",EscStr($J352),";",IF($B352&lt;&gt;"","""MainCategoryNavNode""",EscStr(CONCATENATE("NavNode_",getSuperCategory($B352, getCategoryLevelAsNumber($B352))))),";"))</f>
        <v>;"NavNode_L3D_543058";"Shredders / Laminating / Binding";"NavNode_L2D_542984";</v>
      </c>
      <c r="Z352" s="39" t="str">
        <f>IF(getCategoryLevelAsString($B352)="L0D_324785","",IF(G352="",CONCATENATE(";",EscStr(CONCATENATE("NavNode_",getCategoryLevelAsString($B352))),";",EscStr($J352),";"),CONCATENATE(";",EscStr(CONCATENATE("NavNode_",getCategoryLevelAsString($B352))),";",EscStr(G352),";")))</f>
        <v>;"NavNode_L3D_543058";"Aktenvernichter / Laminierer / Bindesysteme";</v>
      </c>
      <c r="AA352" s="39" t="str">
        <f>IF(getCategoryLevelAsString($B352)="L0D_324785","",IF(H352="",CONCATENATE(";",EscStr(CONCATENATE("NavNode_",getCategoryLevelAsString($B352))),";",EscStr($J352),";"),CONCATENATE(";",EscStr(CONCATENATE("NavNode_",getCategoryLevelAsString($B352))),";",EscStr(H352),";")))</f>
        <v>;"NavNode_L3D_543058";"Destructeurs de documents / Plastification / Reliure";</v>
      </c>
      <c r="AB352" s="39" t="str">
        <f>IF(getCategoryLevelAsString($B352)="L0D_324785","",IF(I352="",CONCATENATE(";",EscStr(CONCATENATE("NavNode_",getCategoryLevelAsString($B352))),";",EscStr($J352),";"),CONCATENATE(";",EscStr(CONCATENATE("NavNode_",getCategoryLevelAsString($B352))),";",EscStr(I352),";")))</f>
        <v>;"NavNode_L3D_543058";"Distruggi documenti / plastificatura / rilegatura";</v>
      </c>
      <c r="AC352" s="39" t="str">
        <f>IF(getCategoryLevelAsString($B352)="L0D_324785","",IF(J352="",CONCATENATE(";",EscStr(CONCATENATE("NavNode_",getCategoryLevelAsString($B352))),";",EscStr($J352),";"),CONCATENATE(";",EscStr(CONCATENATE("NavNode_",getCategoryLevelAsString($B352))),";",EscStr(J352),";")))</f>
        <v>;"NavNode_L3D_543058";"Shredders / Laminating / Binding";</v>
      </c>
      <c r="AD352" s="39" t="str">
        <f>IF(getCategoryLevelAsString($B352)="L0D_324785","",IF(K352="",CONCATENATE(";",EscStr(CONCATENATE("NavNode_",getCategoryLevelAsString($B352))),";",EscStr($J352),";"),CONCATENATE(";",EscStr(CONCATENATE("NavNode_",getCategoryLevelAsString($B352))),";",EscStr(K352),";")))</f>
        <v>;"NavNode_L3D_543058";"Makuleringsmaskiner/laminering/indbinding";</v>
      </c>
      <c r="AE352" s="39" t="str">
        <f>IF(getCategoryLevelAsString($B352)="L0D_324785","",IF(L352="",CONCATENATE(";",EscStr(CONCATENATE("NavNode_",getCategoryLevelAsString($B352))),";",EscStr($J352),";"),CONCATENATE(";",EscStr(CONCATENATE("NavNode_",getCategoryLevelAsString($B352))),";",EscStr(L352),";")))</f>
        <v>;"NavNode_L3D_543058";"Smulkintuvai / Laminavimas / Įrišimas";</v>
      </c>
      <c r="AF352" s="39" t="str">
        <f>IF(getCategoryLevelAsString($B352)="L0D_324785","",IF(M352="",CONCATENATE(";",EscStr(CONCATENATE("NavNode_",getCategoryLevelAsString($B352))),";",EscStr($J352),";"),CONCATENATE(";",EscStr(CONCATENATE("NavNode_",getCategoryLevelAsString($B352))),";",EscStr(M352),";")))</f>
        <v>;"NavNode_L3D_543058";"Makuleringsmakiner/laminering/innbinding";</v>
      </c>
      <c r="AG352" s="39" t="str">
        <f>IF(getCategoryLevelAsString($B352)="L0D_324785","",IF(N352="",CONCATENATE(";",EscStr(CONCATENATE("NavNode_",getCategoryLevelAsString($B352))),";",EscStr($J352),";"),CONCATENATE(";",EscStr(CONCATENATE("NavNode_",getCategoryLevelAsString($B352))),";",EscStr(N352),";")))</f>
        <v>;"NavNode_L3D_543058";"Dokumentförstörare/Laminering/Häftning";</v>
      </c>
      <c r="AH352" s="39" t="str">
        <f>IF(getCategoryLevelAsString($B352)="L0D_324785","",IF(O352="",CONCATENATE(";",EscStr(CONCATENATE("NavNode_",getCategoryLevelAsString($B352))),";",EscStr($J352),";"),CONCATENATE(";",EscStr(CONCATENATE("NavNode_",getCategoryLevelAsString($B352))),";",EscStr(O352),";")))</f>
        <v>;"NavNode_L3D_543058";"Paberipurustajad / Laminaatorid / Köitmine";</v>
      </c>
      <c r="AI352" s="39" t="str">
        <f>IF(getCategoryLevelAsString($B352)="L0D_324785","",IF(P352="",CONCATENATE(";",EscStr(CONCATENATE("NavNode_",getCategoryLevelAsString($B352))),";",EscStr($J352),";"),CONCATENATE(";",EscStr(CONCATENATE("NavNode_",getCategoryLevelAsString($B352))),";",EscStr(P352),";")))</f>
        <v>;"NavNode_L3D_543058";"Silppurit/Laminointikoneet";</v>
      </c>
      <c r="AJ352" s="39" t="str">
        <f>IF(getCategoryLevelAsString($B352)="L0D_324785","",IF(Q352="",CONCATENATE(";",EscStr(CONCATENATE("NavNode_",getCategoryLevelAsString($B352))),";",EscStr($J352),";"),CONCATENATE(";",EscStr(CONCATENATE("NavNode_",getCategoryLevelAsString($B352))),";",EscStr(Q352),";")))</f>
        <v>;"NavNode_L3D_543058";"Papīra smalcinātāji / Laminētāji / Iešūšanas iekārtas";</v>
      </c>
      <c r="AK352" s="39" t="str">
        <f>IF(getCategoryLevelAsString($B352)="L0D_324785","",IF(R352="",CONCATENATE(";",EscStr(CONCATENATE("NavNode_",getCategoryLevelAsString($B352))),";",EscStr($J352),";"),CONCATENATE(";",EscStr(CONCATENATE("NavNode_",getCategoryLevelAsString($B352))),";",EscStr(R352),";")))</f>
        <v>;"NavNode_L3D_543058";"Shredders / Lamineren / Inbinden";</v>
      </c>
      <c r="AL352" s="39" t="str">
        <f>IF(getCategoryLevelAsString($B352)="L0D_324785","",IF(S352="",CONCATENATE(";",EscStr(CONCATENATE("NavNode_",getCategoryLevelAsString($B352))),";",EscStr($J352),";"),CONCATENATE(";",EscStr(CONCATENATE("NavNode_",getCategoryLevelAsString($B352))),";",EscStr(S352),";")))</f>
        <v>;"NavNode_L3D_543058";"Niszczarki / Laminarki / Bindownice";</v>
      </c>
      <c r="AM352" s="39" t="str">
        <f>IF(getCategoryLevelAsString($B352)="L0D_324785","",IF(T352="",CONCATENATE(";",EscStr(CONCATENATE("NavNode_",getCategoryLevelAsString($B352))),";",EscStr($J352),";"),CONCATENATE(";",EscStr(CONCATENATE("NavNode_",getCategoryLevelAsString($B352))),";",EscStr(T352),";")))</f>
        <v>;"NavNode_L3D_543058";"Шредеры / Ламинирование / Переплет";</v>
      </c>
      <c r="AN352" s="39" t="str">
        <f>IF(getCategoryLevelAsString($B352)="L0D_324785","",IF(U352="",CONCATENATE(";",EscStr(CONCATENATE("NavNode_",getCategoryLevelAsString($B352))),";",EscStr($J352),";"),CONCATENATE(";",EscStr(CONCATENATE("NavNode_",getCategoryLevelAsString($B352))),";",EscStr(U352),";")))</f>
        <v>;"NavNode_L3D_543058";"Skartovací / Laminovací / Vázací přístroje";</v>
      </c>
      <c r="AO352" s="39" t="str">
        <f>IF(getCategoryLevelAsString($B352)="L0D_324785","",IF(V352="",CONCATENATE(";",EscStr(CONCATENATE("NavNode_",getCategoryLevelAsString($B352))),";",EscStr($J352),";"),CONCATENATE(";",EscStr(CONCATENATE("NavNode_",getCategoryLevelAsString($B352))),";",EscStr(V352),";")))</f>
        <v>;"NavNode_L3D_543058";"Concasor / laminatoare / sisteme de brosurat";</v>
      </c>
      <c r="AP352" s="39" t="str">
        <f>IF(getCategoryLevelAsString($B352)="L0D_324785","",IF(W352="",CONCATENATE(";",EscStr(CONCATENATE("NavNode_",getCategoryLevelAsString($B352))),";",EscStr($J352),";"),CONCATENATE(";",EscStr(CONCATENATE("NavNode_",getCategoryLevelAsString($B352))),";",EscStr(W352),";")))</f>
        <v>;"NavNode_L3D_543058";"Iratmegsemmisítő / Lamináló / Fűzőrendszerek";</v>
      </c>
      <c r="AQ352" s="39" t="str">
        <f>IF(getCategoryLevelAsString($B352)="L0D_324785","",IF(X352="",CONCATENATE(";",EscStr(CONCATENATE("NavNode_",getCategoryLevelAsString($B352))),";",EscStr($J352),";"),CONCATENATE(";",EscStr(CONCATENATE("NavNode_",getCategoryLevelAsString($B352))),";",EscStr(X352),";")))</f>
        <v>;"NavNode_L3D_543058";"Skartovacie / Laminovacie / Viazacie prístroje";</v>
      </c>
      <c r="AR352" s="39" t="str">
        <f>IF(OR($A352&lt;&gt;"", $G352=""),"",CONCATENATE(";",EscStr(CONCATENATE("NavEntry_",getCategoryLevelAsString($B352))),";",EscStr(CONCATENATE($J352," Navigation Entry")),";",EscStr(CONCATENATE("cat-",getCategoryLevelAsString($B352))),";",EscStr(CONCATENATE("NavNode_",getCategoryLevelAsString($B352))),";"))</f>
        <v>;"NavEntry_L3D_543058";"Shredders / Laminating / Binding Navigation Entry";"cat-L3D_543058";"NavNode_L3D_543058";</v>
      </c>
    </row>
    <row r="353" spans="1:44" s="34" customFormat="1" ht="15" x14ac:dyDescent="0.25">
      <c r="A353" s="25"/>
      <c r="B353" s="5"/>
      <c r="C353" s="5"/>
      <c r="D353" s="5" t="s">
        <v>639</v>
      </c>
      <c r="E353" s="5"/>
      <c r="F353" s="5"/>
      <c r="G353" s="5" t="s">
        <v>1027</v>
      </c>
      <c r="H353" s="5" t="s">
        <v>792</v>
      </c>
      <c r="I353" s="5" t="s">
        <v>689</v>
      </c>
      <c r="J353" s="5" t="s">
        <v>892</v>
      </c>
      <c r="K353" s="5" t="s">
        <v>1422</v>
      </c>
      <c r="L353" s="5" t="s">
        <v>15239</v>
      </c>
      <c r="M353" s="5" t="s">
        <v>1862</v>
      </c>
      <c r="N353" s="5" t="s">
        <v>2080</v>
      </c>
      <c r="O353" s="5" t="s">
        <v>4569</v>
      </c>
      <c r="P353" s="5" t="s">
        <v>4570</v>
      </c>
      <c r="Q353" s="5" t="s">
        <v>4571</v>
      </c>
      <c r="R353" s="5" t="s">
        <v>4572</v>
      </c>
      <c r="S353" s="5" t="s">
        <v>4573</v>
      </c>
      <c r="T353" s="5" t="s">
        <v>4574</v>
      </c>
      <c r="U353" s="5" t="s">
        <v>4575</v>
      </c>
      <c r="V353" s="5" t="s">
        <v>4576</v>
      </c>
      <c r="W353" s="5" t="s">
        <v>4577</v>
      </c>
      <c r="X353" s="5" t="s">
        <v>15036</v>
      </c>
      <c r="Y353" s="39" t="str">
        <f>IF(OR($A353&lt;&gt;"", $G353=""),"",CONCATENATE(";",EscStr(CONCATENATE("NavNode_",getCategoryLevelAsString($B353))),";",EscStr($J353),";",IF($B353&lt;&gt;"","""MainCategoryNavNode""",EscStr(CONCATENATE("NavNode_",getSuperCategory($B353, getCategoryLevelAsNumber($B353))))),";"))</f>
        <v>;"NavNode_L3D_543060";"Mounts / Security Locks";"NavNode_L2D_542984";</v>
      </c>
      <c r="Z353" s="39" t="str">
        <f>IF(getCategoryLevelAsString($B353)="L0D_324785","",IF(G353="",CONCATENATE(";",EscStr(CONCATENATE("NavNode_",getCategoryLevelAsString($B353))),";",EscStr($J353),";"),CONCATENATE(";",EscStr(CONCATENATE("NavNode_",getCategoryLevelAsString($B353))),";",EscStr(G353),";")))</f>
        <v>;"NavNode_L3D_543060";"Halterungen / Sicherheitsschlösser";</v>
      </c>
      <c r="AA353" s="39" t="str">
        <f>IF(getCategoryLevelAsString($B353)="L0D_324785","",IF(H353="",CONCATENATE(";",EscStr(CONCATENATE("NavNode_",getCategoryLevelAsString($B353))),";",EscStr($J353),";"),CONCATENATE(";",EscStr(CONCATENATE("NavNode_",getCategoryLevelAsString($B353))),";",EscStr(H353),";")))</f>
        <v>;"NavNode_L3D_543060";"Supports / Serrures de sécurité";</v>
      </c>
      <c r="AB353" s="39" t="str">
        <f>IF(getCategoryLevelAsString($B353)="L0D_324785","",IF(I353="",CONCATENATE(";",EscStr(CONCATENATE("NavNode_",getCategoryLevelAsString($B353))),";",EscStr($J353),";"),CONCATENATE(";",EscStr(CONCATENATE("NavNode_",getCategoryLevelAsString($B353))),";",EscStr(I353),";")))</f>
        <v>;"NavNode_L3D_543060";"Attacchi / lucchetti";</v>
      </c>
      <c r="AC353" s="39" t="str">
        <f>IF(getCategoryLevelAsString($B353)="L0D_324785","",IF(J353="",CONCATENATE(";",EscStr(CONCATENATE("NavNode_",getCategoryLevelAsString($B353))),";",EscStr($J353),";"),CONCATENATE(";",EscStr(CONCATENATE("NavNode_",getCategoryLevelAsString($B353))),";",EscStr(J353),";")))</f>
        <v>;"NavNode_L3D_543060";"Mounts / Security Locks";</v>
      </c>
      <c r="AD353" s="39" t="str">
        <f>IF(getCategoryLevelAsString($B353)="L0D_324785","",IF(K353="",CONCATENATE(";",EscStr(CONCATENATE("NavNode_",getCategoryLevelAsString($B353))),";",EscStr($J353),";"),CONCATENATE(";",EscStr(CONCATENATE("NavNode_",getCategoryLevelAsString($B353))),";",EscStr(K353),";")))</f>
        <v>;"NavNode_L3D_543060";"Monteringsenheder/sikkerhedslåse";</v>
      </c>
      <c r="AE353" s="39" t="str">
        <f>IF(getCategoryLevelAsString($B353)="L0D_324785","",IF(L353="",CONCATENATE(";",EscStr(CONCATENATE("NavNode_",getCategoryLevelAsString($B353))),";",EscStr($J353),";"),CONCATENATE(";",EscStr(CONCATENATE("NavNode_",getCategoryLevelAsString($B353))),";",EscStr(L353),";")))</f>
        <v>;"NavNode_L3D_543060";"Laikikliai / Apsauginiai užraktai";</v>
      </c>
      <c r="AF353" s="39" t="str">
        <f>IF(getCategoryLevelAsString($B353)="L0D_324785","",IF(M353="",CONCATENATE(";",EscStr(CONCATENATE("NavNode_",getCategoryLevelAsString($B353))),";",EscStr($J353),";"),CONCATENATE(";",EscStr(CONCATENATE("NavNode_",getCategoryLevelAsString($B353))),";",EscStr(M353),";")))</f>
        <v>;"NavNode_L3D_543060";"Fester/sikkerhetslåser";</v>
      </c>
      <c r="AG353" s="39" t="str">
        <f>IF(getCategoryLevelAsString($B353)="L0D_324785","",IF(N353="",CONCATENATE(";",EscStr(CONCATENATE("NavNode_",getCategoryLevelAsString($B353))),";",EscStr($J353),";"),CONCATENATE(";",EscStr(CONCATENATE("NavNode_",getCategoryLevelAsString($B353))),";",EscStr(N353),";")))</f>
        <v>;"NavNode_L3D_543060";"Fästen/Säkerhetslås";</v>
      </c>
      <c r="AH353" s="39" t="str">
        <f>IF(getCategoryLevelAsString($B353)="L0D_324785","",IF(O353="",CONCATENATE(";",EscStr(CONCATENATE("NavNode_",getCategoryLevelAsString($B353))),";",EscStr($J353),";"),CONCATENATE(";",EscStr(CONCATENATE("NavNode_",getCategoryLevelAsString($B353))),";",EscStr(O353),";")))</f>
        <v>;"NavNode_L3D_543060";"Alused / Turvalukud";</v>
      </c>
      <c r="AI353" s="39" t="str">
        <f>IF(getCategoryLevelAsString($B353)="L0D_324785","",IF(P353="",CONCATENATE(";",EscStr(CONCATENATE("NavNode_",getCategoryLevelAsString($B353))),";",EscStr($J353),";"),CONCATENATE(";",EscStr(CONCATENATE("NavNode_",getCategoryLevelAsString($B353))),";",EscStr(P353),";")))</f>
        <v>;"NavNode_L3D_543060";"Turvakaapit";</v>
      </c>
      <c r="AJ353" s="39" t="str">
        <f>IF(getCategoryLevelAsString($B353)="L0D_324785","",IF(Q353="",CONCATENATE(";",EscStr(CONCATENATE("NavNode_",getCategoryLevelAsString($B353))),";",EscStr($J353),";"),CONCATENATE(";",EscStr(CONCATENATE("NavNode_",getCategoryLevelAsString($B353))),";",EscStr(Q353),";")))</f>
        <v>;"NavNode_L3D_543060";"Paliktņi / Drošības atslēgas";</v>
      </c>
      <c r="AK353" s="39" t="str">
        <f>IF(getCategoryLevelAsString($B353)="L0D_324785","",IF(R353="",CONCATENATE(";",EscStr(CONCATENATE("NavNode_",getCategoryLevelAsString($B353))),";",EscStr($J353),";"),CONCATENATE(";",EscStr(CONCATENATE("NavNode_",getCategoryLevelAsString($B353))),";",EscStr(R353),";")))</f>
        <v>;"NavNode_L3D_543060";"Bevestigingssystemen / Veiligheidssloten";</v>
      </c>
      <c r="AL353" s="39" t="str">
        <f>IF(getCategoryLevelAsString($B353)="L0D_324785","",IF(S353="",CONCATENATE(";",EscStr(CONCATENATE("NavNode_",getCategoryLevelAsString($B353))),";",EscStr($J353),";"),CONCATENATE(";",EscStr(CONCATENATE("NavNode_",getCategoryLevelAsString($B353))),";",EscStr(S353),";")))</f>
        <v>;"NavNode_L3D_543060";"Zamki zabezpieczające";</v>
      </c>
      <c r="AM353" s="39" t="str">
        <f>IF(getCategoryLevelAsString($B353)="L0D_324785","",IF(T353="",CONCATENATE(";",EscStr(CONCATENATE("NavNode_",getCategoryLevelAsString($B353))),";",EscStr($J353),";"),CONCATENATE(";",EscStr(CONCATENATE("NavNode_",getCategoryLevelAsString($B353))),";",EscStr(T353),";")))</f>
        <v>;"NavNode_L3D_543060";"Крепления / Замки безопасности";</v>
      </c>
      <c r="AN353" s="39" t="str">
        <f>IF(getCategoryLevelAsString($B353)="L0D_324785","",IF(U353="",CONCATENATE(";",EscStr(CONCATENATE("NavNode_",getCategoryLevelAsString($B353))),";",EscStr($J353),";"),CONCATENATE(";",EscStr(CONCATENATE("NavNode_",getCategoryLevelAsString($B353))),";",EscStr(U353),";")))</f>
        <v>;"NavNode_L3D_543060";"Držáky / bezpečnostní zámky";</v>
      </c>
      <c r="AO353" s="39" t="str">
        <f>IF(getCategoryLevelAsString($B353)="L0D_324785","",IF(V353="",CONCATENATE(";",EscStr(CONCATENATE("NavNode_",getCategoryLevelAsString($B353))),";",EscStr($J353),";"),CONCATENATE(";",EscStr(CONCATENATE("NavNode_",getCategoryLevelAsString($B353))),";",EscStr(V353),";")))</f>
        <v>;"NavNode_L3D_543060";"Suporţi / încuietori de securitate";</v>
      </c>
      <c r="AP353" s="39" t="str">
        <f>IF(getCategoryLevelAsString($B353)="L0D_324785","",IF(W353="",CONCATENATE(";",EscStr(CONCATENATE("NavNode_",getCategoryLevelAsString($B353))),";",EscStr($J353),";"),CONCATENATE(";",EscStr(CONCATENATE("NavNode_",getCategoryLevelAsString($B353))),";",EscStr(W353),";")))</f>
        <v>;"NavNode_L3D_543060";"Tartók / Biztonsági lezárók";</v>
      </c>
      <c r="AQ353" s="39" t="str">
        <f>IF(getCategoryLevelAsString($B353)="L0D_324785","",IF(X353="",CONCATENATE(";",EscStr(CONCATENATE("NavNode_",getCategoryLevelAsString($B353))),";",EscStr($J353),";"),CONCATENATE(";",EscStr(CONCATENATE("NavNode_",getCategoryLevelAsString($B353))),";",EscStr(X353),";")))</f>
        <v>;"NavNode_L3D_543060";"Držiaky / bezpečnostné zámky";</v>
      </c>
      <c r="AR353" s="39" t="str">
        <f>IF(OR($A353&lt;&gt;"", $G353=""),"",CONCATENATE(";",EscStr(CONCATENATE("NavEntry_",getCategoryLevelAsString($B353))),";",EscStr(CONCATENATE($J353," Navigation Entry")),";",EscStr(CONCATENATE("cat-",getCategoryLevelAsString($B353))),";",EscStr(CONCATENATE("NavNode_",getCategoryLevelAsString($B353))),";"))</f>
        <v>;"NavEntry_L3D_543060";"Mounts / Security Locks Navigation Entry";"cat-L3D_543060";"NavNode_L3D_543060";</v>
      </c>
    </row>
    <row r="354" spans="1:44" s="34" customFormat="1" ht="15" x14ac:dyDescent="0.25">
      <c r="A354" s="25"/>
      <c r="B354" s="5"/>
      <c r="C354" s="5"/>
      <c r="D354" s="5" t="s">
        <v>640</v>
      </c>
      <c r="E354" s="5"/>
      <c r="F354" s="5"/>
      <c r="G354" s="5" t="s">
        <v>1028</v>
      </c>
      <c r="H354" s="5" t="s">
        <v>793</v>
      </c>
      <c r="I354" s="5" t="s">
        <v>690</v>
      </c>
      <c r="J354" s="5" t="s">
        <v>893</v>
      </c>
      <c r="K354" s="5" t="s">
        <v>1423</v>
      </c>
      <c r="L354" s="5" t="s">
        <v>15240</v>
      </c>
      <c r="M354" s="5" t="s">
        <v>1863</v>
      </c>
      <c r="N354" s="5" t="s">
        <v>2081</v>
      </c>
      <c r="O354" s="5" t="s">
        <v>4578</v>
      </c>
      <c r="P354" s="5" t="s">
        <v>4579</v>
      </c>
      <c r="Q354" s="5" t="s">
        <v>4580</v>
      </c>
      <c r="R354" s="5" t="s">
        <v>4581</v>
      </c>
      <c r="S354" s="5" t="s">
        <v>4582</v>
      </c>
      <c r="T354" s="5" t="s">
        <v>4583</v>
      </c>
      <c r="U354" s="5" t="s">
        <v>4584</v>
      </c>
      <c r="V354" s="5" t="s">
        <v>4585</v>
      </c>
      <c r="W354" s="5" t="s">
        <v>4586</v>
      </c>
      <c r="X354" s="5" t="s">
        <v>15037</v>
      </c>
      <c r="Y354" s="39" t="str">
        <f>IF(OR($A354&lt;&gt;"", $G354=""),"",CONCATENATE(";",EscStr(CONCATENATE("NavNode_",getCategoryLevelAsString($B354))),";",EscStr($J354),";",IF($B354&lt;&gt;"","""MainCategoryNavNode""",EscStr(CONCATENATE("NavNode_",getSuperCategory($B354, getCategoryLevelAsNumber($B354))))),";"))</f>
        <v>;"NavNode_L3D_543062";"Calculators / Translators / Dictaphones";"NavNode_L2D_542984";</v>
      </c>
      <c r="Z354" s="39" t="str">
        <f>IF(getCategoryLevelAsString($B354)="L0D_324785","",IF(G354="",CONCATENATE(";",EscStr(CONCATENATE("NavNode_",getCategoryLevelAsString($B354))),";",EscStr($J354),";"),CONCATENATE(";",EscStr(CONCATENATE("NavNode_",getCategoryLevelAsString($B354))),";",EscStr(G354),";")))</f>
        <v>;"NavNode_L3D_543062";"Taschenrechner / Übersetzer / Diktiergeräte";</v>
      </c>
      <c r="AA354" s="39" t="str">
        <f>IF(getCategoryLevelAsString($B354)="L0D_324785","",IF(H354="",CONCATENATE(";",EscStr(CONCATENATE("NavNode_",getCategoryLevelAsString($B354))),";",EscStr($J354),";"),CONCATENATE(";",EscStr(CONCATENATE("NavNode_",getCategoryLevelAsString($B354))),";",EscStr(H354),";")))</f>
        <v>;"NavNode_L3D_543062";"Calculatrices / Traducteurs / Dictaphones";</v>
      </c>
      <c r="AB354" s="39" t="str">
        <f>IF(getCategoryLevelAsString($B354)="L0D_324785","",IF(I354="",CONCATENATE(";",EscStr(CONCATENATE("NavNode_",getCategoryLevelAsString($B354))),";",EscStr($J354),";"),CONCATENATE(";",EscStr(CONCATENATE("NavNode_",getCategoryLevelAsString($B354))),";",EscStr(I354),";")))</f>
        <v>;"NavNode_L3D_543062";"Calcolatrici / traduttori / registratori vocali";</v>
      </c>
      <c r="AC354" s="39" t="str">
        <f>IF(getCategoryLevelAsString($B354)="L0D_324785","",IF(J354="",CONCATENATE(";",EscStr(CONCATENATE("NavNode_",getCategoryLevelAsString($B354))),";",EscStr($J354),";"),CONCATENATE(";",EscStr(CONCATENATE("NavNode_",getCategoryLevelAsString($B354))),";",EscStr(J354),";")))</f>
        <v>;"NavNode_L3D_543062";"Calculators / Translators / Dictaphones";</v>
      </c>
      <c r="AD354" s="39" t="str">
        <f>IF(getCategoryLevelAsString($B354)="L0D_324785","",IF(K354="",CONCATENATE(";",EscStr(CONCATENATE("NavNode_",getCategoryLevelAsString($B354))),";",EscStr($J354),";"),CONCATENATE(";",EscStr(CONCATENATE("NavNode_",getCategoryLevelAsString($B354))),";",EscStr(K354),";")))</f>
        <v>;"NavNode_L3D_543062";"Regnemaskiner/oversættere/diktafoner";</v>
      </c>
      <c r="AE354" s="39" t="str">
        <f>IF(getCategoryLevelAsString($B354)="L0D_324785","",IF(L354="",CONCATENATE(";",EscStr(CONCATENATE("NavNode_",getCategoryLevelAsString($B354))),";",EscStr($J354),";"),CONCATENATE(";",EscStr(CONCATENATE("NavNode_",getCategoryLevelAsString($B354))),";",EscStr(L354),";")))</f>
        <v>;"NavNode_L3D_543062";"Skaičiuotuvai / Vertimo įrenginiai / Diktofonai";</v>
      </c>
      <c r="AF354" s="39" t="str">
        <f>IF(getCategoryLevelAsString($B354)="L0D_324785","",IF(M354="",CONCATENATE(";",EscStr(CONCATENATE("NavNode_",getCategoryLevelAsString($B354))),";",EscStr($J354),";"),CONCATENATE(";",EscStr(CONCATENATE("NavNode_",getCategoryLevelAsString($B354))),";",EscStr(M354),";")))</f>
        <v>;"NavNode_L3D_543062";"Kalkulatorer/oversettere/diktafoner";</v>
      </c>
      <c r="AG354" s="39" t="str">
        <f>IF(getCategoryLevelAsString($B354)="L0D_324785","",IF(N354="",CONCATENATE(";",EscStr(CONCATENATE("NavNode_",getCategoryLevelAsString($B354))),";",EscStr($J354),";"),CONCATENATE(";",EscStr(CONCATENATE("NavNode_",getCategoryLevelAsString($B354))),";",EscStr(N354),";")))</f>
        <v>;"NavNode_L3D_543062";"Miniräknare/Översättare/Diktafoner";</v>
      </c>
      <c r="AH354" s="39" t="str">
        <f>IF(getCategoryLevelAsString($B354)="L0D_324785","",IF(O354="",CONCATENATE(";",EscStr(CONCATENATE("NavNode_",getCategoryLevelAsString($B354))),";",EscStr($J354),";"),CONCATENATE(";",EscStr(CONCATENATE("NavNode_",getCategoryLevelAsString($B354))),";",EscStr(O354),";")))</f>
        <v>;"NavNode_L3D_543062";"Kalkulaatorid / Tõlkijad / Diktofonid";</v>
      </c>
      <c r="AI354" s="39" t="str">
        <f>IF(getCategoryLevelAsString($B354)="L0D_324785","",IF(P354="",CONCATENATE(";",EscStr(CONCATENATE("NavNode_",getCategoryLevelAsString($B354))),";",EscStr($J354),";"),CONCATENATE(";",EscStr(CONCATENATE("NavNode_",getCategoryLevelAsString($B354))),";",EscStr(P354),";")))</f>
        <v>;"NavNode_L3D_543062";"Laskimet/Kääntäjät";</v>
      </c>
      <c r="AJ354" s="39" t="str">
        <f>IF(getCategoryLevelAsString($B354)="L0D_324785","",IF(Q354="",CONCATENATE(";",EscStr(CONCATENATE("NavNode_",getCategoryLevelAsString($B354))),";",EscStr($J354),";"),CONCATENATE(";",EscStr(CONCATENATE("NavNode_",getCategoryLevelAsString($B354))),";",EscStr(Q354),";")))</f>
        <v>;"NavNode_L3D_543062";"Kalkulatori / Tulkotāji / Diktofoni";</v>
      </c>
      <c r="AK354" s="39" t="str">
        <f>IF(getCategoryLevelAsString($B354)="L0D_324785","",IF(R354="",CONCATENATE(";",EscStr(CONCATENATE("NavNode_",getCategoryLevelAsString($B354))),";",EscStr($J354),";"),CONCATENATE(";",EscStr(CONCATENATE("NavNode_",getCategoryLevelAsString($B354))),";",EscStr(R354),";")))</f>
        <v>;"NavNode_L3D_543062";"Rekenmachines / Vertaalcomputers / Dictafoons";</v>
      </c>
      <c r="AL354" s="39" t="str">
        <f>IF(getCategoryLevelAsString($B354)="L0D_324785","",IF(S354="",CONCATENATE(";",EscStr(CONCATENATE("NavNode_",getCategoryLevelAsString($B354))),";",EscStr($J354),";"),CONCATENATE(";",EscStr(CONCATENATE("NavNode_",getCategoryLevelAsString($B354))),";",EscStr(S354),";")))</f>
        <v>;"NavNode_L3D_543062";"Kalkulatory / Translatory / Dyktafony";</v>
      </c>
      <c r="AM354" s="39" t="str">
        <f>IF(getCategoryLevelAsString($B354)="L0D_324785","",IF(T354="",CONCATENATE(";",EscStr(CONCATENATE("NavNode_",getCategoryLevelAsString($B354))),";",EscStr($J354),";"),CONCATENATE(";",EscStr(CONCATENATE("NavNode_",getCategoryLevelAsString($B354))),";",EscStr(T354),";")))</f>
        <v>;"NavNode_L3D_543062";"Калькуляторы / Переводчики / Диктофоны";</v>
      </c>
      <c r="AN354" s="39" t="str">
        <f>IF(getCategoryLevelAsString($B354)="L0D_324785","",IF(U354="",CONCATENATE(";",EscStr(CONCATENATE("NavNode_",getCategoryLevelAsString($B354))),";",EscStr($J354),";"),CONCATENATE(";",EscStr(CONCATENATE("NavNode_",getCategoryLevelAsString($B354))),";",EscStr(U354),";")))</f>
        <v>;"NavNode_L3D_543062";"Kalkulačky / Překladače / Diktafony";</v>
      </c>
      <c r="AO354" s="39" t="str">
        <f>IF(getCategoryLevelAsString($B354)="L0D_324785","",IF(V354="",CONCATENATE(";",EscStr(CONCATENATE("NavNode_",getCategoryLevelAsString($B354))),";",EscStr($J354),";"),CONCATENATE(";",EscStr(CONCATENATE("NavNode_",getCategoryLevelAsString($B354))),";",EscStr(V354),";")))</f>
        <v>;"NavNode_L3D_543062";"Calculator / Traducător / înregistratoare de voce";</v>
      </c>
      <c r="AP354" s="39" t="str">
        <f>IF(getCategoryLevelAsString($B354)="L0D_324785","",IF(W354="",CONCATENATE(";",EscStr(CONCATENATE("NavNode_",getCategoryLevelAsString($B354))),";",EscStr($J354),";"),CONCATENATE(";",EscStr(CONCATENATE("NavNode_",getCategoryLevelAsString($B354))),";",EscStr(W354),";")))</f>
        <v>;"NavNode_L3D_543062";"Zsebszámológép / Fordító / Diktafon";</v>
      </c>
      <c r="AQ354" s="39" t="str">
        <f>IF(getCategoryLevelAsString($B354)="L0D_324785","",IF(X354="",CONCATENATE(";",EscStr(CONCATENATE("NavNode_",getCategoryLevelAsString($B354))),";",EscStr($J354),";"),CONCATENATE(";",EscStr(CONCATENATE("NavNode_",getCategoryLevelAsString($B354))),";",EscStr(X354),";")))</f>
        <v>;"NavNode_L3D_543062";"Kalkulačky / Prekladače / Diktafóny";</v>
      </c>
      <c r="AR354" s="39" t="str">
        <f>IF(OR($A354&lt;&gt;"", $G354=""),"",CONCATENATE(";",EscStr(CONCATENATE("NavEntry_",getCategoryLevelAsString($B354))),";",EscStr(CONCATENATE($J354," Navigation Entry")),";",EscStr(CONCATENATE("cat-",getCategoryLevelAsString($B354))),";",EscStr(CONCATENATE("NavNode_",getCategoryLevelAsString($B354))),";"))</f>
        <v>;"NavEntry_L3D_543062";"Calculators / Translators / Dictaphones Navigation Entry";"cat-L3D_543062";"NavNode_L3D_543062";</v>
      </c>
    </row>
    <row r="355" spans="1:44" s="34" customFormat="1" ht="15" x14ac:dyDescent="0.25">
      <c r="A355" s="25"/>
      <c r="B355" s="5"/>
      <c r="C355" s="5" t="s">
        <v>595</v>
      </c>
      <c r="D355" s="5"/>
      <c r="E355" s="5"/>
      <c r="F355" s="5"/>
      <c r="G355" s="5" t="s">
        <v>945</v>
      </c>
      <c r="H355" s="5" t="s">
        <v>763</v>
      </c>
      <c r="I355" s="5" t="s">
        <v>654</v>
      </c>
      <c r="J355" s="5" t="s">
        <v>864</v>
      </c>
      <c r="K355" s="5" t="s">
        <v>1395</v>
      </c>
      <c r="L355" s="5" t="s">
        <v>1631</v>
      </c>
      <c r="M355" s="5" t="s">
        <v>1833</v>
      </c>
      <c r="N355" s="5" t="s">
        <v>2050</v>
      </c>
      <c r="O355" s="5" t="s">
        <v>4311</v>
      </c>
      <c r="P355" s="5" t="s">
        <v>4312</v>
      </c>
      <c r="Q355" s="5" t="s">
        <v>4313</v>
      </c>
      <c r="R355" s="5" t="s">
        <v>4314</v>
      </c>
      <c r="S355" s="5" t="s">
        <v>4315</v>
      </c>
      <c r="T355" s="5" t="s">
        <v>4316</v>
      </c>
      <c r="U355" s="5" t="s">
        <v>4317</v>
      </c>
      <c r="V355" s="5" t="s">
        <v>4318</v>
      </c>
      <c r="W355" s="5" t="s">
        <v>4319</v>
      </c>
      <c r="X355" s="5" t="s">
        <v>15038</v>
      </c>
      <c r="Y355" s="39" t="str">
        <f>IF(OR($A355&lt;&gt;"", $G355=""),"",CONCATENATE(";",EscStr(CONCATENATE("NavNode_",getCategoryLevelAsString($B355))),";",EscStr($J355),";",IF($B355&lt;&gt;"","""MainCategoryNavNode""",EscStr(CONCATENATE("NavNode_",getSuperCategory($B355, getCategoryLevelAsNumber($B355))))),";"))</f>
        <v>;"NavNode_L2D_542982";"Network &amp; Telecom";"NavNode_Computing / Office";</v>
      </c>
      <c r="Z355" s="39" t="str">
        <f>IF(getCategoryLevelAsString($B355)="L0D_324785","",IF(G355="",CONCATENATE(";",EscStr(CONCATENATE("NavNode_",getCategoryLevelAsString($B355))),";",EscStr($J355),";"),CONCATENATE(";",EscStr(CONCATENATE("NavNode_",getCategoryLevelAsString($B355))),";",EscStr(G355),";")))</f>
        <v>;"NavNode_L2D_542982";"Netzwerk und Telekommunikation";</v>
      </c>
      <c r="AA355" s="39" t="str">
        <f>IF(getCategoryLevelAsString($B355)="L0D_324785","",IF(H355="",CONCATENATE(";",EscStr(CONCATENATE("NavNode_",getCategoryLevelAsString($B355))),";",EscStr($J355),";"),CONCATENATE(";",EscStr(CONCATENATE("NavNode_",getCategoryLevelAsString($B355))),";",EscStr(H355),";")))</f>
        <v>;"NavNode_L2D_542982";"Réseau et télécommunications";</v>
      </c>
      <c r="AB355" s="39" t="str">
        <f>IF(getCategoryLevelAsString($B355)="L0D_324785","",IF(I355="",CONCATENATE(";",EscStr(CONCATENATE("NavNode_",getCategoryLevelAsString($B355))),";",EscStr($J355),";"),CONCATENATE(";",EscStr(CONCATENATE("NavNode_",getCategoryLevelAsString($B355))),";",EscStr(I355),";")))</f>
        <v>;"NavNode_L2D_542982";"Rete e telecomunicazione";</v>
      </c>
      <c r="AC355" s="39" t="str">
        <f>IF(getCategoryLevelAsString($B355)="L0D_324785","",IF(J355="",CONCATENATE(";",EscStr(CONCATENATE("NavNode_",getCategoryLevelAsString($B355))),";",EscStr($J355),";"),CONCATENATE(";",EscStr(CONCATENATE("NavNode_",getCategoryLevelAsString($B355))),";",EscStr(J355),";")))</f>
        <v>;"NavNode_L2D_542982";"Network &amp; Telecom";</v>
      </c>
      <c r="AD355" s="39" t="str">
        <f>IF(getCategoryLevelAsString($B355)="L0D_324785","",IF(K355="",CONCATENATE(";",EscStr(CONCATENATE("NavNode_",getCategoryLevelAsString($B355))),";",EscStr($J355),";"),CONCATENATE(";",EscStr(CONCATENATE("NavNode_",getCategoryLevelAsString($B355))),";",EscStr(K355),";")))</f>
        <v>;"NavNode_L2D_542982";"Netværk &amp; telekommunikation";</v>
      </c>
      <c r="AE355" s="39" t="str">
        <f>IF(getCategoryLevelAsString($B355)="L0D_324785","",IF(L355="",CONCATENATE(";",EscStr(CONCATENATE("NavNode_",getCategoryLevelAsString($B355))),";",EscStr($J355),";"),CONCATENATE(";",EscStr(CONCATENATE("NavNode_",getCategoryLevelAsString($B355))),";",EscStr(L355),";")))</f>
        <v>;"NavNode_L2D_542982";"Tinklas ir telekomunikacijos";</v>
      </c>
      <c r="AF355" s="39" t="str">
        <f>IF(getCategoryLevelAsString($B355)="L0D_324785","",IF(M355="",CONCATENATE(";",EscStr(CONCATENATE("NavNode_",getCategoryLevelAsString($B355))),";",EscStr($J355),";"),CONCATENATE(";",EscStr(CONCATENATE("NavNode_",getCategoryLevelAsString($B355))),";",EscStr(M355),";")))</f>
        <v>;"NavNode_L2D_542982";"Nettverk og telekom";</v>
      </c>
      <c r="AG355" s="39" t="str">
        <f>IF(getCategoryLevelAsString($B355)="L0D_324785","",IF(N355="",CONCATENATE(";",EscStr(CONCATENATE("NavNode_",getCategoryLevelAsString($B355))),";",EscStr($J355),";"),CONCATENATE(";",EscStr(CONCATENATE("NavNode_",getCategoryLevelAsString($B355))),";",EscStr(N355),";")))</f>
        <v>;"NavNode_L2D_542982";"Nätverk och telekom";</v>
      </c>
      <c r="AH355" s="39" t="str">
        <f>IF(getCategoryLevelAsString($B355)="L0D_324785","",IF(O355="",CONCATENATE(";",EscStr(CONCATENATE("NavNode_",getCategoryLevelAsString($B355))),";",EscStr($J355),";"),CONCATENATE(";",EscStr(CONCATENATE("NavNode_",getCategoryLevelAsString($B355))),";",EscStr(O355),";")))</f>
        <v>;"NavNode_L2D_542982";"Sidevõrk / Telekommunikatsioon";</v>
      </c>
      <c r="AI355" s="39" t="str">
        <f>IF(getCategoryLevelAsString($B355)="L0D_324785","",IF(P355="",CONCATENATE(";",EscStr(CONCATENATE("NavNode_",getCategoryLevelAsString($B355))),";",EscStr($J355),";"),CONCATENATE(";",EscStr(CONCATENATE("NavNode_",getCategoryLevelAsString($B355))),";",EscStr(P355),";")))</f>
        <v>;"NavNode_L2D_542982";"Verkko ja puhelintarvikkeet";</v>
      </c>
      <c r="AJ355" s="39" t="str">
        <f>IF(getCategoryLevelAsString($B355)="L0D_324785","",IF(Q355="",CONCATENATE(";",EscStr(CONCATENATE("NavNode_",getCategoryLevelAsString($B355))),";",EscStr($J355),";"),CONCATENATE(";",EscStr(CONCATENATE("NavNode_",getCategoryLevelAsString($B355))),";",EscStr(Q355),";")))</f>
        <v>;"NavNode_L2D_542982";"Tīkli / telekomunikācijas";</v>
      </c>
      <c r="AK355" s="39" t="str">
        <f>IF(getCategoryLevelAsString($B355)="L0D_324785","",IF(R355="",CONCATENATE(";",EscStr(CONCATENATE("NavNode_",getCategoryLevelAsString($B355))),";",EscStr($J355),";"),CONCATENATE(";",EscStr(CONCATENATE("NavNode_",getCategoryLevelAsString($B355))),";",EscStr(R355),";")))</f>
        <v>;"NavNode_L2D_542982";"Netwerk &amp; Telecommunicatie";</v>
      </c>
      <c r="AL355" s="39" t="str">
        <f>IF(getCategoryLevelAsString($B355)="L0D_324785","",IF(S355="",CONCATENATE(";",EscStr(CONCATENATE("NavNode_",getCategoryLevelAsString($B355))),";",EscStr($J355),";"),CONCATENATE(";",EscStr(CONCATENATE("NavNode_",getCategoryLevelAsString($B355))),";",EscStr(S355),";")))</f>
        <v>;"NavNode_L2D_542982";"Sieci i Telekomunikacja";</v>
      </c>
      <c r="AM355" s="39" t="str">
        <f>IF(getCategoryLevelAsString($B355)="L0D_324785","",IF(T355="",CONCATENATE(";",EscStr(CONCATENATE("NavNode_",getCategoryLevelAsString($B355))),";",EscStr($J355),";"),CONCATENATE(";",EscStr(CONCATENATE("NavNode_",getCategoryLevelAsString($B355))),";",EscStr(T355),";")))</f>
        <v>;"NavNode_L2D_542982";"Сети  / Телекоммуникации";</v>
      </c>
      <c r="AN355" s="39" t="str">
        <f>IF(getCategoryLevelAsString($B355)="L0D_324785","",IF(U355="",CONCATENATE(";",EscStr(CONCATENATE("NavNode_",getCategoryLevelAsString($B355))),";",EscStr($J355),";"),CONCATENATE(";",EscStr(CONCATENATE("NavNode_",getCategoryLevelAsString($B355))),";",EscStr(U355),";")))</f>
        <v>;"NavNode_L2D_542982";"Sítě a Telekomunikace";</v>
      </c>
      <c r="AO355" s="39" t="str">
        <f>IF(getCategoryLevelAsString($B355)="L0D_324785","",IF(V355="",CONCATENATE(";",EscStr(CONCATENATE("NavNode_",getCategoryLevelAsString($B355))),";",EscStr($J355),";"),CONCATENATE(";",EscStr(CONCATENATE("NavNode_",getCategoryLevelAsString($B355))),";",EscStr(V355),";")))</f>
        <v>;"NavNode_L2D_542982";"Rețea și telecomunicații";</v>
      </c>
      <c r="AP355" s="39" t="str">
        <f>IF(getCategoryLevelAsString($B355)="L0D_324785","",IF(W355="",CONCATENATE(";",EscStr(CONCATENATE("NavNode_",getCategoryLevelAsString($B355))),";",EscStr($J355),";"),CONCATENATE(";",EscStr(CONCATENATE("NavNode_",getCategoryLevelAsString($B355))),";",EscStr(W355),";")))</f>
        <v>;"NavNode_L2D_542982";"Adathálózat és telekommunikáció";</v>
      </c>
      <c r="AQ355" s="39" t="str">
        <f>IF(getCategoryLevelAsString($B355)="L0D_324785","",IF(X355="",CONCATENATE(";",EscStr(CONCATENATE("NavNode_",getCategoryLevelAsString($B355))),";",EscStr($J355),";"),CONCATENATE(";",EscStr(CONCATENATE("NavNode_",getCategoryLevelAsString($B355))),";",EscStr(X355),";")))</f>
        <v>;"NavNode_L2D_542982";"Siete a Telekomunikácie";</v>
      </c>
      <c r="AR355" s="39" t="str">
        <f>IF(OR($A355&lt;&gt;"", $G355=""),"",CONCATENATE(";",EscStr(CONCATENATE("NavEntry_",getCategoryLevelAsString($B355))),";",EscStr(CONCATENATE($J355," Navigation Entry")),";",EscStr(CONCATENATE("cat-",getCategoryLevelAsString($B355))),";",EscStr(CONCATENATE("NavNode_",getCategoryLevelAsString($B355))),";"))</f>
        <v>;"NavEntry_L2D_542982";"Network &amp; Telecom Navigation Entry";"cat-L2D_542982";"NavNode_L2D_542982";</v>
      </c>
    </row>
    <row r="356" spans="1:44" s="34" customFormat="1" ht="15" x14ac:dyDescent="0.25">
      <c r="A356" s="25"/>
      <c r="B356" s="5"/>
      <c r="C356" s="5"/>
      <c r="D356" s="5" t="s">
        <v>596</v>
      </c>
      <c r="E356" s="5"/>
      <c r="F356" s="5"/>
      <c r="G356" s="5" t="s">
        <v>1005</v>
      </c>
      <c r="H356" s="5" t="s">
        <v>764</v>
      </c>
      <c r="I356" s="5" t="s">
        <v>655</v>
      </c>
      <c r="J356" s="5" t="s">
        <v>865</v>
      </c>
      <c r="K356" s="5" t="s">
        <v>1396</v>
      </c>
      <c r="L356" s="5" t="s">
        <v>15241</v>
      </c>
      <c r="M356" s="5" t="s">
        <v>1834</v>
      </c>
      <c r="N356" s="5" t="s">
        <v>2051</v>
      </c>
      <c r="O356" s="5" t="s">
        <v>4320</v>
      </c>
      <c r="P356" s="5" t="s">
        <v>4321</v>
      </c>
      <c r="Q356" s="5" t="s">
        <v>4322</v>
      </c>
      <c r="R356" s="5" t="s">
        <v>865</v>
      </c>
      <c r="S356" s="5" t="s">
        <v>4323</v>
      </c>
      <c r="T356" s="5" t="s">
        <v>4324</v>
      </c>
      <c r="U356" s="5" t="s">
        <v>4325</v>
      </c>
      <c r="V356" s="5" t="s">
        <v>4326</v>
      </c>
      <c r="W356" s="5" t="s">
        <v>4327</v>
      </c>
      <c r="X356" s="5" t="s">
        <v>15039</v>
      </c>
      <c r="Y356" s="39" t="str">
        <f>IF(OR($A356&lt;&gt;"", $G356=""),"",CONCATENATE(";",EscStr(CONCATENATE("NavNode_",getCategoryLevelAsString($B356))),";",EscStr($J356),";",IF($B356&lt;&gt;"","""MainCategoryNavNode""",EscStr(CONCATENATE("NavNode_",getSuperCategory($B356, getCategoryLevelAsNumber($B356))))),";"))</f>
        <v>;"NavNode_L3D_543261";"Wireless LAN / Router / Firewall";"NavNode_L2D_542982";</v>
      </c>
      <c r="Z356" s="39" t="str">
        <f>IF(getCategoryLevelAsString($B356)="L0D_324785","",IF(G356="",CONCATENATE(";",EscStr(CONCATENATE("NavNode_",getCategoryLevelAsString($B356))),";",EscStr($J356),";"),CONCATENATE(";",EscStr(CONCATENATE("NavNode_",getCategoryLevelAsString($B356))),";",EscStr(G356),";")))</f>
        <v>;"NavNode_L3D_543261";"Wireless-LAN / Router / Firewall";</v>
      </c>
      <c r="AA356" s="39" t="str">
        <f>IF(getCategoryLevelAsString($B356)="L0D_324785","",IF(H356="",CONCATENATE(";",EscStr(CONCATENATE("NavNode_",getCategoryLevelAsString($B356))),";",EscStr($J356),";"),CONCATENATE(";",EscStr(CONCATENATE("NavNode_",getCategoryLevelAsString($B356))),";",EscStr(H356),";")))</f>
        <v>;"NavNode_L3D_543261";"Réseau local sans fil / Routeur / Pare-feu";</v>
      </c>
      <c r="AB356" s="39" t="str">
        <f>IF(getCategoryLevelAsString($B356)="L0D_324785","",IF(I356="",CONCATENATE(";",EscStr(CONCATENATE("NavNode_",getCategoryLevelAsString($B356))),";",EscStr($J356),";"),CONCATENATE(";",EscStr(CONCATENATE("NavNode_",getCategoryLevelAsString($B356))),";",EscStr(I356),";")))</f>
        <v>;"NavNode_L3D_543261";"LAN wireless / Router / Firewall";</v>
      </c>
      <c r="AC356" s="39" t="str">
        <f>IF(getCategoryLevelAsString($B356)="L0D_324785","",IF(J356="",CONCATENATE(";",EscStr(CONCATENATE("NavNode_",getCategoryLevelAsString($B356))),";",EscStr($J356),";"),CONCATENATE(";",EscStr(CONCATENATE("NavNode_",getCategoryLevelAsString($B356))),";",EscStr(J356),";")))</f>
        <v>;"NavNode_L3D_543261";"Wireless LAN / Router / Firewall";</v>
      </c>
      <c r="AD356" s="39" t="str">
        <f>IF(getCategoryLevelAsString($B356)="L0D_324785","",IF(K356="",CONCATENATE(";",EscStr(CONCATENATE("NavNode_",getCategoryLevelAsString($B356))),";",EscStr($J356),";"),CONCATENATE(";",EscStr(CONCATENATE("NavNode_",getCategoryLevelAsString($B356))),";",EscStr(K356),";")))</f>
        <v>;"NavNode_L3D_543261";"Trådløs LAN/router/Firewall";</v>
      </c>
      <c r="AE356" s="39" t="str">
        <f>IF(getCategoryLevelAsString($B356)="L0D_324785","",IF(L356="",CONCATENATE(";",EscStr(CONCATENATE("NavNode_",getCategoryLevelAsString($B356))),";",EscStr($J356),";"),CONCATENATE(";",EscStr(CONCATENATE("NavNode_",getCategoryLevelAsString($B356))),";",EscStr(L356),";")))</f>
        <v>;"NavNode_L3D_543261";"Belaidis LAN / Maršrutizatoriai / Ugniasienė";</v>
      </c>
      <c r="AF356" s="39" t="str">
        <f>IF(getCategoryLevelAsString($B356)="L0D_324785","",IF(M356="",CONCATENATE(";",EscStr(CONCATENATE("NavNode_",getCategoryLevelAsString($B356))),";",EscStr($J356),";"),CONCATENATE(";",EscStr(CONCATENATE("NavNode_",getCategoryLevelAsString($B356))),";",EscStr(M356),";")))</f>
        <v>;"NavNode_L3D_543261";"Trådløs LAN / ruter / brannmur";</v>
      </c>
      <c r="AG356" s="39" t="str">
        <f>IF(getCategoryLevelAsString($B356)="L0D_324785","",IF(N356="",CONCATENATE(";",EscStr(CONCATENATE("NavNode_",getCategoryLevelAsString($B356))),";",EscStr($J356),";"),CONCATENATE(";",EscStr(CONCATENATE("NavNode_",getCategoryLevelAsString($B356))),";",EscStr(N356),";")))</f>
        <v>;"NavNode_L3D_543261";"Trådlöst LAN/Router/Brandvägg";</v>
      </c>
      <c r="AH356" s="39" t="str">
        <f>IF(getCategoryLevelAsString($B356)="L0D_324785","",IF(O356="",CONCATENATE(";",EscStr(CONCATENATE("NavNode_",getCategoryLevelAsString($B356))),";",EscStr($J356),";"),CONCATENATE(";",EscStr(CONCATENATE("NavNode_",getCategoryLevelAsString($B356))),";",EscStr(O356),";")))</f>
        <v>;"NavNode_L3D_543261";"Juhtmevaba sidevõrk / Ruuterid / Tulemüür";</v>
      </c>
      <c r="AI356" s="39" t="str">
        <f>IF(getCategoryLevelAsString($B356)="L0D_324785","",IF(P356="",CONCATENATE(";",EscStr(CONCATENATE("NavNode_",getCategoryLevelAsString($B356))),";",EscStr($J356),";"),CONCATENATE(";",EscStr(CONCATENATE("NavNode_",getCategoryLevelAsString($B356))),";",EscStr(P356),";")))</f>
        <v>;"NavNode_L3D_543261";"WLAN/reitittimet";</v>
      </c>
      <c r="AJ356" s="39" t="str">
        <f>IF(getCategoryLevelAsString($B356)="L0D_324785","",IF(Q356="",CONCATENATE(";",EscStr(CONCATENATE("NavNode_",getCategoryLevelAsString($B356))),";",EscStr($J356),";"),CONCATENATE(";",EscStr(CONCATENATE("NavNode_",getCategoryLevelAsString($B356))),";",EscStr(Q356),";")))</f>
        <v>;"NavNode_L3D_543261";"Wireless LAN / rūteri / ugunsmūri";</v>
      </c>
      <c r="AK356" s="39" t="str">
        <f>IF(getCategoryLevelAsString($B356)="L0D_324785","",IF(R356="",CONCATENATE(";",EscStr(CONCATENATE("NavNode_",getCategoryLevelAsString($B356))),";",EscStr($J356),";"),CONCATENATE(";",EscStr(CONCATENATE("NavNode_",getCategoryLevelAsString($B356))),";",EscStr(R356),";")))</f>
        <v>;"NavNode_L3D_543261";"Wireless LAN / Router / Firewall";</v>
      </c>
      <c r="AL356" s="39" t="str">
        <f>IF(getCategoryLevelAsString($B356)="L0D_324785","",IF(S356="",CONCATENATE(";",EscStr(CONCATENATE("NavNode_",getCategoryLevelAsString($B356))),";",EscStr($J356),";"),CONCATENATE(";",EscStr(CONCATENATE("NavNode_",getCategoryLevelAsString($B356))),";",EscStr(S356),";")))</f>
        <v>;"NavNode_L3D_543261";"Sieci LAN bezprzewodowe / Routery / Firewall";</v>
      </c>
      <c r="AM356" s="39" t="str">
        <f>IF(getCategoryLevelAsString($B356)="L0D_324785","",IF(T356="",CONCATENATE(";",EscStr(CONCATENATE("NavNode_",getCategoryLevelAsString($B356))),";",EscStr($J356),";"),CONCATENATE(";",EscStr(CONCATENATE("NavNode_",getCategoryLevelAsString($B356))),";",EscStr(T356),";")))</f>
        <v>;"NavNode_L3D_543261";"Беспроводной  LAN / Рутер / Firewall";</v>
      </c>
      <c r="AN356" s="39" t="str">
        <f>IF(getCategoryLevelAsString($B356)="L0D_324785","",IF(U356="",CONCATENATE(";",EscStr(CONCATENATE("NavNode_",getCategoryLevelAsString($B356))),";",EscStr($J356),";"),CONCATENATE(";",EscStr(CONCATENATE("NavNode_",getCategoryLevelAsString($B356))),";",EscStr(U356),";")))</f>
        <v>;"NavNode_L3D_543261";"Bezdrátová síť LAN / Router / Firewall";</v>
      </c>
      <c r="AO356" s="39" t="str">
        <f>IF(getCategoryLevelAsString($B356)="L0D_324785","",IF(V356="",CONCATENATE(";",EscStr(CONCATENATE("NavNode_",getCategoryLevelAsString($B356))),";",EscStr($J356),";"),CONCATENATE(";",EscStr(CONCATENATE("NavNode_",getCategoryLevelAsString($B356))),";",EscStr(V356),";")))</f>
        <v>;"NavNode_L3D_543261";"Wireless LAN / router / firewall";</v>
      </c>
      <c r="AP356" s="39" t="str">
        <f>IF(getCategoryLevelAsString($B356)="L0D_324785","",IF(W356="",CONCATENATE(";",EscStr(CONCATENATE("NavNode_",getCategoryLevelAsString($B356))),";",EscStr($J356),";"),CONCATENATE(";",EscStr(CONCATENATE("NavNode_",getCategoryLevelAsString($B356))),";",EscStr(W356),";")))</f>
        <v>;"NavNode_L3D_543261";"Vezetéknélküli-LAN / Router / Tűzfal";</v>
      </c>
      <c r="AQ356" s="39" t="str">
        <f>IF(getCategoryLevelAsString($B356)="L0D_324785","",IF(X356="",CONCATENATE(";",EscStr(CONCATENATE("NavNode_",getCategoryLevelAsString($B356))),";",EscStr($J356),";"),CONCATENATE(";",EscStr(CONCATENATE("NavNode_",getCategoryLevelAsString($B356))),";",EscStr(X356),";")))</f>
        <v>;"NavNode_L3D_543261";"Bezdrôtová sieť LAN / Router / Firewall";</v>
      </c>
      <c r="AR356" s="39" t="str">
        <f>IF(OR($A356&lt;&gt;"", $G356=""),"",CONCATENATE(";",EscStr(CONCATENATE("NavEntry_",getCategoryLevelAsString($B356))),";",EscStr(CONCATENATE($J356," Navigation Entry")),";",EscStr(CONCATENATE("cat-",getCategoryLevelAsString($B356))),";",EscStr(CONCATENATE("NavNode_",getCategoryLevelAsString($B356))),";"))</f>
        <v>;"NavEntry_L3D_543261";"Wireless LAN / Router / Firewall Navigation Entry";"cat-L3D_543261";"NavNode_L3D_543261";</v>
      </c>
    </row>
    <row r="357" spans="1:44" s="34" customFormat="1" ht="15" x14ac:dyDescent="0.25">
      <c r="A357" s="25"/>
      <c r="B357" s="5"/>
      <c r="C357" s="5"/>
      <c r="D357" s="5" t="s">
        <v>597</v>
      </c>
      <c r="E357" s="5"/>
      <c r="F357" s="5"/>
      <c r="G357" s="5" t="s">
        <v>1006</v>
      </c>
      <c r="H357" s="5" t="s">
        <v>765</v>
      </c>
      <c r="I357" s="5" t="s">
        <v>656</v>
      </c>
      <c r="J357" s="5" t="s">
        <v>866</v>
      </c>
      <c r="K357" s="5" t="s">
        <v>1397</v>
      </c>
      <c r="L357" s="5" t="s">
        <v>1633</v>
      </c>
      <c r="M357" s="5" t="s">
        <v>1835</v>
      </c>
      <c r="N357" s="5" t="s">
        <v>14001</v>
      </c>
      <c r="O357" s="5" t="s">
        <v>4328</v>
      </c>
      <c r="P357" s="5" t="s">
        <v>4329</v>
      </c>
      <c r="Q357" s="5" t="s">
        <v>4330</v>
      </c>
      <c r="R357" s="5" t="s">
        <v>866</v>
      </c>
      <c r="S357" s="5" t="s">
        <v>4331</v>
      </c>
      <c r="T357" s="5" t="s">
        <v>4332</v>
      </c>
      <c r="U357" s="5" t="s">
        <v>4333</v>
      </c>
      <c r="V357" s="5" t="s">
        <v>4334</v>
      </c>
      <c r="W357" s="5" t="s">
        <v>4335</v>
      </c>
      <c r="X357" s="5" t="s">
        <v>15040</v>
      </c>
      <c r="Y357" s="39" t="str">
        <f>IF(OR($A357&lt;&gt;"", $G357=""),"",CONCATENATE(";",EscStr(CONCATENATE("NavNode_",getCategoryLevelAsString($B357))),";",EscStr($J357),";",IF($B357&lt;&gt;"","""MainCategoryNavNode""",EscStr(CONCATENATE("NavNode_",getSuperCategory($B357, getCategoryLevelAsNumber($B357))))),";"))</f>
        <v>;"NavNode_L3D_543263";"Switches / Converters / Network interface cards";"NavNode_L2D_542982";</v>
      </c>
      <c r="Z357" s="39" t="str">
        <f>IF(getCategoryLevelAsString($B357)="L0D_324785","",IF(G357="",CONCATENATE(";",EscStr(CONCATENATE("NavNode_",getCategoryLevelAsString($B357))),";",EscStr($J357),";"),CONCATENATE(";",EscStr(CONCATENATE("NavNode_",getCategoryLevelAsString($B357))),";",EscStr(G357),";")))</f>
        <v>;"NavNode_L3D_543263";"Switches / Konverter / Netzwerkkarten";</v>
      </c>
      <c r="AA357" s="39" t="str">
        <f>IF(getCategoryLevelAsString($B357)="L0D_324785","",IF(H357="",CONCATENATE(";",EscStr(CONCATENATE("NavNode_",getCategoryLevelAsString($B357))),";",EscStr($J357),";"),CONCATENATE(";",EscStr(CONCATENATE("NavNode_",getCategoryLevelAsString($B357))),";",EscStr(H357),";")))</f>
        <v>;"NavNode_L3D_543263";"Switchs / Convertisseurs / Cartes réseau";</v>
      </c>
      <c r="AB357" s="39" t="str">
        <f>IF(getCategoryLevelAsString($B357)="L0D_324785","",IF(I357="",CONCATENATE(";",EscStr(CONCATENATE("NavNode_",getCategoryLevelAsString($B357))),";",EscStr($J357),";"),CONCATENATE(";",EscStr(CONCATENATE("NavNode_",getCategoryLevelAsString($B357))),";",EscStr(I357),";")))</f>
        <v>;"NavNode_L3D_543263";"Switch / convertitori / schede interfaccia di rete";</v>
      </c>
      <c r="AC357" s="39" t="str">
        <f>IF(getCategoryLevelAsString($B357)="L0D_324785","",IF(J357="",CONCATENATE(";",EscStr(CONCATENATE("NavNode_",getCategoryLevelAsString($B357))),";",EscStr($J357),";"),CONCATENATE(";",EscStr(CONCATENATE("NavNode_",getCategoryLevelAsString($B357))),";",EscStr(J357),";")))</f>
        <v>;"NavNode_L3D_543263";"Switches / Converters / Network interface cards";</v>
      </c>
      <c r="AD357" s="39" t="str">
        <f>IF(getCategoryLevelAsString($B357)="L0D_324785","",IF(K357="",CONCATENATE(";",EscStr(CONCATENATE("NavNode_",getCategoryLevelAsString($B357))),";",EscStr($J357),";"),CONCATENATE(";",EscStr(CONCATENATE("NavNode_",getCategoryLevelAsString($B357))),";",EscStr(K357),";")))</f>
        <v>;"NavNode_L3D_543263";"Afbrydere/omformere/netværks-interfacekort";</v>
      </c>
      <c r="AE357" s="39" t="str">
        <f>IF(getCategoryLevelAsString($B357)="L0D_324785","",IF(L357="",CONCATENATE(";",EscStr(CONCATENATE("NavNode_",getCategoryLevelAsString($B357))),";",EscStr($J357),";"),CONCATENATE(";",EscStr(CONCATENATE("NavNode_",getCategoryLevelAsString($B357))),";",EscStr(L357),";")))</f>
        <v>;"NavNode_L3D_543263";"Jungikliai / keitikliai / tinklo sąsajos plokštės";</v>
      </c>
      <c r="AF357" s="39" t="str">
        <f>IF(getCategoryLevelAsString($B357)="L0D_324785","",IF(M357="",CONCATENATE(";",EscStr(CONCATENATE("NavNode_",getCategoryLevelAsString($B357))),";",EscStr($J357),";"),CONCATENATE(";",EscStr(CONCATENATE("NavNode_",getCategoryLevelAsString($B357))),";",EscStr(M357),";")))</f>
        <v>;"NavNode_L3D_543263";"Brytere/omformere/nettverksgrensesnittkort";</v>
      </c>
      <c r="AG357" s="39" t="str">
        <f>IF(getCategoryLevelAsString($B357)="L0D_324785","",IF(N357="",CONCATENATE(";",EscStr(CONCATENATE("NavNode_",getCategoryLevelAsString($B357))),";",EscStr($J357),";"),CONCATENATE(";",EscStr(CONCATENATE("NavNode_",getCategoryLevelAsString($B357))),";",EscStr(N357),";")))</f>
        <v>;"NavNode_L3D_543263";"Switch/Omvandlare/Nätverksgränssnittskort";</v>
      </c>
      <c r="AH357" s="39" t="str">
        <f>IF(getCategoryLevelAsString($B357)="L0D_324785","",IF(O357="",CONCATENATE(";",EscStr(CONCATENATE("NavNode_",getCategoryLevelAsString($B357))),";",EscStr($J357),";"),CONCATENATE(";",EscStr(CONCATENATE("NavNode_",getCategoryLevelAsString($B357))),";",EscStr(O357),";")))</f>
        <v>;"NavNode_L3D_543263";"Switchid / Muundurid / Võrgukaardid";</v>
      </c>
      <c r="AI357" s="39" t="str">
        <f>IF(getCategoryLevelAsString($B357)="L0D_324785","",IF(P357="",CONCATENATE(";",EscStr(CONCATENATE("NavNode_",getCategoryLevelAsString($B357))),";",EscStr($J357),";"),CONCATENATE(";",EscStr(CONCATENATE("NavNode_",getCategoryLevelAsString($B357))),";",EscStr(P357),";")))</f>
        <v>;"NavNode_L3D_543263";"Kytkimet/ muuntimet";</v>
      </c>
      <c r="AJ357" s="39" t="str">
        <f>IF(getCategoryLevelAsString($B357)="L0D_324785","",IF(Q357="",CONCATENATE(";",EscStr(CONCATENATE("NavNode_",getCategoryLevelAsString($B357))),";",EscStr($J357),";"),CONCATENATE(";",EscStr(CONCATENATE("NavNode_",getCategoryLevelAsString($B357))),";",EscStr(Q357),";")))</f>
        <v>;"NavNode_L3D_543263";"Komutatori / konverteri / tīkla interfeisa kartes";</v>
      </c>
      <c r="AK357" s="39" t="str">
        <f>IF(getCategoryLevelAsString($B357)="L0D_324785","",IF(R357="",CONCATENATE(";",EscStr(CONCATENATE("NavNode_",getCategoryLevelAsString($B357))),";",EscStr($J357),";"),CONCATENATE(";",EscStr(CONCATENATE("NavNode_",getCategoryLevelAsString($B357))),";",EscStr(R357),";")))</f>
        <v>;"NavNode_L3D_543263";"Switches / Converters / Network interface cards";</v>
      </c>
      <c r="AL357" s="39" t="str">
        <f>IF(getCategoryLevelAsString($B357)="L0D_324785","",IF(S357="",CONCATENATE(";",EscStr(CONCATENATE("NavNode_",getCategoryLevelAsString($B357))),";",EscStr($J357),";"),CONCATENATE(";",EscStr(CONCATENATE("NavNode_",getCategoryLevelAsString($B357))),";",EscStr(S357),";")))</f>
        <v>;"NavNode_L3D_543263";"Przełączniki / Konwertery / Karty Sieciowe";</v>
      </c>
      <c r="AM357" s="39" t="str">
        <f>IF(getCategoryLevelAsString($B357)="L0D_324785","",IF(T357="",CONCATENATE(";",EscStr(CONCATENATE("NavNode_",getCategoryLevelAsString($B357))),";",EscStr($J357),";"),CONCATENATE(";",EscStr(CONCATENATE("NavNode_",getCategoryLevelAsString($B357))),";",EscStr(T357),";")))</f>
        <v>;"NavNode_L3D_543263";"Коммутаторы / Преобразователи /  Сетевые интерфейсные карты";</v>
      </c>
      <c r="AN357" s="39" t="str">
        <f>IF(getCategoryLevelAsString($B357)="L0D_324785","",IF(U357="",CONCATENATE(";",EscStr(CONCATENATE("NavNode_",getCategoryLevelAsString($B357))),";",EscStr($J357),";"),CONCATENATE(";",EscStr(CONCATENATE("NavNode_",getCategoryLevelAsString($B357))),";",EscStr(U357),";")))</f>
        <v>;"NavNode_L3D_543263";"Přepínače / Převodníky / Síťové karty";</v>
      </c>
      <c r="AO357" s="39" t="str">
        <f>IF(getCategoryLevelAsString($B357)="L0D_324785","",IF(V357="",CONCATENATE(";",EscStr(CONCATENATE("NavNode_",getCategoryLevelAsString($B357))),";",EscStr($J357),";"),CONCATENATE(";",EscStr(CONCATENATE("NavNode_",getCategoryLevelAsString($B357))),";",EscStr(V357),";")))</f>
        <v>;"NavNode_L3D_543263";"Switch-uri / convertoare / placă de reţea";</v>
      </c>
      <c r="AP357" s="39" t="str">
        <f>IF(getCategoryLevelAsString($B357)="L0D_324785","",IF(W357="",CONCATENATE(";",EscStr(CONCATENATE("NavNode_",getCategoryLevelAsString($B357))),";",EscStr($J357),";"),CONCATENATE(";",EscStr(CONCATENATE("NavNode_",getCategoryLevelAsString($B357))),";",EscStr(W357),";")))</f>
        <v>;"NavNode_L3D_543263";"Switches / Konverter / Adathálózati kártyák";</v>
      </c>
      <c r="AQ357" s="39" t="str">
        <f>IF(getCategoryLevelAsString($B357)="L0D_324785","",IF(X357="",CONCATENATE(";",EscStr(CONCATENATE("NavNode_",getCategoryLevelAsString($B357))),";",EscStr($J357),";"),CONCATENATE(";",EscStr(CONCATENATE("NavNode_",getCategoryLevelAsString($B357))),";",EscStr(X357),";")))</f>
        <v>;"NavNode_L3D_543263";"Prepínače / Prevodníky / Sieťové karty";</v>
      </c>
      <c r="AR357" s="39" t="str">
        <f>IF(OR($A357&lt;&gt;"", $G357=""),"",CONCATENATE(";",EscStr(CONCATENATE("NavEntry_",getCategoryLevelAsString($B357))),";",EscStr(CONCATENATE($J357," Navigation Entry")),";",EscStr(CONCATENATE("cat-",getCategoryLevelAsString($B357))),";",EscStr(CONCATENATE("NavNode_",getCategoryLevelAsString($B357))),";"))</f>
        <v>;"NavEntry_L3D_543263";"Switches / Converters / Network interface cards Navigation Entry";"cat-L3D_543263";"NavNode_L3D_543263";</v>
      </c>
    </row>
    <row r="358" spans="1:44" s="34" customFormat="1" ht="15" x14ac:dyDescent="0.25">
      <c r="A358" s="25"/>
      <c r="B358" s="5"/>
      <c r="C358" s="5"/>
      <c r="D358" s="5" t="s">
        <v>598</v>
      </c>
      <c r="E358" s="5"/>
      <c r="F358" s="5"/>
      <c r="G358" s="5" t="s">
        <v>13392</v>
      </c>
      <c r="H358" s="5" t="s">
        <v>13651</v>
      </c>
      <c r="I358" s="41" t="s">
        <v>13741</v>
      </c>
      <c r="J358" s="41" t="s">
        <v>13564</v>
      </c>
      <c r="K358" s="5" t="s">
        <v>13849</v>
      </c>
      <c r="L358" s="5" t="s">
        <v>15242</v>
      </c>
      <c r="M358" s="5" t="s">
        <v>13916</v>
      </c>
      <c r="N358" s="5" t="s">
        <v>14002</v>
      </c>
      <c r="O358" s="5" t="s">
        <v>14096</v>
      </c>
      <c r="P358" s="5" t="s">
        <v>15250</v>
      </c>
      <c r="Q358" s="5" t="s">
        <v>14273</v>
      </c>
      <c r="R358" s="5" t="s">
        <v>14355</v>
      </c>
      <c r="S358" s="5" t="s">
        <v>14444</v>
      </c>
      <c r="T358" s="5" t="s">
        <v>4340</v>
      </c>
      <c r="U358" s="5" t="s">
        <v>14622</v>
      </c>
      <c r="V358" s="5" t="s">
        <v>13392</v>
      </c>
      <c r="W358" s="5" t="s">
        <v>13392</v>
      </c>
      <c r="X358" s="5" t="s">
        <v>15041</v>
      </c>
      <c r="Y358" s="39" t="str">
        <f>IF(OR($A358&lt;&gt;"", $G358=""),"",CONCATENATE(";",EscStr(CONCATENATE("NavNode_",getCategoryLevelAsString($B358))),";",EscStr($J358),";",IF($B358&lt;&gt;"","""MainCategoryNavNode""",EscStr(CONCATENATE("NavNode_",getSuperCategory($B358, getCategoryLevelAsNumber($B358))))),";"))</f>
        <v>;"NavNode_L3D_543267";"Power-line Communication";"NavNode_L2D_542982";</v>
      </c>
      <c r="Z358" s="39" t="str">
        <f>IF(getCategoryLevelAsString($B358)="L0D_324785","",IF(G358="",CONCATENATE(";",EscStr(CONCATENATE("NavNode_",getCategoryLevelAsString($B358))),";",EscStr($J358),";"),CONCATENATE(";",EscStr(CONCATENATE("NavNode_",getCategoryLevelAsString($B358))),";",EscStr(G358),";")))</f>
        <v>;"NavNode_L3D_543267";"Powerline";</v>
      </c>
      <c r="AA358" s="39" t="str">
        <f>IF(getCategoryLevelAsString($B358)="L0D_324785","",IF(H358="",CONCATENATE(";",EscStr(CONCATENATE("NavNode_",getCategoryLevelAsString($B358))),";",EscStr($J358),";"),CONCATENATE(";",EscStr(CONCATENATE("NavNode_",getCategoryLevelAsString($B358))),";",EscStr(H358),";")))</f>
        <v>;"NavNode_L3D_543267";"Courants porteurs en ligne";</v>
      </c>
      <c r="AB358" s="39" t="str">
        <f>IF(getCategoryLevelAsString($B358)="L0D_324785","",IF(I358="",CONCATENATE(";",EscStr(CONCATENATE("NavNode_",getCategoryLevelAsString($B358))),";",EscStr($J358),";"),CONCATENATE(";",EscStr(CONCATENATE("NavNode_",getCategoryLevelAsString($B358))),";",EscStr(I358),";")))</f>
        <v>;"NavNode_L3D_543267";"Comunicazioni Power-line (su rete elettrica)";</v>
      </c>
      <c r="AC358" s="39" t="str">
        <f>IF(getCategoryLevelAsString($B358)="L0D_324785","",IF(J358="",CONCATENATE(";",EscStr(CONCATENATE("NavNode_",getCategoryLevelAsString($B358))),";",EscStr($J358),";"),CONCATENATE(";",EscStr(CONCATENATE("NavNode_",getCategoryLevelAsString($B358))),";",EscStr(J358),";")))</f>
        <v>;"NavNode_L3D_543267";"Power-line Communication";</v>
      </c>
      <c r="AD358" s="39" t="str">
        <f>IF(getCategoryLevelAsString($B358)="L0D_324785","",IF(K358="",CONCATENATE(";",EscStr(CONCATENATE("NavNode_",getCategoryLevelAsString($B358))),";",EscStr($J358),";"),CONCATENATE(";",EscStr(CONCATENATE("NavNode_",getCategoryLevelAsString($B358))),";",EscStr(K358),";")))</f>
        <v>;"NavNode_L3D_543267";"Ledningsbåret kommunikation";</v>
      </c>
      <c r="AE358" s="39" t="str">
        <f>IF(getCategoryLevelAsString($B358)="L0D_324785","",IF(L358="",CONCATENATE(";",EscStr(CONCATENATE("NavNode_",getCategoryLevelAsString($B358))),";",EscStr($J358),";"),CONCATENATE(";",EscStr(CONCATENATE("NavNode_",getCategoryLevelAsString($B358))),";",EscStr(L358),";")))</f>
        <v>;"NavNode_L3D_543267";"Linijos komunikatoriai";</v>
      </c>
      <c r="AF358" s="39" t="str">
        <f>IF(getCategoryLevelAsString($B358)="L0D_324785","",IF(M358="",CONCATENATE(";",EscStr(CONCATENATE("NavNode_",getCategoryLevelAsString($B358))),";",EscStr($J358),";"),CONCATENATE(";",EscStr(CONCATENATE("NavNode_",getCategoryLevelAsString($B358))),";",EscStr(M358),";")))</f>
        <v>;"NavNode_L3D_543267";"Powerline-kommunikasjon";</v>
      </c>
      <c r="AG358" s="39" t="str">
        <f>IF(getCategoryLevelAsString($B358)="L0D_324785","",IF(N358="",CONCATENATE(";",EscStr(CONCATENATE("NavNode_",getCategoryLevelAsString($B358))),";",EscStr($J358),";"),CONCATENATE(";",EscStr(CONCATENATE("NavNode_",getCategoryLevelAsString($B358))),";",EscStr(N358),";")))</f>
        <v>;"NavNode_L3D_543267";"Elnätskommunikation";</v>
      </c>
      <c r="AH358" s="39" t="str">
        <f>IF(getCategoryLevelAsString($B358)="L0D_324785","",IF(O358="",CONCATENATE(";",EscStr(CONCATENATE("NavNode_",getCategoryLevelAsString($B358))),";",EscStr($J358),";"),CONCATENATE(";",EscStr(CONCATENATE("NavNode_",getCategoryLevelAsString($B358))),";",EscStr(O358),";")))</f>
        <v>;"NavNode_L3D_543267";"LAN elektrivõrgu vahendusel";</v>
      </c>
      <c r="AI358" s="39" t="str">
        <f>IF(getCategoryLevelAsString($B358)="L0D_324785","",IF(P358="",CONCATENATE(";",EscStr(CONCATENATE("NavNode_",getCategoryLevelAsString($B358))),";",EscStr($J358),";"),CONCATENATE(";",EscStr(CONCATENATE("NavNode_",getCategoryLevelAsString($B358))),";",EscStr(P358),";")))</f>
        <v>;"NavNode_L3D_543267";"Tiedonsiirto sähköverkossa";</v>
      </c>
      <c r="AJ358" s="39" t="str">
        <f>IF(getCategoryLevelAsString($B358)="L0D_324785","",IF(Q358="",CONCATENATE(";",EscStr(CONCATENATE("NavNode_",getCategoryLevelAsString($B358))),";",EscStr($J358),";"),CONCATENATE(";",EscStr(CONCATENATE("NavNode_",getCategoryLevelAsString($B358))),";",EscStr(Q358),";")))</f>
        <v>;"NavNode_L3D_543267";"Barošanas līnijas komunikācija";</v>
      </c>
      <c r="AK358" s="39" t="str">
        <f>IF(getCategoryLevelAsString($B358)="L0D_324785","",IF(R358="",CONCATENATE(";",EscStr(CONCATENATE("NavNode_",getCategoryLevelAsString($B358))),";",EscStr($J358),";"),CONCATENATE(";",EscStr(CONCATENATE("NavNode_",getCategoryLevelAsString($B358))),";",EscStr(R358),";")))</f>
        <v>;"NavNode_L3D_543267";"Power-line Communicatie";</v>
      </c>
      <c r="AL358" s="39" t="str">
        <f>IF(getCategoryLevelAsString($B358)="L0D_324785","",IF(S358="",CONCATENATE(";",EscStr(CONCATENATE("NavNode_",getCategoryLevelAsString($B358))),";",EscStr($J358),";"),CONCATENATE(";",EscStr(CONCATENATE("NavNode_",getCategoryLevelAsString($B358))),";",EscStr(S358),";")))</f>
        <v>;"NavNode_L3D_543267";"Komunikacja po sieci energetycznej";</v>
      </c>
      <c r="AM358" s="39" t="str">
        <f>IF(getCategoryLevelAsString($B358)="L0D_324785","",IF(T358="",CONCATENATE(";",EscStr(CONCATENATE("NavNode_",getCategoryLevelAsString($B358))),";",EscStr($J358),";"),CONCATENATE(";",EscStr(CONCATENATE("NavNode_",getCategoryLevelAsString($B358))),";",EscStr(T358),";")))</f>
        <v>;"NavNode_L3D_543267";"Устройства передачи данных через электросеть";</v>
      </c>
      <c r="AN358" s="39" t="str">
        <f>IF(getCategoryLevelAsString($B358)="L0D_324785","",IF(U358="",CONCATENATE(";",EscStr(CONCATENATE("NavNode_",getCategoryLevelAsString($B358))),";",EscStr($J358),";"),CONCATENATE(";",EscStr(CONCATENATE("NavNode_",getCategoryLevelAsString($B358))),";",EscStr(U358),";")))</f>
        <v>;"NavNode_L3D_543267";"Elektrické vedení";</v>
      </c>
      <c r="AO358" s="39" t="str">
        <f>IF(getCategoryLevelAsString($B358)="L0D_324785","",IF(V358="",CONCATENATE(";",EscStr(CONCATENATE("NavNode_",getCategoryLevelAsString($B358))),";",EscStr($J358),";"),CONCATENATE(";",EscStr(CONCATENATE("NavNode_",getCategoryLevelAsString($B358))),";",EscStr(V358),";")))</f>
        <v>;"NavNode_L3D_543267";"Powerline";</v>
      </c>
      <c r="AP358" s="39" t="str">
        <f>IF(getCategoryLevelAsString($B358)="L0D_324785","",IF(W358="",CONCATENATE(";",EscStr(CONCATENATE("NavNode_",getCategoryLevelAsString($B358))),";",EscStr($J358),";"),CONCATENATE(";",EscStr(CONCATENATE("NavNode_",getCategoryLevelAsString($B358))),";",EscStr(W358),";")))</f>
        <v>;"NavNode_L3D_543267";"Powerline";</v>
      </c>
      <c r="AQ358" s="39" t="str">
        <f>IF(getCategoryLevelAsString($B358)="L0D_324785","",IF(X358="",CONCATENATE(";",EscStr(CONCATENATE("NavNode_",getCategoryLevelAsString($B358))),";",EscStr($J358),";"),CONCATENATE(";",EscStr(CONCATENATE("NavNode_",getCategoryLevelAsString($B358))),";",EscStr(X358),";")))</f>
        <v>;"NavNode_L3D_543267";"Elektrické vedenia";</v>
      </c>
      <c r="AR358" s="39" t="str">
        <f>IF(OR($A358&lt;&gt;"", $G358=""),"",CONCATENATE(";",EscStr(CONCATENATE("NavEntry_",getCategoryLevelAsString($B358))),";",EscStr(CONCATENATE($J358," Navigation Entry")),";",EscStr(CONCATENATE("cat-",getCategoryLevelAsString($B358))),";",EscStr(CONCATENATE("NavNode_",getCategoryLevelAsString($B358))),";"))</f>
        <v>;"NavEntry_L3D_543267";"Power-line Communication Navigation Entry";"cat-L3D_543267";"NavNode_L3D_543267";</v>
      </c>
    </row>
    <row r="359" spans="1:44" s="34" customFormat="1" ht="15" x14ac:dyDescent="0.25">
      <c r="A359" s="25"/>
      <c r="B359" s="5"/>
      <c r="C359" s="5"/>
      <c r="D359" s="5" t="s">
        <v>599</v>
      </c>
      <c r="E359" s="5"/>
      <c r="F359" s="5"/>
      <c r="G359" s="5" t="s">
        <v>1008</v>
      </c>
      <c r="H359" s="5" t="s">
        <v>767</v>
      </c>
      <c r="I359" s="5" t="s">
        <v>658</v>
      </c>
      <c r="J359" s="5" t="s">
        <v>868</v>
      </c>
      <c r="K359" s="5" t="s">
        <v>1399</v>
      </c>
      <c r="L359" s="5" t="s">
        <v>15243</v>
      </c>
      <c r="M359" s="5" t="s">
        <v>1837</v>
      </c>
      <c r="N359" s="5" t="s">
        <v>14003</v>
      </c>
      <c r="O359" s="5" t="s">
        <v>4344</v>
      </c>
      <c r="P359" s="5" t="s">
        <v>15251</v>
      </c>
      <c r="Q359" s="5" t="s">
        <v>4346</v>
      </c>
      <c r="R359" s="5" t="s">
        <v>4347</v>
      </c>
      <c r="S359" s="5" t="s">
        <v>4348</v>
      </c>
      <c r="T359" s="5" t="s">
        <v>4349</v>
      </c>
      <c r="U359" s="5" t="s">
        <v>4350</v>
      </c>
      <c r="V359" s="5" t="s">
        <v>4351</v>
      </c>
      <c r="W359" s="5" t="s">
        <v>4352</v>
      </c>
      <c r="X359" s="5" t="s">
        <v>15042</v>
      </c>
      <c r="Y359" s="39" t="str">
        <f>IF(OR($A359&lt;&gt;"", $G359=""),"",CONCATENATE(";",EscStr(CONCATENATE("NavNode_",getCategoryLevelAsString($B359))),";",EscStr($J359),";",IF($B359&lt;&gt;"","""MainCategoryNavNode""",EscStr(CONCATENATE("NavNode_",getSuperCategory($B359, getCategoryLevelAsNumber($B359))))),";"))</f>
        <v>;"NavNode_L3D_543269";"Landline Products / Office Headsets";"NavNode_L2D_542982";</v>
      </c>
      <c r="Z359" s="39" t="str">
        <f>IF(getCategoryLevelAsString($B359)="L0D_324785","",IF(G359="",CONCATENATE(";",EscStr(CONCATENATE("NavNode_",getCategoryLevelAsString($B359))),";",EscStr($J359),";"),CONCATENATE(";",EscStr(CONCATENATE("NavNode_",getCategoryLevelAsString($B359))),";",EscStr(G359),";")))</f>
        <v>;"NavNode_L3D_543269";"Festnetzprodukte / Sprechgarnituren";</v>
      </c>
      <c r="AA359" s="39" t="str">
        <f>IF(getCategoryLevelAsString($B359)="L0D_324785","",IF(H359="",CONCATENATE(";",EscStr(CONCATENATE("NavNode_",getCategoryLevelAsString($B359))),";",EscStr($J359),";"),CONCATENATE(";",EscStr(CONCATENATE("NavNode_",getCategoryLevelAsString($B359))),";",EscStr(H359),";")))</f>
        <v>;"NavNode_L3D_543269";"Produits pour ligne fixe / Casques de bureau";</v>
      </c>
      <c r="AB359" s="39" t="str">
        <f>IF(getCategoryLevelAsString($B359)="L0D_324785","",IF(I359="",CONCATENATE(";",EscStr(CONCATENATE("NavNode_",getCategoryLevelAsString($B359))),";",EscStr($J359),";"),CONCATENATE(";",EscStr(CONCATENATE("NavNode_",getCategoryLevelAsString($B359))),";",EscStr(I359),";")))</f>
        <v>;"NavNode_L3D_543269";"Prodotti per linea telefonica fissa / Cuffie da ufficio";</v>
      </c>
      <c r="AC359" s="39" t="str">
        <f>IF(getCategoryLevelAsString($B359)="L0D_324785","",IF(J359="",CONCATENATE(";",EscStr(CONCATENATE("NavNode_",getCategoryLevelAsString($B359))),";",EscStr($J359),";"),CONCATENATE(";",EscStr(CONCATENATE("NavNode_",getCategoryLevelAsString($B359))),";",EscStr(J359),";")))</f>
        <v>;"NavNode_L3D_543269";"Landline Products / Office Headsets";</v>
      </c>
      <c r="AD359" s="39" t="str">
        <f>IF(getCategoryLevelAsString($B359)="L0D_324785","",IF(K359="",CONCATENATE(";",EscStr(CONCATENATE("NavNode_",getCategoryLevelAsString($B359))),";",EscStr($J359),";"),CONCATENATE(";",EscStr(CONCATENATE("NavNode_",getCategoryLevelAsString($B359))),";",EscStr(K359),";")))</f>
        <v>;"NavNode_L3D_543269";"Landline-produkter/kontor-headset";</v>
      </c>
      <c r="AE359" s="39" t="str">
        <f>IF(getCategoryLevelAsString($B359)="L0D_324785","",IF(L359="",CONCATENATE(";",EscStr(CONCATENATE("NavNode_",getCategoryLevelAsString($B359))),";",EscStr($J359),";"),CONCATENATE(";",EscStr(CONCATENATE("NavNode_",getCategoryLevelAsString($B359))),";",EscStr(L359),";")))</f>
        <v>;"NavNode_L3D_543269";"Fiksuoto ryšio telefonai / Biuro ausinės";</v>
      </c>
      <c r="AF359" s="39" t="str">
        <f>IF(getCategoryLevelAsString($B359)="L0D_324785","",IF(M359="",CONCATENATE(";",EscStr(CONCATENATE("NavNode_",getCategoryLevelAsString($B359))),";",EscStr($J359),";"),CONCATENATE(";",EscStr(CONCATENATE("NavNode_",getCategoryLevelAsString($B359))),";",EscStr(M359),";")))</f>
        <v>;"NavNode_L3D_543269";"Landkabelprodukter/kontorhodetelefoner";</v>
      </c>
      <c r="AG359" s="39" t="str">
        <f>IF(getCategoryLevelAsString($B359)="L0D_324785","",IF(N359="",CONCATENATE(";",EscStr(CONCATENATE("NavNode_",getCategoryLevelAsString($B359))),";",EscStr($J359),";"),CONCATENATE(";",EscStr(CONCATENATE("NavNode_",getCategoryLevelAsString($B359))),";",EscStr(N359),";")))</f>
        <v>;"NavNode_L3D_543269";"Plain Old Telephone Service produkter  / Kontorsheadset";</v>
      </c>
      <c r="AH359" s="39" t="str">
        <f>IF(getCategoryLevelAsString($B359)="L0D_324785","",IF(O359="",CONCATENATE(";",EscStr(CONCATENATE("NavNode_",getCategoryLevelAsString($B359))),";",EscStr($J359),";"),CONCATENATE(";",EscStr(CONCATENATE("NavNode_",getCategoryLevelAsString($B359))),";",EscStr(O359),";")))</f>
        <v>;"NavNode_L3D_543269";"Lauatelefonide tooted / Peakomplektid";</v>
      </c>
      <c r="AI359" s="39" t="str">
        <f>IF(getCategoryLevelAsString($B359)="L0D_324785","",IF(P359="",CONCATENATE(";",EscStr(CONCATENATE("NavNode_",getCategoryLevelAsString($B359))),";",EscStr($J359),";"),CONCATENATE(";",EscStr(CONCATENATE("NavNode_",getCategoryLevelAsString($B359))),";",EscStr(P359),";")))</f>
        <v>;"NavNode_L3D_543269";"kuulokkeet kiinteään ja mobiili puhelin verkkoon";</v>
      </c>
      <c r="AJ359" s="39" t="str">
        <f>IF(getCategoryLevelAsString($B359)="L0D_324785","",IF(Q359="",CONCATENATE(";",EscStr(CONCATENATE("NavNode_",getCategoryLevelAsString($B359))),";",EscStr($J359),";"),CONCATENATE(";",EscStr(CONCATENATE("NavNode_",getCategoryLevelAsString($B359))),";",EscStr(Q359),";")))</f>
        <v>;"NavNode_L3D_543269";"Telefonijas produkti / Biroja austiņas";</v>
      </c>
      <c r="AK359" s="39" t="str">
        <f>IF(getCategoryLevelAsString($B359)="L0D_324785","",IF(R359="",CONCATENATE(";",EscStr(CONCATENATE("NavNode_",getCategoryLevelAsString($B359))),";",EscStr($J359),";"),CONCATENATE(";",EscStr(CONCATENATE("NavNode_",getCategoryLevelAsString($B359))),";",EscStr(R359),";")))</f>
        <v>;"NavNode_L3D_543269";"Telefoons / Hoofdtelefoons";</v>
      </c>
      <c r="AL359" s="39" t="str">
        <f>IF(getCategoryLevelAsString($B359)="L0D_324785","",IF(S359="",CONCATENATE(";",EscStr(CONCATENATE("NavNode_",getCategoryLevelAsString($B359))),";",EscStr($J359),";"),CONCATENATE(";",EscStr(CONCATENATE("NavNode_",getCategoryLevelAsString($B359))),";",EscStr(S359),";")))</f>
        <v>;"NavNode_L3D_543269";"Telefonia stacjonarna/Słuchawki biurowe";</v>
      </c>
      <c r="AM359" s="39" t="str">
        <f>IF(getCategoryLevelAsString($B359)="L0D_324785","",IF(T359="",CONCATENATE(";",EscStr(CONCATENATE("NavNode_",getCategoryLevelAsString($B359))),";",EscStr($J359),";"),CONCATENATE(";",EscStr(CONCATENATE("NavNode_",getCategoryLevelAsString($B359))),";",EscStr(T359),";")))</f>
        <v>;"NavNode_L3D_543269";"Продукты телефонии   / Офисные наушники";</v>
      </c>
      <c r="AN359" s="39" t="str">
        <f>IF(getCategoryLevelAsString($B359)="L0D_324785","",IF(U359="",CONCATENATE(";",EscStr(CONCATENATE("NavNode_",getCategoryLevelAsString($B359))),";",EscStr($J359),";"),CONCATENATE(";",EscStr(CONCATENATE("NavNode_",getCategoryLevelAsString($B359))),";",EscStr(U359),";")))</f>
        <v>;"NavNode_L3D_543269";"Síťové produkty / Headsety";</v>
      </c>
      <c r="AO359" s="39" t="str">
        <f>IF(getCategoryLevelAsString($B359)="L0D_324785","",IF(V359="",CONCATENATE(";",EscStr(CONCATENATE("NavNode_",getCategoryLevelAsString($B359))),";",EscStr($J359),";"),CONCATENATE(";",EscStr(CONCATENATE("NavNode_",getCategoryLevelAsString($B359))),";",EscStr(V359),";")))</f>
        <v>;"NavNode_L3D_543269";"Produse pentru reţeaua fixă / Garnituri de telefonie";</v>
      </c>
      <c r="AP359" s="39" t="str">
        <f>IF(getCategoryLevelAsString($B359)="L0D_324785","",IF(W359="",CONCATENATE(";",EscStr(CONCATENATE("NavNode_",getCategoryLevelAsString($B359))),";",EscStr($J359),";"),CONCATENATE(";",EscStr(CONCATENATE("NavNode_",getCategoryLevelAsString($B359))),";",EscStr(W359),";")))</f>
        <v>;"NavNode_L3D_543269";"Vezetéknélküli eszközök / Fejbeszélők";</v>
      </c>
      <c r="AQ359" s="39" t="str">
        <f>IF(getCategoryLevelAsString($B359)="L0D_324785","",IF(X359="",CONCATENATE(";",EscStr(CONCATENATE("NavNode_",getCategoryLevelAsString($B359))),";",EscStr($J359),";"),CONCATENATE(";",EscStr(CONCATENATE("NavNode_",getCategoryLevelAsString($B359))),";",EscStr(X359),";")))</f>
        <v>;"NavNode_L3D_543269";"Sieťové produkty / Headsety";</v>
      </c>
      <c r="AR359" s="39" t="str">
        <f>IF(OR($A359&lt;&gt;"", $G359=""),"",CONCATENATE(";",EscStr(CONCATENATE("NavEntry_",getCategoryLevelAsString($B359))),";",EscStr(CONCATENATE($J359," Navigation Entry")),";",EscStr(CONCATENATE("cat-",getCategoryLevelAsString($B359))),";",EscStr(CONCATENATE("NavNode_",getCategoryLevelAsString($B359))),";"))</f>
        <v>;"NavEntry_L3D_543269";"Landline Products / Office Headsets Navigation Entry";"cat-L3D_543269";"NavNode_L3D_543269";</v>
      </c>
    </row>
    <row r="360" spans="1:44" s="34" customFormat="1" ht="15" x14ac:dyDescent="0.25">
      <c r="A360" s="25"/>
      <c r="B360" s="5"/>
      <c r="C360" s="5"/>
      <c r="D360" s="5" t="s">
        <v>600</v>
      </c>
      <c r="E360" s="5"/>
      <c r="F360" s="5"/>
      <c r="G360" s="5" t="s">
        <v>1009</v>
      </c>
      <c r="H360" s="5" t="s">
        <v>768</v>
      </c>
      <c r="I360" s="5" t="s">
        <v>659</v>
      </c>
      <c r="J360" s="5" t="s">
        <v>869</v>
      </c>
      <c r="K360" s="5" t="s">
        <v>1400</v>
      </c>
      <c r="L360" s="5" t="s">
        <v>15244</v>
      </c>
      <c r="M360" s="5" t="s">
        <v>1838</v>
      </c>
      <c r="N360" s="5" t="s">
        <v>2055</v>
      </c>
      <c r="O360" s="5" t="s">
        <v>4353</v>
      </c>
      <c r="P360" s="5" t="s">
        <v>4354</v>
      </c>
      <c r="Q360" s="5" t="s">
        <v>4355</v>
      </c>
      <c r="R360" s="5" t="s">
        <v>4356</v>
      </c>
      <c r="S360" s="5" t="s">
        <v>4357</v>
      </c>
      <c r="T360" s="5" t="s">
        <v>4358</v>
      </c>
      <c r="U360" s="5" t="s">
        <v>4359</v>
      </c>
      <c r="V360" s="5" t="s">
        <v>4360</v>
      </c>
      <c r="W360" s="5" t="s">
        <v>4361</v>
      </c>
      <c r="X360" s="5" t="s">
        <v>15043</v>
      </c>
      <c r="Y360" s="39" t="str">
        <f>IF(OR($A360&lt;&gt;"", $G360=""),"",CONCATENATE(";",EscStr(CONCATENATE("NavNode_",getCategoryLevelAsString($B360))),";",EscStr($J360),";",IF($B360&lt;&gt;"","""MainCategoryNavNode""",EscStr(CONCATENATE("NavNode_",getSuperCategory($B360, getCategoryLevelAsNumber($B360))))),";"))</f>
        <v>;"NavNode_L3D_543271";"Smartphones / Mobiles / Accessories";"NavNode_L2D_542982";</v>
      </c>
      <c r="Z360" s="39" t="str">
        <f>IF(getCategoryLevelAsString($B360)="L0D_324785","",IF(G360="",CONCATENATE(";",EscStr(CONCATENATE("NavNode_",getCategoryLevelAsString($B360))),";",EscStr($J360),";"),CONCATENATE(";",EscStr(CONCATENATE("NavNode_",getCategoryLevelAsString($B360))),";",EscStr(G360),";")))</f>
        <v>;"NavNode_L3D_543271";"Mobiltelefone / Zubehör";</v>
      </c>
      <c r="AA360" s="39" t="str">
        <f>IF(getCategoryLevelAsString($B360)="L0D_324785","",IF(H360="",CONCATENATE(";",EscStr(CONCATENATE("NavNode_",getCategoryLevelAsString($B360))),";",EscStr($J360),";"),CONCATENATE(";",EscStr(CONCATENATE("NavNode_",getCategoryLevelAsString($B360))),";",EscStr(H360),";")))</f>
        <v>;"NavNode_L3D_543271";"Smartphones / Téléphones portables / Accessoires";</v>
      </c>
      <c r="AB360" s="39" t="str">
        <f>IF(getCategoryLevelAsString($B360)="L0D_324785","",IF(I360="",CONCATENATE(";",EscStr(CONCATENATE("NavNode_",getCategoryLevelAsString($B360))),";",EscStr($J360),";"),CONCATENATE(";",EscStr(CONCATENATE("NavNode_",getCategoryLevelAsString($B360))),";",EscStr(I360),";")))</f>
        <v>;"NavNode_L3D_543271";"Smartphone / cellulari / accessori";</v>
      </c>
      <c r="AC360" s="39" t="str">
        <f>IF(getCategoryLevelAsString($B360)="L0D_324785","",IF(J360="",CONCATENATE(";",EscStr(CONCATENATE("NavNode_",getCategoryLevelAsString($B360))),";",EscStr($J360),";"),CONCATENATE(";",EscStr(CONCATENATE("NavNode_",getCategoryLevelAsString($B360))),";",EscStr(J360),";")))</f>
        <v>;"NavNode_L3D_543271";"Smartphones / Mobiles / Accessories";</v>
      </c>
      <c r="AD360" s="39" t="str">
        <f>IF(getCategoryLevelAsString($B360)="L0D_324785","",IF(K360="",CONCATENATE(";",EscStr(CONCATENATE("NavNode_",getCategoryLevelAsString($B360))),";",EscStr($J360),";"),CONCATENATE(";",EscStr(CONCATENATE("NavNode_",getCategoryLevelAsString($B360))),";",EscStr(K360),";")))</f>
        <v>;"NavNode_L3D_543271";"Smartphones/mobiltelefoner/tilbehør";</v>
      </c>
      <c r="AE360" s="39" t="str">
        <f>IF(getCategoryLevelAsString($B360)="L0D_324785","",IF(L360="",CONCATENATE(";",EscStr(CONCATENATE("NavNode_",getCategoryLevelAsString($B360))),";",EscStr($J360),";"),CONCATENATE(";",EscStr(CONCATENATE("NavNode_",getCategoryLevelAsString($B360))),";",EscStr(L360),";")))</f>
        <v>;"NavNode_L3D_543271";"Išmanieji telefonai / Mobilieji įrenginiai / Priedai";</v>
      </c>
      <c r="AF360" s="39" t="str">
        <f>IF(getCategoryLevelAsString($B360)="L0D_324785","",IF(M360="",CONCATENATE(";",EscStr(CONCATENATE("NavNode_",getCategoryLevelAsString($B360))),";",EscStr($J360),";"),CONCATENATE(";",EscStr(CONCATENATE("NavNode_",getCategoryLevelAsString($B360))),";",EscStr(M360),";")))</f>
        <v>;"NavNode_L3D_543271";"Smarttelefoner/mobiltelefoner/tilbehør";</v>
      </c>
      <c r="AG360" s="39" t="str">
        <f>IF(getCategoryLevelAsString($B360)="L0D_324785","",IF(N360="",CONCATENATE(";",EscStr(CONCATENATE("NavNode_",getCategoryLevelAsString($B360))),";",EscStr($J360),";"),CONCATENATE(";",EscStr(CONCATENATE("NavNode_",getCategoryLevelAsString($B360))),";",EscStr(N360),";")))</f>
        <v>;"NavNode_L3D_543271";"Smarttelefoner/Mobiltelefoner/Tillbehör";</v>
      </c>
      <c r="AH360" s="39" t="str">
        <f>IF(getCategoryLevelAsString($B360)="L0D_324785","",IF(O360="",CONCATENATE(";",EscStr(CONCATENATE("NavNode_",getCategoryLevelAsString($B360))),";",EscStr($J360),";"),CONCATENATE(";",EscStr(CONCATENATE("NavNode_",getCategoryLevelAsString($B360))),";",EscStr(O360),";")))</f>
        <v>;"NavNode_L3D_543271";"Nutitelefonid / Mobiiltelefonid / Tarvikud";</v>
      </c>
      <c r="AI360" s="39" t="str">
        <f>IF(getCategoryLevelAsString($B360)="L0D_324785","",IF(P360="",CONCATENATE(";",EscStr(CONCATENATE("NavNode_",getCategoryLevelAsString($B360))),";",EscStr($J360),";"),CONCATENATE(";",EscStr(CONCATENATE("NavNode_",getCategoryLevelAsString($B360))),";",EscStr(P360),";")))</f>
        <v>;"NavNode_L3D_543271";"Puhelintarvikkeet";</v>
      </c>
      <c r="AJ360" s="39" t="str">
        <f>IF(getCategoryLevelAsString($B360)="L0D_324785","",IF(Q360="",CONCATENATE(";",EscStr(CONCATENATE("NavNode_",getCategoryLevelAsString($B360))),";",EscStr($J360),";"),CONCATENATE(";",EscStr(CONCATENATE("NavNode_",getCategoryLevelAsString($B360))),";",EscStr(Q360),";")))</f>
        <v>;"NavNode_L3D_543271";"Viedtālruņi / Mobilie tālruņi / Piederumi";</v>
      </c>
      <c r="AK360" s="39" t="str">
        <f>IF(getCategoryLevelAsString($B360)="L0D_324785","",IF(R360="",CONCATENATE(";",EscStr(CONCATENATE("NavNode_",getCategoryLevelAsString($B360))),";",EscStr($J360),";"),CONCATENATE(";",EscStr(CONCATENATE("NavNode_",getCategoryLevelAsString($B360))),";",EscStr(R360),";")))</f>
        <v>;"NavNode_L3D_543271";"Smartphones / Mobiele telefoons / Accessoires";</v>
      </c>
      <c r="AL360" s="39" t="str">
        <f>IF(getCategoryLevelAsString($B360)="L0D_324785","",IF(S360="",CONCATENATE(";",EscStr(CONCATENATE("NavNode_",getCategoryLevelAsString($B360))),";",EscStr($J360),";"),CONCATENATE(";",EscStr(CONCATENATE("NavNode_",getCategoryLevelAsString($B360))),";",EscStr(S360),";")))</f>
        <v>;"NavNode_L3D_543271";"Smartfony / Telefony komórkowe / Akcesoria";</v>
      </c>
      <c r="AM360" s="39" t="str">
        <f>IF(getCategoryLevelAsString($B360)="L0D_324785","",IF(T360="",CONCATENATE(";",EscStr(CONCATENATE("NavNode_",getCategoryLevelAsString($B360))),";",EscStr($J360),";"),CONCATENATE(";",EscStr(CONCATENATE("NavNode_",getCategoryLevelAsString($B360))),";",EscStr(T360),";")))</f>
        <v>;"NavNode_L3D_543271";"Смартфоны / Мобильные телефоны / Аксессуары";</v>
      </c>
      <c r="AN360" s="39" t="str">
        <f>IF(getCategoryLevelAsString($B360)="L0D_324785","",IF(U360="",CONCATENATE(";",EscStr(CONCATENATE("NavNode_",getCategoryLevelAsString($B360))),";",EscStr($J360),";"),CONCATENATE(";",EscStr(CONCATENATE("NavNode_",getCategoryLevelAsString($B360))),";",EscStr(U360),";")))</f>
        <v>;"NavNode_L3D_543271";"Mobilní telefony / Příslušenství";</v>
      </c>
      <c r="AO360" s="39" t="str">
        <f>IF(getCategoryLevelAsString($B360)="L0D_324785","",IF(V360="",CONCATENATE(";",EscStr(CONCATENATE("NavNode_",getCategoryLevelAsString($B360))),";",EscStr($J360),";"),CONCATENATE(";",EscStr(CONCATENATE("NavNode_",getCategoryLevelAsString($B360))),";",EscStr(V360),";")))</f>
        <v>;"NavNode_L3D_543271";"Telefoanele mobile / accesorii";</v>
      </c>
      <c r="AP360" s="39" t="str">
        <f>IF(getCategoryLevelAsString($B360)="L0D_324785","",IF(W360="",CONCATENATE(";",EscStr(CONCATENATE("NavNode_",getCategoryLevelAsString($B360))),";",EscStr($J360),";"),CONCATENATE(";",EscStr(CONCATENATE("NavNode_",getCategoryLevelAsString($B360))),";",EscStr(W360),";")))</f>
        <v>;"NavNode_L3D_543271";"Mobiltelefonok / Tartozékok";</v>
      </c>
      <c r="AQ360" s="39" t="str">
        <f>IF(getCategoryLevelAsString($B360)="L0D_324785","",IF(X360="",CONCATENATE(";",EscStr(CONCATENATE("NavNode_",getCategoryLevelAsString($B360))),";",EscStr($J360),";"),CONCATENATE(";",EscStr(CONCATENATE("NavNode_",getCategoryLevelAsString($B360))),";",EscStr(X360),";")))</f>
        <v>;"NavNode_L3D_543271";"Mobilné telefóny / Príslušenstvo";</v>
      </c>
      <c r="AR360" s="39" t="str">
        <f>IF(OR($A360&lt;&gt;"", $G360=""),"",CONCATENATE(";",EscStr(CONCATENATE("NavEntry_",getCategoryLevelAsString($B360))),";",EscStr(CONCATENATE($J360," Navigation Entry")),";",EscStr(CONCATENATE("cat-",getCategoryLevelAsString($B360))),";",EscStr(CONCATENATE("NavNode_",getCategoryLevelAsString($B360))),";"))</f>
        <v>;"NavEntry_L3D_543271";"Smartphones / Mobiles / Accessories Navigation Entry";"cat-L3D_543271";"NavNode_L3D_543271";</v>
      </c>
    </row>
    <row r="361" spans="1:44" s="34" customFormat="1" ht="15" x14ac:dyDescent="0.25">
      <c r="A361" s="25"/>
      <c r="B361" s="5"/>
      <c r="C361" s="5"/>
      <c r="D361" s="5" t="s">
        <v>601</v>
      </c>
      <c r="E361" s="5"/>
      <c r="F361" s="5"/>
      <c r="G361" s="5" t="s">
        <v>1010</v>
      </c>
      <c r="H361" s="5" t="s">
        <v>769</v>
      </c>
      <c r="I361" s="5" t="s">
        <v>660</v>
      </c>
      <c r="J361" s="5" t="s">
        <v>870</v>
      </c>
      <c r="K361" s="5" t="s">
        <v>1401</v>
      </c>
      <c r="L361" s="5" t="s">
        <v>15245</v>
      </c>
      <c r="M361" s="5" t="s">
        <v>1839</v>
      </c>
      <c r="N361" s="5" t="s">
        <v>2056</v>
      </c>
      <c r="O361" s="5" t="s">
        <v>4362</v>
      </c>
      <c r="P361" s="5" t="s">
        <v>4363</v>
      </c>
      <c r="Q361" s="5" t="s">
        <v>4364</v>
      </c>
      <c r="R361" s="5" t="s">
        <v>870</v>
      </c>
      <c r="S361" s="5" t="s">
        <v>4365</v>
      </c>
      <c r="T361" s="5" t="s">
        <v>4366</v>
      </c>
      <c r="U361" s="5" t="s">
        <v>4367</v>
      </c>
      <c r="V361" s="5" t="s">
        <v>4368</v>
      </c>
      <c r="W361" s="5" t="s">
        <v>4369</v>
      </c>
      <c r="X361" s="5" t="s">
        <v>4367</v>
      </c>
      <c r="Y361" s="39" t="str">
        <f>IF(OR($A361&lt;&gt;"", $G361=""),"",CONCATENATE(";",EscStr(CONCATENATE("NavNode_",getCategoryLevelAsString($B361))),";",EscStr($J361),";",IF($B361&lt;&gt;"","""MainCategoryNavNode""",EscStr(CONCATENATE("NavNode_",getSuperCategory($B361, getCategoryLevelAsNumber($B361))))),";"))</f>
        <v>;"NavNode_L3D_543274";"IP cameras / Voice-over-IP";"NavNode_L2D_542982";</v>
      </c>
      <c r="Z361" s="39" t="str">
        <f>IF(getCategoryLevelAsString($B361)="L0D_324785","",IF(G361="",CONCATENATE(";",EscStr(CONCATENATE("NavNode_",getCategoryLevelAsString($B361))),";",EscStr($J361),";"),CONCATENATE(";",EscStr(CONCATENATE("NavNode_",getCategoryLevelAsString($B361))),";",EscStr(G361),";")))</f>
        <v>;"NavNode_L3D_543274";"IP-Kameras / Voice-over-IP";</v>
      </c>
      <c r="AA361" s="39" t="str">
        <f>IF(getCategoryLevelAsString($B361)="L0D_324785","",IF(H361="",CONCATENATE(";",EscStr(CONCATENATE("NavNode_",getCategoryLevelAsString($B361))),";",EscStr($J361),";"),CONCATENATE(";",EscStr(CONCATENATE("NavNode_",getCategoryLevelAsString($B361))),";",EscStr(H361),";")))</f>
        <v>;"NavNode_L3D_543274";"Caméras IP/ Voix sur IP";</v>
      </c>
      <c r="AB361" s="39" t="str">
        <f>IF(getCategoryLevelAsString($B361)="L0D_324785","",IF(I361="",CONCATENATE(";",EscStr(CONCATENATE("NavNode_",getCategoryLevelAsString($B361))),";",EscStr($J361),";"),CONCATENATE(";",EscStr(CONCATENATE("NavNode_",getCategoryLevelAsString($B361))),";",EscStr(I361),";")))</f>
        <v>;"NavNode_L3D_543274";"Telecamere IP / Voice-over-IP";</v>
      </c>
      <c r="AC361" s="39" t="str">
        <f>IF(getCategoryLevelAsString($B361)="L0D_324785","",IF(J361="",CONCATENATE(";",EscStr(CONCATENATE("NavNode_",getCategoryLevelAsString($B361))),";",EscStr($J361),";"),CONCATENATE(";",EscStr(CONCATENATE("NavNode_",getCategoryLevelAsString($B361))),";",EscStr(J361),";")))</f>
        <v>;"NavNode_L3D_543274";"IP cameras / Voice-over-IP";</v>
      </c>
      <c r="AD361" s="39" t="str">
        <f>IF(getCategoryLevelAsString($B361)="L0D_324785","",IF(K361="",CONCATENATE(";",EscStr(CONCATENATE("NavNode_",getCategoryLevelAsString($B361))),";",EscStr($J361),";"),CONCATENATE(";",EscStr(CONCATENATE("NavNode_",getCategoryLevelAsString($B361))),";",EscStr(K361),";")))</f>
        <v>;"NavNode_L3D_543274";"IP-kameraer/IP-telefoni";</v>
      </c>
      <c r="AE361" s="39" t="str">
        <f>IF(getCategoryLevelAsString($B361)="L0D_324785","",IF(L361="",CONCATENATE(";",EscStr(CONCATENATE("NavNode_",getCategoryLevelAsString($B361))),";",EscStr($J361),";"),CONCATENATE(";",EscStr(CONCATENATE("NavNode_",getCategoryLevelAsString($B361))),";",EscStr(L361),";")))</f>
        <v>;"NavNode_L3D_543274";"IP kameros / Balso perdavimas per IP";</v>
      </c>
      <c r="AF361" s="39" t="str">
        <f>IF(getCategoryLevelAsString($B361)="L0D_324785","",IF(M361="",CONCATENATE(";",EscStr(CONCATENATE("NavNode_",getCategoryLevelAsString($B361))),";",EscStr($J361),";"),CONCATENATE(";",EscStr(CONCATENATE("NavNode_",getCategoryLevelAsString($B361))),";",EscStr(M361),";")))</f>
        <v>;"NavNode_L3D_543274";"IP-kameraer/voiceover-IP";</v>
      </c>
      <c r="AG361" s="39" t="str">
        <f>IF(getCategoryLevelAsString($B361)="L0D_324785","",IF(N361="",CONCATENATE(";",EscStr(CONCATENATE("NavNode_",getCategoryLevelAsString($B361))),";",EscStr($J361),";"),CONCATENATE(";",EscStr(CONCATENATE("NavNode_",getCategoryLevelAsString($B361))),";",EscStr(N361),";")))</f>
        <v>;"NavNode_L3D_543274";"IP-kameror/VoIP";</v>
      </c>
      <c r="AH361" s="39" t="str">
        <f>IF(getCategoryLevelAsString($B361)="L0D_324785","",IF(O361="",CONCATENATE(";",EscStr(CONCATENATE("NavNode_",getCategoryLevelAsString($B361))),";",EscStr($J361),";"),CONCATENATE(";",EscStr(CONCATENATE("NavNode_",getCategoryLevelAsString($B361))),";",EscStr(O361),";")))</f>
        <v>;"NavNode_L3D_543274";"Võrgukaamerad / VoIP";</v>
      </c>
      <c r="AI361" s="39" t="str">
        <f>IF(getCategoryLevelAsString($B361)="L0D_324785","",IF(P361="",CONCATENATE(";",EscStr(CONCATENATE("NavNode_",getCategoryLevelAsString($B361))),";",EscStr($J361),";"),CONCATENATE(";",EscStr(CONCATENATE("NavNode_",getCategoryLevelAsString($B361))),";",EscStr(P361),";")))</f>
        <v>;"NavNode_L3D_543274";"IP kamerat/VoIP";</v>
      </c>
      <c r="AJ361" s="39" t="str">
        <f>IF(getCategoryLevelAsString($B361)="L0D_324785","",IF(Q361="",CONCATENATE(";",EscStr(CONCATENATE("NavNode_",getCategoryLevelAsString($B361))),";",EscStr($J361),";"),CONCATENATE(";",EscStr(CONCATENATE("NavNode_",getCategoryLevelAsString($B361))),";",EscStr(Q361),";")))</f>
        <v>;"NavNode_L3D_543274";"IP kameras / IP telefonija";</v>
      </c>
      <c r="AK361" s="39" t="str">
        <f>IF(getCategoryLevelAsString($B361)="L0D_324785","",IF(R361="",CONCATENATE(";",EscStr(CONCATENATE("NavNode_",getCategoryLevelAsString($B361))),";",EscStr($J361),";"),CONCATENATE(";",EscStr(CONCATENATE("NavNode_",getCategoryLevelAsString($B361))),";",EscStr(R361),";")))</f>
        <v>;"NavNode_L3D_543274";"IP cameras / Voice-over-IP";</v>
      </c>
      <c r="AL361" s="39" t="str">
        <f>IF(getCategoryLevelAsString($B361)="L0D_324785","",IF(S361="",CONCATENATE(";",EscStr(CONCATENATE("NavNode_",getCategoryLevelAsString($B361))),";",EscStr($J361),";"),CONCATENATE(";",EscStr(CONCATENATE("NavNode_",getCategoryLevelAsString($B361))),";",EscStr(S361),";")))</f>
        <v>;"NavNode_L3D_543274";"Kamery internetowe IP / Telefony VoIP";</v>
      </c>
      <c r="AM361" s="39" t="str">
        <f>IF(getCategoryLevelAsString($B361)="L0D_324785","",IF(T361="",CONCATENATE(";",EscStr(CONCATENATE("NavNode_",getCategoryLevelAsString($B361))),";",EscStr($J361),";"),CONCATENATE(";",EscStr(CONCATENATE("NavNode_",getCategoryLevelAsString($B361))),";",EscStr(T361),";")))</f>
        <v>;"NavNode_L3D_543274";"IP Камеры  /IP Камеры с микрофоном";</v>
      </c>
      <c r="AN361" s="39" t="str">
        <f>IF(getCategoryLevelAsString($B361)="L0D_324785","",IF(U361="",CONCATENATE(";",EscStr(CONCATENATE("NavNode_",getCategoryLevelAsString($B361))),";",EscStr($J361),";"),CONCATENATE(";",EscStr(CONCATENATE("NavNode_",getCategoryLevelAsString($B361))),";",EscStr(U361),";")))</f>
        <v>;"NavNode_L3D_543274";"IP kamery / Voice-over-IP";</v>
      </c>
      <c r="AO361" s="39" t="str">
        <f>IF(getCategoryLevelAsString($B361)="L0D_324785","",IF(V361="",CONCATENATE(";",EscStr(CONCATENATE("NavNode_",getCategoryLevelAsString($B361))),";",EscStr($J361),";"),CONCATENATE(";",EscStr(CONCATENATE("NavNode_",getCategoryLevelAsString($B361))),";",EscStr(V361),";")))</f>
        <v>;"NavNode_L3D_543274";"Camere IP / voce peste IP";</v>
      </c>
      <c r="AP361" s="39" t="str">
        <f>IF(getCategoryLevelAsString($B361)="L0D_324785","",IF(W361="",CONCATENATE(";",EscStr(CONCATENATE("NavNode_",getCategoryLevelAsString($B361))),";",EscStr($J361),";"),CONCATENATE(";",EscStr(CONCATENATE("NavNode_",getCategoryLevelAsString($B361))),";",EscStr(W361),";")))</f>
        <v>;"NavNode_L3D_543274";"IP-Kamera / Voice-over-IP";</v>
      </c>
      <c r="AQ361" s="39" t="str">
        <f>IF(getCategoryLevelAsString($B361)="L0D_324785","",IF(X361="",CONCATENATE(";",EscStr(CONCATENATE("NavNode_",getCategoryLevelAsString($B361))),";",EscStr($J361),";"),CONCATENATE(";",EscStr(CONCATENATE("NavNode_",getCategoryLevelAsString($B361))),";",EscStr(X361),";")))</f>
        <v>;"NavNode_L3D_543274";"IP kamery / Voice-over-IP";</v>
      </c>
      <c r="AR361" s="39" t="str">
        <f>IF(OR($A361&lt;&gt;"", $G361=""),"",CONCATENATE(";",EscStr(CONCATENATE("NavEntry_",getCategoryLevelAsString($B361))),";",EscStr(CONCATENATE($J361," Navigation Entry")),";",EscStr(CONCATENATE("cat-",getCategoryLevelAsString($B361))),";",EscStr(CONCATENATE("NavNode_",getCategoryLevelAsString($B361))),";"))</f>
        <v>;"NavEntry_L3D_543274";"IP cameras / Voice-over-IP Navigation Entry";"cat-L3D_543274";"NavNode_L3D_543274";</v>
      </c>
    </row>
    <row r="362" spans="1:44" s="34" customFormat="1" ht="15" x14ac:dyDescent="0.25">
      <c r="A362" s="25"/>
      <c r="B362" s="5"/>
      <c r="C362" s="5"/>
      <c r="D362" s="5" t="s">
        <v>602</v>
      </c>
      <c r="E362" s="5"/>
      <c r="F362" s="5"/>
      <c r="G362" s="5" t="s">
        <v>1011</v>
      </c>
      <c r="H362" s="5" t="s">
        <v>770</v>
      </c>
      <c r="I362" s="5" t="s">
        <v>661</v>
      </c>
      <c r="J362" s="5" t="s">
        <v>871</v>
      </c>
      <c r="K362" s="5" t="s">
        <v>1402</v>
      </c>
      <c r="L362" s="5" t="s">
        <v>15246</v>
      </c>
      <c r="M362" s="5" t="s">
        <v>1840</v>
      </c>
      <c r="N362" s="5" t="s">
        <v>2057</v>
      </c>
      <c r="O362" s="5" t="s">
        <v>4370</v>
      </c>
      <c r="P362" s="5" t="s">
        <v>4371</v>
      </c>
      <c r="Q362" s="5" t="s">
        <v>4372</v>
      </c>
      <c r="R362" s="5" t="s">
        <v>4373</v>
      </c>
      <c r="S362" s="5" t="s">
        <v>4374</v>
      </c>
      <c r="T362" s="5" t="s">
        <v>4375</v>
      </c>
      <c r="U362" s="5" t="s">
        <v>4376</v>
      </c>
      <c r="V362" s="5" t="s">
        <v>4377</v>
      </c>
      <c r="W362" s="5" t="s">
        <v>4378</v>
      </c>
      <c r="X362" s="5" t="s">
        <v>15044</v>
      </c>
      <c r="Y362" s="39" t="str">
        <f>IF(OR($A362&lt;&gt;"", $G362=""),"",CONCATENATE(";",EscStr(CONCATENATE("NavNode_",getCategoryLevelAsString($B362))),";",EscStr($J362),";",IF($B362&lt;&gt;"","""MainCategoryNavNode""",EscStr(CONCATENATE("NavNode_",getSuperCategory($B362, getCategoryLevelAsNumber($B362))))),";"))</f>
        <v>;"NavNode_L3D_543276";"Network cables / Installation material";"NavNode_L2D_542982";</v>
      </c>
      <c r="Z362" s="39" t="str">
        <f>IF(getCategoryLevelAsString($B362)="L0D_324785","",IF(G362="",CONCATENATE(";",EscStr(CONCATENATE("NavNode_",getCategoryLevelAsString($B362))),";",EscStr($J362),";"),CONCATENATE(";",EscStr(CONCATENATE("NavNode_",getCategoryLevelAsString($B362))),";",EscStr(G362),";")))</f>
        <v>;"NavNode_L3D_543276";"Netzwerkkabel / Installationsmaterial";</v>
      </c>
      <c r="AA362" s="39" t="str">
        <f>IF(getCategoryLevelAsString($B362)="L0D_324785","",IF(H362="",CONCATENATE(";",EscStr(CONCATENATE("NavNode_",getCategoryLevelAsString($B362))),";",EscStr($J362),";"),CONCATENATE(";",EscStr(CONCATENATE("NavNode_",getCategoryLevelAsString($B362))),";",EscStr(H362),";")))</f>
        <v>;"NavNode_L3D_543276";"Câbles réseau / Matériel d'installation";</v>
      </c>
      <c r="AB362" s="39" t="str">
        <f>IF(getCategoryLevelAsString($B362)="L0D_324785","",IF(I362="",CONCATENATE(";",EscStr(CONCATENATE("NavNode_",getCategoryLevelAsString($B362))),";",EscStr($J362),";"),CONCATENATE(";",EscStr(CONCATENATE("NavNode_",getCategoryLevelAsString($B362))),";",EscStr(I362),";")))</f>
        <v>;"NavNode_L3D_543276";"Cavi di rete / materiale per assemblaggio";</v>
      </c>
      <c r="AC362" s="39" t="str">
        <f>IF(getCategoryLevelAsString($B362)="L0D_324785","",IF(J362="",CONCATENATE(";",EscStr(CONCATENATE("NavNode_",getCategoryLevelAsString($B362))),";",EscStr($J362),";"),CONCATENATE(";",EscStr(CONCATENATE("NavNode_",getCategoryLevelAsString($B362))),";",EscStr(J362),";")))</f>
        <v>;"NavNode_L3D_543276";"Network cables / Installation material";</v>
      </c>
      <c r="AD362" s="39" t="str">
        <f>IF(getCategoryLevelAsString($B362)="L0D_324785","",IF(K362="",CONCATENATE(";",EscStr(CONCATENATE("NavNode_",getCategoryLevelAsString($B362))),";",EscStr($J362),";"),CONCATENATE(";",EscStr(CONCATENATE("NavNode_",getCategoryLevelAsString($B362))),";",EscStr(K362),";")))</f>
        <v>;"NavNode_L3D_543276";"Netværkskabler/installationsmateriale";</v>
      </c>
      <c r="AE362" s="39" t="str">
        <f>IF(getCategoryLevelAsString($B362)="L0D_324785","",IF(L362="",CONCATENATE(";",EscStr(CONCATENATE("NavNode_",getCategoryLevelAsString($B362))),";",EscStr($J362),";"),CONCATENATE(";",EscStr(CONCATENATE("NavNode_",getCategoryLevelAsString($B362))),";",EscStr(L362),";")))</f>
        <v>;"NavNode_L3D_543276";"Tinklo kabeliai / Instaliavimo medžiagos";</v>
      </c>
      <c r="AF362" s="39" t="str">
        <f>IF(getCategoryLevelAsString($B362)="L0D_324785","",IF(M362="",CONCATENATE(";",EscStr(CONCATENATE("NavNode_",getCategoryLevelAsString($B362))),";",EscStr($J362),";"),CONCATENATE(";",EscStr(CONCATENATE("NavNode_",getCategoryLevelAsString($B362))),";",EscStr(M362),";")))</f>
        <v>;"NavNode_L3D_543276";"Nettverkkabler/monteringsmaterialer";</v>
      </c>
      <c r="AG362" s="39" t="str">
        <f>IF(getCategoryLevelAsString($B362)="L0D_324785","",IF(N362="",CONCATENATE(";",EscStr(CONCATENATE("NavNode_",getCategoryLevelAsString($B362))),";",EscStr($J362),";"),CONCATENATE(";",EscStr(CONCATENATE("NavNode_",getCategoryLevelAsString($B362))),";",EscStr(N362),";")))</f>
        <v>;"NavNode_L3D_543276";"Nätverkssladdar/Installationsmaterial";</v>
      </c>
      <c r="AH362" s="39" t="str">
        <f>IF(getCategoryLevelAsString($B362)="L0D_324785","",IF(O362="",CONCATENATE(";",EscStr(CONCATENATE("NavNode_",getCategoryLevelAsString($B362))),";",EscStr($J362),";"),CONCATENATE(";",EscStr(CONCATENATE("NavNode_",getCategoryLevelAsString($B362))),";",EscStr(O362),";")))</f>
        <v>;"NavNode_L3D_543276";"Võrgukaablid / Installatsioonimaterjalid";</v>
      </c>
      <c r="AI362" s="39" t="str">
        <f>IF(getCategoryLevelAsString($B362)="L0D_324785","",IF(P362="",CONCATENATE(";",EscStr(CONCATENATE("NavNode_",getCategoryLevelAsString($B362))),";",EscStr($J362),";"),CONCATENATE(";",EscStr(CONCATENATE("NavNode_",getCategoryLevelAsString($B362))),";",EscStr(P362),";")))</f>
        <v>;"NavNode_L3D_543276";"Verkkokaapelit/asennustarvikkeet";</v>
      </c>
      <c r="AJ362" s="39" t="str">
        <f>IF(getCategoryLevelAsString($B362)="L0D_324785","",IF(Q362="",CONCATENATE(";",EscStr(CONCATENATE("NavNode_",getCategoryLevelAsString($B362))),";",EscStr($J362),";"),CONCATENATE(";",EscStr(CONCATENATE("NavNode_",getCategoryLevelAsString($B362))),";",EscStr(Q362),";")))</f>
        <v>;"NavNode_L3D_543276";"Tīkla kabeļi / Instalācijas materiāli";</v>
      </c>
      <c r="AK362" s="39" t="str">
        <f>IF(getCategoryLevelAsString($B362)="L0D_324785","",IF(R362="",CONCATENATE(";",EscStr(CONCATENATE("NavNode_",getCategoryLevelAsString($B362))),";",EscStr($J362),";"),CONCATENATE(";",EscStr(CONCATENATE("NavNode_",getCategoryLevelAsString($B362))),";",EscStr(R362),";")))</f>
        <v>;"NavNode_L3D_543276";"Network kabels / Installatiemateriaal";</v>
      </c>
      <c r="AL362" s="39" t="str">
        <f>IF(getCategoryLevelAsString($B362)="L0D_324785","",IF(S362="",CONCATENATE(";",EscStr(CONCATENATE("NavNode_",getCategoryLevelAsString($B362))),";",EscStr($J362),";"),CONCATENATE(";",EscStr(CONCATENATE("NavNode_",getCategoryLevelAsString($B362))),";",EscStr(S362),";")))</f>
        <v>;"NavNode_L3D_543276";"Kable sieciowe / Podzespoły instalacyjne";</v>
      </c>
      <c r="AM362" s="39" t="str">
        <f>IF(getCategoryLevelAsString($B362)="L0D_324785","",IF(T362="",CONCATENATE(";",EscStr(CONCATENATE("NavNode_",getCategoryLevelAsString($B362))),";",EscStr($J362),";"),CONCATENATE(";",EscStr(CONCATENATE("NavNode_",getCategoryLevelAsString($B362))),";",EscStr(T362),";")))</f>
        <v>;"NavNode_L3D_543276";"Сетевые кабели / Монтажный материал";</v>
      </c>
      <c r="AN362" s="39" t="str">
        <f>IF(getCategoryLevelAsString($B362)="L0D_324785","",IF(U362="",CONCATENATE(";",EscStr(CONCATENATE("NavNode_",getCategoryLevelAsString($B362))),";",EscStr($J362),";"),CONCATENATE(";",EscStr(CONCATENATE("NavNode_",getCategoryLevelAsString($B362))),";",EscStr(U362),";")))</f>
        <v>;"NavNode_L3D_543276";"Síťový kabel / Instalační materiál";</v>
      </c>
      <c r="AO362" s="39" t="str">
        <f>IF(getCategoryLevelAsString($B362)="L0D_324785","",IF(V362="",CONCATENATE(";",EscStr(CONCATENATE("NavNode_",getCategoryLevelAsString($B362))),";",EscStr($J362),";"),CONCATENATE(";",EscStr(CONCATENATE("NavNode_",getCategoryLevelAsString($B362))),";",EscStr(V362),";")))</f>
        <v>;"NavNode_L3D_543276";"Cablu de retea / material de instalaţii";</v>
      </c>
      <c r="AP362" s="39" t="str">
        <f>IF(getCategoryLevelAsString($B362)="L0D_324785","",IF(W362="",CONCATENATE(";",EscStr(CONCATENATE("NavNode_",getCategoryLevelAsString($B362))),";",EscStr($J362),";"),CONCATENATE(";",EscStr(CONCATENATE("NavNode_",getCategoryLevelAsString($B362))),";",EscStr(W362),";")))</f>
        <v>;"NavNode_L3D_543276";"Adathálózati kábel / Szerelési anyag";</v>
      </c>
      <c r="AQ362" s="39" t="str">
        <f>IF(getCategoryLevelAsString($B362)="L0D_324785","",IF(X362="",CONCATENATE(";",EscStr(CONCATENATE("NavNode_",getCategoryLevelAsString($B362))),";",EscStr($J362),";"),CONCATENATE(";",EscStr(CONCATENATE("NavNode_",getCategoryLevelAsString($B362))),";",EscStr(X362),";")))</f>
        <v>;"NavNode_L3D_543276";"Sieťový kábel / Inštalačný materiál";</v>
      </c>
      <c r="AR362" s="39" t="str">
        <f>IF(OR($A362&lt;&gt;"", $G362=""),"",CONCATENATE(";",EscStr(CONCATENATE("NavEntry_",getCategoryLevelAsString($B362))),";",EscStr(CONCATENATE($J362," Navigation Entry")),";",EscStr(CONCATENATE("cat-",getCategoryLevelAsString($B362))),";",EscStr(CONCATENATE("NavNode_",getCategoryLevelAsString($B362))),";"))</f>
        <v>;"NavEntry_L3D_543276";"Network cables / Installation material Navigation Entry";"cat-L3D_543276";"NavNode_L3D_543276";</v>
      </c>
    </row>
    <row r="363" spans="1:44" s="34" customFormat="1" ht="15" x14ac:dyDescent="0.25">
      <c r="A363" s="25"/>
      <c r="B363" s="5"/>
      <c r="C363" s="5" t="s">
        <v>617</v>
      </c>
      <c r="D363" s="5"/>
      <c r="E363" s="5"/>
      <c r="F363" s="5"/>
      <c r="G363" s="5" t="s">
        <v>949</v>
      </c>
      <c r="H363" s="5" t="s">
        <v>756</v>
      </c>
      <c r="I363" s="5" t="s">
        <v>668</v>
      </c>
      <c r="J363" s="5" t="s">
        <v>856</v>
      </c>
      <c r="K363" s="5" t="s">
        <v>1387</v>
      </c>
      <c r="L363" s="5" t="s">
        <v>1623</v>
      </c>
      <c r="M363" s="5" t="s">
        <v>1825</v>
      </c>
      <c r="N363" s="5" t="s">
        <v>2042</v>
      </c>
      <c r="O363" s="5" t="s">
        <v>4242</v>
      </c>
      <c r="P363" s="5" t="s">
        <v>4243</v>
      </c>
      <c r="Q363" s="5" t="s">
        <v>4244</v>
      </c>
      <c r="R363" s="5" t="s">
        <v>4245</v>
      </c>
      <c r="S363" s="5" t="s">
        <v>4246</v>
      </c>
      <c r="T363" s="5" t="s">
        <v>4247</v>
      </c>
      <c r="U363" s="5" t="s">
        <v>4248</v>
      </c>
      <c r="V363" s="5" t="s">
        <v>4249</v>
      </c>
      <c r="W363" s="5" t="s">
        <v>4250</v>
      </c>
      <c r="X363" s="5" t="s">
        <v>15045</v>
      </c>
      <c r="Y363" s="39" t="str">
        <f>IF(OR($A363&lt;&gt;"", $G363=""),"",CONCATENATE(";",EscStr(CONCATENATE("NavNode_",getCategoryLevelAsString($B363))),";",EscStr($J363),";",IF($B363&lt;&gt;"","""MainCategoryNavNode""",EscStr(CONCATENATE("NavNode_",getSuperCategory($B363, getCategoryLevelAsNumber($B363))))),";"))</f>
        <v>;"NavNode_L2D_542978";"Storage &amp; Peripherals";"NavNode_Computing / Office";</v>
      </c>
      <c r="Z363" s="39" t="str">
        <f>IF(getCategoryLevelAsString($B363)="L0D_324785","",IF(G363="",CONCATENATE(";",EscStr(CONCATENATE("NavNode_",getCategoryLevelAsString($B363))),";",EscStr($J363),";"),CONCATENATE(";",EscStr(CONCATENATE("NavNode_",getCategoryLevelAsString($B363))),";",EscStr(G363),";")))</f>
        <v>;"NavNode_L2D_542978";"Speicher und Peripheriegeräte";</v>
      </c>
      <c r="AA363" s="39" t="str">
        <f>IF(getCategoryLevelAsString($B363)="L0D_324785","",IF(H363="",CONCATENATE(";",EscStr(CONCATENATE("NavNode_",getCategoryLevelAsString($B363))),";",EscStr($J363),";"),CONCATENATE(";",EscStr(CONCATENATE("NavNode_",getCategoryLevelAsString($B363))),";",EscStr(H363),";")))</f>
        <v>;"NavNode_L2D_542978";"Stockage et périphériques";</v>
      </c>
      <c r="AB363" s="39" t="str">
        <f>IF(getCategoryLevelAsString($B363)="L0D_324785","",IF(I363="",CONCATENATE(";",EscStr(CONCATENATE("NavNode_",getCategoryLevelAsString($B363))),";",EscStr($J363),";"),CONCATENATE(";",EscStr(CONCATENATE("NavNode_",getCategoryLevelAsString($B363))),";",EscStr(I363),";")))</f>
        <v>;"NavNode_L2D_542978";"Unità di memorizzazione e periferiche";</v>
      </c>
      <c r="AC363" s="39" t="str">
        <f>IF(getCategoryLevelAsString($B363)="L0D_324785","",IF(J363="",CONCATENATE(";",EscStr(CONCATENATE("NavNode_",getCategoryLevelAsString($B363))),";",EscStr($J363),";"),CONCATENATE(";",EscStr(CONCATENATE("NavNode_",getCategoryLevelAsString($B363))),";",EscStr(J363),";")))</f>
        <v>;"NavNode_L2D_542978";"Storage &amp; Peripherals";</v>
      </c>
      <c r="AD363" s="39" t="str">
        <f>IF(getCategoryLevelAsString($B363)="L0D_324785","",IF(K363="",CONCATENATE(";",EscStr(CONCATENATE("NavNode_",getCategoryLevelAsString($B363))),";",EscStr($J363),";"),CONCATENATE(";",EscStr(CONCATENATE("NavNode_",getCategoryLevelAsString($B363))),";",EscStr(K363),";")))</f>
        <v>;"NavNode_L2D_542978";"Arkivering &amp; perifere enheder";</v>
      </c>
      <c r="AE363" s="39" t="str">
        <f>IF(getCategoryLevelAsString($B363)="L0D_324785","",IF(L363="",CONCATENATE(";",EscStr(CONCATENATE("NavNode_",getCategoryLevelAsString($B363))),";",EscStr($J363),";"),CONCATENATE(";",EscStr(CONCATENATE("NavNode_",getCategoryLevelAsString($B363))),";",EscStr(L363),";")))</f>
        <v>;"NavNode_L2D_542978";"Duomenų saugyklos ir išoriniai įrenginiai";</v>
      </c>
      <c r="AF363" s="39" t="str">
        <f>IF(getCategoryLevelAsString($B363)="L0D_324785","",IF(M363="",CONCATENATE(";",EscStr(CONCATENATE("NavNode_",getCategoryLevelAsString($B363))),";",EscStr($J363),";"),CONCATENATE(";",EscStr(CONCATENATE("NavNode_",getCategoryLevelAsString($B363))),";",EscStr(M363),";")))</f>
        <v>;"NavNode_L2D_542978";"Lagring og tilbehør";</v>
      </c>
      <c r="AG363" s="39" t="str">
        <f>IF(getCategoryLevelAsString($B363)="L0D_324785","",IF(N363="",CONCATENATE(";",EscStr(CONCATENATE("NavNode_",getCategoryLevelAsString($B363))),";",EscStr($J363),";"),CONCATENATE(";",EscStr(CONCATENATE("NavNode_",getCategoryLevelAsString($B363))),";",EscStr(N363),";")))</f>
        <v>;"NavNode_L2D_542978";"Lagring och kringutrustning";</v>
      </c>
      <c r="AH363" s="39" t="str">
        <f>IF(getCategoryLevelAsString($B363)="L0D_324785","",IF(O363="",CONCATENATE(";",EscStr(CONCATENATE("NavNode_",getCategoryLevelAsString($B363))),";",EscStr($J363),";"),CONCATENATE(";",EscStr(CONCATENATE("NavNode_",getCategoryLevelAsString($B363))),";",EscStr(O363),";")))</f>
        <v>;"NavNode_L2D_542978";"Mälu- ja välisseadmed";</v>
      </c>
      <c r="AI363" s="39" t="str">
        <f>IF(getCategoryLevelAsString($B363)="L0D_324785","",IF(P363="",CONCATENATE(";",EscStr(CONCATENATE("NavNode_",getCategoryLevelAsString($B363))),";",EscStr($J363),";"),CONCATENATE(";",EscStr(CONCATENATE("NavNode_",getCategoryLevelAsString($B363))),";",EscStr(P363),";")))</f>
        <v>;"NavNode_L2D_542978";"Tallennus/Oheislaitteet";</v>
      </c>
      <c r="AJ363" s="39" t="str">
        <f>IF(getCategoryLevelAsString($B363)="L0D_324785","",IF(Q363="",CONCATENATE(";",EscStr(CONCATENATE("NavNode_",getCategoryLevelAsString($B363))),";",EscStr($J363),";"),CONCATENATE(";",EscStr(CONCATENATE("NavNode_",getCategoryLevelAsString($B363))),";",EscStr(Q363),";")))</f>
        <v>;"NavNode_L2D_542978";"Atmiņa un perifērija";</v>
      </c>
      <c r="AK363" s="39" t="str">
        <f>IF(getCategoryLevelAsString($B363)="L0D_324785","",IF(R363="",CONCATENATE(";",EscStr(CONCATENATE("NavNode_",getCategoryLevelAsString($B363))),";",EscStr($J363),";"),CONCATENATE(";",EscStr(CONCATENATE("NavNode_",getCategoryLevelAsString($B363))),";",EscStr(R363),";")))</f>
        <v>;"NavNode_L2D_542978";"Geheugens / Opslag &amp; Randapparatuur";</v>
      </c>
      <c r="AL363" s="39" t="str">
        <f>IF(getCategoryLevelAsString($B363)="L0D_324785","",IF(S363="",CONCATENATE(";",EscStr(CONCATENATE("NavNode_",getCategoryLevelAsString($B363))),";",EscStr($J363),";"),CONCATENATE(";",EscStr(CONCATENATE("NavNode_",getCategoryLevelAsString($B363))),";",EscStr(S363),";")))</f>
        <v>;"NavNode_L2D_542978";"Pamięci i urządzenia peryferyjne";</v>
      </c>
      <c r="AM363" s="39" t="str">
        <f>IF(getCategoryLevelAsString($B363)="L0D_324785","",IF(T363="",CONCATENATE(";",EscStr(CONCATENATE("NavNode_",getCategoryLevelAsString($B363))),";",EscStr($J363),";"),CONCATENATE(";",EscStr(CONCATENATE("NavNode_",getCategoryLevelAsString($B363))),";",EscStr(T363),";")))</f>
        <v>;"NavNode_L2D_542978";"Хранение &amp; Периферия";</v>
      </c>
      <c r="AN363" s="39" t="str">
        <f>IF(getCategoryLevelAsString($B363)="L0D_324785","",IF(U363="",CONCATENATE(";",EscStr(CONCATENATE("NavNode_",getCategoryLevelAsString($B363))),";",EscStr($J363),";"),CONCATENATE(";",EscStr(CONCATENATE("NavNode_",getCategoryLevelAsString($B363))),";",EscStr(U363),";")))</f>
        <v>;"NavNode_L2D_542978";"Paměť a periferní zařízení";</v>
      </c>
      <c r="AO363" s="39" t="str">
        <f>IF(getCategoryLevelAsString($B363)="L0D_324785","",IF(V363="",CONCATENATE(";",EscStr(CONCATENATE("NavNode_",getCategoryLevelAsString($B363))),";",EscStr($J363),";"),CONCATENATE(";",EscStr(CONCATENATE("NavNode_",getCategoryLevelAsString($B363))),";",EscStr(V363),";")))</f>
        <v>;"NavNode_L2D_542978";"Memorie şi periferice";</v>
      </c>
      <c r="AP363" s="39" t="str">
        <f>IF(getCategoryLevelAsString($B363)="L0D_324785","",IF(W363="",CONCATENATE(";",EscStr(CONCATENATE("NavNode_",getCategoryLevelAsString($B363))),";",EscStr($J363),";"),CONCATENATE(";",EscStr(CONCATENATE("NavNode_",getCategoryLevelAsString($B363))),";",EscStr(W363),";")))</f>
        <v>;"NavNode_L2D_542978";"Memória és perifériák";</v>
      </c>
      <c r="AQ363" s="39" t="str">
        <f>IF(getCategoryLevelAsString($B363)="L0D_324785","",IF(X363="",CONCATENATE(";",EscStr(CONCATENATE("NavNode_",getCategoryLevelAsString($B363))),";",EscStr($J363),";"),CONCATENATE(";",EscStr(CONCATENATE("NavNode_",getCategoryLevelAsString($B363))),";",EscStr(X363),";")))</f>
        <v>;"NavNode_L2D_542978";"Pamäť a periférne zariadenia";</v>
      </c>
      <c r="AR363" s="39" t="str">
        <f>IF(OR($A363&lt;&gt;"", $G363=""),"",CONCATENATE(";",EscStr(CONCATENATE("NavEntry_",getCategoryLevelAsString($B363))),";",EscStr(CONCATENATE($J363," Navigation Entry")),";",EscStr(CONCATENATE("cat-",getCategoryLevelAsString($B363))),";",EscStr(CONCATENATE("NavNode_",getCategoryLevelAsString($B363))),";"))</f>
        <v>;"NavEntry_L2D_542978";"Storage &amp; Peripherals Navigation Entry";"cat-L2D_542978";"NavNode_L2D_542978";</v>
      </c>
    </row>
    <row r="364" spans="1:44" s="34" customFormat="1" ht="15" x14ac:dyDescent="0.25">
      <c r="A364" s="25"/>
      <c r="B364" s="5"/>
      <c r="C364" s="5"/>
      <c r="D364" s="5" t="s">
        <v>618</v>
      </c>
      <c r="E364" s="5"/>
      <c r="F364" s="5"/>
      <c r="G364" s="5" t="s">
        <v>999</v>
      </c>
      <c r="H364" s="5" t="s">
        <v>757</v>
      </c>
      <c r="I364" s="5" t="s">
        <v>669</v>
      </c>
      <c r="J364" s="5" t="s">
        <v>857</v>
      </c>
      <c r="K364" s="5" t="s">
        <v>1388</v>
      </c>
      <c r="L364" s="5" t="s">
        <v>1624</v>
      </c>
      <c r="M364" s="5" t="s">
        <v>1826</v>
      </c>
      <c r="N364" s="5" t="s">
        <v>2043</v>
      </c>
      <c r="O364" s="5" t="s">
        <v>4251</v>
      </c>
      <c r="P364" s="5" t="s">
        <v>4252</v>
      </c>
      <c r="Q364" s="5" t="s">
        <v>4253</v>
      </c>
      <c r="R364" s="5" t="s">
        <v>4254</v>
      </c>
      <c r="S364" s="5" t="s">
        <v>4255</v>
      </c>
      <c r="T364" s="5" t="s">
        <v>4256</v>
      </c>
      <c r="U364" s="5" t="s">
        <v>4257</v>
      </c>
      <c r="V364" s="5" t="s">
        <v>4258</v>
      </c>
      <c r="W364" s="5" t="s">
        <v>4259</v>
      </c>
      <c r="X364" s="5" t="s">
        <v>4257</v>
      </c>
      <c r="Y364" s="39" t="str">
        <f>IF(OR($A364&lt;&gt;"", $G364=""),"",CONCATENATE(";",EscStr(CONCATENATE("NavNode_",getCategoryLevelAsString($B364))),";",EscStr($J364),";",IF($B364&lt;&gt;"","""MainCategoryNavNode""",EscStr(CONCATENATE("NavNode_",getSuperCategory($B364, getCategoryLevelAsNumber($B364))))),";"))</f>
        <v>;"NavNode_L3D_543004";"Monitors / Mice / Keyboards";"NavNode_L2D_542978";</v>
      </c>
      <c r="Z364" s="39" t="str">
        <f>IF(getCategoryLevelAsString($B364)="L0D_324785","",IF(G364="",CONCATENATE(";",EscStr(CONCATENATE("NavNode_",getCategoryLevelAsString($B364))),";",EscStr($J364),";"),CONCATENATE(";",EscStr(CONCATENATE("NavNode_",getCategoryLevelAsString($B364))),";",EscStr(G364),";")))</f>
        <v>;"NavNode_L3D_543004";"Bildschirme / Mäuse / Tastaturen";</v>
      </c>
      <c r="AA364" s="39" t="str">
        <f>IF(getCategoryLevelAsString($B364)="L0D_324785","",IF(H364="",CONCATENATE(";",EscStr(CONCATENATE("NavNode_",getCategoryLevelAsString($B364))),";",EscStr($J364),";"),CONCATENATE(";",EscStr(CONCATENATE("NavNode_",getCategoryLevelAsString($B364))),";",EscStr(H364),";")))</f>
        <v>;"NavNode_L3D_543004";"Ecrans / Souris / Claviers";</v>
      </c>
      <c r="AB364" s="39" t="str">
        <f>IF(getCategoryLevelAsString($B364)="L0D_324785","",IF(I364="",CONCATENATE(";",EscStr(CONCATENATE("NavNode_",getCategoryLevelAsString($B364))),";",EscStr($J364),";"),CONCATENATE(";",EscStr(CONCATENATE("NavNode_",getCategoryLevelAsString($B364))),";",EscStr(I364),";")))</f>
        <v>;"NavNode_L3D_543004";"Monitor / mouse / tastiere";</v>
      </c>
      <c r="AC364" s="39" t="str">
        <f>IF(getCategoryLevelAsString($B364)="L0D_324785","",IF(J364="",CONCATENATE(";",EscStr(CONCATENATE("NavNode_",getCategoryLevelAsString($B364))),";",EscStr($J364),";"),CONCATENATE(";",EscStr(CONCATENATE("NavNode_",getCategoryLevelAsString($B364))),";",EscStr(J364),";")))</f>
        <v>;"NavNode_L3D_543004";"Monitors / Mice / Keyboards";</v>
      </c>
      <c r="AD364" s="39" t="str">
        <f>IF(getCategoryLevelAsString($B364)="L0D_324785","",IF(K364="",CONCATENATE(";",EscStr(CONCATENATE("NavNode_",getCategoryLevelAsString($B364))),";",EscStr($J364),";"),CONCATENATE(";",EscStr(CONCATENATE("NavNode_",getCategoryLevelAsString($B364))),";",EscStr(K364),";")))</f>
        <v>;"NavNode_L3D_543004";"Skærme/mus/tastaturer";</v>
      </c>
      <c r="AE364" s="39" t="str">
        <f>IF(getCategoryLevelAsString($B364)="L0D_324785","",IF(L364="",CONCATENATE(";",EscStr(CONCATENATE("NavNode_",getCategoryLevelAsString($B364))),";",EscStr($J364),";"),CONCATENATE(";",EscStr(CONCATENATE("NavNode_",getCategoryLevelAsString($B364))),";",EscStr(L364),";")))</f>
        <v>;"NavNode_L3D_543004";"Monitoriai / pelės / klaviatūros";</v>
      </c>
      <c r="AF364" s="39" t="str">
        <f>IF(getCategoryLevelAsString($B364)="L0D_324785","",IF(M364="",CONCATENATE(";",EscStr(CONCATENATE("NavNode_",getCategoryLevelAsString($B364))),";",EscStr($J364),";"),CONCATENATE(";",EscStr(CONCATENATE("NavNode_",getCategoryLevelAsString($B364))),";",EscStr(M364),";")))</f>
        <v>;"NavNode_L3D_543004";"Skjermer/mus/tastaturer";</v>
      </c>
      <c r="AG364" s="39" t="str">
        <f>IF(getCategoryLevelAsString($B364)="L0D_324785","",IF(N364="",CONCATENATE(";",EscStr(CONCATENATE("NavNode_",getCategoryLevelAsString($B364))),";",EscStr($J364),";"),CONCATENATE(";",EscStr(CONCATENATE("NavNode_",getCategoryLevelAsString($B364))),";",EscStr(N364),";")))</f>
        <v>;"NavNode_L3D_543004";"Skärmar/Möss/Tangentbord";</v>
      </c>
      <c r="AH364" s="39" t="str">
        <f>IF(getCategoryLevelAsString($B364)="L0D_324785","",IF(O364="",CONCATENATE(";",EscStr(CONCATENATE("NavNode_",getCategoryLevelAsString($B364))),";",EscStr($J364),";"),CONCATENATE(";",EscStr(CONCATENATE("NavNode_",getCategoryLevelAsString($B364))),";",EscStr(O364),";")))</f>
        <v>;"NavNode_L3D_543004";"Monitorid / Hiired / Klaviatuurid";</v>
      </c>
      <c r="AI364" s="39" t="str">
        <f>IF(getCategoryLevelAsString($B364)="L0D_324785","",IF(P364="",CONCATENATE(";",EscStr(CONCATENATE("NavNode_",getCategoryLevelAsString($B364))),";",EscStr($J364),";"),CONCATENATE(";",EscStr(CONCATENATE("NavNode_",getCategoryLevelAsString($B364))),";",EscStr(P364),";")))</f>
        <v>;"NavNode_L3D_543004";"Monitorit/Hiiret/Näppäimistö";</v>
      </c>
      <c r="AJ364" s="39" t="str">
        <f>IF(getCategoryLevelAsString($B364)="L0D_324785","",IF(Q364="",CONCATENATE(";",EscStr(CONCATENATE("NavNode_",getCategoryLevelAsString($B364))),";",EscStr($J364),";"),CONCATENATE(";",EscStr(CONCATENATE("NavNode_",getCategoryLevelAsString($B364))),";",EscStr(Q364),";")))</f>
        <v>;"NavNode_L3D_543004";"Monitori / peles / klaviatūras";</v>
      </c>
      <c r="AK364" s="39" t="str">
        <f>IF(getCategoryLevelAsString($B364)="L0D_324785","",IF(R364="",CONCATENATE(";",EscStr(CONCATENATE("NavNode_",getCategoryLevelAsString($B364))),";",EscStr($J364),";"),CONCATENATE(";",EscStr(CONCATENATE("NavNode_",getCategoryLevelAsString($B364))),";",EscStr(R364),";")))</f>
        <v>;"NavNode_L3D_543004";"Monitoren / Muizen / Toetsenborden";</v>
      </c>
      <c r="AL364" s="39" t="str">
        <f>IF(getCategoryLevelAsString($B364)="L0D_324785","",IF(S364="",CONCATENATE(";",EscStr(CONCATENATE("NavNode_",getCategoryLevelAsString($B364))),";",EscStr($J364),";"),CONCATENATE(";",EscStr(CONCATENATE("NavNode_",getCategoryLevelAsString($B364))),";",EscStr(S364),";")))</f>
        <v>;"NavNode_L3D_543004";"Monitory / Myszki / Klawiatury";</v>
      </c>
      <c r="AM364" s="39" t="str">
        <f>IF(getCategoryLevelAsString($B364)="L0D_324785","",IF(T364="",CONCATENATE(";",EscStr(CONCATENATE("NavNode_",getCategoryLevelAsString($B364))),";",EscStr($J364),";"),CONCATENATE(";",EscStr(CONCATENATE("NavNode_",getCategoryLevelAsString($B364))),";",EscStr(T364),";")))</f>
        <v>;"NavNode_L3D_543004";"Мониторы / Мыши / Клавиатуры";</v>
      </c>
      <c r="AN364" s="39" t="str">
        <f>IF(getCategoryLevelAsString($B364)="L0D_324785","",IF(U364="",CONCATENATE(";",EscStr(CONCATENATE("NavNode_",getCategoryLevelAsString($B364))),";",EscStr($J364),";"),CONCATENATE(";",EscStr(CONCATENATE("NavNode_",getCategoryLevelAsString($B364))),";",EscStr(U364),";")))</f>
        <v>;"NavNode_L3D_543004";"Monitory / Klávesnice / Myši";</v>
      </c>
      <c r="AO364" s="39" t="str">
        <f>IF(getCategoryLevelAsString($B364)="L0D_324785","",IF(V364="",CONCATENATE(";",EscStr(CONCATENATE("NavNode_",getCategoryLevelAsString($B364))),";",EscStr($J364),";"),CONCATENATE(";",EscStr(CONCATENATE("NavNode_",getCategoryLevelAsString($B364))),";",EscStr(V364),";")))</f>
        <v>;"NavNode_L3D_543004";"Monitoare / mouse / Tastaturen";</v>
      </c>
      <c r="AP364" s="39" t="str">
        <f>IF(getCategoryLevelAsString($B364)="L0D_324785","",IF(W364="",CONCATENATE(";",EscStr(CONCATENATE("NavNode_",getCategoryLevelAsString($B364))),";",EscStr($J364),";"),CONCATENATE(";",EscStr(CONCATENATE("NavNode_",getCategoryLevelAsString($B364))),";",EscStr(W364),";")))</f>
        <v>;"NavNode_L3D_543004";"Monitorok / Egerek / Billentyűzetek";</v>
      </c>
      <c r="AQ364" s="39" t="str">
        <f>IF(getCategoryLevelAsString($B364)="L0D_324785","",IF(X364="",CONCATENATE(";",EscStr(CONCATENATE("NavNode_",getCategoryLevelAsString($B364))),";",EscStr($J364),";"),CONCATENATE(";",EscStr(CONCATENATE("NavNode_",getCategoryLevelAsString($B364))),";",EscStr(X364),";")))</f>
        <v>;"NavNode_L3D_543004";"Monitory / Klávesnice / Myši";</v>
      </c>
      <c r="AR364" s="39" t="str">
        <f>IF(OR($A364&lt;&gt;"", $G364=""),"",CONCATENATE(";",EscStr(CONCATENATE("NavEntry_",getCategoryLevelAsString($B364))),";",EscStr(CONCATENATE($J364," Navigation Entry")),";",EscStr(CONCATENATE("cat-",getCategoryLevelAsString($B364))),";",EscStr(CONCATENATE("NavNode_",getCategoryLevelAsString($B364))),";"))</f>
        <v>;"NavEntry_L3D_543004";"Monitors / Mice / Keyboards Navigation Entry";"cat-L3D_543004";"NavNode_L3D_543004";</v>
      </c>
    </row>
    <row r="365" spans="1:44" s="34" customFormat="1" ht="15" x14ac:dyDescent="0.25">
      <c r="A365" s="25"/>
      <c r="B365" s="5"/>
      <c r="C365" s="5"/>
      <c r="D365" s="5" t="s">
        <v>619</v>
      </c>
      <c r="E365" s="5"/>
      <c r="F365" s="5"/>
      <c r="G365" s="5" t="s">
        <v>1000</v>
      </c>
      <c r="H365" s="5" t="s">
        <v>758</v>
      </c>
      <c r="I365" s="5" t="s">
        <v>671</v>
      </c>
      <c r="J365" s="5" t="s">
        <v>858</v>
      </c>
      <c r="K365" s="5" t="s">
        <v>1389</v>
      </c>
      <c r="L365" s="5" t="s">
        <v>1625</v>
      </c>
      <c r="M365" s="5" t="s">
        <v>1827</v>
      </c>
      <c r="N365" s="5" t="s">
        <v>14004</v>
      </c>
      <c r="O365" s="5" t="s">
        <v>4260</v>
      </c>
      <c r="P365" s="5" t="s">
        <v>4261</v>
      </c>
      <c r="Q365" s="5" t="s">
        <v>4262</v>
      </c>
      <c r="R365" s="5" t="s">
        <v>858</v>
      </c>
      <c r="S365" s="5" t="s">
        <v>4263</v>
      </c>
      <c r="T365" s="5" t="s">
        <v>4264</v>
      </c>
      <c r="U365" s="5" t="s">
        <v>4265</v>
      </c>
      <c r="V365" s="5" t="s">
        <v>4266</v>
      </c>
      <c r="W365" s="5" t="s">
        <v>4267</v>
      </c>
      <c r="X365" s="5" t="s">
        <v>15046</v>
      </c>
      <c r="Y365" s="39" t="str">
        <f>IF(OR($A365&lt;&gt;"", $G365=""),"",CONCATENATE(";",EscStr(CONCATENATE("NavNode_",getCategoryLevelAsString($B365))),";",EscStr($J365),";",IF($B365&lt;&gt;"","""MainCategoryNavNode""",EscStr(CONCATENATE("NavNode_",getSuperCategory($B365, getCategoryLevelAsNumber($B365))))),";"))</f>
        <v>;"NavNode_L3D_543009";"Network Attached Storage (NAS) / Drives";"NavNode_L2D_542978";</v>
      </c>
      <c r="Z365" s="39" t="str">
        <f>IF(getCategoryLevelAsString($B365)="L0D_324785","",IF(G365="",CONCATENATE(";",EscStr(CONCATENATE("NavNode_",getCategoryLevelAsString($B365))),";",EscStr($J365),";"),CONCATENATE(";",EscStr(CONCATENATE("NavNode_",getCategoryLevelAsString($B365))),";",EscStr(G365),";")))</f>
        <v>;"NavNode_L3D_543009";"Netzwerkspeicher (NAS) / Laufwerke";</v>
      </c>
      <c r="AA365" s="39" t="str">
        <f>IF(getCategoryLevelAsString($B365)="L0D_324785","",IF(H365="",CONCATENATE(";",EscStr(CONCATENATE("NavNode_",getCategoryLevelAsString($B365))),";",EscStr($J365),";"),CONCATENATE(";",EscStr(CONCATENATE("NavNode_",getCategoryLevelAsString($B365))),";",EscStr(H365),";")))</f>
        <v>;"NavNode_L3D_543009";"Stockage en réseau NAS / Lecteurs";</v>
      </c>
      <c r="AB365" s="39" t="str">
        <f>IF(getCategoryLevelAsString($B365)="L0D_324785","",IF(I365="",CONCATENATE(";",EscStr(CONCATENATE("NavNode_",getCategoryLevelAsString($B365))),";",EscStr($J365),";"),CONCATENATE(";",EscStr(CONCATENATE("NavNode_",getCategoryLevelAsString($B365))),";",EscStr(I365),";")))</f>
        <v>;"NavNode_L3D_543009";"Network Attached Storage (NAS) / unità";</v>
      </c>
      <c r="AC365" s="39" t="str">
        <f>IF(getCategoryLevelAsString($B365)="L0D_324785","",IF(J365="",CONCATENATE(";",EscStr(CONCATENATE("NavNode_",getCategoryLevelAsString($B365))),";",EscStr($J365),";"),CONCATENATE(";",EscStr(CONCATENATE("NavNode_",getCategoryLevelAsString($B365))),";",EscStr(J365),";")))</f>
        <v>;"NavNode_L3D_543009";"Network Attached Storage (NAS) / Drives";</v>
      </c>
      <c r="AD365" s="39" t="str">
        <f>IF(getCategoryLevelAsString($B365)="L0D_324785","",IF(K365="",CONCATENATE(";",EscStr(CONCATENATE("NavNode_",getCategoryLevelAsString($B365))),";",EscStr($J365),";"),CONCATENATE(";",EscStr(CONCATENATE("NavNode_",getCategoryLevelAsString($B365))),";",EscStr(K365),";")))</f>
        <v>;"NavNode_L3D_543009";"Netværkstilknyttet arkivering (NAS)/drivere";</v>
      </c>
      <c r="AE365" s="39" t="str">
        <f>IF(getCategoryLevelAsString($B365)="L0D_324785","",IF(L365="",CONCATENATE(";",EscStr(CONCATENATE("NavNode_",getCategoryLevelAsString($B365))),";",EscStr($J365),";"),CONCATENATE(";",EscStr(CONCATENATE("NavNode_",getCategoryLevelAsString($B365))),";",EscStr(L365),";")))</f>
        <v>;"NavNode_L3D_543009";"Prie tinklo prijungti saugojimo įrenginiai (NAS) / diskai";</v>
      </c>
      <c r="AF365" s="39" t="str">
        <f>IF(getCategoryLevelAsString($B365)="L0D_324785","",IF(M365="",CONCATENATE(";",EscStr(CONCATENATE("NavNode_",getCategoryLevelAsString($B365))),";",EscStr($J365),";"),CONCATENATE(";",EscStr(CONCATENATE("NavNode_",getCategoryLevelAsString($B365))),";",EscStr(M365),";")))</f>
        <v>;"NavNode_L3D_543009";"Nettverkstilsluttet datalager (NAS) / drivere";</v>
      </c>
      <c r="AG365" s="39" t="str">
        <f>IF(getCategoryLevelAsString($B365)="L0D_324785","",IF(N365="",CONCATENATE(";",EscStr(CONCATENATE("NavNode_",getCategoryLevelAsString($B365))),";",EscStr($J365),";"),CONCATENATE(";",EscStr(CONCATENATE("NavNode_",getCategoryLevelAsString($B365))),";",EscStr(N365),";")))</f>
        <v>;"NavNode_L3D_543009";"NAS (Network Attached Storage) /Drive";</v>
      </c>
      <c r="AH365" s="39" t="str">
        <f>IF(getCategoryLevelAsString($B365)="L0D_324785","",IF(O365="",CONCATENATE(";",EscStr(CONCATENATE("NavNode_",getCategoryLevelAsString($B365))),";",EscStr($J365),";"),CONCATENATE(";",EscStr(CONCATENATE("NavNode_",getCategoryLevelAsString($B365))),";",EscStr(O365),";")))</f>
        <v>;"NavNode_L3D_543009";"Võrgumäluseadmed (NAS) / Võrgukettad";</v>
      </c>
      <c r="AI365" s="39" t="str">
        <f>IF(getCategoryLevelAsString($B365)="L0D_324785","",IF(P365="",CONCATENATE(";",EscStr(CONCATENATE("NavNode_",getCategoryLevelAsString($B365))),";",EscStr($J365),";"),CONCATENATE(";",EscStr(CONCATENATE("NavNode_",getCategoryLevelAsString($B365))),";",EscStr(P365),";")))</f>
        <v>;"NavNode_L3D_543009";"NAS-tallentimet";</v>
      </c>
      <c r="AJ365" s="39" t="str">
        <f>IF(getCategoryLevelAsString($B365)="L0D_324785","",IF(Q365="",CONCATENATE(";",EscStr(CONCATENATE("NavNode_",getCategoryLevelAsString($B365))),";",EscStr($J365),";"),CONCATENATE(";",EscStr(CONCATENATE("NavNode_",getCategoryLevelAsString($B365))),";",EscStr(Q365),";")))</f>
        <v>;"NavNode_L3D_543009";"Network Attached Storage (NAS) / cietņi";</v>
      </c>
      <c r="AK365" s="39" t="str">
        <f>IF(getCategoryLevelAsString($B365)="L0D_324785","",IF(R365="",CONCATENATE(";",EscStr(CONCATENATE("NavNode_",getCategoryLevelAsString($B365))),";",EscStr($J365),";"),CONCATENATE(";",EscStr(CONCATENATE("NavNode_",getCategoryLevelAsString($B365))),";",EscStr(R365),";")))</f>
        <v>;"NavNode_L3D_543009";"Network Attached Storage (NAS) / Drives";</v>
      </c>
      <c r="AL365" s="39" t="str">
        <f>IF(getCategoryLevelAsString($B365)="L0D_324785","",IF(S365="",CONCATENATE(";",EscStr(CONCATENATE("NavNode_",getCategoryLevelAsString($B365))),";",EscStr($J365),";"),CONCATENATE(";",EscStr(CONCATENATE("NavNode_",getCategoryLevelAsString($B365))),";",EscStr(S365),";")))</f>
        <v>;"NavNode_L3D_543009";"NAS Sieciowa pamięć masowa";</v>
      </c>
      <c r="AM365" s="39" t="str">
        <f>IF(getCategoryLevelAsString($B365)="L0D_324785","",IF(T365="",CONCATENATE(";",EscStr(CONCATENATE("NavNode_",getCategoryLevelAsString($B365))),";",EscStr($J365),";"),CONCATENATE(";",EscStr(CONCATENATE("NavNode_",getCategoryLevelAsString($B365))),";",EscStr(T365),";")))</f>
        <v>;"NavNode_L3D_543009";"Сетевые диски";</v>
      </c>
      <c r="AN365" s="39" t="str">
        <f>IF(getCategoryLevelAsString($B365)="L0D_324785","",IF(U365="",CONCATENATE(";",EscStr(CONCATENATE("NavNode_",getCategoryLevelAsString($B365))),";",EscStr($J365),";"),CONCATENATE(";",EscStr(CONCATENATE("NavNode_",getCategoryLevelAsString($B365))),";",EscStr(U365),";")))</f>
        <v>;"NavNode_L3D_543009";"Síťové úložiště (NAS) / Mechaniky";</v>
      </c>
      <c r="AO365" s="39" t="str">
        <f>IF(getCategoryLevelAsString($B365)="L0D_324785","",IF(V365="",CONCATENATE(";",EscStr(CONCATENATE("NavNode_",getCategoryLevelAsString($B365))),";",EscStr($J365),";"),CONCATENATE(";",EscStr(CONCATENATE("NavNode_",getCategoryLevelAsString($B365))),";",EscStr(V365),";")))</f>
        <v>;"NavNode_L3D_543009";"Memorie de reţea (NAS) / mecanisme";</v>
      </c>
      <c r="AP365" s="39" t="str">
        <f>IF(getCategoryLevelAsString($B365)="L0D_324785","",IF(W365="",CONCATENATE(";",EscStr(CONCATENATE("NavNode_",getCategoryLevelAsString($B365))),";",EscStr($J365),";"),CONCATENATE(";",EscStr(CONCATENATE("NavNode_",getCategoryLevelAsString($B365))),";",EscStr(W365),";")))</f>
        <v>;"NavNode_L3D_543009";"Adathálózati tároló (NAS) / Merevlemez";</v>
      </c>
      <c r="AQ365" s="39" t="str">
        <f>IF(getCategoryLevelAsString($B365)="L0D_324785","",IF(X365="",CONCATENATE(";",EscStr(CONCATENATE("NavNode_",getCategoryLevelAsString($B365))),";",EscStr($J365),";"),CONCATENATE(";",EscStr(CONCATENATE("NavNode_",getCategoryLevelAsString($B365))),";",EscStr(X365),";")))</f>
        <v>;"NavNode_L3D_543009";"Sieťové uložiská (NAS) / Mechaniky";</v>
      </c>
      <c r="AR365" s="39" t="str">
        <f>IF(OR($A365&lt;&gt;"", $G365=""),"",CONCATENATE(";",EscStr(CONCATENATE("NavEntry_",getCategoryLevelAsString($B365))),";",EscStr(CONCATENATE($J365," Navigation Entry")),";",EscStr(CONCATENATE("cat-",getCategoryLevelAsString($B365))),";",EscStr(CONCATENATE("NavNode_",getCategoryLevelAsString($B365))),";"))</f>
        <v>;"NavEntry_L3D_543009";"Network Attached Storage (NAS) / Drives Navigation Entry";"cat-L3D_543009";"NavNode_L3D_543009";</v>
      </c>
    </row>
    <row r="366" spans="1:44" s="34" customFormat="1" ht="15" x14ac:dyDescent="0.25">
      <c r="A366" s="25"/>
      <c r="B366" s="5"/>
      <c r="C366" s="5"/>
      <c r="D366" s="5" t="s">
        <v>620</v>
      </c>
      <c r="E366" s="5"/>
      <c r="F366" s="5"/>
      <c r="G366" s="5" t="s">
        <v>1001</v>
      </c>
      <c r="H366" s="5" t="s">
        <v>759</v>
      </c>
      <c r="I366" s="5" t="s">
        <v>672</v>
      </c>
      <c r="J366" s="5" t="s">
        <v>859</v>
      </c>
      <c r="K366" s="5" t="s">
        <v>1390</v>
      </c>
      <c r="L366" s="5" t="s">
        <v>1626</v>
      </c>
      <c r="M366" s="5" t="s">
        <v>1828</v>
      </c>
      <c r="N366" s="5" t="s">
        <v>2045</v>
      </c>
      <c r="O366" s="5" t="s">
        <v>4268</v>
      </c>
      <c r="P366" s="5" t="s">
        <v>4269</v>
      </c>
      <c r="Q366" s="5" t="s">
        <v>4270</v>
      </c>
      <c r="R366" s="5" t="s">
        <v>4271</v>
      </c>
      <c r="S366" s="5" t="s">
        <v>4272</v>
      </c>
      <c r="T366" s="5" t="s">
        <v>4273</v>
      </c>
      <c r="U366" s="5" t="s">
        <v>4274</v>
      </c>
      <c r="V366" s="5" t="s">
        <v>4275</v>
      </c>
      <c r="W366" s="5" t="s">
        <v>4276</v>
      </c>
      <c r="X366" s="5" t="s">
        <v>15047</v>
      </c>
      <c r="Y366" s="39" t="str">
        <f>IF(OR($A366&lt;&gt;"", $G366=""),"",CONCATENATE(";",EscStr(CONCATENATE("NavNode_",getCategoryLevelAsString($B366))),";",EscStr($J366),";",IF($B366&lt;&gt;"","""MainCategoryNavNode""",EscStr(CONCATENATE("NavNode_",getSuperCategory($B366, getCategoryLevelAsNumber($B366))))),";"))</f>
        <v>;"NavNode_L3D_543012";"USB memory / Memory cards / Disks / Tapes";"NavNode_L2D_542978";</v>
      </c>
      <c r="Z366" s="39" t="str">
        <f>IF(getCategoryLevelAsString($B366)="L0D_324785","",IF(G366="",CONCATENATE(";",EscStr(CONCATENATE("NavNode_",getCategoryLevelAsString($B366))),";",EscStr($J366),";"),CONCATENATE(";",EscStr(CONCATENATE("NavNode_",getCategoryLevelAsString($B366))),";",EscStr(G366),";")))</f>
        <v>;"NavNode_L3D_543012";"USB-Speicher / Speicherkarten / Datenträger";</v>
      </c>
      <c r="AA366" s="39" t="str">
        <f>IF(getCategoryLevelAsString($B366)="L0D_324785","",IF(H366="",CONCATENATE(";",EscStr(CONCATENATE("NavNode_",getCategoryLevelAsString($B366))),";",EscStr($J366),";"),CONCATENATE(";",EscStr(CONCATENATE("NavNode_",getCategoryLevelAsString($B366))),";",EscStr(H366),";")))</f>
        <v>;"NavNode_L3D_543012";"Module mémoire USB / Cartes mémoire / Disques / Bandes";</v>
      </c>
      <c r="AB366" s="39" t="str">
        <f>IF(getCategoryLevelAsString($B366)="L0D_324785","",IF(I366="",CONCATENATE(";",EscStr(CONCATENATE("NavNode_",getCategoryLevelAsString($B366))),";",EscStr($J366),";"),CONCATENATE(";",EscStr(CONCATENATE("NavNode_",getCategoryLevelAsString($B366))),";",EscStr(I366),";")))</f>
        <v>;"NavNode_L3D_543012";"Memoria USB / schede di memoria / dischi / nastri";</v>
      </c>
      <c r="AC366" s="39" t="str">
        <f>IF(getCategoryLevelAsString($B366)="L0D_324785","",IF(J366="",CONCATENATE(";",EscStr(CONCATENATE("NavNode_",getCategoryLevelAsString($B366))),";",EscStr($J366),";"),CONCATENATE(";",EscStr(CONCATENATE("NavNode_",getCategoryLevelAsString($B366))),";",EscStr(J366),";")))</f>
        <v>;"NavNode_L3D_543012";"USB memory / Memory cards / Disks / Tapes";</v>
      </c>
      <c r="AD366" s="39" t="str">
        <f>IF(getCategoryLevelAsString($B366)="L0D_324785","",IF(K366="",CONCATENATE(";",EscStr(CONCATENATE("NavNode_",getCategoryLevelAsString($B366))),";",EscStr($J366),";"),CONCATENATE(";",EscStr(CONCATENATE("NavNode_",getCategoryLevelAsString($B366))),";",EscStr(K366),";")))</f>
        <v>;"NavNode_L3D_543012";"USB-hukommelse/hukommelseskort/diske/bånd";</v>
      </c>
      <c r="AE366" s="39" t="str">
        <f>IF(getCategoryLevelAsString($B366)="L0D_324785","",IF(L366="",CONCATENATE(";",EscStr(CONCATENATE("NavNode_",getCategoryLevelAsString($B366))),";",EscStr($J366),";"),CONCATENATE(";",EscStr(CONCATENATE("NavNode_",getCategoryLevelAsString($B366))),";",EscStr(L366),";")))</f>
        <v>;"NavNode_L3D_543012";"USB atmintinė / atminties kortelės / diskai / juostos";</v>
      </c>
      <c r="AF366" s="39" t="str">
        <f>IF(getCategoryLevelAsString($B366)="L0D_324785","",IF(M366="",CONCATENATE(";",EscStr(CONCATENATE("NavNode_",getCategoryLevelAsString($B366))),";",EscStr($J366),";"),CONCATENATE(";",EscStr(CONCATENATE("NavNode_",getCategoryLevelAsString($B366))),";",EscStr(M366),";")))</f>
        <v>;"NavNode_L3D_543012";"USB-minne/minnekort/disketter/bånd";</v>
      </c>
      <c r="AG366" s="39" t="str">
        <f>IF(getCategoryLevelAsString($B366)="L0D_324785","",IF(N366="",CONCATENATE(";",EscStr(CONCATENATE("NavNode_",getCategoryLevelAsString($B366))),";",EscStr($J366),";"),CONCATENATE(";",EscStr(CONCATENATE("NavNode_",getCategoryLevelAsString($B366))),";",EscStr(N366),";")))</f>
        <v>;"NavNode_L3D_543012";"USB-minne/Minneskort/Enheter/Band";</v>
      </c>
      <c r="AH366" s="39" t="str">
        <f>IF(getCategoryLevelAsString($B366)="L0D_324785","",IF(O366="",CONCATENATE(";",EscStr(CONCATENATE("NavNode_",getCategoryLevelAsString($B366))),";",EscStr($J366),";"),CONCATENATE(";",EscStr(CONCATENATE("NavNode_",getCategoryLevelAsString($B366))),";",EscStr(O366),";")))</f>
        <v>;"NavNode_L3D_543012";"USB mälud / Mälukaardid / Disketid / Lindid";</v>
      </c>
      <c r="AI366" s="39" t="str">
        <f>IF(getCategoryLevelAsString($B366)="L0D_324785","",IF(P366="",CONCATENATE(";",EscStr(CONCATENATE("NavNode_",getCategoryLevelAsString($B366))),";",EscStr($J366),";"),CONCATENATE(";",EscStr(CONCATENATE("NavNode_",getCategoryLevelAsString($B366))),";",EscStr(P366),";")))</f>
        <v>;"NavNode_L3D_543012";"USB-muistit/kortit/Levyt";</v>
      </c>
      <c r="AJ366" s="39" t="str">
        <f>IF(getCategoryLevelAsString($B366)="L0D_324785","",IF(Q366="",CONCATENATE(";",EscStr(CONCATENATE("NavNode_",getCategoryLevelAsString($B366))),";",EscStr($J366),";"),CONCATENATE(";",EscStr(CONCATENATE("NavNode_",getCategoryLevelAsString($B366))),";",EscStr(Q366),";")))</f>
        <v>;"NavNode_L3D_543012";"USB atmiņa / atmiņas kartes / diski / lentas";</v>
      </c>
      <c r="AK366" s="39" t="str">
        <f>IF(getCategoryLevelAsString($B366)="L0D_324785","",IF(R366="",CONCATENATE(";",EscStr(CONCATENATE("NavNode_",getCategoryLevelAsString($B366))),";",EscStr($J366),";"),CONCATENATE(";",EscStr(CONCATENATE("NavNode_",getCategoryLevelAsString($B366))),";",EscStr(R366),";")))</f>
        <v>;"NavNode_L3D_543012";"USB geheugen / Geheugenkaarten / Disks / Tapes";</v>
      </c>
      <c r="AL366" s="39" t="str">
        <f>IF(getCategoryLevelAsString($B366)="L0D_324785","",IF(S366="",CONCATENATE(";",EscStr(CONCATENATE("NavNode_",getCategoryLevelAsString($B366))),";",EscStr($J366),";"),CONCATENATE(";",EscStr(CONCATENATE("NavNode_",getCategoryLevelAsString($B366))),";",EscStr(S366),";")))</f>
        <v>;"NavNode_L3D_543012";"Pamięć USB / Karty pamięci / Dyskietki / Taśmy";</v>
      </c>
      <c r="AM366" s="39" t="str">
        <f>IF(getCategoryLevelAsString($B366)="L0D_324785","",IF(T366="",CONCATENATE(";",EscStr(CONCATENATE("NavNode_",getCategoryLevelAsString($B366))),";",EscStr($J366),";"),CONCATENATE(";",EscStr(CONCATENATE("NavNode_",getCategoryLevelAsString($B366))),";",EscStr(T366),";")))</f>
        <v>;"NavNode_L3D_543012";"Карты памяти USB / Карты памяти / Диски / Ленты";</v>
      </c>
      <c r="AN366" s="39" t="str">
        <f>IF(getCategoryLevelAsString($B366)="L0D_324785","",IF(U366="",CONCATENATE(";",EscStr(CONCATENATE("NavNode_",getCategoryLevelAsString($B366))),";",EscStr($J366),";"),CONCATENATE(";",EscStr(CONCATENATE("NavNode_",getCategoryLevelAsString($B366))),";",EscStr(U366),";")))</f>
        <v>;"NavNode_L3D_543012";"Paměti USB / paměťové karty / disky";</v>
      </c>
      <c r="AO366" s="39" t="str">
        <f>IF(getCategoryLevelAsString($B366)="L0D_324785","",IF(V366="",CONCATENATE(";",EscStr(CONCATENATE("NavNode_",getCategoryLevelAsString($B366))),";",EscStr($J366),";"),CONCATENATE(";",EscStr(CONCATENATE("NavNode_",getCategoryLevelAsString($B366))),";",EscStr(V366),";")))</f>
        <v>;"NavNode_L3D_543012";"Carduri de memorie, USB stick / disk";</v>
      </c>
      <c r="AP366" s="39" t="str">
        <f>IF(getCategoryLevelAsString($B366)="L0D_324785","",IF(W366="",CONCATENATE(";",EscStr(CONCATENATE("NavNode_",getCategoryLevelAsString($B366))),";",EscStr($J366),";"),CONCATENATE(";",EscStr(CONCATENATE("NavNode_",getCategoryLevelAsString($B366))),";",EscStr(W366),";")))</f>
        <v>;"NavNode_L3D_543012";"USB-memória / Memóriakártya / Adathordozó";</v>
      </c>
      <c r="AQ366" s="39" t="str">
        <f>IF(getCategoryLevelAsString($B366)="L0D_324785","",IF(X366="",CONCATENATE(";",EscStr(CONCATENATE("NavNode_",getCategoryLevelAsString($B366))),";",EscStr($J366),";"),CONCATENATE(";",EscStr(CONCATENATE("NavNode_",getCategoryLevelAsString($B366))),";",EscStr(X366),";")))</f>
        <v>;"NavNode_L3D_543012";"Pamäte USB / pamäťové karty / disky";</v>
      </c>
      <c r="AR366" s="39" t="str">
        <f>IF(OR($A366&lt;&gt;"", $G366=""),"",CONCATENATE(";",EscStr(CONCATENATE("NavEntry_",getCategoryLevelAsString($B366))),";",EscStr(CONCATENATE($J366," Navigation Entry")),";",EscStr(CONCATENATE("cat-",getCategoryLevelAsString($B366))),";",EscStr(CONCATENATE("NavNode_",getCategoryLevelAsString($B366))),";"))</f>
        <v>;"NavEntry_L3D_543012";"USB memory / Memory cards / Disks / Tapes Navigation Entry";"cat-L3D_543012";"NavNode_L3D_543012";</v>
      </c>
    </row>
    <row r="367" spans="1:44" s="34" customFormat="1" ht="15" x14ac:dyDescent="0.25">
      <c r="A367" s="25"/>
      <c r="B367" s="5"/>
      <c r="C367" s="5"/>
      <c r="D367" s="5" t="s">
        <v>621</v>
      </c>
      <c r="E367" s="5"/>
      <c r="F367" s="5"/>
      <c r="G367" s="5" t="s">
        <v>1002</v>
      </c>
      <c r="H367" s="5" t="s">
        <v>760</v>
      </c>
      <c r="I367" s="5" t="s">
        <v>673</v>
      </c>
      <c r="J367" s="5" t="s">
        <v>860</v>
      </c>
      <c r="K367" s="5" t="s">
        <v>1391</v>
      </c>
      <c r="L367" s="5" t="s">
        <v>1627</v>
      </c>
      <c r="M367" s="5" t="s">
        <v>1829</v>
      </c>
      <c r="N367" s="5" t="s">
        <v>2046</v>
      </c>
      <c r="O367" s="5" t="s">
        <v>4277</v>
      </c>
      <c r="P367" s="5" t="s">
        <v>4278</v>
      </c>
      <c r="Q367" s="5" t="s">
        <v>4279</v>
      </c>
      <c r="R367" s="5" t="s">
        <v>4280</v>
      </c>
      <c r="S367" s="5" t="s">
        <v>4281</v>
      </c>
      <c r="T367" s="5" t="s">
        <v>4282</v>
      </c>
      <c r="U367" s="5" t="s">
        <v>4283</v>
      </c>
      <c r="V367" s="5" t="s">
        <v>4284</v>
      </c>
      <c r="W367" s="5" t="s">
        <v>4285</v>
      </c>
      <c r="X367" s="5" t="s">
        <v>15048</v>
      </c>
      <c r="Y367" s="39" t="str">
        <f>IF(OR($A367&lt;&gt;"", $G367=""),"",CONCATENATE(";",EscStr(CONCATENATE("NavNode_",getCategoryLevelAsString($B367))),";",EscStr($J367),";",IF($B367&lt;&gt;"","""MainCategoryNavNode""",EscStr(CONCATENATE("NavNode_",getSuperCategory($B367, getCategoryLevelAsNumber($B367))))),";"))</f>
        <v>;"NavNode_L3D_543014";"USB hubs / KVM switches / Video distributors";"NavNode_L2D_542978";</v>
      </c>
      <c r="Z367" s="39" t="str">
        <f>IF(getCategoryLevelAsString($B367)="L0D_324785","",IF(G367="",CONCATENATE(";",EscStr(CONCATENATE("NavNode_",getCategoryLevelAsString($B367))),";",EscStr($J367),";"),CONCATENATE(";",EscStr(CONCATENATE("NavNode_",getCategoryLevelAsString($B367))),";",EscStr(G367),";")))</f>
        <v>;"NavNode_L3D_543014";"USB-Hubs / KVM-Switches / Videoverteiler";</v>
      </c>
      <c r="AA367" s="39" t="str">
        <f>IF(getCategoryLevelAsString($B367)="L0D_324785","",IF(H367="",CONCATENATE(";",EscStr(CONCATENATE("NavNode_",getCategoryLevelAsString($B367))),";",EscStr($J367),";"),CONCATENATE(";",EscStr(CONCATENATE("NavNode_",getCategoryLevelAsString($B367))),";",EscStr(H367),";")))</f>
        <v>;"NavNode_L3D_543014";"Hub USB / Switchs KVM / Distributeurs vidéo";</v>
      </c>
      <c r="AB367" s="39" t="str">
        <f>IF(getCategoryLevelAsString($B367)="L0D_324785","",IF(I367="",CONCATENATE(";",EscStr(CONCATENATE("NavNode_",getCategoryLevelAsString($B367))),";",EscStr($J367),";"),CONCATENATE(";",EscStr(CONCATENATE("NavNode_",getCategoryLevelAsString($B367))),";",EscStr(I367),";")))</f>
        <v>;"NavNode_L3D_543014";"Hub USB / switch KVM / distributori video";</v>
      </c>
      <c r="AC367" s="39" t="str">
        <f>IF(getCategoryLevelAsString($B367)="L0D_324785","",IF(J367="",CONCATENATE(";",EscStr(CONCATENATE("NavNode_",getCategoryLevelAsString($B367))),";",EscStr($J367),";"),CONCATENATE(";",EscStr(CONCATENATE("NavNode_",getCategoryLevelAsString($B367))),";",EscStr(J367),";")))</f>
        <v>;"NavNode_L3D_543014";"USB hubs / KVM switches / Video distributors";</v>
      </c>
      <c r="AD367" s="39" t="str">
        <f>IF(getCategoryLevelAsString($B367)="L0D_324785","",IF(K367="",CONCATENATE(";",EscStr(CONCATENATE("NavNode_",getCategoryLevelAsString($B367))),";",EscStr($J367),";"),CONCATENATE(";",EscStr(CONCATENATE("NavNode_",getCategoryLevelAsString($B367))),";",EscStr(K367),";")))</f>
        <v>;"NavNode_L3D_543014";"USB-hub/KVM-afbrydere/video-distributører";</v>
      </c>
      <c r="AE367" s="39" t="str">
        <f>IF(getCategoryLevelAsString($B367)="L0D_324785","",IF(L367="",CONCATENATE(";",EscStr(CONCATENATE("NavNode_",getCategoryLevelAsString($B367))),";",EscStr($J367),";"),CONCATENATE(";",EscStr(CONCATENATE("NavNode_",getCategoryLevelAsString($B367))),";",EscStr(L367),";")))</f>
        <v>;"NavNode_L3D_543014";"USB koncentratoriai / KVM jungikliai / vaizdo skirstytuvai";</v>
      </c>
      <c r="AF367" s="39" t="str">
        <f>IF(getCategoryLevelAsString($B367)="L0D_324785","",IF(M367="",CONCATENATE(";",EscStr(CONCATENATE("NavNode_",getCategoryLevelAsString($B367))),";",EscStr($J367),";"),CONCATENATE(";",EscStr(CONCATENATE("NavNode_",getCategoryLevelAsString($B367))),";",EscStr(M367),";")))</f>
        <v>;"NavNode_L3D_543014";"USB-huber/KVM-brytere/videofordelere";</v>
      </c>
      <c r="AG367" s="39" t="str">
        <f>IF(getCategoryLevelAsString($B367)="L0D_324785","",IF(N367="",CONCATENATE(";",EscStr(CONCATENATE("NavNode_",getCategoryLevelAsString($B367))),";",EscStr($J367),";"),CONCATENATE(";",EscStr(CONCATENATE("NavNode_",getCategoryLevelAsString($B367))),";",EscStr(N367),";")))</f>
        <v>;"NavNode_L3D_543014";"USB-hubbar/KVM-omkopplare/Videofördelare";</v>
      </c>
      <c r="AH367" s="39" t="str">
        <f>IF(getCategoryLevelAsString($B367)="L0D_324785","",IF(O367="",CONCATENATE(";",EscStr(CONCATENATE("NavNode_",getCategoryLevelAsString($B367))),";",EscStr($J367),";"),CONCATENATE(";",EscStr(CONCATENATE("NavNode_",getCategoryLevelAsString($B367))),";",EscStr(O367),";")))</f>
        <v>;"NavNode_L3D_543014";"USB jaoturid / KVM lülitid / Video jaoturid";</v>
      </c>
      <c r="AI367" s="39" t="str">
        <f>IF(getCategoryLevelAsString($B367)="L0D_324785","",IF(P367="",CONCATENATE(";",EscStr(CONCATENATE("NavNode_",getCategoryLevelAsString($B367))),";",EscStr($J367),";"),CONCATENATE(";",EscStr(CONCATENATE("NavNode_",getCategoryLevelAsString($B367))),";",EscStr(P367),";")))</f>
        <v>;"NavNode_L3D_543014";"USB-jakajat";</v>
      </c>
      <c r="AJ367" s="39" t="str">
        <f>IF(getCategoryLevelAsString($B367)="L0D_324785","",IF(Q367="",CONCATENATE(";",EscStr(CONCATENATE("NavNode_",getCategoryLevelAsString($B367))),";",EscStr($J367),";"),CONCATENATE(";",EscStr(CONCATENATE("NavNode_",getCategoryLevelAsString($B367))),";",EscStr(Q367),";")))</f>
        <v>;"NavNode_L3D_543014";"USB hubs / KVM komutatori / video dalītāji";</v>
      </c>
      <c r="AK367" s="39" t="str">
        <f>IF(getCategoryLevelAsString($B367)="L0D_324785","",IF(R367="",CONCATENATE(";",EscStr(CONCATENATE("NavNode_",getCategoryLevelAsString($B367))),";",EscStr($J367),";"),CONCATENATE(";",EscStr(CONCATENATE("NavNode_",getCategoryLevelAsString($B367))),";",EscStr(R367),";")))</f>
        <v>;"NavNode_L3D_543014";"USB hubs / KVM switches / Video verderers";</v>
      </c>
      <c r="AL367" s="39" t="str">
        <f>IF(getCategoryLevelAsString($B367)="L0D_324785","",IF(S367="",CONCATENATE(";",EscStr(CONCATENATE("NavNode_",getCategoryLevelAsString($B367))),";",EscStr($J367),";"),CONCATENATE(";",EscStr(CONCATENATE("NavNode_",getCategoryLevelAsString($B367))),";",EscStr(S367),";")))</f>
        <v>;"NavNode_L3D_543014";"Rozdzielacze USB / Przełączniki KVM / Rozdzielacze Video";</v>
      </c>
      <c r="AM367" s="39" t="str">
        <f>IF(getCategoryLevelAsString($B367)="L0D_324785","",IF(T367="",CONCATENATE(";",EscStr(CONCATENATE("NavNode_",getCategoryLevelAsString($B367))),";",EscStr($J367),";"),CONCATENATE(";",EscStr(CONCATENATE("NavNode_",getCategoryLevelAsString($B367))),";",EscStr(T367),";")))</f>
        <v>;"NavNode_L3D_543014";"USB hubs / KVM Коммутаторы / Видео конекторы";</v>
      </c>
      <c r="AN367" s="39" t="str">
        <f>IF(getCategoryLevelAsString($B367)="L0D_324785","",IF(U367="",CONCATENATE(";",EscStr(CONCATENATE("NavNode_",getCategoryLevelAsString($B367))),";",EscStr($J367),";"),CONCATENATE(";",EscStr(CONCATENATE("NavNode_",getCategoryLevelAsString($B367))),";",EscStr(U367),";")))</f>
        <v>;"NavNode_L3D_543014";"USB rozbočovače / Přepínače KVM / Video rozdělovače";</v>
      </c>
      <c r="AO367" s="39" t="str">
        <f>IF(getCategoryLevelAsString($B367)="L0D_324785","",IF(V367="",CONCATENATE(";",EscStr(CONCATENATE("NavNode_",getCategoryLevelAsString($B367))),";",EscStr($J367),";"),CONCATENATE(";",EscStr(CONCATENATE("NavNode_",getCategoryLevelAsString($B367))),";",EscStr(V367),";")))</f>
        <v>;"NavNode_L3D_543014";"Hub-urile USB / Switch-uri KVM / expansiune video";</v>
      </c>
      <c r="AP367" s="39" t="str">
        <f>IF(getCategoryLevelAsString($B367)="L0D_324785","",IF(W367="",CONCATENATE(";",EscStr(CONCATENATE("NavNode_",getCategoryLevelAsString($B367))),";",EscStr($J367),";"),CONCATENATE(";",EscStr(CONCATENATE("NavNode_",getCategoryLevelAsString($B367))),";",EscStr(W367),";")))</f>
        <v>;"NavNode_L3D_543014";"USB-Hub / KVM-Switch / Videosplitter";</v>
      </c>
      <c r="AQ367" s="39" t="str">
        <f>IF(getCategoryLevelAsString($B367)="L0D_324785","",IF(X367="",CONCATENATE(";",EscStr(CONCATENATE("NavNode_",getCategoryLevelAsString($B367))),";",EscStr($J367),";"),CONCATENATE(";",EscStr(CONCATENATE("NavNode_",getCategoryLevelAsString($B367))),";",EscStr(X367),";")))</f>
        <v>;"NavNode_L3D_543014";"USB rozbočovače / Prepínače KVM / Video rozdelovače";</v>
      </c>
      <c r="AR367" s="39" t="str">
        <f>IF(OR($A367&lt;&gt;"", $G367=""),"",CONCATENATE(";",EscStr(CONCATENATE("NavEntry_",getCategoryLevelAsString($B367))),";",EscStr(CONCATENATE($J367," Navigation Entry")),";",EscStr(CONCATENATE("cat-",getCategoryLevelAsString($B367))),";",EscStr(CONCATENATE("NavNode_",getCategoryLevelAsString($B367))),";"))</f>
        <v>;"NavEntry_L3D_543014";"USB hubs / KVM switches / Video distributors Navigation Entry";"cat-L3D_543014";"NavNode_L3D_543014";</v>
      </c>
    </row>
    <row r="368" spans="1:44" s="34" customFormat="1" ht="15" x14ac:dyDescent="0.25">
      <c r="A368" s="25"/>
      <c r="B368" s="5"/>
      <c r="C368" s="5"/>
      <c r="D368" s="5" t="s">
        <v>622</v>
      </c>
      <c r="E368" s="5"/>
      <c r="F368" s="5"/>
      <c r="G368" s="5" t="s">
        <v>1003</v>
      </c>
      <c r="H368" s="5" t="s">
        <v>1096</v>
      </c>
      <c r="I368" s="5" t="s">
        <v>1155</v>
      </c>
      <c r="J368" s="5" t="s">
        <v>861</v>
      </c>
      <c r="K368" s="5" t="s">
        <v>1392</v>
      </c>
      <c r="L368" s="5" t="s">
        <v>1628</v>
      </c>
      <c r="M368" s="5" t="s">
        <v>1830</v>
      </c>
      <c r="N368" s="5" t="s">
        <v>2047</v>
      </c>
      <c r="O368" s="5" t="s">
        <v>4286</v>
      </c>
      <c r="P368" s="5" t="s">
        <v>4287</v>
      </c>
      <c r="Q368" s="5" t="s">
        <v>4288</v>
      </c>
      <c r="R368" s="5" t="s">
        <v>861</v>
      </c>
      <c r="S368" s="5" t="s">
        <v>4289</v>
      </c>
      <c r="T368" s="5" t="s">
        <v>4290</v>
      </c>
      <c r="U368" s="5" t="s">
        <v>4291</v>
      </c>
      <c r="V368" s="5" t="s">
        <v>4292</v>
      </c>
      <c r="W368" s="5" t="s">
        <v>4293</v>
      </c>
      <c r="X368" s="5" t="s">
        <v>15049</v>
      </c>
      <c r="Y368" s="39" t="str">
        <f>IF(OR($A368&lt;&gt;"", $G368=""),"",CONCATENATE(";",EscStr(CONCATENATE("NavNode_",getCategoryLevelAsString($B368))),";",EscStr($J368),";",IF($B368&lt;&gt;"","""MainCategoryNavNode""",EscStr(CONCATENATE("NavNode_",getSuperCategory($B368, getCategoryLevelAsNumber($B368))))),";"))</f>
        <v>;"NavNode_L3D_543019";"Interface converters / Extenders";"NavNode_L2D_542978";</v>
      </c>
      <c r="Z368" s="39" t="str">
        <f>IF(getCategoryLevelAsString($B368)="L0D_324785","",IF(G368="",CONCATENATE(";",EscStr(CONCATENATE("NavNode_",getCategoryLevelAsString($B368))),";",EscStr($J368),";"),CONCATENATE(";",EscStr(CONCATENATE("NavNode_",getCategoryLevelAsString($B368))),";",EscStr(G368),";")))</f>
        <v>;"NavNode_L3D_543019";"Schnittstellen-Konverter / Extender";</v>
      </c>
      <c r="AA368" s="39" t="str">
        <f>IF(getCategoryLevelAsString($B368)="L0D_324785","",IF(H368="",CONCATENATE(";",EscStr(CONCATENATE("NavNode_",getCategoryLevelAsString($B368))),";",EscStr($J368),";"),CONCATENATE(";",EscStr(CONCATENATE("NavNode_",getCategoryLevelAsString($B368))),";",EscStr(H368),";")))</f>
        <v>;"NavNode_L3D_543019";"Convertisseurs d'interface / Extensions de signal";</v>
      </c>
      <c r="AB368" s="39" t="str">
        <f>IF(getCategoryLevelAsString($B368)="L0D_324785","",IF(I368="",CONCATENATE(";",EscStr(CONCATENATE("NavNode_",getCategoryLevelAsString($B368))),";",EscStr($J368),";"),CONCATENATE(";",EscStr(CONCATENATE("NavNode_",getCategoryLevelAsString($B368))),";",EscStr(I368),";")))</f>
        <v>;"NavNode_L3D_543019";"Convertitori di interfaccia / Extender";</v>
      </c>
      <c r="AC368" s="39" t="str">
        <f>IF(getCategoryLevelAsString($B368)="L0D_324785","",IF(J368="",CONCATENATE(";",EscStr(CONCATENATE("NavNode_",getCategoryLevelAsString($B368))),";",EscStr($J368),";"),CONCATENATE(";",EscStr(CONCATENATE("NavNode_",getCategoryLevelAsString($B368))),";",EscStr(J368),";")))</f>
        <v>;"NavNode_L3D_543019";"Interface converters / Extenders";</v>
      </c>
      <c r="AD368" s="39" t="str">
        <f>IF(getCategoryLevelAsString($B368)="L0D_324785","",IF(K368="",CONCATENATE(";",EscStr(CONCATENATE("NavNode_",getCategoryLevelAsString($B368))),";",EscStr($J368),";"),CONCATENATE(";",EscStr(CONCATENATE("NavNode_",getCategoryLevelAsString($B368))),";",EscStr(K368),";")))</f>
        <v>;"NavNode_L3D_543019";"Interface-omformere/udvidere";</v>
      </c>
      <c r="AE368" s="39" t="str">
        <f>IF(getCategoryLevelAsString($B368)="L0D_324785","",IF(L368="",CONCATENATE(";",EscStr(CONCATENATE("NavNode_",getCategoryLevelAsString($B368))),";",EscStr($J368),";"),CONCATENATE(";",EscStr(CONCATENATE("NavNode_",getCategoryLevelAsString($B368))),";",EscStr(L368),";")))</f>
        <v>;"NavNode_L3D_543019";"Sąsajos keitikliai / plėtikliai";</v>
      </c>
      <c r="AF368" s="39" t="str">
        <f>IF(getCategoryLevelAsString($B368)="L0D_324785","",IF(M368="",CONCATENATE(";",EscStr(CONCATENATE("NavNode_",getCategoryLevelAsString($B368))),";",EscStr($J368),";"),CONCATENATE(";",EscStr(CONCATENATE("NavNode_",getCategoryLevelAsString($B368))),";",EscStr(M368),";")))</f>
        <v>;"NavNode_L3D_543019";"Grensesnittomformere/utvidere";</v>
      </c>
      <c r="AG368" s="39" t="str">
        <f>IF(getCategoryLevelAsString($B368)="L0D_324785","",IF(N368="",CONCATENATE(";",EscStr(CONCATENATE("NavNode_",getCategoryLevelAsString($B368))),";",EscStr($J368),";"),CONCATENATE(";",EscStr(CONCATENATE("NavNode_",getCategoryLevelAsString($B368))),";",EscStr(N368),";")))</f>
        <v>;"NavNode_L3D_543019";"Gränssnittsomvandlare/Förlängare";</v>
      </c>
      <c r="AH368" s="39" t="str">
        <f>IF(getCategoryLevelAsString($B368)="L0D_324785","",IF(O368="",CONCATENATE(";",EscStr(CONCATENATE("NavNode_",getCategoryLevelAsString($B368))),";",EscStr($J368),";"),CONCATENATE(";",EscStr(CONCATENATE("NavNode_",getCategoryLevelAsString($B368))),";",EscStr(O368),";")))</f>
        <v>;"NavNode_L3D_543019";"Liidese konverterid / Laiendid";</v>
      </c>
      <c r="AI368" s="39" t="str">
        <f>IF(getCategoryLevelAsString($B368)="L0D_324785","",IF(P368="",CONCATENATE(";",EscStr(CONCATENATE("NavNode_",getCategoryLevelAsString($B368))),";",EscStr($J368),";"),CONCATENATE(";",EscStr(CONCATENATE("NavNode_",getCategoryLevelAsString($B368))),";",EscStr(P368),";")))</f>
        <v>;"NavNode_L3D_543019";"Liityntämuuntimet";</v>
      </c>
      <c r="AJ368" s="39" t="str">
        <f>IF(getCategoryLevelAsString($B368)="L0D_324785","",IF(Q368="",CONCATENATE(";",EscStr(CONCATENATE("NavNode_",getCategoryLevelAsString($B368))),";",EscStr($J368),";"),CONCATENATE(";",EscStr(CONCATENATE("NavNode_",getCategoryLevelAsString($B368))),";",EscStr(Q368),";")))</f>
        <v>;"NavNode_L3D_543019";"Interfeisa pārveidotāji / pagarinātāji";</v>
      </c>
      <c r="AK368" s="39" t="str">
        <f>IF(getCategoryLevelAsString($B368)="L0D_324785","",IF(R368="",CONCATENATE(";",EscStr(CONCATENATE("NavNode_",getCategoryLevelAsString($B368))),";",EscStr($J368),";"),CONCATENATE(";",EscStr(CONCATENATE("NavNode_",getCategoryLevelAsString($B368))),";",EscStr(R368),";")))</f>
        <v>;"NavNode_L3D_543019";"Interface converters / Extenders";</v>
      </c>
      <c r="AL368" s="39" t="str">
        <f>IF(getCategoryLevelAsString($B368)="L0D_324785","",IF(S368="",CONCATENATE(";",EscStr(CONCATENATE("NavNode_",getCategoryLevelAsString($B368))),";",EscStr($J368),";"),CONCATENATE(";",EscStr(CONCATENATE("NavNode_",getCategoryLevelAsString($B368))),";",EscStr(S368),";")))</f>
        <v>;"NavNode_L3D_543019";"Konwertery interfejsu / Przedłużacze";</v>
      </c>
      <c r="AM368" s="39" t="str">
        <f>IF(getCategoryLevelAsString($B368)="L0D_324785","",IF(T368="",CONCATENATE(";",EscStr(CONCATENATE("NavNode_",getCategoryLevelAsString($B368))),";",EscStr($J368),";"),CONCATENATE(";",EscStr(CONCATENATE("NavNode_",getCategoryLevelAsString($B368))),";",EscStr(T368),";")))</f>
        <v>;"NavNode_L3D_543019";"Преобразователи интерфейса  / Расширители";</v>
      </c>
      <c r="AN368" s="39" t="str">
        <f>IF(getCategoryLevelAsString($B368)="L0D_324785","",IF(U368="",CONCATENATE(";",EscStr(CONCATENATE("NavNode_",getCategoryLevelAsString($B368))),";",EscStr($J368),";"),CONCATENATE(";",EscStr(CONCATENATE("NavNode_",getCategoryLevelAsString($B368))),";",EscStr(U368),";")))</f>
        <v>;"NavNode_L3D_543019";"Konvertory rozhraní / Rozšiřovače";</v>
      </c>
      <c r="AO368" s="39" t="str">
        <f>IF(getCategoryLevelAsString($B368)="L0D_324785","",IF(V368="",CONCATENATE(";",EscStr(CONCATENATE("NavNode_",getCategoryLevelAsString($B368))),";",EscStr($J368),";"),CONCATENATE(";",EscStr(CONCATENATE("NavNode_",getCategoryLevelAsString($B368))),";",EscStr(V368),";")))</f>
        <v>;"NavNode_L3D_543019";"Interfată convertor / Extindere";</v>
      </c>
      <c r="AP368" s="39" t="str">
        <f>IF(getCategoryLevelAsString($B368)="L0D_324785","",IF(W368="",CONCATENATE(";",EscStr(CONCATENATE("NavNode_",getCategoryLevelAsString($B368))),";",EscStr($J368),";"),CONCATENATE(";",EscStr(CONCATENATE("NavNode_",getCategoryLevelAsString($B368))),";",EscStr(W368),";")))</f>
        <v>;"NavNode_L3D_543019";"Csatlakozás-Konverter / Extender";</v>
      </c>
      <c r="AQ368" s="39" t="str">
        <f>IF(getCategoryLevelAsString($B368)="L0D_324785","",IF(X368="",CONCATENATE(";",EscStr(CONCATENATE("NavNode_",getCategoryLevelAsString($B368))),";",EscStr($J368),";"),CONCATENATE(";",EscStr(CONCATENATE("NavNode_",getCategoryLevelAsString($B368))),";",EscStr(X368),";")))</f>
        <v>;"NavNode_L3D_543019";"Konvertory rozhrania / Rozširovače";</v>
      </c>
      <c r="AR368" s="39" t="str">
        <f>IF(OR($A368&lt;&gt;"", $G368=""),"",CONCATENATE(";",EscStr(CONCATENATE("NavEntry_",getCategoryLevelAsString($B368))),";",EscStr(CONCATENATE($J368," Navigation Entry")),";",EscStr(CONCATENATE("cat-",getCategoryLevelAsString($B368))),";",EscStr(CONCATENATE("NavNode_",getCategoryLevelAsString($B368))),";"))</f>
        <v>;"NavEntry_L3D_543019";"Interface converters / Extenders Navigation Entry";"cat-L3D_543019";"NavNode_L3D_543019";</v>
      </c>
    </row>
    <row r="369" spans="1:44" s="34" customFormat="1" ht="15" x14ac:dyDescent="0.25">
      <c r="A369" s="25"/>
      <c r="B369" s="5"/>
      <c r="C369" s="5"/>
      <c r="D369" s="5" t="s">
        <v>623</v>
      </c>
      <c r="E369" s="5"/>
      <c r="F369" s="5"/>
      <c r="G369" s="5" t="s">
        <v>1004</v>
      </c>
      <c r="H369" s="5" t="s">
        <v>761</v>
      </c>
      <c r="I369" s="5" t="s">
        <v>675</v>
      </c>
      <c r="J369" s="5" t="s">
        <v>862</v>
      </c>
      <c r="K369" s="5" t="s">
        <v>1393</v>
      </c>
      <c r="L369" s="5" t="s">
        <v>1629</v>
      </c>
      <c r="M369" s="5" t="s">
        <v>1831</v>
      </c>
      <c r="N369" s="5" t="s">
        <v>2048</v>
      </c>
      <c r="O369" s="5" t="s">
        <v>4294</v>
      </c>
      <c r="P369" s="5" t="s">
        <v>4295</v>
      </c>
      <c r="Q369" s="5" t="s">
        <v>4296</v>
      </c>
      <c r="R369" s="5" t="s">
        <v>862</v>
      </c>
      <c r="S369" s="5" t="s">
        <v>4297</v>
      </c>
      <c r="T369" s="5" t="s">
        <v>4298</v>
      </c>
      <c r="U369" s="5" t="s">
        <v>4299</v>
      </c>
      <c r="V369" s="5" t="s">
        <v>4300</v>
      </c>
      <c r="W369" s="5" t="s">
        <v>4301</v>
      </c>
      <c r="X369" s="5" t="s">
        <v>15050</v>
      </c>
      <c r="Y369" s="39" t="str">
        <f>IF(OR($A369&lt;&gt;"", $G369=""),"",CONCATENATE(";",EscStr(CONCATENATE("NavNode_",getCategoryLevelAsString($B369))),";",EscStr($J369),";",IF($B369&lt;&gt;"","""MainCategoryNavNode""",EscStr(CONCATENATE("NavNode_",getSuperCategory($B369, getCategoryLevelAsNumber($B369))))),";"))</f>
        <v>;"NavNode_L3D_543022";"Scanners / Barcode Scanners / Graphic tablets";"NavNode_L2D_542978";</v>
      </c>
      <c r="Z369" s="39" t="str">
        <f>IF(getCategoryLevelAsString($B369)="L0D_324785","",IF(G369="",CONCATENATE(";",EscStr(CONCATENATE("NavNode_",getCategoryLevelAsString($B369))),";",EscStr($J369),";"),CONCATENATE(";",EscStr(CONCATENATE("NavNode_",getCategoryLevelAsString($B369))),";",EscStr(G369),";")))</f>
        <v>;"NavNode_L3D_543022";"Scanner / Belegleser / Grafiktabletts";</v>
      </c>
      <c r="AA369" s="39" t="str">
        <f>IF(getCategoryLevelAsString($B369)="L0D_324785","",IF(H369="",CONCATENATE(";",EscStr(CONCATENATE("NavNode_",getCategoryLevelAsString($B369))),";",EscStr($J369),";"),CONCATENATE(";",EscStr(CONCATENATE("NavNode_",getCategoryLevelAsString($B369))),";",EscStr(H369),";")))</f>
        <v>;"NavNode_L3D_543022";"Scanners / Scanners de codes à barres / Tablettes graphiques";</v>
      </c>
      <c r="AB369" s="39" t="str">
        <f>IF(getCategoryLevelAsString($B369)="L0D_324785","",IF(I369="",CONCATENATE(";",EscStr(CONCATENATE("NavNode_",getCategoryLevelAsString($B369))),";",EscStr($J369),";"),CONCATENATE(";",EscStr(CONCATENATE("NavNode_",getCategoryLevelAsString($B369))),";",EscStr(I369),";")))</f>
        <v>;"NavNode_L3D_543022";"Scanner / Scanner codice a barre / tavolette grafiche";</v>
      </c>
      <c r="AC369" s="39" t="str">
        <f>IF(getCategoryLevelAsString($B369)="L0D_324785","",IF(J369="",CONCATENATE(";",EscStr(CONCATENATE("NavNode_",getCategoryLevelAsString($B369))),";",EscStr($J369),";"),CONCATENATE(";",EscStr(CONCATENATE("NavNode_",getCategoryLevelAsString($B369))),";",EscStr(J369),";")))</f>
        <v>;"NavNode_L3D_543022";"Scanners / Barcode Scanners / Graphic tablets";</v>
      </c>
      <c r="AD369" s="39" t="str">
        <f>IF(getCategoryLevelAsString($B369)="L0D_324785","",IF(K369="",CONCATENATE(";",EscStr(CONCATENATE("NavNode_",getCategoryLevelAsString($B369))),";",EscStr($J369),";"),CONCATENATE(";",EscStr(CONCATENATE("NavNode_",getCategoryLevelAsString($B369))),";",EscStr(K369),";")))</f>
        <v>;"NavNode_L3D_543022";"Skannere/stregkodeskannere/grafiske tablets";</v>
      </c>
      <c r="AE369" s="39" t="str">
        <f>IF(getCategoryLevelAsString($B369)="L0D_324785","",IF(L369="",CONCATENATE(";",EscStr(CONCATENATE("NavNode_",getCategoryLevelAsString($B369))),";",EscStr($J369),";"),CONCATENATE(";",EscStr(CONCATENATE("NavNode_",getCategoryLevelAsString($B369))),";",EscStr(L369),";")))</f>
        <v>;"NavNode_L3D_543022";"Skaitytuvai / brūkšninių kodų skaitytuvai / grafinės planšetės";</v>
      </c>
      <c r="AF369" s="39" t="str">
        <f>IF(getCategoryLevelAsString($B369)="L0D_324785","",IF(M369="",CONCATENATE(";",EscStr(CONCATENATE("NavNode_",getCategoryLevelAsString($B369))),";",EscStr($J369),";"),CONCATENATE(";",EscStr(CONCATENATE("NavNode_",getCategoryLevelAsString($B369))),";",EscStr(M369),";")))</f>
        <v>;"NavNode_L3D_543022";"Skannere/strekkodelesere/digitaliseringsbord";</v>
      </c>
      <c r="AG369" s="39" t="str">
        <f>IF(getCategoryLevelAsString($B369)="L0D_324785","",IF(N369="",CONCATENATE(";",EscStr(CONCATENATE("NavNode_",getCategoryLevelAsString($B369))),";",EscStr($J369),";"),CONCATENATE(";",EscStr(CONCATENATE("NavNode_",getCategoryLevelAsString($B369))),";",EscStr(N369),";")))</f>
        <v>;"NavNode_L3D_543022";"Skannrar/Streckkodsläsare/Ritplattor";</v>
      </c>
      <c r="AH369" s="39" t="str">
        <f>IF(getCategoryLevelAsString($B369)="L0D_324785","",IF(O369="",CONCATENATE(";",EscStr(CONCATENATE("NavNode_",getCategoryLevelAsString($B369))),";",EscStr($J369),";"),CONCATENATE(";",EscStr(CONCATENATE("NavNode_",getCategoryLevelAsString($B369))),";",EscStr(O369),";")))</f>
        <v>;"NavNode_L3D_543022";"Skannerid / Vöötkoodi skannerid / Graafilised tahvlid";</v>
      </c>
      <c r="AI369" s="39" t="str">
        <f>IF(getCategoryLevelAsString($B369)="L0D_324785","",IF(P369="",CONCATENATE(";",EscStr(CONCATENATE("NavNode_",getCategoryLevelAsString($B369))),";",EscStr($J369),";"),CONCATENATE(";",EscStr(CONCATENATE("NavNode_",getCategoryLevelAsString($B369))),";",EscStr(P369),";")))</f>
        <v>;"NavNode_L3D_543022";"Skannerit";</v>
      </c>
      <c r="AJ369" s="39" t="str">
        <f>IF(getCategoryLevelAsString($B369)="L0D_324785","",IF(Q369="",CONCATENATE(";",EscStr(CONCATENATE("NavNode_",getCategoryLevelAsString($B369))),";",EscStr($J369),";"),CONCATENATE(";",EscStr(CONCATENATE("NavNode_",getCategoryLevelAsString($B369))),";",EscStr(Q369),";")))</f>
        <v>;"NavNode_L3D_543022";"Skeneri / svītru kodu skeneri / grafiskās planšetes";</v>
      </c>
      <c r="AK369" s="39" t="str">
        <f>IF(getCategoryLevelAsString($B369)="L0D_324785","",IF(R369="",CONCATENATE(";",EscStr(CONCATENATE("NavNode_",getCategoryLevelAsString($B369))),";",EscStr($J369),";"),CONCATENATE(";",EscStr(CONCATENATE("NavNode_",getCategoryLevelAsString($B369))),";",EscStr(R369),";")))</f>
        <v>;"NavNode_L3D_543022";"Scanners / Barcode Scanners / Graphic tablets";</v>
      </c>
      <c r="AL369" s="39" t="str">
        <f>IF(getCategoryLevelAsString($B369)="L0D_324785","",IF(S369="",CONCATENATE(";",EscStr(CONCATENATE("NavNode_",getCategoryLevelAsString($B369))),";",EscStr($J369),";"),CONCATENATE(";",EscStr(CONCATENATE("NavNode_",getCategoryLevelAsString($B369))),";",EscStr(S369),";")))</f>
        <v>;"NavNode_L3D_543022";"Skanery / Skanery kodów kreskowych / Tablety graficzne";</v>
      </c>
      <c r="AM369" s="39" t="str">
        <f>IF(getCategoryLevelAsString($B369)="L0D_324785","",IF(T369="",CONCATENATE(";",EscStr(CONCATENATE("NavNode_",getCategoryLevelAsString($B369))),";",EscStr($J369),";"),CONCATENATE(";",EscStr(CONCATENATE("NavNode_",getCategoryLevelAsString($B369))),";",EscStr(T369),";")))</f>
        <v>;"NavNode_L3D_543022";"Сканеры / Сканеры штрих-кодов / Графические планшеты";</v>
      </c>
      <c r="AN369" s="39" t="str">
        <f>IF(getCategoryLevelAsString($B369)="L0D_324785","",IF(U369="",CONCATENATE(";",EscStr(CONCATENATE("NavNode_",getCategoryLevelAsString($B369))),";",EscStr($J369),";"),CONCATENATE(";",EscStr(CONCATENATE("NavNode_",getCategoryLevelAsString($B369))),";",EscStr(U369),";")))</f>
        <v>;"NavNode_L3D_543022";"Skenery / Čtečky dokumentů / Grafické Tablety";</v>
      </c>
      <c r="AO369" s="39" t="str">
        <f>IF(getCategoryLevelAsString($B369)="L0D_324785","",IF(V369="",CONCATENATE(";",EscStr(CONCATENATE("NavNode_",getCategoryLevelAsString($B369))),";",EscStr($J369),";"),CONCATENATE(";",EscStr(CONCATENATE("NavNode_",getCategoryLevelAsString($B369))),";",EscStr(V369),";")))</f>
        <v>;"NavNode_L3D_543022";"Scaner / documentului cititorul / Tabletă de schiţat";</v>
      </c>
      <c r="AP369" s="39" t="str">
        <f>IF(getCategoryLevelAsString($B369)="L0D_324785","",IF(W369="",CONCATENATE(";",EscStr(CONCATENATE("NavNode_",getCategoryLevelAsString($B369))),";",EscStr($J369),";"),CONCATENATE(";",EscStr(CONCATENATE("NavNode_",getCategoryLevelAsString($B369))),";",EscStr(W369),";")))</f>
        <v>;"NavNode_L3D_543022";"Scanner / Kódolvasó / Grafikus tábla";</v>
      </c>
      <c r="AQ369" s="39" t="str">
        <f>IF(getCategoryLevelAsString($B369)="L0D_324785","",IF(X369="",CONCATENATE(";",EscStr(CONCATENATE("NavNode_",getCategoryLevelAsString($B369))),";",EscStr($J369),";"),CONCATENATE(";",EscStr(CONCATENATE("NavNode_",getCategoryLevelAsString($B369))),";",EscStr(X369),";")))</f>
        <v>;"NavNode_L3D_543022";"Skenery / Čítačky dokumentov / Grafické Tablety";</v>
      </c>
      <c r="AR369" s="39" t="str">
        <f>IF(OR($A369&lt;&gt;"", $G369=""),"",CONCATENATE(";",EscStr(CONCATENATE("NavEntry_",getCategoryLevelAsString($B369))),";",EscStr(CONCATENATE($J369," Navigation Entry")),";",EscStr(CONCATENATE("cat-",getCategoryLevelAsString($B369))),";",EscStr(CONCATENATE("NavNode_",getCategoryLevelAsString($B369))),";"))</f>
        <v>;"NavEntry_L3D_543022";"Scanners / Barcode Scanners / Graphic tablets Navigation Entry";"cat-L3D_543022";"NavNode_L3D_543022";</v>
      </c>
    </row>
    <row r="370" spans="1:44" s="34" customFormat="1" ht="15" x14ac:dyDescent="0.25">
      <c r="A370" s="25"/>
      <c r="B370" s="5"/>
      <c r="C370" s="5"/>
      <c r="D370" s="5" t="s">
        <v>624</v>
      </c>
      <c r="E370" s="5"/>
      <c r="F370" s="5"/>
      <c r="G370" s="5" t="s">
        <v>1184</v>
      </c>
      <c r="H370" s="5" t="s">
        <v>762</v>
      </c>
      <c r="I370" s="5" t="s">
        <v>674</v>
      </c>
      <c r="J370" s="5" t="s">
        <v>863</v>
      </c>
      <c r="K370" s="5" t="s">
        <v>1394</v>
      </c>
      <c r="L370" s="5" t="s">
        <v>1630</v>
      </c>
      <c r="M370" s="5" t="s">
        <v>1832</v>
      </c>
      <c r="N370" s="5" t="s">
        <v>2049</v>
      </c>
      <c r="O370" s="5" t="s">
        <v>4302</v>
      </c>
      <c r="P370" s="5" t="s">
        <v>4303</v>
      </c>
      <c r="Q370" s="5" t="s">
        <v>4304</v>
      </c>
      <c r="R370" s="5" t="s">
        <v>4305</v>
      </c>
      <c r="S370" s="5" t="s">
        <v>4306</v>
      </c>
      <c r="T370" s="5" t="s">
        <v>4307</v>
      </c>
      <c r="U370" s="5" t="s">
        <v>4308</v>
      </c>
      <c r="V370" s="5" t="s">
        <v>4309</v>
      </c>
      <c r="W370" s="5" t="s">
        <v>4310</v>
      </c>
      <c r="X370" s="5" t="s">
        <v>4308</v>
      </c>
      <c r="Y370" s="39" t="str">
        <f>IF(OR($A370&lt;&gt;"", $G370=""),"",CONCATENATE(";",EscStr(CONCATENATE("NavNode_",getCategoryLevelAsString($B370))),";",EscStr($J370),";",IF($B370&lt;&gt;"","""MainCategoryNavNode""",EscStr(CONCATENATE("NavNode_",getSuperCategory($B370, getCategoryLevelAsNumber($B370))))),";"))</f>
        <v>;"NavNode_L3D_543340";"PC Speakers / Webcams";"NavNode_L2D_542978";</v>
      </c>
      <c r="Z370" s="39" t="str">
        <f>IF(getCategoryLevelAsString($B370)="L0D_324785","",IF(G370="",CONCATENATE(";",EscStr(CONCATENATE("NavNode_",getCategoryLevelAsString($B370))),";",EscStr($J370),";"),CONCATENATE(";",EscStr(CONCATENATE("NavNode_",getCategoryLevelAsString($B370))),";",EscStr(G370),";")))</f>
        <v>;"NavNode_L3D_543340";"PC-Lautsprecher / Webcams";</v>
      </c>
      <c r="AA370" s="39" t="str">
        <f>IF(getCategoryLevelAsString($B370)="L0D_324785","",IF(H370="",CONCATENATE(";",EscStr(CONCATENATE("NavNode_",getCategoryLevelAsString($B370))),";",EscStr($J370),";"),CONCATENATE(";",EscStr(CONCATENATE("NavNode_",getCategoryLevelAsString($B370))),";",EscStr(H370),";")))</f>
        <v>;"NavNode_L3D_543340";"Haut-parleurs pour PC / Webcams";</v>
      </c>
      <c r="AB370" s="39" t="str">
        <f>IF(getCategoryLevelAsString($B370)="L0D_324785","",IF(I370="",CONCATENATE(";",EscStr(CONCATENATE("NavNode_",getCategoryLevelAsString($B370))),";",EscStr($J370),";"),CONCATENATE(";",EscStr(CONCATENATE("NavNode_",getCategoryLevelAsString($B370))),";",EscStr(I370),";")))</f>
        <v>;"NavNode_L3D_543340";"Altoparlanti per PC / Webcam";</v>
      </c>
      <c r="AC370" s="39" t="str">
        <f>IF(getCategoryLevelAsString($B370)="L0D_324785","",IF(J370="",CONCATENATE(";",EscStr(CONCATENATE("NavNode_",getCategoryLevelAsString($B370))),";",EscStr($J370),";"),CONCATENATE(";",EscStr(CONCATENATE("NavNode_",getCategoryLevelAsString($B370))),";",EscStr(J370),";")))</f>
        <v>;"NavNode_L3D_543340";"PC Speakers / Webcams";</v>
      </c>
      <c r="AD370" s="39" t="str">
        <f>IF(getCategoryLevelAsString($B370)="L0D_324785","",IF(K370="",CONCATENATE(";",EscStr(CONCATENATE("NavNode_",getCategoryLevelAsString($B370))),";",EscStr($J370),";"),CONCATENATE(";",EscStr(CONCATENATE("NavNode_",getCategoryLevelAsString($B370))),";",EscStr(K370),";")))</f>
        <v>;"NavNode_L3D_543340";"Pc-højtalere/web-kameraer";</v>
      </c>
      <c r="AE370" s="39" t="str">
        <f>IF(getCategoryLevelAsString($B370)="L0D_324785","",IF(L370="",CONCATENATE(";",EscStr(CONCATENATE("NavNode_",getCategoryLevelAsString($B370))),";",EscStr($J370),";"),CONCATENATE(";",EscStr(CONCATENATE("NavNode_",getCategoryLevelAsString($B370))),";",EscStr(L370),";")))</f>
        <v>;"NavNode_L3D_543340";"PC garsiakalbiai / interneto kameros";</v>
      </c>
      <c r="AF370" s="39" t="str">
        <f>IF(getCategoryLevelAsString($B370)="L0D_324785","",IF(M370="",CONCATENATE(";",EscStr(CONCATENATE("NavNode_",getCategoryLevelAsString($B370))),";",EscStr($J370),";"),CONCATENATE(";",EscStr(CONCATENATE("NavNode_",getCategoryLevelAsString($B370))),";",EscStr(M370),";")))</f>
        <v>;"NavNode_L3D_543340";"PC-høytalere/webkamera";</v>
      </c>
      <c r="AG370" s="39" t="str">
        <f>IF(getCategoryLevelAsString($B370)="L0D_324785","",IF(N370="",CONCATENATE(";",EscStr(CONCATENATE("NavNode_",getCategoryLevelAsString($B370))),";",EscStr($J370),";"),CONCATENATE(";",EscStr(CONCATENATE("NavNode_",getCategoryLevelAsString($B370))),";",EscStr(N370),";")))</f>
        <v>;"NavNode_L3D_543340";"Datorhögtalare/Webbkameror";</v>
      </c>
      <c r="AH370" s="39" t="str">
        <f>IF(getCategoryLevelAsString($B370)="L0D_324785","",IF(O370="",CONCATENATE(";",EscStr(CONCATENATE("NavNode_",getCategoryLevelAsString($B370))),";",EscStr($J370),";"),CONCATENATE(";",EscStr(CONCATENATE("NavNode_",getCategoryLevelAsString($B370))),";",EscStr(O370),";")))</f>
        <v>;"NavNode_L3D_543340";"Arvutikõlarid / Veebikaamerad";</v>
      </c>
      <c r="AI370" s="39" t="str">
        <f>IF(getCategoryLevelAsString($B370)="L0D_324785","",IF(P370="",CONCATENATE(";",EscStr(CONCATENATE("NavNode_",getCategoryLevelAsString($B370))),";",EscStr($J370),";"),CONCATENATE(";",EscStr(CONCATENATE("NavNode_",getCategoryLevelAsString($B370))),";",EscStr(P370),";")))</f>
        <v>;"NavNode_L3D_543340";"PC-kaiuttimet";</v>
      </c>
      <c r="AJ370" s="39" t="str">
        <f>IF(getCategoryLevelAsString($B370)="L0D_324785","",IF(Q370="",CONCATENATE(";",EscStr(CONCATENATE("NavNode_",getCategoryLevelAsString($B370))),";",EscStr($J370),";"),CONCATENATE(";",EscStr(CONCATENATE("NavNode_",getCategoryLevelAsString($B370))),";",EscStr(Q370),";")))</f>
        <v>;"NavNode_L3D_543340";"Datoru skaļruņi / web-kameras";</v>
      </c>
      <c r="AK370" s="39" t="str">
        <f>IF(getCategoryLevelAsString($B370)="L0D_324785","",IF(R370="",CONCATENATE(";",EscStr(CONCATENATE("NavNode_",getCategoryLevelAsString($B370))),";",EscStr($J370),";"),CONCATENATE(";",EscStr(CONCATENATE("NavNode_",getCategoryLevelAsString($B370))),";",EscStr(R370),";")))</f>
        <v>;"NavNode_L3D_543340";"PC luisprekers / Webcams";</v>
      </c>
      <c r="AL370" s="39" t="str">
        <f>IF(getCategoryLevelAsString($B370)="L0D_324785","",IF(S370="",CONCATENATE(";",EscStr(CONCATENATE("NavNode_",getCategoryLevelAsString($B370))),";",EscStr($J370),";"),CONCATENATE(";",EscStr(CONCATENATE("NavNode_",getCategoryLevelAsString($B370))),";",EscStr(S370),";")))</f>
        <v>;"NavNode_L3D_543340";"Głośniki do PC / Kamerki internetowe";</v>
      </c>
      <c r="AM370" s="39" t="str">
        <f>IF(getCategoryLevelAsString($B370)="L0D_324785","",IF(T370="",CONCATENATE(";",EscStr(CONCATENATE("NavNode_",getCategoryLevelAsString($B370))),";",EscStr($J370),";"),CONCATENATE(";",EscStr(CONCATENATE("NavNode_",getCategoryLevelAsString($B370))),";",EscStr(T370),";")))</f>
        <v>;"NavNode_L3D_543340";"Колонки / Веб-камеры";</v>
      </c>
      <c r="AN370" s="39" t="str">
        <f>IF(getCategoryLevelAsString($B370)="L0D_324785","",IF(U370="",CONCATENATE(";",EscStr(CONCATENATE("NavNode_",getCategoryLevelAsString($B370))),";",EscStr($J370),";"),CONCATENATE(";",EscStr(CONCATENATE("NavNode_",getCategoryLevelAsString($B370))),";",EscStr(U370),";")))</f>
        <v>;"NavNode_L3D_543340";"PC reproduktor / Webkamery";</v>
      </c>
      <c r="AO370" s="39" t="str">
        <f>IF(getCategoryLevelAsString($B370)="L0D_324785","",IF(V370="",CONCATENATE(";",EscStr(CONCATENATE("NavNode_",getCategoryLevelAsString($B370))),";",EscStr($J370),";"),CONCATENATE(";",EscStr(CONCATENATE("NavNode_",getCategoryLevelAsString($B370))),";",EscStr(V370),";")))</f>
        <v>;"NavNode_L3D_543340";"Difuzoare pentru PC / camere web";</v>
      </c>
      <c r="AP370" s="39" t="str">
        <f>IF(getCategoryLevelAsString($B370)="L0D_324785","",IF(W370="",CONCATENATE(";",EscStr(CONCATENATE("NavNode_",getCategoryLevelAsString($B370))),";",EscStr($J370),";"),CONCATENATE(";",EscStr(CONCATENATE("NavNode_",getCategoryLevelAsString($B370))),";",EscStr(W370),";")))</f>
        <v>;"NavNode_L3D_543340";"PC-hangszóró / Webkamera";</v>
      </c>
      <c r="AQ370" s="39" t="str">
        <f>IF(getCategoryLevelAsString($B370)="L0D_324785","",IF(X370="",CONCATENATE(";",EscStr(CONCATENATE("NavNode_",getCategoryLevelAsString($B370))),";",EscStr($J370),";"),CONCATENATE(";",EscStr(CONCATENATE("NavNode_",getCategoryLevelAsString($B370))),";",EscStr(X370),";")))</f>
        <v>;"NavNode_L3D_543340";"PC reproduktor / Webkamery";</v>
      </c>
      <c r="AR370" s="39" t="str">
        <f>IF(OR($A370&lt;&gt;"", $G370=""),"",CONCATENATE(";",EscStr(CONCATENATE("NavEntry_",getCategoryLevelAsString($B370))),";",EscStr(CONCATENATE($J370," Navigation Entry")),";",EscStr(CONCATENATE("cat-",getCategoryLevelAsString($B370))),";",EscStr(CONCATENATE("NavNode_",getCategoryLevelAsString($B370))),";"))</f>
        <v>;"NavEntry_L3D_543340";"PC Speakers / Webcams Navigation Entry";"cat-L3D_543340";"NavNode_L3D_543340";</v>
      </c>
    </row>
    <row r="371" spans="1:44" s="34" customFormat="1" ht="15" x14ac:dyDescent="0.25">
      <c r="A371" s="25"/>
      <c r="B371" s="5"/>
      <c r="C371" s="5" t="s">
        <v>593</v>
      </c>
      <c r="D371" s="5"/>
      <c r="E371" s="5"/>
      <c r="F371" s="5"/>
      <c r="G371" s="5" t="s">
        <v>1023</v>
      </c>
      <c r="H371" s="5" t="s">
        <v>785</v>
      </c>
      <c r="I371" s="5" t="s">
        <v>651</v>
      </c>
      <c r="J371" s="5" t="s">
        <v>887</v>
      </c>
      <c r="K371" s="5" t="s">
        <v>2167</v>
      </c>
      <c r="L371" s="5" t="s">
        <v>15247</v>
      </c>
      <c r="M371" s="5" t="s">
        <v>1855</v>
      </c>
      <c r="N371" s="5" t="s">
        <v>2073</v>
      </c>
      <c r="O371" s="5" t="s">
        <v>4510</v>
      </c>
      <c r="P371" s="5" t="s">
        <v>4511</v>
      </c>
      <c r="Q371" s="5" t="s">
        <v>4512</v>
      </c>
      <c r="R371" s="5" t="s">
        <v>4513</v>
      </c>
      <c r="S371" s="5" t="s">
        <v>4514</v>
      </c>
      <c r="T371" s="5" t="s">
        <v>4515</v>
      </c>
      <c r="U371" s="5" t="s">
        <v>4516</v>
      </c>
      <c r="V371" s="5" t="s">
        <v>4517</v>
      </c>
      <c r="W371" s="5" t="s">
        <v>4518</v>
      </c>
      <c r="X371" s="5" t="s">
        <v>15051</v>
      </c>
      <c r="Y371" s="39" t="str">
        <f>IF(OR($A371&lt;&gt;"", $G371=""),"",CONCATENATE(";",EscStr(CONCATENATE("NavNode_",getCategoryLevelAsString($B371))),";",EscStr($J371),";",IF($B371&lt;&gt;"","""MainCategoryNavNode""",EscStr(CONCATENATE("NavNode_",getSuperCategory($B371, getCategoryLevelAsNumber($B371))))),";"))</f>
        <v>;"NavNode_L3D_542723";"Battery Chargers / Power Adapters";"NavNode_Computing / Office";</v>
      </c>
      <c r="Z371" s="39" t="str">
        <f>IF(getCategoryLevelAsString($B371)="L0D_324785","",IF(G371="",CONCATENATE(";",EscStr(CONCATENATE("NavNode_",getCategoryLevelAsString($B371))),";",EscStr($J371),";"),CONCATENATE(";",EscStr(CONCATENATE("NavNode_",getCategoryLevelAsString($B371))),";",EscStr(G371),";")))</f>
        <v>;"NavNode_L3D_542723";"Ladegeräte / Steckernetzteile";</v>
      </c>
      <c r="AA371" s="39" t="str">
        <f>IF(getCategoryLevelAsString($B371)="L0D_324785","",IF(H371="",CONCATENATE(";",EscStr(CONCATENATE("NavNode_",getCategoryLevelAsString($B371))),";",EscStr($J371),";"),CONCATENATE(";",EscStr(CONCATENATE("NavNode_",getCategoryLevelAsString($B371))),";",EscStr(H371),";")))</f>
        <v>;"NavNode_L3D_542723";"Chargeurs de batterie / Adaptateurs d'alimentation";</v>
      </c>
      <c r="AB371" s="39" t="str">
        <f>IF(getCategoryLevelAsString($B371)="L0D_324785","",IF(I371="",CONCATENATE(";",EscStr(CONCATENATE("NavNode_",getCategoryLevelAsString($B371))),";",EscStr($J371),";"),CONCATENATE(";",EscStr(CONCATENATE("NavNode_",getCategoryLevelAsString($B371))),";",EscStr(I371),";")))</f>
        <v>;"NavNode_L3D_542723";"Caricabatteria / adattatori di alimentazione";</v>
      </c>
      <c r="AC371" s="39" t="str">
        <f>IF(getCategoryLevelAsString($B371)="L0D_324785","",IF(J371="",CONCATENATE(";",EscStr(CONCATENATE("NavNode_",getCategoryLevelAsString($B371))),";",EscStr($J371),";"),CONCATENATE(";",EscStr(CONCATENATE("NavNode_",getCategoryLevelAsString($B371))),";",EscStr(J371),";")))</f>
        <v>;"NavNode_L3D_542723";"Battery Chargers / Power Adapters";</v>
      </c>
      <c r="AD371" s="39" t="str">
        <f>IF(getCategoryLevelAsString($B371)="L0D_324785","",IF(K371="",CONCATENATE(";",EscStr(CONCATENATE("NavNode_",getCategoryLevelAsString($B371))),";",EscStr($J371),";"),CONCATENATE(";",EscStr(CONCATENATE("NavNode_",getCategoryLevelAsString($B371))),";",EscStr(K371),";")))</f>
        <v>;"NavNode_L3D_542723";"Batteriopladere/strømadaptere";</v>
      </c>
      <c r="AE371" s="39" t="str">
        <f>IF(getCategoryLevelAsString($B371)="L0D_324785","",IF(L371="",CONCATENATE(";",EscStr(CONCATENATE("NavNode_",getCategoryLevelAsString($B371))),";",EscStr($J371),";"),CONCATENATE(";",EscStr(CONCATENATE("NavNode_",getCategoryLevelAsString($B371))),";",EscStr(L371),";")))</f>
        <v>;"NavNode_L3D_542723";"Baterijų įkrovikliai / Maitinimo adapteriai";</v>
      </c>
      <c r="AF371" s="39" t="str">
        <f>IF(getCategoryLevelAsString($B371)="L0D_324785","",IF(M371="",CONCATENATE(";",EscStr(CONCATENATE("NavNode_",getCategoryLevelAsString($B371))),";",EscStr($J371),";"),CONCATENATE(";",EscStr(CONCATENATE("NavNode_",getCategoryLevelAsString($B371))),";",EscStr(M371),";")))</f>
        <v>;"NavNode_L3D_542723";"Batteriladere/strømadaptere";</v>
      </c>
      <c r="AG371" s="39" t="str">
        <f>IF(getCategoryLevelAsString($B371)="L0D_324785","",IF(N371="",CONCATENATE(";",EscStr(CONCATENATE("NavNode_",getCategoryLevelAsString($B371))),";",EscStr($J371),";"),CONCATENATE(";",EscStr(CONCATENATE("NavNode_",getCategoryLevelAsString($B371))),";",EscStr(N371),";")))</f>
        <v>;"NavNode_L3D_542723";"Batteriladdare/Strömadaptrar";</v>
      </c>
      <c r="AH371" s="39" t="str">
        <f>IF(getCategoryLevelAsString($B371)="L0D_324785","",IF(O371="",CONCATENATE(";",EscStr(CONCATENATE("NavNode_",getCategoryLevelAsString($B371))),";",EscStr($J371),";"),CONCATENATE(";",EscStr(CONCATENATE("NavNode_",getCategoryLevelAsString($B371))),";",EscStr(O371),";")))</f>
        <v>;"NavNode_L3D_542723";"Akulaadijad / Toiteadapterid";</v>
      </c>
      <c r="AI371" s="39" t="str">
        <f>IF(getCategoryLevelAsString($B371)="L0D_324785","",IF(P371="",CONCATENATE(";",EscStr(CONCATENATE("NavNode_",getCategoryLevelAsString($B371))),";",EscStr($J371),";"),CONCATENATE(";",EscStr(CONCATENATE("NavNode_",getCategoryLevelAsString($B371))),";",EscStr(P371),";")))</f>
        <v>;"NavNode_L3D_542723";"Akkulaturit";</v>
      </c>
      <c r="AJ371" s="39" t="str">
        <f>IF(getCategoryLevelAsString($B371)="L0D_324785","",IF(Q371="",CONCATENATE(";",EscStr(CONCATENATE("NavNode_",getCategoryLevelAsString($B371))),";",EscStr($J371),";"),CONCATENATE(";",EscStr(CONCATENATE("NavNode_",getCategoryLevelAsString($B371))),";",EscStr(Q371),";")))</f>
        <v>;"NavNode_L3D_542723";"Akumulatoru lādētāji / Tīkla adapteri";</v>
      </c>
      <c r="AK371" s="39" t="str">
        <f>IF(getCategoryLevelAsString($B371)="L0D_324785","",IF(R371="",CONCATENATE(";",EscStr(CONCATENATE("NavNode_",getCategoryLevelAsString($B371))),";",EscStr($J371),";"),CONCATENATE(";",EscStr(CONCATENATE("NavNode_",getCategoryLevelAsString($B371))),";",EscStr(R371),";")))</f>
        <v>;"NavNode_L3D_542723";"Batterijladers / Voedingsadapters";</v>
      </c>
      <c r="AL371" s="39" t="str">
        <f>IF(getCategoryLevelAsString($B371)="L0D_324785","",IF(S371="",CONCATENATE(";",EscStr(CONCATENATE("NavNode_",getCategoryLevelAsString($B371))),";",EscStr($J371),";"),CONCATENATE(";",EscStr(CONCATENATE("NavNode_",getCategoryLevelAsString($B371))),";",EscStr(S371),";")))</f>
        <v>;"NavNode_L3D_542723";"Ładowarki / Adaptery";</v>
      </c>
      <c r="AM371" s="39" t="str">
        <f>IF(getCategoryLevelAsString($B371)="L0D_324785","",IF(T371="",CONCATENATE(";",EscStr(CONCATENATE("NavNode_",getCategoryLevelAsString($B371))),";",EscStr($J371),";"),CONCATENATE(";",EscStr(CONCATENATE("NavNode_",getCategoryLevelAsString($B371))),";",EscStr(T371),";")))</f>
        <v>;"NavNode_L3D_542723";"Зарядные устройства / Адаптеры питания";</v>
      </c>
      <c r="AN371" s="39" t="str">
        <f>IF(getCategoryLevelAsString($B371)="L0D_324785","",IF(U371="",CONCATENATE(";",EscStr(CONCATENATE("NavNode_",getCategoryLevelAsString($B371))),";",EscStr($J371),";"),CONCATENATE(";",EscStr(CONCATENATE("NavNode_",getCategoryLevelAsString($B371))),";",EscStr(U371),";")))</f>
        <v>;"NavNode_L3D_542723";"Nabíječky / Adaptéry";</v>
      </c>
      <c r="AO371" s="39" t="str">
        <f>IF(getCategoryLevelAsString($B371)="L0D_324785","",IF(V371="",CONCATENATE(";",EscStr(CONCATENATE("NavNode_",getCategoryLevelAsString($B371))),";",EscStr($J371),";"),CONCATENATE(";",EscStr(CONCATENATE("NavNode_",getCategoryLevelAsString($B371))),";",EscStr(V371),";")))</f>
        <v>;"NavNode_L3D_542723";"Încărcătoare / alimentatoare";</v>
      </c>
      <c r="AP371" s="39" t="str">
        <f>IF(getCategoryLevelAsString($B371)="L0D_324785","",IF(W371="",CONCATENATE(";",EscStr(CONCATENATE("NavNode_",getCategoryLevelAsString($B371))),";",EscStr($J371),";"),CONCATENATE(";",EscStr(CONCATENATE("NavNode_",getCategoryLevelAsString($B371))),";",EscStr(W371),";")))</f>
        <v>;"NavNode_L3D_542723";"Töltők / tápegységek";</v>
      </c>
      <c r="AQ371" s="39" t="str">
        <f>IF(getCategoryLevelAsString($B371)="L0D_324785","",IF(X371="",CONCATENATE(";",EscStr(CONCATENATE("NavNode_",getCategoryLevelAsString($B371))),";",EscStr($J371),";"),CONCATENATE(";",EscStr(CONCATENATE("NavNode_",getCategoryLevelAsString($B371))),";",EscStr(X371),";")))</f>
        <v>;"NavNode_L3D_542723";"Nabíjačky / Adaptéry";</v>
      </c>
      <c r="AR371" s="39" t="str">
        <f>IF(OR($A371&lt;&gt;"", $G371=""),"",CONCATENATE(";",EscStr(CONCATENATE("NavEntry_",getCategoryLevelAsString($B371))),";",EscStr(CONCATENATE($J371," Navigation Entry")),";",EscStr(CONCATENATE("cat-",getCategoryLevelAsString($B371))),";",EscStr(CONCATENATE("NavNode_",getCategoryLevelAsString($B371))),";"))</f>
        <v>;"NavEntry_L3D_542723";"Battery Chargers / Power Adapters Navigation Entry";"cat-L3D_542723";"NavNode_L3D_542723";</v>
      </c>
    </row>
    <row r="372" spans="1:44" s="34" customFormat="1" ht="15" x14ac:dyDescent="0.25">
      <c r="A372" s="25"/>
      <c r="B372" s="5"/>
      <c r="C372" s="5" t="s">
        <v>594</v>
      </c>
      <c r="D372" s="5"/>
      <c r="E372" s="5"/>
      <c r="F372" s="5"/>
      <c r="G372" s="5" t="s">
        <v>944</v>
      </c>
      <c r="H372" s="5" t="s">
        <v>454</v>
      </c>
      <c r="I372" s="5" t="s">
        <v>652</v>
      </c>
      <c r="J372" s="5" t="s">
        <v>902</v>
      </c>
      <c r="K372" s="5" t="s">
        <v>1432</v>
      </c>
      <c r="L372" s="5" t="s">
        <v>15248</v>
      </c>
      <c r="M372" s="5" t="s">
        <v>1872</v>
      </c>
      <c r="N372" s="5" t="s">
        <v>2090</v>
      </c>
      <c r="O372" s="5" t="s">
        <v>4667</v>
      </c>
      <c r="P372" s="5" t="s">
        <v>4668</v>
      </c>
      <c r="Q372" s="5" t="s">
        <v>4669</v>
      </c>
      <c r="R372" s="5" t="s">
        <v>4670</v>
      </c>
      <c r="S372" s="5" t="s">
        <v>4671</v>
      </c>
      <c r="T372" s="5" t="s">
        <v>4672</v>
      </c>
      <c r="U372" s="5" t="s">
        <v>4673</v>
      </c>
      <c r="V372" s="5" t="s">
        <v>4674</v>
      </c>
      <c r="W372" s="5" t="s">
        <v>4675</v>
      </c>
      <c r="X372" s="5" t="s">
        <v>15052</v>
      </c>
      <c r="Y372" s="39" t="str">
        <f>IF(OR($A372&lt;&gt;"", $G372=""),"",CONCATENATE(";",EscStr(CONCATENATE("NavNode_",getCategoryLevelAsString($B372))),";",EscStr($J372),";",IF($B372&lt;&gt;"","""MainCategoryNavNode""",EscStr(CONCATENATE("NavNode_",getSuperCategory($B372, getCategoryLevelAsNumber($B372))))),";"))</f>
        <v>;"NavNode_L2D_542669";"Leisure &amp; Hobby";"NavNode_Computing / Office";</v>
      </c>
      <c r="Z372" s="39" t="str">
        <f>IF(getCategoryLevelAsString($B372)="L0D_324785","",IF(G372="",CONCATENATE(";",EscStr(CONCATENATE("NavNode_",getCategoryLevelAsString($B372))),";",EscStr($J372),";"),CONCATENATE(";",EscStr(CONCATENATE("NavNode_",getCategoryLevelAsString($B372))),";",EscStr(G372),";")))</f>
        <v>;"NavNode_L2D_542669";"Freizeit und Hobby";</v>
      </c>
      <c r="AA372" s="39" t="str">
        <f>IF(getCategoryLevelAsString($B372)="L0D_324785","",IF(H372="",CONCATENATE(";",EscStr(CONCATENATE("NavNode_",getCategoryLevelAsString($B372))),";",EscStr($J372),";"),CONCATENATE(";",EscStr(CONCATENATE("NavNode_",getCategoryLevelAsString($B372))),";",EscStr(H372),";")))</f>
        <v>;"NavNode_L2D_542669";"Loisirs";</v>
      </c>
      <c r="AB372" s="39" t="str">
        <f>IF(getCategoryLevelAsString($B372)="L0D_324785","",IF(I372="",CONCATENATE(";",EscStr(CONCATENATE("NavNode_",getCategoryLevelAsString($B372))),";",EscStr($J372),";"),CONCATENATE(";",EscStr(CONCATENATE("NavNode_",getCategoryLevelAsString($B372))),";",EscStr(I372),";")))</f>
        <v>;"NavNode_L2D_542669";"Tempo libero e hobby";</v>
      </c>
      <c r="AC372" s="39" t="str">
        <f>IF(getCategoryLevelAsString($B372)="L0D_324785","",IF(J372="",CONCATENATE(";",EscStr(CONCATENATE("NavNode_",getCategoryLevelAsString($B372))),";",EscStr($J372),";"),CONCATENATE(";",EscStr(CONCATENATE("NavNode_",getCategoryLevelAsString($B372))),";",EscStr(J372),";")))</f>
        <v>;"NavNode_L2D_542669";"Leisure &amp; Hobby";</v>
      </c>
      <c r="AD372" s="39" t="str">
        <f>IF(getCategoryLevelAsString($B372)="L0D_324785","",IF(K372="",CONCATENATE(";",EscStr(CONCATENATE("NavNode_",getCategoryLevelAsString($B372))),";",EscStr($J372),";"),CONCATENATE(";",EscStr(CONCATENATE("NavNode_",getCategoryLevelAsString($B372))),";",EscStr(K372),";")))</f>
        <v>;"NavNode_L2D_542669";"Fritid &amp; Hobby";</v>
      </c>
      <c r="AE372" s="39" t="str">
        <f>IF(getCategoryLevelAsString($B372)="L0D_324785","",IF(L372="",CONCATENATE(";",EscStr(CONCATENATE("NavNode_",getCategoryLevelAsString($B372))),";",EscStr($J372),";"),CONCATENATE(";",EscStr(CONCATENATE("NavNode_",getCategoryLevelAsString($B372))),";",EscStr(L372),";")))</f>
        <v>;"NavNode_L2D_542669";"Hobis ir laisvalaikis";</v>
      </c>
      <c r="AF372" s="39" t="str">
        <f>IF(getCategoryLevelAsString($B372)="L0D_324785","",IF(M372="",CONCATENATE(";",EscStr(CONCATENATE("NavNode_",getCategoryLevelAsString($B372))),";",EscStr($J372),";"),CONCATENATE(";",EscStr(CONCATENATE("NavNode_",getCategoryLevelAsString($B372))),";",EscStr(M372),";")))</f>
        <v>;"NavNode_L2D_542669";"Fritid og hobby";</v>
      </c>
      <c r="AG372" s="39" t="str">
        <f>IF(getCategoryLevelAsString($B372)="L0D_324785","",IF(N372="",CONCATENATE(";",EscStr(CONCATENATE("NavNode_",getCategoryLevelAsString($B372))),";",EscStr($J372),";"),CONCATENATE(";",EscStr(CONCATENATE("NavNode_",getCategoryLevelAsString($B372))),";",EscStr(N372),";")))</f>
        <v>;"NavNode_L2D_542669";"Fritid och hobby";</v>
      </c>
      <c r="AH372" s="39" t="str">
        <f>IF(getCategoryLevelAsString($B372)="L0D_324785","",IF(O372="",CONCATENATE(";",EscStr(CONCATENATE("NavNode_",getCategoryLevelAsString($B372))),";",EscStr($J372),";"),CONCATENATE(";",EscStr(CONCATENATE("NavNode_",getCategoryLevelAsString($B372))),";",EscStr(O372),";")))</f>
        <v>;"NavNode_L2D_542669";"Vaba aeg ja hobid";</v>
      </c>
      <c r="AI372" s="39" t="str">
        <f>IF(getCategoryLevelAsString($B372)="L0D_324785","",IF(P372="",CONCATENATE(";",EscStr(CONCATENATE("NavNode_",getCategoryLevelAsString($B372))),";",EscStr($J372),";"),CONCATENATE(";",EscStr(CONCATENATE("NavNode_",getCategoryLevelAsString($B372))),";",EscStr(P372),";")))</f>
        <v>;"NavNode_L2D_542669";"Harrastukset";</v>
      </c>
      <c r="AJ372" s="39" t="str">
        <f>IF(getCategoryLevelAsString($B372)="L0D_324785","",IF(Q372="",CONCATENATE(";",EscStr(CONCATENATE("NavNode_",getCategoryLevelAsString($B372))),";",EscStr($J372),";"),CONCATENATE(";",EscStr(CONCATENATE("NavNode_",getCategoryLevelAsString($B372))),";",EscStr(Q372),";")))</f>
        <v>;"NavNode_L2D_542669";"Atpūta un hobiji";</v>
      </c>
      <c r="AK372" s="39" t="str">
        <f>IF(getCategoryLevelAsString($B372)="L0D_324785","",IF(R372="",CONCATENATE(";",EscStr(CONCATENATE("NavNode_",getCategoryLevelAsString($B372))),";",EscStr($J372),";"),CONCATENATE(";",EscStr(CONCATENATE("NavNode_",getCategoryLevelAsString($B372))),";",EscStr(R372),";")))</f>
        <v>;"NavNode_L2D_542669";"Vrije tijd &amp; Hobby";</v>
      </c>
      <c r="AL372" s="39" t="str">
        <f>IF(getCategoryLevelAsString($B372)="L0D_324785","",IF(S372="",CONCATENATE(";",EscStr(CONCATENATE("NavNode_",getCategoryLevelAsString($B372))),";",EscStr($J372),";"),CONCATENATE(";",EscStr(CONCATENATE("NavNode_",getCategoryLevelAsString($B372))),";",EscStr(S372),";")))</f>
        <v>;"NavNode_L2D_542669";"Wypoczynek &amp; Hobby";</v>
      </c>
      <c r="AM372" s="39" t="str">
        <f>IF(getCategoryLevelAsString($B372)="L0D_324785","",IF(T372="",CONCATENATE(";",EscStr(CONCATENATE("NavNode_",getCategoryLevelAsString($B372))),";",EscStr($J372),";"),CONCATENATE(";",EscStr(CONCATENATE("NavNode_",getCategoryLevelAsString($B372))),";",EscStr(T372),";")))</f>
        <v>;"NavNode_L2D_542669";"Досуг &amp; Хобби";</v>
      </c>
      <c r="AN372" s="39" t="str">
        <f>IF(getCategoryLevelAsString($B372)="L0D_324785","",IF(U372="",CONCATENATE(";",EscStr(CONCATENATE("NavNode_",getCategoryLevelAsString($B372))),";",EscStr($J372),";"),CONCATENATE(";",EscStr(CONCATENATE("NavNode_",getCategoryLevelAsString($B372))),";",EscStr(U372),";")))</f>
        <v>;"NavNode_L2D_542669";"Volný čas a hobby";</v>
      </c>
      <c r="AO372" s="39" t="str">
        <f>IF(getCategoryLevelAsString($B372)="L0D_324785","",IF(V372="",CONCATENATE(";",EscStr(CONCATENATE("NavNode_",getCategoryLevelAsString($B372))),";",EscStr($J372),";"),CONCATENATE(";",EscStr(CONCATENATE("NavNode_",getCategoryLevelAsString($B372))),";",EscStr(V372),";")))</f>
        <v>;"NavNode_L2D_542669";"Hobby-uri şi de agrement";</v>
      </c>
      <c r="AP372" s="39" t="str">
        <f>IF(getCategoryLevelAsString($B372)="L0D_324785","",IF(W372="",CONCATENATE(";",EscStr(CONCATENATE("NavNode_",getCategoryLevelAsString($B372))),";",EscStr($J372),";"),CONCATENATE(";",EscStr(CONCATENATE("NavNode_",getCategoryLevelAsString($B372))),";",EscStr(W372),";")))</f>
        <v>;"NavNode_L2D_542669";"Szabadidő és hobby";</v>
      </c>
      <c r="AQ372" s="39" t="str">
        <f>IF(getCategoryLevelAsString($B372)="L0D_324785","",IF(X372="",CONCATENATE(";",EscStr(CONCATENATE("NavNode_",getCategoryLevelAsString($B372))),";",EscStr($J372),";"),CONCATENATE(";",EscStr(CONCATENATE("NavNode_",getCategoryLevelAsString($B372))),";",EscStr(X372),";")))</f>
        <v>;"NavNode_L2D_542669";"Voľný čas a hobby";</v>
      </c>
      <c r="AR372" s="39" t="str">
        <f>IF(OR($A372&lt;&gt;"", $G372=""),"",CONCATENATE(";",EscStr(CONCATENATE("NavEntry_",getCategoryLevelAsString($B372))),";",EscStr(CONCATENATE($J372," Navigation Entry")),";",EscStr(CONCATENATE("cat-",getCategoryLevelAsString($B372))),";",EscStr(CONCATENATE("NavNode_",getCategoryLevelAsString($B372))),";"))</f>
        <v>;"NavEntry_L2D_542669";"Leisure &amp; Hobby Navigation Entry";"cat-L2D_542669";"NavNode_L2D_542669";</v>
      </c>
    </row>
    <row r="373" spans="1:44" s="34" customFormat="1" ht="15" x14ac:dyDescent="0.25">
      <c r="A373" s="25"/>
      <c r="B373" s="5"/>
      <c r="C373" s="5"/>
      <c r="D373" s="5" t="s">
        <v>803</v>
      </c>
      <c r="E373" s="5"/>
      <c r="F373" s="5"/>
      <c r="G373" s="5" t="s">
        <v>1036</v>
      </c>
      <c r="H373" s="5" t="s">
        <v>1100</v>
      </c>
      <c r="I373" s="5" t="s">
        <v>1159</v>
      </c>
      <c r="J373" s="5" t="s">
        <v>903</v>
      </c>
      <c r="K373" s="5" t="s">
        <v>1434</v>
      </c>
      <c r="L373" s="5" t="s">
        <v>15249</v>
      </c>
      <c r="M373" s="5" t="s">
        <v>1874</v>
      </c>
      <c r="N373" s="5" t="s">
        <v>2092</v>
      </c>
      <c r="O373" s="5" t="s">
        <v>4676</v>
      </c>
      <c r="P373" s="5" t="s">
        <v>4677</v>
      </c>
      <c r="Q373" s="5" t="s">
        <v>4678</v>
      </c>
      <c r="R373" s="5" t="s">
        <v>1036</v>
      </c>
      <c r="S373" s="5" t="s">
        <v>4679</v>
      </c>
      <c r="T373" s="5" t="s">
        <v>4680</v>
      </c>
      <c r="U373" s="5" t="s">
        <v>1036</v>
      </c>
      <c r="V373" s="5" t="s">
        <v>4681</v>
      </c>
      <c r="W373" s="5" t="s">
        <v>1036</v>
      </c>
      <c r="X373" s="5" t="s">
        <v>15053</v>
      </c>
      <c r="Y373" s="39" t="str">
        <f>IF(OR($A373&lt;&gt;"", $G373=""),"",CONCATENATE(";",EscStr(CONCATENATE("NavNode_",getCategoryLevelAsString($B373))),";",EscStr($J373),";",IF($B373&lt;&gt;"","""MainCategoryNavNode""",EscStr(CONCATENATE("NavNode_",getSuperCategory($B373, getCategoryLevelAsNumber($B373))))),";"))</f>
        <v>;"NavNode_L3D_542677";"Outdoor / Sports / Fitness / Wellness";"NavNode_L2D_542669";</v>
      </c>
      <c r="Z373" s="39" t="str">
        <f>IF(getCategoryLevelAsString($B373)="L0D_324785","",IF(G373="",CONCATENATE(";",EscStr(CONCATENATE("NavNode_",getCategoryLevelAsString($B373))),";",EscStr($J373),";"),CONCATENATE(";",EscStr(CONCATENATE("NavNode_",getCategoryLevelAsString($B373))),";",EscStr(G373),";")))</f>
        <v>;"NavNode_L3D_542677";"Outdoor / Sport / Fitness / Wellness";</v>
      </c>
      <c r="AA373" s="39" t="str">
        <f>IF(getCategoryLevelAsString($B373)="L0D_324785","",IF(H373="",CONCATENATE(";",EscStr(CONCATENATE("NavNode_",getCategoryLevelAsString($B373))),";",EscStr($J373),";"),CONCATENATE(";",EscStr(CONCATENATE("NavNode_",getCategoryLevelAsString($B373))),";",EscStr(H373),";")))</f>
        <v>;"NavNode_L3D_542677";"Extérieur / Sports / Fitness / Bien-être";</v>
      </c>
      <c r="AB373" s="39" t="str">
        <f>IF(getCategoryLevelAsString($B373)="L0D_324785","",IF(I373="",CONCATENATE(";",EscStr(CONCATENATE("NavNode_",getCategoryLevelAsString($B373))),";",EscStr($J373),";"),CONCATENATE(";",EscStr(CONCATENATE("NavNode_",getCategoryLevelAsString($B373))),";",EscStr(I373),";")))</f>
        <v>;"NavNode_L3D_542677";"Attività all'aperto / Sport / Fitness / Wellness";</v>
      </c>
      <c r="AC373" s="39" t="str">
        <f>IF(getCategoryLevelAsString($B373)="L0D_324785","",IF(J373="",CONCATENATE(";",EscStr(CONCATENATE("NavNode_",getCategoryLevelAsString($B373))),";",EscStr($J373),";"),CONCATENATE(";",EscStr(CONCATENATE("NavNode_",getCategoryLevelAsString($B373))),";",EscStr(J373),";")))</f>
        <v>;"NavNode_L3D_542677";"Outdoor / Sports / Fitness / Wellness";</v>
      </c>
      <c r="AD373" s="39" t="str">
        <f>IF(getCategoryLevelAsString($B373)="L0D_324785","",IF(K373="",CONCATENATE(";",EscStr(CONCATENATE("NavNode_",getCategoryLevelAsString($B373))),";",EscStr($J373),";"),CONCATENATE(";",EscStr(CONCATENATE("NavNode_",getCategoryLevelAsString($B373))),";",EscStr(K373),";")))</f>
        <v>;"NavNode_L3D_542677";"Outdoor/sport/fitness/wellness";</v>
      </c>
      <c r="AE373" s="39" t="str">
        <f>IF(getCategoryLevelAsString($B373)="L0D_324785","",IF(L373="",CONCATENATE(";",EscStr(CONCATENATE("NavNode_",getCategoryLevelAsString($B373))),";",EscStr($J373),";"),CONCATENATE(";",EscStr(CONCATENATE("NavNode_",getCategoryLevelAsString($B373))),";",EscStr(L373),";")))</f>
        <v>;"NavNode_L3D_542677";"Turizmas / Sportas / Kūno rengyba / Sveikata";</v>
      </c>
      <c r="AF373" s="39" t="str">
        <f>IF(getCategoryLevelAsString($B373)="L0D_324785","",IF(M373="",CONCATENATE(";",EscStr(CONCATENATE("NavNode_",getCategoryLevelAsString($B373))),";",EscStr($J373),";"),CONCATENATE(";",EscStr(CONCATENATE("NavNode_",getCategoryLevelAsString($B373))),";",EscStr(M373),";")))</f>
        <v>;"NavNode_L3D_542677";"Friluftsliv/sport/trening/helse";</v>
      </c>
      <c r="AG373" s="39" t="str">
        <f>IF(getCategoryLevelAsString($B373)="L0D_324785","",IF(N373="",CONCATENATE(";",EscStr(CONCATENATE("NavNode_",getCategoryLevelAsString($B373))),";",EscStr($J373),";"),CONCATENATE(";",EscStr(CONCATENATE("NavNode_",getCategoryLevelAsString($B373))),";",EscStr(N373),";")))</f>
        <v>;"NavNode_L3D_542677";"Utomhus/Sport/Hälsa/Välmående";</v>
      </c>
      <c r="AH373" s="39" t="str">
        <f>IF(getCategoryLevelAsString($B373)="L0D_324785","",IF(O373="",CONCATENATE(";",EscStr(CONCATENATE("NavNode_",getCategoryLevelAsString($B373))),";",EscStr($J373),";"),CONCATENATE(";",EscStr(CONCATENATE("NavNode_",getCategoryLevelAsString($B373))),";",EscStr(O373),";")))</f>
        <v>;"NavNode_L3D_542677";"Vabaõhu tegevus / Sport / Vaba aeg / Heaolu";</v>
      </c>
      <c r="AI373" s="39" t="str">
        <f>IF(getCategoryLevelAsString($B373)="L0D_324785","",IF(P373="",CONCATENATE(";",EscStr(CONCATENATE("NavNode_",getCategoryLevelAsString($B373))),";",EscStr($J373),";"),CONCATENATE(";",EscStr(CONCATENATE("NavNode_",getCategoryLevelAsString($B373))),";",EscStr(P373),";")))</f>
        <v>;"NavNode_L3D_542677";"Urheilu/ Fitness";</v>
      </c>
      <c r="AJ373" s="39" t="str">
        <f>IF(getCategoryLevelAsString($B373)="L0D_324785","",IF(Q373="",CONCATENATE(";",EscStr(CONCATENATE("NavNode_",getCategoryLevelAsString($B373))),";",EscStr($J373),";"),CONCATENATE(";",EscStr(CONCATENATE("NavNode_",getCategoryLevelAsString($B373))),";",EscStr(Q373),";")))</f>
        <v>;"NavNode_L3D_542677";"Āra aktivitātes / Sports / Fitness / Veselība";</v>
      </c>
      <c r="AK373" s="39" t="str">
        <f>IF(getCategoryLevelAsString($B373)="L0D_324785","",IF(R373="",CONCATENATE(";",EscStr(CONCATENATE("NavNode_",getCategoryLevelAsString($B373))),";",EscStr($J373),";"),CONCATENATE(";",EscStr(CONCATENATE("NavNode_",getCategoryLevelAsString($B373))),";",EscStr(R373),";")))</f>
        <v>;"NavNode_L3D_542677";"Outdoor / Sport / Fitness / Wellness";</v>
      </c>
      <c r="AL373" s="39" t="str">
        <f>IF(getCategoryLevelAsString($B373)="L0D_324785","",IF(S373="",CONCATENATE(";",EscStr(CONCATENATE("NavNode_",getCategoryLevelAsString($B373))),";",EscStr($J373),";"),CONCATENATE(";",EscStr(CONCATENATE("NavNode_",getCategoryLevelAsString($B373))),";",EscStr(S373),";")))</f>
        <v>;"NavNode_L3D_542677";"Outdoor / Sport / Fitnes / Odnowa biologiczna";</v>
      </c>
      <c r="AM373" s="39" t="str">
        <f>IF(getCategoryLevelAsString($B373)="L0D_324785","",IF(T373="",CONCATENATE(";",EscStr(CONCATENATE("NavNode_",getCategoryLevelAsString($B373))),";",EscStr($J373),";"),CONCATENATE(";",EscStr(CONCATENATE("NavNode_",getCategoryLevelAsString($B373))),";",EscStr(T373),";")))</f>
        <v>;"NavNode_L3D_542677";"На природе / Спорт / Фитнес / Здоровье";</v>
      </c>
      <c r="AN373" s="39" t="str">
        <f>IF(getCategoryLevelAsString($B373)="L0D_324785","",IF(U373="",CONCATENATE(";",EscStr(CONCATENATE("NavNode_",getCategoryLevelAsString($B373))),";",EscStr($J373),";"),CONCATENATE(";",EscStr(CONCATENATE("NavNode_",getCategoryLevelAsString($B373))),";",EscStr(U373),";")))</f>
        <v>;"NavNode_L3D_542677";"Outdoor / Sport / Fitness / Wellness";</v>
      </c>
      <c r="AO373" s="39" t="str">
        <f>IF(getCategoryLevelAsString($B373)="L0D_324785","",IF(V373="",CONCATENATE(";",EscStr(CONCATENATE("NavNode_",getCategoryLevelAsString($B373))),";",EscStr($J373),";"),CONCATENATE(";",EscStr(CONCATENATE("NavNode_",getCategoryLevelAsString($B373))),";",EscStr(V373),";")))</f>
        <v>;"NavNode_L3D_542677";"În aer liber / sport / Fitness / Wellness";</v>
      </c>
      <c r="AP373" s="39" t="str">
        <f>IF(getCategoryLevelAsString($B373)="L0D_324785","",IF(W373="",CONCATENATE(";",EscStr(CONCATENATE("NavNode_",getCategoryLevelAsString($B373))),";",EscStr($J373),";"),CONCATENATE(";",EscStr(CONCATENATE("NavNode_",getCategoryLevelAsString($B373))),";",EscStr(W373),";")))</f>
        <v>;"NavNode_L3D_542677";"Outdoor / Sport / Fitness / Wellness";</v>
      </c>
      <c r="AQ373" s="39" t="str">
        <f>IF(getCategoryLevelAsString($B373)="L0D_324785","",IF(X373="",CONCATENATE(";",EscStr(CONCATENATE("NavNode_",getCategoryLevelAsString($B373))),";",EscStr($J373),";"),CONCATENATE(";",EscStr(CONCATENATE("NavNode_",getCategoryLevelAsString($B373))),";",EscStr(X373),";")))</f>
        <v>;"NavNode_L3D_542677";"Outdoor / Šport / Fitness / Wellness";</v>
      </c>
      <c r="AR373" s="39" t="str">
        <f>IF(OR($A373&lt;&gt;"", $G373=""),"",CONCATENATE(";",EscStr(CONCATENATE("NavEntry_",getCategoryLevelAsString($B373))),";",EscStr(CONCATENATE($J373," Navigation Entry")),";",EscStr(CONCATENATE("cat-",getCategoryLevelAsString($B373))),";",EscStr(CONCATENATE("NavNode_",getCategoryLevelAsString($B373))),";"))</f>
        <v>;"NavEntry_L3D_542677";"Outdoor / Sports / Fitness / Wellness Navigation Entry";"cat-L3D_542677";"NavNode_L3D_542677";</v>
      </c>
    </row>
  </sheetData>
  <autoFilter ref="B5:I373"/>
  <mergeCells count="2">
    <mergeCell ref="A1:B1"/>
    <mergeCell ref="A4:F4"/>
  </mergeCells>
  <pageMargins left="0.7" right="0.7" top="0.75" bottom="0.75" header="0.3" footer="0.3"/>
  <pageSetup paperSize="9" scale="16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240"/>
  <sheetViews>
    <sheetView topLeftCell="A2" workbookViewId="0">
      <selection activeCell="S21" sqref="S21"/>
    </sheetView>
  </sheetViews>
  <sheetFormatPr defaultColWidth="8.85546875" defaultRowHeight="15" x14ac:dyDescent="0.25"/>
  <cols>
    <col min="15" max="15" width="14.85546875" customWidth="1"/>
  </cols>
  <sheetData>
    <row r="1" spans="1:17" x14ac:dyDescent="0.25">
      <c r="A1" t="s">
        <v>4685</v>
      </c>
      <c r="B1" t="s">
        <v>4686</v>
      </c>
      <c r="C1">
        <v>1</v>
      </c>
      <c r="E1">
        <v>2</v>
      </c>
      <c r="F1">
        <v>3</v>
      </c>
      <c r="G1">
        <v>4</v>
      </c>
      <c r="H1" t="s">
        <v>2102</v>
      </c>
      <c r="I1" t="s">
        <v>2099</v>
      </c>
      <c r="J1" t="s">
        <v>4687</v>
      </c>
      <c r="K1" t="s">
        <v>4688</v>
      </c>
      <c r="L1" t="s">
        <v>4689</v>
      </c>
      <c r="M1" t="s">
        <v>4690</v>
      </c>
      <c r="N1" t="s">
        <v>4691</v>
      </c>
    </row>
    <row r="2" spans="1:17" x14ac:dyDescent="0.25">
      <c r="A2">
        <v>1</v>
      </c>
      <c r="B2">
        <v>1</v>
      </c>
      <c r="C2" t="s">
        <v>19</v>
      </c>
      <c r="D2" t="s">
        <v>2</v>
      </c>
      <c r="H2" t="s">
        <v>2</v>
      </c>
      <c r="I2" t="s">
        <v>363</v>
      </c>
      <c r="J2" t="s">
        <v>19</v>
      </c>
      <c r="O2" t="s">
        <v>19</v>
      </c>
      <c r="P2" t="s">
        <v>2</v>
      </c>
      <c r="Q2">
        <v>1</v>
      </c>
    </row>
    <row r="3" spans="1:17" x14ac:dyDescent="0.25">
      <c r="A3">
        <v>2</v>
      </c>
      <c r="B3" t="s">
        <v>4692</v>
      </c>
      <c r="C3" t="s">
        <v>19</v>
      </c>
      <c r="D3" t="s">
        <v>2</v>
      </c>
      <c r="E3" t="s">
        <v>132</v>
      </c>
      <c r="H3" t="s">
        <v>133</v>
      </c>
      <c r="I3" t="s">
        <v>373</v>
      </c>
      <c r="J3" t="s">
        <v>132</v>
      </c>
      <c r="O3" t="s">
        <v>132</v>
      </c>
      <c r="P3" t="s">
        <v>2</v>
      </c>
      <c r="Q3">
        <v>1</v>
      </c>
    </row>
    <row r="4" spans="1:17" x14ac:dyDescent="0.25">
      <c r="A4">
        <v>3</v>
      </c>
      <c r="B4" t="s">
        <v>4693</v>
      </c>
      <c r="C4" t="s">
        <v>19</v>
      </c>
      <c r="D4" t="s">
        <v>2</v>
      </c>
      <c r="F4" t="s">
        <v>4694</v>
      </c>
      <c r="H4" t="s">
        <v>4695</v>
      </c>
      <c r="I4" t="s">
        <v>4696</v>
      </c>
      <c r="J4" t="s">
        <v>4694</v>
      </c>
      <c r="M4" t="s">
        <v>4697</v>
      </c>
      <c r="N4" t="s">
        <v>4698</v>
      </c>
      <c r="O4" t="s">
        <v>4694</v>
      </c>
      <c r="P4" t="s">
        <v>2</v>
      </c>
      <c r="Q4">
        <v>4</v>
      </c>
    </row>
    <row r="5" spans="1:17" x14ac:dyDescent="0.25">
      <c r="A5">
        <v>4</v>
      </c>
      <c r="B5" t="s">
        <v>4699</v>
      </c>
      <c r="C5" t="s">
        <v>19</v>
      </c>
      <c r="D5" t="s">
        <v>2</v>
      </c>
      <c r="G5">
        <v>15499</v>
      </c>
      <c r="H5" t="s">
        <v>4700</v>
      </c>
      <c r="I5" t="s">
        <v>4701</v>
      </c>
      <c r="J5">
        <v>15499</v>
      </c>
      <c r="K5" t="s">
        <v>4702</v>
      </c>
      <c r="L5">
        <v>101</v>
      </c>
      <c r="O5">
        <v>15499</v>
      </c>
      <c r="P5" t="s">
        <v>2</v>
      </c>
      <c r="Q5">
        <v>1</v>
      </c>
    </row>
    <row r="6" spans="1:17" x14ac:dyDescent="0.25">
      <c r="A6">
        <v>4</v>
      </c>
      <c r="B6" t="s">
        <v>4703</v>
      </c>
      <c r="C6" t="s">
        <v>19</v>
      </c>
      <c r="D6" t="s">
        <v>2</v>
      </c>
      <c r="G6" t="s">
        <v>4704</v>
      </c>
      <c r="H6" t="s">
        <v>4705</v>
      </c>
      <c r="I6" t="s">
        <v>4706</v>
      </c>
      <c r="J6" t="s">
        <v>4704</v>
      </c>
      <c r="K6" t="s">
        <v>4707</v>
      </c>
      <c r="L6">
        <v>24</v>
      </c>
      <c r="O6" t="s">
        <v>4704</v>
      </c>
      <c r="P6" t="s">
        <v>2</v>
      </c>
      <c r="Q6">
        <v>1</v>
      </c>
    </row>
    <row r="7" spans="1:17" x14ac:dyDescent="0.25">
      <c r="A7">
        <v>4</v>
      </c>
      <c r="B7" t="s">
        <v>4708</v>
      </c>
      <c r="C7" t="s">
        <v>19</v>
      </c>
      <c r="D7" t="s">
        <v>2</v>
      </c>
      <c r="G7" t="s">
        <v>4709</v>
      </c>
      <c r="H7" t="s">
        <v>4710</v>
      </c>
      <c r="I7" t="s">
        <v>4711</v>
      </c>
      <c r="J7" t="s">
        <v>4709</v>
      </c>
      <c r="K7" t="s">
        <v>4712</v>
      </c>
      <c r="L7">
        <v>3</v>
      </c>
      <c r="N7" t="s">
        <v>4713</v>
      </c>
      <c r="O7" t="s">
        <v>4709</v>
      </c>
      <c r="P7" t="s">
        <v>2</v>
      </c>
      <c r="Q7">
        <v>1</v>
      </c>
    </row>
    <row r="8" spans="1:17" x14ac:dyDescent="0.25">
      <c r="A8">
        <v>3</v>
      </c>
      <c r="B8" t="s">
        <v>4714</v>
      </c>
      <c r="C8" t="s">
        <v>19</v>
      </c>
      <c r="D8" t="s">
        <v>2</v>
      </c>
      <c r="F8" t="s">
        <v>4694</v>
      </c>
      <c r="H8" t="s">
        <v>4695</v>
      </c>
      <c r="I8" t="s">
        <v>4696</v>
      </c>
      <c r="J8" t="s">
        <v>4694</v>
      </c>
      <c r="O8" t="s">
        <v>4694</v>
      </c>
      <c r="P8" t="s">
        <v>2</v>
      </c>
    </row>
    <row r="9" spans="1:17" x14ac:dyDescent="0.25">
      <c r="A9">
        <v>4</v>
      </c>
      <c r="B9" t="s">
        <v>4715</v>
      </c>
      <c r="C9" t="s">
        <v>19</v>
      </c>
      <c r="D9" t="s">
        <v>2</v>
      </c>
      <c r="G9">
        <v>20113</v>
      </c>
      <c r="H9" t="s">
        <v>4716</v>
      </c>
      <c r="I9" t="s">
        <v>4717</v>
      </c>
      <c r="J9">
        <v>20113</v>
      </c>
      <c r="K9" t="s">
        <v>4718</v>
      </c>
      <c r="L9">
        <v>2</v>
      </c>
      <c r="N9" t="s">
        <v>4713</v>
      </c>
      <c r="O9">
        <v>20113</v>
      </c>
      <c r="P9" t="s">
        <v>2</v>
      </c>
      <c r="Q9">
        <v>1</v>
      </c>
    </row>
    <row r="10" spans="1:17" x14ac:dyDescent="0.25">
      <c r="A10">
        <v>4</v>
      </c>
      <c r="B10" t="s">
        <v>4719</v>
      </c>
      <c r="C10" t="s">
        <v>19</v>
      </c>
      <c r="D10" t="s">
        <v>2</v>
      </c>
      <c r="G10">
        <v>21279</v>
      </c>
      <c r="H10" t="s">
        <v>4720</v>
      </c>
      <c r="I10" t="s">
        <v>4721</v>
      </c>
      <c r="J10">
        <v>21279</v>
      </c>
      <c r="K10" t="s">
        <v>4722</v>
      </c>
      <c r="L10">
        <v>549</v>
      </c>
      <c r="O10">
        <v>21279</v>
      </c>
      <c r="P10" t="s">
        <v>2</v>
      </c>
      <c r="Q10">
        <v>1</v>
      </c>
    </row>
    <row r="11" spans="1:17" x14ac:dyDescent="0.25">
      <c r="A11">
        <v>4</v>
      </c>
      <c r="B11" t="s">
        <v>4723</v>
      </c>
      <c r="C11" t="s">
        <v>19</v>
      </c>
      <c r="D11" t="s">
        <v>2</v>
      </c>
      <c r="G11" t="s">
        <v>4724</v>
      </c>
      <c r="H11" t="s">
        <v>4725</v>
      </c>
      <c r="I11" t="s">
        <v>4726</v>
      </c>
      <c r="J11" t="s">
        <v>4724</v>
      </c>
      <c r="K11" t="s">
        <v>4727</v>
      </c>
      <c r="L11">
        <v>7</v>
      </c>
      <c r="N11" t="s">
        <v>4713</v>
      </c>
      <c r="O11" t="s">
        <v>4724</v>
      </c>
      <c r="P11" t="s">
        <v>2</v>
      </c>
      <c r="Q11">
        <v>1</v>
      </c>
    </row>
    <row r="12" spans="1:17" x14ac:dyDescent="0.25">
      <c r="A12">
        <v>3</v>
      </c>
      <c r="B12" t="s">
        <v>4728</v>
      </c>
      <c r="C12" t="s">
        <v>19</v>
      </c>
      <c r="D12" t="s">
        <v>2</v>
      </c>
      <c r="F12" t="s">
        <v>4694</v>
      </c>
      <c r="H12" t="s">
        <v>4729</v>
      </c>
      <c r="I12" t="s">
        <v>4696</v>
      </c>
      <c r="J12" t="s">
        <v>4694</v>
      </c>
      <c r="O12" t="s">
        <v>4694</v>
      </c>
      <c r="P12" t="s">
        <v>2</v>
      </c>
    </row>
    <row r="13" spans="1:17" x14ac:dyDescent="0.25">
      <c r="A13">
        <v>4</v>
      </c>
      <c r="B13" t="s">
        <v>4730</v>
      </c>
      <c r="C13" t="s">
        <v>19</v>
      </c>
      <c r="D13" t="s">
        <v>2</v>
      </c>
      <c r="G13">
        <v>43673</v>
      </c>
      <c r="H13" t="s">
        <v>4731</v>
      </c>
      <c r="I13" t="s">
        <v>4732</v>
      </c>
      <c r="J13">
        <v>43673</v>
      </c>
      <c r="K13" t="s">
        <v>4733</v>
      </c>
      <c r="L13">
        <v>1</v>
      </c>
      <c r="N13" t="s">
        <v>4734</v>
      </c>
      <c r="O13">
        <v>43673</v>
      </c>
      <c r="P13" t="s">
        <v>2</v>
      </c>
      <c r="Q13">
        <v>1</v>
      </c>
    </row>
    <row r="14" spans="1:17" x14ac:dyDescent="0.25">
      <c r="A14">
        <v>4</v>
      </c>
      <c r="B14" t="s">
        <v>4735</v>
      </c>
      <c r="C14" t="s">
        <v>19</v>
      </c>
      <c r="D14" t="s">
        <v>2</v>
      </c>
      <c r="G14" t="s">
        <v>4736</v>
      </c>
      <c r="H14" t="s">
        <v>4737</v>
      </c>
      <c r="I14" t="s">
        <v>4738</v>
      </c>
      <c r="J14" t="s">
        <v>4736</v>
      </c>
      <c r="K14" t="s">
        <v>4739</v>
      </c>
      <c r="L14">
        <v>577</v>
      </c>
      <c r="O14" t="s">
        <v>4736</v>
      </c>
      <c r="P14" t="s">
        <v>2</v>
      </c>
      <c r="Q14">
        <v>1</v>
      </c>
    </row>
    <row r="15" spans="1:17" x14ac:dyDescent="0.25">
      <c r="A15">
        <v>3</v>
      </c>
      <c r="B15" t="s">
        <v>4740</v>
      </c>
      <c r="C15" t="s">
        <v>19</v>
      </c>
      <c r="D15" t="s">
        <v>2</v>
      </c>
      <c r="F15" t="s">
        <v>4694</v>
      </c>
      <c r="H15" t="s">
        <v>4741</v>
      </c>
      <c r="I15" t="s">
        <v>4696</v>
      </c>
      <c r="J15" t="s">
        <v>4694</v>
      </c>
      <c r="O15" t="s">
        <v>4694</v>
      </c>
      <c r="P15" t="s">
        <v>2</v>
      </c>
    </row>
    <row r="16" spans="1:17" x14ac:dyDescent="0.25">
      <c r="A16">
        <v>4</v>
      </c>
      <c r="B16" t="s">
        <v>4742</v>
      </c>
      <c r="C16" t="s">
        <v>19</v>
      </c>
      <c r="D16" t="s">
        <v>2</v>
      </c>
      <c r="G16" t="s">
        <v>4743</v>
      </c>
      <c r="H16" t="s">
        <v>4744</v>
      </c>
      <c r="I16" t="s">
        <v>4745</v>
      </c>
      <c r="J16" t="s">
        <v>4743</v>
      </c>
      <c r="K16" t="s">
        <v>4746</v>
      </c>
      <c r="L16">
        <v>328</v>
      </c>
      <c r="O16" t="s">
        <v>4743</v>
      </c>
      <c r="P16" t="s">
        <v>2</v>
      </c>
      <c r="Q16">
        <v>1</v>
      </c>
    </row>
    <row r="17" spans="1:21" x14ac:dyDescent="0.25">
      <c r="A17">
        <v>4</v>
      </c>
      <c r="B17" t="s">
        <v>4747</v>
      </c>
      <c r="C17" t="s">
        <v>19</v>
      </c>
      <c r="D17" t="s">
        <v>2</v>
      </c>
      <c r="G17" t="s">
        <v>4748</v>
      </c>
      <c r="H17" t="s">
        <v>4749</v>
      </c>
      <c r="I17" t="s">
        <v>4750</v>
      </c>
      <c r="J17" t="s">
        <v>4748</v>
      </c>
      <c r="K17" t="s">
        <v>4751</v>
      </c>
      <c r="L17">
        <v>297</v>
      </c>
      <c r="O17" t="s">
        <v>4748</v>
      </c>
      <c r="P17" t="s">
        <v>2</v>
      </c>
      <c r="Q17">
        <v>1</v>
      </c>
    </row>
    <row r="18" spans="1:21" x14ac:dyDescent="0.25">
      <c r="A18">
        <v>3</v>
      </c>
      <c r="B18" t="s">
        <v>4752</v>
      </c>
      <c r="C18" t="s">
        <v>19</v>
      </c>
      <c r="D18" t="s">
        <v>2</v>
      </c>
      <c r="F18" t="s">
        <v>4753</v>
      </c>
      <c r="H18" t="s">
        <v>4754</v>
      </c>
      <c r="I18" t="s">
        <v>4755</v>
      </c>
      <c r="J18" t="s">
        <v>4753</v>
      </c>
      <c r="O18" t="s">
        <v>4753</v>
      </c>
      <c r="P18" t="s">
        <v>2</v>
      </c>
      <c r="Q18">
        <v>1</v>
      </c>
    </row>
    <row r="19" spans="1:21" x14ac:dyDescent="0.25">
      <c r="A19">
        <v>4</v>
      </c>
      <c r="B19" t="s">
        <v>4756</v>
      </c>
      <c r="C19" t="s">
        <v>19</v>
      </c>
      <c r="D19" t="s">
        <v>2</v>
      </c>
      <c r="G19">
        <v>20140</v>
      </c>
      <c r="H19" t="s">
        <v>4754</v>
      </c>
      <c r="I19" t="s">
        <v>4755</v>
      </c>
      <c r="J19">
        <v>20140</v>
      </c>
      <c r="K19" t="s">
        <v>4757</v>
      </c>
      <c r="L19">
        <v>442</v>
      </c>
      <c r="O19">
        <v>20140</v>
      </c>
      <c r="P19" t="s">
        <v>2</v>
      </c>
      <c r="Q19">
        <v>1</v>
      </c>
    </row>
    <row r="20" spans="1:21" x14ac:dyDescent="0.25">
      <c r="A20">
        <v>4</v>
      </c>
      <c r="B20" t="s">
        <v>4758</v>
      </c>
      <c r="C20" t="s">
        <v>19</v>
      </c>
      <c r="D20" t="s">
        <v>2</v>
      </c>
      <c r="G20">
        <v>20142</v>
      </c>
      <c r="H20" t="s">
        <v>4759</v>
      </c>
      <c r="I20" t="s">
        <v>4760</v>
      </c>
      <c r="J20">
        <v>20142</v>
      </c>
      <c r="K20" t="s">
        <v>4761</v>
      </c>
      <c r="L20">
        <v>86</v>
      </c>
      <c r="O20">
        <v>20142</v>
      </c>
      <c r="P20" t="s">
        <v>2</v>
      </c>
      <c r="Q20">
        <v>1</v>
      </c>
    </row>
    <row r="21" spans="1:21" x14ac:dyDescent="0.25">
      <c r="A21">
        <v>3</v>
      </c>
      <c r="B21" t="s">
        <v>4762</v>
      </c>
      <c r="C21" t="s">
        <v>19</v>
      </c>
      <c r="D21" t="s">
        <v>2</v>
      </c>
      <c r="F21" t="s">
        <v>4763</v>
      </c>
      <c r="H21" t="s">
        <v>4764</v>
      </c>
      <c r="I21" t="s">
        <v>4765</v>
      </c>
      <c r="J21" t="s">
        <v>4763</v>
      </c>
      <c r="O21" t="s">
        <v>4763</v>
      </c>
      <c r="P21" t="s">
        <v>2</v>
      </c>
      <c r="Q21">
        <v>4</v>
      </c>
      <c r="S21" s="27" t="s">
        <v>27</v>
      </c>
      <c r="T21" s="27" t="s">
        <v>7616</v>
      </c>
      <c r="U21" s="27">
        <v>2</v>
      </c>
    </row>
    <row r="22" spans="1:21" x14ac:dyDescent="0.25">
      <c r="A22">
        <v>4</v>
      </c>
      <c r="B22" t="s">
        <v>4766</v>
      </c>
      <c r="C22" t="s">
        <v>19</v>
      </c>
      <c r="D22" t="s">
        <v>2</v>
      </c>
      <c r="G22">
        <v>20129</v>
      </c>
      <c r="H22" t="s">
        <v>4767</v>
      </c>
      <c r="I22" t="s">
        <v>4768</v>
      </c>
      <c r="J22">
        <v>20129</v>
      </c>
      <c r="K22" t="s">
        <v>4769</v>
      </c>
      <c r="L22" t="s">
        <v>4770</v>
      </c>
      <c r="O22">
        <v>20129</v>
      </c>
      <c r="P22" t="s">
        <v>2</v>
      </c>
      <c r="Q22">
        <v>1</v>
      </c>
      <c r="S22" s="27" t="s">
        <v>27</v>
      </c>
      <c r="T22" s="27" t="s">
        <v>11145</v>
      </c>
      <c r="U22" s="27">
        <v>2</v>
      </c>
    </row>
    <row r="23" spans="1:21" x14ac:dyDescent="0.25">
      <c r="A23">
        <v>4</v>
      </c>
      <c r="B23" t="s">
        <v>4771</v>
      </c>
      <c r="C23" t="s">
        <v>19</v>
      </c>
      <c r="D23" t="s">
        <v>2</v>
      </c>
      <c r="G23">
        <v>20133</v>
      </c>
      <c r="H23" t="s">
        <v>4772</v>
      </c>
      <c r="I23" t="s">
        <v>4773</v>
      </c>
      <c r="J23">
        <v>20133</v>
      </c>
      <c r="K23" t="s">
        <v>4774</v>
      </c>
      <c r="L23">
        <v>36</v>
      </c>
      <c r="O23">
        <v>20133</v>
      </c>
      <c r="P23" t="s">
        <v>2</v>
      </c>
      <c r="Q23">
        <v>1</v>
      </c>
      <c r="S23" s="27" t="s">
        <v>34</v>
      </c>
      <c r="T23" s="27" t="s">
        <v>7616</v>
      </c>
      <c r="U23" s="27">
        <v>2</v>
      </c>
    </row>
    <row r="24" spans="1:21" x14ac:dyDescent="0.25">
      <c r="A24">
        <v>4</v>
      </c>
      <c r="B24" t="s">
        <v>4775</v>
      </c>
      <c r="C24" t="s">
        <v>19</v>
      </c>
      <c r="D24" t="s">
        <v>2</v>
      </c>
      <c r="G24" t="s">
        <v>4776</v>
      </c>
      <c r="H24" t="s">
        <v>4764</v>
      </c>
      <c r="I24" t="s">
        <v>4777</v>
      </c>
      <c r="J24" t="s">
        <v>4776</v>
      </c>
      <c r="K24" t="s">
        <v>4778</v>
      </c>
      <c r="L24">
        <v>255</v>
      </c>
      <c r="O24" t="s">
        <v>4776</v>
      </c>
      <c r="P24" t="s">
        <v>2</v>
      </c>
      <c r="Q24">
        <v>1</v>
      </c>
      <c r="S24" s="27" t="s">
        <v>34</v>
      </c>
      <c r="T24" s="27" t="s">
        <v>11</v>
      </c>
      <c r="U24" s="27">
        <v>2</v>
      </c>
    </row>
    <row r="25" spans="1:21" x14ac:dyDescent="0.25">
      <c r="A25">
        <v>3</v>
      </c>
      <c r="B25" t="s">
        <v>4779</v>
      </c>
      <c r="C25" t="s">
        <v>19</v>
      </c>
      <c r="D25" t="s">
        <v>2</v>
      </c>
      <c r="F25" t="s">
        <v>4694</v>
      </c>
      <c r="H25" t="s">
        <v>4780</v>
      </c>
      <c r="I25" t="s">
        <v>4765</v>
      </c>
      <c r="J25" t="s">
        <v>4763</v>
      </c>
      <c r="O25" t="s">
        <v>4694</v>
      </c>
      <c r="P25" t="s">
        <v>2</v>
      </c>
      <c r="S25" s="27" t="s">
        <v>6678</v>
      </c>
      <c r="T25" s="27" t="s">
        <v>3</v>
      </c>
      <c r="U25" s="27">
        <v>2</v>
      </c>
    </row>
    <row r="26" spans="1:21" x14ac:dyDescent="0.25">
      <c r="A26">
        <v>4</v>
      </c>
      <c r="B26" t="s">
        <v>4781</v>
      </c>
      <c r="C26" t="s">
        <v>19</v>
      </c>
      <c r="D26" t="s">
        <v>2</v>
      </c>
      <c r="G26">
        <v>20662</v>
      </c>
      <c r="H26" t="s">
        <v>4782</v>
      </c>
      <c r="I26" t="s">
        <v>4782</v>
      </c>
      <c r="J26">
        <v>20662</v>
      </c>
      <c r="K26" t="s">
        <v>4783</v>
      </c>
      <c r="L26">
        <v>7</v>
      </c>
      <c r="N26" t="s">
        <v>4713</v>
      </c>
      <c r="O26">
        <v>20662</v>
      </c>
      <c r="P26" t="s">
        <v>2</v>
      </c>
      <c r="Q26">
        <v>1</v>
      </c>
      <c r="S26" s="27" t="s">
        <v>6678</v>
      </c>
      <c r="T26" s="27" t="s">
        <v>7862</v>
      </c>
      <c r="U26" s="27">
        <v>2</v>
      </c>
    </row>
    <row r="27" spans="1:21" x14ac:dyDescent="0.25">
      <c r="A27">
        <v>4</v>
      </c>
      <c r="B27" t="s">
        <v>4784</v>
      </c>
      <c r="C27" t="s">
        <v>19</v>
      </c>
      <c r="D27" t="s">
        <v>2</v>
      </c>
      <c r="G27">
        <v>564234</v>
      </c>
      <c r="H27" t="s">
        <v>4785</v>
      </c>
      <c r="I27" t="s">
        <v>4785</v>
      </c>
      <c r="J27">
        <v>564234</v>
      </c>
      <c r="K27" t="s">
        <v>4786</v>
      </c>
      <c r="L27">
        <v>7</v>
      </c>
      <c r="N27" t="s">
        <v>4713</v>
      </c>
      <c r="O27">
        <v>564234</v>
      </c>
      <c r="P27" t="s">
        <v>2</v>
      </c>
      <c r="Q27">
        <v>1</v>
      </c>
      <c r="S27" s="27" t="s">
        <v>161</v>
      </c>
      <c r="T27" s="27" t="s">
        <v>7008</v>
      </c>
      <c r="U27" s="27">
        <v>2</v>
      </c>
    </row>
    <row r="28" spans="1:21" x14ac:dyDescent="0.25">
      <c r="A28">
        <v>4</v>
      </c>
      <c r="B28" t="s">
        <v>4787</v>
      </c>
      <c r="C28" t="s">
        <v>19</v>
      </c>
      <c r="D28" t="s">
        <v>2</v>
      </c>
      <c r="G28" t="s">
        <v>4788</v>
      </c>
      <c r="H28" t="s">
        <v>4780</v>
      </c>
      <c r="I28" t="s">
        <v>4789</v>
      </c>
      <c r="J28" t="s">
        <v>4788</v>
      </c>
      <c r="K28" t="s">
        <v>4790</v>
      </c>
      <c r="L28">
        <v>39</v>
      </c>
      <c r="O28" t="s">
        <v>4788</v>
      </c>
      <c r="P28" t="s">
        <v>2</v>
      </c>
      <c r="Q28">
        <v>1</v>
      </c>
      <c r="S28" s="27" t="s">
        <v>161</v>
      </c>
      <c r="T28" s="27" t="s">
        <v>9690</v>
      </c>
      <c r="U28" s="27">
        <v>2</v>
      </c>
    </row>
    <row r="29" spans="1:21" x14ac:dyDescent="0.25">
      <c r="A29">
        <v>3</v>
      </c>
      <c r="B29" t="s">
        <v>4791</v>
      </c>
      <c r="C29" t="s">
        <v>19</v>
      </c>
      <c r="D29" t="s">
        <v>2</v>
      </c>
      <c r="F29" t="s">
        <v>4694</v>
      </c>
      <c r="H29" t="s">
        <v>4792</v>
      </c>
      <c r="I29" t="s">
        <v>4765</v>
      </c>
      <c r="J29" t="s">
        <v>4763</v>
      </c>
      <c r="O29" t="s">
        <v>4694</v>
      </c>
      <c r="P29" t="s">
        <v>2</v>
      </c>
    </row>
    <row r="30" spans="1:21" x14ac:dyDescent="0.25">
      <c r="A30">
        <v>4</v>
      </c>
      <c r="B30" t="s">
        <v>4793</v>
      </c>
      <c r="C30" t="s">
        <v>19</v>
      </c>
      <c r="D30" t="s">
        <v>2</v>
      </c>
      <c r="G30">
        <v>20088</v>
      </c>
      <c r="H30" t="s">
        <v>4794</v>
      </c>
      <c r="I30" t="s">
        <v>4795</v>
      </c>
      <c r="J30">
        <v>20088</v>
      </c>
      <c r="K30" t="s">
        <v>4796</v>
      </c>
      <c r="L30">
        <v>18</v>
      </c>
      <c r="O30">
        <v>20088</v>
      </c>
      <c r="P30" t="s">
        <v>2</v>
      </c>
      <c r="Q30">
        <v>1</v>
      </c>
    </row>
    <row r="31" spans="1:21" x14ac:dyDescent="0.25">
      <c r="A31">
        <v>4</v>
      </c>
      <c r="B31" t="s">
        <v>4797</v>
      </c>
      <c r="C31" t="s">
        <v>19</v>
      </c>
      <c r="D31" t="s">
        <v>2</v>
      </c>
      <c r="G31" t="s">
        <v>4798</v>
      </c>
      <c r="H31" t="s">
        <v>4792</v>
      </c>
      <c r="I31" t="s">
        <v>4799</v>
      </c>
      <c r="J31" t="s">
        <v>4798</v>
      </c>
      <c r="K31" t="s">
        <v>4800</v>
      </c>
      <c r="L31">
        <v>886</v>
      </c>
      <c r="O31" t="s">
        <v>4798</v>
      </c>
      <c r="P31" t="s">
        <v>2</v>
      </c>
      <c r="Q31">
        <v>1</v>
      </c>
    </row>
    <row r="32" spans="1:21" x14ac:dyDescent="0.25">
      <c r="A32">
        <v>4</v>
      </c>
      <c r="B32" t="s">
        <v>4801</v>
      </c>
      <c r="C32" t="s">
        <v>19</v>
      </c>
      <c r="D32" t="s">
        <v>2</v>
      </c>
      <c r="G32" t="s">
        <v>4802</v>
      </c>
      <c r="H32" t="s">
        <v>4803</v>
      </c>
      <c r="I32" t="s">
        <v>4804</v>
      </c>
      <c r="J32" t="s">
        <v>4802</v>
      </c>
      <c r="K32" t="s">
        <v>4805</v>
      </c>
      <c r="L32">
        <v>29</v>
      </c>
      <c r="O32" t="s">
        <v>4802</v>
      </c>
      <c r="P32" t="s">
        <v>2</v>
      </c>
      <c r="Q32">
        <v>1</v>
      </c>
    </row>
    <row r="33" spans="1:17" x14ac:dyDescent="0.25">
      <c r="A33">
        <v>3</v>
      </c>
      <c r="B33" t="s">
        <v>4806</v>
      </c>
      <c r="C33" t="s">
        <v>19</v>
      </c>
      <c r="D33" t="s">
        <v>2</v>
      </c>
      <c r="F33" t="s">
        <v>4694</v>
      </c>
      <c r="H33" t="s">
        <v>4807</v>
      </c>
      <c r="I33" t="s">
        <v>4765</v>
      </c>
      <c r="J33" t="s">
        <v>4763</v>
      </c>
      <c r="O33" t="s">
        <v>4694</v>
      </c>
      <c r="P33" t="s">
        <v>2</v>
      </c>
    </row>
    <row r="34" spans="1:17" x14ac:dyDescent="0.25">
      <c r="A34">
        <v>4</v>
      </c>
      <c r="B34" t="s">
        <v>4808</v>
      </c>
      <c r="C34" t="s">
        <v>19</v>
      </c>
      <c r="D34" t="s">
        <v>2</v>
      </c>
      <c r="G34">
        <v>20681</v>
      </c>
      <c r="H34" t="s">
        <v>4809</v>
      </c>
      <c r="I34" t="s">
        <v>4810</v>
      </c>
      <c r="J34">
        <v>20681</v>
      </c>
      <c r="K34" t="s">
        <v>4811</v>
      </c>
      <c r="L34">
        <v>2</v>
      </c>
      <c r="N34" t="s">
        <v>4713</v>
      </c>
      <c r="O34">
        <v>20681</v>
      </c>
      <c r="P34" t="s">
        <v>2</v>
      </c>
      <c r="Q34">
        <v>1</v>
      </c>
    </row>
    <row r="35" spans="1:17" x14ac:dyDescent="0.25">
      <c r="A35">
        <v>4</v>
      </c>
      <c r="B35" t="s">
        <v>4812</v>
      </c>
      <c r="C35" t="s">
        <v>19</v>
      </c>
      <c r="D35" t="s">
        <v>2</v>
      </c>
      <c r="G35" t="s">
        <v>4813</v>
      </c>
      <c r="H35" t="s">
        <v>4814</v>
      </c>
      <c r="I35" t="s">
        <v>4815</v>
      </c>
      <c r="J35" t="s">
        <v>4813</v>
      </c>
      <c r="K35" t="s">
        <v>4816</v>
      </c>
      <c r="L35">
        <v>32</v>
      </c>
      <c r="O35" t="s">
        <v>4813</v>
      </c>
      <c r="P35" t="s">
        <v>2</v>
      </c>
      <c r="Q35">
        <v>1</v>
      </c>
    </row>
    <row r="36" spans="1:17" x14ac:dyDescent="0.25">
      <c r="A36">
        <v>3</v>
      </c>
      <c r="B36" t="s">
        <v>4817</v>
      </c>
      <c r="C36" t="s">
        <v>19</v>
      </c>
      <c r="D36" t="s">
        <v>2</v>
      </c>
      <c r="F36" t="s">
        <v>4818</v>
      </c>
      <c r="H36" t="s">
        <v>4819</v>
      </c>
      <c r="I36" t="s">
        <v>4820</v>
      </c>
      <c r="J36" t="s">
        <v>4818</v>
      </c>
      <c r="O36" t="s">
        <v>4818</v>
      </c>
      <c r="P36" t="s">
        <v>2</v>
      </c>
      <c r="Q36">
        <v>1</v>
      </c>
    </row>
    <row r="37" spans="1:17" x14ac:dyDescent="0.25">
      <c r="A37">
        <v>4</v>
      </c>
      <c r="B37" t="s">
        <v>4821</v>
      </c>
      <c r="C37" t="s">
        <v>19</v>
      </c>
      <c r="D37" t="s">
        <v>2</v>
      </c>
      <c r="G37" t="s">
        <v>4822</v>
      </c>
      <c r="H37" t="s">
        <v>4819</v>
      </c>
      <c r="I37" t="s">
        <v>4823</v>
      </c>
      <c r="J37" t="s">
        <v>4822</v>
      </c>
      <c r="K37" t="s">
        <v>4824</v>
      </c>
      <c r="L37">
        <v>55</v>
      </c>
      <c r="O37" t="s">
        <v>4822</v>
      </c>
      <c r="P37" t="s">
        <v>2</v>
      </c>
      <c r="Q37">
        <v>1</v>
      </c>
    </row>
    <row r="38" spans="1:17" x14ac:dyDescent="0.25">
      <c r="A38">
        <v>4</v>
      </c>
      <c r="B38" t="s">
        <v>4825</v>
      </c>
      <c r="C38" t="s">
        <v>19</v>
      </c>
      <c r="D38" t="s">
        <v>2</v>
      </c>
      <c r="G38" t="s">
        <v>4826</v>
      </c>
      <c r="H38" t="s">
        <v>4827</v>
      </c>
      <c r="I38" t="s">
        <v>4828</v>
      </c>
      <c r="J38" t="s">
        <v>4826</v>
      </c>
      <c r="K38" t="s">
        <v>4829</v>
      </c>
      <c r="L38">
        <v>22</v>
      </c>
      <c r="O38" t="s">
        <v>4826</v>
      </c>
      <c r="P38" t="s">
        <v>2</v>
      </c>
      <c r="Q38">
        <v>1</v>
      </c>
    </row>
    <row r="39" spans="1:17" x14ac:dyDescent="0.25">
      <c r="A39">
        <v>3</v>
      </c>
      <c r="B39" t="s">
        <v>4830</v>
      </c>
      <c r="C39" t="s">
        <v>19</v>
      </c>
      <c r="D39" t="s">
        <v>2</v>
      </c>
      <c r="F39" t="s">
        <v>4831</v>
      </c>
      <c r="H39" t="s">
        <v>4832</v>
      </c>
      <c r="I39" t="s">
        <v>4833</v>
      </c>
      <c r="J39" t="s">
        <v>4831</v>
      </c>
      <c r="O39" t="s">
        <v>4831</v>
      </c>
      <c r="P39" t="s">
        <v>2</v>
      </c>
      <c r="Q39">
        <v>1</v>
      </c>
    </row>
    <row r="40" spans="1:17" x14ac:dyDescent="0.25">
      <c r="A40">
        <v>4</v>
      </c>
      <c r="B40" t="s">
        <v>4834</v>
      </c>
      <c r="C40" t="s">
        <v>19</v>
      </c>
      <c r="D40" t="s">
        <v>2</v>
      </c>
      <c r="G40" t="s">
        <v>4835</v>
      </c>
      <c r="H40" t="s">
        <v>4836</v>
      </c>
      <c r="I40" t="s">
        <v>4837</v>
      </c>
      <c r="J40" t="s">
        <v>4835</v>
      </c>
      <c r="K40" t="s">
        <v>4838</v>
      </c>
      <c r="L40">
        <v>135</v>
      </c>
      <c r="O40" t="s">
        <v>4835</v>
      </c>
      <c r="P40" t="s">
        <v>2</v>
      </c>
      <c r="Q40">
        <v>1</v>
      </c>
    </row>
    <row r="41" spans="1:17" x14ac:dyDescent="0.25">
      <c r="A41">
        <v>4</v>
      </c>
      <c r="B41" t="s">
        <v>4839</v>
      </c>
      <c r="C41" t="s">
        <v>19</v>
      </c>
      <c r="D41" t="s">
        <v>2</v>
      </c>
      <c r="G41" t="s">
        <v>4840</v>
      </c>
      <c r="H41" t="s">
        <v>4841</v>
      </c>
      <c r="I41" t="s">
        <v>4842</v>
      </c>
      <c r="J41" t="s">
        <v>4840</v>
      </c>
      <c r="K41" t="s">
        <v>4843</v>
      </c>
      <c r="L41">
        <v>62</v>
      </c>
      <c r="O41" t="s">
        <v>4840</v>
      </c>
      <c r="P41" t="s">
        <v>2</v>
      </c>
      <c r="Q41">
        <v>1</v>
      </c>
    </row>
    <row r="42" spans="1:17" x14ac:dyDescent="0.25">
      <c r="A42">
        <v>4</v>
      </c>
      <c r="B42" t="s">
        <v>4844</v>
      </c>
      <c r="C42" t="s">
        <v>19</v>
      </c>
      <c r="D42" t="s">
        <v>2</v>
      </c>
      <c r="G42" t="s">
        <v>4845</v>
      </c>
      <c r="H42" t="s">
        <v>4846</v>
      </c>
      <c r="I42" t="s">
        <v>4847</v>
      </c>
      <c r="J42" t="s">
        <v>4845</v>
      </c>
      <c r="K42" t="s">
        <v>4848</v>
      </c>
      <c r="L42">
        <v>6</v>
      </c>
      <c r="N42" t="s">
        <v>4713</v>
      </c>
      <c r="O42" t="s">
        <v>4845</v>
      </c>
      <c r="P42" t="s">
        <v>2</v>
      </c>
      <c r="Q42">
        <v>1</v>
      </c>
    </row>
    <row r="43" spans="1:17" x14ac:dyDescent="0.25">
      <c r="A43">
        <v>4</v>
      </c>
      <c r="B43" t="s">
        <v>4849</v>
      </c>
      <c r="C43" t="s">
        <v>19</v>
      </c>
      <c r="D43" t="s">
        <v>2</v>
      </c>
      <c r="G43" t="s">
        <v>4850</v>
      </c>
      <c r="H43" t="s">
        <v>4851</v>
      </c>
      <c r="I43" t="s">
        <v>4852</v>
      </c>
      <c r="J43" t="s">
        <v>4850</v>
      </c>
      <c r="K43" t="s">
        <v>4853</v>
      </c>
      <c r="L43">
        <v>15</v>
      </c>
      <c r="O43" t="s">
        <v>4850</v>
      </c>
      <c r="P43" t="s">
        <v>2</v>
      </c>
      <c r="Q43">
        <v>1</v>
      </c>
    </row>
    <row r="44" spans="1:17" x14ac:dyDescent="0.25">
      <c r="A44">
        <v>4</v>
      </c>
      <c r="B44" t="s">
        <v>4854</v>
      </c>
      <c r="C44" t="s">
        <v>19</v>
      </c>
      <c r="D44" t="s">
        <v>2</v>
      </c>
      <c r="G44" t="s">
        <v>4855</v>
      </c>
      <c r="H44" t="s">
        <v>4856</v>
      </c>
      <c r="I44" t="s">
        <v>4857</v>
      </c>
      <c r="J44" t="s">
        <v>4855</v>
      </c>
      <c r="K44" t="s">
        <v>4858</v>
      </c>
      <c r="L44">
        <v>10</v>
      </c>
      <c r="O44" t="s">
        <v>4855</v>
      </c>
      <c r="P44" t="s">
        <v>2</v>
      </c>
      <c r="Q44">
        <v>1</v>
      </c>
    </row>
    <row r="45" spans="1:17" x14ac:dyDescent="0.25">
      <c r="A45">
        <v>4</v>
      </c>
      <c r="B45" t="s">
        <v>4859</v>
      </c>
      <c r="C45" t="s">
        <v>19</v>
      </c>
      <c r="D45" t="s">
        <v>2</v>
      </c>
      <c r="G45" t="s">
        <v>4860</v>
      </c>
      <c r="H45" t="s">
        <v>4861</v>
      </c>
      <c r="I45" t="s">
        <v>4862</v>
      </c>
      <c r="J45" t="s">
        <v>4860</v>
      </c>
      <c r="K45" t="s">
        <v>4863</v>
      </c>
      <c r="L45">
        <v>21</v>
      </c>
      <c r="O45" t="s">
        <v>4860</v>
      </c>
      <c r="P45" t="s">
        <v>2</v>
      </c>
      <c r="Q45">
        <v>1</v>
      </c>
    </row>
    <row r="46" spans="1:17" x14ac:dyDescent="0.25">
      <c r="A46">
        <v>4</v>
      </c>
      <c r="B46" t="s">
        <v>4864</v>
      </c>
      <c r="C46" t="s">
        <v>19</v>
      </c>
      <c r="D46" t="s">
        <v>2</v>
      </c>
      <c r="G46">
        <v>20138</v>
      </c>
      <c r="H46" t="s">
        <v>4865</v>
      </c>
      <c r="I46" t="s">
        <v>4820</v>
      </c>
      <c r="J46">
        <v>20138</v>
      </c>
      <c r="K46" t="s">
        <v>4866</v>
      </c>
      <c r="L46">
        <v>112</v>
      </c>
      <c r="O46">
        <v>20138</v>
      </c>
      <c r="P46" t="s">
        <v>2</v>
      </c>
      <c r="Q46">
        <v>1</v>
      </c>
    </row>
    <row r="47" spans="1:17" x14ac:dyDescent="0.25">
      <c r="A47">
        <v>4</v>
      </c>
      <c r="B47" t="s">
        <v>4867</v>
      </c>
      <c r="C47" t="s">
        <v>19</v>
      </c>
      <c r="D47" t="s">
        <v>2</v>
      </c>
      <c r="G47" t="s">
        <v>4868</v>
      </c>
      <c r="H47" t="s">
        <v>4869</v>
      </c>
      <c r="I47" t="s">
        <v>4870</v>
      </c>
      <c r="J47" t="s">
        <v>4868</v>
      </c>
      <c r="K47" t="s">
        <v>4871</v>
      </c>
      <c r="L47">
        <v>376</v>
      </c>
      <c r="O47" t="s">
        <v>4868</v>
      </c>
      <c r="P47" t="s">
        <v>2</v>
      </c>
      <c r="Q47">
        <v>1</v>
      </c>
    </row>
    <row r="48" spans="1:17" x14ac:dyDescent="0.25">
      <c r="A48">
        <v>4</v>
      </c>
      <c r="B48" t="s">
        <v>4872</v>
      </c>
      <c r="C48" t="s">
        <v>19</v>
      </c>
      <c r="D48" t="s">
        <v>2</v>
      </c>
      <c r="G48" t="s">
        <v>4873</v>
      </c>
      <c r="H48" t="s">
        <v>4874</v>
      </c>
      <c r="I48" t="s">
        <v>4875</v>
      </c>
      <c r="J48" t="s">
        <v>4873</v>
      </c>
      <c r="K48" t="s">
        <v>4876</v>
      </c>
      <c r="L48">
        <v>36</v>
      </c>
      <c r="O48" t="s">
        <v>4873</v>
      </c>
      <c r="P48" t="s">
        <v>2</v>
      </c>
      <c r="Q48">
        <v>1</v>
      </c>
    </row>
    <row r="49" spans="1:17" x14ac:dyDescent="0.25">
      <c r="A49">
        <v>4</v>
      </c>
      <c r="B49" t="s">
        <v>4877</v>
      </c>
      <c r="C49" t="s">
        <v>19</v>
      </c>
      <c r="D49" t="s">
        <v>2</v>
      </c>
      <c r="G49" t="s">
        <v>4878</v>
      </c>
      <c r="H49" t="s">
        <v>4879</v>
      </c>
      <c r="I49" t="s">
        <v>4880</v>
      </c>
      <c r="J49" t="s">
        <v>4878</v>
      </c>
      <c r="K49" t="s">
        <v>4881</v>
      </c>
      <c r="L49">
        <v>187</v>
      </c>
      <c r="O49" t="s">
        <v>4878</v>
      </c>
      <c r="P49" t="s">
        <v>2</v>
      </c>
      <c r="Q49">
        <v>1</v>
      </c>
    </row>
    <row r="50" spans="1:17" x14ac:dyDescent="0.25">
      <c r="A50">
        <v>4</v>
      </c>
      <c r="B50" t="s">
        <v>4882</v>
      </c>
      <c r="C50" t="s">
        <v>19</v>
      </c>
      <c r="D50" t="s">
        <v>2</v>
      </c>
      <c r="G50" t="s">
        <v>4883</v>
      </c>
      <c r="H50" t="s">
        <v>4884</v>
      </c>
      <c r="I50" t="s">
        <v>4885</v>
      </c>
      <c r="J50" t="s">
        <v>4883</v>
      </c>
      <c r="K50" t="s">
        <v>4886</v>
      </c>
      <c r="L50">
        <v>85</v>
      </c>
      <c r="O50" t="s">
        <v>4883</v>
      </c>
      <c r="P50" t="s">
        <v>2</v>
      </c>
      <c r="Q50">
        <v>1</v>
      </c>
    </row>
    <row r="51" spans="1:17" x14ac:dyDescent="0.25">
      <c r="A51">
        <v>4</v>
      </c>
      <c r="B51" t="s">
        <v>4887</v>
      </c>
      <c r="C51" t="s">
        <v>19</v>
      </c>
      <c r="D51" t="s">
        <v>2</v>
      </c>
      <c r="G51" t="s">
        <v>4888</v>
      </c>
      <c r="H51" t="s">
        <v>4889</v>
      </c>
      <c r="I51" t="s">
        <v>4889</v>
      </c>
      <c r="J51" t="s">
        <v>4888</v>
      </c>
      <c r="K51" t="s">
        <v>4890</v>
      </c>
      <c r="L51">
        <v>73</v>
      </c>
      <c r="O51" t="s">
        <v>4888</v>
      </c>
      <c r="P51" t="s">
        <v>2</v>
      </c>
      <c r="Q51">
        <v>1</v>
      </c>
    </row>
    <row r="52" spans="1:17" x14ac:dyDescent="0.25">
      <c r="A52">
        <v>4</v>
      </c>
      <c r="B52" t="s">
        <v>4891</v>
      </c>
      <c r="C52" t="s">
        <v>19</v>
      </c>
      <c r="D52" t="s">
        <v>2</v>
      </c>
      <c r="G52" t="s">
        <v>4892</v>
      </c>
      <c r="H52" t="s">
        <v>4893</v>
      </c>
      <c r="I52" t="s">
        <v>4894</v>
      </c>
      <c r="J52" t="s">
        <v>4892</v>
      </c>
      <c r="K52" t="s">
        <v>4895</v>
      </c>
      <c r="L52">
        <v>133</v>
      </c>
      <c r="O52" t="s">
        <v>4892</v>
      </c>
      <c r="P52" t="s">
        <v>2</v>
      </c>
      <c r="Q52">
        <v>1</v>
      </c>
    </row>
    <row r="53" spans="1:17" x14ac:dyDescent="0.25">
      <c r="A53">
        <v>4</v>
      </c>
      <c r="B53" t="s">
        <v>4896</v>
      </c>
      <c r="C53" t="s">
        <v>19</v>
      </c>
      <c r="D53" t="s">
        <v>2</v>
      </c>
      <c r="G53" t="s">
        <v>4897</v>
      </c>
      <c r="H53" t="s">
        <v>4898</v>
      </c>
      <c r="I53" t="s">
        <v>4899</v>
      </c>
      <c r="J53" t="s">
        <v>4897</v>
      </c>
      <c r="K53" t="s">
        <v>4900</v>
      </c>
      <c r="L53">
        <v>10</v>
      </c>
      <c r="O53" t="s">
        <v>4897</v>
      </c>
      <c r="P53" t="s">
        <v>2</v>
      </c>
      <c r="Q53">
        <v>1</v>
      </c>
    </row>
    <row r="54" spans="1:17" x14ac:dyDescent="0.25">
      <c r="A54">
        <v>4</v>
      </c>
      <c r="B54" t="s">
        <v>4901</v>
      </c>
      <c r="C54" t="s">
        <v>19</v>
      </c>
      <c r="D54" t="s">
        <v>2</v>
      </c>
      <c r="G54" t="s">
        <v>4902</v>
      </c>
      <c r="H54" t="s">
        <v>4903</v>
      </c>
      <c r="I54" t="s">
        <v>4904</v>
      </c>
      <c r="J54" t="s">
        <v>4902</v>
      </c>
      <c r="K54" t="s">
        <v>4905</v>
      </c>
      <c r="L54">
        <v>36</v>
      </c>
      <c r="O54" t="s">
        <v>4902</v>
      </c>
      <c r="P54" t="s">
        <v>2</v>
      </c>
      <c r="Q54">
        <v>1</v>
      </c>
    </row>
    <row r="55" spans="1:17" x14ac:dyDescent="0.25">
      <c r="A55">
        <v>2</v>
      </c>
      <c r="B55" t="s">
        <v>4906</v>
      </c>
      <c r="C55" t="s">
        <v>19</v>
      </c>
      <c r="D55" t="s">
        <v>2</v>
      </c>
      <c r="E55" t="s">
        <v>127</v>
      </c>
      <c r="H55" t="s">
        <v>128</v>
      </c>
      <c r="I55" t="s">
        <v>366</v>
      </c>
      <c r="J55" t="s">
        <v>127</v>
      </c>
      <c r="O55" t="s">
        <v>127</v>
      </c>
      <c r="P55" t="s">
        <v>2</v>
      </c>
      <c r="Q55">
        <v>1</v>
      </c>
    </row>
    <row r="56" spans="1:17" x14ac:dyDescent="0.25">
      <c r="A56">
        <v>3</v>
      </c>
      <c r="B56" t="s">
        <v>4907</v>
      </c>
      <c r="C56" t="s">
        <v>19</v>
      </c>
      <c r="D56" t="s">
        <v>2</v>
      </c>
      <c r="F56" t="s">
        <v>4908</v>
      </c>
      <c r="H56" t="s">
        <v>4909</v>
      </c>
      <c r="I56" t="s">
        <v>4910</v>
      </c>
      <c r="J56" t="s">
        <v>4908</v>
      </c>
      <c r="O56" t="s">
        <v>4908</v>
      </c>
      <c r="P56" t="s">
        <v>2</v>
      </c>
      <c r="Q56">
        <v>1</v>
      </c>
    </row>
    <row r="57" spans="1:17" x14ac:dyDescent="0.25">
      <c r="A57">
        <v>4</v>
      </c>
      <c r="B57" t="s">
        <v>4911</v>
      </c>
      <c r="C57" t="s">
        <v>19</v>
      </c>
      <c r="D57" t="s">
        <v>2</v>
      </c>
      <c r="G57">
        <v>21510</v>
      </c>
      <c r="H57" t="s">
        <v>4912</v>
      </c>
      <c r="I57" t="s">
        <v>4913</v>
      </c>
      <c r="J57">
        <v>21510</v>
      </c>
      <c r="K57" t="s">
        <v>4914</v>
      </c>
      <c r="L57">
        <v>59</v>
      </c>
      <c r="O57">
        <v>21510</v>
      </c>
      <c r="P57" t="s">
        <v>2</v>
      </c>
      <c r="Q57">
        <v>1</v>
      </c>
    </row>
    <row r="58" spans="1:17" x14ac:dyDescent="0.25">
      <c r="A58">
        <v>4</v>
      </c>
      <c r="B58" t="s">
        <v>4915</v>
      </c>
      <c r="C58" t="s">
        <v>19</v>
      </c>
      <c r="D58" t="s">
        <v>2</v>
      </c>
      <c r="G58">
        <v>21512</v>
      </c>
      <c r="H58" t="s">
        <v>4916</v>
      </c>
      <c r="I58" t="s">
        <v>4917</v>
      </c>
      <c r="J58">
        <v>21512</v>
      </c>
      <c r="K58" t="s">
        <v>4918</v>
      </c>
      <c r="L58">
        <v>2</v>
      </c>
      <c r="N58" t="s">
        <v>4713</v>
      </c>
      <c r="O58">
        <v>21512</v>
      </c>
      <c r="P58" t="s">
        <v>2</v>
      </c>
      <c r="Q58">
        <v>1</v>
      </c>
    </row>
    <row r="59" spans="1:17" x14ac:dyDescent="0.25">
      <c r="A59">
        <v>4</v>
      </c>
      <c r="B59" t="s">
        <v>4919</v>
      </c>
      <c r="C59" t="s">
        <v>19</v>
      </c>
      <c r="D59" t="s">
        <v>2</v>
      </c>
      <c r="G59">
        <v>21514</v>
      </c>
      <c r="H59" t="s">
        <v>4920</v>
      </c>
      <c r="I59" t="s">
        <v>4921</v>
      </c>
      <c r="J59">
        <v>21514</v>
      </c>
      <c r="K59" t="s">
        <v>4922</v>
      </c>
      <c r="L59">
        <v>6</v>
      </c>
      <c r="N59" t="s">
        <v>4713</v>
      </c>
      <c r="O59">
        <v>21514</v>
      </c>
      <c r="P59" t="s">
        <v>2</v>
      </c>
      <c r="Q59">
        <v>1</v>
      </c>
    </row>
    <row r="60" spans="1:17" x14ac:dyDescent="0.25">
      <c r="A60">
        <v>3</v>
      </c>
      <c r="B60" t="s">
        <v>4923</v>
      </c>
      <c r="C60" t="s">
        <v>19</v>
      </c>
      <c r="D60" t="s">
        <v>2</v>
      </c>
      <c r="F60" t="s">
        <v>4924</v>
      </c>
      <c r="H60" t="s">
        <v>4925</v>
      </c>
      <c r="I60" t="s">
        <v>4926</v>
      </c>
      <c r="J60" t="s">
        <v>4924</v>
      </c>
      <c r="O60" t="s">
        <v>4924</v>
      </c>
      <c r="P60" t="s">
        <v>2</v>
      </c>
      <c r="Q60">
        <v>1</v>
      </c>
    </row>
    <row r="61" spans="1:17" x14ac:dyDescent="0.25">
      <c r="A61">
        <v>4</v>
      </c>
      <c r="B61" t="s">
        <v>4927</v>
      </c>
      <c r="C61" t="s">
        <v>19</v>
      </c>
      <c r="D61" t="s">
        <v>2</v>
      </c>
      <c r="G61">
        <v>205942</v>
      </c>
      <c r="H61" t="s">
        <v>4928</v>
      </c>
      <c r="I61" t="s">
        <v>4928</v>
      </c>
      <c r="J61">
        <v>205942</v>
      </c>
      <c r="K61" t="s">
        <v>4929</v>
      </c>
      <c r="L61">
        <v>7</v>
      </c>
      <c r="N61" t="s">
        <v>4713</v>
      </c>
      <c r="O61">
        <v>205942</v>
      </c>
      <c r="P61" t="s">
        <v>2</v>
      </c>
      <c r="Q61">
        <v>1</v>
      </c>
    </row>
    <row r="62" spans="1:17" x14ac:dyDescent="0.25">
      <c r="A62">
        <v>4</v>
      </c>
      <c r="B62" t="s">
        <v>4930</v>
      </c>
      <c r="C62" t="s">
        <v>19</v>
      </c>
      <c r="D62" t="s">
        <v>2</v>
      </c>
      <c r="G62">
        <v>21488</v>
      </c>
      <c r="H62" t="s">
        <v>4931</v>
      </c>
      <c r="I62" t="s">
        <v>4932</v>
      </c>
      <c r="J62">
        <v>21488</v>
      </c>
      <c r="K62" t="s">
        <v>4933</v>
      </c>
      <c r="L62">
        <v>236</v>
      </c>
      <c r="O62">
        <v>21488</v>
      </c>
      <c r="P62" t="s">
        <v>2</v>
      </c>
      <c r="Q62">
        <v>1</v>
      </c>
    </row>
    <row r="63" spans="1:17" x14ac:dyDescent="0.25">
      <c r="A63">
        <v>4</v>
      </c>
      <c r="B63" t="s">
        <v>4934</v>
      </c>
      <c r="C63" t="s">
        <v>19</v>
      </c>
      <c r="D63" t="s">
        <v>2</v>
      </c>
      <c r="G63">
        <v>21490</v>
      </c>
      <c r="H63" t="s">
        <v>4935</v>
      </c>
      <c r="I63" t="s">
        <v>4936</v>
      </c>
      <c r="J63">
        <v>21490</v>
      </c>
      <c r="K63" t="s">
        <v>4937</v>
      </c>
      <c r="L63">
        <v>154</v>
      </c>
      <c r="O63">
        <v>21490</v>
      </c>
      <c r="P63" t="s">
        <v>2</v>
      </c>
      <c r="Q63">
        <v>1</v>
      </c>
    </row>
    <row r="64" spans="1:17" x14ac:dyDescent="0.25">
      <c r="A64">
        <v>4</v>
      </c>
      <c r="B64" t="s">
        <v>4938</v>
      </c>
      <c r="C64" t="s">
        <v>19</v>
      </c>
      <c r="D64" t="s">
        <v>2</v>
      </c>
      <c r="G64">
        <v>21492</v>
      </c>
      <c r="H64" t="s">
        <v>4939</v>
      </c>
      <c r="I64" t="s">
        <v>4940</v>
      </c>
      <c r="J64">
        <v>21492</v>
      </c>
      <c r="K64" t="s">
        <v>4941</v>
      </c>
      <c r="L64">
        <v>2</v>
      </c>
      <c r="N64" t="s">
        <v>4713</v>
      </c>
      <c r="O64">
        <v>21492</v>
      </c>
      <c r="P64" t="s">
        <v>2</v>
      </c>
      <c r="Q64">
        <v>1</v>
      </c>
    </row>
    <row r="65" spans="1:17" x14ac:dyDescent="0.25">
      <c r="A65">
        <v>4</v>
      </c>
      <c r="B65" t="s">
        <v>4942</v>
      </c>
      <c r="C65" t="s">
        <v>19</v>
      </c>
      <c r="D65" t="s">
        <v>2</v>
      </c>
      <c r="G65">
        <v>21494</v>
      </c>
      <c r="H65" t="s">
        <v>4943</v>
      </c>
      <c r="I65" t="s">
        <v>4944</v>
      </c>
      <c r="J65">
        <v>21494</v>
      </c>
      <c r="K65" t="s">
        <v>4945</v>
      </c>
      <c r="L65">
        <v>20</v>
      </c>
      <c r="O65">
        <v>21494</v>
      </c>
      <c r="P65" t="s">
        <v>2</v>
      </c>
      <c r="Q65">
        <v>1</v>
      </c>
    </row>
    <row r="66" spans="1:17" x14ac:dyDescent="0.25">
      <c r="A66">
        <v>4</v>
      </c>
      <c r="B66" t="s">
        <v>4946</v>
      </c>
      <c r="C66" t="s">
        <v>19</v>
      </c>
      <c r="D66" t="s">
        <v>2</v>
      </c>
      <c r="G66">
        <v>21496</v>
      </c>
      <c r="H66" t="s">
        <v>4947</v>
      </c>
      <c r="I66" t="s">
        <v>4948</v>
      </c>
      <c r="J66">
        <v>21496</v>
      </c>
      <c r="K66" t="s">
        <v>4949</v>
      </c>
      <c r="L66">
        <v>9</v>
      </c>
      <c r="N66" t="s">
        <v>4713</v>
      </c>
      <c r="O66">
        <v>21496</v>
      </c>
      <c r="P66" t="s">
        <v>2</v>
      </c>
      <c r="Q66">
        <v>1</v>
      </c>
    </row>
    <row r="67" spans="1:17" x14ac:dyDescent="0.25">
      <c r="A67">
        <v>4</v>
      </c>
      <c r="B67" t="s">
        <v>4950</v>
      </c>
      <c r="C67" t="s">
        <v>19</v>
      </c>
      <c r="D67" t="s">
        <v>2</v>
      </c>
      <c r="G67">
        <v>21498</v>
      </c>
      <c r="H67" t="s">
        <v>4951</v>
      </c>
      <c r="I67" t="s">
        <v>4952</v>
      </c>
      <c r="J67">
        <v>21498</v>
      </c>
      <c r="K67" t="s">
        <v>4953</v>
      </c>
      <c r="L67">
        <v>23</v>
      </c>
      <c r="O67">
        <v>21498</v>
      </c>
      <c r="P67" t="s">
        <v>2</v>
      </c>
      <c r="Q67">
        <v>1</v>
      </c>
    </row>
    <row r="68" spans="1:17" x14ac:dyDescent="0.25">
      <c r="A68">
        <v>4</v>
      </c>
      <c r="B68" t="s">
        <v>4954</v>
      </c>
      <c r="C68" t="s">
        <v>19</v>
      </c>
      <c r="D68" t="s">
        <v>2</v>
      </c>
      <c r="G68">
        <v>21500</v>
      </c>
      <c r="H68" t="s">
        <v>4955</v>
      </c>
      <c r="I68" t="s">
        <v>4956</v>
      </c>
      <c r="J68">
        <v>21500</v>
      </c>
      <c r="K68" t="s">
        <v>4957</v>
      </c>
      <c r="L68">
        <v>454</v>
      </c>
      <c r="O68">
        <v>21500</v>
      </c>
      <c r="P68" t="s">
        <v>2</v>
      </c>
      <c r="Q68">
        <v>1</v>
      </c>
    </row>
    <row r="69" spans="1:17" x14ac:dyDescent="0.25">
      <c r="A69">
        <v>4</v>
      </c>
      <c r="B69" t="s">
        <v>4958</v>
      </c>
      <c r="C69" t="s">
        <v>19</v>
      </c>
      <c r="D69" t="s">
        <v>2</v>
      </c>
      <c r="G69">
        <v>21504</v>
      </c>
      <c r="H69" t="s">
        <v>4959</v>
      </c>
      <c r="I69" t="s">
        <v>4960</v>
      </c>
      <c r="J69">
        <v>21504</v>
      </c>
      <c r="K69" t="s">
        <v>4961</v>
      </c>
      <c r="L69">
        <v>3</v>
      </c>
      <c r="N69" t="s">
        <v>4713</v>
      </c>
      <c r="O69">
        <v>21504</v>
      </c>
      <c r="P69" t="s">
        <v>2</v>
      </c>
      <c r="Q69">
        <v>1</v>
      </c>
    </row>
    <row r="70" spans="1:17" x14ac:dyDescent="0.25">
      <c r="A70">
        <v>3</v>
      </c>
      <c r="B70" t="s">
        <v>4962</v>
      </c>
      <c r="C70" t="s">
        <v>19</v>
      </c>
      <c r="D70" t="s">
        <v>2</v>
      </c>
      <c r="F70" t="s">
        <v>4963</v>
      </c>
      <c r="H70" t="s">
        <v>4964</v>
      </c>
      <c r="I70" t="s">
        <v>4965</v>
      </c>
      <c r="J70" t="s">
        <v>4963</v>
      </c>
      <c r="O70" t="s">
        <v>4963</v>
      </c>
      <c r="P70" t="s">
        <v>2</v>
      </c>
      <c r="Q70">
        <v>1</v>
      </c>
    </row>
    <row r="71" spans="1:17" x14ac:dyDescent="0.25">
      <c r="A71">
        <v>4</v>
      </c>
      <c r="B71" t="s">
        <v>4966</v>
      </c>
      <c r="C71" t="s">
        <v>19</v>
      </c>
      <c r="D71" t="s">
        <v>2</v>
      </c>
      <c r="G71">
        <v>21506</v>
      </c>
      <c r="H71" t="s">
        <v>4967</v>
      </c>
      <c r="I71" t="s">
        <v>4968</v>
      </c>
      <c r="J71">
        <v>21506</v>
      </c>
      <c r="K71" t="s">
        <v>4969</v>
      </c>
      <c r="L71">
        <v>4</v>
      </c>
      <c r="N71" t="s">
        <v>4713</v>
      </c>
      <c r="O71">
        <v>21506</v>
      </c>
      <c r="P71" t="s">
        <v>2</v>
      </c>
      <c r="Q71">
        <v>1</v>
      </c>
    </row>
    <row r="72" spans="1:17" x14ac:dyDescent="0.25">
      <c r="A72">
        <v>4</v>
      </c>
      <c r="B72" t="s">
        <v>4970</v>
      </c>
      <c r="C72" t="s">
        <v>19</v>
      </c>
      <c r="D72" t="s">
        <v>2</v>
      </c>
      <c r="G72">
        <v>21508</v>
      </c>
      <c r="H72" t="s">
        <v>4971</v>
      </c>
      <c r="I72" t="s">
        <v>4972</v>
      </c>
      <c r="J72">
        <v>21508</v>
      </c>
      <c r="K72" t="s">
        <v>4973</v>
      </c>
      <c r="L72">
        <v>5</v>
      </c>
      <c r="N72" t="s">
        <v>4713</v>
      </c>
      <c r="O72">
        <v>21508</v>
      </c>
      <c r="P72" t="s">
        <v>2</v>
      </c>
      <c r="Q72">
        <v>1</v>
      </c>
    </row>
    <row r="73" spans="1:17" x14ac:dyDescent="0.25">
      <c r="A73">
        <v>3</v>
      </c>
      <c r="B73" t="s">
        <v>4974</v>
      </c>
      <c r="C73" t="s">
        <v>19</v>
      </c>
      <c r="D73" t="s">
        <v>2</v>
      </c>
      <c r="F73" t="s">
        <v>4975</v>
      </c>
      <c r="H73" t="s">
        <v>4976</v>
      </c>
      <c r="I73" t="s">
        <v>4977</v>
      </c>
      <c r="J73" t="s">
        <v>4975</v>
      </c>
      <c r="O73" t="s">
        <v>4975</v>
      </c>
      <c r="P73" t="s">
        <v>2</v>
      </c>
      <c r="Q73">
        <v>1</v>
      </c>
    </row>
    <row r="74" spans="1:17" x14ac:dyDescent="0.25">
      <c r="A74">
        <v>4</v>
      </c>
      <c r="B74" t="s">
        <v>4978</v>
      </c>
      <c r="C74" t="s">
        <v>19</v>
      </c>
      <c r="D74" t="s">
        <v>2</v>
      </c>
      <c r="G74">
        <v>21516</v>
      </c>
      <c r="H74" t="s">
        <v>4979</v>
      </c>
      <c r="I74" t="s">
        <v>4980</v>
      </c>
      <c r="J74">
        <v>21516</v>
      </c>
      <c r="K74" t="s">
        <v>4981</v>
      </c>
      <c r="L74">
        <v>122</v>
      </c>
      <c r="O74">
        <v>21516</v>
      </c>
      <c r="P74" t="s">
        <v>2</v>
      </c>
      <c r="Q74">
        <v>1</v>
      </c>
    </row>
    <row r="75" spans="1:17" x14ac:dyDescent="0.25">
      <c r="A75">
        <v>4</v>
      </c>
      <c r="B75" t="s">
        <v>4982</v>
      </c>
      <c r="C75" t="s">
        <v>19</v>
      </c>
      <c r="D75" t="s">
        <v>2</v>
      </c>
      <c r="G75">
        <v>21518</v>
      </c>
      <c r="H75" t="s">
        <v>4983</v>
      </c>
      <c r="I75" t="s">
        <v>4984</v>
      </c>
      <c r="J75">
        <v>21518</v>
      </c>
      <c r="K75" t="s">
        <v>4985</v>
      </c>
      <c r="L75">
        <v>6</v>
      </c>
      <c r="N75" t="s">
        <v>4713</v>
      </c>
      <c r="O75">
        <v>21518</v>
      </c>
      <c r="P75" t="s">
        <v>2</v>
      </c>
      <c r="Q75">
        <v>1</v>
      </c>
    </row>
    <row r="76" spans="1:17" x14ac:dyDescent="0.25">
      <c r="A76">
        <v>4</v>
      </c>
      <c r="B76" t="s">
        <v>4986</v>
      </c>
      <c r="C76" t="s">
        <v>19</v>
      </c>
      <c r="D76" t="s">
        <v>2</v>
      </c>
      <c r="G76">
        <v>21520</v>
      </c>
      <c r="H76" t="s">
        <v>3445</v>
      </c>
      <c r="I76" t="s">
        <v>973</v>
      </c>
      <c r="J76">
        <v>21520</v>
      </c>
      <c r="K76" t="s">
        <v>4987</v>
      </c>
      <c r="L76">
        <v>9</v>
      </c>
      <c r="N76" t="s">
        <v>4713</v>
      </c>
      <c r="O76">
        <v>21520</v>
      </c>
      <c r="P76" t="s">
        <v>2</v>
      </c>
      <c r="Q76">
        <v>1</v>
      </c>
    </row>
    <row r="77" spans="1:17" x14ac:dyDescent="0.25">
      <c r="A77">
        <v>4</v>
      </c>
      <c r="B77" t="s">
        <v>4988</v>
      </c>
      <c r="C77" t="s">
        <v>19</v>
      </c>
      <c r="D77" t="s">
        <v>2</v>
      </c>
      <c r="G77">
        <v>21621</v>
      </c>
      <c r="H77" t="s">
        <v>4989</v>
      </c>
      <c r="I77" t="s">
        <v>4990</v>
      </c>
      <c r="J77">
        <v>21621</v>
      </c>
      <c r="K77" t="s">
        <v>4991</v>
      </c>
      <c r="L77">
        <v>4</v>
      </c>
      <c r="N77" t="s">
        <v>4713</v>
      </c>
      <c r="O77">
        <v>21621</v>
      </c>
      <c r="P77" t="s">
        <v>2</v>
      </c>
      <c r="Q77">
        <v>1</v>
      </c>
    </row>
    <row r="78" spans="1:17" x14ac:dyDescent="0.25">
      <c r="A78">
        <v>4</v>
      </c>
      <c r="B78" t="s">
        <v>4992</v>
      </c>
      <c r="C78" t="s">
        <v>19</v>
      </c>
      <c r="D78" t="s">
        <v>2</v>
      </c>
      <c r="G78">
        <v>21623</v>
      </c>
      <c r="H78" t="s">
        <v>4993</v>
      </c>
      <c r="I78" t="s">
        <v>4994</v>
      </c>
      <c r="J78">
        <v>21623</v>
      </c>
      <c r="K78" t="s">
        <v>4995</v>
      </c>
      <c r="L78">
        <v>1</v>
      </c>
      <c r="N78" t="s">
        <v>4734</v>
      </c>
      <c r="O78">
        <v>21623</v>
      </c>
      <c r="P78" t="s">
        <v>2</v>
      </c>
      <c r="Q78">
        <v>1</v>
      </c>
    </row>
    <row r="79" spans="1:17" x14ac:dyDescent="0.25">
      <c r="A79">
        <v>4</v>
      </c>
      <c r="B79" t="s">
        <v>4996</v>
      </c>
      <c r="C79" t="s">
        <v>19</v>
      </c>
      <c r="D79" t="s">
        <v>2</v>
      </c>
      <c r="G79">
        <v>21625</v>
      </c>
      <c r="H79" t="s">
        <v>4997</v>
      </c>
      <c r="I79" t="s">
        <v>4998</v>
      </c>
      <c r="J79">
        <v>21625</v>
      </c>
      <c r="K79" t="s">
        <v>4999</v>
      </c>
      <c r="L79">
        <v>14</v>
      </c>
      <c r="O79">
        <v>21625</v>
      </c>
      <c r="P79" t="s">
        <v>2</v>
      </c>
      <c r="Q79">
        <v>1</v>
      </c>
    </row>
    <row r="80" spans="1:17" x14ac:dyDescent="0.25">
      <c r="A80">
        <v>4</v>
      </c>
      <c r="B80" t="s">
        <v>5000</v>
      </c>
      <c r="C80" t="s">
        <v>19</v>
      </c>
      <c r="D80" t="s">
        <v>2</v>
      </c>
      <c r="G80">
        <v>21627</v>
      </c>
      <c r="H80" t="s">
        <v>5001</v>
      </c>
      <c r="I80" t="s">
        <v>5002</v>
      </c>
      <c r="J80">
        <v>21627</v>
      </c>
      <c r="K80" t="s">
        <v>5003</v>
      </c>
      <c r="L80">
        <v>35</v>
      </c>
      <c r="O80">
        <v>21627</v>
      </c>
      <c r="P80" t="s">
        <v>2</v>
      </c>
      <c r="Q80">
        <v>1</v>
      </c>
    </row>
    <row r="81" spans="1:17" x14ac:dyDescent="0.25">
      <c r="A81">
        <v>4</v>
      </c>
      <c r="B81" t="s">
        <v>5004</v>
      </c>
      <c r="C81" t="s">
        <v>19</v>
      </c>
      <c r="D81" t="s">
        <v>2</v>
      </c>
      <c r="G81">
        <v>21629</v>
      </c>
      <c r="H81" t="s">
        <v>5005</v>
      </c>
      <c r="I81" t="s">
        <v>5006</v>
      </c>
      <c r="J81">
        <v>21629</v>
      </c>
      <c r="K81" t="s">
        <v>5007</v>
      </c>
      <c r="L81">
        <v>5</v>
      </c>
      <c r="N81" t="s">
        <v>4713</v>
      </c>
      <c r="O81">
        <v>21629</v>
      </c>
      <c r="P81" t="s">
        <v>2</v>
      </c>
      <c r="Q81">
        <v>1</v>
      </c>
    </row>
    <row r="82" spans="1:17" x14ac:dyDescent="0.25">
      <c r="A82">
        <v>4</v>
      </c>
      <c r="B82" t="s">
        <v>5008</v>
      </c>
      <c r="C82" t="s">
        <v>19</v>
      </c>
      <c r="D82" t="s">
        <v>2</v>
      </c>
      <c r="G82">
        <v>21633</v>
      </c>
      <c r="H82" t="s">
        <v>5009</v>
      </c>
      <c r="I82" t="s">
        <v>5010</v>
      </c>
      <c r="J82">
        <v>21633</v>
      </c>
      <c r="K82" t="s">
        <v>5011</v>
      </c>
      <c r="L82">
        <v>5</v>
      </c>
      <c r="N82" t="s">
        <v>4713</v>
      </c>
      <c r="O82">
        <v>21633</v>
      </c>
      <c r="P82" t="s">
        <v>2</v>
      </c>
      <c r="Q82">
        <v>1</v>
      </c>
    </row>
    <row r="83" spans="1:17" x14ac:dyDescent="0.25">
      <c r="A83">
        <v>4</v>
      </c>
      <c r="B83" t="s">
        <v>5012</v>
      </c>
      <c r="C83" t="s">
        <v>19</v>
      </c>
      <c r="D83" t="s">
        <v>2</v>
      </c>
      <c r="G83">
        <v>21635</v>
      </c>
      <c r="H83" t="s">
        <v>5013</v>
      </c>
      <c r="I83" t="s">
        <v>5014</v>
      </c>
      <c r="J83">
        <v>21635</v>
      </c>
      <c r="K83" t="s">
        <v>5015</v>
      </c>
      <c r="L83">
        <v>5</v>
      </c>
      <c r="N83" t="s">
        <v>4713</v>
      </c>
      <c r="O83">
        <v>21635</v>
      </c>
      <c r="P83" t="s">
        <v>2</v>
      </c>
      <c r="Q83">
        <v>1</v>
      </c>
    </row>
    <row r="84" spans="1:17" x14ac:dyDescent="0.25">
      <c r="A84">
        <v>4</v>
      </c>
      <c r="B84" t="s">
        <v>5016</v>
      </c>
      <c r="C84" t="s">
        <v>19</v>
      </c>
      <c r="D84" t="s">
        <v>2</v>
      </c>
      <c r="G84">
        <v>21637</v>
      </c>
      <c r="H84" t="s">
        <v>5017</v>
      </c>
      <c r="I84" t="s">
        <v>5018</v>
      </c>
      <c r="J84">
        <v>21637</v>
      </c>
      <c r="K84" t="s">
        <v>5019</v>
      </c>
      <c r="L84">
        <v>24</v>
      </c>
      <c r="O84">
        <v>21637</v>
      </c>
      <c r="P84" t="s">
        <v>2</v>
      </c>
      <c r="Q84">
        <v>1</v>
      </c>
    </row>
    <row r="85" spans="1:17" x14ac:dyDescent="0.25">
      <c r="A85">
        <v>4</v>
      </c>
      <c r="B85" t="s">
        <v>5020</v>
      </c>
      <c r="C85" t="s">
        <v>19</v>
      </c>
      <c r="D85" t="s">
        <v>2</v>
      </c>
      <c r="G85">
        <v>21639</v>
      </c>
      <c r="H85" t="s">
        <v>5021</v>
      </c>
      <c r="I85" t="s">
        <v>5022</v>
      </c>
      <c r="J85">
        <v>21639</v>
      </c>
      <c r="K85" t="s">
        <v>5023</v>
      </c>
      <c r="L85">
        <v>9</v>
      </c>
      <c r="N85" t="s">
        <v>4713</v>
      </c>
      <c r="O85">
        <v>21639</v>
      </c>
      <c r="P85" t="s">
        <v>2</v>
      </c>
      <c r="Q85">
        <v>1</v>
      </c>
    </row>
    <row r="86" spans="1:17" x14ac:dyDescent="0.25">
      <c r="A86">
        <v>4</v>
      </c>
      <c r="B86" t="s">
        <v>5024</v>
      </c>
      <c r="C86" t="s">
        <v>19</v>
      </c>
      <c r="D86" t="s">
        <v>2</v>
      </c>
      <c r="G86">
        <v>21642</v>
      </c>
      <c r="H86" t="s">
        <v>5025</v>
      </c>
      <c r="I86" t="s">
        <v>5026</v>
      </c>
      <c r="J86">
        <v>21642</v>
      </c>
      <c r="K86" t="s">
        <v>5027</v>
      </c>
      <c r="L86">
        <v>51</v>
      </c>
      <c r="O86">
        <v>21642</v>
      </c>
      <c r="P86" t="s">
        <v>2</v>
      </c>
      <c r="Q86">
        <v>1</v>
      </c>
    </row>
    <row r="87" spans="1:17" x14ac:dyDescent="0.25">
      <c r="A87">
        <v>4</v>
      </c>
      <c r="B87" t="s">
        <v>5028</v>
      </c>
      <c r="C87" t="s">
        <v>19</v>
      </c>
      <c r="D87" t="s">
        <v>2</v>
      </c>
      <c r="G87">
        <v>21644</v>
      </c>
      <c r="H87" t="s">
        <v>5029</v>
      </c>
      <c r="I87" t="s">
        <v>5030</v>
      </c>
      <c r="J87">
        <v>21644</v>
      </c>
      <c r="K87" t="s">
        <v>5031</v>
      </c>
      <c r="L87">
        <v>14</v>
      </c>
      <c r="O87">
        <v>21644</v>
      </c>
      <c r="P87" t="s">
        <v>2</v>
      </c>
      <c r="Q87">
        <v>1</v>
      </c>
    </row>
    <row r="88" spans="1:17" x14ac:dyDescent="0.25">
      <c r="A88">
        <v>4</v>
      </c>
      <c r="B88" t="s">
        <v>5032</v>
      </c>
      <c r="C88" t="s">
        <v>19</v>
      </c>
      <c r="D88" t="s">
        <v>2</v>
      </c>
      <c r="G88">
        <v>21646</v>
      </c>
      <c r="H88" t="s">
        <v>5033</v>
      </c>
      <c r="I88" t="s">
        <v>5034</v>
      </c>
      <c r="J88">
        <v>21646</v>
      </c>
      <c r="K88" t="s">
        <v>5035</v>
      </c>
      <c r="L88">
        <v>14</v>
      </c>
      <c r="O88">
        <v>21646</v>
      </c>
      <c r="P88" t="s">
        <v>2</v>
      </c>
      <c r="Q88">
        <v>1</v>
      </c>
    </row>
    <row r="89" spans="1:17" x14ac:dyDescent="0.25">
      <c r="A89">
        <v>4</v>
      </c>
      <c r="B89" t="s">
        <v>5036</v>
      </c>
      <c r="C89" t="s">
        <v>19</v>
      </c>
      <c r="D89" t="s">
        <v>2</v>
      </c>
      <c r="G89">
        <v>21650</v>
      </c>
      <c r="H89" t="s">
        <v>5037</v>
      </c>
      <c r="I89" t="s">
        <v>5038</v>
      </c>
      <c r="J89">
        <v>21650</v>
      </c>
      <c r="K89" t="s">
        <v>5039</v>
      </c>
      <c r="L89">
        <v>20</v>
      </c>
      <c r="O89">
        <v>21650</v>
      </c>
      <c r="P89" t="s">
        <v>2</v>
      </c>
      <c r="Q89">
        <v>1</v>
      </c>
    </row>
    <row r="90" spans="1:17" x14ac:dyDescent="0.25">
      <c r="A90">
        <v>4</v>
      </c>
      <c r="B90" t="s">
        <v>5040</v>
      </c>
      <c r="C90" t="s">
        <v>19</v>
      </c>
      <c r="D90" t="s">
        <v>2</v>
      </c>
      <c r="G90">
        <v>21652</v>
      </c>
      <c r="H90" t="s">
        <v>5041</v>
      </c>
      <c r="I90" t="s">
        <v>5042</v>
      </c>
      <c r="J90">
        <v>21652</v>
      </c>
      <c r="K90" t="s">
        <v>5043</v>
      </c>
      <c r="L90">
        <v>10</v>
      </c>
      <c r="O90">
        <v>21652</v>
      </c>
      <c r="P90" t="s">
        <v>2</v>
      </c>
      <c r="Q90">
        <v>1</v>
      </c>
    </row>
    <row r="91" spans="1:17" x14ac:dyDescent="0.25">
      <c r="A91">
        <v>4</v>
      </c>
      <c r="B91" t="s">
        <v>5044</v>
      </c>
      <c r="C91" t="s">
        <v>19</v>
      </c>
      <c r="D91" t="s">
        <v>2</v>
      </c>
      <c r="G91">
        <v>21654</v>
      </c>
      <c r="H91" t="s">
        <v>5045</v>
      </c>
      <c r="I91" t="s">
        <v>5046</v>
      </c>
      <c r="J91">
        <v>21654</v>
      </c>
      <c r="K91" t="s">
        <v>5047</v>
      </c>
      <c r="L91">
        <v>10</v>
      </c>
      <c r="O91">
        <v>21654</v>
      </c>
      <c r="P91" t="s">
        <v>2</v>
      </c>
      <c r="Q91">
        <v>1</v>
      </c>
    </row>
    <row r="92" spans="1:17" x14ac:dyDescent="0.25">
      <c r="A92">
        <v>4</v>
      </c>
      <c r="B92" t="s">
        <v>5048</v>
      </c>
      <c r="C92" t="s">
        <v>19</v>
      </c>
      <c r="D92" t="s">
        <v>2</v>
      </c>
      <c r="G92">
        <v>21988</v>
      </c>
      <c r="H92" t="s">
        <v>5049</v>
      </c>
      <c r="I92" t="s">
        <v>5050</v>
      </c>
      <c r="J92">
        <v>21988</v>
      </c>
      <c r="K92" t="s">
        <v>5051</v>
      </c>
      <c r="L92">
        <v>56</v>
      </c>
      <c r="O92">
        <v>21988</v>
      </c>
      <c r="P92" t="s">
        <v>2</v>
      </c>
      <c r="Q92">
        <v>1</v>
      </c>
    </row>
    <row r="93" spans="1:17" x14ac:dyDescent="0.25">
      <c r="A93">
        <v>4</v>
      </c>
      <c r="B93" t="s">
        <v>5052</v>
      </c>
      <c r="C93" t="s">
        <v>19</v>
      </c>
      <c r="D93" t="s">
        <v>2</v>
      </c>
      <c r="G93">
        <v>227430</v>
      </c>
      <c r="H93" t="s">
        <v>5053</v>
      </c>
      <c r="I93" t="s">
        <v>5053</v>
      </c>
      <c r="J93">
        <v>227430</v>
      </c>
      <c r="K93" t="s">
        <v>5054</v>
      </c>
      <c r="L93">
        <v>30</v>
      </c>
      <c r="O93">
        <v>227430</v>
      </c>
      <c r="P93" t="s">
        <v>2</v>
      </c>
      <c r="Q93">
        <v>1</v>
      </c>
    </row>
    <row r="94" spans="1:17" x14ac:dyDescent="0.25">
      <c r="A94">
        <v>4</v>
      </c>
      <c r="B94" t="s">
        <v>5055</v>
      </c>
      <c r="C94" t="s">
        <v>19</v>
      </c>
      <c r="D94" t="s">
        <v>2</v>
      </c>
      <c r="G94">
        <v>341456</v>
      </c>
      <c r="H94" t="s">
        <v>5056</v>
      </c>
      <c r="I94" t="s">
        <v>5057</v>
      </c>
      <c r="J94">
        <v>341456</v>
      </c>
      <c r="K94" t="s">
        <v>5058</v>
      </c>
      <c r="L94">
        <v>13</v>
      </c>
      <c r="O94">
        <v>341456</v>
      </c>
      <c r="P94" t="s">
        <v>2</v>
      </c>
      <c r="Q94">
        <v>1</v>
      </c>
    </row>
    <row r="95" spans="1:17" x14ac:dyDescent="0.25">
      <c r="A95">
        <v>4</v>
      </c>
      <c r="B95" t="s">
        <v>5059</v>
      </c>
      <c r="C95" t="s">
        <v>19</v>
      </c>
      <c r="D95" t="s">
        <v>2</v>
      </c>
      <c r="G95">
        <v>37832</v>
      </c>
      <c r="H95" t="s">
        <v>5060</v>
      </c>
      <c r="I95" t="s">
        <v>5061</v>
      </c>
      <c r="J95">
        <v>37832</v>
      </c>
      <c r="K95" t="s">
        <v>5062</v>
      </c>
      <c r="L95">
        <v>11</v>
      </c>
      <c r="O95">
        <v>37832</v>
      </c>
      <c r="P95" t="s">
        <v>2</v>
      </c>
      <c r="Q95">
        <v>1</v>
      </c>
    </row>
    <row r="96" spans="1:17" x14ac:dyDescent="0.25">
      <c r="A96">
        <v>4</v>
      </c>
      <c r="B96" t="s">
        <v>5063</v>
      </c>
      <c r="C96" t="s">
        <v>19</v>
      </c>
      <c r="D96" t="s">
        <v>2</v>
      </c>
      <c r="G96">
        <v>37834</v>
      </c>
      <c r="H96" t="s">
        <v>5064</v>
      </c>
      <c r="I96" t="s">
        <v>5065</v>
      </c>
      <c r="J96">
        <v>37834</v>
      </c>
      <c r="K96" t="s">
        <v>5066</v>
      </c>
      <c r="L96">
        <v>13</v>
      </c>
      <c r="O96">
        <v>37834</v>
      </c>
      <c r="P96" t="s">
        <v>2</v>
      </c>
      <c r="Q96">
        <v>1</v>
      </c>
    </row>
    <row r="97" spans="1:17" x14ac:dyDescent="0.25">
      <c r="A97">
        <v>3</v>
      </c>
      <c r="B97" t="s">
        <v>5067</v>
      </c>
      <c r="C97" t="s">
        <v>19</v>
      </c>
      <c r="D97" t="s">
        <v>2</v>
      </c>
      <c r="F97" t="s">
        <v>5068</v>
      </c>
      <c r="H97" t="s">
        <v>5069</v>
      </c>
      <c r="I97" t="s">
        <v>5070</v>
      </c>
      <c r="J97" t="s">
        <v>5068</v>
      </c>
      <c r="O97" t="s">
        <v>5068</v>
      </c>
      <c r="P97" t="s">
        <v>2</v>
      </c>
      <c r="Q97">
        <v>1</v>
      </c>
    </row>
    <row r="98" spans="1:17" x14ac:dyDescent="0.25">
      <c r="A98">
        <v>4</v>
      </c>
      <c r="B98" t="s">
        <v>5071</v>
      </c>
      <c r="C98" t="s">
        <v>19</v>
      </c>
      <c r="D98" t="s">
        <v>2</v>
      </c>
      <c r="G98">
        <v>21522</v>
      </c>
      <c r="H98" t="s">
        <v>5072</v>
      </c>
      <c r="I98" t="s">
        <v>5073</v>
      </c>
      <c r="J98">
        <v>21522</v>
      </c>
      <c r="K98" t="s">
        <v>5074</v>
      </c>
      <c r="L98">
        <v>434</v>
      </c>
      <c r="O98">
        <v>21522</v>
      </c>
      <c r="P98" t="s">
        <v>2</v>
      </c>
      <c r="Q98">
        <v>1</v>
      </c>
    </row>
    <row r="99" spans="1:17" x14ac:dyDescent="0.25">
      <c r="A99">
        <v>4</v>
      </c>
      <c r="B99" t="s">
        <v>5075</v>
      </c>
      <c r="C99" t="s">
        <v>19</v>
      </c>
      <c r="D99" t="s">
        <v>2</v>
      </c>
      <c r="G99">
        <v>21524</v>
      </c>
      <c r="H99" t="s">
        <v>5076</v>
      </c>
      <c r="I99" t="s">
        <v>5077</v>
      </c>
      <c r="J99">
        <v>21524</v>
      </c>
      <c r="K99" t="s">
        <v>5078</v>
      </c>
      <c r="L99">
        <v>29</v>
      </c>
      <c r="O99">
        <v>21524</v>
      </c>
      <c r="P99" t="s">
        <v>2</v>
      </c>
      <c r="Q99">
        <v>1</v>
      </c>
    </row>
    <row r="100" spans="1:17" x14ac:dyDescent="0.25">
      <c r="A100">
        <v>3</v>
      </c>
      <c r="B100" t="s">
        <v>5079</v>
      </c>
      <c r="C100" t="s">
        <v>19</v>
      </c>
      <c r="D100" t="s">
        <v>2</v>
      </c>
      <c r="F100" t="s">
        <v>5080</v>
      </c>
      <c r="H100" t="s">
        <v>5081</v>
      </c>
      <c r="I100" t="s">
        <v>5082</v>
      </c>
      <c r="J100" t="s">
        <v>5080</v>
      </c>
      <c r="O100" t="s">
        <v>5080</v>
      </c>
      <c r="P100" t="s">
        <v>2</v>
      </c>
      <c r="Q100">
        <v>1</v>
      </c>
    </row>
    <row r="101" spans="1:17" x14ac:dyDescent="0.25">
      <c r="A101">
        <v>4</v>
      </c>
      <c r="B101" t="s">
        <v>5083</v>
      </c>
      <c r="C101" t="s">
        <v>19</v>
      </c>
      <c r="D101" t="s">
        <v>2</v>
      </c>
      <c r="G101">
        <v>203642</v>
      </c>
      <c r="H101" t="s">
        <v>5084</v>
      </c>
      <c r="I101" t="s">
        <v>5085</v>
      </c>
      <c r="J101">
        <v>203642</v>
      </c>
      <c r="K101" t="s">
        <v>5086</v>
      </c>
      <c r="L101">
        <v>29</v>
      </c>
      <c r="O101">
        <v>203642</v>
      </c>
      <c r="P101" t="s">
        <v>2</v>
      </c>
      <c r="Q101">
        <v>1</v>
      </c>
    </row>
    <row r="102" spans="1:17" x14ac:dyDescent="0.25">
      <c r="A102">
        <v>4</v>
      </c>
      <c r="B102" t="s">
        <v>5087</v>
      </c>
      <c r="C102" t="s">
        <v>19</v>
      </c>
      <c r="D102" t="s">
        <v>2</v>
      </c>
      <c r="G102">
        <v>203643</v>
      </c>
      <c r="H102" t="s">
        <v>5088</v>
      </c>
      <c r="I102" t="s">
        <v>5089</v>
      </c>
      <c r="J102">
        <v>203643</v>
      </c>
      <c r="K102" t="s">
        <v>5090</v>
      </c>
      <c r="L102">
        <v>21</v>
      </c>
      <c r="O102">
        <v>203643</v>
      </c>
      <c r="P102" t="s">
        <v>2</v>
      </c>
      <c r="Q102">
        <v>1</v>
      </c>
    </row>
    <row r="103" spans="1:17" x14ac:dyDescent="0.25">
      <c r="A103">
        <v>4</v>
      </c>
      <c r="B103" t="s">
        <v>5091</v>
      </c>
      <c r="C103" t="s">
        <v>19</v>
      </c>
      <c r="D103" t="s">
        <v>2</v>
      </c>
      <c r="G103">
        <v>203645</v>
      </c>
      <c r="H103" t="s">
        <v>5092</v>
      </c>
      <c r="I103" t="s">
        <v>5093</v>
      </c>
      <c r="J103">
        <v>203645</v>
      </c>
      <c r="K103" t="s">
        <v>5094</v>
      </c>
      <c r="L103">
        <v>17</v>
      </c>
      <c r="O103">
        <v>203645</v>
      </c>
      <c r="P103" t="s">
        <v>2</v>
      </c>
      <c r="Q103">
        <v>1</v>
      </c>
    </row>
    <row r="104" spans="1:17" x14ac:dyDescent="0.25">
      <c r="A104">
        <v>4</v>
      </c>
      <c r="B104" t="s">
        <v>5095</v>
      </c>
      <c r="C104" t="s">
        <v>19</v>
      </c>
      <c r="D104" t="s">
        <v>2</v>
      </c>
      <c r="G104">
        <v>21526</v>
      </c>
      <c r="H104" t="s">
        <v>5096</v>
      </c>
      <c r="I104" t="s">
        <v>5097</v>
      </c>
      <c r="J104">
        <v>21526</v>
      </c>
      <c r="K104" t="s">
        <v>5098</v>
      </c>
      <c r="L104">
        <v>854</v>
      </c>
      <c r="O104">
        <v>21526</v>
      </c>
      <c r="P104" t="s">
        <v>2</v>
      </c>
      <c r="Q104">
        <v>1</v>
      </c>
    </row>
    <row r="105" spans="1:17" x14ac:dyDescent="0.25">
      <c r="A105">
        <v>4</v>
      </c>
      <c r="B105" t="s">
        <v>5099</v>
      </c>
      <c r="C105" t="s">
        <v>19</v>
      </c>
      <c r="D105" t="s">
        <v>2</v>
      </c>
      <c r="G105">
        <v>21528</v>
      </c>
      <c r="H105" t="s">
        <v>5100</v>
      </c>
      <c r="I105" t="s">
        <v>5101</v>
      </c>
      <c r="J105">
        <v>21528</v>
      </c>
      <c r="K105" t="s">
        <v>5102</v>
      </c>
      <c r="L105">
        <v>15</v>
      </c>
      <c r="O105">
        <v>21528</v>
      </c>
      <c r="P105" t="s">
        <v>2</v>
      </c>
      <c r="Q105">
        <v>1</v>
      </c>
    </row>
    <row r="106" spans="1:17" x14ac:dyDescent="0.25">
      <c r="A106">
        <v>4</v>
      </c>
      <c r="B106" t="s">
        <v>5103</v>
      </c>
      <c r="C106" t="s">
        <v>19</v>
      </c>
      <c r="D106" t="s">
        <v>2</v>
      </c>
      <c r="G106">
        <v>21530</v>
      </c>
      <c r="H106" t="s">
        <v>5104</v>
      </c>
      <c r="I106" t="s">
        <v>5105</v>
      </c>
      <c r="J106">
        <v>21530</v>
      </c>
      <c r="K106" t="s">
        <v>5106</v>
      </c>
      <c r="L106">
        <v>9</v>
      </c>
      <c r="N106" t="s">
        <v>4713</v>
      </c>
      <c r="O106">
        <v>21530</v>
      </c>
      <c r="P106" t="s">
        <v>2</v>
      </c>
      <c r="Q106">
        <v>1</v>
      </c>
    </row>
    <row r="107" spans="1:17" x14ac:dyDescent="0.25">
      <c r="A107">
        <v>4</v>
      </c>
      <c r="B107" t="s">
        <v>5107</v>
      </c>
      <c r="C107" t="s">
        <v>19</v>
      </c>
      <c r="D107" t="s">
        <v>2</v>
      </c>
      <c r="G107">
        <v>21532</v>
      </c>
      <c r="H107" t="s">
        <v>5108</v>
      </c>
      <c r="I107" t="s">
        <v>5109</v>
      </c>
      <c r="J107">
        <v>21532</v>
      </c>
      <c r="K107" t="s">
        <v>5110</v>
      </c>
      <c r="L107">
        <v>38</v>
      </c>
      <c r="O107">
        <v>21532</v>
      </c>
      <c r="P107" t="s">
        <v>2</v>
      </c>
      <c r="Q107">
        <v>1</v>
      </c>
    </row>
    <row r="108" spans="1:17" x14ac:dyDescent="0.25">
      <c r="A108">
        <v>4</v>
      </c>
      <c r="B108" t="s">
        <v>5111</v>
      </c>
      <c r="C108" t="s">
        <v>19</v>
      </c>
      <c r="D108" t="s">
        <v>2</v>
      </c>
      <c r="G108">
        <v>21536</v>
      </c>
      <c r="H108" t="s">
        <v>5112</v>
      </c>
      <c r="I108" t="s">
        <v>5113</v>
      </c>
      <c r="J108">
        <v>21536</v>
      </c>
      <c r="K108" t="s">
        <v>5114</v>
      </c>
      <c r="L108">
        <v>76</v>
      </c>
      <c r="O108">
        <v>21536</v>
      </c>
      <c r="P108" t="s">
        <v>2</v>
      </c>
      <c r="Q108">
        <v>1</v>
      </c>
    </row>
    <row r="109" spans="1:17" x14ac:dyDescent="0.25">
      <c r="A109">
        <v>3</v>
      </c>
      <c r="B109" t="s">
        <v>5115</v>
      </c>
      <c r="C109" t="s">
        <v>19</v>
      </c>
      <c r="D109" t="s">
        <v>2</v>
      </c>
      <c r="F109" t="s">
        <v>5116</v>
      </c>
      <c r="H109" t="s">
        <v>5117</v>
      </c>
      <c r="I109" t="s">
        <v>5118</v>
      </c>
      <c r="J109" t="s">
        <v>5116</v>
      </c>
      <c r="O109" t="s">
        <v>5116</v>
      </c>
      <c r="P109" t="s">
        <v>2</v>
      </c>
      <c r="Q109">
        <v>1</v>
      </c>
    </row>
    <row r="110" spans="1:17" x14ac:dyDescent="0.25">
      <c r="A110">
        <v>4</v>
      </c>
      <c r="B110" t="s">
        <v>5119</v>
      </c>
      <c r="C110" t="s">
        <v>19</v>
      </c>
      <c r="D110" t="s">
        <v>2</v>
      </c>
      <c r="G110">
        <v>21546</v>
      </c>
      <c r="H110" t="s">
        <v>5120</v>
      </c>
      <c r="I110" t="s">
        <v>5118</v>
      </c>
      <c r="J110">
        <v>21546</v>
      </c>
      <c r="K110" t="s">
        <v>5121</v>
      </c>
      <c r="L110">
        <v>108</v>
      </c>
      <c r="O110">
        <v>21546</v>
      </c>
      <c r="P110" t="s">
        <v>2</v>
      </c>
      <c r="Q110">
        <v>1</v>
      </c>
    </row>
    <row r="111" spans="1:17" x14ac:dyDescent="0.25">
      <c r="A111">
        <v>3</v>
      </c>
      <c r="B111" t="s">
        <v>5122</v>
      </c>
      <c r="C111" t="s">
        <v>19</v>
      </c>
      <c r="D111" t="s">
        <v>2</v>
      </c>
      <c r="F111" t="s">
        <v>5123</v>
      </c>
      <c r="H111" t="s">
        <v>5124</v>
      </c>
      <c r="I111" t="s">
        <v>5125</v>
      </c>
      <c r="J111" t="s">
        <v>5123</v>
      </c>
      <c r="O111" t="s">
        <v>5123</v>
      </c>
      <c r="P111" t="s">
        <v>2</v>
      </c>
      <c r="Q111">
        <v>1</v>
      </c>
    </row>
    <row r="112" spans="1:17" x14ac:dyDescent="0.25">
      <c r="A112">
        <v>4</v>
      </c>
      <c r="B112" t="s">
        <v>5126</v>
      </c>
      <c r="C112" t="s">
        <v>19</v>
      </c>
      <c r="D112" t="s">
        <v>2</v>
      </c>
      <c r="G112">
        <v>21550</v>
      </c>
      <c r="H112" t="s">
        <v>5124</v>
      </c>
      <c r="I112" t="s">
        <v>5125</v>
      </c>
      <c r="J112">
        <v>21550</v>
      </c>
      <c r="K112" t="s">
        <v>5127</v>
      </c>
      <c r="L112">
        <v>51</v>
      </c>
      <c r="O112">
        <v>21550</v>
      </c>
      <c r="P112" t="s">
        <v>2</v>
      </c>
      <c r="Q112">
        <v>1</v>
      </c>
    </row>
    <row r="113" spans="1:17" x14ac:dyDescent="0.25">
      <c r="A113">
        <v>4</v>
      </c>
      <c r="B113" t="s">
        <v>5128</v>
      </c>
      <c r="C113" t="s">
        <v>19</v>
      </c>
      <c r="D113" t="s">
        <v>2</v>
      </c>
      <c r="G113">
        <v>21552</v>
      </c>
      <c r="H113" t="s">
        <v>5129</v>
      </c>
      <c r="I113" t="s">
        <v>5130</v>
      </c>
      <c r="J113">
        <v>21552</v>
      </c>
      <c r="K113" t="s">
        <v>5131</v>
      </c>
      <c r="L113">
        <v>132</v>
      </c>
      <c r="O113">
        <v>21552</v>
      </c>
      <c r="P113" t="s">
        <v>2</v>
      </c>
      <c r="Q113">
        <v>1</v>
      </c>
    </row>
    <row r="114" spans="1:17" x14ac:dyDescent="0.25">
      <c r="A114">
        <v>4</v>
      </c>
      <c r="B114" t="s">
        <v>5132</v>
      </c>
      <c r="C114" t="s">
        <v>19</v>
      </c>
      <c r="D114" t="s">
        <v>2</v>
      </c>
      <c r="G114">
        <v>21554</v>
      </c>
      <c r="H114" t="s">
        <v>5133</v>
      </c>
      <c r="I114" t="s">
        <v>5134</v>
      </c>
      <c r="J114">
        <v>21554</v>
      </c>
      <c r="K114" t="s">
        <v>5135</v>
      </c>
      <c r="L114">
        <v>68</v>
      </c>
      <c r="O114">
        <v>21554</v>
      </c>
      <c r="P114" t="s">
        <v>2</v>
      </c>
      <c r="Q114">
        <v>1</v>
      </c>
    </row>
    <row r="115" spans="1:17" x14ac:dyDescent="0.25">
      <c r="A115">
        <v>4</v>
      </c>
      <c r="B115" t="s">
        <v>5136</v>
      </c>
      <c r="C115" t="s">
        <v>19</v>
      </c>
      <c r="D115" t="s">
        <v>2</v>
      </c>
      <c r="G115">
        <v>21556</v>
      </c>
      <c r="H115" t="s">
        <v>5137</v>
      </c>
      <c r="I115" t="s">
        <v>5138</v>
      </c>
      <c r="J115">
        <v>21556</v>
      </c>
      <c r="K115" t="s">
        <v>5139</v>
      </c>
      <c r="L115">
        <v>10</v>
      </c>
      <c r="O115">
        <v>21556</v>
      </c>
      <c r="P115" t="s">
        <v>2</v>
      </c>
      <c r="Q115">
        <v>1</v>
      </c>
    </row>
    <row r="116" spans="1:17" x14ac:dyDescent="0.25">
      <c r="A116">
        <v>3</v>
      </c>
      <c r="B116" t="s">
        <v>5140</v>
      </c>
      <c r="C116" t="s">
        <v>19</v>
      </c>
      <c r="D116" t="s">
        <v>2</v>
      </c>
      <c r="F116" t="s">
        <v>5141</v>
      </c>
      <c r="H116" t="s">
        <v>5142</v>
      </c>
      <c r="I116" t="s">
        <v>5143</v>
      </c>
      <c r="J116" t="s">
        <v>5141</v>
      </c>
      <c r="O116" t="s">
        <v>5141</v>
      </c>
      <c r="P116" t="s">
        <v>2</v>
      </c>
      <c r="Q116">
        <v>1</v>
      </c>
    </row>
    <row r="117" spans="1:17" x14ac:dyDescent="0.25">
      <c r="A117">
        <v>4</v>
      </c>
      <c r="B117" t="s">
        <v>5144</v>
      </c>
      <c r="C117" t="s">
        <v>19</v>
      </c>
      <c r="D117" t="s">
        <v>2</v>
      </c>
      <c r="G117">
        <v>21558</v>
      </c>
      <c r="H117" t="s">
        <v>5145</v>
      </c>
      <c r="I117" t="s">
        <v>5146</v>
      </c>
      <c r="J117">
        <v>21558</v>
      </c>
      <c r="K117" t="s">
        <v>5147</v>
      </c>
      <c r="L117">
        <v>19</v>
      </c>
      <c r="O117">
        <v>21558</v>
      </c>
      <c r="P117" t="s">
        <v>2</v>
      </c>
      <c r="Q117">
        <v>1</v>
      </c>
    </row>
    <row r="118" spans="1:17" x14ac:dyDescent="0.25">
      <c r="A118">
        <v>4</v>
      </c>
      <c r="B118" t="s">
        <v>5148</v>
      </c>
      <c r="C118" t="s">
        <v>19</v>
      </c>
      <c r="D118" t="s">
        <v>2</v>
      </c>
      <c r="G118">
        <v>21560</v>
      </c>
      <c r="H118" t="s">
        <v>5041</v>
      </c>
      <c r="I118" t="s">
        <v>5042</v>
      </c>
      <c r="J118">
        <v>21560</v>
      </c>
      <c r="K118" t="s">
        <v>5149</v>
      </c>
      <c r="L118">
        <v>8</v>
      </c>
      <c r="N118" t="s">
        <v>4713</v>
      </c>
      <c r="O118">
        <v>21560</v>
      </c>
      <c r="P118" t="s">
        <v>2</v>
      </c>
      <c r="Q118">
        <v>1</v>
      </c>
    </row>
    <row r="119" spans="1:17" x14ac:dyDescent="0.25">
      <c r="A119">
        <v>4</v>
      </c>
      <c r="B119" t="s">
        <v>5150</v>
      </c>
      <c r="C119" t="s">
        <v>19</v>
      </c>
      <c r="D119" t="s">
        <v>2</v>
      </c>
      <c r="G119">
        <v>21562</v>
      </c>
      <c r="H119" t="s">
        <v>5151</v>
      </c>
      <c r="I119" t="s">
        <v>5152</v>
      </c>
      <c r="J119">
        <v>21562</v>
      </c>
      <c r="K119" t="s">
        <v>5153</v>
      </c>
      <c r="L119">
        <v>5</v>
      </c>
      <c r="N119" t="s">
        <v>4713</v>
      </c>
      <c r="O119">
        <v>21562</v>
      </c>
      <c r="P119" t="s">
        <v>2</v>
      </c>
      <c r="Q119">
        <v>1</v>
      </c>
    </row>
    <row r="120" spans="1:17" x14ac:dyDescent="0.25">
      <c r="A120">
        <v>4</v>
      </c>
      <c r="B120" t="s">
        <v>5154</v>
      </c>
      <c r="C120" t="s">
        <v>19</v>
      </c>
      <c r="D120" t="s">
        <v>2</v>
      </c>
      <c r="G120">
        <v>21564</v>
      </c>
      <c r="H120" t="s">
        <v>215</v>
      </c>
      <c r="I120" t="s">
        <v>498</v>
      </c>
      <c r="J120">
        <v>21564</v>
      </c>
      <c r="K120" t="s">
        <v>5155</v>
      </c>
      <c r="L120">
        <v>40</v>
      </c>
      <c r="O120">
        <v>21564</v>
      </c>
      <c r="P120" t="s">
        <v>2</v>
      </c>
      <c r="Q120">
        <v>1</v>
      </c>
    </row>
    <row r="121" spans="1:17" x14ac:dyDescent="0.25">
      <c r="A121">
        <v>4</v>
      </c>
      <c r="B121" t="s">
        <v>5156</v>
      </c>
      <c r="C121" t="s">
        <v>19</v>
      </c>
      <c r="D121" t="s">
        <v>2</v>
      </c>
      <c r="G121">
        <v>21566</v>
      </c>
      <c r="H121" t="s">
        <v>5157</v>
      </c>
      <c r="I121" t="s">
        <v>5158</v>
      </c>
      <c r="J121">
        <v>21566</v>
      </c>
      <c r="K121" t="s">
        <v>5159</v>
      </c>
      <c r="L121">
        <v>18</v>
      </c>
      <c r="O121">
        <v>21566</v>
      </c>
      <c r="P121" t="s">
        <v>2</v>
      </c>
      <c r="Q121">
        <v>1</v>
      </c>
    </row>
    <row r="122" spans="1:17" x14ac:dyDescent="0.25">
      <c r="A122">
        <v>3</v>
      </c>
      <c r="B122" t="s">
        <v>5160</v>
      </c>
      <c r="C122" t="s">
        <v>19</v>
      </c>
      <c r="D122" t="s">
        <v>2</v>
      </c>
      <c r="F122" t="s">
        <v>5161</v>
      </c>
      <c r="H122" t="s">
        <v>5162</v>
      </c>
      <c r="I122" t="s">
        <v>5163</v>
      </c>
      <c r="J122" t="s">
        <v>5161</v>
      </c>
      <c r="O122" t="s">
        <v>5161</v>
      </c>
      <c r="P122" t="s">
        <v>2</v>
      </c>
      <c r="Q122">
        <v>4</v>
      </c>
    </row>
    <row r="123" spans="1:17" x14ac:dyDescent="0.25">
      <c r="A123">
        <v>4</v>
      </c>
      <c r="B123" t="s">
        <v>5164</v>
      </c>
      <c r="C123" t="s">
        <v>19</v>
      </c>
      <c r="D123" t="s">
        <v>2</v>
      </c>
      <c r="G123">
        <v>21568</v>
      </c>
      <c r="H123" t="s">
        <v>5165</v>
      </c>
      <c r="I123" t="s">
        <v>5166</v>
      </c>
      <c r="J123">
        <v>21568</v>
      </c>
      <c r="K123" t="s">
        <v>5167</v>
      </c>
      <c r="L123">
        <v>210</v>
      </c>
      <c r="O123">
        <v>21568</v>
      </c>
      <c r="P123" t="s">
        <v>2</v>
      </c>
      <c r="Q123">
        <v>1</v>
      </c>
    </row>
    <row r="124" spans="1:17" x14ac:dyDescent="0.25">
      <c r="A124">
        <v>4</v>
      </c>
      <c r="B124" t="s">
        <v>5168</v>
      </c>
      <c r="C124" t="s">
        <v>19</v>
      </c>
      <c r="D124" t="s">
        <v>2</v>
      </c>
      <c r="G124">
        <v>21570</v>
      </c>
      <c r="H124" t="s">
        <v>5169</v>
      </c>
      <c r="I124" t="s">
        <v>5170</v>
      </c>
      <c r="J124">
        <v>21570</v>
      </c>
      <c r="K124" t="s">
        <v>5171</v>
      </c>
      <c r="L124">
        <v>453</v>
      </c>
      <c r="O124">
        <v>21570</v>
      </c>
      <c r="P124" t="s">
        <v>2</v>
      </c>
      <c r="Q124">
        <v>1</v>
      </c>
    </row>
    <row r="125" spans="1:17" x14ac:dyDescent="0.25">
      <c r="A125">
        <v>3</v>
      </c>
      <c r="B125" t="s">
        <v>5172</v>
      </c>
      <c r="C125" t="s">
        <v>19</v>
      </c>
      <c r="D125" t="s">
        <v>2</v>
      </c>
      <c r="F125" t="s">
        <v>5161</v>
      </c>
      <c r="H125" t="s">
        <v>5173</v>
      </c>
      <c r="I125" t="s">
        <v>5163</v>
      </c>
      <c r="J125" t="s">
        <v>5161</v>
      </c>
      <c r="O125" t="s">
        <v>5161</v>
      </c>
      <c r="P125" t="s">
        <v>2</v>
      </c>
      <c r="Q125">
        <v>4</v>
      </c>
    </row>
    <row r="126" spans="1:17" x14ac:dyDescent="0.25">
      <c r="A126">
        <v>4</v>
      </c>
      <c r="B126" t="s">
        <v>5174</v>
      </c>
      <c r="C126" t="s">
        <v>19</v>
      </c>
      <c r="D126" t="s">
        <v>2</v>
      </c>
      <c r="G126">
        <v>21572</v>
      </c>
      <c r="H126" t="s">
        <v>5173</v>
      </c>
      <c r="I126" t="s">
        <v>5175</v>
      </c>
      <c r="J126">
        <v>21572</v>
      </c>
      <c r="K126" t="s">
        <v>5176</v>
      </c>
      <c r="L126">
        <v>614</v>
      </c>
      <c r="O126">
        <v>21572</v>
      </c>
      <c r="P126" t="s">
        <v>2</v>
      </c>
      <c r="Q126">
        <v>1</v>
      </c>
    </row>
    <row r="127" spans="1:17" x14ac:dyDescent="0.25">
      <c r="A127">
        <v>4</v>
      </c>
      <c r="B127" t="s">
        <v>5177</v>
      </c>
      <c r="C127" t="s">
        <v>19</v>
      </c>
      <c r="D127" t="s">
        <v>2</v>
      </c>
      <c r="G127">
        <v>21574</v>
      </c>
      <c r="H127" t="s">
        <v>5178</v>
      </c>
      <c r="I127" t="s">
        <v>5179</v>
      </c>
      <c r="J127">
        <v>21574</v>
      </c>
      <c r="K127" t="s">
        <v>5180</v>
      </c>
      <c r="L127">
        <v>53</v>
      </c>
      <c r="O127">
        <v>21574</v>
      </c>
      <c r="P127" t="s">
        <v>2</v>
      </c>
      <c r="Q127">
        <v>1</v>
      </c>
    </row>
    <row r="128" spans="1:17" x14ac:dyDescent="0.25">
      <c r="A128">
        <v>4</v>
      </c>
      <c r="B128" t="s">
        <v>5181</v>
      </c>
      <c r="C128" t="s">
        <v>19</v>
      </c>
      <c r="D128" t="s">
        <v>2</v>
      </c>
      <c r="G128">
        <v>21576</v>
      </c>
      <c r="H128" t="s">
        <v>5182</v>
      </c>
      <c r="I128" t="s">
        <v>5183</v>
      </c>
      <c r="J128">
        <v>21576</v>
      </c>
      <c r="K128" t="s">
        <v>5184</v>
      </c>
      <c r="L128">
        <v>5</v>
      </c>
      <c r="N128" t="s">
        <v>4713</v>
      </c>
      <c r="O128">
        <v>21576</v>
      </c>
      <c r="P128" t="s">
        <v>2</v>
      </c>
      <c r="Q128">
        <v>1</v>
      </c>
    </row>
    <row r="129" spans="1:17" x14ac:dyDescent="0.25">
      <c r="A129">
        <v>3</v>
      </c>
      <c r="B129" t="s">
        <v>5185</v>
      </c>
      <c r="C129" t="s">
        <v>19</v>
      </c>
      <c r="D129" t="s">
        <v>2</v>
      </c>
      <c r="F129" t="s">
        <v>5161</v>
      </c>
      <c r="H129" t="s">
        <v>5186</v>
      </c>
      <c r="I129" t="s">
        <v>5163</v>
      </c>
      <c r="J129" t="s">
        <v>5161</v>
      </c>
      <c r="O129" t="s">
        <v>5161</v>
      </c>
      <c r="P129" t="s">
        <v>2</v>
      </c>
      <c r="Q129">
        <v>4</v>
      </c>
    </row>
    <row r="130" spans="1:17" x14ac:dyDescent="0.25">
      <c r="A130">
        <v>4</v>
      </c>
      <c r="B130" t="s">
        <v>5187</v>
      </c>
      <c r="C130" t="s">
        <v>19</v>
      </c>
      <c r="D130" t="s">
        <v>2</v>
      </c>
      <c r="G130">
        <v>197930</v>
      </c>
      <c r="H130" t="s">
        <v>5188</v>
      </c>
      <c r="I130" t="s">
        <v>5189</v>
      </c>
      <c r="J130">
        <v>197930</v>
      </c>
      <c r="K130" t="s">
        <v>5190</v>
      </c>
      <c r="L130">
        <v>6</v>
      </c>
      <c r="N130" t="s">
        <v>4713</v>
      </c>
      <c r="O130">
        <v>197930</v>
      </c>
      <c r="P130" t="s">
        <v>2</v>
      </c>
      <c r="Q130">
        <v>1</v>
      </c>
    </row>
    <row r="131" spans="1:17" x14ac:dyDescent="0.25">
      <c r="A131">
        <v>4</v>
      </c>
      <c r="B131" t="s">
        <v>5191</v>
      </c>
      <c r="C131" t="s">
        <v>19</v>
      </c>
      <c r="D131" t="s">
        <v>2</v>
      </c>
      <c r="G131">
        <v>21534</v>
      </c>
      <c r="H131" t="s">
        <v>5192</v>
      </c>
      <c r="I131" t="s">
        <v>5193</v>
      </c>
      <c r="J131">
        <v>21534</v>
      </c>
      <c r="K131" t="s">
        <v>5194</v>
      </c>
      <c r="L131">
        <v>58</v>
      </c>
      <c r="O131">
        <v>21534</v>
      </c>
      <c r="P131" t="s">
        <v>2</v>
      </c>
      <c r="Q131">
        <v>1</v>
      </c>
    </row>
    <row r="132" spans="1:17" x14ac:dyDescent="0.25">
      <c r="A132">
        <v>4</v>
      </c>
      <c r="B132" t="s">
        <v>5195</v>
      </c>
      <c r="C132" t="s">
        <v>19</v>
      </c>
      <c r="D132" t="s">
        <v>2</v>
      </c>
      <c r="G132">
        <v>21582</v>
      </c>
      <c r="H132" t="s">
        <v>5196</v>
      </c>
      <c r="I132" t="s">
        <v>5197</v>
      </c>
      <c r="J132">
        <v>21582</v>
      </c>
      <c r="K132" t="s">
        <v>5198</v>
      </c>
      <c r="L132">
        <v>63</v>
      </c>
      <c r="O132">
        <v>21582</v>
      </c>
      <c r="P132" t="s">
        <v>2</v>
      </c>
      <c r="Q132">
        <v>1</v>
      </c>
    </row>
    <row r="133" spans="1:17" x14ac:dyDescent="0.25">
      <c r="A133">
        <v>4</v>
      </c>
      <c r="B133" t="s">
        <v>5199</v>
      </c>
      <c r="C133" t="s">
        <v>19</v>
      </c>
      <c r="D133" t="s">
        <v>2</v>
      </c>
      <c r="G133">
        <v>21584</v>
      </c>
      <c r="H133" t="s">
        <v>5200</v>
      </c>
      <c r="I133" t="s">
        <v>5201</v>
      </c>
      <c r="J133">
        <v>21584</v>
      </c>
      <c r="K133" t="s">
        <v>5202</v>
      </c>
      <c r="L133" t="s">
        <v>5203</v>
      </c>
      <c r="O133">
        <v>21584</v>
      </c>
      <c r="P133" t="s">
        <v>2</v>
      </c>
      <c r="Q133">
        <v>1</v>
      </c>
    </row>
    <row r="134" spans="1:17" x14ac:dyDescent="0.25">
      <c r="A134">
        <v>4</v>
      </c>
      <c r="B134" t="s">
        <v>5204</v>
      </c>
      <c r="C134" t="s">
        <v>19</v>
      </c>
      <c r="D134" t="s">
        <v>2</v>
      </c>
      <c r="G134">
        <v>21586</v>
      </c>
      <c r="H134" t="s">
        <v>5205</v>
      </c>
      <c r="I134" t="s">
        <v>5206</v>
      </c>
      <c r="J134">
        <v>21586</v>
      </c>
      <c r="K134" t="s">
        <v>5207</v>
      </c>
      <c r="L134">
        <v>25</v>
      </c>
      <c r="O134">
        <v>21586</v>
      </c>
      <c r="P134" t="s">
        <v>2</v>
      </c>
      <c r="Q134">
        <v>1</v>
      </c>
    </row>
    <row r="135" spans="1:17" x14ac:dyDescent="0.25">
      <c r="A135">
        <v>4</v>
      </c>
      <c r="B135" t="s">
        <v>5208</v>
      </c>
      <c r="C135" t="s">
        <v>19</v>
      </c>
      <c r="D135" t="s">
        <v>2</v>
      </c>
      <c r="G135">
        <v>21588</v>
      </c>
      <c r="H135" t="s">
        <v>5209</v>
      </c>
      <c r="I135" t="s">
        <v>5210</v>
      </c>
      <c r="J135">
        <v>21588</v>
      </c>
      <c r="K135" t="s">
        <v>5211</v>
      </c>
      <c r="L135">
        <v>6</v>
      </c>
      <c r="N135" t="s">
        <v>4713</v>
      </c>
      <c r="O135">
        <v>21588</v>
      </c>
      <c r="P135" t="s">
        <v>2</v>
      </c>
      <c r="Q135">
        <v>1</v>
      </c>
    </row>
    <row r="136" spans="1:17" x14ac:dyDescent="0.25">
      <c r="A136">
        <v>4</v>
      </c>
      <c r="B136" t="s">
        <v>5212</v>
      </c>
      <c r="C136" t="s">
        <v>19</v>
      </c>
      <c r="D136" t="s">
        <v>2</v>
      </c>
      <c r="G136">
        <v>21590</v>
      </c>
      <c r="H136" t="s">
        <v>5213</v>
      </c>
      <c r="I136" t="s">
        <v>5214</v>
      </c>
      <c r="J136">
        <v>21590</v>
      </c>
      <c r="K136" t="s">
        <v>5215</v>
      </c>
      <c r="L136">
        <v>30</v>
      </c>
      <c r="O136">
        <v>21590</v>
      </c>
      <c r="P136" t="s">
        <v>2</v>
      </c>
      <c r="Q136">
        <v>1</v>
      </c>
    </row>
    <row r="137" spans="1:17" x14ac:dyDescent="0.25">
      <c r="A137">
        <v>4</v>
      </c>
      <c r="B137" t="s">
        <v>5216</v>
      </c>
      <c r="C137" t="s">
        <v>19</v>
      </c>
      <c r="D137" t="s">
        <v>2</v>
      </c>
      <c r="G137">
        <v>21592</v>
      </c>
      <c r="H137" t="s">
        <v>5217</v>
      </c>
      <c r="I137" t="s">
        <v>5218</v>
      </c>
      <c r="J137">
        <v>21592</v>
      </c>
      <c r="K137" t="s">
        <v>5219</v>
      </c>
      <c r="L137">
        <v>165</v>
      </c>
      <c r="O137">
        <v>21592</v>
      </c>
      <c r="P137" t="s">
        <v>2</v>
      </c>
      <c r="Q137">
        <v>1</v>
      </c>
    </row>
    <row r="138" spans="1:17" x14ac:dyDescent="0.25">
      <c r="A138">
        <v>4</v>
      </c>
      <c r="B138" t="s">
        <v>5220</v>
      </c>
      <c r="C138" t="s">
        <v>19</v>
      </c>
      <c r="D138" t="s">
        <v>2</v>
      </c>
      <c r="G138">
        <v>260884</v>
      </c>
      <c r="H138" t="s">
        <v>5221</v>
      </c>
      <c r="I138" t="s">
        <v>5221</v>
      </c>
      <c r="J138">
        <v>260884</v>
      </c>
      <c r="K138" t="s">
        <v>5222</v>
      </c>
      <c r="L138">
        <v>10</v>
      </c>
      <c r="O138">
        <v>260884</v>
      </c>
      <c r="P138" t="s">
        <v>2</v>
      </c>
      <c r="Q138">
        <v>1</v>
      </c>
    </row>
    <row r="139" spans="1:17" x14ac:dyDescent="0.25">
      <c r="A139">
        <v>3</v>
      </c>
      <c r="B139" t="s">
        <v>5223</v>
      </c>
      <c r="C139" t="s">
        <v>19</v>
      </c>
      <c r="D139" t="s">
        <v>2</v>
      </c>
      <c r="F139" t="s">
        <v>5224</v>
      </c>
      <c r="H139" t="s">
        <v>5225</v>
      </c>
      <c r="I139" t="s">
        <v>5226</v>
      </c>
      <c r="J139" t="s">
        <v>5224</v>
      </c>
      <c r="O139" t="s">
        <v>5224</v>
      </c>
      <c r="P139" t="s">
        <v>2</v>
      </c>
      <c r="Q139">
        <v>1</v>
      </c>
    </row>
    <row r="140" spans="1:17" x14ac:dyDescent="0.25">
      <c r="A140">
        <v>4</v>
      </c>
      <c r="B140" t="s">
        <v>5227</v>
      </c>
      <c r="C140" t="s">
        <v>19</v>
      </c>
      <c r="D140" t="s">
        <v>2</v>
      </c>
      <c r="G140">
        <v>203649</v>
      </c>
      <c r="H140" t="s">
        <v>5228</v>
      </c>
      <c r="I140" t="s">
        <v>5229</v>
      </c>
      <c r="J140">
        <v>203649</v>
      </c>
      <c r="K140" t="s">
        <v>5230</v>
      </c>
      <c r="L140">
        <v>8</v>
      </c>
      <c r="N140" t="s">
        <v>4713</v>
      </c>
      <c r="O140">
        <v>203649</v>
      </c>
      <c r="P140" t="s">
        <v>2</v>
      </c>
      <c r="Q140">
        <v>1</v>
      </c>
    </row>
    <row r="141" spans="1:17" x14ac:dyDescent="0.25">
      <c r="A141">
        <v>4</v>
      </c>
      <c r="B141" t="s">
        <v>5231</v>
      </c>
      <c r="C141" t="s">
        <v>19</v>
      </c>
      <c r="D141" t="s">
        <v>2</v>
      </c>
      <c r="G141">
        <v>21603</v>
      </c>
      <c r="H141" t="s">
        <v>5081</v>
      </c>
      <c r="I141" t="s">
        <v>5082</v>
      </c>
      <c r="J141">
        <v>21603</v>
      </c>
      <c r="K141" t="s">
        <v>5232</v>
      </c>
      <c r="L141">
        <v>123</v>
      </c>
      <c r="O141">
        <v>21603</v>
      </c>
      <c r="P141" t="s">
        <v>2</v>
      </c>
      <c r="Q141">
        <v>1</v>
      </c>
    </row>
    <row r="142" spans="1:17" x14ac:dyDescent="0.25">
      <c r="A142">
        <v>4</v>
      </c>
      <c r="B142" t="s">
        <v>5233</v>
      </c>
      <c r="C142" t="s">
        <v>19</v>
      </c>
      <c r="D142" t="s">
        <v>2</v>
      </c>
      <c r="G142">
        <v>21605</v>
      </c>
      <c r="H142" t="s">
        <v>5234</v>
      </c>
      <c r="I142" t="s">
        <v>5235</v>
      </c>
      <c r="J142">
        <v>21605</v>
      </c>
      <c r="K142" t="s">
        <v>5236</v>
      </c>
      <c r="L142">
        <v>15</v>
      </c>
      <c r="O142">
        <v>21605</v>
      </c>
      <c r="P142" t="s">
        <v>2</v>
      </c>
      <c r="Q142">
        <v>1</v>
      </c>
    </row>
    <row r="143" spans="1:17" x14ac:dyDescent="0.25">
      <c r="A143">
        <v>4</v>
      </c>
      <c r="B143" t="s">
        <v>5237</v>
      </c>
      <c r="C143" t="s">
        <v>19</v>
      </c>
      <c r="D143" t="s">
        <v>2</v>
      </c>
      <c r="G143">
        <v>21607</v>
      </c>
      <c r="H143" t="s">
        <v>5238</v>
      </c>
      <c r="I143" t="s">
        <v>5239</v>
      </c>
      <c r="J143">
        <v>21607</v>
      </c>
      <c r="K143" t="s">
        <v>5240</v>
      </c>
      <c r="L143">
        <v>5</v>
      </c>
      <c r="N143" t="s">
        <v>4713</v>
      </c>
      <c r="O143">
        <v>21607</v>
      </c>
      <c r="P143" t="s">
        <v>2</v>
      </c>
      <c r="Q143">
        <v>1</v>
      </c>
    </row>
    <row r="144" spans="1:17" x14ac:dyDescent="0.25">
      <c r="A144">
        <v>3</v>
      </c>
      <c r="B144" t="s">
        <v>5241</v>
      </c>
      <c r="C144" t="s">
        <v>19</v>
      </c>
      <c r="D144" t="s">
        <v>2</v>
      </c>
      <c r="F144" t="s">
        <v>5161</v>
      </c>
      <c r="H144" t="s">
        <v>5242</v>
      </c>
      <c r="I144" t="s">
        <v>5163</v>
      </c>
      <c r="J144" t="s">
        <v>5161</v>
      </c>
      <c r="O144" t="s">
        <v>5161</v>
      </c>
      <c r="P144" t="s">
        <v>2</v>
      </c>
      <c r="Q144">
        <v>4</v>
      </c>
    </row>
    <row r="145" spans="1:17" x14ac:dyDescent="0.25">
      <c r="A145">
        <v>4</v>
      </c>
      <c r="B145" t="s">
        <v>5243</v>
      </c>
      <c r="C145" t="s">
        <v>19</v>
      </c>
      <c r="D145" t="s">
        <v>2</v>
      </c>
      <c r="G145">
        <v>21580</v>
      </c>
      <c r="H145" t="s">
        <v>5244</v>
      </c>
      <c r="I145" t="s">
        <v>5245</v>
      </c>
      <c r="J145">
        <v>21580</v>
      </c>
      <c r="K145" t="s">
        <v>5246</v>
      </c>
      <c r="L145">
        <v>95</v>
      </c>
      <c r="O145">
        <v>21580</v>
      </c>
      <c r="P145" t="s">
        <v>2</v>
      </c>
      <c r="Q145">
        <v>1</v>
      </c>
    </row>
    <row r="146" spans="1:17" x14ac:dyDescent="0.25">
      <c r="A146">
        <v>4</v>
      </c>
      <c r="B146" t="s">
        <v>5247</v>
      </c>
      <c r="C146" t="s">
        <v>19</v>
      </c>
      <c r="D146" t="s">
        <v>2</v>
      </c>
      <c r="G146">
        <v>353399</v>
      </c>
      <c r="H146" t="s">
        <v>5041</v>
      </c>
      <c r="I146" t="s">
        <v>5042</v>
      </c>
      <c r="J146">
        <v>353399</v>
      </c>
      <c r="K146" t="s">
        <v>5248</v>
      </c>
      <c r="L146">
        <v>1</v>
      </c>
      <c r="N146" t="s">
        <v>4734</v>
      </c>
      <c r="O146">
        <v>353399</v>
      </c>
      <c r="P146" t="s">
        <v>2</v>
      </c>
      <c r="Q146">
        <v>1</v>
      </c>
    </row>
    <row r="147" spans="1:17" x14ac:dyDescent="0.25">
      <c r="A147">
        <v>4</v>
      </c>
      <c r="B147" t="s">
        <v>5249</v>
      </c>
      <c r="C147" t="s">
        <v>19</v>
      </c>
      <c r="D147" t="s">
        <v>2</v>
      </c>
      <c r="G147">
        <v>168450</v>
      </c>
      <c r="H147" t="s">
        <v>5250</v>
      </c>
      <c r="I147" t="s">
        <v>5251</v>
      </c>
      <c r="J147">
        <v>168450</v>
      </c>
      <c r="K147" t="s">
        <v>5252</v>
      </c>
      <c r="L147">
        <v>14</v>
      </c>
      <c r="O147">
        <v>168450</v>
      </c>
      <c r="P147" t="s">
        <v>2</v>
      </c>
      <c r="Q147">
        <v>1</v>
      </c>
    </row>
    <row r="148" spans="1:17" x14ac:dyDescent="0.25">
      <c r="A148">
        <v>4</v>
      </c>
      <c r="B148" t="s">
        <v>5253</v>
      </c>
      <c r="C148" t="s">
        <v>19</v>
      </c>
      <c r="D148" t="s">
        <v>2</v>
      </c>
      <c r="G148">
        <v>21538</v>
      </c>
      <c r="H148" t="s">
        <v>5254</v>
      </c>
      <c r="I148" t="s">
        <v>5255</v>
      </c>
      <c r="J148">
        <v>21538</v>
      </c>
      <c r="K148" t="s">
        <v>5256</v>
      </c>
      <c r="L148">
        <v>124</v>
      </c>
      <c r="O148">
        <v>21538</v>
      </c>
      <c r="P148" t="s">
        <v>2</v>
      </c>
      <c r="Q148">
        <v>1</v>
      </c>
    </row>
    <row r="149" spans="1:17" x14ac:dyDescent="0.25">
      <c r="A149">
        <v>4</v>
      </c>
      <c r="B149" t="s">
        <v>5257</v>
      </c>
      <c r="C149" t="s">
        <v>19</v>
      </c>
      <c r="D149" t="s">
        <v>2</v>
      </c>
      <c r="G149">
        <v>21540</v>
      </c>
      <c r="H149" t="s">
        <v>5258</v>
      </c>
      <c r="I149" t="s">
        <v>5259</v>
      </c>
      <c r="J149">
        <v>21540</v>
      </c>
      <c r="K149" t="s">
        <v>5260</v>
      </c>
      <c r="L149">
        <v>31</v>
      </c>
      <c r="O149">
        <v>21540</v>
      </c>
      <c r="P149" t="s">
        <v>2</v>
      </c>
      <c r="Q149">
        <v>1</v>
      </c>
    </row>
    <row r="150" spans="1:17" x14ac:dyDescent="0.25">
      <c r="A150">
        <v>4</v>
      </c>
      <c r="B150" t="s">
        <v>5261</v>
      </c>
      <c r="C150" t="s">
        <v>19</v>
      </c>
      <c r="D150" t="s">
        <v>2</v>
      </c>
      <c r="G150">
        <v>21542</v>
      </c>
      <c r="H150" t="s">
        <v>5262</v>
      </c>
      <c r="I150" t="s">
        <v>5263</v>
      </c>
      <c r="J150">
        <v>21542</v>
      </c>
      <c r="K150" t="s">
        <v>5264</v>
      </c>
      <c r="L150">
        <v>64</v>
      </c>
      <c r="O150">
        <v>21542</v>
      </c>
      <c r="P150" t="s">
        <v>2</v>
      </c>
      <c r="Q150">
        <v>1</v>
      </c>
    </row>
    <row r="151" spans="1:17" x14ac:dyDescent="0.25">
      <c r="A151">
        <v>4</v>
      </c>
      <c r="B151" t="s">
        <v>5265</v>
      </c>
      <c r="C151" t="s">
        <v>19</v>
      </c>
      <c r="D151" t="s">
        <v>2</v>
      </c>
      <c r="G151">
        <v>21544</v>
      </c>
      <c r="H151" t="s">
        <v>5266</v>
      </c>
      <c r="I151" t="s">
        <v>5267</v>
      </c>
      <c r="J151">
        <v>21544</v>
      </c>
      <c r="K151" t="s">
        <v>5268</v>
      </c>
      <c r="L151">
        <v>7</v>
      </c>
      <c r="N151" t="s">
        <v>4713</v>
      </c>
      <c r="O151">
        <v>21544</v>
      </c>
      <c r="P151" t="s">
        <v>2</v>
      </c>
      <c r="Q151">
        <v>1</v>
      </c>
    </row>
    <row r="152" spans="1:17" x14ac:dyDescent="0.25">
      <c r="A152">
        <v>4</v>
      </c>
      <c r="B152" t="s">
        <v>5269</v>
      </c>
      <c r="C152" t="s">
        <v>19</v>
      </c>
      <c r="D152" t="s">
        <v>2</v>
      </c>
      <c r="G152">
        <v>21578</v>
      </c>
      <c r="H152" t="s">
        <v>5270</v>
      </c>
      <c r="I152" t="s">
        <v>5271</v>
      </c>
      <c r="J152">
        <v>21578</v>
      </c>
      <c r="K152" t="s">
        <v>5272</v>
      </c>
      <c r="L152">
        <v>256</v>
      </c>
      <c r="O152">
        <v>21578</v>
      </c>
      <c r="P152" t="s">
        <v>2</v>
      </c>
      <c r="Q152">
        <v>1</v>
      </c>
    </row>
    <row r="153" spans="1:17" x14ac:dyDescent="0.25">
      <c r="A153">
        <v>4</v>
      </c>
      <c r="B153" t="s">
        <v>5273</v>
      </c>
      <c r="C153" t="s">
        <v>19</v>
      </c>
      <c r="D153" t="s">
        <v>2</v>
      </c>
      <c r="G153">
        <v>21597</v>
      </c>
      <c r="H153" t="s">
        <v>5274</v>
      </c>
      <c r="I153" t="s">
        <v>5275</v>
      </c>
      <c r="J153">
        <v>21597</v>
      </c>
      <c r="K153" t="s">
        <v>5276</v>
      </c>
      <c r="L153">
        <v>68</v>
      </c>
      <c r="O153">
        <v>21597</v>
      </c>
      <c r="P153" t="s">
        <v>2</v>
      </c>
      <c r="Q153">
        <v>1</v>
      </c>
    </row>
    <row r="154" spans="1:17" x14ac:dyDescent="0.25">
      <c r="A154">
        <v>4</v>
      </c>
      <c r="B154" t="s">
        <v>5277</v>
      </c>
      <c r="C154" t="s">
        <v>19</v>
      </c>
      <c r="D154" t="s">
        <v>2</v>
      </c>
      <c r="G154">
        <v>21599</v>
      </c>
      <c r="H154" t="s">
        <v>5278</v>
      </c>
      <c r="I154" t="s">
        <v>5279</v>
      </c>
      <c r="J154">
        <v>21599</v>
      </c>
      <c r="K154" t="s">
        <v>5280</v>
      </c>
      <c r="L154">
        <v>8</v>
      </c>
      <c r="N154" t="s">
        <v>4713</v>
      </c>
      <c r="O154">
        <v>21599</v>
      </c>
      <c r="P154" t="s">
        <v>2</v>
      </c>
      <c r="Q154">
        <v>1</v>
      </c>
    </row>
    <row r="155" spans="1:17" x14ac:dyDescent="0.25">
      <c r="A155">
        <v>4</v>
      </c>
      <c r="B155" t="s">
        <v>5281</v>
      </c>
      <c r="C155" t="s">
        <v>19</v>
      </c>
      <c r="D155" t="s">
        <v>2</v>
      </c>
      <c r="G155">
        <v>21601</v>
      </c>
      <c r="H155" t="s">
        <v>5282</v>
      </c>
      <c r="I155" t="s">
        <v>5283</v>
      </c>
      <c r="J155">
        <v>21601</v>
      </c>
      <c r="K155" t="s">
        <v>5284</v>
      </c>
      <c r="L155">
        <v>94</v>
      </c>
      <c r="O155">
        <v>21601</v>
      </c>
      <c r="P155" t="s">
        <v>2</v>
      </c>
      <c r="Q155">
        <v>1</v>
      </c>
    </row>
    <row r="156" spans="1:17" x14ac:dyDescent="0.25">
      <c r="A156">
        <v>4</v>
      </c>
      <c r="B156" t="s">
        <v>5285</v>
      </c>
      <c r="C156" t="s">
        <v>19</v>
      </c>
      <c r="D156" t="s">
        <v>2</v>
      </c>
      <c r="G156" t="s">
        <v>5286</v>
      </c>
      <c r="H156" t="s">
        <v>5287</v>
      </c>
      <c r="I156" t="s">
        <v>5288</v>
      </c>
      <c r="J156" t="s">
        <v>5286</v>
      </c>
      <c r="K156" t="s">
        <v>5289</v>
      </c>
      <c r="L156">
        <v>3</v>
      </c>
      <c r="N156" t="s">
        <v>4713</v>
      </c>
      <c r="O156" t="s">
        <v>5286</v>
      </c>
      <c r="P156" t="s">
        <v>2</v>
      </c>
      <c r="Q156">
        <v>1</v>
      </c>
    </row>
    <row r="157" spans="1:17" x14ac:dyDescent="0.25">
      <c r="A157">
        <v>4</v>
      </c>
      <c r="B157" t="s">
        <v>5290</v>
      </c>
      <c r="C157" t="s">
        <v>19</v>
      </c>
      <c r="D157" t="s">
        <v>2</v>
      </c>
      <c r="G157" t="s">
        <v>5291</v>
      </c>
      <c r="H157" t="s">
        <v>5292</v>
      </c>
      <c r="I157" t="s">
        <v>5293</v>
      </c>
      <c r="J157" t="s">
        <v>5291</v>
      </c>
      <c r="K157" t="s">
        <v>5294</v>
      </c>
      <c r="L157">
        <v>26</v>
      </c>
      <c r="O157" t="s">
        <v>5291</v>
      </c>
      <c r="P157" t="s">
        <v>2</v>
      </c>
      <c r="Q157">
        <v>1</v>
      </c>
    </row>
    <row r="158" spans="1:17" x14ac:dyDescent="0.25">
      <c r="A158">
        <v>2</v>
      </c>
      <c r="B158" t="s">
        <v>5295</v>
      </c>
      <c r="C158" t="s">
        <v>19</v>
      </c>
      <c r="D158" t="s">
        <v>2</v>
      </c>
      <c r="E158" t="s">
        <v>131</v>
      </c>
      <c r="H158" t="s">
        <v>5296</v>
      </c>
      <c r="I158" t="s">
        <v>943</v>
      </c>
      <c r="J158" t="s">
        <v>131</v>
      </c>
      <c r="O158" t="s">
        <v>131</v>
      </c>
      <c r="P158" t="s">
        <v>2</v>
      </c>
      <c r="Q158">
        <v>1</v>
      </c>
    </row>
    <row r="159" spans="1:17" x14ac:dyDescent="0.25">
      <c r="A159">
        <v>3</v>
      </c>
      <c r="B159" t="s">
        <v>5297</v>
      </c>
      <c r="C159" t="s">
        <v>19</v>
      </c>
      <c r="D159" t="s">
        <v>2</v>
      </c>
      <c r="F159" t="s">
        <v>5298</v>
      </c>
      <c r="H159" t="s">
        <v>5299</v>
      </c>
      <c r="I159" t="s">
        <v>5300</v>
      </c>
      <c r="J159" t="s">
        <v>5298</v>
      </c>
      <c r="O159" t="s">
        <v>5298</v>
      </c>
      <c r="P159" t="s">
        <v>2</v>
      </c>
      <c r="Q159">
        <v>1</v>
      </c>
    </row>
    <row r="160" spans="1:17" x14ac:dyDescent="0.25">
      <c r="A160">
        <v>4</v>
      </c>
      <c r="B160" t="s">
        <v>5301</v>
      </c>
      <c r="C160" t="s">
        <v>19</v>
      </c>
      <c r="D160" t="s">
        <v>2</v>
      </c>
      <c r="G160">
        <v>178070</v>
      </c>
      <c r="H160" t="s">
        <v>5302</v>
      </c>
      <c r="I160" t="s">
        <v>5303</v>
      </c>
      <c r="J160">
        <v>178070</v>
      </c>
      <c r="K160" t="s">
        <v>5304</v>
      </c>
      <c r="L160">
        <v>10</v>
      </c>
      <c r="O160">
        <v>178070</v>
      </c>
      <c r="P160" t="s">
        <v>2</v>
      </c>
      <c r="Q160">
        <v>1</v>
      </c>
    </row>
    <row r="161" spans="1:17" x14ac:dyDescent="0.25">
      <c r="A161">
        <v>4</v>
      </c>
      <c r="B161" t="s">
        <v>5305</v>
      </c>
      <c r="C161" t="s">
        <v>19</v>
      </c>
      <c r="D161" t="s">
        <v>2</v>
      </c>
      <c r="G161">
        <v>178071</v>
      </c>
      <c r="H161" t="s">
        <v>5306</v>
      </c>
      <c r="I161" t="s">
        <v>5307</v>
      </c>
      <c r="J161">
        <v>178071</v>
      </c>
      <c r="K161" t="s">
        <v>5308</v>
      </c>
      <c r="L161">
        <v>32</v>
      </c>
      <c r="O161">
        <v>178071</v>
      </c>
      <c r="P161" t="s">
        <v>2</v>
      </c>
      <c r="Q161">
        <v>1</v>
      </c>
    </row>
    <row r="162" spans="1:17" x14ac:dyDescent="0.25">
      <c r="A162">
        <v>4</v>
      </c>
      <c r="B162" t="s">
        <v>5309</v>
      </c>
      <c r="C162" t="s">
        <v>19</v>
      </c>
      <c r="D162" t="s">
        <v>2</v>
      </c>
      <c r="G162">
        <v>178072</v>
      </c>
      <c r="H162" t="s">
        <v>5310</v>
      </c>
      <c r="I162" t="s">
        <v>5311</v>
      </c>
      <c r="J162">
        <v>178072</v>
      </c>
      <c r="K162" t="s">
        <v>5312</v>
      </c>
      <c r="L162">
        <v>986</v>
      </c>
      <c r="O162">
        <v>178072</v>
      </c>
      <c r="P162" t="s">
        <v>2</v>
      </c>
      <c r="Q162">
        <v>1</v>
      </c>
    </row>
    <row r="163" spans="1:17" x14ac:dyDescent="0.25">
      <c r="A163">
        <v>4</v>
      </c>
      <c r="B163" t="s">
        <v>5313</v>
      </c>
      <c r="C163" t="s">
        <v>19</v>
      </c>
      <c r="D163" t="s">
        <v>2</v>
      </c>
      <c r="G163">
        <v>178075</v>
      </c>
      <c r="H163" t="s">
        <v>5314</v>
      </c>
      <c r="I163" t="s">
        <v>5315</v>
      </c>
      <c r="J163">
        <v>178075</v>
      </c>
      <c r="K163" t="s">
        <v>5316</v>
      </c>
      <c r="L163">
        <v>13</v>
      </c>
      <c r="O163">
        <v>178075</v>
      </c>
      <c r="P163" t="s">
        <v>2</v>
      </c>
      <c r="Q163">
        <v>1</v>
      </c>
    </row>
    <row r="164" spans="1:17" x14ac:dyDescent="0.25">
      <c r="A164">
        <v>4</v>
      </c>
      <c r="B164" t="s">
        <v>5317</v>
      </c>
      <c r="C164" t="s">
        <v>19</v>
      </c>
      <c r="D164" t="s">
        <v>2</v>
      </c>
      <c r="G164">
        <v>178076</v>
      </c>
      <c r="H164" t="s">
        <v>5318</v>
      </c>
      <c r="I164" t="s">
        <v>5319</v>
      </c>
      <c r="J164">
        <v>178076</v>
      </c>
      <c r="K164" t="s">
        <v>5320</v>
      </c>
      <c r="L164">
        <v>132</v>
      </c>
      <c r="O164">
        <v>178076</v>
      </c>
      <c r="P164" t="s">
        <v>2</v>
      </c>
      <c r="Q164">
        <v>1</v>
      </c>
    </row>
    <row r="165" spans="1:17" x14ac:dyDescent="0.25">
      <c r="A165">
        <v>4</v>
      </c>
      <c r="B165" t="s">
        <v>5321</v>
      </c>
      <c r="C165" t="s">
        <v>19</v>
      </c>
      <c r="D165" t="s">
        <v>2</v>
      </c>
      <c r="G165">
        <v>178077</v>
      </c>
      <c r="H165" t="s">
        <v>5322</v>
      </c>
      <c r="I165" t="s">
        <v>5323</v>
      </c>
      <c r="J165">
        <v>178077</v>
      </c>
      <c r="K165" t="s">
        <v>5324</v>
      </c>
      <c r="L165">
        <v>61</v>
      </c>
      <c r="O165">
        <v>178077</v>
      </c>
      <c r="P165" t="s">
        <v>2</v>
      </c>
      <c r="Q165">
        <v>1</v>
      </c>
    </row>
    <row r="166" spans="1:17" x14ac:dyDescent="0.25">
      <c r="A166">
        <v>4</v>
      </c>
      <c r="B166" t="s">
        <v>5325</v>
      </c>
      <c r="C166" t="s">
        <v>19</v>
      </c>
      <c r="D166" t="s">
        <v>2</v>
      </c>
      <c r="G166">
        <v>178078</v>
      </c>
      <c r="H166" t="s">
        <v>5326</v>
      </c>
      <c r="I166" t="s">
        <v>5327</v>
      </c>
      <c r="J166">
        <v>178078</v>
      </c>
      <c r="K166" t="s">
        <v>5328</v>
      </c>
      <c r="L166">
        <v>26</v>
      </c>
      <c r="O166">
        <v>178078</v>
      </c>
      <c r="P166" t="s">
        <v>2</v>
      </c>
      <c r="Q166">
        <v>1</v>
      </c>
    </row>
    <row r="167" spans="1:17" x14ac:dyDescent="0.25">
      <c r="A167">
        <v>4</v>
      </c>
      <c r="B167" t="s">
        <v>5329</v>
      </c>
      <c r="C167" t="s">
        <v>19</v>
      </c>
      <c r="D167" t="s">
        <v>2</v>
      </c>
      <c r="G167">
        <v>178079</v>
      </c>
      <c r="H167" t="s">
        <v>5330</v>
      </c>
      <c r="I167" t="s">
        <v>5331</v>
      </c>
      <c r="J167">
        <v>178079</v>
      </c>
      <c r="K167" t="s">
        <v>5332</v>
      </c>
      <c r="L167">
        <v>12</v>
      </c>
      <c r="O167">
        <v>178079</v>
      </c>
      <c r="P167" t="s">
        <v>2</v>
      </c>
      <c r="Q167">
        <v>1</v>
      </c>
    </row>
    <row r="168" spans="1:17" x14ac:dyDescent="0.25">
      <c r="A168">
        <v>4</v>
      </c>
      <c r="B168" t="s">
        <v>5333</v>
      </c>
      <c r="C168" t="s">
        <v>19</v>
      </c>
      <c r="D168" t="s">
        <v>2</v>
      </c>
      <c r="G168">
        <v>235635</v>
      </c>
      <c r="H168" t="s">
        <v>5334</v>
      </c>
      <c r="I168" t="s">
        <v>5335</v>
      </c>
      <c r="J168">
        <v>235635</v>
      </c>
      <c r="K168" t="s">
        <v>5336</v>
      </c>
      <c r="L168">
        <v>3</v>
      </c>
      <c r="N168" t="s">
        <v>4713</v>
      </c>
      <c r="O168">
        <v>235635</v>
      </c>
      <c r="P168" t="s">
        <v>2</v>
      </c>
      <c r="Q168">
        <v>1</v>
      </c>
    </row>
    <row r="169" spans="1:17" x14ac:dyDescent="0.25">
      <c r="A169">
        <v>3</v>
      </c>
      <c r="B169" t="s">
        <v>5337</v>
      </c>
      <c r="C169" t="s">
        <v>19</v>
      </c>
      <c r="D169" t="s">
        <v>2</v>
      </c>
      <c r="F169" t="s">
        <v>5338</v>
      </c>
      <c r="H169" t="s">
        <v>5339</v>
      </c>
      <c r="I169" t="s">
        <v>5340</v>
      </c>
      <c r="J169" t="s">
        <v>5338</v>
      </c>
      <c r="O169" t="s">
        <v>5338</v>
      </c>
      <c r="P169" t="s">
        <v>2</v>
      </c>
      <c r="Q169">
        <v>1</v>
      </c>
    </row>
    <row r="170" spans="1:17" x14ac:dyDescent="0.25">
      <c r="A170">
        <v>4</v>
      </c>
      <c r="B170" t="s">
        <v>5341</v>
      </c>
      <c r="C170" t="s">
        <v>19</v>
      </c>
      <c r="D170" t="s">
        <v>2</v>
      </c>
      <c r="G170">
        <v>178080</v>
      </c>
      <c r="H170" t="s">
        <v>5342</v>
      </c>
      <c r="I170" t="s">
        <v>5343</v>
      </c>
      <c r="J170">
        <v>178080</v>
      </c>
      <c r="K170" t="s">
        <v>5344</v>
      </c>
      <c r="L170">
        <v>2</v>
      </c>
      <c r="N170" t="s">
        <v>4713</v>
      </c>
      <c r="O170">
        <v>178080</v>
      </c>
      <c r="P170" t="s">
        <v>2</v>
      </c>
      <c r="Q170">
        <v>1</v>
      </c>
    </row>
    <row r="171" spans="1:17" x14ac:dyDescent="0.25">
      <c r="A171">
        <v>4</v>
      </c>
      <c r="B171" t="s">
        <v>5345</v>
      </c>
      <c r="C171" t="s">
        <v>19</v>
      </c>
      <c r="D171" t="s">
        <v>2</v>
      </c>
      <c r="G171">
        <v>178081</v>
      </c>
      <c r="H171" t="s">
        <v>5346</v>
      </c>
      <c r="I171" t="s">
        <v>5347</v>
      </c>
      <c r="J171">
        <v>178081</v>
      </c>
      <c r="K171" t="s">
        <v>5348</v>
      </c>
      <c r="L171">
        <v>2</v>
      </c>
      <c r="N171" t="s">
        <v>4713</v>
      </c>
      <c r="O171">
        <v>178081</v>
      </c>
      <c r="P171" t="s">
        <v>2</v>
      </c>
      <c r="Q171">
        <v>1</v>
      </c>
    </row>
    <row r="172" spans="1:17" x14ac:dyDescent="0.25">
      <c r="A172">
        <v>4</v>
      </c>
      <c r="B172" t="s">
        <v>5349</v>
      </c>
      <c r="C172" t="s">
        <v>19</v>
      </c>
      <c r="D172" t="s">
        <v>2</v>
      </c>
      <c r="G172">
        <v>178082</v>
      </c>
      <c r="H172" t="s">
        <v>5350</v>
      </c>
      <c r="I172" t="s">
        <v>5351</v>
      </c>
      <c r="J172">
        <v>178082</v>
      </c>
      <c r="K172" t="s">
        <v>5352</v>
      </c>
      <c r="L172">
        <v>170</v>
      </c>
      <c r="O172">
        <v>178082</v>
      </c>
      <c r="P172" t="s">
        <v>2</v>
      </c>
      <c r="Q172">
        <v>1</v>
      </c>
    </row>
    <row r="173" spans="1:17" x14ac:dyDescent="0.25">
      <c r="A173">
        <v>4</v>
      </c>
      <c r="B173" t="s">
        <v>5353</v>
      </c>
      <c r="C173" t="s">
        <v>19</v>
      </c>
      <c r="D173" t="s">
        <v>2</v>
      </c>
      <c r="G173">
        <v>178083</v>
      </c>
      <c r="H173" t="s">
        <v>5354</v>
      </c>
      <c r="I173" t="s">
        <v>5355</v>
      </c>
      <c r="J173">
        <v>178083</v>
      </c>
      <c r="K173" t="s">
        <v>5356</v>
      </c>
      <c r="L173">
        <v>74</v>
      </c>
      <c r="O173">
        <v>178083</v>
      </c>
      <c r="P173" t="s">
        <v>2</v>
      </c>
      <c r="Q173">
        <v>1</v>
      </c>
    </row>
    <row r="174" spans="1:17" x14ac:dyDescent="0.25">
      <c r="A174">
        <v>4</v>
      </c>
      <c r="B174" t="s">
        <v>5357</v>
      </c>
      <c r="C174" t="s">
        <v>19</v>
      </c>
      <c r="D174" t="s">
        <v>2</v>
      </c>
      <c r="G174">
        <v>178086</v>
      </c>
      <c r="H174" t="s">
        <v>5358</v>
      </c>
      <c r="I174" t="s">
        <v>5359</v>
      </c>
      <c r="J174">
        <v>178086</v>
      </c>
      <c r="K174" t="s">
        <v>5360</v>
      </c>
      <c r="L174">
        <v>2</v>
      </c>
      <c r="N174" t="s">
        <v>4713</v>
      </c>
      <c r="O174">
        <v>178086</v>
      </c>
      <c r="P174" t="s">
        <v>2</v>
      </c>
      <c r="Q174">
        <v>1</v>
      </c>
    </row>
    <row r="175" spans="1:17" x14ac:dyDescent="0.25">
      <c r="A175">
        <v>4</v>
      </c>
      <c r="B175" t="s">
        <v>5361</v>
      </c>
      <c r="C175" t="s">
        <v>19</v>
      </c>
      <c r="D175" t="s">
        <v>2</v>
      </c>
      <c r="G175">
        <v>178087</v>
      </c>
      <c r="H175" t="s">
        <v>5362</v>
      </c>
      <c r="I175" t="s">
        <v>5363</v>
      </c>
      <c r="J175">
        <v>178087</v>
      </c>
      <c r="K175" t="s">
        <v>5364</v>
      </c>
      <c r="L175">
        <v>24</v>
      </c>
      <c r="O175">
        <v>178087</v>
      </c>
      <c r="P175" t="s">
        <v>2</v>
      </c>
      <c r="Q175">
        <v>1</v>
      </c>
    </row>
    <row r="176" spans="1:17" x14ac:dyDescent="0.25">
      <c r="A176">
        <v>4</v>
      </c>
      <c r="B176" t="s">
        <v>5365</v>
      </c>
      <c r="C176" t="s">
        <v>19</v>
      </c>
      <c r="D176" t="s">
        <v>2</v>
      </c>
      <c r="G176">
        <v>178088</v>
      </c>
      <c r="H176" t="s">
        <v>5366</v>
      </c>
      <c r="I176" t="s">
        <v>5367</v>
      </c>
      <c r="J176">
        <v>178088</v>
      </c>
      <c r="K176" t="s">
        <v>5368</v>
      </c>
      <c r="L176">
        <v>1</v>
      </c>
      <c r="N176" t="s">
        <v>4734</v>
      </c>
      <c r="O176">
        <v>178088</v>
      </c>
      <c r="P176" t="s">
        <v>2</v>
      </c>
      <c r="Q176">
        <v>1</v>
      </c>
    </row>
    <row r="177" spans="1:17" x14ac:dyDescent="0.25">
      <c r="A177">
        <v>4</v>
      </c>
      <c r="B177" t="s">
        <v>5369</v>
      </c>
      <c r="C177" t="s">
        <v>19</v>
      </c>
      <c r="D177" t="s">
        <v>2</v>
      </c>
      <c r="G177">
        <v>178089</v>
      </c>
      <c r="H177" t="s">
        <v>5370</v>
      </c>
      <c r="I177" t="s">
        <v>5371</v>
      </c>
      <c r="J177">
        <v>178089</v>
      </c>
      <c r="K177" t="s">
        <v>5372</v>
      </c>
      <c r="L177">
        <v>55</v>
      </c>
      <c r="O177">
        <v>178089</v>
      </c>
      <c r="P177" t="s">
        <v>2</v>
      </c>
      <c r="Q177">
        <v>1</v>
      </c>
    </row>
    <row r="178" spans="1:17" x14ac:dyDescent="0.25">
      <c r="A178">
        <v>4</v>
      </c>
      <c r="B178" t="s">
        <v>5373</v>
      </c>
      <c r="C178" t="s">
        <v>19</v>
      </c>
      <c r="D178" t="s">
        <v>2</v>
      </c>
      <c r="G178">
        <v>240155</v>
      </c>
      <c r="H178" t="s">
        <v>5374</v>
      </c>
      <c r="I178" t="s">
        <v>5375</v>
      </c>
      <c r="J178">
        <v>240155</v>
      </c>
      <c r="K178" t="s">
        <v>5376</v>
      </c>
      <c r="L178">
        <v>1</v>
      </c>
      <c r="N178" t="s">
        <v>4734</v>
      </c>
      <c r="O178">
        <v>240155</v>
      </c>
      <c r="P178" t="s">
        <v>2</v>
      </c>
      <c r="Q178">
        <v>1</v>
      </c>
    </row>
    <row r="179" spans="1:17" x14ac:dyDescent="0.25">
      <c r="A179">
        <v>3</v>
      </c>
      <c r="B179" t="s">
        <v>5377</v>
      </c>
      <c r="C179" t="s">
        <v>19</v>
      </c>
      <c r="D179" t="s">
        <v>2</v>
      </c>
      <c r="F179" t="s">
        <v>5378</v>
      </c>
      <c r="H179" t="s">
        <v>5379</v>
      </c>
      <c r="I179" t="s">
        <v>5380</v>
      </c>
      <c r="J179" t="s">
        <v>5378</v>
      </c>
      <c r="O179" t="s">
        <v>5378</v>
      </c>
      <c r="P179" t="s">
        <v>2</v>
      </c>
      <c r="Q179">
        <v>1</v>
      </c>
    </row>
    <row r="180" spans="1:17" x14ac:dyDescent="0.25">
      <c r="A180">
        <v>4</v>
      </c>
      <c r="B180" t="s">
        <v>5381</v>
      </c>
      <c r="C180" t="s">
        <v>19</v>
      </c>
      <c r="D180" t="s">
        <v>2</v>
      </c>
      <c r="G180">
        <v>23897</v>
      </c>
      <c r="H180" t="s">
        <v>5382</v>
      </c>
      <c r="I180" t="s">
        <v>5383</v>
      </c>
      <c r="J180">
        <v>23897</v>
      </c>
      <c r="K180" t="s">
        <v>5384</v>
      </c>
      <c r="L180">
        <v>46</v>
      </c>
      <c r="O180">
        <v>23897</v>
      </c>
      <c r="P180" t="s">
        <v>2</v>
      </c>
      <c r="Q180">
        <v>1</v>
      </c>
    </row>
    <row r="181" spans="1:17" x14ac:dyDescent="0.25">
      <c r="A181">
        <v>4</v>
      </c>
      <c r="B181" t="s">
        <v>5385</v>
      </c>
      <c r="C181" t="s">
        <v>19</v>
      </c>
      <c r="D181" t="s">
        <v>2</v>
      </c>
      <c r="G181" t="s">
        <v>5386</v>
      </c>
      <c r="H181" t="s">
        <v>5387</v>
      </c>
      <c r="I181" t="s">
        <v>5380</v>
      </c>
      <c r="J181" t="s">
        <v>5386</v>
      </c>
      <c r="K181" t="s">
        <v>5388</v>
      </c>
      <c r="L181">
        <v>41</v>
      </c>
      <c r="O181" t="s">
        <v>5386</v>
      </c>
      <c r="P181" t="s">
        <v>2</v>
      </c>
      <c r="Q181">
        <v>1</v>
      </c>
    </row>
    <row r="182" spans="1:17" x14ac:dyDescent="0.25">
      <c r="A182">
        <v>3</v>
      </c>
      <c r="B182" t="s">
        <v>5389</v>
      </c>
      <c r="C182" t="s">
        <v>19</v>
      </c>
      <c r="D182" t="s">
        <v>2</v>
      </c>
      <c r="F182" t="s">
        <v>5390</v>
      </c>
      <c r="H182" t="s">
        <v>5391</v>
      </c>
      <c r="I182" t="s">
        <v>5392</v>
      </c>
      <c r="J182" t="s">
        <v>5390</v>
      </c>
      <c r="O182" t="s">
        <v>5390</v>
      </c>
      <c r="P182" t="s">
        <v>2</v>
      </c>
      <c r="Q182">
        <v>1</v>
      </c>
    </row>
    <row r="183" spans="1:17" x14ac:dyDescent="0.25">
      <c r="A183">
        <v>4</v>
      </c>
      <c r="B183" t="s">
        <v>5393</v>
      </c>
      <c r="C183" t="s">
        <v>19</v>
      </c>
      <c r="D183" t="s">
        <v>2</v>
      </c>
      <c r="G183">
        <v>23901</v>
      </c>
      <c r="H183" t="s">
        <v>5394</v>
      </c>
      <c r="I183" t="s">
        <v>5395</v>
      </c>
      <c r="J183">
        <v>23901</v>
      </c>
      <c r="K183" t="s">
        <v>5396</v>
      </c>
      <c r="L183">
        <v>1</v>
      </c>
      <c r="N183" t="s">
        <v>4734</v>
      </c>
      <c r="O183">
        <v>23901</v>
      </c>
      <c r="P183" t="s">
        <v>2</v>
      </c>
      <c r="Q183">
        <v>1</v>
      </c>
    </row>
    <row r="184" spans="1:17" x14ac:dyDescent="0.25">
      <c r="A184">
        <v>4</v>
      </c>
      <c r="B184" t="s">
        <v>5397</v>
      </c>
      <c r="C184" t="s">
        <v>19</v>
      </c>
      <c r="D184" t="s">
        <v>2</v>
      </c>
      <c r="G184" t="s">
        <v>5398</v>
      </c>
      <c r="H184" t="s">
        <v>5399</v>
      </c>
      <c r="I184" t="s">
        <v>5392</v>
      </c>
      <c r="J184" t="s">
        <v>5398</v>
      </c>
      <c r="K184" t="s">
        <v>5400</v>
      </c>
      <c r="L184">
        <v>1</v>
      </c>
      <c r="N184" t="s">
        <v>4734</v>
      </c>
      <c r="O184" t="s">
        <v>5398</v>
      </c>
      <c r="P184" t="s">
        <v>2</v>
      </c>
      <c r="Q184">
        <v>1</v>
      </c>
    </row>
    <row r="185" spans="1:17" x14ac:dyDescent="0.25">
      <c r="A185">
        <v>3</v>
      </c>
      <c r="B185" t="s">
        <v>5401</v>
      </c>
      <c r="C185" t="s">
        <v>19</v>
      </c>
      <c r="D185" t="s">
        <v>2</v>
      </c>
      <c r="F185" t="s">
        <v>5402</v>
      </c>
      <c r="H185" t="s">
        <v>5403</v>
      </c>
      <c r="I185" t="s">
        <v>5404</v>
      </c>
      <c r="J185" t="s">
        <v>5402</v>
      </c>
      <c r="O185" t="s">
        <v>5402</v>
      </c>
      <c r="P185" t="s">
        <v>2</v>
      </c>
      <c r="Q185">
        <v>1</v>
      </c>
    </row>
    <row r="186" spans="1:17" x14ac:dyDescent="0.25">
      <c r="A186">
        <v>4</v>
      </c>
      <c r="B186" t="s">
        <v>5405</v>
      </c>
      <c r="C186" t="s">
        <v>19</v>
      </c>
      <c r="D186" t="s">
        <v>2</v>
      </c>
      <c r="G186">
        <v>29063</v>
      </c>
      <c r="H186" t="s">
        <v>5406</v>
      </c>
      <c r="I186" t="s">
        <v>5407</v>
      </c>
      <c r="J186">
        <v>29063</v>
      </c>
      <c r="K186" t="s">
        <v>5408</v>
      </c>
      <c r="L186">
        <v>14</v>
      </c>
      <c r="O186">
        <v>29063</v>
      </c>
      <c r="P186" t="s">
        <v>2</v>
      </c>
      <c r="Q186">
        <v>1</v>
      </c>
    </row>
    <row r="187" spans="1:17" x14ac:dyDescent="0.25">
      <c r="A187">
        <v>4</v>
      </c>
      <c r="B187" t="s">
        <v>5409</v>
      </c>
      <c r="C187" t="s">
        <v>19</v>
      </c>
      <c r="D187" t="s">
        <v>2</v>
      </c>
      <c r="G187" t="s">
        <v>5410</v>
      </c>
      <c r="H187" t="s">
        <v>5411</v>
      </c>
      <c r="I187" t="s">
        <v>5404</v>
      </c>
      <c r="J187" t="s">
        <v>5410</v>
      </c>
      <c r="K187" t="s">
        <v>5412</v>
      </c>
      <c r="L187">
        <v>27</v>
      </c>
      <c r="O187" t="s">
        <v>5410</v>
      </c>
      <c r="P187" t="s">
        <v>2</v>
      </c>
      <c r="Q187">
        <v>1</v>
      </c>
    </row>
    <row r="188" spans="1:17" x14ac:dyDescent="0.25">
      <c r="A188">
        <v>4</v>
      </c>
      <c r="B188" t="s">
        <v>5413</v>
      </c>
      <c r="C188" t="s">
        <v>19</v>
      </c>
      <c r="D188" t="s">
        <v>2</v>
      </c>
      <c r="G188">
        <v>29802</v>
      </c>
      <c r="H188" t="s">
        <v>5414</v>
      </c>
      <c r="I188" t="s">
        <v>5415</v>
      </c>
      <c r="J188">
        <v>29802</v>
      </c>
      <c r="K188" t="s">
        <v>5416</v>
      </c>
      <c r="L188">
        <v>14</v>
      </c>
      <c r="O188">
        <v>29802</v>
      </c>
      <c r="P188" t="s">
        <v>2</v>
      </c>
      <c r="Q188">
        <v>1</v>
      </c>
    </row>
    <row r="189" spans="1:17" x14ac:dyDescent="0.25">
      <c r="A189">
        <v>4</v>
      </c>
      <c r="B189" t="s">
        <v>5417</v>
      </c>
      <c r="C189" t="s">
        <v>19</v>
      </c>
      <c r="D189" t="s">
        <v>2</v>
      </c>
      <c r="G189" t="s">
        <v>5418</v>
      </c>
      <c r="H189" t="s">
        <v>5419</v>
      </c>
      <c r="I189" t="s">
        <v>5420</v>
      </c>
      <c r="J189" t="s">
        <v>5418</v>
      </c>
      <c r="K189" t="s">
        <v>5421</v>
      </c>
      <c r="L189">
        <v>68</v>
      </c>
      <c r="O189" t="s">
        <v>5418</v>
      </c>
      <c r="P189" t="s">
        <v>2</v>
      </c>
      <c r="Q189">
        <v>1</v>
      </c>
    </row>
    <row r="190" spans="1:17" x14ac:dyDescent="0.25">
      <c r="A190">
        <v>4</v>
      </c>
      <c r="B190" t="s">
        <v>5422</v>
      </c>
      <c r="C190" t="s">
        <v>19</v>
      </c>
      <c r="D190" t="s">
        <v>2</v>
      </c>
      <c r="G190" t="s">
        <v>5423</v>
      </c>
      <c r="H190" t="s">
        <v>5424</v>
      </c>
      <c r="I190" t="s">
        <v>5424</v>
      </c>
      <c r="J190" t="s">
        <v>5423</v>
      </c>
      <c r="K190" t="s">
        <v>5425</v>
      </c>
      <c r="L190">
        <v>34</v>
      </c>
      <c r="O190" t="s">
        <v>5423</v>
      </c>
      <c r="P190" t="s">
        <v>2</v>
      </c>
      <c r="Q190">
        <v>1</v>
      </c>
    </row>
    <row r="191" spans="1:17" x14ac:dyDescent="0.25">
      <c r="A191">
        <v>4</v>
      </c>
      <c r="B191" t="s">
        <v>5426</v>
      </c>
      <c r="C191" t="s">
        <v>19</v>
      </c>
      <c r="D191" t="s">
        <v>2</v>
      </c>
      <c r="G191" t="s">
        <v>5427</v>
      </c>
      <c r="H191" t="s">
        <v>5428</v>
      </c>
      <c r="I191" t="s">
        <v>5428</v>
      </c>
      <c r="J191" t="s">
        <v>5427</v>
      </c>
      <c r="K191" t="s">
        <v>5429</v>
      </c>
      <c r="L191">
        <v>1</v>
      </c>
      <c r="N191" t="s">
        <v>4734</v>
      </c>
      <c r="O191" t="s">
        <v>5427</v>
      </c>
      <c r="P191" t="s">
        <v>2</v>
      </c>
      <c r="Q191">
        <v>1</v>
      </c>
    </row>
    <row r="192" spans="1:17" x14ac:dyDescent="0.25">
      <c r="A192">
        <v>4</v>
      </c>
      <c r="B192" t="s">
        <v>5430</v>
      </c>
      <c r="C192" t="s">
        <v>19</v>
      </c>
      <c r="D192" t="s">
        <v>2</v>
      </c>
      <c r="G192" t="s">
        <v>5431</v>
      </c>
      <c r="H192" t="s">
        <v>5432</v>
      </c>
      <c r="I192" t="s">
        <v>5432</v>
      </c>
      <c r="J192" t="s">
        <v>5431</v>
      </c>
      <c r="K192" t="s">
        <v>5433</v>
      </c>
      <c r="L192">
        <v>213</v>
      </c>
      <c r="O192" t="s">
        <v>5431</v>
      </c>
      <c r="P192" t="s">
        <v>2</v>
      </c>
      <c r="Q192">
        <v>1</v>
      </c>
    </row>
    <row r="193" spans="1:17" x14ac:dyDescent="0.25">
      <c r="A193">
        <v>4</v>
      </c>
      <c r="B193" t="s">
        <v>5434</v>
      </c>
      <c r="C193" t="s">
        <v>19</v>
      </c>
      <c r="D193" t="s">
        <v>2</v>
      </c>
      <c r="G193" t="s">
        <v>5435</v>
      </c>
      <c r="H193" t="s">
        <v>5436</v>
      </c>
      <c r="I193" t="s">
        <v>5437</v>
      </c>
      <c r="J193" t="s">
        <v>5435</v>
      </c>
      <c r="K193" t="s">
        <v>5438</v>
      </c>
      <c r="L193">
        <v>47</v>
      </c>
      <c r="O193" t="s">
        <v>5435</v>
      </c>
      <c r="P193" t="s">
        <v>2</v>
      </c>
      <c r="Q193">
        <v>1</v>
      </c>
    </row>
    <row r="194" spans="1:17" x14ac:dyDescent="0.25">
      <c r="A194">
        <v>4</v>
      </c>
      <c r="B194" t="s">
        <v>5439</v>
      </c>
      <c r="C194" t="s">
        <v>19</v>
      </c>
      <c r="D194" t="s">
        <v>2</v>
      </c>
      <c r="G194" t="s">
        <v>5440</v>
      </c>
      <c r="H194" t="s">
        <v>5441</v>
      </c>
      <c r="I194" t="s">
        <v>5441</v>
      </c>
      <c r="J194" t="s">
        <v>5440</v>
      </c>
      <c r="K194" t="s">
        <v>5442</v>
      </c>
      <c r="L194">
        <v>33</v>
      </c>
      <c r="O194" t="s">
        <v>5440</v>
      </c>
      <c r="P194" t="s">
        <v>2</v>
      </c>
      <c r="Q194">
        <v>1</v>
      </c>
    </row>
    <row r="195" spans="1:17" x14ac:dyDescent="0.25">
      <c r="A195">
        <v>4</v>
      </c>
      <c r="B195" t="s">
        <v>5443</v>
      </c>
      <c r="C195" t="s">
        <v>19</v>
      </c>
      <c r="D195" t="s">
        <v>2</v>
      </c>
      <c r="G195" t="s">
        <v>5444</v>
      </c>
      <c r="H195" t="s">
        <v>5445</v>
      </c>
      <c r="I195" t="s">
        <v>5446</v>
      </c>
      <c r="J195" t="s">
        <v>5444</v>
      </c>
      <c r="K195" t="s">
        <v>5447</v>
      </c>
      <c r="L195">
        <v>52</v>
      </c>
      <c r="O195" t="s">
        <v>5444</v>
      </c>
      <c r="P195" t="s">
        <v>2</v>
      </c>
      <c r="Q195">
        <v>1</v>
      </c>
    </row>
    <row r="196" spans="1:17" x14ac:dyDescent="0.25">
      <c r="A196">
        <v>4</v>
      </c>
      <c r="B196" t="s">
        <v>5448</v>
      </c>
      <c r="C196" t="s">
        <v>19</v>
      </c>
      <c r="D196" t="s">
        <v>2</v>
      </c>
      <c r="G196" t="s">
        <v>5449</v>
      </c>
      <c r="H196" t="s">
        <v>5450</v>
      </c>
      <c r="I196" t="s">
        <v>5451</v>
      </c>
      <c r="J196" t="s">
        <v>5449</v>
      </c>
      <c r="K196" t="s">
        <v>5452</v>
      </c>
      <c r="L196">
        <v>895</v>
      </c>
      <c r="O196" t="s">
        <v>5449</v>
      </c>
      <c r="P196" t="s">
        <v>2</v>
      </c>
      <c r="Q196">
        <v>1</v>
      </c>
    </row>
    <row r="197" spans="1:17" x14ac:dyDescent="0.25">
      <c r="A197">
        <v>4</v>
      </c>
      <c r="B197" t="s">
        <v>5453</v>
      </c>
      <c r="C197" t="s">
        <v>19</v>
      </c>
      <c r="D197" t="s">
        <v>2</v>
      </c>
      <c r="G197" t="s">
        <v>5454</v>
      </c>
      <c r="H197" t="s">
        <v>5455</v>
      </c>
      <c r="I197" t="s">
        <v>5456</v>
      </c>
      <c r="J197" t="s">
        <v>5454</v>
      </c>
      <c r="K197" t="s">
        <v>5457</v>
      </c>
      <c r="L197">
        <v>231</v>
      </c>
      <c r="O197" t="s">
        <v>5454</v>
      </c>
      <c r="P197" t="s">
        <v>2</v>
      </c>
      <c r="Q197">
        <v>1</v>
      </c>
    </row>
    <row r="198" spans="1:17" x14ac:dyDescent="0.25">
      <c r="A198">
        <v>4</v>
      </c>
      <c r="B198" t="s">
        <v>5458</v>
      </c>
      <c r="C198" t="s">
        <v>19</v>
      </c>
      <c r="D198" t="s">
        <v>2</v>
      </c>
      <c r="G198" t="s">
        <v>5459</v>
      </c>
      <c r="H198" t="s">
        <v>5460</v>
      </c>
      <c r="I198" t="s">
        <v>5461</v>
      </c>
      <c r="J198" t="s">
        <v>5459</v>
      </c>
      <c r="K198" t="s">
        <v>5462</v>
      </c>
      <c r="L198">
        <v>41</v>
      </c>
      <c r="O198" t="s">
        <v>5459</v>
      </c>
      <c r="P198" t="s">
        <v>2</v>
      </c>
      <c r="Q198">
        <v>1</v>
      </c>
    </row>
    <row r="199" spans="1:17" x14ac:dyDescent="0.25">
      <c r="A199">
        <v>4</v>
      </c>
      <c r="B199" t="s">
        <v>5463</v>
      </c>
      <c r="C199" t="s">
        <v>19</v>
      </c>
      <c r="D199" t="s">
        <v>2</v>
      </c>
      <c r="G199" t="s">
        <v>5464</v>
      </c>
      <c r="H199" t="s">
        <v>5465</v>
      </c>
      <c r="I199" t="s">
        <v>5466</v>
      </c>
      <c r="J199" t="s">
        <v>5464</v>
      </c>
      <c r="K199" t="s">
        <v>5467</v>
      </c>
      <c r="L199">
        <v>29</v>
      </c>
      <c r="O199" t="s">
        <v>5464</v>
      </c>
      <c r="P199" t="s">
        <v>2</v>
      </c>
      <c r="Q199">
        <v>1</v>
      </c>
    </row>
    <row r="200" spans="1:17" x14ac:dyDescent="0.25">
      <c r="A200">
        <v>4</v>
      </c>
      <c r="B200" t="s">
        <v>5468</v>
      </c>
      <c r="C200" t="s">
        <v>19</v>
      </c>
      <c r="D200" t="s">
        <v>2</v>
      </c>
      <c r="G200" t="s">
        <v>5469</v>
      </c>
      <c r="H200" t="s">
        <v>5470</v>
      </c>
      <c r="I200" t="s">
        <v>5471</v>
      </c>
      <c r="J200" t="s">
        <v>5469</v>
      </c>
      <c r="K200" t="s">
        <v>5472</v>
      </c>
      <c r="L200">
        <v>452</v>
      </c>
      <c r="O200" t="s">
        <v>5469</v>
      </c>
      <c r="P200" t="s">
        <v>2</v>
      </c>
      <c r="Q200">
        <v>1</v>
      </c>
    </row>
    <row r="201" spans="1:17" x14ac:dyDescent="0.25">
      <c r="A201">
        <v>4</v>
      </c>
      <c r="B201" t="s">
        <v>5473</v>
      </c>
      <c r="C201" t="s">
        <v>19</v>
      </c>
      <c r="D201" t="s">
        <v>2</v>
      </c>
      <c r="G201" t="s">
        <v>5474</v>
      </c>
      <c r="H201" t="s">
        <v>5475</v>
      </c>
      <c r="I201" t="s">
        <v>5476</v>
      </c>
      <c r="J201" t="s">
        <v>5474</v>
      </c>
      <c r="K201" t="s">
        <v>5477</v>
      </c>
      <c r="L201">
        <v>240</v>
      </c>
      <c r="O201" t="s">
        <v>5474</v>
      </c>
      <c r="P201" t="s">
        <v>2</v>
      </c>
      <c r="Q201">
        <v>1</v>
      </c>
    </row>
    <row r="202" spans="1:17" x14ac:dyDescent="0.25">
      <c r="A202">
        <v>4</v>
      </c>
      <c r="B202" t="s">
        <v>5478</v>
      </c>
      <c r="C202" t="s">
        <v>19</v>
      </c>
      <c r="D202" t="s">
        <v>2</v>
      </c>
      <c r="G202" t="s">
        <v>5479</v>
      </c>
      <c r="H202" t="s">
        <v>5480</v>
      </c>
      <c r="I202" t="s">
        <v>5481</v>
      </c>
      <c r="J202" t="s">
        <v>5479</v>
      </c>
      <c r="K202" t="s">
        <v>5482</v>
      </c>
      <c r="L202">
        <v>128</v>
      </c>
      <c r="O202" t="s">
        <v>5479</v>
      </c>
      <c r="P202" t="s">
        <v>2</v>
      </c>
      <c r="Q202">
        <v>1</v>
      </c>
    </row>
    <row r="203" spans="1:17" x14ac:dyDescent="0.25">
      <c r="A203">
        <v>4</v>
      </c>
      <c r="B203" t="s">
        <v>5483</v>
      </c>
      <c r="C203" t="s">
        <v>19</v>
      </c>
      <c r="D203" t="s">
        <v>2</v>
      </c>
      <c r="G203" t="s">
        <v>5484</v>
      </c>
      <c r="H203" t="s">
        <v>5485</v>
      </c>
      <c r="I203" t="s">
        <v>5486</v>
      </c>
      <c r="J203" t="s">
        <v>5484</v>
      </c>
      <c r="K203" t="s">
        <v>5487</v>
      </c>
      <c r="L203">
        <v>18</v>
      </c>
      <c r="O203" t="s">
        <v>5484</v>
      </c>
      <c r="P203" t="s">
        <v>2</v>
      </c>
      <c r="Q203">
        <v>1</v>
      </c>
    </row>
    <row r="204" spans="1:17" x14ac:dyDescent="0.25">
      <c r="A204">
        <v>4</v>
      </c>
      <c r="B204" t="s">
        <v>5488</v>
      </c>
      <c r="C204" t="s">
        <v>19</v>
      </c>
      <c r="D204" t="s">
        <v>2</v>
      </c>
      <c r="G204" t="s">
        <v>5489</v>
      </c>
      <c r="H204" t="s">
        <v>5490</v>
      </c>
      <c r="I204" t="s">
        <v>5491</v>
      </c>
      <c r="J204" t="s">
        <v>5489</v>
      </c>
      <c r="K204" t="s">
        <v>5492</v>
      </c>
      <c r="L204">
        <v>34</v>
      </c>
      <c r="O204" t="s">
        <v>5489</v>
      </c>
      <c r="P204" t="s">
        <v>2</v>
      </c>
      <c r="Q204">
        <v>1</v>
      </c>
    </row>
    <row r="205" spans="1:17" x14ac:dyDescent="0.25">
      <c r="A205">
        <v>2</v>
      </c>
      <c r="B205" t="s">
        <v>5493</v>
      </c>
      <c r="C205" t="s">
        <v>19</v>
      </c>
      <c r="D205" t="s">
        <v>2</v>
      </c>
      <c r="E205" t="s">
        <v>129</v>
      </c>
      <c r="H205" t="s">
        <v>130</v>
      </c>
      <c r="I205" t="s">
        <v>369</v>
      </c>
      <c r="J205" t="s">
        <v>129</v>
      </c>
      <c r="O205" t="s">
        <v>129</v>
      </c>
      <c r="P205" t="s">
        <v>2</v>
      </c>
      <c r="Q205">
        <v>1</v>
      </c>
    </row>
    <row r="206" spans="1:17" x14ac:dyDescent="0.25">
      <c r="A206">
        <v>3</v>
      </c>
      <c r="B206" t="s">
        <v>5494</v>
      </c>
      <c r="C206" t="s">
        <v>19</v>
      </c>
      <c r="D206" t="s">
        <v>2</v>
      </c>
      <c r="F206" t="s">
        <v>5495</v>
      </c>
      <c r="H206" t="s">
        <v>5496</v>
      </c>
      <c r="I206" t="s">
        <v>5497</v>
      </c>
      <c r="J206" t="s">
        <v>5495</v>
      </c>
      <c r="O206" t="s">
        <v>5495</v>
      </c>
      <c r="P206" t="s">
        <v>2</v>
      </c>
      <c r="Q206">
        <v>1</v>
      </c>
    </row>
    <row r="207" spans="1:17" x14ac:dyDescent="0.25">
      <c r="A207">
        <v>4</v>
      </c>
      <c r="B207" t="s">
        <v>5498</v>
      </c>
      <c r="C207" t="s">
        <v>19</v>
      </c>
      <c r="D207" t="s">
        <v>2</v>
      </c>
      <c r="G207">
        <v>23927</v>
      </c>
      <c r="H207" t="s">
        <v>5499</v>
      </c>
      <c r="I207" t="s">
        <v>5500</v>
      </c>
      <c r="J207">
        <v>23927</v>
      </c>
      <c r="K207" t="s">
        <v>5501</v>
      </c>
      <c r="L207">
        <v>12</v>
      </c>
      <c r="O207">
        <v>23927</v>
      </c>
      <c r="P207" t="s">
        <v>2</v>
      </c>
      <c r="Q207">
        <v>1</v>
      </c>
    </row>
    <row r="208" spans="1:17" x14ac:dyDescent="0.25">
      <c r="A208">
        <v>4</v>
      </c>
      <c r="B208" t="s">
        <v>5502</v>
      </c>
      <c r="C208" t="s">
        <v>19</v>
      </c>
      <c r="D208" t="s">
        <v>2</v>
      </c>
      <c r="G208">
        <v>23929</v>
      </c>
      <c r="H208" t="s">
        <v>5503</v>
      </c>
      <c r="I208" t="s">
        <v>5504</v>
      </c>
      <c r="J208">
        <v>23929</v>
      </c>
      <c r="K208" t="s">
        <v>5505</v>
      </c>
      <c r="L208">
        <v>58</v>
      </c>
      <c r="O208">
        <v>23929</v>
      </c>
      <c r="P208" t="s">
        <v>2</v>
      </c>
      <c r="Q208">
        <v>1</v>
      </c>
    </row>
    <row r="209" spans="1:17" x14ac:dyDescent="0.25">
      <c r="A209">
        <v>4</v>
      </c>
      <c r="B209" t="s">
        <v>5506</v>
      </c>
      <c r="C209" t="s">
        <v>19</v>
      </c>
      <c r="D209" t="s">
        <v>2</v>
      </c>
      <c r="G209">
        <v>23931</v>
      </c>
      <c r="H209" t="s">
        <v>5507</v>
      </c>
      <c r="I209" t="s">
        <v>5508</v>
      </c>
      <c r="J209">
        <v>23931</v>
      </c>
      <c r="K209" t="s">
        <v>5509</v>
      </c>
      <c r="L209">
        <v>18</v>
      </c>
      <c r="O209">
        <v>23931</v>
      </c>
      <c r="P209" t="s">
        <v>2</v>
      </c>
      <c r="Q209">
        <v>1</v>
      </c>
    </row>
    <row r="210" spans="1:17" x14ac:dyDescent="0.25">
      <c r="A210">
        <v>4</v>
      </c>
      <c r="B210" t="s">
        <v>5510</v>
      </c>
      <c r="C210" t="s">
        <v>19</v>
      </c>
      <c r="D210" t="s">
        <v>2</v>
      </c>
      <c r="G210">
        <v>23933</v>
      </c>
      <c r="H210" t="s">
        <v>5511</v>
      </c>
      <c r="I210" t="s">
        <v>5512</v>
      </c>
      <c r="J210">
        <v>23933</v>
      </c>
      <c r="K210" t="s">
        <v>5513</v>
      </c>
      <c r="L210">
        <v>5</v>
      </c>
      <c r="N210" t="s">
        <v>4713</v>
      </c>
      <c r="O210">
        <v>23933</v>
      </c>
      <c r="P210" t="s">
        <v>2</v>
      </c>
      <c r="Q210">
        <v>1</v>
      </c>
    </row>
    <row r="211" spans="1:17" x14ac:dyDescent="0.25">
      <c r="A211">
        <v>4</v>
      </c>
      <c r="B211" t="s">
        <v>5514</v>
      </c>
      <c r="C211" t="s">
        <v>19</v>
      </c>
      <c r="D211" t="s">
        <v>2</v>
      </c>
      <c r="G211" t="s">
        <v>5515</v>
      </c>
      <c r="H211" t="s">
        <v>5516</v>
      </c>
      <c r="I211" t="s">
        <v>5517</v>
      </c>
      <c r="J211" t="s">
        <v>5515</v>
      </c>
      <c r="K211" t="s">
        <v>5518</v>
      </c>
      <c r="L211">
        <v>14</v>
      </c>
      <c r="O211" t="s">
        <v>5515</v>
      </c>
      <c r="P211" t="s">
        <v>2</v>
      </c>
      <c r="Q211">
        <v>1</v>
      </c>
    </row>
    <row r="212" spans="1:17" x14ac:dyDescent="0.25">
      <c r="A212">
        <v>3</v>
      </c>
      <c r="B212" t="s">
        <v>5519</v>
      </c>
      <c r="C212" t="s">
        <v>19</v>
      </c>
      <c r="D212" t="s">
        <v>2</v>
      </c>
      <c r="F212" t="s">
        <v>5520</v>
      </c>
      <c r="H212" t="s">
        <v>5521</v>
      </c>
      <c r="I212" t="s">
        <v>5522</v>
      </c>
      <c r="J212" t="s">
        <v>5520</v>
      </c>
      <c r="O212" t="s">
        <v>5520</v>
      </c>
      <c r="P212" t="s">
        <v>2</v>
      </c>
      <c r="Q212">
        <v>1</v>
      </c>
    </row>
    <row r="213" spans="1:17" x14ac:dyDescent="0.25">
      <c r="A213">
        <v>4</v>
      </c>
      <c r="B213" t="s">
        <v>5523</v>
      </c>
      <c r="C213" t="s">
        <v>19</v>
      </c>
      <c r="D213" t="s">
        <v>2</v>
      </c>
      <c r="G213">
        <v>23936</v>
      </c>
      <c r="H213" t="s">
        <v>5524</v>
      </c>
      <c r="I213" t="s">
        <v>5525</v>
      </c>
      <c r="J213">
        <v>23936</v>
      </c>
      <c r="K213" t="s">
        <v>5526</v>
      </c>
      <c r="L213">
        <v>24</v>
      </c>
      <c r="O213">
        <v>23936</v>
      </c>
      <c r="P213" t="s">
        <v>2</v>
      </c>
      <c r="Q213">
        <v>1</v>
      </c>
    </row>
    <row r="214" spans="1:17" x14ac:dyDescent="0.25">
      <c r="A214">
        <v>4</v>
      </c>
      <c r="B214" t="s">
        <v>5527</v>
      </c>
      <c r="C214" t="s">
        <v>19</v>
      </c>
      <c r="D214" t="s">
        <v>2</v>
      </c>
      <c r="G214" t="s">
        <v>5528</v>
      </c>
      <c r="H214" t="s">
        <v>5529</v>
      </c>
      <c r="I214" t="s">
        <v>5530</v>
      </c>
      <c r="J214" t="s">
        <v>5528</v>
      </c>
      <c r="K214" t="s">
        <v>5531</v>
      </c>
      <c r="L214">
        <v>63</v>
      </c>
      <c r="O214" t="s">
        <v>5528</v>
      </c>
      <c r="P214" t="s">
        <v>2</v>
      </c>
      <c r="Q214">
        <v>1</v>
      </c>
    </row>
    <row r="215" spans="1:17" x14ac:dyDescent="0.25">
      <c r="A215">
        <v>3</v>
      </c>
      <c r="B215" t="s">
        <v>5532</v>
      </c>
      <c r="C215" t="s">
        <v>19</v>
      </c>
      <c r="D215" t="s">
        <v>2</v>
      </c>
      <c r="F215" t="s">
        <v>5533</v>
      </c>
      <c r="H215" t="s">
        <v>5534</v>
      </c>
      <c r="I215" t="s">
        <v>5535</v>
      </c>
      <c r="J215" t="s">
        <v>5533</v>
      </c>
      <c r="O215" t="s">
        <v>5533</v>
      </c>
      <c r="P215" t="s">
        <v>2</v>
      </c>
      <c r="Q215">
        <v>1</v>
      </c>
    </row>
    <row r="216" spans="1:17" x14ac:dyDescent="0.25">
      <c r="A216">
        <v>4</v>
      </c>
      <c r="B216" t="s">
        <v>5536</v>
      </c>
      <c r="C216" t="s">
        <v>19</v>
      </c>
      <c r="D216" t="s">
        <v>2</v>
      </c>
      <c r="G216">
        <v>23946</v>
      </c>
      <c r="H216" t="s">
        <v>5537</v>
      </c>
      <c r="I216" t="s">
        <v>5538</v>
      </c>
      <c r="J216">
        <v>23946</v>
      </c>
      <c r="K216" t="s">
        <v>5539</v>
      </c>
      <c r="L216">
        <v>2</v>
      </c>
      <c r="N216" t="s">
        <v>4713</v>
      </c>
      <c r="O216">
        <v>23946</v>
      </c>
      <c r="P216" t="s">
        <v>2</v>
      </c>
      <c r="Q216">
        <v>1</v>
      </c>
    </row>
    <row r="217" spans="1:17" x14ac:dyDescent="0.25">
      <c r="A217">
        <v>4</v>
      </c>
      <c r="B217" t="s">
        <v>5540</v>
      </c>
      <c r="C217" t="s">
        <v>19</v>
      </c>
      <c r="D217" t="s">
        <v>2</v>
      </c>
      <c r="G217">
        <v>23948</v>
      </c>
      <c r="H217" t="s">
        <v>5541</v>
      </c>
      <c r="I217" t="s">
        <v>5542</v>
      </c>
      <c r="J217">
        <v>23948</v>
      </c>
      <c r="K217" t="s">
        <v>5543</v>
      </c>
      <c r="L217">
        <v>11</v>
      </c>
      <c r="O217">
        <v>23948</v>
      </c>
      <c r="P217" t="s">
        <v>2</v>
      </c>
      <c r="Q217">
        <v>1</v>
      </c>
    </row>
    <row r="218" spans="1:17" x14ac:dyDescent="0.25">
      <c r="A218">
        <v>4</v>
      </c>
      <c r="B218" t="s">
        <v>5544</v>
      </c>
      <c r="C218" t="s">
        <v>19</v>
      </c>
      <c r="D218" t="s">
        <v>2</v>
      </c>
      <c r="G218">
        <v>23950</v>
      </c>
      <c r="H218" t="s">
        <v>5545</v>
      </c>
      <c r="I218" t="s">
        <v>5546</v>
      </c>
      <c r="J218">
        <v>23950</v>
      </c>
      <c r="K218" t="s">
        <v>5547</v>
      </c>
      <c r="L218">
        <v>13</v>
      </c>
      <c r="O218">
        <v>23950</v>
      </c>
      <c r="P218" t="s">
        <v>2</v>
      </c>
      <c r="Q218">
        <v>1</v>
      </c>
    </row>
    <row r="219" spans="1:17" x14ac:dyDescent="0.25">
      <c r="A219">
        <v>4</v>
      </c>
      <c r="B219" t="s">
        <v>5548</v>
      </c>
      <c r="C219" t="s">
        <v>19</v>
      </c>
      <c r="D219" t="s">
        <v>2</v>
      </c>
      <c r="G219" t="s">
        <v>5549</v>
      </c>
      <c r="H219" t="s">
        <v>5534</v>
      </c>
      <c r="I219" t="s">
        <v>5550</v>
      </c>
      <c r="J219" t="s">
        <v>5549</v>
      </c>
      <c r="K219" t="s">
        <v>5551</v>
      </c>
      <c r="L219">
        <v>355</v>
      </c>
      <c r="O219" t="s">
        <v>5549</v>
      </c>
      <c r="P219" t="s">
        <v>2</v>
      </c>
      <c r="Q219">
        <v>1</v>
      </c>
    </row>
    <row r="220" spans="1:17" x14ac:dyDescent="0.25">
      <c r="A220">
        <v>3</v>
      </c>
      <c r="B220" t="s">
        <v>5552</v>
      </c>
      <c r="C220" t="s">
        <v>19</v>
      </c>
      <c r="D220" t="s">
        <v>2</v>
      </c>
      <c r="F220" t="s">
        <v>5553</v>
      </c>
      <c r="H220" t="s">
        <v>5554</v>
      </c>
      <c r="I220" t="s">
        <v>5555</v>
      </c>
      <c r="J220" t="s">
        <v>5553</v>
      </c>
      <c r="O220" t="s">
        <v>5553</v>
      </c>
      <c r="P220" t="s">
        <v>2</v>
      </c>
      <c r="Q220">
        <v>1</v>
      </c>
    </row>
    <row r="221" spans="1:17" x14ac:dyDescent="0.25">
      <c r="A221">
        <v>4</v>
      </c>
      <c r="B221" t="s">
        <v>5556</v>
      </c>
      <c r="C221" t="s">
        <v>19</v>
      </c>
      <c r="D221" t="s">
        <v>2</v>
      </c>
      <c r="G221">
        <v>23957</v>
      </c>
      <c r="H221" t="s">
        <v>5182</v>
      </c>
      <c r="I221" t="s">
        <v>5183</v>
      </c>
      <c r="J221">
        <v>23957</v>
      </c>
      <c r="K221" t="s">
        <v>5557</v>
      </c>
      <c r="L221">
        <v>1</v>
      </c>
      <c r="N221" t="s">
        <v>4734</v>
      </c>
      <c r="O221">
        <v>23957</v>
      </c>
      <c r="P221" t="s">
        <v>2</v>
      </c>
      <c r="Q221">
        <v>1</v>
      </c>
    </row>
    <row r="222" spans="1:17" x14ac:dyDescent="0.25">
      <c r="A222">
        <v>4</v>
      </c>
      <c r="B222" t="s">
        <v>5558</v>
      </c>
      <c r="C222" t="s">
        <v>19</v>
      </c>
      <c r="D222" t="s">
        <v>2</v>
      </c>
      <c r="G222" t="s">
        <v>5559</v>
      </c>
      <c r="H222" t="s">
        <v>5554</v>
      </c>
      <c r="I222" t="s">
        <v>5560</v>
      </c>
      <c r="J222" t="s">
        <v>5559</v>
      </c>
      <c r="K222" t="s">
        <v>5561</v>
      </c>
      <c r="L222">
        <v>26</v>
      </c>
      <c r="O222" t="s">
        <v>5559</v>
      </c>
      <c r="P222" t="s">
        <v>2</v>
      </c>
      <c r="Q222">
        <v>1</v>
      </c>
    </row>
    <row r="223" spans="1:17" x14ac:dyDescent="0.25">
      <c r="A223">
        <v>3</v>
      </c>
      <c r="B223" t="s">
        <v>5562</v>
      </c>
      <c r="C223" t="s">
        <v>19</v>
      </c>
      <c r="D223" t="s">
        <v>2</v>
      </c>
      <c r="F223" t="s">
        <v>5563</v>
      </c>
      <c r="H223" t="s">
        <v>5564</v>
      </c>
      <c r="I223" t="s">
        <v>5565</v>
      </c>
      <c r="J223" t="s">
        <v>5563</v>
      </c>
      <c r="O223" t="s">
        <v>5563</v>
      </c>
      <c r="P223" t="s">
        <v>2</v>
      </c>
      <c r="Q223">
        <v>1</v>
      </c>
    </row>
    <row r="224" spans="1:17" x14ac:dyDescent="0.25">
      <c r="A224">
        <v>4</v>
      </c>
      <c r="B224" t="s">
        <v>5566</v>
      </c>
      <c r="C224" t="s">
        <v>19</v>
      </c>
      <c r="D224" t="s">
        <v>2</v>
      </c>
      <c r="G224">
        <v>23962</v>
      </c>
      <c r="H224" t="s">
        <v>5567</v>
      </c>
      <c r="I224" t="s">
        <v>5568</v>
      </c>
      <c r="J224">
        <v>23962</v>
      </c>
      <c r="K224" t="s">
        <v>5569</v>
      </c>
      <c r="L224">
        <v>3</v>
      </c>
      <c r="N224" t="s">
        <v>4713</v>
      </c>
      <c r="O224">
        <v>23962</v>
      </c>
      <c r="P224" t="s">
        <v>2</v>
      </c>
      <c r="Q224">
        <v>1</v>
      </c>
    </row>
    <row r="225" spans="1:17" x14ac:dyDescent="0.25">
      <c r="A225">
        <v>4</v>
      </c>
      <c r="B225" t="s">
        <v>5570</v>
      </c>
      <c r="C225" t="s">
        <v>19</v>
      </c>
      <c r="D225" t="s">
        <v>2</v>
      </c>
      <c r="G225">
        <v>23964</v>
      </c>
      <c r="H225" t="s">
        <v>5571</v>
      </c>
      <c r="I225" t="s">
        <v>5572</v>
      </c>
      <c r="J225">
        <v>23964</v>
      </c>
      <c r="K225" t="s">
        <v>5573</v>
      </c>
      <c r="L225">
        <v>36</v>
      </c>
      <c r="O225">
        <v>23964</v>
      </c>
      <c r="P225" t="s">
        <v>2</v>
      </c>
      <c r="Q225">
        <v>1</v>
      </c>
    </row>
    <row r="226" spans="1:17" x14ac:dyDescent="0.25">
      <c r="A226">
        <v>4</v>
      </c>
      <c r="B226" t="s">
        <v>5574</v>
      </c>
      <c r="C226" t="s">
        <v>19</v>
      </c>
      <c r="D226" t="s">
        <v>2</v>
      </c>
      <c r="G226">
        <v>23967</v>
      </c>
      <c r="H226" t="s">
        <v>5575</v>
      </c>
      <c r="I226" t="s">
        <v>5576</v>
      </c>
      <c r="J226">
        <v>23967</v>
      </c>
      <c r="K226" t="s">
        <v>5577</v>
      </c>
      <c r="L226">
        <v>1</v>
      </c>
      <c r="N226" t="s">
        <v>4734</v>
      </c>
      <c r="O226">
        <v>23967</v>
      </c>
      <c r="P226" t="s">
        <v>2</v>
      </c>
      <c r="Q226">
        <v>1</v>
      </c>
    </row>
    <row r="227" spans="1:17" x14ac:dyDescent="0.25">
      <c r="A227">
        <v>4</v>
      </c>
      <c r="B227" t="s">
        <v>5578</v>
      </c>
      <c r="C227" t="s">
        <v>19</v>
      </c>
      <c r="D227" t="s">
        <v>2</v>
      </c>
      <c r="G227" t="s">
        <v>5579</v>
      </c>
      <c r="H227" t="s">
        <v>5580</v>
      </c>
      <c r="I227" t="s">
        <v>5581</v>
      </c>
      <c r="J227" t="s">
        <v>5579</v>
      </c>
      <c r="K227" t="s">
        <v>5582</v>
      </c>
      <c r="L227">
        <v>21</v>
      </c>
      <c r="O227" t="s">
        <v>5579</v>
      </c>
      <c r="P227" t="s">
        <v>2</v>
      </c>
      <c r="Q227">
        <v>1</v>
      </c>
    </row>
    <row r="228" spans="1:17" x14ac:dyDescent="0.25">
      <c r="A228">
        <v>4</v>
      </c>
      <c r="B228" t="s">
        <v>5583</v>
      </c>
      <c r="C228" t="s">
        <v>19</v>
      </c>
      <c r="D228" t="s">
        <v>2</v>
      </c>
      <c r="G228">
        <v>565444</v>
      </c>
      <c r="H228" t="s">
        <v>5584</v>
      </c>
      <c r="I228" t="s">
        <v>5585</v>
      </c>
      <c r="J228">
        <v>565444</v>
      </c>
      <c r="K228" t="s">
        <v>5586</v>
      </c>
      <c r="L228">
        <v>8</v>
      </c>
      <c r="N228" t="s">
        <v>4713</v>
      </c>
      <c r="O228">
        <v>565444</v>
      </c>
      <c r="P228" t="s">
        <v>2</v>
      </c>
      <c r="Q228">
        <v>1</v>
      </c>
    </row>
    <row r="229" spans="1:17" x14ac:dyDescent="0.25">
      <c r="A229">
        <v>4</v>
      </c>
      <c r="B229" t="s">
        <v>5587</v>
      </c>
      <c r="C229" t="s">
        <v>19</v>
      </c>
      <c r="D229" t="s">
        <v>2</v>
      </c>
      <c r="G229" t="s">
        <v>5588</v>
      </c>
      <c r="H229" t="s">
        <v>5589</v>
      </c>
      <c r="I229" t="s">
        <v>5590</v>
      </c>
      <c r="J229" t="s">
        <v>5588</v>
      </c>
      <c r="K229" t="s">
        <v>5591</v>
      </c>
      <c r="L229">
        <v>108</v>
      </c>
      <c r="O229" t="s">
        <v>5588</v>
      </c>
      <c r="P229" t="s">
        <v>2</v>
      </c>
      <c r="Q229">
        <v>1</v>
      </c>
    </row>
    <row r="230" spans="1:17" x14ac:dyDescent="0.25">
      <c r="A230">
        <v>4</v>
      </c>
      <c r="B230" t="s">
        <v>5592</v>
      </c>
      <c r="C230" t="s">
        <v>19</v>
      </c>
      <c r="D230" t="s">
        <v>2</v>
      </c>
      <c r="G230" t="s">
        <v>5593</v>
      </c>
      <c r="H230" t="s">
        <v>5594</v>
      </c>
      <c r="I230" t="s">
        <v>5595</v>
      </c>
      <c r="J230" t="s">
        <v>5593</v>
      </c>
      <c r="K230" t="s">
        <v>5596</v>
      </c>
      <c r="L230">
        <v>147</v>
      </c>
      <c r="O230" t="s">
        <v>5593</v>
      </c>
      <c r="P230" t="s">
        <v>2</v>
      </c>
      <c r="Q230">
        <v>1</v>
      </c>
    </row>
    <row r="231" spans="1:17" x14ac:dyDescent="0.25">
      <c r="A231">
        <v>4</v>
      </c>
      <c r="B231" t="s">
        <v>5597</v>
      </c>
      <c r="C231" t="s">
        <v>19</v>
      </c>
      <c r="D231" t="s">
        <v>2</v>
      </c>
      <c r="G231" t="s">
        <v>5598</v>
      </c>
      <c r="H231" t="s">
        <v>5599</v>
      </c>
      <c r="I231" t="s">
        <v>5600</v>
      </c>
      <c r="J231" t="s">
        <v>5598</v>
      </c>
      <c r="K231" t="s">
        <v>5601</v>
      </c>
      <c r="L231">
        <v>41</v>
      </c>
      <c r="O231" t="s">
        <v>5598</v>
      </c>
      <c r="P231" t="s">
        <v>2</v>
      </c>
      <c r="Q231">
        <v>1</v>
      </c>
    </row>
    <row r="232" spans="1:17" x14ac:dyDescent="0.25">
      <c r="A232">
        <v>4</v>
      </c>
      <c r="B232" t="s">
        <v>5602</v>
      </c>
      <c r="C232" t="s">
        <v>19</v>
      </c>
      <c r="D232" t="s">
        <v>2</v>
      </c>
      <c r="G232" t="s">
        <v>5603</v>
      </c>
      <c r="H232" t="s">
        <v>5604</v>
      </c>
      <c r="I232" t="s">
        <v>5605</v>
      </c>
      <c r="J232" t="s">
        <v>5603</v>
      </c>
      <c r="K232" t="s">
        <v>5606</v>
      </c>
      <c r="L232">
        <v>161</v>
      </c>
      <c r="O232" t="s">
        <v>5603</v>
      </c>
      <c r="P232" t="s">
        <v>2</v>
      </c>
      <c r="Q232">
        <v>1</v>
      </c>
    </row>
    <row r="233" spans="1:17" x14ac:dyDescent="0.25">
      <c r="A233">
        <v>2</v>
      </c>
      <c r="B233" t="s">
        <v>5607</v>
      </c>
      <c r="C233" t="s">
        <v>19</v>
      </c>
      <c r="D233" t="s">
        <v>2</v>
      </c>
      <c r="E233" t="s">
        <v>134</v>
      </c>
      <c r="H233" t="s">
        <v>135</v>
      </c>
      <c r="I233" t="s">
        <v>376</v>
      </c>
      <c r="J233" t="s">
        <v>134</v>
      </c>
      <c r="O233" t="s">
        <v>134</v>
      </c>
      <c r="P233" t="s">
        <v>2</v>
      </c>
      <c r="Q233">
        <v>1</v>
      </c>
    </row>
    <row r="234" spans="1:17" x14ac:dyDescent="0.25">
      <c r="A234">
        <v>3</v>
      </c>
      <c r="B234" t="s">
        <v>5608</v>
      </c>
      <c r="C234" t="s">
        <v>19</v>
      </c>
      <c r="D234" t="s">
        <v>2</v>
      </c>
      <c r="F234" t="s">
        <v>5609</v>
      </c>
      <c r="H234" t="s">
        <v>5610</v>
      </c>
      <c r="I234" t="s">
        <v>5610</v>
      </c>
      <c r="J234" t="s">
        <v>5609</v>
      </c>
      <c r="O234" t="s">
        <v>5609</v>
      </c>
      <c r="P234" t="s">
        <v>2</v>
      </c>
      <c r="Q234">
        <v>1</v>
      </c>
    </row>
    <row r="235" spans="1:17" x14ac:dyDescent="0.25">
      <c r="A235">
        <v>4</v>
      </c>
      <c r="B235" t="s">
        <v>5611</v>
      </c>
      <c r="C235" t="s">
        <v>19</v>
      </c>
      <c r="D235" t="s">
        <v>2</v>
      </c>
      <c r="G235">
        <v>24511</v>
      </c>
      <c r="H235" t="s">
        <v>5612</v>
      </c>
      <c r="I235" t="s">
        <v>5612</v>
      </c>
      <c r="J235">
        <v>24511</v>
      </c>
      <c r="K235" t="s">
        <v>5613</v>
      </c>
      <c r="L235">
        <v>20</v>
      </c>
      <c r="O235">
        <v>24511</v>
      </c>
      <c r="P235" t="s">
        <v>2</v>
      </c>
      <c r="Q235">
        <v>1</v>
      </c>
    </row>
    <row r="236" spans="1:17" x14ac:dyDescent="0.25">
      <c r="A236">
        <v>4</v>
      </c>
      <c r="B236" t="s">
        <v>5614</v>
      </c>
      <c r="C236" t="s">
        <v>19</v>
      </c>
      <c r="D236" t="s">
        <v>2</v>
      </c>
      <c r="G236">
        <v>24513</v>
      </c>
      <c r="H236" t="s">
        <v>5615</v>
      </c>
      <c r="I236" t="s">
        <v>5616</v>
      </c>
      <c r="J236">
        <v>24513</v>
      </c>
      <c r="K236" t="s">
        <v>5617</v>
      </c>
      <c r="L236">
        <v>27</v>
      </c>
      <c r="O236">
        <v>24513</v>
      </c>
      <c r="P236" t="s">
        <v>2</v>
      </c>
      <c r="Q236">
        <v>1</v>
      </c>
    </row>
    <row r="237" spans="1:17" x14ac:dyDescent="0.25">
      <c r="A237">
        <v>4</v>
      </c>
      <c r="B237" t="s">
        <v>5618</v>
      </c>
      <c r="C237" t="s">
        <v>19</v>
      </c>
      <c r="D237" t="s">
        <v>2</v>
      </c>
      <c r="G237">
        <v>24843</v>
      </c>
      <c r="H237" t="s">
        <v>5619</v>
      </c>
      <c r="I237" t="s">
        <v>5620</v>
      </c>
      <c r="J237">
        <v>24843</v>
      </c>
      <c r="K237" t="s">
        <v>5621</v>
      </c>
      <c r="L237">
        <v>1</v>
      </c>
      <c r="N237" t="s">
        <v>4734</v>
      </c>
      <c r="O237">
        <v>24843</v>
      </c>
      <c r="P237" t="s">
        <v>2</v>
      </c>
      <c r="Q237">
        <v>1</v>
      </c>
    </row>
    <row r="238" spans="1:17" x14ac:dyDescent="0.25">
      <c r="A238">
        <v>4</v>
      </c>
      <c r="B238" t="s">
        <v>5622</v>
      </c>
      <c r="C238" t="s">
        <v>19</v>
      </c>
      <c r="D238" t="s">
        <v>2</v>
      </c>
      <c r="G238">
        <v>523143</v>
      </c>
      <c r="H238" t="s">
        <v>5623</v>
      </c>
      <c r="I238" t="s">
        <v>5623</v>
      </c>
      <c r="J238">
        <v>523143</v>
      </c>
      <c r="K238" t="s">
        <v>5624</v>
      </c>
      <c r="L238">
        <v>28</v>
      </c>
      <c r="O238">
        <v>523143</v>
      </c>
      <c r="P238" t="s">
        <v>2</v>
      </c>
      <c r="Q238">
        <v>1</v>
      </c>
    </row>
    <row r="239" spans="1:17" x14ac:dyDescent="0.25">
      <c r="A239">
        <v>4</v>
      </c>
      <c r="B239" t="s">
        <v>5625</v>
      </c>
      <c r="C239" t="s">
        <v>19</v>
      </c>
      <c r="D239" t="s">
        <v>2</v>
      </c>
      <c r="G239" t="s">
        <v>5626</v>
      </c>
      <c r="H239" t="s">
        <v>5627</v>
      </c>
      <c r="I239" t="s">
        <v>5628</v>
      </c>
      <c r="J239" t="s">
        <v>5626</v>
      </c>
      <c r="K239" t="s">
        <v>5629</v>
      </c>
      <c r="L239">
        <v>708</v>
      </c>
      <c r="O239" t="s">
        <v>5626</v>
      </c>
      <c r="P239" t="s">
        <v>2</v>
      </c>
      <c r="Q239">
        <v>1</v>
      </c>
    </row>
    <row r="240" spans="1:17" x14ac:dyDescent="0.25">
      <c r="A240">
        <v>4</v>
      </c>
      <c r="B240" t="s">
        <v>5630</v>
      </c>
      <c r="C240" t="s">
        <v>19</v>
      </c>
      <c r="D240" t="s">
        <v>2</v>
      </c>
      <c r="G240" t="s">
        <v>5631</v>
      </c>
      <c r="H240" t="s">
        <v>5632</v>
      </c>
      <c r="I240" t="s">
        <v>5610</v>
      </c>
      <c r="J240" t="s">
        <v>5631</v>
      </c>
      <c r="K240" t="s">
        <v>5633</v>
      </c>
      <c r="L240">
        <v>454</v>
      </c>
      <c r="O240" t="s">
        <v>5631</v>
      </c>
      <c r="P240" t="s">
        <v>2</v>
      </c>
      <c r="Q240">
        <v>1</v>
      </c>
    </row>
    <row r="241" spans="1:17" x14ac:dyDescent="0.25">
      <c r="A241">
        <v>4</v>
      </c>
      <c r="B241" t="s">
        <v>5634</v>
      </c>
      <c r="C241" t="s">
        <v>19</v>
      </c>
      <c r="D241" t="s">
        <v>2</v>
      </c>
      <c r="G241" t="s">
        <v>5635</v>
      </c>
      <c r="H241" t="s">
        <v>5636</v>
      </c>
      <c r="I241" t="s">
        <v>5637</v>
      </c>
      <c r="J241" t="s">
        <v>5635</v>
      </c>
      <c r="K241" t="s">
        <v>5638</v>
      </c>
      <c r="L241">
        <v>55</v>
      </c>
      <c r="O241" t="s">
        <v>5635</v>
      </c>
      <c r="P241" t="s">
        <v>2</v>
      </c>
      <c r="Q241">
        <v>1</v>
      </c>
    </row>
    <row r="242" spans="1:17" x14ac:dyDescent="0.25">
      <c r="A242">
        <v>4</v>
      </c>
      <c r="B242" t="s">
        <v>5639</v>
      </c>
      <c r="C242" t="s">
        <v>19</v>
      </c>
      <c r="D242" t="s">
        <v>2</v>
      </c>
      <c r="G242" t="s">
        <v>5640</v>
      </c>
      <c r="H242" t="s">
        <v>5641</v>
      </c>
      <c r="I242" t="s">
        <v>5642</v>
      </c>
      <c r="J242" t="s">
        <v>5640</v>
      </c>
      <c r="K242" t="s">
        <v>5643</v>
      </c>
      <c r="L242">
        <v>14</v>
      </c>
      <c r="O242" t="s">
        <v>5640</v>
      </c>
      <c r="P242" t="s">
        <v>2</v>
      </c>
      <c r="Q242">
        <v>1</v>
      </c>
    </row>
    <row r="243" spans="1:17" x14ac:dyDescent="0.25">
      <c r="A243">
        <v>4</v>
      </c>
      <c r="B243" t="s">
        <v>5644</v>
      </c>
      <c r="C243" t="s">
        <v>19</v>
      </c>
      <c r="D243" t="s">
        <v>2</v>
      </c>
      <c r="G243" t="s">
        <v>5645</v>
      </c>
      <c r="H243" t="s">
        <v>5646</v>
      </c>
      <c r="I243" t="s">
        <v>5647</v>
      </c>
      <c r="J243" t="s">
        <v>5645</v>
      </c>
      <c r="K243" t="s">
        <v>5648</v>
      </c>
      <c r="L243">
        <v>22</v>
      </c>
      <c r="O243" t="s">
        <v>5645</v>
      </c>
      <c r="P243" t="s">
        <v>2</v>
      </c>
      <c r="Q243">
        <v>1</v>
      </c>
    </row>
    <row r="244" spans="1:17" x14ac:dyDescent="0.25">
      <c r="A244">
        <v>4</v>
      </c>
      <c r="B244" t="s">
        <v>5649</v>
      </c>
      <c r="C244" t="s">
        <v>19</v>
      </c>
      <c r="D244" t="s">
        <v>2</v>
      </c>
      <c r="G244" t="s">
        <v>5650</v>
      </c>
      <c r="H244" t="s">
        <v>5651</v>
      </c>
      <c r="I244" t="s">
        <v>5652</v>
      </c>
      <c r="J244" t="s">
        <v>5650</v>
      </c>
      <c r="K244" t="s">
        <v>5653</v>
      </c>
      <c r="L244">
        <v>13</v>
      </c>
      <c r="O244" t="s">
        <v>5650</v>
      </c>
      <c r="P244" t="s">
        <v>2</v>
      </c>
      <c r="Q244">
        <v>1</v>
      </c>
    </row>
    <row r="245" spans="1:17" x14ac:dyDescent="0.25">
      <c r="A245">
        <v>4</v>
      </c>
      <c r="B245" t="s">
        <v>5654</v>
      </c>
      <c r="C245" t="s">
        <v>19</v>
      </c>
      <c r="D245" t="s">
        <v>2</v>
      </c>
      <c r="G245" t="s">
        <v>5655</v>
      </c>
      <c r="H245" t="s">
        <v>5656</v>
      </c>
      <c r="I245" t="s">
        <v>5657</v>
      </c>
      <c r="J245" t="s">
        <v>5655</v>
      </c>
      <c r="K245" t="s">
        <v>5658</v>
      </c>
      <c r="L245">
        <v>297</v>
      </c>
      <c r="O245" t="s">
        <v>5655</v>
      </c>
      <c r="P245" t="s">
        <v>2</v>
      </c>
      <c r="Q245">
        <v>1</v>
      </c>
    </row>
    <row r="246" spans="1:17" x14ac:dyDescent="0.25">
      <c r="A246">
        <v>4</v>
      </c>
      <c r="B246" t="s">
        <v>5659</v>
      </c>
      <c r="C246" t="s">
        <v>19</v>
      </c>
      <c r="D246" t="s">
        <v>2</v>
      </c>
      <c r="G246" t="s">
        <v>5660</v>
      </c>
      <c r="H246" t="s">
        <v>5661</v>
      </c>
      <c r="I246" t="s">
        <v>5662</v>
      </c>
      <c r="J246" t="s">
        <v>5660</v>
      </c>
      <c r="K246" t="s">
        <v>5663</v>
      </c>
      <c r="L246">
        <v>145</v>
      </c>
      <c r="O246" t="s">
        <v>5660</v>
      </c>
      <c r="P246" t="s">
        <v>2</v>
      </c>
      <c r="Q246">
        <v>1</v>
      </c>
    </row>
    <row r="247" spans="1:17" x14ac:dyDescent="0.25">
      <c r="A247">
        <v>4</v>
      </c>
      <c r="B247" t="s">
        <v>5664</v>
      </c>
      <c r="C247" t="s">
        <v>19</v>
      </c>
      <c r="D247" t="s">
        <v>2</v>
      </c>
      <c r="G247" t="s">
        <v>5665</v>
      </c>
      <c r="H247" t="s">
        <v>5666</v>
      </c>
      <c r="I247" t="s">
        <v>5667</v>
      </c>
      <c r="J247" t="s">
        <v>5665</v>
      </c>
      <c r="K247" t="s">
        <v>5668</v>
      </c>
      <c r="L247">
        <v>8</v>
      </c>
      <c r="N247" t="s">
        <v>4713</v>
      </c>
      <c r="O247" t="s">
        <v>5665</v>
      </c>
      <c r="P247" t="s">
        <v>2</v>
      </c>
      <c r="Q247">
        <v>1</v>
      </c>
    </row>
    <row r="248" spans="1:17" x14ac:dyDescent="0.25">
      <c r="A248">
        <v>3</v>
      </c>
      <c r="B248" t="s">
        <v>5669</v>
      </c>
      <c r="C248" t="s">
        <v>19</v>
      </c>
      <c r="D248" t="s">
        <v>2</v>
      </c>
      <c r="F248" t="s">
        <v>5670</v>
      </c>
      <c r="H248" t="s">
        <v>5671</v>
      </c>
      <c r="I248" t="s">
        <v>5672</v>
      </c>
      <c r="J248" t="s">
        <v>5670</v>
      </c>
      <c r="O248" t="s">
        <v>5670</v>
      </c>
      <c r="P248" t="s">
        <v>2</v>
      </c>
      <c r="Q248">
        <v>1</v>
      </c>
    </row>
    <row r="249" spans="1:17" x14ac:dyDescent="0.25">
      <c r="A249">
        <v>4</v>
      </c>
      <c r="B249" t="s">
        <v>5673</v>
      </c>
      <c r="C249" t="s">
        <v>19</v>
      </c>
      <c r="D249" t="s">
        <v>2</v>
      </c>
      <c r="G249">
        <v>24927</v>
      </c>
      <c r="H249" t="s">
        <v>5674</v>
      </c>
      <c r="I249" t="s">
        <v>5675</v>
      </c>
      <c r="J249">
        <v>24927</v>
      </c>
      <c r="K249" t="s">
        <v>5676</v>
      </c>
      <c r="L249">
        <v>361</v>
      </c>
      <c r="O249">
        <v>24927</v>
      </c>
      <c r="P249" t="s">
        <v>2</v>
      </c>
      <c r="Q249">
        <v>1</v>
      </c>
    </row>
    <row r="250" spans="1:17" x14ac:dyDescent="0.25">
      <c r="A250">
        <v>4</v>
      </c>
      <c r="B250" t="s">
        <v>5677</v>
      </c>
      <c r="C250" t="s">
        <v>19</v>
      </c>
      <c r="D250" t="s">
        <v>2</v>
      </c>
      <c r="G250" t="s">
        <v>5678</v>
      </c>
      <c r="H250" t="s">
        <v>5679</v>
      </c>
      <c r="I250" t="s">
        <v>5680</v>
      </c>
      <c r="J250" t="s">
        <v>5678</v>
      </c>
      <c r="K250" t="s">
        <v>5681</v>
      </c>
      <c r="L250">
        <v>60</v>
      </c>
      <c r="O250" t="s">
        <v>5678</v>
      </c>
      <c r="P250" t="s">
        <v>2</v>
      </c>
      <c r="Q250">
        <v>1</v>
      </c>
    </row>
    <row r="251" spans="1:17" x14ac:dyDescent="0.25">
      <c r="A251">
        <v>4</v>
      </c>
      <c r="B251" t="s">
        <v>5682</v>
      </c>
      <c r="C251" t="s">
        <v>19</v>
      </c>
      <c r="D251" t="s">
        <v>2</v>
      </c>
      <c r="G251" t="s">
        <v>5683</v>
      </c>
      <c r="H251" t="s">
        <v>5684</v>
      </c>
      <c r="I251" t="s">
        <v>5685</v>
      </c>
      <c r="J251" t="s">
        <v>5683</v>
      </c>
      <c r="K251" t="s">
        <v>5686</v>
      </c>
      <c r="L251">
        <v>20</v>
      </c>
      <c r="O251" t="s">
        <v>5683</v>
      </c>
      <c r="P251" t="s">
        <v>2</v>
      </c>
      <c r="Q251">
        <v>1</v>
      </c>
    </row>
    <row r="252" spans="1:17" x14ac:dyDescent="0.25">
      <c r="A252">
        <v>4</v>
      </c>
      <c r="B252" t="s">
        <v>5687</v>
      </c>
      <c r="C252" t="s">
        <v>19</v>
      </c>
      <c r="D252" t="s">
        <v>2</v>
      </c>
      <c r="G252" t="s">
        <v>5688</v>
      </c>
      <c r="H252" t="s">
        <v>5689</v>
      </c>
      <c r="I252" t="s">
        <v>5690</v>
      </c>
      <c r="J252" t="s">
        <v>5688</v>
      </c>
      <c r="K252" t="s">
        <v>5691</v>
      </c>
      <c r="L252">
        <v>281</v>
      </c>
      <c r="O252" t="s">
        <v>5688</v>
      </c>
      <c r="P252" t="s">
        <v>2</v>
      </c>
      <c r="Q252">
        <v>1</v>
      </c>
    </row>
    <row r="253" spans="1:17" x14ac:dyDescent="0.25">
      <c r="A253">
        <v>3</v>
      </c>
      <c r="B253" t="s">
        <v>5692</v>
      </c>
      <c r="C253" t="s">
        <v>19</v>
      </c>
      <c r="D253" t="s">
        <v>2</v>
      </c>
      <c r="F253" t="s">
        <v>5693</v>
      </c>
      <c r="H253" t="s">
        <v>5694</v>
      </c>
      <c r="I253" t="s">
        <v>5695</v>
      </c>
      <c r="J253" t="s">
        <v>5693</v>
      </c>
      <c r="O253" t="s">
        <v>5693</v>
      </c>
      <c r="P253" t="s">
        <v>2</v>
      </c>
      <c r="Q253">
        <v>1</v>
      </c>
    </row>
    <row r="254" spans="1:17" x14ac:dyDescent="0.25">
      <c r="A254">
        <v>4</v>
      </c>
      <c r="B254" t="s">
        <v>5696</v>
      </c>
      <c r="C254" t="s">
        <v>19</v>
      </c>
      <c r="D254" t="s">
        <v>2</v>
      </c>
      <c r="G254" t="s">
        <v>5697</v>
      </c>
      <c r="H254" t="s">
        <v>5694</v>
      </c>
      <c r="I254" t="s">
        <v>5695</v>
      </c>
      <c r="J254" t="s">
        <v>5697</v>
      </c>
      <c r="K254" t="s">
        <v>5698</v>
      </c>
      <c r="L254">
        <v>26</v>
      </c>
      <c r="O254" t="s">
        <v>5697</v>
      </c>
      <c r="P254" t="s">
        <v>2</v>
      </c>
      <c r="Q254">
        <v>1</v>
      </c>
    </row>
    <row r="255" spans="1:17" x14ac:dyDescent="0.25">
      <c r="A255">
        <v>4</v>
      </c>
      <c r="B255" t="s">
        <v>5699</v>
      </c>
      <c r="C255" t="s">
        <v>19</v>
      </c>
      <c r="D255" t="s">
        <v>2</v>
      </c>
      <c r="G255" t="s">
        <v>5700</v>
      </c>
      <c r="H255" t="s">
        <v>5701</v>
      </c>
      <c r="I255" t="s">
        <v>5702</v>
      </c>
      <c r="J255" t="s">
        <v>5700</v>
      </c>
      <c r="K255" t="s">
        <v>5703</v>
      </c>
      <c r="L255">
        <v>8</v>
      </c>
      <c r="N255" t="s">
        <v>4713</v>
      </c>
      <c r="O255" t="s">
        <v>5700</v>
      </c>
      <c r="P255" t="s">
        <v>2</v>
      </c>
      <c r="Q255">
        <v>1</v>
      </c>
    </row>
    <row r="256" spans="1:17" x14ac:dyDescent="0.25">
      <c r="A256">
        <v>3</v>
      </c>
      <c r="B256" t="s">
        <v>5704</v>
      </c>
      <c r="C256" t="s">
        <v>19</v>
      </c>
      <c r="D256" t="s">
        <v>2</v>
      </c>
      <c r="F256" t="s">
        <v>5705</v>
      </c>
      <c r="H256" t="s">
        <v>5706</v>
      </c>
      <c r="I256" t="s">
        <v>5707</v>
      </c>
      <c r="J256" t="s">
        <v>5705</v>
      </c>
      <c r="O256" t="s">
        <v>5705</v>
      </c>
      <c r="P256" t="s">
        <v>2</v>
      </c>
      <c r="Q256">
        <v>1</v>
      </c>
    </row>
    <row r="257" spans="1:17" x14ac:dyDescent="0.25">
      <c r="A257">
        <v>4</v>
      </c>
      <c r="B257" t="s">
        <v>5708</v>
      </c>
      <c r="C257" t="s">
        <v>19</v>
      </c>
      <c r="D257" t="s">
        <v>2</v>
      </c>
      <c r="G257">
        <v>23975</v>
      </c>
      <c r="H257" t="s">
        <v>5709</v>
      </c>
      <c r="I257" t="s">
        <v>5710</v>
      </c>
      <c r="J257">
        <v>23975</v>
      </c>
      <c r="K257" t="s">
        <v>5711</v>
      </c>
      <c r="L257">
        <v>18</v>
      </c>
      <c r="O257">
        <v>23975</v>
      </c>
      <c r="P257" t="s">
        <v>2</v>
      </c>
      <c r="Q257">
        <v>1</v>
      </c>
    </row>
    <row r="258" spans="1:17" x14ac:dyDescent="0.25">
      <c r="A258">
        <v>4</v>
      </c>
      <c r="B258" t="s">
        <v>5712</v>
      </c>
      <c r="C258" t="s">
        <v>19</v>
      </c>
      <c r="D258" t="s">
        <v>2</v>
      </c>
      <c r="G258">
        <v>23978</v>
      </c>
      <c r="H258" t="s">
        <v>5713</v>
      </c>
      <c r="I258" t="s">
        <v>5714</v>
      </c>
      <c r="J258">
        <v>23978</v>
      </c>
      <c r="K258" t="s">
        <v>5715</v>
      </c>
      <c r="L258">
        <v>44</v>
      </c>
      <c r="O258">
        <v>23978</v>
      </c>
      <c r="P258" t="s">
        <v>2</v>
      </c>
      <c r="Q258">
        <v>1</v>
      </c>
    </row>
    <row r="259" spans="1:17" x14ac:dyDescent="0.25">
      <c r="A259">
        <v>4</v>
      </c>
      <c r="B259" t="s">
        <v>5716</v>
      </c>
      <c r="C259" t="s">
        <v>19</v>
      </c>
      <c r="D259" t="s">
        <v>2</v>
      </c>
      <c r="G259">
        <v>44558</v>
      </c>
      <c r="H259" t="s">
        <v>5717</v>
      </c>
      <c r="I259" t="s">
        <v>5718</v>
      </c>
      <c r="J259">
        <v>44558</v>
      </c>
      <c r="K259" t="s">
        <v>5719</v>
      </c>
      <c r="L259">
        <v>46</v>
      </c>
      <c r="O259">
        <v>44558</v>
      </c>
      <c r="P259" t="s">
        <v>2</v>
      </c>
      <c r="Q259">
        <v>1</v>
      </c>
    </row>
    <row r="260" spans="1:17" x14ac:dyDescent="0.25">
      <c r="A260">
        <v>4</v>
      </c>
      <c r="B260" t="s">
        <v>5720</v>
      </c>
      <c r="C260" t="s">
        <v>19</v>
      </c>
      <c r="D260" t="s">
        <v>2</v>
      </c>
      <c r="G260" t="s">
        <v>5721</v>
      </c>
      <c r="H260" t="s">
        <v>5722</v>
      </c>
      <c r="I260" t="s">
        <v>5707</v>
      </c>
      <c r="J260" t="s">
        <v>5721</v>
      </c>
      <c r="K260" t="s">
        <v>5723</v>
      </c>
      <c r="L260">
        <v>35</v>
      </c>
      <c r="O260" t="s">
        <v>5721</v>
      </c>
      <c r="P260" t="s">
        <v>2</v>
      </c>
      <c r="Q260">
        <v>1</v>
      </c>
    </row>
    <row r="261" spans="1:17" x14ac:dyDescent="0.25">
      <c r="A261">
        <v>3</v>
      </c>
      <c r="B261" t="s">
        <v>5724</v>
      </c>
      <c r="C261" t="s">
        <v>19</v>
      </c>
      <c r="D261" t="s">
        <v>2</v>
      </c>
      <c r="F261" t="s">
        <v>5725</v>
      </c>
      <c r="H261" t="s">
        <v>5726</v>
      </c>
      <c r="I261" t="s">
        <v>5727</v>
      </c>
      <c r="J261" t="s">
        <v>5725</v>
      </c>
      <c r="O261" t="s">
        <v>5725</v>
      </c>
      <c r="P261" t="s">
        <v>2</v>
      </c>
      <c r="Q261">
        <v>1</v>
      </c>
    </row>
    <row r="262" spans="1:17" x14ac:dyDescent="0.25">
      <c r="A262">
        <v>4</v>
      </c>
      <c r="B262" t="s">
        <v>5728</v>
      </c>
      <c r="C262" t="s">
        <v>19</v>
      </c>
      <c r="D262" t="s">
        <v>2</v>
      </c>
      <c r="G262">
        <v>24936</v>
      </c>
      <c r="H262" t="s">
        <v>5729</v>
      </c>
      <c r="I262" t="s">
        <v>5730</v>
      </c>
      <c r="J262">
        <v>24936</v>
      </c>
      <c r="K262" t="s">
        <v>5731</v>
      </c>
      <c r="L262">
        <v>105</v>
      </c>
      <c r="O262">
        <v>24936</v>
      </c>
      <c r="P262" t="s">
        <v>2</v>
      </c>
      <c r="Q262">
        <v>1</v>
      </c>
    </row>
    <row r="263" spans="1:17" x14ac:dyDescent="0.25">
      <c r="A263">
        <v>4</v>
      </c>
      <c r="B263" t="s">
        <v>5732</v>
      </c>
      <c r="C263" t="s">
        <v>19</v>
      </c>
      <c r="D263" t="s">
        <v>2</v>
      </c>
      <c r="G263">
        <v>24939</v>
      </c>
      <c r="H263" t="s">
        <v>5733</v>
      </c>
      <c r="I263" t="s">
        <v>5734</v>
      </c>
      <c r="J263">
        <v>24939</v>
      </c>
      <c r="K263" t="s">
        <v>5735</v>
      </c>
      <c r="L263">
        <v>30</v>
      </c>
      <c r="O263">
        <v>24939</v>
      </c>
      <c r="P263" t="s">
        <v>2</v>
      </c>
      <c r="Q263">
        <v>1</v>
      </c>
    </row>
    <row r="264" spans="1:17" x14ac:dyDescent="0.25">
      <c r="A264">
        <v>4</v>
      </c>
      <c r="B264" t="s">
        <v>5736</v>
      </c>
      <c r="C264" t="s">
        <v>19</v>
      </c>
      <c r="D264" t="s">
        <v>2</v>
      </c>
      <c r="G264">
        <v>24941</v>
      </c>
      <c r="H264" t="s">
        <v>5737</v>
      </c>
      <c r="I264" t="s">
        <v>5738</v>
      </c>
      <c r="J264">
        <v>24941</v>
      </c>
      <c r="K264" t="s">
        <v>5739</v>
      </c>
      <c r="L264">
        <v>21</v>
      </c>
      <c r="O264">
        <v>24941</v>
      </c>
      <c r="P264" t="s">
        <v>2</v>
      </c>
      <c r="Q264">
        <v>1</v>
      </c>
    </row>
    <row r="265" spans="1:17" x14ac:dyDescent="0.25">
      <c r="A265">
        <v>4</v>
      </c>
      <c r="B265" t="s">
        <v>5740</v>
      </c>
      <c r="C265" t="s">
        <v>19</v>
      </c>
      <c r="D265" t="s">
        <v>2</v>
      </c>
      <c r="G265" t="s">
        <v>5741</v>
      </c>
      <c r="H265" t="s">
        <v>5742</v>
      </c>
      <c r="I265" t="s">
        <v>5743</v>
      </c>
      <c r="J265" t="s">
        <v>5741</v>
      </c>
      <c r="K265" t="s">
        <v>5744</v>
      </c>
      <c r="L265">
        <v>17</v>
      </c>
      <c r="O265" t="s">
        <v>5741</v>
      </c>
      <c r="P265" t="s">
        <v>2</v>
      </c>
      <c r="Q265">
        <v>1</v>
      </c>
    </row>
    <row r="266" spans="1:17" x14ac:dyDescent="0.25">
      <c r="A266">
        <v>4</v>
      </c>
      <c r="B266" t="s">
        <v>5745</v>
      </c>
      <c r="C266" t="s">
        <v>19</v>
      </c>
      <c r="D266" t="s">
        <v>2</v>
      </c>
      <c r="G266" t="s">
        <v>5746</v>
      </c>
      <c r="H266" t="s">
        <v>5747</v>
      </c>
      <c r="I266" t="s">
        <v>5748</v>
      </c>
      <c r="J266" t="s">
        <v>5746</v>
      </c>
      <c r="K266" t="s">
        <v>5749</v>
      </c>
      <c r="L266">
        <v>57</v>
      </c>
      <c r="O266" t="s">
        <v>5746</v>
      </c>
      <c r="P266" t="s">
        <v>2</v>
      </c>
      <c r="Q266">
        <v>1</v>
      </c>
    </row>
    <row r="267" spans="1:17" x14ac:dyDescent="0.25">
      <c r="A267">
        <v>4</v>
      </c>
      <c r="B267" t="s">
        <v>5750</v>
      </c>
      <c r="C267" t="s">
        <v>19</v>
      </c>
      <c r="D267" t="s">
        <v>2</v>
      </c>
      <c r="G267" t="s">
        <v>5751</v>
      </c>
      <c r="H267" t="s">
        <v>5752</v>
      </c>
      <c r="I267" t="s">
        <v>5753</v>
      </c>
      <c r="J267" t="s">
        <v>5751</v>
      </c>
      <c r="K267" t="s">
        <v>5754</v>
      </c>
      <c r="L267">
        <v>1</v>
      </c>
      <c r="N267" t="s">
        <v>4734</v>
      </c>
      <c r="O267" t="s">
        <v>5751</v>
      </c>
      <c r="P267" t="s">
        <v>2</v>
      </c>
      <c r="Q267">
        <v>1</v>
      </c>
    </row>
    <row r="268" spans="1:17" x14ac:dyDescent="0.25">
      <c r="A268">
        <v>3</v>
      </c>
      <c r="B268" t="s">
        <v>5755</v>
      </c>
      <c r="C268" t="s">
        <v>19</v>
      </c>
      <c r="D268" t="s">
        <v>2</v>
      </c>
      <c r="F268" t="s">
        <v>5756</v>
      </c>
      <c r="H268" t="s">
        <v>5757</v>
      </c>
      <c r="I268" t="s">
        <v>5758</v>
      </c>
      <c r="J268" t="s">
        <v>5756</v>
      </c>
      <c r="O268" t="s">
        <v>5756</v>
      </c>
      <c r="P268" t="s">
        <v>2</v>
      </c>
      <c r="Q268">
        <v>1</v>
      </c>
    </row>
    <row r="269" spans="1:17" x14ac:dyDescent="0.25">
      <c r="A269">
        <v>4</v>
      </c>
      <c r="B269" t="s">
        <v>5759</v>
      </c>
      <c r="C269" t="s">
        <v>19</v>
      </c>
      <c r="D269" t="s">
        <v>2</v>
      </c>
      <c r="G269" t="s">
        <v>5760</v>
      </c>
      <c r="H269" t="s">
        <v>5761</v>
      </c>
      <c r="I269" t="s">
        <v>5762</v>
      </c>
      <c r="J269" t="s">
        <v>5760</v>
      </c>
      <c r="K269" t="s">
        <v>5763</v>
      </c>
      <c r="L269">
        <v>15</v>
      </c>
      <c r="O269" t="s">
        <v>5760</v>
      </c>
      <c r="P269" t="s">
        <v>2</v>
      </c>
      <c r="Q269">
        <v>1</v>
      </c>
    </row>
    <row r="270" spans="1:17" x14ac:dyDescent="0.25">
      <c r="A270">
        <v>4</v>
      </c>
      <c r="B270" t="s">
        <v>5764</v>
      </c>
      <c r="C270" t="s">
        <v>19</v>
      </c>
      <c r="D270" t="s">
        <v>2</v>
      </c>
      <c r="G270" t="s">
        <v>5765</v>
      </c>
      <c r="H270" t="s">
        <v>5766</v>
      </c>
      <c r="I270" t="s">
        <v>5767</v>
      </c>
      <c r="J270" t="s">
        <v>5765</v>
      </c>
      <c r="K270" t="s">
        <v>5768</v>
      </c>
      <c r="L270">
        <v>4</v>
      </c>
      <c r="N270" t="s">
        <v>4713</v>
      </c>
      <c r="O270" t="s">
        <v>5765</v>
      </c>
      <c r="P270" t="s">
        <v>2</v>
      </c>
      <c r="Q270">
        <v>1</v>
      </c>
    </row>
    <row r="271" spans="1:17" x14ac:dyDescent="0.25">
      <c r="A271">
        <v>3</v>
      </c>
      <c r="B271" t="s">
        <v>5769</v>
      </c>
      <c r="C271" t="s">
        <v>19</v>
      </c>
      <c r="D271" t="s">
        <v>2</v>
      </c>
      <c r="F271" t="s">
        <v>5770</v>
      </c>
      <c r="H271" t="s">
        <v>5771</v>
      </c>
      <c r="I271" t="s">
        <v>5772</v>
      </c>
      <c r="J271" t="s">
        <v>5770</v>
      </c>
      <c r="O271" t="s">
        <v>5770</v>
      </c>
      <c r="P271" t="s">
        <v>2</v>
      </c>
      <c r="Q271">
        <v>1</v>
      </c>
    </row>
    <row r="272" spans="1:17" x14ac:dyDescent="0.25">
      <c r="A272">
        <v>4</v>
      </c>
      <c r="B272" t="s">
        <v>5773</v>
      </c>
      <c r="C272" t="s">
        <v>19</v>
      </c>
      <c r="D272" t="s">
        <v>2</v>
      </c>
      <c r="G272">
        <v>24957</v>
      </c>
      <c r="H272" t="s">
        <v>5774</v>
      </c>
      <c r="I272" t="s">
        <v>5775</v>
      </c>
      <c r="J272">
        <v>24957</v>
      </c>
      <c r="K272" t="s">
        <v>5776</v>
      </c>
      <c r="L272">
        <v>9</v>
      </c>
      <c r="N272" t="s">
        <v>4713</v>
      </c>
      <c r="O272">
        <v>24957</v>
      </c>
      <c r="P272" t="s">
        <v>2</v>
      </c>
      <c r="Q272">
        <v>1</v>
      </c>
    </row>
    <row r="273" spans="1:17" x14ac:dyDescent="0.25">
      <c r="A273">
        <v>4</v>
      </c>
      <c r="B273" t="s">
        <v>5777</v>
      </c>
      <c r="C273" t="s">
        <v>19</v>
      </c>
      <c r="D273" t="s">
        <v>2</v>
      </c>
      <c r="G273">
        <v>24959</v>
      </c>
      <c r="H273" t="s">
        <v>5778</v>
      </c>
      <c r="I273" t="s">
        <v>5779</v>
      </c>
      <c r="J273">
        <v>24959</v>
      </c>
      <c r="K273" t="s">
        <v>5780</v>
      </c>
      <c r="L273">
        <v>31</v>
      </c>
      <c r="O273">
        <v>24959</v>
      </c>
      <c r="P273" t="s">
        <v>2</v>
      </c>
      <c r="Q273">
        <v>1</v>
      </c>
    </row>
    <row r="274" spans="1:17" x14ac:dyDescent="0.25">
      <c r="A274">
        <v>4</v>
      </c>
      <c r="B274" t="s">
        <v>5781</v>
      </c>
      <c r="C274" t="s">
        <v>19</v>
      </c>
      <c r="D274" t="s">
        <v>2</v>
      </c>
      <c r="G274">
        <v>24963</v>
      </c>
      <c r="H274" t="s">
        <v>5182</v>
      </c>
      <c r="I274" t="s">
        <v>5183</v>
      </c>
      <c r="J274">
        <v>24963</v>
      </c>
      <c r="K274" t="s">
        <v>5782</v>
      </c>
      <c r="L274">
        <v>10</v>
      </c>
      <c r="O274">
        <v>24963</v>
      </c>
      <c r="P274" t="s">
        <v>2</v>
      </c>
      <c r="Q274">
        <v>1</v>
      </c>
    </row>
    <row r="275" spans="1:17" x14ac:dyDescent="0.25">
      <c r="A275">
        <v>3</v>
      </c>
      <c r="B275" t="s">
        <v>5783</v>
      </c>
      <c r="C275" t="s">
        <v>19</v>
      </c>
      <c r="D275" t="s">
        <v>2</v>
      </c>
      <c r="F275" t="s">
        <v>5784</v>
      </c>
      <c r="H275" t="s">
        <v>5785</v>
      </c>
      <c r="I275" t="s">
        <v>5786</v>
      </c>
      <c r="J275" t="s">
        <v>5784</v>
      </c>
      <c r="O275" t="s">
        <v>5784</v>
      </c>
      <c r="P275" t="s">
        <v>2</v>
      </c>
      <c r="Q275">
        <v>1</v>
      </c>
    </row>
    <row r="276" spans="1:17" x14ac:dyDescent="0.25">
      <c r="A276">
        <v>4</v>
      </c>
      <c r="B276" t="s">
        <v>5787</v>
      </c>
      <c r="C276" t="s">
        <v>19</v>
      </c>
      <c r="D276" t="s">
        <v>2</v>
      </c>
      <c r="G276" t="s">
        <v>5788</v>
      </c>
      <c r="H276" t="s">
        <v>5789</v>
      </c>
      <c r="I276" t="s">
        <v>5790</v>
      </c>
      <c r="J276" t="s">
        <v>5788</v>
      </c>
      <c r="K276" t="s">
        <v>5791</v>
      </c>
      <c r="L276">
        <v>2</v>
      </c>
      <c r="N276" t="s">
        <v>4713</v>
      </c>
      <c r="O276" t="s">
        <v>5788</v>
      </c>
      <c r="P276" t="s">
        <v>2</v>
      </c>
      <c r="Q276">
        <v>1</v>
      </c>
    </row>
    <row r="277" spans="1:17" x14ac:dyDescent="0.25">
      <c r="A277">
        <v>3</v>
      </c>
      <c r="B277" t="s">
        <v>5792</v>
      </c>
      <c r="C277" t="s">
        <v>19</v>
      </c>
      <c r="D277" t="s">
        <v>2</v>
      </c>
      <c r="F277" t="s">
        <v>5793</v>
      </c>
      <c r="H277" t="s">
        <v>5794</v>
      </c>
      <c r="I277" t="s">
        <v>5795</v>
      </c>
      <c r="J277" t="s">
        <v>5793</v>
      </c>
      <c r="O277" t="s">
        <v>5793</v>
      </c>
      <c r="P277" t="s">
        <v>2</v>
      </c>
      <c r="Q277">
        <v>1</v>
      </c>
    </row>
    <row r="278" spans="1:17" x14ac:dyDescent="0.25">
      <c r="A278">
        <v>4</v>
      </c>
      <c r="B278" t="s">
        <v>5796</v>
      </c>
      <c r="C278" t="s">
        <v>19</v>
      </c>
      <c r="D278" t="s">
        <v>2</v>
      </c>
      <c r="G278">
        <v>24988</v>
      </c>
      <c r="H278" t="s">
        <v>5797</v>
      </c>
      <c r="I278" t="s">
        <v>5798</v>
      </c>
      <c r="J278">
        <v>24988</v>
      </c>
      <c r="K278" t="s">
        <v>5799</v>
      </c>
      <c r="L278">
        <v>161</v>
      </c>
      <c r="O278">
        <v>24988</v>
      </c>
      <c r="P278" t="s">
        <v>2</v>
      </c>
      <c r="Q278">
        <v>1</v>
      </c>
    </row>
    <row r="279" spans="1:17" x14ac:dyDescent="0.25">
      <c r="A279">
        <v>4</v>
      </c>
      <c r="B279" t="s">
        <v>5800</v>
      </c>
      <c r="C279" t="s">
        <v>19</v>
      </c>
      <c r="D279" t="s">
        <v>2</v>
      </c>
      <c r="G279">
        <v>320014</v>
      </c>
      <c r="H279" t="s">
        <v>5801</v>
      </c>
      <c r="I279" t="s">
        <v>5802</v>
      </c>
      <c r="J279">
        <v>320014</v>
      </c>
      <c r="K279" t="s">
        <v>5803</v>
      </c>
      <c r="L279">
        <v>11</v>
      </c>
      <c r="O279">
        <v>320014</v>
      </c>
      <c r="P279" t="s">
        <v>2</v>
      </c>
      <c r="Q279">
        <v>1</v>
      </c>
    </row>
    <row r="280" spans="1:17" x14ac:dyDescent="0.25">
      <c r="A280">
        <v>4</v>
      </c>
      <c r="B280" t="s">
        <v>5804</v>
      </c>
      <c r="C280" t="s">
        <v>19</v>
      </c>
      <c r="D280" t="s">
        <v>2</v>
      </c>
      <c r="G280">
        <v>598460</v>
      </c>
      <c r="H280" t="s">
        <v>5805</v>
      </c>
      <c r="I280" t="s">
        <v>5806</v>
      </c>
      <c r="J280">
        <v>598460</v>
      </c>
      <c r="K280" t="s">
        <v>5807</v>
      </c>
      <c r="L280">
        <v>30</v>
      </c>
      <c r="O280">
        <v>598460</v>
      </c>
      <c r="P280" t="s">
        <v>2</v>
      </c>
      <c r="Q280">
        <v>1</v>
      </c>
    </row>
    <row r="281" spans="1:17" x14ac:dyDescent="0.25">
      <c r="A281">
        <v>4</v>
      </c>
      <c r="B281" t="s">
        <v>5808</v>
      </c>
      <c r="C281" t="s">
        <v>19</v>
      </c>
      <c r="D281" t="s">
        <v>2</v>
      </c>
      <c r="G281" t="s">
        <v>5809</v>
      </c>
      <c r="H281" t="s">
        <v>5794</v>
      </c>
      <c r="I281" t="s">
        <v>5795</v>
      </c>
      <c r="J281" t="s">
        <v>5809</v>
      </c>
      <c r="K281" t="s">
        <v>5810</v>
      </c>
      <c r="L281">
        <v>131</v>
      </c>
      <c r="O281" t="s">
        <v>5809</v>
      </c>
      <c r="P281" t="s">
        <v>2</v>
      </c>
      <c r="Q281">
        <v>1</v>
      </c>
    </row>
    <row r="282" spans="1:17" x14ac:dyDescent="0.25">
      <c r="A282">
        <v>3</v>
      </c>
      <c r="B282" t="s">
        <v>5811</v>
      </c>
      <c r="C282" t="s">
        <v>19</v>
      </c>
      <c r="D282" t="s">
        <v>2</v>
      </c>
      <c r="F282" t="s">
        <v>5812</v>
      </c>
      <c r="H282" t="s">
        <v>5813</v>
      </c>
      <c r="I282" t="s">
        <v>5814</v>
      </c>
      <c r="J282" t="s">
        <v>5812</v>
      </c>
      <c r="O282" t="s">
        <v>5812</v>
      </c>
      <c r="P282" t="s">
        <v>2</v>
      </c>
      <c r="Q282">
        <v>1</v>
      </c>
    </row>
    <row r="283" spans="1:17" x14ac:dyDescent="0.25">
      <c r="A283">
        <v>4</v>
      </c>
      <c r="B283" t="s">
        <v>5815</v>
      </c>
      <c r="C283" t="s">
        <v>19</v>
      </c>
      <c r="D283" t="s">
        <v>2</v>
      </c>
      <c r="G283">
        <v>25043</v>
      </c>
      <c r="H283" t="s">
        <v>5816</v>
      </c>
      <c r="I283" t="s">
        <v>5817</v>
      </c>
      <c r="J283">
        <v>25043</v>
      </c>
      <c r="K283" t="s">
        <v>5818</v>
      </c>
      <c r="L283">
        <v>11</v>
      </c>
      <c r="O283">
        <v>25043</v>
      </c>
      <c r="P283" t="s">
        <v>2</v>
      </c>
      <c r="Q283">
        <v>1</v>
      </c>
    </row>
    <row r="284" spans="1:17" x14ac:dyDescent="0.25">
      <c r="A284">
        <v>4</v>
      </c>
      <c r="B284" t="s">
        <v>5819</v>
      </c>
      <c r="C284" t="s">
        <v>19</v>
      </c>
      <c r="D284" t="s">
        <v>2</v>
      </c>
      <c r="G284" t="s">
        <v>5820</v>
      </c>
      <c r="H284" t="s">
        <v>5821</v>
      </c>
      <c r="I284" t="s">
        <v>5822</v>
      </c>
      <c r="J284" t="s">
        <v>5820</v>
      </c>
      <c r="K284" t="s">
        <v>5823</v>
      </c>
      <c r="L284">
        <v>5</v>
      </c>
      <c r="N284" t="s">
        <v>4713</v>
      </c>
      <c r="O284" t="s">
        <v>5820</v>
      </c>
      <c r="P284" t="s">
        <v>2</v>
      </c>
      <c r="Q284">
        <v>1</v>
      </c>
    </row>
    <row r="285" spans="1:17" x14ac:dyDescent="0.25">
      <c r="A285">
        <v>3</v>
      </c>
      <c r="B285" t="s">
        <v>5824</v>
      </c>
      <c r="C285" t="s">
        <v>19</v>
      </c>
      <c r="D285" t="s">
        <v>2</v>
      </c>
      <c r="F285" t="s">
        <v>5825</v>
      </c>
      <c r="H285" t="s">
        <v>5826</v>
      </c>
      <c r="I285" t="s">
        <v>5827</v>
      </c>
      <c r="J285" t="s">
        <v>5825</v>
      </c>
      <c r="O285" t="s">
        <v>5825</v>
      </c>
      <c r="P285" t="s">
        <v>2</v>
      </c>
      <c r="Q285">
        <v>1</v>
      </c>
    </row>
    <row r="286" spans="1:17" x14ac:dyDescent="0.25">
      <c r="A286">
        <v>4</v>
      </c>
      <c r="B286" t="s">
        <v>5828</v>
      </c>
      <c r="C286" t="s">
        <v>19</v>
      </c>
      <c r="D286" t="s">
        <v>2</v>
      </c>
      <c r="G286">
        <v>25046</v>
      </c>
      <c r="H286" t="s">
        <v>5829</v>
      </c>
      <c r="I286" t="s">
        <v>5830</v>
      </c>
      <c r="J286">
        <v>25046</v>
      </c>
      <c r="K286" t="s">
        <v>5831</v>
      </c>
      <c r="L286">
        <v>3</v>
      </c>
      <c r="N286" t="s">
        <v>4713</v>
      </c>
      <c r="O286">
        <v>25046</v>
      </c>
      <c r="P286" t="s">
        <v>2</v>
      </c>
      <c r="Q286">
        <v>1</v>
      </c>
    </row>
    <row r="287" spans="1:17" x14ac:dyDescent="0.25">
      <c r="A287">
        <v>4</v>
      </c>
      <c r="B287" t="s">
        <v>5832</v>
      </c>
      <c r="C287" t="s">
        <v>19</v>
      </c>
      <c r="D287" t="s">
        <v>2</v>
      </c>
      <c r="G287">
        <v>25048</v>
      </c>
      <c r="H287" t="s">
        <v>5833</v>
      </c>
      <c r="I287" t="s">
        <v>5834</v>
      </c>
      <c r="J287">
        <v>25048</v>
      </c>
      <c r="K287" t="s">
        <v>5835</v>
      </c>
      <c r="L287">
        <v>1</v>
      </c>
      <c r="N287" t="s">
        <v>4734</v>
      </c>
      <c r="O287">
        <v>25048</v>
      </c>
      <c r="P287" t="s">
        <v>2</v>
      </c>
      <c r="Q287">
        <v>1</v>
      </c>
    </row>
    <row r="288" spans="1:17" x14ac:dyDescent="0.25">
      <c r="A288">
        <v>4</v>
      </c>
      <c r="B288" t="s">
        <v>5836</v>
      </c>
      <c r="C288" t="s">
        <v>19</v>
      </c>
      <c r="D288" t="s">
        <v>2</v>
      </c>
      <c r="G288" t="s">
        <v>5837</v>
      </c>
      <c r="H288" t="s">
        <v>5838</v>
      </c>
      <c r="I288" t="s">
        <v>5839</v>
      </c>
      <c r="J288" t="s">
        <v>5837</v>
      </c>
      <c r="K288" t="s">
        <v>5840</v>
      </c>
      <c r="L288">
        <v>71</v>
      </c>
      <c r="O288" t="s">
        <v>5837</v>
      </c>
      <c r="P288" t="s">
        <v>2</v>
      </c>
      <c r="Q288">
        <v>1</v>
      </c>
    </row>
    <row r="289" spans="1:17" x14ac:dyDescent="0.25">
      <c r="A289">
        <v>4</v>
      </c>
      <c r="B289" t="s">
        <v>5841</v>
      </c>
      <c r="C289" t="s">
        <v>19</v>
      </c>
      <c r="D289" t="s">
        <v>2</v>
      </c>
      <c r="G289" t="s">
        <v>5842</v>
      </c>
      <c r="H289" t="s">
        <v>5843</v>
      </c>
      <c r="I289" t="s">
        <v>5844</v>
      </c>
      <c r="J289" t="s">
        <v>5842</v>
      </c>
      <c r="K289" t="s">
        <v>5845</v>
      </c>
      <c r="L289">
        <v>51</v>
      </c>
      <c r="O289" t="s">
        <v>5842</v>
      </c>
      <c r="P289" t="s">
        <v>2</v>
      </c>
      <c r="Q289">
        <v>1</v>
      </c>
    </row>
    <row r="290" spans="1:17" x14ac:dyDescent="0.25">
      <c r="A290">
        <v>4</v>
      </c>
      <c r="B290" t="s">
        <v>5846</v>
      </c>
      <c r="C290" t="s">
        <v>19</v>
      </c>
      <c r="D290" t="s">
        <v>2</v>
      </c>
      <c r="G290" t="s">
        <v>5847</v>
      </c>
      <c r="H290" t="s">
        <v>5848</v>
      </c>
      <c r="I290" t="s">
        <v>5849</v>
      </c>
      <c r="J290" t="s">
        <v>5847</v>
      </c>
      <c r="K290" t="s">
        <v>5850</v>
      </c>
      <c r="L290">
        <v>100</v>
      </c>
      <c r="O290" t="s">
        <v>5847</v>
      </c>
      <c r="P290" t="s">
        <v>2</v>
      </c>
      <c r="Q290">
        <v>1</v>
      </c>
    </row>
    <row r="291" spans="1:17" x14ac:dyDescent="0.25">
      <c r="A291">
        <v>3</v>
      </c>
      <c r="B291" t="s">
        <v>5851</v>
      </c>
      <c r="C291" t="s">
        <v>19</v>
      </c>
      <c r="D291" t="s">
        <v>2</v>
      </c>
      <c r="F291" t="s">
        <v>5852</v>
      </c>
      <c r="H291" t="s">
        <v>4983</v>
      </c>
      <c r="I291" t="s">
        <v>4984</v>
      </c>
      <c r="J291" t="s">
        <v>5852</v>
      </c>
      <c r="O291" t="s">
        <v>5852</v>
      </c>
      <c r="P291" t="s">
        <v>2</v>
      </c>
      <c r="Q291">
        <v>2</v>
      </c>
    </row>
    <row r="292" spans="1:17" x14ac:dyDescent="0.25">
      <c r="A292">
        <v>4</v>
      </c>
      <c r="B292" t="s">
        <v>5853</v>
      </c>
      <c r="C292" t="s">
        <v>19</v>
      </c>
      <c r="D292" t="s">
        <v>2</v>
      </c>
      <c r="G292">
        <v>25060</v>
      </c>
      <c r="H292" t="s">
        <v>5854</v>
      </c>
      <c r="I292" t="s">
        <v>5855</v>
      </c>
      <c r="J292">
        <v>25060</v>
      </c>
      <c r="K292" t="s">
        <v>5856</v>
      </c>
      <c r="L292">
        <v>4</v>
      </c>
      <c r="N292" t="s">
        <v>4713</v>
      </c>
      <c r="O292">
        <v>25060</v>
      </c>
      <c r="P292" t="s">
        <v>2</v>
      </c>
      <c r="Q292">
        <v>1</v>
      </c>
    </row>
    <row r="293" spans="1:17" x14ac:dyDescent="0.25">
      <c r="A293">
        <v>4</v>
      </c>
      <c r="B293" t="s">
        <v>5857</v>
      </c>
      <c r="C293" t="s">
        <v>19</v>
      </c>
      <c r="D293" t="s">
        <v>2</v>
      </c>
      <c r="G293">
        <v>25062</v>
      </c>
      <c r="H293" t="s">
        <v>5182</v>
      </c>
      <c r="I293" t="s">
        <v>5183</v>
      </c>
      <c r="J293">
        <v>25062</v>
      </c>
      <c r="K293" t="s">
        <v>5858</v>
      </c>
      <c r="L293">
        <v>4</v>
      </c>
      <c r="N293" t="s">
        <v>4713</v>
      </c>
      <c r="O293">
        <v>25062</v>
      </c>
      <c r="P293" t="s">
        <v>2</v>
      </c>
      <c r="Q293">
        <v>1</v>
      </c>
    </row>
    <row r="294" spans="1:17" x14ac:dyDescent="0.25">
      <c r="A294">
        <v>4</v>
      </c>
      <c r="B294" t="s">
        <v>5859</v>
      </c>
      <c r="C294" t="s">
        <v>19</v>
      </c>
      <c r="D294" t="s">
        <v>2</v>
      </c>
      <c r="G294">
        <v>25064</v>
      </c>
      <c r="H294" t="s">
        <v>5860</v>
      </c>
      <c r="I294" t="s">
        <v>5861</v>
      </c>
      <c r="J294">
        <v>25064</v>
      </c>
      <c r="K294" t="s">
        <v>5862</v>
      </c>
      <c r="L294">
        <v>30</v>
      </c>
      <c r="O294">
        <v>25064</v>
      </c>
      <c r="P294" t="s">
        <v>2</v>
      </c>
      <c r="Q294">
        <v>1</v>
      </c>
    </row>
    <row r="295" spans="1:17" x14ac:dyDescent="0.25">
      <c r="A295">
        <v>4</v>
      </c>
      <c r="B295" t="s">
        <v>5863</v>
      </c>
      <c r="C295" t="s">
        <v>19</v>
      </c>
      <c r="D295" t="s">
        <v>2</v>
      </c>
      <c r="G295">
        <v>25066</v>
      </c>
      <c r="H295" t="s">
        <v>5864</v>
      </c>
      <c r="I295" t="s">
        <v>5865</v>
      </c>
      <c r="J295">
        <v>25066</v>
      </c>
      <c r="K295" t="s">
        <v>5866</v>
      </c>
      <c r="L295">
        <v>1</v>
      </c>
      <c r="N295" t="s">
        <v>4734</v>
      </c>
      <c r="O295">
        <v>25066</v>
      </c>
      <c r="P295" t="s">
        <v>2</v>
      </c>
      <c r="Q295">
        <v>1</v>
      </c>
    </row>
    <row r="296" spans="1:17" x14ac:dyDescent="0.25">
      <c r="A296">
        <v>4</v>
      </c>
      <c r="B296" t="s">
        <v>5867</v>
      </c>
      <c r="C296" t="s">
        <v>19</v>
      </c>
      <c r="D296" t="s">
        <v>2</v>
      </c>
      <c r="G296">
        <v>25068</v>
      </c>
      <c r="H296" t="s">
        <v>5868</v>
      </c>
      <c r="I296" t="s">
        <v>4984</v>
      </c>
      <c r="J296">
        <v>25068</v>
      </c>
      <c r="K296" t="s">
        <v>5869</v>
      </c>
      <c r="L296">
        <v>13</v>
      </c>
      <c r="O296">
        <v>25068</v>
      </c>
      <c r="P296" t="s">
        <v>2</v>
      </c>
      <c r="Q296">
        <v>1</v>
      </c>
    </row>
    <row r="297" spans="1:17" x14ac:dyDescent="0.25">
      <c r="A297">
        <v>4</v>
      </c>
      <c r="B297" t="s">
        <v>5870</v>
      </c>
      <c r="C297" t="s">
        <v>19</v>
      </c>
      <c r="D297" t="s">
        <v>2</v>
      </c>
      <c r="G297">
        <v>25070</v>
      </c>
      <c r="H297" t="s">
        <v>5871</v>
      </c>
      <c r="I297" t="s">
        <v>5872</v>
      </c>
      <c r="J297">
        <v>25070</v>
      </c>
      <c r="K297" t="s">
        <v>5873</v>
      </c>
      <c r="L297">
        <v>6</v>
      </c>
      <c r="N297" t="s">
        <v>4713</v>
      </c>
      <c r="O297">
        <v>25070</v>
      </c>
      <c r="P297" t="s">
        <v>2</v>
      </c>
      <c r="Q297">
        <v>1</v>
      </c>
    </row>
    <row r="298" spans="1:17" x14ac:dyDescent="0.25">
      <c r="A298">
        <v>4</v>
      </c>
      <c r="B298" t="s">
        <v>5874</v>
      </c>
      <c r="C298" t="s">
        <v>19</v>
      </c>
      <c r="D298" t="s">
        <v>2</v>
      </c>
      <c r="G298">
        <v>25072</v>
      </c>
      <c r="H298" t="s">
        <v>5875</v>
      </c>
      <c r="I298" t="s">
        <v>5876</v>
      </c>
      <c r="J298">
        <v>25072</v>
      </c>
      <c r="K298" t="s">
        <v>5877</v>
      </c>
      <c r="L298">
        <v>6</v>
      </c>
      <c r="N298" t="s">
        <v>4713</v>
      </c>
      <c r="O298">
        <v>25072</v>
      </c>
      <c r="P298" t="s">
        <v>2</v>
      </c>
      <c r="Q298">
        <v>1</v>
      </c>
    </row>
    <row r="299" spans="1:17" x14ac:dyDescent="0.25">
      <c r="A299">
        <v>4</v>
      </c>
      <c r="B299" t="s">
        <v>5878</v>
      </c>
      <c r="C299" t="s">
        <v>19</v>
      </c>
      <c r="D299" t="s">
        <v>2</v>
      </c>
      <c r="G299">
        <v>25074</v>
      </c>
      <c r="H299" t="s">
        <v>5879</v>
      </c>
      <c r="I299" t="s">
        <v>5880</v>
      </c>
      <c r="J299">
        <v>25074</v>
      </c>
      <c r="K299" t="s">
        <v>5881</v>
      </c>
      <c r="L299">
        <v>2</v>
      </c>
      <c r="N299" t="s">
        <v>4713</v>
      </c>
      <c r="O299">
        <v>25074</v>
      </c>
      <c r="P299" t="s">
        <v>2</v>
      </c>
      <c r="Q299">
        <v>1</v>
      </c>
    </row>
    <row r="300" spans="1:17" x14ac:dyDescent="0.25">
      <c r="A300">
        <v>4</v>
      </c>
      <c r="B300" t="s">
        <v>5882</v>
      </c>
      <c r="C300" t="s">
        <v>19</v>
      </c>
      <c r="D300" t="s">
        <v>2</v>
      </c>
      <c r="G300">
        <v>25076</v>
      </c>
      <c r="H300" t="s">
        <v>5883</v>
      </c>
      <c r="I300" t="s">
        <v>5884</v>
      </c>
      <c r="J300">
        <v>25076</v>
      </c>
      <c r="K300" t="s">
        <v>5885</v>
      </c>
      <c r="L300">
        <v>21</v>
      </c>
      <c r="O300">
        <v>25076</v>
      </c>
      <c r="P300" t="s">
        <v>2</v>
      </c>
      <c r="Q300">
        <v>1</v>
      </c>
    </row>
    <row r="301" spans="1:17" x14ac:dyDescent="0.25">
      <c r="A301">
        <v>4</v>
      </c>
      <c r="B301" t="s">
        <v>5886</v>
      </c>
      <c r="C301" t="s">
        <v>19</v>
      </c>
      <c r="D301" t="s">
        <v>2</v>
      </c>
      <c r="G301">
        <v>25078</v>
      </c>
      <c r="H301" t="s">
        <v>5887</v>
      </c>
      <c r="I301" t="s">
        <v>5888</v>
      </c>
      <c r="J301">
        <v>25078</v>
      </c>
      <c r="K301" t="s">
        <v>5889</v>
      </c>
      <c r="L301">
        <v>17</v>
      </c>
      <c r="O301">
        <v>25078</v>
      </c>
      <c r="P301" t="s">
        <v>2</v>
      </c>
      <c r="Q301">
        <v>1</v>
      </c>
    </row>
    <row r="302" spans="1:17" x14ac:dyDescent="0.25">
      <c r="A302">
        <v>4</v>
      </c>
      <c r="B302" t="s">
        <v>5890</v>
      </c>
      <c r="C302" t="s">
        <v>19</v>
      </c>
      <c r="D302" t="s">
        <v>2</v>
      </c>
      <c r="G302">
        <v>25080</v>
      </c>
      <c r="H302" t="s">
        <v>5891</v>
      </c>
      <c r="I302" t="s">
        <v>5892</v>
      </c>
      <c r="J302">
        <v>25080</v>
      </c>
      <c r="K302" t="s">
        <v>5893</v>
      </c>
      <c r="L302">
        <v>2</v>
      </c>
      <c r="N302" t="s">
        <v>4713</v>
      </c>
      <c r="O302">
        <v>25080</v>
      </c>
      <c r="P302" t="s">
        <v>2</v>
      </c>
      <c r="Q302">
        <v>1</v>
      </c>
    </row>
    <row r="303" spans="1:17" x14ac:dyDescent="0.25">
      <c r="A303">
        <v>4</v>
      </c>
      <c r="B303" t="s">
        <v>5894</v>
      </c>
      <c r="C303" t="s">
        <v>19</v>
      </c>
      <c r="D303" t="s">
        <v>2</v>
      </c>
      <c r="G303">
        <v>44553</v>
      </c>
      <c r="H303" t="s">
        <v>5871</v>
      </c>
      <c r="I303" t="s">
        <v>5895</v>
      </c>
      <c r="J303">
        <v>44553</v>
      </c>
      <c r="K303" t="s">
        <v>5896</v>
      </c>
      <c r="L303">
        <v>6</v>
      </c>
      <c r="N303" t="s">
        <v>4713</v>
      </c>
      <c r="O303">
        <v>44553</v>
      </c>
      <c r="P303" t="s">
        <v>2</v>
      </c>
      <c r="Q303">
        <v>1</v>
      </c>
    </row>
    <row r="304" spans="1:17" x14ac:dyDescent="0.25">
      <c r="A304">
        <v>4</v>
      </c>
      <c r="B304" t="s">
        <v>5897</v>
      </c>
      <c r="C304" t="s">
        <v>19</v>
      </c>
      <c r="D304" t="s">
        <v>2</v>
      </c>
      <c r="G304" t="s">
        <v>5898</v>
      </c>
      <c r="H304" t="s">
        <v>5899</v>
      </c>
      <c r="I304" t="s">
        <v>5900</v>
      </c>
      <c r="J304" t="s">
        <v>5898</v>
      </c>
      <c r="K304" t="s">
        <v>5901</v>
      </c>
      <c r="L304">
        <v>7</v>
      </c>
      <c r="N304" t="s">
        <v>4713</v>
      </c>
      <c r="O304" t="s">
        <v>5898</v>
      </c>
      <c r="P304" t="s">
        <v>2</v>
      </c>
      <c r="Q304">
        <v>1</v>
      </c>
    </row>
    <row r="305" spans="1:17" x14ac:dyDescent="0.25">
      <c r="A305">
        <v>3</v>
      </c>
      <c r="B305" t="s">
        <v>5902</v>
      </c>
      <c r="C305" t="s">
        <v>19</v>
      </c>
      <c r="D305" t="s">
        <v>2</v>
      </c>
      <c r="F305" t="s">
        <v>5852</v>
      </c>
      <c r="H305" t="s">
        <v>5903</v>
      </c>
      <c r="I305" t="s">
        <v>4984</v>
      </c>
      <c r="J305" t="s">
        <v>5852</v>
      </c>
      <c r="O305" t="s">
        <v>5852</v>
      </c>
      <c r="P305" t="s">
        <v>2</v>
      </c>
      <c r="Q305">
        <v>2</v>
      </c>
    </row>
    <row r="306" spans="1:17" x14ac:dyDescent="0.25">
      <c r="A306">
        <v>4</v>
      </c>
      <c r="B306" t="s">
        <v>5904</v>
      </c>
      <c r="C306" t="s">
        <v>19</v>
      </c>
      <c r="D306" t="s">
        <v>2</v>
      </c>
      <c r="G306" t="s">
        <v>5905</v>
      </c>
      <c r="H306" t="s">
        <v>5906</v>
      </c>
      <c r="I306" t="s">
        <v>5907</v>
      </c>
      <c r="J306" t="s">
        <v>5905</v>
      </c>
      <c r="K306" t="s">
        <v>5908</v>
      </c>
      <c r="L306">
        <v>22</v>
      </c>
      <c r="O306" t="s">
        <v>5905</v>
      </c>
      <c r="P306" t="s">
        <v>2</v>
      </c>
      <c r="Q306">
        <v>1</v>
      </c>
    </row>
    <row r="307" spans="1:17" x14ac:dyDescent="0.25">
      <c r="A307">
        <v>3</v>
      </c>
      <c r="B307" t="s">
        <v>5909</v>
      </c>
      <c r="C307" t="s">
        <v>19</v>
      </c>
      <c r="D307" t="s">
        <v>2</v>
      </c>
      <c r="F307" t="s">
        <v>5910</v>
      </c>
      <c r="H307" t="s">
        <v>5911</v>
      </c>
      <c r="I307" t="s">
        <v>5912</v>
      </c>
      <c r="J307" t="s">
        <v>5910</v>
      </c>
      <c r="O307" t="s">
        <v>5910</v>
      </c>
      <c r="P307" t="s">
        <v>2</v>
      </c>
      <c r="Q307">
        <v>1</v>
      </c>
    </row>
    <row r="308" spans="1:17" x14ac:dyDescent="0.25">
      <c r="A308">
        <v>4</v>
      </c>
      <c r="B308" t="s">
        <v>5913</v>
      </c>
      <c r="C308" t="s">
        <v>19</v>
      </c>
      <c r="D308" t="s">
        <v>2</v>
      </c>
      <c r="G308">
        <v>25233</v>
      </c>
      <c r="H308" t="s">
        <v>5914</v>
      </c>
      <c r="I308" t="s">
        <v>5915</v>
      </c>
      <c r="J308">
        <v>25233</v>
      </c>
      <c r="K308" t="s">
        <v>5916</v>
      </c>
      <c r="L308">
        <v>59</v>
      </c>
      <c r="O308">
        <v>25233</v>
      </c>
      <c r="P308" t="s">
        <v>2</v>
      </c>
      <c r="Q308">
        <v>1</v>
      </c>
    </row>
    <row r="309" spans="1:17" x14ac:dyDescent="0.25">
      <c r="A309">
        <v>4</v>
      </c>
      <c r="B309" t="s">
        <v>5917</v>
      </c>
      <c r="C309" t="s">
        <v>19</v>
      </c>
      <c r="D309" t="s">
        <v>2</v>
      </c>
      <c r="G309" t="s">
        <v>5918</v>
      </c>
      <c r="H309" t="s">
        <v>5919</v>
      </c>
      <c r="I309" t="s">
        <v>5920</v>
      </c>
      <c r="J309" t="s">
        <v>5918</v>
      </c>
      <c r="K309" t="s">
        <v>5921</v>
      </c>
      <c r="L309">
        <v>243</v>
      </c>
      <c r="O309" t="s">
        <v>5918</v>
      </c>
      <c r="P309" t="s">
        <v>2</v>
      </c>
      <c r="Q309">
        <v>1</v>
      </c>
    </row>
    <row r="310" spans="1:17" x14ac:dyDescent="0.25">
      <c r="A310">
        <v>4</v>
      </c>
      <c r="B310" t="s">
        <v>5922</v>
      </c>
      <c r="C310" t="s">
        <v>19</v>
      </c>
      <c r="D310" t="s">
        <v>2</v>
      </c>
      <c r="G310" t="s">
        <v>5923</v>
      </c>
      <c r="H310" t="s">
        <v>5924</v>
      </c>
      <c r="I310" t="s">
        <v>5925</v>
      </c>
      <c r="J310" t="s">
        <v>5923</v>
      </c>
      <c r="K310" t="s">
        <v>5926</v>
      </c>
      <c r="L310">
        <v>20</v>
      </c>
      <c r="O310" t="s">
        <v>5923</v>
      </c>
      <c r="P310" t="s">
        <v>2</v>
      </c>
      <c r="Q310">
        <v>1</v>
      </c>
    </row>
    <row r="311" spans="1:17" x14ac:dyDescent="0.25">
      <c r="A311">
        <v>4</v>
      </c>
      <c r="B311" t="s">
        <v>5927</v>
      </c>
      <c r="C311" t="s">
        <v>19</v>
      </c>
      <c r="D311" t="s">
        <v>2</v>
      </c>
      <c r="G311" t="s">
        <v>5928</v>
      </c>
      <c r="H311" t="s">
        <v>5929</v>
      </c>
      <c r="I311" t="s">
        <v>5930</v>
      </c>
      <c r="J311" t="s">
        <v>5928</v>
      </c>
      <c r="K311" t="s">
        <v>5931</v>
      </c>
      <c r="L311">
        <v>11</v>
      </c>
      <c r="O311" t="s">
        <v>5928</v>
      </c>
      <c r="P311" t="s">
        <v>2</v>
      </c>
      <c r="Q311">
        <v>1</v>
      </c>
    </row>
    <row r="312" spans="1:17" x14ac:dyDescent="0.25">
      <c r="A312">
        <v>4</v>
      </c>
      <c r="B312" t="s">
        <v>5932</v>
      </c>
      <c r="C312" t="s">
        <v>19</v>
      </c>
      <c r="D312" t="s">
        <v>2</v>
      </c>
      <c r="G312" t="s">
        <v>5933</v>
      </c>
      <c r="H312" t="s">
        <v>5934</v>
      </c>
      <c r="I312" t="s">
        <v>5935</v>
      </c>
      <c r="J312" t="s">
        <v>5933</v>
      </c>
      <c r="K312" t="s">
        <v>5936</v>
      </c>
      <c r="L312">
        <v>180</v>
      </c>
      <c r="O312" t="s">
        <v>5933</v>
      </c>
      <c r="P312" t="s">
        <v>2</v>
      </c>
      <c r="Q312">
        <v>1</v>
      </c>
    </row>
    <row r="313" spans="1:17" x14ac:dyDescent="0.25">
      <c r="A313">
        <v>4</v>
      </c>
      <c r="B313" t="s">
        <v>5937</v>
      </c>
      <c r="C313" t="s">
        <v>19</v>
      </c>
      <c r="D313" t="s">
        <v>2</v>
      </c>
      <c r="G313" t="s">
        <v>5938</v>
      </c>
      <c r="H313" t="s">
        <v>5939</v>
      </c>
      <c r="I313" t="s">
        <v>5940</v>
      </c>
      <c r="J313" t="s">
        <v>5938</v>
      </c>
      <c r="K313" t="s">
        <v>5941</v>
      </c>
      <c r="L313">
        <v>33</v>
      </c>
      <c r="O313" t="s">
        <v>5938</v>
      </c>
      <c r="P313" t="s">
        <v>2</v>
      </c>
      <c r="Q313">
        <v>1</v>
      </c>
    </row>
    <row r="314" spans="1:17" x14ac:dyDescent="0.25">
      <c r="A314">
        <v>4</v>
      </c>
      <c r="B314" t="s">
        <v>5942</v>
      </c>
      <c r="C314" t="s">
        <v>19</v>
      </c>
      <c r="D314" t="s">
        <v>2</v>
      </c>
      <c r="G314" t="s">
        <v>5943</v>
      </c>
      <c r="H314" t="s">
        <v>5944</v>
      </c>
      <c r="I314" t="s">
        <v>5945</v>
      </c>
      <c r="J314" t="s">
        <v>5943</v>
      </c>
      <c r="K314" t="s">
        <v>5946</v>
      </c>
      <c r="L314">
        <v>16</v>
      </c>
      <c r="O314" t="s">
        <v>5943</v>
      </c>
      <c r="P314" t="s">
        <v>2</v>
      </c>
      <c r="Q314">
        <v>1</v>
      </c>
    </row>
    <row r="315" spans="1:17" x14ac:dyDescent="0.25">
      <c r="A315">
        <v>3</v>
      </c>
      <c r="B315" t="s">
        <v>5947</v>
      </c>
      <c r="C315" t="s">
        <v>19</v>
      </c>
      <c r="D315" t="s">
        <v>2</v>
      </c>
      <c r="F315" t="s">
        <v>5948</v>
      </c>
      <c r="H315" t="s">
        <v>5949</v>
      </c>
      <c r="I315" t="s">
        <v>5950</v>
      </c>
      <c r="J315" t="s">
        <v>5948</v>
      </c>
      <c r="O315" t="s">
        <v>5948</v>
      </c>
      <c r="P315" t="s">
        <v>2</v>
      </c>
      <c r="Q315">
        <v>1</v>
      </c>
    </row>
    <row r="316" spans="1:17" x14ac:dyDescent="0.25">
      <c r="A316">
        <v>4</v>
      </c>
      <c r="B316" t="s">
        <v>5951</v>
      </c>
      <c r="C316" t="s">
        <v>19</v>
      </c>
      <c r="D316" t="s">
        <v>2</v>
      </c>
      <c r="G316">
        <v>25237</v>
      </c>
      <c r="H316" t="s">
        <v>5952</v>
      </c>
      <c r="I316" t="s">
        <v>5953</v>
      </c>
      <c r="J316">
        <v>25237</v>
      </c>
      <c r="K316" t="s">
        <v>5954</v>
      </c>
      <c r="L316">
        <v>26</v>
      </c>
      <c r="O316">
        <v>25237</v>
      </c>
      <c r="P316" t="s">
        <v>2</v>
      </c>
      <c r="Q316">
        <v>1</v>
      </c>
    </row>
    <row r="317" spans="1:17" x14ac:dyDescent="0.25">
      <c r="A317">
        <v>4</v>
      </c>
      <c r="B317" t="s">
        <v>5955</v>
      </c>
      <c r="C317" t="s">
        <v>19</v>
      </c>
      <c r="D317" t="s">
        <v>2</v>
      </c>
      <c r="G317" t="s">
        <v>5956</v>
      </c>
      <c r="H317" t="s">
        <v>5957</v>
      </c>
      <c r="I317" t="s">
        <v>5958</v>
      </c>
      <c r="J317" t="s">
        <v>5956</v>
      </c>
      <c r="K317" t="s">
        <v>5959</v>
      </c>
      <c r="L317">
        <v>57</v>
      </c>
      <c r="O317" t="s">
        <v>5956</v>
      </c>
      <c r="P317" t="s">
        <v>2</v>
      </c>
      <c r="Q317">
        <v>1</v>
      </c>
    </row>
    <row r="318" spans="1:17" x14ac:dyDescent="0.25">
      <c r="A318">
        <v>3</v>
      </c>
      <c r="B318" t="s">
        <v>5960</v>
      </c>
      <c r="C318" t="s">
        <v>19</v>
      </c>
      <c r="D318" t="s">
        <v>2</v>
      </c>
      <c r="F318" t="s">
        <v>5961</v>
      </c>
      <c r="H318" t="s">
        <v>5962</v>
      </c>
      <c r="I318" t="s">
        <v>5962</v>
      </c>
      <c r="J318" t="s">
        <v>5961</v>
      </c>
      <c r="O318" t="s">
        <v>5961</v>
      </c>
      <c r="P318" t="s">
        <v>2</v>
      </c>
      <c r="Q318">
        <v>1</v>
      </c>
    </row>
    <row r="319" spans="1:17" x14ac:dyDescent="0.25">
      <c r="A319">
        <v>4</v>
      </c>
      <c r="B319" t="s">
        <v>5963</v>
      </c>
      <c r="C319" t="s">
        <v>19</v>
      </c>
      <c r="D319" t="s">
        <v>2</v>
      </c>
      <c r="G319">
        <v>25221</v>
      </c>
      <c r="H319" t="s">
        <v>5964</v>
      </c>
      <c r="I319" t="s">
        <v>5965</v>
      </c>
      <c r="J319">
        <v>25221</v>
      </c>
      <c r="K319" t="s">
        <v>5966</v>
      </c>
      <c r="L319">
        <v>23</v>
      </c>
      <c r="O319">
        <v>25221</v>
      </c>
      <c r="P319" t="s">
        <v>2</v>
      </c>
      <c r="Q319">
        <v>1</v>
      </c>
    </row>
    <row r="320" spans="1:17" x14ac:dyDescent="0.25">
      <c r="A320">
        <v>4</v>
      </c>
      <c r="B320" t="s">
        <v>5967</v>
      </c>
      <c r="C320" t="s">
        <v>19</v>
      </c>
      <c r="D320" t="s">
        <v>2</v>
      </c>
      <c r="G320">
        <v>25223</v>
      </c>
      <c r="H320" t="s">
        <v>5968</v>
      </c>
      <c r="I320" t="s">
        <v>5969</v>
      </c>
      <c r="J320">
        <v>25223</v>
      </c>
      <c r="K320" t="s">
        <v>5970</v>
      </c>
      <c r="L320">
        <v>6</v>
      </c>
      <c r="N320" t="s">
        <v>4713</v>
      </c>
      <c r="O320">
        <v>25223</v>
      </c>
      <c r="P320" t="s">
        <v>2</v>
      </c>
      <c r="Q320">
        <v>1</v>
      </c>
    </row>
    <row r="321" spans="1:17" x14ac:dyDescent="0.25">
      <c r="A321">
        <v>4</v>
      </c>
      <c r="B321" t="s">
        <v>5971</v>
      </c>
      <c r="C321" t="s">
        <v>19</v>
      </c>
      <c r="D321" t="s">
        <v>2</v>
      </c>
      <c r="G321">
        <v>25225</v>
      </c>
      <c r="H321" t="s">
        <v>5972</v>
      </c>
      <c r="I321" t="s">
        <v>5973</v>
      </c>
      <c r="J321">
        <v>25225</v>
      </c>
      <c r="K321" t="s">
        <v>5974</v>
      </c>
      <c r="L321">
        <v>4</v>
      </c>
      <c r="N321" t="s">
        <v>4713</v>
      </c>
      <c r="O321">
        <v>25225</v>
      </c>
      <c r="P321" t="s">
        <v>2</v>
      </c>
      <c r="Q321">
        <v>1</v>
      </c>
    </row>
    <row r="322" spans="1:17" x14ac:dyDescent="0.25">
      <c r="A322">
        <v>4</v>
      </c>
      <c r="B322" t="s">
        <v>5975</v>
      </c>
      <c r="C322" t="s">
        <v>19</v>
      </c>
      <c r="D322" t="s">
        <v>2</v>
      </c>
      <c r="G322">
        <v>29807</v>
      </c>
      <c r="H322" t="s">
        <v>5976</v>
      </c>
      <c r="I322" t="s">
        <v>5977</v>
      </c>
      <c r="J322">
        <v>29807</v>
      </c>
      <c r="K322" t="s">
        <v>5978</v>
      </c>
      <c r="L322">
        <v>5</v>
      </c>
      <c r="N322" t="s">
        <v>4713</v>
      </c>
      <c r="O322">
        <v>29807</v>
      </c>
      <c r="P322" t="s">
        <v>2</v>
      </c>
      <c r="Q322">
        <v>1</v>
      </c>
    </row>
    <row r="323" spans="1:17" x14ac:dyDescent="0.25">
      <c r="A323">
        <v>4</v>
      </c>
      <c r="B323" t="s">
        <v>5979</v>
      </c>
      <c r="C323" t="s">
        <v>19</v>
      </c>
      <c r="D323" t="s">
        <v>2</v>
      </c>
      <c r="G323" t="s">
        <v>5980</v>
      </c>
      <c r="H323" t="s">
        <v>5962</v>
      </c>
      <c r="I323" t="s">
        <v>5962</v>
      </c>
      <c r="J323" t="s">
        <v>5980</v>
      </c>
      <c r="K323" t="s">
        <v>5981</v>
      </c>
      <c r="L323">
        <v>25</v>
      </c>
      <c r="O323" t="s">
        <v>5980</v>
      </c>
      <c r="P323" t="s">
        <v>2</v>
      </c>
      <c r="Q323">
        <v>1</v>
      </c>
    </row>
    <row r="324" spans="1:17" x14ac:dyDescent="0.25">
      <c r="A324">
        <v>3</v>
      </c>
      <c r="B324" t="s">
        <v>5982</v>
      </c>
      <c r="C324" t="s">
        <v>19</v>
      </c>
      <c r="D324" t="s">
        <v>2</v>
      </c>
      <c r="F324" t="s">
        <v>5983</v>
      </c>
      <c r="H324" t="s">
        <v>5984</v>
      </c>
      <c r="I324" t="s">
        <v>5985</v>
      </c>
      <c r="J324" t="s">
        <v>5983</v>
      </c>
      <c r="O324" t="s">
        <v>5983</v>
      </c>
      <c r="P324" t="s">
        <v>2</v>
      </c>
      <c r="Q324">
        <v>1</v>
      </c>
    </row>
    <row r="325" spans="1:17" x14ac:dyDescent="0.25">
      <c r="A325">
        <v>4</v>
      </c>
      <c r="B325" t="s">
        <v>5986</v>
      </c>
      <c r="C325" t="s">
        <v>19</v>
      </c>
      <c r="D325" t="s">
        <v>2</v>
      </c>
      <c r="G325">
        <v>25200</v>
      </c>
      <c r="H325" t="s">
        <v>5987</v>
      </c>
      <c r="I325" t="s">
        <v>5988</v>
      </c>
      <c r="J325">
        <v>25200</v>
      </c>
      <c r="K325" t="s">
        <v>5989</v>
      </c>
      <c r="L325">
        <v>24</v>
      </c>
      <c r="O325">
        <v>25200</v>
      </c>
      <c r="P325" t="s">
        <v>2</v>
      </c>
      <c r="Q325">
        <v>1</v>
      </c>
    </row>
    <row r="326" spans="1:17" x14ac:dyDescent="0.25">
      <c r="A326">
        <v>4</v>
      </c>
      <c r="B326" t="s">
        <v>5990</v>
      </c>
      <c r="C326" t="s">
        <v>19</v>
      </c>
      <c r="D326" t="s">
        <v>2</v>
      </c>
      <c r="G326">
        <v>25202</v>
      </c>
      <c r="H326" t="s">
        <v>5991</v>
      </c>
      <c r="I326" t="s">
        <v>5992</v>
      </c>
      <c r="J326">
        <v>25202</v>
      </c>
      <c r="K326" t="s">
        <v>5993</v>
      </c>
      <c r="L326">
        <v>23</v>
      </c>
      <c r="O326">
        <v>25202</v>
      </c>
      <c r="P326" t="s">
        <v>2</v>
      </c>
      <c r="Q326">
        <v>1</v>
      </c>
    </row>
    <row r="327" spans="1:17" x14ac:dyDescent="0.25">
      <c r="A327">
        <v>4</v>
      </c>
      <c r="B327" t="s">
        <v>5994</v>
      </c>
      <c r="C327" t="s">
        <v>19</v>
      </c>
      <c r="D327" t="s">
        <v>2</v>
      </c>
      <c r="G327">
        <v>25204</v>
      </c>
      <c r="H327" t="s">
        <v>5995</v>
      </c>
      <c r="I327" t="s">
        <v>5996</v>
      </c>
      <c r="J327">
        <v>25204</v>
      </c>
      <c r="K327" t="s">
        <v>5997</v>
      </c>
      <c r="L327">
        <v>4</v>
      </c>
      <c r="N327" t="s">
        <v>4713</v>
      </c>
      <c r="O327">
        <v>25204</v>
      </c>
      <c r="P327" t="s">
        <v>2</v>
      </c>
      <c r="Q327">
        <v>1</v>
      </c>
    </row>
    <row r="328" spans="1:17" x14ac:dyDescent="0.25">
      <c r="A328">
        <v>4</v>
      </c>
      <c r="B328" t="s">
        <v>5998</v>
      </c>
      <c r="C328" t="s">
        <v>19</v>
      </c>
      <c r="D328" t="s">
        <v>2</v>
      </c>
      <c r="G328" t="s">
        <v>5999</v>
      </c>
      <c r="H328" t="s">
        <v>6000</v>
      </c>
      <c r="I328" t="s">
        <v>6001</v>
      </c>
      <c r="J328" t="s">
        <v>5999</v>
      </c>
      <c r="K328" t="s">
        <v>6002</v>
      </c>
      <c r="L328">
        <v>102</v>
      </c>
      <c r="O328" t="s">
        <v>5999</v>
      </c>
      <c r="P328" t="s">
        <v>2</v>
      </c>
      <c r="Q328">
        <v>1</v>
      </c>
    </row>
    <row r="329" spans="1:17" x14ac:dyDescent="0.25">
      <c r="A329">
        <v>4</v>
      </c>
      <c r="B329" t="s">
        <v>6003</v>
      </c>
      <c r="C329" t="s">
        <v>19</v>
      </c>
      <c r="D329" t="s">
        <v>2</v>
      </c>
      <c r="G329">
        <v>44540</v>
      </c>
      <c r="H329" t="s">
        <v>6004</v>
      </c>
      <c r="I329" t="s">
        <v>6005</v>
      </c>
      <c r="J329">
        <v>44540</v>
      </c>
      <c r="K329" t="s">
        <v>6006</v>
      </c>
      <c r="L329">
        <v>2</v>
      </c>
      <c r="N329" t="s">
        <v>4713</v>
      </c>
      <c r="O329">
        <v>44540</v>
      </c>
      <c r="P329" t="s">
        <v>2</v>
      </c>
      <c r="Q329">
        <v>1</v>
      </c>
    </row>
    <row r="330" spans="1:17" x14ac:dyDescent="0.25">
      <c r="A330">
        <v>4</v>
      </c>
      <c r="B330" t="s">
        <v>6007</v>
      </c>
      <c r="C330" t="s">
        <v>19</v>
      </c>
      <c r="D330" t="s">
        <v>2</v>
      </c>
      <c r="G330" t="s">
        <v>6008</v>
      </c>
      <c r="H330" t="s">
        <v>6009</v>
      </c>
      <c r="I330" t="s">
        <v>6010</v>
      </c>
      <c r="J330" t="s">
        <v>6008</v>
      </c>
      <c r="K330" t="s">
        <v>6011</v>
      </c>
      <c r="L330">
        <v>62</v>
      </c>
      <c r="O330" t="s">
        <v>6008</v>
      </c>
      <c r="P330" t="s">
        <v>2</v>
      </c>
      <c r="Q330">
        <v>1</v>
      </c>
    </row>
    <row r="331" spans="1:17" x14ac:dyDescent="0.25">
      <c r="A331">
        <v>1</v>
      </c>
      <c r="B331">
        <v>2</v>
      </c>
      <c r="C331" t="s">
        <v>20</v>
      </c>
      <c r="D331" t="s">
        <v>3</v>
      </c>
      <c r="H331" t="s">
        <v>3</v>
      </c>
      <c r="I331" t="s">
        <v>432</v>
      </c>
      <c r="J331" t="s">
        <v>20</v>
      </c>
      <c r="O331" t="s">
        <v>20</v>
      </c>
      <c r="P331" t="s">
        <v>3</v>
      </c>
      <c r="Q331">
        <v>1</v>
      </c>
    </row>
    <row r="332" spans="1:17" x14ac:dyDescent="0.25">
      <c r="A332">
        <v>2</v>
      </c>
      <c r="B332" t="s">
        <v>6012</v>
      </c>
      <c r="C332" t="s">
        <v>20</v>
      </c>
      <c r="D332" t="s">
        <v>3</v>
      </c>
      <c r="E332" t="s">
        <v>741</v>
      </c>
      <c r="H332" t="s">
        <v>841</v>
      </c>
      <c r="I332" t="s">
        <v>983</v>
      </c>
      <c r="J332" t="s">
        <v>741</v>
      </c>
      <c r="O332" t="s">
        <v>741</v>
      </c>
      <c r="P332" t="s">
        <v>3</v>
      </c>
      <c r="Q332">
        <v>1</v>
      </c>
    </row>
    <row r="333" spans="1:17" x14ac:dyDescent="0.25">
      <c r="A333">
        <v>3</v>
      </c>
      <c r="B333" t="s">
        <v>6013</v>
      </c>
      <c r="C333" t="s">
        <v>20</v>
      </c>
      <c r="D333" t="s">
        <v>3</v>
      </c>
      <c r="F333" t="s">
        <v>6014</v>
      </c>
      <c r="H333" t="s">
        <v>6015</v>
      </c>
      <c r="I333" t="s">
        <v>6016</v>
      </c>
      <c r="J333" t="s">
        <v>6014</v>
      </c>
      <c r="O333" t="s">
        <v>6014</v>
      </c>
      <c r="P333" t="s">
        <v>3</v>
      </c>
      <c r="Q333">
        <v>1</v>
      </c>
    </row>
    <row r="334" spans="1:17" x14ac:dyDescent="0.25">
      <c r="A334">
        <v>4</v>
      </c>
      <c r="B334" t="s">
        <v>6017</v>
      </c>
      <c r="C334" t="s">
        <v>20</v>
      </c>
      <c r="D334" t="s">
        <v>3</v>
      </c>
      <c r="G334">
        <v>24441</v>
      </c>
      <c r="H334" t="s">
        <v>6018</v>
      </c>
      <c r="I334" t="s">
        <v>6019</v>
      </c>
      <c r="J334">
        <v>24441</v>
      </c>
      <c r="K334" t="s">
        <v>6020</v>
      </c>
      <c r="L334">
        <v>308</v>
      </c>
      <c r="O334">
        <v>24441</v>
      </c>
      <c r="P334" t="s">
        <v>3</v>
      </c>
      <c r="Q334">
        <v>1</v>
      </c>
    </row>
    <row r="335" spans="1:17" x14ac:dyDescent="0.25">
      <c r="A335">
        <v>4</v>
      </c>
      <c r="B335" t="s">
        <v>6021</v>
      </c>
      <c r="C335" t="s">
        <v>20</v>
      </c>
      <c r="D335" t="s">
        <v>3</v>
      </c>
      <c r="G335">
        <v>24443</v>
      </c>
      <c r="H335" t="s">
        <v>6022</v>
      </c>
      <c r="I335" t="s">
        <v>6023</v>
      </c>
      <c r="J335">
        <v>24443</v>
      </c>
      <c r="K335" t="s">
        <v>6024</v>
      </c>
      <c r="L335">
        <v>24</v>
      </c>
      <c r="O335">
        <v>24443</v>
      </c>
      <c r="P335" t="s">
        <v>3</v>
      </c>
      <c r="Q335">
        <v>1</v>
      </c>
    </row>
    <row r="336" spans="1:17" x14ac:dyDescent="0.25">
      <c r="A336">
        <v>4</v>
      </c>
      <c r="B336" t="s">
        <v>6025</v>
      </c>
      <c r="C336" t="s">
        <v>20</v>
      </c>
      <c r="D336" t="s">
        <v>3</v>
      </c>
      <c r="G336">
        <v>357384</v>
      </c>
      <c r="H336" t="s">
        <v>6026</v>
      </c>
      <c r="I336" t="s">
        <v>6026</v>
      </c>
      <c r="J336">
        <v>357384</v>
      </c>
      <c r="K336" t="s">
        <v>6027</v>
      </c>
      <c r="L336">
        <v>118</v>
      </c>
      <c r="O336">
        <v>357384</v>
      </c>
      <c r="P336" t="s">
        <v>3</v>
      </c>
      <c r="Q336">
        <v>1</v>
      </c>
    </row>
    <row r="337" spans="1:17" x14ac:dyDescent="0.25">
      <c r="A337">
        <v>4</v>
      </c>
      <c r="B337" t="s">
        <v>6028</v>
      </c>
      <c r="C337" t="s">
        <v>20</v>
      </c>
      <c r="D337" t="s">
        <v>3</v>
      </c>
      <c r="G337" t="s">
        <v>6029</v>
      </c>
      <c r="H337" t="s">
        <v>6030</v>
      </c>
      <c r="I337" t="s">
        <v>6031</v>
      </c>
      <c r="J337" t="s">
        <v>6029</v>
      </c>
      <c r="K337" t="s">
        <v>6032</v>
      </c>
      <c r="L337">
        <v>904</v>
      </c>
      <c r="O337" t="s">
        <v>6029</v>
      </c>
      <c r="P337" t="s">
        <v>3</v>
      </c>
      <c r="Q337">
        <v>1</v>
      </c>
    </row>
    <row r="338" spans="1:17" x14ac:dyDescent="0.25">
      <c r="A338">
        <v>4</v>
      </c>
      <c r="B338" t="s">
        <v>6033</v>
      </c>
      <c r="C338" t="s">
        <v>20</v>
      </c>
      <c r="D338" t="s">
        <v>3</v>
      </c>
      <c r="G338" t="s">
        <v>6034</v>
      </c>
      <c r="H338" t="s">
        <v>6035</v>
      </c>
      <c r="I338" t="s">
        <v>6036</v>
      </c>
      <c r="J338" t="s">
        <v>6034</v>
      </c>
      <c r="K338" t="s">
        <v>6037</v>
      </c>
      <c r="L338">
        <v>195</v>
      </c>
      <c r="O338" t="s">
        <v>6034</v>
      </c>
      <c r="P338" t="s">
        <v>3</v>
      </c>
      <c r="Q338">
        <v>1</v>
      </c>
    </row>
    <row r="339" spans="1:17" x14ac:dyDescent="0.25">
      <c r="A339">
        <v>4</v>
      </c>
      <c r="B339" t="s">
        <v>6038</v>
      </c>
      <c r="C339" t="s">
        <v>20</v>
      </c>
      <c r="D339" t="s">
        <v>3</v>
      </c>
      <c r="G339" t="s">
        <v>6039</v>
      </c>
      <c r="H339" t="s">
        <v>6040</v>
      </c>
      <c r="I339" t="s">
        <v>6041</v>
      </c>
      <c r="J339" t="s">
        <v>6039</v>
      </c>
      <c r="K339" t="s">
        <v>6042</v>
      </c>
      <c r="L339">
        <v>380</v>
      </c>
      <c r="O339" t="s">
        <v>6039</v>
      </c>
      <c r="P339" t="s">
        <v>3</v>
      </c>
      <c r="Q339">
        <v>1</v>
      </c>
    </row>
    <row r="340" spans="1:17" x14ac:dyDescent="0.25">
      <c r="A340">
        <v>4</v>
      </c>
      <c r="B340" t="s">
        <v>6043</v>
      </c>
      <c r="C340" t="s">
        <v>20</v>
      </c>
      <c r="D340" t="s">
        <v>3</v>
      </c>
      <c r="G340" t="s">
        <v>6044</v>
      </c>
      <c r="H340" t="s">
        <v>6045</v>
      </c>
      <c r="I340" t="s">
        <v>6046</v>
      </c>
      <c r="J340" t="s">
        <v>6044</v>
      </c>
      <c r="K340" t="s">
        <v>6047</v>
      </c>
      <c r="L340">
        <v>220</v>
      </c>
      <c r="O340" t="s">
        <v>6044</v>
      </c>
      <c r="P340" t="s">
        <v>3</v>
      </c>
      <c r="Q340">
        <v>1</v>
      </c>
    </row>
    <row r="341" spans="1:17" x14ac:dyDescent="0.25">
      <c r="A341">
        <v>3</v>
      </c>
      <c r="B341" t="s">
        <v>6048</v>
      </c>
      <c r="C341" t="s">
        <v>20</v>
      </c>
      <c r="D341" t="s">
        <v>3</v>
      </c>
      <c r="F341" t="s">
        <v>6049</v>
      </c>
      <c r="H341" t="s">
        <v>6050</v>
      </c>
      <c r="I341" t="s">
        <v>6051</v>
      </c>
      <c r="J341" t="s">
        <v>6049</v>
      </c>
      <c r="O341" t="s">
        <v>6049</v>
      </c>
      <c r="P341" t="s">
        <v>3</v>
      </c>
      <c r="Q341">
        <v>1</v>
      </c>
    </row>
    <row r="342" spans="1:17" x14ac:dyDescent="0.25">
      <c r="A342">
        <v>4</v>
      </c>
      <c r="B342" t="s">
        <v>6052</v>
      </c>
      <c r="C342" t="s">
        <v>20</v>
      </c>
      <c r="D342" t="s">
        <v>3</v>
      </c>
      <c r="G342">
        <v>191117</v>
      </c>
      <c r="H342" t="s">
        <v>6053</v>
      </c>
      <c r="I342" t="s">
        <v>6054</v>
      </c>
      <c r="J342">
        <v>191117</v>
      </c>
      <c r="K342" t="s">
        <v>6055</v>
      </c>
      <c r="L342">
        <v>181</v>
      </c>
      <c r="O342">
        <v>191117</v>
      </c>
      <c r="P342" t="s">
        <v>3</v>
      </c>
      <c r="Q342">
        <v>1</v>
      </c>
    </row>
    <row r="343" spans="1:17" x14ac:dyDescent="0.25">
      <c r="A343">
        <v>3</v>
      </c>
      <c r="B343" t="s">
        <v>6056</v>
      </c>
      <c r="C343" t="s">
        <v>20</v>
      </c>
      <c r="D343" t="s">
        <v>3</v>
      </c>
      <c r="F343" t="s">
        <v>6057</v>
      </c>
      <c r="H343" t="s">
        <v>6058</v>
      </c>
      <c r="I343" t="s">
        <v>6059</v>
      </c>
      <c r="J343" t="s">
        <v>6057</v>
      </c>
      <c r="O343" t="s">
        <v>6057</v>
      </c>
      <c r="P343" t="s">
        <v>3</v>
      </c>
      <c r="Q343">
        <v>1</v>
      </c>
    </row>
    <row r="344" spans="1:17" x14ac:dyDescent="0.25">
      <c r="A344">
        <v>4</v>
      </c>
      <c r="B344" t="s">
        <v>6060</v>
      </c>
      <c r="C344" t="s">
        <v>20</v>
      </c>
      <c r="D344" t="s">
        <v>3</v>
      </c>
      <c r="G344" t="s">
        <v>6061</v>
      </c>
      <c r="H344" t="s">
        <v>6062</v>
      </c>
      <c r="I344" t="s">
        <v>6063</v>
      </c>
      <c r="J344" t="s">
        <v>6061</v>
      </c>
      <c r="K344" t="s">
        <v>6064</v>
      </c>
      <c r="L344">
        <v>492</v>
      </c>
      <c r="O344" t="s">
        <v>6061</v>
      </c>
      <c r="P344" t="s">
        <v>3</v>
      </c>
      <c r="Q344">
        <v>1</v>
      </c>
    </row>
    <row r="345" spans="1:17" x14ac:dyDescent="0.25">
      <c r="A345">
        <v>4</v>
      </c>
      <c r="B345" t="s">
        <v>6065</v>
      </c>
      <c r="C345" t="s">
        <v>20</v>
      </c>
      <c r="D345" t="s">
        <v>3</v>
      </c>
      <c r="G345" t="s">
        <v>6066</v>
      </c>
      <c r="H345" t="s">
        <v>6067</v>
      </c>
      <c r="I345" t="s">
        <v>6068</v>
      </c>
      <c r="J345" t="s">
        <v>6066</v>
      </c>
      <c r="K345" t="s">
        <v>6069</v>
      </c>
      <c r="L345">
        <v>160</v>
      </c>
      <c r="O345" t="s">
        <v>6066</v>
      </c>
      <c r="P345" t="s">
        <v>3</v>
      </c>
      <c r="Q345">
        <v>1</v>
      </c>
    </row>
    <row r="346" spans="1:17" x14ac:dyDescent="0.25">
      <c r="A346">
        <v>4</v>
      </c>
      <c r="B346" t="s">
        <v>6070</v>
      </c>
      <c r="C346" t="s">
        <v>20</v>
      </c>
      <c r="D346" t="s">
        <v>3</v>
      </c>
      <c r="G346" t="s">
        <v>6071</v>
      </c>
      <c r="H346" t="s">
        <v>6072</v>
      </c>
      <c r="I346" t="s">
        <v>6073</v>
      </c>
      <c r="J346" t="s">
        <v>6071</v>
      </c>
      <c r="K346" t="s">
        <v>6074</v>
      </c>
      <c r="L346">
        <v>52</v>
      </c>
      <c r="O346" t="s">
        <v>6071</v>
      </c>
      <c r="P346" t="s">
        <v>3</v>
      </c>
      <c r="Q346">
        <v>1</v>
      </c>
    </row>
    <row r="347" spans="1:17" x14ac:dyDescent="0.25">
      <c r="A347">
        <v>3</v>
      </c>
      <c r="B347" t="s">
        <v>6075</v>
      </c>
      <c r="C347" t="s">
        <v>20</v>
      </c>
      <c r="D347" t="s">
        <v>3</v>
      </c>
      <c r="F347" t="s">
        <v>6076</v>
      </c>
      <c r="H347" t="s">
        <v>6077</v>
      </c>
      <c r="I347" t="s">
        <v>6078</v>
      </c>
      <c r="J347" t="s">
        <v>6076</v>
      </c>
      <c r="O347" t="s">
        <v>6076</v>
      </c>
      <c r="P347" t="s">
        <v>3</v>
      </c>
      <c r="Q347">
        <v>1</v>
      </c>
    </row>
    <row r="348" spans="1:17" x14ac:dyDescent="0.25">
      <c r="A348">
        <v>4</v>
      </c>
      <c r="B348" t="s">
        <v>6079</v>
      </c>
      <c r="C348" t="s">
        <v>20</v>
      </c>
      <c r="D348" t="s">
        <v>3</v>
      </c>
      <c r="G348">
        <v>170941</v>
      </c>
      <c r="H348" t="s">
        <v>6080</v>
      </c>
      <c r="I348" t="s">
        <v>6081</v>
      </c>
      <c r="J348">
        <v>170941</v>
      </c>
      <c r="K348" t="s">
        <v>6082</v>
      </c>
      <c r="L348">
        <v>138</v>
      </c>
      <c r="O348">
        <v>170941</v>
      </c>
      <c r="P348" t="s">
        <v>3</v>
      </c>
      <c r="Q348">
        <v>1</v>
      </c>
    </row>
    <row r="349" spans="1:17" x14ac:dyDescent="0.25">
      <c r="A349">
        <v>4</v>
      </c>
      <c r="B349" t="s">
        <v>6083</v>
      </c>
      <c r="C349" t="s">
        <v>20</v>
      </c>
      <c r="D349" t="s">
        <v>3</v>
      </c>
      <c r="G349" t="s">
        <v>6084</v>
      </c>
      <c r="H349" t="s">
        <v>6085</v>
      </c>
      <c r="I349" t="s">
        <v>6086</v>
      </c>
      <c r="J349" t="s">
        <v>6084</v>
      </c>
      <c r="K349" t="s">
        <v>6087</v>
      </c>
      <c r="L349">
        <v>52</v>
      </c>
      <c r="O349" t="s">
        <v>6084</v>
      </c>
      <c r="P349" t="s">
        <v>3</v>
      </c>
      <c r="Q349">
        <v>1</v>
      </c>
    </row>
    <row r="350" spans="1:17" x14ac:dyDescent="0.25">
      <c r="A350">
        <v>4</v>
      </c>
      <c r="B350" t="s">
        <v>6088</v>
      </c>
      <c r="C350" t="s">
        <v>20</v>
      </c>
      <c r="D350" t="s">
        <v>3</v>
      </c>
      <c r="G350" t="s">
        <v>6089</v>
      </c>
      <c r="H350" t="s">
        <v>6090</v>
      </c>
      <c r="I350" t="s">
        <v>6091</v>
      </c>
      <c r="J350" t="s">
        <v>6089</v>
      </c>
      <c r="K350" t="s">
        <v>6092</v>
      </c>
      <c r="L350" t="s">
        <v>6093</v>
      </c>
      <c r="O350" t="s">
        <v>6089</v>
      </c>
      <c r="P350" t="s">
        <v>3</v>
      </c>
      <c r="Q350">
        <v>1</v>
      </c>
    </row>
    <row r="351" spans="1:17" x14ac:dyDescent="0.25">
      <c r="A351">
        <v>4</v>
      </c>
      <c r="B351" t="s">
        <v>6094</v>
      </c>
      <c r="C351" t="s">
        <v>20</v>
      </c>
      <c r="D351" t="s">
        <v>3</v>
      </c>
      <c r="G351" t="s">
        <v>6095</v>
      </c>
      <c r="H351" t="s">
        <v>6096</v>
      </c>
      <c r="I351" t="s">
        <v>6097</v>
      </c>
      <c r="J351" t="s">
        <v>6095</v>
      </c>
      <c r="K351" t="s">
        <v>6098</v>
      </c>
      <c r="L351">
        <v>281</v>
      </c>
      <c r="O351" t="s">
        <v>6095</v>
      </c>
      <c r="P351" t="s">
        <v>3</v>
      </c>
      <c r="Q351">
        <v>1</v>
      </c>
    </row>
    <row r="352" spans="1:17" x14ac:dyDescent="0.25">
      <c r="A352">
        <v>4</v>
      </c>
      <c r="B352" t="s">
        <v>6099</v>
      </c>
      <c r="C352" t="s">
        <v>20</v>
      </c>
      <c r="D352" t="s">
        <v>3</v>
      </c>
      <c r="G352" t="s">
        <v>6100</v>
      </c>
      <c r="H352" t="s">
        <v>6101</v>
      </c>
      <c r="I352" t="s">
        <v>6102</v>
      </c>
      <c r="J352" t="s">
        <v>6100</v>
      </c>
      <c r="K352" t="s">
        <v>6103</v>
      </c>
      <c r="L352">
        <v>36</v>
      </c>
      <c r="O352" t="s">
        <v>6100</v>
      </c>
      <c r="P352" t="s">
        <v>3</v>
      </c>
      <c r="Q352">
        <v>1</v>
      </c>
    </row>
    <row r="353" spans="1:17" x14ac:dyDescent="0.25">
      <c r="A353">
        <v>3</v>
      </c>
      <c r="B353" t="s">
        <v>6104</v>
      </c>
      <c r="C353" t="s">
        <v>20</v>
      </c>
      <c r="D353" t="s">
        <v>3</v>
      </c>
      <c r="F353" t="s">
        <v>6105</v>
      </c>
      <c r="H353" t="s">
        <v>6106</v>
      </c>
      <c r="I353" t="s">
        <v>6107</v>
      </c>
      <c r="J353" t="s">
        <v>6105</v>
      </c>
      <c r="O353" t="s">
        <v>6105</v>
      </c>
      <c r="P353" t="s">
        <v>3</v>
      </c>
      <c r="Q353">
        <v>1</v>
      </c>
    </row>
    <row r="354" spans="1:17" x14ac:dyDescent="0.25">
      <c r="A354">
        <v>4</v>
      </c>
      <c r="B354" t="s">
        <v>6108</v>
      </c>
      <c r="C354" t="s">
        <v>20</v>
      </c>
      <c r="D354" t="s">
        <v>3</v>
      </c>
      <c r="G354">
        <v>38163</v>
      </c>
      <c r="H354" t="s">
        <v>6109</v>
      </c>
      <c r="I354" t="s">
        <v>6110</v>
      </c>
      <c r="J354">
        <v>38163</v>
      </c>
      <c r="K354" t="s">
        <v>6111</v>
      </c>
      <c r="L354">
        <v>121</v>
      </c>
      <c r="O354">
        <v>38163</v>
      </c>
      <c r="P354" t="s">
        <v>3</v>
      </c>
      <c r="Q354">
        <v>1</v>
      </c>
    </row>
    <row r="355" spans="1:17" x14ac:dyDescent="0.25">
      <c r="A355">
        <v>4</v>
      </c>
      <c r="B355" t="s">
        <v>6112</v>
      </c>
      <c r="C355" t="s">
        <v>20</v>
      </c>
      <c r="D355" t="s">
        <v>3</v>
      </c>
      <c r="G355" t="s">
        <v>6113</v>
      </c>
      <c r="H355" t="s">
        <v>6114</v>
      </c>
      <c r="I355" t="s">
        <v>6115</v>
      </c>
      <c r="J355" t="s">
        <v>6113</v>
      </c>
      <c r="K355" t="s">
        <v>6116</v>
      </c>
      <c r="L355">
        <v>19</v>
      </c>
      <c r="O355" t="s">
        <v>6113</v>
      </c>
      <c r="P355" t="s">
        <v>3</v>
      </c>
      <c r="Q355">
        <v>1</v>
      </c>
    </row>
    <row r="356" spans="1:17" x14ac:dyDescent="0.25">
      <c r="A356">
        <v>4</v>
      </c>
      <c r="B356" t="s">
        <v>6117</v>
      </c>
      <c r="C356" t="s">
        <v>20</v>
      </c>
      <c r="D356" t="s">
        <v>3</v>
      </c>
      <c r="G356" t="s">
        <v>6118</v>
      </c>
      <c r="H356" t="s">
        <v>6119</v>
      </c>
      <c r="I356" t="s">
        <v>6120</v>
      </c>
      <c r="J356" t="s">
        <v>6118</v>
      </c>
      <c r="K356" t="s">
        <v>6121</v>
      </c>
      <c r="L356">
        <v>500</v>
      </c>
      <c r="O356" t="s">
        <v>6118</v>
      </c>
      <c r="P356" t="s">
        <v>3</v>
      </c>
      <c r="Q356">
        <v>1</v>
      </c>
    </row>
    <row r="357" spans="1:17" x14ac:dyDescent="0.25">
      <c r="A357">
        <v>4</v>
      </c>
      <c r="B357" t="s">
        <v>6122</v>
      </c>
      <c r="C357" t="s">
        <v>20</v>
      </c>
      <c r="D357" t="s">
        <v>3</v>
      </c>
      <c r="G357" t="s">
        <v>6123</v>
      </c>
      <c r="H357" t="s">
        <v>6124</v>
      </c>
      <c r="I357" t="s">
        <v>6125</v>
      </c>
      <c r="J357" t="s">
        <v>6123</v>
      </c>
      <c r="K357" t="s">
        <v>6126</v>
      </c>
      <c r="L357">
        <v>31</v>
      </c>
      <c r="O357" t="s">
        <v>6123</v>
      </c>
      <c r="P357" t="s">
        <v>3</v>
      </c>
      <c r="Q357">
        <v>1</v>
      </c>
    </row>
    <row r="358" spans="1:17" x14ac:dyDescent="0.25">
      <c r="A358">
        <v>4</v>
      </c>
      <c r="B358" t="s">
        <v>6127</v>
      </c>
      <c r="C358" t="s">
        <v>20</v>
      </c>
      <c r="D358" t="s">
        <v>3</v>
      </c>
      <c r="G358" t="s">
        <v>6128</v>
      </c>
      <c r="H358" t="s">
        <v>6129</v>
      </c>
      <c r="I358" t="s">
        <v>6130</v>
      </c>
      <c r="J358" t="s">
        <v>6128</v>
      </c>
      <c r="K358" t="s">
        <v>6131</v>
      </c>
      <c r="L358">
        <v>515</v>
      </c>
      <c r="O358" t="s">
        <v>6128</v>
      </c>
      <c r="P358" t="s">
        <v>3</v>
      </c>
      <c r="Q358">
        <v>1</v>
      </c>
    </row>
    <row r="359" spans="1:17" x14ac:dyDescent="0.25">
      <c r="A359">
        <v>4</v>
      </c>
      <c r="B359" t="s">
        <v>6132</v>
      </c>
      <c r="C359" t="s">
        <v>20</v>
      </c>
      <c r="D359" t="s">
        <v>3</v>
      </c>
      <c r="G359" t="s">
        <v>6133</v>
      </c>
      <c r="H359" t="s">
        <v>6134</v>
      </c>
      <c r="I359" t="s">
        <v>6135</v>
      </c>
      <c r="J359" t="s">
        <v>6133</v>
      </c>
      <c r="K359" t="s">
        <v>6136</v>
      </c>
      <c r="L359">
        <v>22</v>
      </c>
      <c r="O359" t="s">
        <v>6133</v>
      </c>
      <c r="P359" t="s">
        <v>3</v>
      </c>
      <c r="Q359">
        <v>1</v>
      </c>
    </row>
    <row r="360" spans="1:17" x14ac:dyDescent="0.25">
      <c r="A360">
        <v>3</v>
      </c>
      <c r="B360" t="s">
        <v>6137</v>
      </c>
      <c r="C360" t="s">
        <v>20</v>
      </c>
      <c r="D360" t="s">
        <v>3</v>
      </c>
      <c r="F360" t="s">
        <v>6138</v>
      </c>
      <c r="H360" t="s">
        <v>6139</v>
      </c>
      <c r="I360" t="s">
        <v>6140</v>
      </c>
      <c r="J360" t="s">
        <v>6138</v>
      </c>
      <c r="O360" t="s">
        <v>6138</v>
      </c>
      <c r="P360" t="s">
        <v>3</v>
      </c>
      <c r="Q360">
        <v>1</v>
      </c>
    </row>
    <row r="361" spans="1:17" x14ac:dyDescent="0.25">
      <c r="A361">
        <v>4</v>
      </c>
      <c r="B361" t="s">
        <v>6141</v>
      </c>
      <c r="C361" t="s">
        <v>20</v>
      </c>
      <c r="D361" t="s">
        <v>3</v>
      </c>
      <c r="G361">
        <v>261645</v>
      </c>
      <c r="H361" t="s">
        <v>6142</v>
      </c>
      <c r="I361" t="s">
        <v>6143</v>
      </c>
      <c r="J361">
        <v>261645</v>
      </c>
      <c r="K361" t="s">
        <v>6144</v>
      </c>
      <c r="L361">
        <v>115</v>
      </c>
      <c r="O361">
        <v>261645</v>
      </c>
      <c r="P361" t="s">
        <v>3</v>
      </c>
      <c r="Q361">
        <v>1</v>
      </c>
    </row>
    <row r="362" spans="1:17" x14ac:dyDescent="0.25">
      <c r="A362">
        <v>4</v>
      </c>
      <c r="B362" t="s">
        <v>6145</v>
      </c>
      <c r="C362" t="s">
        <v>20</v>
      </c>
      <c r="D362" t="s">
        <v>3</v>
      </c>
      <c r="G362" t="s">
        <v>6146</v>
      </c>
      <c r="H362" t="s">
        <v>6147</v>
      </c>
      <c r="I362" t="s">
        <v>6148</v>
      </c>
      <c r="J362" t="s">
        <v>6146</v>
      </c>
      <c r="K362" t="s">
        <v>6149</v>
      </c>
      <c r="L362">
        <v>64</v>
      </c>
      <c r="O362" t="s">
        <v>6146</v>
      </c>
      <c r="P362" t="s">
        <v>3</v>
      </c>
      <c r="Q362">
        <v>1</v>
      </c>
    </row>
    <row r="363" spans="1:17" x14ac:dyDescent="0.25">
      <c r="A363">
        <v>4</v>
      </c>
      <c r="B363" t="s">
        <v>6150</v>
      </c>
      <c r="C363" t="s">
        <v>20</v>
      </c>
      <c r="D363" t="s">
        <v>3</v>
      </c>
      <c r="G363" t="s">
        <v>6151</v>
      </c>
      <c r="H363" t="s">
        <v>6152</v>
      </c>
      <c r="I363" t="s">
        <v>6153</v>
      </c>
      <c r="J363" t="s">
        <v>6151</v>
      </c>
      <c r="K363" t="s">
        <v>6154</v>
      </c>
      <c r="L363">
        <v>28</v>
      </c>
      <c r="O363" t="s">
        <v>6151</v>
      </c>
      <c r="P363" t="s">
        <v>3</v>
      </c>
      <c r="Q363">
        <v>1</v>
      </c>
    </row>
    <row r="364" spans="1:17" x14ac:dyDescent="0.25">
      <c r="A364">
        <v>4</v>
      </c>
      <c r="B364" t="s">
        <v>6155</v>
      </c>
      <c r="C364" t="s">
        <v>20</v>
      </c>
      <c r="D364" t="s">
        <v>3</v>
      </c>
      <c r="G364" t="s">
        <v>6156</v>
      </c>
      <c r="H364" t="s">
        <v>6157</v>
      </c>
      <c r="I364" t="s">
        <v>6158</v>
      </c>
      <c r="J364" t="s">
        <v>6156</v>
      </c>
      <c r="K364" t="s">
        <v>6159</v>
      </c>
      <c r="L364">
        <v>16</v>
      </c>
      <c r="O364" t="s">
        <v>6156</v>
      </c>
      <c r="P364" t="s">
        <v>3</v>
      </c>
      <c r="Q364">
        <v>1</v>
      </c>
    </row>
    <row r="365" spans="1:17" x14ac:dyDescent="0.25">
      <c r="A365">
        <v>4</v>
      </c>
      <c r="B365" t="s">
        <v>6160</v>
      </c>
      <c r="C365" t="s">
        <v>20</v>
      </c>
      <c r="D365" t="s">
        <v>3</v>
      </c>
      <c r="G365" t="s">
        <v>6161</v>
      </c>
      <c r="H365" t="s">
        <v>6162</v>
      </c>
      <c r="I365" t="s">
        <v>6163</v>
      </c>
      <c r="J365" t="s">
        <v>6161</v>
      </c>
      <c r="K365" t="s">
        <v>6164</v>
      </c>
      <c r="L365">
        <v>74</v>
      </c>
      <c r="O365" t="s">
        <v>6161</v>
      </c>
      <c r="P365" t="s">
        <v>3</v>
      </c>
      <c r="Q365">
        <v>1</v>
      </c>
    </row>
    <row r="366" spans="1:17" x14ac:dyDescent="0.25">
      <c r="A366">
        <v>3</v>
      </c>
      <c r="B366" t="s">
        <v>6165</v>
      </c>
      <c r="C366" t="s">
        <v>20</v>
      </c>
      <c r="D366" t="s">
        <v>3</v>
      </c>
      <c r="F366" t="s">
        <v>6166</v>
      </c>
      <c r="H366" t="s">
        <v>6167</v>
      </c>
      <c r="I366" t="s">
        <v>6168</v>
      </c>
      <c r="J366" t="s">
        <v>6166</v>
      </c>
      <c r="O366" t="s">
        <v>6166</v>
      </c>
      <c r="P366" t="s">
        <v>3</v>
      </c>
      <c r="Q366">
        <v>1</v>
      </c>
    </row>
    <row r="367" spans="1:17" x14ac:dyDescent="0.25">
      <c r="A367">
        <v>4</v>
      </c>
      <c r="B367" t="s">
        <v>6169</v>
      </c>
      <c r="C367" t="s">
        <v>20</v>
      </c>
      <c r="D367" t="s">
        <v>3</v>
      </c>
      <c r="G367">
        <v>177989</v>
      </c>
      <c r="H367" t="s">
        <v>6170</v>
      </c>
      <c r="I367" t="s">
        <v>6171</v>
      </c>
      <c r="J367">
        <v>177989</v>
      </c>
      <c r="K367" t="s">
        <v>6172</v>
      </c>
      <c r="L367">
        <v>23</v>
      </c>
      <c r="O367">
        <v>177989</v>
      </c>
      <c r="P367" t="s">
        <v>3</v>
      </c>
      <c r="Q367">
        <v>1</v>
      </c>
    </row>
    <row r="368" spans="1:17" x14ac:dyDescent="0.25">
      <c r="A368">
        <v>4</v>
      </c>
      <c r="B368" t="s">
        <v>6173</v>
      </c>
      <c r="C368" t="s">
        <v>20</v>
      </c>
      <c r="D368" t="s">
        <v>3</v>
      </c>
      <c r="G368" t="s">
        <v>6174</v>
      </c>
      <c r="H368" t="s">
        <v>6175</v>
      </c>
      <c r="I368" t="s">
        <v>6176</v>
      </c>
      <c r="J368" t="s">
        <v>6174</v>
      </c>
      <c r="K368" t="s">
        <v>6177</v>
      </c>
      <c r="L368">
        <v>19</v>
      </c>
      <c r="O368" t="s">
        <v>6174</v>
      </c>
      <c r="P368" t="s">
        <v>3</v>
      </c>
      <c r="Q368">
        <v>1</v>
      </c>
    </row>
    <row r="369" spans="1:17" x14ac:dyDescent="0.25">
      <c r="A369">
        <v>4</v>
      </c>
      <c r="B369" t="s">
        <v>6178</v>
      </c>
      <c r="C369" t="s">
        <v>20</v>
      </c>
      <c r="D369" t="s">
        <v>3</v>
      </c>
      <c r="G369" t="s">
        <v>6179</v>
      </c>
      <c r="H369" t="s">
        <v>6180</v>
      </c>
      <c r="I369" t="s">
        <v>6181</v>
      </c>
      <c r="J369" t="s">
        <v>6179</v>
      </c>
      <c r="K369" t="s">
        <v>6182</v>
      </c>
      <c r="L369">
        <v>154</v>
      </c>
      <c r="O369" t="s">
        <v>6179</v>
      </c>
      <c r="P369" t="s">
        <v>3</v>
      </c>
      <c r="Q369">
        <v>1</v>
      </c>
    </row>
    <row r="370" spans="1:17" x14ac:dyDescent="0.25">
      <c r="A370">
        <v>4</v>
      </c>
      <c r="B370" t="s">
        <v>6183</v>
      </c>
      <c r="C370" t="s">
        <v>20</v>
      </c>
      <c r="D370" t="s">
        <v>3</v>
      </c>
      <c r="G370" t="s">
        <v>6184</v>
      </c>
      <c r="H370" t="s">
        <v>6185</v>
      </c>
      <c r="I370" t="s">
        <v>6186</v>
      </c>
      <c r="J370" t="s">
        <v>6184</v>
      </c>
      <c r="K370" t="s">
        <v>6187</v>
      </c>
      <c r="L370">
        <v>90</v>
      </c>
      <c r="O370" t="s">
        <v>6184</v>
      </c>
      <c r="P370" t="s">
        <v>3</v>
      </c>
      <c r="Q370">
        <v>1</v>
      </c>
    </row>
    <row r="371" spans="1:17" x14ac:dyDescent="0.25">
      <c r="A371">
        <v>4</v>
      </c>
      <c r="B371" t="s">
        <v>6188</v>
      </c>
      <c r="C371" t="s">
        <v>20</v>
      </c>
      <c r="D371" t="s">
        <v>3</v>
      </c>
      <c r="G371" t="s">
        <v>6189</v>
      </c>
      <c r="H371" t="s">
        <v>6190</v>
      </c>
      <c r="I371" t="s">
        <v>6191</v>
      </c>
      <c r="J371" t="s">
        <v>6189</v>
      </c>
      <c r="K371" t="s">
        <v>6192</v>
      </c>
      <c r="L371">
        <v>323</v>
      </c>
      <c r="O371" t="s">
        <v>6189</v>
      </c>
      <c r="P371" t="s">
        <v>3</v>
      </c>
      <c r="Q371">
        <v>1</v>
      </c>
    </row>
    <row r="372" spans="1:17" x14ac:dyDescent="0.25">
      <c r="A372">
        <v>4</v>
      </c>
      <c r="B372" t="s">
        <v>6193</v>
      </c>
      <c r="C372" t="s">
        <v>20</v>
      </c>
      <c r="D372" t="s">
        <v>3</v>
      </c>
      <c r="G372" t="s">
        <v>6194</v>
      </c>
      <c r="H372" t="s">
        <v>6195</v>
      </c>
      <c r="I372" t="s">
        <v>6196</v>
      </c>
      <c r="J372" t="s">
        <v>6194</v>
      </c>
      <c r="K372" t="s">
        <v>6197</v>
      </c>
      <c r="L372">
        <v>37</v>
      </c>
      <c r="O372" t="s">
        <v>6194</v>
      </c>
      <c r="P372" t="s">
        <v>3</v>
      </c>
      <c r="Q372">
        <v>1</v>
      </c>
    </row>
    <row r="373" spans="1:17" x14ac:dyDescent="0.25">
      <c r="A373">
        <v>3</v>
      </c>
      <c r="B373" t="s">
        <v>6198</v>
      </c>
      <c r="C373" t="s">
        <v>20</v>
      </c>
      <c r="D373" t="s">
        <v>3</v>
      </c>
      <c r="F373" t="s">
        <v>6199</v>
      </c>
      <c r="H373" t="s">
        <v>6200</v>
      </c>
      <c r="I373" t="s">
        <v>6201</v>
      </c>
      <c r="J373" t="s">
        <v>6199</v>
      </c>
      <c r="O373" t="s">
        <v>6199</v>
      </c>
      <c r="P373" t="s">
        <v>3</v>
      </c>
      <c r="Q373">
        <v>1</v>
      </c>
    </row>
    <row r="374" spans="1:17" x14ac:dyDescent="0.25">
      <c r="A374">
        <v>4</v>
      </c>
      <c r="B374" t="s">
        <v>6202</v>
      </c>
      <c r="C374" t="s">
        <v>20</v>
      </c>
      <c r="D374" t="s">
        <v>3</v>
      </c>
      <c r="G374">
        <v>272615</v>
      </c>
      <c r="H374" t="s">
        <v>6203</v>
      </c>
      <c r="I374" t="s">
        <v>6204</v>
      </c>
      <c r="J374">
        <v>272615</v>
      </c>
      <c r="K374" t="s">
        <v>6205</v>
      </c>
      <c r="L374">
        <v>5</v>
      </c>
      <c r="N374" t="s">
        <v>4713</v>
      </c>
      <c r="O374">
        <v>272615</v>
      </c>
      <c r="P374" t="s">
        <v>3</v>
      </c>
      <c r="Q374">
        <v>1</v>
      </c>
    </row>
    <row r="375" spans="1:17" x14ac:dyDescent="0.25">
      <c r="A375">
        <v>4</v>
      </c>
      <c r="B375" t="s">
        <v>6206</v>
      </c>
      <c r="C375" t="s">
        <v>20</v>
      </c>
      <c r="D375" t="s">
        <v>3</v>
      </c>
      <c r="G375" t="s">
        <v>6207</v>
      </c>
      <c r="H375" t="s">
        <v>6208</v>
      </c>
      <c r="I375" t="s">
        <v>6209</v>
      </c>
      <c r="J375" t="s">
        <v>6207</v>
      </c>
      <c r="K375" t="s">
        <v>6210</v>
      </c>
      <c r="L375">
        <v>17</v>
      </c>
      <c r="O375" t="s">
        <v>6207</v>
      </c>
      <c r="P375" t="s">
        <v>3</v>
      </c>
      <c r="Q375">
        <v>1</v>
      </c>
    </row>
    <row r="376" spans="1:17" x14ac:dyDescent="0.25">
      <c r="A376">
        <v>4</v>
      </c>
      <c r="B376" t="s">
        <v>6211</v>
      </c>
      <c r="C376" t="s">
        <v>20</v>
      </c>
      <c r="D376" t="s">
        <v>3</v>
      </c>
      <c r="G376" t="s">
        <v>6212</v>
      </c>
      <c r="H376" t="s">
        <v>6106</v>
      </c>
      <c r="I376" t="s">
        <v>6107</v>
      </c>
      <c r="J376" t="s">
        <v>6212</v>
      </c>
      <c r="K376" t="s">
        <v>6213</v>
      </c>
      <c r="L376">
        <v>10</v>
      </c>
      <c r="O376" t="s">
        <v>6212</v>
      </c>
      <c r="P376" t="s">
        <v>3</v>
      </c>
      <c r="Q376">
        <v>1</v>
      </c>
    </row>
    <row r="377" spans="1:17" x14ac:dyDescent="0.25">
      <c r="A377">
        <v>4</v>
      </c>
      <c r="B377" t="s">
        <v>6214</v>
      </c>
      <c r="C377" t="s">
        <v>20</v>
      </c>
      <c r="D377" t="s">
        <v>3</v>
      </c>
      <c r="G377" t="s">
        <v>6215</v>
      </c>
      <c r="H377" t="s">
        <v>6216</v>
      </c>
      <c r="I377" t="s">
        <v>6078</v>
      </c>
      <c r="J377" t="s">
        <v>6215</v>
      </c>
      <c r="K377" t="s">
        <v>6217</v>
      </c>
      <c r="L377">
        <v>33</v>
      </c>
      <c r="O377" t="s">
        <v>6215</v>
      </c>
      <c r="P377" t="s">
        <v>3</v>
      </c>
      <c r="Q377">
        <v>1</v>
      </c>
    </row>
    <row r="378" spans="1:17" x14ac:dyDescent="0.25">
      <c r="A378">
        <v>4</v>
      </c>
      <c r="B378" t="s">
        <v>6218</v>
      </c>
      <c r="C378" t="s">
        <v>20</v>
      </c>
      <c r="D378" t="s">
        <v>3</v>
      </c>
      <c r="G378" t="s">
        <v>6219</v>
      </c>
      <c r="H378" t="s">
        <v>6167</v>
      </c>
      <c r="I378" t="s">
        <v>6168</v>
      </c>
      <c r="J378" t="s">
        <v>6219</v>
      </c>
      <c r="K378" t="s">
        <v>6220</v>
      </c>
      <c r="L378">
        <v>1</v>
      </c>
      <c r="N378" t="s">
        <v>4734</v>
      </c>
      <c r="O378" t="s">
        <v>6219</v>
      </c>
      <c r="P378" t="s">
        <v>3</v>
      </c>
      <c r="Q378">
        <v>1</v>
      </c>
    </row>
    <row r="379" spans="1:17" x14ac:dyDescent="0.25">
      <c r="A379">
        <v>4</v>
      </c>
      <c r="B379" t="s">
        <v>6221</v>
      </c>
      <c r="C379" t="s">
        <v>20</v>
      </c>
      <c r="D379" t="s">
        <v>3</v>
      </c>
      <c r="G379" t="s">
        <v>6222</v>
      </c>
      <c r="H379" t="s">
        <v>6223</v>
      </c>
      <c r="I379" t="s">
        <v>6224</v>
      </c>
      <c r="J379" t="s">
        <v>6222</v>
      </c>
      <c r="K379" t="s">
        <v>6225</v>
      </c>
      <c r="L379">
        <v>34</v>
      </c>
      <c r="O379" t="s">
        <v>6222</v>
      </c>
      <c r="P379" t="s">
        <v>3</v>
      </c>
      <c r="Q379">
        <v>1</v>
      </c>
    </row>
    <row r="380" spans="1:17" x14ac:dyDescent="0.25">
      <c r="A380">
        <v>2</v>
      </c>
      <c r="B380" t="s">
        <v>6226</v>
      </c>
      <c r="C380" t="s">
        <v>20</v>
      </c>
      <c r="D380" t="s">
        <v>3</v>
      </c>
      <c r="E380" t="s">
        <v>742</v>
      </c>
      <c r="H380" t="s">
        <v>6227</v>
      </c>
      <c r="I380" t="s">
        <v>984</v>
      </c>
      <c r="J380" t="s">
        <v>742</v>
      </c>
      <c r="O380" t="s">
        <v>742</v>
      </c>
      <c r="P380" t="s">
        <v>3</v>
      </c>
      <c r="Q380">
        <v>1</v>
      </c>
    </row>
    <row r="381" spans="1:17" x14ac:dyDescent="0.25">
      <c r="A381">
        <v>3</v>
      </c>
      <c r="B381" t="s">
        <v>6228</v>
      </c>
      <c r="C381" t="s">
        <v>20</v>
      </c>
      <c r="D381" t="s">
        <v>3</v>
      </c>
      <c r="F381" t="s">
        <v>6229</v>
      </c>
      <c r="H381" t="s">
        <v>6230</v>
      </c>
      <c r="I381" t="s">
        <v>6231</v>
      </c>
      <c r="J381" t="s">
        <v>6229</v>
      </c>
      <c r="O381" t="s">
        <v>6229</v>
      </c>
      <c r="P381" t="s">
        <v>3</v>
      </c>
      <c r="Q381">
        <v>1</v>
      </c>
    </row>
    <row r="382" spans="1:17" x14ac:dyDescent="0.25">
      <c r="A382">
        <v>4</v>
      </c>
      <c r="B382" t="s">
        <v>6232</v>
      </c>
      <c r="C382" t="s">
        <v>20</v>
      </c>
      <c r="D382" t="s">
        <v>3</v>
      </c>
      <c r="G382">
        <v>22010</v>
      </c>
      <c r="H382" t="s">
        <v>6233</v>
      </c>
      <c r="I382" t="s">
        <v>6234</v>
      </c>
      <c r="J382">
        <v>22010</v>
      </c>
      <c r="K382" t="s">
        <v>6235</v>
      </c>
      <c r="L382">
        <v>1</v>
      </c>
      <c r="N382" t="s">
        <v>4734</v>
      </c>
      <c r="O382">
        <v>22010</v>
      </c>
      <c r="P382" t="s">
        <v>3</v>
      </c>
      <c r="Q382">
        <v>1</v>
      </c>
    </row>
    <row r="383" spans="1:17" x14ac:dyDescent="0.25">
      <c r="A383">
        <v>4</v>
      </c>
      <c r="B383" t="s">
        <v>6236</v>
      </c>
      <c r="C383" t="s">
        <v>20</v>
      </c>
      <c r="D383" t="s">
        <v>3</v>
      </c>
      <c r="G383">
        <v>22012</v>
      </c>
      <c r="H383" t="s">
        <v>6237</v>
      </c>
      <c r="I383" t="s">
        <v>6238</v>
      </c>
      <c r="J383">
        <v>22012</v>
      </c>
      <c r="K383" t="s">
        <v>6239</v>
      </c>
      <c r="L383">
        <v>12</v>
      </c>
      <c r="O383">
        <v>22012</v>
      </c>
      <c r="P383" t="s">
        <v>3</v>
      </c>
      <c r="Q383">
        <v>1</v>
      </c>
    </row>
    <row r="384" spans="1:17" x14ac:dyDescent="0.25">
      <c r="A384">
        <v>4</v>
      </c>
      <c r="B384" t="s">
        <v>6240</v>
      </c>
      <c r="C384" t="s">
        <v>20</v>
      </c>
      <c r="D384" t="s">
        <v>3</v>
      </c>
      <c r="G384">
        <v>272616</v>
      </c>
      <c r="H384" t="s">
        <v>6203</v>
      </c>
      <c r="I384" t="s">
        <v>6204</v>
      </c>
      <c r="J384">
        <v>272616</v>
      </c>
      <c r="K384" t="s">
        <v>6241</v>
      </c>
      <c r="L384">
        <v>7</v>
      </c>
      <c r="N384" t="s">
        <v>4713</v>
      </c>
      <c r="O384">
        <v>272616</v>
      </c>
      <c r="P384" t="s">
        <v>3</v>
      </c>
      <c r="Q384">
        <v>1</v>
      </c>
    </row>
    <row r="385" spans="1:17" x14ac:dyDescent="0.25">
      <c r="A385">
        <v>4</v>
      </c>
      <c r="B385" t="s">
        <v>6242</v>
      </c>
      <c r="C385" t="s">
        <v>20</v>
      </c>
      <c r="D385" t="s">
        <v>3</v>
      </c>
      <c r="G385">
        <v>37069</v>
      </c>
      <c r="H385" t="s">
        <v>6243</v>
      </c>
      <c r="I385" t="s">
        <v>6244</v>
      </c>
      <c r="J385">
        <v>37069</v>
      </c>
      <c r="K385" t="s">
        <v>6245</v>
      </c>
      <c r="L385">
        <v>73</v>
      </c>
      <c r="O385">
        <v>37069</v>
      </c>
      <c r="P385" t="s">
        <v>3</v>
      </c>
      <c r="Q385">
        <v>1</v>
      </c>
    </row>
    <row r="386" spans="1:17" x14ac:dyDescent="0.25">
      <c r="A386">
        <v>4</v>
      </c>
      <c r="B386" t="s">
        <v>6246</v>
      </c>
      <c r="C386" t="s">
        <v>20</v>
      </c>
      <c r="D386" t="s">
        <v>3</v>
      </c>
      <c r="G386" t="s">
        <v>6247</v>
      </c>
      <c r="H386" t="s">
        <v>6248</v>
      </c>
      <c r="I386" t="s">
        <v>6249</v>
      </c>
      <c r="J386" t="s">
        <v>6247</v>
      </c>
      <c r="K386" t="s">
        <v>6250</v>
      </c>
      <c r="L386">
        <v>42</v>
      </c>
      <c r="O386" t="s">
        <v>6247</v>
      </c>
      <c r="P386" t="s">
        <v>3</v>
      </c>
      <c r="Q386">
        <v>1</v>
      </c>
    </row>
    <row r="387" spans="1:17" x14ac:dyDescent="0.25">
      <c r="A387">
        <v>4</v>
      </c>
      <c r="B387" t="s">
        <v>6251</v>
      </c>
      <c r="C387" t="s">
        <v>20</v>
      </c>
      <c r="D387" t="s">
        <v>3</v>
      </c>
      <c r="G387" t="s">
        <v>6252</v>
      </c>
      <c r="H387" t="s">
        <v>6253</v>
      </c>
      <c r="I387" t="s">
        <v>6254</v>
      </c>
      <c r="J387" t="s">
        <v>6252</v>
      </c>
      <c r="K387" t="s">
        <v>6255</v>
      </c>
      <c r="L387">
        <v>11</v>
      </c>
      <c r="O387" t="s">
        <v>6252</v>
      </c>
      <c r="P387" t="s">
        <v>3</v>
      </c>
      <c r="Q387">
        <v>1</v>
      </c>
    </row>
    <row r="388" spans="1:17" x14ac:dyDescent="0.25">
      <c r="A388">
        <v>3</v>
      </c>
      <c r="B388" t="s">
        <v>6256</v>
      </c>
      <c r="C388" t="s">
        <v>20</v>
      </c>
      <c r="D388" t="s">
        <v>3</v>
      </c>
      <c r="F388" t="s">
        <v>6257</v>
      </c>
      <c r="H388" t="s">
        <v>6258</v>
      </c>
      <c r="I388" t="s">
        <v>6259</v>
      </c>
      <c r="J388" t="s">
        <v>6257</v>
      </c>
      <c r="O388" t="s">
        <v>6257</v>
      </c>
      <c r="P388" t="s">
        <v>3</v>
      </c>
      <c r="Q388">
        <v>1</v>
      </c>
    </row>
    <row r="389" spans="1:17" x14ac:dyDescent="0.25">
      <c r="A389">
        <v>4</v>
      </c>
      <c r="B389" t="s">
        <v>6260</v>
      </c>
      <c r="C389" t="s">
        <v>20</v>
      </c>
      <c r="D389" t="s">
        <v>3</v>
      </c>
      <c r="G389">
        <v>22014</v>
      </c>
      <c r="H389" t="s">
        <v>6261</v>
      </c>
      <c r="I389" t="s">
        <v>6262</v>
      </c>
      <c r="J389">
        <v>22014</v>
      </c>
      <c r="K389" t="s">
        <v>6263</v>
      </c>
      <c r="L389">
        <v>328</v>
      </c>
      <c r="O389">
        <v>22014</v>
      </c>
      <c r="P389" t="s">
        <v>3</v>
      </c>
      <c r="Q389">
        <v>1</v>
      </c>
    </row>
    <row r="390" spans="1:17" x14ac:dyDescent="0.25">
      <c r="A390">
        <v>4</v>
      </c>
      <c r="B390" t="s">
        <v>6264</v>
      </c>
      <c r="C390" t="s">
        <v>20</v>
      </c>
      <c r="D390" t="s">
        <v>3</v>
      </c>
      <c r="G390">
        <v>22016</v>
      </c>
      <c r="H390" t="s">
        <v>6265</v>
      </c>
      <c r="I390" t="s">
        <v>6266</v>
      </c>
      <c r="J390">
        <v>22016</v>
      </c>
      <c r="K390" t="s">
        <v>6267</v>
      </c>
      <c r="L390">
        <v>35</v>
      </c>
      <c r="O390">
        <v>22016</v>
      </c>
      <c r="P390" t="s">
        <v>3</v>
      </c>
      <c r="Q390">
        <v>1</v>
      </c>
    </row>
    <row r="391" spans="1:17" x14ac:dyDescent="0.25">
      <c r="A391">
        <v>4</v>
      </c>
      <c r="B391" t="s">
        <v>6268</v>
      </c>
      <c r="C391" t="s">
        <v>20</v>
      </c>
      <c r="D391" t="s">
        <v>3</v>
      </c>
      <c r="G391" t="s">
        <v>6269</v>
      </c>
      <c r="H391" t="s">
        <v>6270</v>
      </c>
      <c r="I391" t="s">
        <v>6271</v>
      </c>
      <c r="J391" t="s">
        <v>6269</v>
      </c>
      <c r="K391" t="s">
        <v>6272</v>
      </c>
      <c r="L391">
        <v>75</v>
      </c>
      <c r="O391" t="s">
        <v>6269</v>
      </c>
      <c r="P391" t="s">
        <v>3</v>
      </c>
      <c r="Q391">
        <v>1</v>
      </c>
    </row>
    <row r="392" spans="1:17" x14ac:dyDescent="0.25">
      <c r="A392">
        <v>3</v>
      </c>
      <c r="B392" t="s">
        <v>6273</v>
      </c>
      <c r="C392" t="s">
        <v>20</v>
      </c>
      <c r="D392" t="s">
        <v>3</v>
      </c>
      <c r="F392" t="s">
        <v>6274</v>
      </c>
      <c r="H392" t="s">
        <v>6275</v>
      </c>
      <c r="I392" t="s">
        <v>6276</v>
      </c>
      <c r="J392" t="s">
        <v>6274</v>
      </c>
      <c r="O392" t="s">
        <v>6274</v>
      </c>
      <c r="P392" t="s">
        <v>3</v>
      </c>
      <c r="Q392">
        <v>1</v>
      </c>
    </row>
    <row r="393" spans="1:17" x14ac:dyDescent="0.25">
      <c r="A393">
        <v>4</v>
      </c>
      <c r="B393" t="s">
        <v>6277</v>
      </c>
      <c r="C393" t="s">
        <v>20</v>
      </c>
      <c r="D393" t="s">
        <v>3</v>
      </c>
      <c r="G393">
        <v>22018</v>
      </c>
      <c r="H393" t="s">
        <v>6278</v>
      </c>
      <c r="I393" t="s">
        <v>6279</v>
      </c>
      <c r="J393">
        <v>22018</v>
      </c>
      <c r="K393" t="s">
        <v>6280</v>
      </c>
      <c r="L393">
        <v>24</v>
      </c>
      <c r="O393">
        <v>22018</v>
      </c>
      <c r="P393" t="s">
        <v>3</v>
      </c>
      <c r="Q393">
        <v>1</v>
      </c>
    </row>
    <row r="394" spans="1:17" x14ac:dyDescent="0.25">
      <c r="A394">
        <v>4</v>
      </c>
      <c r="B394" t="s">
        <v>6281</v>
      </c>
      <c r="C394" t="s">
        <v>20</v>
      </c>
      <c r="D394" t="s">
        <v>3</v>
      </c>
      <c r="G394" t="s">
        <v>6282</v>
      </c>
      <c r="H394" t="s">
        <v>6283</v>
      </c>
      <c r="I394" t="s">
        <v>6284</v>
      </c>
      <c r="J394" t="s">
        <v>6282</v>
      </c>
      <c r="K394" t="s">
        <v>6285</v>
      </c>
      <c r="L394">
        <v>54</v>
      </c>
      <c r="O394" t="s">
        <v>6282</v>
      </c>
      <c r="P394" t="s">
        <v>3</v>
      </c>
      <c r="Q394">
        <v>1</v>
      </c>
    </row>
    <row r="395" spans="1:17" x14ac:dyDescent="0.25">
      <c r="A395">
        <v>4</v>
      </c>
      <c r="B395" t="s">
        <v>6286</v>
      </c>
      <c r="C395" t="s">
        <v>20</v>
      </c>
      <c r="D395" t="s">
        <v>3</v>
      </c>
      <c r="G395" t="s">
        <v>6287</v>
      </c>
      <c r="H395" t="s">
        <v>6288</v>
      </c>
      <c r="I395" t="s">
        <v>6289</v>
      </c>
      <c r="J395" t="s">
        <v>6287</v>
      </c>
      <c r="K395" t="s">
        <v>6290</v>
      </c>
      <c r="L395">
        <v>11</v>
      </c>
      <c r="O395" t="s">
        <v>6287</v>
      </c>
      <c r="P395" t="s">
        <v>3</v>
      </c>
      <c r="Q395">
        <v>1</v>
      </c>
    </row>
    <row r="396" spans="1:17" x14ac:dyDescent="0.25">
      <c r="A396">
        <v>4</v>
      </c>
      <c r="B396" t="s">
        <v>6291</v>
      </c>
      <c r="C396" t="s">
        <v>20</v>
      </c>
      <c r="D396" t="s">
        <v>3</v>
      </c>
      <c r="G396" t="s">
        <v>6292</v>
      </c>
      <c r="H396" t="s">
        <v>6293</v>
      </c>
      <c r="I396" t="s">
        <v>6294</v>
      </c>
      <c r="J396" t="s">
        <v>6292</v>
      </c>
      <c r="K396" t="s">
        <v>6295</v>
      </c>
      <c r="L396">
        <v>4</v>
      </c>
      <c r="N396" t="s">
        <v>4713</v>
      </c>
      <c r="O396" t="s">
        <v>6292</v>
      </c>
      <c r="P396" t="s">
        <v>3</v>
      </c>
      <c r="Q396">
        <v>1</v>
      </c>
    </row>
    <row r="397" spans="1:17" x14ac:dyDescent="0.25">
      <c r="A397">
        <v>3</v>
      </c>
      <c r="B397" t="s">
        <v>6296</v>
      </c>
      <c r="C397" t="s">
        <v>20</v>
      </c>
      <c r="D397" t="s">
        <v>3</v>
      </c>
      <c r="F397" t="s">
        <v>6297</v>
      </c>
      <c r="H397" t="s">
        <v>6298</v>
      </c>
      <c r="I397" t="s">
        <v>6299</v>
      </c>
      <c r="J397" t="s">
        <v>6297</v>
      </c>
      <c r="O397" t="s">
        <v>6297</v>
      </c>
      <c r="P397" t="s">
        <v>3</v>
      </c>
      <c r="Q397">
        <v>1</v>
      </c>
    </row>
    <row r="398" spans="1:17" x14ac:dyDescent="0.25">
      <c r="A398">
        <v>4</v>
      </c>
      <c r="B398" t="s">
        <v>6300</v>
      </c>
      <c r="C398" t="s">
        <v>20</v>
      </c>
      <c r="D398" t="s">
        <v>3</v>
      </c>
      <c r="G398">
        <v>22020</v>
      </c>
      <c r="H398" t="s">
        <v>6301</v>
      </c>
      <c r="I398" t="s">
        <v>6302</v>
      </c>
      <c r="J398">
        <v>22020</v>
      </c>
      <c r="K398" t="s">
        <v>6303</v>
      </c>
      <c r="L398">
        <v>2</v>
      </c>
      <c r="N398" t="s">
        <v>4713</v>
      </c>
      <c r="O398">
        <v>22020</v>
      </c>
      <c r="P398" t="s">
        <v>3</v>
      </c>
      <c r="Q398">
        <v>1</v>
      </c>
    </row>
    <row r="399" spans="1:17" x14ac:dyDescent="0.25">
      <c r="A399">
        <v>4</v>
      </c>
      <c r="B399" t="s">
        <v>6304</v>
      </c>
      <c r="C399" t="s">
        <v>20</v>
      </c>
      <c r="D399" t="s">
        <v>3</v>
      </c>
      <c r="G399">
        <v>22022</v>
      </c>
      <c r="H399" t="s">
        <v>6305</v>
      </c>
      <c r="I399" t="s">
        <v>6306</v>
      </c>
      <c r="J399">
        <v>22022</v>
      </c>
      <c r="K399" t="s">
        <v>6307</v>
      </c>
      <c r="L399">
        <v>21</v>
      </c>
      <c r="O399">
        <v>22022</v>
      </c>
      <c r="P399" t="s">
        <v>3</v>
      </c>
      <c r="Q399">
        <v>1</v>
      </c>
    </row>
    <row r="400" spans="1:17" x14ac:dyDescent="0.25">
      <c r="A400">
        <v>4</v>
      </c>
      <c r="B400" t="s">
        <v>6308</v>
      </c>
      <c r="C400" t="s">
        <v>20</v>
      </c>
      <c r="D400" t="s">
        <v>3</v>
      </c>
      <c r="G400">
        <v>22024</v>
      </c>
      <c r="H400" t="s">
        <v>6309</v>
      </c>
      <c r="I400" t="s">
        <v>6310</v>
      </c>
      <c r="J400">
        <v>22024</v>
      </c>
      <c r="K400" t="s">
        <v>6311</v>
      </c>
      <c r="L400">
        <v>30</v>
      </c>
      <c r="O400">
        <v>22024</v>
      </c>
      <c r="P400" t="s">
        <v>3</v>
      </c>
      <c r="Q400">
        <v>1</v>
      </c>
    </row>
    <row r="401" spans="1:17" x14ac:dyDescent="0.25">
      <c r="A401">
        <v>4</v>
      </c>
      <c r="B401" t="s">
        <v>6312</v>
      </c>
      <c r="C401" t="s">
        <v>20</v>
      </c>
      <c r="D401" t="s">
        <v>3</v>
      </c>
      <c r="G401" t="s">
        <v>6313</v>
      </c>
      <c r="H401" t="s">
        <v>6314</v>
      </c>
      <c r="I401" t="s">
        <v>6315</v>
      </c>
      <c r="J401" t="s">
        <v>6313</v>
      </c>
      <c r="K401" t="s">
        <v>6316</v>
      </c>
      <c r="L401">
        <v>25</v>
      </c>
      <c r="O401" t="s">
        <v>6313</v>
      </c>
      <c r="P401" t="s">
        <v>3</v>
      </c>
      <c r="Q401">
        <v>1</v>
      </c>
    </row>
    <row r="402" spans="1:17" x14ac:dyDescent="0.25">
      <c r="A402">
        <v>4</v>
      </c>
      <c r="B402" t="s">
        <v>6317</v>
      </c>
      <c r="C402" t="s">
        <v>20</v>
      </c>
      <c r="D402" t="s">
        <v>3</v>
      </c>
      <c r="G402" t="s">
        <v>6318</v>
      </c>
      <c r="H402" t="s">
        <v>6319</v>
      </c>
      <c r="I402" t="s">
        <v>6320</v>
      </c>
      <c r="J402" t="s">
        <v>6318</v>
      </c>
      <c r="K402" t="s">
        <v>6321</v>
      </c>
      <c r="L402">
        <v>62</v>
      </c>
      <c r="O402" t="s">
        <v>6318</v>
      </c>
      <c r="P402" t="s">
        <v>3</v>
      </c>
      <c r="Q402">
        <v>1</v>
      </c>
    </row>
    <row r="403" spans="1:17" x14ac:dyDescent="0.25">
      <c r="A403">
        <v>3</v>
      </c>
      <c r="B403" t="s">
        <v>6322</v>
      </c>
      <c r="C403" t="s">
        <v>20</v>
      </c>
      <c r="D403" t="s">
        <v>3</v>
      </c>
      <c r="F403" t="s">
        <v>6323</v>
      </c>
      <c r="H403" t="s">
        <v>6324</v>
      </c>
      <c r="I403" t="s">
        <v>6325</v>
      </c>
      <c r="J403" t="s">
        <v>6323</v>
      </c>
      <c r="O403" t="s">
        <v>6323</v>
      </c>
      <c r="P403" t="s">
        <v>3</v>
      </c>
      <c r="Q403">
        <v>1</v>
      </c>
    </row>
    <row r="404" spans="1:17" x14ac:dyDescent="0.25">
      <c r="A404">
        <v>4</v>
      </c>
      <c r="B404" t="s">
        <v>6326</v>
      </c>
      <c r="C404" t="s">
        <v>20</v>
      </c>
      <c r="D404" t="s">
        <v>3</v>
      </c>
      <c r="G404" t="s">
        <v>6327</v>
      </c>
      <c r="H404" t="s">
        <v>6328</v>
      </c>
      <c r="I404" t="s">
        <v>6329</v>
      </c>
      <c r="J404" t="s">
        <v>6327</v>
      </c>
      <c r="K404" t="s">
        <v>6330</v>
      </c>
      <c r="L404">
        <v>8</v>
      </c>
      <c r="N404" t="s">
        <v>4713</v>
      </c>
      <c r="O404" t="s">
        <v>6327</v>
      </c>
      <c r="P404" t="s">
        <v>3</v>
      </c>
      <c r="Q404">
        <v>1</v>
      </c>
    </row>
    <row r="405" spans="1:17" x14ac:dyDescent="0.25">
      <c r="A405">
        <v>4</v>
      </c>
      <c r="B405" t="s">
        <v>6331</v>
      </c>
      <c r="C405" t="s">
        <v>20</v>
      </c>
      <c r="D405" t="s">
        <v>3</v>
      </c>
      <c r="G405" t="s">
        <v>6332</v>
      </c>
      <c r="H405" t="s">
        <v>6333</v>
      </c>
      <c r="I405" t="s">
        <v>6334</v>
      </c>
      <c r="J405" t="s">
        <v>6332</v>
      </c>
      <c r="K405" t="s">
        <v>6335</v>
      </c>
      <c r="L405">
        <v>96</v>
      </c>
      <c r="O405" t="s">
        <v>6332</v>
      </c>
      <c r="P405" t="s">
        <v>3</v>
      </c>
      <c r="Q405">
        <v>1</v>
      </c>
    </row>
    <row r="406" spans="1:17" x14ac:dyDescent="0.25">
      <c r="A406">
        <v>3</v>
      </c>
      <c r="B406" t="s">
        <v>6336</v>
      </c>
      <c r="C406" t="s">
        <v>20</v>
      </c>
      <c r="D406" t="s">
        <v>3</v>
      </c>
      <c r="F406" t="s">
        <v>6337</v>
      </c>
      <c r="H406" t="s">
        <v>6338</v>
      </c>
      <c r="I406" t="s">
        <v>6339</v>
      </c>
      <c r="J406" t="s">
        <v>6337</v>
      </c>
      <c r="O406" t="s">
        <v>6337</v>
      </c>
      <c r="P406" t="s">
        <v>3</v>
      </c>
      <c r="Q406">
        <v>1</v>
      </c>
    </row>
    <row r="407" spans="1:17" x14ac:dyDescent="0.25">
      <c r="A407">
        <v>4</v>
      </c>
      <c r="B407" t="s">
        <v>6340</v>
      </c>
      <c r="C407" t="s">
        <v>20</v>
      </c>
      <c r="D407" t="s">
        <v>3</v>
      </c>
      <c r="G407">
        <v>13691</v>
      </c>
      <c r="H407" t="s">
        <v>6341</v>
      </c>
      <c r="I407" t="s">
        <v>6342</v>
      </c>
      <c r="J407">
        <v>13691</v>
      </c>
      <c r="K407" t="s">
        <v>6343</v>
      </c>
      <c r="L407" t="s">
        <v>6344</v>
      </c>
      <c r="O407">
        <v>13691</v>
      </c>
      <c r="P407" t="s">
        <v>3</v>
      </c>
      <c r="Q407">
        <v>1</v>
      </c>
    </row>
    <row r="408" spans="1:17" x14ac:dyDescent="0.25">
      <c r="A408">
        <v>4</v>
      </c>
      <c r="B408" t="s">
        <v>6345</v>
      </c>
      <c r="C408" t="s">
        <v>20</v>
      </c>
      <c r="D408" t="s">
        <v>3</v>
      </c>
      <c r="G408">
        <v>13695</v>
      </c>
      <c r="H408" t="s">
        <v>6346</v>
      </c>
      <c r="I408" t="s">
        <v>6347</v>
      </c>
      <c r="J408">
        <v>13695</v>
      </c>
      <c r="K408" t="s">
        <v>6348</v>
      </c>
      <c r="L408">
        <v>723</v>
      </c>
      <c r="O408">
        <v>13695</v>
      </c>
      <c r="P408" t="s">
        <v>3</v>
      </c>
      <c r="Q408">
        <v>1</v>
      </c>
    </row>
    <row r="409" spans="1:17" x14ac:dyDescent="0.25">
      <c r="A409">
        <v>4</v>
      </c>
      <c r="B409" t="s">
        <v>6349</v>
      </c>
      <c r="C409" t="s">
        <v>20</v>
      </c>
      <c r="D409" t="s">
        <v>3</v>
      </c>
      <c r="G409">
        <v>13696</v>
      </c>
      <c r="H409" t="s">
        <v>6350</v>
      </c>
      <c r="I409" t="s">
        <v>6351</v>
      </c>
      <c r="J409">
        <v>13696</v>
      </c>
      <c r="K409" t="s">
        <v>6352</v>
      </c>
      <c r="L409">
        <v>348</v>
      </c>
      <c r="O409">
        <v>13696</v>
      </c>
      <c r="P409" t="s">
        <v>3</v>
      </c>
      <c r="Q409">
        <v>1</v>
      </c>
    </row>
    <row r="410" spans="1:17" x14ac:dyDescent="0.25">
      <c r="A410">
        <v>4</v>
      </c>
      <c r="B410" t="s">
        <v>6353</v>
      </c>
      <c r="C410" t="s">
        <v>20</v>
      </c>
      <c r="D410" t="s">
        <v>3</v>
      </c>
      <c r="G410">
        <v>14084</v>
      </c>
      <c r="H410" t="s">
        <v>6354</v>
      </c>
      <c r="I410" t="s">
        <v>6355</v>
      </c>
      <c r="J410">
        <v>14084</v>
      </c>
      <c r="K410" t="s">
        <v>6356</v>
      </c>
      <c r="L410" t="s">
        <v>6357</v>
      </c>
      <c r="O410">
        <v>14084</v>
      </c>
      <c r="P410" t="s">
        <v>3</v>
      </c>
      <c r="Q410">
        <v>1</v>
      </c>
    </row>
    <row r="411" spans="1:17" x14ac:dyDescent="0.25">
      <c r="A411">
        <v>4</v>
      </c>
      <c r="B411" t="s">
        <v>6358</v>
      </c>
      <c r="C411" t="s">
        <v>20</v>
      </c>
      <c r="D411" t="s">
        <v>3</v>
      </c>
      <c r="G411">
        <v>16666</v>
      </c>
      <c r="H411" t="s">
        <v>6359</v>
      </c>
      <c r="I411" t="s">
        <v>6360</v>
      </c>
      <c r="J411">
        <v>16666</v>
      </c>
      <c r="K411" t="s">
        <v>6361</v>
      </c>
      <c r="L411">
        <v>6</v>
      </c>
      <c r="N411" t="s">
        <v>4713</v>
      </c>
      <c r="O411">
        <v>16666</v>
      </c>
      <c r="P411" t="s">
        <v>3</v>
      </c>
      <c r="Q411">
        <v>1</v>
      </c>
    </row>
    <row r="412" spans="1:17" x14ac:dyDescent="0.25">
      <c r="A412">
        <v>4</v>
      </c>
      <c r="B412" t="s">
        <v>6362</v>
      </c>
      <c r="C412" t="s">
        <v>20</v>
      </c>
      <c r="D412" t="s">
        <v>3</v>
      </c>
      <c r="G412">
        <v>16668</v>
      </c>
      <c r="H412" t="s">
        <v>6363</v>
      </c>
      <c r="I412" t="s">
        <v>6364</v>
      </c>
      <c r="J412">
        <v>16668</v>
      </c>
      <c r="K412" t="s">
        <v>6365</v>
      </c>
      <c r="L412">
        <v>456</v>
      </c>
      <c r="O412">
        <v>16668</v>
      </c>
      <c r="P412" t="s">
        <v>3</v>
      </c>
      <c r="Q412">
        <v>1</v>
      </c>
    </row>
    <row r="413" spans="1:17" x14ac:dyDescent="0.25">
      <c r="A413">
        <v>4</v>
      </c>
      <c r="B413" t="s">
        <v>6366</v>
      </c>
      <c r="C413" t="s">
        <v>20</v>
      </c>
      <c r="D413" t="s">
        <v>3</v>
      </c>
      <c r="G413">
        <v>16672</v>
      </c>
      <c r="H413" t="s">
        <v>6367</v>
      </c>
      <c r="I413" t="s">
        <v>6368</v>
      </c>
      <c r="J413">
        <v>16672</v>
      </c>
      <c r="K413" t="s">
        <v>6369</v>
      </c>
      <c r="L413">
        <v>763</v>
      </c>
      <c r="O413">
        <v>16672</v>
      </c>
      <c r="P413" t="s">
        <v>3</v>
      </c>
      <c r="Q413">
        <v>1</v>
      </c>
    </row>
    <row r="414" spans="1:17" x14ac:dyDescent="0.25">
      <c r="A414">
        <v>3</v>
      </c>
      <c r="B414" t="s">
        <v>6370</v>
      </c>
      <c r="C414" t="s">
        <v>20</v>
      </c>
      <c r="D414" t="s">
        <v>3</v>
      </c>
      <c r="F414" t="s">
        <v>6371</v>
      </c>
      <c r="H414" t="s">
        <v>6372</v>
      </c>
      <c r="I414" t="s">
        <v>6373</v>
      </c>
      <c r="J414" t="s">
        <v>6371</v>
      </c>
      <c r="O414" t="s">
        <v>6371</v>
      </c>
      <c r="P414" t="s">
        <v>3</v>
      </c>
      <c r="Q414">
        <v>1</v>
      </c>
    </row>
    <row r="415" spans="1:17" x14ac:dyDescent="0.25">
      <c r="A415">
        <v>4</v>
      </c>
      <c r="B415" t="s">
        <v>6374</v>
      </c>
      <c r="C415" t="s">
        <v>20</v>
      </c>
      <c r="D415" t="s">
        <v>3</v>
      </c>
      <c r="G415" t="s">
        <v>6375</v>
      </c>
      <c r="H415" t="s">
        <v>6376</v>
      </c>
      <c r="I415" t="s">
        <v>6377</v>
      </c>
      <c r="J415" t="s">
        <v>6375</v>
      </c>
      <c r="K415" t="s">
        <v>6378</v>
      </c>
      <c r="L415">
        <v>118</v>
      </c>
      <c r="O415" t="s">
        <v>6375</v>
      </c>
      <c r="P415" t="s">
        <v>3</v>
      </c>
      <c r="Q415">
        <v>1</v>
      </c>
    </row>
    <row r="416" spans="1:17" x14ac:dyDescent="0.25">
      <c r="A416">
        <v>4</v>
      </c>
      <c r="B416" t="s">
        <v>6379</v>
      </c>
      <c r="C416" t="s">
        <v>20</v>
      </c>
      <c r="D416" t="s">
        <v>3</v>
      </c>
      <c r="G416" t="s">
        <v>6380</v>
      </c>
      <c r="H416" t="s">
        <v>6381</v>
      </c>
      <c r="I416" t="s">
        <v>6382</v>
      </c>
      <c r="J416" t="s">
        <v>6380</v>
      </c>
      <c r="K416" t="s">
        <v>6383</v>
      </c>
      <c r="L416">
        <v>226</v>
      </c>
      <c r="O416" t="s">
        <v>6380</v>
      </c>
      <c r="P416" t="s">
        <v>3</v>
      </c>
      <c r="Q416">
        <v>1</v>
      </c>
    </row>
    <row r="417" spans="1:17" x14ac:dyDescent="0.25">
      <c r="A417">
        <v>4</v>
      </c>
      <c r="B417" t="s">
        <v>6384</v>
      </c>
      <c r="C417" t="s">
        <v>20</v>
      </c>
      <c r="D417" t="s">
        <v>3</v>
      </c>
      <c r="G417" t="s">
        <v>6385</v>
      </c>
      <c r="H417" t="s">
        <v>6386</v>
      </c>
      <c r="I417" t="s">
        <v>6387</v>
      </c>
      <c r="J417" t="s">
        <v>6385</v>
      </c>
      <c r="K417" t="s">
        <v>6388</v>
      </c>
      <c r="L417">
        <v>13</v>
      </c>
      <c r="O417" t="s">
        <v>6385</v>
      </c>
      <c r="P417" t="s">
        <v>3</v>
      </c>
      <c r="Q417">
        <v>1</v>
      </c>
    </row>
    <row r="418" spans="1:17" x14ac:dyDescent="0.25">
      <c r="A418">
        <v>3</v>
      </c>
      <c r="B418" t="s">
        <v>6389</v>
      </c>
      <c r="C418" t="s">
        <v>20</v>
      </c>
      <c r="D418" t="s">
        <v>3</v>
      </c>
      <c r="F418" t="s">
        <v>6390</v>
      </c>
      <c r="H418" t="s">
        <v>6391</v>
      </c>
      <c r="I418" t="s">
        <v>6392</v>
      </c>
      <c r="J418" t="s">
        <v>6390</v>
      </c>
      <c r="O418" t="s">
        <v>6390</v>
      </c>
      <c r="P418" t="s">
        <v>3</v>
      </c>
      <c r="Q418">
        <v>1</v>
      </c>
    </row>
    <row r="419" spans="1:17" x14ac:dyDescent="0.25">
      <c r="A419">
        <v>4</v>
      </c>
      <c r="B419" t="s">
        <v>6393</v>
      </c>
      <c r="C419" t="s">
        <v>20</v>
      </c>
      <c r="D419" t="s">
        <v>3</v>
      </c>
      <c r="G419">
        <v>22026</v>
      </c>
      <c r="H419" t="s">
        <v>6394</v>
      </c>
      <c r="I419" t="s">
        <v>6395</v>
      </c>
      <c r="J419">
        <v>22026</v>
      </c>
      <c r="K419" t="s">
        <v>6396</v>
      </c>
      <c r="L419">
        <v>488</v>
      </c>
      <c r="O419">
        <v>22026</v>
      </c>
      <c r="P419" t="s">
        <v>3</v>
      </c>
      <c r="Q419">
        <v>1</v>
      </c>
    </row>
    <row r="420" spans="1:17" x14ac:dyDescent="0.25">
      <c r="A420">
        <v>4</v>
      </c>
      <c r="B420" t="s">
        <v>6397</v>
      </c>
      <c r="C420" t="s">
        <v>20</v>
      </c>
      <c r="D420" t="s">
        <v>3</v>
      </c>
      <c r="G420">
        <v>38165</v>
      </c>
      <c r="H420" t="s">
        <v>6398</v>
      </c>
      <c r="I420" t="s">
        <v>6399</v>
      </c>
      <c r="J420">
        <v>38165</v>
      </c>
      <c r="K420" t="s">
        <v>6400</v>
      </c>
      <c r="L420">
        <v>9</v>
      </c>
      <c r="N420" t="s">
        <v>4713</v>
      </c>
      <c r="O420">
        <v>38165</v>
      </c>
      <c r="P420" t="s">
        <v>3</v>
      </c>
      <c r="Q420">
        <v>1</v>
      </c>
    </row>
    <row r="421" spans="1:17" x14ac:dyDescent="0.25">
      <c r="A421">
        <v>4</v>
      </c>
      <c r="B421" t="s">
        <v>6401</v>
      </c>
      <c r="C421" t="s">
        <v>20</v>
      </c>
      <c r="D421" t="s">
        <v>3</v>
      </c>
      <c r="G421" t="s">
        <v>6402</v>
      </c>
      <c r="H421" t="s">
        <v>6403</v>
      </c>
      <c r="I421" t="s">
        <v>6404</v>
      </c>
      <c r="J421" t="s">
        <v>6402</v>
      </c>
      <c r="K421" t="s">
        <v>6405</v>
      </c>
      <c r="L421" t="s">
        <v>6406</v>
      </c>
      <c r="O421" t="s">
        <v>6402</v>
      </c>
      <c r="P421" t="s">
        <v>3</v>
      </c>
      <c r="Q421">
        <v>1</v>
      </c>
    </row>
    <row r="422" spans="1:17" x14ac:dyDescent="0.25">
      <c r="A422">
        <v>4</v>
      </c>
      <c r="B422" t="s">
        <v>6407</v>
      </c>
      <c r="C422" t="s">
        <v>20</v>
      </c>
      <c r="D422" t="s">
        <v>3</v>
      </c>
      <c r="G422" t="s">
        <v>6408</v>
      </c>
      <c r="H422" t="s">
        <v>6354</v>
      </c>
      <c r="I422" t="s">
        <v>6409</v>
      </c>
      <c r="J422" t="s">
        <v>6408</v>
      </c>
      <c r="K422" t="s">
        <v>6410</v>
      </c>
      <c r="L422">
        <v>272</v>
      </c>
      <c r="O422" t="s">
        <v>6408</v>
      </c>
      <c r="P422" t="s">
        <v>3</v>
      </c>
      <c r="Q422">
        <v>1</v>
      </c>
    </row>
    <row r="423" spans="1:17" x14ac:dyDescent="0.25">
      <c r="A423">
        <v>4</v>
      </c>
      <c r="B423" t="s">
        <v>6411</v>
      </c>
      <c r="C423" t="s">
        <v>20</v>
      </c>
      <c r="D423" t="s">
        <v>3</v>
      </c>
      <c r="G423" t="s">
        <v>6412</v>
      </c>
      <c r="H423" t="s">
        <v>6413</v>
      </c>
      <c r="I423" t="s">
        <v>6414</v>
      </c>
      <c r="J423" t="s">
        <v>6412</v>
      </c>
      <c r="K423" t="s">
        <v>6415</v>
      </c>
      <c r="L423" t="s">
        <v>6416</v>
      </c>
      <c r="O423" t="s">
        <v>6412</v>
      </c>
      <c r="P423" t="s">
        <v>3</v>
      </c>
      <c r="Q423">
        <v>1</v>
      </c>
    </row>
    <row r="424" spans="1:17" x14ac:dyDescent="0.25">
      <c r="A424">
        <v>4</v>
      </c>
      <c r="B424" t="s">
        <v>6417</v>
      </c>
      <c r="C424" t="s">
        <v>20</v>
      </c>
      <c r="D424" t="s">
        <v>3</v>
      </c>
      <c r="G424" t="s">
        <v>6418</v>
      </c>
      <c r="H424" t="s">
        <v>6419</v>
      </c>
      <c r="I424" t="s">
        <v>6420</v>
      </c>
      <c r="J424" t="s">
        <v>6418</v>
      </c>
      <c r="K424" t="s">
        <v>6421</v>
      </c>
      <c r="L424">
        <v>669</v>
      </c>
      <c r="O424" t="s">
        <v>6418</v>
      </c>
      <c r="P424" t="s">
        <v>3</v>
      </c>
      <c r="Q424">
        <v>1</v>
      </c>
    </row>
    <row r="425" spans="1:17" x14ac:dyDescent="0.25">
      <c r="A425">
        <v>4</v>
      </c>
      <c r="B425" t="s">
        <v>6422</v>
      </c>
      <c r="C425" t="s">
        <v>20</v>
      </c>
      <c r="D425" t="s">
        <v>3</v>
      </c>
      <c r="G425" t="s">
        <v>6423</v>
      </c>
      <c r="H425" t="s">
        <v>6424</v>
      </c>
      <c r="I425" t="s">
        <v>6425</v>
      </c>
      <c r="J425" t="s">
        <v>6423</v>
      </c>
      <c r="K425" t="s">
        <v>6426</v>
      </c>
      <c r="L425">
        <v>72</v>
      </c>
      <c r="O425" t="s">
        <v>6423</v>
      </c>
      <c r="P425" t="s">
        <v>3</v>
      </c>
      <c r="Q425">
        <v>1</v>
      </c>
    </row>
    <row r="426" spans="1:17" x14ac:dyDescent="0.25">
      <c r="A426">
        <v>3</v>
      </c>
      <c r="B426" t="s">
        <v>6427</v>
      </c>
      <c r="C426" t="s">
        <v>20</v>
      </c>
      <c r="D426" t="s">
        <v>3</v>
      </c>
      <c r="F426" t="s">
        <v>6428</v>
      </c>
      <c r="H426" t="s">
        <v>6429</v>
      </c>
      <c r="I426" t="s">
        <v>6430</v>
      </c>
      <c r="J426" t="s">
        <v>6428</v>
      </c>
      <c r="O426" t="s">
        <v>6428</v>
      </c>
      <c r="P426" t="s">
        <v>3</v>
      </c>
      <c r="Q426">
        <v>1</v>
      </c>
    </row>
    <row r="427" spans="1:17" x14ac:dyDescent="0.25">
      <c r="A427">
        <v>4</v>
      </c>
      <c r="B427" t="s">
        <v>6431</v>
      </c>
      <c r="C427" t="s">
        <v>20</v>
      </c>
      <c r="D427" t="s">
        <v>3</v>
      </c>
      <c r="G427">
        <v>22029</v>
      </c>
      <c r="H427" t="s">
        <v>6432</v>
      </c>
      <c r="I427" t="s">
        <v>6433</v>
      </c>
      <c r="J427">
        <v>22029</v>
      </c>
      <c r="K427" t="s">
        <v>6434</v>
      </c>
      <c r="L427">
        <v>98</v>
      </c>
      <c r="O427">
        <v>22029</v>
      </c>
      <c r="P427" t="s">
        <v>3</v>
      </c>
      <c r="Q427">
        <v>1</v>
      </c>
    </row>
    <row r="428" spans="1:17" x14ac:dyDescent="0.25">
      <c r="A428">
        <v>4</v>
      </c>
      <c r="B428" t="s">
        <v>6435</v>
      </c>
      <c r="C428" t="s">
        <v>20</v>
      </c>
      <c r="D428" t="s">
        <v>3</v>
      </c>
      <c r="G428">
        <v>39415</v>
      </c>
      <c r="H428" t="s">
        <v>6436</v>
      </c>
      <c r="I428" t="s">
        <v>6437</v>
      </c>
      <c r="J428">
        <v>39415</v>
      </c>
      <c r="K428" t="s">
        <v>6438</v>
      </c>
      <c r="L428">
        <v>481</v>
      </c>
      <c r="O428">
        <v>39415</v>
      </c>
      <c r="P428" t="s">
        <v>3</v>
      </c>
      <c r="Q428">
        <v>1</v>
      </c>
    </row>
    <row r="429" spans="1:17" x14ac:dyDescent="0.25">
      <c r="A429">
        <v>4</v>
      </c>
      <c r="B429" t="s">
        <v>6439</v>
      </c>
      <c r="C429" t="s">
        <v>20</v>
      </c>
      <c r="D429" t="s">
        <v>3</v>
      </c>
      <c r="G429" t="s">
        <v>6440</v>
      </c>
      <c r="H429" t="s">
        <v>6441</v>
      </c>
      <c r="I429" t="s">
        <v>6442</v>
      </c>
      <c r="J429" t="s">
        <v>6440</v>
      </c>
      <c r="K429" t="s">
        <v>6443</v>
      </c>
      <c r="L429">
        <v>58</v>
      </c>
      <c r="O429" t="s">
        <v>6440</v>
      </c>
      <c r="P429" t="s">
        <v>3</v>
      </c>
      <c r="Q429">
        <v>1</v>
      </c>
    </row>
    <row r="430" spans="1:17" x14ac:dyDescent="0.25">
      <c r="A430">
        <v>4</v>
      </c>
      <c r="B430" t="s">
        <v>6444</v>
      </c>
      <c r="C430" t="s">
        <v>20</v>
      </c>
      <c r="D430" t="s">
        <v>3</v>
      </c>
      <c r="G430" t="s">
        <v>6445</v>
      </c>
      <c r="H430" t="s">
        <v>6446</v>
      </c>
      <c r="I430" t="s">
        <v>6447</v>
      </c>
      <c r="J430" t="s">
        <v>6445</v>
      </c>
      <c r="K430" t="s">
        <v>6448</v>
      </c>
      <c r="L430">
        <v>30</v>
      </c>
      <c r="O430" t="s">
        <v>6445</v>
      </c>
      <c r="P430" t="s">
        <v>3</v>
      </c>
      <c r="Q430">
        <v>1</v>
      </c>
    </row>
    <row r="431" spans="1:17" x14ac:dyDescent="0.25">
      <c r="A431">
        <v>4</v>
      </c>
      <c r="B431" t="s">
        <v>6449</v>
      </c>
      <c r="C431" t="s">
        <v>20</v>
      </c>
      <c r="D431" t="s">
        <v>3</v>
      </c>
      <c r="G431" t="s">
        <v>6450</v>
      </c>
      <c r="H431" t="s">
        <v>6451</v>
      </c>
      <c r="I431" t="s">
        <v>6452</v>
      </c>
      <c r="J431" t="s">
        <v>6450</v>
      </c>
      <c r="K431" t="s">
        <v>6453</v>
      </c>
      <c r="L431">
        <v>228</v>
      </c>
      <c r="O431" t="s">
        <v>6450</v>
      </c>
      <c r="P431" t="s">
        <v>3</v>
      </c>
      <c r="Q431">
        <v>1</v>
      </c>
    </row>
    <row r="432" spans="1:17" x14ac:dyDescent="0.25">
      <c r="A432">
        <v>4</v>
      </c>
      <c r="B432" t="s">
        <v>6454</v>
      </c>
      <c r="C432" t="s">
        <v>20</v>
      </c>
      <c r="D432" t="s">
        <v>3</v>
      </c>
      <c r="G432" t="s">
        <v>6455</v>
      </c>
      <c r="H432" t="s">
        <v>6456</v>
      </c>
      <c r="I432" t="s">
        <v>6457</v>
      </c>
      <c r="J432" t="s">
        <v>6455</v>
      </c>
      <c r="K432" t="s">
        <v>6458</v>
      </c>
      <c r="L432">
        <v>290</v>
      </c>
      <c r="O432" t="s">
        <v>6455</v>
      </c>
      <c r="P432" t="s">
        <v>3</v>
      </c>
      <c r="Q432">
        <v>1</v>
      </c>
    </row>
    <row r="433" spans="1:17" x14ac:dyDescent="0.25">
      <c r="A433">
        <v>4</v>
      </c>
      <c r="B433" t="s">
        <v>6459</v>
      </c>
      <c r="C433" t="s">
        <v>20</v>
      </c>
      <c r="D433" t="s">
        <v>3</v>
      </c>
      <c r="G433" t="s">
        <v>6460</v>
      </c>
      <c r="H433" t="s">
        <v>6461</v>
      </c>
      <c r="I433" t="s">
        <v>6462</v>
      </c>
      <c r="J433" t="s">
        <v>6460</v>
      </c>
      <c r="K433" t="s">
        <v>6463</v>
      </c>
      <c r="L433">
        <v>86</v>
      </c>
      <c r="O433" t="s">
        <v>6460</v>
      </c>
      <c r="P433" t="s">
        <v>3</v>
      </c>
      <c r="Q433">
        <v>1</v>
      </c>
    </row>
    <row r="434" spans="1:17" x14ac:dyDescent="0.25">
      <c r="A434">
        <v>4</v>
      </c>
      <c r="B434" t="s">
        <v>6464</v>
      </c>
      <c r="C434" t="s">
        <v>20</v>
      </c>
      <c r="D434" t="s">
        <v>3</v>
      </c>
      <c r="G434" t="s">
        <v>6465</v>
      </c>
      <c r="H434" t="s">
        <v>6466</v>
      </c>
      <c r="I434" t="s">
        <v>6467</v>
      </c>
      <c r="J434" t="s">
        <v>6465</v>
      </c>
      <c r="K434" t="s">
        <v>6468</v>
      </c>
      <c r="L434">
        <v>12</v>
      </c>
      <c r="O434" t="s">
        <v>6465</v>
      </c>
      <c r="P434" t="s">
        <v>3</v>
      </c>
      <c r="Q434">
        <v>1</v>
      </c>
    </row>
    <row r="435" spans="1:17" x14ac:dyDescent="0.25">
      <c r="A435">
        <v>4</v>
      </c>
      <c r="B435" t="s">
        <v>6469</v>
      </c>
      <c r="C435" t="s">
        <v>20</v>
      </c>
      <c r="D435" t="s">
        <v>3</v>
      </c>
      <c r="G435" t="s">
        <v>6470</v>
      </c>
      <c r="H435" t="s">
        <v>6471</v>
      </c>
      <c r="I435" t="s">
        <v>6472</v>
      </c>
      <c r="J435" t="s">
        <v>6470</v>
      </c>
      <c r="K435" t="s">
        <v>6473</v>
      </c>
      <c r="L435">
        <v>95</v>
      </c>
      <c r="O435" t="s">
        <v>6470</v>
      </c>
      <c r="P435" t="s">
        <v>3</v>
      </c>
      <c r="Q435">
        <v>1</v>
      </c>
    </row>
    <row r="436" spans="1:17" x14ac:dyDescent="0.25">
      <c r="A436">
        <v>4</v>
      </c>
      <c r="B436" t="s">
        <v>6474</v>
      </c>
      <c r="C436" t="s">
        <v>20</v>
      </c>
      <c r="D436" t="s">
        <v>3</v>
      </c>
      <c r="G436" t="s">
        <v>6475</v>
      </c>
      <c r="H436" t="s">
        <v>6476</v>
      </c>
      <c r="I436" t="s">
        <v>6477</v>
      </c>
      <c r="J436" t="s">
        <v>6475</v>
      </c>
      <c r="K436" t="s">
        <v>6478</v>
      </c>
      <c r="L436">
        <v>341</v>
      </c>
      <c r="O436" t="s">
        <v>6475</v>
      </c>
      <c r="P436" t="s">
        <v>3</v>
      </c>
      <c r="Q436">
        <v>1</v>
      </c>
    </row>
    <row r="437" spans="1:17" x14ac:dyDescent="0.25">
      <c r="A437">
        <v>4</v>
      </c>
      <c r="B437" t="s">
        <v>6479</v>
      </c>
      <c r="C437" t="s">
        <v>20</v>
      </c>
      <c r="D437" t="s">
        <v>3</v>
      </c>
      <c r="G437" t="s">
        <v>6480</v>
      </c>
      <c r="H437" t="s">
        <v>6481</v>
      </c>
      <c r="I437" t="s">
        <v>6482</v>
      </c>
      <c r="J437" t="s">
        <v>6480</v>
      </c>
      <c r="K437" t="s">
        <v>6483</v>
      </c>
      <c r="L437">
        <v>4</v>
      </c>
      <c r="N437" t="s">
        <v>4713</v>
      </c>
      <c r="O437" t="s">
        <v>6480</v>
      </c>
      <c r="P437" t="s">
        <v>3</v>
      </c>
      <c r="Q437">
        <v>1</v>
      </c>
    </row>
    <row r="438" spans="1:17" x14ac:dyDescent="0.25">
      <c r="A438">
        <v>3</v>
      </c>
      <c r="B438" t="s">
        <v>6484</v>
      </c>
      <c r="C438" t="s">
        <v>20</v>
      </c>
      <c r="D438" t="s">
        <v>3</v>
      </c>
      <c r="F438" t="s">
        <v>6485</v>
      </c>
      <c r="H438" t="s">
        <v>6486</v>
      </c>
      <c r="I438" t="s">
        <v>6487</v>
      </c>
      <c r="J438" t="s">
        <v>6485</v>
      </c>
      <c r="O438" t="s">
        <v>6485</v>
      </c>
      <c r="P438" t="s">
        <v>3</v>
      </c>
      <c r="Q438">
        <v>1</v>
      </c>
    </row>
    <row r="439" spans="1:17" x14ac:dyDescent="0.25">
      <c r="A439">
        <v>4</v>
      </c>
      <c r="B439" t="s">
        <v>6488</v>
      </c>
      <c r="C439" t="s">
        <v>20</v>
      </c>
      <c r="D439" t="s">
        <v>3</v>
      </c>
      <c r="G439">
        <v>632705</v>
      </c>
      <c r="H439" t="s">
        <v>6489</v>
      </c>
      <c r="I439" t="s">
        <v>6490</v>
      </c>
      <c r="J439">
        <v>632705</v>
      </c>
      <c r="K439" t="s">
        <v>6491</v>
      </c>
      <c r="L439">
        <v>37</v>
      </c>
      <c r="O439">
        <v>632705</v>
      </c>
      <c r="P439" t="s">
        <v>3</v>
      </c>
      <c r="Q439">
        <v>1</v>
      </c>
    </row>
    <row r="440" spans="1:17" x14ac:dyDescent="0.25">
      <c r="A440">
        <v>3</v>
      </c>
      <c r="B440" t="s">
        <v>6492</v>
      </c>
      <c r="C440" t="s">
        <v>20</v>
      </c>
      <c r="D440" t="s">
        <v>3</v>
      </c>
      <c r="F440" t="s">
        <v>6493</v>
      </c>
      <c r="H440" t="s">
        <v>6494</v>
      </c>
      <c r="I440" t="s">
        <v>6495</v>
      </c>
      <c r="J440" t="s">
        <v>6493</v>
      </c>
      <c r="O440" t="s">
        <v>6493</v>
      </c>
      <c r="P440" t="s">
        <v>3</v>
      </c>
      <c r="Q440">
        <v>1</v>
      </c>
    </row>
    <row r="441" spans="1:17" x14ac:dyDescent="0.25">
      <c r="A441">
        <v>4</v>
      </c>
      <c r="B441" t="s">
        <v>6496</v>
      </c>
      <c r="C441" t="s">
        <v>20</v>
      </c>
      <c r="D441" t="s">
        <v>3</v>
      </c>
      <c r="G441">
        <v>166744</v>
      </c>
      <c r="H441" t="s">
        <v>5419</v>
      </c>
      <c r="I441" t="s">
        <v>6497</v>
      </c>
      <c r="J441">
        <v>166744</v>
      </c>
      <c r="K441" t="s">
        <v>6498</v>
      </c>
      <c r="L441">
        <v>2</v>
      </c>
      <c r="N441" t="s">
        <v>4713</v>
      </c>
      <c r="O441">
        <v>166744</v>
      </c>
      <c r="P441" t="s">
        <v>3</v>
      </c>
      <c r="Q441">
        <v>1</v>
      </c>
    </row>
    <row r="442" spans="1:17" x14ac:dyDescent="0.25">
      <c r="A442">
        <v>4</v>
      </c>
      <c r="B442" t="s">
        <v>6499</v>
      </c>
      <c r="C442" t="s">
        <v>20</v>
      </c>
      <c r="D442" t="s">
        <v>3</v>
      </c>
      <c r="G442" t="s">
        <v>6500</v>
      </c>
      <c r="H442" t="s">
        <v>6501</v>
      </c>
      <c r="I442" t="s">
        <v>6502</v>
      </c>
      <c r="J442" t="s">
        <v>6500</v>
      </c>
      <c r="K442" t="s">
        <v>6503</v>
      </c>
      <c r="L442">
        <v>170</v>
      </c>
      <c r="O442" t="s">
        <v>6500</v>
      </c>
      <c r="P442" t="s">
        <v>3</v>
      </c>
      <c r="Q442">
        <v>1</v>
      </c>
    </row>
    <row r="443" spans="1:17" x14ac:dyDescent="0.25">
      <c r="A443">
        <v>4</v>
      </c>
      <c r="B443" t="s">
        <v>6504</v>
      </c>
      <c r="C443" t="s">
        <v>20</v>
      </c>
      <c r="D443" t="s">
        <v>3</v>
      </c>
      <c r="G443" t="s">
        <v>6505</v>
      </c>
      <c r="H443" t="s">
        <v>6506</v>
      </c>
      <c r="I443" t="s">
        <v>6507</v>
      </c>
      <c r="J443" t="s">
        <v>6505</v>
      </c>
      <c r="K443" t="s">
        <v>6508</v>
      </c>
      <c r="L443">
        <v>175</v>
      </c>
      <c r="O443" t="s">
        <v>6505</v>
      </c>
      <c r="P443" t="s">
        <v>3</v>
      </c>
      <c r="Q443">
        <v>1</v>
      </c>
    </row>
    <row r="444" spans="1:17" x14ac:dyDescent="0.25">
      <c r="A444">
        <v>4</v>
      </c>
      <c r="B444" t="s">
        <v>6509</v>
      </c>
      <c r="C444" t="s">
        <v>20</v>
      </c>
      <c r="D444" t="s">
        <v>3</v>
      </c>
      <c r="G444" t="s">
        <v>6510</v>
      </c>
      <c r="H444" t="s">
        <v>6511</v>
      </c>
      <c r="I444" t="s">
        <v>6512</v>
      </c>
      <c r="J444" t="s">
        <v>6510</v>
      </c>
      <c r="K444" t="s">
        <v>6513</v>
      </c>
      <c r="L444">
        <v>127</v>
      </c>
      <c r="O444" t="s">
        <v>6510</v>
      </c>
      <c r="P444" t="s">
        <v>3</v>
      </c>
      <c r="Q444">
        <v>1</v>
      </c>
    </row>
    <row r="445" spans="1:17" x14ac:dyDescent="0.25">
      <c r="A445">
        <v>4</v>
      </c>
      <c r="B445" t="s">
        <v>6514</v>
      </c>
      <c r="C445" t="s">
        <v>20</v>
      </c>
      <c r="D445" t="s">
        <v>3</v>
      </c>
      <c r="G445" t="s">
        <v>6515</v>
      </c>
      <c r="H445" t="s">
        <v>6516</v>
      </c>
      <c r="I445" t="s">
        <v>6517</v>
      </c>
      <c r="J445" t="s">
        <v>6515</v>
      </c>
      <c r="K445" t="s">
        <v>6518</v>
      </c>
      <c r="L445">
        <v>4</v>
      </c>
      <c r="N445" t="s">
        <v>4713</v>
      </c>
      <c r="O445" t="s">
        <v>6515</v>
      </c>
      <c r="P445" t="s">
        <v>3</v>
      </c>
      <c r="Q445">
        <v>1</v>
      </c>
    </row>
    <row r="446" spans="1:17" x14ac:dyDescent="0.25">
      <c r="A446">
        <v>4</v>
      </c>
      <c r="B446" t="s">
        <v>6519</v>
      </c>
      <c r="C446" t="s">
        <v>20</v>
      </c>
      <c r="D446" t="s">
        <v>3</v>
      </c>
      <c r="G446" t="s">
        <v>6520</v>
      </c>
      <c r="H446" t="s">
        <v>6521</v>
      </c>
      <c r="I446" t="s">
        <v>6522</v>
      </c>
      <c r="J446" t="s">
        <v>6520</v>
      </c>
      <c r="K446" t="s">
        <v>6523</v>
      </c>
      <c r="L446">
        <v>45</v>
      </c>
      <c r="O446" t="s">
        <v>6520</v>
      </c>
      <c r="P446" t="s">
        <v>3</v>
      </c>
      <c r="Q446">
        <v>1</v>
      </c>
    </row>
    <row r="447" spans="1:17" x14ac:dyDescent="0.25">
      <c r="A447">
        <v>4</v>
      </c>
      <c r="B447" t="s">
        <v>6524</v>
      </c>
      <c r="C447" t="s">
        <v>20</v>
      </c>
      <c r="D447" t="s">
        <v>3</v>
      </c>
      <c r="G447" t="s">
        <v>6525</v>
      </c>
      <c r="H447" t="s">
        <v>6526</v>
      </c>
      <c r="I447" t="s">
        <v>6527</v>
      </c>
      <c r="J447" t="s">
        <v>6525</v>
      </c>
      <c r="K447" t="s">
        <v>6528</v>
      </c>
      <c r="L447">
        <v>85</v>
      </c>
      <c r="O447" t="s">
        <v>6525</v>
      </c>
      <c r="P447" t="s">
        <v>3</v>
      </c>
      <c r="Q447">
        <v>1</v>
      </c>
    </row>
    <row r="448" spans="1:17" x14ac:dyDescent="0.25">
      <c r="A448">
        <v>4</v>
      </c>
      <c r="B448" t="s">
        <v>6529</v>
      </c>
      <c r="C448" t="s">
        <v>20</v>
      </c>
      <c r="D448" t="s">
        <v>3</v>
      </c>
      <c r="G448" t="s">
        <v>6530</v>
      </c>
      <c r="H448" t="s">
        <v>6531</v>
      </c>
      <c r="I448" t="s">
        <v>6532</v>
      </c>
      <c r="J448" t="s">
        <v>6530</v>
      </c>
      <c r="K448" t="s">
        <v>6533</v>
      </c>
      <c r="L448">
        <v>162</v>
      </c>
      <c r="O448" t="s">
        <v>6530</v>
      </c>
      <c r="P448" t="s">
        <v>3</v>
      </c>
      <c r="Q448">
        <v>1</v>
      </c>
    </row>
    <row r="449" spans="1:17" x14ac:dyDescent="0.25">
      <c r="A449">
        <v>4</v>
      </c>
      <c r="B449" t="s">
        <v>6534</v>
      </c>
      <c r="C449" t="s">
        <v>20</v>
      </c>
      <c r="D449" t="s">
        <v>3</v>
      </c>
      <c r="G449" t="s">
        <v>6535</v>
      </c>
      <c r="H449" t="s">
        <v>6536</v>
      </c>
      <c r="I449" t="s">
        <v>6537</v>
      </c>
      <c r="J449" t="s">
        <v>6535</v>
      </c>
      <c r="K449" t="s">
        <v>6538</v>
      </c>
      <c r="L449">
        <v>3</v>
      </c>
      <c r="N449" t="s">
        <v>4713</v>
      </c>
      <c r="O449" t="s">
        <v>6535</v>
      </c>
      <c r="P449" t="s">
        <v>3</v>
      </c>
      <c r="Q449">
        <v>1</v>
      </c>
    </row>
    <row r="450" spans="1:17" x14ac:dyDescent="0.25">
      <c r="A450">
        <v>4</v>
      </c>
      <c r="B450" t="s">
        <v>6539</v>
      </c>
      <c r="C450" t="s">
        <v>20</v>
      </c>
      <c r="D450" t="s">
        <v>3</v>
      </c>
      <c r="G450" t="s">
        <v>6540</v>
      </c>
      <c r="H450" t="s">
        <v>6541</v>
      </c>
      <c r="I450" t="s">
        <v>6542</v>
      </c>
      <c r="J450" t="s">
        <v>6540</v>
      </c>
      <c r="K450" t="s">
        <v>6543</v>
      </c>
      <c r="L450">
        <v>19</v>
      </c>
      <c r="O450" t="s">
        <v>6540</v>
      </c>
      <c r="P450" t="s">
        <v>3</v>
      </c>
      <c r="Q450">
        <v>1</v>
      </c>
    </row>
    <row r="451" spans="1:17" x14ac:dyDescent="0.25">
      <c r="A451">
        <v>3</v>
      </c>
      <c r="B451" t="s">
        <v>6544</v>
      </c>
      <c r="C451" t="s">
        <v>20</v>
      </c>
      <c r="D451" t="s">
        <v>3</v>
      </c>
      <c r="F451" t="s">
        <v>6545</v>
      </c>
      <c r="H451" t="s">
        <v>6546</v>
      </c>
      <c r="I451" t="s">
        <v>6547</v>
      </c>
      <c r="J451" t="s">
        <v>6545</v>
      </c>
      <c r="O451" t="s">
        <v>6545</v>
      </c>
      <c r="P451" t="s">
        <v>3</v>
      </c>
      <c r="Q451">
        <v>1</v>
      </c>
    </row>
    <row r="452" spans="1:17" x14ac:dyDescent="0.25">
      <c r="A452">
        <v>4</v>
      </c>
      <c r="B452" t="s">
        <v>6548</v>
      </c>
      <c r="C452" t="s">
        <v>20</v>
      </c>
      <c r="D452" t="s">
        <v>3</v>
      </c>
      <c r="G452">
        <v>167501</v>
      </c>
      <c r="H452" t="s">
        <v>6549</v>
      </c>
      <c r="I452" t="s">
        <v>6550</v>
      </c>
      <c r="J452">
        <v>167501</v>
      </c>
      <c r="K452" t="s">
        <v>6551</v>
      </c>
      <c r="L452">
        <v>2</v>
      </c>
      <c r="N452" t="s">
        <v>4713</v>
      </c>
      <c r="O452">
        <v>167501</v>
      </c>
      <c r="P452" t="s">
        <v>3</v>
      </c>
      <c r="Q452">
        <v>1</v>
      </c>
    </row>
    <row r="453" spans="1:17" x14ac:dyDescent="0.25">
      <c r="A453">
        <v>4</v>
      </c>
      <c r="B453" t="s">
        <v>6552</v>
      </c>
      <c r="C453" t="s">
        <v>20</v>
      </c>
      <c r="D453" t="s">
        <v>3</v>
      </c>
      <c r="G453">
        <v>22087</v>
      </c>
      <c r="H453" t="s">
        <v>6553</v>
      </c>
      <c r="I453" t="s">
        <v>6554</v>
      </c>
      <c r="J453">
        <v>22087</v>
      </c>
      <c r="K453" t="s">
        <v>6555</v>
      </c>
      <c r="L453">
        <v>2</v>
      </c>
      <c r="N453" t="s">
        <v>4713</v>
      </c>
      <c r="O453">
        <v>22087</v>
      </c>
      <c r="P453" t="s">
        <v>3</v>
      </c>
      <c r="Q453">
        <v>1</v>
      </c>
    </row>
    <row r="454" spans="1:17" x14ac:dyDescent="0.25">
      <c r="A454">
        <v>4</v>
      </c>
      <c r="B454" t="s">
        <v>6556</v>
      </c>
      <c r="C454" t="s">
        <v>20</v>
      </c>
      <c r="D454" t="s">
        <v>3</v>
      </c>
      <c r="G454">
        <v>22089</v>
      </c>
      <c r="H454" t="s">
        <v>6557</v>
      </c>
      <c r="I454" t="s">
        <v>6558</v>
      </c>
      <c r="J454">
        <v>22089</v>
      </c>
      <c r="K454" t="s">
        <v>6559</v>
      </c>
      <c r="L454">
        <v>6</v>
      </c>
      <c r="N454" t="s">
        <v>4713</v>
      </c>
      <c r="O454">
        <v>22089</v>
      </c>
      <c r="P454" t="s">
        <v>3</v>
      </c>
      <c r="Q454">
        <v>1</v>
      </c>
    </row>
    <row r="455" spans="1:17" x14ac:dyDescent="0.25">
      <c r="A455">
        <v>4</v>
      </c>
      <c r="B455" t="s">
        <v>6560</v>
      </c>
      <c r="C455" t="s">
        <v>20</v>
      </c>
      <c r="D455" t="s">
        <v>3</v>
      </c>
      <c r="G455" t="s">
        <v>6561</v>
      </c>
      <c r="H455" t="s">
        <v>6562</v>
      </c>
      <c r="I455" t="s">
        <v>6563</v>
      </c>
      <c r="J455" t="s">
        <v>6561</v>
      </c>
      <c r="K455" t="s">
        <v>6564</v>
      </c>
      <c r="L455">
        <v>164</v>
      </c>
      <c r="O455" t="s">
        <v>6561</v>
      </c>
      <c r="P455" t="s">
        <v>3</v>
      </c>
      <c r="Q455">
        <v>1</v>
      </c>
    </row>
    <row r="456" spans="1:17" x14ac:dyDescent="0.25">
      <c r="A456">
        <v>4</v>
      </c>
      <c r="B456" t="s">
        <v>6565</v>
      </c>
      <c r="C456" t="s">
        <v>20</v>
      </c>
      <c r="D456" t="s">
        <v>3</v>
      </c>
      <c r="G456" t="s">
        <v>6566</v>
      </c>
      <c r="H456" t="s">
        <v>6567</v>
      </c>
      <c r="I456" t="s">
        <v>6568</v>
      </c>
      <c r="J456" t="s">
        <v>6566</v>
      </c>
      <c r="K456" t="s">
        <v>6569</v>
      </c>
      <c r="L456">
        <v>69</v>
      </c>
      <c r="O456" t="s">
        <v>6566</v>
      </c>
      <c r="P456" t="s">
        <v>3</v>
      </c>
      <c r="Q456">
        <v>1</v>
      </c>
    </row>
    <row r="457" spans="1:17" x14ac:dyDescent="0.25">
      <c r="A457">
        <v>4</v>
      </c>
      <c r="B457" t="s">
        <v>6570</v>
      </c>
      <c r="C457" t="s">
        <v>20</v>
      </c>
      <c r="D457" t="s">
        <v>3</v>
      </c>
      <c r="G457" t="s">
        <v>6571</v>
      </c>
      <c r="H457" t="s">
        <v>6572</v>
      </c>
      <c r="I457" t="s">
        <v>6573</v>
      </c>
      <c r="J457" t="s">
        <v>6571</v>
      </c>
      <c r="K457" t="s">
        <v>6574</v>
      </c>
      <c r="L457">
        <v>335</v>
      </c>
      <c r="O457" t="s">
        <v>6571</v>
      </c>
      <c r="P457" t="s">
        <v>3</v>
      </c>
      <c r="Q457">
        <v>1</v>
      </c>
    </row>
    <row r="458" spans="1:17" x14ac:dyDescent="0.25">
      <c r="A458">
        <v>4</v>
      </c>
      <c r="B458" t="s">
        <v>6575</v>
      </c>
      <c r="C458" t="s">
        <v>20</v>
      </c>
      <c r="D458" t="s">
        <v>3</v>
      </c>
      <c r="G458" t="s">
        <v>6576</v>
      </c>
      <c r="H458" t="s">
        <v>6577</v>
      </c>
      <c r="I458" t="s">
        <v>6578</v>
      </c>
      <c r="J458" t="s">
        <v>6576</v>
      </c>
      <c r="K458" t="s">
        <v>6579</v>
      </c>
      <c r="L458">
        <v>82</v>
      </c>
      <c r="O458" t="s">
        <v>6576</v>
      </c>
      <c r="P458" t="s">
        <v>3</v>
      </c>
      <c r="Q458">
        <v>1</v>
      </c>
    </row>
    <row r="459" spans="1:17" x14ac:dyDescent="0.25">
      <c r="A459">
        <v>4</v>
      </c>
      <c r="B459" t="s">
        <v>6580</v>
      </c>
      <c r="C459" t="s">
        <v>20</v>
      </c>
      <c r="D459" t="s">
        <v>3</v>
      </c>
      <c r="G459" t="s">
        <v>6581</v>
      </c>
      <c r="H459" t="s">
        <v>6582</v>
      </c>
      <c r="I459" t="s">
        <v>6583</v>
      </c>
      <c r="J459" t="s">
        <v>6581</v>
      </c>
      <c r="K459" t="s">
        <v>6584</v>
      </c>
      <c r="L459">
        <v>441</v>
      </c>
      <c r="O459" t="s">
        <v>6581</v>
      </c>
      <c r="P459" t="s">
        <v>3</v>
      </c>
      <c r="Q459">
        <v>1</v>
      </c>
    </row>
    <row r="460" spans="1:17" x14ac:dyDescent="0.25">
      <c r="A460">
        <v>4</v>
      </c>
      <c r="B460" t="s">
        <v>6585</v>
      </c>
      <c r="C460" t="s">
        <v>20</v>
      </c>
      <c r="D460" t="s">
        <v>3</v>
      </c>
      <c r="G460" t="s">
        <v>6586</v>
      </c>
      <c r="H460" t="s">
        <v>6587</v>
      </c>
      <c r="I460" t="s">
        <v>6588</v>
      </c>
      <c r="J460" t="s">
        <v>6586</v>
      </c>
      <c r="K460" t="s">
        <v>6589</v>
      </c>
      <c r="L460">
        <v>1</v>
      </c>
      <c r="N460" t="s">
        <v>4734</v>
      </c>
      <c r="O460" t="s">
        <v>6586</v>
      </c>
      <c r="P460" t="s">
        <v>3</v>
      </c>
      <c r="Q460">
        <v>1</v>
      </c>
    </row>
    <row r="461" spans="1:17" x14ac:dyDescent="0.25">
      <c r="A461">
        <v>2</v>
      </c>
      <c r="B461" t="s">
        <v>6590</v>
      </c>
      <c r="C461" t="s">
        <v>20</v>
      </c>
      <c r="D461" t="s">
        <v>3</v>
      </c>
      <c r="E461" t="s">
        <v>744</v>
      </c>
      <c r="H461" t="s">
        <v>844</v>
      </c>
      <c r="I461" t="s">
        <v>2518</v>
      </c>
      <c r="J461" t="s">
        <v>744</v>
      </c>
      <c r="O461" t="s">
        <v>744</v>
      </c>
      <c r="P461" t="s">
        <v>3</v>
      </c>
      <c r="Q461">
        <v>1</v>
      </c>
    </row>
    <row r="462" spans="1:17" x14ac:dyDescent="0.25">
      <c r="A462">
        <v>3</v>
      </c>
      <c r="B462" t="s">
        <v>6591</v>
      </c>
      <c r="C462" t="s">
        <v>20</v>
      </c>
      <c r="D462" t="s">
        <v>3</v>
      </c>
      <c r="F462" t="s">
        <v>6592</v>
      </c>
      <c r="H462" t="s">
        <v>6593</v>
      </c>
      <c r="I462" t="s">
        <v>6594</v>
      </c>
      <c r="J462" t="s">
        <v>6592</v>
      </c>
      <c r="O462" t="s">
        <v>6592</v>
      </c>
      <c r="P462" t="s">
        <v>3</v>
      </c>
      <c r="Q462">
        <v>1</v>
      </c>
    </row>
    <row r="463" spans="1:17" x14ac:dyDescent="0.25">
      <c r="A463">
        <v>4</v>
      </c>
      <c r="B463" t="s">
        <v>6595</v>
      </c>
      <c r="C463" t="s">
        <v>20</v>
      </c>
      <c r="D463" t="s">
        <v>3</v>
      </c>
      <c r="G463">
        <v>181571</v>
      </c>
      <c r="H463" t="s">
        <v>6596</v>
      </c>
      <c r="I463" t="s">
        <v>6597</v>
      </c>
      <c r="J463">
        <v>181571</v>
      </c>
      <c r="K463" t="s">
        <v>6598</v>
      </c>
      <c r="L463">
        <v>445</v>
      </c>
      <c r="O463">
        <v>181571</v>
      </c>
      <c r="P463" t="s">
        <v>3</v>
      </c>
      <c r="Q463">
        <v>1</v>
      </c>
    </row>
    <row r="464" spans="1:17" x14ac:dyDescent="0.25">
      <c r="A464">
        <v>4</v>
      </c>
      <c r="B464" t="s">
        <v>6599</v>
      </c>
      <c r="C464" t="s">
        <v>20</v>
      </c>
      <c r="D464" t="s">
        <v>3</v>
      </c>
      <c r="G464">
        <v>35489</v>
      </c>
      <c r="H464" t="s">
        <v>6600</v>
      </c>
      <c r="I464" t="s">
        <v>6601</v>
      </c>
      <c r="J464">
        <v>35489</v>
      </c>
      <c r="K464" t="s">
        <v>6602</v>
      </c>
      <c r="L464">
        <v>6</v>
      </c>
      <c r="N464" t="s">
        <v>4713</v>
      </c>
      <c r="O464">
        <v>35489</v>
      </c>
      <c r="P464" t="s">
        <v>3</v>
      </c>
      <c r="Q464">
        <v>1</v>
      </c>
    </row>
    <row r="465" spans="1:17" x14ac:dyDescent="0.25">
      <c r="A465">
        <v>4</v>
      </c>
      <c r="B465" t="s">
        <v>6603</v>
      </c>
      <c r="C465" t="s">
        <v>20</v>
      </c>
      <c r="D465" t="s">
        <v>3</v>
      </c>
      <c r="G465" t="s">
        <v>6604</v>
      </c>
      <c r="H465" t="s">
        <v>6605</v>
      </c>
      <c r="I465" t="s">
        <v>6606</v>
      </c>
      <c r="J465" t="s">
        <v>6604</v>
      </c>
      <c r="K465" t="s">
        <v>6607</v>
      </c>
      <c r="L465">
        <v>100</v>
      </c>
      <c r="O465" t="s">
        <v>6604</v>
      </c>
      <c r="P465" t="s">
        <v>3</v>
      </c>
      <c r="Q465">
        <v>1</v>
      </c>
    </row>
    <row r="466" spans="1:17" x14ac:dyDescent="0.25">
      <c r="A466">
        <v>4</v>
      </c>
      <c r="B466" t="s">
        <v>6608</v>
      </c>
      <c r="C466" t="s">
        <v>20</v>
      </c>
      <c r="D466" t="s">
        <v>3</v>
      </c>
      <c r="G466" t="s">
        <v>6609</v>
      </c>
      <c r="H466" t="s">
        <v>6610</v>
      </c>
      <c r="I466" t="s">
        <v>6611</v>
      </c>
      <c r="J466" t="s">
        <v>6609</v>
      </c>
      <c r="K466" t="s">
        <v>6612</v>
      </c>
      <c r="L466">
        <v>19</v>
      </c>
      <c r="O466" t="s">
        <v>6609</v>
      </c>
      <c r="P466" t="s">
        <v>3</v>
      </c>
      <c r="Q466">
        <v>1</v>
      </c>
    </row>
    <row r="467" spans="1:17" x14ac:dyDescent="0.25">
      <c r="A467">
        <v>4</v>
      </c>
      <c r="B467" t="s">
        <v>6613</v>
      </c>
      <c r="C467" t="s">
        <v>20</v>
      </c>
      <c r="D467" t="s">
        <v>3</v>
      </c>
      <c r="G467" t="s">
        <v>6614</v>
      </c>
      <c r="H467" t="s">
        <v>6615</v>
      </c>
      <c r="I467" t="s">
        <v>6616</v>
      </c>
      <c r="J467" t="s">
        <v>6614</v>
      </c>
      <c r="K467" t="s">
        <v>6617</v>
      </c>
      <c r="L467">
        <v>15</v>
      </c>
      <c r="O467" t="s">
        <v>6614</v>
      </c>
      <c r="P467" t="s">
        <v>3</v>
      </c>
      <c r="Q467">
        <v>1</v>
      </c>
    </row>
    <row r="468" spans="1:17" x14ac:dyDescent="0.25">
      <c r="A468">
        <v>4</v>
      </c>
      <c r="B468" t="s">
        <v>6618</v>
      </c>
      <c r="C468" t="s">
        <v>20</v>
      </c>
      <c r="D468" t="s">
        <v>3</v>
      </c>
      <c r="G468" t="s">
        <v>6619</v>
      </c>
      <c r="H468" t="s">
        <v>6620</v>
      </c>
      <c r="I468" t="s">
        <v>6621</v>
      </c>
      <c r="J468" t="s">
        <v>6619</v>
      </c>
      <c r="K468" t="s">
        <v>6622</v>
      </c>
      <c r="L468">
        <v>69</v>
      </c>
      <c r="O468" t="s">
        <v>6619</v>
      </c>
      <c r="P468" t="s">
        <v>3</v>
      </c>
      <c r="Q468">
        <v>1</v>
      </c>
    </row>
    <row r="469" spans="1:17" x14ac:dyDescent="0.25">
      <c r="A469">
        <v>4</v>
      </c>
      <c r="B469" t="s">
        <v>6623</v>
      </c>
      <c r="C469" t="s">
        <v>20</v>
      </c>
      <c r="D469" t="s">
        <v>3</v>
      </c>
      <c r="G469" t="s">
        <v>6624</v>
      </c>
      <c r="H469" t="s">
        <v>6625</v>
      </c>
      <c r="I469" t="s">
        <v>6626</v>
      </c>
      <c r="J469" t="s">
        <v>6624</v>
      </c>
      <c r="K469" t="s">
        <v>6627</v>
      </c>
      <c r="L469">
        <v>62</v>
      </c>
      <c r="O469" t="s">
        <v>6624</v>
      </c>
      <c r="P469" t="s">
        <v>3</v>
      </c>
      <c r="Q469">
        <v>1</v>
      </c>
    </row>
    <row r="470" spans="1:17" x14ac:dyDescent="0.25">
      <c r="A470">
        <v>4</v>
      </c>
      <c r="B470" t="s">
        <v>6628</v>
      </c>
      <c r="C470" t="s">
        <v>20</v>
      </c>
      <c r="D470" t="s">
        <v>3</v>
      </c>
      <c r="G470" t="s">
        <v>6629</v>
      </c>
      <c r="H470" t="s">
        <v>6630</v>
      </c>
      <c r="I470" t="s">
        <v>6631</v>
      </c>
      <c r="J470" t="s">
        <v>6629</v>
      </c>
      <c r="K470" t="s">
        <v>6632</v>
      </c>
      <c r="L470">
        <v>13</v>
      </c>
      <c r="O470" t="s">
        <v>6629</v>
      </c>
      <c r="P470" t="s">
        <v>3</v>
      </c>
      <c r="Q470">
        <v>1</v>
      </c>
    </row>
    <row r="471" spans="1:17" x14ac:dyDescent="0.25">
      <c r="A471">
        <v>4</v>
      </c>
      <c r="B471" t="s">
        <v>6633</v>
      </c>
      <c r="C471" t="s">
        <v>20</v>
      </c>
      <c r="D471" t="s">
        <v>3</v>
      </c>
      <c r="G471" t="s">
        <v>6634</v>
      </c>
      <c r="H471" t="s">
        <v>6635</v>
      </c>
      <c r="I471" t="s">
        <v>6636</v>
      </c>
      <c r="J471" t="s">
        <v>6634</v>
      </c>
      <c r="K471" t="s">
        <v>6637</v>
      </c>
      <c r="L471">
        <v>44</v>
      </c>
      <c r="O471" t="s">
        <v>6634</v>
      </c>
      <c r="P471" t="s">
        <v>3</v>
      </c>
      <c r="Q471">
        <v>1</v>
      </c>
    </row>
    <row r="472" spans="1:17" x14ac:dyDescent="0.25">
      <c r="A472">
        <v>4</v>
      </c>
      <c r="B472" t="s">
        <v>6638</v>
      </c>
      <c r="C472" t="s">
        <v>20</v>
      </c>
      <c r="D472" t="s">
        <v>3</v>
      </c>
      <c r="G472" t="s">
        <v>6639</v>
      </c>
      <c r="H472" t="s">
        <v>6640</v>
      </c>
      <c r="I472" t="s">
        <v>6641</v>
      </c>
      <c r="J472" t="s">
        <v>6639</v>
      </c>
      <c r="K472" t="s">
        <v>6642</v>
      </c>
      <c r="L472">
        <v>15</v>
      </c>
      <c r="O472" t="s">
        <v>6639</v>
      </c>
      <c r="P472" t="s">
        <v>3</v>
      </c>
      <c r="Q472">
        <v>1</v>
      </c>
    </row>
    <row r="473" spans="1:17" x14ac:dyDescent="0.25">
      <c r="A473">
        <v>4</v>
      </c>
      <c r="B473" t="s">
        <v>6643</v>
      </c>
      <c r="C473" t="s">
        <v>20</v>
      </c>
      <c r="D473" t="s">
        <v>3</v>
      </c>
      <c r="G473" t="s">
        <v>6644</v>
      </c>
      <c r="H473" t="s">
        <v>6645</v>
      </c>
      <c r="I473" t="s">
        <v>6646</v>
      </c>
      <c r="J473" t="s">
        <v>6644</v>
      </c>
      <c r="K473" t="s">
        <v>6647</v>
      </c>
      <c r="L473">
        <v>7</v>
      </c>
      <c r="N473" t="s">
        <v>4713</v>
      </c>
      <c r="O473" t="s">
        <v>6644</v>
      </c>
      <c r="P473" t="s">
        <v>3</v>
      </c>
      <c r="Q473">
        <v>1</v>
      </c>
    </row>
    <row r="474" spans="1:17" x14ac:dyDescent="0.25">
      <c r="A474">
        <v>4</v>
      </c>
      <c r="B474" t="s">
        <v>6648</v>
      </c>
      <c r="C474" t="s">
        <v>20</v>
      </c>
      <c r="D474" t="s">
        <v>3</v>
      </c>
      <c r="G474" t="s">
        <v>6649</v>
      </c>
      <c r="H474" t="s">
        <v>6650</v>
      </c>
      <c r="I474" t="s">
        <v>6651</v>
      </c>
      <c r="J474" t="s">
        <v>6649</v>
      </c>
      <c r="K474" t="s">
        <v>6652</v>
      </c>
      <c r="L474">
        <v>75</v>
      </c>
      <c r="O474" t="s">
        <v>6649</v>
      </c>
      <c r="P474" t="s">
        <v>3</v>
      </c>
      <c r="Q474">
        <v>1</v>
      </c>
    </row>
    <row r="475" spans="1:17" x14ac:dyDescent="0.25">
      <c r="A475">
        <v>4</v>
      </c>
      <c r="B475" t="s">
        <v>6653</v>
      </c>
      <c r="C475" t="s">
        <v>20</v>
      </c>
      <c r="D475" t="s">
        <v>3</v>
      </c>
      <c r="G475" t="s">
        <v>6654</v>
      </c>
      <c r="H475" t="s">
        <v>6655</v>
      </c>
      <c r="I475" t="s">
        <v>6656</v>
      </c>
      <c r="J475" t="s">
        <v>6654</v>
      </c>
      <c r="K475" t="s">
        <v>6657</v>
      </c>
      <c r="L475">
        <v>4</v>
      </c>
      <c r="N475" t="s">
        <v>4713</v>
      </c>
      <c r="O475" t="s">
        <v>6654</v>
      </c>
      <c r="P475" t="s">
        <v>3</v>
      </c>
      <c r="Q475">
        <v>1</v>
      </c>
    </row>
    <row r="476" spans="1:17" x14ac:dyDescent="0.25">
      <c r="A476">
        <v>3</v>
      </c>
      <c r="B476" t="s">
        <v>6658</v>
      </c>
      <c r="C476" t="s">
        <v>20</v>
      </c>
      <c r="D476" t="s">
        <v>3</v>
      </c>
      <c r="F476" t="s">
        <v>6659</v>
      </c>
      <c r="H476" t="s">
        <v>6660</v>
      </c>
      <c r="I476" t="s">
        <v>6661</v>
      </c>
      <c r="J476" t="s">
        <v>6659</v>
      </c>
      <c r="O476" t="s">
        <v>6659</v>
      </c>
      <c r="P476" t="s">
        <v>3</v>
      </c>
      <c r="Q476">
        <v>1</v>
      </c>
    </row>
    <row r="477" spans="1:17" x14ac:dyDescent="0.25">
      <c r="A477">
        <v>4</v>
      </c>
      <c r="B477" t="s">
        <v>6662</v>
      </c>
      <c r="C477" t="s">
        <v>20</v>
      </c>
      <c r="D477" t="s">
        <v>3</v>
      </c>
      <c r="G477" t="s">
        <v>6663</v>
      </c>
      <c r="H477" t="s">
        <v>6664</v>
      </c>
      <c r="I477" t="s">
        <v>6665</v>
      </c>
      <c r="J477" t="s">
        <v>6663</v>
      </c>
      <c r="K477" t="s">
        <v>6666</v>
      </c>
      <c r="L477">
        <v>100</v>
      </c>
      <c r="O477" t="s">
        <v>6663</v>
      </c>
      <c r="P477" t="s">
        <v>3</v>
      </c>
      <c r="Q477">
        <v>1</v>
      </c>
    </row>
    <row r="478" spans="1:17" x14ac:dyDescent="0.25">
      <c r="A478">
        <v>4</v>
      </c>
      <c r="B478" t="s">
        <v>6667</v>
      </c>
      <c r="C478" t="s">
        <v>20</v>
      </c>
      <c r="D478" t="s">
        <v>3</v>
      </c>
      <c r="G478" t="s">
        <v>6668</v>
      </c>
      <c r="H478" t="s">
        <v>6669</v>
      </c>
      <c r="I478" t="s">
        <v>6670</v>
      </c>
      <c r="J478" t="s">
        <v>6668</v>
      </c>
      <c r="K478" t="s">
        <v>6671</v>
      </c>
      <c r="L478">
        <v>89</v>
      </c>
      <c r="O478" t="s">
        <v>6668</v>
      </c>
      <c r="P478" t="s">
        <v>3</v>
      </c>
      <c r="Q478">
        <v>1</v>
      </c>
    </row>
    <row r="479" spans="1:17" x14ac:dyDescent="0.25">
      <c r="A479">
        <v>4</v>
      </c>
      <c r="B479" t="s">
        <v>6672</v>
      </c>
      <c r="C479" t="s">
        <v>20</v>
      </c>
      <c r="D479" t="s">
        <v>3</v>
      </c>
      <c r="G479" t="s">
        <v>6673</v>
      </c>
      <c r="H479" t="s">
        <v>6674</v>
      </c>
      <c r="I479" t="s">
        <v>6675</v>
      </c>
      <c r="J479" t="s">
        <v>6673</v>
      </c>
      <c r="K479" t="s">
        <v>6676</v>
      </c>
      <c r="L479">
        <v>4</v>
      </c>
      <c r="N479" t="s">
        <v>4713</v>
      </c>
      <c r="O479" t="s">
        <v>6673</v>
      </c>
      <c r="P479" t="s">
        <v>3</v>
      </c>
      <c r="Q479">
        <v>1</v>
      </c>
    </row>
    <row r="480" spans="1:17" x14ac:dyDescent="0.25">
      <c r="A480">
        <v>3</v>
      </c>
      <c r="B480" t="s">
        <v>6677</v>
      </c>
      <c r="C480" t="s">
        <v>20</v>
      </c>
      <c r="D480" t="s">
        <v>3</v>
      </c>
      <c r="F480" t="s">
        <v>6678</v>
      </c>
      <c r="H480" t="s">
        <v>12</v>
      </c>
      <c r="I480" t="s">
        <v>512</v>
      </c>
      <c r="J480" t="s">
        <v>6678</v>
      </c>
      <c r="O480" t="s">
        <v>6678</v>
      </c>
      <c r="P480" t="s">
        <v>3</v>
      </c>
      <c r="Q480">
        <v>2</v>
      </c>
    </row>
    <row r="481" spans="1:17" x14ac:dyDescent="0.25">
      <c r="A481">
        <v>4</v>
      </c>
      <c r="B481" t="s">
        <v>6679</v>
      </c>
      <c r="C481" t="s">
        <v>20</v>
      </c>
      <c r="D481" t="s">
        <v>3</v>
      </c>
      <c r="G481">
        <v>30912</v>
      </c>
      <c r="H481" t="s">
        <v>6680</v>
      </c>
      <c r="I481" t="s">
        <v>6681</v>
      </c>
      <c r="J481">
        <v>30912</v>
      </c>
      <c r="K481" t="s">
        <v>6682</v>
      </c>
      <c r="L481">
        <v>8</v>
      </c>
      <c r="N481" t="s">
        <v>4713</v>
      </c>
      <c r="O481">
        <v>30912</v>
      </c>
      <c r="P481" t="s">
        <v>3</v>
      </c>
      <c r="Q481">
        <v>1</v>
      </c>
    </row>
    <row r="482" spans="1:17" x14ac:dyDescent="0.25">
      <c r="A482">
        <v>4</v>
      </c>
      <c r="B482" t="s">
        <v>6683</v>
      </c>
      <c r="C482" t="s">
        <v>20</v>
      </c>
      <c r="D482" t="s">
        <v>3</v>
      </c>
      <c r="G482" t="s">
        <v>6684</v>
      </c>
      <c r="H482" t="s">
        <v>6685</v>
      </c>
      <c r="I482" t="s">
        <v>6686</v>
      </c>
      <c r="J482" t="s">
        <v>6684</v>
      </c>
      <c r="K482" t="s">
        <v>6687</v>
      </c>
      <c r="L482">
        <v>33</v>
      </c>
      <c r="O482" t="s">
        <v>6684</v>
      </c>
      <c r="P482" t="s">
        <v>3</v>
      </c>
      <c r="Q482">
        <v>1</v>
      </c>
    </row>
    <row r="483" spans="1:17" x14ac:dyDescent="0.25">
      <c r="A483">
        <v>4</v>
      </c>
      <c r="B483" t="s">
        <v>6688</v>
      </c>
      <c r="C483" t="s">
        <v>20</v>
      </c>
      <c r="D483" t="s">
        <v>3</v>
      </c>
      <c r="G483" t="s">
        <v>6689</v>
      </c>
      <c r="H483" t="s">
        <v>6690</v>
      </c>
      <c r="I483" t="s">
        <v>6691</v>
      </c>
      <c r="J483" t="s">
        <v>6689</v>
      </c>
      <c r="K483" t="s">
        <v>6692</v>
      </c>
      <c r="L483">
        <v>52</v>
      </c>
      <c r="O483" t="s">
        <v>6689</v>
      </c>
      <c r="P483" t="s">
        <v>3</v>
      </c>
      <c r="Q483">
        <v>1</v>
      </c>
    </row>
    <row r="484" spans="1:17" x14ac:dyDescent="0.25">
      <c r="A484">
        <v>4</v>
      </c>
      <c r="B484" t="s">
        <v>6693</v>
      </c>
      <c r="C484" t="s">
        <v>20</v>
      </c>
      <c r="D484" t="s">
        <v>3</v>
      </c>
      <c r="G484" t="s">
        <v>6694</v>
      </c>
      <c r="H484" t="s">
        <v>6695</v>
      </c>
      <c r="I484" t="s">
        <v>6696</v>
      </c>
      <c r="J484" t="s">
        <v>6694</v>
      </c>
      <c r="K484" t="s">
        <v>6697</v>
      </c>
      <c r="L484">
        <v>11</v>
      </c>
      <c r="O484" t="s">
        <v>6694</v>
      </c>
      <c r="P484" t="s">
        <v>3</v>
      </c>
      <c r="Q484">
        <v>1</v>
      </c>
    </row>
    <row r="485" spans="1:17" x14ac:dyDescent="0.25">
      <c r="A485">
        <v>3</v>
      </c>
      <c r="B485" t="s">
        <v>6698</v>
      </c>
      <c r="C485" t="s">
        <v>20</v>
      </c>
      <c r="D485" t="s">
        <v>3</v>
      </c>
      <c r="F485" t="s">
        <v>6699</v>
      </c>
      <c r="H485" t="s">
        <v>6700</v>
      </c>
      <c r="I485" t="s">
        <v>6701</v>
      </c>
      <c r="J485" t="s">
        <v>6699</v>
      </c>
      <c r="O485" t="s">
        <v>6699</v>
      </c>
      <c r="P485" t="s">
        <v>3</v>
      </c>
      <c r="Q485">
        <v>1</v>
      </c>
    </row>
    <row r="486" spans="1:17" x14ac:dyDescent="0.25">
      <c r="A486">
        <v>4</v>
      </c>
      <c r="B486" t="s">
        <v>6702</v>
      </c>
      <c r="C486" t="s">
        <v>20</v>
      </c>
      <c r="D486" t="s">
        <v>3</v>
      </c>
      <c r="G486">
        <v>272620</v>
      </c>
      <c r="H486" t="s">
        <v>6203</v>
      </c>
      <c r="I486" t="s">
        <v>6204</v>
      </c>
      <c r="J486">
        <v>272620</v>
      </c>
      <c r="K486" t="s">
        <v>6703</v>
      </c>
      <c r="L486">
        <v>3</v>
      </c>
      <c r="N486" t="s">
        <v>4713</v>
      </c>
      <c r="O486">
        <v>272620</v>
      </c>
      <c r="P486" t="s">
        <v>3</v>
      </c>
      <c r="Q486">
        <v>1</v>
      </c>
    </row>
    <row r="487" spans="1:17" x14ac:dyDescent="0.25">
      <c r="A487">
        <v>4</v>
      </c>
      <c r="B487" t="s">
        <v>6704</v>
      </c>
      <c r="C487" t="s">
        <v>20</v>
      </c>
      <c r="D487" t="s">
        <v>3</v>
      </c>
      <c r="G487" t="s">
        <v>6705</v>
      </c>
      <c r="H487" t="s">
        <v>6706</v>
      </c>
      <c r="I487" t="s">
        <v>6707</v>
      </c>
      <c r="J487" t="s">
        <v>6705</v>
      </c>
      <c r="K487" t="s">
        <v>6708</v>
      </c>
      <c r="L487">
        <v>33</v>
      </c>
      <c r="O487" t="s">
        <v>6705</v>
      </c>
      <c r="P487" t="s">
        <v>3</v>
      </c>
      <c r="Q487">
        <v>1</v>
      </c>
    </row>
    <row r="488" spans="1:17" x14ac:dyDescent="0.25">
      <c r="A488">
        <v>3</v>
      </c>
      <c r="B488" t="s">
        <v>6709</v>
      </c>
      <c r="C488" t="s">
        <v>20</v>
      </c>
      <c r="D488" t="s">
        <v>3</v>
      </c>
      <c r="F488" t="s">
        <v>6710</v>
      </c>
      <c r="H488" t="s">
        <v>6711</v>
      </c>
      <c r="I488" t="s">
        <v>6712</v>
      </c>
      <c r="J488" t="s">
        <v>6710</v>
      </c>
      <c r="O488" t="s">
        <v>6710</v>
      </c>
      <c r="P488" t="s">
        <v>3</v>
      </c>
      <c r="Q488">
        <v>1</v>
      </c>
    </row>
    <row r="489" spans="1:17" x14ac:dyDescent="0.25">
      <c r="A489">
        <v>4</v>
      </c>
      <c r="B489" t="s">
        <v>6713</v>
      </c>
      <c r="C489" t="s">
        <v>20</v>
      </c>
      <c r="D489" t="s">
        <v>3</v>
      </c>
      <c r="G489">
        <v>527038</v>
      </c>
      <c r="H489" t="s">
        <v>6714</v>
      </c>
      <c r="I489" t="s">
        <v>6715</v>
      </c>
      <c r="J489">
        <v>527038</v>
      </c>
      <c r="K489" t="s">
        <v>6716</v>
      </c>
      <c r="L489">
        <v>8</v>
      </c>
      <c r="N489" t="s">
        <v>4713</v>
      </c>
      <c r="O489">
        <v>527038</v>
      </c>
      <c r="P489" t="s">
        <v>3</v>
      </c>
      <c r="Q489">
        <v>1</v>
      </c>
    </row>
    <row r="490" spans="1:17" x14ac:dyDescent="0.25">
      <c r="A490">
        <v>4</v>
      </c>
      <c r="B490" t="s">
        <v>6717</v>
      </c>
      <c r="C490" t="s">
        <v>20</v>
      </c>
      <c r="D490" t="s">
        <v>3</v>
      </c>
      <c r="G490" t="s">
        <v>6718</v>
      </c>
      <c r="H490" t="s">
        <v>6719</v>
      </c>
      <c r="I490" t="s">
        <v>6720</v>
      </c>
      <c r="J490" t="s">
        <v>6718</v>
      </c>
      <c r="K490" t="s">
        <v>6721</v>
      </c>
      <c r="L490" t="s">
        <v>6722</v>
      </c>
      <c r="O490" t="s">
        <v>6718</v>
      </c>
      <c r="P490" t="s">
        <v>3</v>
      </c>
      <c r="Q490">
        <v>1</v>
      </c>
    </row>
    <row r="491" spans="1:17" x14ac:dyDescent="0.25">
      <c r="A491">
        <v>4</v>
      </c>
      <c r="B491" t="s">
        <v>6723</v>
      </c>
      <c r="C491" t="s">
        <v>20</v>
      </c>
      <c r="D491" t="s">
        <v>3</v>
      </c>
      <c r="G491" t="s">
        <v>6724</v>
      </c>
      <c r="H491" t="s">
        <v>6725</v>
      </c>
      <c r="I491" t="s">
        <v>6726</v>
      </c>
      <c r="J491" t="s">
        <v>6724</v>
      </c>
      <c r="K491" t="s">
        <v>6727</v>
      </c>
      <c r="L491">
        <v>493</v>
      </c>
      <c r="O491" t="s">
        <v>6724</v>
      </c>
      <c r="P491" t="s">
        <v>3</v>
      </c>
      <c r="Q491">
        <v>1</v>
      </c>
    </row>
    <row r="492" spans="1:17" x14ac:dyDescent="0.25">
      <c r="A492">
        <v>4</v>
      </c>
      <c r="B492" t="s">
        <v>6728</v>
      </c>
      <c r="C492" t="s">
        <v>20</v>
      </c>
      <c r="D492" t="s">
        <v>3</v>
      </c>
      <c r="G492" t="s">
        <v>6729</v>
      </c>
      <c r="H492" t="s">
        <v>6730</v>
      </c>
      <c r="I492" t="s">
        <v>6731</v>
      </c>
      <c r="J492" t="s">
        <v>6729</v>
      </c>
      <c r="K492" t="s">
        <v>6732</v>
      </c>
      <c r="L492">
        <v>251</v>
      </c>
      <c r="O492" t="s">
        <v>6729</v>
      </c>
      <c r="P492" t="s">
        <v>3</v>
      </c>
      <c r="Q492">
        <v>1</v>
      </c>
    </row>
    <row r="493" spans="1:17" x14ac:dyDescent="0.25">
      <c r="A493">
        <v>4</v>
      </c>
      <c r="B493" t="s">
        <v>6733</v>
      </c>
      <c r="C493" t="s">
        <v>20</v>
      </c>
      <c r="D493" t="s">
        <v>3</v>
      </c>
      <c r="G493" t="s">
        <v>6734</v>
      </c>
      <c r="H493" t="s">
        <v>6735</v>
      </c>
      <c r="I493" t="s">
        <v>6736</v>
      </c>
      <c r="J493" t="s">
        <v>6734</v>
      </c>
      <c r="K493" t="s">
        <v>6737</v>
      </c>
      <c r="L493">
        <v>114</v>
      </c>
      <c r="O493" t="s">
        <v>6734</v>
      </c>
      <c r="P493" t="s">
        <v>3</v>
      </c>
      <c r="Q493">
        <v>1</v>
      </c>
    </row>
    <row r="494" spans="1:17" x14ac:dyDescent="0.25">
      <c r="A494">
        <v>3</v>
      </c>
      <c r="B494" t="s">
        <v>6738</v>
      </c>
      <c r="C494" t="s">
        <v>20</v>
      </c>
      <c r="D494" t="s">
        <v>3</v>
      </c>
      <c r="F494" t="s">
        <v>6739</v>
      </c>
      <c r="H494" t="s">
        <v>6740</v>
      </c>
      <c r="I494" t="s">
        <v>6741</v>
      </c>
      <c r="J494" t="s">
        <v>6739</v>
      </c>
      <c r="O494" t="s">
        <v>6739</v>
      </c>
      <c r="P494" t="s">
        <v>3</v>
      </c>
      <c r="Q494">
        <v>1</v>
      </c>
    </row>
    <row r="495" spans="1:17" x14ac:dyDescent="0.25">
      <c r="A495">
        <v>4</v>
      </c>
      <c r="B495" t="s">
        <v>6742</v>
      </c>
      <c r="C495" t="s">
        <v>20</v>
      </c>
      <c r="D495" t="s">
        <v>3</v>
      </c>
      <c r="G495">
        <v>564740</v>
      </c>
      <c r="H495" t="s">
        <v>6743</v>
      </c>
      <c r="I495" t="s">
        <v>6744</v>
      </c>
      <c r="J495">
        <v>564740</v>
      </c>
      <c r="K495" t="s">
        <v>6745</v>
      </c>
      <c r="L495">
        <v>9</v>
      </c>
      <c r="N495" t="s">
        <v>4713</v>
      </c>
      <c r="O495">
        <v>564740</v>
      </c>
      <c r="P495" t="s">
        <v>3</v>
      </c>
      <c r="Q495">
        <v>1</v>
      </c>
    </row>
    <row r="496" spans="1:17" x14ac:dyDescent="0.25">
      <c r="A496">
        <v>4</v>
      </c>
      <c r="B496" t="s">
        <v>6746</v>
      </c>
      <c r="C496" t="s">
        <v>20</v>
      </c>
      <c r="D496" t="s">
        <v>3</v>
      </c>
      <c r="G496" t="s">
        <v>6747</v>
      </c>
      <c r="H496" t="s">
        <v>6748</v>
      </c>
      <c r="I496" t="s">
        <v>6749</v>
      </c>
      <c r="J496" t="s">
        <v>6747</v>
      </c>
      <c r="K496" t="s">
        <v>6750</v>
      </c>
      <c r="L496">
        <v>320</v>
      </c>
      <c r="O496" t="s">
        <v>6747</v>
      </c>
      <c r="P496" t="s">
        <v>3</v>
      </c>
      <c r="Q496">
        <v>1</v>
      </c>
    </row>
    <row r="497" spans="1:17" x14ac:dyDescent="0.25">
      <c r="A497">
        <v>4</v>
      </c>
      <c r="B497" t="s">
        <v>6751</v>
      </c>
      <c r="C497" t="s">
        <v>20</v>
      </c>
      <c r="D497" t="s">
        <v>3</v>
      </c>
      <c r="G497" t="s">
        <v>6752</v>
      </c>
      <c r="H497" t="s">
        <v>6753</v>
      </c>
      <c r="I497" t="s">
        <v>6754</v>
      </c>
      <c r="J497" t="s">
        <v>6752</v>
      </c>
      <c r="K497" t="s">
        <v>6755</v>
      </c>
      <c r="L497">
        <v>50</v>
      </c>
      <c r="O497" t="s">
        <v>6752</v>
      </c>
      <c r="P497" t="s">
        <v>3</v>
      </c>
      <c r="Q497">
        <v>1</v>
      </c>
    </row>
    <row r="498" spans="1:17" x14ac:dyDescent="0.25">
      <c r="A498">
        <v>4</v>
      </c>
      <c r="B498" t="s">
        <v>6756</v>
      </c>
      <c r="C498" t="s">
        <v>20</v>
      </c>
      <c r="D498" t="s">
        <v>3</v>
      </c>
      <c r="G498" t="s">
        <v>6757</v>
      </c>
      <c r="H498" t="s">
        <v>6758</v>
      </c>
      <c r="I498" t="s">
        <v>6759</v>
      </c>
      <c r="J498" t="s">
        <v>6757</v>
      </c>
      <c r="K498" t="s">
        <v>6760</v>
      </c>
      <c r="L498">
        <v>243</v>
      </c>
      <c r="O498" t="s">
        <v>6757</v>
      </c>
      <c r="P498" t="s">
        <v>3</v>
      </c>
      <c r="Q498">
        <v>1</v>
      </c>
    </row>
    <row r="499" spans="1:17" x14ac:dyDescent="0.25">
      <c r="A499">
        <v>4</v>
      </c>
      <c r="B499" t="s">
        <v>6761</v>
      </c>
      <c r="C499" t="s">
        <v>20</v>
      </c>
      <c r="D499" t="s">
        <v>3</v>
      </c>
      <c r="G499" t="s">
        <v>6762</v>
      </c>
      <c r="H499" t="s">
        <v>6763</v>
      </c>
      <c r="I499" t="s">
        <v>6764</v>
      </c>
      <c r="J499" t="s">
        <v>6762</v>
      </c>
      <c r="K499" t="s">
        <v>6765</v>
      </c>
      <c r="L499">
        <v>160</v>
      </c>
      <c r="O499" t="s">
        <v>6762</v>
      </c>
      <c r="P499" t="s">
        <v>3</v>
      </c>
      <c r="Q499">
        <v>1</v>
      </c>
    </row>
    <row r="500" spans="1:17" x14ac:dyDescent="0.25">
      <c r="A500">
        <v>4</v>
      </c>
      <c r="B500" t="s">
        <v>6766</v>
      </c>
      <c r="C500" t="s">
        <v>20</v>
      </c>
      <c r="D500" t="s">
        <v>3</v>
      </c>
      <c r="G500" t="s">
        <v>6767</v>
      </c>
      <c r="H500" t="s">
        <v>6768</v>
      </c>
      <c r="I500" t="s">
        <v>6769</v>
      </c>
      <c r="J500" t="s">
        <v>6767</v>
      </c>
      <c r="K500" t="s">
        <v>6770</v>
      </c>
      <c r="L500">
        <v>96</v>
      </c>
      <c r="O500" t="s">
        <v>6767</v>
      </c>
      <c r="P500" t="s">
        <v>3</v>
      </c>
      <c r="Q500">
        <v>1</v>
      </c>
    </row>
    <row r="501" spans="1:17" x14ac:dyDescent="0.25">
      <c r="A501">
        <v>4</v>
      </c>
      <c r="B501" t="s">
        <v>6771</v>
      </c>
      <c r="C501" t="s">
        <v>20</v>
      </c>
      <c r="D501" t="s">
        <v>3</v>
      </c>
      <c r="G501">
        <v>648625</v>
      </c>
      <c r="H501" t="s">
        <v>6772</v>
      </c>
      <c r="I501" t="s">
        <v>6773</v>
      </c>
      <c r="J501">
        <v>648625</v>
      </c>
      <c r="K501" t="s">
        <v>6774</v>
      </c>
      <c r="L501">
        <v>15</v>
      </c>
      <c r="O501">
        <v>648625</v>
      </c>
      <c r="P501" t="s">
        <v>3</v>
      </c>
      <c r="Q501">
        <v>1</v>
      </c>
    </row>
    <row r="502" spans="1:17" x14ac:dyDescent="0.25">
      <c r="A502">
        <v>4</v>
      </c>
      <c r="B502" t="s">
        <v>6775</v>
      </c>
      <c r="C502" t="s">
        <v>20</v>
      </c>
      <c r="D502" t="s">
        <v>3</v>
      </c>
      <c r="G502" t="s">
        <v>6776</v>
      </c>
      <c r="H502" t="s">
        <v>6777</v>
      </c>
      <c r="I502" t="s">
        <v>6778</v>
      </c>
      <c r="J502" t="s">
        <v>6776</v>
      </c>
      <c r="K502" t="s">
        <v>6779</v>
      </c>
      <c r="L502">
        <v>1</v>
      </c>
      <c r="N502" t="s">
        <v>4734</v>
      </c>
      <c r="O502" t="s">
        <v>6776</v>
      </c>
      <c r="P502" t="s">
        <v>3</v>
      </c>
      <c r="Q502">
        <v>1</v>
      </c>
    </row>
    <row r="503" spans="1:17" x14ac:dyDescent="0.25">
      <c r="A503">
        <v>2</v>
      </c>
      <c r="B503" t="s">
        <v>6780</v>
      </c>
      <c r="C503" t="s">
        <v>20</v>
      </c>
      <c r="D503" t="s">
        <v>3</v>
      </c>
      <c r="E503" t="s">
        <v>745</v>
      </c>
      <c r="H503" t="s">
        <v>845</v>
      </c>
      <c r="I503" t="s">
        <v>986</v>
      </c>
      <c r="J503" t="s">
        <v>745</v>
      </c>
      <c r="O503" t="s">
        <v>745</v>
      </c>
      <c r="P503" t="s">
        <v>3</v>
      </c>
      <c r="Q503">
        <v>1</v>
      </c>
    </row>
    <row r="504" spans="1:17" x14ac:dyDescent="0.25">
      <c r="A504">
        <v>3</v>
      </c>
      <c r="B504" t="s">
        <v>6781</v>
      </c>
      <c r="C504" t="s">
        <v>20</v>
      </c>
      <c r="D504" t="s">
        <v>3</v>
      </c>
      <c r="F504" t="s">
        <v>6782</v>
      </c>
      <c r="H504" t="s">
        <v>6783</v>
      </c>
      <c r="I504" t="s">
        <v>6784</v>
      </c>
      <c r="J504" t="s">
        <v>6782</v>
      </c>
      <c r="O504" t="s">
        <v>6782</v>
      </c>
      <c r="P504" t="s">
        <v>3</v>
      </c>
      <c r="Q504">
        <v>1</v>
      </c>
    </row>
    <row r="505" spans="1:17" x14ac:dyDescent="0.25">
      <c r="A505">
        <v>4</v>
      </c>
      <c r="B505" t="s">
        <v>6785</v>
      </c>
      <c r="C505" t="s">
        <v>20</v>
      </c>
      <c r="D505" t="s">
        <v>3</v>
      </c>
      <c r="G505">
        <v>14278</v>
      </c>
      <c r="H505" t="s">
        <v>6786</v>
      </c>
      <c r="I505" t="s">
        <v>6787</v>
      </c>
      <c r="J505">
        <v>14278</v>
      </c>
      <c r="K505" t="s">
        <v>6788</v>
      </c>
      <c r="L505">
        <v>289</v>
      </c>
      <c r="O505">
        <v>14278</v>
      </c>
      <c r="P505" t="s">
        <v>3</v>
      </c>
      <c r="Q505">
        <v>1</v>
      </c>
    </row>
    <row r="506" spans="1:17" x14ac:dyDescent="0.25">
      <c r="A506">
        <v>4</v>
      </c>
      <c r="B506" t="s">
        <v>6789</v>
      </c>
      <c r="C506" t="s">
        <v>20</v>
      </c>
      <c r="D506" t="s">
        <v>3</v>
      </c>
      <c r="G506">
        <v>14280</v>
      </c>
      <c r="H506" t="s">
        <v>6790</v>
      </c>
      <c r="I506" t="s">
        <v>6791</v>
      </c>
      <c r="J506">
        <v>14280</v>
      </c>
      <c r="K506" t="s">
        <v>6792</v>
      </c>
      <c r="L506">
        <v>40</v>
      </c>
      <c r="O506">
        <v>14280</v>
      </c>
      <c r="P506" t="s">
        <v>3</v>
      </c>
      <c r="Q506">
        <v>1</v>
      </c>
    </row>
    <row r="507" spans="1:17" x14ac:dyDescent="0.25">
      <c r="A507">
        <v>4</v>
      </c>
      <c r="B507" t="s">
        <v>6793</v>
      </c>
      <c r="C507" t="s">
        <v>20</v>
      </c>
      <c r="D507" t="s">
        <v>3</v>
      </c>
      <c r="G507">
        <v>14503</v>
      </c>
      <c r="H507" t="s">
        <v>6794</v>
      </c>
      <c r="I507" t="s">
        <v>6795</v>
      </c>
      <c r="J507">
        <v>14503</v>
      </c>
      <c r="K507" t="s">
        <v>6796</v>
      </c>
      <c r="L507">
        <v>6</v>
      </c>
      <c r="N507" t="s">
        <v>4713</v>
      </c>
      <c r="O507">
        <v>14503</v>
      </c>
      <c r="P507" t="s">
        <v>3</v>
      </c>
      <c r="Q507">
        <v>1</v>
      </c>
    </row>
    <row r="508" spans="1:17" x14ac:dyDescent="0.25">
      <c r="A508">
        <v>4</v>
      </c>
      <c r="B508" t="s">
        <v>6797</v>
      </c>
      <c r="C508" t="s">
        <v>20</v>
      </c>
      <c r="D508" t="s">
        <v>3</v>
      </c>
      <c r="G508">
        <v>318488</v>
      </c>
      <c r="H508" t="s">
        <v>6798</v>
      </c>
      <c r="I508" t="s">
        <v>6799</v>
      </c>
      <c r="J508">
        <v>318488</v>
      </c>
      <c r="K508" t="s">
        <v>6800</v>
      </c>
      <c r="L508">
        <v>14</v>
      </c>
      <c r="O508">
        <v>318488</v>
      </c>
      <c r="P508" t="s">
        <v>3</v>
      </c>
      <c r="Q508">
        <v>1</v>
      </c>
    </row>
    <row r="509" spans="1:17" x14ac:dyDescent="0.25">
      <c r="A509">
        <v>4</v>
      </c>
      <c r="B509" t="s">
        <v>6801</v>
      </c>
      <c r="C509" t="s">
        <v>20</v>
      </c>
      <c r="D509" t="s">
        <v>3</v>
      </c>
      <c r="G509" t="s">
        <v>6802</v>
      </c>
      <c r="H509" t="s">
        <v>6803</v>
      </c>
      <c r="I509" t="s">
        <v>6804</v>
      </c>
      <c r="J509" t="s">
        <v>6802</v>
      </c>
      <c r="K509" t="s">
        <v>6805</v>
      </c>
      <c r="L509">
        <v>73</v>
      </c>
      <c r="O509" t="s">
        <v>6802</v>
      </c>
      <c r="P509" t="s">
        <v>3</v>
      </c>
      <c r="Q509">
        <v>1</v>
      </c>
    </row>
    <row r="510" spans="1:17" x14ac:dyDescent="0.25">
      <c r="A510">
        <v>4</v>
      </c>
      <c r="B510" t="s">
        <v>6806</v>
      </c>
      <c r="C510" t="s">
        <v>20</v>
      </c>
      <c r="D510" t="s">
        <v>3</v>
      </c>
      <c r="G510" t="s">
        <v>6807</v>
      </c>
      <c r="H510" t="s">
        <v>6808</v>
      </c>
      <c r="I510" t="s">
        <v>6809</v>
      </c>
      <c r="J510" t="s">
        <v>6807</v>
      </c>
      <c r="K510" t="s">
        <v>6810</v>
      </c>
      <c r="L510">
        <v>108</v>
      </c>
      <c r="O510" t="s">
        <v>6807</v>
      </c>
      <c r="P510" t="s">
        <v>3</v>
      </c>
      <c r="Q510">
        <v>1</v>
      </c>
    </row>
    <row r="511" spans="1:17" x14ac:dyDescent="0.25">
      <c r="A511">
        <v>4</v>
      </c>
      <c r="B511" t="s">
        <v>6811</v>
      </c>
      <c r="C511" t="s">
        <v>20</v>
      </c>
      <c r="D511" t="s">
        <v>3</v>
      </c>
      <c r="G511" t="s">
        <v>6812</v>
      </c>
      <c r="H511" t="s">
        <v>6813</v>
      </c>
      <c r="I511" t="s">
        <v>6814</v>
      </c>
      <c r="J511" t="s">
        <v>6812</v>
      </c>
      <c r="K511" t="s">
        <v>6815</v>
      </c>
      <c r="L511">
        <v>16</v>
      </c>
      <c r="O511" t="s">
        <v>6812</v>
      </c>
      <c r="P511" t="s">
        <v>3</v>
      </c>
      <c r="Q511">
        <v>1</v>
      </c>
    </row>
    <row r="512" spans="1:17" x14ac:dyDescent="0.25">
      <c r="A512">
        <v>4</v>
      </c>
      <c r="B512" t="s">
        <v>6816</v>
      </c>
      <c r="C512" t="s">
        <v>20</v>
      </c>
      <c r="D512" t="s">
        <v>3</v>
      </c>
      <c r="G512" t="s">
        <v>6817</v>
      </c>
      <c r="H512" t="s">
        <v>6818</v>
      </c>
      <c r="I512" t="s">
        <v>6819</v>
      </c>
      <c r="J512" t="s">
        <v>6817</v>
      </c>
      <c r="K512" t="s">
        <v>6820</v>
      </c>
      <c r="L512">
        <v>188</v>
      </c>
      <c r="O512" t="s">
        <v>6817</v>
      </c>
      <c r="P512" t="s">
        <v>3</v>
      </c>
      <c r="Q512">
        <v>1</v>
      </c>
    </row>
    <row r="513" spans="1:17" x14ac:dyDescent="0.25">
      <c r="A513">
        <v>4</v>
      </c>
      <c r="B513" t="s">
        <v>6821</v>
      </c>
      <c r="C513" t="s">
        <v>20</v>
      </c>
      <c r="D513" t="s">
        <v>3</v>
      </c>
      <c r="G513" t="s">
        <v>6822</v>
      </c>
      <c r="H513" t="s">
        <v>6823</v>
      </c>
      <c r="I513" t="s">
        <v>6824</v>
      </c>
      <c r="J513" t="s">
        <v>6822</v>
      </c>
      <c r="K513" t="s">
        <v>6825</v>
      </c>
      <c r="L513">
        <v>1</v>
      </c>
      <c r="N513" t="s">
        <v>4734</v>
      </c>
      <c r="O513" t="s">
        <v>6822</v>
      </c>
      <c r="P513" t="s">
        <v>3</v>
      </c>
      <c r="Q513">
        <v>1</v>
      </c>
    </row>
    <row r="514" spans="1:17" x14ac:dyDescent="0.25">
      <c r="A514">
        <v>4</v>
      </c>
      <c r="B514" t="s">
        <v>6826</v>
      </c>
      <c r="C514" t="s">
        <v>20</v>
      </c>
      <c r="D514" t="s">
        <v>3</v>
      </c>
      <c r="G514" t="s">
        <v>6827</v>
      </c>
      <c r="H514" t="s">
        <v>6828</v>
      </c>
      <c r="I514" t="s">
        <v>6829</v>
      </c>
      <c r="J514" t="s">
        <v>6827</v>
      </c>
      <c r="K514" t="s">
        <v>6830</v>
      </c>
      <c r="L514">
        <v>73</v>
      </c>
      <c r="O514" t="s">
        <v>6827</v>
      </c>
      <c r="P514" t="s">
        <v>3</v>
      </c>
      <c r="Q514">
        <v>1</v>
      </c>
    </row>
    <row r="515" spans="1:17" x14ac:dyDescent="0.25">
      <c r="A515">
        <v>4</v>
      </c>
      <c r="B515" t="s">
        <v>6831</v>
      </c>
      <c r="C515" t="s">
        <v>20</v>
      </c>
      <c r="D515" t="s">
        <v>3</v>
      </c>
      <c r="G515" t="s">
        <v>6832</v>
      </c>
      <c r="H515" t="s">
        <v>6833</v>
      </c>
      <c r="I515" t="s">
        <v>6834</v>
      </c>
      <c r="J515" t="s">
        <v>6832</v>
      </c>
      <c r="K515" t="s">
        <v>6835</v>
      </c>
      <c r="L515">
        <v>12</v>
      </c>
      <c r="O515" t="s">
        <v>6832</v>
      </c>
      <c r="P515" t="s">
        <v>3</v>
      </c>
      <c r="Q515">
        <v>1</v>
      </c>
    </row>
    <row r="516" spans="1:17" x14ac:dyDescent="0.25">
      <c r="A516">
        <v>3</v>
      </c>
      <c r="B516" t="s">
        <v>6836</v>
      </c>
      <c r="C516" t="s">
        <v>20</v>
      </c>
      <c r="D516" t="s">
        <v>3</v>
      </c>
      <c r="F516" t="s">
        <v>6837</v>
      </c>
      <c r="H516" t="s">
        <v>6838</v>
      </c>
      <c r="I516" t="s">
        <v>6839</v>
      </c>
      <c r="J516" t="s">
        <v>6837</v>
      </c>
      <c r="O516" t="s">
        <v>6837</v>
      </c>
      <c r="P516" t="s">
        <v>3</v>
      </c>
      <c r="Q516">
        <v>1</v>
      </c>
    </row>
    <row r="517" spans="1:17" x14ac:dyDescent="0.25">
      <c r="A517">
        <v>4</v>
      </c>
      <c r="B517" t="s">
        <v>6840</v>
      </c>
      <c r="C517" t="s">
        <v>20</v>
      </c>
      <c r="D517" t="s">
        <v>3</v>
      </c>
      <c r="G517">
        <v>345630</v>
      </c>
      <c r="H517" t="s">
        <v>6841</v>
      </c>
      <c r="I517" t="s">
        <v>6842</v>
      </c>
      <c r="J517">
        <v>345630</v>
      </c>
      <c r="K517" t="s">
        <v>6843</v>
      </c>
      <c r="L517">
        <v>30</v>
      </c>
      <c r="O517">
        <v>345630</v>
      </c>
      <c r="P517" t="s">
        <v>3</v>
      </c>
      <c r="Q517">
        <v>1</v>
      </c>
    </row>
    <row r="518" spans="1:17" x14ac:dyDescent="0.25">
      <c r="A518">
        <v>4</v>
      </c>
      <c r="B518" t="s">
        <v>6844</v>
      </c>
      <c r="C518" t="s">
        <v>20</v>
      </c>
      <c r="D518" t="s">
        <v>3</v>
      </c>
      <c r="G518">
        <v>357855</v>
      </c>
      <c r="H518" t="s">
        <v>6845</v>
      </c>
      <c r="I518" t="s">
        <v>6846</v>
      </c>
      <c r="J518">
        <v>357855</v>
      </c>
      <c r="K518" t="s">
        <v>6847</v>
      </c>
      <c r="L518">
        <v>4</v>
      </c>
      <c r="N518" t="s">
        <v>4713</v>
      </c>
      <c r="O518">
        <v>357855</v>
      </c>
      <c r="P518" t="s">
        <v>3</v>
      </c>
      <c r="Q518">
        <v>1</v>
      </c>
    </row>
    <row r="519" spans="1:17" x14ac:dyDescent="0.25">
      <c r="A519">
        <v>4</v>
      </c>
      <c r="B519" t="s">
        <v>6848</v>
      </c>
      <c r="C519" t="s">
        <v>20</v>
      </c>
      <c r="D519" t="s">
        <v>3</v>
      </c>
      <c r="G519" t="s">
        <v>6849</v>
      </c>
      <c r="H519" t="s">
        <v>6850</v>
      </c>
      <c r="I519" t="s">
        <v>6851</v>
      </c>
      <c r="J519" t="s">
        <v>6849</v>
      </c>
      <c r="K519" t="s">
        <v>6852</v>
      </c>
      <c r="L519">
        <v>42</v>
      </c>
      <c r="O519" t="s">
        <v>6849</v>
      </c>
      <c r="P519" t="s">
        <v>3</v>
      </c>
      <c r="Q519">
        <v>1</v>
      </c>
    </row>
    <row r="520" spans="1:17" x14ac:dyDescent="0.25">
      <c r="A520">
        <v>4</v>
      </c>
      <c r="B520" t="s">
        <v>6853</v>
      </c>
      <c r="C520" t="s">
        <v>20</v>
      </c>
      <c r="D520" t="s">
        <v>3</v>
      </c>
      <c r="G520" t="s">
        <v>6854</v>
      </c>
      <c r="H520" t="s">
        <v>6855</v>
      </c>
      <c r="I520" t="s">
        <v>6856</v>
      </c>
      <c r="J520" t="s">
        <v>6854</v>
      </c>
      <c r="K520" t="s">
        <v>6857</v>
      </c>
      <c r="L520">
        <v>48</v>
      </c>
      <c r="O520" t="s">
        <v>6854</v>
      </c>
      <c r="P520" t="s">
        <v>3</v>
      </c>
      <c r="Q520">
        <v>1</v>
      </c>
    </row>
    <row r="521" spans="1:17" x14ac:dyDescent="0.25">
      <c r="A521">
        <v>4</v>
      </c>
      <c r="B521" t="s">
        <v>6858</v>
      </c>
      <c r="C521" t="s">
        <v>20</v>
      </c>
      <c r="D521" t="s">
        <v>3</v>
      </c>
      <c r="G521" t="s">
        <v>6859</v>
      </c>
      <c r="H521" t="s">
        <v>6860</v>
      </c>
      <c r="I521" t="s">
        <v>6861</v>
      </c>
      <c r="J521" t="s">
        <v>6859</v>
      </c>
      <c r="K521" t="s">
        <v>6862</v>
      </c>
      <c r="L521">
        <v>27</v>
      </c>
      <c r="O521" t="s">
        <v>6859</v>
      </c>
      <c r="P521" t="s">
        <v>3</v>
      </c>
      <c r="Q521">
        <v>1</v>
      </c>
    </row>
    <row r="522" spans="1:17" x14ac:dyDescent="0.25">
      <c r="A522">
        <v>4</v>
      </c>
      <c r="B522" t="s">
        <v>6863</v>
      </c>
      <c r="C522" t="s">
        <v>20</v>
      </c>
      <c r="D522" t="s">
        <v>3</v>
      </c>
      <c r="G522" t="s">
        <v>6864</v>
      </c>
      <c r="H522" t="s">
        <v>6865</v>
      </c>
      <c r="I522" t="s">
        <v>6866</v>
      </c>
      <c r="J522" t="s">
        <v>6864</v>
      </c>
      <c r="K522" t="s">
        <v>6867</v>
      </c>
      <c r="L522">
        <v>19</v>
      </c>
      <c r="O522" t="s">
        <v>6864</v>
      </c>
      <c r="P522" t="s">
        <v>3</v>
      </c>
      <c r="Q522">
        <v>1</v>
      </c>
    </row>
    <row r="523" spans="1:17" x14ac:dyDescent="0.25">
      <c r="A523">
        <v>4</v>
      </c>
      <c r="B523" t="s">
        <v>6868</v>
      </c>
      <c r="C523" t="s">
        <v>20</v>
      </c>
      <c r="D523" t="s">
        <v>3</v>
      </c>
      <c r="G523" t="s">
        <v>6869</v>
      </c>
      <c r="H523" t="s">
        <v>6870</v>
      </c>
      <c r="I523" t="s">
        <v>6871</v>
      </c>
      <c r="J523" t="s">
        <v>6869</v>
      </c>
      <c r="K523" t="s">
        <v>6872</v>
      </c>
      <c r="L523">
        <v>93</v>
      </c>
      <c r="O523" t="s">
        <v>6869</v>
      </c>
      <c r="P523" t="s">
        <v>3</v>
      </c>
      <c r="Q523">
        <v>1</v>
      </c>
    </row>
    <row r="524" spans="1:17" x14ac:dyDescent="0.25">
      <c r="A524">
        <v>4</v>
      </c>
      <c r="B524" t="s">
        <v>6873</v>
      </c>
      <c r="C524" t="s">
        <v>20</v>
      </c>
      <c r="D524" t="s">
        <v>3</v>
      </c>
      <c r="G524" t="s">
        <v>6874</v>
      </c>
      <c r="H524" t="s">
        <v>6875</v>
      </c>
      <c r="I524" t="s">
        <v>6876</v>
      </c>
      <c r="J524" t="s">
        <v>6874</v>
      </c>
      <c r="K524" t="s">
        <v>6877</v>
      </c>
      <c r="L524">
        <v>57</v>
      </c>
      <c r="O524" t="s">
        <v>6874</v>
      </c>
      <c r="P524" t="s">
        <v>3</v>
      </c>
      <c r="Q524">
        <v>1</v>
      </c>
    </row>
    <row r="525" spans="1:17" x14ac:dyDescent="0.25">
      <c r="A525">
        <v>3</v>
      </c>
      <c r="B525" t="s">
        <v>6878</v>
      </c>
      <c r="C525" t="s">
        <v>20</v>
      </c>
      <c r="D525" t="s">
        <v>3</v>
      </c>
      <c r="F525" t="s">
        <v>6879</v>
      </c>
      <c r="H525" t="s">
        <v>6880</v>
      </c>
      <c r="I525" t="s">
        <v>6881</v>
      </c>
      <c r="J525" t="s">
        <v>6879</v>
      </c>
      <c r="O525" t="s">
        <v>6879</v>
      </c>
      <c r="P525" t="s">
        <v>3</v>
      </c>
      <c r="Q525">
        <v>1</v>
      </c>
    </row>
    <row r="526" spans="1:17" x14ac:dyDescent="0.25">
      <c r="A526">
        <v>4</v>
      </c>
      <c r="B526" t="s">
        <v>6882</v>
      </c>
      <c r="C526" t="s">
        <v>20</v>
      </c>
      <c r="D526" t="s">
        <v>3</v>
      </c>
      <c r="G526">
        <v>316834</v>
      </c>
      <c r="H526" t="s">
        <v>6883</v>
      </c>
      <c r="I526" t="s">
        <v>6884</v>
      </c>
      <c r="J526">
        <v>316834</v>
      </c>
      <c r="K526" t="s">
        <v>6885</v>
      </c>
      <c r="L526">
        <v>6</v>
      </c>
      <c r="N526" t="s">
        <v>4713</v>
      </c>
      <c r="O526">
        <v>316834</v>
      </c>
      <c r="P526" t="s">
        <v>3</v>
      </c>
      <c r="Q526">
        <v>1</v>
      </c>
    </row>
    <row r="527" spans="1:17" x14ac:dyDescent="0.25">
      <c r="A527">
        <v>4</v>
      </c>
      <c r="B527" t="s">
        <v>6886</v>
      </c>
      <c r="C527" t="s">
        <v>20</v>
      </c>
      <c r="D527" t="s">
        <v>3</v>
      </c>
      <c r="G527">
        <v>316838</v>
      </c>
      <c r="H527" t="s">
        <v>6887</v>
      </c>
      <c r="I527" t="s">
        <v>6888</v>
      </c>
      <c r="J527">
        <v>316838</v>
      </c>
      <c r="K527" t="s">
        <v>6889</v>
      </c>
      <c r="L527">
        <v>3</v>
      </c>
      <c r="N527" t="s">
        <v>4713</v>
      </c>
      <c r="O527">
        <v>316838</v>
      </c>
      <c r="P527" t="s">
        <v>3</v>
      </c>
      <c r="Q527">
        <v>1</v>
      </c>
    </row>
    <row r="528" spans="1:17" x14ac:dyDescent="0.25">
      <c r="A528">
        <v>4</v>
      </c>
      <c r="B528" t="s">
        <v>6890</v>
      </c>
      <c r="C528" t="s">
        <v>20</v>
      </c>
      <c r="D528" t="s">
        <v>3</v>
      </c>
      <c r="G528" t="s">
        <v>6891</v>
      </c>
      <c r="H528" t="s">
        <v>6892</v>
      </c>
      <c r="I528" t="s">
        <v>6893</v>
      </c>
      <c r="J528" t="s">
        <v>6891</v>
      </c>
      <c r="K528" t="s">
        <v>6894</v>
      </c>
      <c r="L528">
        <v>132</v>
      </c>
      <c r="O528" t="s">
        <v>6891</v>
      </c>
      <c r="P528" t="s">
        <v>3</v>
      </c>
      <c r="Q528">
        <v>1</v>
      </c>
    </row>
    <row r="529" spans="1:17" x14ac:dyDescent="0.25">
      <c r="A529">
        <v>4</v>
      </c>
      <c r="B529" t="s">
        <v>6895</v>
      </c>
      <c r="C529" t="s">
        <v>20</v>
      </c>
      <c r="D529" t="s">
        <v>3</v>
      </c>
      <c r="G529" t="s">
        <v>6896</v>
      </c>
      <c r="H529" t="s">
        <v>6897</v>
      </c>
      <c r="I529" t="s">
        <v>6898</v>
      </c>
      <c r="J529" t="s">
        <v>6896</v>
      </c>
      <c r="K529" t="s">
        <v>6899</v>
      </c>
      <c r="L529">
        <v>31</v>
      </c>
      <c r="O529" t="s">
        <v>6896</v>
      </c>
      <c r="P529" t="s">
        <v>3</v>
      </c>
      <c r="Q529">
        <v>1</v>
      </c>
    </row>
    <row r="530" spans="1:17" x14ac:dyDescent="0.25">
      <c r="A530">
        <v>4</v>
      </c>
      <c r="B530" t="s">
        <v>6900</v>
      </c>
      <c r="C530" t="s">
        <v>20</v>
      </c>
      <c r="D530" t="s">
        <v>3</v>
      </c>
      <c r="G530" t="s">
        <v>6901</v>
      </c>
      <c r="H530" t="s">
        <v>6902</v>
      </c>
      <c r="I530" t="s">
        <v>6903</v>
      </c>
      <c r="J530" t="s">
        <v>6901</v>
      </c>
      <c r="K530" t="s">
        <v>6904</v>
      </c>
      <c r="L530">
        <v>11</v>
      </c>
      <c r="O530" t="s">
        <v>6901</v>
      </c>
      <c r="P530" t="s">
        <v>3</v>
      </c>
      <c r="Q530">
        <v>1</v>
      </c>
    </row>
    <row r="531" spans="1:17" x14ac:dyDescent="0.25">
      <c r="A531">
        <v>4</v>
      </c>
      <c r="B531" t="s">
        <v>6905</v>
      </c>
      <c r="C531" t="s">
        <v>20</v>
      </c>
      <c r="D531" t="s">
        <v>3</v>
      </c>
      <c r="G531" t="s">
        <v>6906</v>
      </c>
      <c r="H531" t="s">
        <v>6907</v>
      </c>
      <c r="I531" t="s">
        <v>6908</v>
      </c>
      <c r="J531" t="s">
        <v>6906</v>
      </c>
      <c r="K531" t="s">
        <v>6909</v>
      </c>
      <c r="L531">
        <v>4</v>
      </c>
      <c r="N531" t="s">
        <v>4713</v>
      </c>
      <c r="O531" t="s">
        <v>6906</v>
      </c>
      <c r="P531" t="s">
        <v>3</v>
      </c>
      <c r="Q531">
        <v>1</v>
      </c>
    </row>
    <row r="532" spans="1:17" x14ac:dyDescent="0.25">
      <c r="A532">
        <v>4</v>
      </c>
      <c r="B532" t="s">
        <v>6910</v>
      </c>
      <c r="C532" t="s">
        <v>20</v>
      </c>
      <c r="D532" t="s">
        <v>3</v>
      </c>
      <c r="G532" t="s">
        <v>6911</v>
      </c>
      <c r="H532" t="s">
        <v>6912</v>
      </c>
      <c r="I532" t="s">
        <v>6913</v>
      </c>
      <c r="J532" t="s">
        <v>6911</v>
      </c>
      <c r="K532" t="s">
        <v>6914</v>
      </c>
      <c r="L532">
        <v>19</v>
      </c>
      <c r="O532" t="s">
        <v>6911</v>
      </c>
      <c r="P532" t="s">
        <v>3</v>
      </c>
      <c r="Q532">
        <v>1</v>
      </c>
    </row>
    <row r="533" spans="1:17" x14ac:dyDescent="0.25">
      <c r="A533">
        <v>4</v>
      </c>
      <c r="B533" t="s">
        <v>6915</v>
      </c>
      <c r="C533" t="s">
        <v>20</v>
      </c>
      <c r="D533" t="s">
        <v>3</v>
      </c>
      <c r="G533" t="s">
        <v>6916</v>
      </c>
      <c r="H533" t="s">
        <v>6917</v>
      </c>
      <c r="I533" t="s">
        <v>6918</v>
      </c>
      <c r="J533" t="s">
        <v>6916</v>
      </c>
      <c r="K533" t="s">
        <v>6919</v>
      </c>
      <c r="L533">
        <v>13</v>
      </c>
      <c r="O533" t="s">
        <v>6916</v>
      </c>
      <c r="P533" t="s">
        <v>3</v>
      </c>
      <c r="Q533">
        <v>1</v>
      </c>
    </row>
    <row r="534" spans="1:17" x14ac:dyDescent="0.25">
      <c r="A534">
        <v>3</v>
      </c>
      <c r="B534" t="s">
        <v>6920</v>
      </c>
      <c r="C534" t="s">
        <v>20</v>
      </c>
      <c r="D534" t="s">
        <v>3</v>
      </c>
      <c r="F534" t="s">
        <v>6921</v>
      </c>
      <c r="H534" t="s">
        <v>6922</v>
      </c>
      <c r="I534" t="s">
        <v>6923</v>
      </c>
      <c r="J534" t="s">
        <v>6921</v>
      </c>
      <c r="O534" t="s">
        <v>6921</v>
      </c>
      <c r="P534" t="s">
        <v>3</v>
      </c>
      <c r="Q534">
        <v>1</v>
      </c>
    </row>
    <row r="535" spans="1:17" x14ac:dyDescent="0.25">
      <c r="A535">
        <v>4</v>
      </c>
      <c r="B535" t="s">
        <v>6924</v>
      </c>
      <c r="C535" t="s">
        <v>20</v>
      </c>
      <c r="D535" t="s">
        <v>3</v>
      </c>
      <c r="G535" t="s">
        <v>6925</v>
      </c>
      <c r="H535" t="s">
        <v>6926</v>
      </c>
      <c r="I535" t="s">
        <v>6927</v>
      </c>
      <c r="J535" t="s">
        <v>6925</v>
      </c>
      <c r="K535" t="s">
        <v>6928</v>
      </c>
      <c r="L535">
        <v>54</v>
      </c>
      <c r="O535" t="s">
        <v>6925</v>
      </c>
      <c r="P535" t="s">
        <v>3</v>
      </c>
      <c r="Q535">
        <v>1</v>
      </c>
    </row>
    <row r="536" spans="1:17" x14ac:dyDescent="0.25">
      <c r="A536">
        <v>4</v>
      </c>
      <c r="B536" t="s">
        <v>6929</v>
      </c>
      <c r="C536" t="s">
        <v>20</v>
      </c>
      <c r="D536" t="s">
        <v>3</v>
      </c>
      <c r="G536" t="s">
        <v>6930</v>
      </c>
      <c r="H536" t="s">
        <v>6931</v>
      </c>
      <c r="I536" t="s">
        <v>6932</v>
      </c>
      <c r="J536" t="s">
        <v>6930</v>
      </c>
      <c r="K536" t="s">
        <v>6933</v>
      </c>
      <c r="L536">
        <v>13</v>
      </c>
      <c r="O536" t="s">
        <v>6930</v>
      </c>
      <c r="P536" t="s">
        <v>3</v>
      </c>
      <c r="Q536">
        <v>1</v>
      </c>
    </row>
    <row r="537" spans="1:17" x14ac:dyDescent="0.25">
      <c r="A537">
        <v>3</v>
      </c>
      <c r="B537" t="s">
        <v>6934</v>
      </c>
      <c r="C537" t="s">
        <v>20</v>
      </c>
      <c r="D537" t="s">
        <v>3</v>
      </c>
      <c r="F537" t="s">
        <v>6935</v>
      </c>
      <c r="H537" t="s">
        <v>6936</v>
      </c>
      <c r="I537" t="s">
        <v>6937</v>
      </c>
      <c r="J537" t="s">
        <v>6935</v>
      </c>
      <c r="O537" t="s">
        <v>6935</v>
      </c>
      <c r="P537" t="s">
        <v>3</v>
      </c>
      <c r="Q537">
        <v>1</v>
      </c>
    </row>
    <row r="538" spans="1:17" x14ac:dyDescent="0.25">
      <c r="A538">
        <v>4</v>
      </c>
      <c r="B538" t="s">
        <v>6938</v>
      </c>
      <c r="C538" t="s">
        <v>20</v>
      </c>
      <c r="D538" t="s">
        <v>3</v>
      </c>
      <c r="G538">
        <v>587319</v>
      </c>
      <c r="H538" t="s">
        <v>6939</v>
      </c>
      <c r="I538" t="s">
        <v>6940</v>
      </c>
      <c r="J538">
        <v>587319</v>
      </c>
      <c r="K538" t="s">
        <v>6941</v>
      </c>
      <c r="L538">
        <v>10</v>
      </c>
      <c r="O538">
        <v>587319</v>
      </c>
      <c r="P538" t="s">
        <v>3</v>
      </c>
      <c r="Q538">
        <v>1</v>
      </c>
    </row>
    <row r="539" spans="1:17" x14ac:dyDescent="0.25">
      <c r="A539">
        <v>4</v>
      </c>
      <c r="B539" t="s">
        <v>6942</v>
      </c>
      <c r="C539" t="s">
        <v>20</v>
      </c>
      <c r="D539" t="s">
        <v>3</v>
      </c>
      <c r="G539" t="s">
        <v>6943</v>
      </c>
      <c r="H539" t="s">
        <v>6944</v>
      </c>
      <c r="I539" t="s">
        <v>6945</v>
      </c>
      <c r="J539" t="s">
        <v>6943</v>
      </c>
      <c r="K539" t="s">
        <v>6946</v>
      </c>
      <c r="L539">
        <v>163</v>
      </c>
      <c r="O539" t="s">
        <v>6943</v>
      </c>
      <c r="P539" t="s">
        <v>3</v>
      </c>
      <c r="Q539">
        <v>1</v>
      </c>
    </row>
    <row r="540" spans="1:17" x14ac:dyDescent="0.25">
      <c r="A540">
        <v>4</v>
      </c>
      <c r="B540" t="s">
        <v>6947</v>
      </c>
      <c r="C540" t="s">
        <v>20</v>
      </c>
      <c r="D540" t="s">
        <v>3</v>
      </c>
      <c r="G540" t="s">
        <v>6948</v>
      </c>
      <c r="H540" t="s">
        <v>6949</v>
      </c>
      <c r="I540" t="s">
        <v>6950</v>
      </c>
      <c r="J540" t="s">
        <v>6948</v>
      </c>
      <c r="K540" t="s">
        <v>6951</v>
      </c>
      <c r="L540">
        <v>158</v>
      </c>
      <c r="O540" t="s">
        <v>6948</v>
      </c>
      <c r="P540" t="s">
        <v>3</v>
      </c>
      <c r="Q540">
        <v>1</v>
      </c>
    </row>
    <row r="541" spans="1:17" x14ac:dyDescent="0.25">
      <c r="A541">
        <v>3</v>
      </c>
      <c r="B541" t="s">
        <v>6952</v>
      </c>
      <c r="C541" t="s">
        <v>20</v>
      </c>
      <c r="D541" t="s">
        <v>3</v>
      </c>
      <c r="F541" t="s">
        <v>6953</v>
      </c>
      <c r="H541" t="s">
        <v>6954</v>
      </c>
      <c r="I541" t="s">
        <v>6955</v>
      </c>
      <c r="J541" t="s">
        <v>6953</v>
      </c>
      <c r="O541" t="s">
        <v>6953</v>
      </c>
      <c r="P541" t="s">
        <v>3</v>
      </c>
      <c r="Q541">
        <v>1</v>
      </c>
    </row>
    <row r="542" spans="1:17" x14ac:dyDescent="0.25">
      <c r="A542">
        <v>4</v>
      </c>
      <c r="B542" t="s">
        <v>6956</v>
      </c>
      <c r="C542" t="s">
        <v>20</v>
      </c>
      <c r="D542" t="s">
        <v>3</v>
      </c>
      <c r="G542" t="s">
        <v>6957</v>
      </c>
      <c r="H542" t="s">
        <v>6958</v>
      </c>
      <c r="I542" t="s">
        <v>6959</v>
      </c>
      <c r="J542" t="s">
        <v>6957</v>
      </c>
      <c r="K542" t="s">
        <v>6960</v>
      </c>
      <c r="L542">
        <v>207</v>
      </c>
      <c r="O542" t="s">
        <v>6957</v>
      </c>
      <c r="P542" t="s">
        <v>3</v>
      </c>
      <c r="Q542">
        <v>1</v>
      </c>
    </row>
    <row r="543" spans="1:17" x14ac:dyDescent="0.25">
      <c r="A543">
        <v>4</v>
      </c>
      <c r="B543" t="s">
        <v>6961</v>
      </c>
      <c r="C543" t="s">
        <v>20</v>
      </c>
      <c r="D543" t="s">
        <v>3</v>
      </c>
      <c r="G543" t="s">
        <v>6962</v>
      </c>
      <c r="H543" t="s">
        <v>6963</v>
      </c>
      <c r="I543" t="s">
        <v>6964</v>
      </c>
      <c r="J543" t="s">
        <v>6962</v>
      </c>
      <c r="K543" t="s">
        <v>6965</v>
      </c>
      <c r="L543">
        <v>21</v>
      </c>
      <c r="O543" t="s">
        <v>6962</v>
      </c>
      <c r="P543" t="s">
        <v>3</v>
      </c>
      <c r="Q543">
        <v>1</v>
      </c>
    </row>
    <row r="544" spans="1:17" x14ac:dyDescent="0.25">
      <c r="A544">
        <v>4</v>
      </c>
      <c r="B544" t="s">
        <v>6966</v>
      </c>
      <c r="C544" t="s">
        <v>20</v>
      </c>
      <c r="D544" t="s">
        <v>3</v>
      </c>
      <c r="G544" t="s">
        <v>6967</v>
      </c>
      <c r="H544" t="s">
        <v>6968</v>
      </c>
      <c r="I544" t="s">
        <v>6969</v>
      </c>
      <c r="J544" t="s">
        <v>6967</v>
      </c>
      <c r="K544" t="s">
        <v>6970</v>
      </c>
      <c r="L544">
        <v>1</v>
      </c>
      <c r="N544" t="s">
        <v>4734</v>
      </c>
      <c r="O544" t="s">
        <v>6967</v>
      </c>
      <c r="P544" t="s">
        <v>3</v>
      </c>
      <c r="Q544">
        <v>1</v>
      </c>
    </row>
    <row r="545" spans="1:17" x14ac:dyDescent="0.25">
      <c r="A545">
        <v>3</v>
      </c>
      <c r="B545" t="s">
        <v>6971</v>
      </c>
      <c r="C545" t="s">
        <v>20</v>
      </c>
      <c r="D545" t="s">
        <v>3</v>
      </c>
      <c r="F545" t="s">
        <v>6972</v>
      </c>
      <c r="H545" t="s">
        <v>6973</v>
      </c>
      <c r="I545" t="s">
        <v>6974</v>
      </c>
      <c r="J545" t="s">
        <v>6972</v>
      </c>
      <c r="O545" t="s">
        <v>6972</v>
      </c>
      <c r="P545" t="s">
        <v>3</v>
      </c>
      <c r="Q545">
        <v>1</v>
      </c>
    </row>
    <row r="546" spans="1:17" x14ac:dyDescent="0.25">
      <c r="A546">
        <v>4</v>
      </c>
      <c r="B546" t="s">
        <v>6975</v>
      </c>
      <c r="C546" t="s">
        <v>20</v>
      </c>
      <c r="D546" t="s">
        <v>3</v>
      </c>
      <c r="G546">
        <v>294147</v>
      </c>
      <c r="H546" t="s">
        <v>6976</v>
      </c>
      <c r="I546" t="s">
        <v>6977</v>
      </c>
      <c r="J546">
        <v>294147</v>
      </c>
      <c r="K546" t="s">
        <v>6978</v>
      </c>
      <c r="L546">
        <v>3</v>
      </c>
      <c r="N546" t="s">
        <v>4713</v>
      </c>
      <c r="O546">
        <v>294147</v>
      </c>
      <c r="P546" t="s">
        <v>3</v>
      </c>
      <c r="Q546">
        <v>1</v>
      </c>
    </row>
    <row r="547" spans="1:17" x14ac:dyDescent="0.25">
      <c r="A547">
        <v>4</v>
      </c>
      <c r="B547" t="s">
        <v>6979</v>
      </c>
      <c r="C547" t="s">
        <v>20</v>
      </c>
      <c r="D547" t="s">
        <v>3</v>
      </c>
      <c r="G547" t="s">
        <v>6980</v>
      </c>
      <c r="H547" t="s">
        <v>6981</v>
      </c>
      <c r="I547" t="s">
        <v>6982</v>
      </c>
      <c r="J547" t="s">
        <v>6980</v>
      </c>
      <c r="K547" t="s">
        <v>6983</v>
      </c>
      <c r="L547">
        <v>9</v>
      </c>
      <c r="N547" t="s">
        <v>4713</v>
      </c>
      <c r="O547" t="s">
        <v>6980</v>
      </c>
      <c r="P547" t="s">
        <v>3</v>
      </c>
      <c r="Q547">
        <v>1</v>
      </c>
    </row>
    <row r="548" spans="1:17" x14ac:dyDescent="0.25">
      <c r="A548">
        <v>4</v>
      </c>
      <c r="B548" t="s">
        <v>6984</v>
      </c>
      <c r="C548" t="s">
        <v>20</v>
      </c>
      <c r="D548" t="s">
        <v>3</v>
      </c>
      <c r="G548" t="s">
        <v>6985</v>
      </c>
      <c r="H548" t="s">
        <v>6986</v>
      </c>
      <c r="I548" t="s">
        <v>6987</v>
      </c>
      <c r="J548" t="s">
        <v>6985</v>
      </c>
      <c r="K548" t="s">
        <v>6988</v>
      </c>
      <c r="L548">
        <v>98</v>
      </c>
      <c r="O548" t="s">
        <v>6985</v>
      </c>
      <c r="P548" t="s">
        <v>3</v>
      </c>
      <c r="Q548">
        <v>1</v>
      </c>
    </row>
    <row r="549" spans="1:17" x14ac:dyDescent="0.25">
      <c r="A549">
        <v>4</v>
      </c>
      <c r="B549" t="s">
        <v>6989</v>
      </c>
      <c r="C549" t="s">
        <v>20</v>
      </c>
      <c r="D549" t="s">
        <v>3</v>
      </c>
      <c r="G549" t="s">
        <v>6990</v>
      </c>
      <c r="H549" t="s">
        <v>6991</v>
      </c>
      <c r="I549" t="s">
        <v>6992</v>
      </c>
      <c r="J549" t="s">
        <v>6990</v>
      </c>
      <c r="K549" t="s">
        <v>6993</v>
      </c>
      <c r="L549">
        <v>53</v>
      </c>
      <c r="O549" t="s">
        <v>6990</v>
      </c>
      <c r="P549" t="s">
        <v>3</v>
      </c>
      <c r="Q549">
        <v>1</v>
      </c>
    </row>
    <row r="550" spans="1:17" x14ac:dyDescent="0.25">
      <c r="A550">
        <v>4</v>
      </c>
      <c r="B550" t="s">
        <v>6994</v>
      </c>
      <c r="C550" t="s">
        <v>20</v>
      </c>
      <c r="D550" t="s">
        <v>3</v>
      </c>
      <c r="G550" t="s">
        <v>6995</v>
      </c>
      <c r="H550" t="s">
        <v>6996</v>
      </c>
      <c r="I550" t="s">
        <v>6997</v>
      </c>
      <c r="J550" t="s">
        <v>6995</v>
      </c>
      <c r="K550" t="s">
        <v>6998</v>
      </c>
      <c r="L550">
        <v>68</v>
      </c>
      <c r="O550" t="s">
        <v>6995</v>
      </c>
      <c r="P550" t="s">
        <v>3</v>
      </c>
      <c r="Q550">
        <v>1</v>
      </c>
    </row>
    <row r="551" spans="1:17" x14ac:dyDescent="0.25">
      <c r="A551">
        <v>4</v>
      </c>
      <c r="B551" t="s">
        <v>6999</v>
      </c>
      <c r="C551" t="s">
        <v>20</v>
      </c>
      <c r="D551" t="s">
        <v>3</v>
      </c>
      <c r="G551" t="s">
        <v>7000</v>
      </c>
      <c r="H551" t="s">
        <v>7001</v>
      </c>
      <c r="I551" t="s">
        <v>7002</v>
      </c>
      <c r="J551" t="s">
        <v>7000</v>
      </c>
      <c r="K551" t="s">
        <v>7003</v>
      </c>
      <c r="L551">
        <v>23</v>
      </c>
      <c r="O551" t="s">
        <v>7000</v>
      </c>
      <c r="P551" t="s">
        <v>3</v>
      </c>
      <c r="Q551">
        <v>1</v>
      </c>
    </row>
    <row r="552" spans="1:17" x14ac:dyDescent="0.25">
      <c r="A552">
        <v>2</v>
      </c>
      <c r="B552" t="s">
        <v>7004</v>
      </c>
      <c r="C552" t="s">
        <v>20</v>
      </c>
      <c r="D552" t="s">
        <v>3</v>
      </c>
      <c r="E552">
        <v>557335</v>
      </c>
      <c r="H552" t="s">
        <v>7005</v>
      </c>
      <c r="I552" t="s">
        <v>7006</v>
      </c>
      <c r="J552">
        <v>557335</v>
      </c>
      <c r="K552" t="s">
        <v>7007</v>
      </c>
      <c r="L552">
        <v>1</v>
      </c>
      <c r="N552" t="s">
        <v>4734</v>
      </c>
      <c r="O552">
        <v>557335</v>
      </c>
      <c r="P552" t="s">
        <v>3</v>
      </c>
      <c r="Q552">
        <v>1</v>
      </c>
    </row>
    <row r="553" spans="1:17" x14ac:dyDescent="0.25">
      <c r="A553">
        <v>1</v>
      </c>
      <c r="B553">
        <v>3</v>
      </c>
      <c r="C553" t="s">
        <v>18</v>
      </c>
      <c r="D553" t="s">
        <v>7008</v>
      </c>
      <c r="H553" t="s">
        <v>7008</v>
      </c>
      <c r="I553" t="s">
        <v>360</v>
      </c>
      <c r="J553" t="s">
        <v>18</v>
      </c>
      <c r="O553" t="s">
        <v>18</v>
      </c>
      <c r="P553" t="s">
        <v>7008</v>
      </c>
      <c r="Q553">
        <v>1</v>
      </c>
    </row>
    <row r="554" spans="1:17" x14ac:dyDescent="0.25">
      <c r="A554">
        <v>2</v>
      </c>
      <c r="B554" t="s">
        <v>7009</v>
      </c>
      <c r="C554" t="s">
        <v>18</v>
      </c>
      <c r="D554" t="s">
        <v>7008</v>
      </c>
      <c r="E554" t="s">
        <v>23</v>
      </c>
      <c r="H554" t="s">
        <v>7010</v>
      </c>
      <c r="I554" t="s">
        <v>435</v>
      </c>
      <c r="J554" t="s">
        <v>23</v>
      </c>
      <c r="O554" t="s">
        <v>23</v>
      </c>
      <c r="P554" t="s">
        <v>7008</v>
      </c>
      <c r="Q554">
        <v>1</v>
      </c>
    </row>
    <row r="555" spans="1:17" x14ac:dyDescent="0.25">
      <c r="A555">
        <v>3</v>
      </c>
      <c r="B555" t="s">
        <v>7011</v>
      </c>
      <c r="C555" t="s">
        <v>18</v>
      </c>
      <c r="D555" t="s">
        <v>7008</v>
      </c>
      <c r="F555" t="s">
        <v>183</v>
      </c>
      <c r="H555" t="s">
        <v>184</v>
      </c>
      <c r="I555" t="s">
        <v>450</v>
      </c>
      <c r="J555" t="s">
        <v>183</v>
      </c>
      <c r="O555" t="s">
        <v>183</v>
      </c>
      <c r="P555" t="s">
        <v>7008</v>
      </c>
      <c r="Q555">
        <v>1</v>
      </c>
    </row>
    <row r="556" spans="1:17" x14ac:dyDescent="0.25">
      <c r="A556">
        <v>4</v>
      </c>
      <c r="B556" t="s">
        <v>7012</v>
      </c>
      <c r="C556" t="s">
        <v>18</v>
      </c>
      <c r="D556" t="s">
        <v>7008</v>
      </c>
      <c r="G556">
        <v>14349</v>
      </c>
      <c r="H556" t="s">
        <v>7013</v>
      </c>
      <c r="I556" t="s">
        <v>7014</v>
      </c>
      <c r="J556">
        <v>14349</v>
      </c>
      <c r="K556" t="s">
        <v>7015</v>
      </c>
      <c r="L556">
        <v>575</v>
      </c>
      <c r="O556">
        <v>14349</v>
      </c>
      <c r="P556" t="s">
        <v>7008</v>
      </c>
      <c r="Q556">
        <v>1</v>
      </c>
    </row>
    <row r="557" spans="1:17" x14ac:dyDescent="0.25">
      <c r="A557">
        <v>4</v>
      </c>
      <c r="B557" t="s">
        <v>7016</v>
      </c>
      <c r="C557" t="s">
        <v>18</v>
      </c>
      <c r="D557" t="s">
        <v>7008</v>
      </c>
      <c r="G557">
        <v>16752</v>
      </c>
      <c r="H557" t="s">
        <v>7017</v>
      </c>
      <c r="I557" t="s">
        <v>7018</v>
      </c>
      <c r="J557">
        <v>16752</v>
      </c>
      <c r="K557" t="s">
        <v>7019</v>
      </c>
      <c r="L557" t="s">
        <v>7020</v>
      </c>
      <c r="O557">
        <v>16752</v>
      </c>
      <c r="P557" t="s">
        <v>7008</v>
      </c>
      <c r="Q557">
        <v>1</v>
      </c>
    </row>
    <row r="558" spans="1:17" x14ac:dyDescent="0.25">
      <c r="A558">
        <v>4</v>
      </c>
      <c r="B558" t="s">
        <v>7021</v>
      </c>
      <c r="C558" t="s">
        <v>18</v>
      </c>
      <c r="D558" t="s">
        <v>7008</v>
      </c>
      <c r="G558">
        <v>16754</v>
      </c>
      <c r="H558" t="s">
        <v>7022</v>
      </c>
      <c r="I558" t="s">
        <v>7023</v>
      </c>
      <c r="J558">
        <v>16754</v>
      </c>
      <c r="K558" t="s">
        <v>7024</v>
      </c>
      <c r="L558">
        <v>117</v>
      </c>
      <c r="O558">
        <v>16754</v>
      </c>
      <c r="P558" t="s">
        <v>7008</v>
      </c>
      <c r="Q558">
        <v>1</v>
      </c>
    </row>
    <row r="559" spans="1:17" x14ac:dyDescent="0.25">
      <c r="A559">
        <v>4</v>
      </c>
      <c r="B559" t="s">
        <v>7025</v>
      </c>
      <c r="C559" t="s">
        <v>18</v>
      </c>
      <c r="D559" t="s">
        <v>7008</v>
      </c>
      <c r="G559">
        <v>16756</v>
      </c>
      <c r="H559" t="s">
        <v>7026</v>
      </c>
      <c r="I559" t="s">
        <v>7027</v>
      </c>
      <c r="J559">
        <v>16756</v>
      </c>
      <c r="K559" t="s">
        <v>7028</v>
      </c>
      <c r="L559">
        <v>43</v>
      </c>
      <c r="O559">
        <v>16756</v>
      </c>
      <c r="P559" t="s">
        <v>7008</v>
      </c>
      <c r="Q559">
        <v>1</v>
      </c>
    </row>
    <row r="560" spans="1:17" x14ac:dyDescent="0.25">
      <c r="A560">
        <v>4</v>
      </c>
      <c r="B560" t="s">
        <v>7029</v>
      </c>
      <c r="C560" t="s">
        <v>18</v>
      </c>
      <c r="D560" t="s">
        <v>7008</v>
      </c>
      <c r="G560">
        <v>16758</v>
      </c>
      <c r="H560" t="s">
        <v>7030</v>
      </c>
      <c r="I560" t="s">
        <v>7031</v>
      </c>
      <c r="J560">
        <v>16758</v>
      </c>
      <c r="K560" t="s">
        <v>7032</v>
      </c>
      <c r="L560">
        <v>85</v>
      </c>
      <c r="O560">
        <v>16758</v>
      </c>
      <c r="P560" t="s">
        <v>7008</v>
      </c>
      <c r="Q560">
        <v>1</v>
      </c>
    </row>
    <row r="561" spans="1:17" x14ac:dyDescent="0.25">
      <c r="A561">
        <v>3</v>
      </c>
      <c r="B561" t="s">
        <v>7033</v>
      </c>
      <c r="C561" t="s">
        <v>18</v>
      </c>
      <c r="D561" t="s">
        <v>7008</v>
      </c>
      <c r="F561" t="s">
        <v>175</v>
      </c>
      <c r="H561" t="s">
        <v>176</v>
      </c>
      <c r="I561" t="s">
        <v>438</v>
      </c>
      <c r="J561" t="s">
        <v>175</v>
      </c>
      <c r="O561" t="s">
        <v>175</v>
      </c>
      <c r="P561" t="s">
        <v>7008</v>
      </c>
      <c r="Q561">
        <v>1</v>
      </c>
    </row>
    <row r="562" spans="1:17" x14ac:dyDescent="0.25">
      <c r="A562">
        <v>4</v>
      </c>
      <c r="B562" t="s">
        <v>7034</v>
      </c>
      <c r="C562" t="s">
        <v>18</v>
      </c>
      <c r="D562" t="s">
        <v>7008</v>
      </c>
      <c r="G562">
        <v>19693</v>
      </c>
      <c r="H562" t="s">
        <v>7035</v>
      </c>
      <c r="I562" t="s">
        <v>7031</v>
      </c>
      <c r="J562">
        <v>19693</v>
      </c>
      <c r="K562" t="s">
        <v>7036</v>
      </c>
      <c r="L562">
        <v>89</v>
      </c>
      <c r="O562">
        <v>19693</v>
      </c>
      <c r="P562" t="s">
        <v>7008</v>
      </c>
      <c r="Q562">
        <v>1</v>
      </c>
    </row>
    <row r="563" spans="1:17" x14ac:dyDescent="0.25">
      <c r="A563">
        <v>4</v>
      </c>
      <c r="B563" t="s">
        <v>7037</v>
      </c>
      <c r="C563" t="s">
        <v>18</v>
      </c>
      <c r="D563" t="s">
        <v>7008</v>
      </c>
      <c r="G563" t="s">
        <v>7038</v>
      </c>
      <c r="H563" t="s">
        <v>7039</v>
      </c>
      <c r="I563" t="s">
        <v>7040</v>
      </c>
      <c r="J563" t="s">
        <v>7038</v>
      </c>
      <c r="K563" t="s">
        <v>7041</v>
      </c>
      <c r="L563">
        <v>245</v>
      </c>
      <c r="O563" t="s">
        <v>7038</v>
      </c>
      <c r="P563" t="s">
        <v>7008</v>
      </c>
      <c r="Q563">
        <v>1</v>
      </c>
    </row>
    <row r="564" spans="1:17" x14ac:dyDescent="0.25">
      <c r="A564">
        <v>4</v>
      </c>
      <c r="B564" t="s">
        <v>7042</v>
      </c>
      <c r="C564" t="s">
        <v>18</v>
      </c>
      <c r="D564" t="s">
        <v>7008</v>
      </c>
      <c r="G564" t="s">
        <v>7043</v>
      </c>
      <c r="H564" t="s">
        <v>7044</v>
      </c>
      <c r="I564" t="s">
        <v>7045</v>
      </c>
      <c r="J564" t="s">
        <v>7043</v>
      </c>
      <c r="K564" t="s">
        <v>7046</v>
      </c>
      <c r="L564">
        <v>104</v>
      </c>
      <c r="O564" t="s">
        <v>7043</v>
      </c>
      <c r="P564" t="s">
        <v>7008</v>
      </c>
      <c r="Q564">
        <v>1</v>
      </c>
    </row>
    <row r="565" spans="1:17" x14ac:dyDescent="0.25">
      <c r="A565">
        <v>3</v>
      </c>
      <c r="B565" t="s">
        <v>7047</v>
      </c>
      <c r="C565" t="s">
        <v>18</v>
      </c>
      <c r="D565" t="s">
        <v>7008</v>
      </c>
      <c r="F565" t="s">
        <v>185</v>
      </c>
      <c r="H565" t="s">
        <v>7048</v>
      </c>
      <c r="I565" t="s">
        <v>989</v>
      </c>
      <c r="J565" t="s">
        <v>185</v>
      </c>
      <c r="O565" t="s">
        <v>185</v>
      </c>
      <c r="P565" t="s">
        <v>7008</v>
      </c>
      <c r="Q565">
        <v>1</v>
      </c>
    </row>
    <row r="566" spans="1:17" x14ac:dyDescent="0.25">
      <c r="A566">
        <v>4</v>
      </c>
      <c r="B566" t="s">
        <v>7049</v>
      </c>
      <c r="C566" t="s">
        <v>18</v>
      </c>
      <c r="D566" t="s">
        <v>7008</v>
      </c>
      <c r="G566">
        <v>19744</v>
      </c>
      <c r="H566" t="s">
        <v>7050</v>
      </c>
      <c r="I566" t="s">
        <v>7051</v>
      </c>
      <c r="J566">
        <v>19744</v>
      </c>
      <c r="K566" t="s">
        <v>7052</v>
      </c>
      <c r="L566">
        <v>30</v>
      </c>
      <c r="O566">
        <v>19744</v>
      </c>
      <c r="P566" t="s">
        <v>7008</v>
      </c>
      <c r="Q566">
        <v>1</v>
      </c>
    </row>
    <row r="567" spans="1:17" x14ac:dyDescent="0.25">
      <c r="A567">
        <v>4</v>
      </c>
      <c r="B567" t="s">
        <v>7053</v>
      </c>
      <c r="C567" t="s">
        <v>18</v>
      </c>
      <c r="D567" t="s">
        <v>7008</v>
      </c>
      <c r="G567" t="s">
        <v>7054</v>
      </c>
      <c r="H567" t="s">
        <v>7055</v>
      </c>
      <c r="I567" t="s">
        <v>7056</v>
      </c>
      <c r="J567" t="s">
        <v>7054</v>
      </c>
      <c r="K567" t="s">
        <v>7057</v>
      </c>
      <c r="L567">
        <v>66</v>
      </c>
      <c r="O567" t="s">
        <v>7054</v>
      </c>
      <c r="P567" t="s">
        <v>7008</v>
      </c>
      <c r="Q567">
        <v>1</v>
      </c>
    </row>
    <row r="568" spans="1:17" x14ac:dyDescent="0.25">
      <c r="A568">
        <v>4</v>
      </c>
      <c r="B568" t="s">
        <v>7058</v>
      </c>
      <c r="C568" t="s">
        <v>18</v>
      </c>
      <c r="D568" t="s">
        <v>7008</v>
      </c>
      <c r="G568" t="s">
        <v>7059</v>
      </c>
      <c r="H568" t="s">
        <v>7060</v>
      </c>
      <c r="I568" t="s">
        <v>7061</v>
      </c>
      <c r="J568" t="s">
        <v>7059</v>
      </c>
      <c r="K568" t="s">
        <v>7062</v>
      </c>
      <c r="L568">
        <v>55</v>
      </c>
      <c r="O568" t="s">
        <v>7059</v>
      </c>
      <c r="P568" t="s">
        <v>7008</v>
      </c>
      <c r="Q568">
        <v>1</v>
      </c>
    </row>
    <row r="569" spans="1:17" x14ac:dyDescent="0.25">
      <c r="A569">
        <v>3</v>
      </c>
      <c r="B569" t="s">
        <v>7063</v>
      </c>
      <c r="C569" t="s">
        <v>18</v>
      </c>
      <c r="D569" t="s">
        <v>7008</v>
      </c>
      <c r="F569" t="s">
        <v>187</v>
      </c>
      <c r="H569" t="s">
        <v>7064</v>
      </c>
      <c r="I569" t="s">
        <v>990</v>
      </c>
      <c r="J569" t="s">
        <v>187</v>
      </c>
      <c r="O569" t="s">
        <v>187</v>
      </c>
      <c r="P569" t="s">
        <v>7008</v>
      </c>
      <c r="Q569">
        <v>1</v>
      </c>
    </row>
    <row r="570" spans="1:17" x14ac:dyDescent="0.25">
      <c r="A570">
        <v>4</v>
      </c>
      <c r="B570" t="s">
        <v>7065</v>
      </c>
      <c r="C570" t="s">
        <v>18</v>
      </c>
      <c r="D570" t="s">
        <v>7008</v>
      </c>
      <c r="G570">
        <v>19728</v>
      </c>
      <c r="H570" t="s">
        <v>7066</v>
      </c>
      <c r="I570" t="s">
        <v>7067</v>
      </c>
      <c r="J570">
        <v>19728</v>
      </c>
      <c r="K570" t="s">
        <v>7068</v>
      </c>
      <c r="L570">
        <v>13</v>
      </c>
      <c r="O570">
        <v>19728</v>
      </c>
      <c r="P570" t="s">
        <v>7008</v>
      </c>
      <c r="Q570">
        <v>1</v>
      </c>
    </row>
    <row r="571" spans="1:17" x14ac:dyDescent="0.25">
      <c r="A571">
        <v>4</v>
      </c>
      <c r="B571" t="s">
        <v>7069</v>
      </c>
      <c r="C571" t="s">
        <v>18</v>
      </c>
      <c r="D571" t="s">
        <v>7008</v>
      </c>
      <c r="G571">
        <v>19737</v>
      </c>
      <c r="H571" t="s">
        <v>7070</v>
      </c>
      <c r="I571" t="s">
        <v>7071</v>
      </c>
      <c r="J571">
        <v>19737</v>
      </c>
      <c r="K571" t="s">
        <v>7072</v>
      </c>
      <c r="L571">
        <v>31</v>
      </c>
      <c r="O571">
        <v>19737</v>
      </c>
      <c r="P571" t="s">
        <v>7008</v>
      </c>
      <c r="Q571">
        <v>1</v>
      </c>
    </row>
    <row r="572" spans="1:17" x14ac:dyDescent="0.25">
      <c r="A572">
        <v>4</v>
      </c>
      <c r="B572" t="s">
        <v>7073</v>
      </c>
      <c r="C572" t="s">
        <v>18</v>
      </c>
      <c r="D572" t="s">
        <v>7008</v>
      </c>
      <c r="G572">
        <v>19746</v>
      </c>
      <c r="H572" t="s">
        <v>7074</v>
      </c>
      <c r="I572" t="s">
        <v>7075</v>
      </c>
      <c r="J572">
        <v>19746</v>
      </c>
      <c r="K572" t="s">
        <v>7076</v>
      </c>
      <c r="L572">
        <v>14</v>
      </c>
      <c r="O572">
        <v>19746</v>
      </c>
      <c r="P572" t="s">
        <v>7008</v>
      </c>
      <c r="Q572">
        <v>1</v>
      </c>
    </row>
    <row r="573" spans="1:17" x14ac:dyDescent="0.25">
      <c r="A573">
        <v>4</v>
      </c>
      <c r="B573" t="s">
        <v>7077</v>
      </c>
      <c r="C573" t="s">
        <v>18</v>
      </c>
      <c r="D573" t="s">
        <v>7008</v>
      </c>
      <c r="G573" t="s">
        <v>7078</v>
      </c>
      <c r="H573" t="s">
        <v>7079</v>
      </c>
      <c r="I573" t="s">
        <v>990</v>
      </c>
      <c r="J573" t="s">
        <v>7078</v>
      </c>
      <c r="K573" t="s">
        <v>7080</v>
      </c>
      <c r="L573">
        <v>244</v>
      </c>
      <c r="O573" t="s">
        <v>7078</v>
      </c>
      <c r="P573" t="s">
        <v>7008</v>
      </c>
      <c r="Q573">
        <v>1</v>
      </c>
    </row>
    <row r="574" spans="1:17" x14ac:dyDescent="0.25">
      <c r="A574">
        <v>4</v>
      </c>
      <c r="B574" t="s">
        <v>7081</v>
      </c>
      <c r="C574" t="s">
        <v>18</v>
      </c>
      <c r="D574" t="s">
        <v>7008</v>
      </c>
      <c r="G574" t="s">
        <v>7082</v>
      </c>
      <c r="H574" t="s">
        <v>7083</v>
      </c>
      <c r="I574" t="s">
        <v>7084</v>
      </c>
      <c r="J574" t="s">
        <v>7082</v>
      </c>
      <c r="K574" t="s">
        <v>7085</v>
      </c>
      <c r="L574">
        <v>323</v>
      </c>
      <c r="O574" t="s">
        <v>7082</v>
      </c>
      <c r="P574" t="s">
        <v>7008</v>
      </c>
      <c r="Q574">
        <v>1</v>
      </c>
    </row>
    <row r="575" spans="1:17" x14ac:dyDescent="0.25">
      <c r="A575">
        <v>4</v>
      </c>
      <c r="B575" t="s">
        <v>7086</v>
      </c>
      <c r="C575" t="s">
        <v>18</v>
      </c>
      <c r="D575" t="s">
        <v>7008</v>
      </c>
      <c r="G575" t="s">
        <v>7087</v>
      </c>
      <c r="H575" t="s">
        <v>7088</v>
      </c>
      <c r="I575" t="s">
        <v>7089</v>
      </c>
      <c r="J575" t="s">
        <v>7087</v>
      </c>
      <c r="K575" t="s">
        <v>7090</v>
      </c>
      <c r="L575">
        <v>42</v>
      </c>
      <c r="O575" t="s">
        <v>7087</v>
      </c>
      <c r="P575" t="s">
        <v>7008</v>
      </c>
      <c r="Q575">
        <v>1</v>
      </c>
    </row>
    <row r="576" spans="1:17" x14ac:dyDescent="0.25">
      <c r="A576">
        <v>2</v>
      </c>
      <c r="B576" t="s">
        <v>7091</v>
      </c>
      <c r="C576" t="s">
        <v>18</v>
      </c>
      <c r="D576" t="s">
        <v>7008</v>
      </c>
      <c r="E576" t="s">
        <v>22</v>
      </c>
      <c r="H576" t="s">
        <v>5</v>
      </c>
      <c r="I576" t="s">
        <v>397</v>
      </c>
      <c r="J576" t="s">
        <v>22</v>
      </c>
      <c r="O576" t="s">
        <v>22</v>
      </c>
      <c r="P576" t="s">
        <v>7008</v>
      </c>
      <c r="Q576">
        <v>1</v>
      </c>
    </row>
    <row r="577" spans="1:17" x14ac:dyDescent="0.25">
      <c r="A577">
        <v>3</v>
      </c>
      <c r="B577" t="s">
        <v>7092</v>
      </c>
      <c r="C577" t="s">
        <v>18</v>
      </c>
      <c r="D577" t="s">
        <v>7008</v>
      </c>
      <c r="F577" t="s">
        <v>155</v>
      </c>
      <c r="H577" t="s">
        <v>7093</v>
      </c>
      <c r="I577" t="s">
        <v>406</v>
      </c>
      <c r="J577" t="s">
        <v>155</v>
      </c>
      <c r="O577" t="s">
        <v>155</v>
      </c>
      <c r="P577" t="s">
        <v>7008</v>
      </c>
      <c r="Q577">
        <v>1</v>
      </c>
    </row>
    <row r="578" spans="1:17" x14ac:dyDescent="0.25">
      <c r="A578">
        <v>4</v>
      </c>
      <c r="B578" t="s">
        <v>7094</v>
      </c>
      <c r="C578" t="s">
        <v>18</v>
      </c>
      <c r="D578" t="s">
        <v>7008</v>
      </c>
      <c r="G578">
        <v>20359</v>
      </c>
      <c r="H578" t="s">
        <v>7095</v>
      </c>
      <c r="I578" t="s">
        <v>406</v>
      </c>
      <c r="J578">
        <v>20359</v>
      </c>
      <c r="K578" t="s">
        <v>7096</v>
      </c>
      <c r="L578">
        <v>686</v>
      </c>
      <c r="O578">
        <v>20359</v>
      </c>
      <c r="P578" t="s">
        <v>7008</v>
      </c>
      <c r="Q578">
        <v>1</v>
      </c>
    </row>
    <row r="579" spans="1:17" x14ac:dyDescent="0.25">
      <c r="A579">
        <v>4</v>
      </c>
      <c r="B579" t="s">
        <v>7097</v>
      </c>
      <c r="C579" t="s">
        <v>18</v>
      </c>
      <c r="D579" t="s">
        <v>7008</v>
      </c>
      <c r="G579">
        <v>20361</v>
      </c>
      <c r="H579" t="s">
        <v>7098</v>
      </c>
      <c r="I579" t="s">
        <v>7099</v>
      </c>
      <c r="J579">
        <v>20361</v>
      </c>
      <c r="K579" t="s">
        <v>7100</v>
      </c>
      <c r="L579">
        <v>162</v>
      </c>
      <c r="O579">
        <v>20361</v>
      </c>
      <c r="P579" t="s">
        <v>7008</v>
      </c>
      <c r="Q579">
        <v>1</v>
      </c>
    </row>
    <row r="580" spans="1:17" x14ac:dyDescent="0.25">
      <c r="A580">
        <v>4</v>
      </c>
      <c r="B580" t="s">
        <v>7101</v>
      </c>
      <c r="C580" t="s">
        <v>18</v>
      </c>
      <c r="D580" t="s">
        <v>7008</v>
      </c>
      <c r="G580">
        <v>676098</v>
      </c>
      <c r="H580" t="s">
        <v>7102</v>
      </c>
      <c r="I580" t="s">
        <v>7103</v>
      </c>
      <c r="J580">
        <v>676098</v>
      </c>
      <c r="K580" t="s">
        <v>7104</v>
      </c>
      <c r="L580">
        <v>9</v>
      </c>
      <c r="N580" t="s">
        <v>4713</v>
      </c>
      <c r="O580">
        <v>676098</v>
      </c>
      <c r="P580" t="s">
        <v>7008</v>
      </c>
      <c r="Q580">
        <v>1</v>
      </c>
    </row>
    <row r="581" spans="1:17" x14ac:dyDescent="0.25">
      <c r="A581">
        <v>4</v>
      </c>
      <c r="B581" t="s">
        <v>7105</v>
      </c>
      <c r="C581" t="s">
        <v>18</v>
      </c>
      <c r="D581" t="s">
        <v>7008</v>
      </c>
      <c r="G581">
        <v>676136</v>
      </c>
      <c r="H581" t="s">
        <v>7106</v>
      </c>
      <c r="I581" t="s">
        <v>7107</v>
      </c>
      <c r="J581">
        <v>676136</v>
      </c>
      <c r="K581" t="s">
        <v>7108</v>
      </c>
      <c r="L581">
        <v>24</v>
      </c>
      <c r="O581">
        <v>676136</v>
      </c>
      <c r="P581" t="s">
        <v>7008</v>
      </c>
      <c r="Q581">
        <v>1</v>
      </c>
    </row>
    <row r="582" spans="1:17" x14ac:dyDescent="0.25">
      <c r="A582">
        <v>3</v>
      </c>
      <c r="B582" t="s">
        <v>7109</v>
      </c>
      <c r="C582" t="s">
        <v>18</v>
      </c>
      <c r="D582" t="s">
        <v>7008</v>
      </c>
      <c r="F582" t="s">
        <v>154</v>
      </c>
      <c r="H582" t="s">
        <v>7110</v>
      </c>
      <c r="I582" t="s">
        <v>2584</v>
      </c>
      <c r="J582" t="s">
        <v>154</v>
      </c>
      <c r="O582" t="s">
        <v>154</v>
      </c>
      <c r="P582" t="s">
        <v>7008</v>
      </c>
      <c r="Q582">
        <v>1</v>
      </c>
    </row>
    <row r="583" spans="1:17" x14ac:dyDescent="0.25">
      <c r="A583">
        <v>4</v>
      </c>
      <c r="B583" t="s">
        <v>7111</v>
      </c>
      <c r="C583" t="s">
        <v>18</v>
      </c>
      <c r="D583" t="s">
        <v>7008</v>
      </c>
      <c r="G583">
        <v>20403</v>
      </c>
      <c r="H583" t="s">
        <v>7112</v>
      </c>
      <c r="I583" t="s">
        <v>7113</v>
      </c>
      <c r="J583">
        <v>20403</v>
      </c>
      <c r="K583" t="s">
        <v>7114</v>
      </c>
      <c r="L583">
        <v>842</v>
      </c>
      <c r="O583">
        <v>20403</v>
      </c>
      <c r="P583" t="s">
        <v>7008</v>
      </c>
      <c r="Q583">
        <v>1</v>
      </c>
    </row>
    <row r="584" spans="1:17" x14ac:dyDescent="0.25">
      <c r="A584">
        <v>4</v>
      </c>
      <c r="B584" t="s">
        <v>7115</v>
      </c>
      <c r="C584" t="s">
        <v>18</v>
      </c>
      <c r="D584" t="s">
        <v>7008</v>
      </c>
      <c r="G584">
        <v>20405</v>
      </c>
      <c r="H584" t="s">
        <v>7116</v>
      </c>
      <c r="I584" t="s">
        <v>7117</v>
      </c>
      <c r="J584">
        <v>20405</v>
      </c>
      <c r="K584" t="s">
        <v>7118</v>
      </c>
      <c r="L584">
        <v>167</v>
      </c>
      <c r="O584">
        <v>20405</v>
      </c>
      <c r="P584" t="s">
        <v>7008</v>
      </c>
      <c r="Q584">
        <v>1</v>
      </c>
    </row>
    <row r="585" spans="1:17" x14ac:dyDescent="0.25">
      <c r="A585">
        <v>4</v>
      </c>
      <c r="B585" t="s">
        <v>7119</v>
      </c>
      <c r="C585" t="s">
        <v>18</v>
      </c>
      <c r="D585" t="s">
        <v>7008</v>
      </c>
      <c r="G585">
        <v>20407</v>
      </c>
      <c r="H585" t="s">
        <v>7120</v>
      </c>
      <c r="I585" t="s">
        <v>7121</v>
      </c>
      <c r="J585">
        <v>20407</v>
      </c>
      <c r="K585" t="s">
        <v>7122</v>
      </c>
      <c r="L585">
        <v>111</v>
      </c>
      <c r="O585">
        <v>20407</v>
      </c>
      <c r="P585" t="s">
        <v>7008</v>
      </c>
      <c r="Q585">
        <v>1</v>
      </c>
    </row>
    <row r="586" spans="1:17" x14ac:dyDescent="0.25">
      <c r="A586">
        <v>4</v>
      </c>
      <c r="B586" t="s">
        <v>7123</v>
      </c>
      <c r="C586" t="s">
        <v>18</v>
      </c>
      <c r="D586" t="s">
        <v>7008</v>
      </c>
      <c r="G586">
        <v>20409</v>
      </c>
      <c r="H586" t="s">
        <v>7124</v>
      </c>
      <c r="I586" t="s">
        <v>7125</v>
      </c>
      <c r="J586">
        <v>20409</v>
      </c>
      <c r="K586" t="s">
        <v>7126</v>
      </c>
      <c r="L586">
        <v>210</v>
      </c>
      <c r="O586">
        <v>20409</v>
      </c>
      <c r="P586" t="s">
        <v>7008</v>
      </c>
      <c r="Q586">
        <v>1</v>
      </c>
    </row>
    <row r="587" spans="1:17" x14ac:dyDescent="0.25">
      <c r="A587">
        <v>4</v>
      </c>
      <c r="B587" t="s">
        <v>7127</v>
      </c>
      <c r="C587" t="s">
        <v>18</v>
      </c>
      <c r="D587" t="s">
        <v>7008</v>
      </c>
      <c r="G587">
        <v>20411</v>
      </c>
      <c r="H587" t="s">
        <v>7128</v>
      </c>
      <c r="I587" t="s">
        <v>7129</v>
      </c>
      <c r="J587">
        <v>20411</v>
      </c>
      <c r="K587" t="s">
        <v>7130</v>
      </c>
      <c r="L587">
        <v>586</v>
      </c>
      <c r="O587">
        <v>20411</v>
      </c>
      <c r="P587" t="s">
        <v>7008</v>
      </c>
      <c r="Q587">
        <v>1</v>
      </c>
    </row>
    <row r="588" spans="1:17" x14ac:dyDescent="0.25">
      <c r="A588">
        <v>4</v>
      </c>
      <c r="B588" t="s">
        <v>7131</v>
      </c>
      <c r="C588" t="s">
        <v>18</v>
      </c>
      <c r="D588" t="s">
        <v>7008</v>
      </c>
      <c r="G588">
        <v>20413</v>
      </c>
      <c r="H588" t="s">
        <v>7132</v>
      </c>
      <c r="I588" t="s">
        <v>7133</v>
      </c>
      <c r="J588">
        <v>20413</v>
      </c>
      <c r="K588" t="s">
        <v>7134</v>
      </c>
      <c r="L588">
        <v>37</v>
      </c>
      <c r="O588">
        <v>20413</v>
      </c>
      <c r="P588" t="s">
        <v>7008</v>
      </c>
      <c r="Q588">
        <v>1</v>
      </c>
    </row>
    <row r="589" spans="1:17" x14ac:dyDescent="0.25">
      <c r="A589">
        <v>4</v>
      </c>
      <c r="B589" t="s">
        <v>7135</v>
      </c>
      <c r="C589" t="s">
        <v>18</v>
      </c>
      <c r="D589" t="s">
        <v>7008</v>
      </c>
      <c r="G589">
        <v>662607</v>
      </c>
      <c r="H589" t="s">
        <v>7136</v>
      </c>
      <c r="I589" t="s">
        <v>7137</v>
      </c>
      <c r="J589">
        <v>662607</v>
      </c>
      <c r="K589" t="s">
        <v>7138</v>
      </c>
      <c r="L589" t="s">
        <v>7139</v>
      </c>
      <c r="O589">
        <v>662607</v>
      </c>
      <c r="P589" t="s">
        <v>7008</v>
      </c>
      <c r="Q589">
        <v>1</v>
      </c>
    </row>
    <row r="590" spans="1:17" x14ac:dyDescent="0.25">
      <c r="A590">
        <v>4</v>
      </c>
      <c r="B590" t="s">
        <v>7140</v>
      </c>
      <c r="C590" t="s">
        <v>18</v>
      </c>
      <c r="D590" t="s">
        <v>7008</v>
      </c>
      <c r="G590">
        <v>675895</v>
      </c>
      <c r="H590" t="s">
        <v>7102</v>
      </c>
      <c r="I590" t="s">
        <v>7103</v>
      </c>
      <c r="J590">
        <v>675895</v>
      </c>
      <c r="K590" t="s">
        <v>7141</v>
      </c>
      <c r="L590">
        <v>81</v>
      </c>
      <c r="O590">
        <v>675895</v>
      </c>
      <c r="P590" t="s">
        <v>7008</v>
      </c>
      <c r="Q590">
        <v>1</v>
      </c>
    </row>
    <row r="591" spans="1:17" x14ac:dyDescent="0.25">
      <c r="A591">
        <v>4</v>
      </c>
      <c r="B591" t="s">
        <v>7142</v>
      </c>
      <c r="C591" t="s">
        <v>18</v>
      </c>
      <c r="D591" t="s">
        <v>7008</v>
      </c>
      <c r="G591">
        <v>676144</v>
      </c>
      <c r="H591" t="s">
        <v>7143</v>
      </c>
      <c r="I591" t="s">
        <v>7144</v>
      </c>
      <c r="J591">
        <v>676144</v>
      </c>
      <c r="K591" t="s">
        <v>7145</v>
      </c>
      <c r="L591">
        <v>23</v>
      </c>
      <c r="O591">
        <v>676144</v>
      </c>
      <c r="P591" t="s">
        <v>7008</v>
      </c>
      <c r="Q591">
        <v>1</v>
      </c>
    </row>
    <row r="592" spans="1:17" x14ac:dyDescent="0.25">
      <c r="A592">
        <v>3</v>
      </c>
      <c r="B592" t="s">
        <v>7146</v>
      </c>
      <c r="C592" t="s">
        <v>18</v>
      </c>
      <c r="D592" t="s">
        <v>7008</v>
      </c>
      <c r="F592" t="s">
        <v>150</v>
      </c>
      <c r="H592" t="s">
        <v>151</v>
      </c>
      <c r="I592" t="s">
        <v>400</v>
      </c>
      <c r="J592" t="s">
        <v>150</v>
      </c>
      <c r="O592" t="s">
        <v>150</v>
      </c>
      <c r="P592" t="s">
        <v>7008</v>
      </c>
      <c r="Q592">
        <v>1</v>
      </c>
    </row>
    <row r="593" spans="1:17" x14ac:dyDescent="0.25">
      <c r="A593">
        <v>4</v>
      </c>
      <c r="B593" t="s">
        <v>7147</v>
      </c>
      <c r="C593" t="s">
        <v>18</v>
      </c>
      <c r="D593" t="s">
        <v>7008</v>
      </c>
      <c r="G593">
        <v>177589</v>
      </c>
      <c r="H593" t="s">
        <v>7148</v>
      </c>
      <c r="I593" t="s">
        <v>7149</v>
      </c>
      <c r="J593">
        <v>177589</v>
      </c>
      <c r="K593" t="s">
        <v>7150</v>
      </c>
      <c r="L593">
        <v>88</v>
      </c>
      <c r="O593">
        <v>177589</v>
      </c>
      <c r="P593" t="s">
        <v>7008</v>
      </c>
      <c r="Q593">
        <v>1</v>
      </c>
    </row>
    <row r="594" spans="1:17" x14ac:dyDescent="0.25">
      <c r="A594">
        <v>4</v>
      </c>
      <c r="B594" t="s">
        <v>7151</v>
      </c>
      <c r="C594" t="s">
        <v>18</v>
      </c>
      <c r="D594" t="s">
        <v>7008</v>
      </c>
      <c r="G594">
        <v>197346</v>
      </c>
      <c r="H594" t="s">
        <v>7152</v>
      </c>
      <c r="I594" t="s">
        <v>7153</v>
      </c>
      <c r="J594">
        <v>197346</v>
      </c>
      <c r="K594" t="s">
        <v>7154</v>
      </c>
      <c r="L594">
        <v>4</v>
      </c>
      <c r="N594" t="s">
        <v>4713</v>
      </c>
      <c r="O594">
        <v>197346</v>
      </c>
      <c r="P594" t="s">
        <v>7008</v>
      </c>
      <c r="Q594">
        <v>1</v>
      </c>
    </row>
    <row r="595" spans="1:17" x14ac:dyDescent="0.25">
      <c r="A595">
        <v>4</v>
      </c>
      <c r="B595" t="s">
        <v>7155</v>
      </c>
      <c r="C595" t="s">
        <v>18</v>
      </c>
      <c r="D595" t="s">
        <v>7008</v>
      </c>
      <c r="G595">
        <v>20415</v>
      </c>
      <c r="H595" t="s">
        <v>7156</v>
      </c>
      <c r="I595" t="s">
        <v>7157</v>
      </c>
      <c r="J595">
        <v>20415</v>
      </c>
      <c r="K595" t="s">
        <v>7158</v>
      </c>
      <c r="L595">
        <v>102</v>
      </c>
      <c r="O595">
        <v>20415</v>
      </c>
      <c r="P595" t="s">
        <v>7008</v>
      </c>
      <c r="Q595">
        <v>1</v>
      </c>
    </row>
    <row r="596" spans="1:17" x14ac:dyDescent="0.25">
      <c r="A596">
        <v>4</v>
      </c>
      <c r="B596" t="s">
        <v>7159</v>
      </c>
      <c r="C596" t="s">
        <v>18</v>
      </c>
      <c r="D596" t="s">
        <v>7008</v>
      </c>
      <c r="G596">
        <v>26232</v>
      </c>
      <c r="H596" t="s">
        <v>7160</v>
      </c>
      <c r="I596" t="s">
        <v>7161</v>
      </c>
      <c r="J596">
        <v>26232</v>
      </c>
      <c r="K596" t="s">
        <v>7162</v>
      </c>
      <c r="L596">
        <v>163</v>
      </c>
      <c r="O596">
        <v>26232</v>
      </c>
      <c r="P596" t="s">
        <v>7008</v>
      </c>
      <c r="Q596">
        <v>1</v>
      </c>
    </row>
    <row r="597" spans="1:17" x14ac:dyDescent="0.25">
      <c r="A597">
        <v>4</v>
      </c>
      <c r="B597" t="s">
        <v>7163</v>
      </c>
      <c r="C597" t="s">
        <v>18</v>
      </c>
      <c r="D597" t="s">
        <v>7008</v>
      </c>
      <c r="G597">
        <v>26234</v>
      </c>
      <c r="H597" t="s">
        <v>7164</v>
      </c>
      <c r="I597" t="s">
        <v>7165</v>
      </c>
      <c r="J597">
        <v>26234</v>
      </c>
      <c r="K597" t="s">
        <v>7166</v>
      </c>
      <c r="L597">
        <v>77</v>
      </c>
      <c r="O597">
        <v>26234</v>
      </c>
      <c r="P597" t="s">
        <v>7008</v>
      </c>
      <c r="Q597">
        <v>1</v>
      </c>
    </row>
    <row r="598" spans="1:17" x14ac:dyDescent="0.25">
      <c r="A598">
        <v>4</v>
      </c>
      <c r="B598" t="s">
        <v>7167</v>
      </c>
      <c r="C598" t="s">
        <v>18</v>
      </c>
      <c r="D598" t="s">
        <v>7008</v>
      </c>
      <c r="G598">
        <v>26236</v>
      </c>
      <c r="H598" t="s">
        <v>7168</v>
      </c>
      <c r="I598" t="s">
        <v>7169</v>
      </c>
      <c r="J598">
        <v>26236</v>
      </c>
      <c r="K598" t="s">
        <v>7170</v>
      </c>
      <c r="L598">
        <v>127</v>
      </c>
      <c r="O598">
        <v>26236</v>
      </c>
      <c r="P598" t="s">
        <v>7008</v>
      </c>
      <c r="Q598">
        <v>1</v>
      </c>
    </row>
    <row r="599" spans="1:17" x14ac:dyDescent="0.25">
      <c r="A599">
        <v>4</v>
      </c>
      <c r="B599" t="s">
        <v>7171</v>
      </c>
      <c r="C599" t="s">
        <v>18</v>
      </c>
      <c r="D599" t="s">
        <v>7008</v>
      </c>
      <c r="G599">
        <v>26238</v>
      </c>
      <c r="H599" t="s">
        <v>7172</v>
      </c>
      <c r="I599" t="s">
        <v>7173</v>
      </c>
      <c r="J599">
        <v>26238</v>
      </c>
      <c r="K599" t="s">
        <v>7174</v>
      </c>
      <c r="L599">
        <v>39</v>
      </c>
      <c r="O599">
        <v>26238</v>
      </c>
      <c r="P599" t="s">
        <v>7008</v>
      </c>
      <c r="Q599">
        <v>1</v>
      </c>
    </row>
    <row r="600" spans="1:17" x14ac:dyDescent="0.25">
      <c r="A600">
        <v>4</v>
      </c>
      <c r="B600" t="s">
        <v>7175</v>
      </c>
      <c r="C600" t="s">
        <v>18</v>
      </c>
      <c r="D600" t="s">
        <v>7008</v>
      </c>
      <c r="G600">
        <v>272984</v>
      </c>
      <c r="H600" t="s">
        <v>7176</v>
      </c>
      <c r="I600" t="s">
        <v>7177</v>
      </c>
      <c r="J600">
        <v>272984</v>
      </c>
      <c r="K600" t="s">
        <v>7178</v>
      </c>
      <c r="L600">
        <v>165</v>
      </c>
      <c r="O600">
        <v>272984</v>
      </c>
      <c r="P600" t="s">
        <v>7008</v>
      </c>
      <c r="Q600">
        <v>1</v>
      </c>
    </row>
    <row r="601" spans="1:17" x14ac:dyDescent="0.25">
      <c r="A601">
        <v>4</v>
      </c>
      <c r="B601" t="s">
        <v>7179</v>
      </c>
      <c r="C601" t="s">
        <v>18</v>
      </c>
      <c r="D601" t="s">
        <v>7008</v>
      </c>
      <c r="G601">
        <v>676284</v>
      </c>
      <c r="H601" t="s">
        <v>7180</v>
      </c>
      <c r="I601" t="s">
        <v>7181</v>
      </c>
      <c r="J601">
        <v>676284</v>
      </c>
      <c r="K601" t="s">
        <v>7182</v>
      </c>
      <c r="L601">
        <v>5</v>
      </c>
      <c r="N601" t="s">
        <v>4713</v>
      </c>
      <c r="O601">
        <v>676284</v>
      </c>
      <c r="P601" t="s">
        <v>7008</v>
      </c>
      <c r="Q601">
        <v>1</v>
      </c>
    </row>
    <row r="602" spans="1:17" x14ac:dyDescent="0.25">
      <c r="A602">
        <v>4</v>
      </c>
      <c r="B602" t="s">
        <v>7183</v>
      </c>
      <c r="C602" t="s">
        <v>18</v>
      </c>
      <c r="D602" t="s">
        <v>7008</v>
      </c>
      <c r="G602" t="s">
        <v>7184</v>
      </c>
      <c r="H602" t="s">
        <v>7185</v>
      </c>
      <c r="I602" t="s">
        <v>7186</v>
      </c>
      <c r="J602" t="s">
        <v>7184</v>
      </c>
      <c r="K602" t="s">
        <v>7187</v>
      </c>
      <c r="L602">
        <v>240</v>
      </c>
      <c r="O602" t="s">
        <v>7184</v>
      </c>
      <c r="P602" t="s">
        <v>7008</v>
      </c>
      <c r="Q602">
        <v>1</v>
      </c>
    </row>
    <row r="603" spans="1:17" x14ac:dyDescent="0.25">
      <c r="A603">
        <v>4</v>
      </c>
      <c r="B603" t="s">
        <v>7188</v>
      </c>
      <c r="C603" t="s">
        <v>18</v>
      </c>
      <c r="D603" t="s">
        <v>7008</v>
      </c>
      <c r="G603" t="s">
        <v>7189</v>
      </c>
      <c r="H603" t="s">
        <v>7190</v>
      </c>
      <c r="I603" t="s">
        <v>7191</v>
      </c>
      <c r="J603" t="s">
        <v>7189</v>
      </c>
      <c r="K603" t="s">
        <v>7192</v>
      </c>
      <c r="L603">
        <v>82</v>
      </c>
      <c r="O603" t="s">
        <v>7189</v>
      </c>
      <c r="P603" t="s">
        <v>7008</v>
      </c>
      <c r="Q603">
        <v>1</v>
      </c>
    </row>
    <row r="604" spans="1:17" x14ac:dyDescent="0.25">
      <c r="A604">
        <v>4</v>
      </c>
      <c r="B604" t="s">
        <v>7193</v>
      </c>
      <c r="C604" t="s">
        <v>18</v>
      </c>
      <c r="D604" t="s">
        <v>7008</v>
      </c>
      <c r="G604" t="s">
        <v>7194</v>
      </c>
      <c r="H604" t="s">
        <v>7195</v>
      </c>
      <c r="I604" t="s">
        <v>7196</v>
      </c>
      <c r="J604" t="s">
        <v>7194</v>
      </c>
      <c r="K604" t="s">
        <v>7197</v>
      </c>
      <c r="L604">
        <v>323</v>
      </c>
      <c r="O604" t="s">
        <v>7194</v>
      </c>
      <c r="P604" t="s">
        <v>7008</v>
      </c>
      <c r="Q604">
        <v>1</v>
      </c>
    </row>
    <row r="605" spans="1:17" x14ac:dyDescent="0.25">
      <c r="A605">
        <v>3</v>
      </c>
      <c r="B605" t="s">
        <v>7198</v>
      </c>
      <c r="C605" t="s">
        <v>18</v>
      </c>
      <c r="D605" t="s">
        <v>7008</v>
      </c>
      <c r="F605" t="s">
        <v>159</v>
      </c>
      <c r="H605" t="s">
        <v>7199</v>
      </c>
      <c r="I605" t="s">
        <v>412</v>
      </c>
      <c r="J605" t="s">
        <v>159</v>
      </c>
      <c r="O605" t="s">
        <v>159</v>
      </c>
      <c r="P605" t="s">
        <v>7008</v>
      </c>
      <c r="Q605">
        <v>1</v>
      </c>
    </row>
    <row r="606" spans="1:17" x14ac:dyDescent="0.25">
      <c r="A606">
        <v>4</v>
      </c>
      <c r="B606" t="s">
        <v>7200</v>
      </c>
      <c r="C606" t="s">
        <v>18</v>
      </c>
      <c r="D606" t="s">
        <v>7008</v>
      </c>
      <c r="G606">
        <v>20661</v>
      </c>
      <c r="H606" t="s">
        <v>7201</v>
      </c>
      <c r="I606" t="s">
        <v>7202</v>
      </c>
      <c r="J606">
        <v>20661</v>
      </c>
      <c r="K606" t="s">
        <v>7203</v>
      </c>
      <c r="L606">
        <v>211</v>
      </c>
      <c r="O606">
        <v>20661</v>
      </c>
      <c r="P606" t="s">
        <v>7008</v>
      </c>
      <c r="Q606">
        <v>1</v>
      </c>
    </row>
    <row r="607" spans="1:17" x14ac:dyDescent="0.25">
      <c r="A607">
        <v>4</v>
      </c>
      <c r="B607" t="s">
        <v>7204</v>
      </c>
      <c r="C607" t="s">
        <v>18</v>
      </c>
      <c r="D607" t="s">
        <v>7008</v>
      </c>
      <c r="G607">
        <v>24055</v>
      </c>
      <c r="H607" t="s">
        <v>7102</v>
      </c>
      <c r="I607" t="s">
        <v>7103</v>
      </c>
      <c r="J607">
        <v>24055</v>
      </c>
      <c r="K607" t="s">
        <v>7205</v>
      </c>
      <c r="L607">
        <v>386</v>
      </c>
      <c r="O607">
        <v>24055</v>
      </c>
      <c r="P607" t="s">
        <v>7008</v>
      </c>
      <c r="Q607">
        <v>1</v>
      </c>
    </row>
    <row r="608" spans="1:17" x14ac:dyDescent="0.25">
      <c r="A608">
        <v>4</v>
      </c>
      <c r="B608" t="s">
        <v>7206</v>
      </c>
      <c r="C608" t="s">
        <v>18</v>
      </c>
      <c r="D608" t="s">
        <v>7008</v>
      </c>
      <c r="G608">
        <v>273006</v>
      </c>
      <c r="H608" t="s">
        <v>7207</v>
      </c>
      <c r="I608" t="s">
        <v>7208</v>
      </c>
      <c r="J608">
        <v>273006</v>
      </c>
      <c r="K608" t="s">
        <v>7209</v>
      </c>
      <c r="L608">
        <v>342</v>
      </c>
      <c r="O608">
        <v>273006</v>
      </c>
      <c r="P608" t="s">
        <v>7008</v>
      </c>
      <c r="Q608">
        <v>1</v>
      </c>
    </row>
    <row r="609" spans="1:17" x14ac:dyDescent="0.25">
      <c r="A609">
        <v>4</v>
      </c>
      <c r="B609" t="s">
        <v>7210</v>
      </c>
      <c r="C609" t="s">
        <v>18</v>
      </c>
      <c r="D609" t="s">
        <v>7008</v>
      </c>
      <c r="G609">
        <v>541357</v>
      </c>
      <c r="H609" t="s">
        <v>7211</v>
      </c>
      <c r="I609" t="s">
        <v>7212</v>
      </c>
      <c r="J609">
        <v>541357</v>
      </c>
      <c r="K609" t="s">
        <v>7213</v>
      </c>
      <c r="L609">
        <v>152</v>
      </c>
      <c r="O609">
        <v>541357</v>
      </c>
      <c r="P609" t="s">
        <v>7008</v>
      </c>
      <c r="Q609">
        <v>1</v>
      </c>
    </row>
    <row r="610" spans="1:17" x14ac:dyDescent="0.25">
      <c r="A610">
        <v>4</v>
      </c>
      <c r="B610" t="s">
        <v>7214</v>
      </c>
      <c r="C610" t="s">
        <v>18</v>
      </c>
      <c r="D610" t="s">
        <v>7008</v>
      </c>
      <c r="G610">
        <v>541358</v>
      </c>
      <c r="H610" t="s">
        <v>7215</v>
      </c>
      <c r="I610" t="s">
        <v>7216</v>
      </c>
      <c r="J610">
        <v>541358</v>
      </c>
      <c r="K610" t="s">
        <v>7217</v>
      </c>
      <c r="L610">
        <v>13</v>
      </c>
      <c r="O610">
        <v>541358</v>
      </c>
      <c r="P610" t="s">
        <v>7008</v>
      </c>
      <c r="Q610">
        <v>1</v>
      </c>
    </row>
    <row r="611" spans="1:17" x14ac:dyDescent="0.25">
      <c r="A611">
        <v>4</v>
      </c>
      <c r="B611" t="s">
        <v>7218</v>
      </c>
      <c r="C611" t="s">
        <v>18</v>
      </c>
      <c r="D611" t="s">
        <v>7008</v>
      </c>
      <c r="G611">
        <v>554467</v>
      </c>
      <c r="H611" t="s">
        <v>7219</v>
      </c>
      <c r="I611" t="s">
        <v>7220</v>
      </c>
      <c r="J611">
        <v>554467</v>
      </c>
      <c r="K611" t="s">
        <v>7221</v>
      </c>
      <c r="L611">
        <v>48</v>
      </c>
      <c r="O611">
        <v>554467</v>
      </c>
      <c r="P611" t="s">
        <v>7008</v>
      </c>
      <c r="Q611">
        <v>1</v>
      </c>
    </row>
    <row r="612" spans="1:17" x14ac:dyDescent="0.25">
      <c r="A612">
        <v>4</v>
      </c>
      <c r="B612" t="s">
        <v>7222</v>
      </c>
      <c r="C612" t="s">
        <v>18</v>
      </c>
      <c r="D612" t="s">
        <v>7008</v>
      </c>
      <c r="G612">
        <v>648117</v>
      </c>
      <c r="H612" t="s">
        <v>7223</v>
      </c>
      <c r="I612" t="s">
        <v>7224</v>
      </c>
      <c r="J612">
        <v>648117</v>
      </c>
      <c r="K612" t="s">
        <v>7225</v>
      </c>
      <c r="L612">
        <v>20</v>
      </c>
      <c r="O612">
        <v>648117</v>
      </c>
      <c r="P612" t="s">
        <v>7008</v>
      </c>
      <c r="Q612">
        <v>1</v>
      </c>
    </row>
    <row r="613" spans="1:17" x14ac:dyDescent="0.25">
      <c r="A613">
        <v>4</v>
      </c>
      <c r="B613" t="s">
        <v>7226</v>
      </c>
      <c r="C613" t="s">
        <v>18</v>
      </c>
      <c r="D613" t="s">
        <v>7008</v>
      </c>
      <c r="G613" t="s">
        <v>7227</v>
      </c>
      <c r="H613" t="s">
        <v>7228</v>
      </c>
      <c r="I613" t="s">
        <v>7229</v>
      </c>
      <c r="J613" t="s">
        <v>7227</v>
      </c>
      <c r="K613" t="s">
        <v>7230</v>
      </c>
      <c r="L613">
        <v>266</v>
      </c>
      <c r="O613" t="s">
        <v>7227</v>
      </c>
      <c r="P613" t="s">
        <v>7008</v>
      </c>
      <c r="Q613">
        <v>1</v>
      </c>
    </row>
    <row r="614" spans="1:17" x14ac:dyDescent="0.25">
      <c r="A614">
        <v>4</v>
      </c>
      <c r="B614" t="s">
        <v>7231</v>
      </c>
      <c r="C614" t="s">
        <v>18</v>
      </c>
      <c r="D614" t="s">
        <v>7008</v>
      </c>
      <c r="G614" t="s">
        <v>7232</v>
      </c>
      <c r="H614" t="s">
        <v>7233</v>
      </c>
      <c r="I614" t="s">
        <v>7234</v>
      </c>
      <c r="J614" t="s">
        <v>7232</v>
      </c>
      <c r="K614" t="s">
        <v>7235</v>
      </c>
      <c r="L614">
        <v>13</v>
      </c>
      <c r="O614" t="s">
        <v>7232</v>
      </c>
      <c r="P614" t="s">
        <v>7008</v>
      </c>
      <c r="Q614">
        <v>1</v>
      </c>
    </row>
    <row r="615" spans="1:17" x14ac:dyDescent="0.25">
      <c r="A615">
        <v>4</v>
      </c>
      <c r="B615" t="s">
        <v>7236</v>
      </c>
      <c r="C615" t="s">
        <v>18</v>
      </c>
      <c r="D615" t="s">
        <v>7008</v>
      </c>
      <c r="G615" t="s">
        <v>7237</v>
      </c>
      <c r="H615" t="s">
        <v>7238</v>
      </c>
      <c r="I615" t="s">
        <v>7239</v>
      </c>
      <c r="J615" t="s">
        <v>7237</v>
      </c>
      <c r="K615" t="s">
        <v>7240</v>
      </c>
      <c r="L615">
        <v>52</v>
      </c>
      <c r="O615" t="s">
        <v>7237</v>
      </c>
      <c r="P615" t="s">
        <v>7008</v>
      </c>
      <c r="Q615">
        <v>1</v>
      </c>
    </row>
    <row r="616" spans="1:17" x14ac:dyDescent="0.25">
      <c r="A616">
        <v>4</v>
      </c>
      <c r="B616" t="s">
        <v>7241</v>
      </c>
      <c r="C616" t="s">
        <v>18</v>
      </c>
      <c r="D616" t="s">
        <v>7008</v>
      </c>
      <c r="G616" t="s">
        <v>7242</v>
      </c>
      <c r="H616" t="s">
        <v>7243</v>
      </c>
      <c r="I616" t="s">
        <v>7244</v>
      </c>
      <c r="J616" t="s">
        <v>7242</v>
      </c>
      <c r="K616" t="s">
        <v>7245</v>
      </c>
      <c r="L616" t="s">
        <v>7246</v>
      </c>
      <c r="O616" t="s">
        <v>7242</v>
      </c>
      <c r="P616" t="s">
        <v>7008</v>
      </c>
      <c r="Q616">
        <v>1</v>
      </c>
    </row>
    <row r="617" spans="1:17" x14ac:dyDescent="0.25">
      <c r="A617">
        <v>4</v>
      </c>
      <c r="B617" t="s">
        <v>7247</v>
      </c>
      <c r="C617" t="s">
        <v>18</v>
      </c>
      <c r="D617" t="s">
        <v>7008</v>
      </c>
      <c r="G617" t="s">
        <v>7248</v>
      </c>
      <c r="H617" t="s">
        <v>7249</v>
      </c>
      <c r="I617" t="s">
        <v>7250</v>
      </c>
      <c r="J617" t="s">
        <v>7248</v>
      </c>
      <c r="K617" t="s">
        <v>7251</v>
      </c>
      <c r="L617" t="s">
        <v>7252</v>
      </c>
      <c r="O617" t="s">
        <v>7248</v>
      </c>
      <c r="P617" t="s">
        <v>7008</v>
      </c>
      <c r="Q617">
        <v>1</v>
      </c>
    </row>
    <row r="618" spans="1:17" x14ac:dyDescent="0.25">
      <c r="A618">
        <v>4</v>
      </c>
      <c r="B618" t="s">
        <v>7253</v>
      </c>
      <c r="C618" t="s">
        <v>18</v>
      </c>
      <c r="D618" t="s">
        <v>7008</v>
      </c>
      <c r="G618" t="s">
        <v>7254</v>
      </c>
      <c r="H618" t="s">
        <v>7255</v>
      </c>
      <c r="I618" t="s">
        <v>7256</v>
      </c>
      <c r="J618" t="s">
        <v>7254</v>
      </c>
      <c r="K618" t="s">
        <v>7257</v>
      </c>
      <c r="L618">
        <v>44</v>
      </c>
      <c r="O618" t="s">
        <v>7254</v>
      </c>
      <c r="P618" t="s">
        <v>7008</v>
      </c>
      <c r="Q618">
        <v>1</v>
      </c>
    </row>
    <row r="619" spans="1:17" x14ac:dyDescent="0.25">
      <c r="A619">
        <v>3</v>
      </c>
      <c r="B619" t="s">
        <v>7258</v>
      </c>
      <c r="C619" t="s">
        <v>18</v>
      </c>
      <c r="D619" t="s">
        <v>7008</v>
      </c>
      <c r="F619" t="s">
        <v>161</v>
      </c>
      <c r="H619" t="s">
        <v>138</v>
      </c>
      <c r="I619" t="s">
        <v>988</v>
      </c>
      <c r="J619" t="s">
        <v>161</v>
      </c>
      <c r="O619" t="s">
        <v>161</v>
      </c>
      <c r="P619" t="s">
        <v>7008</v>
      </c>
      <c r="Q619">
        <v>2</v>
      </c>
    </row>
    <row r="620" spans="1:17" x14ac:dyDescent="0.25">
      <c r="A620">
        <v>4</v>
      </c>
      <c r="B620" t="s">
        <v>7259</v>
      </c>
      <c r="C620" t="s">
        <v>18</v>
      </c>
      <c r="D620" t="s">
        <v>7008</v>
      </c>
      <c r="G620">
        <v>272962</v>
      </c>
      <c r="H620" t="s">
        <v>7260</v>
      </c>
      <c r="I620" t="s">
        <v>7261</v>
      </c>
      <c r="J620">
        <v>272962</v>
      </c>
      <c r="K620" t="s">
        <v>7262</v>
      </c>
      <c r="L620">
        <v>32</v>
      </c>
      <c r="O620">
        <v>272962</v>
      </c>
      <c r="P620" t="s">
        <v>7008</v>
      </c>
      <c r="Q620">
        <v>1</v>
      </c>
    </row>
    <row r="621" spans="1:17" x14ac:dyDescent="0.25">
      <c r="A621">
        <v>4</v>
      </c>
      <c r="B621" t="s">
        <v>7263</v>
      </c>
      <c r="C621" t="s">
        <v>18</v>
      </c>
      <c r="D621" t="s">
        <v>7008</v>
      </c>
      <c r="G621" t="s">
        <v>7264</v>
      </c>
      <c r="H621" t="s">
        <v>7265</v>
      </c>
      <c r="I621" t="s">
        <v>7266</v>
      </c>
      <c r="J621" t="s">
        <v>7264</v>
      </c>
      <c r="K621" t="s">
        <v>7267</v>
      </c>
      <c r="L621">
        <v>762</v>
      </c>
      <c r="O621" t="s">
        <v>7264</v>
      </c>
      <c r="P621" t="s">
        <v>7008</v>
      </c>
      <c r="Q621">
        <v>1</v>
      </c>
    </row>
    <row r="622" spans="1:17" x14ac:dyDescent="0.25">
      <c r="A622">
        <v>4</v>
      </c>
      <c r="B622" t="s">
        <v>7268</v>
      </c>
      <c r="C622" t="s">
        <v>18</v>
      </c>
      <c r="D622" t="s">
        <v>7008</v>
      </c>
      <c r="G622" t="s">
        <v>7269</v>
      </c>
      <c r="H622" t="s">
        <v>7270</v>
      </c>
      <c r="I622" t="s">
        <v>7271</v>
      </c>
      <c r="J622" t="s">
        <v>7269</v>
      </c>
      <c r="K622" t="s">
        <v>7272</v>
      </c>
      <c r="L622">
        <v>331</v>
      </c>
      <c r="O622" t="s">
        <v>7269</v>
      </c>
      <c r="P622" t="s">
        <v>7008</v>
      </c>
      <c r="Q622">
        <v>1</v>
      </c>
    </row>
    <row r="623" spans="1:17" x14ac:dyDescent="0.25">
      <c r="A623">
        <v>3</v>
      </c>
      <c r="B623" t="s">
        <v>7273</v>
      </c>
      <c r="C623" t="s">
        <v>18</v>
      </c>
      <c r="D623" t="s">
        <v>7008</v>
      </c>
      <c r="F623" t="s">
        <v>157</v>
      </c>
      <c r="H623" t="s">
        <v>7274</v>
      </c>
      <c r="I623" t="s">
        <v>409</v>
      </c>
      <c r="J623" t="s">
        <v>157</v>
      </c>
      <c r="O623" t="s">
        <v>157</v>
      </c>
      <c r="P623" t="s">
        <v>7008</v>
      </c>
      <c r="Q623">
        <v>1</v>
      </c>
    </row>
    <row r="624" spans="1:17" x14ac:dyDescent="0.25">
      <c r="A624">
        <v>4</v>
      </c>
      <c r="B624" t="s">
        <v>7275</v>
      </c>
      <c r="C624" t="s">
        <v>18</v>
      </c>
      <c r="D624" t="s">
        <v>7008</v>
      </c>
      <c r="G624">
        <v>188798</v>
      </c>
      <c r="H624" t="s">
        <v>7276</v>
      </c>
      <c r="I624" t="s">
        <v>7277</v>
      </c>
      <c r="J624">
        <v>188798</v>
      </c>
      <c r="K624" t="s">
        <v>7278</v>
      </c>
      <c r="L624">
        <v>16</v>
      </c>
      <c r="O624">
        <v>188798</v>
      </c>
      <c r="P624" t="s">
        <v>7008</v>
      </c>
      <c r="Q624">
        <v>1</v>
      </c>
    </row>
    <row r="625" spans="1:17" x14ac:dyDescent="0.25">
      <c r="A625">
        <v>4</v>
      </c>
      <c r="B625" t="s">
        <v>7279</v>
      </c>
      <c r="C625" t="s">
        <v>18</v>
      </c>
      <c r="D625" t="s">
        <v>7008</v>
      </c>
      <c r="G625">
        <v>20451</v>
      </c>
      <c r="H625" t="s">
        <v>7280</v>
      </c>
      <c r="I625" t="s">
        <v>7281</v>
      </c>
      <c r="J625">
        <v>20451</v>
      </c>
      <c r="K625" t="s">
        <v>7282</v>
      </c>
      <c r="L625">
        <v>67</v>
      </c>
      <c r="O625">
        <v>20451</v>
      </c>
      <c r="P625" t="s">
        <v>7008</v>
      </c>
      <c r="Q625">
        <v>1</v>
      </c>
    </row>
    <row r="626" spans="1:17" x14ac:dyDescent="0.25">
      <c r="A626">
        <v>4</v>
      </c>
      <c r="B626" t="s">
        <v>7283</v>
      </c>
      <c r="C626" t="s">
        <v>18</v>
      </c>
      <c r="D626" t="s">
        <v>7008</v>
      </c>
      <c r="G626">
        <v>20453</v>
      </c>
      <c r="H626" t="s">
        <v>7284</v>
      </c>
      <c r="I626" t="s">
        <v>7285</v>
      </c>
      <c r="J626">
        <v>20453</v>
      </c>
      <c r="K626" t="s">
        <v>7286</v>
      </c>
      <c r="L626">
        <v>72</v>
      </c>
      <c r="O626">
        <v>20453</v>
      </c>
      <c r="P626" t="s">
        <v>7008</v>
      </c>
      <c r="Q626">
        <v>1</v>
      </c>
    </row>
    <row r="627" spans="1:17" x14ac:dyDescent="0.25">
      <c r="A627">
        <v>4</v>
      </c>
      <c r="B627" t="s">
        <v>7287</v>
      </c>
      <c r="C627" t="s">
        <v>18</v>
      </c>
      <c r="D627" t="s">
        <v>7008</v>
      </c>
      <c r="G627">
        <v>20455</v>
      </c>
      <c r="H627" t="s">
        <v>7288</v>
      </c>
      <c r="I627" t="s">
        <v>7289</v>
      </c>
      <c r="J627">
        <v>20455</v>
      </c>
      <c r="K627" t="s">
        <v>7290</v>
      </c>
      <c r="L627">
        <v>191</v>
      </c>
      <c r="O627">
        <v>20455</v>
      </c>
      <c r="P627" t="s">
        <v>7008</v>
      </c>
      <c r="Q627">
        <v>1</v>
      </c>
    </row>
    <row r="628" spans="1:17" x14ac:dyDescent="0.25">
      <c r="A628">
        <v>4</v>
      </c>
      <c r="B628" t="s">
        <v>7291</v>
      </c>
      <c r="C628" t="s">
        <v>18</v>
      </c>
      <c r="D628" t="s">
        <v>7008</v>
      </c>
      <c r="G628">
        <v>20457</v>
      </c>
      <c r="H628" t="s">
        <v>7292</v>
      </c>
      <c r="I628" t="s">
        <v>7293</v>
      </c>
      <c r="J628">
        <v>20457</v>
      </c>
      <c r="K628" t="s">
        <v>7294</v>
      </c>
      <c r="L628">
        <v>122</v>
      </c>
      <c r="O628">
        <v>20457</v>
      </c>
      <c r="P628" t="s">
        <v>7008</v>
      </c>
      <c r="Q628">
        <v>1</v>
      </c>
    </row>
    <row r="629" spans="1:17" x14ac:dyDescent="0.25">
      <c r="A629">
        <v>4</v>
      </c>
      <c r="B629" t="s">
        <v>7295</v>
      </c>
      <c r="C629" t="s">
        <v>18</v>
      </c>
      <c r="D629" t="s">
        <v>7008</v>
      </c>
      <c r="G629">
        <v>20459</v>
      </c>
      <c r="H629" t="s">
        <v>7296</v>
      </c>
      <c r="I629" t="s">
        <v>7297</v>
      </c>
      <c r="J629">
        <v>20459</v>
      </c>
      <c r="K629" t="s">
        <v>7298</v>
      </c>
      <c r="L629">
        <v>32</v>
      </c>
      <c r="O629">
        <v>20459</v>
      </c>
      <c r="P629" t="s">
        <v>7008</v>
      </c>
      <c r="Q629">
        <v>1</v>
      </c>
    </row>
    <row r="630" spans="1:17" x14ac:dyDescent="0.25">
      <c r="A630">
        <v>4</v>
      </c>
      <c r="B630" t="s">
        <v>7299</v>
      </c>
      <c r="C630" t="s">
        <v>18</v>
      </c>
      <c r="D630" t="s">
        <v>7008</v>
      </c>
      <c r="G630">
        <v>530868</v>
      </c>
      <c r="H630" t="s">
        <v>7300</v>
      </c>
      <c r="I630" t="s">
        <v>7301</v>
      </c>
      <c r="J630">
        <v>530868</v>
      </c>
      <c r="K630" t="s">
        <v>7302</v>
      </c>
      <c r="L630">
        <v>61</v>
      </c>
      <c r="O630">
        <v>530868</v>
      </c>
      <c r="P630" t="s">
        <v>7008</v>
      </c>
      <c r="Q630">
        <v>1</v>
      </c>
    </row>
    <row r="631" spans="1:17" x14ac:dyDescent="0.25">
      <c r="A631">
        <v>4</v>
      </c>
      <c r="B631" t="s">
        <v>7303</v>
      </c>
      <c r="C631" t="s">
        <v>18</v>
      </c>
      <c r="D631" t="s">
        <v>7008</v>
      </c>
      <c r="G631">
        <v>676107</v>
      </c>
      <c r="H631" t="s">
        <v>7102</v>
      </c>
      <c r="I631" t="s">
        <v>7103</v>
      </c>
      <c r="J631">
        <v>676107</v>
      </c>
      <c r="K631" t="s">
        <v>7304</v>
      </c>
      <c r="L631">
        <v>46</v>
      </c>
      <c r="O631">
        <v>676107</v>
      </c>
      <c r="P631" t="s">
        <v>7008</v>
      </c>
      <c r="Q631">
        <v>1</v>
      </c>
    </row>
    <row r="632" spans="1:17" x14ac:dyDescent="0.25">
      <c r="A632">
        <v>4</v>
      </c>
      <c r="B632" t="s">
        <v>7305</v>
      </c>
      <c r="C632" t="s">
        <v>18</v>
      </c>
      <c r="D632" t="s">
        <v>7008</v>
      </c>
      <c r="G632">
        <v>676145</v>
      </c>
      <c r="H632" t="s">
        <v>7306</v>
      </c>
      <c r="I632" t="s">
        <v>7307</v>
      </c>
      <c r="J632">
        <v>676145</v>
      </c>
      <c r="K632" t="s">
        <v>7308</v>
      </c>
      <c r="L632">
        <v>22</v>
      </c>
      <c r="O632">
        <v>676145</v>
      </c>
      <c r="P632" t="s">
        <v>7008</v>
      </c>
      <c r="Q632">
        <v>1</v>
      </c>
    </row>
    <row r="633" spans="1:17" x14ac:dyDescent="0.25">
      <c r="A633">
        <v>3</v>
      </c>
      <c r="B633" t="s">
        <v>7309</v>
      </c>
      <c r="C633" t="s">
        <v>18</v>
      </c>
      <c r="D633" t="s">
        <v>7008</v>
      </c>
      <c r="F633" t="s">
        <v>152</v>
      </c>
      <c r="H633" t="s">
        <v>153</v>
      </c>
      <c r="I633" t="s">
        <v>403</v>
      </c>
      <c r="J633" t="s">
        <v>152</v>
      </c>
      <c r="O633" t="s">
        <v>152</v>
      </c>
      <c r="P633" t="s">
        <v>7008</v>
      </c>
      <c r="Q633">
        <v>1</v>
      </c>
    </row>
    <row r="634" spans="1:17" x14ac:dyDescent="0.25">
      <c r="A634">
        <v>4</v>
      </c>
      <c r="B634" t="s">
        <v>7310</v>
      </c>
      <c r="C634" t="s">
        <v>18</v>
      </c>
      <c r="D634" t="s">
        <v>7008</v>
      </c>
      <c r="G634">
        <v>20672</v>
      </c>
      <c r="H634" t="s">
        <v>7311</v>
      </c>
      <c r="I634" t="s">
        <v>7312</v>
      </c>
      <c r="J634">
        <v>20672</v>
      </c>
      <c r="K634" t="s">
        <v>7313</v>
      </c>
      <c r="L634">
        <v>167</v>
      </c>
      <c r="O634">
        <v>20672</v>
      </c>
      <c r="P634" t="s">
        <v>7008</v>
      </c>
      <c r="Q634">
        <v>1</v>
      </c>
    </row>
    <row r="635" spans="1:17" x14ac:dyDescent="0.25">
      <c r="A635">
        <v>4</v>
      </c>
      <c r="B635" t="s">
        <v>7314</v>
      </c>
      <c r="C635" t="s">
        <v>18</v>
      </c>
      <c r="D635" t="s">
        <v>7008</v>
      </c>
      <c r="G635">
        <v>20674</v>
      </c>
      <c r="H635" t="s">
        <v>7315</v>
      </c>
      <c r="I635" t="s">
        <v>7316</v>
      </c>
      <c r="J635">
        <v>20674</v>
      </c>
      <c r="K635" t="s">
        <v>7317</v>
      </c>
      <c r="L635">
        <v>406</v>
      </c>
      <c r="O635">
        <v>20674</v>
      </c>
      <c r="P635" t="s">
        <v>7008</v>
      </c>
      <c r="Q635">
        <v>1</v>
      </c>
    </row>
    <row r="636" spans="1:17" x14ac:dyDescent="0.25">
      <c r="A636">
        <v>4</v>
      </c>
      <c r="B636" t="s">
        <v>7318</v>
      </c>
      <c r="C636" t="s">
        <v>18</v>
      </c>
      <c r="D636" t="s">
        <v>7008</v>
      </c>
      <c r="G636">
        <v>43388</v>
      </c>
      <c r="H636" t="s">
        <v>7319</v>
      </c>
      <c r="I636" t="s">
        <v>7320</v>
      </c>
      <c r="J636">
        <v>43388</v>
      </c>
      <c r="K636" t="s">
        <v>7321</v>
      </c>
      <c r="L636">
        <v>482</v>
      </c>
      <c r="O636">
        <v>43388</v>
      </c>
      <c r="P636" t="s">
        <v>7008</v>
      </c>
      <c r="Q636">
        <v>1</v>
      </c>
    </row>
    <row r="637" spans="1:17" x14ac:dyDescent="0.25">
      <c r="A637">
        <v>4</v>
      </c>
      <c r="B637" t="s">
        <v>7322</v>
      </c>
      <c r="C637" t="s">
        <v>18</v>
      </c>
      <c r="D637" t="s">
        <v>7008</v>
      </c>
      <c r="G637">
        <v>578236</v>
      </c>
      <c r="H637" t="s">
        <v>7323</v>
      </c>
      <c r="I637" t="s">
        <v>7103</v>
      </c>
      <c r="J637">
        <v>578236</v>
      </c>
      <c r="K637" t="s">
        <v>7324</v>
      </c>
      <c r="L637">
        <v>121</v>
      </c>
      <c r="O637">
        <v>578236</v>
      </c>
      <c r="P637" t="s">
        <v>7008</v>
      </c>
      <c r="Q637">
        <v>1</v>
      </c>
    </row>
    <row r="638" spans="1:17" x14ac:dyDescent="0.25">
      <c r="A638">
        <v>4</v>
      </c>
      <c r="B638" t="s">
        <v>7325</v>
      </c>
      <c r="C638" t="s">
        <v>18</v>
      </c>
      <c r="D638" t="s">
        <v>7008</v>
      </c>
      <c r="G638">
        <v>578296</v>
      </c>
      <c r="H638" t="s">
        <v>7326</v>
      </c>
      <c r="I638" t="s">
        <v>7327</v>
      </c>
      <c r="J638">
        <v>578296</v>
      </c>
      <c r="K638" t="s">
        <v>7328</v>
      </c>
      <c r="L638">
        <v>70</v>
      </c>
      <c r="O638">
        <v>578296</v>
      </c>
      <c r="P638" t="s">
        <v>7008</v>
      </c>
      <c r="Q638">
        <v>1</v>
      </c>
    </row>
    <row r="639" spans="1:17" x14ac:dyDescent="0.25">
      <c r="A639">
        <v>4</v>
      </c>
      <c r="B639" t="s">
        <v>7329</v>
      </c>
      <c r="C639" t="s">
        <v>18</v>
      </c>
      <c r="D639" t="s">
        <v>7008</v>
      </c>
      <c r="G639" t="s">
        <v>7330</v>
      </c>
      <c r="H639" t="s">
        <v>7331</v>
      </c>
      <c r="I639" t="s">
        <v>7332</v>
      </c>
      <c r="J639" t="s">
        <v>7330</v>
      </c>
      <c r="K639" t="s">
        <v>7333</v>
      </c>
      <c r="L639" t="s">
        <v>7334</v>
      </c>
      <c r="O639" t="s">
        <v>7330</v>
      </c>
      <c r="P639" t="s">
        <v>7008</v>
      </c>
      <c r="Q639">
        <v>1</v>
      </c>
    </row>
    <row r="640" spans="1:17" x14ac:dyDescent="0.25">
      <c r="A640">
        <v>4</v>
      </c>
      <c r="B640" t="s">
        <v>7335</v>
      </c>
      <c r="C640" t="s">
        <v>18</v>
      </c>
      <c r="D640" t="s">
        <v>7008</v>
      </c>
      <c r="G640" t="s">
        <v>7336</v>
      </c>
      <c r="H640" t="s">
        <v>7337</v>
      </c>
      <c r="I640" t="s">
        <v>7338</v>
      </c>
      <c r="J640" t="s">
        <v>7336</v>
      </c>
      <c r="K640" t="s">
        <v>7339</v>
      </c>
      <c r="L640">
        <v>788</v>
      </c>
      <c r="O640" t="s">
        <v>7336</v>
      </c>
      <c r="P640" t="s">
        <v>7008</v>
      </c>
      <c r="Q640">
        <v>1</v>
      </c>
    </row>
    <row r="641" spans="1:17" x14ac:dyDescent="0.25">
      <c r="A641">
        <v>4</v>
      </c>
      <c r="B641" t="s">
        <v>7340</v>
      </c>
      <c r="C641" t="s">
        <v>18</v>
      </c>
      <c r="D641" t="s">
        <v>7008</v>
      </c>
      <c r="G641" t="s">
        <v>7341</v>
      </c>
      <c r="H641" t="s">
        <v>7342</v>
      </c>
      <c r="I641" t="s">
        <v>7343</v>
      </c>
      <c r="J641" t="s">
        <v>7341</v>
      </c>
      <c r="K641" t="s">
        <v>7344</v>
      </c>
      <c r="L641">
        <v>449</v>
      </c>
      <c r="O641" t="s">
        <v>7341</v>
      </c>
      <c r="P641" t="s">
        <v>7008</v>
      </c>
      <c r="Q641">
        <v>1</v>
      </c>
    </row>
    <row r="642" spans="1:17" x14ac:dyDescent="0.25">
      <c r="A642">
        <v>4</v>
      </c>
      <c r="B642" t="s">
        <v>7345</v>
      </c>
      <c r="C642" t="s">
        <v>18</v>
      </c>
      <c r="D642" t="s">
        <v>7008</v>
      </c>
      <c r="G642" t="s">
        <v>7346</v>
      </c>
      <c r="H642" t="s">
        <v>7347</v>
      </c>
      <c r="I642" t="s">
        <v>7348</v>
      </c>
      <c r="J642" t="s">
        <v>7346</v>
      </c>
      <c r="K642" t="s">
        <v>7349</v>
      </c>
      <c r="L642">
        <v>369</v>
      </c>
      <c r="O642" t="s">
        <v>7346</v>
      </c>
      <c r="P642" t="s">
        <v>7008</v>
      </c>
      <c r="Q642">
        <v>1</v>
      </c>
    </row>
    <row r="643" spans="1:17" x14ac:dyDescent="0.25">
      <c r="A643">
        <v>4</v>
      </c>
      <c r="B643" t="s">
        <v>7350</v>
      </c>
      <c r="C643" t="s">
        <v>18</v>
      </c>
      <c r="D643" t="s">
        <v>7008</v>
      </c>
      <c r="G643" t="s">
        <v>7351</v>
      </c>
      <c r="H643" t="s">
        <v>7352</v>
      </c>
      <c r="I643" t="s">
        <v>7353</v>
      </c>
      <c r="J643" t="s">
        <v>7351</v>
      </c>
      <c r="K643" t="s">
        <v>7354</v>
      </c>
      <c r="L643">
        <v>39</v>
      </c>
      <c r="O643" t="s">
        <v>7351</v>
      </c>
      <c r="P643" t="s">
        <v>7008</v>
      </c>
      <c r="Q643">
        <v>1</v>
      </c>
    </row>
    <row r="644" spans="1:17" x14ac:dyDescent="0.25">
      <c r="A644">
        <v>3</v>
      </c>
      <c r="B644" t="s">
        <v>7355</v>
      </c>
      <c r="C644" t="s">
        <v>18</v>
      </c>
      <c r="D644" t="s">
        <v>7008</v>
      </c>
      <c r="F644" t="s">
        <v>7356</v>
      </c>
      <c r="H644" t="s">
        <v>7357</v>
      </c>
      <c r="I644" t="s">
        <v>7358</v>
      </c>
      <c r="J644" t="s">
        <v>7356</v>
      </c>
      <c r="O644" t="s">
        <v>7356</v>
      </c>
      <c r="P644" t="s">
        <v>7008</v>
      </c>
      <c r="Q644">
        <v>1</v>
      </c>
    </row>
    <row r="645" spans="1:17" x14ac:dyDescent="0.25">
      <c r="A645">
        <v>4</v>
      </c>
      <c r="B645" t="s">
        <v>7359</v>
      </c>
      <c r="C645" t="s">
        <v>18</v>
      </c>
      <c r="D645" t="s">
        <v>7008</v>
      </c>
      <c r="G645">
        <v>238422</v>
      </c>
      <c r="H645" t="s">
        <v>7360</v>
      </c>
      <c r="I645" t="s">
        <v>7361</v>
      </c>
      <c r="J645">
        <v>238422</v>
      </c>
      <c r="K645" t="s">
        <v>7362</v>
      </c>
      <c r="L645">
        <v>27</v>
      </c>
      <c r="O645">
        <v>238422</v>
      </c>
      <c r="P645" t="s">
        <v>7008</v>
      </c>
      <c r="Q645">
        <v>1</v>
      </c>
    </row>
    <row r="646" spans="1:17" x14ac:dyDescent="0.25">
      <c r="A646">
        <v>4</v>
      </c>
      <c r="B646" t="s">
        <v>7363</v>
      </c>
      <c r="C646" t="s">
        <v>18</v>
      </c>
      <c r="D646" t="s">
        <v>7008</v>
      </c>
      <c r="G646" t="s">
        <v>7364</v>
      </c>
      <c r="H646" t="s">
        <v>7357</v>
      </c>
      <c r="I646" t="s">
        <v>7365</v>
      </c>
      <c r="J646" t="s">
        <v>7364</v>
      </c>
      <c r="K646" t="s">
        <v>7366</v>
      </c>
      <c r="L646">
        <v>33</v>
      </c>
      <c r="O646" t="s">
        <v>7364</v>
      </c>
      <c r="P646" t="s">
        <v>7008</v>
      </c>
      <c r="Q646">
        <v>1</v>
      </c>
    </row>
    <row r="647" spans="1:17" x14ac:dyDescent="0.25">
      <c r="A647">
        <v>4</v>
      </c>
      <c r="B647" t="s">
        <v>7367</v>
      </c>
      <c r="C647" t="s">
        <v>18</v>
      </c>
      <c r="D647" t="s">
        <v>7008</v>
      </c>
      <c r="G647" t="s">
        <v>7368</v>
      </c>
      <c r="H647" t="s">
        <v>7369</v>
      </c>
      <c r="I647" t="s">
        <v>7370</v>
      </c>
      <c r="J647" t="s">
        <v>7368</v>
      </c>
      <c r="K647" t="s">
        <v>7371</v>
      </c>
      <c r="L647">
        <v>57</v>
      </c>
      <c r="O647" t="s">
        <v>7368</v>
      </c>
      <c r="P647" t="s">
        <v>7008</v>
      </c>
      <c r="Q647">
        <v>1</v>
      </c>
    </row>
    <row r="648" spans="1:17" x14ac:dyDescent="0.25">
      <c r="A648">
        <v>3</v>
      </c>
      <c r="B648" t="s">
        <v>7372</v>
      </c>
      <c r="C648" t="s">
        <v>18</v>
      </c>
      <c r="D648" t="s">
        <v>7008</v>
      </c>
      <c r="F648" t="s">
        <v>7373</v>
      </c>
      <c r="H648" t="s">
        <v>7374</v>
      </c>
      <c r="I648" t="s">
        <v>7375</v>
      </c>
      <c r="J648" t="s">
        <v>7373</v>
      </c>
      <c r="O648" t="s">
        <v>7373</v>
      </c>
      <c r="P648" t="s">
        <v>7008</v>
      </c>
      <c r="Q648">
        <v>1</v>
      </c>
    </row>
    <row r="649" spans="1:17" x14ac:dyDescent="0.25">
      <c r="A649">
        <v>4</v>
      </c>
      <c r="B649" t="s">
        <v>7376</v>
      </c>
      <c r="C649" t="s">
        <v>18</v>
      </c>
      <c r="D649" t="s">
        <v>7008</v>
      </c>
      <c r="G649">
        <v>20498</v>
      </c>
      <c r="H649" t="s">
        <v>7374</v>
      </c>
      <c r="I649" t="s">
        <v>7377</v>
      </c>
      <c r="J649">
        <v>20498</v>
      </c>
      <c r="K649" t="s">
        <v>7378</v>
      </c>
      <c r="L649">
        <v>370</v>
      </c>
      <c r="O649">
        <v>20498</v>
      </c>
      <c r="P649" t="s">
        <v>7008</v>
      </c>
      <c r="Q649">
        <v>1</v>
      </c>
    </row>
    <row r="650" spans="1:17" x14ac:dyDescent="0.25">
      <c r="A650">
        <v>4</v>
      </c>
      <c r="B650" t="s">
        <v>7379</v>
      </c>
      <c r="C650" t="s">
        <v>18</v>
      </c>
      <c r="D650" t="s">
        <v>7008</v>
      </c>
      <c r="G650">
        <v>20500</v>
      </c>
      <c r="H650" t="s">
        <v>7380</v>
      </c>
      <c r="I650" t="s">
        <v>7381</v>
      </c>
      <c r="J650">
        <v>20500</v>
      </c>
      <c r="K650" t="s">
        <v>7382</v>
      </c>
      <c r="L650">
        <v>131</v>
      </c>
      <c r="O650">
        <v>20500</v>
      </c>
      <c r="P650" t="s">
        <v>7008</v>
      </c>
      <c r="Q650">
        <v>1</v>
      </c>
    </row>
    <row r="651" spans="1:17" x14ac:dyDescent="0.25">
      <c r="A651">
        <v>4</v>
      </c>
      <c r="B651" t="s">
        <v>7383</v>
      </c>
      <c r="C651" t="s">
        <v>18</v>
      </c>
      <c r="D651" t="s">
        <v>7008</v>
      </c>
      <c r="G651">
        <v>20502</v>
      </c>
      <c r="H651" t="s">
        <v>7384</v>
      </c>
      <c r="J651">
        <v>20502</v>
      </c>
      <c r="K651" t="s">
        <v>7385</v>
      </c>
      <c r="L651" t="s">
        <v>7386</v>
      </c>
      <c r="M651" t="s">
        <v>7387</v>
      </c>
      <c r="N651" t="s">
        <v>7388</v>
      </c>
      <c r="P651" t="s">
        <v>7008</v>
      </c>
    </row>
    <row r="652" spans="1:17" x14ac:dyDescent="0.25">
      <c r="A652">
        <v>4</v>
      </c>
      <c r="B652" t="s">
        <v>7389</v>
      </c>
      <c r="C652" t="s">
        <v>18</v>
      </c>
      <c r="D652" t="s">
        <v>7008</v>
      </c>
      <c r="G652">
        <v>531709</v>
      </c>
      <c r="H652" t="s">
        <v>7390</v>
      </c>
      <c r="I652" t="s">
        <v>7391</v>
      </c>
      <c r="J652">
        <v>531709</v>
      </c>
      <c r="K652" t="s">
        <v>7392</v>
      </c>
      <c r="L652">
        <v>263</v>
      </c>
      <c r="O652">
        <v>531709</v>
      </c>
      <c r="P652" t="s">
        <v>7008</v>
      </c>
      <c r="Q652">
        <v>1</v>
      </c>
    </row>
    <row r="653" spans="1:17" x14ac:dyDescent="0.25">
      <c r="A653">
        <v>4</v>
      </c>
      <c r="B653" t="s">
        <v>7393</v>
      </c>
      <c r="C653" t="s">
        <v>18</v>
      </c>
      <c r="D653" t="s">
        <v>7008</v>
      </c>
      <c r="G653">
        <v>676147</v>
      </c>
      <c r="H653" t="s">
        <v>7394</v>
      </c>
      <c r="I653" t="s">
        <v>7395</v>
      </c>
      <c r="J653">
        <v>676147</v>
      </c>
      <c r="K653" t="s">
        <v>7396</v>
      </c>
      <c r="L653">
        <v>15</v>
      </c>
      <c r="O653">
        <v>676147</v>
      </c>
      <c r="P653" t="s">
        <v>7008</v>
      </c>
      <c r="Q653">
        <v>1</v>
      </c>
    </row>
    <row r="654" spans="1:17" x14ac:dyDescent="0.25">
      <c r="A654">
        <v>2</v>
      </c>
      <c r="B654" t="s">
        <v>7397</v>
      </c>
      <c r="C654" t="s">
        <v>18</v>
      </c>
      <c r="D654" t="s">
        <v>7008</v>
      </c>
      <c r="E654" t="s">
        <v>7398</v>
      </c>
      <c r="H654" t="s">
        <v>7399</v>
      </c>
      <c r="I654" t="s">
        <v>7400</v>
      </c>
      <c r="J654" t="e">
        <v>#N/A</v>
      </c>
      <c r="O654" t="s">
        <v>7398</v>
      </c>
      <c r="P654" t="s">
        <v>7008</v>
      </c>
      <c r="Q654">
        <v>9</v>
      </c>
    </row>
    <row r="655" spans="1:17" x14ac:dyDescent="0.25">
      <c r="A655">
        <v>3</v>
      </c>
      <c r="B655" t="s">
        <v>7401</v>
      </c>
      <c r="C655" t="s">
        <v>18</v>
      </c>
      <c r="D655" t="s">
        <v>7008</v>
      </c>
      <c r="F655" t="s">
        <v>177</v>
      </c>
      <c r="H655" t="s">
        <v>178</v>
      </c>
      <c r="I655" t="s">
        <v>441</v>
      </c>
      <c r="J655" t="s">
        <v>177</v>
      </c>
      <c r="O655" t="s">
        <v>177</v>
      </c>
      <c r="P655" t="s">
        <v>7008</v>
      </c>
      <c r="Q655">
        <v>1</v>
      </c>
    </row>
    <row r="656" spans="1:17" x14ac:dyDescent="0.25">
      <c r="A656">
        <v>4</v>
      </c>
      <c r="B656" t="s">
        <v>7402</v>
      </c>
      <c r="C656" t="s">
        <v>18</v>
      </c>
      <c r="D656" t="s">
        <v>7008</v>
      </c>
      <c r="G656">
        <v>587677</v>
      </c>
      <c r="H656" t="s">
        <v>7403</v>
      </c>
      <c r="I656" t="s">
        <v>7404</v>
      </c>
      <c r="J656">
        <v>587677</v>
      </c>
      <c r="K656" t="s">
        <v>7405</v>
      </c>
      <c r="L656">
        <v>64</v>
      </c>
      <c r="O656">
        <v>587677</v>
      </c>
      <c r="P656" t="s">
        <v>7008</v>
      </c>
      <c r="Q656">
        <v>1</v>
      </c>
    </row>
    <row r="657" spans="1:17" x14ac:dyDescent="0.25">
      <c r="A657">
        <v>4</v>
      </c>
      <c r="B657" t="s">
        <v>7406</v>
      </c>
      <c r="C657" t="s">
        <v>18</v>
      </c>
      <c r="D657" t="s">
        <v>7008</v>
      </c>
      <c r="G657" t="s">
        <v>7407</v>
      </c>
      <c r="H657" t="s">
        <v>7408</v>
      </c>
      <c r="I657" t="s">
        <v>7409</v>
      </c>
      <c r="J657" t="s">
        <v>7407</v>
      </c>
      <c r="K657" t="s">
        <v>7410</v>
      </c>
      <c r="L657">
        <v>59</v>
      </c>
      <c r="O657" t="s">
        <v>7407</v>
      </c>
      <c r="P657" t="s">
        <v>7008</v>
      </c>
      <c r="Q657">
        <v>1</v>
      </c>
    </row>
    <row r="658" spans="1:17" x14ac:dyDescent="0.25">
      <c r="A658">
        <v>4</v>
      </c>
      <c r="B658" t="s">
        <v>7411</v>
      </c>
      <c r="C658" t="s">
        <v>18</v>
      </c>
      <c r="D658" t="s">
        <v>7008</v>
      </c>
      <c r="G658" t="s">
        <v>7412</v>
      </c>
      <c r="H658" t="s">
        <v>7413</v>
      </c>
      <c r="I658" t="s">
        <v>7414</v>
      </c>
      <c r="J658" t="s">
        <v>7412</v>
      </c>
      <c r="K658" t="s">
        <v>7415</v>
      </c>
      <c r="L658">
        <v>58</v>
      </c>
      <c r="O658" t="s">
        <v>7412</v>
      </c>
      <c r="P658" t="s">
        <v>7008</v>
      </c>
      <c r="Q658">
        <v>1</v>
      </c>
    </row>
    <row r="659" spans="1:17" x14ac:dyDescent="0.25">
      <c r="A659">
        <v>4</v>
      </c>
      <c r="B659" t="s">
        <v>7416</v>
      </c>
      <c r="C659" t="s">
        <v>18</v>
      </c>
      <c r="D659" t="s">
        <v>7008</v>
      </c>
      <c r="G659" t="s">
        <v>7417</v>
      </c>
      <c r="H659" t="s">
        <v>7418</v>
      </c>
      <c r="I659" t="s">
        <v>7419</v>
      </c>
      <c r="J659" t="s">
        <v>7417</v>
      </c>
      <c r="K659" t="s">
        <v>7420</v>
      </c>
      <c r="L659">
        <v>296</v>
      </c>
      <c r="O659" t="s">
        <v>7417</v>
      </c>
      <c r="P659" t="s">
        <v>7008</v>
      </c>
      <c r="Q659">
        <v>1</v>
      </c>
    </row>
    <row r="660" spans="1:17" x14ac:dyDescent="0.25">
      <c r="A660">
        <v>4</v>
      </c>
      <c r="B660" t="s">
        <v>7421</v>
      </c>
      <c r="C660" t="s">
        <v>18</v>
      </c>
      <c r="D660" t="s">
        <v>7008</v>
      </c>
      <c r="G660" t="s">
        <v>7422</v>
      </c>
      <c r="H660" t="s">
        <v>7423</v>
      </c>
      <c r="I660" t="s">
        <v>7424</v>
      </c>
      <c r="J660" t="s">
        <v>7422</v>
      </c>
      <c r="K660" t="s">
        <v>7425</v>
      </c>
      <c r="L660">
        <v>115</v>
      </c>
      <c r="O660" t="s">
        <v>7422</v>
      </c>
      <c r="P660" t="s">
        <v>7008</v>
      </c>
      <c r="Q660">
        <v>1</v>
      </c>
    </row>
    <row r="661" spans="1:17" x14ac:dyDescent="0.25">
      <c r="A661">
        <v>4</v>
      </c>
      <c r="B661" t="s">
        <v>7426</v>
      </c>
      <c r="C661" t="s">
        <v>18</v>
      </c>
      <c r="D661" t="s">
        <v>7008</v>
      </c>
      <c r="G661" t="s">
        <v>7427</v>
      </c>
      <c r="H661" t="s">
        <v>7428</v>
      </c>
      <c r="I661" t="s">
        <v>7429</v>
      </c>
      <c r="J661" t="s">
        <v>7427</v>
      </c>
      <c r="K661" t="s">
        <v>7430</v>
      </c>
      <c r="L661">
        <v>33</v>
      </c>
      <c r="O661" t="s">
        <v>7427</v>
      </c>
      <c r="P661" t="s">
        <v>7008</v>
      </c>
      <c r="Q661">
        <v>1</v>
      </c>
    </row>
    <row r="662" spans="1:17" x14ac:dyDescent="0.25">
      <c r="A662">
        <v>3</v>
      </c>
      <c r="B662" t="s">
        <v>7431</v>
      </c>
      <c r="C662" t="s">
        <v>18</v>
      </c>
      <c r="D662" t="s">
        <v>7008</v>
      </c>
      <c r="F662" t="s">
        <v>181</v>
      </c>
      <c r="H662" t="s">
        <v>7432</v>
      </c>
      <c r="I662" t="s">
        <v>447</v>
      </c>
      <c r="J662" t="s">
        <v>181</v>
      </c>
      <c r="O662" t="s">
        <v>181</v>
      </c>
      <c r="P662" t="s">
        <v>7008</v>
      </c>
      <c r="Q662">
        <v>1</v>
      </c>
    </row>
    <row r="663" spans="1:17" x14ac:dyDescent="0.25">
      <c r="A663">
        <v>4</v>
      </c>
      <c r="B663" t="s">
        <v>7433</v>
      </c>
      <c r="C663" t="s">
        <v>18</v>
      </c>
      <c r="D663" t="s">
        <v>7008</v>
      </c>
      <c r="G663">
        <v>23723</v>
      </c>
      <c r="H663" t="s">
        <v>7434</v>
      </c>
      <c r="I663" t="s">
        <v>7435</v>
      </c>
      <c r="J663">
        <v>23723</v>
      </c>
      <c r="K663" t="s">
        <v>7436</v>
      </c>
      <c r="L663">
        <v>40</v>
      </c>
      <c r="O663">
        <v>23723</v>
      </c>
      <c r="P663" t="s">
        <v>7008</v>
      </c>
      <c r="Q663">
        <v>1</v>
      </c>
    </row>
    <row r="664" spans="1:17" x14ac:dyDescent="0.25">
      <c r="A664">
        <v>4</v>
      </c>
      <c r="B664" t="s">
        <v>7437</v>
      </c>
      <c r="C664" t="s">
        <v>18</v>
      </c>
      <c r="D664" t="s">
        <v>7008</v>
      </c>
      <c r="G664">
        <v>23725</v>
      </c>
      <c r="H664" t="s">
        <v>7438</v>
      </c>
      <c r="I664" t="s">
        <v>7439</v>
      </c>
      <c r="J664">
        <v>23725</v>
      </c>
      <c r="K664" t="s">
        <v>7440</v>
      </c>
      <c r="L664">
        <v>56</v>
      </c>
      <c r="O664">
        <v>23725</v>
      </c>
      <c r="P664" t="s">
        <v>7008</v>
      </c>
      <c r="Q664">
        <v>1</v>
      </c>
    </row>
    <row r="665" spans="1:17" x14ac:dyDescent="0.25">
      <c r="A665">
        <v>4</v>
      </c>
      <c r="B665" t="s">
        <v>7441</v>
      </c>
      <c r="C665" t="s">
        <v>18</v>
      </c>
      <c r="D665" t="s">
        <v>7008</v>
      </c>
      <c r="G665">
        <v>638703</v>
      </c>
      <c r="H665" t="s">
        <v>7442</v>
      </c>
      <c r="I665" t="s">
        <v>7443</v>
      </c>
      <c r="J665">
        <v>638703</v>
      </c>
      <c r="K665" t="s">
        <v>7444</v>
      </c>
      <c r="L665">
        <v>296</v>
      </c>
      <c r="O665">
        <v>638703</v>
      </c>
      <c r="P665" t="s">
        <v>7008</v>
      </c>
      <c r="Q665">
        <v>1</v>
      </c>
    </row>
    <row r="666" spans="1:17" x14ac:dyDescent="0.25">
      <c r="A666">
        <v>4</v>
      </c>
      <c r="B666" t="s">
        <v>7445</v>
      </c>
      <c r="C666" t="s">
        <v>18</v>
      </c>
      <c r="D666" t="s">
        <v>7008</v>
      </c>
      <c r="G666" t="s">
        <v>7446</v>
      </c>
      <c r="H666" t="s">
        <v>7447</v>
      </c>
      <c r="I666" t="s">
        <v>7448</v>
      </c>
      <c r="J666" t="s">
        <v>7446</v>
      </c>
      <c r="K666" t="s">
        <v>7449</v>
      </c>
      <c r="L666">
        <v>250</v>
      </c>
      <c r="O666" t="s">
        <v>7446</v>
      </c>
      <c r="P666" t="s">
        <v>7008</v>
      </c>
      <c r="Q666">
        <v>1</v>
      </c>
    </row>
    <row r="667" spans="1:17" x14ac:dyDescent="0.25">
      <c r="A667">
        <v>4</v>
      </c>
      <c r="B667" t="s">
        <v>7450</v>
      </c>
      <c r="C667" t="s">
        <v>18</v>
      </c>
      <c r="D667" t="s">
        <v>7008</v>
      </c>
      <c r="G667" t="s">
        <v>7451</v>
      </c>
      <c r="H667" t="s">
        <v>7452</v>
      </c>
      <c r="I667" t="s">
        <v>7453</v>
      </c>
      <c r="J667" t="s">
        <v>7451</v>
      </c>
      <c r="K667" t="s">
        <v>7454</v>
      </c>
      <c r="L667">
        <v>131</v>
      </c>
      <c r="O667" t="s">
        <v>7451</v>
      </c>
      <c r="P667" t="s">
        <v>7008</v>
      </c>
      <c r="Q667">
        <v>1</v>
      </c>
    </row>
    <row r="668" spans="1:17" x14ac:dyDescent="0.25">
      <c r="A668">
        <v>4</v>
      </c>
      <c r="B668" t="s">
        <v>7455</v>
      </c>
      <c r="C668" t="s">
        <v>18</v>
      </c>
      <c r="D668" t="s">
        <v>7008</v>
      </c>
      <c r="G668" t="s">
        <v>7456</v>
      </c>
      <c r="H668" t="s">
        <v>7457</v>
      </c>
      <c r="I668" t="s">
        <v>7458</v>
      </c>
      <c r="J668" t="s">
        <v>7456</v>
      </c>
      <c r="K668" t="s">
        <v>7459</v>
      </c>
      <c r="L668">
        <v>76</v>
      </c>
      <c r="O668" t="s">
        <v>7456</v>
      </c>
      <c r="P668" t="s">
        <v>7008</v>
      </c>
      <c r="Q668">
        <v>1</v>
      </c>
    </row>
    <row r="669" spans="1:17" x14ac:dyDescent="0.25">
      <c r="A669">
        <v>4</v>
      </c>
      <c r="B669" t="s">
        <v>7460</v>
      </c>
      <c r="C669" t="s">
        <v>18</v>
      </c>
      <c r="D669" t="s">
        <v>7008</v>
      </c>
      <c r="G669" t="s">
        <v>7461</v>
      </c>
      <c r="H669" t="s">
        <v>7462</v>
      </c>
      <c r="I669" t="s">
        <v>7463</v>
      </c>
      <c r="J669" t="s">
        <v>7461</v>
      </c>
      <c r="K669" t="s">
        <v>7464</v>
      </c>
      <c r="L669">
        <v>453</v>
      </c>
      <c r="O669" t="s">
        <v>7461</v>
      </c>
      <c r="P669" t="s">
        <v>7008</v>
      </c>
      <c r="Q669">
        <v>1</v>
      </c>
    </row>
    <row r="670" spans="1:17" x14ac:dyDescent="0.25">
      <c r="A670">
        <v>3</v>
      </c>
      <c r="B670" t="s">
        <v>7465</v>
      </c>
      <c r="C670" t="s">
        <v>18</v>
      </c>
      <c r="D670" t="s">
        <v>7008</v>
      </c>
      <c r="F670" t="s">
        <v>7466</v>
      </c>
      <c r="H670" t="s">
        <v>7467</v>
      </c>
      <c r="I670" t="s">
        <v>7468</v>
      </c>
      <c r="J670" t="s">
        <v>7466</v>
      </c>
      <c r="O670" t="s">
        <v>7466</v>
      </c>
      <c r="P670" t="s">
        <v>7008</v>
      </c>
      <c r="Q670">
        <v>1</v>
      </c>
    </row>
    <row r="671" spans="1:17" x14ac:dyDescent="0.25">
      <c r="A671">
        <v>4</v>
      </c>
      <c r="B671" t="s">
        <v>7469</v>
      </c>
      <c r="C671" t="s">
        <v>18</v>
      </c>
      <c r="D671" t="s">
        <v>7008</v>
      </c>
      <c r="G671">
        <v>23731</v>
      </c>
      <c r="H671" t="s">
        <v>7470</v>
      </c>
      <c r="I671" t="s">
        <v>7471</v>
      </c>
      <c r="J671">
        <v>23731</v>
      </c>
      <c r="K671" t="s">
        <v>7472</v>
      </c>
      <c r="L671">
        <v>4</v>
      </c>
      <c r="N671" t="s">
        <v>4713</v>
      </c>
      <c r="O671">
        <v>23731</v>
      </c>
      <c r="P671" t="s">
        <v>7008</v>
      </c>
      <c r="Q671">
        <v>1</v>
      </c>
    </row>
    <row r="672" spans="1:17" x14ac:dyDescent="0.25">
      <c r="A672">
        <v>4</v>
      </c>
      <c r="B672" t="s">
        <v>7473</v>
      </c>
      <c r="C672" t="s">
        <v>18</v>
      </c>
      <c r="D672" t="s">
        <v>7008</v>
      </c>
      <c r="G672">
        <v>668515</v>
      </c>
      <c r="H672" t="s">
        <v>7474</v>
      </c>
      <c r="I672" t="s">
        <v>7475</v>
      </c>
      <c r="J672">
        <v>668515</v>
      </c>
      <c r="K672" t="s">
        <v>7476</v>
      </c>
      <c r="L672">
        <v>40</v>
      </c>
      <c r="O672">
        <v>668515</v>
      </c>
      <c r="P672" t="s">
        <v>7008</v>
      </c>
      <c r="Q672">
        <v>1</v>
      </c>
    </row>
    <row r="673" spans="1:17" x14ac:dyDescent="0.25">
      <c r="A673">
        <v>4</v>
      </c>
      <c r="B673" t="s">
        <v>7477</v>
      </c>
      <c r="C673" t="s">
        <v>18</v>
      </c>
      <c r="D673" t="s">
        <v>7008</v>
      </c>
      <c r="G673" t="s">
        <v>7478</v>
      </c>
      <c r="H673" t="s">
        <v>7479</v>
      </c>
      <c r="I673" t="s">
        <v>7480</v>
      </c>
      <c r="J673" t="s">
        <v>7478</v>
      </c>
      <c r="K673" t="s">
        <v>7481</v>
      </c>
      <c r="L673">
        <v>198</v>
      </c>
      <c r="O673" t="s">
        <v>7478</v>
      </c>
      <c r="P673" t="s">
        <v>7008</v>
      </c>
      <c r="Q673">
        <v>1</v>
      </c>
    </row>
    <row r="674" spans="1:17" x14ac:dyDescent="0.25">
      <c r="A674">
        <v>4</v>
      </c>
      <c r="B674" t="s">
        <v>7482</v>
      </c>
      <c r="C674" t="s">
        <v>18</v>
      </c>
      <c r="D674" t="s">
        <v>7008</v>
      </c>
      <c r="G674" t="s">
        <v>7483</v>
      </c>
      <c r="H674" t="s">
        <v>7484</v>
      </c>
      <c r="I674" t="s">
        <v>7485</v>
      </c>
      <c r="J674" t="s">
        <v>7483</v>
      </c>
      <c r="K674" t="s">
        <v>7486</v>
      </c>
      <c r="L674">
        <v>114</v>
      </c>
      <c r="O674" t="s">
        <v>7483</v>
      </c>
      <c r="P674" t="s">
        <v>7008</v>
      </c>
      <c r="Q674">
        <v>1</v>
      </c>
    </row>
    <row r="675" spans="1:17" x14ac:dyDescent="0.25">
      <c r="A675">
        <v>4</v>
      </c>
      <c r="B675" t="s">
        <v>7487</v>
      </c>
      <c r="C675" t="s">
        <v>18</v>
      </c>
      <c r="D675" t="s">
        <v>7008</v>
      </c>
      <c r="G675" t="s">
        <v>7488</v>
      </c>
      <c r="H675" t="s">
        <v>7489</v>
      </c>
      <c r="I675" t="s">
        <v>7490</v>
      </c>
      <c r="J675" t="s">
        <v>7488</v>
      </c>
      <c r="K675" t="s">
        <v>7491</v>
      </c>
      <c r="L675">
        <v>32</v>
      </c>
      <c r="O675" t="s">
        <v>7488</v>
      </c>
      <c r="P675" t="s">
        <v>7008</v>
      </c>
      <c r="Q675">
        <v>1</v>
      </c>
    </row>
    <row r="676" spans="1:17" x14ac:dyDescent="0.25">
      <c r="A676">
        <v>4</v>
      </c>
      <c r="B676" t="s">
        <v>7492</v>
      </c>
      <c r="C676" t="s">
        <v>18</v>
      </c>
      <c r="D676" t="s">
        <v>7008</v>
      </c>
      <c r="G676" t="s">
        <v>7493</v>
      </c>
      <c r="H676" t="s">
        <v>7494</v>
      </c>
      <c r="I676" t="s">
        <v>7495</v>
      </c>
      <c r="J676" t="s">
        <v>7493</v>
      </c>
      <c r="K676" t="s">
        <v>7496</v>
      </c>
      <c r="L676">
        <v>37</v>
      </c>
      <c r="O676" t="s">
        <v>7493</v>
      </c>
      <c r="P676" t="s">
        <v>7008</v>
      </c>
      <c r="Q676">
        <v>1</v>
      </c>
    </row>
    <row r="677" spans="1:17" x14ac:dyDescent="0.25">
      <c r="A677">
        <v>4</v>
      </c>
      <c r="B677" t="s">
        <v>7497</v>
      </c>
      <c r="C677" t="s">
        <v>18</v>
      </c>
      <c r="D677" t="s">
        <v>7008</v>
      </c>
      <c r="G677" t="s">
        <v>7498</v>
      </c>
      <c r="H677" t="s">
        <v>7499</v>
      </c>
      <c r="I677" t="s">
        <v>7500</v>
      </c>
      <c r="J677" t="s">
        <v>7498</v>
      </c>
      <c r="K677" t="s">
        <v>7501</v>
      </c>
      <c r="L677">
        <v>68</v>
      </c>
      <c r="O677" t="s">
        <v>7498</v>
      </c>
      <c r="P677" t="s">
        <v>7008</v>
      </c>
      <c r="Q677">
        <v>1</v>
      </c>
    </row>
    <row r="678" spans="1:17" x14ac:dyDescent="0.25">
      <c r="A678">
        <v>3</v>
      </c>
      <c r="B678" t="s">
        <v>7502</v>
      </c>
      <c r="C678" t="s">
        <v>18</v>
      </c>
      <c r="D678" t="s">
        <v>7008</v>
      </c>
      <c r="F678" t="s">
        <v>7503</v>
      </c>
      <c r="H678" t="s">
        <v>7504</v>
      </c>
      <c r="I678" t="s">
        <v>7505</v>
      </c>
      <c r="J678" t="s">
        <v>7503</v>
      </c>
      <c r="O678" t="s">
        <v>7503</v>
      </c>
      <c r="P678" t="s">
        <v>7008</v>
      </c>
      <c r="Q678">
        <v>1</v>
      </c>
    </row>
    <row r="679" spans="1:17" x14ac:dyDescent="0.25">
      <c r="A679">
        <v>4</v>
      </c>
      <c r="B679" t="s">
        <v>7506</v>
      </c>
      <c r="C679" t="s">
        <v>18</v>
      </c>
      <c r="D679" t="s">
        <v>7008</v>
      </c>
      <c r="G679">
        <v>238170</v>
      </c>
      <c r="H679" t="s">
        <v>7507</v>
      </c>
      <c r="I679" t="s">
        <v>7508</v>
      </c>
      <c r="J679">
        <v>238170</v>
      </c>
      <c r="K679" t="s">
        <v>7509</v>
      </c>
      <c r="L679">
        <v>28</v>
      </c>
      <c r="O679">
        <v>238170</v>
      </c>
      <c r="P679" t="s">
        <v>7008</v>
      </c>
      <c r="Q679">
        <v>1</v>
      </c>
    </row>
    <row r="680" spans="1:17" x14ac:dyDescent="0.25">
      <c r="A680">
        <v>4</v>
      </c>
      <c r="B680" t="s">
        <v>7510</v>
      </c>
      <c r="C680" t="s">
        <v>18</v>
      </c>
      <c r="D680" t="s">
        <v>7008</v>
      </c>
      <c r="G680" t="s">
        <v>7511</v>
      </c>
      <c r="H680" t="s">
        <v>7512</v>
      </c>
      <c r="I680" t="s">
        <v>7513</v>
      </c>
      <c r="J680" t="s">
        <v>7511</v>
      </c>
      <c r="K680" t="s">
        <v>7514</v>
      </c>
      <c r="L680">
        <v>104</v>
      </c>
      <c r="O680" t="s">
        <v>7511</v>
      </c>
      <c r="P680" t="s">
        <v>7008</v>
      </c>
      <c r="Q680">
        <v>1</v>
      </c>
    </row>
    <row r="681" spans="1:17" x14ac:dyDescent="0.25">
      <c r="A681">
        <v>4</v>
      </c>
      <c r="B681" t="s">
        <v>7515</v>
      </c>
      <c r="C681" t="s">
        <v>18</v>
      </c>
      <c r="D681" t="s">
        <v>7008</v>
      </c>
      <c r="G681" t="s">
        <v>7516</v>
      </c>
      <c r="H681" t="s">
        <v>7517</v>
      </c>
      <c r="I681" t="s">
        <v>7517</v>
      </c>
      <c r="J681" t="s">
        <v>7516</v>
      </c>
      <c r="K681" t="s">
        <v>7518</v>
      </c>
      <c r="L681">
        <v>132</v>
      </c>
      <c r="O681" t="s">
        <v>7516</v>
      </c>
      <c r="P681" t="s">
        <v>7008</v>
      </c>
      <c r="Q681">
        <v>1</v>
      </c>
    </row>
    <row r="682" spans="1:17" x14ac:dyDescent="0.25">
      <c r="A682">
        <v>4</v>
      </c>
      <c r="B682" t="s">
        <v>7519</v>
      </c>
      <c r="C682" t="s">
        <v>18</v>
      </c>
      <c r="D682" t="s">
        <v>7008</v>
      </c>
      <c r="G682" t="s">
        <v>7520</v>
      </c>
      <c r="H682" t="s">
        <v>7521</v>
      </c>
      <c r="I682" t="s">
        <v>7522</v>
      </c>
      <c r="J682" t="s">
        <v>7520</v>
      </c>
      <c r="K682" t="s">
        <v>7523</v>
      </c>
      <c r="L682">
        <v>87</v>
      </c>
      <c r="O682" t="s">
        <v>7520</v>
      </c>
      <c r="P682" t="s">
        <v>7008</v>
      </c>
      <c r="Q682">
        <v>1</v>
      </c>
    </row>
    <row r="683" spans="1:17" x14ac:dyDescent="0.25">
      <c r="A683">
        <v>3</v>
      </c>
      <c r="B683" t="s">
        <v>7524</v>
      </c>
      <c r="C683" t="s">
        <v>18</v>
      </c>
      <c r="D683" t="s">
        <v>7008</v>
      </c>
      <c r="F683" t="s">
        <v>7525</v>
      </c>
      <c r="H683" t="s">
        <v>7526</v>
      </c>
      <c r="I683" t="s">
        <v>7527</v>
      </c>
      <c r="J683" t="s">
        <v>7525</v>
      </c>
      <c r="O683" t="s">
        <v>7525</v>
      </c>
      <c r="P683" t="s">
        <v>7008</v>
      </c>
      <c r="Q683">
        <v>1</v>
      </c>
    </row>
    <row r="684" spans="1:17" x14ac:dyDescent="0.25">
      <c r="A684">
        <v>4</v>
      </c>
      <c r="B684" t="s">
        <v>7528</v>
      </c>
      <c r="C684" t="s">
        <v>18</v>
      </c>
      <c r="D684" t="s">
        <v>7008</v>
      </c>
      <c r="G684">
        <v>23741</v>
      </c>
      <c r="H684" t="s">
        <v>7529</v>
      </c>
      <c r="I684" t="s">
        <v>7530</v>
      </c>
      <c r="J684">
        <v>23741</v>
      </c>
      <c r="K684" t="s">
        <v>7531</v>
      </c>
      <c r="L684">
        <v>403</v>
      </c>
      <c r="O684">
        <v>23741</v>
      </c>
      <c r="P684" t="s">
        <v>7008</v>
      </c>
      <c r="Q684">
        <v>1</v>
      </c>
    </row>
    <row r="685" spans="1:17" x14ac:dyDescent="0.25">
      <c r="A685">
        <v>4</v>
      </c>
      <c r="B685" t="s">
        <v>7532</v>
      </c>
      <c r="C685" t="s">
        <v>18</v>
      </c>
      <c r="D685" t="s">
        <v>7008</v>
      </c>
      <c r="G685">
        <v>23743</v>
      </c>
      <c r="H685" t="s">
        <v>7533</v>
      </c>
      <c r="I685" t="s">
        <v>7534</v>
      </c>
      <c r="J685">
        <v>23743</v>
      </c>
      <c r="K685" t="s">
        <v>7535</v>
      </c>
      <c r="L685">
        <v>941</v>
      </c>
      <c r="O685">
        <v>23743</v>
      </c>
      <c r="P685" t="s">
        <v>7008</v>
      </c>
      <c r="Q685">
        <v>1</v>
      </c>
    </row>
    <row r="686" spans="1:17" x14ac:dyDescent="0.25">
      <c r="A686">
        <v>4</v>
      </c>
      <c r="B686" t="s">
        <v>7536</v>
      </c>
      <c r="C686" t="s">
        <v>18</v>
      </c>
      <c r="D686" t="s">
        <v>7008</v>
      </c>
      <c r="G686">
        <v>670409</v>
      </c>
      <c r="H686" t="s">
        <v>7537</v>
      </c>
      <c r="I686" t="s">
        <v>7538</v>
      </c>
      <c r="J686">
        <v>670409</v>
      </c>
      <c r="K686" t="s">
        <v>7539</v>
      </c>
      <c r="L686">
        <v>6</v>
      </c>
      <c r="N686" t="s">
        <v>4713</v>
      </c>
      <c r="O686">
        <v>670409</v>
      </c>
      <c r="P686" t="s">
        <v>7008</v>
      </c>
      <c r="Q686">
        <v>1</v>
      </c>
    </row>
    <row r="687" spans="1:17" x14ac:dyDescent="0.25">
      <c r="A687">
        <v>4</v>
      </c>
      <c r="B687" t="s">
        <v>7540</v>
      </c>
      <c r="C687" t="s">
        <v>18</v>
      </c>
      <c r="D687" t="s">
        <v>7008</v>
      </c>
      <c r="G687" t="s">
        <v>7541</v>
      </c>
      <c r="H687" t="s">
        <v>7428</v>
      </c>
      <c r="I687" t="s">
        <v>7542</v>
      </c>
      <c r="J687" t="s">
        <v>7541</v>
      </c>
      <c r="K687" t="s">
        <v>7543</v>
      </c>
      <c r="L687">
        <v>216</v>
      </c>
      <c r="O687" t="s">
        <v>7541</v>
      </c>
      <c r="P687" t="s">
        <v>7008</v>
      </c>
      <c r="Q687">
        <v>1</v>
      </c>
    </row>
    <row r="688" spans="1:17" x14ac:dyDescent="0.25">
      <c r="A688">
        <v>4</v>
      </c>
      <c r="B688" t="s">
        <v>7544</v>
      </c>
      <c r="C688" t="s">
        <v>18</v>
      </c>
      <c r="D688" t="s">
        <v>7008</v>
      </c>
      <c r="G688" t="s">
        <v>7545</v>
      </c>
      <c r="H688" t="s">
        <v>7546</v>
      </c>
      <c r="I688" t="s">
        <v>7547</v>
      </c>
      <c r="J688" t="s">
        <v>7545</v>
      </c>
      <c r="K688" t="s">
        <v>7548</v>
      </c>
      <c r="L688">
        <v>114</v>
      </c>
      <c r="O688" t="s">
        <v>7545</v>
      </c>
      <c r="P688" t="s">
        <v>7008</v>
      </c>
      <c r="Q688">
        <v>1</v>
      </c>
    </row>
    <row r="689" spans="1:17" x14ac:dyDescent="0.25">
      <c r="A689">
        <v>3</v>
      </c>
      <c r="B689" t="s">
        <v>7549</v>
      </c>
      <c r="C689" t="s">
        <v>18</v>
      </c>
      <c r="D689" t="s">
        <v>7008</v>
      </c>
      <c r="F689" t="s">
        <v>7550</v>
      </c>
      <c r="H689" t="s">
        <v>7551</v>
      </c>
      <c r="I689" t="s">
        <v>7552</v>
      </c>
      <c r="J689" t="s">
        <v>7550</v>
      </c>
      <c r="O689" t="s">
        <v>7550</v>
      </c>
      <c r="P689" t="s">
        <v>7008</v>
      </c>
      <c r="Q689">
        <v>1</v>
      </c>
    </row>
    <row r="690" spans="1:17" x14ac:dyDescent="0.25">
      <c r="A690">
        <v>4</v>
      </c>
      <c r="B690" t="s">
        <v>7553</v>
      </c>
      <c r="C690" t="s">
        <v>18</v>
      </c>
      <c r="D690" t="s">
        <v>7008</v>
      </c>
      <c r="G690">
        <v>164918</v>
      </c>
      <c r="H690" t="s">
        <v>7554</v>
      </c>
      <c r="I690" t="s">
        <v>7555</v>
      </c>
      <c r="J690">
        <v>164918</v>
      </c>
      <c r="K690" t="s">
        <v>7556</v>
      </c>
      <c r="L690">
        <v>1</v>
      </c>
      <c r="N690" t="s">
        <v>4734</v>
      </c>
      <c r="O690">
        <v>164918</v>
      </c>
      <c r="P690" t="s">
        <v>7008</v>
      </c>
      <c r="Q690">
        <v>1</v>
      </c>
    </row>
    <row r="691" spans="1:17" x14ac:dyDescent="0.25">
      <c r="A691">
        <v>4</v>
      </c>
      <c r="B691" t="s">
        <v>7557</v>
      </c>
      <c r="C691" t="s">
        <v>18</v>
      </c>
      <c r="D691" t="s">
        <v>7008</v>
      </c>
      <c r="G691">
        <v>23749</v>
      </c>
      <c r="H691" t="s">
        <v>7558</v>
      </c>
      <c r="I691" t="s">
        <v>7559</v>
      </c>
      <c r="J691">
        <v>23749</v>
      </c>
      <c r="K691" t="s">
        <v>7560</v>
      </c>
      <c r="L691">
        <v>144</v>
      </c>
      <c r="O691">
        <v>23749</v>
      </c>
      <c r="P691" t="s">
        <v>7008</v>
      </c>
      <c r="Q691">
        <v>1</v>
      </c>
    </row>
    <row r="692" spans="1:17" x14ac:dyDescent="0.25">
      <c r="A692">
        <v>4</v>
      </c>
      <c r="B692" t="s">
        <v>7561</v>
      </c>
      <c r="C692" t="s">
        <v>18</v>
      </c>
      <c r="D692" t="s">
        <v>7008</v>
      </c>
      <c r="G692">
        <v>670705</v>
      </c>
      <c r="H692" t="s">
        <v>7562</v>
      </c>
      <c r="I692" t="s">
        <v>7563</v>
      </c>
      <c r="J692">
        <v>670705</v>
      </c>
      <c r="K692" t="s">
        <v>7564</v>
      </c>
      <c r="L692">
        <v>303</v>
      </c>
      <c r="O692">
        <v>670705</v>
      </c>
      <c r="P692" t="s">
        <v>7008</v>
      </c>
      <c r="Q692">
        <v>1</v>
      </c>
    </row>
    <row r="693" spans="1:17" x14ac:dyDescent="0.25">
      <c r="A693">
        <v>4</v>
      </c>
      <c r="B693" t="s">
        <v>7565</v>
      </c>
      <c r="C693" t="s">
        <v>18</v>
      </c>
      <c r="D693" t="s">
        <v>7008</v>
      </c>
      <c r="G693" t="s">
        <v>7566</v>
      </c>
      <c r="H693" t="s">
        <v>7567</v>
      </c>
      <c r="I693" t="s">
        <v>7568</v>
      </c>
      <c r="J693" t="s">
        <v>7566</v>
      </c>
      <c r="K693" t="s">
        <v>7569</v>
      </c>
      <c r="L693">
        <v>257</v>
      </c>
      <c r="O693" t="s">
        <v>7566</v>
      </c>
      <c r="P693" t="s">
        <v>7008</v>
      </c>
      <c r="Q693">
        <v>1</v>
      </c>
    </row>
    <row r="694" spans="1:17" x14ac:dyDescent="0.25">
      <c r="A694">
        <v>4</v>
      </c>
      <c r="B694" t="s">
        <v>7570</v>
      </c>
      <c r="C694" t="s">
        <v>18</v>
      </c>
      <c r="D694" t="s">
        <v>7008</v>
      </c>
      <c r="G694">
        <v>23747</v>
      </c>
      <c r="H694" t="s">
        <v>7571</v>
      </c>
      <c r="I694" t="s">
        <v>7572</v>
      </c>
      <c r="J694">
        <v>23747</v>
      </c>
      <c r="K694" t="s">
        <v>7573</v>
      </c>
      <c r="L694">
        <v>478</v>
      </c>
      <c r="O694">
        <v>23747</v>
      </c>
      <c r="P694" t="s">
        <v>7008</v>
      </c>
      <c r="Q694">
        <v>1</v>
      </c>
    </row>
    <row r="695" spans="1:17" x14ac:dyDescent="0.25">
      <c r="A695">
        <v>4</v>
      </c>
      <c r="B695" t="s">
        <v>7574</v>
      </c>
      <c r="C695" t="s">
        <v>18</v>
      </c>
      <c r="D695" t="s">
        <v>7008</v>
      </c>
      <c r="G695">
        <v>642460</v>
      </c>
      <c r="H695" t="s">
        <v>7575</v>
      </c>
      <c r="I695" t="s">
        <v>7576</v>
      </c>
      <c r="J695">
        <v>642460</v>
      </c>
      <c r="K695" t="s">
        <v>7577</v>
      </c>
      <c r="L695">
        <v>401</v>
      </c>
      <c r="O695">
        <v>642460</v>
      </c>
      <c r="P695" t="s">
        <v>7008</v>
      </c>
      <c r="Q695">
        <v>1</v>
      </c>
    </row>
    <row r="696" spans="1:17" x14ac:dyDescent="0.25">
      <c r="A696">
        <v>4</v>
      </c>
      <c r="B696" t="s">
        <v>7578</v>
      </c>
      <c r="C696" t="s">
        <v>18</v>
      </c>
      <c r="D696" t="s">
        <v>7008</v>
      </c>
      <c r="G696">
        <v>668238</v>
      </c>
      <c r="H696" t="s">
        <v>7579</v>
      </c>
      <c r="I696" t="s">
        <v>7580</v>
      </c>
      <c r="J696">
        <v>668238</v>
      </c>
      <c r="K696" t="s">
        <v>7581</v>
      </c>
      <c r="L696">
        <v>31</v>
      </c>
      <c r="O696">
        <v>668238</v>
      </c>
      <c r="P696" t="s">
        <v>7008</v>
      </c>
      <c r="Q696">
        <v>1</v>
      </c>
    </row>
    <row r="697" spans="1:17" x14ac:dyDescent="0.25">
      <c r="A697">
        <v>4</v>
      </c>
      <c r="B697" t="s">
        <v>7582</v>
      </c>
      <c r="C697" t="s">
        <v>18</v>
      </c>
      <c r="D697" t="s">
        <v>7008</v>
      </c>
      <c r="G697">
        <v>676155</v>
      </c>
      <c r="H697" t="s">
        <v>7583</v>
      </c>
      <c r="I697" t="s">
        <v>7584</v>
      </c>
      <c r="J697">
        <v>676155</v>
      </c>
      <c r="K697" t="s">
        <v>7585</v>
      </c>
      <c r="L697">
        <v>18</v>
      </c>
      <c r="O697">
        <v>676155</v>
      </c>
      <c r="P697" t="s">
        <v>7008</v>
      </c>
      <c r="Q697">
        <v>1</v>
      </c>
    </row>
    <row r="698" spans="1:17" x14ac:dyDescent="0.25">
      <c r="A698">
        <v>4</v>
      </c>
      <c r="B698" t="s">
        <v>7586</v>
      </c>
      <c r="C698" t="s">
        <v>18</v>
      </c>
      <c r="D698" t="s">
        <v>7008</v>
      </c>
      <c r="G698" t="s">
        <v>7587</v>
      </c>
      <c r="H698" t="s">
        <v>7588</v>
      </c>
      <c r="I698" t="s">
        <v>7589</v>
      </c>
      <c r="J698" t="s">
        <v>7587</v>
      </c>
      <c r="K698" t="s">
        <v>7590</v>
      </c>
      <c r="L698">
        <v>738</v>
      </c>
      <c r="O698" t="s">
        <v>7587</v>
      </c>
      <c r="P698" t="s">
        <v>7008</v>
      </c>
      <c r="Q698">
        <v>1</v>
      </c>
    </row>
    <row r="699" spans="1:17" x14ac:dyDescent="0.25">
      <c r="A699">
        <v>2</v>
      </c>
      <c r="B699" t="s">
        <v>7591</v>
      </c>
      <c r="C699" t="s">
        <v>18</v>
      </c>
      <c r="D699" t="s">
        <v>7008</v>
      </c>
      <c r="E699" t="s">
        <v>7398</v>
      </c>
      <c r="H699" t="s">
        <v>7592</v>
      </c>
      <c r="I699" t="e">
        <v>#N/A</v>
      </c>
      <c r="J699" t="e">
        <v>#N/A</v>
      </c>
      <c r="O699" t="s">
        <v>7398</v>
      </c>
      <c r="P699" t="s">
        <v>7008</v>
      </c>
      <c r="Q699">
        <v>9</v>
      </c>
    </row>
    <row r="700" spans="1:17" x14ac:dyDescent="0.25">
      <c r="A700">
        <v>3</v>
      </c>
      <c r="B700" t="s">
        <v>7593</v>
      </c>
      <c r="C700" t="s">
        <v>18</v>
      </c>
      <c r="D700" t="s">
        <v>7008</v>
      </c>
      <c r="F700" t="s">
        <v>170</v>
      </c>
      <c r="H700" t="s">
        <v>7594</v>
      </c>
      <c r="I700" t="s">
        <v>2168</v>
      </c>
      <c r="J700" t="s">
        <v>170</v>
      </c>
      <c r="O700" t="s">
        <v>170</v>
      </c>
      <c r="P700" t="s">
        <v>7008</v>
      </c>
      <c r="Q700">
        <v>1</v>
      </c>
    </row>
    <row r="701" spans="1:17" x14ac:dyDescent="0.25">
      <c r="A701">
        <v>4</v>
      </c>
      <c r="B701" t="s">
        <v>7595</v>
      </c>
      <c r="C701" t="s">
        <v>18</v>
      </c>
      <c r="D701" t="s">
        <v>7008</v>
      </c>
      <c r="G701" t="s">
        <v>7596</v>
      </c>
      <c r="H701" t="s">
        <v>7594</v>
      </c>
      <c r="I701" t="s">
        <v>7597</v>
      </c>
      <c r="J701" t="s">
        <v>7596</v>
      </c>
      <c r="K701" t="s">
        <v>7598</v>
      </c>
      <c r="L701">
        <v>3</v>
      </c>
      <c r="N701" t="s">
        <v>4713</v>
      </c>
      <c r="O701" t="s">
        <v>7596</v>
      </c>
      <c r="P701" t="s">
        <v>7008</v>
      </c>
      <c r="Q701">
        <v>1</v>
      </c>
    </row>
    <row r="702" spans="1:17" x14ac:dyDescent="0.25">
      <c r="A702">
        <v>3</v>
      </c>
      <c r="B702" t="s">
        <v>7599</v>
      </c>
      <c r="C702" t="s">
        <v>18</v>
      </c>
      <c r="D702" t="s">
        <v>7008</v>
      </c>
      <c r="F702" t="s">
        <v>173</v>
      </c>
      <c r="H702" t="s">
        <v>7600</v>
      </c>
      <c r="I702" t="s">
        <v>993</v>
      </c>
      <c r="J702" t="s">
        <v>173</v>
      </c>
      <c r="O702" t="s">
        <v>173</v>
      </c>
      <c r="P702" t="s">
        <v>7008</v>
      </c>
      <c r="Q702">
        <v>1</v>
      </c>
    </row>
    <row r="703" spans="1:17" x14ac:dyDescent="0.25">
      <c r="A703">
        <v>4</v>
      </c>
      <c r="B703" t="s">
        <v>7601</v>
      </c>
      <c r="C703" t="s">
        <v>18</v>
      </c>
      <c r="D703" t="s">
        <v>7008</v>
      </c>
      <c r="G703" t="s">
        <v>7602</v>
      </c>
      <c r="H703" t="s">
        <v>7603</v>
      </c>
      <c r="I703" t="s">
        <v>7604</v>
      </c>
      <c r="J703" t="s">
        <v>7602</v>
      </c>
      <c r="K703" t="s">
        <v>7605</v>
      </c>
      <c r="L703">
        <v>306</v>
      </c>
      <c r="O703" t="s">
        <v>7602</v>
      </c>
      <c r="P703" t="s">
        <v>7008</v>
      </c>
      <c r="Q703">
        <v>1</v>
      </c>
    </row>
    <row r="704" spans="1:17" x14ac:dyDescent="0.25">
      <c r="A704">
        <v>4</v>
      </c>
      <c r="B704" t="s">
        <v>7606</v>
      </c>
      <c r="C704" t="s">
        <v>18</v>
      </c>
      <c r="D704" t="s">
        <v>7008</v>
      </c>
      <c r="G704" t="s">
        <v>7607</v>
      </c>
      <c r="H704" t="s">
        <v>7608</v>
      </c>
      <c r="I704" t="s">
        <v>7609</v>
      </c>
      <c r="J704" t="s">
        <v>7607</v>
      </c>
      <c r="K704" t="s">
        <v>7610</v>
      </c>
      <c r="L704">
        <v>242</v>
      </c>
      <c r="O704" t="s">
        <v>7607</v>
      </c>
      <c r="P704" t="s">
        <v>7008</v>
      </c>
      <c r="Q704">
        <v>1</v>
      </c>
    </row>
    <row r="705" spans="1:17" x14ac:dyDescent="0.25">
      <c r="A705">
        <v>4</v>
      </c>
      <c r="B705" t="s">
        <v>7611</v>
      </c>
      <c r="C705" t="s">
        <v>18</v>
      </c>
      <c r="D705" t="s">
        <v>7008</v>
      </c>
      <c r="G705" t="s">
        <v>7612</v>
      </c>
      <c r="H705" t="s">
        <v>7613</v>
      </c>
      <c r="I705" t="s">
        <v>7614</v>
      </c>
      <c r="J705" t="s">
        <v>7612</v>
      </c>
      <c r="K705" t="s">
        <v>7615</v>
      </c>
      <c r="L705">
        <v>108</v>
      </c>
      <c r="O705" t="s">
        <v>7612</v>
      </c>
      <c r="P705" t="s">
        <v>7008</v>
      </c>
      <c r="Q705">
        <v>1</v>
      </c>
    </row>
    <row r="706" spans="1:17" x14ac:dyDescent="0.25">
      <c r="A706">
        <v>1</v>
      </c>
      <c r="B706">
        <v>4</v>
      </c>
      <c r="C706" t="s">
        <v>34</v>
      </c>
      <c r="D706" t="s">
        <v>7616</v>
      </c>
      <c r="H706" t="s">
        <v>7616</v>
      </c>
      <c r="I706" t="s">
        <v>266</v>
      </c>
      <c r="J706" t="s">
        <v>34</v>
      </c>
      <c r="O706" t="s">
        <v>34</v>
      </c>
      <c r="P706" t="s">
        <v>7616</v>
      </c>
      <c r="Q706">
        <v>2</v>
      </c>
    </row>
    <row r="707" spans="1:17" x14ac:dyDescent="0.25">
      <c r="A707">
        <v>2</v>
      </c>
      <c r="B707" t="s">
        <v>7617</v>
      </c>
      <c r="C707" t="s">
        <v>34</v>
      </c>
      <c r="D707" t="s">
        <v>7616</v>
      </c>
      <c r="E707" t="s">
        <v>2113</v>
      </c>
      <c r="H707" t="s">
        <v>837</v>
      </c>
      <c r="I707" t="s">
        <v>971</v>
      </c>
      <c r="J707" t="s">
        <v>2113</v>
      </c>
      <c r="O707" t="s">
        <v>2113</v>
      </c>
      <c r="P707" t="s">
        <v>7616</v>
      </c>
      <c r="Q707">
        <v>1</v>
      </c>
    </row>
    <row r="708" spans="1:17" x14ac:dyDescent="0.25">
      <c r="A708">
        <v>3</v>
      </c>
      <c r="B708" t="s">
        <v>7618</v>
      </c>
      <c r="C708" t="s">
        <v>34</v>
      </c>
      <c r="D708" t="s">
        <v>7616</v>
      </c>
      <c r="F708" t="s">
        <v>7619</v>
      </c>
      <c r="H708" t="s">
        <v>7620</v>
      </c>
      <c r="I708" t="s">
        <v>7620</v>
      </c>
      <c r="J708" t="s">
        <v>7619</v>
      </c>
      <c r="O708" t="s">
        <v>7619</v>
      </c>
      <c r="P708" t="s">
        <v>7616</v>
      </c>
      <c r="Q708">
        <v>1</v>
      </c>
    </row>
    <row r="709" spans="1:17" x14ac:dyDescent="0.25">
      <c r="A709">
        <v>4</v>
      </c>
      <c r="B709" t="s">
        <v>7621</v>
      </c>
      <c r="C709" t="s">
        <v>34</v>
      </c>
      <c r="D709" t="s">
        <v>7616</v>
      </c>
      <c r="G709">
        <v>23759</v>
      </c>
      <c r="H709" t="s">
        <v>7622</v>
      </c>
      <c r="I709" t="s">
        <v>7623</v>
      </c>
      <c r="J709">
        <v>23759</v>
      </c>
      <c r="K709" t="s">
        <v>7624</v>
      </c>
      <c r="L709">
        <v>2</v>
      </c>
      <c r="N709" t="s">
        <v>4713</v>
      </c>
      <c r="O709">
        <v>23759</v>
      </c>
      <c r="P709" t="s">
        <v>7616</v>
      </c>
      <c r="Q709">
        <v>1</v>
      </c>
    </row>
    <row r="710" spans="1:17" x14ac:dyDescent="0.25">
      <c r="A710">
        <v>4</v>
      </c>
      <c r="B710" t="s">
        <v>7625</v>
      </c>
      <c r="C710" t="s">
        <v>34</v>
      </c>
      <c r="D710" t="s">
        <v>7616</v>
      </c>
      <c r="G710">
        <v>23761</v>
      </c>
      <c r="H710" t="s">
        <v>7626</v>
      </c>
      <c r="I710" t="s">
        <v>7627</v>
      </c>
      <c r="J710">
        <v>23761</v>
      </c>
      <c r="K710" t="s">
        <v>7628</v>
      </c>
      <c r="L710">
        <v>18</v>
      </c>
      <c r="O710">
        <v>23761</v>
      </c>
      <c r="P710" t="s">
        <v>7616</v>
      </c>
      <c r="Q710">
        <v>1</v>
      </c>
    </row>
    <row r="711" spans="1:17" x14ac:dyDescent="0.25">
      <c r="A711">
        <v>4</v>
      </c>
      <c r="B711" t="s">
        <v>7629</v>
      </c>
      <c r="C711" t="s">
        <v>34</v>
      </c>
      <c r="D711" t="s">
        <v>7616</v>
      </c>
      <c r="G711">
        <v>297641</v>
      </c>
      <c r="H711" t="s">
        <v>7630</v>
      </c>
      <c r="I711" t="s">
        <v>7631</v>
      </c>
      <c r="J711">
        <v>297641</v>
      </c>
      <c r="K711" t="s">
        <v>7632</v>
      </c>
      <c r="L711">
        <v>3</v>
      </c>
      <c r="N711" t="s">
        <v>4713</v>
      </c>
      <c r="O711">
        <v>297641</v>
      </c>
      <c r="P711" t="s">
        <v>7616</v>
      </c>
      <c r="Q711">
        <v>1</v>
      </c>
    </row>
    <row r="712" spans="1:17" x14ac:dyDescent="0.25">
      <c r="A712">
        <v>4</v>
      </c>
      <c r="B712" t="s">
        <v>7633</v>
      </c>
      <c r="C712" t="s">
        <v>34</v>
      </c>
      <c r="D712" t="s">
        <v>7616</v>
      </c>
      <c r="G712" t="s">
        <v>7634</v>
      </c>
      <c r="H712" t="s">
        <v>7635</v>
      </c>
      <c r="I712" t="s">
        <v>7636</v>
      </c>
      <c r="J712" t="s">
        <v>7634</v>
      </c>
      <c r="K712" t="s">
        <v>7637</v>
      </c>
      <c r="L712">
        <v>21</v>
      </c>
      <c r="O712" t="s">
        <v>7634</v>
      </c>
      <c r="P712" t="s">
        <v>7616</v>
      </c>
      <c r="Q712">
        <v>1</v>
      </c>
    </row>
    <row r="713" spans="1:17" x14ac:dyDescent="0.25">
      <c r="A713">
        <v>3</v>
      </c>
      <c r="B713" t="s">
        <v>7638</v>
      </c>
      <c r="C713" t="s">
        <v>34</v>
      </c>
      <c r="D713" t="s">
        <v>7616</v>
      </c>
      <c r="F713" t="s">
        <v>7639</v>
      </c>
      <c r="H713" t="s">
        <v>7640</v>
      </c>
      <c r="I713" t="s">
        <v>7641</v>
      </c>
      <c r="J713" t="s">
        <v>7639</v>
      </c>
      <c r="O713" t="s">
        <v>7639</v>
      </c>
      <c r="P713" t="s">
        <v>7616</v>
      </c>
      <c r="Q713">
        <v>1</v>
      </c>
    </row>
    <row r="714" spans="1:17" x14ac:dyDescent="0.25">
      <c r="A714">
        <v>4</v>
      </c>
      <c r="B714" t="s">
        <v>7642</v>
      </c>
      <c r="C714" t="s">
        <v>34</v>
      </c>
      <c r="D714" t="s">
        <v>7616</v>
      </c>
      <c r="G714">
        <v>247766</v>
      </c>
      <c r="H714" t="s">
        <v>7643</v>
      </c>
      <c r="I714" t="s">
        <v>7643</v>
      </c>
      <c r="J714">
        <v>247766</v>
      </c>
      <c r="K714" t="s">
        <v>7644</v>
      </c>
      <c r="L714">
        <v>18</v>
      </c>
      <c r="O714">
        <v>247766</v>
      </c>
      <c r="P714" t="s">
        <v>7616</v>
      </c>
      <c r="Q714">
        <v>1</v>
      </c>
    </row>
    <row r="715" spans="1:17" x14ac:dyDescent="0.25">
      <c r="A715">
        <v>4</v>
      </c>
      <c r="B715" t="s">
        <v>7645</v>
      </c>
      <c r="C715" t="s">
        <v>34</v>
      </c>
      <c r="D715" t="s">
        <v>7616</v>
      </c>
      <c r="G715" t="s">
        <v>7646</v>
      </c>
      <c r="H715" t="s">
        <v>7647</v>
      </c>
      <c r="I715" t="s">
        <v>7648</v>
      </c>
      <c r="J715" t="s">
        <v>7646</v>
      </c>
      <c r="K715" t="s">
        <v>7649</v>
      </c>
      <c r="L715">
        <v>18</v>
      </c>
      <c r="O715" t="s">
        <v>7646</v>
      </c>
      <c r="P715" t="s">
        <v>7616</v>
      </c>
      <c r="Q715">
        <v>1</v>
      </c>
    </row>
    <row r="716" spans="1:17" x14ac:dyDescent="0.25">
      <c r="A716">
        <v>3</v>
      </c>
      <c r="B716" t="s">
        <v>7650</v>
      </c>
      <c r="C716" t="s">
        <v>34</v>
      </c>
      <c r="D716" t="s">
        <v>7616</v>
      </c>
      <c r="F716" t="s">
        <v>7651</v>
      </c>
      <c r="H716" t="s">
        <v>7652</v>
      </c>
      <c r="I716" t="s">
        <v>7652</v>
      </c>
      <c r="J716" t="s">
        <v>7651</v>
      </c>
      <c r="O716" t="s">
        <v>7651</v>
      </c>
      <c r="P716" t="s">
        <v>7616</v>
      </c>
      <c r="Q716">
        <v>1</v>
      </c>
    </row>
    <row r="717" spans="1:17" x14ac:dyDescent="0.25">
      <c r="A717">
        <v>4</v>
      </c>
      <c r="B717" t="s">
        <v>7653</v>
      </c>
      <c r="C717" t="s">
        <v>34</v>
      </c>
      <c r="D717" t="s">
        <v>7616</v>
      </c>
      <c r="G717">
        <v>23769</v>
      </c>
      <c r="H717" t="s">
        <v>7654</v>
      </c>
      <c r="I717" t="s">
        <v>7655</v>
      </c>
      <c r="J717">
        <v>23769</v>
      </c>
      <c r="K717" t="s">
        <v>7656</v>
      </c>
      <c r="L717">
        <v>9</v>
      </c>
      <c r="N717" t="s">
        <v>4713</v>
      </c>
      <c r="O717">
        <v>23769</v>
      </c>
      <c r="P717" t="s">
        <v>7616</v>
      </c>
      <c r="Q717">
        <v>1</v>
      </c>
    </row>
    <row r="718" spans="1:17" x14ac:dyDescent="0.25">
      <c r="A718">
        <v>4</v>
      </c>
      <c r="B718" t="s">
        <v>7657</v>
      </c>
      <c r="C718" t="s">
        <v>34</v>
      </c>
      <c r="D718" t="s">
        <v>7616</v>
      </c>
      <c r="G718">
        <v>66020</v>
      </c>
      <c r="H718" t="s">
        <v>7658</v>
      </c>
      <c r="I718" t="s">
        <v>7659</v>
      </c>
      <c r="J718">
        <v>66020</v>
      </c>
      <c r="K718" t="s">
        <v>7660</v>
      </c>
      <c r="L718">
        <v>36</v>
      </c>
      <c r="O718">
        <v>66020</v>
      </c>
      <c r="P718" t="s">
        <v>7616</v>
      </c>
      <c r="Q718">
        <v>1</v>
      </c>
    </row>
    <row r="719" spans="1:17" x14ac:dyDescent="0.25">
      <c r="A719">
        <v>4</v>
      </c>
      <c r="B719" t="s">
        <v>7661</v>
      </c>
      <c r="C719" t="s">
        <v>34</v>
      </c>
      <c r="D719" t="s">
        <v>7616</v>
      </c>
      <c r="G719" t="s">
        <v>7662</v>
      </c>
      <c r="H719" t="s">
        <v>7663</v>
      </c>
      <c r="I719" t="s">
        <v>7664</v>
      </c>
      <c r="J719" t="s">
        <v>7662</v>
      </c>
      <c r="K719" t="s">
        <v>7665</v>
      </c>
      <c r="L719">
        <v>9</v>
      </c>
      <c r="N719" t="s">
        <v>4713</v>
      </c>
      <c r="O719" t="s">
        <v>7662</v>
      </c>
      <c r="P719" t="s">
        <v>7616</v>
      </c>
      <c r="Q719">
        <v>1</v>
      </c>
    </row>
    <row r="720" spans="1:17" x14ac:dyDescent="0.25">
      <c r="A720">
        <v>3</v>
      </c>
      <c r="B720" t="s">
        <v>7666</v>
      </c>
      <c r="C720" t="s">
        <v>34</v>
      </c>
      <c r="D720" t="s">
        <v>7616</v>
      </c>
      <c r="F720" t="s">
        <v>7667</v>
      </c>
      <c r="H720" t="s">
        <v>7668</v>
      </c>
      <c r="I720" t="s">
        <v>7668</v>
      </c>
      <c r="J720" t="s">
        <v>7667</v>
      </c>
      <c r="O720" t="s">
        <v>7667</v>
      </c>
      <c r="P720" t="s">
        <v>7616</v>
      </c>
      <c r="Q720">
        <v>1</v>
      </c>
    </row>
    <row r="721" spans="1:17" x14ac:dyDescent="0.25">
      <c r="A721">
        <v>4</v>
      </c>
      <c r="B721" t="s">
        <v>7669</v>
      </c>
      <c r="C721" t="s">
        <v>34</v>
      </c>
      <c r="D721" t="s">
        <v>7616</v>
      </c>
      <c r="G721">
        <v>166913</v>
      </c>
      <c r="H721" t="s">
        <v>7670</v>
      </c>
      <c r="I721" t="s">
        <v>7671</v>
      </c>
      <c r="J721">
        <v>166913</v>
      </c>
      <c r="K721" t="s">
        <v>7672</v>
      </c>
      <c r="L721">
        <v>13</v>
      </c>
      <c r="O721">
        <v>166913</v>
      </c>
      <c r="P721" t="s">
        <v>7616</v>
      </c>
      <c r="Q721">
        <v>1</v>
      </c>
    </row>
    <row r="722" spans="1:17" x14ac:dyDescent="0.25">
      <c r="A722">
        <v>4</v>
      </c>
      <c r="B722" t="s">
        <v>7673</v>
      </c>
      <c r="C722" t="s">
        <v>34</v>
      </c>
      <c r="D722" t="s">
        <v>7616</v>
      </c>
      <c r="G722">
        <v>23773</v>
      </c>
      <c r="H722" t="s">
        <v>7674</v>
      </c>
      <c r="I722" t="s">
        <v>7675</v>
      </c>
      <c r="J722">
        <v>23773</v>
      </c>
      <c r="K722" t="s">
        <v>7676</v>
      </c>
      <c r="L722">
        <v>17</v>
      </c>
      <c r="O722">
        <v>23773</v>
      </c>
      <c r="P722" t="s">
        <v>7616</v>
      </c>
      <c r="Q722">
        <v>1</v>
      </c>
    </row>
    <row r="723" spans="1:17" x14ac:dyDescent="0.25">
      <c r="A723">
        <v>4</v>
      </c>
      <c r="B723" t="s">
        <v>7677</v>
      </c>
      <c r="C723" t="s">
        <v>34</v>
      </c>
      <c r="D723" t="s">
        <v>7616</v>
      </c>
      <c r="G723" t="s">
        <v>7678</v>
      </c>
      <c r="H723" t="s">
        <v>7679</v>
      </c>
      <c r="I723" t="s">
        <v>7680</v>
      </c>
      <c r="J723" t="s">
        <v>7678</v>
      </c>
      <c r="K723" t="s">
        <v>7681</v>
      </c>
      <c r="L723">
        <v>16</v>
      </c>
      <c r="O723" t="s">
        <v>7678</v>
      </c>
      <c r="P723" t="s">
        <v>7616</v>
      </c>
      <c r="Q723">
        <v>1</v>
      </c>
    </row>
    <row r="724" spans="1:17" x14ac:dyDescent="0.25">
      <c r="A724">
        <v>3</v>
      </c>
      <c r="B724" t="s">
        <v>7682</v>
      </c>
      <c r="C724" t="s">
        <v>34</v>
      </c>
      <c r="D724" t="s">
        <v>7616</v>
      </c>
      <c r="F724" t="s">
        <v>7683</v>
      </c>
      <c r="H724" t="s">
        <v>7684</v>
      </c>
      <c r="I724" t="s">
        <v>7684</v>
      </c>
      <c r="J724" t="s">
        <v>7683</v>
      </c>
      <c r="O724" t="s">
        <v>7683</v>
      </c>
      <c r="P724" t="s">
        <v>7616</v>
      </c>
      <c r="Q724">
        <v>1</v>
      </c>
    </row>
    <row r="725" spans="1:17" x14ac:dyDescent="0.25">
      <c r="A725">
        <v>4</v>
      </c>
      <c r="B725" t="s">
        <v>7685</v>
      </c>
      <c r="C725" t="s">
        <v>34</v>
      </c>
      <c r="D725" t="s">
        <v>7616</v>
      </c>
      <c r="G725">
        <v>23779</v>
      </c>
      <c r="H725" t="s">
        <v>7686</v>
      </c>
      <c r="I725" t="s">
        <v>7687</v>
      </c>
      <c r="J725">
        <v>23779</v>
      </c>
      <c r="K725" t="s">
        <v>7688</v>
      </c>
      <c r="L725">
        <v>20</v>
      </c>
      <c r="O725">
        <v>23779</v>
      </c>
      <c r="P725" t="s">
        <v>7616</v>
      </c>
      <c r="Q725">
        <v>1</v>
      </c>
    </row>
    <row r="726" spans="1:17" x14ac:dyDescent="0.25">
      <c r="A726">
        <v>4</v>
      </c>
      <c r="B726" t="s">
        <v>7689</v>
      </c>
      <c r="C726" t="s">
        <v>34</v>
      </c>
      <c r="D726" t="s">
        <v>7616</v>
      </c>
      <c r="G726">
        <v>23781</v>
      </c>
      <c r="H726" t="s">
        <v>7690</v>
      </c>
      <c r="I726" t="s">
        <v>7691</v>
      </c>
      <c r="J726">
        <v>23781</v>
      </c>
      <c r="K726" t="s">
        <v>7692</v>
      </c>
      <c r="L726">
        <v>9</v>
      </c>
      <c r="N726" t="s">
        <v>4713</v>
      </c>
      <c r="O726">
        <v>23781</v>
      </c>
      <c r="P726" t="s">
        <v>7616</v>
      </c>
      <c r="Q726">
        <v>1</v>
      </c>
    </row>
    <row r="727" spans="1:17" x14ac:dyDescent="0.25">
      <c r="A727">
        <v>4</v>
      </c>
      <c r="B727" t="s">
        <v>7693</v>
      </c>
      <c r="C727" t="s">
        <v>34</v>
      </c>
      <c r="D727" t="s">
        <v>7616</v>
      </c>
      <c r="G727">
        <v>23783</v>
      </c>
      <c r="H727" t="s">
        <v>7694</v>
      </c>
      <c r="I727" t="s">
        <v>7695</v>
      </c>
      <c r="J727">
        <v>23783</v>
      </c>
      <c r="K727" t="s">
        <v>7696</v>
      </c>
      <c r="L727">
        <v>28</v>
      </c>
      <c r="O727">
        <v>23783</v>
      </c>
      <c r="P727" t="s">
        <v>7616</v>
      </c>
      <c r="Q727">
        <v>1</v>
      </c>
    </row>
    <row r="728" spans="1:17" x14ac:dyDescent="0.25">
      <c r="A728">
        <v>4</v>
      </c>
      <c r="B728" t="s">
        <v>7697</v>
      </c>
      <c r="C728" t="s">
        <v>34</v>
      </c>
      <c r="D728" t="s">
        <v>7616</v>
      </c>
      <c r="G728">
        <v>247749</v>
      </c>
      <c r="H728" t="s">
        <v>7698</v>
      </c>
      <c r="I728" t="s">
        <v>7698</v>
      </c>
      <c r="J728">
        <v>247749</v>
      </c>
      <c r="K728" t="s">
        <v>7699</v>
      </c>
      <c r="L728">
        <v>151</v>
      </c>
      <c r="O728">
        <v>247749</v>
      </c>
      <c r="P728" t="s">
        <v>7616</v>
      </c>
      <c r="Q728">
        <v>1</v>
      </c>
    </row>
    <row r="729" spans="1:17" x14ac:dyDescent="0.25">
      <c r="A729">
        <v>4</v>
      </c>
      <c r="B729" t="s">
        <v>7700</v>
      </c>
      <c r="C729" t="s">
        <v>34</v>
      </c>
      <c r="D729" t="s">
        <v>7616</v>
      </c>
      <c r="G729">
        <v>42780</v>
      </c>
      <c r="H729" t="s">
        <v>7701</v>
      </c>
      <c r="I729" t="s">
        <v>7702</v>
      </c>
      <c r="J729">
        <v>42780</v>
      </c>
      <c r="K729" t="s">
        <v>7703</v>
      </c>
      <c r="L729">
        <v>18</v>
      </c>
      <c r="O729">
        <v>42780</v>
      </c>
      <c r="P729" t="s">
        <v>7616</v>
      </c>
      <c r="Q729">
        <v>1</v>
      </c>
    </row>
    <row r="730" spans="1:17" x14ac:dyDescent="0.25">
      <c r="A730">
        <v>4</v>
      </c>
      <c r="B730" t="s">
        <v>7704</v>
      </c>
      <c r="C730" t="s">
        <v>34</v>
      </c>
      <c r="D730" t="s">
        <v>7616</v>
      </c>
      <c r="G730" t="s">
        <v>7705</v>
      </c>
      <c r="H730" t="s">
        <v>7706</v>
      </c>
      <c r="I730" t="s">
        <v>7707</v>
      </c>
      <c r="J730" t="s">
        <v>7705</v>
      </c>
      <c r="K730" t="s">
        <v>7708</v>
      </c>
      <c r="L730">
        <v>76</v>
      </c>
      <c r="O730" t="s">
        <v>7705</v>
      </c>
      <c r="P730" t="s">
        <v>7616</v>
      </c>
      <c r="Q730">
        <v>1</v>
      </c>
    </row>
    <row r="731" spans="1:17" x14ac:dyDescent="0.25">
      <c r="A731">
        <v>3</v>
      </c>
      <c r="B731" t="s">
        <v>7709</v>
      </c>
      <c r="C731" t="s">
        <v>34</v>
      </c>
      <c r="D731" t="s">
        <v>7616</v>
      </c>
      <c r="F731" t="s">
        <v>7710</v>
      </c>
      <c r="H731" t="s">
        <v>7711</v>
      </c>
      <c r="I731" t="s">
        <v>7711</v>
      </c>
      <c r="J731" t="s">
        <v>7710</v>
      </c>
      <c r="O731" t="s">
        <v>7710</v>
      </c>
      <c r="P731" t="s">
        <v>7616</v>
      </c>
      <c r="Q731">
        <v>1</v>
      </c>
    </row>
    <row r="732" spans="1:17" x14ac:dyDescent="0.25">
      <c r="A732">
        <v>4</v>
      </c>
      <c r="B732" t="s">
        <v>7712</v>
      </c>
      <c r="C732" t="s">
        <v>34</v>
      </c>
      <c r="D732" t="s">
        <v>7616</v>
      </c>
      <c r="G732">
        <v>23787</v>
      </c>
      <c r="H732" t="s">
        <v>7713</v>
      </c>
      <c r="I732" t="s">
        <v>7714</v>
      </c>
      <c r="J732">
        <v>23787</v>
      </c>
      <c r="K732" t="s">
        <v>7715</v>
      </c>
      <c r="L732">
        <v>53</v>
      </c>
      <c r="O732">
        <v>23787</v>
      </c>
      <c r="P732" t="s">
        <v>7616</v>
      </c>
      <c r="Q732">
        <v>1</v>
      </c>
    </row>
    <row r="733" spans="1:17" x14ac:dyDescent="0.25">
      <c r="A733">
        <v>4</v>
      </c>
      <c r="B733" t="s">
        <v>7716</v>
      </c>
      <c r="C733" t="s">
        <v>34</v>
      </c>
      <c r="D733" t="s">
        <v>7616</v>
      </c>
      <c r="G733">
        <v>23789</v>
      </c>
      <c r="H733" t="s">
        <v>7717</v>
      </c>
      <c r="I733" t="s">
        <v>7718</v>
      </c>
      <c r="J733">
        <v>23789</v>
      </c>
      <c r="K733" t="s">
        <v>7719</v>
      </c>
      <c r="L733">
        <v>22</v>
      </c>
      <c r="O733">
        <v>23789</v>
      </c>
      <c r="P733" t="s">
        <v>7616</v>
      </c>
      <c r="Q733">
        <v>1</v>
      </c>
    </row>
    <row r="734" spans="1:17" x14ac:dyDescent="0.25">
      <c r="A734">
        <v>4</v>
      </c>
      <c r="B734" t="s">
        <v>7720</v>
      </c>
      <c r="C734" t="s">
        <v>34</v>
      </c>
      <c r="D734" t="s">
        <v>7616</v>
      </c>
      <c r="G734">
        <v>247801</v>
      </c>
      <c r="H734" t="s">
        <v>7721</v>
      </c>
      <c r="I734" t="s">
        <v>7721</v>
      </c>
      <c r="J734">
        <v>247801</v>
      </c>
      <c r="K734" t="s">
        <v>7722</v>
      </c>
      <c r="L734">
        <v>100</v>
      </c>
      <c r="O734">
        <v>247801</v>
      </c>
      <c r="P734" t="s">
        <v>7616</v>
      </c>
      <c r="Q734">
        <v>1</v>
      </c>
    </row>
    <row r="735" spans="1:17" x14ac:dyDescent="0.25">
      <c r="A735">
        <v>4</v>
      </c>
      <c r="B735" t="s">
        <v>7723</v>
      </c>
      <c r="C735" t="s">
        <v>34</v>
      </c>
      <c r="D735" t="s">
        <v>7616</v>
      </c>
      <c r="G735" t="s">
        <v>7724</v>
      </c>
      <c r="H735" t="s">
        <v>7725</v>
      </c>
      <c r="I735" t="s">
        <v>7726</v>
      </c>
      <c r="J735" t="s">
        <v>7724</v>
      </c>
      <c r="K735" t="s">
        <v>7727</v>
      </c>
      <c r="L735">
        <v>25</v>
      </c>
      <c r="O735" t="s">
        <v>7724</v>
      </c>
      <c r="P735" t="s">
        <v>7616</v>
      </c>
      <c r="Q735">
        <v>1</v>
      </c>
    </row>
    <row r="736" spans="1:17" x14ac:dyDescent="0.25">
      <c r="A736">
        <v>3</v>
      </c>
      <c r="B736" t="s">
        <v>7728</v>
      </c>
      <c r="C736" t="s">
        <v>34</v>
      </c>
      <c r="D736" t="s">
        <v>7616</v>
      </c>
      <c r="F736" t="s">
        <v>7729</v>
      </c>
      <c r="H736" t="s">
        <v>7730</v>
      </c>
      <c r="I736" t="s">
        <v>7730</v>
      </c>
      <c r="J736" t="s">
        <v>7729</v>
      </c>
      <c r="O736" t="s">
        <v>7729</v>
      </c>
      <c r="P736" t="s">
        <v>7616</v>
      </c>
      <c r="Q736">
        <v>1</v>
      </c>
    </row>
    <row r="737" spans="1:17" x14ac:dyDescent="0.25">
      <c r="A737">
        <v>4</v>
      </c>
      <c r="B737" t="s">
        <v>7731</v>
      </c>
      <c r="C737" t="s">
        <v>34</v>
      </c>
      <c r="D737" t="s">
        <v>7616</v>
      </c>
      <c r="G737">
        <v>23793</v>
      </c>
      <c r="H737" t="s">
        <v>7732</v>
      </c>
      <c r="I737" t="s">
        <v>7733</v>
      </c>
      <c r="J737">
        <v>23793</v>
      </c>
      <c r="K737" t="s">
        <v>7734</v>
      </c>
      <c r="L737">
        <v>3</v>
      </c>
      <c r="N737" t="s">
        <v>4713</v>
      </c>
      <c r="O737">
        <v>23793</v>
      </c>
      <c r="P737" t="s">
        <v>7616</v>
      </c>
      <c r="Q737">
        <v>1</v>
      </c>
    </row>
    <row r="738" spans="1:17" x14ac:dyDescent="0.25">
      <c r="A738">
        <v>4</v>
      </c>
      <c r="B738" t="s">
        <v>7735</v>
      </c>
      <c r="C738" t="s">
        <v>34</v>
      </c>
      <c r="D738" t="s">
        <v>7616</v>
      </c>
      <c r="G738">
        <v>23795</v>
      </c>
      <c r="H738" t="s">
        <v>7736</v>
      </c>
      <c r="I738" t="s">
        <v>7737</v>
      </c>
      <c r="J738">
        <v>23795</v>
      </c>
      <c r="K738" t="s">
        <v>7738</v>
      </c>
      <c r="L738">
        <v>24</v>
      </c>
      <c r="O738">
        <v>23795</v>
      </c>
      <c r="P738" t="s">
        <v>7616</v>
      </c>
      <c r="Q738">
        <v>1</v>
      </c>
    </row>
    <row r="739" spans="1:17" x14ac:dyDescent="0.25">
      <c r="A739">
        <v>4</v>
      </c>
      <c r="B739" t="s">
        <v>7739</v>
      </c>
      <c r="C739" t="s">
        <v>34</v>
      </c>
      <c r="D739" t="s">
        <v>7616</v>
      </c>
      <c r="G739">
        <v>23797</v>
      </c>
      <c r="H739" t="s">
        <v>7740</v>
      </c>
      <c r="I739" t="s">
        <v>7741</v>
      </c>
      <c r="J739">
        <v>23797</v>
      </c>
      <c r="K739" t="s">
        <v>7742</v>
      </c>
      <c r="L739">
        <v>1</v>
      </c>
      <c r="N739" t="s">
        <v>4734</v>
      </c>
      <c r="O739">
        <v>23797</v>
      </c>
      <c r="P739" t="s">
        <v>7616</v>
      </c>
      <c r="Q739">
        <v>1</v>
      </c>
    </row>
    <row r="740" spans="1:17" x14ac:dyDescent="0.25">
      <c r="A740">
        <v>4</v>
      </c>
      <c r="B740" t="s">
        <v>7743</v>
      </c>
      <c r="C740" t="s">
        <v>34</v>
      </c>
      <c r="D740" t="s">
        <v>7616</v>
      </c>
      <c r="G740">
        <v>247820</v>
      </c>
      <c r="H740" t="s">
        <v>7744</v>
      </c>
      <c r="I740" t="s">
        <v>7744</v>
      </c>
      <c r="J740">
        <v>247820</v>
      </c>
      <c r="K740" t="s">
        <v>7745</v>
      </c>
      <c r="L740">
        <v>62</v>
      </c>
      <c r="O740">
        <v>247820</v>
      </c>
      <c r="P740" t="s">
        <v>7616</v>
      </c>
      <c r="Q740">
        <v>1</v>
      </c>
    </row>
    <row r="741" spans="1:17" x14ac:dyDescent="0.25">
      <c r="A741">
        <v>4</v>
      </c>
      <c r="B741" t="s">
        <v>7746</v>
      </c>
      <c r="C741" t="s">
        <v>34</v>
      </c>
      <c r="D741" t="s">
        <v>7616</v>
      </c>
      <c r="G741" t="s">
        <v>7747</v>
      </c>
      <c r="H741" t="s">
        <v>7748</v>
      </c>
      <c r="I741" t="s">
        <v>7749</v>
      </c>
      <c r="J741" t="s">
        <v>7747</v>
      </c>
      <c r="K741" t="s">
        <v>7750</v>
      </c>
      <c r="L741">
        <v>34</v>
      </c>
      <c r="O741" t="s">
        <v>7747</v>
      </c>
      <c r="P741" t="s">
        <v>7616</v>
      </c>
      <c r="Q741">
        <v>1</v>
      </c>
    </row>
    <row r="742" spans="1:17" x14ac:dyDescent="0.25">
      <c r="A742">
        <v>2</v>
      </c>
      <c r="B742" t="s">
        <v>7751</v>
      </c>
      <c r="C742" t="s">
        <v>34</v>
      </c>
      <c r="D742" t="s">
        <v>7616</v>
      </c>
      <c r="E742" t="s">
        <v>27</v>
      </c>
      <c r="H742" t="s">
        <v>7752</v>
      </c>
      <c r="I742" t="s">
        <v>581</v>
      </c>
      <c r="J742" t="s">
        <v>27</v>
      </c>
      <c r="O742" t="s">
        <v>27</v>
      </c>
      <c r="P742" t="s">
        <v>7616</v>
      </c>
      <c r="Q742">
        <v>2</v>
      </c>
    </row>
    <row r="743" spans="1:17" x14ac:dyDescent="0.25">
      <c r="A743">
        <v>3</v>
      </c>
      <c r="B743" t="s">
        <v>7753</v>
      </c>
      <c r="C743" t="s">
        <v>34</v>
      </c>
      <c r="D743" t="s">
        <v>7616</v>
      </c>
      <c r="F743" t="s">
        <v>7754</v>
      </c>
      <c r="H743" t="s">
        <v>7755</v>
      </c>
      <c r="I743" t="s">
        <v>7756</v>
      </c>
      <c r="J743" t="s">
        <v>7754</v>
      </c>
      <c r="O743" t="s">
        <v>7754</v>
      </c>
      <c r="P743" t="s">
        <v>7616</v>
      </c>
      <c r="Q743">
        <v>1</v>
      </c>
    </row>
    <row r="744" spans="1:17" x14ac:dyDescent="0.25">
      <c r="A744">
        <v>4</v>
      </c>
      <c r="B744" t="s">
        <v>7757</v>
      </c>
      <c r="C744" t="s">
        <v>34</v>
      </c>
      <c r="D744" t="s">
        <v>7616</v>
      </c>
      <c r="G744">
        <v>178073</v>
      </c>
      <c r="H744" t="s">
        <v>7758</v>
      </c>
      <c r="I744" t="s">
        <v>7759</v>
      </c>
      <c r="J744">
        <v>178073</v>
      </c>
      <c r="K744" t="s">
        <v>7760</v>
      </c>
      <c r="L744">
        <v>13</v>
      </c>
      <c r="O744">
        <v>178073</v>
      </c>
      <c r="P744" t="s">
        <v>7616</v>
      </c>
      <c r="Q744">
        <v>1</v>
      </c>
    </row>
    <row r="745" spans="1:17" x14ac:dyDescent="0.25">
      <c r="A745">
        <v>4</v>
      </c>
      <c r="B745" t="s">
        <v>7761</v>
      </c>
      <c r="C745" t="s">
        <v>34</v>
      </c>
      <c r="D745" t="s">
        <v>7616</v>
      </c>
      <c r="G745">
        <v>178074</v>
      </c>
      <c r="H745" t="s">
        <v>7762</v>
      </c>
      <c r="I745" t="s">
        <v>7763</v>
      </c>
      <c r="J745">
        <v>178074</v>
      </c>
      <c r="K745" t="s">
        <v>7764</v>
      </c>
      <c r="L745">
        <v>3</v>
      </c>
      <c r="N745" t="s">
        <v>4713</v>
      </c>
      <c r="O745">
        <v>178074</v>
      </c>
      <c r="P745" t="s">
        <v>7616</v>
      </c>
      <c r="Q745">
        <v>1</v>
      </c>
    </row>
    <row r="746" spans="1:17" x14ac:dyDescent="0.25">
      <c r="A746">
        <v>4</v>
      </c>
      <c r="B746" t="s">
        <v>7765</v>
      </c>
      <c r="C746" t="s">
        <v>34</v>
      </c>
      <c r="D746" t="s">
        <v>7616</v>
      </c>
      <c r="G746">
        <v>178084</v>
      </c>
      <c r="H746" t="s">
        <v>7766</v>
      </c>
      <c r="I746" t="s">
        <v>7767</v>
      </c>
      <c r="J746">
        <v>178084</v>
      </c>
      <c r="K746" t="s">
        <v>7768</v>
      </c>
      <c r="L746">
        <v>33</v>
      </c>
      <c r="O746">
        <v>178084</v>
      </c>
      <c r="P746" t="s">
        <v>7616</v>
      </c>
      <c r="Q746">
        <v>1</v>
      </c>
    </row>
    <row r="747" spans="1:17" x14ac:dyDescent="0.25">
      <c r="A747">
        <v>4</v>
      </c>
      <c r="B747" t="s">
        <v>7769</v>
      </c>
      <c r="C747" t="s">
        <v>34</v>
      </c>
      <c r="D747" t="s">
        <v>7616</v>
      </c>
      <c r="G747">
        <v>178085</v>
      </c>
      <c r="H747" t="s">
        <v>7770</v>
      </c>
      <c r="I747" t="s">
        <v>7771</v>
      </c>
      <c r="J747">
        <v>178085</v>
      </c>
      <c r="K747" t="s">
        <v>7772</v>
      </c>
      <c r="L747">
        <v>8</v>
      </c>
      <c r="N747" t="s">
        <v>4713</v>
      </c>
      <c r="O747">
        <v>178085</v>
      </c>
      <c r="P747" t="s">
        <v>7616</v>
      </c>
      <c r="Q747">
        <v>1</v>
      </c>
    </row>
    <row r="748" spans="1:17" x14ac:dyDescent="0.25">
      <c r="A748">
        <v>4</v>
      </c>
      <c r="B748" t="s">
        <v>7773</v>
      </c>
      <c r="C748" t="s">
        <v>34</v>
      </c>
      <c r="D748" t="s">
        <v>7616</v>
      </c>
      <c r="G748" t="s">
        <v>7774</v>
      </c>
      <c r="H748" t="s">
        <v>7775</v>
      </c>
      <c r="I748" t="s">
        <v>7776</v>
      </c>
      <c r="J748" t="s">
        <v>7774</v>
      </c>
      <c r="K748" t="s">
        <v>7777</v>
      </c>
      <c r="L748">
        <v>46</v>
      </c>
      <c r="O748" t="s">
        <v>7774</v>
      </c>
      <c r="P748" t="s">
        <v>7616</v>
      </c>
      <c r="Q748">
        <v>1</v>
      </c>
    </row>
    <row r="749" spans="1:17" x14ac:dyDescent="0.25">
      <c r="A749">
        <v>4</v>
      </c>
      <c r="B749" t="s">
        <v>7778</v>
      </c>
      <c r="C749" t="s">
        <v>34</v>
      </c>
      <c r="D749" t="s">
        <v>7616</v>
      </c>
      <c r="G749" t="s">
        <v>7779</v>
      </c>
      <c r="H749" t="s">
        <v>7780</v>
      </c>
      <c r="I749" t="s">
        <v>7781</v>
      </c>
      <c r="J749" t="s">
        <v>7779</v>
      </c>
      <c r="K749" t="s">
        <v>7782</v>
      </c>
      <c r="L749">
        <v>339</v>
      </c>
      <c r="O749" t="s">
        <v>7779</v>
      </c>
      <c r="P749" t="s">
        <v>7616</v>
      </c>
      <c r="Q749">
        <v>1</v>
      </c>
    </row>
    <row r="750" spans="1:17" x14ac:dyDescent="0.25">
      <c r="A750">
        <v>2</v>
      </c>
      <c r="B750" t="s">
        <v>7783</v>
      </c>
      <c r="C750" t="s">
        <v>34</v>
      </c>
      <c r="D750" t="s">
        <v>7616</v>
      </c>
      <c r="E750" t="s">
        <v>7784</v>
      </c>
      <c r="H750" t="s">
        <v>7785</v>
      </c>
      <c r="I750" t="s">
        <v>7786</v>
      </c>
      <c r="J750" t="s">
        <v>7784</v>
      </c>
      <c r="O750" t="s">
        <v>7784</v>
      </c>
      <c r="P750" t="s">
        <v>7616</v>
      </c>
      <c r="Q750">
        <v>1</v>
      </c>
    </row>
    <row r="751" spans="1:17" x14ac:dyDescent="0.25">
      <c r="A751">
        <v>3</v>
      </c>
      <c r="B751" t="s">
        <v>7787</v>
      </c>
      <c r="C751" t="s">
        <v>34</v>
      </c>
      <c r="D751" t="s">
        <v>7616</v>
      </c>
      <c r="F751" t="s">
        <v>7788</v>
      </c>
      <c r="H751" t="s">
        <v>7789</v>
      </c>
      <c r="I751" t="s">
        <v>7790</v>
      </c>
      <c r="J751" t="s">
        <v>7788</v>
      </c>
      <c r="O751" t="s">
        <v>7788</v>
      </c>
      <c r="P751" t="s">
        <v>7616</v>
      </c>
      <c r="Q751">
        <v>1</v>
      </c>
    </row>
    <row r="752" spans="1:17" x14ac:dyDescent="0.25">
      <c r="A752">
        <v>4</v>
      </c>
      <c r="B752" t="s">
        <v>7791</v>
      </c>
      <c r="C752" t="s">
        <v>34</v>
      </c>
      <c r="D752" t="s">
        <v>7616</v>
      </c>
      <c r="G752" t="s">
        <v>7792</v>
      </c>
      <c r="H752" t="s">
        <v>7793</v>
      </c>
      <c r="I752" t="s">
        <v>7793</v>
      </c>
      <c r="J752" t="s">
        <v>7792</v>
      </c>
      <c r="K752" t="s">
        <v>7794</v>
      </c>
      <c r="L752">
        <v>30</v>
      </c>
      <c r="O752" t="s">
        <v>7792</v>
      </c>
      <c r="P752" t="s">
        <v>7616</v>
      </c>
      <c r="Q752">
        <v>1</v>
      </c>
    </row>
    <row r="753" spans="1:17" x14ac:dyDescent="0.25">
      <c r="A753">
        <v>4</v>
      </c>
      <c r="B753" t="s">
        <v>7795</v>
      </c>
      <c r="C753" t="s">
        <v>34</v>
      </c>
      <c r="D753" t="s">
        <v>7616</v>
      </c>
      <c r="G753" t="s">
        <v>7796</v>
      </c>
      <c r="H753" t="s">
        <v>7797</v>
      </c>
      <c r="I753" t="s">
        <v>7797</v>
      </c>
      <c r="J753" t="s">
        <v>7796</v>
      </c>
      <c r="K753" t="s">
        <v>7798</v>
      </c>
      <c r="L753">
        <v>3</v>
      </c>
      <c r="N753" t="s">
        <v>4713</v>
      </c>
      <c r="O753" t="s">
        <v>7796</v>
      </c>
      <c r="P753" t="s">
        <v>7616</v>
      </c>
      <c r="Q753">
        <v>1</v>
      </c>
    </row>
    <row r="754" spans="1:17" x14ac:dyDescent="0.25">
      <c r="A754">
        <v>4</v>
      </c>
      <c r="B754" t="s">
        <v>7799</v>
      </c>
      <c r="C754" t="s">
        <v>34</v>
      </c>
      <c r="D754" t="s">
        <v>7616</v>
      </c>
      <c r="G754" t="s">
        <v>7800</v>
      </c>
      <c r="H754" t="s">
        <v>7801</v>
      </c>
      <c r="I754" t="s">
        <v>7801</v>
      </c>
      <c r="J754" t="s">
        <v>7800</v>
      </c>
      <c r="K754" t="s">
        <v>7802</v>
      </c>
      <c r="L754">
        <v>5</v>
      </c>
      <c r="N754" t="s">
        <v>4713</v>
      </c>
      <c r="O754" t="s">
        <v>7800</v>
      </c>
      <c r="P754" t="s">
        <v>7616</v>
      </c>
      <c r="Q754">
        <v>1</v>
      </c>
    </row>
    <row r="755" spans="1:17" x14ac:dyDescent="0.25">
      <c r="A755">
        <v>4</v>
      </c>
      <c r="B755" t="s">
        <v>7803</v>
      </c>
      <c r="C755" t="s">
        <v>34</v>
      </c>
      <c r="D755" t="s">
        <v>7616</v>
      </c>
      <c r="G755" t="s">
        <v>7804</v>
      </c>
      <c r="H755" t="s">
        <v>7805</v>
      </c>
      <c r="I755" t="s">
        <v>7805</v>
      </c>
      <c r="J755" t="s">
        <v>7804</v>
      </c>
      <c r="K755" t="s">
        <v>7806</v>
      </c>
      <c r="L755">
        <v>1</v>
      </c>
      <c r="N755" t="s">
        <v>4734</v>
      </c>
      <c r="O755" t="s">
        <v>7804</v>
      </c>
      <c r="P755" t="s">
        <v>7616</v>
      </c>
      <c r="Q755">
        <v>1</v>
      </c>
    </row>
    <row r="756" spans="1:17" x14ac:dyDescent="0.25">
      <c r="A756">
        <v>4</v>
      </c>
      <c r="B756" t="s">
        <v>7807</v>
      </c>
      <c r="C756" t="s">
        <v>34</v>
      </c>
      <c r="D756" t="s">
        <v>7616</v>
      </c>
      <c r="G756" t="s">
        <v>7808</v>
      </c>
      <c r="H756" t="s">
        <v>7809</v>
      </c>
      <c r="I756" t="s">
        <v>7809</v>
      </c>
      <c r="J756" t="s">
        <v>7808</v>
      </c>
      <c r="K756" t="s">
        <v>7810</v>
      </c>
      <c r="L756">
        <v>15</v>
      </c>
      <c r="O756" t="s">
        <v>7808</v>
      </c>
      <c r="P756" t="s">
        <v>7616</v>
      </c>
      <c r="Q756">
        <v>1</v>
      </c>
    </row>
    <row r="757" spans="1:17" x14ac:dyDescent="0.25">
      <c r="A757">
        <v>3</v>
      </c>
      <c r="B757" t="s">
        <v>7811</v>
      </c>
      <c r="C757" t="s">
        <v>34</v>
      </c>
      <c r="D757" t="s">
        <v>7616</v>
      </c>
      <c r="F757" t="s">
        <v>7812</v>
      </c>
      <c r="H757" t="s">
        <v>7813</v>
      </c>
      <c r="I757" t="s">
        <v>7814</v>
      </c>
      <c r="J757" t="s">
        <v>7812</v>
      </c>
      <c r="O757" t="s">
        <v>7812</v>
      </c>
      <c r="P757" t="s">
        <v>7616</v>
      </c>
      <c r="Q757">
        <v>1</v>
      </c>
    </row>
    <row r="758" spans="1:17" x14ac:dyDescent="0.25">
      <c r="A758">
        <v>4</v>
      </c>
      <c r="B758" t="s">
        <v>7815</v>
      </c>
      <c r="C758" t="s">
        <v>34</v>
      </c>
      <c r="D758" t="s">
        <v>7616</v>
      </c>
      <c r="G758" t="s">
        <v>7816</v>
      </c>
      <c r="H758" t="s">
        <v>7817</v>
      </c>
      <c r="I758" t="s">
        <v>7817</v>
      </c>
      <c r="J758" t="s">
        <v>7816</v>
      </c>
      <c r="K758" t="s">
        <v>7818</v>
      </c>
      <c r="L758">
        <v>3</v>
      </c>
      <c r="N758" t="s">
        <v>4713</v>
      </c>
      <c r="O758" t="s">
        <v>7816</v>
      </c>
      <c r="P758" t="s">
        <v>7616</v>
      </c>
      <c r="Q758">
        <v>1</v>
      </c>
    </row>
    <row r="759" spans="1:17" x14ac:dyDescent="0.25">
      <c r="A759">
        <v>4</v>
      </c>
      <c r="B759" t="s">
        <v>7819</v>
      </c>
      <c r="C759" t="s">
        <v>34</v>
      </c>
      <c r="D759" t="s">
        <v>7616</v>
      </c>
      <c r="G759" t="s">
        <v>7820</v>
      </c>
      <c r="H759" t="s">
        <v>7821</v>
      </c>
      <c r="I759" t="s">
        <v>7821</v>
      </c>
      <c r="J759" t="s">
        <v>7820</v>
      </c>
      <c r="K759" t="s">
        <v>7822</v>
      </c>
      <c r="L759">
        <v>2</v>
      </c>
      <c r="N759" t="s">
        <v>4713</v>
      </c>
      <c r="O759" t="s">
        <v>7820</v>
      </c>
      <c r="P759" t="s">
        <v>7616</v>
      </c>
      <c r="Q759">
        <v>1</v>
      </c>
    </row>
    <row r="760" spans="1:17" x14ac:dyDescent="0.25">
      <c r="A760">
        <v>4</v>
      </c>
      <c r="B760" t="s">
        <v>7823</v>
      </c>
      <c r="C760" t="s">
        <v>34</v>
      </c>
      <c r="D760" t="s">
        <v>7616</v>
      </c>
      <c r="G760" t="s">
        <v>7824</v>
      </c>
      <c r="H760" t="s">
        <v>7825</v>
      </c>
      <c r="I760" t="s">
        <v>7825</v>
      </c>
      <c r="J760" t="s">
        <v>7824</v>
      </c>
      <c r="K760" t="s">
        <v>7826</v>
      </c>
      <c r="L760">
        <v>14</v>
      </c>
      <c r="O760" t="s">
        <v>7824</v>
      </c>
      <c r="P760" t="s">
        <v>7616</v>
      </c>
      <c r="Q760">
        <v>1</v>
      </c>
    </row>
    <row r="761" spans="1:17" x14ac:dyDescent="0.25">
      <c r="A761">
        <v>3</v>
      </c>
      <c r="B761" t="s">
        <v>7827</v>
      </c>
      <c r="C761" t="s">
        <v>34</v>
      </c>
      <c r="D761" t="s">
        <v>7616</v>
      </c>
      <c r="F761" t="s">
        <v>7828</v>
      </c>
      <c r="H761" t="s">
        <v>7829</v>
      </c>
      <c r="I761" t="s">
        <v>7830</v>
      </c>
      <c r="J761" t="s">
        <v>7828</v>
      </c>
      <c r="O761" t="s">
        <v>7828</v>
      </c>
      <c r="P761" t="s">
        <v>7616</v>
      </c>
      <c r="Q761">
        <v>1</v>
      </c>
    </row>
    <row r="762" spans="1:17" x14ac:dyDescent="0.25">
      <c r="A762">
        <v>4</v>
      </c>
      <c r="B762" t="s">
        <v>7831</v>
      </c>
      <c r="C762" t="s">
        <v>34</v>
      </c>
      <c r="D762" t="s">
        <v>7616</v>
      </c>
      <c r="G762" t="s">
        <v>7832</v>
      </c>
      <c r="H762" t="s">
        <v>7833</v>
      </c>
      <c r="I762" t="s">
        <v>7833</v>
      </c>
      <c r="J762" t="s">
        <v>7832</v>
      </c>
      <c r="K762" t="s">
        <v>7834</v>
      </c>
      <c r="L762">
        <v>6</v>
      </c>
      <c r="N762" t="s">
        <v>4713</v>
      </c>
      <c r="O762" t="s">
        <v>7832</v>
      </c>
      <c r="P762" t="s">
        <v>7616</v>
      </c>
      <c r="Q762">
        <v>1</v>
      </c>
    </row>
    <row r="763" spans="1:17" x14ac:dyDescent="0.25">
      <c r="A763">
        <v>4</v>
      </c>
      <c r="B763" t="s">
        <v>7835</v>
      </c>
      <c r="C763" t="s">
        <v>34</v>
      </c>
      <c r="D763" t="s">
        <v>7616</v>
      </c>
      <c r="G763" t="s">
        <v>7836</v>
      </c>
      <c r="H763" t="s">
        <v>7837</v>
      </c>
      <c r="I763" t="s">
        <v>7837</v>
      </c>
      <c r="J763" t="s">
        <v>7836</v>
      </c>
      <c r="K763" t="s">
        <v>7838</v>
      </c>
      <c r="L763">
        <v>10</v>
      </c>
      <c r="O763" t="s">
        <v>7836</v>
      </c>
      <c r="P763" t="s">
        <v>7616</v>
      </c>
      <c r="Q763">
        <v>1</v>
      </c>
    </row>
    <row r="764" spans="1:17" x14ac:dyDescent="0.25">
      <c r="A764">
        <v>4</v>
      </c>
      <c r="B764" t="s">
        <v>7839</v>
      </c>
      <c r="C764" t="s">
        <v>34</v>
      </c>
      <c r="D764" t="s">
        <v>7616</v>
      </c>
      <c r="G764" t="s">
        <v>7840</v>
      </c>
      <c r="H764" t="s">
        <v>7841</v>
      </c>
      <c r="I764" t="s">
        <v>7841</v>
      </c>
      <c r="J764" t="s">
        <v>7840</v>
      </c>
      <c r="K764" t="s">
        <v>7842</v>
      </c>
      <c r="L764">
        <v>3</v>
      </c>
      <c r="N764" t="s">
        <v>4713</v>
      </c>
      <c r="O764" t="s">
        <v>7840</v>
      </c>
      <c r="P764" t="s">
        <v>7616</v>
      </c>
      <c r="Q764">
        <v>1</v>
      </c>
    </row>
    <row r="765" spans="1:17" x14ac:dyDescent="0.25">
      <c r="A765">
        <v>3</v>
      </c>
      <c r="B765" t="s">
        <v>7843</v>
      </c>
      <c r="C765" t="s">
        <v>34</v>
      </c>
      <c r="D765" t="s">
        <v>7616</v>
      </c>
      <c r="F765" t="s">
        <v>7844</v>
      </c>
      <c r="H765" t="s">
        <v>7845</v>
      </c>
      <c r="I765" t="s">
        <v>7846</v>
      </c>
      <c r="J765" t="s">
        <v>7844</v>
      </c>
      <c r="O765" t="s">
        <v>7844</v>
      </c>
      <c r="P765" t="s">
        <v>7616</v>
      </c>
      <c r="Q765">
        <v>1</v>
      </c>
    </row>
    <row r="766" spans="1:17" x14ac:dyDescent="0.25">
      <c r="A766">
        <v>4</v>
      </c>
      <c r="B766" t="s">
        <v>7847</v>
      </c>
      <c r="C766" t="s">
        <v>34</v>
      </c>
      <c r="D766" t="s">
        <v>7616</v>
      </c>
      <c r="G766">
        <v>169333</v>
      </c>
      <c r="H766" t="s">
        <v>7848</v>
      </c>
      <c r="I766" t="s">
        <v>7848</v>
      </c>
      <c r="J766">
        <v>169333</v>
      </c>
      <c r="K766" t="s">
        <v>7849</v>
      </c>
      <c r="L766">
        <v>2</v>
      </c>
      <c r="N766" t="s">
        <v>4713</v>
      </c>
      <c r="O766">
        <v>169333</v>
      </c>
      <c r="P766" t="s">
        <v>7616</v>
      </c>
      <c r="Q766">
        <v>1</v>
      </c>
    </row>
    <row r="767" spans="1:17" x14ac:dyDescent="0.25">
      <c r="A767">
        <v>3</v>
      </c>
      <c r="B767" t="s">
        <v>7850</v>
      </c>
      <c r="C767" t="s">
        <v>34</v>
      </c>
      <c r="D767" t="s">
        <v>7616</v>
      </c>
      <c r="F767" t="s">
        <v>7851</v>
      </c>
      <c r="H767" t="s">
        <v>7852</v>
      </c>
      <c r="I767" t="s">
        <v>7853</v>
      </c>
      <c r="J767" t="s">
        <v>7851</v>
      </c>
      <c r="O767" t="s">
        <v>7851</v>
      </c>
      <c r="P767" t="s">
        <v>7616</v>
      </c>
      <c r="Q767">
        <v>1</v>
      </c>
    </row>
    <row r="768" spans="1:17" x14ac:dyDescent="0.25">
      <c r="A768">
        <v>4</v>
      </c>
      <c r="B768" t="s">
        <v>7854</v>
      </c>
      <c r="C768" t="s">
        <v>34</v>
      </c>
      <c r="D768" t="s">
        <v>7616</v>
      </c>
      <c r="G768">
        <v>169371</v>
      </c>
      <c r="H768" t="s">
        <v>7855</v>
      </c>
      <c r="I768" t="s">
        <v>7855</v>
      </c>
      <c r="J768">
        <v>169371</v>
      </c>
      <c r="K768" t="s">
        <v>7856</v>
      </c>
      <c r="L768">
        <v>9</v>
      </c>
      <c r="N768" t="s">
        <v>4713</v>
      </c>
      <c r="O768">
        <v>169371</v>
      </c>
      <c r="P768" t="s">
        <v>7616</v>
      </c>
      <c r="Q768">
        <v>1</v>
      </c>
    </row>
    <row r="769" spans="1:17" x14ac:dyDescent="0.25">
      <c r="A769">
        <v>4</v>
      </c>
      <c r="B769" t="s">
        <v>7857</v>
      </c>
      <c r="C769" t="s">
        <v>34</v>
      </c>
      <c r="D769" t="s">
        <v>7616</v>
      </c>
      <c r="G769" t="s">
        <v>7858</v>
      </c>
      <c r="H769" t="s">
        <v>7859</v>
      </c>
      <c r="I769" t="s">
        <v>7860</v>
      </c>
      <c r="J769" t="s">
        <v>7858</v>
      </c>
      <c r="K769" t="s">
        <v>7861</v>
      </c>
      <c r="L769">
        <v>1</v>
      </c>
      <c r="N769" t="s">
        <v>4734</v>
      </c>
      <c r="O769" t="s">
        <v>7858</v>
      </c>
      <c r="P769" t="s">
        <v>7616</v>
      </c>
      <c r="Q769">
        <v>1</v>
      </c>
    </row>
    <row r="770" spans="1:17" x14ac:dyDescent="0.25">
      <c r="A770">
        <v>1</v>
      </c>
      <c r="B770">
        <v>5</v>
      </c>
      <c r="C770" t="s">
        <v>46</v>
      </c>
      <c r="D770" t="s">
        <v>7862</v>
      </c>
      <c r="H770" t="s">
        <v>7862</v>
      </c>
      <c r="I770" t="s">
        <v>2093</v>
      </c>
      <c r="J770" t="s">
        <v>46</v>
      </c>
      <c r="O770" t="s">
        <v>46</v>
      </c>
      <c r="P770" t="s">
        <v>7862</v>
      </c>
      <c r="Q770">
        <v>2</v>
      </c>
    </row>
    <row r="771" spans="1:17" x14ac:dyDescent="0.25">
      <c r="A771">
        <v>2</v>
      </c>
      <c r="B771" t="s">
        <v>7863</v>
      </c>
      <c r="C771" t="s">
        <v>46</v>
      </c>
      <c r="D771" t="s">
        <v>7862</v>
      </c>
      <c r="E771" t="s">
        <v>6678</v>
      </c>
      <c r="H771" t="s">
        <v>12</v>
      </c>
      <c r="I771" t="s">
        <v>512</v>
      </c>
      <c r="J771" t="s">
        <v>6678</v>
      </c>
      <c r="O771" t="s">
        <v>6678</v>
      </c>
      <c r="P771" t="s">
        <v>7862</v>
      </c>
      <c r="Q771">
        <v>2</v>
      </c>
    </row>
    <row r="772" spans="1:17" x14ac:dyDescent="0.25">
      <c r="A772">
        <v>3</v>
      </c>
      <c r="B772" t="s">
        <v>7864</v>
      </c>
      <c r="C772" t="s">
        <v>46</v>
      </c>
      <c r="D772" t="s">
        <v>7862</v>
      </c>
      <c r="F772" t="s">
        <v>229</v>
      </c>
      <c r="H772" t="s">
        <v>230</v>
      </c>
      <c r="I772" t="s">
        <v>521</v>
      </c>
      <c r="J772" t="s">
        <v>229</v>
      </c>
      <c r="O772" t="s">
        <v>229</v>
      </c>
      <c r="P772" t="s">
        <v>7862</v>
      </c>
      <c r="Q772">
        <v>1</v>
      </c>
    </row>
    <row r="773" spans="1:17" x14ac:dyDescent="0.25">
      <c r="A773">
        <v>4</v>
      </c>
      <c r="B773" t="s">
        <v>7865</v>
      </c>
      <c r="C773" t="s">
        <v>46</v>
      </c>
      <c r="D773" t="s">
        <v>7862</v>
      </c>
      <c r="G773" t="s">
        <v>7866</v>
      </c>
      <c r="H773" t="s">
        <v>7867</v>
      </c>
      <c r="I773" t="s">
        <v>7868</v>
      </c>
      <c r="J773" t="s">
        <v>7866</v>
      </c>
      <c r="K773" t="s">
        <v>7869</v>
      </c>
      <c r="L773">
        <v>218</v>
      </c>
      <c r="O773" t="s">
        <v>7866</v>
      </c>
      <c r="P773" t="s">
        <v>7862</v>
      </c>
      <c r="Q773">
        <v>1</v>
      </c>
    </row>
    <row r="774" spans="1:17" x14ac:dyDescent="0.25">
      <c r="A774">
        <v>4</v>
      </c>
      <c r="B774" t="s">
        <v>7870</v>
      </c>
      <c r="C774" t="s">
        <v>46</v>
      </c>
      <c r="D774" t="s">
        <v>7862</v>
      </c>
      <c r="G774" t="s">
        <v>7871</v>
      </c>
      <c r="H774" t="s">
        <v>7872</v>
      </c>
      <c r="I774" t="s">
        <v>7873</v>
      </c>
      <c r="J774" t="s">
        <v>7871</v>
      </c>
      <c r="K774" t="s">
        <v>7874</v>
      </c>
      <c r="L774">
        <v>204</v>
      </c>
      <c r="O774" t="s">
        <v>7871</v>
      </c>
      <c r="P774" t="s">
        <v>7862</v>
      </c>
      <c r="Q774">
        <v>1</v>
      </c>
    </row>
    <row r="775" spans="1:17" x14ac:dyDescent="0.25">
      <c r="A775">
        <v>3</v>
      </c>
      <c r="B775" t="s">
        <v>7875</v>
      </c>
      <c r="C775" t="s">
        <v>46</v>
      </c>
      <c r="D775" t="s">
        <v>7862</v>
      </c>
      <c r="F775" t="s">
        <v>227</v>
      </c>
      <c r="H775" t="s">
        <v>7876</v>
      </c>
      <c r="I775" t="s">
        <v>518</v>
      </c>
      <c r="J775" t="s">
        <v>227</v>
      </c>
      <c r="O775" t="s">
        <v>227</v>
      </c>
      <c r="P775" t="s">
        <v>7862</v>
      </c>
      <c r="Q775">
        <v>1</v>
      </c>
    </row>
    <row r="776" spans="1:17" x14ac:dyDescent="0.25">
      <c r="A776">
        <v>4</v>
      </c>
      <c r="B776" t="s">
        <v>7877</v>
      </c>
      <c r="C776" t="s">
        <v>46</v>
      </c>
      <c r="D776" t="s">
        <v>7862</v>
      </c>
      <c r="G776">
        <v>29976</v>
      </c>
      <c r="H776" t="s">
        <v>7878</v>
      </c>
      <c r="I776" t="s">
        <v>7879</v>
      </c>
      <c r="J776">
        <v>29976</v>
      </c>
      <c r="K776" t="s">
        <v>7880</v>
      </c>
      <c r="L776">
        <v>1</v>
      </c>
      <c r="N776" t="s">
        <v>4734</v>
      </c>
      <c r="O776">
        <v>29976</v>
      </c>
      <c r="P776" t="s">
        <v>7862</v>
      </c>
      <c r="Q776">
        <v>1</v>
      </c>
    </row>
    <row r="777" spans="1:17" x14ac:dyDescent="0.25">
      <c r="A777">
        <v>4</v>
      </c>
      <c r="B777" t="s">
        <v>7881</v>
      </c>
      <c r="C777" t="s">
        <v>46</v>
      </c>
      <c r="D777" t="s">
        <v>7862</v>
      </c>
      <c r="G777" t="s">
        <v>7882</v>
      </c>
      <c r="H777" t="s">
        <v>7883</v>
      </c>
      <c r="I777" t="s">
        <v>7884</v>
      </c>
      <c r="J777" t="s">
        <v>7882</v>
      </c>
      <c r="K777" t="s">
        <v>7885</v>
      </c>
      <c r="L777">
        <v>206</v>
      </c>
      <c r="O777" t="s">
        <v>7882</v>
      </c>
      <c r="P777" t="s">
        <v>7862</v>
      </c>
      <c r="Q777">
        <v>1</v>
      </c>
    </row>
    <row r="778" spans="1:17" x14ac:dyDescent="0.25">
      <c r="A778">
        <v>3</v>
      </c>
      <c r="B778" t="s">
        <v>7886</v>
      </c>
      <c r="C778" t="s">
        <v>46</v>
      </c>
      <c r="D778" t="s">
        <v>7862</v>
      </c>
      <c r="F778" t="s">
        <v>231</v>
      </c>
      <c r="H778" t="s">
        <v>7887</v>
      </c>
      <c r="I778" t="s">
        <v>524</v>
      </c>
      <c r="J778" t="s">
        <v>231</v>
      </c>
      <c r="O778" t="s">
        <v>231</v>
      </c>
      <c r="P778" t="s">
        <v>7862</v>
      </c>
      <c r="Q778">
        <v>1</v>
      </c>
    </row>
    <row r="779" spans="1:17" x14ac:dyDescent="0.25">
      <c r="A779">
        <v>4</v>
      </c>
      <c r="B779" t="s">
        <v>7888</v>
      </c>
      <c r="C779" t="s">
        <v>46</v>
      </c>
      <c r="D779" t="s">
        <v>7862</v>
      </c>
      <c r="G779">
        <v>43864</v>
      </c>
      <c r="H779" t="s">
        <v>7887</v>
      </c>
      <c r="I779" t="s">
        <v>524</v>
      </c>
      <c r="J779">
        <v>43864</v>
      </c>
      <c r="K779" t="s">
        <v>7889</v>
      </c>
      <c r="L779">
        <v>122</v>
      </c>
      <c r="O779">
        <v>43864</v>
      </c>
      <c r="P779" t="s">
        <v>7862</v>
      </c>
      <c r="Q779">
        <v>1</v>
      </c>
    </row>
    <row r="780" spans="1:17" x14ac:dyDescent="0.25">
      <c r="A780">
        <v>4</v>
      </c>
      <c r="B780" t="s">
        <v>7890</v>
      </c>
      <c r="C780" t="s">
        <v>46</v>
      </c>
      <c r="D780" t="s">
        <v>7862</v>
      </c>
      <c r="G780" t="s">
        <v>7891</v>
      </c>
      <c r="H780" t="s">
        <v>7892</v>
      </c>
      <c r="I780" t="s">
        <v>7893</v>
      </c>
      <c r="J780" t="s">
        <v>7891</v>
      </c>
      <c r="K780" t="s">
        <v>7894</v>
      </c>
      <c r="L780">
        <v>11</v>
      </c>
      <c r="O780" t="s">
        <v>7891</v>
      </c>
      <c r="P780" t="s">
        <v>7862</v>
      </c>
      <c r="Q780">
        <v>1</v>
      </c>
    </row>
    <row r="781" spans="1:17" x14ac:dyDescent="0.25">
      <c r="A781">
        <v>3</v>
      </c>
      <c r="B781" t="s">
        <v>7895</v>
      </c>
      <c r="C781" t="s">
        <v>46</v>
      </c>
      <c r="D781" t="s">
        <v>7862</v>
      </c>
      <c r="F781" t="s">
        <v>225</v>
      </c>
      <c r="H781" t="s">
        <v>226</v>
      </c>
      <c r="I781" t="s">
        <v>515</v>
      </c>
      <c r="J781" t="s">
        <v>225</v>
      </c>
      <c r="O781" t="s">
        <v>225</v>
      </c>
      <c r="P781" t="s">
        <v>7862</v>
      </c>
      <c r="Q781">
        <v>1</v>
      </c>
    </row>
    <row r="782" spans="1:17" x14ac:dyDescent="0.25">
      <c r="A782">
        <v>4</v>
      </c>
      <c r="B782" t="s">
        <v>7896</v>
      </c>
      <c r="C782" t="s">
        <v>46</v>
      </c>
      <c r="D782" t="s">
        <v>7862</v>
      </c>
      <c r="G782" t="s">
        <v>7897</v>
      </c>
      <c r="H782" t="s">
        <v>7898</v>
      </c>
      <c r="I782" t="s">
        <v>7899</v>
      </c>
      <c r="J782" t="s">
        <v>7897</v>
      </c>
      <c r="K782" t="s">
        <v>7900</v>
      </c>
      <c r="L782">
        <v>41</v>
      </c>
      <c r="O782" t="s">
        <v>7897</v>
      </c>
      <c r="P782" t="s">
        <v>7862</v>
      </c>
      <c r="Q782">
        <v>1</v>
      </c>
    </row>
    <row r="783" spans="1:17" x14ac:dyDescent="0.25">
      <c r="A783">
        <v>4</v>
      </c>
      <c r="B783" t="s">
        <v>7901</v>
      </c>
      <c r="C783" t="s">
        <v>46</v>
      </c>
      <c r="D783" t="s">
        <v>7862</v>
      </c>
      <c r="G783" t="s">
        <v>7902</v>
      </c>
      <c r="H783" t="s">
        <v>7903</v>
      </c>
      <c r="I783" t="s">
        <v>480</v>
      </c>
      <c r="J783" t="s">
        <v>7902</v>
      </c>
      <c r="K783" t="s">
        <v>7904</v>
      </c>
      <c r="L783">
        <v>32</v>
      </c>
      <c r="O783" t="s">
        <v>7902</v>
      </c>
      <c r="P783" t="s">
        <v>7862</v>
      </c>
      <c r="Q783">
        <v>1</v>
      </c>
    </row>
    <row r="784" spans="1:17" x14ac:dyDescent="0.25">
      <c r="A784">
        <v>3</v>
      </c>
      <c r="B784" t="s">
        <v>7905</v>
      </c>
      <c r="C784" t="s">
        <v>46</v>
      </c>
      <c r="D784" t="s">
        <v>7862</v>
      </c>
      <c r="F784" t="s">
        <v>235</v>
      </c>
      <c r="H784" t="s">
        <v>236</v>
      </c>
      <c r="I784" t="s">
        <v>530</v>
      </c>
      <c r="J784" t="s">
        <v>235</v>
      </c>
      <c r="O784" t="s">
        <v>235</v>
      </c>
      <c r="P784" t="s">
        <v>7862</v>
      </c>
      <c r="Q784">
        <v>1</v>
      </c>
    </row>
    <row r="785" spans="1:17" x14ac:dyDescent="0.25">
      <c r="A785">
        <v>4</v>
      </c>
      <c r="B785" t="s">
        <v>7906</v>
      </c>
      <c r="C785" t="s">
        <v>46</v>
      </c>
      <c r="D785" t="s">
        <v>7862</v>
      </c>
      <c r="G785">
        <v>30007</v>
      </c>
      <c r="H785" t="s">
        <v>7907</v>
      </c>
      <c r="I785" t="s">
        <v>7908</v>
      </c>
      <c r="J785">
        <v>30007</v>
      </c>
      <c r="K785" t="s">
        <v>7909</v>
      </c>
      <c r="L785">
        <v>6</v>
      </c>
      <c r="N785" t="s">
        <v>4713</v>
      </c>
      <c r="O785">
        <v>30007</v>
      </c>
      <c r="P785" t="s">
        <v>7862</v>
      </c>
      <c r="Q785">
        <v>1</v>
      </c>
    </row>
    <row r="786" spans="1:17" x14ac:dyDescent="0.25">
      <c r="A786">
        <v>4</v>
      </c>
      <c r="B786" t="s">
        <v>7910</v>
      </c>
      <c r="C786" t="s">
        <v>46</v>
      </c>
      <c r="D786" t="s">
        <v>7862</v>
      </c>
      <c r="G786" t="s">
        <v>7911</v>
      </c>
      <c r="H786" t="s">
        <v>7912</v>
      </c>
      <c r="I786" t="s">
        <v>7913</v>
      </c>
      <c r="J786" t="s">
        <v>7911</v>
      </c>
      <c r="K786" t="s">
        <v>7914</v>
      </c>
      <c r="L786">
        <v>27</v>
      </c>
      <c r="O786" t="s">
        <v>7911</v>
      </c>
      <c r="P786" t="s">
        <v>7862</v>
      </c>
      <c r="Q786">
        <v>1</v>
      </c>
    </row>
    <row r="787" spans="1:17" x14ac:dyDescent="0.25">
      <c r="A787">
        <v>4</v>
      </c>
      <c r="B787" t="s">
        <v>7915</v>
      </c>
      <c r="C787" t="s">
        <v>46</v>
      </c>
      <c r="D787" t="s">
        <v>7862</v>
      </c>
      <c r="G787">
        <v>161196</v>
      </c>
      <c r="H787" t="s">
        <v>7916</v>
      </c>
      <c r="I787" t="s">
        <v>480</v>
      </c>
      <c r="J787">
        <v>161196</v>
      </c>
      <c r="K787" t="s">
        <v>7917</v>
      </c>
      <c r="L787">
        <v>6</v>
      </c>
      <c r="N787" t="s">
        <v>4713</v>
      </c>
      <c r="O787">
        <v>161196</v>
      </c>
      <c r="P787" t="s">
        <v>7862</v>
      </c>
      <c r="Q787">
        <v>1</v>
      </c>
    </row>
    <row r="788" spans="1:17" x14ac:dyDescent="0.25">
      <c r="A788">
        <v>4</v>
      </c>
      <c r="B788" t="s">
        <v>7918</v>
      </c>
      <c r="C788" t="s">
        <v>46</v>
      </c>
      <c r="D788" t="s">
        <v>7862</v>
      </c>
      <c r="G788" t="s">
        <v>7919</v>
      </c>
      <c r="H788" t="s">
        <v>7920</v>
      </c>
      <c r="I788" t="s">
        <v>7921</v>
      </c>
      <c r="J788" t="s">
        <v>7919</v>
      </c>
      <c r="K788" t="s">
        <v>7922</v>
      </c>
      <c r="L788">
        <v>106</v>
      </c>
      <c r="O788" t="s">
        <v>7919</v>
      </c>
      <c r="P788" t="s">
        <v>7862</v>
      </c>
      <c r="Q788">
        <v>1</v>
      </c>
    </row>
    <row r="789" spans="1:17" x14ac:dyDescent="0.25">
      <c r="A789">
        <v>4</v>
      </c>
      <c r="B789" t="s">
        <v>7923</v>
      </c>
      <c r="C789" t="s">
        <v>46</v>
      </c>
      <c r="D789" t="s">
        <v>7862</v>
      </c>
      <c r="G789" t="s">
        <v>7924</v>
      </c>
      <c r="H789" t="s">
        <v>7925</v>
      </c>
      <c r="I789" t="s">
        <v>7926</v>
      </c>
      <c r="J789" t="s">
        <v>7924</v>
      </c>
      <c r="K789" t="s">
        <v>7927</v>
      </c>
      <c r="L789">
        <v>331</v>
      </c>
      <c r="O789" t="s">
        <v>7924</v>
      </c>
      <c r="P789" t="s">
        <v>7862</v>
      </c>
      <c r="Q789">
        <v>1</v>
      </c>
    </row>
    <row r="790" spans="1:17" x14ac:dyDescent="0.25">
      <c r="A790">
        <v>4</v>
      </c>
      <c r="B790" t="s">
        <v>7928</v>
      </c>
      <c r="C790" t="s">
        <v>46</v>
      </c>
      <c r="D790" t="s">
        <v>7862</v>
      </c>
      <c r="G790" t="s">
        <v>7929</v>
      </c>
      <c r="H790" t="s">
        <v>7930</v>
      </c>
      <c r="I790" t="s">
        <v>7931</v>
      </c>
      <c r="J790" t="s">
        <v>7929</v>
      </c>
      <c r="K790" t="s">
        <v>7932</v>
      </c>
      <c r="L790">
        <v>1</v>
      </c>
      <c r="N790" t="s">
        <v>4734</v>
      </c>
      <c r="O790" t="s">
        <v>7929</v>
      </c>
      <c r="P790" t="s">
        <v>7862</v>
      </c>
      <c r="Q790">
        <v>1</v>
      </c>
    </row>
    <row r="791" spans="1:17" x14ac:dyDescent="0.25">
      <c r="A791">
        <v>2</v>
      </c>
      <c r="B791" t="s">
        <v>7933</v>
      </c>
      <c r="C791" t="s">
        <v>46</v>
      </c>
      <c r="D791" t="s">
        <v>7862</v>
      </c>
      <c r="E791" t="s">
        <v>46</v>
      </c>
      <c r="H791" t="s">
        <v>7934</v>
      </c>
      <c r="I791" t="s">
        <v>2093</v>
      </c>
      <c r="J791" t="s">
        <v>46</v>
      </c>
      <c r="O791" t="s">
        <v>46</v>
      </c>
      <c r="P791" t="s">
        <v>7862</v>
      </c>
      <c r="Q791">
        <v>2</v>
      </c>
    </row>
    <row r="792" spans="1:17" x14ac:dyDescent="0.25">
      <c r="A792">
        <v>3</v>
      </c>
      <c r="B792" t="s">
        <v>7935</v>
      </c>
      <c r="C792" t="s">
        <v>46</v>
      </c>
      <c r="D792" t="s">
        <v>7862</v>
      </c>
      <c r="F792" t="s">
        <v>193</v>
      </c>
      <c r="H792" t="s">
        <v>7936</v>
      </c>
      <c r="I792" t="s">
        <v>465</v>
      </c>
      <c r="J792" t="s">
        <v>193</v>
      </c>
      <c r="O792" t="s">
        <v>193</v>
      </c>
      <c r="P792" t="s">
        <v>7862</v>
      </c>
      <c r="Q792">
        <v>1</v>
      </c>
    </row>
    <row r="793" spans="1:17" x14ac:dyDescent="0.25">
      <c r="A793">
        <v>4</v>
      </c>
      <c r="B793" t="s">
        <v>7937</v>
      </c>
      <c r="C793" t="s">
        <v>46</v>
      </c>
      <c r="D793" t="s">
        <v>7862</v>
      </c>
      <c r="G793">
        <v>14495</v>
      </c>
      <c r="H793" t="s">
        <v>7938</v>
      </c>
      <c r="I793" t="s">
        <v>465</v>
      </c>
      <c r="J793">
        <v>14495</v>
      </c>
      <c r="K793" t="s">
        <v>7939</v>
      </c>
      <c r="L793">
        <v>126</v>
      </c>
      <c r="O793">
        <v>14495</v>
      </c>
      <c r="P793" t="s">
        <v>7862</v>
      </c>
      <c r="Q793">
        <v>1</v>
      </c>
    </row>
    <row r="794" spans="1:17" x14ac:dyDescent="0.25">
      <c r="A794">
        <v>4</v>
      </c>
      <c r="B794" t="s">
        <v>7940</v>
      </c>
      <c r="C794" t="s">
        <v>46</v>
      </c>
      <c r="D794" t="s">
        <v>7862</v>
      </c>
      <c r="G794">
        <v>14529</v>
      </c>
      <c r="H794" t="s">
        <v>7941</v>
      </c>
      <c r="I794" t="s">
        <v>7942</v>
      </c>
      <c r="J794">
        <v>14529</v>
      </c>
      <c r="K794" t="s">
        <v>7943</v>
      </c>
      <c r="L794">
        <v>10</v>
      </c>
      <c r="O794">
        <v>14529</v>
      </c>
      <c r="P794" t="s">
        <v>7862</v>
      </c>
      <c r="Q794">
        <v>1</v>
      </c>
    </row>
    <row r="795" spans="1:17" x14ac:dyDescent="0.25">
      <c r="A795">
        <v>4</v>
      </c>
      <c r="B795" t="s">
        <v>7944</v>
      </c>
      <c r="C795" t="s">
        <v>46</v>
      </c>
      <c r="D795" t="s">
        <v>7862</v>
      </c>
      <c r="G795">
        <v>14665</v>
      </c>
      <c r="H795" t="s">
        <v>7945</v>
      </c>
      <c r="I795" t="s">
        <v>7946</v>
      </c>
      <c r="J795">
        <v>14665</v>
      </c>
      <c r="K795" t="s">
        <v>7947</v>
      </c>
      <c r="L795">
        <v>91</v>
      </c>
      <c r="O795">
        <v>14665</v>
      </c>
      <c r="P795" t="s">
        <v>7862</v>
      </c>
      <c r="Q795">
        <v>1</v>
      </c>
    </row>
    <row r="796" spans="1:17" x14ac:dyDescent="0.25">
      <c r="A796">
        <v>4</v>
      </c>
      <c r="B796" t="s">
        <v>7948</v>
      </c>
      <c r="C796" t="s">
        <v>46</v>
      </c>
      <c r="D796" t="s">
        <v>7862</v>
      </c>
      <c r="G796">
        <v>15493</v>
      </c>
      <c r="H796" t="s">
        <v>7949</v>
      </c>
      <c r="I796" t="s">
        <v>7950</v>
      </c>
      <c r="J796">
        <v>15493</v>
      </c>
      <c r="K796" t="s">
        <v>7951</v>
      </c>
      <c r="L796">
        <v>187</v>
      </c>
      <c r="O796">
        <v>15493</v>
      </c>
      <c r="P796" t="s">
        <v>7862</v>
      </c>
      <c r="Q796">
        <v>1</v>
      </c>
    </row>
    <row r="797" spans="1:17" x14ac:dyDescent="0.25">
      <c r="A797">
        <v>4</v>
      </c>
      <c r="B797" t="s">
        <v>7952</v>
      </c>
      <c r="C797" t="s">
        <v>46</v>
      </c>
      <c r="D797" t="s">
        <v>7862</v>
      </c>
      <c r="G797">
        <v>15495</v>
      </c>
      <c r="H797" t="s">
        <v>7953</v>
      </c>
      <c r="I797" t="s">
        <v>7954</v>
      </c>
      <c r="J797">
        <v>15495</v>
      </c>
      <c r="K797" t="s">
        <v>7955</v>
      </c>
      <c r="L797">
        <v>45</v>
      </c>
      <c r="O797">
        <v>15495</v>
      </c>
      <c r="P797" t="s">
        <v>7862</v>
      </c>
      <c r="Q797">
        <v>1</v>
      </c>
    </row>
    <row r="798" spans="1:17" x14ac:dyDescent="0.25">
      <c r="A798">
        <v>4</v>
      </c>
      <c r="B798" t="s">
        <v>7956</v>
      </c>
      <c r="C798" t="s">
        <v>46</v>
      </c>
      <c r="D798" t="s">
        <v>7862</v>
      </c>
      <c r="G798">
        <v>186861</v>
      </c>
      <c r="H798" t="s">
        <v>7957</v>
      </c>
      <c r="I798" t="s">
        <v>7958</v>
      </c>
      <c r="J798">
        <v>186861</v>
      </c>
      <c r="K798" t="s">
        <v>7959</v>
      </c>
      <c r="L798">
        <v>38</v>
      </c>
      <c r="O798">
        <v>186861</v>
      </c>
      <c r="P798" t="s">
        <v>7862</v>
      </c>
      <c r="Q798">
        <v>1</v>
      </c>
    </row>
    <row r="799" spans="1:17" x14ac:dyDescent="0.25">
      <c r="A799">
        <v>4</v>
      </c>
      <c r="B799" t="s">
        <v>7960</v>
      </c>
      <c r="C799" t="s">
        <v>46</v>
      </c>
      <c r="D799" t="s">
        <v>7862</v>
      </c>
      <c r="G799">
        <v>44866</v>
      </c>
      <c r="H799" t="s">
        <v>7961</v>
      </c>
      <c r="I799" t="s">
        <v>7962</v>
      </c>
      <c r="J799">
        <v>44866</v>
      </c>
      <c r="K799" t="s">
        <v>7963</v>
      </c>
      <c r="L799">
        <v>16</v>
      </c>
      <c r="O799">
        <v>44866</v>
      </c>
      <c r="P799" t="s">
        <v>7862</v>
      </c>
      <c r="Q799">
        <v>1</v>
      </c>
    </row>
    <row r="800" spans="1:17" x14ac:dyDescent="0.25">
      <c r="A800">
        <v>3</v>
      </c>
      <c r="B800" t="s">
        <v>7964</v>
      </c>
      <c r="C800" t="s">
        <v>46</v>
      </c>
      <c r="D800" t="s">
        <v>7862</v>
      </c>
      <c r="F800" t="s">
        <v>195</v>
      </c>
      <c r="H800" t="s">
        <v>196</v>
      </c>
      <c r="I800" t="s">
        <v>468</v>
      </c>
      <c r="J800" t="s">
        <v>195</v>
      </c>
      <c r="O800" t="s">
        <v>195</v>
      </c>
      <c r="P800" t="s">
        <v>7862</v>
      </c>
      <c r="Q800">
        <v>1</v>
      </c>
    </row>
    <row r="801" spans="1:17" x14ac:dyDescent="0.25">
      <c r="A801">
        <v>4</v>
      </c>
      <c r="B801" t="s">
        <v>7965</v>
      </c>
      <c r="C801" t="s">
        <v>46</v>
      </c>
      <c r="D801" t="s">
        <v>7862</v>
      </c>
      <c r="G801">
        <v>15669</v>
      </c>
      <c r="H801" t="s">
        <v>7966</v>
      </c>
      <c r="I801" t="s">
        <v>7967</v>
      </c>
      <c r="J801">
        <v>15669</v>
      </c>
      <c r="K801" t="s">
        <v>7968</v>
      </c>
      <c r="L801">
        <v>151</v>
      </c>
      <c r="O801">
        <v>15669</v>
      </c>
      <c r="P801" t="s">
        <v>7862</v>
      </c>
      <c r="Q801">
        <v>1</v>
      </c>
    </row>
    <row r="802" spans="1:17" x14ac:dyDescent="0.25">
      <c r="A802">
        <v>4</v>
      </c>
      <c r="B802" t="s">
        <v>7969</v>
      </c>
      <c r="C802" t="s">
        <v>46</v>
      </c>
      <c r="D802" t="s">
        <v>7862</v>
      </c>
      <c r="G802">
        <v>15671</v>
      </c>
      <c r="H802" t="s">
        <v>7970</v>
      </c>
      <c r="I802" t="s">
        <v>7971</v>
      </c>
      <c r="J802">
        <v>15671</v>
      </c>
      <c r="K802" t="s">
        <v>7972</v>
      </c>
      <c r="L802">
        <v>15</v>
      </c>
      <c r="O802">
        <v>15671</v>
      </c>
      <c r="P802" t="s">
        <v>7862</v>
      </c>
      <c r="Q802">
        <v>1</v>
      </c>
    </row>
    <row r="803" spans="1:17" x14ac:dyDescent="0.25">
      <c r="A803">
        <v>4</v>
      </c>
      <c r="B803" t="s">
        <v>7973</v>
      </c>
      <c r="C803" t="s">
        <v>46</v>
      </c>
      <c r="D803" t="s">
        <v>7862</v>
      </c>
      <c r="G803">
        <v>15673</v>
      </c>
      <c r="H803" t="s">
        <v>7974</v>
      </c>
      <c r="I803" t="s">
        <v>7975</v>
      </c>
      <c r="J803">
        <v>15673</v>
      </c>
      <c r="K803" t="s">
        <v>7976</v>
      </c>
      <c r="L803">
        <v>17</v>
      </c>
      <c r="O803">
        <v>15673</v>
      </c>
      <c r="P803" t="s">
        <v>7862</v>
      </c>
      <c r="Q803">
        <v>1</v>
      </c>
    </row>
    <row r="804" spans="1:17" x14ac:dyDescent="0.25">
      <c r="A804">
        <v>4</v>
      </c>
      <c r="B804" t="s">
        <v>7977</v>
      </c>
      <c r="C804" t="s">
        <v>46</v>
      </c>
      <c r="D804" t="s">
        <v>7862</v>
      </c>
      <c r="G804">
        <v>15674</v>
      </c>
      <c r="H804" t="s">
        <v>7978</v>
      </c>
      <c r="I804" t="s">
        <v>7979</v>
      </c>
      <c r="J804">
        <v>15674</v>
      </c>
      <c r="K804" t="s">
        <v>7980</v>
      </c>
      <c r="L804">
        <v>16</v>
      </c>
      <c r="O804">
        <v>15674</v>
      </c>
      <c r="P804" t="s">
        <v>7862</v>
      </c>
      <c r="Q804">
        <v>1</v>
      </c>
    </row>
    <row r="805" spans="1:17" x14ac:dyDescent="0.25">
      <c r="A805">
        <v>4</v>
      </c>
      <c r="B805" t="s">
        <v>7981</v>
      </c>
      <c r="C805" t="s">
        <v>46</v>
      </c>
      <c r="D805" t="s">
        <v>7862</v>
      </c>
      <c r="G805">
        <v>15675</v>
      </c>
      <c r="H805" t="s">
        <v>7982</v>
      </c>
      <c r="I805" t="s">
        <v>7983</v>
      </c>
      <c r="J805">
        <v>15675</v>
      </c>
      <c r="K805" t="s">
        <v>7984</v>
      </c>
      <c r="L805">
        <v>17</v>
      </c>
      <c r="O805">
        <v>15675</v>
      </c>
      <c r="P805" t="s">
        <v>7862</v>
      </c>
      <c r="Q805">
        <v>1</v>
      </c>
    </row>
    <row r="806" spans="1:17" x14ac:dyDescent="0.25">
      <c r="A806">
        <v>4</v>
      </c>
      <c r="B806" t="s">
        <v>7985</v>
      </c>
      <c r="C806" t="s">
        <v>46</v>
      </c>
      <c r="D806" t="s">
        <v>7862</v>
      </c>
      <c r="G806">
        <v>15676</v>
      </c>
      <c r="H806" t="s">
        <v>7986</v>
      </c>
      <c r="I806" t="s">
        <v>7987</v>
      </c>
      <c r="J806">
        <v>15676</v>
      </c>
      <c r="K806" t="s">
        <v>7988</v>
      </c>
      <c r="L806">
        <v>16</v>
      </c>
      <c r="O806">
        <v>15676</v>
      </c>
      <c r="P806" t="s">
        <v>7862</v>
      </c>
      <c r="Q806">
        <v>1</v>
      </c>
    </row>
    <row r="807" spans="1:17" x14ac:dyDescent="0.25">
      <c r="A807">
        <v>4</v>
      </c>
      <c r="B807" t="s">
        <v>7989</v>
      </c>
      <c r="C807" t="s">
        <v>46</v>
      </c>
      <c r="D807" t="s">
        <v>7862</v>
      </c>
      <c r="G807">
        <v>15677</v>
      </c>
      <c r="H807" t="s">
        <v>7990</v>
      </c>
      <c r="I807" t="s">
        <v>7991</v>
      </c>
      <c r="J807">
        <v>15677</v>
      </c>
      <c r="K807" t="s">
        <v>7992</v>
      </c>
      <c r="L807">
        <v>16</v>
      </c>
      <c r="O807">
        <v>15677</v>
      </c>
      <c r="P807" t="s">
        <v>7862</v>
      </c>
      <c r="Q807">
        <v>1</v>
      </c>
    </row>
    <row r="808" spans="1:17" x14ac:dyDescent="0.25">
      <c r="A808">
        <v>4</v>
      </c>
      <c r="B808" t="s">
        <v>7993</v>
      </c>
      <c r="C808" t="s">
        <v>46</v>
      </c>
      <c r="D808" t="s">
        <v>7862</v>
      </c>
      <c r="G808">
        <v>15678</v>
      </c>
      <c r="H808" t="s">
        <v>7994</v>
      </c>
      <c r="I808" t="s">
        <v>7995</v>
      </c>
      <c r="J808">
        <v>15678</v>
      </c>
      <c r="K808" t="s">
        <v>7996</v>
      </c>
      <c r="L808">
        <v>208</v>
      </c>
      <c r="O808">
        <v>15678</v>
      </c>
      <c r="P808" t="s">
        <v>7862</v>
      </c>
      <c r="Q808">
        <v>1</v>
      </c>
    </row>
    <row r="809" spans="1:17" x14ac:dyDescent="0.25">
      <c r="A809">
        <v>4</v>
      </c>
      <c r="B809" t="s">
        <v>7997</v>
      </c>
      <c r="C809" t="s">
        <v>46</v>
      </c>
      <c r="D809" t="s">
        <v>7862</v>
      </c>
      <c r="G809">
        <v>442141</v>
      </c>
      <c r="H809" t="s">
        <v>7998</v>
      </c>
      <c r="I809" t="s">
        <v>7999</v>
      </c>
      <c r="J809">
        <v>442141</v>
      </c>
      <c r="K809" t="s">
        <v>8000</v>
      </c>
      <c r="L809">
        <v>2</v>
      </c>
      <c r="N809" t="s">
        <v>4713</v>
      </c>
      <c r="O809">
        <v>442141</v>
      </c>
      <c r="P809" t="s">
        <v>7862</v>
      </c>
      <c r="Q809">
        <v>1</v>
      </c>
    </row>
    <row r="810" spans="1:17" x14ac:dyDescent="0.25">
      <c r="A810">
        <v>3</v>
      </c>
      <c r="B810" t="s">
        <v>8001</v>
      </c>
      <c r="C810" t="s">
        <v>46</v>
      </c>
      <c r="D810" t="s">
        <v>7862</v>
      </c>
      <c r="F810" t="s">
        <v>191</v>
      </c>
      <c r="H810" t="s">
        <v>8002</v>
      </c>
      <c r="I810" t="s">
        <v>462</v>
      </c>
      <c r="J810" t="s">
        <v>191</v>
      </c>
      <c r="O810" t="s">
        <v>191</v>
      </c>
      <c r="P810" t="s">
        <v>7862</v>
      </c>
      <c r="Q810">
        <v>1</v>
      </c>
    </row>
    <row r="811" spans="1:17" x14ac:dyDescent="0.25">
      <c r="A811">
        <v>4</v>
      </c>
      <c r="B811" t="s">
        <v>8003</v>
      </c>
      <c r="C811" t="s">
        <v>46</v>
      </c>
      <c r="D811" t="s">
        <v>7862</v>
      </c>
      <c r="G811">
        <v>16198</v>
      </c>
      <c r="H811" t="s">
        <v>192</v>
      </c>
      <c r="I811" t="s">
        <v>8004</v>
      </c>
      <c r="J811">
        <v>16198</v>
      </c>
      <c r="K811" t="s">
        <v>8005</v>
      </c>
      <c r="L811">
        <v>13</v>
      </c>
      <c r="O811">
        <v>16198</v>
      </c>
      <c r="P811" t="s">
        <v>7862</v>
      </c>
      <c r="Q811">
        <v>1</v>
      </c>
    </row>
    <row r="812" spans="1:17" x14ac:dyDescent="0.25">
      <c r="A812">
        <v>4</v>
      </c>
      <c r="B812" t="s">
        <v>8006</v>
      </c>
      <c r="C812" t="s">
        <v>46</v>
      </c>
      <c r="D812" t="s">
        <v>7862</v>
      </c>
      <c r="G812">
        <v>28574</v>
      </c>
      <c r="H812" t="s">
        <v>8007</v>
      </c>
      <c r="I812" t="s">
        <v>8008</v>
      </c>
      <c r="J812">
        <v>28574</v>
      </c>
      <c r="K812" t="s">
        <v>8009</v>
      </c>
      <c r="L812">
        <v>4</v>
      </c>
      <c r="N812" t="s">
        <v>4713</v>
      </c>
      <c r="O812">
        <v>28574</v>
      </c>
      <c r="P812" t="s">
        <v>7862</v>
      </c>
      <c r="Q812">
        <v>1</v>
      </c>
    </row>
    <row r="813" spans="1:17" x14ac:dyDescent="0.25">
      <c r="A813">
        <v>4</v>
      </c>
      <c r="B813" t="s">
        <v>8010</v>
      </c>
      <c r="C813" t="s">
        <v>46</v>
      </c>
      <c r="D813" t="s">
        <v>7862</v>
      </c>
      <c r="G813">
        <v>28576</v>
      </c>
      <c r="H813" t="s">
        <v>8011</v>
      </c>
      <c r="I813" t="s">
        <v>8012</v>
      </c>
      <c r="J813">
        <v>28576</v>
      </c>
      <c r="K813" t="s">
        <v>8013</v>
      </c>
      <c r="L813">
        <v>168</v>
      </c>
      <c r="O813">
        <v>28576</v>
      </c>
      <c r="P813" t="s">
        <v>7862</v>
      </c>
      <c r="Q813">
        <v>1</v>
      </c>
    </row>
    <row r="814" spans="1:17" x14ac:dyDescent="0.25">
      <c r="A814">
        <v>4</v>
      </c>
      <c r="B814" t="s">
        <v>8014</v>
      </c>
      <c r="C814" t="s">
        <v>46</v>
      </c>
      <c r="D814" t="s">
        <v>7862</v>
      </c>
      <c r="G814">
        <v>28699</v>
      </c>
      <c r="H814" t="s">
        <v>8015</v>
      </c>
      <c r="I814" t="s">
        <v>8016</v>
      </c>
      <c r="J814">
        <v>28699</v>
      </c>
      <c r="K814" t="s">
        <v>8017</v>
      </c>
      <c r="L814">
        <v>4</v>
      </c>
      <c r="N814" t="s">
        <v>4713</v>
      </c>
      <c r="O814">
        <v>28699</v>
      </c>
      <c r="P814" t="s">
        <v>7862</v>
      </c>
      <c r="Q814">
        <v>1</v>
      </c>
    </row>
    <row r="815" spans="1:17" x14ac:dyDescent="0.25">
      <c r="A815">
        <v>3</v>
      </c>
      <c r="B815" t="s">
        <v>8018</v>
      </c>
      <c r="C815" t="s">
        <v>46</v>
      </c>
      <c r="D815" t="s">
        <v>7862</v>
      </c>
      <c r="F815" t="s">
        <v>189</v>
      </c>
      <c r="H815" t="s">
        <v>190</v>
      </c>
      <c r="I815" t="s">
        <v>459</v>
      </c>
      <c r="J815" t="s">
        <v>189</v>
      </c>
      <c r="O815" t="s">
        <v>189</v>
      </c>
      <c r="P815" t="s">
        <v>7862</v>
      </c>
      <c r="Q815">
        <v>1</v>
      </c>
    </row>
    <row r="816" spans="1:17" x14ac:dyDescent="0.25">
      <c r="A816">
        <v>4</v>
      </c>
      <c r="B816" t="s">
        <v>8019</v>
      </c>
      <c r="C816" t="s">
        <v>46</v>
      </c>
      <c r="D816" t="s">
        <v>7862</v>
      </c>
      <c r="G816">
        <v>16243</v>
      </c>
      <c r="H816" t="s">
        <v>8020</v>
      </c>
      <c r="I816" t="s">
        <v>8021</v>
      </c>
      <c r="J816">
        <v>16243</v>
      </c>
      <c r="K816" t="s">
        <v>8022</v>
      </c>
      <c r="L816">
        <v>45</v>
      </c>
      <c r="O816">
        <v>16243</v>
      </c>
      <c r="P816" t="s">
        <v>7862</v>
      </c>
      <c r="Q816">
        <v>1</v>
      </c>
    </row>
    <row r="817" spans="1:17" x14ac:dyDescent="0.25">
      <c r="A817">
        <v>4</v>
      </c>
      <c r="B817" t="s">
        <v>8023</v>
      </c>
      <c r="C817" t="s">
        <v>46</v>
      </c>
      <c r="D817" t="s">
        <v>7862</v>
      </c>
      <c r="G817" t="s">
        <v>8024</v>
      </c>
      <c r="H817" t="s">
        <v>8025</v>
      </c>
      <c r="I817" t="s">
        <v>8026</v>
      </c>
      <c r="J817" t="s">
        <v>8024</v>
      </c>
      <c r="K817" t="s">
        <v>8027</v>
      </c>
      <c r="L817">
        <v>60</v>
      </c>
      <c r="O817" t="s">
        <v>8024</v>
      </c>
      <c r="P817" t="s">
        <v>7862</v>
      </c>
      <c r="Q817">
        <v>1</v>
      </c>
    </row>
    <row r="818" spans="1:17" x14ac:dyDescent="0.25">
      <c r="A818">
        <v>4</v>
      </c>
      <c r="B818" t="s">
        <v>8028</v>
      </c>
      <c r="C818" t="s">
        <v>46</v>
      </c>
      <c r="D818" t="s">
        <v>7862</v>
      </c>
      <c r="G818" t="s">
        <v>8029</v>
      </c>
      <c r="H818" t="s">
        <v>8030</v>
      </c>
      <c r="I818" t="s">
        <v>8031</v>
      </c>
      <c r="J818" t="s">
        <v>8029</v>
      </c>
      <c r="K818" t="s">
        <v>8032</v>
      </c>
      <c r="L818">
        <v>150</v>
      </c>
      <c r="O818" t="s">
        <v>8029</v>
      </c>
      <c r="P818" t="s">
        <v>7862</v>
      </c>
      <c r="Q818">
        <v>1</v>
      </c>
    </row>
    <row r="819" spans="1:17" x14ac:dyDescent="0.25">
      <c r="A819">
        <v>3</v>
      </c>
      <c r="B819" t="s">
        <v>8033</v>
      </c>
      <c r="C819" t="s">
        <v>46</v>
      </c>
      <c r="D819" t="s">
        <v>7862</v>
      </c>
      <c r="F819" t="s">
        <v>197</v>
      </c>
      <c r="H819" t="s">
        <v>8034</v>
      </c>
      <c r="I819" t="s">
        <v>954</v>
      </c>
      <c r="J819" t="s">
        <v>197</v>
      </c>
      <c r="O819" t="s">
        <v>197</v>
      </c>
      <c r="P819" t="s">
        <v>7862</v>
      </c>
      <c r="Q819">
        <v>1</v>
      </c>
    </row>
    <row r="820" spans="1:17" x14ac:dyDescent="0.25">
      <c r="A820">
        <v>4</v>
      </c>
      <c r="B820" t="s">
        <v>8035</v>
      </c>
      <c r="C820" t="s">
        <v>46</v>
      </c>
      <c r="D820" t="s">
        <v>7862</v>
      </c>
      <c r="G820" t="s">
        <v>8036</v>
      </c>
      <c r="H820" t="s">
        <v>8037</v>
      </c>
      <c r="I820" t="s">
        <v>8038</v>
      </c>
      <c r="J820" t="s">
        <v>8036</v>
      </c>
      <c r="K820" t="s">
        <v>8039</v>
      </c>
      <c r="L820">
        <v>18</v>
      </c>
      <c r="O820" t="s">
        <v>8036</v>
      </c>
      <c r="P820" t="s">
        <v>7862</v>
      </c>
      <c r="Q820">
        <v>1</v>
      </c>
    </row>
    <row r="821" spans="1:17" x14ac:dyDescent="0.25">
      <c r="A821">
        <v>4</v>
      </c>
      <c r="B821" t="s">
        <v>8040</v>
      </c>
      <c r="C821" t="s">
        <v>46</v>
      </c>
      <c r="D821" t="s">
        <v>7862</v>
      </c>
      <c r="G821" t="s">
        <v>8041</v>
      </c>
      <c r="H821" t="s">
        <v>196</v>
      </c>
      <c r="I821" t="s">
        <v>8042</v>
      </c>
      <c r="J821" t="s">
        <v>8041</v>
      </c>
      <c r="K821" t="s">
        <v>8043</v>
      </c>
      <c r="L821">
        <v>40</v>
      </c>
      <c r="O821" t="s">
        <v>8041</v>
      </c>
      <c r="P821" t="s">
        <v>7862</v>
      </c>
      <c r="Q821">
        <v>1</v>
      </c>
    </row>
    <row r="822" spans="1:17" x14ac:dyDescent="0.25">
      <c r="A822">
        <v>4</v>
      </c>
      <c r="B822" t="s">
        <v>8044</v>
      </c>
      <c r="C822" t="s">
        <v>46</v>
      </c>
      <c r="D822" t="s">
        <v>7862</v>
      </c>
      <c r="G822" t="s">
        <v>8045</v>
      </c>
      <c r="H822" t="s">
        <v>8046</v>
      </c>
      <c r="I822" t="s">
        <v>8047</v>
      </c>
      <c r="J822" t="s">
        <v>8045</v>
      </c>
      <c r="K822" t="s">
        <v>8048</v>
      </c>
      <c r="L822">
        <v>1</v>
      </c>
      <c r="N822" t="s">
        <v>4734</v>
      </c>
      <c r="O822" t="s">
        <v>8045</v>
      </c>
      <c r="P822" t="s">
        <v>7862</v>
      </c>
      <c r="Q822">
        <v>1</v>
      </c>
    </row>
    <row r="823" spans="1:17" x14ac:dyDescent="0.25">
      <c r="A823">
        <v>4</v>
      </c>
      <c r="B823" t="s">
        <v>8049</v>
      </c>
      <c r="C823" t="s">
        <v>46</v>
      </c>
      <c r="D823" t="s">
        <v>7862</v>
      </c>
      <c r="G823" t="s">
        <v>8050</v>
      </c>
      <c r="H823" t="s">
        <v>8051</v>
      </c>
      <c r="I823" t="s">
        <v>8052</v>
      </c>
      <c r="J823" t="s">
        <v>8050</v>
      </c>
      <c r="K823" t="s">
        <v>8053</v>
      </c>
      <c r="L823">
        <v>1</v>
      </c>
      <c r="N823" t="s">
        <v>4734</v>
      </c>
      <c r="O823" t="s">
        <v>8050</v>
      </c>
      <c r="P823" t="s">
        <v>7862</v>
      </c>
      <c r="Q823">
        <v>1</v>
      </c>
    </row>
    <row r="824" spans="1:17" x14ac:dyDescent="0.25">
      <c r="A824">
        <v>4</v>
      </c>
      <c r="B824" t="s">
        <v>8054</v>
      </c>
      <c r="C824" t="s">
        <v>46</v>
      </c>
      <c r="D824" t="s">
        <v>7862</v>
      </c>
      <c r="G824" t="s">
        <v>8055</v>
      </c>
      <c r="H824" t="s">
        <v>8056</v>
      </c>
      <c r="I824" t="s">
        <v>8057</v>
      </c>
      <c r="J824" t="s">
        <v>8055</v>
      </c>
      <c r="K824" t="s">
        <v>8058</v>
      </c>
      <c r="L824">
        <v>15</v>
      </c>
      <c r="O824" t="s">
        <v>8055</v>
      </c>
      <c r="P824" t="s">
        <v>7862</v>
      </c>
      <c r="Q824">
        <v>1</v>
      </c>
    </row>
    <row r="825" spans="1:17" x14ac:dyDescent="0.25">
      <c r="A825">
        <v>4</v>
      </c>
      <c r="B825" t="s">
        <v>8059</v>
      </c>
      <c r="C825" t="s">
        <v>46</v>
      </c>
      <c r="D825" t="s">
        <v>7862</v>
      </c>
      <c r="G825" t="s">
        <v>8060</v>
      </c>
      <c r="H825" t="s">
        <v>37</v>
      </c>
      <c r="I825" t="s">
        <v>326</v>
      </c>
      <c r="J825" t="s">
        <v>8060</v>
      </c>
      <c r="K825" t="s">
        <v>8061</v>
      </c>
      <c r="L825">
        <v>40</v>
      </c>
      <c r="O825" t="s">
        <v>8060</v>
      </c>
      <c r="P825" t="s">
        <v>7862</v>
      </c>
      <c r="Q825">
        <v>1</v>
      </c>
    </row>
    <row r="826" spans="1:17" x14ac:dyDescent="0.25">
      <c r="A826">
        <v>4</v>
      </c>
      <c r="B826" t="s">
        <v>8062</v>
      </c>
      <c r="C826" t="s">
        <v>46</v>
      </c>
      <c r="D826" t="s">
        <v>7862</v>
      </c>
      <c r="G826" t="s">
        <v>8063</v>
      </c>
      <c r="H826" t="s">
        <v>8064</v>
      </c>
      <c r="I826" t="s">
        <v>8065</v>
      </c>
      <c r="J826" t="s">
        <v>8063</v>
      </c>
      <c r="K826" t="s">
        <v>8066</v>
      </c>
      <c r="L826">
        <v>4</v>
      </c>
      <c r="N826" t="s">
        <v>4713</v>
      </c>
      <c r="O826" t="s">
        <v>8063</v>
      </c>
      <c r="P826" t="s">
        <v>7862</v>
      </c>
      <c r="Q826">
        <v>1</v>
      </c>
    </row>
    <row r="827" spans="1:17" x14ac:dyDescent="0.25">
      <c r="A827">
        <v>2</v>
      </c>
      <c r="B827" t="s">
        <v>8067</v>
      </c>
      <c r="C827" t="s">
        <v>46</v>
      </c>
      <c r="D827" t="s">
        <v>7862</v>
      </c>
      <c r="E827" t="s">
        <v>49</v>
      </c>
      <c r="H827" t="s">
        <v>8068</v>
      </c>
      <c r="I827" t="s">
        <v>472</v>
      </c>
      <c r="J827" t="s">
        <v>49</v>
      </c>
      <c r="O827" t="s">
        <v>49</v>
      </c>
      <c r="P827" t="s">
        <v>7862</v>
      </c>
      <c r="Q827">
        <v>1</v>
      </c>
    </row>
    <row r="828" spans="1:17" x14ac:dyDescent="0.25">
      <c r="A828">
        <v>3</v>
      </c>
      <c r="B828" t="s">
        <v>8069</v>
      </c>
      <c r="C828" t="s">
        <v>46</v>
      </c>
      <c r="D828" t="s">
        <v>7862</v>
      </c>
      <c r="F828" t="s">
        <v>199</v>
      </c>
      <c r="H828" t="s">
        <v>5244</v>
      </c>
      <c r="I828" t="s">
        <v>956</v>
      </c>
      <c r="J828" t="s">
        <v>199</v>
      </c>
      <c r="O828" t="s">
        <v>199</v>
      </c>
      <c r="P828" t="s">
        <v>7862</v>
      </c>
      <c r="Q828">
        <v>1</v>
      </c>
    </row>
    <row r="829" spans="1:17" x14ac:dyDescent="0.25">
      <c r="A829">
        <v>4</v>
      </c>
      <c r="B829" t="s">
        <v>8070</v>
      </c>
      <c r="C829" t="s">
        <v>46</v>
      </c>
      <c r="D829" t="s">
        <v>7862</v>
      </c>
      <c r="G829">
        <v>170866</v>
      </c>
      <c r="H829" t="s">
        <v>8071</v>
      </c>
      <c r="I829" t="s">
        <v>8072</v>
      </c>
      <c r="J829">
        <v>170866</v>
      </c>
      <c r="K829" t="s">
        <v>8073</v>
      </c>
      <c r="L829">
        <v>212</v>
      </c>
      <c r="O829">
        <v>170866</v>
      </c>
      <c r="P829" t="s">
        <v>7862</v>
      </c>
      <c r="Q829">
        <v>1</v>
      </c>
    </row>
    <row r="830" spans="1:17" x14ac:dyDescent="0.25">
      <c r="A830">
        <v>4</v>
      </c>
      <c r="B830" t="s">
        <v>8074</v>
      </c>
      <c r="C830" t="s">
        <v>46</v>
      </c>
      <c r="D830" t="s">
        <v>7862</v>
      </c>
      <c r="G830">
        <v>573072</v>
      </c>
      <c r="H830" t="s">
        <v>8075</v>
      </c>
      <c r="I830" t="s">
        <v>8076</v>
      </c>
      <c r="J830">
        <v>573072</v>
      </c>
      <c r="K830" t="s">
        <v>8077</v>
      </c>
      <c r="L830">
        <v>7</v>
      </c>
      <c r="N830" t="s">
        <v>4713</v>
      </c>
      <c r="O830">
        <v>573072</v>
      </c>
      <c r="P830" t="s">
        <v>7862</v>
      </c>
      <c r="Q830">
        <v>1</v>
      </c>
    </row>
    <row r="831" spans="1:17" x14ac:dyDescent="0.25">
      <c r="A831">
        <v>4</v>
      </c>
      <c r="B831" t="s">
        <v>8078</v>
      </c>
      <c r="C831" t="s">
        <v>46</v>
      </c>
      <c r="D831" t="s">
        <v>7862</v>
      </c>
      <c r="G831" t="s">
        <v>8079</v>
      </c>
      <c r="H831" t="s">
        <v>8080</v>
      </c>
      <c r="I831" t="s">
        <v>8081</v>
      </c>
      <c r="J831" t="s">
        <v>8079</v>
      </c>
      <c r="K831" t="s">
        <v>8082</v>
      </c>
      <c r="L831">
        <v>2</v>
      </c>
      <c r="N831" t="s">
        <v>4713</v>
      </c>
      <c r="O831" t="s">
        <v>8079</v>
      </c>
      <c r="P831" t="s">
        <v>7862</v>
      </c>
      <c r="Q831">
        <v>1</v>
      </c>
    </row>
    <row r="832" spans="1:17" x14ac:dyDescent="0.25">
      <c r="A832">
        <v>4</v>
      </c>
      <c r="B832" t="s">
        <v>8083</v>
      </c>
      <c r="C832" t="s">
        <v>46</v>
      </c>
      <c r="D832" t="s">
        <v>7862</v>
      </c>
      <c r="G832" t="s">
        <v>8084</v>
      </c>
      <c r="H832" t="s">
        <v>8085</v>
      </c>
      <c r="I832" t="s">
        <v>8086</v>
      </c>
      <c r="J832" t="s">
        <v>8084</v>
      </c>
      <c r="K832" t="s">
        <v>8087</v>
      </c>
      <c r="L832">
        <v>136</v>
      </c>
      <c r="O832" t="s">
        <v>8084</v>
      </c>
      <c r="P832" t="s">
        <v>7862</v>
      </c>
      <c r="Q832">
        <v>1</v>
      </c>
    </row>
    <row r="833" spans="1:17" x14ac:dyDescent="0.25">
      <c r="A833">
        <v>3</v>
      </c>
      <c r="B833" t="s">
        <v>8088</v>
      </c>
      <c r="C833" t="s">
        <v>46</v>
      </c>
      <c r="D833" t="s">
        <v>7862</v>
      </c>
      <c r="F833" t="s">
        <v>198</v>
      </c>
      <c r="H833" t="s">
        <v>8089</v>
      </c>
      <c r="I833" t="s">
        <v>955</v>
      </c>
      <c r="J833" t="s">
        <v>198</v>
      </c>
      <c r="O833" t="s">
        <v>198</v>
      </c>
      <c r="P833" t="s">
        <v>7862</v>
      </c>
      <c r="Q833">
        <v>1</v>
      </c>
    </row>
    <row r="834" spans="1:17" x14ac:dyDescent="0.25">
      <c r="A834">
        <v>4</v>
      </c>
      <c r="B834" t="s">
        <v>8090</v>
      </c>
      <c r="C834" t="s">
        <v>46</v>
      </c>
      <c r="D834" t="s">
        <v>7862</v>
      </c>
      <c r="G834">
        <v>19881</v>
      </c>
      <c r="H834" t="s">
        <v>8091</v>
      </c>
      <c r="I834" t="s">
        <v>8092</v>
      </c>
      <c r="J834">
        <v>19881</v>
      </c>
      <c r="K834" t="s">
        <v>8093</v>
      </c>
      <c r="L834">
        <v>10</v>
      </c>
      <c r="O834">
        <v>19881</v>
      </c>
      <c r="P834" t="s">
        <v>7862</v>
      </c>
      <c r="Q834">
        <v>1</v>
      </c>
    </row>
    <row r="835" spans="1:17" x14ac:dyDescent="0.25">
      <c r="A835">
        <v>4</v>
      </c>
      <c r="B835" t="s">
        <v>8094</v>
      </c>
      <c r="C835" t="s">
        <v>46</v>
      </c>
      <c r="D835" t="s">
        <v>7862</v>
      </c>
      <c r="G835">
        <v>19883</v>
      </c>
      <c r="H835" t="s">
        <v>8095</v>
      </c>
      <c r="I835" t="s">
        <v>8096</v>
      </c>
      <c r="J835">
        <v>19883</v>
      </c>
      <c r="K835" t="s">
        <v>8097</v>
      </c>
      <c r="L835">
        <v>29</v>
      </c>
      <c r="O835">
        <v>19883</v>
      </c>
      <c r="P835" t="s">
        <v>7862</v>
      </c>
      <c r="Q835">
        <v>1</v>
      </c>
    </row>
    <row r="836" spans="1:17" x14ac:dyDescent="0.25">
      <c r="A836">
        <v>4</v>
      </c>
      <c r="B836" t="s">
        <v>8098</v>
      </c>
      <c r="C836" t="s">
        <v>46</v>
      </c>
      <c r="D836" t="s">
        <v>7862</v>
      </c>
      <c r="G836">
        <v>19885</v>
      </c>
      <c r="H836" t="s">
        <v>8099</v>
      </c>
      <c r="I836" t="s">
        <v>8100</v>
      </c>
      <c r="J836">
        <v>19885</v>
      </c>
      <c r="K836" t="s">
        <v>8101</v>
      </c>
      <c r="L836">
        <v>5</v>
      </c>
      <c r="N836" t="s">
        <v>4713</v>
      </c>
      <c r="O836">
        <v>19885</v>
      </c>
      <c r="P836" t="s">
        <v>7862</v>
      </c>
      <c r="Q836">
        <v>1</v>
      </c>
    </row>
    <row r="837" spans="1:17" x14ac:dyDescent="0.25">
      <c r="A837">
        <v>4</v>
      </c>
      <c r="B837" t="s">
        <v>8102</v>
      </c>
      <c r="C837" t="s">
        <v>46</v>
      </c>
      <c r="D837" t="s">
        <v>7862</v>
      </c>
      <c r="G837">
        <v>19887</v>
      </c>
      <c r="H837" t="s">
        <v>8103</v>
      </c>
      <c r="I837" t="s">
        <v>8104</v>
      </c>
      <c r="J837">
        <v>19887</v>
      </c>
      <c r="K837" t="s">
        <v>8105</v>
      </c>
      <c r="L837">
        <v>40</v>
      </c>
      <c r="O837">
        <v>19887</v>
      </c>
      <c r="P837" t="s">
        <v>7862</v>
      </c>
      <c r="Q837">
        <v>1</v>
      </c>
    </row>
    <row r="838" spans="1:17" x14ac:dyDescent="0.25">
      <c r="A838">
        <v>4</v>
      </c>
      <c r="B838" t="s">
        <v>8106</v>
      </c>
      <c r="C838" t="s">
        <v>46</v>
      </c>
      <c r="D838" t="s">
        <v>7862</v>
      </c>
      <c r="G838">
        <v>19889</v>
      </c>
      <c r="H838" t="s">
        <v>8107</v>
      </c>
      <c r="I838" t="s">
        <v>8108</v>
      </c>
      <c r="J838">
        <v>19889</v>
      </c>
      <c r="K838" t="s">
        <v>8109</v>
      </c>
      <c r="L838">
        <v>42</v>
      </c>
      <c r="O838">
        <v>19889</v>
      </c>
      <c r="P838" t="s">
        <v>7862</v>
      </c>
      <c r="Q838">
        <v>1</v>
      </c>
    </row>
    <row r="839" spans="1:17" x14ac:dyDescent="0.25">
      <c r="A839">
        <v>4</v>
      </c>
      <c r="B839" t="s">
        <v>8110</v>
      </c>
      <c r="C839" t="s">
        <v>46</v>
      </c>
      <c r="D839" t="s">
        <v>7862</v>
      </c>
      <c r="G839" t="s">
        <v>8111</v>
      </c>
      <c r="H839" t="s">
        <v>8112</v>
      </c>
      <c r="I839" t="s">
        <v>8113</v>
      </c>
      <c r="J839" t="s">
        <v>8111</v>
      </c>
      <c r="K839" t="s">
        <v>8114</v>
      </c>
      <c r="L839">
        <v>299</v>
      </c>
      <c r="O839" t="s">
        <v>8111</v>
      </c>
      <c r="P839" t="s">
        <v>7862</v>
      </c>
      <c r="Q839">
        <v>1</v>
      </c>
    </row>
    <row r="840" spans="1:17" x14ac:dyDescent="0.25">
      <c r="A840">
        <v>4</v>
      </c>
      <c r="B840" t="s">
        <v>8115</v>
      </c>
      <c r="C840" t="s">
        <v>46</v>
      </c>
      <c r="D840" t="s">
        <v>7862</v>
      </c>
      <c r="G840" t="s">
        <v>8116</v>
      </c>
      <c r="H840" t="s">
        <v>8117</v>
      </c>
      <c r="I840" t="s">
        <v>8118</v>
      </c>
      <c r="J840" t="s">
        <v>8116</v>
      </c>
      <c r="K840" t="s">
        <v>8119</v>
      </c>
      <c r="L840">
        <v>797</v>
      </c>
      <c r="O840" t="s">
        <v>8116</v>
      </c>
      <c r="P840" t="s">
        <v>7862</v>
      </c>
      <c r="Q840">
        <v>1</v>
      </c>
    </row>
    <row r="841" spans="1:17" x14ac:dyDescent="0.25">
      <c r="A841">
        <v>4</v>
      </c>
      <c r="B841" t="s">
        <v>8120</v>
      </c>
      <c r="C841" t="s">
        <v>46</v>
      </c>
      <c r="D841" t="s">
        <v>7862</v>
      </c>
      <c r="G841" t="s">
        <v>8121</v>
      </c>
      <c r="H841" t="s">
        <v>8122</v>
      </c>
      <c r="I841" t="s">
        <v>8123</v>
      </c>
      <c r="J841" t="s">
        <v>8121</v>
      </c>
      <c r="K841" t="s">
        <v>8124</v>
      </c>
      <c r="L841">
        <v>79</v>
      </c>
      <c r="O841" t="s">
        <v>8121</v>
      </c>
      <c r="P841" t="s">
        <v>7862</v>
      </c>
      <c r="Q841">
        <v>1</v>
      </c>
    </row>
    <row r="842" spans="1:17" x14ac:dyDescent="0.25">
      <c r="A842">
        <v>4</v>
      </c>
      <c r="B842" t="s">
        <v>8125</v>
      </c>
      <c r="C842" t="s">
        <v>46</v>
      </c>
      <c r="D842" t="s">
        <v>7862</v>
      </c>
      <c r="G842" t="s">
        <v>8126</v>
      </c>
      <c r="H842" t="s">
        <v>8127</v>
      </c>
      <c r="I842" t="s">
        <v>8128</v>
      </c>
      <c r="J842" t="s">
        <v>8126</v>
      </c>
      <c r="K842" t="s">
        <v>8129</v>
      </c>
      <c r="L842">
        <v>17</v>
      </c>
      <c r="O842" t="s">
        <v>8126</v>
      </c>
      <c r="P842" t="s">
        <v>7862</v>
      </c>
      <c r="Q842">
        <v>1</v>
      </c>
    </row>
    <row r="843" spans="1:17" x14ac:dyDescent="0.25">
      <c r="A843">
        <v>4</v>
      </c>
      <c r="B843" t="s">
        <v>8130</v>
      </c>
      <c r="C843" t="s">
        <v>46</v>
      </c>
      <c r="D843" t="s">
        <v>7862</v>
      </c>
      <c r="G843" t="s">
        <v>8131</v>
      </c>
      <c r="H843" t="s">
        <v>8132</v>
      </c>
      <c r="I843" t="s">
        <v>8133</v>
      </c>
      <c r="J843" t="s">
        <v>8131</v>
      </c>
      <c r="K843" t="s">
        <v>8134</v>
      </c>
      <c r="L843">
        <v>52</v>
      </c>
      <c r="O843" t="s">
        <v>8131</v>
      </c>
      <c r="P843" t="s">
        <v>7862</v>
      </c>
      <c r="Q843">
        <v>1</v>
      </c>
    </row>
    <row r="844" spans="1:17" x14ac:dyDescent="0.25">
      <c r="A844">
        <v>4</v>
      </c>
      <c r="B844" t="s">
        <v>8135</v>
      </c>
      <c r="C844" t="s">
        <v>46</v>
      </c>
      <c r="D844" t="s">
        <v>7862</v>
      </c>
      <c r="G844" t="s">
        <v>8136</v>
      </c>
      <c r="H844" t="s">
        <v>8137</v>
      </c>
      <c r="I844" t="s">
        <v>8138</v>
      </c>
      <c r="J844" t="s">
        <v>8136</v>
      </c>
      <c r="K844" t="s">
        <v>8139</v>
      </c>
      <c r="L844">
        <v>506</v>
      </c>
      <c r="O844" t="s">
        <v>8136</v>
      </c>
      <c r="P844" t="s">
        <v>7862</v>
      </c>
      <c r="Q844">
        <v>1</v>
      </c>
    </row>
    <row r="845" spans="1:17" x14ac:dyDescent="0.25">
      <c r="A845">
        <v>4</v>
      </c>
      <c r="B845" t="s">
        <v>8140</v>
      </c>
      <c r="C845" t="s">
        <v>46</v>
      </c>
      <c r="D845" t="s">
        <v>7862</v>
      </c>
      <c r="G845" t="s">
        <v>8141</v>
      </c>
      <c r="H845" t="s">
        <v>8142</v>
      </c>
      <c r="I845" t="s">
        <v>8143</v>
      </c>
      <c r="J845" t="s">
        <v>8141</v>
      </c>
      <c r="K845" t="s">
        <v>8144</v>
      </c>
      <c r="L845">
        <v>278</v>
      </c>
      <c r="O845" t="s">
        <v>8141</v>
      </c>
      <c r="P845" t="s">
        <v>7862</v>
      </c>
      <c r="Q845">
        <v>1</v>
      </c>
    </row>
    <row r="846" spans="1:17" x14ac:dyDescent="0.25">
      <c r="A846">
        <v>2</v>
      </c>
      <c r="B846" t="s">
        <v>8145</v>
      </c>
      <c r="C846" t="s">
        <v>46</v>
      </c>
      <c r="D846" t="s">
        <v>7862</v>
      </c>
      <c r="E846" t="s">
        <v>815</v>
      </c>
      <c r="H846" t="s">
        <v>8146</v>
      </c>
      <c r="I846" t="s">
        <v>3133</v>
      </c>
      <c r="J846" t="s">
        <v>815</v>
      </c>
      <c r="O846" t="s">
        <v>815</v>
      </c>
      <c r="P846" t="s">
        <v>7862</v>
      </c>
      <c r="Q846">
        <v>1</v>
      </c>
    </row>
    <row r="847" spans="1:17" x14ac:dyDescent="0.25">
      <c r="A847">
        <v>3</v>
      </c>
      <c r="B847" t="s">
        <v>8147</v>
      </c>
      <c r="C847" t="s">
        <v>46</v>
      </c>
      <c r="D847" t="s">
        <v>7862</v>
      </c>
      <c r="F847" t="s">
        <v>970</v>
      </c>
      <c r="H847" t="s">
        <v>205</v>
      </c>
      <c r="I847" t="s">
        <v>483</v>
      </c>
      <c r="J847" t="s">
        <v>970</v>
      </c>
      <c r="O847" t="s">
        <v>970</v>
      </c>
      <c r="P847" t="s">
        <v>7862</v>
      </c>
      <c r="Q847">
        <v>1</v>
      </c>
    </row>
    <row r="848" spans="1:17" x14ac:dyDescent="0.25">
      <c r="A848">
        <v>4</v>
      </c>
      <c r="B848" t="s">
        <v>8148</v>
      </c>
      <c r="C848" t="s">
        <v>46</v>
      </c>
      <c r="D848" t="s">
        <v>7862</v>
      </c>
      <c r="G848">
        <v>170085</v>
      </c>
      <c r="H848" t="s">
        <v>8149</v>
      </c>
      <c r="I848" t="s">
        <v>8150</v>
      </c>
      <c r="J848">
        <v>170085</v>
      </c>
      <c r="K848" t="s">
        <v>8151</v>
      </c>
      <c r="L848">
        <v>53</v>
      </c>
      <c r="O848">
        <v>170085</v>
      </c>
      <c r="P848" t="s">
        <v>7862</v>
      </c>
      <c r="Q848">
        <v>1</v>
      </c>
    </row>
    <row r="849" spans="1:17" x14ac:dyDescent="0.25">
      <c r="A849">
        <v>4</v>
      </c>
      <c r="B849" t="s">
        <v>8152</v>
      </c>
      <c r="C849" t="s">
        <v>46</v>
      </c>
      <c r="D849" t="s">
        <v>7862</v>
      </c>
      <c r="G849">
        <v>338964</v>
      </c>
      <c r="H849" t="s">
        <v>8153</v>
      </c>
      <c r="I849" t="s">
        <v>8154</v>
      </c>
      <c r="J849">
        <v>338964</v>
      </c>
      <c r="K849" t="s">
        <v>8155</v>
      </c>
      <c r="L849">
        <v>41</v>
      </c>
      <c r="O849">
        <v>338964</v>
      </c>
      <c r="P849" t="s">
        <v>7862</v>
      </c>
      <c r="Q849">
        <v>1</v>
      </c>
    </row>
    <row r="850" spans="1:17" x14ac:dyDescent="0.25">
      <c r="A850">
        <v>4</v>
      </c>
      <c r="B850" t="s">
        <v>8156</v>
      </c>
      <c r="C850" t="s">
        <v>46</v>
      </c>
      <c r="D850" t="s">
        <v>7862</v>
      </c>
      <c r="G850" t="s">
        <v>8157</v>
      </c>
      <c r="H850" t="s">
        <v>205</v>
      </c>
      <c r="I850" t="s">
        <v>8158</v>
      </c>
      <c r="J850" t="s">
        <v>8157</v>
      </c>
      <c r="K850" t="s">
        <v>8159</v>
      </c>
      <c r="L850">
        <v>564</v>
      </c>
      <c r="O850" t="s">
        <v>8157</v>
      </c>
      <c r="P850" t="s">
        <v>7862</v>
      </c>
      <c r="Q850">
        <v>1</v>
      </c>
    </row>
    <row r="851" spans="1:17" x14ac:dyDescent="0.25">
      <c r="A851">
        <v>4</v>
      </c>
      <c r="B851" t="s">
        <v>8160</v>
      </c>
      <c r="C851" t="s">
        <v>46</v>
      </c>
      <c r="D851" t="s">
        <v>7862</v>
      </c>
      <c r="G851">
        <v>25879</v>
      </c>
      <c r="H851" t="s">
        <v>8161</v>
      </c>
      <c r="I851" t="s">
        <v>8047</v>
      </c>
      <c r="J851">
        <v>25879</v>
      </c>
      <c r="K851" t="s">
        <v>8162</v>
      </c>
      <c r="L851">
        <v>110</v>
      </c>
      <c r="O851">
        <v>25879</v>
      </c>
      <c r="P851" t="s">
        <v>7862</v>
      </c>
      <c r="Q851">
        <v>1</v>
      </c>
    </row>
    <row r="852" spans="1:17" x14ac:dyDescent="0.25">
      <c r="A852">
        <v>4</v>
      </c>
      <c r="B852" t="s">
        <v>8163</v>
      </c>
      <c r="C852" t="s">
        <v>46</v>
      </c>
      <c r="D852" t="s">
        <v>7862</v>
      </c>
      <c r="G852">
        <v>25889</v>
      </c>
      <c r="H852" t="s">
        <v>8164</v>
      </c>
      <c r="I852" t="s">
        <v>8165</v>
      </c>
      <c r="J852">
        <v>25889</v>
      </c>
      <c r="K852" t="s">
        <v>8166</v>
      </c>
      <c r="L852">
        <v>507</v>
      </c>
      <c r="O852">
        <v>25889</v>
      </c>
      <c r="P852" t="s">
        <v>7862</v>
      </c>
      <c r="Q852">
        <v>1</v>
      </c>
    </row>
    <row r="853" spans="1:17" x14ac:dyDescent="0.25">
      <c r="A853">
        <v>4</v>
      </c>
      <c r="B853" t="s">
        <v>8167</v>
      </c>
      <c r="C853" t="s">
        <v>46</v>
      </c>
      <c r="D853" t="s">
        <v>7862</v>
      </c>
      <c r="G853">
        <v>25893</v>
      </c>
      <c r="H853" t="s">
        <v>8168</v>
      </c>
      <c r="I853" t="s">
        <v>8169</v>
      </c>
      <c r="J853">
        <v>25893</v>
      </c>
      <c r="K853" t="s">
        <v>8170</v>
      </c>
      <c r="L853">
        <v>7</v>
      </c>
      <c r="N853" t="s">
        <v>4713</v>
      </c>
      <c r="O853">
        <v>25893</v>
      </c>
      <c r="P853" t="s">
        <v>7862</v>
      </c>
      <c r="Q853">
        <v>1</v>
      </c>
    </row>
    <row r="854" spans="1:17" x14ac:dyDescent="0.25">
      <c r="A854">
        <v>4</v>
      </c>
      <c r="B854" t="s">
        <v>8171</v>
      </c>
      <c r="C854" t="s">
        <v>46</v>
      </c>
      <c r="D854" t="s">
        <v>7862</v>
      </c>
      <c r="G854">
        <v>25897</v>
      </c>
      <c r="H854" t="s">
        <v>8172</v>
      </c>
      <c r="I854" t="s">
        <v>8173</v>
      </c>
      <c r="J854">
        <v>25897</v>
      </c>
      <c r="K854" t="s">
        <v>8174</v>
      </c>
      <c r="L854">
        <v>15</v>
      </c>
      <c r="O854">
        <v>25897</v>
      </c>
      <c r="P854" t="s">
        <v>7862</v>
      </c>
      <c r="Q854">
        <v>1</v>
      </c>
    </row>
    <row r="855" spans="1:17" x14ac:dyDescent="0.25">
      <c r="A855">
        <v>4</v>
      </c>
      <c r="B855" t="s">
        <v>8175</v>
      </c>
      <c r="C855" t="s">
        <v>46</v>
      </c>
      <c r="D855" t="s">
        <v>7862</v>
      </c>
      <c r="G855">
        <v>25907</v>
      </c>
      <c r="H855" t="s">
        <v>8176</v>
      </c>
      <c r="I855" t="s">
        <v>8177</v>
      </c>
      <c r="J855">
        <v>25907</v>
      </c>
      <c r="K855" t="s">
        <v>8178</v>
      </c>
      <c r="L855">
        <v>5</v>
      </c>
      <c r="N855" t="s">
        <v>4713</v>
      </c>
      <c r="O855">
        <v>25907</v>
      </c>
      <c r="P855" t="s">
        <v>7862</v>
      </c>
      <c r="Q855">
        <v>1</v>
      </c>
    </row>
    <row r="856" spans="1:17" x14ac:dyDescent="0.25">
      <c r="A856">
        <v>4</v>
      </c>
      <c r="B856" t="s">
        <v>8179</v>
      </c>
      <c r="C856" t="s">
        <v>46</v>
      </c>
      <c r="D856" t="s">
        <v>7862</v>
      </c>
      <c r="G856" t="s">
        <v>8180</v>
      </c>
      <c r="H856" t="s">
        <v>8142</v>
      </c>
      <c r="I856" t="s">
        <v>8143</v>
      </c>
      <c r="J856" t="s">
        <v>8180</v>
      </c>
      <c r="K856" t="s">
        <v>8181</v>
      </c>
      <c r="L856">
        <v>32</v>
      </c>
      <c r="O856" t="s">
        <v>8180</v>
      </c>
      <c r="P856" t="s">
        <v>7862</v>
      </c>
      <c r="Q856">
        <v>1</v>
      </c>
    </row>
    <row r="857" spans="1:17" x14ac:dyDescent="0.25">
      <c r="A857">
        <v>1</v>
      </c>
      <c r="B857">
        <v>6</v>
      </c>
      <c r="C857" t="s">
        <v>26</v>
      </c>
      <c r="D857" t="s">
        <v>8182</v>
      </c>
      <c r="H857" t="s">
        <v>8182</v>
      </c>
      <c r="I857" t="s">
        <v>532</v>
      </c>
      <c r="J857" t="s">
        <v>26</v>
      </c>
      <c r="O857" t="s">
        <v>26</v>
      </c>
      <c r="P857" t="s">
        <v>8182</v>
      </c>
      <c r="Q857">
        <v>2</v>
      </c>
    </row>
    <row r="858" spans="1:17" x14ac:dyDescent="0.25">
      <c r="A858">
        <v>2</v>
      </c>
      <c r="B858" t="s">
        <v>8183</v>
      </c>
      <c r="C858" t="s">
        <v>26</v>
      </c>
      <c r="D858" t="s">
        <v>8182</v>
      </c>
      <c r="E858" t="s">
        <v>818</v>
      </c>
      <c r="H858" t="s">
        <v>8184</v>
      </c>
      <c r="I858" t="s">
        <v>1060</v>
      </c>
      <c r="J858" t="s">
        <v>818</v>
      </c>
      <c r="O858" t="s">
        <v>818</v>
      </c>
      <c r="P858" t="s">
        <v>8182</v>
      </c>
      <c r="Q858">
        <v>1</v>
      </c>
    </row>
    <row r="859" spans="1:17" x14ac:dyDescent="0.25">
      <c r="A859">
        <v>4</v>
      </c>
      <c r="B859" t="s">
        <v>8185</v>
      </c>
      <c r="C859" t="s">
        <v>26</v>
      </c>
      <c r="D859" t="s">
        <v>8182</v>
      </c>
      <c r="G859">
        <v>207461</v>
      </c>
      <c r="H859" t="s">
        <v>8186</v>
      </c>
      <c r="I859" t="s">
        <v>8187</v>
      </c>
      <c r="J859">
        <v>207461</v>
      </c>
      <c r="K859" t="s">
        <v>8188</v>
      </c>
      <c r="L859">
        <v>984</v>
      </c>
      <c r="O859">
        <v>207461</v>
      </c>
      <c r="P859" t="s">
        <v>8182</v>
      </c>
      <c r="Q859">
        <v>1</v>
      </c>
    </row>
    <row r="860" spans="1:17" x14ac:dyDescent="0.25">
      <c r="A860">
        <v>4</v>
      </c>
      <c r="B860" t="s">
        <v>8189</v>
      </c>
      <c r="C860" t="s">
        <v>26</v>
      </c>
      <c r="D860" t="s">
        <v>8182</v>
      </c>
      <c r="G860">
        <v>217352</v>
      </c>
      <c r="H860" t="s">
        <v>8190</v>
      </c>
      <c r="I860" t="s">
        <v>8191</v>
      </c>
      <c r="J860">
        <v>217352</v>
      </c>
      <c r="K860" t="s">
        <v>8192</v>
      </c>
      <c r="L860">
        <v>252</v>
      </c>
      <c r="O860">
        <v>217352</v>
      </c>
      <c r="P860" t="s">
        <v>8182</v>
      </c>
      <c r="Q860">
        <v>1</v>
      </c>
    </row>
    <row r="861" spans="1:17" x14ac:dyDescent="0.25">
      <c r="A861">
        <v>4</v>
      </c>
      <c r="B861" t="s">
        <v>8193</v>
      </c>
      <c r="C861" t="s">
        <v>26</v>
      </c>
      <c r="D861" t="s">
        <v>8182</v>
      </c>
      <c r="G861">
        <v>217354</v>
      </c>
      <c r="H861" t="s">
        <v>8194</v>
      </c>
      <c r="I861" t="s">
        <v>8195</v>
      </c>
      <c r="J861">
        <v>217354</v>
      </c>
      <c r="K861" t="s">
        <v>8196</v>
      </c>
      <c r="L861">
        <v>359</v>
      </c>
      <c r="O861">
        <v>217354</v>
      </c>
      <c r="P861" t="s">
        <v>8182</v>
      </c>
      <c r="Q861">
        <v>1</v>
      </c>
    </row>
    <row r="862" spans="1:17" x14ac:dyDescent="0.25">
      <c r="A862">
        <v>4</v>
      </c>
      <c r="B862" t="s">
        <v>8197</v>
      </c>
      <c r="C862" t="s">
        <v>26</v>
      </c>
      <c r="D862" t="s">
        <v>8182</v>
      </c>
      <c r="G862">
        <v>217355</v>
      </c>
      <c r="H862" t="s">
        <v>8198</v>
      </c>
      <c r="I862" t="s">
        <v>8199</v>
      </c>
      <c r="J862">
        <v>217355</v>
      </c>
      <c r="K862" t="s">
        <v>8200</v>
      </c>
      <c r="L862">
        <v>278</v>
      </c>
      <c r="O862">
        <v>217355</v>
      </c>
      <c r="P862" t="s">
        <v>8182</v>
      </c>
      <c r="Q862">
        <v>1</v>
      </c>
    </row>
    <row r="863" spans="1:17" x14ac:dyDescent="0.25">
      <c r="A863">
        <v>4</v>
      </c>
      <c r="B863" t="s">
        <v>8201</v>
      </c>
      <c r="C863" t="s">
        <v>26</v>
      </c>
      <c r="D863" t="s">
        <v>8182</v>
      </c>
      <c r="G863">
        <v>24051</v>
      </c>
      <c r="H863" t="s">
        <v>8202</v>
      </c>
      <c r="I863" t="s">
        <v>1061</v>
      </c>
      <c r="J863">
        <v>24051</v>
      </c>
      <c r="K863" t="s">
        <v>8203</v>
      </c>
      <c r="L863">
        <v>72</v>
      </c>
      <c r="O863">
        <v>24051</v>
      </c>
      <c r="P863" t="s">
        <v>8182</v>
      </c>
      <c r="Q863">
        <v>1</v>
      </c>
    </row>
    <row r="864" spans="1:17" x14ac:dyDescent="0.25">
      <c r="A864">
        <v>4</v>
      </c>
      <c r="B864" t="s">
        <v>8204</v>
      </c>
      <c r="C864" t="s">
        <v>26</v>
      </c>
      <c r="D864" t="s">
        <v>8182</v>
      </c>
      <c r="G864">
        <v>24053</v>
      </c>
      <c r="H864" t="s">
        <v>8205</v>
      </c>
      <c r="I864" t="s">
        <v>8206</v>
      </c>
      <c r="J864">
        <v>24053</v>
      </c>
      <c r="K864" t="s">
        <v>8207</v>
      </c>
      <c r="L864">
        <v>20</v>
      </c>
      <c r="O864">
        <v>24053</v>
      </c>
      <c r="P864" t="s">
        <v>8182</v>
      </c>
      <c r="Q864">
        <v>1</v>
      </c>
    </row>
    <row r="865" spans="1:17" x14ac:dyDescent="0.25">
      <c r="A865">
        <v>4</v>
      </c>
      <c r="B865" t="s">
        <v>8208</v>
      </c>
      <c r="C865" t="s">
        <v>26</v>
      </c>
      <c r="D865" t="s">
        <v>8182</v>
      </c>
      <c r="G865">
        <v>389470</v>
      </c>
      <c r="H865" t="s">
        <v>8209</v>
      </c>
      <c r="I865" t="s">
        <v>8210</v>
      </c>
      <c r="J865">
        <v>389470</v>
      </c>
      <c r="K865" t="s">
        <v>8211</v>
      </c>
      <c r="L865">
        <v>299</v>
      </c>
      <c r="O865">
        <v>389470</v>
      </c>
      <c r="P865" t="s">
        <v>8182</v>
      </c>
      <c r="Q865">
        <v>1</v>
      </c>
    </row>
    <row r="866" spans="1:17" x14ac:dyDescent="0.25">
      <c r="A866">
        <v>4</v>
      </c>
      <c r="B866" t="s">
        <v>8212</v>
      </c>
      <c r="C866" t="s">
        <v>26</v>
      </c>
      <c r="D866" t="s">
        <v>8182</v>
      </c>
      <c r="G866">
        <v>472007</v>
      </c>
      <c r="H866" t="s">
        <v>8213</v>
      </c>
      <c r="I866" t="s">
        <v>8214</v>
      </c>
      <c r="J866">
        <v>472007</v>
      </c>
      <c r="K866" t="s">
        <v>8215</v>
      </c>
      <c r="L866">
        <v>142</v>
      </c>
      <c r="O866">
        <v>472007</v>
      </c>
      <c r="P866" t="s">
        <v>8182</v>
      </c>
      <c r="Q866">
        <v>1</v>
      </c>
    </row>
    <row r="867" spans="1:17" x14ac:dyDescent="0.25">
      <c r="A867">
        <v>4</v>
      </c>
      <c r="B867" t="s">
        <v>8216</v>
      </c>
      <c r="C867" t="s">
        <v>26</v>
      </c>
      <c r="D867" t="s">
        <v>8182</v>
      </c>
      <c r="G867">
        <v>514138</v>
      </c>
      <c r="H867" t="s">
        <v>8217</v>
      </c>
      <c r="I867" t="s">
        <v>8218</v>
      </c>
      <c r="J867">
        <v>514138</v>
      </c>
      <c r="K867" t="s">
        <v>8219</v>
      </c>
      <c r="L867">
        <v>174</v>
      </c>
      <c r="O867">
        <v>514138</v>
      </c>
      <c r="P867" t="s">
        <v>8182</v>
      </c>
      <c r="Q867">
        <v>1</v>
      </c>
    </row>
    <row r="868" spans="1:17" x14ac:dyDescent="0.25">
      <c r="A868">
        <v>2</v>
      </c>
      <c r="B868" t="s">
        <v>8220</v>
      </c>
      <c r="C868" t="s">
        <v>26</v>
      </c>
      <c r="D868" t="s">
        <v>8182</v>
      </c>
      <c r="E868" t="s">
        <v>262</v>
      </c>
      <c r="H868" t="s">
        <v>8221</v>
      </c>
      <c r="I868" t="s">
        <v>968</v>
      </c>
      <c r="J868" t="s">
        <v>262</v>
      </c>
      <c r="O868" t="s">
        <v>262</v>
      </c>
      <c r="P868" t="s">
        <v>8182</v>
      </c>
      <c r="Q868">
        <v>1</v>
      </c>
    </row>
    <row r="869" spans="1:17" x14ac:dyDescent="0.25">
      <c r="A869">
        <v>3</v>
      </c>
      <c r="B869" t="s">
        <v>8222</v>
      </c>
      <c r="C869" t="s">
        <v>26</v>
      </c>
      <c r="D869" t="s">
        <v>8182</v>
      </c>
      <c r="F869" t="s">
        <v>8223</v>
      </c>
      <c r="H869" t="s">
        <v>8224</v>
      </c>
      <c r="I869" t="s">
        <v>8225</v>
      </c>
      <c r="J869" t="s">
        <v>8223</v>
      </c>
      <c r="O869" t="s">
        <v>8223</v>
      </c>
      <c r="P869" t="s">
        <v>8182</v>
      </c>
      <c r="Q869">
        <v>1</v>
      </c>
    </row>
    <row r="870" spans="1:17" x14ac:dyDescent="0.25">
      <c r="A870">
        <v>4</v>
      </c>
      <c r="B870" t="s">
        <v>8226</v>
      </c>
      <c r="C870" t="s">
        <v>26</v>
      </c>
      <c r="D870" t="s">
        <v>8182</v>
      </c>
      <c r="G870">
        <v>15883</v>
      </c>
      <c r="H870" t="s">
        <v>8227</v>
      </c>
      <c r="I870" t="s">
        <v>8228</v>
      </c>
      <c r="J870">
        <v>15883</v>
      </c>
      <c r="K870" t="s">
        <v>8229</v>
      </c>
      <c r="L870">
        <v>147</v>
      </c>
      <c r="O870">
        <v>15883</v>
      </c>
      <c r="P870" t="s">
        <v>8182</v>
      </c>
      <c r="Q870">
        <v>1</v>
      </c>
    </row>
    <row r="871" spans="1:17" x14ac:dyDescent="0.25">
      <c r="A871">
        <v>4</v>
      </c>
      <c r="B871" t="s">
        <v>8230</v>
      </c>
      <c r="C871" t="s">
        <v>26</v>
      </c>
      <c r="D871" t="s">
        <v>8182</v>
      </c>
      <c r="G871" t="s">
        <v>8231</v>
      </c>
      <c r="H871" t="s">
        <v>8232</v>
      </c>
      <c r="I871" t="s">
        <v>8233</v>
      </c>
      <c r="J871" t="s">
        <v>8231</v>
      </c>
      <c r="K871" t="s">
        <v>8234</v>
      </c>
      <c r="L871">
        <v>11</v>
      </c>
      <c r="O871" t="s">
        <v>8231</v>
      </c>
      <c r="P871" t="s">
        <v>8182</v>
      </c>
      <c r="Q871">
        <v>1</v>
      </c>
    </row>
    <row r="872" spans="1:17" x14ac:dyDescent="0.25">
      <c r="A872">
        <v>4</v>
      </c>
      <c r="B872" t="s">
        <v>8235</v>
      </c>
      <c r="C872" t="s">
        <v>26</v>
      </c>
      <c r="D872" t="s">
        <v>8182</v>
      </c>
      <c r="G872" t="s">
        <v>8236</v>
      </c>
      <c r="H872" t="s">
        <v>8237</v>
      </c>
      <c r="I872" t="s">
        <v>8238</v>
      </c>
      <c r="J872" t="s">
        <v>8236</v>
      </c>
      <c r="K872" t="s">
        <v>8239</v>
      </c>
      <c r="L872">
        <v>11</v>
      </c>
      <c r="O872" t="s">
        <v>8236</v>
      </c>
      <c r="P872" t="s">
        <v>8182</v>
      </c>
      <c r="Q872">
        <v>1</v>
      </c>
    </row>
    <row r="873" spans="1:17" x14ac:dyDescent="0.25">
      <c r="A873">
        <v>4</v>
      </c>
      <c r="B873" t="s">
        <v>8240</v>
      </c>
      <c r="C873" t="s">
        <v>26</v>
      </c>
      <c r="D873" t="s">
        <v>8182</v>
      </c>
      <c r="G873" t="s">
        <v>8241</v>
      </c>
      <c r="H873" t="s">
        <v>8242</v>
      </c>
      <c r="I873" t="s">
        <v>8243</v>
      </c>
      <c r="J873" t="s">
        <v>8241</v>
      </c>
      <c r="K873" t="s">
        <v>8244</v>
      </c>
      <c r="L873">
        <v>65</v>
      </c>
      <c r="O873" t="s">
        <v>8241</v>
      </c>
      <c r="P873" t="s">
        <v>8182</v>
      </c>
      <c r="Q873">
        <v>1</v>
      </c>
    </row>
    <row r="874" spans="1:17" x14ac:dyDescent="0.25">
      <c r="A874">
        <v>4</v>
      </c>
      <c r="B874" t="s">
        <v>8245</v>
      </c>
      <c r="C874" t="s">
        <v>26</v>
      </c>
      <c r="D874" t="s">
        <v>8182</v>
      </c>
      <c r="G874" t="s">
        <v>8246</v>
      </c>
      <c r="H874" t="s">
        <v>8247</v>
      </c>
      <c r="I874" t="s">
        <v>8248</v>
      </c>
      <c r="J874" t="s">
        <v>8246</v>
      </c>
      <c r="K874" t="s">
        <v>8249</v>
      </c>
      <c r="L874">
        <v>22</v>
      </c>
      <c r="O874" t="s">
        <v>8246</v>
      </c>
      <c r="P874" t="s">
        <v>8182</v>
      </c>
      <c r="Q874">
        <v>1</v>
      </c>
    </row>
    <row r="875" spans="1:17" x14ac:dyDescent="0.25">
      <c r="A875">
        <v>3</v>
      </c>
      <c r="B875" t="s">
        <v>8250</v>
      </c>
      <c r="C875" t="s">
        <v>26</v>
      </c>
      <c r="D875" t="s">
        <v>8182</v>
      </c>
      <c r="F875" t="s">
        <v>8251</v>
      </c>
      <c r="H875" t="s">
        <v>8252</v>
      </c>
      <c r="I875" t="s">
        <v>8253</v>
      </c>
      <c r="J875" t="s">
        <v>8251</v>
      </c>
      <c r="O875" t="s">
        <v>8251</v>
      </c>
      <c r="P875" t="s">
        <v>8182</v>
      </c>
      <c r="Q875">
        <v>1</v>
      </c>
    </row>
    <row r="876" spans="1:17" x14ac:dyDescent="0.25">
      <c r="A876">
        <v>4</v>
      </c>
      <c r="B876" t="s">
        <v>8254</v>
      </c>
      <c r="C876" t="s">
        <v>26</v>
      </c>
      <c r="D876" t="s">
        <v>8182</v>
      </c>
      <c r="G876">
        <v>28158</v>
      </c>
      <c r="H876" t="s">
        <v>8255</v>
      </c>
      <c r="I876" t="s">
        <v>8256</v>
      </c>
      <c r="J876">
        <v>28158</v>
      </c>
      <c r="K876" t="s">
        <v>8257</v>
      </c>
      <c r="L876">
        <v>4</v>
      </c>
      <c r="N876" t="s">
        <v>4713</v>
      </c>
      <c r="O876">
        <v>28158</v>
      </c>
      <c r="P876" t="s">
        <v>8182</v>
      </c>
      <c r="Q876">
        <v>1</v>
      </c>
    </row>
    <row r="877" spans="1:17" x14ac:dyDescent="0.25">
      <c r="A877">
        <v>4</v>
      </c>
      <c r="B877" t="s">
        <v>8258</v>
      </c>
      <c r="C877" t="s">
        <v>26</v>
      </c>
      <c r="D877" t="s">
        <v>8182</v>
      </c>
      <c r="G877">
        <v>28160</v>
      </c>
      <c r="H877" t="s">
        <v>8252</v>
      </c>
      <c r="I877" t="s">
        <v>8259</v>
      </c>
      <c r="J877">
        <v>28160</v>
      </c>
      <c r="K877" t="s">
        <v>8260</v>
      </c>
      <c r="L877">
        <v>70</v>
      </c>
      <c r="O877">
        <v>28160</v>
      </c>
      <c r="P877" t="s">
        <v>8182</v>
      </c>
      <c r="Q877">
        <v>1</v>
      </c>
    </row>
    <row r="878" spans="1:17" x14ac:dyDescent="0.25">
      <c r="A878">
        <v>4</v>
      </c>
      <c r="B878" t="s">
        <v>8261</v>
      </c>
      <c r="C878" t="s">
        <v>26</v>
      </c>
      <c r="D878" t="s">
        <v>8182</v>
      </c>
      <c r="G878">
        <v>28162</v>
      </c>
      <c r="H878" t="s">
        <v>8262</v>
      </c>
      <c r="I878" t="s">
        <v>8263</v>
      </c>
      <c r="J878">
        <v>28162</v>
      </c>
      <c r="K878" t="s">
        <v>8264</v>
      </c>
      <c r="L878">
        <v>8</v>
      </c>
      <c r="N878" t="s">
        <v>4713</v>
      </c>
      <c r="O878">
        <v>28162</v>
      </c>
      <c r="P878" t="s">
        <v>8182</v>
      </c>
      <c r="Q878">
        <v>1</v>
      </c>
    </row>
    <row r="879" spans="1:17" x14ac:dyDescent="0.25">
      <c r="A879">
        <v>4</v>
      </c>
      <c r="B879" t="s">
        <v>8265</v>
      </c>
      <c r="C879" t="s">
        <v>26</v>
      </c>
      <c r="D879" t="s">
        <v>8182</v>
      </c>
      <c r="G879">
        <v>28164</v>
      </c>
      <c r="H879" t="s">
        <v>8266</v>
      </c>
      <c r="I879" t="s">
        <v>8267</v>
      </c>
      <c r="J879">
        <v>28164</v>
      </c>
      <c r="K879" t="s">
        <v>8268</v>
      </c>
      <c r="L879">
        <v>1</v>
      </c>
      <c r="N879" t="s">
        <v>4734</v>
      </c>
      <c r="O879">
        <v>28164</v>
      </c>
      <c r="P879" t="s">
        <v>8182</v>
      </c>
      <c r="Q879">
        <v>1</v>
      </c>
    </row>
    <row r="880" spans="1:17" x14ac:dyDescent="0.25">
      <c r="A880">
        <v>4</v>
      </c>
      <c r="B880" t="s">
        <v>8269</v>
      </c>
      <c r="C880" t="s">
        <v>26</v>
      </c>
      <c r="D880" t="s">
        <v>8182</v>
      </c>
      <c r="G880">
        <v>28166</v>
      </c>
      <c r="H880" t="s">
        <v>8270</v>
      </c>
      <c r="I880" t="s">
        <v>8271</v>
      </c>
      <c r="J880">
        <v>28166</v>
      </c>
      <c r="K880" t="s">
        <v>8272</v>
      </c>
      <c r="L880">
        <v>8</v>
      </c>
      <c r="N880" t="s">
        <v>4713</v>
      </c>
      <c r="O880">
        <v>28166</v>
      </c>
      <c r="P880" t="s">
        <v>8182</v>
      </c>
      <c r="Q880">
        <v>1</v>
      </c>
    </row>
    <row r="881" spans="1:17" x14ac:dyDescent="0.25">
      <c r="A881">
        <v>4</v>
      </c>
      <c r="B881" t="s">
        <v>8273</v>
      </c>
      <c r="C881" t="s">
        <v>26</v>
      </c>
      <c r="D881" t="s">
        <v>8182</v>
      </c>
      <c r="G881">
        <v>29360</v>
      </c>
      <c r="H881" t="s">
        <v>8274</v>
      </c>
      <c r="I881" t="s">
        <v>8275</v>
      </c>
      <c r="J881">
        <v>29360</v>
      </c>
      <c r="K881" t="s">
        <v>8276</v>
      </c>
      <c r="L881">
        <v>53</v>
      </c>
      <c r="O881">
        <v>29360</v>
      </c>
      <c r="P881" t="s">
        <v>8182</v>
      </c>
      <c r="Q881">
        <v>1</v>
      </c>
    </row>
    <row r="882" spans="1:17" x14ac:dyDescent="0.25">
      <c r="A882">
        <v>4</v>
      </c>
      <c r="B882" t="s">
        <v>8277</v>
      </c>
      <c r="C882" t="s">
        <v>26</v>
      </c>
      <c r="D882" t="s">
        <v>8182</v>
      </c>
      <c r="G882" t="s">
        <v>8278</v>
      </c>
      <c r="H882" t="s">
        <v>8279</v>
      </c>
      <c r="I882" t="s">
        <v>8280</v>
      </c>
      <c r="J882" t="s">
        <v>8278</v>
      </c>
      <c r="K882" t="s">
        <v>8281</v>
      </c>
      <c r="L882">
        <v>7</v>
      </c>
      <c r="N882" t="s">
        <v>4713</v>
      </c>
      <c r="O882" t="s">
        <v>8278</v>
      </c>
      <c r="P882" t="s">
        <v>8182</v>
      </c>
      <c r="Q882">
        <v>1</v>
      </c>
    </row>
    <row r="883" spans="1:17" x14ac:dyDescent="0.25">
      <c r="A883">
        <v>4</v>
      </c>
      <c r="B883" t="s">
        <v>8282</v>
      </c>
      <c r="C883" t="s">
        <v>26</v>
      </c>
      <c r="D883" t="s">
        <v>8182</v>
      </c>
      <c r="G883" t="s">
        <v>8283</v>
      </c>
      <c r="H883" t="s">
        <v>8284</v>
      </c>
      <c r="I883" t="s">
        <v>8285</v>
      </c>
      <c r="J883" t="s">
        <v>8283</v>
      </c>
      <c r="K883" t="s">
        <v>8286</v>
      </c>
      <c r="L883">
        <v>4</v>
      </c>
      <c r="N883" t="s">
        <v>4713</v>
      </c>
      <c r="O883" t="s">
        <v>8283</v>
      </c>
      <c r="P883" t="s">
        <v>8182</v>
      </c>
      <c r="Q883">
        <v>1</v>
      </c>
    </row>
    <row r="884" spans="1:17" x14ac:dyDescent="0.25">
      <c r="A884">
        <v>3</v>
      </c>
      <c r="B884" t="s">
        <v>8287</v>
      </c>
      <c r="C884" t="s">
        <v>26</v>
      </c>
      <c r="D884" t="s">
        <v>8182</v>
      </c>
      <c r="F884" t="s">
        <v>8288</v>
      </c>
      <c r="H884" t="s">
        <v>8289</v>
      </c>
      <c r="I884" t="s">
        <v>8290</v>
      </c>
      <c r="J884" t="s">
        <v>8288</v>
      </c>
      <c r="O884" t="s">
        <v>8288</v>
      </c>
      <c r="P884" t="s">
        <v>8182</v>
      </c>
      <c r="Q884">
        <v>1</v>
      </c>
    </row>
    <row r="885" spans="1:17" x14ac:dyDescent="0.25">
      <c r="A885">
        <v>4</v>
      </c>
      <c r="B885" t="s">
        <v>8291</v>
      </c>
      <c r="C885" t="s">
        <v>26</v>
      </c>
      <c r="D885" t="s">
        <v>8182</v>
      </c>
      <c r="G885">
        <v>217971</v>
      </c>
      <c r="H885" t="s">
        <v>8292</v>
      </c>
      <c r="I885" t="s">
        <v>8293</v>
      </c>
      <c r="J885">
        <v>217971</v>
      </c>
      <c r="K885" t="s">
        <v>8294</v>
      </c>
      <c r="L885">
        <v>14</v>
      </c>
      <c r="O885">
        <v>217971</v>
      </c>
      <c r="P885" t="s">
        <v>8182</v>
      </c>
      <c r="Q885">
        <v>1</v>
      </c>
    </row>
    <row r="886" spans="1:17" x14ac:dyDescent="0.25">
      <c r="A886">
        <v>4</v>
      </c>
      <c r="B886" t="s">
        <v>8295</v>
      </c>
      <c r="C886" t="s">
        <v>26</v>
      </c>
      <c r="D886" t="s">
        <v>8182</v>
      </c>
      <c r="G886">
        <v>246448</v>
      </c>
      <c r="H886" t="s">
        <v>8296</v>
      </c>
      <c r="I886" t="s">
        <v>8297</v>
      </c>
      <c r="J886">
        <v>246448</v>
      </c>
      <c r="K886" t="s">
        <v>8298</v>
      </c>
      <c r="L886">
        <v>8</v>
      </c>
      <c r="N886" t="s">
        <v>4713</v>
      </c>
      <c r="O886">
        <v>246448</v>
      </c>
      <c r="P886" t="s">
        <v>8182</v>
      </c>
      <c r="Q886">
        <v>1</v>
      </c>
    </row>
    <row r="887" spans="1:17" x14ac:dyDescent="0.25">
      <c r="A887">
        <v>4</v>
      </c>
      <c r="B887" t="s">
        <v>8299</v>
      </c>
      <c r="C887" t="s">
        <v>26</v>
      </c>
      <c r="D887" t="s">
        <v>8182</v>
      </c>
      <c r="G887">
        <v>246460</v>
      </c>
      <c r="H887" t="s">
        <v>8300</v>
      </c>
      <c r="I887" t="s">
        <v>8301</v>
      </c>
      <c r="J887">
        <v>246460</v>
      </c>
      <c r="K887" t="s">
        <v>8302</v>
      </c>
      <c r="L887">
        <v>62</v>
      </c>
      <c r="O887">
        <v>246460</v>
      </c>
      <c r="P887" t="s">
        <v>8182</v>
      </c>
      <c r="Q887">
        <v>1</v>
      </c>
    </row>
    <row r="888" spans="1:17" x14ac:dyDescent="0.25">
      <c r="A888">
        <v>4</v>
      </c>
      <c r="B888" t="s">
        <v>8303</v>
      </c>
      <c r="C888" t="s">
        <v>26</v>
      </c>
      <c r="D888" t="s">
        <v>8182</v>
      </c>
      <c r="G888">
        <v>246462</v>
      </c>
      <c r="H888" t="s">
        <v>8304</v>
      </c>
      <c r="I888" t="s">
        <v>8304</v>
      </c>
      <c r="J888">
        <v>246462</v>
      </c>
      <c r="K888" t="s">
        <v>8305</v>
      </c>
      <c r="L888">
        <v>289</v>
      </c>
      <c r="O888">
        <v>246462</v>
      </c>
      <c r="P888" t="s">
        <v>8182</v>
      </c>
      <c r="Q888">
        <v>1</v>
      </c>
    </row>
    <row r="889" spans="1:17" x14ac:dyDescent="0.25">
      <c r="A889">
        <v>4</v>
      </c>
      <c r="B889" t="s">
        <v>8306</v>
      </c>
      <c r="C889" t="s">
        <v>26</v>
      </c>
      <c r="D889" t="s">
        <v>8182</v>
      </c>
      <c r="G889">
        <v>246464</v>
      </c>
      <c r="H889" t="s">
        <v>8307</v>
      </c>
      <c r="I889" t="s">
        <v>8308</v>
      </c>
      <c r="J889">
        <v>246464</v>
      </c>
      <c r="K889" t="s">
        <v>8309</v>
      </c>
      <c r="L889">
        <v>87</v>
      </c>
      <c r="O889">
        <v>246464</v>
      </c>
      <c r="P889" t="s">
        <v>8182</v>
      </c>
      <c r="Q889">
        <v>1</v>
      </c>
    </row>
    <row r="890" spans="1:17" x14ac:dyDescent="0.25">
      <c r="A890">
        <v>4</v>
      </c>
      <c r="B890" t="s">
        <v>8310</v>
      </c>
      <c r="C890" t="s">
        <v>26</v>
      </c>
      <c r="D890" t="s">
        <v>8182</v>
      </c>
      <c r="G890">
        <v>246468</v>
      </c>
      <c r="H890" t="s">
        <v>6783</v>
      </c>
      <c r="I890" t="s">
        <v>6784</v>
      </c>
      <c r="J890">
        <v>246468</v>
      </c>
      <c r="K890" t="s">
        <v>8311</v>
      </c>
      <c r="L890">
        <v>31</v>
      </c>
      <c r="O890">
        <v>246468</v>
      </c>
      <c r="P890" t="s">
        <v>8182</v>
      </c>
      <c r="Q890">
        <v>1</v>
      </c>
    </row>
    <row r="891" spans="1:17" x14ac:dyDescent="0.25">
      <c r="A891">
        <v>4</v>
      </c>
      <c r="B891" t="s">
        <v>8312</v>
      </c>
      <c r="C891" t="s">
        <v>26</v>
      </c>
      <c r="D891" t="s">
        <v>8182</v>
      </c>
      <c r="G891">
        <v>246470</v>
      </c>
      <c r="H891" t="s">
        <v>8313</v>
      </c>
      <c r="I891" t="s">
        <v>8314</v>
      </c>
      <c r="J891">
        <v>246470</v>
      </c>
      <c r="K891" t="s">
        <v>8315</v>
      </c>
      <c r="L891">
        <v>27</v>
      </c>
      <c r="O891">
        <v>246470</v>
      </c>
      <c r="P891" t="s">
        <v>8182</v>
      </c>
      <c r="Q891">
        <v>1</v>
      </c>
    </row>
    <row r="892" spans="1:17" x14ac:dyDescent="0.25">
      <c r="A892">
        <v>4</v>
      </c>
      <c r="B892" t="s">
        <v>8316</v>
      </c>
      <c r="C892" t="s">
        <v>26</v>
      </c>
      <c r="D892" t="s">
        <v>8182</v>
      </c>
      <c r="G892">
        <v>246474</v>
      </c>
      <c r="H892" t="s">
        <v>8317</v>
      </c>
      <c r="I892" t="s">
        <v>8318</v>
      </c>
      <c r="J892">
        <v>246474</v>
      </c>
      <c r="K892" t="s">
        <v>8319</v>
      </c>
      <c r="L892">
        <v>37</v>
      </c>
      <c r="O892">
        <v>246474</v>
      </c>
      <c r="P892" t="s">
        <v>8182</v>
      </c>
      <c r="Q892">
        <v>1</v>
      </c>
    </row>
    <row r="893" spans="1:17" x14ac:dyDescent="0.25">
      <c r="A893">
        <v>4</v>
      </c>
      <c r="B893" t="s">
        <v>8320</v>
      </c>
      <c r="C893" t="s">
        <v>26</v>
      </c>
      <c r="D893" t="s">
        <v>8182</v>
      </c>
      <c r="G893">
        <v>331206</v>
      </c>
      <c r="H893" t="s">
        <v>8321</v>
      </c>
      <c r="I893" t="s">
        <v>8322</v>
      </c>
      <c r="J893">
        <v>331206</v>
      </c>
      <c r="K893" t="s">
        <v>8323</v>
      </c>
      <c r="L893">
        <v>12</v>
      </c>
      <c r="O893">
        <v>331206</v>
      </c>
      <c r="P893" t="s">
        <v>8182</v>
      </c>
      <c r="Q893">
        <v>1</v>
      </c>
    </row>
    <row r="894" spans="1:17" x14ac:dyDescent="0.25">
      <c r="A894">
        <v>4</v>
      </c>
      <c r="B894" t="s">
        <v>8324</v>
      </c>
      <c r="C894" t="s">
        <v>26</v>
      </c>
      <c r="D894" t="s">
        <v>8182</v>
      </c>
      <c r="G894" t="s">
        <v>8325</v>
      </c>
      <c r="H894" t="s">
        <v>8326</v>
      </c>
      <c r="I894" t="s">
        <v>8327</v>
      </c>
      <c r="J894" t="s">
        <v>8325</v>
      </c>
      <c r="K894" t="s">
        <v>8328</v>
      </c>
      <c r="L894">
        <v>11</v>
      </c>
      <c r="O894" t="s">
        <v>8325</v>
      </c>
      <c r="P894" t="s">
        <v>8182</v>
      </c>
      <c r="Q894">
        <v>1</v>
      </c>
    </row>
    <row r="895" spans="1:17" x14ac:dyDescent="0.25">
      <c r="A895">
        <v>2</v>
      </c>
      <c r="B895" t="s">
        <v>8329</v>
      </c>
      <c r="C895" t="s">
        <v>26</v>
      </c>
      <c r="D895" t="s">
        <v>8182</v>
      </c>
      <c r="E895" t="s">
        <v>8330</v>
      </c>
      <c r="H895" t="s">
        <v>8331</v>
      </c>
      <c r="I895" t="s">
        <v>8332</v>
      </c>
      <c r="J895" t="s">
        <v>8330</v>
      </c>
      <c r="O895" t="s">
        <v>8330</v>
      </c>
      <c r="P895" t="s">
        <v>8182</v>
      </c>
      <c r="Q895">
        <v>1</v>
      </c>
    </row>
    <row r="896" spans="1:17" x14ac:dyDescent="0.25">
      <c r="A896">
        <v>4</v>
      </c>
      <c r="B896" t="s">
        <v>8333</v>
      </c>
      <c r="C896" t="s">
        <v>26</v>
      </c>
      <c r="D896" t="s">
        <v>8182</v>
      </c>
      <c r="G896">
        <v>277172</v>
      </c>
      <c r="H896" t="s">
        <v>8334</v>
      </c>
      <c r="I896" t="s">
        <v>8335</v>
      </c>
      <c r="J896">
        <v>277172</v>
      </c>
      <c r="K896" t="s">
        <v>8336</v>
      </c>
      <c r="L896">
        <v>657</v>
      </c>
      <c r="O896">
        <v>277172</v>
      </c>
      <c r="P896" t="s">
        <v>8182</v>
      </c>
      <c r="Q896">
        <v>1</v>
      </c>
    </row>
    <row r="897" spans="1:17" x14ac:dyDescent="0.25">
      <c r="A897">
        <v>4</v>
      </c>
      <c r="B897" t="s">
        <v>8337</v>
      </c>
      <c r="C897" t="s">
        <v>26</v>
      </c>
      <c r="D897" t="s">
        <v>8182</v>
      </c>
      <c r="G897">
        <v>29370</v>
      </c>
      <c r="H897" t="s">
        <v>8338</v>
      </c>
      <c r="I897" t="s">
        <v>8339</v>
      </c>
      <c r="J897">
        <v>29370</v>
      </c>
      <c r="K897" t="s">
        <v>8340</v>
      </c>
      <c r="L897">
        <v>132</v>
      </c>
      <c r="O897">
        <v>29370</v>
      </c>
      <c r="P897" t="s">
        <v>8182</v>
      </c>
      <c r="Q897">
        <v>1</v>
      </c>
    </row>
    <row r="898" spans="1:17" x14ac:dyDescent="0.25">
      <c r="A898">
        <v>4</v>
      </c>
      <c r="B898" t="s">
        <v>8341</v>
      </c>
      <c r="C898" t="s">
        <v>26</v>
      </c>
      <c r="D898" t="s">
        <v>8182</v>
      </c>
      <c r="G898">
        <v>29387</v>
      </c>
      <c r="H898" t="s">
        <v>8342</v>
      </c>
      <c r="I898" t="s">
        <v>8343</v>
      </c>
      <c r="J898">
        <v>29387</v>
      </c>
      <c r="K898" t="s">
        <v>8344</v>
      </c>
      <c r="L898">
        <v>64</v>
      </c>
      <c r="O898">
        <v>29387</v>
      </c>
      <c r="P898" t="s">
        <v>8182</v>
      </c>
      <c r="Q898">
        <v>1</v>
      </c>
    </row>
    <row r="899" spans="1:17" x14ac:dyDescent="0.25">
      <c r="A899">
        <v>4</v>
      </c>
      <c r="B899" t="s">
        <v>8345</v>
      </c>
      <c r="C899" t="s">
        <v>26</v>
      </c>
      <c r="D899" t="s">
        <v>8182</v>
      </c>
      <c r="G899">
        <v>304376</v>
      </c>
      <c r="H899" t="s">
        <v>8346</v>
      </c>
      <c r="I899" t="s">
        <v>8347</v>
      </c>
      <c r="J899">
        <v>304376</v>
      </c>
      <c r="K899" t="s">
        <v>8348</v>
      </c>
      <c r="L899">
        <v>657</v>
      </c>
      <c r="O899">
        <v>304376</v>
      </c>
      <c r="P899" t="s">
        <v>8182</v>
      </c>
      <c r="Q899">
        <v>1</v>
      </c>
    </row>
    <row r="900" spans="1:17" x14ac:dyDescent="0.25">
      <c r="A900">
        <v>4</v>
      </c>
      <c r="B900" t="s">
        <v>8349</v>
      </c>
      <c r="C900" t="s">
        <v>26</v>
      </c>
      <c r="D900" t="s">
        <v>8182</v>
      </c>
      <c r="G900">
        <v>44870</v>
      </c>
      <c r="H900" t="s">
        <v>8350</v>
      </c>
      <c r="I900" t="s">
        <v>8351</v>
      </c>
      <c r="J900">
        <v>44870</v>
      </c>
      <c r="K900" t="s">
        <v>8352</v>
      </c>
      <c r="L900">
        <v>5</v>
      </c>
      <c r="N900" t="s">
        <v>4713</v>
      </c>
      <c r="O900">
        <v>44870</v>
      </c>
      <c r="P900" t="s">
        <v>8182</v>
      </c>
      <c r="Q900">
        <v>1</v>
      </c>
    </row>
    <row r="901" spans="1:17" x14ac:dyDescent="0.25">
      <c r="A901">
        <v>4</v>
      </c>
      <c r="B901" t="s">
        <v>8353</v>
      </c>
      <c r="C901" t="s">
        <v>26</v>
      </c>
      <c r="D901" t="s">
        <v>8182</v>
      </c>
      <c r="G901">
        <v>44872</v>
      </c>
      <c r="H901" t="s">
        <v>8354</v>
      </c>
      <c r="I901" t="s">
        <v>8355</v>
      </c>
      <c r="J901">
        <v>44872</v>
      </c>
      <c r="K901" t="s">
        <v>8356</v>
      </c>
      <c r="L901">
        <v>3</v>
      </c>
      <c r="N901" t="s">
        <v>4713</v>
      </c>
      <c r="O901">
        <v>44872</v>
      </c>
      <c r="P901" t="s">
        <v>8182</v>
      </c>
      <c r="Q901">
        <v>1</v>
      </c>
    </row>
    <row r="902" spans="1:17" x14ac:dyDescent="0.25">
      <c r="A902">
        <v>4</v>
      </c>
      <c r="B902" t="s">
        <v>8357</v>
      </c>
      <c r="C902" t="s">
        <v>26</v>
      </c>
      <c r="D902" t="s">
        <v>8182</v>
      </c>
      <c r="G902">
        <v>44874</v>
      </c>
      <c r="H902" t="s">
        <v>8358</v>
      </c>
      <c r="I902" t="s">
        <v>8359</v>
      </c>
      <c r="J902">
        <v>44874</v>
      </c>
      <c r="K902" t="s">
        <v>8360</v>
      </c>
      <c r="L902">
        <v>5</v>
      </c>
      <c r="N902" t="s">
        <v>4713</v>
      </c>
      <c r="O902">
        <v>44874</v>
      </c>
      <c r="P902" t="s">
        <v>8182</v>
      </c>
      <c r="Q902">
        <v>1</v>
      </c>
    </row>
    <row r="903" spans="1:17" x14ac:dyDescent="0.25">
      <c r="A903">
        <v>4</v>
      </c>
      <c r="B903" t="s">
        <v>8361</v>
      </c>
      <c r="C903" t="s">
        <v>26</v>
      </c>
      <c r="D903" t="s">
        <v>8182</v>
      </c>
      <c r="G903">
        <v>44876</v>
      </c>
      <c r="H903" t="s">
        <v>8362</v>
      </c>
      <c r="I903" t="s">
        <v>8363</v>
      </c>
      <c r="J903">
        <v>44876</v>
      </c>
      <c r="K903" t="s">
        <v>8364</v>
      </c>
      <c r="L903">
        <v>1</v>
      </c>
      <c r="N903" t="s">
        <v>4734</v>
      </c>
      <c r="O903">
        <v>44876</v>
      </c>
      <c r="P903" t="s">
        <v>8182</v>
      </c>
      <c r="Q903">
        <v>1</v>
      </c>
    </row>
    <row r="904" spans="1:17" x14ac:dyDescent="0.25">
      <c r="A904">
        <v>4</v>
      </c>
      <c r="B904" t="s">
        <v>8365</v>
      </c>
      <c r="C904" t="s">
        <v>26</v>
      </c>
      <c r="D904" t="s">
        <v>8182</v>
      </c>
      <c r="G904">
        <v>528290</v>
      </c>
      <c r="H904" t="s">
        <v>8366</v>
      </c>
      <c r="I904" t="s">
        <v>8367</v>
      </c>
      <c r="J904">
        <v>528290</v>
      </c>
      <c r="K904" t="s">
        <v>8368</v>
      </c>
      <c r="L904">
        <v>82</v>
      </c>
      <c r="O904">
        <v>528290</v>
      </c>
      <c r="P904" t="s">
        <v>8182</v>
      </c>
      <c r="Q904">
        <v>1</v>
      </c>
    </row>
    <row r="905" spans="1:17" x14ac:dyDescent="0.25">
      <c r="A905">
        <v>4</v>
      </c>
      <c r="B905" t="s">
        <v>8369</v>
      </c>
      <c r="C905" t="s">
        <v>26</v>
      </c>
      <c r="D905" t="s">
        <v>8182</v>
      </c>
      <c r="G905">
        <v>585919</v>
      </c>
      <c r="H905" t="s">
        <v>8370</v>
      </c>
      <c r="I905" t="s">
        <v>8371</v>
      </c>
      <c r="J905">
        <v>585919</v>
      </c>
      <c r="K905" t="s">
        <v>8372</v>
      </c>
      <c r="L905">
        <v>3</v>
      </c>
      <c r="N905" t="s">
        <v>4713</v>
      </c>
      <c r="O905">
        <v>585919</v>
      </c>
      <c r="P905" t="s">
        <v>8182</v>
      </c>
      <c r="Q905">
        <v>1</v>
      </c>
    </row>
    <row r="906" spans="1:17" x14ac:dyDescent="0.25">
      <c r="A906">
        <v>4</v>
      </c>
      <c r="B906" t="s">
        <v>8373</v>
      </c>
      <c r="C906" t="s">
        <v>26</v>
      </c>
      <c r="D906" t="s">
        <v>8182</v>
      </c>
      <c r="G906" t="s">
        <v>8374</v>
      </c>
      <c r="H906" t="s">
        <v>8375</v>
      </c>
      <c r="I906" t="s">
        <v>8376</v>
      </c>
      <c r="J906" t="s">
        <v>8374</v>
      </c>
      <c r="K906" t="s">
        <v>8377</v>
      </c>
      <c r="L906">
        <v>38</v>
      </c>
      <c r="O906" t="s">
        <v>8374</v>
      </c>
      <c r="P906" t="s">
        <v>8182</v>
      </c>
      <c r="Q906">
        <v>1</v>
      </c>
    </row>
    <row r="907" spans="1:17" x14ac:dyDescent="0.25">
      <c r="A907">
        <v>4</v>
      </c>
      <c r="B907" t="s">
        <v>8378</v>
      </c>
      <c r="C907" t="s">
        <v>26</v>
      </c>
      <c r="D907" t="s">
        <v>8182</v>
      </c>
      <c r="G907" t="s">
        <v>8379</v>
      </c>
      <c r="H907" t="s">
        <v>8380</v>
      </c>
      <c r="I907" t="s">
        <v>8381</v>
      </c>
      <c r="J907" t="s">
        <v>8379</v>
      </c>
      <c r="K907" t="s">
        <v>8382</v>
      </c>
      <c r="L907">
        <v>47</v>
      </c>
      <c r="O907" t="s">
        <v>8379</v>
      </c>
      <c r="P907" t="s">
        <v>8182</v>
      </c>
      <c r="Q907">
        <v>1</v>
      </c>
    </row>
    <row r="908" spans="1:17" x14ac:dyDescent="0.25">
      <c r="A908">
        <v>4</v>
      </c>
      <c r="B908" t="s">
        <v>8383</v>
      </c>
      <c r="C908" t="s">
        <v>26</v>
      </c>
      <c r="D908" t="s">
        <v>8182</v>
      </c>
      <c r="G908" t="s">
        <v>8384</v>
      </c>
      <c r="H908" t="s">
        <v>8385</v>
      </c>
      <c r="I908" t="s">
        <v>8386</v>
      </c>
      <c r="J908" t="s">
        <v>8384</v>
      </c>
      <c r="K908" t="s">
        <v>8387</v>
      </c>
      <c r="L908">
        <v>59</v>
      </c>
      <c r="O908" t="s">
        <v>8384</v>
      </c>
      <c r="P908" t="s">
        <v>8182</v>
      </c>
      <c r="Q908">
        <v>1</v>
      </c>
    </row>
    <row r="909" spans="1:17" x14ac:dyDescent="0.25">
      <c r="A909">
        <v>4</v>
      </c>
      <c r="B909" t="s">
        <v>8388</v>
      </c>
      <c r="C909" t="s">
        <v>26</v>
      </c>
      <c r="D909" t="s">
        <v>8182</v>
      </c>
      <c r="G909" t="s">
        <v>8389</v>
      </c>
      <c r="H909" t="s">
        <v>8390</v>
      </c>
      <c r="I909" t="s">
        <v>8391</v>
      </c>
      <c r="J909" t="s">
        <v>8389</v>
      </c>
      <c r="K909" t="s">
        <v>8392</v>
      </c>
      <c r="L909">
        <v>30</v>
      </c>
      <c r="O909" t="s">
        <v>8389</v>
      </c>
      <c r="P909" t="s">
        <v>8182</v>
      </c>
      <c r="Q909">
        <v>1</v>
      </c>
    </row>
    <row r="910" spans="1:17" x14ac:dyDescent="0.25">
      <c r="A910">
        <v>4</v>
      </c>
      <c r="B910" t="s">
        <v>8393</v>
      </c>
      <c r="C910" t="s">
        <v>26</v>
      </c>
      <c r="D910" t="s">
        <v>8182</v>
      </c>
      <c r="G910" t="s">
        <v>8394</v>
      </c>
      <c r="H910" t="s">
        <v>8395</v>
      </c>
      <c r="I910" t="s">
        <v>8396</v>
      </c>
      <c r="J910" t="s">
        <v>8394</v>
      </c>
      <c r="K910" t="s">
        <v>8397</v>
      </c>
      <c r="L910">
        <v>20</v>
      </c>
      <c r="O910" t="s">
        <v>8394</v>
      </c>
      <c r="P910" t="s">
        <v>8182</v>
      </c>
      <c r="Q910">
        <v>1</v>
      </c>
    </row>
    <row r="911" spans="1:17" x14ac:dyDescent="0.25">
      <c r="A911">
        <v>4</v>
      </c>
      <c r="B911" t="s">
        <v>8398</v>
      </c>
      <c r="C911" t="s">
        <v>26</v>
      </c>
      <c r="D911" t="s">
        <v>8182</v>
      </c>
      <c r="G911" t="s">
        <v>8399</v>
      </c>
      <c r="H911" t="s">
        <v>8400</v>
      </c>
      <c r="I911" t="s">
        <v>8401</v>
      </c>
      <c r="J911" t="s">
        <v>8399</v>
      </c>
      <c r="K911" t="s">
        <v>8402</v>
      </c>
      <c r="L911">
        <v>13</v>
      </c>
      <c r="O911" t="s">
        <v>8399</v>
      </c>
      <c r="P911" t="s">
        <v>8182</v>
      </c>
      <c r="Q911">
        <v>1</v>
      </c>
    </row>
    <row r="912" spans="1:17" x14ac:dyDescent="0.25">
      <c r="A912">
        <v>4</v>
      </c>
      <c r="B912" t="s">
        <v>8403</v>
      </c>
      <c r="C912" t="s">
        <v>26</v>
      </c>
      <c r="D912" t="s">
        <v>8182</v>
      </c>
      <c r="G912" t="s">
        <v>8404</v>
      </c>
      <c r="H912" t="s">
        <v>8405</v>
      </c>
      <c r="I912" t="s">
        <v>8406</v>
      </c>
      <c r="J912" t="s">
        <v>8404</v>
      </c>
      <c r="K912" t="s">
        <v>8407</v>
      </c>
      <c r="L912">
        <v>10</v>
      </c>
      <c r="O912" t="s">
        <v>8404</v>
      </c>
      <c r="P912" t="s">
        <v>8182</v>
      </c>
      <c r="Q912">
        <v>1</v>
      </c>
    </row>
    <row r="913" spans="1:17" x14ac:dyDescent="0.25">
      <c r="A913">
        <v>4</v>
      </c>
      <c r="B913" t="s">
        <v>8408</v>
      </c>
      <c r="C913" t="s">
        <v>26</v>
      </c>
      <c r="D913" t="s">
        <v>8182</v>
      </c>
      <c r="G913" t="s">
        <v>8409</v>
      </c>
      <c r="H913" t="s">
        <v>8410</v>
      </c>
      <c r="I913" t="s">
        <v>8411</v>
      </c>
      <c r="J913" t="s">
        <v>8409</v>
      </c>
      <c r="K913" t="s">
        <v>8412</v>
      </c>
      <c r="L913">
        <v>40</v>
      </c>
      <c r="O913" t="s">
        <v>8409</v>
      </c>
      <c r="P913" t="s">
        <v>8182</v>
      </c>
      <c r="Q913">
        <v>1</v>
      </c>
    </row>
    <row r="914" spans="1:17" x14ac:dyDescent="0.25">
      <c r="A914">
        <v>4</v>
      </c>
      <c r="B914" t="s">
        <v>8413</v>
      </c>
      <c r="C914" t="s">
        <v>26</v>
      </c>
      <c r="D914" t="s">
        <v>8182</v>
      </c>
      <c r="G914" t="s">
        <v>8414</v>
      </c>
      <c r="H914" t="s">
        <v>8415</v>
      </c>
      <c r="I914" t="s">
        <v>8416</v>
      </c>
      <c r="J914" t="s">
        <v>8414</v>
      </c>
      <c r="K914" t="s">
        <v>8417</v>
      </c>
      <c r="L914">
        <v>14</v>
      </c>
      <c r="O914" t="s">
        <v>8414</v>
      </c>
      <c r="P914" t="s">
        <v>8182</v>
      </c>
      <c r="Q914">
        <v>1</v>
      </c>
    </row>
    <row r="915" spans="1:17" x14ac:dyDescent="0.25">
      <c r="A915">
        <v>4</v>
      </c>
      <c r="B915" t="s">
        <v>8418</v>
      </c>
      <c r="C915" t="s">
        <v>26</v>
      </c>
      <c r="D915" t="s">
        <v>8182</v>
      </c>
      <c r="G915" t="s">
        <v>8419</v>
      </c>
      <c r="H915" t="s">
        <v>8420</v>
      </c>
      <c r="I915" t="s">
        <v>8421</v>
      </c>
      <c r="J915" t="s">
        <v>8419</v>
      </c>
      <c r="K915" t="s">
        <v>8422</v>
      </c>
      <c r="L915">
        <v>21</v>
      </c>
      <c r="O915" t="s">
        <v>8419</v>
      </c>
      <c r="P915" t="s">
        <v>8182</v>
      </c>
      <c r="Q915">
        <v>1</v>
      </c>
    </row>
    <row r="916" spans="1:17" x14ac:dyDescent="0.25">
      <c r="A916">
        <v>4</v>
      </c>
      <c r="B916" t="s">
        <v>8423</v>
      </c>
      <c r="C916" t="s">
        <v>26</v>
      </c>
      <c r="D916" t="s">
        <v>8182</v>
      </c>
      <c r="G916" t="s">
        <v>8424</v>
      </c>
      <c r="H916" t="s">
        <v>8425</v>
      </c>
      <c r="I916" t="s">
        <v>8426</v>
      </c>
      <c r="J916" t="s">
        <v>8424</v>
      </c>
      <c r="K916" t="s">
        <v>8427</v>
      </c>
      <c r="L916">
        <v>7</v>
      </c>
      <c r="N916" t="s">
        <v>4713</v>
      </c>
      <c r="O916" t="s">
        <v>8424</v>
      </c>
      <c r="P916" t="s">
        <v>8182</v>
      </c>
      <c r="Q916">
        <v>1</v>
      </c>
    </row>
    <row r="917" spans="1:17" x14ac:dyDescent="0.25">
      <c r="A917">
        <v>4</v>
      </c>
      <c r="B917" t="s">
        <v>8428</v>
      </c>
      <c r="C917" t="s">
        <v>26</v>
      </c>
      <c r="D917" t="s">
        <v>8182</v>
      </c>
      <c r="G917" t="s">
        <v>8429</v>
      </c>
      <c r="H917" t="s">
        <v>8430</v>
      </c>
      <c r="I917" t="s">
        <v>8431</v>
      </c>
      <c r="J917" t="s">
        <v>8429</v>
      </c>
      <c r="K917" t="s">
        <v>8432</v>
      </c>
      <c r="L917">
        <v>30</v>
      </c>
      <c r="O917" t="s">
        <v>8429</v>
      </c>
      <c r="P917" t="s">
        <v>8182</v>
      </c>
      <c r="Q917">
        <v>1</v>
      </c>
    </row>
    <row r="918" spans="1:17" x14ac:dyDescent="0.25">
      <c r="A918">
        <v>4</v>
      </c>
      <c r="B918" t="s">
        <v>8433</v>
      </c>
      <c r="C918" t="s">
        <v>26</v>
      </c>
      <c r="D918" t="s">
        <v>8182</v>
      </c>
      <c r="G918" t="s">
        <v>8434</v>
      </c>
      <c r="H918" t="s">
        <v>8435</v>
      </c>
      <c r="I918" t="s">
        <v>8436</v>
      </c>
      <c r="J918" t="s">
        <v>8434</v>
      </c>
      <c r="K918" t="s">
        <v>8437</v>
      </c>
      <c r="L918">
        <v>1</v>
      </c>
      <c r="N918" t="s">
        <v>4734</v>
      </c>
      <c r="O918" t="s">
        <v>8434</v>
      </c>
      <c r="P918" t="s">
        <v>8182</v>
      </c>
      <c r="Q918">
        <v>1</v>
      </c>
    </row>
    <row r="919" spans="1:17" x14ac:dyDescent="0.25">
      <c r="A919">
        <v>4</v>
      </c>
      <c r="B919" t="s">
        <v>8438</v>
      </c>
      <c r="C919" t="s">
        <v>26</v>
      </c>
      <c r="D919" t="s">
        <v>8182</v>
      </c>
      <c r="G919" t="s">
        <v>8439</v>
      </c>
      <c r="H919" t="s">
        <v>8440</v>
      </c>
      <c r="I919" t="s">
        <v>8441</v>
      </c>
      <c r="J919" t="s">
        <v>8439</v>
      </c>
      <c r="K919" t="s">
        <v>8442</v>
      </c>
      <c r="L919">
        <v>36</v>
      </c>
      <c r="O919" t="s">
        <v>8439</v>
      </c>
      <c r="P919" t="s">
        <v>8182</v>
      </c>
      <c r="Q919">
        <v>1</v>
      </c>
    </row>
    <row r="920" spans="1:17" x14ac:dyDescent="0.25">
      <c r="A920">
        <v>4</v>
      </c>
      <c r="B920" t="s">
        <v>8443</v>
      </c>
      <c r="C920" t="s">
        <v>26</v>
      </c>
      <c r="D920" t="s">
        <v>8182</v>
      </c>
      <c r="G920" t="s">
        <v>8444</v>
      </c>
      <c r="H920" t="s">
        <v>8445</v>
      </c>
      <c r="I920" t="s">
        <v>8446</v>
      </c>
      <c r="J920" t="s">
        <v>8444</v>
      </c>
      <c r="K920" t="s">
        <v>8447</v>
      </c>
      <c r="L920">
        <v>8</v>
      </c>
      <c r="N920" t="s">
        <v>4713</v>
      </c>
      <c r="O920" t="s">
        <v>8444</v>
      </c>
      <c r="P920" t="s">
        <v>8182</v>
      </c>
      <c r="Q920">
        <v>1</v>
      </c>
    </row>
    <row r="921" spans="1:17" x14ac:dyDescent="0.25">
      <c r="A921">
        <v>4</v>
      </c>
      <c r="B921" t="s">
        <v>8448</v>
      </c>
      <c r="C921" t="s">
        <v>26</v>
      </c>
      <c r="D921" t="s">
        <v>8182</v>
      </c>
      <c r="G921" t="s">
        <v>8449</v>
      </c>
      <c r="H921" t="s">
        <v>8450</v>
      </c>
      <c r="I921" t="s">
        <v>8451</v>
      </c>
      <c r="J921" t="s">
        <v>8449</v>
      </c>
      <c r="K921" t="s">
        <v>8452</v>
      </c>
      <c r="L921">
        <v>51</v>
      </c>
      <c r="O921" t="s">
        <v>8449</v>
      </c>
      <c r="P921" t="s">
        <v>8182</v>
      </c>
      <c r="Q921">
        <v>1</v>
      </c>
    </row>
    <row r="922" spans="1:17" x14ac:dyDescent="0.25">
      <c r="A922">
        <v>4</v>
      </c>
      <c r="B922" t="s">
        <v>8453</v>
      </c>
      <c r="C922" t="s">
        <v>26</v>
      </c>
      <c r="D922" t="s">
        <v>8182</v>
      </c>
      <c r="G922" t="s">
        <v>8454</v>
      </c>
      <c r="H922" t="s">
        <v>8455</v>
      </c>
      <c r="I922" t="s">
        <v>8456</v>
      </c>
      <c r="J922" t="s">
        <v>8454</v>
      </c>
      <c r="K922" t="s">
        <v>8457</v>
      </c>
      <c r="L922">
        <v>33</v>
      </c>
      <c r="O922" t="s">
        <v>8454</v>
      </c>
      <c r="P922" t="s">
        <v>8182</v>
      </c>
      <c r="Q922">
        <v>1</v>
      </c>
    </row>
    <row r="923" spans="1:17" x14ac:dyDescent="0.25">
      <c r="A923">
        <v>4</v>
      </c>
      <c r="B923" t="s">
        <v>8458</v>
      </c>
      <c r="C923" t="s">
        <v>26</v>
      </c>
      <c r="D923" t="s">
        <v>8182</v>
      </c>
      <c r="G923" t="s">
        <v>8459</v>
      </c>
      <c r="H923" t="s">
        <v>8460</v>
      </c>
      <c r="I923" t="s">
        <v>8461</v>
      </c>
      <c r="J923" t="s">
        <v>8459</v>
      </c>
      <c r="K923" t="s">
        <v>8462</v>
      </c>
      <c r="L923">
        <v>53</v>
      </c>
      <c r="O923" t="s">
        <v>8459</v>
      </c>
      <c r="P923" t="s">
        <v>8182</v>
      </c>
      <c r="Q923">
        <v>1</v>
      </c>
    </row>
    <row r="924" spans="1:17" x14ac:dyDescent="0.25">
      <c r="A924">
        <v>2</v>
      </c>
      <c r="B924" t="s">
        <v>8463</v>
      </c>
      <c r="C924" t="s">
        <v>26</v>
      </c>
      <c r="D924" t="s">
        <v>8182</v>
      </c>
      <c r="E924" t="s">
        <v>26</v>
      </c>
      <c r="H924" t="s">
        <v>8464</v>
      </c>
      <c r="I924" t="s">
        <v>532</v>
      </c>
      <c r="J924" t="s">
        <v>26</v>
      </c>
      <c r="O924" t="s">
        <v>26</v>
      </c>
      <c r="P924" t="s">
        <v>8182</v>
      </c>
      <c r="Q924">
        <v>2</v>
      </c>
    </row>
    <row r="925" spans="1:17" x14ac:dyDescent="0.25">
      <c r="A925">
        <v>3</v>
      </c>
      <c r="B925" t="s">
        <v>8465</v>
      </c>
      <c r="C925" t="s">
        <v>26</v>
      </c>
      <c r="D925" t="s">
        <v>8182</v>
      </c>
      <c r="F925" t="s">
        <v>57</v>
      </c>
      <c r="H925" t="s">
        <v>8466</v>
      </c>
      <c r="I925" t="s">
        <v>967</v>
      </c>
      <c r="J925" t="s">
        <v>57</v>
      </c>
      <c r="O925" t="s">
        <v>57</v>
      </c>
      <c r="P925" t="s">
        <v>8182</v>
      </c>
      <c r="Q925">
        <v>2</v>
      </c>
    </row>
    <row r="926" spans="1:17" x14ac:dyDescent="0.25">
      <c r="A926">
        <v>4</v>
      </c>
      <c r="B926" t="s">
        <v>8467</v>
      </c>
      <c r="C926" t="s">
        <v>26</v>
      </c>
      <c r="D926" t="s">
        <v>8182</v>
      </c>
      <c r="G926">
        <v>272515</v>
      </c>
      <c r="H926" t="s">
        <v>8468</v>
      </c>
      <c r="I926" t="s">
        <v>8469</v>
      </c>
      <c r="J926">
        <v>272515</v>
      </c>
      <c r="K926" t="s">
        <v>8470</v>
      </c>
      <c r="L926">
        <v>296</v>
      </c>
      <c r="O926">
        <v>272515</v>
      </c>
      <c r="P926" t="s">
        <v>8182</v>
      </c>
      <c r="Q926">
        <v>1</v>
      </c>
    </row>
    <row r="927" spans="1:17" x14ac:dyDescent="0.25">
      <c r="A927">
        <v>4</v>
      </c>
      <c r="B927" t="s">
        <v>8471</v>
      </c>
      <c r="C927" t="s">
        <v>26</v>
      </c>
      <c r="D927" t="s">
        <v>8182</v>
      </c>
      <c r="G927">
        <v>272517</v>
      </c>
      <c r="H927" t="s">
        <v>8472</v>
      </c>
      <c r="I927" t="s">
        <v>8473</v>
      </c>
      <c r="J927">
        <v>272517</v>
      </c>
      <c r="K927" t="s">
        <v>8474</v>
      </c>
      <c r="L927">
        <v>2</v>
      </c>
      <c r="N927" t="s">
        <v>4713</v>
      </c>
      <c r="O927">
        <v>272517</v>
      </c>
      <c r="P927" t="s">
        <v>8182</v>
      </c>
      <c r="Q927">
        <v>1</v>
      </c>
    </row>
    <row r="928" spans="1:17" x14ac:dyDescent="0.25">
      <c r="A928">
        <v>4</v>
      </c>
      <c r="B928" t="s">
        <v>8475</v>
      </c>
      <c r="C928" t="s">
        <v>26</v>
      </c>
      <c r="D928" t="s">
        <v>8182</v>
      </c>
      <c r="G928">
        <v>272519</v>
      </c>
      <c r="H928" t="s">
        <v>8476</v>
      </c>
      <c r="I928" t="s">
        <v>8477</v>
      </c>
      <c r="J928">
        <v>272519</v>
      </c>
      <c r="K928" t="s">
        <v>8478</v>
      </c>
      <c r="L928">
        <v>25</v>
      </c>
      <c r="O928">
        <v>272519</v>
      </c>
      <c r="P928" t="s">
        <v>8182</v>
      </c>
      <c r="Q928">
        <v>1</v>
      </c>
    </row>
    <row r="929" spans="1:17" x14ac:dyDescent="0.25">
      <c r="A929">
        <v>4</v>
      </c>
      <c r="B929" t="s">
        <v>8479</v>
      </c>
      <c r="C929" t="s">
        <v>26</v>
      </c>
      <c r="D929" t="s">
        <v>8182</v>
      </c>
      <c r="G929">
        <v>29058</v>
      </c>
      <c r="H929" t="s">
        <v>8480</v>
      </c>
      <c r="I929" t="s">
        <v>8481</v>
      </c>
      <c r="J929">
        <v>29058</v>
      </c>
      <c r="K929" t="s">
        <v>8482</v>
      </c>
      <c r="L929">
        <v>36</v>
      </c>
      <c r="O929">
        <v>29058</v>
      </c>
      <c r="P929" t="s">
        <v>8182</v>
      </c>
      <c r="Q929">
        <v>1</v>
      </c>
    </row>
    <row r="930" spans="1:17" x14ac:dyDescent="0.25">
      <c r="A930">
        <v>4</v>
      </c>
      <c r="B930" t="s">
        <v>8483</v>
      </c>
      <c r="C930" t="s">
        <v>26</v>
      </c>
      <c r="D930" t="s">
        <v>8182</v>
      </c>
      <c r="G930">
        <v>29061</v>
      </c>
      <c r="H930" t="s">
        <v>8484</v>
      </c>
      <c r="I930" t="s">
        <v>8485</v>
      </c>
      <c r="J930">
        <v>29061</v>
      </c>
      <c r="K930" t="s">
        <v>8486</v>
      </c>
      <c r="L930">
        <v>209</v>
      </c>
      <c r="O930">
        <v>29061</v>
      </c>
      <c r="P930" t="s">
        <v>8182</v>
      </c>
      <c r="Q930">
        <v>1</v>
      </c>
    </row>
    <row r="931" spans="1:17" x14ac:dyDescent="0.25">
      <c r="A931">
        <v>4</v>
      </c>
      <c r="B931" t="s">
        <v>8487</v>
      </c>
      <c r="C931" t="s">
        <v>26</v>
      </c>
      <c r="D931" t="s">
        <v>8182</v>
      </c>
      <c r="G931">
        <v>29065</v>
      </c>
      <c r="H931" t="s">
        <v>8488</v>
      </c>
      <c r="I931" t="s">
        <v>8489</v>
      </c>
      <c r="J931">
        <v>29065</v>
      </c>
      <c r="K931" t="s">
        <v>8490</v>
      </c>
      <c r="L931">
        <v>2</v>
      </c>
      <c r="N931" t="s">
        <v>4713</v>
      </c>
      <c r="O931">
        <v>29065</v>
      </c>
      <c r="P931" t="s">
        <v>8182</v>
      </c>
      <c r="Q931">
        <v>1</v>
      </c>
    </row>
    <row r="932" spans="1:17" x14ac:dyDescent="0.25">
      <c r="A932">
        <v>4</v>
      </c>
      <c r="B932" t="s">
        <v>8491</v>
      </c>
      <c r="C932" t="s">
        <v>26</v>
      </c>
      <c r="D932" t="s">
        <v>8182</v>
      </c>
      <c r="G932">
        <v>29067</v>
      </c>
      <c r="H932" t="s">
        <v>8492</v>
      </c>
      <c r="I932" t="s">
        <v>8493</v>
      </c>
      <c r="J932">
        <v>29067</v>
      </c>
      <c r="K932" t="s">
        <v>8494</v>
      </c>
      <c r="L932">
        <v>53</v>
      </c>
      <c r="O932">
        <v>29067</v>
      </c>
      <c r="P932" t="s">
        <v>8182</v>
      </c>
      <c r="Q932">
        <v>1</v>
      </c>
    </row>
    <row r="933" spans="1:17" x14ac:dyDescent="0.25">
      <c r="A933">
        <v>4</v>
      </c>
      <c r="B933" t="s">
        <v>8495</v>
      </c>
      <c r="C933" t="s">
        <v>26</v>
      </c>
      <c r="D933" t="s">
        <v>8182</v>
      </c>
      <c r="G933">
        <v>29075</v>
      </c>
      <c r="H933" t="s">
        <v>8496</v>
      </c>
      <c r="I933" t="s">
        <v>8497</v>
      </c>
      <c r="J933">
        <v>29075</v>
      </c>
      <c r="K933" t="s">
        <v>8498</v>
      </c>
      <c r="L933">
        <v>25</v>
      </c>
      <c r="O933">
        <v>29075</v>
      </c>
      <c r="P933" t="s">
        <v>8182</v>
      </c>
      <c r="Q933">
        <v>1</v>
      </c>
    </row>
    <row r="934" spans="1:17" x14ac:dyDescent="0.25">
      <c r="A934">
        <v>4</v>
      </c>
      <c r="B934" t="s">
        <v>8499</v>
      </c>
      <c r="C934" t="s">
        <v>26</v>
      </c>
      <c r="D934" t="s">
        <v>8182</v>
      </c>
      <c r="G934">
        <v>685807</v>
      </c>
      <c r="H934" t="s">
        <v>8500</v>
      </c>
      <c r="I934" t="s">
        <v>8501</v>
      </c>
      <c r="J934">
        <v>685807</v>
      </c>
      <c r="K934" t="s">
        <v>8502</v>
      </c>
      <c r="L934">
        <v>106</v>
      </c>
      <c r="O934">
        <v>685807</v>
      </c>
      <c r="P934" t="s">
        <v>8182</v>
      </c>
      <c r="Q934">
        <v>1</v>
      </c>
    </row>
    <row r="935" spans="1:17" x14ac:dyDescent="0.25">
      <c r="A935">
        <v>4</v>
      </c>
      <c r="B935" t="s">
        <v>8503</v>
      </c>
      <c r="C935" t="s">
        <v>26</v>
      </c>
      <c r="D935" t="s">
        <v>8182</v>
      </c>
      <c r="G935" t="s">
        <v>8504</v>
      </c>
      <c r="H935" t="s">
        <v>8505</v>
      </c>
      <c r="I935" t="s">
        <v>8506</v>
      </c>
      <c r="J935" t="s">
        <v>8504</v>
      </c>
      <c r="K935" t="s">
        <v>8507</v>
      </c>
      <c r="L935">
        <v>211</v>
      </c>
      <c r="O935" t="s">
        <v>8504</v>
      </c>
      <c r="P935" t="s">
        <v>8182</v>
      </c>
      <c r="Q935">
        <v>1</v>
      </c>
    </row>
    <row r="936" spans="1:17" x14ac:dyDescent="0.25">
      <c r="A936">
        <v>3</v>
      </c>
      <c r="B936" t="s">
        <v>8508</v>
      </c>
      <c r="C936" t="s">
        <v>26</v>
      </c>
      <c r="D936" t="s">
        <v>8182</v>
      </c>
      <c r="F936" t="s">
        <v>830</v>
      </c>
      <c r="H936" t="s">
        <v>8509</v>
      </c>
      <c r="I936" t="s">
        <v>1190</v>
      </c>
      <c r="J936" t="s">
        <v>830</v>
      </c>
      <c r="O936" t="s">
        <v>830</v>
      </c>
      <c r="P936" t="s">
        <v>8182</v>
      </c>
      <c r="Q936">
        <v>1</v>
      </c>
    </row>
    <row r="937" spans="1:17" x14ac:dyDescent="0.25">
      <c r="A937">
        <v>4</v>
      </c>
      <c r="B937" t="s">
        <v>8510</v>
      </c>
      <c r="C937" t="s">
        <v>26</v>
      </c>
      <c r="D937" t="s">
        <v>8182</v>
      </c>
      <c r="G937">
        <v>272521</v>
      </c>
      <c r="H937" t="s">
        <v>8511</v>
      </c>
      <c r="I937" t="s">
        <v>8512</v>
      </c>
      <c r="J937">
        <v>272521</v>
      </c>
      <c r="K937" t="s">
        <v>8513</v>
      </c>
      <c r="L937">
        <v>15</v>
      </c>
      <c r="O937">
        <v>272521</v>
      </c>
      <c r="P937" t="s">
        <v>8182</v>
      </c>
      <c r="Q937">
        <v>1</v>
      </c>
    </row>
    <row r="938" spans="1:17" x14ac:dyDescent="0.25">
      <c r="A938">
        <v>4</v>
      </c>
      <c r="B938" t="s">
        <v>8514</v>
      </c>
      <c r="C938" t="s">
        <v>26</v>
      </c>
      <c r="D938" t="s">
        <v>8182</v>
      </c>
      <c r="G938">
        <v>29110</v>
      </c>
      <c r="H938" t="s">
        <v>8515</v>
      </c>
      <c r="I938" t="s">
        <v>8516</v>
      </c>
      <c r="J938">
        <v>29110</v>
      </c>
      <c r="K938" t="s">
        <v>8517</v>
      </c>
      <c r="L938">
        <v>30</v>
      </c>
      <c r="O938">
        <v>29110</v>
      </c>
      <c r="P938" t="s">
        <v>8182</v>
      </c>
      <c r="Q938">
        <v>1</v>
      </c>
    </row>
    <row r="939" spans="1:17" x14ac:dyDescent="0.25">
      <c r="A939">
        <v>4</v>
      </c>
      <c r="B939" t="s">
        <v>8518</v>
      </c>
      <c r="C939" t="s">
        <v>26</v>
      </c>
      <c r="D939" t="s">
        <v>8182</v>
      </c>
      <c r="G939" t="s">
        <v>8519</v>
      </c>
      <c r="H939" t="s">
        <v>8520</v>
      </c>
      <c r="I939" t="s">
        <v>8521</v>
      </c>
      <c r="J939" t="s">
        <v>8519</v>
      </c>
      <c r="K939" t="s">
        <v>8522</v>
      </c>
      <c r="L939">
        <v>102</v>
      </c>
      <c r="O939" t="s">
        <v>8519</v>
      </c>
      <c r="P939" t="s">
        <v>8182</v>
      </c>
      <c r="Q939">
        <v>1</v>
      </c>
    </row>
    <row r="940" spans="1:17" x14ac:dyDescent="0.25">
      <c r="A940">
        <v>4</v>
      </c>
      <c r="B940" t="s">
        <v>8523</v>
      </c>
      <c r="C940" t="s">
        <v>26</v>
      </c>
      <c r="D940" t="s">
        <v>8182</v>
      </c>
      <c r="G940">
        <v>272523</v>
      </c>
      <c r="H940" t="s">
        <v>8524</v>
      </c>
      <c r="I940" t="s">
        <v>8525</v>
      </c>
      <c r="J940">
        <v>272523</v>
      </c>
      <c r="K940" t="s">
        <v>8526</v>
      </c>
      <c r="L940">
        <v>11</v>
      </c>
      <c r="O940">
        <v>272523</v>
      </c>
      <c r="P940" t="s">
        <v>8182</v>
      </c>
      <c r="Q940">
        <v>1</v>
      </c>
    </row>
    <row r="941" spans="1:17" x14ac:dyDescent="0.25">
      <c r="A941">
        <v>4</v>
      </c>
      <c r="B941" t="s">
        <v>8527</v>
      </c>
      <c r="C941" t="s">
        <v>26</v>
      </c>
      <c r="D941" t="s">
        <v>8182</v>
      </c>
      <c r="G941">
        <v>272554</v>
      </c>
      <c r="H941" t="s">
        <v>8528</v>
      </c>
      <c r="I941" t="s">
        <v>8529</v>
      </c>
      <c r="J941">
        <v>272554</v>
      </c>
      <c r="K941" t="s">
        <v>8530</v>
      </c>
      <c r="L941">
        <v>34</v>
      </c>
      <c r="O941">
        <v>272554</v>
      </c>
      <c r="P941" t="s">
        <v>8182</v>
      </c>
      <c r="Q941">
        <v>1</v>
      </c>
    </row>
    <row r="942" spans="1:17" x14ac:dyDescent="0.25">
      <c r="A942">
        <v>4</v>
      </c>
      <c r="B942" t="s">
        <v>8531</v>
      </c>
      <c r="C942" t="s">
        <v>26</v>
      </c>
      <c r="D942" t="s">
        <v>8182</v>
      </c>
      <c r="G942" t="s">
        <v>8532</v>
      </c>
      <c r="H942" t="s">
        <v>8533</v>
      </c>
      <c r="I942" t="s">
        <v>8534</v>
      </c>
      <c r="J942" t="s">
        <v>8532</v>
      </c>
      <c r="K942" t="s">
        <v>8535</v>
      </c>
      <c r="L942">
        <v>70</v>
      </c>
      <c r="O942" t="s">
        <v>8532</v>
      </c>
      <c r="P942" t="s">
        <v>8182</v>
      </c>
      <c r="Q942">
        <v>1</v>
      </c>
    </row>
    <row r="943" spans="1:17" x14ac:dyDescent="0.25">
      <c r="A943">
        <v>4</v>
      </c>
      <c r="B943" t="s">
        <v>8536</v>
      </c>
      <c r="C943" t="s">
        <v>26</v>
      </c>
      <c r="D943" t="s">
        <v>8182</v>
      </c>
      <c r="G943" t="s">
        <v>8537</v>
      </c>
      <c r="H943" t="s">
        <v>8538</v>
      </c>
      <c r="I943" t="s">
        <v>8539</v>
      </c>
      <c r="J943" t="s">
        <v>8537</v>
      </c>
      <c r="K943" t="s">
        <v>8540</v>
      </c>
      <c r="L943">
        <v>37</v>
      </c>
      <c r="O943" t="s">
        <v>8537</v>
      </c>
      <c r="P943" t="s">
        <v>8182</v>
      </c>
      <c r="Q943">
        <v>1</v>
      </c>
    </row>
    <row r="944" spans="1:17" x14ac:dyDescent="0.25">
      <c r="A944">
        <v>2</v>
      </c>
      <c r="B944" t="s">
        <v>8541</v>
      </c>
      <c r="C944" t="s">
        <v>26</v>
      </c>
      <c r="D944" t="s">
        <v>8182</v>
      </c>
      <c r="E944" t="s">
        <v>57</v>
      </c>
      <c r="H944" t="s">
        <v>8542</v>
      </c>
      <c r="I944" t="s">
        <v>967</v>
      </c>
      <c r="J944" t="s">
        <v>57</v>
      </c>
      <c r="O944" t="s">
        <v>57</v>
      </c>
      <c r="P944" t="s">
        <v>8182</v>
      </c>
      <c r="Q944">
        <v>2</v>
      </c>
    </row>
    <row r="945" spans="1:17" x14ac:dyDescent="0.25">
      <c r="A945">
        <v>3</v>
      </c>
      <c r="B945" t="s">
        <v>8543</v>
      </c>
      <c r="C945" t="s">
        <v>26</v>
      </c>
      <c r="D945" t="s">
        <v>8182</v>
      </c>
      <c r="F945" t="s">
        <v>825</v>
      </c>
      <c r="H945" t="s">
        <v>932</v>
      </c>
      <c r="I945" t="s">
        <v>1185</v>
      </c>
      <c r="J945" t="s">
        <v>825</v>
      </c>
      <c r="O945" t="s">
        <v>825</v>
      </c>
      <c r="P945" t="s">
        <v>8182</v>
      </c>
      <c r="Q945">
        <v>1</v>
      </c>
    </row>
    <row r="946" spans="1:17" x14ac:dyDescent="0.25">
      <c r="A946">
        <v>4</v>
      </c>
      <c r="B946" t="s">
        <v>8544</v>
      </c>
      <c r="C946" t="s">
        <v>26</v>
      </c>
      <c r="D946" t="s">
        <v>8182</v>
      </c>
      <c r="G946">
        <v>26703</v>
      </c>
      <c r="H946" t="s">
        <v>8545</v>
      </c>
      <c r="I946" t="s">
        <v>8546</v>
      </c>
      <c r="J946">
        <v>26703</v>
      </c>
      <c r="K946" t="s">
        <v>8547</v>
      </c>
      <c r="L946">
        <v>26</v>
      </c>
      <c r="O946">
        <v>26703</v>
      </c>
      <c r="P946" t="s">
        <v>8182</v>
      </c>
      <c r="Q946">
        <v>1</v>
      </c>
    </row>
    <row r="947" spans="1:17" x14ac:dyDescent="0.25">
      <c r="A947">
        <v>4</v>
      </c>
      <c r="B947" t="s">
        <v>8548</v>
      </c>
      <c r="C947" t="s">
        <v>26</v>
      </c>
      <c r="D947" t="s">
        <v>8182</v>
      </c>
      <c r="G947">
        <v>26705</v>
      </c>
      <c r="H947" t="s">
        <v>8549</v>
      </c>
      <c r="I947" t="s">
        <v>8550</v>
      </c>
      <c r="J947">
        <v>26705</v>
      </c>
      <c r="K947" t="s">
        <v>8551</v>
      </c>
      <c r="L947">
        <v>9</v>
      </c>
      <c r="N947" t="s">
        <v>4713</v>
      </c>
      <c r="O947">
        <v>26705</v>
      </c>
      <c r="P947" t="s">
        <v>8182</v>
      </c>
      <c r="Q947">
        <v>1</v>
      </c>
    </row>
    <row r="948" spans="1:17" x14ac:dyDescent="0.25">
      <c r="A948">
        <v>4</v>
      </c>
      <c r="B948" t="s">
        <v>8552</v>
      </c>
      <c r="C948" t="s">
        <v>26</v>
      </c>
      <c r="D948" t="s">
        <v>8182</v>
      </c>
      <c r="G948">
        <v>26707</v>
      </c>
      <c r="H948" t="s">
        <v>8553</v>
      </c>
      <c r="I948" t="s">
        <v>8554</v>
      </c>
      <c r="J948">
        <v>26707</v>
      </c>
      <c r="K948" t="s">
        <v>8555</v>
      </c>
      <c r="L948">
        <v>21</v>
      </c>
      <c r="O948">
        <v>26707</v>
      </c>
      <c r="P948" t="s">
        <v>8182</v>
      </c>
      <c r="Q948">
        <v>1</v>
      </c>
    </row>
    <row r="949" spans="1:17" x14ac:dyDescent="0.25">
      <c r="A949">
        <v>4</v>
      </c>
      <c r="B949" t="s">
        <v>8556</v>
      </c>
      <c r="C949" t="s">
        <v>26</v>
      </c>
      <c r="D949" t="s">
        <v>8182</v>
      </c>
      <c r="G949">
        <v>26709</v>
      </c>
      <c r="H949" t="s">
        <v>8557</v>
      </c>
      <c r="I949" t="s">
        <v>8558</v>
      </c>
      <c r="J949">
        <v>26709</v>
      </c>
      <c r="K949" t="s">
        <v>8559</v>
      </c>
      <c r="L949">
        <v>3</v>
      </c>
      <c r="N949" t="s">
        <v>4713</v>
      </c>
      <c r="O949">
        <v>26709</v>
      </c>
      <c r="P949" t="s">
        <v>8182</v>
      </c>
      <c r="Q949">
        <v>1</v>
      </c>
    </row>
    <row r="950" spans="1:17" x14ac:dyDescent="0.25">
      <c r="A950">
        <v>4</v>
      </c>
      <c r="B950" t="s">
        <v>8560</v>
      </c>
      <c r="C950" t="s">
        <v>26</v>
      </c>
      <c r="D950" t="s">
        <v>8182</v>
      </c>
      <c r="G950">
        <v>522725</v>
      </c>
      <c r="H950" t="s">
        <v>8561</v>
      </c>
      <c r="I950" t="s">
        <v>8562</v>
      </c>
      <c r="J950">
        <v>522725</v>
      </c>
      <c r="K950" t="s">
        <v>8563</v>
      </c>
      <c r="L950">
        <v>1</v>
      </c>
      <c r="N950" t="s">
        <v>4734</v>
      </c>
      <c r="O950">
        <v>522725</v>
      </c>
      <c r="P950" t="s">
        <v>8182</v>
      </c>
      <c r="Q950">
        <v>1</v>
      </c>
    </row>
    <row r="951" spans="1:17" x14ac:dyDescent="0.25">
      <c r="A951">
        <v>4</v>
      </c>
      <c r="B951" t="s">
        <v>8564</v>
      </c>
      <c r="C951" t="s">
        <v>26</v>
      </c>
      <c r="D951" t="s">
        <v>8182</v>
      </c>
      <c r="G951">
        <v>522726</v>
      </c>
      <c r="H951" t="s">
        <v>8565</v>
      </c>
      <c r="I951" t="s">
        <v>8016</v>
      </c>
      <c r="J951">
        <v>522726</v>
      </c>
      <c r="K951" t="s">
        <v>8566</v>
      </c>
      <c r="L951">
        <v>15</v>
      </c>
      <c r="O951">
        <v>522726</v>
      </c>
      <c r="P951" t="s">
        <v>8182</v>
      </c>
      <c r="Q951">
        <v>1</v>
      </c>
    </row>
    <row r="952" spans="1:17" x14ac:dyDescent="0.25">
      <c r="A952">
        <v>4</v>
      </c>
      <c r="B952" t="s">
        <v>8567</v>
      </c>
      <c r="C952" t="s">
        <v>26</v>
      </c>
      <c r="D952" t="s">
        <v>8182</v>
      </c>
      <c r="G952" t="s">
        <v>8568</v>
      </c>
      <c r="H952" t="s">
        <v>8569</v>
      </c>
      <c r="I952" t="s">
        <v>8570</v>
      </c>
      <c r="J952" t="s">
        <v>8568</v>
      </c>
      <c r="K952" t="s">
        <v>8571</v>
      </c>
      <c r="L952">
        <v>30</v>
      </c>
      <c r="O952" t="s">
        <v>8568</v>
      </c>
      <c r="P952" t="s">
        <v>8182</v>
      </c>
      <c r="Q952">
        <v>1</v>
      </c>
    </row>
    <row r="953" spans="1:17" x14ac:dyDescent="0.25">
      <c r="A953">
        <v>4</v>
      </c>
      <c r="B953" t="s">
        <v>8572</v>
      </c>
      <c r="C953" t="s">
        <v>26</v>
      </c>
      <c r="D953" t="s">
        <v>8182</v>
      </c>
      <c r="G953" t="s">
        <v>8573</v>
      </c>
      <c r="H953" t="s">
        <v>8574</v>
      </c>
      <c r="I953" t="s">
        <v>8575</v>
      </c>
      <c r="J953" t="s">
        <v>8573</v>
      </c>
      <c r="K953" t="s">
        <v>8576</v>
      </c>
      <c r="L953">
        <v>22</v>
      </c>
      <c r="O953" t="s">
        <v>8573</v>
      </c>
      <c r="P953" t="s">
        <v>8182</v>
      </c>
      <c r="Q953">
        <v>1</v>
      </c>
    </row>
    <row r="954" spans="1:17" x14ac:dyDescent="0.25">
      <c r="A954">
        <v>4</v>
      </c>
      <c r="B954" t="s">
        <v>8577</v>
      </c>
      <c r="C954" t="s">
        <v>26</v>
      </c>
      <c r="D954" t="s">
        <v>8182</v>
      </c>
      <c r="G954" t="s">
        <v>8578</v>
      </c>
      <c r="H954" t="s">
        <v>8579</v>
      </c>
      <c r="I954" t="s">
        <v>8580</v>
      </c>
      <c r="J954" t="s">
        <v>8578</v>
      </c>
      <c r="K954" t="s">
        <v>8581</v>
      </c>
      <c r="L954">
        <v>2</v>
      </c>
      <c r="N954" t="s">
        <v>4713</v>
      </c>
      <c r="O954" t="s">
        <v>8578</v>
      </c>
      <c r="P954" t="s">
        <v>8182</v>
      </c>
      <c r="Q954">
        <v>1</v>
      </c>
    </row>
    <row r="955" spans="1:17" x14ac:dyDescent="0.25">
      <c r="A955">
        <v>3</v>
      </c>
      <c r="B955" t="s">
        <v>8582</v>
      </c>
      <c r="C955" t="s">
        <v>26</v>
      </c>
      <c r="D955" t="s">
        <v>8182</v>
      </c>
      <c r="F955" t="s">
        <v>826</v>
      </c>
      <c r="H955" t="s">
        <v>8583</v>
      </c>
      <c r="I955" t="s">
        <v>1186</v>
      </c>
      <c r="J955" t="s">
        <v>826</v>
      </c>
      <c r="O955" t="s">
        <v>826</v>
      </c>
      <c r="P955" t="s">
        <v>8182</v>
      </c>
      <c r="Q955">
        <v>1</v>
      </c>
    </row>
    <row r="956" spans="1:17" x14ac:dyDescent="0.25">
      <c r="A956">
        <v>4</v>
      </c>
      <c r="B956" t="s">
        <v>8584</v>
      </c>
      <c r="C956" t="s">
        <v>26</v>
      </c>
      <c r="D956" t="s">
        <v>8182</v>
      </c>
      <c r="G956">
        <v>232561</v>
      </c>
      <c r="H956" t="s">
        <v>8585</v>
      </c>
      <c r="I956" t="s">
        <v>8586</v>
      </c>
      <c r="J956">
        <v>232561</v>
      </c>
      <c r="K956" t="s">
        <v>8587</v>
      </c>
      <c r="L956">
        <v>9</v>
      </c>
      <c r="N956" t="s">
        <v>4713</v>
      </c>
      <c r="O956">
        <v>232561</v>
      </c>
      <c r="P956" t="s">
        <v>8182</v>
      </c>
      <c r="Q956">
        <v>1</v>
      </c>
    </row>
    <row r="957" spans="1:17" x14ac:dyDescent="0.25">
      <c r="A957">
        <v>4</v>
      </c>
      <c r="B957" t="s">
        <v>8588</v>
      </c>
      <c r="C957" t="s">
        <v>26</v>
      </c>
      <c r="D957" t="s">
        <v>8182</v>
      </c>
      <c r="G957">
        <v>27522</v>
      </c>
      <c r="H957" t="s">
        <v>8589</v>
      </c>
      <c r="I957" t="s">
        <v>1186</v>
      </c>
      <c r="J957">
        <v>27522</v>
      </c>
      <c r="K957" t="s">
        <v>8590</v>
      </c>
      <c r="L957">
        <v>71</v>
      </c>
      <c r="O957">
        <v>27522</v>
      </c>
      <c r="P957" t="s">
        <v>8182</v>
      </c>
      <c r="Q957">
        <v>1</v>
      </c>
    </row>
    <row r="958" spans="1:17" x14ac:dyDescent="0.25">
      <c r="A958">
        <v>4</v>
      </c>
      <c r="B958" t="s">
        <v>8591</v>
      </c>
      <c r="C958" t="s">
        <v>26</v>
      </c>
      <c r="D958" t="s">
        <v>8182</v>
      </c>
      <c r="G958">
        <v>27526</v>
      </c>
      <c r="H958" t="s">
        <v>8592</v>
      </c>
      <c r="I958" t="s">
        <v>8593</v>
      </c>
      <c r="J958">
        <v>27526</v>
      </c>
      <c r="K958" t="s">
        <v>8594</v>
      </c>
      <c r="L958">
        <v>7</v>
      </c>
      <c r="N958" t="s">
        <v>4713</v>
      </c>
      <c r="O958">
        <v>27526</v>
      </c>
      <c r="P958" t="s">
        <v>8182</v>
      </c>
      <c r="Q958">
        <v>1</v>
      </c>
    </row>
    <row r="959" spans="1:17" x14ac:dyDescent="0.25">
      <c r="A959">
        <v>4</v>
      </c>
      <c r="B959" t="s">
        <v>8595</v>
      </c>
      <c r="C959" t="s">
        <v>26</v>
      </c>
      <c r="D959" t="s">
        <v>8182</v>
      </c>
      <c r="G959">
        <v>27528</v>
      </c>
      <c r="H959" t="s">
        <v>8596</v>
      </c>
      <c r="I959" t="s">
        <v>8597</v>
      </c>
      <c r="J959">
        <v>27528</v>
      </c>
      <c r="K959" t="s">
        <v>8598</v>
      </c>
      <c r="L959">
        <v>10</v>
      </c>
      <c r="O959">
        <v>27528</v>
      </c>
      <c r="P959" t="s">
        <v>8182</v>
      </c>
      <c r="Q959">
        <v>1</v>
      </c>
    </row>
    <row r="960" spans="1:17" x14ac:dyDescent="0.25">
      <c r="A960">
        <v>4</v>
      </c>
      <c r="B960" t="s">
        <v>8599</v>
      </c>
      <c r="C960" t="s">
        <v>26</v>
      </c>
      <c r="D960" t="s">
        <v>8182</v>
      </c>
      <c r="G960">
        <v>27531</v>
      </c>
      <c r="H960" t="s">
        <v>8600</v>
      </c>
      <c r="I960" t="s">
        <v>8601</v>
      </c>
      <c r="J960">
        <v>27531</v>
      </c>
      <c r="K960" t="s">
        <v>8602</v>
      </c>
      <c r="L960">
        <v>1</v>
      </c>
      <c r="N960" t="s">
        <v>4734</v>
      </c>
      <c r="O960">
        <v>27531</v>
      </c>
      <c r="P960" t="s">
        <v>8182</v>
      </c>
      <c r="Q960">
        <v>1</v>
      </c>
    </row>
    <row r="961" spans="1:17" x14ac:dyDescent="0.25">
      <c r="A961">
        <v>4</v>
      </c>
      <c r="B961" t="s">
        <v>8603</v>
      </c>
      <c r="C961" t="s">
        <v>26</v>
      </c>
      <c r="D961" t="s">
        <v>8182</v>
      </c>
      <c r="G961" t="s">
        <v>8604</v>
      </c>
      <c r="H961" t="s">
        <v>8605</v>
      </c>
      <c r="I961" t="s">
        <v>8606</v>
      </c>
      <c r="J961" t="s">
        <v>8604</v>
      </c>
      <c r="K961" t="s">
        <v>8607</v>
      </c>
      <c r="L961">
        <v>57</v>
      </c>
      <c r="O961" t="s">
        <v>8604</v>
      </c>
      <c r="P961" t="s">
        <v>8182</v>
      </c>
      <c r="Q961">
        <v>1</v>
      </c>
    </row>
    <row r="962" spans="1:17" x14ac:dyDescent="0.25">
      <c r="A962">
        <v>4</v>
      </c>
      <c r="B962" t="s">
        <v>8608</v>
      </c>
      <c r="C962" t="s">
        <v>26</v>
      </c>
      <c r="D962" t="s">
        <v>8182</v>
      </c>
      <c r="G962" t="s">
        <v>8609</v>
      </c>
      <c r="H962" t="s">
        <v>8610</v>
      </c>
      <c r="I962" t="s">
        <v>8611</v>
      </c>
      <c r="J962" t="s">
        <v>8609</v>
      </c>
      <c r="K962" t="s">
        <v>8612</v>
      </c>
      <c r="L962">
        <v>8</v>
      </c>
      <c r="N962" t="s">
        <v>4713</v>
      </c>
      <c r="O962" t="s">
        <v>8609</v>
      </c>
      <c r="P962" t="s">
        <v>8182</v>
      </c>
      <c r="Q962">
        <v>1</v>
      </c>
    </row>
    <row r="963" spans="1:17" x14ac:dyDescent="0.25">
      <c r="A963">
        <v>4</v>
      </c>
      <c r="B963" t="s">
        <v>8613</v>
      </c>
      <c r="C963" t="s">
        <v>26</v>
      </c>
      <c r="D963" t="s">
        <v>8182</v>
      </c>
      <c r="G963" t="s">
        <v>8614</v>
      </c>
      <c r="H963" t="s">
        <v>8615</v>
      </c>
      <c r="I963" t="s">
        <v>8616</v>
      </c>
      <c r="J963" t="s">
        <v>8614</v>
      </c>
      <c r="K963" t="s">
        <v>8617</v>
      </c>
      <c r="L963">
        <v>63</v>
      </c>
      <c r="O963" t="s">
        <v>8614</v>
      </c>
      <c r="P963" t="s">
        <v>8182</v>
      </c>
      <c r="Q963">
        <v>1</v>
      </c>
    </row>
    <row r="964" spans="1:17" x14ac:dyDescent="0.25">
      <c r="A964">
        <v>4</v>
      </c>
      <c r="B964" t="s">
        <v>8618</v>
      </c>
      <c r="C964" t="s">
        <v>26</v>
      </c>
      <c r="D964" t="s">
        <v>8182</v>
      </c>
      <c r="G964" t="s">
        <v>8619</v>
      </c>
      <c r="H964" t="s">
        <v>8620</v>
      </c>
      <c r="I964" t="s">
        <v>8621</v>
      </c>
      <c r="J964" t="s">
        <v>8619</v>
      </c>
      <c r="K964" t="s">
        <v>8622</v>
      </c>
      <c r="L964">
        <v>11</v>
      </c>
      <c r="O964" t="s">
        <v>8619</v>
      </c>
      <c r="P964" t="s">
        <v>8182</v>
      </c>
      <c r="Q964">
        <v>1</v>
      </c>
    </row>
    <row r="965" spans="1:17" x14ac:dyDescent="0.25">
      <c r="A965">
        <v>3</v>
      </c>
      <c r="B965" t="s">
        <v>8623</v>
      </c>
      <c r="C965" t="s">
        <v>26</v>
      </c>
      <c r="D965" t="s">
        <v>8182</v>
      </c>
      <c r="F965" t="s">
        <v>827</v>
      </c>
      <c r="H965" t="s">
        <v>8624</v>
      </c>
      <c r="I965" t="s">
        <v>1187</v>
      </c>
      <c r="J965" t="s">
        <v>827</v>
      </c>
      <c r="O965" t="s">
        <v>827</v>
      </c>
      <c r="P965" t="s">
        <v>8182</v>
      </c>
      <c r="Q965">
        <v>1</v>
      </c>
    </row>
    <row r="966" spans="1:17" x14ac:dyDescent="0.25">
      <c r="A966">
        <v>4</v>
      </c>
      <c r="B966" t="s">
        <v>8625</v>
      </c>
      <c r="C966" t="s">
        <v>26</v>
      </c>
      <c r="D966" t="s">
        <v>8182</v>
      </c>
      <c r="G966">
        <v>28175</v>
      </c>
      <c r="H966" t="s">
        <v>8626</v>
      </c>
      <c r="I966" t="s">
        <v>8626</v>
      </c>
      <c r="J966">
        <v>28175</v>
      </c>
      <c r="K966" t="s">
        <v>8627</v>
      </c>
      <c r="L966">
        <v>88</v>
      </c>
      <c r="O966">
        <v>28175</v>
      </c>
      <c r="P966" t="s">
        <v>8182</v>
      </c>
      <c r="Q966">
        <v>1</v>
      </c>
    </row>
    <row r="967" spans="1:17" x14ac:dyDescent="0.25">
      <c r="A967">
        <v>4</v>
      </c>
      <c r="B967" t="s">
        <v>8628</v>
      </c>
      <c r="C967" t="s">
        <v>26</v>
      </c>
      <c r="D967" t="s">
        <v>8182</v>
      </c>
      <c r="G967">
        <v>28177</v>
      </c>
      <c r="H967" t="s">
        <v>8629</v>
      </c>
      <c r="I967" t="s">
        <v>8630</v>
      </c>
      <c r="J967">
        <v>28177</v>
      </c>
      <c r="K967" t="s">
        <v>8631</v>
      </c>
      <c r="L967">
        <v>11</v>
      </c>
      <c r="O967">
        <v>28177</v>
      </c>
      <c r="P967" t="s">
        <v>8182</v>
      </c>
      <c r="Q967">
        <v>1</v>
      </c>
    </row>
    <row r="968" spans="1:17" x14ac:dyDescent="0.25">
      <c r="A968">
        <v>4</v>
      </c>
      <c r="B968" t="s">
        <v>8632</v>
      </c>
      <c r="C968" t="s">
        <v>26</v>
      </c>
      <c r="D968" t="s">
        <v>8182</v>
      </c>
      <c r="G968" t="s">
        <v>8633</v>
      </c>
      <c r="H968" t="s">
        <v>8626</v>
      </c>
      <c r="I968" t="s">
        <v>1187</v>
      </c>
      <c r="J968" t="s">
        <v>8633</v>
      </c>
      <c r="K968" t="s">
        <v>8634</v>
      </c>
      <c r="L968">
        <v>88</v>
      </c>
      <c r="O968" t="s">
        <v>8633</v>
      </c>
      <c r="P968" t="s">
        <v>8182</v>
      </c>
      <c r="Q968">
        <v>1</v>
      </c>
    </row>
    <row r="969" spans="1:17" x14ac:dyDescent="0.25">
      <c r="A969">
        <v>2</v>
      </c>
      <c r="B969" t="s">
        <v>8635</v>
      </c>
      <c r="C969" t="s">
        <v>26</v>
      </c>
      <c r="D969" t="s">
        <v>8182</v>
      </c>
      <c r="E969" t="s">
        <v>8636</v>
      </c>
      <c r="H969" t="s">
        <v>8637</v>
      </c>
      <c r="I969" t="s">
        <v>8638</v>
      </c>
      <c r="J969" t="s">
        <v>8636</v>
      </c>
      <c r="O969" t="s">
        <v>8636</v>
      </c>
      <c r="P969" t="s">
        <v>8182</v>
      </c>
      <c r="Q969">
        <v>1</v>
      </c>
    </row>
    <row r="970" spans="1:17" x14ac:dyDescent="0.25">
      <c r="A970">
        <v>4</v>
      </c>
      <c r="B970" t="s">
        <v>8639</v>
      </c>
      <c r="C970" t="s">
        <v>26</v>
      </c>
      <c r="D970" t="s">
        <v>8182</v>
      </c>
      <c r="G970">
        <v>205165</v>
      </c>
      <c r="H970" t="s">
        <v>8640</v>
      </c>
      <c r="I970" t="s">
        <v>8641</v>
      </c>
      <c r="J970">
        <v>205165</v>
      </c>
      <c r="K970" t="s">
        <v>8642</v>
      </c>
      <c r="L970">
        <v>52</v>
      </c>
      <c r="O970">
        <v>205165</v>
      </c>
      <c r="P970" t="s">
        <v>8182</v>
      </c>
      <c r="Q970">
        <v>1</v>
      </c>
    </row>
    <row r="971" spans="1:17" x14ac:dyDescent="0.25">
      <c r="A971">
        <v>4</v>
      </c>
      <c r="B971" t="s">
        <v>8643</v>
      </c>
      <c r="C971" t="s">
        <v>26</v>
      </c>
      <c r="D971" t="s">
        <v>8182</v>
      </c>
      <c r="G971">
        <v>205243</v>
      </c>
      <c r="H971" t="s">
        <v>8644</v>
      </c>
      <c r="I971" t="s">
        <v>8645</v>
      </c>
      <c r="J971">
        <v>205243</v>
      </c>
      <c r="K971" t="s">
        <v>8646</v>
      </c>
      <c r="L971">
        <v>1</v>
      </c>
      <c r="N971" t="s">
        <v>4734</v>
      </c>
      <c r="O971">
        <v>205243</v>
      </c>
      <c r="P971" t="s">
        <v>8182</v>
      </c>
      <c r="Q971">
        <v>1</v>
      </c>
    </row>
    <row r="972" spans="1:17" x14ac:dyDescent="0.25">
      <c r="A972">
        <v>4</v>
      </c>
      <c r="B972" t="s">
        <v>8647</v>
      </c>
      <c r="C972" t="s">
        <v>26</v>
      </c>
      <c r="D972" t="s">
        <v>8182</v>
      </c>
      <c r="G972" t="s">
        <v>8648</v>
      </c>
      <c r="H972" t="s">
        <v>8649</v>
      </c>
      <c r="I972" t="s">
        <v>8650</v>
      </c>
      <c r="J972" t="s">
        <v>8648</v>
      </c>
      <c r="K972" t="s">
        <v>8651</v>
      </c>
      <c r="L972">
        <v>58</v>
      </c>
      <c r="O972" t="s">
        <v>8648</v>
      </c>
      <c r="P972" t="s">
        <v>8182</v>
      </c>
      <c r="Q972">
        <v>1</v>
      </c>
    </row>
    <row r="973" spans="1:17" x14ac:dyDescent="0.25">
      <c r="A973">
        <v>4</v>
      </c>
      <c r="B973" t="s">
        <v>8652</v>
      </c>
      <c r="C973" t="s">
        <v>26</v>
      </c>
      <c r="D973" t="s">
        <v>8182</v>
      </c>
      <c r="G973" t="s">
        <v>8653</v>
      </c>
      <c r="H973" t="s">
        <v>8654</v>
      </c>
      <c r="I973" t="s">
        <v>8655</v>
      </c>
      <c r="J973" t="s">
        <v>8653</v>
      </c>
      <c r="K973" t="s">
        <v>8656</v>
      </c>
      <c r="L973">
        <v>111</v>
      </c>
      <c r="O973" t="s">
        <v>8653</v>
      </c>
      <c r="P973" t="s">
        <v>8182</v>
      </c>
      <c r="Q973">
        <v>1</v>
      </c>
    </row>
    <row r="974" spans="1:17" x14ac:dyDescent="0.25">
      <c r="A974">
        <v>2</v>
      </c>
      <c r="B974" t="s">
        <v>8657</v>
      </c>
      <c r="C974" t="s">
        <v>26</v>
      </c>
      <c r="D974" t="s">
        <v>8182</v>
      </c>
      <c r="E974" t="s">
        <v>8658</v>
      </c>
      <c r="H974" t="s">
        <v>8659</v>
      </c>
      <c r="I974" t="s">
        <v>8660</v>
      </c>
      <c r="J974" t="s">
        <v>8658</v>
      </c>
      <c r="O974" t="s">
        <v>8658</v>
      </c>
      <c r="P974" t="s">
        <v>8182</v>
      </c>
      <c r="Q974">
        <v>1</v>
      </c>
    </row>
    <row r="975" spans="1:17" x14ac:dyDescent="0.25">
      <c r="A975">
        <v>3</v>
      </c>
      <c r="B975" t="s">
        <v>8661</v>
      </c>
      <c r="C975" t="s">
        <v>26</v>
      </c>
      <c r="D975" t="s">
        <v>8182</v>
      </c>
      <c r="F975" t="s">
        <v>8662</v>
      </c>
      <c r="H975" t="s">
        <v>8663</v>
      </c>
      <c r="I975" t="s">
        <v>8664</v>
      </c>
      <c r="J975" t="s">
        <v>8662</v>
      </c>
      <c r="O975" t="s">
        <v>8662</v>
      </c>
      <c r="P975" t="s">
        <v>8182</v>
      </c>
      <c r="Q975">
        <v>1</v>
      </c>
    </row>
    <row r="976" spans="1:17" x14ac:dyDescent="0.25">
      <c r="A976">
        <v>4</v>
      </c>
      <c r="B976" t="s">
        <v>8665</v>
      </c>
      <c r="C976" t="s">
        <v>26</v>
      </c>
      <c r="D976" t="s">
        <v>8182</v>
      </c>
      <c r="G976">
        <v>31112</v>
      </c>
      <c r="H976" t="s">
        <v>8666</v>
      </c>
      <c r="I976" t="s">
        <v>8664</v>
      </c>
      <c r="J976">
        <v>31112</v>
      </c>
      <c r="K976" t="s">
        <v>8667</v>
      </c>
      <c r="L976">
        <v>121</v>
      </c>
      <c r="O976">
        <v>31112</v>
      </c>
      <c r="P976" t="s">
        <v>8182</v>
      </c>
      <c r="Q976">
        <v>1</v>
      </c>
    </row>
    <row r="977" spans="1:17" x14ac:dyDescent="0.25">
      <c r="A977">
        <v>4</v>
      </c>
      <c r="B977" t="s">
        <v>8668</v>
      </c>
      <c r="C977" t="s">
        <v>26</v>
      </c>
      <c r="D977" t="s">
        <v>8182</v>
      </c>
      <c r="G977">
        <v>31114</v>
      </c>
      <c r="H977" t="s">
        <v>8669</v>
      </c>
      <c r="I977" t="s">
        <v>8670</v>
      </c>
      <c r="J977">
        <v>31114</v>
      </c>
      <c r="K977" t="s">
        <v>8671</v>
      </c>
      <c r="L977">
        <v>74</v>
      </c>
      <c r="O977">
        <v>31114</v>
      </c>
      <c r="P977" t="s">
        <v>8182</v>
      </c>
      <c r="Q977">
        <v>1</v>
      </c>
    </row>
    <row r="978" spans="1:17" x14ac:dyDescent="0.25">
      <c r="A978">
        <v>3</v>
      </c>
      <c r="B978" t="s">
        <v>8672</v>
      </c>
      <c r="C978" t="s">
        <v>26</v>
      </c>
      <c r="D978" t="s">
        <v>8182</v>
      </c>
      <c r="F978" t="s">
        <v>8673</v>
      </c>
      <c r="H978" t="s">
        <v>8674</v>
      </c>
      <c r="I978" t="s">
        <v>8675</v>
      </c>
      <c r="J978" t="s">
        <v>8673</v>
      </c>
      <c r="O978" t="s">
        <v>8673</v>
      </c>
      <c r="P978" t="s">
        <v>8182</v>
      </c>
      <c r="Q978">
        <v>1</v>
      </c>
    </row>
    <row r="979" spans="1:17" x14ac:dyDescent="0.25">
      <c r="A979">
        <v>4</v>
      </c>
      <c r="B979" t="s">
        <v>8676</v>
      </c>
      <c r="C979" t="s">
        <v>26</v>
      </c>
      <c r="D979" t="s">
        <v>8182</v>
      </c>
      <c r="G979">
        <v>31118</v>
      </c>
      <c r="H979" t="s">
        <v>8677</v>
      </c>
      <c r="I979" t="s">
        <v>8678</v>
      </c>
      <c r="J979">
        <v>31118</v>
      </c>
      <c r="K979" t="s">
        <v>8679</v>
      </c>
      <c r="L979">
        <v>4</v>
      </c>
      <c r="N979" t="s">
        <v>4713</v>
      </c>
      <c r="O979">
        <v>31118</v>
      </c>
      <c r="P979" t="s">
        <v>8182</v>
      </c>
      <c r="Q979">
        <v>1</v>
      </c>
    </row>
    <row r="980" spans="1:17" x14ac:dyDescent="0.25">
      <c r="A980">
        <v>4</v>
      </c>
      <c r="B980" t="s">
        <v>8680</v>
      </c>
      <c r="C980" t="s">
        <v>26</v>
      </c>
      <c r="D980" t="s">
        <v>8182</v>
      </c>
      <c r="G980">
        <v>31126</v>
      </c>
      <c r="H980" t="s">
        <v>8681</v>
      </c>
      <c r="I980" t="s">
        <v>8682</v>
      </c>
      <c r="J980">
        <v>31126</v>
      </c>
      <c r="K980" t="s">
        <v>8683</v>
      </c>
      <c r="L980">
        <v>27</v>
      </c>
      <c r="O980">
        <v>31126</v>
      </c>
      <c r="P980" t="s">
        <v>8182</v>
      </c>
      <c r="Q980">
        <v>1</v>
      </c>
    </row>
    <row r="981" spans="1:17" x14ac:dyDescent="0.25">
      <c r="A981">
        <v>4</v>
      </c>
      <c r="B981" t="s">
        <v>8684</v>
      </c>
      <c r="C981" t="s">
        <v>26</v>
      </c>
      <c r="D981" t="s">
        <v>8182</v>
      </c>
      <c r="G981" t="s">
        <v>8685</v>
      </c>
      <c r="H981" t="s">
        <v>8686</v>
      </c>
      <c r="I981" t="s">
        <v>8687</v>
      </c>
      <c r="J981" t="s">
        <v>8685</v>
      </c>
      <c r="K981" t="s">
        <v>8688</v>
      </c>
      <c r="L981">
        <v>15</v>
      </c>
      <c r="O981" t="s">
        <v>8685</v>
      </c>
      <c r="P981" t="s">
        <v>8182</v>
      </c>
      <c r="Q981">
        <v>1</v>
      </c>
    </row>
    <row r="982" spans="1:17" x14ac:dyDescent="0.25">
      <c r="A982">
        <v>4</v>
      </c>
      <c r="B982" t="s">
        <v>8689</v>
      </c>
      <c r="C982" t="s">
        <v>26</v>
      </c>
      <c r="D982" t="s">
        <v>8182</v>
      </c>
      <c r="G982" t="s">
        <v>8690</v>
      </c>
      <c r="H982" t="s">
        <v>8691</v>
      </c>
      <c r="I982" t="s">
        <v>8692</v>
      </c>
      <c r="J982" t="s">
        <v>8690</v>
      </c>
      <c r="K982" t="s">
        <v>8693</v>
      </c>
      <c r="L982">
        <v>8</v>
      </c>
      <c r="N982" t="s">
        <v>4713</v>
      </c>
      <c r="O982" t="s">
        <v>8690</v>
      </c>
      <c r="P982" t="s">
        <v>8182</v>
      </c>
      <c r="Q982">
        <v>1</v>
      </c>
    </row>
    <row r="983" spans="1:17" x14ac:dyDescent="0.25">
      <c r="A983">
        <v>4</v>
      </c>
      <c r="B983" t="s">
        <v>8694</v>
      </c>
      <c r="C983" t="s">
        <v>26</v>
      </c>
      <c r="D983" t="s">
        <v>8182</v>
      </c>
      <c r="G983" t="s">
        <v>8695</v>
      </c>
      <c r="H983" t="s">
        <v>8696</v>
      </c>
      <c r="I983" t="s">
        <v>8697</v>
      </c>
      <c r="J983" t="s">
        <v>8695</v>
      </c>
      <c r="K983" t="s">
        <v>8698</v>
      </c>
      <c r="L983">
        <v>10</v>
      </c>
      <c r="O983" t="s">
        <v>8695</v>
      </c>
      <c r="P983" t="s">
        <v>8182</v>
      </c>
      <c r="Q983">
        <v>1</v>
      </c>
    </row>
    <row r="984" spans="1:17" x14ac:dyDescent="0.25">
      <c r="A984">
        <v>4</v>
      </c>
      <c r="B984" t="s">
        <v>8699</v>
      </c>
      <c r="C984" t="s">
        <v>26</v>
      </c>
      <c r="D984" t="s">
        <v>8182</v>
      </c>
      <c r="G984" t="s">
        <v>8700</v>
      </c>
      <c r="H984" t="s">
        <v>8701</v>
      </c>
      <c r="I984" t="s">
        <v>8702</v>
      </c>
      <c r="J984" t="s">
        <v>8700</v>
      </c>
      <c r="K984" t="s">
        <v>8703</v>
      </c>
      <c r="L984">
        <v>1</v>
      </c>
      <c r="N984" t="s">
        <v>4734</v>
      </c>
      <c r="O984" t="s">
        <v>8700</v>
      </c>
      <c r="P984" t="s">
        <v>8182</v>
      </c>
      <c r="Q984">
        <v>1</v>
      </c>
    </row>
    <row r="985" spans="1:17" x14ac:dyDescent="0.25">
      <c r="A985">
        <v>4</v>
      </c>
      <c r="B985" t="s">
        <v>8704</v>
      </c>
      <c r="C985" t="s">
        <v>26</v>
      </c>
      <c r="D985" t="s">
        <v>8182</v>
      </c>
      <c r="G985">
        <v>31128</v>
      </c>
      <c r="H985" t="s">
        <v>8705</v>
      </c>
      <c r="I985" t="s">
        <v>8706</v>
      </c>
      <c r="J985">
        <v>31128</v>
      </c>
      <c r="K985" t="s">
        <v>8707</v>
      </c>
      <c r="L985">
        <v>1</v>
      </c>
      <c r="N985" t="s">
        <v>4734</v>
      </c>
      <c r="O985">
        <v>31128</v>
      </c>
      <c r="P985" t="s">
        <v>8182</v>
      </c>
      <c r="Q985">
        <v>1</v>
      </c>
    </row>
    <row r="986" spans="1:17" x14ac:dyDescent="0.25">
      <c r="A986">
        <v>4</v>
      </c>
      <c r="B986" t="s">
        <v>8708</v>
      </c>
      <c r="C986" t="s">
        <v>26</v>
      </c>
      <c r="D986" t="s">
        <v>8182</v>
      </c>
      <c r="G986">
        <v>31130</v>
      </c>
      <c r="H986" t="s">
        <v>8709</v>
      </c>
      <c r="I986" t="s">
        <v>8710</v>
      </c>
      <c r="J986">
        <v>31130</v>
      </c>
      <c r="K986" t="s">
        <v>8711</v>
      </c>
      <c r="L986">
        <v>19</v>
      </c>
      <c r="O986">
        <v>31130</v>
      </c>
      <c r="P986" t="s">
        <v>8182</v>
      </c>
      <c r="Q986">
        <v>1</v>
      </c>
    </row>
    <row r="987" spans="1:17" x14ac:dyDescent="0.25">
      <c r="A987">
        <v>4</v>
      </c>
      <c r="B987" t="s">
        <v>8712</v>
      </c>
      <c r="C987" t="s">
        <v>26</v>
      </c>
      <c r="D987" t="s">
        <v>8182</v>
      </c>
      <c r="G987">
        <v>31132</v>
      </c>
      <c r="H987" t="s">
        <v>8713</v>
      </c>
      <c r="I987" t="s">
        <v>8714</v>
      </c>
      <c r="J987">
        <v>31132</v>
      </c>
      <c r="K987" t="s">
        <v>8715</v>
      </c>
      <c r="L987">
        <v>64</v>
      </c>
      <c r="O987">
        <v>31132</v>
      </c>
      <c r="P987" t="s">
        <v>8182</v>
      </c>
      <c r="Q987">
        <v>1</v>
      </c>
    </row>
    <row r="988" spans="1:17" x14ac:dyDescent="0.25">
      <c r="A988">
        <v>2</v>
      </c>
      <c r="B988" t="s">
        <v>8716</v>
      </c>
      <c r="C988" t="s">
        <v>26</v>
      </c>
      <c r="D988" t="s">
        <v>8182</v>
      </c>
      <c r="E988" t="s">
        <v>831</v>
      </c>
      <c r="H988" t="s">
        <v>263</v>
      </c>
      <c r="I988" t="s">
        <v>1064</v>
      </c>
      <c r="J988" t="s">
        <v>831</v>
      </c>
      <c r="O988" t="s">
        <v>831</v>
      </c>
      <c r="P988" t="s">
        <v>8182</v>
      </c>
      <c r="Q988">
        <v>1</v>
      </c>
    </row>
    <row r="989" spans="1:17" x14ac:dyDescent="0.25">
      <c r="A989">
        <v>4</v>
      </c>
      <c r="B989" t="s">
        <v>8717</v>
      </c>
      <c r="C989" t="s">
        <v>26</v>
      </c>
      <c r="D989" t="s">
        <v>8182</v>
      </c>
      <c r="G989">
        <v>26468</v>
      </c>
      <c r="H989" t="s">
        <v>8718</v>
      </c>
      <c r="I989" t="s">
        <v>8719</v>
      </c>
      <c r="J989">
        <v>26468</v>
      </c>
      <c r="K989" t="s">
        <v>8720</v>
      </c>
      <c r="L989">
        <v>116</v>
      </c>
      <c r="O989">
        <v>26468</v>
      </c>
      <c r="P989" t="s">
        <v>8182</v>
      </c>
      <c r="Q989">
        <v>1</v>
      </c>
    </row>
    <row r="990" spans="1:17" x14ac:dyDescent="0.25">
      <c r="A990">
        <v>4</v>
      </c>
      <c r="B990" t="s">
        <v>8721</v>
      </c>
      <c r="C990" t="s">
        <v>26</v>
      </c>
      <c r="D990" t="s">
        <v>8182</v>
      </c>
      <c r="G990">
        <v>26470</v>
      </c>
      <c r="H990" t="s">
        <v>8722</v>
      </c>
      <c r="I990" t="s">
        <v>1065</v>
      </c>
      <c r="J990">
        <v>26470</v>
      </c>
      <c r="K990" t="s">
        <v>8723</v>
      </c>
      <c r="L990">
        <v>74</v>
      </c>
      <c r="O990">
        <v>26470</v>
      </c>
      <c r="P990" t="s">
        <v>8182</v>
      </c>
      <c r="Q990">
        <v>1</v>
      </c>
    </row>
    <row r="991" spans="1:17" x14ac:dyDescent="0.25">
      <c r="A991">
        <v>4</v>
      </c>
      <c r="B991" t="s">
        <v>8724</v>
      </c>
      <c r="C991" t="s">
        <v>26</v>
      </c>
      <c r="D991" t="s">
        <v>8182</v>
      </c>
      <c r="G991" t="s">
        <v>8725</v>
      </c>
      <c r="H991" t="s">
        <v>8726</v>
      </c>
      <c r="I991" t="s">
        <v>8727</v>
      </c>
      <c r="J991" t="s">
        <v>8725</v>
      </c>
      <c r="K991" t="s">
        <v>8728</v>
      </c>
      <c r="L991">
        <v>336</v>
      </c>
      <c r="O991" t="s">
        <v>8725</v>
      </c>
      <c r="P991" t="s">
        <v>8182</v>
      </c>
      <c r="Q991">
        <v>1</v>
      </c>
    </row>
    <row r="992" spans="1:17" x14ac:dyDescent="0.25">
      <c r="A992">
        <v>1</v>
      </c>
      <c r="B992">
        <v>7</v>
      </c>
      <c r="C992" t="s">
        <v>31</v>
      </c>
      <c r="D992" t="s">
        <v>11</v>
      </c>
      <c r="H992" t="s">
        <v>11</v>
      </c>
      <c r="I992" t="s">
        <v>11</v>
      </c>
      <c r="J992" t="s">
        <v>31</v>
      </c>
      <c r="O992" t="s">
        <v>31</v>
      </c>
      <c r="P992" t="s">
        <v>11</v>
      </c>
      <c r="Q992">
        <v>1</v>
      </c>
    </row>
    <row r="993" spans="1:17" x14ac:dyDescent="0.25">
      <c r="A993">
        <v>2</v>
      </c>
      <c r="B993" t="s">
        <v>8729</v>
      </c>
      <c r="C993" t="s">
        <v>31</v>
      </c>
      <c r="D993" t="s">
        <v>11</v>
      </c>
      <c r="E993" t="s">
        <v>32</v>
      </c>
      <c r="H993" t="s">
        <v>33</v>
      </c>
      <c r="I993" t="s">
        <v>313</v>
      </c>
      <c r="J993" t="s">
        <v>32</v>
      </c>
      <c r="O993" t="s">
        <v>32</v>
      </c>
      <c r="P993" t="s">
        <v>11</v>
      </c>
      <c r="Q993">
        <v>1</v>
      </c>
    </row>
    <row r="994" spans="1:17" x14ac:dyDescent="0.25">
      <c r="A994">
        <v>3</v>
      </c>
      <c r="B994" t="s">
        <v>8730</v>
      </c>
      <c r="C994" t="s">
        <v>31</v>
      </c>
      <c r="D994" t="s">
        <v>11</v>
      </c>
      <c r="F994" t="s">
        <v>97</v>
      </c>
      <c r="H994" t="s">
        <v>8731</v>
      </c>
      <c r="I994" t="s">
        <v>323</v>
      </c>
      <c r="J994" t="s">
        <v>97</v>
      </c>
      <c r="O994" t="s">
        <v>97</v>
      </c>
      <c r="P994" t="s">
        <v>11</v>
      </c>
      <c r="Q994">
        <v>1</v>
      </c>
    </row>
    <row r="995" spans="1:17" x14ac:dyDescent="0.25">
      <c r="A995">
        <v>4</v>
      </c>
      <c r="B995" t="s">
        <v>8732</v>
      </c>
      <c r="C995" t="s">
        <v>31</v>
      </c>
      <c r="D995" t="s">
        <v>11</v>
      </c>
      <c r="G995">
        <v>21226</v>
      </c>
      <c r="H995" t="s">
        <v>8733</v>
      </c>
      <c r="I995" t="s">
        <v>8734</v>
      </c>
      <c r="J995">
        <v>21226</v>
      </c>
      <c r="K995" t="s">
        <v>8735</v>
      </c>
      <c r="L995">
        <v>20</v>
      </c>
      <c r="O995">
        <v>21226</v>
      </c>
      <c r="P995" t="s">
        <v>11</v>
      </c>
      <c r="Q995">
        <v>1</v>
      </c>
    </row>
    <row r="996" spans="1:17" x14ac:dyDescent="0.25">
      <c r="A996">
        <v>4</v>
      </c>
      <c r="B996" t="s">
        <v>8736</v>
      </c>
      <c r="C996" t="s">
        <v>31</v>
      </c>
      <c r="D996" t="s">
        <v>11</v>
      </c>
      <c r="G996" t="s">
        <v>8737</v>
      </c>
      <c r="H996" t="s">
        <v>8738</v>
      </c>
      <c r="I996" t="s">
        <v>8739</v>
      </c>
      <c r="J996" t="s">
        <v>8737</v>
      </c>
      <c r="K996" t="s">
        <v>8740</v>
      </c>
      <c r="L996">
        <v>79</v>
      </c>
      <c r="O996" t="s">
        <v>8737</v>
      </c>
      <c r="P996" t="s">
        <v>11</v>
      </c>
      <c r="Q996">
        <v>1</v>
      </c>
    </row>
    <row r="997" spans="1:17" x14ac:dyDescent="0.25">
      <c r="A997">
        <v>4</v>
      </c>
      <c r="B997" t="s">
        <v>8741</v>
      </c>
      <c r="C997" t="s">
        <v>31</v>
      </c>
      <c r="D997" t="s">
        <v>11</v>
      </c>
      <c r="G997" t="s">
        <v>8742</v>
      </c>
      <c r="H997" t="s">
        <v>8743</v>
      </c>
      <c r="I997" t="s">
        <v>8744</v>
      </c>
      <c r="J997" t="s">
        <v>8742</v>
      </c>
      <c r="K997" t="s">
        <v>8745</v>
      </c>
      <c r="L997">
        <v>5</v>
      </c>
      <c r="N997" t="s">
        <v>4713</v>
      </c>
      <c r="O997" t="s">
        <v>8742</v>
      </c>
      <c r="P997" t="s">
        <v>11</v>
      </c>
      <c r="Q997">
        <v>1</v>
      </c>
    </row>
    <row r="998" spans="1:17" x14ac:dyDescent="0.25">
      <c r="A998">
        <v>3</v>
      </c>
      <c r="B998" t="s">
        <v>8746</v>
      </c>
      <c r="C998" t="s">
        <v>31</v>
      </c>
      <c r="D998" t="s">
        <v>11</v>
      </c>
      <c r="F998" t="s">
        <v>95</v>
      </c>
      <c r="H998" t="s">
        <v>8747</v>
      </c>
      <c r="I998" t="s">
        <v>942</v>
      </c>
      <c r="J998" t="s">
        <v>95</v>
      </c>
      <c r="O998" t="s">
        <v>95</v>
      </c>
      <c r="P998" t="s">
        <v>11</v>
      </c>
      <c r="Q998">
        <v>1</v>
      </c>
    </row>
    <row r="999" spans="1:17" x14ac:dyDescent="0.25">
      <c r="A999">
        <v>4</v>
      </c>
      <c r="B999" t="s">
        <v>8748</v>
      </c>
      <c r="C999" t="s">
        <v>31</v>
      </c>
      <c r="D999" t="s">
        <v>11</v>
      </c>
      <c r="G999">
        <v>21238</v>
      </c>
      <c r="H999" t="s">
        <v>8749</v>
      </c>
      <c r="I999" t="s">
        <v>8750</v>
      </c>
      <c r="J999">
        <v>21238</v>
      </c>
      <c r="K999" t="s">
        <v>8751</v>
      </c>
      <c r="L999">
        <v>77</v>
      </c>
      <c r="O999">
        <v>21238</v>
      </c>
      <c r="P999" t="s">
        <v>11</v>
      </c>
      <c r="Q999">
        <v>1</v>
      </c>
    </row>
    <row r="1000" spans="1:17" x14ac:dyDescent="0.25">
      <c r="A1000">
        <v>4</v>
      </c>
      <c r="B1000" t="s">
        <v>8752</v>
      </c>
      <c r="C1000" t="s">
        <v>31</v>
      </c>
      <c r="D1000" t="s">
        <v>11</v>
      </c>
      <c r="G1000" t="s">
        <v>8753</v>
      </c>
      <c r="H1000" t="s">
        <v>8754</v>
      </c>
      <c r="I1000" t="s">
        <v>8755</v>
      </c>
      <c r="J1000" t="s">
        <v>8753</v>
      </c>
      <c r="K1000" t="s">
        <v>8756</v>
      </c>
      <c r="L1000">
        <v>149</v>
      </c>
      <c r="O1000" t="s">
        <v>8753</v>
      </c>
      <c r="P1000" t="s">
        <v>11</v>
      </c>
      <c r="Q1000">
        <v>1</v>
      </c>
    </row>
    <row r="1001" spans="1:17" x14ac:dyDescent="0.25">
      <c r="A1001">
        <v>4</v>
      </c>
      <c r="B1001" t="s">
        <v>8757</v>
      </c>
      <c r="C1001" t="s">
        <v>31</v>
      </c>
      <c r="D1001" t="s">
        <v>11</v>
      </c>
      <c r="G1001" t="s">
        <v>8758</v>
      </c>
      <c r="H1001" t="s">
        <v>8759</v>
      </c>
      <c r="I1001" t="s">
        <v>8760</v>
      </c>
      <c r="J1001" t="s">
        <v>8758</v>
      </c>
      <c r="K1001" t="s">
        <v>8761</v>
      </c>
      <c r="L1001">
        <v>65</v>
      </c>
      <c r="O1001" t="s">
        <v>8758</v>
      </c>
      <c r="P1001" t="s">
        <v>11</v>
      </c>
      <c r="Q1001">
        <v>1</v>
      </c>
    </row>
    <row r="1002" spans="1:17" x14ac:dyDescent="0.25">
      <c r="A1002">
        <v>3</v>
      </c>
      <c r="B1002" t="s">
        <v>8762</v>
      </c>
      <c r="C1002" t="s">
        <v>31</v>
      </c>
      <c r="D1002" t="s">
        <v>11</v>
      </c>
      <c r="F1002" t="s">
        <v>93</v>
      </c>
      <c r="H1002" t="s">
        <v>94</v>
      </c>
      <c r="I1002" t="s">
        <v>318</v>
      </c>
      <c r="J1002" t="s">
        <v>93</v>
      </c>
      <c r="O1002" t="s">
        <v>93</v>
      </c>
      <c r="P1002" t="s">
        <v>11</v>
      </c>
      <c r="Q1002">
        <v>1</v>
      </c>
    </row>
    <row r="1003" spans="1:17" x14ac:dyDescent="0.25">
      <c r="A1003">
        <v>4</v>
      </c>
      <c r="B1003" t="s">
        <v>8763</v>
      </c>
      <c r="C1003" t="s">
        <v>31</v>
      </c>
      <c r="D1003" t="s">
        <v>11</v>
      </c>
      <c r="G1003">
        <v>616192</v>
      </c>
      <c r="H1003" t="s">
        <v>8764</v>
      </c>
      <c r="I1003" t="s">
        <v>8765</v>
      </c>
      <c r="J1003">
        <v>616192</v>
      </c>
      <c r="K1003" t="s">
        <v>8766</v>
      </c>
      <c r="L1003">
        <v>146</v>
      </c>
      <c r="O1003">
        <v>616192</v>
      </c>
      <c r="P1003" t="s">
        <v>11</v>
      </c>
      <c r="Q1003">
        <v>1</v>
      </c>
    </row>
    <row r="1004" spans="1:17" x14ac:dyDescent="0.25">
      <c r="A1004">
        <v>4</v>
      </c>
      <c r="B1004" t="s">
        <v>8767</v>
      </c>
      <c r="C1004" t="s">
        <v>31</v>
      </c>
      <c r="D1004" t="s">
        <v>11</v>
      </c>
      <c r="G1004">
        <v>646931</v>
      </c>
      <c r="H1004" t="s">
        <v>8768</v>
      </c>
      <c r="I1004" t="s">
        <v>8769</v>
      </c>
      <c r="J1004">
        <v>646931</v>
      </c>
      <c r="K1004" t="s">
        <v>8770</v>
      </c>
      <c r="L1004">
        <v>39</v>
      </c>
      <c r="O1004">
        <v>646931</v>
      </c>
      <c r="P1004" t="s">
        <v>11</v>
      </c>
      <c r="Q1004">
        <v>1</v>
      </c>
    </row>
    <row r="1005" spans="1:17" x14ac:dyDescent="0.25">
      <c r="A1005">
        <v>4</v>
      </c>
      <c r="B1005" t="s">
        <v>8771</v>
      </c>
      <c r="C1005" t="s">
        <v>31</v>
      </c>
      <c r="D1005" t="s">
        <v>11</v>
      </c>
      <c r="G1005" t="s">
        <v>8772</v>
      </c>
      <c r="H1005" t="s">
        <v>8773</v>
      </c>
      <c r="I1005" t="s">
        <v>318</v>
      </c>
      <c r="J1005" t="s">
        <v>8772</v>
      </c>
      <c r="K1005" t="s">
        <v>8774</v>
      </c>
      <c r="L1005">
        <v>742</v>
      </c>
      <c r="O1005" t="s">
        <v>8772</v>
      </c>
      <c r="P1005" t="s">
        <v>11</v>
      </c>
      <c r="Q1005">
        <v>1</v>
      </c>
    </row>
    <row r="1006" spans="1:17" x14ac:dyDescent="0.25">
      <c r="A1006">
        <v>4</v>
      </c>
      <c r="B1006" t="s">
        <v>8775</v>
      </c>
      <c r="C1006" t="s">
        <v>31</v>
      </c>
      <c r="D1006" t="s">
        <v>11</v>
      </c>
      <c r="G1006" t="s">
        <v>8776</v>
      </c>
      <c r="H1006" t="s">
        <v>8777</v>
      </c>
      <c r="I1006" t="s">
        <v>8778</v>
      </c>
      <c r="J1006" t="s">
        <v>8776</v>
      </c>
      <c r="K1006" t="s">
        <v>8779</v>
      </c>
      <c r="L1006">
        <v>183</v>
      </c>
      <c r="O1006" t="s">
        <v>8776</v>
      </c>
      <c r="P1006" t="s">
        <v>11</v>
      </c>
      <c r="Q1006">
        <v>1</v>
      </c>
    </row>
    <row r="1007" spans="1:17" x14ac:dyDescent="0.25">
      <c r="A1007">
        <v>3</v>
      </c>
      <c r="B1007" t="s">
        <v>8780</v>
      </c>
      <c r="C1007" t="s">
        <v>31</v>
      </c>
      <c r="D1007" t="s">
        <v>11</v>
      </c>
      <c r="F1007" t="s">
        <v>91</v>
      </c>
      <c r="H1007" t="s">
        <v>92</v>
      </c>
      <c r="I1007" t="s">
        <v>92</v>
      </c>
      <c r="J1007" t="s">
        <v>91</v>
      </c>
      <c r="O1007" t="s">
        <v>91</v>
      </c>
      <c r="P1007" t="s">
        <v>11</v>
      </c>
      <c r="Q1007">
        <v>1</v>
      </c>
    </row>
    <row r="1008" spans="1:17" x14ac:dyDescent="0.25">
      <c r="A1008">
        <v>4</v>
      </c>
      <c r="B1008" t="s">
        <v>8781</v>
      </c>
      <c r="C1008" t="s">
        <v>31</v>
      </c>
      <c r="D1008" t="s">
        <v>11</v>
      </c>
      <c r="G1008">
        <v>21261</v>
      </c>
      <c r="H1008" t="s">
        <v>8782</v>
      </c>
      <c r="I1008" t="s">
        <v>8783</v>
      </c>
      <c r="J1008">
        <v>21261</v>
      </c>
      <c r="K1008" t="s">
        <v>8784</v>
      </c>
      <c r="L1008">
        <v>10</v>
      </c>
      <c r="O1008">
        <v>21261</v>
      </c>
      <c r="P1008" t="s">
        <v>11</v>
      </c>
      <c r="Q1008">
        <v>1</v>
      </c>
    </row>
    <row r="1009" spans="1:17" x14ac:dyDescent="0.25">
      <c r="A1009">
        <v>4</v>
      </c>
      <c r="B1009" t="s">
        <v>8785</v>
      </c>
      <c r="C1009" t="s">
        <v>31</v>
      </c>
      <c r="D1009" t="s">
        <v>11</v>
      </c>
      <c r="G1009" t="s">
        <v>8786</v>
      </c>
      <c r="H1009" t="s">
        <v>8787</v>
      </c>
      <c r="I1009" t="s">
        <v>8788</v>
      </c>
      <c r="J1009" t="s">
        <v>8786</v>
      </c>
      <c r="K1009" t="s">
        <v>8789</v>
      </c>
      <c r="L1009">
        <v>44</v>
      </c>
      <c r="O1009" t="s">
        <v>8786</v>
      </c>
      <c r="P1009" t="s">
        <v>11</v>
      </c>
      <c r="Q1009">
        <v>1</v>
      </c>
    </row>
    <row r="1010" spans="1:17" x14ac:dyDescent="0.25">
      <c r="A1010">
        <v>2</v>
      </c>
      <c r="B1010" t="s">
        <v>8790</v>
      </c>
      <c r="C1010" t="s">
        <v>31</v>
      </c>
      <c r="D1010" t="s">
        <v>11</v>
      </c>
      <c r="E1010" t="s">
        <v>34</v>
      </c>
      <c r="H1010" t="s">
        <v>35</v>
      </c>
      <c r="I1010" t="s">
        <v>266</v>
      </c>
      <c r="J1010" t="s">
        <v>34</v>
      </c>
      <c r="O1010" t="s">
        <v>34</v>
      </c>
      <c r="P1010" t="s">
        <v>11</v>
      </c>
      <c r="Q1010">
        <v>2</v>
      </c>
    </row>
    <row r="1011" spans="1:17" x14ac:dyDescent="0.25">
      <c r="A1011">
        <v>3</v>
      </c>
      <c r="B1011" t="s">
        <v>8791</v>
      </c>
      <c r="C1011" t="s">
        <v>31</v>
      </c>
      <c r="D1011" t="s">
        <v>11</v>
      </c>
      <c r="F1011" t="s">
        <v>60</v>
      </c>
      <c r="H1011" t="s">
        <v>8792</v>
      </c>
      <c r="I1011" t="s">
        <v>938</v>
      </c>
      <c r="J1011" t="s">
        <v>60</v>
      </c>
      <c r="O1011" t="s">
        <v>60</v>
      </c>
      <c r="P1011" t="s">
        <v>11</v>
      </c>
      <c r="Q1011">
        <v>1</v>
      </c>
    </row>
    <row r="1012" spans="1:17" x14ac:dyDescent="0.25">
      <c r="A1012">
        <v>4</v>
      </c>
      <c r="B1012" t="s">
        <v>8793</v>
      </c>
      <c r="C1012" t="s">
        <v>31</v>
      </c>
      <c r="D1012" t="s">
        <v>11</v>
      </c>
      <c r="G1012">
        <v>23280</v>
      </c>
      <c r="H1012" t="s">
        <v>8794</v>
      </c>
      <c r="I1012" t="s">
        <v>8795</v>
      </c>
      <c r="J1012">
        <v>23280</v>
      </c>
      <c r="K1012" t="s">
        <v>8796</v>
      </c>
      <c r="L1012">
        <v>48</v>
      </c>
      <c r="O1012">
        <v>23280</v>
      </c>
      <c r="P1012" t="s">
        <v>11</v>
      </c>
      <c r="Q1012">
        <v>1</v>
      </c>
    </row>
    <row r="1013" spans="1:17" x14ac:dyDescent="0.25">
      <c r="A1013">
        <v>4</v>
      </c>
      <c r="B1013" t="s">
        <v>8797</v>
      </c>
      <c r="C1013" t="s">
        <v>31</v>
      </c>
      <c r="D1013" t="s">
        <v>11</v>
      </c>
      <c r="G1013" t="s">
        <v>8798</v>
      </c>
      <c r="H1013" t="s">
        <v>835</v>
      </c>
      <c r="I1013" t="s">
        <v>8799</v>
      </c>
      <c r="J1013" t="s">
        <v>8798</v>
      </c>
      <c r="K1013" t="s">
        <v>8800</v>
      </c>
      <c r="L1013">
        <v>163</v>
      </c>
      <c r="O1013" t="s">
        <v>8798</v>
      </c>
      <c r="P1013" t="s">
        <v>11</v>
      </c>
      <c r="Q1013">
        <v>1</v>
      </c>
    </row>
    <row r="1014" spans="1:17" x14ac:dyDescent="0.25">
      <c r="A1014">
        <v>3</v>
      </c>
      <c r="B1014" t="s">
        <v>8801</v>
      </c>
      <c r="C1014" t="s">
        <v>31</v>
      </c>
      <c r="D1014" t="s">
        <v>11</v>
      </c>
      <c r="F1014" t="s">
        <v>65</v>
      </c>
      <c r="H1014" t="s">
        <v>8802</v>
      </c>
      <c r="I1014" t="s">
        <v>275</v>
      </c>
      <c r="J1014" t="s">
        <v>65</v>
      </c>
      <c r="O1014" t="s">
        <v>65</v>
      </c>
      <c r="P1014" t="s">
        <v>11</v>
      </c>
      <c r="Q1014">
        <v>1</v>
      </c>
    </row>
    <row r="1015" spans="1:17" x14ac:dyDescent="0.25">
      <c r="A1015">
        <v>4</v>
      </c>
      <c r="B1015" t="s">
        <v>8803</v>
      </c>
      <c r="C1015" t="s">
        <v>31</v>
      </c>
      <c r="D1015" t="s">
        <v>11</v>
      </c>
      <c r="G1015">
        <v>23307</v>
      </c>
      <c r="H1015" t="s">
        <v>8804</v>
      </c>
      <c r="I1015" t="s">
        <v>8805</v>
      </c>
      <c r="J1015">
        <v>23307</v>
      </c>
      <c r="K1015" t="s">
        <v>8806</v>
      </c>
      <c r="L1015">
        <v>34</v>
      </c>
      <c r="O1015">
        <v>23307</v>
      </c>
      <c r="P1015" t="s">
        <v>11</v>
      </c>
      <c r="Q1015">
        <v>1</v>
      </c>
    </row>
    <row r="1016" spans="1:17" x14ac:dyDescent="0.25">
      <c r="A1016">
        <v>4</v>
      </c>
      <c r="B1016" t="s">
        <v>8807</v>
      </c>
      <c r="C1016" t="s">
        <v>31</v>
      </c>
      <c r="D1016" t="s">
        <v>11</v>
      </c>
      <c r="G1016" t="s">
        <v>8808</v>
      </c>
      <c r="H1016" t="s">
        <v>8809</v>
      </c>
      <c r="I1016" t="s">
        <v>8810</v>
      </c>
      <c r="J1016" t="s">
        <v>8808</v>
      </c>
      <c r="K1016" t="s">
        <v>8811</v>
      </c>
      <c r="L1016">
        <v>12</v>
      </c>
      <c r="O1016" t="s">
        <v>8808</v>
      </c>
      <c r="P1016" t="s">
        <v>11</v>
      </c>
      <c r="Q1016">
        <v>1</v>
      </c>
    </row>
    <row r="1017" spans="1:17" x14ac:dyDescent="0.25">
      <c r="A1017">
        <v>4</v>
      </c>
      <c r="B1017" t="s">
        <v>8812</v>
      </c>
      <c r="C1017" t="s">
        <v>31</v>
      </c>
      <c r="D1017" t="s">
        <v>11</v>
      </c>
      <c r="G1017" t="s">
        <v>8813</v>
      </c>
      <c r="H1017" t="s">
        <v>8814</v>
      </c>
      <c r="I1017" t="s">
        <v>8815</v>
      </c>
      <c r="J1017" t="s">
        <v>8813</v>
      </c>
      <c r="K1017" t="s">
        <v>8816</v>
      </c>
      <c r="L1017">
        <v>35</v>
      </c>
      <c r="O1017" t="s">
        <v>8813</v>
      </c>
      <c r="P1017" t="s">
        <v>11</v>
      </c>
      <c r="Q1017">
        <v>1</v>
      </c>
    </row>
    <row r="1018" spans="1:17" x14ac:dyDescent="0.25">
      <c r="A1018">
        <v>4</v>
      </c>
      <c r="B1018" t="s">
        <v>8817</v>
      </c>
      <c r="C1018" t="s">
        <v>31</v>
      </c>
      <c r="D1018" t="s">
        <v>11</v>
      </c>
      <c r="G1018" t="s">
        <v>8818</v>
      </c>
      <c r="H1018" t="s">
        <v>8819</v>
      </c>
      <c r="I1018" t="s">
        <v>8820</v>
      </c>
      <c r="J1018" t="s">
        <v>8818</v>
      </c>
      <c r="K1018" t="s">
        <v>8821</v>
      </c>
      <c r="L1018">
        <v>57</v>
      </c>
      <c r="O1018" t="s">
        <v>8818</v>
      </c>
      <c r="P1018" t="s">
        <v>11</v>
      </c>
      <c r="Q1018">
        <v>1</v>
      </c>
    </row>
    <row r="1019" spans="1:17" x14ac:dyDescent="0.25">
      <c r="A1019">
        <v>4</v>
      </c>
      <c r="B1019" t="s">
        <v>8822</v>
      </c>
      <c r="C1019" t="s">
        <v>31</v>
      </c>
      <c r="D1019" t="s">
        <v>11</v>
      </c>
      <c r="G1019" t="s">
        <v>8823</v>
      </c>
      <c r="H1019" t="s">
        <v>8824</v>
      </c>
      <c r="I1019" t="s">
        <v>8825</v>
      </c>
      <c r="J1019" t="s">
        <v>8823</v>
      </c>
      <c r="K1019" t="s">
        <v>8826</v>
      </c>
      <c r="L1019">
        <v>5</v>
      </c>
      <c r="N1019" t="s">
        <v>4713</v>
      </c>
      <c r="O1019" t="s">
        <v>8823</v>
      </c>
      <c r="P1019" t="s">
        <v>11</v>
      </c>
      <c r="Q1019">
        <v>1</v>
      </c>
    </row>
    <row r="1020" spans="1:17" x14ac:dyDescent="0.25">
      <c r="A1020">
        <v>4</v>
      </c>
      <c r="B1020" t="s">
        <v>8827</v>
      </c>
      <c r="C1020" t="s">
        <v>31</v>
      </c>
      <c r="D1020" t="s">
        <v>11</v>
      </c>
      <c r="G1020" t="s">
        <v>8828</v>
      </c>
      <c r="H1020" t="s">
        <v>8829</v>
      </c>
      <c r="I1020" t="s">
        <v>8830</v>
      </c>
      <c r="J1020" t="s">
        <v>8828</v>
      </c>
      <c r="K1020" t="s">
        <v>8831</v>
      </c>
      <c r="L1020">
        <v>21</v>
      </c>
      <c r="O1020" t="s">
        <v>8828</v>
      </c>
      <c r="P1020" t="s">
        <v>11</v>
      </c>
      <c r="Q1020">
        <v>1</v>
      </c>
    </row>
    <row r="1021" spans="1:17" x14ac:dyDescent="0.25">
      <c r="A1021">
        <v>4</v>
      </c>
      <c r="B1021" t="s">
        <v>8832</v>
      </c>
      <c r="C1021" t="s">
        <v>31</v>
      </c>
      <c r="D1021" t="s">
        <v>11</v>
      </c>
      <c r="G1021" t="s">
        <v>8833</v>
      </c>
      <c r="H1021" t="s">
        <v>8834</v>
      </c>
      <c r="I1021" t="s">
        <v>8835</v>
      </c>
      <c r="J1021" t="s">
        <v>8833</v>
      </c>
      <c r="K1021" t="s">
        <v>8836</v>
      </c>
      <c r="L1021">
        <v>7</v>
      </c>
      <c r="N1021" t="s">
        <v>4713</v>
      </c>
      <c r="O1021" t="s">
        <v>8833</v>
      </c>
      <c r="P1021" t="s">
        <v>11</v>
      </c>
      <c r="Q1021">
        <v>1</v>
      </c>
    </row>
    <row r="1022" spans="1:17" x14ac:dyDescent="0.25">
      <c r="A1022">
        <v>4</v>
      </c>
      <c r="B1022" t="s">
        <v>8837</v>
      </c>
      <c r="C1022" t="s">
        <v>31</v>
      </c>
      <c r="D1022" t="s">
        <v>11</v>
      </c>
      <c r="G1022" t="s">
        <v>8838</v>
      </c>
      <c r="H1022" t="s">
        <v>8839</v>
      </c>
      <c r="I1022" t="s">
        <v>8840</v>
      </c>
      <c r="J1022" t="s">
        <v>8838</v>
      </c>
      <c r="K1022" t="s">
        <v>8841</v>
      </c>
      <c r="L1022">
        <v>12</v>
      </c>
      <c r="O1022" t="s">
        <v>8838</v>
      </c>
      <c r="P1022" t="s">
        <v>11</v>
      </c>
      <c r="Q1022">
        <v>1</v>
      </c>
    </row>
    <row r="1023" spans="1:17" x14ac:dyDescent="0.25">
      <c r="A1023">
        <v>3</v>
      </c>
      <c r="B1023" t="s">
        <v>8842</v>
      </c>
      <c r="C1023" t="s">
        <v>31</v>
      </c>
      <c r="D1023" t="s">
        <v>11</v>
      </c>
      <c r="F1023" t="s">
        <v>63</v>
      </c>
      <c r="H1023" t="s">
        <v>64</v>
      </c>
      <c r="I1023" t="s">
        <v>272</v>
      </c>
      <c r="J1023" t="s">
        <v>63</v>
      </c>
      <c r="O1023" t="s">
        <v>63</v>
      </c>
      <c r="P1023" t="s">
        <v>11</v>
      </c>
      <c r="Q1023">
        <v>1</v>
      </c>
    </row>
    <row r="1024" spans="1:17" x14ac:dyDescent="0.25">
      <c r="A1024">
        <v>4</v>
      </c>
      <c r="B1024" t="s">
        <v>8843</v>
      </c>
      <c r="C1024" t="s">
        <v>31</v>
      </c>
      <c r="D1024" t="s">
        <v>11</v>
      </c>
      <c r="G1024">
        <v>23311</v>
      </c>
      <c r="H1024" t="s">
        <v>8844</v>
      </c>
      <c r="I1024" t="s">
        <v>8845</v>
      </c>
      <c r="J1024">
        <v>23311</v>
      </c>
      <c r="K1024" t="s">
        <v>8846</v>
      </c>
      <c r="L1024">
        <v>2</v>
      </c>
      <c r="N1024" t="s">
        <v>4713</v>
      </c>
      <c r="O1024">
        <v>23311</v>
      </c>
      <c r="P1024" t="s">
        <v>11</v>
      </c>
      <c r="Q1024">
        <v>1</v>
      </c>
    </row>
    <row r="1025" spans="1:17" x14ac:dyDescent="0.25">
      <c r="A1025">
        <v>4</v>
      </c>
      <c r="B1025" t="s">
        <v>8847</v>
      </c>
      <c r="C1025" t="s">
        <v>31</v>
      </c>
      <c r="D1025" t="s">
        <v>11</v>
      </c>
      <c r="G1025" t="s">
        <v>8848</v>
      </c>
      <c r="H1025" t="s">
        <v>8849</v>
      </c>
      <c r="I1025" t="s">
        <v>8850</v>
      </c>
      <c r="J1025" t="s">
        <v>8848</v>
      </c>
      <c r="K1025" t="s">
        <v>8851</v>
      </c>
      <c r="L1025">
        <v>69</v>
      </c>
      <c r="O1025" t="s">
        <v>8848</v>
      </c>
      <c r="P1025" t="s">
        <v>11</v>
      </c>
      <c r="Q1025">
        <v>1</v>
      </c>
    </row>
    <row r="1026" spans="1:17" x14ac:dyDescent="0.25">
      <c r="A1026">
        <v>3</v>
      </c>
      <c r="B1026" t="s">
        <v>8852</v>
      </c>
      <c r="C1026" t="s">
        <v>31</v>
      </c>
      <c r="D1026" t="s">
        <v>11</v>
      </c>
      <c r="F1026" t="s">
        <v>61</v>
      </c>
      <c r="H1026" t="s">
        <v>62</v>
      </c>
      <c r="I1026" t="s">
        <v>62</v>
      </c>
      <c r="J1026" t="s">
        <v>61</v>
      </c>
      <c r="O1026" t="s">
        <v>61</v>
      </c>
      <c r="P1026" t="s">
        <v>11</v>
      </c>
      <c r="Q1026">
        <v>1</v>
      </c>
    </row>
    <row r="1027" spans="1:17" x14ac:dyDescent="0.25">
      <c r="A1027">
        <v>4</v>
      </c>
      <c r="B1027" t="s">
        <v>8853</v>
      </c>
      <c r="C1027" t="s">
        <v>31</v>
      </c>
      <c r="D1027" t="s">
        <v>11</v>
      </c>
      <c r="G1027">
        <v>23313</v>
      </c>
      <c r="H1027" t="s">
        <v>8854</v>
      </c>
      <c r="I1027" t="s">
        <v>8855</v>
      </c>
      <c r="J1027">
        <v>23313</v>
      </c>
      <c r="K1027" t="s">
        <v>8856</v>
      </c>
      <c r="L1027">
        <v>3</v>
      </c>
      <c r="N1027" t="s">
        <v>4713</v>
      </c>
      <c r="O1027">
        <v>23313</v>
      </c>
      <c r="P1027" t="s">
        <v>11</v>
      </c>
      <c r="Q1027">
        <v>1</v>
      </c>
    </row>
    <row r="1028" spans="1:17" x14ac:dyDescent="0.25">
      <c r="A1028">
        <v>4</v>
      </c>
      <c r="B1028" t="s">
        <v>8857</v>
      </c>
      <c r="C1028" t="s">
        <v>31</v>
      </c>
      <c r="D1028" t="s">
        <v>11</v>
      </c>
      <c r="G1028">
        <v>23315</v>
      </c>
      <c r="H1028" t="s">
        <v>8858</v>
      </c>
      <c r="I1028" t="s">
        <v>8859</v>
      </c>
      <c r="J1028">
        <v>23315</v>
      </c>
      <c r="K1028" t="s">
        <v>8860</v>
      </c>
      <c r="L1028">
        <v>69</v>
      </c>
      <c r="O1028">
        <v>23315</v>
      </c>
      <c r="P1028" t="s">
        <v>11</v>
      </c>
      <c r="Q1028">
        <v>1</v>
      </c>
    </row>
    <row r="1029" spans="1:17" x14ac:dyDescent="0.25">
      <c r="A1029">
        <v>4</v>
      </c>
      <c r="B1029" t="s">
        <v>8861</v>
      </c>
      <c r="C1029" t="s">
        <v>31</v>
      </c>
      <c r="D1029" t="s">
        <v>11</v>
      </c>
      <c r="G1029">
        <v>23317</v>
      </c>
      <c r="H1029" t="s">
        <v>8862</v>
      </c>
      <c r="I1029" t="s">
        <v>8862</v>
      </c>
      <c r="J1029">
        <v>23317</v>
      </c>
      <c r="K1029" t="s">
        <v>8863</v>
      </c>
      <c r="L1029">
        <v>1</v>
      </c>
      <c r="N1029" t="s">
        <v>4734</v>
      </c>
      <c r="O1029">
        <v>23317</v>
      </c>
      <c r="P1029" t="s">
        <v>11</v>
      </c>
      <c r="Q1029">
        <v>1</v>
      </c>
    </row>
    <row r="1030" spans="1:17" x14ac:dyDescent="0.25">
      <c r="A1030">
        <v>4</v>
      </c>
      <c r="B1030" t="s">
        <v>8864</v>
      </c>
      <c r="C1030" t="s">
        <v>31</v>
      </c>
      <c r="D1030" t="s">
        <v>11</v>
      </c>
      <c r="G1030">
        <v>23319</v>
      </c>
      <c r="H1030" t="s">
        <v>8865</v>
      </c>
      <c r="I1030" t="s">
        <v>8866</v>
      </c>
      <c r="J1030">
        <v>23319</v>
      </c>
      <c r="K1030" t="s">
        <v>8867</v>
      </c>
      <c r="L1030">
        <v>11</v>
      </c>
      <c r="O1030">
        <v>23319</v>
      </c>
      <c r="P1030" t="s">
        <v>11</v>
      </c>
      <c r="Q1030">
        <v>1</v>
      </c>
    </row>
    <row r="1031" spans="1:17" x14ac:dyDescent="0.25">
      <c r="A1031">
        <v>4</v>
      </c>
      <c r="B1031" t="s">
        <v>8868</v>
      </c>
      <c r="C1031" t="s">
        <v>31</v>
      </c>
      <c r="D1031" t="s">
        <v>11</v>
      </c>
      <c r="G1031" t="s">
        <v>8869</v>
      </c>
      <c r="H1031" t="s">
        <v>8870</v>
      </c>
      <c r="I1031" t="s">
        <v>8871</v>
      </c>
      <c r="J1031" t="s">
        <v>8869</v>
      </c>
      <c r="K1031" t="s">
        <v>8872</v>
      </c>
      <c r="L1031">
        <v>10</v>
      </c>
      <c r="O1031" t="s">
        <v>8869</v>
      </c>
      <c r="P1031" t="s">
        <v>11</v>
      </c>
      <c r="Q1031">
        <v>1</v>
      </c>
    </row>
    <row r="1032" spans="1:17" x14ac:dyDescent="0.25">
      <c r="A1032">
        <v>4</v>
      </c>
      <c r="B1032" t="s">
        <v>8873</v>
      </c>
      <c r="C1032" t="s">
        <v>31</v>
      </c>
      <c r="D1032" t="s">
        <v>11</v>
      </c>
      <c r="G1032" t="s">
        <v>8874</v>
      </c>
      <c r="H1032" t="s">
        <v>8875</v>
      </c>
      <c r="I1032" t="s">
        <v>8876</v>
      </c>
      <c r="J1032" t="s">
        <v>8874</v>
      </c>
      <c r="K1032" t="s">
        <v>8877</v>
      </c>
      <c r="L1032">
        <v>20</v>
      </c>
      <c r="O1032" t="s">
        <v>8874</v>
      </c>
      <c r="P1032" t="s">
        <v>11</v>
      </c>
      <c r="Q1032">
        <v>1</v>
      </c>
    </row>
    <row r="1033" spans="1:17" x14ac:dyDescent="0.25">
      <c r="A1033">
        <v>4</v>
      </c>
      <c r="B1033" t="s">
        <v>8878</v>
      </c>
      <c r="C1033" t="s">
        <v>31</v>
      </c>
      <c r="D1033" t="s">
        <v>11</v>
      </c>
      <c r="G1033" t="s">
        <v>8879</v>
      </c>
      <c r="H1033" t="s">
        <v>8880</v>
      </c>
      <c r="I1033" t="s">
        <v>8881</v>
      </c>
      <c r="J1033" t="s">
        <v>8879</v>
      </c>
      <c r="K1033" t="s">
        <v>8882</v>
      </c>
      <c r="L1033">
        <v>99</v>
      </c>
      <c r="O1033" t="s">
        <v>8879</v>
      </c>
      <c r="P1033" t="s">
        <v>11</v>
      </c>
      <c r="Q1033">
        <v>1</v>
      </c>
    </row>
    <row r="1034" spans="1:17" x14ac:dyDescent="0.25">
      <c r="A1034">
        <v>3</v>
      </c>
      <c r="B1034" t="s">
        <v>8883</v>
      </c>
      <c r="C1034" t="s">
        <v>31</v>
      </c>
      <c r="D1034" t="s">
        <v>11</v>
      </c>
      <c r="F1034" t="s">
        <v>66</v>
      </c>
      <c r="H1034" t="s">
        <v>8884</v>
      </c>
      <c r="I1034" t="s">
        <v>278</v>
      </c>
      <c r="J1034" t="s">
        <v>66</v>
      </c>
      <c r="O1034" t="s">
        <v>66</v>
      </c>
      <c r="P1034" t="s">
        <v>11</v>
      </c>
      <c r="Q1034">
        <v>1</v>
      </c>
    </row>
    <row r="1035" spans="1:17" x14ac:dyDescent="0.25">
      <c r="A1035">
        <v>4</v>
      </c>
      <c r="B1035" t="s">
        <v>8885</v>
      </c>
      <c r="C1035" t="s">
        <v>31</v>
      </c>
      <c r="D1035" t="s">
        <v>11</v>
      </c>
      <c r="G1035">
        <v>244501</v>
      </c>
      <c r="H1035" t="s">
        <v>8886</v>
      </c>
      <c r="I1035" t="s">
        <v>8887</v>
      </c>
      <c r="J1035">
        <v>244501</v>
      </c>
      <c r="K1035" t="s">
        <v>8888</v>
      </c>
      <c r="L1035">
        <v>2</v>
      </c>
      <c r="N1035" t="s">
        <v>4713</v>
      </c>
      <c r="O1035">
        <v>244501</v>
      </c>
      <c r="P1035" t="s">
        <v>11</v>
      </c>
      <c r="Q1035">
        <v>1</v>
      </c>
    </row>
    <row r="1036" spans="1:17" x14ac:dyDescent="0.25">
      <c r="A1036">
        <v>4</v>
      </c>
      <c r="B1036" t="s">
        <v>8889</v>
      </c>
      <c r="C1036" t="s">
        <v>31</v>
      </c>
      <c r="D1036" t="s">
        <v>11</v>
      </c>
      <c r="G1036" t="s">
        <v>8890</v>
      </c>
      <c r="H1036" t="s">
        <v>8891</v>
      </c>
      <c r="I1036" t="s">
        <v>8892</v>
      </c>
      <c r="J1036" t="s">
        <v>8890</v>
      </c>
      <c r="K1036" t="s">
        <v>8893</v>
      </c>
      <c r="L1036">
        <v>2</v>
      </c>
      <c r="N1036" t="s">
        <v>4713</v>
      </c>
      <c r="O1036" t="s">
        <v>8890</v>
      </c>
      <c r="P1036" t="s">
        <v>11</v>
      </c>
      <c r="Q1036">
        <v>1</v>
      </c>
    </row>
    <row r="1037" spans="1:17" x14ac:dyDescent="0.25">
      <c r="A1037">
        <v>4</v>
      </c>
      <c r="B1037" t="s">
        <v>8894</v>
      </c>
      <c r="C1037" t="s">
        <v>31</v>
      </c>
      <c r="D1037" t="s">
        <v>11</v>
      </c>
      <c r="G1037" t="s">
        <v>8895</v>
      </c>
      <c r="H1037" t="s">
        <v>8896</v>
      </c>
      <c r="I1037" t="s">
        <v>8897</v>
      </c>
      <c r="J1037" t="s">
        <v>8895</v>
      </c>
      <c r="K1037" t="s">
        <v>8898</v>
      </c>
      <c r="L1037">
        <v>7</v>
      </c>
      <c r="N1037" t="s">
        <v>4713</v>
      </c>
      <c r="O1037" t="s">
        <v>8895</v>
      </c>
      <c r="P1037" t="s">
        <v>11</v>
      </c>
      <c r="Q1037">
        <v>1</v>
      </c>
    </row>
    <row r="1038" spans="1:17" x14ac:dyDescent="0.25">
      <c r="A1038">
        <v>3</v>
      </c>
      <c r="B1038" t="s">
        <v>8899</v>
      </c>
      <c r="C1038" t="s">
        <v>31</v>
      </c>
      <c r="D1038" t="s">
        <v>11</v>
      </c>
      <c r="F1038" t="s">
        <v>58</v>
      </c>
      <c r="H1038" t="s">
        <v>3374</v>
      </c>
      <c r="I1038" t="s">
        <v>269</v>
      </c>
      <c r="J1038" t="s">
        <v>58</v>
      </c>
      <c r="O1038" t="s">
        <v>58</v>
      </c>
      <c r="P1038" t="s">
        <v>11</v>
      </c>
      <c r="Q1038">
        <v>1</v>
      </c>
    </row>
    <row r="1039" spans="1:17" x14ac:dyDescent="0.25">
      <c r="A1039">
        <v>4</v>
      </c>
      <c r="B1039" t="s">
        <v>8900</v>
      </c>
      <c r="C1039" t="s">
        <v>31</v>
      </c>
      <c r="D1039" t="s">
        <v>11</v>
      </c>
      <c r="G1039">
        <v>23321</v>
      </c>
      <c r="H1039" t="s">
        <v>8901</v>
      </c>
      <c r="I1039" t="s">
        <v>8902</v>
      </c>
      <c r="J1039">
        <v>23321</v>
      </c>
      <c r="K1039" t="s">
        <v>8903</v>
      </c>
      <c r="L1039">
        <v>1</v>
      </c>
      <c r="N1039" t="s">
        <v>4734</v>
      </c>
      <c r="O1039">
        <v>23321</v>
      </c>
      <c r="P1039" t="s">
        <v>11</v>
      </c>
      <c r="Q1039">
        <v>1</v>
      </c>
    </row>
    <row r="1040" spans="1:17" x14ac:dyDescent="0.25">
      <c r="A1040">
        <v>4</v>
      </c>
      <c r="B1040" t="s">
        <v>8904</v>
      </c>
      <c r="C1040" t="s">
        <v>31</v>
      </c>
      <c r="D1040" t="s">
        <v>11</v>
      </c>
      <c r="G1040">
        <v>23323</v>
      </c>
      <c r="H1040" t="s">
        <v>8905</v>
      </c>
      <c r="I1040" t="s">
        <v>8906</v>
      </c>
      <c r="J1040">
        <v>23323</v>
      </c>
      <c r="K1040" t="s">
        <v>8907</v>
      </c>
      <c r="L1040">
        <v>1</v>
      </c>
      <c r="N1040" t="s">
        <v>4734</v>
      </c>
      <c r="O1040">
        <v>23323</v>
      </c>
      <c r="P1040" t="s">
        <v>11</v>
      </c>
      <c r="Q1040">
        <v>1</v>
      </c>
    </row>
    <row r="1041" spans="1:17" x14ac:dyDescent="0.25">
      <c r="A1041">
        <v>4</v>
      </c>
      <c r="B1041" t="s">
        <v>8908</v>
      </c>
      <c r="C1041" t="s">
        <v>31</v>
      </c>
      <c r="D1041" t="s">
        <v>11</v>
      </c>
      <c r="G1041">
        <v>23326</v>
      </c>
      <c r="H1041" t="s">
        <v>8909</v>
      </c>
      <c r="I1041" t="s">
        <v>8910</v>
      </c>
      <c r="J1041">
        <v>23326</v>
      </c>
      <c r="K1041" t="s">
        <v>8911</v>
      </c>
      <c r="L1041">
        <v>8</v>
      </c>
      <c r="N1041" t="s">
        <v>4713</v>
      </c>
      <c r="O1041">
        <v>23326</v>
      </c>
      <c r="P1041" t="s">
        <v>11</v>
      </c>
      <c r="Q1041">
        <v>1</v>
      </c>
    </row>
    <row r="1042" spans="1:17" x14ac:dyDescent="0.25">
      <c r="A1042">
        <v>4</v>
      </c>
      <c r="B1042" t="s">
        <v>8912</v>
      </c>
      <c r="C1042" t="s">
        <v>31</v>
      </c>
      <c r="D1042" t="s">
        <v>11</v>
      </c>
      <c r="G1042" t="s">
        <v>8913</v>
      </c>
      <c r="H1042" t="s">
        <v>3374</v>
      </c>
      <c r="I1042" t="s">
        <v>269</v>
      </c>
      <c r="J1042" t="s">
        <v>8913</v>
      </c>
      <c r="K1042" t="s">
        <v>8914</v>
      </c>
      <c r="L1042">
        <v>10</v>
      </c>
      <c r="O1042" t="s">
        <v>8913</v>
      </c>
      <c r="P1042" t="s">
        <v>11</v>
      </c>
      <c r="Q1042">
        <v>1</v>
      </c>
    </row>
    <row r="1043" spans="1:17" x14ac:dyDescent="0.25">
      <c r="A1043">
        <v>2</v>
      </c>
      <c r="B1043" t="s">
        <v>8915</v>
      </c>
      <c r="C1043" t="s">
        <v>31</v>
      </c>
      <c r="D1043" t="s">
        <v>11</v>
      </c>
      <c r="E1043" t="s">
        <v>36</v>
      </c>
      <c r="H1043" t="s">
        <v>37</v>
      </c>
      <c r="I1043" t="s">
        <v>326</v>
      </c>
      <c r="J1043" t="s">
        <v>36</v>
      </c>
      <c r="O1043" t="s">
        <v>36</v>
      </c>
      <c r="P1043" t="s">
        <v>11</v>
      </c>
      <c r="Q1043">
        <v>1</v>
      </c>
    </row>
    <row r="1044" spans="1:17" x14ac:dyDescent="0.25">
      <c r="A1044">
        <v>3</v>
      </c>
      <c r="B1044" t="s">
        <v>8916</v>
      </c>
      <c r="C1044" t="s">
        <v>31</v>
      </c>
      <c r="D1044" t="s">
        <v>11</v>
      </c>
      <c r="F1044" t="s">
        <v>100</v>
      </c>
      <c r="H1044" t="s">
        <v>8917</v>
      </c>
      <c r="I1044" t="s">
        <v>972</v>
      </c>
      <c r="J1044" t="s">
        <v>100</v>
      </c>
      <c r="O1044" t="s">
        <v>100</v>
      </c>
      <c r="P1044" t="s">
        <v>11</v>
      </c>
      <c r="Q1044">
        <v>1</v>
      </c>
    </row>
    <row r="1045" spans="1:17" x14ac:dyDescent="0.25">
      <c r="A1045">
        <v>4</v>
      </c>
      <c r="B1045" t="s">
        <v>8918</v>
      </c>
      <c r="C1045" t="s">
        <v>31</v>
      </c>
      <c r="D1045" t="s">
        <v>11</v>
      </c>
      <c r="G1045">
        <v>30455</v>
      </c>
      <c r="H1045" t="s">
        <v>8919</v>
      </c>
      <c r="I1045" t="s">
        <v>8920</v>
      </c>
      <c r="J1045">
        <v>30455</v>
      </c>
      <c r="K1045" t="s">
        <v>8921</v>
      </c>
      <c r="L1045">
        <v>34</v>
      </c>
      <c r="O1045">
        <v>30455</v>
      </c>
      <c r="P1045" t="s">
        <v>11</v>
      </c>
      <c r="Q1045">
        <v>1</v>
      </c>
    </row>
    <row r="1046" spans="1:17" x14ac:dyDescent="0.25">
      <c r="A1046">
        <v>4</v>
      </c>
      <c r="B1046" t="s">
        <v>8922</v>
      </c>
      <c r="C1046" t="s">
        <v>31</v>
      </c>
      <c r="D1046" t="s">
        <v>11</v>
      </c>
      <c r="G1046" t="s">
        <v>8923</v>
      </c>
      <c r="H1046" t="s">
        <v>8924</v>
      </c>
      <c r="I1046" t="s">
        <v>8925</v>
      </c>
      <c r="J1046" t="s">
        <v>8923</v>
      </c>
      <c r="K1046" t="s">
        <v>8926</v>
      </c>
      <c r="L1046">
        <v>348</v>
      </c>
      <c r="O1046" t="s">
        <v>8923</v>
      </c>
      <c r="P1046" t="s">
        <v>11</v>
      </c>
      <c r="Q1046">
        <v>1</v>
      </c>
    </row>
    <row r="1047" spans="1:17" x14ac:dyDescent="0.25">
      <c r="A1047">
        <v>3</v>
      </c>
      <c r="B1047" t="s">
        <v>8927</v>
      </c>
      <c r="C1047" t="s">
        <v>31</v>
      </c>
      <c r="D1047" t="s">
        <v>11</v>
      </c>
      <c r="F1047" t="s">
        <v>101</v>
      </c>
      <c r="H1047" t="s">
        <v>8928</v>
      </c>
      <c r="I1047" t="s">
        <v>974</v>
      </c>
      <c r="J1047" t="s">
        <v>101</v>
      </c>
      <c r="O1047" t="s">
        <v>101</v>
      </c>
      <c r="P1047" t="s">
        <v>11</v>
      </c>
      <c r="Q1047">
        <v>1</v>
      </c>
    </row>
    <row r="1048" spans="1:17" x14ac:dyDescent="0.25">
      <c r="A1048">
        <v>4</v>
      </c>
      <c r="B1048" t="s">
        <v>8929</v>
      </c>
      <c r="C1048" t="s">
        <v>31</v>
      </c>
      <c r="D1048" t="s">
        <v>11</v>
      </c>
      <c r="G1048">
        <v>30477</v>
      </c>
      <c r="H1048" t="s">
        <v>8930</v>
      </c>
      <c r="I1048" t="s">
        <v>8931</v>
      </c>
      <c r="J1048">
        <v>30477</v>
      </c>
      <c r="K1048" t="s">
        <v>8932</v>
      </c>
      <c r="L1048">
        <v>95</v>
      </c>
      <c r="O1048">
        <v>30477</v>
      </c>
      <c r="P1048" t="s">
        <v>11</v>
      </c>
      <c r="Q1048">
        <v>1</v>
      </c>
    </row>
    <row r="1049" spans="1:17" x14ac:dyDescent="0.25">
      <c r="A1049">
        <v>4</v>
      </c>
      <c r="B1049" t="s">
        <v>8933</v>
      </c>
      <c r="C1049" t="s">
        <v>31</v>
      </c>
      <c r="D1049" t="s">
        <v>11</v>
      </c>
      <c r="G1049">
        <v>30479</v>
      </c>
      <c r="H1049" t="s">
        <v>8934</v>
      </c>
      <c r="I1049" t="s">
        <v>8935</v>
      </c>
      <c r="J1049">
        <v>30479</v>
      </c>
      <c r="K1049" t="s">
        <v>8936</v>
      </c>
      <c r="L1049">
        <v>36</v>
      </c>
      <c r="O1049">
        <v>30479</v>
      </c>
      <c r="P1049" t="s">
        <v>11</v>
      </c>
      <c r="Q1049">
        <v>1</v>
      </c>
    </row>
    <row r="1050" spans="1:17" x14ac:dyDescent="0.25">
      <c r="A1050">
        <v>4</v>
      </c>
      <c r="B1050" t="s">
        <v>8937</v>
      </c>
      <c r="C1050" t="s">
        <v>31</v>
      </c>
      <c r="D1050" t="s">
        <v>11</v>
      </c>
      <c r="G1050">
        <v>30504</v>
      </c>
      <c r="H1050" t="s">
        <v>8938</v>
      </c>
      <c r="I1050" t="s">
        <v>8939</v>
      </c>
      <c r="J1050">
        <v>30504</v>
      </c>
      <c r="K1050" t="s">
        <v>8940</v>
      </c>
      <c r="L1050">
        <v>5</v>
      </c>
      <c r="N1050" t="s">
        <v>4713</v>
      </c>
      <c r="O1050">
        <v>30504</v>
      </c>
      <c r="P1050" t="s">
        <v>11</v>
      </c>
      <c r="Q1050">
        <v>1</v>
      </c>
    </row>
    <row r="1051" spans="1:17" x14ac:dyDescent="0.25">
      <c r="A1051">
        <v>4</v>
      </c>
      <c r="B1051" t="s">
        <v>8941</v>
      </c>
      <c r="C1051" t="s">
        <v>31</v>
      </c>
      <c r="D1051" t="s">
        <v>11</v>
      </c>
      <c r="G1051" t="s">
        <v>8942</v>
      </c>
      <c r="H1051" t="s">
        <v>102</v>
      </c>
      <c r="I1051" t="s">
        <v>974</v>
      </c>
      <c r="J1051" t="s">
        <v>8942</v>
      </c>
      <c r="K1051" t="s">
        <v>8943</v>
      </c>
      <c r="L1051">
        <v>501</v>
      </c>
      <c r="O1051" t="s">
        <v>8942</v>
      </c>
      <c r="P1051" t="s">
        <v>11</v>
      </c>
      <c r="Q1051">
        <v>1</v>
      </c>
    </row>
    <row r="1052" spans="1:17" x14ac:dyDescent="0.25">
      <c r="A1052">
        <v>3</v>
      </c>
      <c r="B1052" t="s">
        <v>8944</v>
      </c>
      <c r="C1052" t="s">
        <v>31</v>
      </c>
      <c r="D1052" t="s">
        <v>11</v>
      </c>
      <c r="F1052" t="s">
        <v>104</v>
      </c>
      <c r="H1052" t="s">
        <v>8945</v>
      </c>
      <c r="I1052" t="s">
        <v>975</v>
      </c>
      <c r="J1052" t="s">
        <v>104</v>
      </c>
      <c r="O1052" t="s">
        <v>104</v>
      </c>
      <c r="P1052" t="s">
        <v>11</v>
      </c>
      <c r="Q1052">
        <v>1</v>
      </c>
    </row>
    <row r="1053" spans="1:17" x14ac:dyDescent="0.25">
      <c r="A1053">
        <v>4</v>
      </c>
      <c r="B1053" t="s">
        <v>8946</v>
      </c>
      <c r="C1053" t="s">
        <v>31</v>
      </c>
      <c r="D1053" t="s">
        <v>11</v>
      </c>
      <c r="G1053">
        <v>205130</v>
      </c>
      <c r="H1053" t="s">
        <v>8947</v>
      </c>
      <c r="I1053" t="s">
        <v>8948</v>
      </c>
      <c r="J1053">
        <v>205130</v>
      </c>
      <c r="K1053" t="s">
        <v>8949</v>
      </c>
      <c r="L1053">
        <v>4</v>
      </c>
      <c r="N1053" t="s">
        <v>4713</v>
      </c>
      <c r="O1053">
        <v>205130</v>
      </c>
      <c r="P1053" t="s">
        <v>11</v>
      </c>
      <c r="Q1053">
        <v>1</v>
      </c>
    </row>
    <row r="1054" spans="1:17" x14ac:dyDescent="0.25">
      <c r="A1054">
        <v>4</v>
      </c>
      <c r="B1054" t="s">
        <v>8950</v>
      </c>
      <c r="C1054" t="s">
        <v>31</v>
      </c>
      <c r="D1054" t="s">
        <v>11</v>
      </c>
      <c r="G1054" t="s">
        <v>8951</v>
      </c>
      <c r="H1054" t="s">
        <v>8952</v>
      </c>
      <c r="I1054" t="s">
        <v>8953</v>
      </c>
      <c r="J1054" t="s">
        <v>8951</v>
      </c>
      <c r="K1054" t="s">
        <v>8954</v>
      </c>
      <c r="L1054">
        <v>40</v>
      </c>
      <c r="O1054" t="s">
        <v>8951</v>
      </c>
      <c r="P1054" t="s">
        <v>11</v>
      </c>
      <c r="Q1054">
        <v>1</v>
      </c>
    </row>
    <row r="1055" spans="1:17" x14ac:dyDescent="0.25">
      <c r="A1055">
        <v>4</v>
      </c>
      <c r="B1055" t="s">
        <v>8955</v>
      </c>
      <c r="C1055" t="s">
        <v>31</v>
      </c>
      <c r="D1055" t="s">
        <v>11</v>
      </c>
      <c r="G1055" t="s">
        <v>8956</v>
      </c>
      <c r="H1055" t="s">
        <v>8957</v>
      </c>
      <c r="I1055" t="s">
        <v>8958</v>
      </c>
      <c r="J1055" t="s">
        <v>8956</v>
      </c>
      <c r="K1055" t="s">
        <v>8959</v>
      </c>
      <c r="L1055">
        <v>9</v>
      </c>
      <c r="N1055" t="s">
        <v>4713</v>
      </c>
      <c r="O1055" t="s">
        <v>8956</v>
      </c>
      <c r="P1055" t="s">
        <v>11</v>
      </c>
      <c r="Q1055">
        <v>1</v>
      </c>
    </row>
    <row r="1056" spans="1:17" x14ac:dyDescent="0.25">
      <c r="A1056">
        <v>3</v>
      </c>
      <c r="B1056" t="s">
        <v>8960</v>
      </c>
      <c r="C1056" t="s">
        <v>31</v>
      </c>
      <c r="D1056" t="s">
        <v>11</v>
      </c>
      <c r="F1056" t="s">
        <v>103</v>
      </c>
      <c r="H1056" t="s">
        <v>8961</v>
      </c>
      <c r="I1056" t="s">
        <v>976</v>
      </c>
      <c r="J1056" t="s">
        <v>103</v>
      </c>
      <c r="O1056" t="s">
        <v>103</v>
      </c>
      <c r="P1056" t="s">
        <v>11</v>
      </c>
      <c r="Q1056">
        <v>1</v>
      </c>
    </row>
    <row r="1057" spans="1:17" x14ac:dyDescent="0.25">
      <c r="A1057">
        <v>4</v>
      </c>
      <c r="B1057" t="s">
        <v>8962</v>
      </c>
      <c r="C1057" t="s">
        <v>31</v>
      </c>
      <c r="D1057" t="s">
        <v>11</v>
      </c>
      <c r="G1057">
        <v>30720</v>
      </c>
      <c r="H1057" t="s">
        <v>8963</v>
      </c>
      <c r="I1057" t="s">
        <v>8964</v>
      </c>
      <c r="J1057">
        <v>30720</v>
      </c>
      <c r="K1057" t="s">
        <v>8965</v>
      </c>
      <c r="L1057">
        <v>26</v>
      </c>
      <c r="O1057">
        <v>30720</v>
      </c>
      <c r="P1057" t="s">
        <v>11</v>
      </c>
      <c r="Q1057">
        <v>1</v>
      </c>
    </row>
    <row r="1058" spans="1:17" x14ac:dyDescent="0.25">
      <c r="A1058">
        <v>4</v>
      </c>
      <c r="B1058" t="s">
        <v>8966</v>
      </c>
      <c r="C1058" t="s">
        <v>31</v>
      </c>
      <c r="D1058" t="s">
        <v>11</v>
      </c>
      <c r="G1058">
        <v>30786</v>
      </c>
      <c r="H1058" t="s">
        <v>8967</v>
      </c>
      <c r="I1058" t="s">
        <v>8968</v>
      </c>
      <c r="J1058">
        <v>30786</v>
      </c>
      <c r="K1058" t="s">
        <v>8969</v>
      </c>
      <c r="L1058">
        <v>29</v>
      </c>
      <c r="O1058">
        <v>30786</v>
      </c>
      <c r="P1058" t="s">
        <v>11</v>
      </c>
      <c r="Q1058">
        <v>1</v>
      </c>
    </row>
    <row r="1059" spans="1:17" x14ac:dyDescent="0.25">
      <c r="A1059">
        <v>4</v>
      </c>
      <c r="B1059" t="s">
        <v>8970</v>
      </c>
      <c r="C1059" t="s">
        <v>31</v>
      </c>
      <c r="D1059" t="s">
        <v>11</v>
      </c>
      <c r="G1059" t="s">
        <v>8971</v>
      </c>
      <c r="H1059" t="s">
        <v>8972</v>
      </c>
      <c r="I1059" t="s">
        <v>8973</v>
      </c>
      <c r="J1059" t="s">
        <v>8971</v>
      </c>
      <c r="K1059" t="s">
        <v>8974</v>
      </c>
      <c r="L1059">
        <v>151</v>
      </c>
      <c r="O1059" t="s">
        <v>8971</v>
      </c>
      <c r="P1059" t="s">
        <v>11</v>
      </c>
      <c r="Q1059">
        <v>1</v>
      </c>
    </row>
    <row r="1060" spans="1:17" x14ac:dyDescent="0.25">
      <c r="A1060">
        <v>4</v>
      </c>
      <c r="B1060" t="s">
        <v>8975</v>
      </c>
      <c r="C1060" t="s">
        <v>31</v>
      </c>
      <c r="D1060" t="s">
        <v>11</v>
      </c>
      <c r="G1060" t="s">
        <v>8976</v>
      </c>
      <c r="H1060" t="s">
        <v>8977</v>
      </c>
      <c r="I1060" t="s">
        <v>8978</v>
      </c>
      <c r="J1060" t="s">
        <v>8976</v>
      </c>
      <c r="K1060" t="s">
        <v>8979</v>
      </c>
      <c r="L1060">
        <v>89</v>
      </c>
      <c r="O1060" t="s">
        <v>8976</v>
      </c>
      <c r="P1060" t="s">
        <v>11</v>
      </c>
      <c r="Q1060">
        <v>1</v>
      </c>
    </row>
    <row r="1061" spans="1:17" x14ac:dyDescent="0.25">
      <c r="A1061">
        <v>3</v>
      </c>
      <c r="B1061" t="s">
        <v>8980</v>
      </c>
      <c r="C1061" t="s">
        <v>31</v>
      </c>
      <c r="D1061" t="s">
        <v>11</v>
      </c>
      <c r="F1061" t="s">
        <v>105</v>
      </c>
      <c r="H1061" t="s">
        <v>8981</v>
      </c>
      <c r="I1061" t="s">
        <v>977</v>
      </c>
      <c r="J1061" t="s">
        <v>105</v>
      </c>
      <c r="O1061" t="s">
        <v>105</v>
      </c>
      <c r="P1061" t="s">
        <v>11</v>
      </c>
      <c r="Q1061">
        <v>1</v>
      </c>
    </row>
    <row r="1062" spans="1:17" x14ac:dyDescent="0.25">
      <c r="A1062">
        <v>4</v>
      </c>
      <c r="B1062" t="s">
        <v>8982</v>
      </c>
      <c r="C1062" t="s">
        <v>31</v>
      </c>
      <c r="D1062" t="s">
        <v>11</v>
      </c>
      <c r="G1062">
        <v>30801</v>
      </c>
      <c r="H1062" t="s">
        <v>8983</v>
      </c>
      <c r="I1062" t="s">
        <v>8984</v>
      </c>
      <c r="J1062">
        <v>30801</v>
      </c>
      <c r="K1062" t="s">
        <v>8985</v>
      </c>
      <c r="L1062">
        <v>25</v>
      </c>
      <c r="O1062">
        <v>30801</v>
      </c>
      <c r="P1062" t="s">
        <v>11</v>
      </c>
      <c r="Q1062">
        <v>1</v>
      </c>
    </row>
    <row r="1063" spans="1:17" x14ac:dyDescent="0.25">
      <c r="A1063">
        <v>4</v>
      </c>
      <c r="B1063" t="s">
        <v>8986</v>
      </c>
      <c r="C1063" t="s">
        <v>31</v>
      </c>
      <c r="D1063" t="s">
        <v>11</v>
      </c>
      <c r="G1063">
        <v>30806</v>
      </c>
      <c r="H1063" t="s">
        <v>8987</v>
      </c>
      <c r="I1063" t="s">
        <v>8988</v>
      </c>
      <c r="J1063">
        <v>30806</v>
      </c>
      <c r="K1063" t="s">
        <v>8989</v>
      </c>
      <c r="L1063">
        <v>12</v>
      </c>
      <c r="O1063">
        <v>30806</v>
      </c>
      <c r="P1063" t="s">
        <v>11</v>
      </c>
      <c r="Q1063">
        <v>1</v>
      </c>
    </row>
    <row r="1064" spans="1:17" x14ac:dyDescent="0.25">
      <c r="A1064">
        <v>4</v>
      </c>
      <c r="B1064" t="s">
        <v>8990</v>
      </c>
      <c r="C1064" t="s">
        <v>31</v>
      </c>
      <c r="D1064" t="s">
        <v>11</v>
      </c>
      <c r="G1064" t="s">
        <v>8991</v>
      </c>
      <c r="H1064" t="s">
        <v>106</v>
      </c>
      <c r="I1064" t="s">
        <v>977</v>
      </c>
      <c r="J1064" t="s">
        <v>8991</v>
      </c>
      <c r="K1064" t="s">
        <v>8992</v>
      </c>
      <c r="L1064">
        <v>101</v>
      </c>
      <c r="O1064" t="s">
        <v>8991</v>
      </c>
      <c r="P1064" t="s">
        <v>11</v>
      </c>
      <c r="Q1064">
        <v>1</v>
      </c>
    </row>
    <row r="1065" spans="1:17" x14ac:dyDescent="0.25">
      <c r="A1065">
        <v>3</v>
      </c>
      <c r="B1065" t="s">
        <v>8993</v>
      </c>
      <c r="C1065" t="s">
        <v>31</v>
      </c>
      <c r="D1065" t="s">
        <v>11</v>
      </c>
      <c r="F1065" t="s">
        <v>8994</v>
      </c>
      <c r="H1065" t="s">
        <v>8995</v>
      </c>
      <c r="I1065" t="s">
        <v>5057</v>
      </c>
      <c r="J1065" t="s">
        <v>8994</v>
      </c>
      <c r="O1065" t="s">
        <v>8994</v>
      </c>
      <c r="P1065" t="s">
        <v>11</v>
      </c>
      <c r="Q1065">
        <v>1</v>
      </c>
    </row>
    <row r="1066" spans="1:17" x14ac:dyDescent="0.25">
      <c r="A1066">
        <v>4</v>
      </c>
      <c r="B1066" t="s">
        <v>8996</v>
      </c>
      <c r="C1066" t="s">
        <v>31</v>
      </c>
      <c r="D1066" t="s">
        <v>11</v>
      </c>
      <c r="G1066">
        <v>30877</v>
      </c>
      <c r="H1066" t="s">
        <v>8997</v>
      </c>
      <c r="I1066" t="s">
        <v>8998</v>
      </c>
      <c r="J1066">
        <v>30877</v>
      </c>
      <c r="K1066" t="s">
        <v>8999</v>
      </c>
      <c r="L1066">
        <v>15</v>
      </c>
      <c r="O1066">
        <v>30877</v>
      </c>
      <c r="P1066" t="s">
        <v>11</v>
      </c>
      <c r="Q1066">
        <v>1</v>
      </c>
    </row>
    <row r="1067" spans="1:17" x14ac:dyDescent="0.25">
      <c r="A1067">
        <v>4</v>
      </c>
      <c r="B1067" t="s">
        <v>9000</v>
      </c>
      <c r="C1067" t="s">
        <v>31</v>
      </c>
      <c r="D1067" t="s">
        <v>11</v>
      </c>
      <c r="G1067" t="s">
        <v>9001</v>
      </c>
      <c r="H1067" t="s">
        <v>5056</v>
      </c>
      <c r="I1067" t="s">
        <v>5057</v>
      </c>
      <c r="J1067" t="s">
        <v>9001</v>
      </c>
      <c r="K1067" t="s">
        <v>9002</v>
      </c>
      <c r="L1067">
        <v>135</v>
      </c>
      <c r="O1067" t="s">
        <v>9001</v>
      </c>
      <c r="P1067" t="s">
        <v>11</v>
      </c>
      <c r="Q1067">
        <v>1</v>
      </c>
    </row>
    <row r="1068" spans="1:17" x14ac:dyDescent="0.25">
      <c r="A1068">
        <v>3</v>
      </c>
      <c r="B1068" t="s">
        <v>9003</v>
      </c>
      <c r="C1068" t="s">
        <v>31</v>
      </c>
      <c r="D1068" t="s">
        <v>11</v>
      </c>
      <c r="F1068" t="s">
        <v>9004</v>
      </c>
      <c r="H1068" t="s">
        <v>9005</v>
      </c>
      <c r="I1068" t="s">
        <v>4980</v>
      </c>
      <c r="J1068" t="s">
        <v>9004</v>
      </c>
      <c r="O1068" t="s">
        <v>9004</v>
      </c>
      <c r="P1068" t="s">
        <v>11</v>
      </c>
      <c r="Q1068">
        <v>1</v>
      </c>
    </row>
    <row r="1069" spans="1:17" x14ac:dyDescent="0.25">
      <c r="A1069">
        <v>4</v>
      </c>
      <c r="B1069" t="s">
        <v>9006</v>
      </c>
      <c r="C1069" t="s">
        <v>31</v>
      </c>
      <c r="D1069" t="s">
        <v>11</v>
      </c>
      <c r="G1069">
        <v>30941</v>
      </c>
      <c r="H1069" t="s">
        <v>9007</v>
      </c>
      <c r="I1069" t="s">
        <v>9008</v>
      </c>
      <c r="J1069">
        <v>30941</v>
      </c>
      <c r="K1069" t="s">
        <v>9009</v>
      </c>
      <c r="L1069">
        <v>20</v>
      </c>
      <c r="O1069">
        <v>30941</v>
      </c>
      <c r="P1069" t="s">
        <v>11</v>
      </c>
      <c r="Q1069">
        <v>1</v>
      </c>
    </row>
    <row r="1070" spans="1:17" x14ac:dyDescent="0.25">
      <c r="A1070">
        <v>4</v>
      </c>
      <c r="B1070" t="s">
        <v>9010</v>
      </c>
      <c r="C1070" t="s">
        <v>31</v>
      </c>
      <c r="D1070" t="s">
        <v>11</v>
      </c>
      <c r="G1070" t="s">
        <v>9011</v>
      </c>
      <c r="H1070" t="s">
        <v>4979</v>
      </c>
      <c r="I1070" t="s">
        <v>4980</v>
      </c>
      <c r="J1070" t="s">
        <v>9011</v>
      </c>
      <c r="K1070" t="s">
        <v>9012</v>
      </c>
      <c r="L1070">
        <v>269</v>
      </c>
      <c r="O1070" t="s">
        <v>9011</v>
      </c>
      <c r="P1070" t="s">
        <v>11</v>
      </c>
      <c r="Q1070">
        <v>1</v>
      </c>
    </row>
    <row r="1071" spans="1:17" x14ac:dyDescent="0.25">
      <c r="A1071">
        <v>3</v>
      </c>
      <c r="B1071" t="s">
        <v>9013</v>
      </c>
      <c r="C1071" t="s">
        <v>31</v>
      </c>
      <c r="D1071" t="s">
        <v>11</v>
      </c>
      <c r="F1071" t="s">
        <v>9014</v>
      </c>
      <c r="H1071" t="s">
        <v>9015</v>
      </c>
      <c r="I1071" t="s">
        <v>9016</v>
      </c>
      <c r="J1071" t="s">
        <v>9014</v>
      </c>
      <c r="O1071" t="s">
        <v>9014</v>
      </c>
      <c r="P1071" t="s">
        <v>11</v>
      </c>
      <c r="Q1071">
        <v>1</v>
      </c>
    </row>
    <row r="1072" spans="1:17" x14ac:dyDescent="0.25">
      <c r="A1072">
        <v>4</v>
      </c>
      <c r="B1072" t="s">
        <v>9017</v>
      </c>
      <c r="C1072" t="s">
        <v>31</v>
      </c>
      <c r="D1072" t="s">
        <v>11</v>
      </c>
      <c r="G1072">
        <v>30965</v>
      </c>
      <c r="H1072" t="s">
        <v>9018</v>
      </c>
      <c r="I1072" t="s">
        <v>9019</v>
      </c>
      <c r="J1072">
        <v>30965</v>
      </c>
      <c r="K1072" t="s">
        <v>9020</v>
      </c>
      <c r="L1072">
        <v>56</v>
      </c>
      <c r="O1072">
        <v>30965</v>
      </c>
      <c r="P1072" t="s">
        <v>11</v>
      </c>
      <c r="Q1072">
        <v>1</v>
      </c>
    </row>
    <row r="1073" spans="1:17" x14ac:dyDescent="0.25">
      <c r="A1073">
        <v>4</v>
      </c>
      <c r="B1073" t="s">
        <v>9021</v>
      </c>
      <c r="C1073" t="s">
        <v>31</v>
      </c>
      <c r="D1073" t="s">
        <v>11</v>
      </c>
      <c r="G1073">
        <v>30984</v>
      </c>
      <c r="H1073" t="s">
        <v>9022</v>
      </c>
      <c r="I1073" t="s">
        <v>9023</v>
      </c>
      <c r="J1073">
        <v>30984</v>
      </c>
      <c r="K1073" t="s">
        <v>9024</v>
      </c>
      <c r="L1073">
        <v>8</v>
      </c>
      <c r="N1073" t="s">
        <v>4713</v>
      </c>
      <c r="O1073">
        <v>30984</v>
      </c>
      <c r="P1073" t="s">
        <v>11</v>
      </c>
      <c r="Q1073">
        <v>1</v>
      </c>
    </row>
    <row r="1074" spans="1:17" x14ac:dyDescent="0.25">
      <c r="A1074">
        <v>4</v>
      </c>
      <c r="B1074" t="s">
        <v>9025</v>
      </c>
      <c r="C1074" t="s">
        <v>31</v>
      </c>
      <c r="D1074" t="s">
        <v>11</v>
      </c>
      <c r="G1074">
        <v>31015</v>
      </c>
      <c r="H1074" t="s">
        <v>9026</v>
      </c>
      <c r="I1074" t="s">
        <v>9027</v>
      </c>
      <c r="J1074">
        <v>31015</v>
      </c>
      <c r="K1074" t="s">
        <v>9028</v>
      </c>
      <c r="L1074">
        <v>43</v>
      </c>
      <c r="O1074">
        <v>31015</v>
      </c>
      <c r="P1074" t="s">
        <v>11</v>
      </c>
      <c r="Q1074">
        <v>1</v>
      </c>
    </row>
    <row r="1075" spans="1:17" x14ac:dyDescent="0.25">
      <c r="A1075">
        <v>4</v>
      </c>
      <c r="B1075" t="s">
        <v>9029</v>
      </c>
      <c r="C1075" t="s">
        <v>31</v>
      </c>
      <c r="D1075" t="s">
        <v>11</v>
      </c>
      <c r="G1075">
        <v>31018</v>
      </c>
      <c r="H1075" t="s">
        <v>9030</v>
      </c>
      <c r="I1075" t="s">
        <v>9031</v>
      </c>
      <c r="J1075">
        <v>31018</v>
      </c>
      <c r="K1075" t="s">
        <v>9032</v>
      </c>
      <c r="L1075">
        <v>71</v>
      </c>
      <c r="O1075">
        <v>31018</v>
      </c>
      <c r="P1075" t="s">
        <v>11</v>
      </c>
      <c r="Q1075">
        <v>1</v>
      </c>
    </row>
    <row r="1076" spans="1:17" x14ac:dyDescent="0.25">
      <c r="A1076">
        <v>4</v>
      </c>
      <c r="B1076" t="s">
        <v>9033</v>
      </c>
      <c r="C1076" t="s">
        <v>31</v>
      </c>
      <c r="D1076" t="s">
        <v>11</v>
      </c>
      <c r="G1076">
        <v>31022</v>
      </c>
      <c r="H1076" t="s">
        <v>5029</v>
      </c>
      <c r="I1076" t="s">
        <v>9034</v>
      </c>
      <c r="J1076">
        <v>31022</v>
      </c>
      <c r="K1076" t="s">
        <v>9035</v>
      </c>
      <c r="L1076">
        <v>50</v>
      </c>
      <c r="O1076">
        <v>31022</v>
      </c>
      <c r="P1076" t="s">
        <v>11</v>
      </c>
      <c r="Q1076">
        <v>1</v>
      </c>
    </row>
    <row r="1077" spans="1:17" x14ac:dyDescent="0.25">
      <c r="A1077">
        <v>4</v>
      </c>
      <c r="B1077" t="s">
        <v>9036</v>
      </c>
      <c r="C1077" t="s">
        <v>31</v>
      </c>
      <c r="D1077" t="s">
        <v>11</v>
      </c>
      <c r="G1077">
        <v>31024</v>
      </c>
      <c r="H1077" t="s">
        <v>9037</v>
      </c>
      <c r="I1077" t="s">
        <v>9038</v>
      </c>
      <c r="J1077">
        <v>31024</v>
      </c>
      <c r="K1077" t="s">
        <v>9039</v>
      </c>
      <c r="L1077">
        <v>1</v>
      </c>
      <c r="N1077" t="s">
        <v>4734</v>
      </c>
      <c r="O1077">
        <v>31024</v>
      </c>
      <c r="P1077" t="s">
        <v>11</v>
      </c>
      <c r="Q1077">
        <v>1</v>
      </c>
    </row>
    <row r="1078" spans="1:17" x14ac:dyDescent="0.25">
      <c r="A1078">
        <v>4</v>
      </c>
      <c r="B1078" t="s">
        <v>9040</v>
      </c>
      <c r="C1078" t="s">
        <v>31</v>
      </c>
      <c r="D1078" t="s">
        <v>11</v>
      </c>
      <c r="G1078" t="s">
        <v>9041</v>
      </c>
      <c r="H1078" t="s">
        <v>9042</v>
      </c>
      <c r="I1078" t="s">
        <v>9043</v>
      </c>
      <c r="J1078" t="s">
        <v>9041</v>
      </c>
      <c r="K1078" t="s">
        <v>9044</v>
      </c>
      <c r="L1078">
        <v>70</v>
      </c>
      <c r="O1078" t="s">
        <v>9041</v>
      </c>
      <c r="P1078" t="s">
        <v>11</v>
      </c>
      <c r="Q1078">
        <v>1</v>
      </c>
    </row>
    <row r="1079" spans="1:17" x14ac:dyDescent="0.25">
      <c r="A1079">
        <v>3</v>
      </c>
      <c r="B1079" t="s">
        <v>9045</v>
      </c>
      <c r="C1079" t="s">
        <v>31</v>
      </c>
      <c r="D1079" t="s">
        <v>11</v>
      </c>
      <c r="F1079" t="s">
        <v>9046</v>
      </c>
      <c r="H1079" t="s">
        <v>9047</v>
      </c>
      <c r="I1079" t="s">
        <v>9048</v>
      </c>
      <c r="J1079" t="s">
        <v>9046</v>
      </c>
      <c r="O1079" t="s">
        <v>9046</v>
      </c>
      <c r="P1079" t="s">
        <v>11</v>
      </c>
      <c r="Q1079">
        <v>1</v>
      </c>
    </row>
    <row r="1080" spans="1:17" x14ac:dyDescent="0.25">
      <c r="A1080">
        <v>4</v>
      </c>
      <c r="B1080" t="s">
        <v>9049</v>
      </c>
      <c r="C1080" t="s">
        <v>31</v>
      </c>
      <c r="D1080" t="s">
        <v>11</v>
      </c>
      <c r="G1080">
        <v>31068</v>
      </c>
      <c r="H1080" t="s">
        <v>9050</v>
      </c>
      <c r="I1080" t="s">
        <v>9051</v>
      </c>
      <c r="J1080">
        <v>31068</v>
      </c>
      <c r="K1080" t="s">
        <v>9052</v>
      </c>
      <c r="L1080">
        <v>22</v>
      </c>
      <c r="O1080">
        <v>31068</v>
      </c>
      <c r="P1080" t="s">
        <v>11</v>
      </c>
      <c r="Q1080">
        <v>1</v>
      </c>
    </row>
    <row r="1081" spans="1:17" x14ac:dyDescent="0.25">
      <c r="A1081">
        <v>4</v>
      </c>
      <c r="B1081" t="s">
        <v>9053</v>
      </c>
      <c r="C1081" t="s">
        <v>31</v>
      </c>
      <c r="D1081" t="s">
        <v>11</v>
      </c>
      <c r="G1081" t="s">
        <v>9054</v>
      </c>
      <c r="H1081" t="s">
        <v>9055</v>
      </c>
      <c r="I1081" t="s">
        <v>9056</v>
      </c>
      <c r="J1081" t="s">
        <v>9054</v>
      </c>
      <c r="K1081" t="s">
        <v>9057</v>
      </c>
      <c r="L1081">
        <v>34</v>
      </c>
      <c r="O1081" t="s">
        <v>9054</v>
      </c>
      <c r="P1081" t="s">
        <v>11</v>
      </c>
      <c r="Q1081">
        <v>1</v>
      </c>
    </row>
    <row r="1082" spans="1:17" x14ac:dyDescent="0.25">
      <c r="A1082">
        <v>4</v>
      </c>
      <c r="B1082" t="s">
        <v>9058</v>
      </c>
      <c r="C1082" t="s">
        <v>31</v>
      </c>
      <c r="D1082" t="s">
        <v>11</v>
      </c>
      <c r="G1082">
        <v>205139</v>
      </c>
      <c r="H1082" t="s">
        <v>9059</v>
      </c>
      <c r="I1082" t="s">
        <v>9060</v>
      </c>
      <c r="J1082">
        <v>205139</v>
      </c>
      <c r="K1082" t="s">
        <v>9061</v>
      </c>
      <c r="L1082">
        <v>1</v>
      </c>
      <c r="N1082" t="s">
        <v>4734</v>
      </c>
      <c r="O1082">
        <v>205139</v>
      </c>
      <c r="P1082" t="s">
        <v>11</v>
      </c>
      <c r="Q1082">
        <v>1</v>
      </c>
    </row>
    <row r="1083" spans="1:17" x14ac:dyDescent="0.25">
      <c r="A1083">
        <v>4</v>
      </c>
      <c r="B1083" t="s">
        <v>9062</v>
      </c>
      <c r="C1083" t="s">
        <v>31</v>
      </c>
      <c r="D1083" t="s">
        <v>11</v>
      </c>
      <c r="G1083">
        <v>247537</v>
      </c>
      <c r="H1083" t="s">
        <v>9063</v>
      </c>
      <c r="I1083" t="s">
        <v>9064</v>
      </c>
      <c r="J1083">
        <v>247537</v>
      </c>
      <c r="K1083" t="s">
        <v>9065</v>
      </c>
      <c r="L1083">
        <v>37</v>
      </c>
      <c r="O1083">
        <v>247537</v>
      </c>
      <c r="P1083" t="s">
        <v>11</v>
      </c>
      <c r="Q1083">
        <v>1</v>
      </c>
    </row>
    <row r="1084" spans="1:17" x14ac:dyDescent="0.25">
      <c r="A1084">
        <v>4</v>
      </c>
      <c r="B1084" t="s">
        <v>9066</v>
      </c>
      <c r="C1084" t="s">
        <v>31</v>
      </c>
      <c r="D1084" t="s">
        <v>11</v>
      </c>
      <c r="G1084">
        <v>31040</v>
      </c>
      <c r="H1084" t="s">
        <v>9067</v>
      </c>
      <c r="I1084" t="s">
        <v>9068</v>
      </c>
      <c r="J1084">
        <v>31040</v>
      </c>
      <c r="K1084" t="s">
        <v>9069</v>
      </c>
      <c r="L1084">
        <v>27</v>
      </c>
      <c r="O1084">
        <v>31040</v>
      </c>
      <c r="P1084" t="s">
        <v>11</v>
      </c>
      <c r="Q1084">
        <v>1</v>
      </c>
    </row>
    <row r="1085" spans="1:17" x14ac:dyDescent="0.25">
      <c r="A1085">
        <v>4</v>
      </c>
      <c r="B1085" t="s">
        <v>9070</v>
      </c>
      <c r="C1085" t="s">
        <v>31</v>
      </c>
      <c r="D1085" t="s">
        <v>11</v>
      </c>
      <c r="G1085" t="s">
        <v>9071</v>
      </c>
      <c r="H1085" t="s">
        <v>9072</v>
      </c>
      <c r="I1085" t="s">
        <v>9073</v>
      </c>
      <c r="J1085" t="s">
        <v>9071</v>
      </c>
      <c r="K1085" t="s">
        <v>9074</v>
      </c>
      <c r="L1085">
        <v>39</v>
      </c>
      <c r="O1085" t="s">
        <v>9071</v>
      </c>
      <c r="P1085" t="s">
        <v>11</v>
      </c>
      <c r="Q1085">
        <v>1</v>
      </c>
    </row>
    <row r="1086" spans="1:17" x14ac:dyDescent="0.25">
      <c r="A1086">
        <v>4</v>
      </c>
      <c r="B1086" t="s">
        <v>9075</v>
      </c>
      <c r="C1086" t="s">
        <v>31</v>
      </c>
      <c r="D1086" t="s">
        <v>11</v>
      </c>
      <c r="G1086" t="s">
        <v>9076</v>
      </c>
      <c r="H1086" t="s">
        <v>9077</v>
      </c>
      <c r="I1086" t="s">
        <v>9078</v>
      </c>
      <c r="J1086" t="s">
        <v>9076</v>
      </c>
      <c r="K1086" t="s">
        <v>9079</v>
      </c>
      <c r="L1086">
        <v>61</v>
      </c>
      <c r="O1086" t="s">
        <v>9076</v>
      </c>
      <c r="P1086" t="s">
        <v>11</v>
      </c>
      <c r="Q1086">
        <v>1</v>
      </c>
    </row>
    <row r="1087" spans="1:17" x14ac:dyDescent="0.25">
      <c r="A1087">
        <v>4</v>
      </c>
      <c r="B1087" t="s">
        <v>9080</v>
      </c>
      <c r="C1087" t="s">
        <v>31</v>
      </c>
      <c r="D1087" t="s">
        <v>11</v>
      </c>
      <c r="G1087" t="s">
        <v>9081</v>
      </c>
      <c r="H1087" t="s">
        <v>9082</v>
      </c>
      <c r="I1087" t="s">
        <v>9083</v>
      </c>
      <c r="J1087" t="s">
        <v>9081</v>
      </c>
      <c r="K1087" t="s">
        <v>9084</v>
      </c>
      <c r="L1087">
        <v>3</v>
      </c>
      <c r="N1087" t="s">
        <v>4713</v>
      </c>
      <c r="O1087" t="s">
        <v>9081</v>
      </c>
      <c r="P1087" t="s">
        <v>11</v>
      </c>
      <c r="Q1087">
        <v>1</v>
      </c>
    </row>
    <row r="1088" spans="1:17" x14ac:dyDescent="0.25">
      <c r="A1088">
        <v>4</v>
      </c>
      <c r="B1088" t="s">
        <v>9085</v>
      </c>
      <c r="C1088" t="s">
        <v>31</v>
      </c>
      <c r="D1088" t="s">
        <v>11</v>
      </c>
      <c r="G1088" t="s">
        <v>9086</v>
      </c>
      <c r="H1088" t="s">
        <v>9087</v>
      </c>
      <c r="I1088" t="s">
        <v>9088</v>
      </c>
      <c r="J1088" t="s">
        <v>9086</v>
      </c>
      <c r="K1088" t="s">
        <v>9089</v>
      </c>
      <c r="L1088">
        <v>63</v>
      </c>
      <c r="O1088" t="s">
        <v>9086</v>
      </c>
      <c r="P1088" t="s">
        <v>11</v>
      </c>
      <c r="Q1088">
        <v>1</v>
      </c>
    </row>
    <row r="1089" spans="1:17" x14ac:dyDescent="0.25">
      <c r="A1089">
        <v>4</v>
      </c>
      <c r="B1089" t="s">
        <v>9090</v>
      </c>
      <c r="C1089" t="s">
        <v>31</v>
      </c>
      <c r="D1089" t="s">
        <v>11</v>
      </c>
      <c r="G1089" t="s">
        <v>9091</v>
      </c>
      <c r="H1089" t="s">
        <v>9092</v>
      </c>
      <c r="I1089" t="s">
        <v>9093</v>
      </c>
      <c r="J1089" t="s">
        <v>9091</v>
      </c>
      <c r="K1089" t="s">
        <v>9094</v>
      </c>
      <c r="L1089">
        <v>8</v>
      </c>
      <c r="N1089" t="s">
        <v>4713</v>
      </c>
      <c r="O1089" t="s">
        <v>9091</v>
      </c>
      <c r="P1089" t="s">
        <v>11</v>
      </c>
      <c r="Q1089">
        <v>1</v>
      </c>
    </row>
    <row r="1090" spans="1:17" x14ac:dyDescent="0.25">
      <c r="A1090">
        <v>4</v>
      </c>
      <c r="B1090" t="s">
        <v>9095</v>
      </c>
      <c r="C1090" t="s">
        <v>31</v>
      </c>
      <c r="D1090" t="s">
        <v>11</v>
      </c>
      <c r="G1090" t="s">
        <v>9096</v>
      </c>
      <c r="H1090" t="s">
        <v>9097</v>
      </c>
      <c r="I1090" t="s">
        <v>9098</v>
      </c>
      <c r="J1090" t="s">
        <v>9096</v>
      </c>
      <c r="K1090" t="s">
        <v>9099</v>
      </c>
      <c r="L1090">
        <v>78</v>
      </c>
      <c r="O1090" t="s">
        <v>9096</v>
      </c>
      <c r="P1090" t="s">
        <v>11</v>
      </c>
      <c r="Q1090">
        <v>1</v>
      </c>
    </row>
    <row r="1091" spans="1:17" x14ac:dyDescent="0.25">
      <c r="A1091">
        <v>4</v>
      </c>
      <c r="B1091" t="s">
        <v>9100</v>
      </c>
      <c r="C1091" t="s">
        <v>31</v>
      </c>
      <c r="D1091" t="s">
        <v>11</v>
      </c>
      <c r="G1091" t="s">
        <v>9101</v>
      </c>
      <c r="H1091" t="s">
        <v>9102</v>
      </c>
      <c r="I1091" t="s">
        <v>9103</v>
      </c>
      <c r="J1091" t="s">
        <v>9101</v>
      </c>
      <c r="K1091" t="s">
        <v>9104</v>
      </c>
      <c r="L1091">
        <v>15</v>
      </c>
      <c r="O1091" t="s">
        <v>9101</v>
      </c>
      <c r="P1091" t="s">
        <v>11</v>
      </c>
      <c r="Q1091">
        <v>1</v>
      </c>
    </row>
    <row r="1092" spans="1:17" x14ac:dyDescent="0.25">
      <c r="A1092">
        <v>4</v>
      </c>
      <c r="B1092" t="s">
        <v>9105</v>
      </c>
      <c r="C1092" t="s">
        <v>31</v>
      </c>
      <c r="D1092" t="s">
        <v>11</v>
      </c>
      <c r="G1092" t="s">
        <v>9106</v>
      </c>
      <c r="H1092" t="s">
        <v>9107</v>
      </c>
      <c r="I1092" t="s">
        <v>9108</v>
      </c>
      <c r="J1092" t="s">
        <v>9106</v>
      </c>
      <c r="K1092" t="s">
        <v>9109</v>
      </c>
      <c r="L1092">
        <v>161</v>
      </c>
      <c r="O1092" t="s">
        <v>9106</v>
      </c>
      <c r="P1092" t="s">
        <v>11</v>
      </c>
      <c r="Q1092">
        <v>1</v>
      </c>
    </row>
    <row r="1093" spans="1:17" x14ac:dyDescent="0.25">
      <c r="A1093">
        <v>4</v>
      </c>
      <c r="B1093" t="s">
        <v>9110</v>
      </c>
      <c r="C1093" t="s">
        <v>31</v>
      </c>
      <c r="D1093" t="s">
        <v>11</v>
      </c>
      <c r="G1093" t="s">
        <v>9111</v>
      </c>
      <c r="H1093" t="s">
        <v>9112</v>
      </c>
      <c r="I1093" t="s">
        <v>9113</v>
      </c>
      <c r="J1093" t="s">
        <v>9111</v>
      </c>
      <c r="K1093" t="s">
        <v>9114</v>
      </c>
      <c r="L1093">
        <v>2</v>
      </c>
      <c r="N1093" t="s">
        <v>4713</v>
      </c>
      <c r="O1093" t="s">
        <v>9111</v>
      </c>
      <c r="P1093" t="s">
        <v>11</v>
      </c>
      <c r="Q1093">
        <v>1</v>
      </c>
    </row>
    <row r="1094" spans="1:17" x14ac:dyDescent="0.25">
      <c r="A1094">
        <v>4</v>
      </c>
      <c r="B1094" t="s">
        <v>9115</v>
      </c>
      <c r="C1094" t="s">
        <v>31</v>
      </c>
      <c r="D1094" t="s">
        <v>11</v>
      </c>
      <c r="G1094" t="s">
        <v>9116</v>
      </c>
      <c r="H1094" t="s">
        <v>9117</v>
      </c>
      <c r="I1094" t="s">
        <v>9118</v>
      </c>
      <c r="J1094" t="s">
        <v>9116</v>
      </c>
      <c r="K1094" t="s">
        <v>9119</v>
      </c>
      <c r="L1094">
        <v>16</v>
      </c>
      <c r="O1094" t="s">
        <v>9116</v>
      </c>
      <c r="P1094" t="s">
        <v>11</v>
      </c>
      <c r="Q1094">
        <v>1</v>
      </c>
    </row>
    <row r="1095" spans="1:17" x14ac:dyDescent="0.25">
      <c r="A1095">
        <v>2</v>
      </c>
      <c r="B1095" t="s">
        <v>9120</v>
      </c>
      <c r="C1095" t="s">
        <v>31</v>
      </c>
      <c r="D1095" t="s">
        <v>11</v>
      </c>
      <c r="E1095" t="s">
        <v>38</v>
      </c>
      <c r="H1095" t="s">
        <v>39</v>
      </c>
      <c r="I1095" t="s">
        <v>342</v>
      </c>
      <c r="J1095" t="s">
        <v>38</v>
      </c>
      <c r="O1095" t="s">
        <v>38</v>
      </c>
      <c r="P1095" t="s">
        <v>11</v>
      </c>
      <c r="Q1095">
        <v>1</v>
      </c>
    </row>
    <row r="1096" spans="1:17" x14ac:dyDescent="0.25">
      <c r="A1096">
        <v>3</v>
      </c>
      <c r="B1096" t="s">
        <v>9121</v>
      </c>
      <c r="C1096" t="s">
        <v>31</v>
      </c>
      <c r="D1096" t="s">
        <v>11</v>
      </c>
      <c r="F1096" t="s">
        <v>113</v>
      </c>
      <c r="H1096" t="s">
        <v>9122</v>
      </c>
      <c r="I1096" t="s">
        <v>345</v>
      </c>
      <c r="J1096" t="s">
        <v>113</v>
      </c>
      <c r="O1096" t="s">
        <v>113</v>
      </c>
      <c r="P1096" t="s">
        <v>11</v>
      </c>
      <c r="Q1096">
        <v>1</v>
      </c>
    </row>
    <row r="1097" spans="1:17" x14ac:dyDescent="0.25">
      <c r="A1097">
        <v>4</v>
      </c>
      <c r="B1097" t="s">
        <v>9123</v>
      </c>
      <c r="C1097" t="s">
        <v>31</v>
      </c>
      <c r="D1097" t="s">
        <v>11</v>
      </c>
      <c r="G1097">
        <v>28407</v>
      </c>
      <c r="H1097" t="s">
        <v>9124</v>
      </c>
      <c r="I1097" t="s">
        <v>9125</v>
      </c>
      <c r="J1097">
        <v>28407</v>
      </c>
      <c r="K1097" t="s">
        <v>9126</v>
      </c>
      <c r="L1097">
        <v>13</v>
      </c>
      <c r="O1097">
        <v>28407</v>
      </c>
      <c r="P1097" t="s">
        <v>11</v>
      </c>
      <c r="Q1097">
        <v>1</v>
      </c>
    </row>
    <row r="1098" spans="1:17" x14ac:dyDescent="0.25">
      <c r="A1098">
        <v>4</v>
      </c>
      <c r="B1098" t="s">
        <v>9127</v>
      </c>
      <c r="C1098" t="s">
        <v>31</v>
      </c>
      <c r="D1098" t="s">
        <v>11</v>
      </c>
      <c r="G1098" t="s">
        <v>9128</v>
      </c>
      <c r="H1098" t="s">
        <v>9129</v>
      </c>
      <c r="I1098" t="s">
        <v>9130</v>
      </c>
      <c r="J1098" t="s">
        <v>9128</v>
      </c>
      <c r="K1098" t="s">
        <v>9131</v>
      </c>
      <c r="L1098">
        <v>11</v>
      </c>
      <c r="O1098" t="s">
        <v>9128</v>
      </c>
      <c r="P1098" t="s">
        <v>11</v>
      </c>
      <c r="Q1098">
        <v>1</v>
      </c>
    </row>
    <row r="1099" spans="1:17" x14ac:dyDescent="0.25">
      <c r="A1099">
        <v>4</v>
      </c>
      <c r="B1099" t="s">
        <v>9132</v>
      </c>
      <c r="C1099" t="s">
        <v>31</v>
      </c>
      <c r="D1099" t="s">
        <v>11</v>
      </c>
      <c r="G1099" t="s">
        <v>9133</v>
      </c>
      <c r="H1099" t="s">
        <v>9134</v>
      </c>
      <c r="I1099" t="s">
        <v>9135</v>
      </c>
      <c r="J1099" t="s">
        <v>9133</v>
      </c>
      <c r="K1099" t="s">
        <v>9136</v>
      </c>
      <c r="L1099">
        <v>13</v>
      </c>
      <c r="O1099" t="s">
        <v>9133</v>
      </c>
      <c r="P1099" t="s">
        <v>11</v>
      </c>
      <c r="Q1099">
        <v>1</v>
      </c>
    </row>
    <row r="1100" spans="1:17" x14ac:dyDescent="0.25">
      <c r="A1100">
        <v>4</v>
      </c>
      <c r="B1100" t="s">
        <v>9137</v>
      </c>
      <c r="C1100" t="s">
        <v>31</v>
      </c>
      <c r="D1100" t="s">
        <v>11</v>
      </c>
      <c r="G1100" t="s">
        <v>9138</v>
      </c>
      <c r="H1100" t="s">
        <v>9139</v>
      </c>
      <c r="I1100" t="s">
        <v>9140</v>
      </c>
      <c r="J1100" t="s">
        <v>9138</v>
      </c>
      <c r="K1100" t="s">
        <v>9141</v>
      </c>
      <c r="L1100">
        <v>50</v>
      </c>
      <c r="O1100" t="s">
        <v>9138</v>
      </c>
      <c r="P1100" t="s">
        <v>11</v>
      </c>
      <c r="Q1100">
        <v>1</v>
      </c>
    </row>
    <row r="1101" spans="1:17" x14ac:dyDescent="0.25">
      <c r="A1101">
        <v>3</v>
      </c>
      <c r="B1101" t="s">
        <v>9142</v>
      </c>
      <c r="C1101" t="s">
        <v>31</v>
      </c>
      <c r="D1101" t="s">
        <v>11</v>
      </c>
      <c r="F1101" t="s">
        <v>119</v>
      </c>
      <c r="H1101" t="s">
        <v>120</v>
      </c>
      <c r="I1101" t="s">
        <v>354</v>
      </c>
      <c r="J1101" t="s">
        <v>119</v>
      </c>
      <c r="O1101" t="s">
        <v>119</v>
      </c>
      <c r="P1101" t="s">
        <v>11</v>
      </c>
      <c r="Q1101">
        <v>1</v>
      </c>
    </row>
    <row r="1102" spans="1:17" x14ac:dyDescent="0.25">
      <c r="A1102">
        <v>4</v>
      </c>
      <c r="B1102" t="s">
        <v>9143</v>
      </c>
      <c r="C1102" t="s">
        <v>31</v>
      </c>
      <c r="D1102" t="s">
        <v>11</v>
      </c>
      <c r="G1102">
        <v>28410</v>
      </c>
      <c r="H1102" t="s">
        <v>9144</v>
      </c>
      <c r="I1102" t="s">
        <v>9145</v>
      </c>
      <c r="J1102">
        <v>28410</v>
      </c>
      <c r="K1102" t="s">
        <v>9146</v>
      </c>
      <c r="L1102">
        <v>14</v>
      </c>
      <c r="O1102">
        <v>28410</v>
      </c>
      <c r="P1102" t="s">
        <v>11</v>
      </c>
      <c r="Q1102">
        <v>1</v>
      </c>
    </row>
    <row r="1103" spans="1:17" x14ac:dyDescent="0.25">
      <c r="A1103">
        <v>4</v>
      </c>
      <c r="B1103" t="s">
        <v>9147</v>
      </c>
      <c r="C1103" t="s">
        <v>31</v>
      </c>
      <c r="D1103" t="s">
        <v>11</v>
      </c>
      <c r="G1103">
        <v>28412</v>
      </c>
      <c r="H1103" t="s">
        <v>9148</v>
      </c>
      <c r="I1103" t="s">
        <v>9149</v>
      </c>
      <c r="J1103">
        <v>28412</v>
      </c>
      <c r="K1103" t="s">
        <v>9150</v>
      </c>
      <c r="L1103">
        <v>21</v>
      </c>
      <c r="O1103">
        <v>28412</v>
      </c>
      <c r="P1103" t="s">
        <v>11</v>
      </c>
      <c r="Q1103">
        <v>1</v>
      </c>
    </row>
    <row r="1104" spans="1:17" x14ac:dyDescent="0.25">
      <c r="A1104">
        <v>4</v>
      </c>
      <c r="B1104" t="s">
        <v>9151</v>
      </c>
      <c r="C1104" t="s">
        <v>31</v>
      </c>
      <c r="D1104" t="s">
        <v>11</v>
      </c>
      <c r="G1104" t="s">
        <v>9152</v>
      </c>
      <c r="H1104" t="s">
        <v>9153</v>
      </c>
      <c r="I1104" t="s">
        <v>9154</v>
      </c>
      <c r="J1104" t="s">
        <v>9152</v>
      </c>
      <c r="K1104" t="s">
        <v>9155</v>
      </c>
      <c r="L1104">
        <v>40</v>
      </c>
      <c r="O1104" t="s">
        <v>9152</v>
      </c>
      <c r="P1104" t="s">
        <v>11</v>
      </c>
      <c r="Q1104">
        <v>1</v>
      </c>
    </row>
    <row r="1105" spans="1:17" x14ac:dyDescent="0.25">
      <c r="A1105">
        <v>4</v>
      </c>
      <c r="B1105" t="s">
        <v>9156</v>
      </c>
      <c r="C1105" t="s">
        <v>31</v>
      </c>
      <c r="D1105" t="s">
        <v>11</v>
      </c>
      <c r="G1105" t="s">
        <v>9157</v>
      </c>
      <c r="H1105" t="s">
        <v>9158</v>
      </c>
      <c r="I1105" t="s">
        <v>9159</v>
      </c>
      <c r="J1105" t="s">
        <v>9157</v>
      </c>
      <c r="K1105" t="s">
        <v>9160</v>
      </c>
      <c r="L1105">
        <v>52</v>
      </c>
      <c r="O1105" t="s">
        <v>9157</v>
      </c>
      <c r="P1105" t="s">
        <v>11</v>
      </c>
      <c r="Q1105">
        <v>1</v>
      </c>
    </row>
    <row r="1106" spans="1:17" x14ac:dyDescent="0.25">
      <c r="A1106">
        <v>4</v>
      </c>
      <c r="B1106" t="s">
        <v>9161</v>
      </c>
      <c r="C1106" t="s">
        <v>31</v>
      </c>
      <c r="D1106" t="s">
        <v>11</v>
      </c>
      <c r="G1106" t="s">
        <v>9162</v>
      </c>
      <c r="H1106" t="s">
        <v>9163</v>
      </c>
      <c r="I1106" t="s">
        <v>9164</v>
      </c>
      <c r="J1106" t="s">
        <v>9162</v>
      </c>
      <c r="K1106" t="s">
        <v>9165</v>
      </c>
      <c r="L1106">
        <v>59</v>
      </c>
      <c r="O1106" t="s">
        <v>9162</v>
      </c>
      <c r="P1106" t="s">
        <v>11</v>
      </c>
      <c r="Q1106">
        <v>1</v>
      </c>
    </row>
    <row r="1107" spans="1:17" x14ac:dyDescent="0.25">
      <c r="A1107">
        <v>4</v>
      </c>
      <c r="B1107" t="s">
        <v>9166</v>
      </c>
      <c r="C1107" t="s">
        <v>31</v>
      </c>
      <c r="D1107" t="s">
        <v>11</v>
      </c>
      <c r="G1107" t="s">
        <v>9167</v>
      </c>
      <c r="H1107" t="s">
        <v>9168</v>
      </c>
      <c r="I1107" t="s">
        <v>9169</v>
      </c>
      <c r="J1107" t="s">
        <v>9167</v>
      </c>
      <c r="K1107" t="s">
        <v>9170</v>
      </c>
      <c r="L1107">
        <v>19</v>
      </c>
      <c r="O1107" t="s">
        <v>9167</v>
      </c>
      <c r="P1107" t="s">
        <v>11</v>
      </c>
      <c r="Q1107">
        <v>1</v>
      </c>
    </row>
    <row r="1108" spans="1:17" x14ac:dyDescent="0.25">
      <c r="A1108">
        <v>4</v>
      </c>
      <c r="B1108" t="s">
        <v>9171</v>
      </c>
      <c r="C1108" t="s">
        <v>31</v>
      </c>
      <c r="D1108" t="s">
        <v>11</v>
      </c>
      <c r="G1108" t="s">
        <v>9172</v>
      </c>
      <c r="H1108" t="s">
        <v>9173</v>
      </c>
      <c r="I1108" t="s">
        <v>9174</v>
      </c>
      <c r="J1108" t="s">
        <v>9172</v>
      </c>
      <c r="K1108" t="s">
        <v>9175</v>
      </c>
      <c r="L1108">
        <v>8</v>
      </c>
      <c r="N1108" t="s">
        <v>4713</v>
      </c>
      <c r="O1108" t="s">
        <v>9172</v>
      </c>
      <c r="P1108" t="s">
        <v>11</v>
      </c>
      <c r="Q1108">
        <v>1</v>
      </c>
    </row>
    <row r="1109" spans="1:17" x14ac:dyDescent="0.25">
      <c r="A1109">
        <v>4</v>
      </c>
      <c r="B1109" t="s">
        <v>9176</v>
      </c>
      <c r="C1109" t="s">
        <v>31</v>
      </c>
      <c r="D1109" t="s">
        <v>11</v>
      </c>
      <c r="G1109" t="s">
        <v>9177</v>
      </c>
      <c r="H1109" t="s">
        <v>9178</v>
      </c>
      <c r="I1109" t="s">
        <v>9179</v>
      </c>
      <c r="J1109" t="s">
        <v>9177</v>
      </c>
      <c r="K1109" t="s">
        <v>9180</v>
      </c>
      <c r="L1109">
        <v>41</v>
      </c>
      <c r="O1109" t="s">
        <v>9177</v>
      </c>
      <c r="P1109" t="s">
        <v>11</v>
      </c>
      <c r="Q1109">
        <v>1</v>
      </c>
    </row>
    <row r="1110" spans="1:17" x14ac:dyDescent="0.25">
      <c r="A1110">
        <v>4</v>
      </c>
      <c r="B1110" t="s">
        <v>9181</v>
      </c>
      <c r="C1110" t="s">
        <v>31</v>
      </c>
      <c r="D1110" t="s">
        <v>11</v>
      </c>
      <c r="G1110" t="s">
        <v>9182</v>
      </c>
      <c r="H1110" t="s">
        <v>9183</v>
      </c>
      <c r="I1110" t="s">
        <v>9184</v>
      </c>
      <c r="J1110" t="s">
        <v>9182</v>
      </c>
      <c r="K1110" t="s">
        <v>9185</v>
      </c>
      <c r="L1110">
        <v>34</v>
      </c>
      <c r="O1110" t="s">
        <v>9182</v>
      </c>
      <c r="P1110" t="s">
        <v>11</v>
      </c>
      <c r="Q1110">
        <v>1</v>
      </c>
    </row>
    <row r="1111" spans="1:17" x14ac:dyDescent="0.25">
      <c r="A1111">
        <v>3</v>
      </c>
      <c r="B1111" t="s">
        <v>9186</v>
      </c>
      <c r="C1111" t="s">
        <v>31</v>
      </c>
      <c r="D1111" t="s">
        <v>11</v>
      </c>
      <c r="F1111" t="s">
        <v>121</v>
      </c>
      <c r="H1111" t="s">
        <v>9187</v>
      </c>
      <c r="I1111" t="s">
        <v>357</v>
      </c>
      <c r="J1111" t="s">
        <v>121</v>
      </c>
      <c r="O1111" t="s">
        <v>121</v>
      </c>
      <c r="P1111" t="s">
        <v>11</v>
      </c>
      <c r="Q1111">
        <v>1</v>
      </c>
    </row>
    <row r="1112" spans="1:17" x14ac:dyDescent="0.25">
      <c r="A1112">
        <v>4</v>
      </c>
      <c r="B1112" t="s">
        <v>9188</v>
      </c>
      <c r="C1112" t="s">
        <v>31</v>
      </c>
      <c r="D1112" t="s">
        <v>11</v>
      </c>
      <c r="G1112">
        <v>28414</v>
      </c>
      <c r="H1112" t="s">
        <v>9189</v>
      </c>
      <c r="I1112" t="s">
        <v>9190</v>
      </c>
      <c r="J1112">
        <v>28414</v>
      </c>
      <c r="K1112" t="s">
        <v>9191</v>
      </c>
      <c r="L1112">
        <v>20</v>
      </c>
      <c r="O1112">
        <v>28414</v>
      </c>
      <c r="P1112" t="s">
        <v>11</v>
      </c>
      <c r="Q1112">
        <v>1</v>
      </c>
    </row>
    <row r="1113" spans="1:17" x14ac:dyDescent="0.25">
      <c r="A1113">
        <v>4</v>
      </c>
      <c r="B1113" t="s">
        <v>9192</v>
      </c>
      <c r="C1113" t="s">
        <v>31</v>
      </c>
      <c r="D1113" t="s">
        <v>11</v>
      </c>
      <c r="G1113" t="s">
        <v>9193</v>
      </c>
      <c r="H1113" t="s">
        <v>9194</v>
      </c>
      <c r="I1113" t="s">
        <v>9195</v>
      </c>
      <c r="J1113" t="s">
        <v>9193</v>
      </c>
      <c r="K1113" t="s">
        <v>9196</v>
      </c>
      <c r="L1113">
        <v>23</v>
      </c>
      <c r="O1113" t="s">
        <v>9193</v>
      </c>
      <c r="P1113" t="s">
        <v>11</v>
      </c>
      <c r="Q1113">
        <v>1</v>
      </c>
    </row>
    <row r="1114" spans="1:17" x14ac:dyDescent="0.25">
      <c r="A1114">
        <v>4</v>
      </c>
      <c r="B1114" t="s">
        <v>9197</v>
      </c>
      <c r="C1114" t="s">
        <v>31</v>
      </c>
      <c r="D1114" t="s">
        <v>11</v>
      </c>
      <c r="G1114" t="s">
        <v>9198</v>
      </c>
      <c r="H1114" t="s">
        <v>9199</v>
      </c>
      <c r="I1114" t="s">
        <v>9200</v>
      </c>
      <c r="J1114" t="s">
        <v>9198</v>
      </c>
      <c r="K1114" t="s">
        <v>9201</v>
      </c>
      <c r="L1114">
        <v>46</v>
      </c>
      <c r="O1114" t="s">
        <v>9198</v>
      </c>
      <c r="P1114" t="s">
        <v>11</v>
      </c>
      <c r="Q1114">
        <v>1</v>
      </c>
    </row>
    <row r="1115" spans="1:17" x14ac:dyDescent="0.25">
      <c r="A1115">
        <v>4</v>
      </c>
      <c r="B1115" t="s">
        <v>9202</v>
      </c>
      <c r="C1115" t="s">
        <v>31</v>
      </c>
      <c r="D1115" t="s">
        <v>11</v>
      </c>
      <c r="G1115" t="s">
        <v>9203</v>
      </c>
      <c r="H1115" t="s">
        <v>9204</v>
      </c>
      <c r="I1115" t="s">
        <v>9205</v>
      </c>
      <c r="J1115" t="s">
        <v>9203</v>
      </c>
      <c r="K1115" t="s">
        <v>9206</v>
      </c>
      <c r="L1115">
        <v>25</v>
      </c>
      <c r="O1115" t="s">
        <v>9203</v>
      </c>
      <c r="P1115" t="s">
        <v>11</v>
      </c>
      <c r="Q1115">
        <v>1</v>
      </c>
    </row>
    <row r="1116" spans="1:17" x14ac:dyDescent="0.25">
      <c r="A1116">
        <v>4</v>
      </c>
      <c r="B1116" t="s">
        <v>9207</v>
      </c>
      <c r="C1116" t="s">
        <v>31</v>
      </c>
      <c r="D1116" t="s">
        <v>11</v>
      </c>
      <c r="G1116" t="s">
        <v>9208</v>
      </c>
      <c r="H1116" t="s">
        <v>9209</v>
      </c>
      <c r="I1116" t="s">
        <v>9210</v>
      </c>
      <c r="J1116" t="s">
        <v>9208</v>
      </c>
      <c r="K1116" t="s">
        <v>9211</v>
      </c>
      <c r="L1116">
        <v>22</v>
      </c>
      <c r="O1116" t="s">
        <v>9208</v>
      </c>
      <c r="P1116" t="s">
        <v>11</v>
      </c>
      <c r="Q1116">
        <v>1</v>
      </c>
    </row>
    <row r="1117" spans="1:17" x14ac:dyDescent="0.25">
      <c r="A1117">
        <v>4</v>
      </c>
      <c r="B1117" t="s">
        <v>9212</v>
      </c>
      <c r="C1117" t="s">
        <v>31</v>
      </c>
      <c r="D1117" t="s">
        <v>11</v>
      </c>
      <c r="G1117" t="s">
        <v>9213</v>
      </c>
      <c r="H1117" t="s">
        <v>9214</v>
      </c>
      <c r="I1117" t="s">
        <v>9215</v>
      </c>
      <c r="J1117" t="s">
        <v>9213</v>
      </c>
      <c r="K1117" t="s">
        <v>9216</v>
      </c>
      <c r="L1117">
        <v>5</v>
      </c>
      <c r="N1117" t="s">
        <v>4713</v>
      </c>
      <c r="O1117" t="s">
        <v>9213</v>
      </c>
      <c r="P1117" t="s">
        <v>11</v>
      </c>
      <c r="Q1117">
        <v>1</v>
      </c>
    </row>
    <row r="1118" spans="1:17" x14ac:dyDescent="0.25">
      <c r="A1118">
        <v>4</v>
      </c>
      <c r="B1118" t="s">
        <v>9217</v>
      </c>
      <c r="C1118" t="s">
        <v>31</v>
      </c>
      <c r="D1118" t="s">
        <v>11</v>
      </c>
      <c r="G1118" t="s">
        <v>9218</v>
      </c>
      <c r="H1118" t="s">
        <v>9219</v>
      </c>
      <c r="I1118" t="s">
        <v>9220</v>
      </c>
      <c r="J1118" t="s">
        <v>9218</v>
      </c>
      <c r="K1118" t="s">
        <v>9221</v>
      </c>
      <c r="L1118">
        <v>8</v>
      </c>
      <c r="N1118" t="s">
        <v>4713</v>
      </c>
      <c r="O1118" t="s">
        <v>9218</v>
      </c>
      <c r="P1118" t="s">
        <v>11</v>
      </c>
      <c r="Q1118">
        <v>1</v>
      </c>
    </row>
    <row r="1119" spans="1:17" x14ac:dyDescent="0.25">
      <c r="A1119">
        <v>4</v>
      </c>
      <c r="B1119" t="s">
        <v>9222</v>
      </c>
      <c r="C1119" t="s">
        <v>31</v>
      </c>
      <c r="D1119" t="s">
        <v>11</v>
      </c>
      <c r="G1119" t="s">
        <v>9223</v>
      </c>
      <c r="H1119" t="s">
        <v>9224</v>
      </c>
      <c r="I1119" t="s">
        <v>9225</v>
      </c>
      <c r="J1119" t="s">
        <v>9223</v>
      </c>
      <c r="K1119" t="s">
        <v>9226</v>
      </c>
      <c r="L1119">
        <v>13</v>
      </c>
      <c r="O1119" t="s">
        <v>9223</v>
      </c>
      <c r="P1119" t="s">
        <v>11</v>
      </c>
      <c r="Q1119">
        <v>1</v>
      </c>
    </row>
    <row r="1120" spans="1:17" x14ac:dyDescent="0.25">
      <c r="A1120">
        <v>4</v>
      </c>
      <c r="B1120" t="s">
        <v>9227</v>
      </c>
      <c r="C1120" t="s">
        <v>31</v>
      </c>
      <c r="D1120" t="s">
        <v>11</v>
      </c>
      <c r="G1120" t="s">
        <v>9228</v>
      </c>
      <c r="H1120" t="s">
        <v>9229</v>
      </c>
      <c r="I1120" t="s">
        <v>9230</v>
      </c>
      <c r="J1120" t="s">
        <v>9228</v>
      </c>
      <c r="K1120" t="s">
        <v>9231</v>
      </c>
      <c r="L1120">
        <v>9</v>
      </c>
      <c r="N1120" t="s">
        <v>4713</v>
      </c>
      <c r="O1120" t="s">
        <v>9228</v>
      </c>
      <c r="P1120" t="s">
        <v>11</v>
      </c>
      <c r="Q1120">
        <v>1</v>
      </c>
    </row>
    <row r="1121" spans="1:17" x14ac:dyDescent="0.25">
      <c r="A1121">
        <v>4</v>
      </c>
      <c r="B1121" t="s">
        <v>9232</v>
      </c>
      <c r="C1121" t="s">
        <v>31</v>
      </c>
      <c r="D1121" t="s">
        <v>11</v>
      </c>
      <c r="G1121" t="s">
        <v>9233</v>
      </c>
      <c r="H1121" t="s">
        <v>9234</v>
      </c>
      <c r="I1121" t="s">
        <v>9235</v>
      </c>
      <c r="J1121" t="s">
        <v>9233</v>
      </c>
      <c r="K1121" t="s">
        <v>9236</v>
      </c>
      <c r="L1121">
        <v>7</v>
      </c>
      <c r="N1121" t="s">
        <v>4713</v>
      </c>
      <c r="O1121" t="s">
        <v>9233</v>
      </c>
      <c r="P1121" t="s">
        <v>11</v>
      </c>
      <c r="Q1121">
        <v>1</v>
      </c>
    </row>
    <row r="1122" spans="1:17" x14ac:dyDescent="0.25">
      <c r="A1122">
        <v>3</v>
      </c>
      <c r="B1122" t="s">
        <v>9237</v>
      </c>
      <c r="C1122" t="s">
        <v>31</v>
      </c>
      <c r="D1122" t="s">
        <v>11</v>
      </c>
      <c r="F1122" t="s">
        <v>123</v>
      </c>
      <c r="H1122" t="s">
        <v>9238</v>
      </c>
      <c r="I1122" t="s">
        <v>979</v>
      </c>
      <c r="J1122" t="s">
        <v>123</v>
      </c>
      <c r="O1122" t="s">
        <v>123</v>
      </c>
      <c r="P1122" t="s">
        <v>11</v>
      </c>
      <c r="Q1122">
        <v>1</v>
      </c>
    </row>
    <row r="1123" spans="1:17" x14ac:dyDescent="0.25">
      <c r="A1123">
        <v>4</v>
      </c>
      <c r="B1123" t="s">
        <v>9239</v>
      </c>
      <c r="C1123" t="s">
        <v>31</v>
      </c>
      <c r="D1123" t="s">
        <v>11</v>
      </c>
      <c r="G1123">
        <v>28417</v>
      </c>
      <c r="H1123" t="s">
        <v>9240</v>
      </c>
      <c r="I1123" t="s">
        <v>9241</v>
      </c>
      <c r="J1123">
        <v>28417</v>
      </c>
      <c r="K1123" t="s">
        <v>9242</v>
      </c>
      <c r="L1123">
        <v>133</v>
      </c>
      <c r="O1123">
        <v>28417</v>
      </c>
      <c r="P1123" t="s">
        <v>11</v>
      </c>
      <c r="Q1123">
        <v>1</v>
      </c>
    </row>
    <row r="1124" spans="1:17" x14ac:dyDescent="0.25">
      <c r="A1124">
        <v>4</v>
      </c>
      <c r="B1124" t="s">
        <v>9243</v>
      </c>
      <c r="C1124" t="s">
        <v>31</v>
      </c>
      <c r="D1124" t="s">
        <v>11</v>
      </c>
      <c r="G1124">
        <v>558259</v>
      </c>
      <c r="H1124" t="s">
        <v>9244</v>
      </c>
      <c r="I1124" t="s">
        <v>9245</v>
      </c>
      <c r="J1124">
        <v>558259</v>
      </c>
      <c r="K1124" t="s">
        <v>9246</v>
      </c>
      <c r="L1124">
        <v>24</v>
      </c>
      <c r="O1124">
        <v>558259</v>
      </c>
      <c r="P1124" t="s">
        <v>11</v>
      </c>
      <c r="Q1124">
        <v>1</v>
      </c>
    </row>
    <row r="1125" spans="1:17" x14ac:dyDescent="0.25">
      <c r="A1125">
        <v>4</v>
      </c>
      <c r="B1125" t="s">
        <v>9247</v>
      </c>
      <c r="C1125" t="s">
        <v>31</v>
      </c>
      <c r="D1125" t="s">
        <v>11</v>
      </c>
      <c r="G1125" t="s">
        <v>9248</v>
      </c>
      <c r="H1125" t="s">
        <v>9249</v>
      </c>
      <c r="I1125" t="s">
        <v>9250</v>
      </c>
      <c r="J1125" t="s">
        <v>9248</v>
      </c>
      <c r="K1125" t="s">
        <v>9251</v>
      </c>
      <c r="L1125">
        <v>65</v>
      </c>
      <c r="O1125" t="s">
        <v>9248</v>
      </c>
      <c r="P1125" t="s">
        <v>11</v>
      </c>
      <c r="Q1125">
        <v>1</v>
      </c>
    </row>
    <row r="1126" spans="1:17" x14ac:dyDescent="0.25">
      <c r="A1126">
        <v>4</v>
      </c>
      <c r="B1126" t="s">
        <v>9252</v>
      </c>
      <c r="C1126" t="s">
        <v>31</v>
      </c>
      <c r="D1126" t="s">
        <v>11</v>
      </c>
      <c r="G1126" t="s">
        <v>9253</v>
      </c>
      <c r="H1126" t="s">
        <v>9254</v>
      </c>
      <c r="I1126" t="s">
        <v>9255</v>
      </c>
      <c r="J1126" t="s">
        <v>9253</v>
      </c>
      <c r="K1126" t="s">
        <v>9256</v>
      </c>
      <c r="L1126">
        <v>3</v>
      </c>
      <c r="N1126" t="s">
        <v>4713</v>
      </c>
      <c r="O1126" t="s">
        <v>9253</v>
      </c>
      <c r="P1126" t="s">
        <v>11</v>
      </c>
      <c r="Q1126">
        <v>1</v>
      </c>
    </row>
    <row r="1127" spans="1:17" x14ac:dyDescent="0.25">
      <c r="A1127">
        <v>4</v>
      </c>
      <c r="B1127" t="s">
        <v>9257</v>
      </c>
      <c r="C1127" t="s">
        <v>31</v>
      </c>
      <c r="D1127" t="s">
        <v>11</v>
      </c>
      <c r="G1127" t="s">
        <v>9258</v>
      </c>
      <c r="H1127" t="s">
        <v>9259</v>
      </c>
      <c r="I1127" t="s">
        <v>9260</v>
      </c>
      <c r="J1127" t="s">
        <v>9258</v>
      </c>
      <c r="K1127" t="s">
        <v>9261</v>
      </c>
      <c r="L1127">
        <v>4</v>
      </c>
      <c r="N1127" t="s">
        <v>4713</v>
      </c>
      <c r="O1127" t="s">
        <v>9258</v>
      </c>
      <c r="P1127" t="s">
        <v>11</v>
      </c>
      <c r="Q1127">
        <v>1</v>
      </c>
    </row>
    <row r="1128" spans="1:17" x14ac:dyDescent="0.25">
      <c r="A1128">
        <v>4</v>
      </c>
      <c r="B1128" t="s">
        <v>9262</v>
      </c>
      <c r="C1128" t="s">
        <v>31</v>
      </c>
      <c r="D1128" t="s">
        <v>11</v>
      </c>
      <c r="G1128" t="s">
        <v>9263</v>
      </c>
      <c r="H1128" t="s">
        <v>9264</v>
      </c>
      <c r="I1128" t="s">
        <v>9265</v>
      </c>
      <c r="J1128" t="s">
        <v>9263</v>
      </c>
      <c r="K1128" t="s">
        <v>9266</v>
      </c>
      <c r="L1128">
        <v>37</v>
      </c>
      <c r="O1128" t="s">
        <v>9263</v>
      </c>
      <c r="P1128" t="s">
        <v>11</v>
      </c>
      <c r="Q1128">
        <v>1</v>
      </c>
    </row>
    <row r="1129" spans="1:17" x14ac:dyDescent="0.25">
      <c r="A1129">
        <v>3</v>
      </c>
      <c r="B1129" t="s">
        <v>9267</v>
      </c>
      <c r="C1129" t="s">
        <v>31</v>
      </c>
      <c r="D1129" t="s">
        <v>11</v>
      </c>
      <c r="F1129" t="s">
        <v>117</v>
      </c>
      <c r="H1129" t="s">
        <v>118</v>
      </c>
      <c r="I1129" t="s">
        <v>351</v>
      </c>
      <c r="J1129" t="s">
        <v>117</v>
      </c>
      <c r="O1129" t="s">
        <v>117</v>
      </c>
      <c r="P1129" t="s">
        <v>11</v>
      </c>
      <c r="Q1129">
        <v>1</v>
      </c>
    </row>
    <row r="1130" spans="1:17" x14ac:dyDescent="0.25">
      <c r="A1130">
        <v>4</v>
      </c>
      <c r="B1130" t="s">
        <v>9268</v>
      </c>
      <c r="C1130" t="s">
        <v>31</v>
      </c>
      <c r="D1130" t="s">
        <v>11</v>
      </c>
      <c r="G1130">
        <v>28420</v>
      </c>
      <c r="H1130" t="s">
        <v>9269</v>
      </c>
      <c r="I1130" t="s">
        <v>9270</v>
      </c>
      <c r="J1130">
        <v>28420</v>
      </c>
      <c r="K1130" t="s">
        <v>9271</v>
      </c>
      <c r="L1130">
        <v>27</v>
      </c>
      <c r="O1130">
        <v>28420</v>
      </c>
      <c r="P1130" t="s">
        <v>11</v>
      </c>
      <c r="Q1130">
        <v>1</v>
      </c>
    </row>
    <row r="1131" spans="1:17" x14ac:dyDescent="0.25">
      <c r="A1131">
        <v>4</v>
      </c>
      <c r="B1131" t="s">
        <v>9272</v>
      </c>
      <c r="C1131" t="s">
        <v>31</v>
      </c>
      <c r="D1131" t="s">
        <v>11</v>
      </c>
      <c r="G1131" t="s">
        <v>9273</v>
      </c>
      <c r="H1131" t="s">
        <v>118</v>
      </c>
      <c r="I1131" t="s">
        <v>351</v>
      </c>
      <c r="J1131" t="s">
        <v>9273</v>
      </c>
      <c r="K1131" t="s">
        <v>9274</v>
      </c>
      <c r="L1131">
        <v>109</v>
      </c>
      <c r="O1131" t="s">
        <v>9273</v>
      </c>
      <c r="P1131" t="s">
        <v>11</v>
      </c>
      <c r="Q1131">
        <v>1</v>
      </c>
    </row>
    <row r="1132" spans="1:17" x14ac:dyDescent="0.25">
      <c r="A1132">
        <v>3</v>
      </c>
      <c r="B1132" t="s">
        <v>9275</v>
      </c>
      <c r="C1132" t="s">
        <v>31</v>
      </c>
      <c r="D1132" t="s">
        <v>11</v>
      </c>
      <c r="F1132" t="s">
        <v>115</v>
      </c>
      <c r="H1132" t="s">
        <v>9276</v>
      </c>
      <c r="I1132" t="s">
        <v>348</v>
      </c>
      <c r="J1132" t="s">
        <v>115</v>
      </c>
      <c r="O1132" t="s">
        <v>115</v>
      </c>
      <c r="P1132" t="s">
        <v>11</v>
      </c>
      <c r="Q1132">
        <v>1</v>
      </c>
    </row>
    <row r="1133" spans="1:17" x14ac:dyDescent="0.25">
      <c r="A1133">
        <v>4</v>
      </c>
      <c r="B1133" t="s">
        <v>9277</v>
      </c>
      <c r="C1133" t="s">
        <v>31</v>
      </c>
      <c r="D1133" t="s">
        <v>11</v>
      </c>
      <c r="G1133" t="s">
        <v>9278</v>
      </c>
      <c r="H1133" t="s">
        <v>9279</v>
      </c>
      <c r="I1133" t="s">
        <v>9280</v>
      </c>
      <c r="J1133" t="s">
        <v>9278</v>
      </c>
      <c r="K1133" t="s">
        <v>9281</v>
      </c>
      <c r="L1133">
        <v>908</v>
      </c>
      <c r="O1133" t="s">
        <v>9278</v>
      </c>
      <c r="P1133" t="s">
        <v>11</v>
      </c>
      <c r="Q1133">
        <v>1</v>
      </c>
    </row>
    <row r="1134" spans="1:17" x14ac:dyDescent="0.25">
      <c r="A1134">
        <v>4</v>
      </c>
      <c r="B1134" t="s">
        <v>9282</v>
      </c>
      <c r="C1134" t="s">
        <v>31</v>
      </c>
      <c r="D1134" t="s">
        <v>11</v>
      </c>
      <c r="G1134" t="s">
        <v>9283</v>
      </c>
      <c r="H1134" t="s">
        <v>9284</v>
      </c>
      <c r="I1134" t="s">
        <v>9285</v>
      </c>
      <c r="J1134" t="s">
        <v>9283</v>
      </c>
      <c r="K1134" t="s">
        <v>9286</v>
      </c>
      <c r="L1134">
        <v>293</v>
      </c>
      <c r="N1134" t="s">
        <v>9287</v>
      </c>
      <c r="O1134" t="s">
        <v>9283</v>
      </c>
      <c r="P1134" t="s">
        <v>11</v>
      </c>
      <c r="Q1134">
        <v>1</v>
      </c>
    </row>
    <row r="1135" spans="1:17" x14ac:dyDescent="0.25">
      <c r="A1135">
        <v>3</v>
      </c>
      <c r="B1135" t="s">
        <v>9288</v>
      </c>
      <c r="C1135" t="s">
        <v>31</v>
      </c>
      <c r="D1135" t="s">
        <v>11</v>
      </c>
      <c r="F1135" t="s">
        <v>9289</v>
      </c>
      <c r="H1135" t="s">
        <v>9290</v>
      </c>
      <c r="I1135" t="s">
        <v>9291</v>
      </c>
      <c r="J1135" t="s">
        <v>9289</v>
      </c>
      <c r="O1135" t="s">
        <v>9289</v>
      </c>
      <c r="P1135" t="s">
        <v>11</v>
      </c>
      <c r="Q1135">
        <v>1</v>
      </c>
    </row>
    <row r="1136" spans="1:17" x14ac:dyDescent="0.25">
      <c r="A1136">
        <v>4</v>
      </c>
      <c r="B1136" t="s">
        <v>9292</v>
      </c>
      <c r="C1136" t="s">
        <v>31</v>
      </c>
      <c r="D1136" t="s">
        <v>11</v>
      </c>
      <c r="G1136" t="s">
        <v>9293</v>
      </c>
      <c r="H1136" t="s">
        <v>9294</v>
      </c>
      <c r="I1136" t="s">
        <v>9291</v>
      </c>
      <c r="J1136" t="s">
        <v>9293</v>
      </c>
      <c r="K1136" t="s">
        <v>9295</v>
      </c>
      <c r="L1136">
        <v>62</v>
      </c>
      <c r="O1136" t="s">
        <v>9293</v>
      </c>
      <c r="P1136" t="s">
        <v>11</v>
      </c>
      <c r="Q1136">
        <v>1</v>
      </c>
    </row>
    <row r="1137" spans="1:17" x14ac:dyDescent="0.25">
      <c r="A1137">
        <v>4</v>
      </c>
      <c r="B1137" t="s">
        <v>9296</v>
      </c>
      <c r="C1137" t="s">
        <v>31</v>
      </c>
      <c r="D1137" t="s">
        <v>11</v>
      </c>
      <c r="G1137" t="s">
        <v>9297</v>
      </c>
      <c r="H1137" t="s">
        <v>9298</v>
      </c>
      <c r="I1137" t="s">
        <v>9299</v>
      </c>
      <c r="J1137" t="s">
        <v>9297</v>
      </c>
      <c r="K1137" t="s">
        <v>9300</v>
      </c>
      <c r="L1137">
        <v>13</v>
      </c>
      <c r="O1137" t="s">
        <v>9297</v>
      </c>
      <c r="P1137" t="s">
        <v>11</v>
      </c>
      <c r="Q1137">
        <v>1</v>
      </c>
    </row>
    <row r="1138" spans="1:17" x14ac:dyDescent="0.25">
      <c r="A1138">
        <v>3</v>
      </c>
      <c r="B1138" t="s">
        <v>9301</v>
      </c>
      <c r="C1138" t="s">
        <v>31</v>
      </c>
      <c r="D1138" t="s">
        <v>11</v>
      </c>
      <c r="F1138" t="s">
        <v>9302</v>
      </c>
      <c r="H1138" t="s">
        <v>9303</v>
      </c>
      <c r="I1138" t="s">
        <v>9304</v>
      </c>
      <c r="J1138" t="s">
        <v>9302</v>
      </c>
      <c r="O1138" t="s">
        <v>9302</v>
      </c>
      <c r="P1138" t="s">
        <v>11</v>
      </c>
      <c r="Q1138">
        <v>1</v>
      </c>
    </row>
    <row r="1139" spans="1:17" x14ac:dyDescent="0.25">
      <c r="A1139">
        <v>4</v>
      </c>
      <c r="B1139" t="s">
        <v>9305</v>
      </c>
      <c r="C1139" t="s">
        <v>31</v>
      </c>
      <c r="D1139" t="s">
        <v>11</v>
      </c>
      <c r="G1139">
        <v>529303</v>
      </c>
      <c r="H1139" t="s">
        <v>9306</v>
      </c>
      <c r="I1139" t="s">
        <v>9307</v>
      </c>
      <c r="J1139">
        <v>529303</v>
      </c>
      <c r="K1139" t="s">
        <v>9308</v>
      </c>
      <c r="L1139">
        <v>49</v>
      </c>
      <c r="O1139">
        <v>529303</v>
      </c>
      <c r="P1139" t="s">
        <v>11</v>
      </c>
      <c r="Q1139">
        <v>1</v>
      </c>
    </row>
    <row r="1140" spans="1:17" x14ac:dyDescent="0.25">
      <c r="A1140">
        <v>4</v>
      </c>
      <c r="B1140" t="s">
        <v>9309</v>
      </c>
      <c r="C1140" t="s">
        <v>31</v>
      </c>
      <c r="D1140" t="s">
        <v>11</v>
      </c>
      <c r="G1140" t="s">
        <v>9310</v>
      </c>
      <c r="H1140" t="s">
        <v>9303</v>
      </c>
      <c r="I1140" t="s">
        <v>9304</v>
      </c>
      <c r="J1140" t="s">
        <v>9310</v>
      </c>
      <c r="K1140" t="s">
        <v>9311</v>
      </c>
      <c r="L1140">
        <v>246</v>
      </c>
      <c r="O1140" t="s">
        <v>9310</v>
      </c>
      <c r="P1140" t="s">
        <v>11</v>
      </c>
      <c r="Q1140">
        <v>1</v>
      </c>
    </row>
    <row r="1141" spans="1:17" x14ac:dyDescent="0.25">
      <c r="A1141">
        <v>4</v>
      </c>
      <c r="B1141" t="s">
        <v>9312</v>
      </c>
      <c r="C1141" t="s">
        <v>31</v>
      </c>
      <c r="D1141" t="s">
        <v>11</v>
      </c>
      <c r="G1141" t="s">
        <v>9313</v>
      </c>
      <c r="H1141" t="s">
        <v>9314</v>
      </c>
      <c r="I1141" t="s">
        <v>9315</v>
      </c>
      <c r="J1141" t="s">
        <v>9313</v>
      </c>
      <c r="K1141" t="s">
        <v>9316</v>
      </c>
      <c r="L1141">
        <v>28</v>
      </c>
      <c r="O1141" t="s">
        <v>9313</v>
      </c>
      <c r="P1141" t="s">
        <v>11</v>
      </c>
      <c r="Q1141">
        <v>1</v>
      </c>
    </row>
    <row r="1142" spans="1:17" x14ac:dyDescent="0.25">
      <c r="A1142">
        <v>3</v>
      </c>
      <c r="B1142" t="s">
        <v>9317</v>
      </c>
      <c r="C1142" t="s">
        <v>31</v>
      </c>
      <c r="D1142" t="s">
        <v>11</v>
      </c>
      <c r="F1142" t="s">
        <v>9318</v>
      </c>
      <c r="H1142" t="s">
        <v>9319</v>
      </c>
      <c r="I1142" t="s">
        <v>9320</v>
      </c>
      <c r="J1142" t="s">
        <v>9318</v>
      </c>
      <c r="O1142" t="s">
        <v>9318</v>
      </c>
      <c r="P1142" t="s">
        <v>11</v>
      </c>
      <c r="Q1142">
        <v>1</v>
      </c>
    </row>
    <row r="1143" spans="1:17" x14ac:dyDescent="0.25">
      <c r="A1143">
        <v>4</v>
      </c>
      <c r="B1143" t="s">
        <v>9321</v>
      </c>
      <c r="C1143" t="s">
        <v>31</v>
      </c>
      <c r="D1143" t="s">
        <v>11</v>
      </c>
      <c r="G1143">
        <v>28428</v>
      </c>
      <c r="H1143" t="s">
        <v>9322</v>
      </c>
      <c r="I1143" t="s">
        <v>9323</v>
      </c>
      <c r="J1143">
        <v>28428</v>
      </c>
      <c r="K1143" t="s">
        <v>9324</v>
      </c>
      <c r="L1143">
        <v>44</v>
      </c>
      <c r="O1143">
        <v>28428</v>
      </c>
      <c r="P1143" t="s">
        <v>11</v>
      </c>
      <c r="Q1143">
        <v>1</v>
      </c>
    </row>
    <row r="1144" spans="1:17" x14ac:dyDescent="0.25">
      <c r="A1144">
        <v>4</v>
      </c>
      <c r="B1144" t="s">
        <v>9325</v>
      </c>
      <c r="C1144" t="s">
        <v>31</v>
      </c>
      <c r="D1144" t="s">
        <v>11</v>
      </c>
      <c r="G1144">
        <v>28430</v>
      </c>
      <c r="H1144" t="s">
        <v>9326</v>
      </c>
      <c r="I1144" t="s">
        <v>9327</v>
      </c>
      <c r="J1144">
        <v>28430</v>
      </c>
      <c r="K1144" t="s">
        <v>9328</v>
      </c>
      <c r="L1144">
        <v>8</v>
      </c>
      <c r="N1144" t="s">
        <v>4713</v>
      </c>
      <c r="O1144">
        <v>28430</v>
      </c>
      <c r="P1144" t="s">
        <v>11</v>
      </c>
      <c r="Q1144">
        <v>1</v>
      </c>
    </row>
    <row r="1145" spans="1:17" x14ac:dyDescent="0.25">
      <c r="A1145">
        <v>4</v>
      </c>
      <c r="B1145" t="s">
        <v>9329</v>
      </c>
      <c r="C1145" t="s">
        <v>31</v>
      </c>
      <c r="D1145" t="s">
        <v>11</v>
      </c>
      <c r="G1145" t="s">
        <v>9330</v>
      </c>
      <c r="H1145" t="s">
        <v>9331</v>
      </c>
      <c r="I1145" t="s">
        <v>9332</v>
      </c>
      <c r="J1145" t="s">
        <v>9330</v>
      </c>
      <c r="K1145" t="s">
        <v>9333</v>
      </c>
      <c r="L1145">
        <v>121</v>
      </c>
      <c r="O1145" t="s">
        <v>9330</v>
      </c>
      <c r="P1145" t="s">
        <v>11</v>
      </c>
      <c r="Q1145">
        <v>1</v>
      </c>
    </row>
    <row r="1146" spans="1:17" x14ac:dyDescent="0.25">
      <c r="A1146">
        <v>4</v>
      </c>
      <c r="B1146" t="s">
        <v>9334</v>
      </c>
      <c r="C1146" t="s">
        <v>31</v>
      </c>
      <c r="D1146" t="s">
        <v>11</v>
      </c>
      <c r="G1146" t="s">
        <v>9335</v>
      </c>
      <c r="H1146" t="s">
        <v>9336</v>
      </c>
      <c r="I1146" t="s">
        <v>9337</v>
      </c>
      <c r="J1146" t="s">
        <v>9335</v>
      </c>
      <c r="K1146" t="s">
        <v>9338</v>
      </c>
      <c r="L1146">
        <v>89</v>
      </c>
      <c r="O1146" t="s">
        <v>9335</v>
      </c>
      <c r="P1146" t="s">
        <v>11</v>
      </c>
      <c r="Q1146">
        <v>1</v>
      </c>
    </row>
    <row r="1147" spans="1:17" x14ac:dyDescent="0.25">
      <c r="A1147">
        <v>4</v>
      </c>
      <c r="B1147" t="s">
        <v>9339</v>
      </c>
      <c r="C1147" t="s">
        <v>31</v>
      </c>
      <c r="D1147" t="s">
        <v>11</v>
      </c>
      <c r="G1147" t="s">
        <v>9340</v>
      </c>
      <c r="H1147" t="s">
        <v>9341</v>
      </c>
      <c r="I1147" t="s">
        <v>9342</v>
      </c>
      <c r="J1147" t="s">
        <v>9340</v>
      </c>
      <c r="K1147" t="s">
        <v>9343</v>
      </c>
      <c r="L1147">
        <v>49</v>
      </c>
      <c r="O1147" t="s">
        <v>9340</v>
      </c>
      <c r="P1147" t="s">
        <v>11</v>
      </c>
      <c r="Q1147">
        <v>1</v>
      </c>
    </row>
    <row r="1148" spans="1:17" x14ac:dyDescent="0.25">
      <c r="A1148">
        <v>3</v>
      </c>
      <c r="B1148" t="s">
        <v>9344</v>
      </c>
      <c r="C1148" t="s">
        <v>31</v>
      </c>
      <c r="D1148" t="s">
        <v>11</v>
      </c>
      <c r="F1148" t="s">
        <v>125</v>
      </c>
      <c r="H1148" t="s">
        <v>126</v>
      </c>
      <c r="I1148" t="s">
        <v>978</v>
      </c>
      <c r="J1148" t="s">
        <v>125</v>
      </c>
      <c r="O1148" t="s">
        <v>125</v>
      </c>
      <c r="P1148" t="s">
        <v>11</v>
      </c>
      <c r="Q1148">
        <v>1</v>
      </c>
    </row>
    <row r="1149" spans="1:17" x14ac:dyDescent="0.25">
      <c r="A1149">
        <v>4</v>
      </c>
      <c r="B1149" t="s">
        <v>9345</v>
      </c>
      <c r="C1149" t="s">
        <v>31</v>
      </c>
      <c r="D1149" t="s">
        <v>11</v>
      </c>
      <c r="G1149">
        <v>28404</v>
      </c>
      <c r="H1149" t="s">
        <v>9346</v>
      </c>
      <c r="I1149" t="s">
        <v>9347</v>
      </c>
      <c r="J1149">
        <v>28404</v>
      </c>
      <c r="K1149" t="s">
        <v>9348</v>
      </c>
      <c r="L1149">
        <v>21</v>
      </c>
      <c r="O1149">
        <v>28404</v>
      </c>
      <c r="P1149" t="s">
        <v>11</v>
      </c>
      <c r="Q1149">
        <v>1</v>
      </c>
    </row>
    <row r="1150" spans="1:17" x14ac:dyDescent="0.25">
      <c r="A1150">
        <v>4</v>
      </c>
      <c r="B1150" t="s">
        <v>9349</v>
      </c>
      <c r="C1150" t="s">
        <v>31</v>
      </c>
      <c r="D1150" t="s">
        <v>11</v>
      </c>
      <c r="G1150" t="s">
        <v>9350</v>
      </c>
      <c r="H1150" t="s">
        <v>9351</v>
      </c>
      <c r="I1150" t="s">
        <v>9352</v>
      </c>
      <c r="J1150" t="s">
        <v>9350</v>
      </c>
      <c r="K1150" t="s">
        <v>9353</v>
      </c>
      <c r="L1150">
        <v>161</v>
      </c>
      <c r="O1150" t="s">
        <v>9350</v>
      </c>
      <c r="P1150" t="s">
        <v>11</v>
      </c>
      <c r="Q1150">
        <v>1</v>
      </c>
    </row>
    <row r="1151" spans="1:17" x14ac:dyDescent="0.25">
      <c r="A1151">
        <v>4</v>
      </c>
      <c r="B1151" t="s">
        <v>9354</v>
      </c>
      <c r="C1151" t="s">
        <v>31</v>
      </c>
      <c r="D1151" t="s">
        <v>11</v>
      </c>
      <c r="G1151" t="s">
        <v>9355</v>
      </c>
      <c r="H1151" t="s">
        <v>9356</v>
      </c>
      <c r="I1151" t="s">
        <v>9357</v>
      </c>
      <c r="J1151" t="s">
        <v>9355</v>
      </c>
      <c r="K1151" t="s">
        <v>9358</v>
      </c>
      <c r="L1151">
        <v>23</v>
      </c>
      <c r="O1151" t="s">
        <v>9355</v>
      </c>
      <c r="P1151" t="s">
        <v>11</v>
      </c>
      <c r="Q1151">
        <v>1</v>
      </c>
    </row>
    <row r="1152" spans="1:17" x14ac:dyDescent="0.25">
      <c r="A1152">
        <v>4</v>
      </c>
      <c r="B1152" t="s">
        <v>9359</v>
      </c>
      <c r="C1152" t="s">
        <v>31</v>
      </c>
      <c r="D1152" t="s">
        <v>11</v>
      </c>
      <c r="G1152" t="s">
        <v>9360</v>
      </c>
      <c r="H1152" t="s">
        <v>9361</v>
      </c>
      <c r="I1152" t="s">
        <v>9362</v>
      </c>
      <c r="J1152" t="s">
        <v>9360</v>
      </c>
      <c r="K1152" t="s">
        <v>9363</v>
      </c>
      <c r="L1152">
        <v>37</v>
      </c>
      <c r="O1152" t="s">
        <v>9360</v>
      </c>
      <c r="P1152" t="s">
        <v>11</v>
      </c>
      <c r="Q1152">
        <v>1</v>
      </c>
    </row>
    <row r="1153" spans="1:17" x14ac:dyDescent="0.25">
      <c r="A1153">
        <v>2</v>
      </c>
      <c r="B1153" t="s">
        <v>9364</v>
      </c>
      <c r="C1153" t="s">
        <v>31</v>
      </c>
      <c r="D1153" t="s">
        <v>11</v>
      </c>
      <c r="E1153" t="s">
        <v>40</v>
      </c>
      <c r="H1153" t="s">
        <v>41</v>
      </c>
      <c r="I1153" t="s">
        <v>281</v>
      </c>
      <c r="J1153" t="s">
        <v>40</v>
      </c>
      <c r="O1153" t="s">
        <v>40</v>
      </c>
      <c r="P1153" t="s">
        <v>11</v>
      </c>
      <c r="Q1153">
        <v>1</v>
      </c>
    </row>
    <row r="1154" spans="1:17" x14ac:dyDescent="0.25">
      <c r="A1154">
        <v>3</v>
      </c>
      <c r="B1154" t="s">
        <v>9365</v>
      </c>
      <c r="C1154" t="s">
        <v>31</v>
      </c>
      <c r="D1154" t="s">
        <v>11</v>
      </c>
      <c r="F1154" t="s">
        <v>76</v>
      </c>
      <c r="H1154" t="s">
        <v>9366</v>
      </c>
      <c r="I1154" t="s">
        <v>980</v>
      </c>
      <c r="J1154" t="s">
        <v>76</v>
      </c>
      <c r="O1154" t="s">
        <v>76</v>
      </c>
      <c r="P1154" t="s">
        <v>11</v>
      </c>
      <c r="Q1154">
        <v>1</v>
      </c>
    </row>
    <row r="1155" spans="1:17" x14ac:dyDescent="0.25">
      <c r="A1155">
        <v>4</v>
      </c>
      <c r="B1155" t="s">
        <v>9367</v>
      </c>
      <c r="C1155" t="s">
        <v>31</v>
      </c>
      <c r="D1155" t="s">
        <v>11</v>
      </c>
      <c r="G1155">
        <v>28254</v>
      </c>
      <c r="H1155" t="s">
        <v>9368</v>
      </c>
      <c r="I1155" t="s">
        <v>9369</v>
      </c>
      <c r="J1155">
        <v>28254</v>
      </c>
      <c r="K1155" t="s">
        <v>9370</v>
      </c>
      <c r="L1155">
        <v>108</v>
      </c>
      <c r="O1155">
        <v>28254</v>
      </c>
      <c r="P1155" t="s">
        <v>11</v>
      </c>
      <c r="Q1155">
        <v>1</v>
      </c>
    </row>
    <row r="1156" spans="1:17" x14ac:dyDescent="0.25">
      <c r="A1156">
        <v>4</v>
      </c>
      <c r="B1156" t="s">
        <v>9371</v>
      </c>
      <c r="C1156" t="s">
        <v>31</v>
      </c>
      <c r="D1156" t="s">
        <v>11</v>
      </c>
      <c r="G1156">
        <v>28270</v>
      </c>
      <c r="H1156" t="s">
        <v>9372</v>
      </c>
      <c r="I1156" t="s">
        <v>9373</v>
      </c>
      <c r="J1156">
        <v>28270</v>
      </c>
      <c r="K1156" t="s">
        <v>9374</v>
      </c>
      <c r="L1156">
        <v>15</v>
      </c>
      <c r="O1156">
        <v>28270</v>
      </c>
      <c r="P1156" t="s">
        <v>11</v>
      </c>
      <c r="Q1156">
        <v>1</v>
      </c>
    </row>
    <row r="1157" spans="1:17" x14ac:dyDescent="0.25">
      <c r="A1157">
        <v>4</v>
      </c>
      <c r="B1157" t="s">
        <v>9375</v>
      </c>
      <c r="C1157" t="s">
        <v>31</v>
      </c>
      <c r="D1157" t="s">
        <v>11</v>
      </c>
      <c r="G1157">
        <v>282931</v>
      </c>
      <c r="H1157" t="s">
        <v>9376</v>
      </c>
      <c r="I1157" t="s">
        <v>9377</v>
      </c>
      <c r="J1157">
        <v>282931</v>
      </c>
      <c r="K1157" t="s">
        <v>9378</v>
      </c>
      <c r="L1157">
        <v>1</v>
      </c>
      <c r="N1157" t="s">
        <v>4734</v>
      </c>
      <c r="O1157">
        <v>282931</v>
      </c>
      <c r="P1157" t="s">
        <v>11</v>
      </c>
      <c r="Q1157">
        <v>1</v>
      </c>
    </row>
    <row r="1158" spans="1:17" x14ac:dyDescent="0.25">
      <c r="A1158">
        <v>4</v>
      </c>
      <c r="B1158" t="s">
        <v>9379</v>
      </c>
      <c r="C1158" t="s">
        <v>31</v>
      </c>
      <c r="D1158" t="s">
        <v>11</v>
      </c>
      <c r="G1158" t="s">
        <v>9380</v>
      </c>
      <c r="H1158" t="s">
        <v>9381</v>
      </c>
      <c r="I1158" t="s">
        <v>9382</v>
      </c>
      <c r="J1158" t="s">
        <v>9380</v>
      </c>
      <c r="K1158" t="s">
        <v>9383</v>
      </c>
      <c r="L1158">
        <v>72</v>
      </c>
      <c r="O1158" t="s">
        <v>9380</v>
      </c>
      <c r="P1158" t="s">
        <v>11</v>
      </c>
      <c r="Q1158">
        <v>1</v>
      </c>
    </row>
    <row r="1159" spans="1:17" x14ac:dyDescent="0.25">
      <c r="A1159">
        <v>4</v>
      </c>
      <c r="B1159" t="s">
        <v>9384</v>
      </c>
      <c r="C1159" t="s">
        <v>31</v>
      </c>
      <c r="D1159" t="s">
        <v>11</v>
      </c>
      <c r="G1159" t="s">
        <v>9385</v>
      </c>
      <c r="H1159" t="s">
        <v>9386</v>
      </c>
      <c r="I1159" t="s">
        <v>9387</v>
      </c>
      <c r="J1159" t="s">
        <v>9385</v>
      </c>
      <c r="K1159" t="s">
        <v>9388</v>
      </c>
      <c r="L1159">
        <v>252</v>
      </c>
      <c r="O1159" t="s">
        <v>9385</v>
      </c>
      <c r="P1159" t="s">
        <v>11</v>
      </c>
      <c r="Q1159">
        <v>1</v>
      </c>
    </row>
    <row r="1160" spans="1:17" x14ac:dyDescent="0.25">
      <c r="A1160">
        <v>4</v>
      </c>
      <c r="B1160" t="s">
        <v>9389</v>
      </c>
      <c r="C1160" t="s">
        <v>31</v>
      </c>
      <c r="D1160" t="s">
        <v>11</v>
      </c>
      <c r="G1160" t="s">
        <v>9390</v>
      </c>
      <c r="H1160" t="s">
        <v>9391</v>
      </c>
      <c r="I1160" t="s">
        <v>9392</v>
      </c>
      <c r="J1160" t="s">
        <v>9390</v>
      </c>
      <c r="K1160" t="s">
        <v>9393</v>
      </c>
      <c r="L1160">
        <v>25</v>
      </c>
      <c r="O1160" t="s">
        <v>9390</v>
      </c>
      <c r="P1160" t="s">
        <v>11</v>
      </c>
      <c r="Q1160">
        <v>1</v>
      </c>
    </row>
    <row r="1161" spans="1:17" x14ac:dyDescent="0.25">
      <c r="A1161">
        <v>4</v>
      </c>
      <c r="B1161" t="s">
        <v>9394</v>
      </c>
      <c r="C1161" t="s">
        <v>31</v>
      </c>
      <c r="D1161" t="s">
        <v>11</v>
      </c>
      <c r="G1161" t="s">
        <v>9395</v>
      </c>
      <c r="H1161" t="s">
        <v>9396</v>
      </c>
      <c r="I1161" t="s">
        <v>9397</v>
      </c>
      <c r="J1161" t="s">
        <v>9395</v>
      </c>
      <c r="K1161" t="s">
        <v>9398</v>
      </c>
      <c r="L1161">
        <v>39</v>
      </c>
      <c r="O1161" t="s">
        <v>9395</v>
      </c>
      <c r="P1161" t="s">
        <v>11</v>
      </c>
      <c r="Q1161">
        <v>1</v>
      </c>
    </row>
    <row r="1162" spans="1:17" x14ac:dyDescent="0.25">
      <c r="A1162">
        <v>3</v>
      </c>
      <c r="B1162" t="s">
        <v>9399</v>
      </c>
      <c r="C1162" t="s">
        <v>31</v>
      </c>
      <c r="D1162" t="s">
        <v>11</v>
      </c>
      <c r="F1162" t="s">
        <v>72</v>
      </c>
      <c r="H1162" t="s">
        <v>73</v>
      </c>
      <c r="I1162" t="s">
        <v>289</v>
      </c>
      <c r="J1162" t="s">
        <v>72</v>
      </c>
      <c r="O1162" t="s">
        <v>72</v>
      </c>
      <c r="P1162" t="s">
        <v>11</v>
      </c>
      <c r="Q1162">
        <v>1</v>
      </c>
    </row>
    <row r="1163" spans="1:17" x14ac:dyDescent="0.25">
      <c r="A1163">
        <v>4</v>
      </c>
      <c r="B1163" t="s">
        <v>9400</v>
      </c>
      <c r="C1163" t="s">
        <v>31</v>
      </c>
      <c r="D1163" t="s">
        <v>11</v>
      </c>
      <c r="G1163" t="s">
        <v>9401</v>
      </c>
      <c r="H1163" t="s">
        <v>9402</v>
      </c>
      <c r="I1163" t="s">
        <v>9403</v>
      </c>
      <c r="J1163" t="s">
        <v>9401</v>
      </c>
      <c r="K1163" t="s">
        <v>9404</v>
      </c>
      <c r="L1163">
        <v>39</v>
      </c>
      <c r="O1163" t="s">
        <v>9401</v>
      </c>
      <c r="P1163" t="s">
        <v>11</v>
      </c>
      <c r="Q1163">
        <v>1</v>
      </c>
    </row>
    <row r="1164" spans="1:17" x14ac:dyDescent="0.25">
      <c r="A1164">
        <v>4</v>
      </c>
      <c r="B1164" t="s">
        <v>9405</v>
      </c>
      <c r="C1164" t="s">
        <v>31</v>
      </c>
      <c r="D1164" t="s">
        <v>11</v>
      </c>
      <c r="G1164" t="s">
        <v>9406</v>
      </c>
      <c r="H1164" t="s">
        <v>9407</v>
      </c>
      <c r="I1164" t="s">
        <v>9408</v>
      </c>
      <c r="J1164" t="s">
        <v>9406</v>
      </c>
      <c r="K1164" t="s">
        <v>9409</v>
      </c>
      <c r="L1164">
        <v>59</v>
      </c>
      <c r="O1164" t="s">
        <v>9406</v>
      </c>
      <c r="P1164" t="s">
        <v>11</v>
      </c>
      <c r="Q1164">
        <v>1</v>
      </c>
    </row>
    <row r="1165" spans="1:17" x14ac:dyDescent="0.25">
      <c r="A1165">
        <v>4</v>
      </c>
      <c r="B1165" t="s">
        <v>9410</v>
      </c>
      <c r="C1165" t="s">
        <v>31</v>
      </c>
      <c r="D1165" t="s">
        <v>11</v>
      </c>
      <c r="G1165" t="s">
        <v>9411</v>
      </c>
      <c r="H1165" t="s">
        <v>9412</v>
      </c>
      <c r="I1165" t="s">
        <v>9413</v>
      </c>
      <c r="J1165" t="s">
        <v>9411</v>
      </c>
      <c r="K1165" t="s">
        <v>9414</v>
      </c>
      <c r="L1165">
        <v>59</v>
      </c>
      <c r="O1165" t="s">
        <v>9411</v>
      </c>
      <c r="P1165" t="s">
        <v>11</v>
      </c>
      <c r="Q1165">
        <v>1</v>
      </c>
    </row>
    <row r="1166" spans="1:17" x14ac:dyDescent="0.25">
      <c r="A1166">
        <v>3</v>
      </c>
      <c r="B1166" t="s">
        <v>9415</v>
      </c>
      <c r="C1166" t="s">
        <v>31</v>
      </c>
      <c r="D1166" t="s">
        <v>11</v>
      </c>
      <c r="F1166" t="s">
        <v>78</v>
      </c>
      <c r="H1166" t="s">
        <v>9416</v>
      </c>
      <c r="I1166" t="s">
        <v>297</v>
      </c>
      <c r="J1166" t="s">
        <v>78</v>
      </c>
      <c r="O1166" t="s">
        <v>78</v>
      </c>
      <c r="P1166" t="s">
        <v>11</v>
      </c>
      <c r="Q1166">
        <v>1</v>
      </c>
    </row>
    <row r="1167" spans="1:17" x14ac:dyDescent="0.25">
      <c r="A1167">
        <v>4</v>
      </c>
      <c r="B1167" t="s">
        <v>9417</v>
      </c>
      <c r="C1167" t="s">
        <v>31</v>
      </c>
      <c r="D1167" t="s">
        <v>11</v>
      </c>
      <c r="G1167">
        <v>28331</v>
      </c>
      <c r="H1167" t="s">
        <v>9418</v>
      </c>
      <c r="I1167" t="s">
        <v>9419</v>
      </c>
      <c r="J1167">
        <v>28331</v>
      </c>
      <c r="K1167" t="s">
        <v>9420</v>
      </c>
      <c r="L1167">
        <v>3</v>
      </c>
      <c r="N1167" t="s">
        <v>4713</v>
      </c>
      <c r="O1167">
        <v>28331</v>
      </c>
      <c r="P1167" t="s">
        <v>11</v>
      </c>
      <c r="Q1167">
        <v>1</v>
      </c>
    </row>
    <row r="1168" spans="1:17" x14ac:dyDescent="0.25">
      <c r="A1168">
        <v>4</v>
      </c>
      <c r="B1168" t="s">
        <v>9421</v>
      </c>
      <c r="C1168" t="s">
        <v>31</v>
      </c>
      <c r="D1168" t="s">
        <v>11</v>
      </c>
      <c r="G1168">
        <v>28334</v>
      </c>
      <c r="H1168" t="s">
        <v>9422</v>
      </c>
      <c r="I1168" t="s">
        <v>9423</v>
      </c>
      <c r="J1168">
        <v>28334</v>
      </c>
      <c r="K1168" t="s">
        <v>9424</v>
      </c>
      <c r="L1168">
        <v>2</v>
      </c>
      <c r="N1168" t="s">
        <v>4713</v>
      </c>
      <c r="O1168">
        <v>28334</v>
      </c>
      <c r="P1168" t="s">
        <v>11</v>
      </c>
      <c r="Q1168">
        <v>1</v>
      </c>
    </row>
    <row r="1169" spans="1:17" x14ac:dyDescent="0.25">
      <c r="A1169">
        <v>4</v>
      </c>
      <c r="B1169" t="s">
        <v>9425</v>
      </c>
      <c r="C1169" t="s">
        <v>31</v>
      </c>
      <c r="D1169" t="s">
        <v>11</v>
      </c>
      <c r="G1169">
        <v>28336</v>
      </c>
      <c r="H1169" t="s">
        <v>9426</v>
      </c>
      <c r="I1169" t="s">
        <v>9427</v>
      </c>
      <c r="J1169">
        <v>28336</v>
      </c>
      <c r="K1169" t="s">
        <v>9428</v>
      </c>
      <c r="L1169">
        <v>2</v>
      </c>
      <c r="N1169" t="s">
        <v>4713</v>
      </c>
      <c r="O1169">
        <v>28336</v>
      </c>
      <c r="P1169" t="s">
        <v>11</v>
      </c>
      <c r="Q1169">
        <v>1</v>
      </c>
    </row>
    <row r="1170" spans="1:17" x14ac:dyDescent="0.25">
      <c r="A1170">
        <v>4</v>
      </c>
      <c r="B1170" t="s">
        <v>9429</v>
      </c>
      <c r="C1170" t="s">
        <v>31</v>
      </c>
      <c r="D1170" t="s">
        <v>11</v>
      </c>
      <c r="G1170">
        <v>28378</v>
      </c>
      <c r="H1170" t="s">
        <v>9430</v>
      </c>
      <c r="I1170" t="s">
        <v>9431</v>
      </c>
      <c r="J1170">
        <v>28378</v>
      </c>
      <c r="K1170" t="s">
        <v>9432</v>
      </c>
      <c r="L1170">
        <v>14</v>
      </c>
      <c r="O1170">
        <v>28378</v>
      </c>
      <c r="P1170" t="s">
        <v>11</v>
      </c>
      <c r="Q1170">
        <v>1</v>
      </c>
    </row>
    <row r="1171" spans="1:17" x14ac:dyDescent="0.25">
      <c r="A1171">
        <v>4</v>
      </c>
      <c r="B1171" t="s">
        <v>9433</v>
      </c>
      <c r="C1171" t="s">
        <v>31</v>
      </c>
      <c r="D1171" t="s">
        <v>11</v>
      </c>
      <c r="G1171" t="s">
        <v>9434</v>
      </c>
      <c r="H1171" t="s">
        <v>9435</v>
      </c>
      <c r="I1171" t="s">
        <v>9436</v>
      </c>
      <c r="J1171" t="s">
        <v>9434</v>
      </c>
      <c r="K1171" t="s">
        <v>9437</v>
      </c>
      <c r="L1171">
        <v>4</v>
      </c>
      <c r="N1171" t="s">
        <v>4713</v>
      </c>
      <c r="O1171" t="s">
        <v>9434</v>
      </c>
      <c r="P1171" t="s">
        <v>11</v>
      </c>
      <c r="Q1171">
        <v>1</v>
      </c>
    </row>
    <row r="1172" spans="1:17" x14ac:dyDescent="0.25">
      <c r="A1172">
        <v>4</v>
      </c>
      <c r="B1172" t="s">
        <v>9438</v>
      </c>
      <c r="C1172" t="s">
        <v>31</v>
      </c>
      <c r="D1172" t="s">
        <v>11</v>
      </c>
      <c r="G1172" t="s">
        <v>9439</v>
      </c>
      <c r="H1172" t="s">
        <v>9440</v>
      </c>
      <c r="I1172" t="s">
        <v>9441</v>
      </c>
      <c r="J1172" t="s">
        <v>9439</v>
      </c>
      <c r="K1172" t="s">
        <v>9442</v>
      </c>
      <c r="L1172">
        <v>77</v>
      </c>
      <c r="O1172" t="s">
        <v>9439</v>
      </c>
      <c r="P1172" t="s">
        <v>11</v>
      </c>
      <c r="Q1172">
        <v>1</v>
      </c>
    </row>
    <row r="1173" spans="1:17" x14ac:dyDescent="0.25">
      <c r="A1173">
        <v>4</v>
      </c>
      <c r="B1173" t="s">
        <v>9443</v>
      </c>
      <c r="C1173" t="s">
        <v>31</v>
      </c>
      <c r="D1173" t="s">
        <v>11</v>
      </c>
      <c r="G1173" t="s">
        <v>9444</v>
      </c>
      <c r="H1173" t="s">
        <v>9445</v>
      </c>
      <c r="I1173" t="s">
        <v>9446</v>
      </c>
      <c r="J1173" t="s">
        <v>9444</v>
      </c>
      <c r="K1173" t="s">
        <v>9447</v>
      </c>
      <c r="L1173">
        <v>16</v>
      </c>
      <c r="O1173" t="s">
        <v>9444</v>
      </c>
      <c r="P1173" t="s">
        <v>11</v>
      </c>
      <c r="Q1173">
        <v>1</v>
      </c>
    </row>
    <row r="1174" spans="1:17" x14ac:dyDescent="0.25">
      <c r="A1174">
        <v>3</v>
      </c>
      <c r="B1174" t="s">
        <v>9448</v>
      </c>
      <c r="C1174" t="s">
        <v>31</v>
      </c>
      <c r="D1174" t="s">
        <v>11</v>
      </c>
      <c r="F1174" t="s">
        <v>70</v>
      </c>
      <c r="H1174" t="s">
        <v>71</v>
      </c>
      <c r="I1174" t="s">
        <v>286</v>
      </c>
      <c r="J1174" t="s">
        <v>70</v>
      </c>
      <c r="O1174" t="s">
        <v>70</v>
      </c>
      <c r="P1174" t="s">
        <v>11</v>
      </c>
      <c r="Q1174">
        <v>1</v>
      </c>
    </row>
    <row r="1175" spans="1:17" x14ac:dyDescent="0.25">
      <c r="A1175">
        <v>4</v>
      </c>
      <c r="B1175" t="s">
        <v>9449</v>
      </c>
      <c r="C1175" t="s">
        <v>31</v>
      </c>
      <c r="D1175" t="s">
        <v>11</v>
      </c>
      <c r="G1175">
        <v>28384</v>
      </c>
      <c r="H1175" t="s">
        <v>9450</v>
      </c>
      <c r="I1175" t="s">
        <v>981</v>
      </c>
      <c r="J1175">
        <v>28384</v>
      </c>
      <c r="K1175" t="s">
        <v>9451</v>
      </c>
      <c r="L1175">
        <v>33</v>
      </c>
      <c r="O1175">
        <v>28384</v>
      </c>
      <c r="P1175" t="s">
        <v>11</v>
      </c>
      <c r="Q1175">
        <v>1</v>
      </c>
    </row>
    <row r="1176" spans="1:17" x14ac:dyDescent="0.25">
      <c r="A1176">
        <v>4</v>
      </c>
      <c r="B1176" t="s">
        <v>9452</v>
      </c>
      <c r="C1176" t="s">
        <v>31</v>
      </c>
      <c r="D1176" t="s">
        <v>11</v>
      </c>
      <c r="G1176">
        <v>28386</v>
      </c>
      <c r="H1176" t="s">
        <v>5182</v>
      </c>
      <c r="I1176" t="s">
        <v>5183</v>
      </c>
      <c r="J1176">
        <v>28386</v>
      </c>
      <c r="K1176" t="s">
        <v>9453</v>
      </c>
      <c r="L1176">
        <v>6</v>
      </c>
      <c r="N1176" t="s">
        <v>4713</v>
      </c>
      <c r="O1176">
        <v>28386</v>
      </c>
      <c r="P1176" t="s">
        <v>11</v>
      </c>
      <c r="Q1176">
        <v>1</v>
      </c>
    </row>
    <row r="1177" spans="1:17" x14ac:dyDescent="0.25">
      <c r="A1177">
        <v>4</v>
      </c>
      <c r="B1177" t="s">
        <v>9454</v>
      </c>
      <c r="C1177" t="s">
        <v>31</v>
      </c>
      <c r="D1177" t="s">
        <v>11</v>
      </c>
      <c r="G1177" t="s">
        <v>9455</v>
      </c>
      <c r="H1177" t="s">
        <v>9456</v>
      </c>
      <c r="I1177" t="s">
        <v>9457</v>
      </c>
      <c r="J1177" t="s">
        <v>9455</v>
      </c>
      <c r="K1177" t="s">
        <v>9458</v>
      </c>
      <c r="L1177">
        <v>29</v>
      </c>
      <c r="O1177" t="s">
        <v>9455</v>
      </c>
      <c r="P1177" t="s">
        <v>11</v>
      </c>
      <c r="Q1177">
        <v>1</v>
      </c>
    </row>
    <row r="1178" spans="1:17" x14ac:dyDescent="0.25">
      <c r="A1178">
        <v>3</v>
      </c>
      <c r="B1178" t="s">
        <v>9459</v>
      </c>
      <c r="C1178" t="s">
        <v>31</v>
      </c>
      <c r="D1178" t="s">
        <v>11</v>
      </c>
      <c r="F1178" t="s">
        <v>80</v>
      </c>
      <c r="H1178" t="s">
        <v>81</v>
      </c>
      <c r="I1178" t="s">
        <v>981</v>
      </c>
      <c r="J1178" t="s">
        <v>80</v>
      </c>
      <c r="O1178" t="s">
        <v>80</v>
      </c>
      <c r="P1178" t="s">
        <v>11</v>
      </c>
      <c r="Q1178">
        <v>1</v>
      </c>
    </row>
    <row r="1179" spans="1:17" x14ac:dyDescent="0.25">
      <c r="A1179">
        <v>4</v>
      </c>
      <c r="B1179" t="s">
        <v>9460</v>
      </c>
      <c r="C1179" t="s">
        <v>31</v>
      </c>
      <c r="D1179" t="s">
        <v>11</v>
      </c>
      <c r="G1179">
        <v>184812</v>
      </c>
      <c r="H1179" t="s">
        <v>9461</v>
      </c>
      <c r="I1179" t="s">
        <v>9462</v>
      </c>
      <c r="J1179">
        <v>184812</v>
      </c>
      <c r="K1179" t="s">
        <v>9463</v>
      </c>
      <c r="L1179">
        <v>18</v>
      </c>
      <c r="O1179">
        <v>184812</v>
      </c>
      <c r="P1179" t="s">
        <v>11</v>
      </c>
      <c r="Q1179">
        <v>1</v>
      </c>
    </row>
    <row r="1180" spans="1:17" x14ac:dyDescent="0.25">
      <c r="A1180">
        <v>4</v>
      </c>
      <c r="B1180" t="s">
        <v>9464</v>
      </c>
      <c r="C1180" t="s">
        <v>31</v>
      </c>
      <c r="D1180" t="s">
        <v>11</v>
      </c>
      <c r="G1180">
        <v>184814</v>
      </c>
      <c r="H1180" t="s">
        <v>9465</v>
      </c>
      <c r="I1180" t="s">
        <v>9465</v>
      </c>
      <c r="J1180">
        <v>184814</v>
      </c>
      <c r="K1180" t="s">
        <v>9466</v>
      </c>
      <c r="L1180">
        <v>18</v>
      </c>
      <c r="O1180">
        <v>184814</v>
      </c>
      <c r="P1180" t="s">
        <v>11</v>
      </c>
      <c r="Q1180">
        <v>1</v>
      </c>
    </row>
    <row r="1181" spans="1:17" x14ac:dyDescent="0.25">
      <c r="A1181">
        <v>3</v>
      </c>
      <c r="B1181" t="s">
        <v>9467</v>
      </c>
      <c r="C1181" t="s">
        <v>31</v>
      </c>
      <c r="D1181" t="s">
        <v>11</v>
      </c>
      <c r="F1181" t="s">
        <v>74</v>
      </c>
      <c r="H1181" t="s">
        <v>9468</v>
      </c>
      <c r="I1181" t="s">
        <v>292</v>
      </c>
      <c r="J1181" t="s">
        <v>74</v>
      </c>
      <c r="O1181" t="s">
        <v>74</v>
      </c>
      <c r="P1181" t="s">
        <v>11</v>
      </c>
      <c r="Q1181">
        <v>1</v>
      </c>
    </row>
    <row r="1182" spans="1:17" x14ac:dyDescent="0.25">
      <c r="A1182">
        <v>4</v>
      </c>
      <c r="B1182" t="s">
        <v>9469</v>
      </c>
      <c r="C1182" t="s">
        <v>31</v>
      </c>
      <c r="D1182" t="s">
        <v>11</v>
      </c>
      <c r="G1182">
        <v>35984</v>
      </c>
      <c r="H1182" t="s">
        <v>9470</v>
      </c>
      <c r="I1182" t="s">
        <v>9471</v>
      </c>
      <c r="J1182">
        <v>35984</v>
      </c>
      <c r="K1182" t="s">
        <v>9472</v>
      </c>
      <c r="L1182">
        <v>80</v>
      </c>
      <c r="O1182">
        <v>35984</v>
      </c>
      <c r="P1182" t="s">
        <v>11</v>
      </c>
      <c r="Q1182">
        <v>1</v>
      </c>
    </row>
    <row r="1183" spans="1:17" x14ac:dyDescent="0.25">
      <c r="A1183">
        <v>4</v>
      </c>
      <c r="B1183" t="s">
        <v>9473</v>
      </c>
      <c r="C1183" t="s">
        <v>31</v>
      </c>
      <c r="D1183" t="s">
        <v>11</v>
      </c>
      <c r="G1183">
        <v>35986</v>
      </c>
      <c r="H1183" t="s">
        <v>9474</v>
      </c>
      <c r="I1183" t="s">
        <v>9475</v>
      </c>
      <c r="J1183">
        <v>35986</v>
      </c>
      <c r="K1183" t="s">
        <v>9476</v>
      </c>
      <c r="L1183">
        <v>84</v>
      </c>
      <c r="O1183">
        <v>35986</v>
      </c>
      <c r="P1183" t="s">
        <v>11</v>
      </c>
      <c r="Q1183">
        <v>1</v>
      </c>
    </row>
    <row r="1184" spans="1:17" x14ac:dyDescent="0.25">
      <c r="A1184">
        <v>4</v>
      </c>
      <c r="B1184" t="s">
        <v>9477</v>
      </c>
      <c r="C1184" t="s">
        <v>31</v>
      </c>
      <c r="D1184" t="s">
        <v>11</v>
      </c>
      <c r="G1184">
        <v>493777</v>
      </c>
      <c r="H1184" t="s">
        <v>9478</v>
      </c>
      <c r="I1184" t="s">
        <v>9479</v>
      </c>
      <c r="J1184">
        <v>493777</v>
      </c>
      <c r="K1184" t="s">
        <v>9480</v>
      </c>
      <c r="L1184">
        <v>22</v>
      </c>
      <c r="O1184">
        <v>493777</v>
      </c>
      <c r="P1184" t="s">
        <v>11</v>
      </c>
      <c r="Q1184">
        <v>1</v>
      </c>
    </row>
    <row r="1185" spans="1:17" x14ac:dyDescent="0.25">
      <c r="A1185">
        <v>4</v>
      </c>
      <c r="B1185" t="s">
        <v>9481</v>
      </c>
      <c r="C1185" t="s">
        <v>31</v>
      </c>
      <c r="D1185" t="s">
        <v>11</v>
      </c>
      <c r="G1185">
        <v>575053</v>
      </c>
      <c r="H1185" t="s">
        <v>9482</v>
      </c>
      <c r="I1185" t="s">
        <v>9483</v>
      </c>
      <c r="J1185">
        <v>575053</v>
      </c>
      <c r="K1185" t="s">
        <v>9484</v>
      </c>
      <c r="L1185">
        <v>6</v>
      </c>
      <c r="N1185" t="s">
        <v>4713</v>
      </c>
      <c r="O1185">
        <v>575053</v>
      </c>
      <c r="P1185" t="s">
        <v>11</v>
      </c>
      <c r="Q1185">
        <v>1</v>
      </c>
    </row>
    <row r="1186" spans="1:17" x14ac:dyDescent="0.25">
      <c r="A1186">
        <v>4</v>
      </c>
      <c r="B1186" t="s">
        <v>9485</v>
      </c>
      <c r="C1186" t="s">
        <v>31</v>
      </c>
      <c r="D1186" t="s">
        <v>11</v>
      </c>
      <c r="G1186" t="s">
        <v>9486</v>
      </c>
      <c r="H1186" t="s">
        <v>9487</v>
      </c>
      <c r="I1186" t="s">
        <v>9488</v>
      </c>
      <c r="J1186" t="s">
        <v>9486</v>
      </c>
      <c r="K1186" t="s">
        <v>9489</v>
      </c>
      <c r="L1186">
        <v>5</v>
      </c>
      <c r="N1186" t="s">
        <v>4713</v>
      </c>
      <c r="O1186" t="s">
        <v>9486</v>
      </c>
      <c r="P1186" t="s">
        <v>11</v>
      </c>
      <c r="Q1186">
        <v>1</v>
      </c>
    </row>
    <row r="1187" spans="1:17" x14ac:dyDescent="0.25">
      <c r="A1187">
        <v>3</v>
      </c>
      <c r="B1187" t="s">
        <v>9490</v>
      </c>
      <c r="C1187" t="s">
        <v>31</v>
      </c>
      <c r="D1187" t="s">
        <v>11</v>
      </c>
      <c r="F1187" t="s">
        <v>68</v>
      </c>
      <c r="H1187" t="s">
        <v>69</v>
      </c>
      <c r="I1187" t="s">
        <v>939</v>
      </c>
      <c r="J1187" t="s">
        <v>68</v>
      </c>
      <c r="O1187" t="s">
        <v>68</v>
      </c>
      <c r="P1187" t="s">
        <v>11</v>
      </c>
      <c r="Q1187">
        <v>2</v>
      </c>
    </row>
    <row r="1188" spans="1:17" x14ac:dyDescent="0.25">
      <c r="A1188">
        <v>4</v>
      </c>
      <c r="B1188" t="s">
        <v>9491</v>
      </c>
      <c r="C1188" t="s">
        <v>31</v>
      </c>
      <c r="D1188" t="s">
        <v>11</v>
      </c>
      <c r="G1188">
        <v>357417</v>
      </c>
      <c r="H1188" t="s">
        <v>9492</v>
      </c>
      <c r="I1188" t="s">
        <v>9493</v>
      </c>
      <c r="J1188">
        <v>357417</v>
      </c>
      <c r="K1188" t="s">
        <v>9494</v>
      </c>
      <c r="L1188">
        <v>3</v>
      </c>
      <c r="N1188" t="s">
        <v>4713</v>
      </c>
      <c r="O1188">
        <v>357417</v>
      </c>
      <c r="P1188" t="s">
        <v>11</v>
      </c>
      <c r="Q1188">
        <v>1</v>
      </c>
    </row>
    <row r="1189" spans="1:17" x14ac:dyDescent="0.25">
      <c r="A1189">
        <v>4</v>
      </c>
      <c r="B1189" t="s">
        <v>9495</v>
      </c>
      <c r="C1189" t="s">
        <v>31</v>
      </c>
      <c r="D1189" t="s">
        <v>11</v>
      </c>
      <c r="G1189">
        <v>357419</v>
      </c>
      <c r="H1189" t="s">
        <v>9496</v>
      </c>
      <c r="I1189" t="s">
        <v>9497</v>
      </c>
      <c r="J1189">
        <v>357419</v>
      </c>
      <c r="K1189" t="s">
        <v>9498</v>
      </c>
      <c r="L1189">
        <v>8</v>
      </c>
      <c r="N1189" t="s">
        <v>4713</v>
      </c>
      <c r="O1189">
        <v>357419</v>
      </c>
      <c r="P1189" t="s">
        <v>11</v>
      </c>
      <c r="Q1189">
        <v>1</v>
      </c>
    </row>
    <row r="1190" spans="1:17" x14ac:dyDescent="0.25">
      <c r="A1190">
        <v>4</v>
      </c>
      <c r="B1190" t="s">
        <v>9499</v>
      </c>
      <c r="C1190" t="s">
        <v>31</v>
      </c>
      <c r="D1190" t="s">
        <v>11</v>
      </c>
      <c r="G1190">
        <v>357421</v>
      </c>
      <c r="H1190" t="s">
        <v>9500</v>
      </c>
      <c r="I1190" t="s">
        <v>9501</v>
      </c>
      <c r="J1190">
        <v>357421</v>
      </c>
      <c r="K1190" t="s">
        <v>9502</v>
      </c>
      <c r="L1190">
        <v>46</v>
      </c>
      <c r="O1190">
        <v>357421</v>
      </c>
      <c r="P1190" t="s">
        <v>11</v>
      </c>
      <c r="Q1190">
        <v>1</v>
      </c>
    </row>
    <row r="1191" spans="1:17" x14ac:dyDescent="0.25">
      <c r="A1191">
        <v>2</v>
      </c>
      <c r="B1191" t="s">
        <v>9503</v>
      </c>
      <c r="C1191" t="s">
        <v>31</v>
      </c>
      <c r="D1191" t="s">
        <v>11</v>
      </c>
      <c r="E1191" t="s">
        <v>42</v>
      </c>
      <c r="H1191" t="s">
        <v>43</v>
      </c>
      <c r="I1191" t="s">
        <v>300</v>
      </c>
      <c r="J1191" t="s">
        <v>42</v>
      </c>
      <c r="O1191" t="s">
        <v>42</v>
      </c>
      <c r="P1191" t="s">
        <v>11</v>
      </c>
      <c r="Q1191">
        <v>1</v>
      </c>
    </row>
    <row r="1192" spans="1:17" x14ac:dyDescent="0.25">
      <c r="A1192">
        <v>3</v>
      </c>
      <c r="B1192" t="s">
        <v>9504</v>
      </c>
      <c r="C1192" t="s">
        <v>31</v>
      </c>
      <c r="D1192" t="s">
        <v>11</v>
      </c>
      <c r="F1192" t="s">
        <v>89</v>
      </c>
      <c r="H1192" t="s">
        <v>90</v>
      </c>
      <c r="I1192" t="s">
        <v>310</v>
      </c>
      <c r="J1192" t="s">
        <v>89</v>
      </c>
      <c r="O1192" t="s">
        <v>89</v>
      </c>
      <c r="P1192" t="s">
        <v>11</v>
      </c>
      <c r="Q1192">
        <v>1</v>
      </c>
    </row>
    <row r="1193" spans="1:17" x14ac:dyDescent="0.25">
      <c r="A1193">
        <v>4</v>
      </c>
      <c r="B1193" t="s">
        <v>9505</v>
      </c>
      <c r="C1193" t="s">
        <v>31</v>
      </c>
      <c r="D1193" t="s">
        <v>11</v>
      </c>
      <c r="G1193">
        <v>25187</v>
      </c>
      <c r="H1193" t="s">
        <v>5182</v>
      </c>
      <c r="I1193" t="s">
        <v>5183</v>
      </c>
      <c r="J1193">
        <v>25187</v>
      </c>
      <c r="K1193" t="s">
        <v>9506</v>
      </c>
      <c r="L1193">
        <v>45</v>
      </c>
      <c r="O1193">
        <v>25187</v>
      </c>
      <c r="P1193" t="s">
        <v>11</v>
      </c>
      <c r="Q1193">
        <v>1</v>
      </c>
    </row>
    <row r="1194" spans="1:17" x14ac:dyDescent="0.25">
      <c r="A1194">
        <v>4</v>
      </c>
      <c r="B1194" t="s">
        <v>9507</v>
      </c>
      <c r="C1194" t="s">
        <v>31</v>
      </c>
      <c r="D1194" t="s">
        <v>11</v>
      </c>
      <c r="G1194">
        <v>25257</v>
      </c>
      <c r="H1194" t="s">
        <v>9508</v>
      </c>
      <c r="I1194" t="s">
        <v>9509</v>
      </c>
      <c r="J1194">
        <v>25257</v>
      </c>
      <c r="K1194" t="s">
        <v>9510</v>
      </c>
      <c r="L1194">
        <v>40</v>
      </c>
      <c r="O1194">
        <v>25257</v>
      </c>
      <c r="P1194" t="s">
        <v>11</v>
      </c>
      <c r="Q1194">
        <v>1</v>
      </c>
    </row>
    <row r="1195" spans="1:17" x14ac:dyDescent="0.25">
      <c r="A1195">
        <v>4</v>
      </c>
      <c r="B1195" t="s">
        <v>9511</v>
      </c>
      <c r="C1195" t="s">
        <v>31</v>
      </c>
      <c r="D1195" t="s">
        <v>11</v>
      </c>
      <c r="G1195">
        <v>25262</v>
      </c>
      <c r="H1195" t="s">
        <v>9512</v>
      </c>
      <c r="I1195" t="s">
        <v>9513</v>
      </c>
      <c r="J1195">
        <v>25262</v>
      </c>
      <c r="K1195" t="s">
        <v>9514</v>
      </c>
      <c r="L1195">
        <v>2</v>
      </c>
      <c r="N1195" t="s">
        <v>4713</v>
      </c>
      <c r="O1195">
        <v>25262</v>
      </c>
      <c r="P1195" t="s">
        <v>11</v>
      </c>
      <c r="Q1195">
        <v>1</v>
      </c>
    </row>
    <row r="1196" spans="1:17" x14ac:dyDescent="0.25">
      <c r="A1196">
        <v>4</v>
      </c>
      <c r="B1196" t="s">
        <v>9515</v>
      </c>
      <c r="C1196" t="s">
        <v>31</v>
      </c>
      <c r="D1196" t="s">
        <v>11</v>
      </c>
      <c r="G1196">
        <v>25265</v>
      </c>
      <c r="H1196" t="s">
        <v>9516</v>
      </c>
      <c r="I1196" t="s">
        <v>9517</v>
      </c>
      <c r="J1196">
        <v>25265</v>
      </c>
      <c r="K1196" t="s">
        <v>9518</v>
      </c>
      <c r="L1196">
        <v>9</v>
      </c>
      <c r="N1196" t="s">
        <v>4713</v>
      </c>
      <c r="O1196">
        <v>25265</v>
      </c>
      <c r="P1196" t="s">
        <v>11</v>
      </c>
      <c r="Q1196">
        <v>1</v>
      </c>
    </row>
    <row r="1197" spans="1:17" x14ac:dyDescent="0.25">
      <c r="A1197">
        <v>4</v>
      </c>
      <c r="B1197" t="s">
        <v>9519</v>
      </c>
      <c r="C1197" t="s">
        <v>31</v>
      </c>
      <c r="D1197" t="s">
        <v>11</v>
      </c>
      <c r="G1197" t="s">
        <v>9520</v>
      </c>
      <c r="H1197" t="s">
        <v>9521</v>
      </c>
      <c r="I1197" t="s">
        <v>9522</v>
      </c>
      <c r="J1197" t="s">
        <v>9520</v>
      </c>
      <c r="K1197" t="s">
        <v>9523</v>
      </c>
      <c r="L1197">
        <v>75</v>
      </c>
      <c r="O1197" t="s">
        <v>9520</v>
      </c>
      <c r="P1197" t="s">
        <v>11</v>
      </c>
      <c r="Q1197">
        <v>1</v>
      </c>
    </row>
    <row r="1198" spans="1:17" x14ac:dyDescent="0.25">
      <c r="A1198">
        <v>4</v>
      </c>
      <c r="B1198" t="s">
        <v>9524</v>
      </c>
      <c r="C1198" t="s">
        <v>31</v>
      </c>
      <c r="D1198" t="s">
        <v>11</v>
      </c>
      <c r="G1198" t="s">
        <v>9525</v>
      </c>
      <c r="H1198" t="s">
        <v>9526</v>
      </c>
      <c r="I1198" t="s">
        <v>9527</v>
      </c>
      <c r="J1198" t="s">
        <v>9525</v>
      </c>
      <c r="K1198" t="s">
        <v>9528</v>
      </c>
      <c r="L1198">
        <v>108</v>
      </c>
      <c r="O1198" t="s">
        <v>9525</v>
      </c>
      <c r="P1198" t="s">
        <v>11</v>
      </c>
      <c r="Q1198">
        <v>1</v>
      </c>
    </row>
    <row r="1199" spans="1:17" x14ac:dyDescent="0.25">
      <c r="A1199">
        <v>4</v>
      </c>
      <c r="B1199" t="s">
        <v>9529</v>
      </c>
      <c r="C1199" t="s">
        <v>31</v>
      </c>
      <c r="D1199" t="s">
        <v>11</v>
      </c>
      <c r="G1199" t="s">
        <v>9530</v>
      </c>
      <c r="H1199" t="s">
        <v>9531</v>
      </c>
      <c r="I1199" t="s">
        <v>9532</v>
      </c>
      <c r="J1199" t="s">
        <v>9530</v>
      </c>
      <c r="K1199" t="s">
        <v>9533</v>
      </c>
      <c r="L1199">
        <v>19</v>
      </c>
      <c r="O1199" t="s">
        <v>9530</v>
      </c>
      <c r="P1199" t="s">
        <v>11</v>
      </c>
      <c r="Q1199">
        <v>1</v>
      </c>
    </row>
    <row r="1200" spans="1:17" x14ac:dyDescent="0.25">
      <c r="A1200">
        <v>4</v>
      </c>
      <c r="B1200" t="s">
        <v>9534</v>
      </c>
      <c r="C1200" t="s">
        <v>31</v>
      </c>
      <c r="D1200" t="s">
        <v>11</v>
      </c>
      <c r="G1200" t="s">
        <v>9535</v>
      </c>
      <c r="H1200" t="s">
        <v>9536</v>
      </c>
      <c r="I1200" t="s">
        <v>9537</v>
      </c>
      <c r="J1200" t="s">
        <v>9535</v>
      </c>
      <c r="K1200" t="s">
        <v>9538</v>
      </c>
      <c r="L1200">
        <v>29</v>
      </c>
      <c r="O1200" t="s">
        <v>9535</v>
      </c>
      <c r="P1200" t="s">
        <v>11</v>
      </c>
      <c r="Q1200">
        <v>1</v>
      </c>
    </row>
    <row r="1201" spans="1:17" x14ac:dyDescent="0.25">
      <c r="A1201">
        <v>4</v>
      </c>
      <c r="B1201" t="s">
        <v>9539</v>
      </c>
      <c r="C1201" t="s">
        <v>31</v>
      </c>
      <c r="D1201" t="s">
        <v>11</v>
      </c>
      <c r="G1201" t="s">
        <v>9540</v>
      </c>
      <c r="H1201" t="s">
        <v>9541</v>
      </c>
      <c r="I1201" t="s">
        <v>9542</v>
      </c>
      <c r="J1201" t="s">
        <v>9540</v>
      </c>
      <c r="K1201" t="s">
        <v>9543</v>
      </c>
      <c r="L1201">
        <v>5</v>
      </c>
      <c r="N1201" t="s">
        <v>4713</v>
      </c>
      <c r="O1201" t="s">
        <v>9540</v>
      </c>
      <c r="P1201" t="s">
        <v>11</v>
      </c>
      <c r="Q1201">
        <v>1</v>
      </c>
    </row>
    <row r="1202" spans="1:17" x14ac:dyDescent="0.25">
      <c r="A1202">
        <v>3</v>
      </c>
      <c r="B1202" t="s">
        <v>9544</v>
      </c>
      <c r="C1202" t="s">
        <v>31</v>
      </c>
      <c r="D1202" t="s">
        <v>11</v>
      </c>
      <c r="F1202" t="s">
        <v>68</v>
      </c>
      <c r="H1202" t="s">
        <v>69</v>
      </c>
      <c r="I1202" t="s">
        <v>939</v>
      </c>
      <c r="J1202" t="s">
        <v>68</v>
      </c>
      <c r="O1202" t="s">
        <v>68</v>
      </c>
      <c r="P1202" t="s">
        <v>11</v>
      </c>
      <c r="Q1202">
        <v>2</v>
      </c>
    </row>
    <row r="1203" spans="1:17" x14ac:dyDescent="0.25">
      <c r="A1203">
        <v>4</v>
      </c>
      <c r="B1203" t="s">
        <v>9545</v>
      </c>
      <c r="C1203" t="s">
        <v>31</v>
      </c>
      <c r="D1203" t="s">
        <v>11</v>
      </c>
      <c r="G1203">
        <v>25246</v>
      </c>
      <c r="H1203" t="s">
        <v>9546</v>
      </c>
      <c r="I1203" t="s">
        <v>9547</v>
      </c>
      <c r="J1203">
        <v>25246</v>
      </c>
      <c r="K1203" t="s">
        <v>9548</v>
      </c>
      <c r="L1203">
        <v>173</v>
      </c>
      <c r="O1203">
        <v>25246</v>
      </c>
      <c r="P1203" t="s">
        <v>11</v>
      </c>
      <c r="Q1203">
        <v>1</v>
      </c>
    </row>
    <row r="1204" spans="1:17" x14ac:dyDescent="0.25">
      <c r="A1204">
        <v>4</v>
      </c>
      <c r="B1204" t="s">
        <v>9549</v>
      </c>
      <c r="C1204" t="s">
        <v>31</v>
      </c>
      <c r="D1204" t="s">
        <v>11</v>
      </c>
      <c r="G1204">
        <v>25251</v>
      </c>
      <c r="H1204" t="s">
        <v>9550</v>
      </c>
      <c r="I1204" t="s">
        <v>9551</v>
      </c>
      <c r="J1204">
        <v>25251</v>
      </c>
      <c r="K1204" t="s">
        <v>9552</v>
      </c>
      <c r="L1204">
        <v>41</v>
      </c>
      <c r="O1204">
        <v>25251</v>
      </c>
      <c r="P1204" t="s">
        <v>11</v>
      </c>
      <c r="Q1204">
        <v>1</v>
      </c>
    </row>
    <row r="1205" spans="1:17" x14ac:dyDescent="0.25">
      <c r="A1205">
        <v>4</v>
      </c>
      <c r="B1205" t="s">
        <v>9553</v>
      </c>
      <c r="C1205" t="s">
        <v>31</v>
      </c>
      <c r="D1205" t="s">
        <v>11</v>
      </c>
      <c r="G1205">
        <v>25668</v>
      </c>
      <c r="H1205" t="s">
        <v>9554</v>
      </c>
      <c r="I1205" t="s">
        <v>9555</v>
      </c>
      <c r="J1205">
        <v>25668</v>
      </c>
      <c r="K1205" t="s">
        <v>9556</v>
      </c>
      <c r="L1205">
        <v>40</v>
      </c>
      <c r="O1205">
        <v>25668</v>
      </c>
      <c r="P1205" t="s">
        <v>11</v>
      </c>
      <c r="Q1205">
        <v>1</v>
      </c>
    </row>
    <row r="1206" spans="1:17" x14ac:dyDescent="0.25">
      <c r="A1206">
        <v>4</v>
      </c>
      <c r="B1206" t="s">
        <v>9557</v>
      </c>
      <c r="C1206" t="s">
        <v>31</v>
      </c>
      <c r="D1206" t="s">
        <v>11</v>
      </c>
      <c r="G1206">
        <v>491693</v>
      </c>
      <c r="H1206" t="s">
        <v>9558</v>
      </c>
      <c r="I1206" t="s">
        <v>9559</v>
      </c>
      <c r="J1206">
        <v>491693</v>
      </c>
      <c r="K1206" t="s">
        <v>9560</v>
      </c>
      <c r="L1206">
        <v>15</v>
      </c>
      <c r="O1206">
        <v>491693</v>
      </c>
      <c r="P1206" t="s">
        <v>11</v>
      </c>
      <c r="Q1206">
        <v>1</v>
      </c>
    </row>
    <row r="1207" spans="1:17" x14ac:dyDescent="0.25">
      <c r="A1207">
        <v>4</v>
      </c>
      <c r="B1207" t="s">
        <v>9561</v>
      </c>
      <c r="C1207" t="s">
        <v>31</v>
      </c>
      <c r="D1207" t="s">
        <v>11</v>
      </c>
      <c r="G1207" t="s">
        <v>9562</v>
      </c>
      <c r="H1207" t="s">
        <v>9563</v>
      </c>
      <c r="I1207" t="s">
        <v>9564</v>
      </c>
      <c r="J1207" t="s">
        <v>9562</v>
      </c>
      <c r="K1207" t="s">
        <v>9565</v>
      </c>
      <c r="L1207" t="s">
        <v>9566</v>
      </c>
      <c r="O1207" t="s">
        <v>9562</v>
      </c>
      <c r="P1207" t="s">
        <v>11</v>
      </c>
      <c r="Q1207">
        <v>1</v>
      </c>
    </row>
    <row r="1208" spans="1:17" x14ac:dyDescent="0.25">
      <c r="A1208">
        <v>4</v>
      </c>
      <c r="B1208" t="s">
        <v>9567</v>
      </c>
      <c r="C1208" t="s">
        <v>31</v>
      </c>
      <c r="D1208" t="s">
        <v>11</v>
      </c>
      <c r="G1208" t="s">
        <v>9568</v>
      </c>
      <c r="H1208" t="s">
        <v>9569</v>
      </c>
      <c r="I1208" t="s">
        <v>9570</v>
      </c>
      <c r="J1208" t="s">
        <v>9568</v>
      </c>
      <c r="K1208" t="s">
        <v>9571</v>
      </c>
      <c r="L1208">
        <v>124</v>
      </c>
      <c r="O1208" t="s">
        <v>9568</v>
      </c>
      <c r="P1208" t="s">
        <v>11</v>
      </c>
      <c r="Q1208">
        <v>1</v>
      </c>
    </row>
    <row r="1209" spans="1:17" x14ac:dyDescent="0.25">
      <c r="A1209">
        <v>3</v>
      </c>
      <c r="B1209" t="s">
        <v>9572</v>
      </c>
      <c r="C1209" t="s">
        <v>31</v>
      </c>
      <c r="D1209" t="s">
        <v>11</v>
      </c>
      <c r="F1209" t="s">
        <v>84</v>
      </c>
      <c r="H1209" t="s">
        <v>85</v>
      </c>
      <c r="I1209" t="s">
        <v>303</v>
      </c>
      <c r="J1209" t="s">
        <v>84</v>
      </c>
      <c r="O1209" t="s">
        <v>84</v>
      </c>
      <c r="P1209" t="s">
        <v>11</v>
      </c>
      <c r="Q1209">
        <v>1</v>
      </c>
    </row>
    <row r="1210" spans="1:17" x14ac:dyDescent="0.25">
      <c r="A1210">
        <v>4</v>
      </c>
      <c r="B1210" t="s">
        <v>9573</v>
      </c>
      <c r="C1210" t="s">
        <v>31</v>
      </c>
      <c r="D1210" t="s">
        <v>11</v>
      </c>
      <c r="G1210" t="s">
        <v>9574</v>
      </c>
      <c r="H1210" t="s">
        <v>9575</v>
      </c>
      <c r="I1210" t="s">
        <v>9576</v>
      </c>
      <c r="J1210" t="s">
        <v>9574</v>
      </c>
      <c r="K1210" t="s">
        <v>9577</v>
      </c>
      <c r="L1210">
        <v>266</v>
      </c>
      <c r="O1210" t="s">
        <v>9574</v>
      </c>
      <c r="P1210" t="s">
        <v>11</v>
      </c>
      <c r="Q1210">
        <v>1</v>
      </c>
    </row>
    <row r="1211" spans="1:17" x14ac:dyDescent="0.25">
      <c r="A1211">
        <v>4</v>
      </c>
      <c r="B1211" t="s">
        <v>9578</v>
      </c>
      <c r="C1211" t="s">
        <v>31</v>
      </c>
      <c r="D1211" t="s">
        <v>11</v>
      </c>
      <c r="G1211" t="s">
        <v>9579</v>
      </c>
      <c r="H1211" t="s">
        <v>9580</v>
      </c>
      <c r="I1211" t="s">
        <v>9581</v>
      </c>
      <c r="J1211" t="s">
        <v>9579</v>
      </c>
      <c r="K1211" t="s">
        <v>9582</v>
      </c>
      <c r="L1211">
        <v>145</v>
      </c>
      <c r="O1211" t="s">
        <v>9579</v>
      </c>
      <c r="P1211" t="s">
        <v>11</v>
      </c>
      <c r="Q1211">
        <v>1</v>
      </c>
    </row>
    <row r="1212" spans="1:17" x14ac:dyDescent="0.25">
      <c r="A1212">
        <v>3</v>
      </c>
      <c r="B1212" t="s">
        <v>9583</v>
      </c>
      <c r="C1212" t="s">
        <v>31</v>
      </c>
      <c r="D1212" t="s">
        <v>11</v>
      </c>
      <c r="F1212" t="s">
        <v>87</v>
      </c>
      <c r="H1212" t="s">
        <v>9584</v>
      </c>
      <c r="I1212" t="s">
        <v>307</v>
      </c>
      <c r="J1212" t="s">
        <v>87</v>
      </c>
      <c r="O1212" t="s">
        <v>87</v>
      </c>
      <c r="P1212" t="s">
        <v>11</v>
      </c>
      <c r="Q1212">
        <v>1</v>
      </c>
    </row>
    <row r="1213" spans="1:17" x14ac:dyDescent="0.25">
      <c r="A1213">
        <v>4</v>
      </c>
      <c r="B1213" t="s">
        <v>9585</v>
      </c>
      <c r="C1213" t="s">
        <v>31</v>
      </c>
      <c r="D1213" t="s">
        <v>11</v>
      </c>
      <c r="G1213">
        <v>25213</v>
      </c>
      <c r="H1213" t="s">
        <v>5182</v>
      </c>
      <c r="I1213" t="s">
        <v>5183</v>
      </c>
      <c r="J1213">
        <v>25213</v>
      </c>
      <c r="K1213" t="s">
        <v>9586</v>
      </c>
      <c r="L1213">
        <v>5</v>
      </c>
      <c r="N1213" t="s">
        <v>4713</v>
      </c>
      <c r="O1213">
        <v>25213</v>
      </c>
      <c r="P1213" t="s">
        <v>11</v>
      </c>
      <c r="Q1213">
        <v>1</v>
      </c>
    </row>
    <row r="1214" spans="1:17" x14ac:dyDescent="0.25">
      <c r="A1214">
        <v>4</v>
      </c>
      <c r="B1214" t="s">
        <v>9587</v>
      </c>
      <c r="C1214" t="s">
        <v>31</v>
      </c>
      <c r="D1214" t="s">
        <v>11</v>
      </c>
      <c r="G1214">
        <v>25217</v>
      </c>
      <c r="H1214" t="s">
        <v>9588</v>
      </c>
      <c r="I1214" t="s">
        <v>9589</v>
      </c>
      <c r="J1214">
        <v>25217</v>
      </c>
      <c r="K1214" t="s">
        <v>9590</v>
      </c>
      <c r="L1214">
        <v>5</v>
      </c>
      <c r="N1214" t="s">
        <v>4713</v>
      </c>
      <c r="O1214">
        <v>25217</v>
      </c>
      <c r="P1214" t="s">
        <v>11</v>
      </c>
      <c r="Q1214">
        <v>1</v>
      </c>
    </row>
    <row r="1215" spans="1:17" x14ac:dyDescent="0.25">
      <c r="A1215">
        <v>4</v>
      </c>
      <c r="B1215" t="s">
        <v>9591</v>
      </c>
      <c r="C1215" t="s">
        <v>31</v>
      </c>
      <c r="D1215" t="s">
        <v>11</v>
      </c>
      <c r="G1215" t="s">
        <v>9592</v>
      </c>
      <c r="H1215" t="s">
        <v>9593</v>
      </c>
      <c r="I1215" t="s">
        <v>9594</v>
      </c>
      <c r="J1215" t="s">
        <v>9592</v>
      </c>
      <c r="K1215" t="s">
        <v>9595</v>
      </c>
      <c r="L1215">
        <v>5</v>
      </c>
      <c r="N1215" t="s">
        <v>4713</v>
      </c>
      <c r="O1215" t="s">
        <v>9592</v>
      </c>
      <c r="P1215" t="s">
        <v>11</v>
      </c>
      <c r="Q1215">
        <v>1</v>
      </c>
    </row>
    <row r="1216" spans="1:17" x14ac:dyDescent="0.25">
      <c r="A1216">
        <v>4</v>
      </c>
      <c r="B1216" t="s">
        <v>9596</v>
      </c>
      <c r="C1216" t="s">
        <v>31</v>
      </c>
      <c r="D1216" t="s">
        <v>11</v>
      </c>
      <c r="G1216" t="s">
        <v>9597</v>
      </c>
      <c r="H1216" t="s">
        <v>9598</v>
      </c>
      <c r="I1216" t="s">
        <v>9599</v>
      </c>
      <c r="J1216" t="s">
        <v>9597</v>
      </c>
      <c r="K1216" t="s">
        <v>9600</v>
      </c>
      <c r="L1216">
        <v>2</v>
      </c>
      <c r="N1216" t="s">
        <v>4713</v>
      </c>
      <c r="O1216" t="s">
        <v>9597</v>
      </c>
      <c r="P1216" t="s">
        <v>11</v>
      </c>
      <c r="Q1216">
        <v>1</v>
      </c>
    </row>
    <row r="1217" spans="1:17" x14ac:dyDescent="0.25">
      <c r="A1217">
        <v>3</v>
      </c>
      <c r="B1217" t="s">
        <v>9601</v>
      </c>
      <c r="C1217" t="s">
        <v>31</v>
      </c>
      <c r="D1217" t="s">
        <v>11</v>
      </c>
      <c r="F1217" t="s">
        <v>83</v>
      </c>
      <c r="H1217" t="s">
        <v>9602</v>
      </c>
      <c r="I1217" t="s">
        <v>941</v>
      </c>
      <c r="J1217" t="s">
        <v>83</v>
      </c>
      <c r="O1217" t="s">
        <v>83</v>
      </c>
      <c r="P1217" t="s">
        <v>11</v>
      </c>
      <c r="Q1217">
        <v>1</v>
      </c>
    </row>
    <row r="1218" spans="1:17" x14ac:dyDescent="0.25">
      <c r="A1218">
        <v>4</v>
      </c>
      <c r="B1218" t="s">
        <v>9603</v>
      </c>
      <c r="C1218" t="s">
        <v>31</v>
      </c>
      <c r="D1218" t="s">
        <v>11</v>
      </c>
      <c r="G1218">
        <v>25359</v>
      </c>
      <c r="H1218" t="s">
        <v>5182</v>
      </c>
      <c r="I1218" t="s">
        <v>5183</v>
      </c>
      <c r="J1218">
        <v>25359</v>
      </c>
      <c r="K1218" t="s">
        <v>9604</v>
      </c>
      <c r="L1218">
        <v>68</v>
      </c>
      <c r="O1218">
        <v>25359</v>
      </c>
      <c r="P1218" t="s">
        <v>11</v>
      </c>
      <c r="Q1218">
        <v>1</v>
      </c>
    </row>
    <row r="1219" spans="1:17" x14ac:dyDescent="0.25">
      <c r="A1219">
        <v>4</v>
      </c>
      <c r="B1219" t="s">
        <v>9605</v>
      </c>
      <c r="C1219" t="s">
        <v>31</v>
      </c>
      <c r="D1219" t="s">
        <v>11</v>
      </c>
      <c r="G1219">
        <v>25361</v>
      </c>
      <c r="H1219" t="s">
        <v>9606</v>
      </c>
      <c r="I1219" t="s">
        <v>9606</v>
      </c>
      <c r="J1219">
        <v>25361</v>
      </c>
      <c r="K1219" t="s">
        <v>9607</v>
      </c>
      <c r="L1219">
        <v>16</v>
      </c>
      <c r="O1219">
        <v>25361</v>
      </c>
      <c r="P1219" t="s">
        <v>11</v>
      </c>
      <c r="Q1219">
        <v>1</v>
      </c>
    </row>
    <row r="1220" spans="1:17" x14ac:dyDescent="0.25">
      <c r="A1220">
        <v>4</v>
      </c>
      <c r="B1220" t="s">
        <v>9608</v>
      </c>
      <c r="C1220" t="s">
        <v>31</v>
      </c>
      <c r="D1220" t="s">
        <v>11</v>
      </c>
      <c r="G1220">
        <v>25367</v>
      </c>
      <c r="H1220" t="s">
        <v>9609</v>
      </c>
      <c r="I1220" t="s">
        <v>9610</v>
      </c>
      <c r="J1220">
        <v>25367</v>
      </c>
      <c r="K1220" t="s">
        <v>9611</v>
      </c>
      <c r="L1220">
        <v>5</v>
      </c>
      <c r="N1220" t="s">
        <v>4713</v>
      </c>
      <c r="O1220">
        <v>25367</v>
      </c>
      <c r="P1220" t="s">
        <v>11</v>
      </c>
      <c r="Q1220">
        <v>1</v>
      </c>
    </row>
    <row r="1221" spans="1:17" x14ac:dyDescent="0.25">
      <c r="A1221">
        <v>4</v>
      </c>
      <c r="B1221" t="s">
        <v>9612</v>
      </c>
      <c r="C1221" t="s">
        <v>31</v>
      </c>
      <c r="D1221" t="s">
        <v>11</v>
      </c>
      <c r="G1221">
        <v>491662</v>
      </c>
      <c r="H1221" t="s">
        <v>9613</v>
      </c>
      <c r="I1221" t="s">
        <v>9614</v>
      </c>
      <c r="J1221">
        <v>491662</v>
      </c>
      <c r="K1221" t="s">
        <v>9615</v>
      </c>
      <c r="L1221">
        <v>4</v>
      </c>
      <c r="N1221" t="s">
        <v>4713</v>
      </c>
      <c r="O1221">
        <v>491662</v>
      </c>
      <c r="P1221" t="s">
        <v>11</v>
      </c>
      <c r="Q1221">
        <v>1</v>
      </c>
    </row>
    <row r="1222" spans="1:17" x14ac:dyDescent="0.25">
      <c r="A1222">
        <v>4</v>
      </c>
      <c r="B1222" t="s">
        <v>9616</v>
      </c>
      <c r="C1222" t="s">
        <v>31</v>
      </c>
      <c r="D1222" t="s">
        <v>11</v>
      </c>
      <c r="G1222" t="s">
        <v>9617</v>
      </c>
      <c r="H1222" t="s">
        <v>9618</v>
      </c>
      <c r="I1222" t="s">
        <v>9619</v>
      </c>
      <c r="J1222" t="s">
        <v>9617</v>
      </c>
      <c r="K1222" t="s">
        <v>9620</v>
      </c>
      <c r="L1222">
        <v>95</v>
      </c>
      <c r="O1222" t="s">
        <v>9617</v>
      </c>
      <c r="P1222" t="s">
        <v>11</v>
      </c>
      <c r="Q1222">
        <v>1</v>
      </c>
    </row>
    <row r="1223" spans="1:17" x14ac:dyDescent="0.25">
      <c r="A1223">
        <v>4</v>
      </c>
      <c r="B1223" t="s">
        <v>9621</v>
      </c>
      <c r="C1223" t="s">
        <v>31</v>
      </c>
      <c r="D1223" t="s">
        <v>11</v>
      </c>
      <c r="G1223" t="s">
        <v>9622</v>
      </c>
      <c r="H1223" t="s">
        <v>9623</v>
      </c>
      <c r="I1223" t="s">
        <v>9624</v>
      </c>
      <c r="J1223" t="s">
        <v>9622</v>
      </c>
      <c r="K1223" t="s">
        <v>9625</v>
      </c>
      <c r="L1223">
        <v>4</v>
      </c>
      <c r="N1223" t="s">
        <v>4713</v>
      </c>
      <c r="O1223" t="s">
        <v>9622</v>
      </c>
      <c r="P1223" t="s">
        <v>11</v>
      </c>
      <c r="Q1223">
        <v>1</v>
      </c>
    </row>
    <row r="1224" spans="1:17" x14ac:dyDescent="0.25">
      <c r="A1224">
        <v>3</v>
      </c>
      <c r="B1224" t="s">
        <v>9626</v>
      </c>
      <c r="C1224" t="s">
        <v>31</v>
      </c>
      <c r="D1224" t="s">
        <v>11</v>
      </c>
      <c r="F1224" t="s">
        <v>86</v>
      </c>
      <c r="H1224" t="s">
        <v>9627</v>
      </c>
      <c r="I1224" t="s">
        <v>2404</v>
      </c>
      <c r="J1224" t="s">
        <v>86</v>
      </c>
      <c r="O1224" t="s">
        <v>86</v>
      </c>
      <c r="P1224" t="s">
        <v>11</v>
      </c>
      <c r="Q1224">
        <v>1</v>
      </c>
    </row>
    <row r="1225" spans="1:17" x14ac:dyDescent="0.25">
      <c r="A1225">
        <v>4</v>
      </c>
      <c r="B1225" t="s">
        <v>9628</v>
      </c>
      <c r="C1225" t="s">
        <v>31</v>
      </c>
      <c r="D1225" t="s">
        <v>11</v>
      </c>
      <c r="G1225">
        <v>25674</v>
      </c>
      <c r="H1225" t="s">
        <v>5182</v>
      </c>
      <c r="I1225" t="s">
        <v>5183</v>
      </c>
      <c r="J1225">
        <v>25674</v>
      </c>
      <c r="K1225" t="s">
        <v>9629</v>
      </c>
      <c r="L1225">
        <v>10</v>
      </c>
      <c r="O1225">
        <v>25674</v>
      </c>
      <c r="P1225" t="s">
        <v>11</v>
      </c>
      <c r="Q1225">
        <v>1</v>
      </c>
    </row>
    <row r="1226" spans="1:17" x14ac:dyDescent="0.25">
      <c r="A1226">
        <v>4</v>
      </c>
      <c r="B1226" t="s">
        <v>9630</v>
      </c>
      <c r="C1226" t="s">
        <v>31</v>
      </c>
      <c r="D1226" t="s">
        <v>11</v>
      </c>
      <c r="G1226" t="s">
        <v>9631</v>
      </c>
      <c r="H1226" t="s">
        <v>9632</v>
      </c>
      <c r="I1226" t="s">
        <v>306</v>
      </c>
      <c r="J1226" t="s">
        <v>9631</v>
      </c>
      <c r="K1226" t="s">
        <v>9633</v>
      </c>
      <c r="L1226">
        <v>7</v>
      </c>
      <c r="N1226" t="s">
        <v>4713</v>
      </c>
      <c r="O1226" t="s">
        <v>9631</v>
      </c>
      <c r="P1226" t="s">
        <v>11</v>
      </c>
      <c r="Q1226">
        <v>1</v>
      </c>
    </row>
    <row r="1227" spans="1:17" x14ac:dyDescent="0.25">
      <c r="A1227">
        <v>2</v>
      </c>
      <c r="B1227" t="s">
        <v>9634</v>
      </c>
      <c r="C1227" t="s">
        <v>31</v>
      </c>
      <c r="D1227" t="s">
        <v>11</v>
      </c>
      <c r="E1227" t="s">
        <v>44</v>
      </c>
      <c r="H1227" t="s">
        <v>45</v>
      </c>
      <c r="I1227" t="s">
        <v>306</v>
      </c>
      <c r="J1227" t="s">
        <v>44</v>
      </c>
      <c r="O1227" t="s">
        <v>44</v>
      </c>
      <c r="P1227" t="s">
        <v>11</v>
      </c>
      <c r="Q1227">
        <v>1</v>
      </c>
    </row>
    <row r="1228" spans="1:17" x14ac:dyDescent="0.25">
      <c r="A1228">
        <v>3</v>
      </c>
      <c r="B1228" t="s">
        <v>9635</v>
      </c>
      <c r="C1228" t="s">
        <v>31</v>
      </c>
      <c r="D1228" t="s">
        <v>11</v>
      </c>
      <c r="F1228" t="s">
        <v>111</v>
      </c>
      <c r="H1228" t="s">
        <v>9636</v>
      </c>
      <c r="I1228" t="s">
        <v>339</v>
      </c>
      <c r="J1228" t="s">
        <v>111</v>
      </c>
      <c r="O1228" t="s">
        <v>111</v>
      </c>
      <c r="P1228" t="s">
        <v>11</v>
      </c>
      <c r="Q1228">
        <v>1</v>
      </c>
    </row>
    <row r="1229" spans="1:17" x14ac:dyDescent="0.25">
      <c r="A1229">
        <v>4</v>
      </c>
      <c r="B1229" t="s">
        <v>9637</v>
      </c>
      <c r="C1229" t="s">
        <v>31</v>
      </c>
      <c r="D1229" t="s">
        <v>11</v>
      </c>
      <c r="G1229">
        <v>24814</v>
      </c>
      <c r="H1229" t="s">
        <v>5182</v>
      </c>
      <c r="I1229" t="s">
        <v>5183</v>
      </c>
      <c r="J1229">
        <v>24814</v>
      </c>
      <c r="K1229" t="s">
        <v>9638</v>
      </c>
      <c r="L1229">
        <v>76</v>
      </c>
      <c r="O1229">
        <v>24814</v>
      </c>
      <c r="P1229" t="s">
        <v>11</v>
      </c>
      <c r="Q1229">
        <v>1</v>
      </c>
    </row>
    <row r="1230" spans="1:17" x14ac:dyDescent="0.25">
      <c r="A1230">
        <v>4</v>
      </c>
      <c r="B1230" t="s">
        <v>9639</v>
      </c>
      <c r="C1230" t="s">
        <v>31</v>
      </c>
      <c r="D1230" t="s">
        <v>11</v>
      </c>
      <c r="G1230" t="s">
        <v>9640</v>
      </c>
      <c r="H1230" t="s">
        <v>9641</v>
      </c>
      <c r="I1230" t="s">
        <v>9642</v>
      </c>
      <c r="J1230" t="s">
        <v>9640</v>
      </c>
      <c r="K1230" t="s">
        <v>9643</v>
      </c>
      <c r="L1230">
        <v>295</v>
      </c>
      <c r="O1230" t="s">
        <v>9640</v>
      </c>
      <c r="P1230" t="s">
        <v>11</v>
      </c>
      <c r="Q1230">
        <v>1</v>
      </c>
    </row>
    <row r="1231" spans="1:17" x14ac:dyDescent="0.25">
      <c r="A1231">
        <v>4</v>
      </c>
      <c r="B1231" t="s">
        <v>9644</v>
      </c>
      <c r="C1231" t="s">
        <v>31</v>
      </c>
      <c r="D1231" t="s">
        <v>11</v>
      </c>
      <c r="G1231" t="s">
        <v>9645</v>
      </c>
      <c r="H1231" t="s">
        <v>9646</v>
      </c>
      <c r="I1231" t="s">
        <v>9647</v>
      </c>
      <c r="J1231" t="s">
        <v>9645</v>
      </c>
      <c r="K1231" t="s">
        <v>9648</v>
      </c>
      <c r="L1231">
        <v>283</v>
      </c>
      <c r="O1231" t="s">
        <v>9645</v>
      </c>
      <c r="P1231" t="s">
        <v>11</v>
      </c>
      <c r="Q1231">
        <v>1</v>
      </c>
    </row>
    <row r="1232" spans="1:17" x14ac:dyDescent="0.25">
      <c r="A1232">
        <v>4</v>
      </c>
      <c r="B1232" t="s">
        <v>9649</v>
      </c>
      <c r="C1232" t="s">
        <v>31</v>
      </c>
      <c r="D1232" t="s">
        <v>11</v>
      </c>
      <c r="G1232" t="s">
        <v>9650</v>
      </c>
      <c r="H1232" t="s">
        <v>9651</v>
      </c>
      <c r="I1232" t="s">
        <v>9652</v>
      </c>
      <c r="J1232" t="s">
        <v>9650</v>
      </c>
      <c r="K1232" t="s">
        <v>9653</v>
      </c>
      <c r="L1232">
        <v>22</v>
      </c>
      <c r="O1232" t="s">
        <v>9650</v>
      </c>
      <c r="P1232" t="s">
        <v>11</v>
      </c>
      <c r="Q1232">
        <v>1</v>
      </c>
    </row>
    <row r="1233" spans="1:17" x14ac:dyDescent="0.25">
      <c r="A1233">
        <v>3</v>
      </c>
      <c r="B1233" t="s">
        <v>9654</v>
      </c>
      <c r="C1233" t="s">
        <v>31</v>
      </c>
      <c r="D1233" t="s">
        <v>11</v>
      </c>
      <c r="F1233" t="s">
        <v>110</v>
      </c>
      <c r="H1233" t="s">
        <v>9655</v>
      </c>
      <c r="I1233" t="s">
        <v>335</v>
      </c>
      <c r="J1233" t="s">
        <v>110</v>
      </c>
      <c r="O1233" t="s">
        <v>110</v>
      </c>
      <c r="P1233" t="s">
        <v>11</v>
      </c>
      <c r="Q1233">
        <v>1</v>
      </c>
    </row>
    <row r="1234" spans="1:17" x14ac:dyDescent="0.25">
      <c r="A1234">
        <v>4</v>
      </c>
      <c r="B1234" t="s">
        <v>9656</v>
      </c>
      <c r="C1234" t="s">
        <v>31</v>
      </c>
      <c r="D1234" t="s">
        <v>11</v>
      </c>
      <c r="G1234" t="s">
        <v>9657</v>
      </c>
      <c r="H1234" t="s">
        <v>9658</v>
      </c>
      <c r="I1234" t="s">
        <v>9659</v>
      </c>
      <c r="J1234" t="s">
        <v>9657</v>
      </c>
      <c r="K1234" t="s">
        <v>9660</v>
      </c>
      <c r="L1234">
        <v>112</v>
      </c>
      <c r="O1234" t="s">
        <v>9657</v>
      </c>
      <c r="P1234" t="s">
        <v>11</v>
      </c>
      <c r="Q1234">
        <v>1</v>
      </c>
    </row>
    <row r="1235" spans="1:17" x14ac:dyDescent="0.25">
      <c r="A1235">
        <v>3</v>
      </c>
      <c r="B1235" t="s">
        <v>9661</v>
      </c>
      <c r="C1235" t="s">
        <v>31</v>
      </c>
      <c r="D1235" t="s">
        <v>11</v>
      </c>
      <c r="F1235" t="s">
        <v>108</v>
      </c>
      <c r="H1235" t="s">
        <v>9662</v>
      </c>
      <c r="I1235" t="s">
        <v>332</v>
      </c>
      <c r="J1235" t="s">
        <v>108</v>
      </c>
      <c r="O1235" t="s">
        <v>108</v>
      </c>
      <c r="P1235" t="s">
        <v>11</v>
      </c>
      <c r="Q1235">
        <v>1</v>
      </c>
    </row>
    <row r="1236" spans="1:17" x14ac:dyDescent="0.25">
      <c r="A1236">
        <v>4</v>
      </c>
      <c r="B1236" t="s">
        <v>9663</v>
      </c>
      <c r="C1236" t="s">
        <v>31</v>
      </c>
      <c r="D1236" t="s">
        <v>11</v>
      </c>
      <c r="G1236">
        <v>24817</v>
      </c>
      <c r="H1236" t="s">
        <v>5182</v>
      </c>
      <c r="I1236" t="s">
        <v>5183</v>
      </c>
      <c r="J1236">
        <v>24817</v>
      </c>
      <c r="K1236" t="s">
        <v>9664</v>
      </c>
      <c r="L1236">
        <v>4</v>
      </c>
      <c r="N1236" t="s">
        <v>4713</v>
      </c>
      <c r="O1236">
        <v>24817</v>
      </c>
      <c r="P1236" t="s">
        <v>11</v>
      </c>
      <c r="Q1236">
        <v>1</v>
      </c>
    </row>
    <row r="1237" spans="1:17" x14ac:dyDescent="0.25">
      <c r="A1237">
        <v>4</v>
      </c>
      <c r="B1237" t="s">
        <v>9665</v>
      </c>
      <c r="C1237" t="s">
        <v>31</v>
      </c>
      <c r="D1237" t="s">
        <v>11</v>
      </c>
      <c r="G1237" t="s">
        <v>9666</v>
      </c>
      <c r="H1237" t="s">
        <v>9667</v>
      </c>
      <c r="I1237" t="s">
        <v>9668</v>
      </c>
      <c r="J1237" t="s">
        <v>9666</v>
      </c>
      <c r="K1237" t="s">
        <v>9669</v>
      </c>
      <c r="L1237">
        <v>71</v>
      </c>
      <c r="O1237" t="s">
        <v>9666</v>
      </c>
      <c r="P1237" t="s">
        <v>11</v>
      </c>
      <c r="Q1237">
        <v>1</v>
      </c>
    </row>
    <row r="1238" spans="1:17" x14ac:dyDescent="0.25">
      <c r="A1238">
        <v>4</v>
      </c>
      <c r="B1238" t="s">
        <v>9670</v>
      </c>
      <c r="C1238" t="s">
        <v>31</v>
      </c>
      <c r="D1238" t="s">
        <v>11</v>
      </c>
      <c r="G1238" t="s">
        <v>9671</v>
      </c>
      <c r="H1238" t="s">
        <v>9672</v>
      </c>
      <c r="I1238" t="s">
        <v>9673</v>
      </c>
      <c r="J1238" t="s">
        <v>9671</v>
      </c>
      <c r="K1238" t="s">
        <v>9674</v>
      </c>
      <c r="L1238">
        <v>2</v>
      </c>
      <c r="N1238" t="s">
        <v>4713</v>
      </c>
      <c r="O1238" t="s">
        <v>9671</v>
      </c>
      <c r="P1238" t="s">
        <v>11</v>
      </c>
      <c r="Q1238">
        <v>1</v>
      </c>
    </row>
    <row r="1239" spans="1:17" x14ac:dyDescent="0.25">
      <c r="A1239">
        <v>4</v>
      </c>
      <c r="B1239" t="s">
        <v>9675</v>
      </c>
      <c r="C1239" t="s">
        <v>31</v>
      </c>
      <c r="D1239" t="s">
        <v>11</v>
      </c>
      <c r="G1239" t="s">
        <v>9676</v>
      </c>
      <c r="H1239" t="s">
        <v>9677</v>
      </c>
      <c r="I1239" t="s">
        <v>9678</v>
      </c>
      <c r="J1239" t="s">
        <v>9676</v>
      </c>
      <c r="K1239" t="s">
        <v>9679</v>
      </c>
      <c r="L1239">
        <v>50</v>
      </c>
      <c r="O1239" t="s">
        <v>9676</v>
      </c>
      <c r="P1239" t="s">
        <v>11</v>
      </c>
      <c r="Q1239">
        <v>1</v>
      </c>
    </row>
    <row r="1240" spans="1:17" x14ac:dyDescent="0.25">
      <c r="A1240">
        <v>4</v>
      </c>
      <c r="B1240" t="s">
        <v>9680</v>
      </c>
      <c r="C1240" t="s">
        <v>31</v>
      </c>
      <c r="D1240" t="s">
        <v>11</v>
      </c>
      <c r="G1240" t="s">
        <v>9681</v>
      </c>
      <c r="H1240" t="s">
        <v>9682</v>
      </c>
      <c r="I1240" t="s">
        <v>9683</v>
      </c>
      <c r="J1240" t="s">
        <v>9681</v>
      </c>
      <c r="K1240" t="s">
        <v>9684</v>
      </c>
      <c r="L1240">
        <v>78</v>
      </c>
      <c r="O1240" t="s">
        <v>9681</v>
      </c>
      <c r="P1240" t="s">
        <v>11</v>
      </c>
      <c r="Q1240">
        <v>1</v>
      </c>
    </row>
    <row r="1241" spans="1:17" x14ac:dyDescent="0.25">
      <c r="A1241">
        <v>4</v>
      </c>
      <c r="B1241" t="s">
        <v>9685</v>
      </c>
      <c r="C1241" t="s">
        <v>31</v>
      </c>
      <c r="D1241" t="s">
        <v>11</v>
      </c>
      <c r="G1241" t="s">
        <v>9686</v>
      </c>
      <c r="H1241" t="s">
        <v>9687</v>
      </c>
      <c r="I1241" t="s">
        <v>9688</v>
      </c>
      <c r="J1241" t="s">
        <v>9686</v>
      </c>
      <c r="K1241" t="s">
        <v>9689</v>
      </c>
      <c r="L1241">
        <v>6</v>
      </c>
      <c r="N1241" t="s">
        <v>4713</v>
      </c>
      <c r="O1241" t="s">
        <v>9686</v>
      </c>
      <c r="P1241" t="s">
        <v>11</v>
      </c>
      <c r="Q1241">
        <v>1</v>
      </c>
    </row>
    <row r="1242" spans="1:17" x14ac:dyDescent="0.25">
      <c r="A1242">
        <v>1</v>
      </c>
      <c r="B1242">
        <v>8</v>
      </c>
      <c r="C1242" t="s">
        <v>21</v>
      </c>
      <c r="D1242" t="s">
        <v>9690</v>
      </c>
      <c r="H1242" t="s">
        <v>9690</v>
      </c>
      <c r="I1242" t="s">
        <v>391</v>
      </c>
      <c r="J1242" t="s">
        <v>21</v>
      </c>
      <c r="O1242" t="s">
        <v>21</v>
      </c>
      <c r="P1242" t="s">
        <v>9690</v>
      </c>
      <c r="Q1242">
        <v>2</v>
      </c>
    </row>
    <row r="1243" spans="1:17" x14ac:dyDescent="0.25">
      <c r="A1243">
        <v>2</v>
      </c>
      <c r="B1243" t="s">
        <v>9691</v>
      </c>
      <c r="C1243" t="s">
        <v>21</v>
      </c>
      <c r="D1243" t="s">
        <v>9690</v>
      </c>
      <c r="E1243" t="s">
        <v>21</v>
      </c>
      <c r="H1243" t="s">
        <v>9692</v>
      </c>
      <c r="I1243" t="s">
        <v>391</v>
      </c>
      <c r="J1243" t="s">
        <v>21</v>
      </c>
      <c r="O1243" t="s">
        <v>21</v>
      </c>
      <c r="P1243" t="s">
        <v>9690</v>
      </c>
      <c r="Q1243">
        <v>2</v>
      </c>
    </row>
    <row r="1244" spans="1:17" x14ac:dyDescent="0.25">
      <c r="A1244">
        <v>3</v>
      </c>
      <c r="B1244" t="s">
        <v>9693</v>
      </c>
      <c r="C1244" t="s">
        <v>21</v>
      </c>
      <c r="D1244" t="s">
        <v>9690</v>
      </c>
      <c r="F1244" t="s">
        <v>148</v>
      </c>
      <c r="H1244" t="s">
        <v>149</v>
      </c>
      <c r="I1244" t="s">
        <v>394</v>
      </c>
      <c r="J1244" t="s">
        <v>148</v>
      </c>
      <c r="O1244" t="s">
        <v>148</v>
      </c>
      <c r="P1244" t="s">
        <v>9690</v>
      </c>
      <c r="Q1244">
        <v>1</v>
      </c>
    </row>
    <row r="1245" spans="1:17" x14ac:dyDescent="0.25">
      <c r="A1245">
        <v>4</v>
      </c>
      <c r="B1245" t="s">
        <v>9694</v>
      </c>
      <c r="C1245" t="s">
        <v>21</v>
      </c>
      <c r="D1245" t="s">
        <v>9690</v>
      </c>
      <c r="G1245">
        <v>24889</v>
      </c>
      <c r="H1245" t="s">
        <v>6783</v>
      </c>
      <c r="I1245" t="s">
        <v>6784</v>
      </c>
      <c r="J1245">
        <v>24889</v>
      </c>
      <c r="K1245" t="s">
        <v>9695</v>
      </c>
      <c r="L1245">
        <v>125</v>
      </c>
      <c r="O1245">
        <v>24889</v>
      </c>
      <c r="P1245" t="s">
        <v>9690</v>
      </c>
      <c r="Q1245">
        <v>1</v>
      </c>
    </row>
    <row r="1246" spans="1:17" x14ac:dyDescent="0.25">
      <c r="A1246">
        <v>4</v>
      </c>
      <c r="B1246" t="s">
        <v>9696</v>
      </c>
      <c r="C1246" t="s">
        <v>21</v>
      </c>
      <c r="D1246" t="s">
        <v>9690</v>
      </c>
      <c r="G1246">
        <v>24891</v>
      </c>
      <c r="H1246" t="s">
        <v>9697</v>
      </c>
      <c r="I1246" t="s">
        <v>9698</v>
      </c>
      <c r="J1246">
        <v>24891</v>
      </c>
      <c r="K1246" t="s">
        <v>9699</v>
      </c>
      <c r="L1246">
        <v>138</v>
      </c>
      <c r="O1246">
        <v>24891</v>
      </c>
      <c r="P1246" t="s">
        <v>9690</v>
      </c>
      <c r="Q1246">
        <v>1</v>
      </c>
    </row>
    <row r="1247" spans="1:17" x14ac:dyDescent="0.25">
      <c r="A1247">
        <v>4</v>
      </c>
      <c r="B1247" t="s">
        <v>9700</v>
      </c>
      <c r="C1247" t="s">
        <v>21</v>
      </c>
      <c r="D1247" t="s">
        <v>9690</v>
      </c>
      <c r="G1247">
        <v>24893</v>
      </c>
      <c r="H1247" t="s">
        <v>9701</v>
      </c>
      <c r="I1247" t="s">
        <v>391</v>
      </c>
      <c r="J1247">
        <v>24893</v>
      </c>
      <c r="K1247" t="s">
        <v>9702</v>
      </c>
      <c r="L1247">
        <v>207</v>
      </c>
      <c r="O1247">
        <v>24893</v>
      </c>
      <c r="P1247" t="s">
        <v>9690</v>
      </c>
      <c r="Q1247">
        <v>1</v>
      </c>
    </row>
    <row r="1248" spans="1:17" x14ac:dyDescent="0.25">
      <c r="A1248">
        <v>4</v>
      </c>
      <c r="B1248" t="s">
        <v>9703</v>
      </c>
      <c r="C1248" t="s">
        <v>21</v>
      </c>
      <c r="D1248" t="s">
        <v>9690</v>
      </c>
      <c r="G1248">
        <v>24895</v>
      </c>
      <c r="H1248" t="s">
        <v>9704</v>
      </c>
      <c r="I1248" t="s">
        <v>9705</v>
      </c>
      <c r="J1248">
        <v>24895</v>
      </c>
      <c r="K1248" t="s">
        <v>9706</v>
      </c>
      <c r="L1248">
        <v>57</v>
      </c>
      <c r="O1248">
        <v>24895</v>
      </c>
      <c r="P1248" t="s">
        <v>9690</v>
      </c>
      <c r="Q1248">
        <v>1</v>
      </c>
    </row>
    <row r="1249" spans="1:17" x14ac:dyDescent="0.25">
      <c r="A1249">
        <v>4</v>
      </c>
      <c r="B1249" t="s">
        <v>9707</v>
      </c>
      <c r="C1249" t="s">
        <v>21</v>
      </c>
      <c r="D1249" t="s">
        <v>9690</v>
      </c>
      <c r="G1249">
        <v>24897</v>
      </c>
      <c r="H1249" t="s">
        <v>9708</v>
      </c>
      <c r="I1249" t="s">
        <v>9709</v>
      </c>
      <c r="J1249">
        <v>24897</v>
      </c>
      <c r="K1249" t="s">
        <v>9710</v>
      </c>
      <c r="L1249">
        <v>11</v>
      </c>
      <c r="O1249">
        <v>24897</v>
      </c>
      <c r="P1249" t="s">
        <v>9690</v>
      </c>
      <c r="Q1249">
        <v>1</v>
      </c>
    </row>
    <row r="1250" spans="1:17" x14ac:dyDescent="0.25">
      <c r="A1250">
        <v>4</v>
      </c>
      <c r="B1250" t="s">
        <v>9711</v>
      </c>
      <c r="C1250" t="s">
        <v>21</v>
      </c>
      <c r="D1250" t="s">
        <v>9690</v>
      </c>
      <c r="G1250">
        <v>24899</v>
      </c>
      <c r="H1250" t="s">
        <v>9712</v>
      </c>
      <c r="I1250" t="s">
        <v>9713</v>
      </c>
      <c r="J1250">
        <v>24899</v>
      </c>
      <c r="K1250" t="s">
        <v>9714</v>
      </c>
      <c r="L1250">
        <v>104</v>
      </c>
      <c r="O1250">
        <v>24899</v>
      </c>
      <c r="P1250" t="s">
        <v>9690</v>
      </c>
      <c r="Q1250">
        <v>1</v>
      </c>
    </row>
    <row r="1251" spans="1:17" x14ac:dyDescent="0.25">
      <c r="A1251">
        <v>2</v>
      </c>
      <c r="B1251" t="s">
        <v>9715</v>
      </c>
      <c r="C1251" t="s">
        <v>21</v>
      </c>
      <c r="D1251" t="s">
        <v>9690</v>
      </c>
      <c r="E1251" t="s">
        <v>25</v>
      </c>
      <c r="H1251" t="s">
        <v>9716</v>
      </c>
      <c r="I1251" t="s">
        <v>415</v>
      </c>
      <c r="J1251" t="s">
        <v>25</v>
      </c>
      <c r="O1251" t="s">
        <v>25</v>
      </c>
      <c r="P1251" t="s">
        <v>9690</v>
      </c>
      <c r="Q1251">
        <v>1</v>
      </c>
    </row>
    <row r="1252" spans="1:17" x14ac:dyDescent="0.25">
      <c r="A1252">
        <v>3</v>
      </c>
      <c r="B1252" t="s">
        <v>9717</v>
      </c>
      <c r="C1252" t="s">
        <v>21</v>
      </c>
      <c r="D1252" t="s">
        <v>9690</v>
      </c>
      <c r="F1252" t="s">
        <v>162</v>
      </c>
      <c r="H1252" t="s">
        <v>163</v>
      </c>
      <c r="I1252" t="s">
        <v>1192</v>
      </c>
      <c r="J1252" t="s">
        <v>162</v>
      </c>
      <c r="O1252" t="s">
        <v>162</v>
      </c>
      <c r="P1252" t="s">
        <v>9690</v>
      </c>
      <c r="Q1252">
        <v>1</v>
      </c>
    </row>
    <row r="1253" spans="1:17" x14ac:dyDescent="0.25">
      <c r="A1253">
        <v>4</v>
      </c>
      <c r="B1253" t="s">
        <v>9718</v>
      </c>
      <c r="C1253" t="s">
        <v>21</v>
      </c>
      <c r="D1253" t="s">
        <v>9690</v>
      </c>
      <c r="G1253">
        <v>177867</v>
      </c>
      <c r="H1253" t="s">
        <v>9719</v>
      </c>
      <c r="I1253" t="s">
        <v>9720</v>
      </c>
      <c r="J1253">
        <v>177867</v>
      </c>
      <c r="K1253" t="s">
        <v>9721</v>
      </c>
      <c r="L1253">
        <v>288</v>
      </c>
      <c r="O1253">
        <v>177867</v>
      </c>
      <c r="P1253" t="s">
        <v>9690</v>
      </c>
      <c r="Q1253">
        <v>1</v>
      </c>
    </row>
    <row r="1254" spans="1:17" x14ac:dyDescent="0.25">
      <c r="A1254">
        <v>4</v>
      </c>
      <c r="B1254" t="s">
        <v>9722</v>
      </c>
      <c r="C1254" t="s">
        <v>21</v>
      </c>
      <c r="D1254" t="s">
        <v>9690</v>
      </c>
      <c r="G1254">
        <v>177870</v>
      </c>
      <c r="H1254" t="s">
        <v>9723</v>
      </c>
      <c r="I1254" t="s">
        <v>9724</v>
      </c>
      <c r="J1254">
        <v>177870</v>
      </c>
      <c r="K1254" t="s">
        <v>9725</v>
      </c>
      <c r="L1254">
        <v>130</v>
      </c>
      <c r="O1254">
        <v>177870</v>
      </c>
      <c r="P1254" t="s">
        <v>9690</v>
      </c>
      <c r="Q1254">
        <v>1</v>
      </c>
    </row>
    <row r="1255" spans="1:17" x14ac:dyDescent="0.25">
      <c r="A1255">
        <v>4</v>
      </c>
      <c r="B1255" t="s">
        <v>9726</v>
      </c>
      <c r="C1255" t="s">
        <v>21</v>
      </c>
      <c r="D1255" t="s">
        <v>9690</v>
      </c>
      <c r="G1255">
        <v>177871</v>
      </c>
      <c r="H1255" t="s">
        <v>9727</v>
      </c>
      <c r="I1255" t="s">
        <v>9728</v>
      </c>
      <c r="J1255">
        <v>177871</v>
      </c>
      <c r="K1255" t="s">
        <v>9729</v>
      </c>
      <c r="L1255">
        <v>202</v>
      </c>
      <c r="O1255">
        <v>177871</v>
      </c>
      <c r="P1255" t="s">
        <v>9690</v>
      </c>
      <c r="Q1255">
        <v>1</v>
      </c>
    </row>
    <row r="1256" spans="1:17" x14ac:dyDescent="0.25">
      <c r="A1256">
        <v>4</v>
      </c>
      <c r="B1256" t="s">
        <v>9730</v>
      </c>
      <c r="C1256" t="s">
        <v>21</v>
      </c>
      <c r="D1256" t="s">
        <v>9690</v>
      </c>
      <c r="G1256">
        <v>177878</v>
      </c>
      <c r="H1256" t="s">
        <v>9731</v>
      </c>
      <c r="I1256" t="s">
        <v>9732</v>
      </c>
      <c r="J1256">
        <v>177878</v>
      </c>
      <c r="K1256" t="s">
        <v>9733</v>
      </c>
      <c r="L1256">
        <v>358</v>
      </c>
      <c r="O1256">
        <v>177878</v>
      </c>
      <c r="P1256" t="s">
        <v>9690</v>
      </c>
      <c r="Q1256">
        <v>1</v>
      </c>
    </row>
    <row r="1257" spans="1:17" x14ac:dyDescent="0.25">
      <c r="A1257">
        <v>4</v>
      </c>
      <c r="B1257" t="s">
        <v>9734</v>
      </c>
      <c r="C1257" t="s">
        <v>21</v>
      </c>
      <c r="D1257" t="s">
        <v>9690</v>
      </c>
      <c r="G1257">
        <v>360554</v>
      </c>
      <c r="H1257" t="s">
        <v>9735</v>
      </c>
      <c r="I1257" t="s">
        <v>9736</v>
      </c>
      <c r="J1257">
        <v>360554</v>
      </c>
      <c r="K1257" t="s">
        <v>9737</v>
      </c>
      <c r="L1257">
        <v>617</v>
      </c>
      <c r="O1257">
        <v>360554</v>
      </c>
      <c r="P1257" t="s">
        <v>9690</v>
      </c>
      <c r="Q1257">
        <v>1</v>
      </c>
    </row>
    <row r="1258" spans="1:17" x14ac:dyDescent="0.25">
      <c r="A1258">
        <v>4</v>
      </c>
      <c r="B1258" t="s">
        <v>9738</v>
      </c>
      <c r="C1258" t="s">
        <v>21</v>
      </c>
      <c r="D1258" t="s">
        <v>9690</v>
      </c>
      <c r="G1258">
        <v>530364</v>
      </c>
      <c r="H1258" t="s">
        <v>9739</v>
      </c>
      <c r="I1258" t="s">
        <v>9740</v>
      </c>
      <c r="J1258">
        <v>530364</v>
      </c>
      <c r="K1258" t="s">
        <v>9741</v>
      </c>
      <c r="L1258">
        <v>664</v>
      </c>
      <c r="O1258">
        <v>530364</v>
      </c>
      <c r="P1258" t="s">
        <v>9690</v>
      </c>
      <c r="Q1258">
        <v>1</v>
      </c>
    </row>
    <row r="1259" spans="1:17" x14ac:dyDescent="0.25">
      <c r="A1259">
        <v>4</v>
      </c>
      <c r="B1259" t="s">
        <v>9742</v>
      </c>
      <c r="C1259" t="s">
        <v>21</v>
      </c>
      <c r="D1259" t="s">
        <v>9690</v>
      </c>
      <c r="G1259">
        <v>558512</v>
      </c>
      <c r="H1259" t="s">
        <v>9743</v>
      </c>
      <c r="I1259" t="s">
        <v>9744</v>
      </c>
      <c r="J1259">
        <v>558512</v>
      </c>
      <c r="K1259" t="s">
        <v>9745</v>
      </c>
      <c r="L1259">
        <v>465</v>
      </c>
      <c r="O1259">
        <v>558512</v>
      </c>
      <c r="P1259" t="s">
        <v>9690</v>
      </c>
      <c r="Q1259">
        <v>1</v>
      </c>
    </row>
    <row r="1260" spans="1:17" x14ac:dyDescent="0.25">
      <c r="A1260">
        <v>4</v>
      </c>
      <c r="B1260" t="s">
        <v>9746</v>
      </c>
      <c r="C1260" t="s">
        <v>21</v>
      </c>
      <c r="D1260" t="s">
        <v>9690</v>
      </c>
      <c r="G1260">
        <v>559700</v>
      </c>
      <c r="H1260" t="s">
        <v>9747</v>
      </c>
      <c r="I1260" t="s">
        <v>9748</v>
      </c>
      <c r="J1260">
        <v>559700</v>
      </c>
      <c r="K1260" t="s">
        <v>9749</v>
      </c>
      <c r="L1260">
        <v>35</v>
      </c>
      <c r="O1260">
        <v>559700</v>
      </c>
      <c r="P1260" t="s">
        <v>9690</v>
      </c>
      <c r="Q1260">
        <v>1</v>
      </c>
    </row>
    <row r="1261" spans="1:17" x14ac:dyDescent="0.25">
      <c r="A1261">
        <v>4</v>
      </c>
      <c r="B1261" t="s">
        <v>9750</v>
      </c>
      <c r="C1261" t="s">
        <v>21</v>
      </c>
      <c r="D1261" t="s">
        <v>9690</v>
      </c>
      <c r="G1261">
        <v>568072</v>
      </c>
      <c r="H1261" t="s">
        <v>9751</v>
      </c>
      <c r="I1261" t="s">
        <v>9752</v>
      </c>
      <c r="J1261">
        <v>568072</v>
      </c>
      <c r="K1261" t="s">
        <v>9753</v>
      </c>
      <c r="L1261">
        <v>145</v>
      </c>
      <c r="O1261">
        <v>568072</v>
      </c>
      <c r="P1261" t="s">
        <v>9690</v>
      </c>
      <c r="Q1261">
        <v>1</v>
      </c>
    </row>
    <row r="1262" spans="1:17" x14ac:dyDescent="0.25">
      <c r="A1262">
        <v>4</v>
      </c>
      <c r="B1262" t="s">
        <v>9754</v>
      </c>
      <c r="C1262" t="s">
        <v>21</v>
      </c>
      <c r="D1262" t="s">
        <v>9690</v>
      </c>
      <c r="G1262">
        <v>573687</v>
      </c>
      <c r="H1262" t="s">
        <v>9755</v>
      </c>
      <c r="I1262" t="s">
        <v>9755</v>
      </c>
      <c r="J1262">
        <v>573687</v>
      </c>
      <c r="K1262" t="s">
        <v>9756</v>
      </c>
      <c r="L1262">
        <v>11</v>
      </c>
      <c r="O1262">
        <v>573687</v>
      </c>
      <c r="P1262" t="s">
        <v>9690</v>
      </c>
      <c r="Q1262">
        <v>1</v>
      </c>
    </row>
    <row r="1263" spans="1:17" x14ac:dyDescent="0.25">
      <c r="A1263">
        <v>4</v>
      </c>
      <c r="B1263" t="s">
        <v>9757</v>
      </c>
      <c r="C1263" t="s">
        <v>21</v>
      </c>
      <c r="D1263" t="s">
        <v>9690</v>
      </c>
      <c r="G1263">
        <v>573689</v>
      </c>
      <c r="H1263" t="s">
        <v>9758</v>
      </c>
      <c r="I1263" t="s">
        <v>9759</v>
      </c>
      <c r="J1263">
        <v>573689</v>
      </c>
      <c r="K1263" t="s">
        <v>9760</v>
      </c>
      <c r="L1263">
        <v>35</v>
      </c>
      <c r="O1263">
        <v>573689</v>
      </c>
      <c r="P1263" t="s">
        <v>9690</v>
      </c>
      <c r="Q1263">
        <v>1</v>
      </c>
    </row>
    <row r="1264" spans="1:17" x14ac:dyDescent="0.25">
      <c r="A1264">
        <v>4</v>
      </c>
      <c r="B1264" t="s">
        <v>9761</v>
      </c>
      <c r="C1264" t="s">
        <v>21</v>
      </c>
      <c r="D1264" t="s">
        <v>9690</v>
      </c>
      <c r="G1264">
        <v>575331</v>
      </c>
      <c r="H1264" t="s">
        <v>9762</v>
      </c>
      <c r="I1264" t="s">
        <v>9763</v>
      </c>
      <c r="J1264">
        <v>575331</v>
      </c>
      <c r="K1264" t="s">
        <v>9764</v>
      </c>
      <c r="L1264">
        <v>49</v>
      </c>
      <c r="O1264">
        <v>575331</v>
      </c>
      <c r="P1264" t="s">
        <v>9690</v>
      </c>
      <c r="Q1264">
        <v>1</v>
      </c>
    </row>
    <row r="1265" spans="1:17" x14ac:dyDescent="0.25">
      <c r="A1265">
        <v>4</v>
      </c>
      <c r="B1265" t="s">
        <v>9765</v>
      </c>
      <c r="C1265" t="s">
        <v>21</v>
      </c>
      <c r="D1265" t="s">
        <v>9690</v>
      </c>
      <c r="G1265">
        <v>575391</v>
      </c>
      <c r="H1265" t="s">
        <v>9766</v>
      </c>
      <c r="I1265" t="s">
        <v>9767</v>
      </c>
      <c r="J1265">
        <v>575391</v>
      </c>
      <c r="K1265" t="s">
        <v>9768</v>
      </c>
      <c r="L1265">
        <v>131</v>
      </c>
      <c r="O1265">
        <v>575391</v>
      </c>
      <c r="P1265" t="s">
        <v>9690</v>
      </c>
      <c r="Q1265">
        <v>1</v>
      </c>
    </row>
    <row r="1266" spans="1:17" x14ac:dyDescent="0.25">
      <c r="A1266">
        <v>4</v>
      </c>
      <c r="B1266" t="s">
        <v>9769</v>
      </c>
      <c r="C1266" t="s">
        <v>21</v>
      </c>
      <c r="D1266" t="s">
        <v>9690</v>
      </c>
      <c r="G1266">
        <v>576830</v>
      </c>
      <c r="H1266" t="s">
        <v>9770</v>
      </c>
      <c r="I1266" t="s">
        <v>9771</v>
      </c>
      <c r="J1266">
        <v>576830</v>
      </c>
      <c r="K1266" t="s">
        <v>9772</v>
      </c>
      <c r="L1266">
        <v>87</v>
      </c>
      <c r="O1266">
        <v>576830</v>
      </c>
      <c r="P1266" t="s">
        <v>9690</v>
      </c>
      <c r="Q1266">
        <v>1</v>
      </c>
    </row>
    <row r="1267" spans="1:17" x14ac:dyDescent="0.25">
      <c r="A1267">
        <v>4</v>
      </c>
      <c r="B1267" t="s">
        <v>9773</v>
      </c>
      <c r="C1267" t="s">
        <v>21</v>
      </c>
      <c r="D1267" t="s">
        <v>9690</v>
      </c>
      <c r="G1267">
        <v>579026</v>
      </c>
      <c r="H1267" t="s">
        <v>9774</v>
      </c>
      <c r="I1267" t="s">
        <v>9775</v>
      </c>
      <c r="J1267">
        <v>579026</v>
      </c>
      <c r="K1267" t="s">
        <v>9776</v>
      </c>
      <c r="L1267">
        <v>98</v>
      </c>
      <c r="O1267">
        <v>579026</v>
      </c>
      <c r="P1267" t="s">
        <v>9690</v>
      </c>
      <c r="Q1267">
        <v>1</v>
      </c>
    </row>
    <row r="1268" spans="1:17" x14ac:dyDescent="0.25">
      <c r="A1268">
        <v>4</v>
      </c>
      <c r="B1268" t="s">
        <v>9777</v>
      </c>
      <c r="C1268" t="s">
        <v>21</v>
      </c>
      <c r="D1268" t="s">
        <v>9690</v>
      </c>
      <c r="G1268">
        <v>579322</v>
      </c>
      <c r="H1268" t="s">
        <v>9778</v>
      </c>
      <c r="I1268" t="s">
        <v>9779</v>
      </c>
      <c r="J1268">
        <v>579322</v>
      </c>
      <c r="K1268" t="s">
        <v>9780</v>
      </c>
      <c r="L1268">
        <v>106</v>
      </c>
      <c r="O1268">
        <v>579322</v>
      </c>
      <c r="P1268" t="s">
        <v>9690</v>
      </c>
      <c r="Q1268">
        <v>1</v>
      </c>
    </row>
    <row r="1269" spans="1:17" x14ac:dyDescent="0.25">
      <c r="A1269">
        <v>4</v>
      </c>
      <c r="B1269" t="s">
        <v>9781</v>
      </c>
      <c r="C1269" t="s">
        <v>21</v>
      </c>
      <c r="D1269" t="s">
        <v>9690</v>
      </c>
      <c r="G1269">
        <v>582738</v>
      </c>
      <c r="H1269" t="s">
        <v>9782</v>
      </c>
      <c r="I1269" t="s">
        <v>9783</v>
      </c>
      <c r="J1269">
        <v>582738</v>
      </c>
      <c r="K1269" t="s">
        <v>9784</v>
      </c>
      <c r="L1269">
        <v>55</v>
      </c>
      <c r="O1269">
        <v>582738</v>
      </c>
      <c r="P1269" t="s">
        <v>9690</v>
      </c>
      <c r="Q1269">
        <v>1</v>
      </c>
    </row>
    <row r="1270" spans="1:17" x14ac:dyDescent="0.25">
      <c r="A1270">
        <v>4</v>
      </c>
      <c r="B1270" t="s">
        <v>9785</v>
      </c>
      <c r="C1270" t="s">
        <v>21</v>
      </c>
      <c r="D1270" t="s">
        <v>9690</v>
      </c>
      <c r="G1270">
        <v>634374</v>
      </c>
      <c r="H1270" t="s">
        <v>9786</v>
      </c>
      <c r="I1270" t="s">
        <v>9787</v>
      </c>
      <c r="J1270">
        <v>634374</v>
      </c>
      <c r="K1270" t="s">
        <v>9788</v>
      </c>
      <c r="L1270">
        <v>12</v>
      </c>
      <c r="O1270">
        <v>634374</v>
      </c>
      <c r="P1270" t="s">
        <v>9690</v>
      </c>
      <c r="Q1270">
        <v>1</v>
      </c>
    </row>
    <row r="1271" spans="1:17" x14ac:dyDescent="0.25">
      <c r="A1271">
        <v>3</v>
      </c>
      <c r="B1271" t="s">
        <v>9789</v>
      </c>
      <c r="C1271" t="s">
        <v>21</v>
      </c>
      <c r="D1271" t="s">
        <v>9690</v>
      </c>
      <c r="F1271" t="s">
        <v>171</v>
      </c>
      <c r="H1271" t="s">
        <v>172</v>
      </c>
      <c r="I1271" t="s">
        <v>429</v>
      </c>
      <c r="J1271" t="s">
        <v>171</v>
      </c>
      <c r="O1271" t="s">
        <v>171</v>
      </c>
      <c r="P1271" t="s">
        <v>9690</v>
      </c>
      <c r="Q1271">
        <v>1</v>
      </c>
    </row>
    <row r="1272" spans="1:17" x14ac:dyDescent="0.25">
      <c r="A1272">
        <v>4</v>
      </c>
      <c r="B1272" t="s">
        <v>9790</v>
      </c>
      <c r="C1272" t="s">
        <v>21</v>
      </c>
      <c r="D1272" t="s">
        <v>9690</v>
      </c>
      <c r="G1272">
        <v>177886</v>
      </c>
      <c r="H1272" t="s">
        <v>9791</v>
      </c>
      <c r="I1272" t="s">
        <v>9792</v>
      </c>
      <c r="J1272">
        <v>177886</v>
      </c>
      <c r="K1272" t="s">
        <v>9793</v>
      </c>
      <c r="L1272">
        <v>119</v>
      </c>
      <c r="O1272">
        <v>177886</v>
      </c>
      <c r="P1272" t="s">
        <v>9690</v>
      </c>
      <c r="Q1272">
        <v>1</v>
      </c>
    </row>
    <row r="1273" spans="1:17" x14ac:dyDescent="0.25">
      <c r="A1273">
        <v>4</v>
      </c>
      <c r="B1273" t="s">
        <v>9794</v>
      </c>
      <c r="C1273" t="s">
        <v>21</v>
      </c>
      <c r="D1273" t="s">
        <v>9690</v>
      </c>
      <c r="G1273">
        <v>177889</v>
      </c>
      <c r="H1273" t="s">
        <v>9795</v>
      </c>
      <c r="I1273" t="s">
        <v>9796</v>
      </c>
      <c r="J1273">
        <v>177889</v>
      </c>
      <c r="K1273" t="s">
        <v>9797</v>
      </c>
      <c r="L1273">
        <v>745</v>
      </c>
      <c r="O1273">
        <v>177889</v>
      </c>
      <c r="P1273" t="s">
        <v>9690</v>
      </c>
      <c r="Q1273">
        <v>1</v>
      </c>
    </row>
    <row r="1274" spans="1:17" x14ac:dyDescent="0.25">
      <c r="A1274">
        <v>4</v>
      </c>
      <c r="B1274" t="s">
        <v>9798</v>
      </c>
      <c r="C1274" t="s">
        <v>21</v>
      </c>
      <c r="D1274" t="s">
        <v>9690</v>
      </c>
      <c r="G1274">
        <v>25277</v>
      </c>
      <c r="H1274" t="s">
        <v>9799</v>
      </c>
      <c r="I1274" t="s">
        <v>9800</v>
      </c>
      <c r="J1274">
        <v>25277</v>
      </c>
      <c r="K1274" t="s">
        <v>9801</v>
      </c>
      <c r="L1274">
        <v>10</v>
      </c>
      <c r="O1274">
        <v>25277</v>
      </c>
      <c r="P1274" t="s">
        <v>9690</v>
      </c>
      <c r="Q1274">
        <v>1</v>
      </c>
    </row>
    <row r="1275" spans="1:17" x14ac:dyDescent="0.25">
      <c r="A1275">
        <v>4</v>
      </c>
      <c r="B1275" t="s">
        <v>9802</v>
      </c>
      <c r="C1275" t="s">
        <v>21</v>
      </c>
      <c r="D1275" t="s">
        <v>9690</v>
      </c>
      <c r="G1275">
        <v>25279</v>
      </c>
      <c r="H1275" t="s">
        <v>9803</v>
      </c>
      <c r="I1275" t="s">
        <v>9804</v>
      </c>
      <c r="J1275">
        <v>25279</v>
      </c>
      <c r="K1275" t="s">
        <v>9805</v>
      </c>
      <c r="L1275">
        <v>99</v>
      </c>
      <c r="O1275">
        <v>25279</v>
      </c>
      <c r="P1275" t="s">
        <v>9690</v>
      </c>
      <c r="Q1275">
        <v>1</v>
      </c>
    </row>
    <row r="1276" spans="1:17" x14ac:dyDescent="0.25">
      <c r="A1276">
        <v>4</v>
      </c>
      <c r="B1276" t="s">
        <v>9806</v>
      </c>
      <c r="C1276" t="s">
        <v>21</v>
      </c>
      <c r="D1276" t="s">
        <v>9690</v>
      </c>
      <c r="G1276">
        <v>25281</v>
      </c>
      <c r="H1276" t="s">
        <v>9807</v>
      </c>
      <c r="I1276" t="s">
        <v>9808</v>
      </c>
      <c r="J1276">
        <v>25281</v>
      </c>
      <c r="K1276" t="s">
        <v>9809</v>
      </c>
      <c r="L1276">
        <v>335</v>
      </c>
      <c r="O1276">
        <v>25281</v>
      </c>
      <c r="P1276" t="s">
        <v>9690</v>
      </c>
      <c r="Q1276">
        <v>1</v>
      </c>
    </row>
    <row r="1277" spans="1:17" x14ac:dyDescent="0.25">
      <c r="A1277">
        <v>4</v>
      </c>
      <c r="B1277" t="s">
        <v>9810</v>
      </c>
      <c r="C1277" t="s">
        <v>21</v>
      </c>
      <c r="D1277" t="s">
        <v>9690</v>
      </c>
      <c r="G1277">
        <v>25285</v>
      </c>
      <c r="H1277" t="s">
        <v>9811</v>
      </c>
      <c r="I1277" t="s">
        <v>9812</v>
      </c>
      <c r="J1277">
        <v>25285</v>
      </c>
      <c r="K1277" t="s">
        <v>9813</v>
      </c>
      <c r="L1277">
        <v>550</v>
      </c>
      <c r="O1277">
        <v>25285</v>
      </c>
      <c r="P1277" t="s">
        <v>9690</v>
      </c>
      <c r="Q1277">
        <v>1</v>
      </c>
    </row>
    <row r="1278" spans="1:17" x14ac:dyDescent="0.25">
      <c r="A1278">
        <v>4</v>
      </c>
      <c r="B1278" t="s">
        <v>9814</v>
      </c>
      <c r="C1278" t="s">
        <v>21</v>
      </c>
      <c r="D1278" t="s">
        <v>9690</v>
      </c>
      <c r="G1278">
        <v>25287</v>
      </c>
      <c r="H1278" t="s">
        <v>9815</v>
      </c>
      <c r="I1278" t="s">
        <v>9816</v>
      </c>
      <c r="J1278">
        <v>25287</v>
      </c>
      <c r="K1278" t="s">
        <v>9817</v>
      </c>
      <c r="L1278">
        <v>40</v>
      </c>
      <c r="O1278">
        <v>25287</v>
      </c>
      <c r="P1278" t="s">
        <v>9690</v>
      </c>
      <c r="Q1278">
        <v>1</v>
      </c>
    </row>
    <row r="1279" spans="1:17" x14ac:dyDescent="0.25">
      <c r="A1279">
        <v>4</v>
      </c>
      <c r="B1279" t="s">
        <v>9818</v>
      </c>
      <c r="C1279" t="s">
        <v>21</v>
      </c>
      <c r="D1279" t="s">
        <v>9690</v>
      </c>
      <c r="G1279">
        <v>558565</v>
      </c>
      <c r="H1279" t="s">
        <v>9819</v>
      </c>
      <c r="I1279" t="s">
        <v>9820</v>
      </c>
      <c r="J1279">
        <v>558565</v>
      </c>
      <c r="K1279" t="s">
        <v>9821</v>
      </c>
      <c r="L1279">
        <v>71</v>
      </c>
      <c r="O1279">
        <v>558565</v>
      </c>
      <c r="P1279" t="s">
        <v>9690</v>
      </c>
      <c r="Q1279">
        <v>1</v>
      </c>
    </row>
    <row r="1280" spans="1:17" x14ac:dyDescent="0.25">
      <c r="A1280">
        <v>3</v>
      </c>
      <c r="B1280" t="s">
        <v>9822</v>
      </c>
      <c r="C1280" t="s">
        <v>21</v>
      </c>
      <c r="D1280" t="s">
        <v>9690</v>
      </c>
      <c r="F1280" t="s">
        <v>166</v>
      </c>
      <c r="H1280" t="s">
        <v>167</v>
      </c>
      <c r="I1280" t="s">
        <v>423</v>
      </c>
      <c r="J1280" t="s">
        <v>166</v>
      </c>
      <c r="O1280" t="s">
        <v>166</v>
      </c>
      <c r="P1280" t="s">
        <v>9690</v>
      </c>
      <c r="Q1280">
        <v>1</v>
      </c>
    </row>
    <row r="1281" spans="1:17" x14ac:dyDescent="0.25">
      <c r="A1281">
        <v>4</v>
      </c>
      <c r="B1281" t="s">
        <v>9823</v>
      </c>
      <c r="C1281" t="s">
        <v>21</v>
      </c>
      <c r="D1281" t="s">
        <v>9690</v>
      </c>
      <c r="G1281">
        <v>25291</v>
      </c>
      <c r="H1281" t="s">
        <v>9824</v>
      </c>
      <c r="I1281" t="s">
        <v>9825</v>
      </c>
      <c r="J1281">
        <v>25291</v>
      </c>
      <c r="K1281" t="s">
        <v>9826</v>
      </c>
      <c r="L1281">
        <v>61</v>
      </c>
      <c r="O1281">
        <v>25291</v>
      </c>
      <c r="P1281" t="s">
        <v>9690</v>
      </c>
      <c r="Q1281">
        <v>1</v>
      </c>
    </row>
    <row r="1282" spans="1:17" x14ac:dyDescent="0.25">
      <c r="A1282">
        <v>4</v>
      </c>
      <c r="B1282" t="s">
        <v>9827</v>
      </c>
      <c r="C1282" t="s">
        <v>21</v>
      </c>
      <c r="D1282" t="s">
        <v>9690</v>
      </c>
      <c r="G1282">
        <v>25293</v>
      </c>
      <c r="H1282" t="s">
        <v>9751</v>
      </c>
      <c r="I1282" t="s">
        <v>9752</v>
      </c>
      <c r="J1282">
        <v>25293</v>
      </c>
      <c r="K1282" t="s">
        <v>9828</v>
      </c>
      <c r="L1282">
        <v>19</v>
      </c>
      <c r="O1282">
        <v>25293</v>
      </c>
      <c r="P1282" t="s">
        <v>9690</v>
      </c>
      <c r="Q1282">
        <v>1</v>
      </c>
    </row>
    <row r="1283" spans="1:17" x14ac:dyDescent="0.25">
      <c r="A1283">
        <v>4</v>
      </c>
      <c r="B1283" t="s">
        <v>9829</v>
      </c>
      <c r="C1283" t="s">
        <v>21</v>
      </c>
      <c r="D1283" t="s">
        <v>9690</v>
      </c>
      <c r="G1283">
        <v>25297</v>
      </c>
      <c r="H1283" t="s">
        <v>9830</v>
      </c>
      <c r="I1283" t="s">
        <v>9831</v>
      </c>
      <c r="J1283">
        <v>25297</v>
      </c>
      <c r="K1283" t="s">
        <v>9832</v>
      </c>
      <c r="L1283">
        <v>12</v>
      </c>
      <c r="O1283">
        <v>25297</v>
      </c>
      <c r="P1283" t="s">
        <v>9690</v>
      </c>
      <c r="Q1283">
        <v>1</v>
      </c>
    </row>
    <row r="1284" spans="1:17" x14ac:dyDescent="0.25">
      <c r="A1284">
        <v>4</v>
      </c>
      <c r="B1284" t="s">
        <v>9833</v>
      </c>
      <c r="C1284" t="s">
        <v>21</v>
      </c>
      <c r="D1284" t="s">
        <v>9690</v>
      </c>
      <c r="G1284">
        <v>25299</v>
      </c>
      <c r="H1284" t="s">
        <v>9834</v>
      </c>
      <c r="I1284" t="s">
        <v>9835</v>
      </c>
      <c r="J1284">
        <v>25299</v>
      </c>
      <c r="K1284" t="s">
        <v>9836</v>
      </c>
      <c r="L1284">
        <v>3</v>
      </c>
      <c r="N1284" t="s">
        <v>4713</v>
      </c>
      <c r="O1284">
        <v>25299</v>
      </c>
      <c r="P1284" t="s">
        <v>9690</v>
      </c>
      <c r="Q1284">
        <v>1</v>
      </c>
    </row>
    <row r="1285" spans="1:17" x14ac:dyDescent="0.25">
      <c r="A1285">
        <v>4</v>
      </c>
      <c r="B1285" t="s">
        <v>9837</v>
      </c>
      <c r="C1285" t="s">
        <v>21</v>
      </c>
      <c r="D1285" t="s">
        <v>9690</v>
      </c>
      <c r="G1285">
        <v>25301</v>
      </c>
      <c r="H1285" t="s">
        <v>9838</v>
      </c>
      <c r="I1285" t="s">
        <v>9839</v>
      </c>
      <c r="J1285">
        <v>25301</v>
      </c>
      <c r="K1285" t="s">
        <v>9840</v>
      </c>
      <c r="L1285">
        <v>1</v>
      </c>
      <c r="N1285" t="s">
        <v>4734</v>
      </c>
      <c r="O1285">
        <v>25301</v>
      </c>
      <c r="P1285" t="s">
        <v>9690</v>
      </c>
      <c r="Q1285">
        <v>1</v>
      </c>
    </row>
    <row r="1286" spans="1:17" x14ac:dyDescent="0.25">
      <c r="A1286">
        <v>4</v>
      </c>
      <c r="B1286" t="s">
        <v>9841</v>
      </c>
      <c r="C1286" t="s">
        <v>21</v>
      </c>
      <c r="D1286" t="s">
        <v>9690</v>
      </c>
      <c r="G1286">
        <v>25303</v>
      </c>
      <c r="H1286" t="s">
        <v>9842</v>
      </c>
      <c r="I1286" t="s">
        <v>9843</v>
      </c>
      <c r="J1286">
        <v>25303</v>
      </c>
      <c r="K1286" t="s">
        <v>9844</v>
      </c>
      <c r="L1286">
        <v>31</v>
      </c>
      <c r="O1286">
        <v>25303</v>
      </c>
      <c r="P1286" t="s">
        <v>9690</v>
      </c>
      <c r="Q1286">
        <v>1</v>
      </c>
    </row>
    <row r="1287" spans="1:17" x14ac:dyDescent="0.25">
      <c r="A1287">
        <v>4</v>
      </c>
      <c r="B1287" t="s">
        <v>9845</v>
      </c>
      <c r="C1287" t="s">
        <v>21</v>
      </c>
      <c r="D1287" t="s">
        <v>9690</v>
      </c>
      <c r="G1287">
        <v>25307</v>
      </c>
      <c r="H1287" t="s">
        <v>9846</v>
      </c>
      <c r="I1287" t="s">
        <v>9847</v>
      </c>
      <c r="J1287">
        <v>25307</v>
      </c>
      <c r="K1287" t="s">
        <v>9848</v>
      </c>
      <c r="L1287">
        <v>4</v>
      </c>
      <c r="N1287" t="s">
        <v>4713</v>
      </c>
      <c r="O1287">
        <v>25307</v>
      </c>
      <c r="P1287" t="s">
        <v>9690</v>
      </c>
      <c r="Q1287">
        <v>1</v>
      </c>
    </row>
    <row r="1288" spans="1:17" x14ac:dyDescent="0.25">
      <c r="A1288">
        <v>4</v>
      </c>
      <c r="B1288" t="s">
        <v>9849</v>
      </c>
      <c r="C1288" t="s">
        <v>21</v>
      </c>
      <c r="D1288" t="s">
        <v>9690</v>
      </c>
      <c r="G1288">
        <v>25309</v>
      </c>
      <c r="H1288" t="s">
        <v>9850</v>
      </c>
      <c r="I1288" t="s">
        <v>9851</v>
      </c>
      <c r="J1288">
        <v>25309</v>
      </c>
      <c r="K1288" t="s">
        <v>9852</v>
      </c>
      <c r="L1288">
        <v>134</v>
      </c>
      <c r="O1288">
        <v>25309</v>
      </c>
      <c r="P1288" t="s">
        <v>9690</v>
      </c>
      <c r="Q1288">
        <v>1</v>
      </c>
    </row>
    <row r="1289" spans="1:17" x14ac:dyDescent="0.25">
      <c r="A1289">
        <v>4</v>
      </c>
      <c r="B1289" t="s">
        <v>9853</v>
      </c>
      <c r="C1289" t="s">
        <v>21</v>
      </c>
      <c r="D1289" t="s">
        <v>9690</v>
      </c>
      <c r="G1289">
        <v>25311</v>
      </c>
      <c r="H1289" t="s">
        <v>9854</v>
      </c>
      <c r="I1289" t="s">
        <v>9855</v>
      </c>
      <c r="J1289">
        <v>25311</v>
      </c>
      <c r="K1289" t="s">
        <v>9856</v>
      </c>
      <c r="L1289">
        <v>3</v>
      </c>
      <c r="N1289" t="s">
        <v>4713</v>
      </c>
      <c r="O1289">
        <v>25311</v>
      </c>
      <c r="P1289" t="s">
        <v>9690</v>
      </c>
      <c r="Q1289">
        <v>1</v>
      </c>
    </row>
    <row r="1290" spans="1:17" x14ac:dyDescent="0.25">
      <c r="A1290">
        <v>3</v>
      </c>
      <c r="B1290" t="s">
        <v>9857</v>
      </c>
      <c r="C1290" t="s">
        <v>21</v>
      </c>
      <c r="D1290" t="s">
        <v>9690</v>
      </c>
      <c r="F1290" t="s">
        <v>168</v>
      </c>
      <c r="H1290" t="s">
        <v>169</v>
      </c>
      <c r="I1290" t="s">
        <v>426</v>
      </c>
      <c r="J1290" t="s">
        <v>168</v>
      </c>
      <c r="O1290" t="s">
        <v>168</v>
      </c>
      <c r="P1290" t="s">
        <v>9690</v>
      </c>
      <c r="Q1290">
        <v>1</v>
      </c>
    </row>
    <row r="1291" spans="1:17" x14ac:dyDescent="0.25">
      <c r="A1291">
        <v>4</v>
      </c>
      <c r="B1291" t="s">
        <v>9858</v>
      </c>
      <c r="C1291" t="s">
        <v>21</v>
      </c>
      <c r="D1291" t="s">
        <v>9690</v>
      </c>
      <c r="G1291">
        <v>177890</v>
      </c>
      <c r="H1291" t="s">
        <v>9859</v>
      </c>
      <c r="I1291" t="s">
        <v>9860</v>
      </c>
      <c r="J1291">
        <v>177890</v>
      </c>
      <c r="K1291" t="s">
        <v>9861</v>
      </c>
      <c r="L1291">
        <v>397</v>
      </c>
      <c r="O1291">
        <v>177890</v>
      </c>
      <c r="P1291" t="s">
        <v>9690</v>
      </c>
      <c r="Q1291">
        <v>1</v>
      </c>
    </row>
    <row r="1292" spans="1:17" x14ac:dyDescent="0.25">
      <c r="A1292">
        <v>4</v>
      </c>
      <c r="B1292" t="s">
        <v>9862</v>
      </c>
      <c r="C1292" t="s">
        <v>21</v>
      </c>
      <c r="D1292" t="s">
        <v>9690</v>
      </c>
      <c r="G1292">
        <v>177892</v>
      </c>
      <c r="H1292" t="s">
        <v>9863</v>
      </c>
      <c r="I1292" t="s">
        <v>9864</v>
      </c>
      <c r="J1292">
        <v>177892</v>
      </c>
      <c r="K1292" t="s">
        <v>9865</v>
      </c>
      <c r="L1292">
        <v>42</v>
      </c>
      <c r="O1292">
        <v>177892</v>
      </c>
      <c r="P1292" t="s">
        <v>9690</v>
      </c>
      <c r="Q1292">
        <v>1</v>
      </c>
    </row>
    <row r="1293" spans="1:17" x14ac:dyDescent="0.25">
      <c r="A1293">
        <v>4</v>
      </c>
      <c r="B1293" t="s">
        <v>9866</v>
      </c>
      <c r="C1293" t="s">
        <v>21</v>
      </c>
      <c r="D1293" t="s">
        <v>9690</v>
      </c>
      <c r="G1293">
        <v>25317</v>
      </c>
      <c r="H1293" t="s">
        <v>9867</v>
      </c>
      <c r="I1293" t="s">
        <v>9868</v>
      </c>
      <c r="J1293">
        <v>25317</v>
      </c>
      <c r="K1293" t="s">
        <v>9869</v>
      </c>
      <c r="L1293">
        <v>43</v>
      </c>
      <c r="O1293">
        <v>25317</v>
      </c>
      <c r="P1293" t="s">
        <v>9690</v>
      </c>
      <c r="Q1293">
        <v>1</v>
      </c>
    </row>
    <row r="1294" spans="1:17" x14ac:dyDescent="0.25">
      <c r="A1294">
        <v>4</v>
      </c>
      <c r="B1294" t="s">
        <v>9870</v>
      </c>
      <c r="C1294" t="s">
        <v>21</v>
      </c>
      <c r="D1294" t="s">
        <v>9690</v>
      </c>
      <c r="G1294">
        <v>25321</v>
      </c>
      <c r="H1294" t="s">
        <v>9871</v>
      </c>
      <c r="I1294" t="s">
        <v>9872</v>
      </c>
      <c r="J1294">
        <v>25321</v>
      </c>
      <c r="K1294" t="s">
        <v>9873</v>
      </c>
      <c r="L1294">
        <v>100</v>
      </c>
      <c r="O1294">
        <v>25321</v>
      </c>
      <c r="P1294" t="s">
        <v>9690</v>
      </c>
      <c r="Q1294">
        <v>1</v>
      </c>
    </row>
    <row r="1295" spans="1:17" x14ac:dyDescent="0.25">
      <c r="A1295">
        <v>4</v>
      </c>
      <c r="B1295" t="s">
        <v>9874</v>
      </c>
      <c r="C1295" t="s">
        <v>21</v>
      </c>
      <c r="D1295" t="s">
        <v>9690</v>
      </c>
      <c r="G1295">
        <v>25325</v>
      </c>
      <c r="H1295" t="s">
        <v>9875</v>
      </c>
      <c r="I1295" t="s">
        <v>9876</v>
      </c>
      <c r="J1295">
        <v>25325</v>
      </c>
      <c r="K1295" t="s">
        <v>9877</v>
      </c>
      <c r="L1295">
        <v>9</v>
      </c>
      <c r="N1295" t="s">
        <v>4713</v>
      </c>
      <c r="O1295">
        <v>25325</v>
      </c>
      <c r="P1295" t="s">
        <v>9690</v>
      </c>
      <c r="Q1295">
        <v>1</v>
      </c>
    </row>
    <row r="1296" spans="1:17" x14ac:dyDescent="0.25">
      <c r="A1296">
        <v>3</v>
      </c>
      <c r="B1296" t="s">
        <v>9878</v>
      </c>
      <c r="C1296" t="s">
        <v>21</v>
      </c>
      <c r="D1296" t="s">
        <v>9690</v>
      </c>
      <c r="F1296" t="s">
        <v>164</v>
      </c>
      <c r="H1296" t="s">
        <v>165</v>
      </c>
      <c r="I1296" t="s">
        <v>420</v>
      </c>
      <c r="J1296" t="s">
        <v>164</v>
      </c>
      <c r="O1296" t="s">
        <v>164</v>
      </c>
      <c r="P1296" t="s">
        <v>9690</v>
      </c>
      <c r="Q1296">
        <v>1</v>
      </c>
    </row>
    <row r="1297" spans="1:17" x14ac:dyDescent="0.25">
      <c r="A1297">
        <v>4</v>
      </c>
      <c r="B1297" t="s">
        <v>9879</v>
      </c>
      <c r="C1297" t="s">
        <v>21</v>
      </c>
      <c r="D1297" t="s">
        <v>9690</v>
      </c>
      <c r="G1297">
        <v>25323</v>
      </c>
      <c r="H1297" t="s">
        <v>9880</v>
      </c>
      <c r="I1297" t="s">
        <v>9881</v>
      </c>
      <c r="J1297">
        <v>25323</v>
      </c>
      <c r="K1297" t="s">
        <v>9882</v>
      </c>
      <c r="L1297">
        <v>94</v>
      </c>
      <c r="O1297">
        <v>25323</v>
      </c>
      <c r="P1297" t="s">
        <v>9690</v>
      </c>
      <c r="Q1297">
        <v>1</v>
      </c>
    </row>
    <row r="1298" spans="1:17" x14ac:dyDescent="0.25">
      <c r="A1298">
        <v>4</v>
      </c>
      <c r="B1298" t="s">
        <v>9883</v>
      </c>
      <c r="C1298" t="s">
        <v>21</v>
      </c>
      <c r="D1298" t="s">
        <v>9690</v>
      </c>
      <c r="G1298">
        <v>25327</v>
      </c>
      <c r="H1298" t="s">
        <v>9884</v>
      </c>
      <c r="I1298" t="s">
        <v>9885</v>
      </c>
      <c r="J1298">
        <v>25327</v>
      </c>
      <c r="K1298" t="s">
        <v>9886</v>
      </c>
      <c r="L1298">
        <v>11</v>
      </c>
      <c r="O1298">
        <v>25327</v>
      </c>
      <c r="P1298" t="s">
        <v>9690</v>
      </c>
      <c r="Q1298">
        <v>1</v>
      </c>
    </row>
    <row r="1299" spans="1:17" x14ac:dyDescent="0.25">
      <c r="A1299">
        <v>4</v>
      </c>
      <c r="B1299" t="s">
        <v>9887</v>
      </c>
      <c r="C1299" t="s">
        <v>21</v>
      </c>
      <c r="D1299" t="s">
        <v>9690</v>
      </c>
      <c r="G1299">
        <v>25331</v>
      </c>
      <c r="H1299" t="s">
        <v>165</v>
      </c>
      <c r="I1299" t="s">
        <v>420</v>
      </c>
      <c r="J1299">
        <v>25331</v>
      </c>
      <c r="K1299" t="s">
        <v>9888</v>
      </c>
      <c r="L1299">
        <v>90</v>
      </c>
      <c r="O1299">
        <v>25331</v>
      </c>
      <c r="P1299" t="s">
        <v>9690</v>
      </c>
      <c r="Q1299">
        <v>1</v>
      </c>
    </row>
    <row r="1300" spans="1:17" x14ac:dyDescent="0.25">
      <c r="A1300">
        <v>4</v>
      </c>
      <c r="B1300" t="s">
        <v>9889</v>
      </c>
      <c r="C1300" t="s">
        <v>21</v>
      </c>
      <c r="D1300" t="s">
        <v>9690</v>
      </c>
      <c r="G1300">
        <v>25333</v>
      </c>
      <c r="H1300" t="s">
        <v>9890</v>
      </c>
      <c r="I1300" t="s">
        <v>9891</v>
      </c>
      <c r="J1300">
        <v>25333</v>
      </c>
      <c r="K1300" t="s">
        <v>9892</v>
      </c>
      <c r="L1300">
        <v>6</v>
      </c>
      <c r="N1300" t="s">
        <v>4713</v>
      </c>
      <c r="O1300">
        <v>25333</v>
      </c>
      <c r="P1300" t="s">
        <v>9690</v>
      </c>
      <c r="Q1300">
        <v>1</v>
      </c>
    </row>
    <row r="1301" spans="1:17" x14ac:dyDescent="0.25">
      <c r="A1301">
        <v>3</v>
      </c>
      <c r="B1301" t="s">
        <v>9893</v>
      </c>
      <c r="C1301" t="s">
        <v>21</v>
      </c>
      <c r="D1301" t="s">
        <v>9690</v>
      </c>
      <c r="F1301" t="s">
        <v>9894</v>
      </c>
      <c r="H1301" t="s">
        <v>9895</v>
      </c>
      <c r="I1301" t="s">
        <v>9896</v>
      </c>
      <c r="J1301" t="s">
        <v>9894</v>
      </c>
      <c r="O1301" t="s">
        <v>9894</v>
      </c>
      <c r="P1301" t="s">
        <v>9690</v>
      </c>
      <c r="Q1301">
        <v>1</v>
      </c>
    </row>
    <row r="1302" spans="1:17" x14ac:dyDescent="0.25">
      <c r="A1302">
        <v>4</v>
      </c>
      <c r="B1302" t="s">
        <v>9897</v>
      </c>
      <c r="C1302" t="s">
        <v>21</v>
      </c>
      <c r="D1302" t="s">
        <v>9690</v>
      </c>
      <c r="G1302">
        <v>25339</v>
      </c>
      <c r="H1302" t="s">
        <v>9898</v>
      </c>
      <c r="I1302" t="s">
        <v>9899</v>
      </c>
      <c r="J1302">
        <v>25339</v>
      </c>
      <c r="K1302" t="s">
        <v>9900</v>
      </c>
      <c r="L1302">
        <v>84</v>
      </c>
      <c r="O1302">
        <v>25339</v>
      </c>
      <c r="P1302" t="s">
        <v>9690</v>
      </c>
      <c r="Q1302">
        <v>1</v>
      </c>
    </row>
    <row r="1303" spans="1:17" x14ac:dyDescent="0.25">
      <c r="A1303">
        <v>4</v>
      </c>
      <c r="B1303" t="s">
        <v>9901</v>
      </c>
      <c r="C1303" t="s">
        <v>21</v>
      </c>
      <c r="D1303" t="s">
        <v>9690</v>
      </c>
      <c r="G1303">
        <v>25341</v>
      </c>
      <c r="H1303" t="s">
        <v>5029</v>
      </c>
      <c r="I1303" t="s">
        <v>9034</v>
      </c>
      <c r="J1303">
        <v>25341</v>
      </c>
      <c r="K1303" t="s">
        <v>9902</v>
      </c>
      <c r="L1303">
        <v>39</v>
      </c>
      <c r="O1303">
        <v>25341</v>
      </c>
      <c r="P1303" t="s">
        <v>9690</v>
      </c>
      <c r="Q1303">
        <v>1</v>
      </c>
    </row>
    <row r="1304" spans="1:17" x14ac:dyDescent="0.25">
      <c r="A1304">
        <v>4</v>
      </c>
      <c r="B1304" t="s">
        <v>9903</v>
      </c>
      <c r="C1304" t="s">
        <v>21</v>
      </c>
      <c r="D1304" t="s">
        <v>9690</v>
      </c>
      <c r="G1304">
        <v>25343</v>
      </c>
      <c r="H1304" t="s">
        <v>9904</v>
      </c>
      <c r="I1304" t="s">
        <v>9905</v>
      </c>
      <c r="J1304">
        <v>25343</v>
      </c>
      <c r="K1304" t="s">
        <v>9906</v>
      </c>
      <c r="L1304">
        <v>7</v>
      </c>
      <c r="N1304" t="s">
        <v>4713</v>
      </c>
      <c r="O1304">
        <v>25343</v>
      </c>
      <c r="P1304" t="s">
        <v>9690</v>
      </c>
      <c r="Q1304">
        <v>1</v>
      </c>
    </row>
    <row r="1305" spans="1:17" x14ac:dyDescent="0.25">
      <c r="A1305">
        <v>4</v>
      </c>
      <c r="B1305" t="s">
        <v>9907</v>
      </c>
      <c r="C1305" t="s">
        <v>21</v>
      </c>
      <c r="D1305" t="s">
        <v>9690</v>
      </c>
      <c r="G1305">
        <v>25345</v>
      </c>
      <c r="H1305" t="s">
        <v>9908</v>
      </c>
      <c r="I1305" t="s">
        <v>9909</v>
      </c>
      <c r="J1305">
        <v>25345</v>
      </c>
      <c r="K1305" t="s">
        <v>9910</v>
      </c>
      <c r="L1305">
        <v>1</v>
      </c>
      <c r="N1305" t="s">
        <v>4734</v>
      </c>
      <c r="O1305">
        <v>25345</v>
      </c>
      <c r="P1305" t="s">
        <v>9690</v>
      </c>
      <c r="Q1305">
        <v>1</v>
      </c>
    </row>
    <row r="1306" spans="1:17" x14ac:dyDescent="0.25">
      <c r="A1306">
        <v>4</v>
      </c>
      <c r="B1306" t="s">
        <v>9911</v>
      </c>
      <c r="C1306" t="s">
        <v>21</v>
      </c>
      <c r="D1306" t="s">
        <v>9690</v>
      </c>
      <c r="G1306">
        <v>601938</v>
      </c>
      <c r="H1306" t="s">
        <v>9912</v>
      </c>
      <c r="I1306" t="s">
        <v>9913</v>
      </c>
      <c r="J1306">
        <v>601938</v>
      </c>
      <c r="K1306" t="s">
        <v>9914</v>
      </c>
      <c r="L1306">
        <v>6</v>
      </c>
      <c r="N1306" t="s">
        <v>4713</v>
      </c>
      <c r="O1306">
        <v>601938</v>
      </c>
      <c r="P1306" t="s">
        <v>9690</v>
      </c>
      <c r="Q1306">
        <v>1</v>
      </c>
    </row>
    <row r="1307" spans="1:17" x14ac:dyDescent="0.25">
      <c r="A1307">
        <v>4</v>
      </c>
      <c r="B1307" t="s">
        <v>9915</v>
      </c>
      <c r="C1307" t="s">
        <v>21</v>
      </c>
      <c r="D1307" t="s">
        <v>9690</v>
      </c>
      <c r="G1307">
        <v>25349</v>
      </c>
      <c r="H1307" t="s">
        <v>9916</v>
      </c>
      <c r="I1307" t="s">
        <v>9917</v>
      </c>
      <c r="J1307">
        <v>25349</v>
      </c>
      <c r="K1307" t="s">
        <v>9918</v>
      </c>
      <c r="L1307">
        <v>3</v>
      </c>
      <c r="N1307" t="s">
        <v>4713</v>
      </c>
      <c r="O1307">
        <v>25349</v>
      </c>
      <c r="P1307" t="s">
        <v>9690</v>
      </c>
      <c r="Q1307">
        <v>1</v>
      </c>
    </row>
    <row r="1308" spans="1:17" x14ac:dyDescent="0.25">
      <c r="A1308">
        <v>4</v>
      </c>
      <c r="B1308" t="s">
        <v>9919</v>
      </c>
      <c r="C1308" t="s">
        <v>21</v>
      </c>
      <c r="D1308" t="s">
        <v>9690</v>
      </c>
      <c r="G1308">
        <v>25353</v>
      </c>
      <c r="H1308" t="s">
        <v>9920</v>
      </c>
      <c r="I1308" t="s">
        <v>9921</v>
      </c>
      <c r="J1308">
        <v>25353</v>
      </c>
      <c r="K1308" t="s">
        <v>9922</v>
      </c>
      <c r="L1308">
        <v>1</v>
      </c>
      <c r="N1308" t="s">
        <v>4734</v>
      </c>
      <c r="O1308">
        <v>25353</v>
      </c>
      <c r="P1308" t="s">
        <v>9690</v>
      </c>
      <c r="Q1308">
        <v>1</v>
      </c>
    </row>
    <row r="1309" spans="1:17" x14ac:dyDescent="0.25">
      <c r="A1309">
        <v>2</v>
      </c>
      <c r="B1309" t="s">
        <v>9923</v>
      </c>
      <c r="C1309" t="s">
        <v>21</v>
      </c>
      <c r="D1309" t="s">
        <v>9690</v>
      </c>
      <c r="E1309" t="s">
        <v>24</v>
      </c>
      <c r="H1309" t="s">
        <v>7</v>
      </c>
      <c r="I1309" t="s">
        <v>2712</v>
      </c>
      <c r="J1309" t="s">
        <v>24</v>
      </c>
      <c r="O1309" t="s">
        <v>24</v>
      </c>
      <c r="P1309" t="s">
        <v>9690</v>
      </c>
      <c r="Q1309">
        <v>2</v>
      </c>
    </row>
    <row r="1310" spans="1:17" x14ac:dyDescent="0.25">
      <c r="A1310">
        <v>3</v>
      </c>
      <c r="B1310" t="s">
        <v>9924</v>
      </c>
      <c r="C1310" t="s">
        <v>21</v>
      </c>
      <c r="D1310" t="s">
        <v>9690</v>
      </c>
      <c r="F1310" t="s">
        <v>139</v>
      </c>
      <c r="H1310" t="s">
        <v>9925</v>
      </c>
      <c r="I1310" t="s">
        <v>992</v>
      </c>
      <c r="J1310" t="s">
        <v>139</v>
      </c>
      <c r="O1310" t="s">
        <v>139</v>
      </c>
      <c r="P1310" t="s">
        <v>9690</v>
      </c>
      <c r="Q1310">
        <v>1</v>
      </c>
    </row>
    <row r="1311" spans="1:17" x14ac:dyDescent="0.25">
      <c r="A1311">
        <v>4</v>
      </c>
      <c r="B1311" t="s">
        <v>9926</v>
      </c>
      <c r="C1311" t="s">
        <v>21</v>
      </c>
      <c r="D1311" t="s">
        <v>9690</v>
      </c>
      <c r="G1311">
        <v>20903</v>
      </c>
      <c r="H1311" t="s">
        <v>9927</v>
      </c>
      <c r="I1311" t="s">
        <v>9928</v>
      </c>
      <c r="J1311">
        <v>20903</v>
      </c>
      <c r="K1311" t="s">
        <v>9929</v>
      </c>
      <c r="L1311">
        <v>13</v>
      </c>
      <c r="O1311">
        <v>20903</v>
      </c>
      <c r="P1311" t="s">
        <v>9690</v>
      </c>
      <c r="Q1311">
        <v>1</v>
      </c>
    </row>
    <row r="1312" spans="1:17" x14ac:dyDescent="0.25">
      <c r="A1312">
        <v>4</v>
      </c>
      <c r="B1312" t="s">
        <v>9930</v>
      </c>
      <c r="C1312" t="s">
        <v>21</v>
      </c>
      <c r="D1312" t="s">
        <v>9690</v>
      </c>
      <c r="G1312">
        <v>20911</v>
      </c>
      <c r="H1312" t="s">
        <v>9931</v>
      </c>
      <c r="I1312" t="s">
        <v>9932</v>
      </c>
      <c r="J1312">
        <v>20911</v>
      </c>
      <c r="K1312" t="s">
        <v>9933</v>
      </c>
      <c r="L1312">
        <v>45</v>
      </c>
      <c r="O1312">
        <v>20911</v>
      </c>
      <c r="P1312" t="s">
        <v>9690</v>
      </c>
      <c r="Q1312">
        <v>1</v>
      </c>
    </row>
    <row r="1313" spans="1:17" x14ac:dyDescent="0.25">
      <c r="A1313">
        <v>4</v>
      </c>
      <c r="B1313" t="s">
        <v>9934</v>
      </c>
      <c r="C1313" t="s">
        <v>21</v>
      </c>
      <c r="D1313" t="s">
        <v>9690</v>
      </c>
      <c r="G1313">
        <v>21306</v>
      </c>
      <c r="H1313" t="s">
        <v>9935</v>
      </c>
      <c r="I1313" t="s">
        <v>9936</v>
      </c>
      <c r="J1313">
        <v>21306</v>
      </c>
      <c r="K1313" t="s">
        <v>9937</v>
      </c>
      <c r="L1313">
        <v>3</v>
      </c>
      <c r="N1313" t="s">
        <v>4713</v>
      </c>
      <c r="O1313">
        <v>21306</v>
      </c>
      <c r="P1313" t="s">
        <v>9690</v>
      </c>
      <c r="Q1313">
        <v>1</v>
      </c>
    </row>
    <row r="1314" spans="1:17" x14ac:dyDescent="0.25">
      <c r="A1314">
        <v>4</v>
      </c>
      <c r="B1314" t="s">
        <v>9938</v>
      </c>
      <c r="C1314" t="s">
        <v>21</v>
      </c>
      <c r="D1314" t="s">
        <v>9690</v>
      </c>
      <c r="G1314">
        <v>21309</v>
      </c>
      <c r="H1314" t="s">
        <v>9939</v>
      </c>
      <c r="I1314" t="s">
        <v>9940</v>
      </c>
      <c r="J1314">
        <v>21309</v>
      </c>
      <c r="K1314" t="s">
        <v>9941</v>
      </c>
      <c r="L1314">
        <v>12</v>
      </c>
      <c r="O1314">
        <v>21309</v>
      </c>
      <c r="P1314" t="s">
        <v>9690</v>
      </c>
      <c r="Q1314">
        <v>1</v>
      </c>
    </row>
    <row r="1315" spans="1:17" x14ac:dyDescent="0.25">
      <c r="A1315">
        <v>4</v>
      </c>
      <c r="B1315" t="s">
        <v>9942</v>
      </c>
      <c r="C1315" t="s">
        <v>21</v>
      </c>
      <c r="D1315" t="s">
        <v>9690</v>
      </c>
      <c r="G1315">
        <v>21311</v>
      </c>
      <c r="H1315" t="s">
        <v>9943</v>
      </c>
      <c r="I1315" t="s">
        <v>9944</v>
      </c>
      <c r="J1315">
        <v>21311</v>
      </c>
      <c r="K1315" t="s">
        <v>9945</v>
      </c>
      <c r="L1315">
        <v>8</v>
      </c>
      <c r="N1315" t="s">
        <v>4713</v>
      </c>
      <c r="O1315">
        <v>21311</v>
      </c>
      <c r="P1315" t="s">
        <v>9690</v>
      </c>
      <c r="Q1315">
        <v>1</v>
      </c>
    </row>
    <row r="1316" spans="1:17" x14ac:dyDescent="0.25">
      <c r="A1316">
        <v>4</v>
      </c>
      <c r="B1316" t="s">
        <v>9946</v>
      </c>
      <c r="C1316" t="s">
        <v>21</v>
      </c>
      <c r="D1316" t="s">
        <v>9690</v>
      </c>
      <c r="G1316" t="s">
        <v>9947</v>
      </c>
      <c r="H1316" t="s">
        <v>9948</v>
      </c>
      <c r="I1316" t="s">
        <v>9949</v>
      </c>
      <c r="J1316" t="s">
        <v>9947</v>
      </c>
      <c r="K1316" t="s">
        <v>9950</v>
      </c>
      <c r="L1316">
        <v>99</v>
      </c>
      <c r="O1316" t="s">
        <v>9947</v>
      </c>
      <c r="P1316" t="s">
        <v>9690</v>
      </c>
      <c r="Q1316">
        <v>1</v>
      </c>
    </row>
    <row r="1317" spans="1:17" x14ac:dyDescent="0.25">
      <c r="A1317">
        <v>3</v>
      </c>
      <c r="B1317" t="s">
        <v>9951</v>
      </c>
      <c r="C1317" t="s">
        <v>21</v>
      </c>
      <c r="D1317" t="s">
        <v>9690</v>
      </c>
      <c r="F1317" t="s">
        <v>161</v>
      </c>
      <c r="H1317" t="s">
        <v>138</v>
      </c>
      <c r="I1317" t="s">
        <v>988</v>
      </c>
      <c r="J1317" t="s">
        <v>161</v>
      </c>
      <c r="O1317" t="s">
        <v>161</v>
      </c>
      <c r="P1317" t="s">
        <v>9690</v>
      </c>
      <c r="Q1317">
        <v>2</v>
      </c>
    </row>
    <row r="1318" spans="1:17" x14ac:dyDescent="0.25">
      <c r="A1318">
        <v>4</v>
      </c>
      <c r="B1318" t="s">
        <v>9952</v>
      </c>
      <c r="C1318" t="s">
        <v>21</v>
      </c>
      <c r="D1318" t="s">
        <v>9690</v>
      </c>
      <c r="G1318">
        <v>20919</v>
      </c>
      <c r="H1318" t="s">
        <v>138</v>
      </c>
      <c r="I1318" t="s">
        <v>988</v>
      </c>
      <c r="J1318">
        <v>20919</v>
      </c>
      <c r="K1318" t="s">
        <v>9953</v>
      </c>
      <c r="L1318">
        <v>616</v>
      </c>
      <c r="O1318">
        <v>20919</v>
      </c>
      <c r="P1318" t="s">
        <v>9690</v>
      </c>
      <c r="Q1318">
        <v>1</v>
      </c>
    </row>
    <row r="1319" spans="1:17" x14ac:dyDescent="0.25">
      <c r="A1319">
        <v>4</v>
      </c>
      <c r="B1319" t="s">
        <v>9954</v>
      </c>
      <c r="C1319" t="s">
        <v>21</v>
      </c>
      <c r="D1319" t="s">
        <v>9690</v>
      </c>
      <c r="G1319">
        <v>20921</v>
      </c>
      <c r="H1319" t="s">
        <v>9955</v>
      </c>
      <c r="I1319" t="s">
        <v>9956</v>
      </c>
      <c r="J1319">
        <v>20921</v>
      </c>
      <c r="K1319" t="s">
        <v>9957</v>
      </c>
      <c r="L1319">
        <v>400</v>
      </c>
      <c r="O1319">
        <v>20921</v>
      </c>
      <c r="P1319" t="s">
        <v>9690</v>
      </c>
      <c r="Q1319">
        <v>1</v>
      </c>
    </row>
    <row r="1320" spans="1:17" x14ac:dyDescent="0.25">
      <c r="A1320">
        <v>4</v>
      </c>
      <c r="B1320" t="s">
        <v>9958</v>
      </c>
      <c r="C1320" t="s">
        <v>21</v>
      </c>
      <c r="D1320" t="s">
        <v>9690</v>
      </c>
      <c r="G1320">
        <v>20922</v>
      </c>
      <c r="H1320" t="s">
        <v>9959</v>
      </c>
      <c r="I1320" t="s">
        <v>9960</v>
      </c>
      <c r="J1320">
        <v>20922</v>
      </c>
      <c r="K1320" t="s">
        <v>9961</v>
      </c>
      <c r="L1320">
        <v>55</v>
      </c>
      <c r="O1320">
        <v>20922</v>
      </c>
      <c r="P1320" t="s">
        <v>9690</v>
      </c>
      <c r="Q1320">
        <v>1</v>
      </c>
    </row>
    <row r="1321" spans="1:17" x14ac:dyDescent="0.25">
      <c r="A1321">
        <v>4</v>
      </c>
      <c r="B1321" t="s">
        <v>9962</v>
      </c>
      <c r="C1321" t="s">
        <v>21</v>
      </c>
      <c r="D1321" t="s">
        <v>9690</v>
      </c>
      <c r="G1321">
        <v>20926</v>
      </c>
      <c r="H1321" t="s">
        <v>9963</v>
      </c>
      <c r="I1321" t="s">
        <v>9964</v>
      </c>
      <c r="J1321">
        <v>20926</v>
      </c>
      <c r="K1321" t="s">
        <v>9965</v>
      </c>
      <c r="L1321">
        <v>10</v>
      </c>
      <c r="O1321">
        <v>20926</v>
      </c>
      <c r="P1321" t="s">
        <v>9690</v>
      </c>
      <c r="Q1321">
        <v>1</v>
      </c>
    </row>
    <row r="1322" spans="1:17" x14ac:dyDescent="0.25">
      <c r="A1322">
        <v>4</v>
      </c>
      <c r="B1322" t="s">
        <v>9966</v>
      </c>
      <c r="C1322" t="s">
        <v>21</v>
      </c>
      <c r="D1322" t="s">
        <v>9690</v>
      </c>
      <c r="G1322">
        <v>20927</v>
      </c>
      <c r="H1322" t="s">
        <v>9967</v>
      </c>
      <c r="I1322" t="s">
        <v>9968</v>
      </c>
      <c r="J1322">
        <v>20927</v>
      </c>
      <c r="K1322" t="s">
        <v>9969</v>
      </c>
      <c r="L1322">
        <v>18</v>
      </c>
      <c r="O1322">
        <v>20927</v>
      </c>
      <c r="P1322" t="s">
        <v>9690</v>
      </c>
      <c r="Q1322">
        <v>1</v>
      </c>
    </row>
    <row r="1323" spans="1:17" x14ac:dyDescent="0.25">
      <c r="A1323">
        <v>4</v>
      </c>
      <c r="B1323" t="s">
        <v>9970</v>
      </c>
      <c r="C1323" t="s">
        <v>21</v>
      </c>
      <c r="D1323" t="s">
        <v>9690</v>
      </c>
      <c r="G1323">
        <v>20931</v>
      </c>
      <c r="H1323" t="s">
        <v>9971</v>
      </c>
      <c r="I1323" t="s">
        <v>9972</v>
      </c>
      <c r="J1323">
        <v>20931</v>
      </c>
      <c r="K1323" t="s">
        <v>9973</v>
      </c>
      <c r="L1323">
        <v>3</v>
      </c>
      <c r="N1323" t="s">
        <v>4713</v>
      </c>
      <c r="O1323">
        <v>20931</v>
      </c>
      <c r="P1323" t="s">
        <v>9690</v>
      </c>
      <c r="Q1323">
        <v>1</v>
      </c>
    </row>
    <row r="1324" spans="1:17" x14ac:dyDescent="0.25">
      <c r="A1324">
        <v>4</v>
      </c>
      <c r="B1324" t="s">
        <v>9974</v>
      </c>
      <c r="C1324" t="s">
        <v>21</v>
      </c>
      <c r="D1324" t="s">
        <v>9690</v>
      </c>
      <c r="G1324">
        <v>20933</v>
      </c>
      <c r="H1324" t="s">
        <v>9975</v>
      </c>
      <c r="I1324" t="s">
        <v>9976</v>
      </c>
      <c r="J1324">
        <v>20933</v>
      </c>
      <c r="K1324" t="s">
        <v>9977</v>
      </c>
      <c r="L1324">
        <v>28</v>
      </c>
      <c r="O1324">
        <v>20933</v>
      </c>
      <c r="P1324" t="s">
        <v>9690</v>
      </c>
      <c r="Q1324">
        <v>1</v>
      </c>
    </row>
    <row r="1325" spans="1:17" x14ac:dyDescent="0.25">
      <c r="A1325">
        <v>4</v>
      </c>
      <c r="B1325" t="s">
        <v>9978</v>
      </c>
      <c r="C1325" t="s">
        <v>21</v>
      </c>
      <c r="D1325" t="s">
        <v>9690</v>
      </c>
      <c r="G1325">
        <v>20935</v>
      </c>
      <c r="H1325" t="s">
        <v>9979</v>
      </c>
      <c r="I1325" t="s">
        <v>9980</v>
      </c>
      <c r="J1325">
        <v>20935</v>
      </c>
      <c r="K1325" t="s">
        <v>9981</v>
      </c>
      <c r="L1325">
        <v>3</v>
      </c>
      <c r="N1325" t="s">
        <v>4713</v>
      </c>
      <c r="O1325">
        <v>20935</v>
      </c>
      <c r="P1325" t="s">
        <v>9690</v>
      </c>
      <c r="Q1325">
        <v>1</v>
      </c>
    </row>
    <row r="1326" spans="1:17" x14ac:dyDescent="0.25">
      <c r="A1326">
        <v>4</v>
      </c>
      <c r="B1326" t="s">
        <v>9982</v>
      </c>
      <c r="C1326" t="s">
        <v>21</v>
      </c>
      <c r="D1326" t="s">
        <v>9690</v>
      </c>
      <c r="G1326">
        <v>20937</v>
      </c>
      <c r="H1326" t="s">
        <v>9983</v>
      </c>
      <c r="I1326" t="s">
        <v>9984</v>
      </c>
      <c r="J1326">
        <v>20937</v>
      </c>
      <c r="K1326" t="s">
        <v>9985</v>
      </c>
      <c r="L1326">
        <v>11</v>
      </c>
      <c r="O1326">
        <v>20937</v>
      </c>
      <c r="P1326" t="s">
        <v>9690</v>
      </c>
      <c r="Q1326">
        <v>1</v>
      </c>
    </row>
    <row r="1327" spans="1:17" x14ac:dyDescent="0.25">
      <c r="A1327">
        <v>4</v>
      </c>
      <c r="B1327" t="s">
        <v>9986</v>
      </c>
      <c r="C1327" t="s">
        <v>21</v>
      </c>
      <c r="D1327" t="s">
        <v>9690</v>
      </c>
      <c r="G1327">
        <v>20938</v>
      </c>
      <c r="H1327" t="s">
        <v>9987</v>
      </c>
      <c r="I1327" t="s">
        <v>9988</v>
      </c>
      <c r="J1327">
        <v>20938</v>
      </c>
      <c r="K1327" t="s">
        <v>9989</v>
      </c>
      <c r="L1327">
        <v>29</v>
      </c>
      <c r="O1327">
        <v>20938</v>
      </c>
      <c r="P1327" t="s">
        <v>9690</v>
      </c>
      <c r="Q1327">
        <v>1</v>
      </c>
    </row>
    <row r="1328" spans="1:17" x14ac:dyDescent="0.25">
      <c r="A1328">
        <v>3</v>
      </c>
      <c r="B1328" t="s">
        <v>9990</v>
      </c>
      <c r="C1328" t="s">
        <v>21</v>
      </c>
      <c r="D1328" t="s">
        <v>9690</v>
      </c>
      <c r="F1328" t="s">
        <v>9991</v>
      </c>
      <c r="H1328" t="s">
        <v>9992</v>
      </c>
      <c r="I1328" t="s">
        <v>9993</v>
      </c>
      <c r="J1328" t="s">
        <v>9991</v>
      </c>
      <c r="O1328" t="s">
        <v>9991</v>
      </c>
      <c r="P1328" t="s">
        <v>9690</v>
      </c>
      <c r="Q1328">
        <v>1</v>
      </c>
    </row>
    <row r="1329" spans="1:17" x14ac:dyDescent="0.25">
      <c r="A1329">
        <v>4</v>
      </c>
      <c r="B1329" t="s">
        <v>9994</v>
      </c>
      <c r="C1329" t="s">
        <v>21</v>
      </c>
      <c r="D1329" t="s">
        <v>9690</v>
      </c>
      <c r="G1329">
        <v>20950</v>
      </c>
      <c r="H1329" t="s">
        <v>9995</v>
      </c>
      <c r="I1329" t="s">
        <v>9996</v>
      </c>
      <c r="J1329">
        <v>20950</v>
      </c>
      <c r="K1329" t="s">
        <v>9997</v>
      </c>
      <c r="L1329">
        <v>249</v>
      </c>
      <c r="O1329">
        <v>20950</v>
      </c>
      <c r="P1329" t="s">
        <v>9690</v>
      </c>
      <c r="Q1329">
        <v>1</v>
      </c>
    </row>
    <row r="1330" spans="1:17" x14ac:dyDescent="0.25">
      <c r="A1330">
        <v>4</v>
      </c>
      <c r="B1330" t="s">
        <v>9998</v>
      </c>
      <c r="C1330" t="s">
        <v>21</v>
      </c>
      <c r="D1330" t="s">
        <v>9690</v>
      </c>
      <c r="G1330">
        <v>20952</v>
      </c>
      <c r="H1330" t="s">
        <v>9999</v>
      </c>
      <c r="I1330" t="s">
        <v>10000</v>
      </c>
      <c r="J1330">
        <v>20952</v>
      </c>
      <c r="K1330" t="s">
        <v>10001</v>
      </c>
      <c r="L1330" t="s">
        <v>10002</v>
      </c>
      <c r="O1330">
        <v>20952</v>
      </c>
      <c r="P1330" t="s">
        <v>9690</v>
      </c>
      <c r="Q1330">
        <v>1</v>
      </c>
    </row>
    <row r="1331" spans="1:17" x14ac:dyDescent="0.25">
      <c r="A1331">
        <v>4</v>
      </c>
      <c r="B1331" t="s">
        <v>10003</v>
      </c>
      <c r="C1331" t="s">
        <v>21</v>
      </c>
      <c r="D1331" t="s">
        <v>9690</v>
      </c>
      <c r="G1331">
        <v>20954</v>
      </c>
      <c r="H1331" t="s">
        <v>10004</v>
      </c>
      <c r="I1331" t="s">
        <v>10005</v>
      </c>
      <c r="J1331">
        <v>20954</v>
      </c>
      <c r="K1331" t="s">
        <v>10006</v>
      </c>
      <c r="L1331">
        <v>4</v>
      </c>
      <c r="N1331" t="s">
        <v>4713</v>
      </c>
      <c r="O1331">
        <v>20954</v>
      </c>
      <c r="P1331" t="s">
        <v>9690</v>
      </c>
      <c r="Q1331">
        <v>1</v>
      </c>
    </row>
    <row r="1332" spans="1:17" x14ac:dyDescent="0.25">
      <c r="A1332">
        <v>4</v>
      </c>
      <c r="B1332" t="s">
        <v>10007</v>
      </c>
      <c r="C1332" t="s">
        <v>21</v>
      </c>
      <c r="D1332" t="s">
        <v>9690</v>
      </c>
      <c r="G1332">
        <v>20956</v>
      </c>
      <c r="H1332" t="s">
        <v>10008</v>
      </c>
      <c r="I1332" t="s">
        <v>10009</v>
      </c>
      <c r="J1332">
        <v>20956</v>
      </c>
      <c r="K1332" t="s">
        <v>10010</v>
      </c>
      <c r="L1332">
        <v>367</v>
      </c>
      <c r="O1332">
        <v>20956</v>
      </c>
      <c r="P1332" t="s">
        <v>9690</v>
      </c>
      <c r="Q1332">
        <v>1</v>
      </c>
    </row>
    <row r="1333" spans="1:17" x14ac:dyDescent="0.25">
      <c r="A1333">
        <v>4</v>
      </c>
      <c r="B1333" t="s">
        <v>10011</v>
      </c>
      <c r="C1333" t="s">
        <v>21</v>
      </c>
      <c r="D1333" t="s">
        <v>9690</v>
      </c>
      <c r="G1333">
        <v>20960</v>
      </c>
      <c r="H1333" t="s">
        <v>10012</v>
      </c>
      <c r="I1333" t="s">
        <v>10013</v>
      </c>
      <c r="J1333">
        <v>20960</v>
      </c>
      <c r="K1333" t="s">
        <v>10014</v>
      </c>
      <c r="L1333">
        <v>106</v>
      </c>
      <c r="O1333">
        <v>20960</v>
      </c>
      <c r="P1333" t="s">
        <v>9690</v>
      </c>
      <c r="Q1333">
        <v>1</v>
      </c>
    </row>
    <row r="1334" spans="1:17" x14ac:dyDescent="0.25">
      <c r="A1334">
        <v>4</v>
      </c>
      <c r="B1334" t="s">
        <v>10015</v>
      </c>
      <c r="C1334" t="s">
        <v>21</v>
      </c>
      <c r="D1334" t="s">
        <v>9690</v>
      </c>
      <c r="G1334">
        <v>20961</v>
      </c>
      <c r="H1334" t="s">
        <v>10016</v>
      </c>
      <c r="I1334" t="s">
        <v>10017</v>
      </c>
      <c r="J1334">
        <v>20961</v>
      </c>
      <c r="K1334" t="s">
        <v>10018</v>
      </c>
      <c r="L1334">
        <v>4</v>
      </c>
      <c r="N1334" t="s">
        <v>4713</v>
      </c>
      <c r="O1334">
        <v>20961</v>
      </c>
      <c r="P1334" t="s">
        <v>9690</v>
      </c>
      <c r="Q1334">
        <v>1</v>
      </c>
    </row>
    <row r="1335" spans="1:17" x14ac:dyDescent="0.25">
      <c r="A1335">
        <v>4</v>
      </c>
      <c r="B1335" t="s">
        <v>10019</v>
      </c>
      <c r="C1335" t="s">
        <v>21</v>
      </c>
      <c r="D1335" t="s">
        <v>9690</v>
      </c>
      <c r="G1335">
        <v>20962</v>
      </c>
      <c r="H1335" t="s">
        <v>10020</v>
      </c>
      <c r="I1335" t="s">
        <v>10021</v>
      </c>
      <c r="J1335">
        <v>20962</v>
      </c>
      <c r="K1335" t="s">
        <v>10022</v>
      </c>
      <c r="L1335">
        <v>68</v>
      </c>
      <c r="O1335">
        <v>20962</v>
      </c>
      <c r="P1335" t="s">
        <v>9690</v>
      </c>
      <c r="Q1335">
        <v>1</v>
      </c>
    </row>
    <row r="1336" spans="1:17" x14ac:dyDescent="0.25">
      <c r="A1336">
        <v>4</v>
      </c>
      <c r="B1336" t="s">
        <v>10023</v>
      </c>
      <c r="C1336" t="s">
        <v>21</v>
      </c>
      <c r="D1336" t="s">
        <v>9690</v>
      </c>
      <c r="G1336">
        <v>20963</v>
      </c>
      <c r="H1336" t="s">
        <v>10024</v>
      </c>
      <c r="I1336" t="s">
        <v>10025</v>
      </c>
      <c r="J1336">
        <v>20963</v>
      </c>
      <c r="K1336" t="s">
        <v>10026</v>
      </c>
      <c r="L1336">
        <v>19</v>
      </c>
      <c r="O1336">
        <v>20963</v>
      </c>
      <c r="P1336" t="s">
        <v>9690</v>
      </c>
      <c r="Q1336">
        <v>1</v>
      </c>
    </row>
    <row r="1337" spans="1:17" x14ac:dyDescent="0.25">
      <c r="A1337">
        <v>4</v>
      </c>
      <c r="B1337" t="s">
        <v>10027</v>
      </c>
      <c r="C1337" t="s">
        <v>21</v>
      </c>
      <c r="D1337" t="s">
        <v>9690</v>
      </c>
      <c r="G1337">
        <v>20965</v>
      </c>
      <c r="H1337" t="s">
        <v>10028</v>
      </c>
      <c r="I1337" t="s">
        <v>10029</v>
      </c>
      <c r="J1337">
        <v>20965</v>
      </c>
      <c r="K1337" t="s">
        <v>10030</v>
      </c>
      <c r="L1337">
        <v>33</v>
      </c>
      <c r="O1337">
        <v>20965</v>
      </c>
      <c r="P1337" t="s">
        <v>9690</v>
      </c>
      <c r="Q1337">
        <v>1</v>
      </c>
    </row>
    <row r="1338" spans="1:17" x14ac:dyDescent="0.25">
      <c r="A1338">
        <v>4</v>
      </c>
      <c r="B1338" t="s">
        <v>10031</v>
      </c>
      <c r="C1338" t="s">
        <v>21</v>
      </c>
      <c r="D1338" t="s">
        <v>9690</v>
      </c>
      <c r="G1338">
        <v>20966</v>
      </c>
      <c r="H1338" t="s">
        <v>10032</v>
      </c>
      <c r="I1338" t="s">
        <v>10033</v>
      </c>
      <c r="J1338">
        <v>20966</v>
      </c>
      <c r="K1338" t="s">
        <v>10034</v>
      </c>
      <c r="L1338">
        <v>64</v>
      </c>
      <c r="O1338">
        <v>20966</v>
      </c>
      <c r="P1338" t="s">
        <v>9690</v>
      </c>
      <c r="Q1338">
        <v>1</v>
      </c>
    </row>
    <row r="1339" spans="1:17" x14ac:dyDescent="0.25">
      <c r="A1339">
        <v>4</v>
      </c>
      <c r="B1339" t="s">
        <v>10035</v>
      </c>
      <c r="C1339" t="s">
        <v>21</v>
      </c>
      <c r="D1339" t="s">
        <v>9690</v>
      </c>
      <c r="G1339">
        <v>20967</v>
      </c>
      <c r="H1339" t="s">
        <v>10036</v>
      </c>
      <c r="I1339" t="s">
        <v>10037</v>
      </c>
      <c r="J1339">
        <v>20967</v>
      </c>
      <c r="K1339" t="s">
        <v>10038</v>
      </c>
      <c r="L1339">
        <v>37</v>
      </c>
      <c r="O1339">
        <v>20967</v>
      </c>
      <c r="P1339" t="s">
        <v>9690</v>
      </c>
      <c r="Q1339">
        <v>1</v>
      </c>
    </row>
    <row r="1340" spans="1:17" x14ac:dyDescent="0.25">
      <c r="A1340">
        <v>4</v>
      </c>
      <c r="B1340" t="s">
        <v>10039</v>
      </c>
      <c r="C1340" t="s">
        <v>21</v>
      </c>
      <c r="D1340" t="s">
        <v>9690</v>
      </c>
      <c r="G1340">
        <v>20968</v>
      </c>
      <c r="H1340" t="s">
        <v>10040</v>
      </c>
      <c r="I1340" t="s">
        <v>10041</v>
      </c>
      <c r="J1340">
        <v>20968</v>
      </c>
      <c r="K1340" t="s">
        <v>10042</v>
      </c>
      <c r="L1340">
        <v>50</v>
      </c>
      <c r="O1340">
        <v>20968</v>
      </c>
      <c r="P1340" t="s">
        <v>9690</v>
      </c>
      <c r="Q1340">
        <v>1</v>
      </c>
    </row>
    <row r="1341" spans="1:17" x14ac:dyDescent="0.25">
      <c r="A1341">
        <v>4</v>
      </c>
      <c r="B1341" t="s">
        <v>10043</v>
      </c>
      <c r="C1341" t="s">
        <v>21</v>
      </c>
      <c r="D1341" t="s">
        <v>9690</v>
      </c>
      <c r="G1341">
        <v>20969</v>
      </c>
      <c r="H1341" t="s">
        <v>10044</v>
      </c>
      <c r="I1341" t="s">
        <v>10045</v>
      </c>
      <c r="J1341">
        <v>20969</v>
      </c>
      <c r="K1341" t="s">
        <v>10046</v>
      </c>
      <c r="L1341">
        <v>94</v>
      </c>
      <c r="O1341">
        <v>20969</v>
      </c>
      <c r="P1341" t="s">
        <v>9690</v>
      </c>
      <c r="Q1341">
        <v>1</v>
      </c>
    </row>
    <row r="1342" spans="1:17" x14ac:dyDescent="0.25">
      <c r="A1342">
        <v>4</v>
      </c>
      <c r="B1342" t="s">
        <v>10047</v>
      </c>
      <c r="C1342" t="s">
        <v>21</v>
      </c>
      <c r="D1342" t="s">
        <v>9690</v>
      </c>
      <c r="G1342">
        <v>20971</v>
      </c>
      <c r="H1342" t="s">
        <v>10048</v>
      </c>
      <c r="I1342" t="s">
        <v>10049</v>
      </c>
      <c r="J1342">
        <v>20971</v>
      </c>
      <c r="K1342" t="s">
        <v>10050</v>
      </c>
      <c r="L1342">
        <v>1</v>
      </c>
      <c r="N1342" t="s">
        <v>4734</v>
      </c>
      <c r="O1342">
        <v>20971</v>
      </c>
      <c r="P1342" t="s">
        <v>9690</v>
      </c>
      <c r="Q1342">
        <v>1</v>
      </c>
    </row>
    <row r="1343" spans="1:17" x14ac:dyDescent="0.25">
      <c r="A1343">
        <v>4</v>
      </c>
      <c r="B1343" t="s">
        <v>10051</v>
      </c>
      <c r="C1343" t="s">
        <v>21</v>
      </c>
      <c r="D1343" t="s">
        <v>9690</v>
      </c>
      <c r="G1343">
        <v>20973</v>
      </c>
      <c r="H1343" t="s">
        <v>10052</v>
      </c>
      <c r="I1343" t="s">
        <v>10053</v>
      </c>
      <c r="J1343">
        <v>20973</v>
      </c>
      <c r="K1343" t="s">
        <v>10054</v>
      </c>
      <c r="L1343">
        <v>5</v>
      </c>
      <c r="N1343" t="s">
        <v>4713</v>
      </c>
      <c r="O1343">
        <v>20973</v>
      </c>
      <c r="P1343" t="s">
        <v>9690</v>
      </c>
      <c r="Q1343">
        <v>1</v>
      </c>
    </row>
    <row r="1344" spans="1:17" x14ac:dyDescent="0.25">
      <c r="A1344">
        <v>4</v>
      </c>
      <c r="B1344" t="s">
        <v>10055</v>
      </c>
      <c r="C1344" t="s">
        <v>21</v>
      </c>
      <c r="D1344" t="s">
        <v>9690</v>
      </c>
      <c r="G1344">
        <v>20975</v>
      </c>
      <c r="H1344" t="s">
        <v>10056</v>
      </c>
      <c r="I1344" t="s">
        <v>10057</v>
      </c>
      <c r="J1344">
        <v>20975</v>
      </c>
      <c r="K1344" t="s">
        <v>10058</v>
      </c>
      <c r="L1344">
        <v>29</v>
      </c>
      <c r="O1344">
        <v>20975</v>
      </c>
      <c r="P1344" t="s">
        <v>9690</v>
      </c>
      <c r="Q1344">
        <v>1</v>
      </c>
    </row>
    <row r="1345" spans="1:17" x14ac:dyDescent="0.25">
      <c r="A1345">
        <v>4</v>
      </c>
      <c r="B1345" t="s">
        <v>10059</v>
      </c>
      <c r="C1345" t="s">
        <v>21</v>
      </c>
      <c r="D1345" t="s">
        <v>9690</v>
      </c>
      <c r="G1345">
        <v>20977</v>
      </c>
      <c r="H1345" t="s">
        <v>10060</v>
      </c>
      <c r="I1345" t="s">
        <v>10061</v>
      </c>
      <c r="J1345">
        <v>20977</v>
      </c>
      <c r="K1345" t="s">
        <v>10062</v>
      </c>
      <c r="L1345">
        <v>97</v>
      </c>
      <c r="O1345">
        <v>20977</v>
      </c>
      <c r="P1345" t="s">
        <v>9690</v>
      </c>
      <c r="Q1345">
        <v>1</v>
      </c>
    </row>
    <row r="1346" spans="1:17" x14ac:dyDescent="0.25">
      <c r="A1346">
        <v>4</v>
      </c>
      <c r="B1346" t="s">
        <v>10063</v>
      </c>
      <c r="C1346" t="s">
        <v>21</v>
      </c>
      <c r="D1346" t="s">
        <v>9690</v>
      </c>
      <c r="G1346">
        <v>20978</v>
      </c>
      <c r="H1346" t="s">
        <v>10064</v>
      </c>
      <c r="I1346" t="s">
        <v>10065</v>
      </c>
      <c r="J1346">
        <v>20978</v>
      </c>
      <c r="K1346" t="s">
        <v>10066</v>
      </c>
      <c r="L1346">
        <v>7</v>
      </c>
      <c r="N1346" t="s">
        <v>4713</v>
      </c>
      <c r="O1346">
        <v>20978</v>
      </c>
      <c r="P1346" t="s">
        <v>9690</v>
      </c>
      <c r="Q1346">
        <v>1</v>
      </c>
    </row>
    <row r="1347" spans="1:17" x14ac:dyDescent="0.25">
      <c r="A1347">
        <v>4</v>
      </c>
      <c r="B1347" t="s">
        <v>10067</v>
      </c>
      <c r="C1347" t="s">
        <v>21</v>
      </c>
      <c r="D1347" t="s">
        <v>9690</v>
      </c>
      <c r="G1347">
        <v>20981</v>
      </c>
      <c r="H1347" t="s">
        <v>10068</v>
      </c>
      <c r="I1347" t="s">
        <v>10069</v>
      </c>
      <c r="J1347">
        <v>20981</v>
      </c>
      <c r="K1347" t="s">
        <v>10070</v>
      </c>
      <c r="L1347">
        <v>9</v>
      </c>
      <c r="N1347" t="s">
        <v>4713</v>
      </c>
      <c r="O1347">
        <v>20981</v>
      </c>
      <c r="P1347" t="s">
        <v>9690</v>
      </c>
      <c r="Q1347">
        <v>1</v>
      </c>
    </row>
    <row r="1348" spans="1:17" x14ac:dyDescent="0.25">
      <c r="A1348">
        <v>4</v>
      </c>
      <c r="B1348" t="s">
        <v>10071</v>
      </c>
      <c r="C1348" t="s">
        <v>21</v>
      </c>
      <c r="D1348" t="s">
        <v>9690</v>
      </c>
      <c r="G1348">
        <v>20982</v>
      </c>
      <c r="H1348" t="s">
        <v>10072</v>
      </c>
      <c r="I1348" t="s">
        <v>10073</v>
      </c>
      <c r="J1348">
        <v>20982</v>
      </c>
      <c r="K1348" t="s">
        <v>10074</v>
      </c>
      <c r="L1348">
        <v>287</v>
      </c>
      <c r="O1348">
        <v>20982</v>
      </c>
      <c r="P1348" t="s">
        <v>9690</v>
      </c>
      <c r="Q1348">
        <v>1</v>
      </c>
    </row>
    <row r="1349" spans="1:17" x14ac:dyDescent="0.25">
      <c r="A1349">
        <v>4</v>
      </c>
      <c r="B1349" t="s">
        <v>10075</v>
      </c>
      <c r="C1349" t="s">
        <v>21</v>
      </c>
      <c r="D1349" t="s">
        <v>9690</v>
      </c>
      <c r="G1349">
        <v>20984</v>
      </c>
      <c r="H1349" t="s">
        <v>10076</v>
      </c>
      <c r="I1349" t="s">
        <v>10077</v>
      </c>
      <c r="J1349">
        <v>20984</v>
      </c>
      <c r="K1349" t="s">
        <v>10078</v>
      </c>
      <c r="L1349">
        <v>6</v>
      </c>
      <c r="N1349" t="s">
        <v>4713</v>
      </c>
      <c r="O1349">
        <v>20984</v>
      </c>
      <c r="P1349" t="s">
        <v>9690</v>
      </c>
      <c r="Q1349">
        <v>1</v>
      </c>
    </row>
    <row r="1350" spans="1:17" x14ac:dyDescent="0.25">
      <c r="A1350">
        <v>4</v>
      </c>
      <c r="B1350" t="s">
        <v>10079</v>
      </c>
      <c r="C1350" t="s">
        <v>21</v>
      </c>
      <c r="D1350" t="s">
        <v>9690</v>
      </c>
      <c r="G1350">
        <v>20988</v>
      </c>
      <c r="H1350" t="s">
        <v>10080</v>
      </c>
      <c r="I1350" t="s">
        <v>10081</v>
      </c>
      <c r="J1350">
        <v>20988</v>
      </c>
      <c r="K1350" t="s">
        <v>10082</v>
      </c>
      <c r="L1350">
        <v>5</v>
      </c>
      <c r="N1350" t="s">
        <v>4713</v>
      </c>
      <c r="O1350">
        <v>20988</v>
      </c>
      <c r="P1350" t="s">
        <v>9690</v>
      </c>
      <c r="Q1350">
        <v>1</v>
      </c>
    </row>
    <row r="1351" spans="1:17" x14ac:dyDescent="0.25">
      <c r="A1351">
        <v>4</v>
      </c>
      <c r="B1351" t="s">
        <v>10083</v>
      </c>
      <c r="C1351" t="s">
        <v>21</v>
      </c>
      <c r="D1351" t="s">
        <v>9690</v>
      </c>
      <c r="G1351">
        <v>20989</v>
      </c>
      <c r="H1351" t="s">
        <v>10084</v>
      </c>
      <c r="J1351">
        <v>20989</v>
      </c>
      <c r="K1351" t="s">
        <v>10085</v>
      </c>
      <c r="L1351" t="s">
        <v>7386</v>
      </c>
      <c r="M1351" t="s">
        <v>10086</v>
      </c>
      <c r="N1351" t="s">
        <v>7388</v>
      </c>
      <c r="P1351" t="s">
        <v>9690</v>
      </c>
    </row>
    <row r="1352" spans="1:17" x14ac:dyDescent="0.25">
      <c r="A1352">
        <v>4</v>
      </c>
      <c r="B1352" t="s">
        <v>10087</v>
      </c>
      <c r="C1352" t="s">
        <v>21</v>
      </c>
      <c r="D1352" t="s">
        <v>9690</v>
      </c>
      <c r="G1352">
        <v>20990</v>
      </c>
      <c r="H1352" t="s">
        <v>10088</v>
      </c>
      <c r="I1352" t="s">
        <v>10089</v>
      </c>
      <c r="J1352">
        <v>20990</v>
      </c>
      <c r="K1352" t="s">
        <v>10090</v>
      </c>
      <c r="L1352">
        <v>226</v>
      </c>
      <c r="O1352">
        <v>20990</v>
      </c>
      <c r="P1352" t="s">
        <v>9690</v>
      </c>
      <c r="Q1352">
        <v>1</v>
      </c>
    </row>
    <row r="1353" spans="1:17" x14ac:dyDescent="0.25">
      <c r="A1353">
        <v>4</v>
      </c>
      <c r="B1353" t="s">
        <v>10091</v>
      </c>
      <c r="C1353" t="s">
        <v>21</v>
      </c>
      <c r="D1353" t="s">
        <v>9690</v>
      </c>
      <c r="G1353">
        <v>20991</v>
      </c>
      <c r="H1353" t="s">
        <v>10092</v>
      </c>
      <c r="I1353" t="s">
        <v>10093</v>
      </c>
      <c r="J1353">
        <v>20991</v>
      </c>
      <c r="K1353" t="s">
        <v>10094</v>
      </c>
      <c r="L1353">
        <v>74</v>
      </c>
      <c r="O1353">
        <v>20991</v>
      </c>
      <c r="P1353" t="s">
        <v>9690</v>
      </c>
      <c r="Q1353">
        <v>1</v>
      </c>
    </row>
    <row r="1354" spans="1:17" x14ac:dyDescent="0.25">
      <c r="A1354">
        <v>4</v>
      </c>
      <c r="B1354" t="s">
        <v>10095</v>
      </c>
      <c r="C1354" t="s">
        <v>21</v>
      </c>
      <c r="D1354" t="s">
        <v>9690</v>
      </c>
      <c r="G1354">
        <v>20992</v>
      </c>
      <c r="H1354" t="s">
        <v>10096</v>
      </c>
      <c r="I1354" t="s">
        <v>10097</v>
      </c>
      <c r="J1354">
        <v>20992</v>
      </c>
      <c r="K1354" t="s">
        <v>10098</v>
      </c>
      <c r="L1354">
        <v>12</v>
      </c>
      <c r="O1354">
        <v>20992</v>
      </c>
      <c r="P1354" t="s">
        <v>9690</v>
      </c>
      <c r="Q1354">
        <v>1</v>
      </c>
    </row>
    <row r="1355" spans="1:17" x14ac:dyDescent="0.25">
      <c r="A1355">
        <v>4</v>
      </c>
      <c r="B1355" t="s">
        <v>10099</v>
      </c>
      <c r="C1355" t="s">
        <v>21</v>
      </c>
      <c r="D1355" t="s">
        <v>9690</v>
      </c>
      <c r="G1355">
        <v>20993</v>
      </c>
      <c r="H1355" t="s">
        <v>10100</v>
      </c>
      <c r="I1355" t="s">
        <v>10101</v>
      </c>
      <c r="J1355">
        <v>20993</v>
      </c>
      <c r="K1355" t="s">
        <v>10102</v>
      </c>
      <c r="L1355">
        <v>19</v>
      </c>
      <c r="O1355">
        <v>20993</v>
      </c>
      <c r="P1355" t="s">
        <v>9690</v>
      </c>
      <c r="Q1355">
        <v>1</v>
      </c>
    </row>
    <row r="1356" spans="1:17" x14ac:dyDescent="0.25">
      <c r="A1356">
        <v>4</v>
      </c>
      <c r="B1356" t="s">
        <v>10103</v>
      </c>
      <c r="C1356" t="s">
        <v>21</v>
      </c>
      <c r="D1356" t="s">
        <v>9690</v>
      </c>
      <c r="G1356">
        <v>20994</v>
      </c>
      <c r="H1356" t="s">
        <v>10104</v>
      </c>
      <c r="I1356" t="s">
        <v>10105</v>
      </c>
      <c r="J1356">
        <v>20994</v>
      </c>
      <c r="K1356" t="s">
        <v>10106</v>
      </c>
      <c r="L1356">
        <v>11</v>
      </c>
      <c r="O1356">
        <v>20994</v>
      </c>
      <c r="P1356" t="s">
        <v>9690</v>
      </c>
      <c r="Q1356">
        <v>1</v>
      </c>
    </row>
    <row r="1357" spans="1:17" x14ac:dyDescent="0.25">
      <c r="A1357">
        <v>3</v>
      </c>
      <c r="B1357" t="s">
        <v>10107</v>
      </c>
      <c r="C1357" t="s">
        <v>21</v>
      </c>
      <c r="D1357" t="s">
        <v>9690</v>
      </c>
      <c r="F1357" t="s">
        <v>10108</v>
      </c>
      <c r="H1357" t="s">
        <v>10109</v>
      </c>
      <c r="I1357" t="s">
        <v>10110</v>
      </c>
      <c r="J1357" t="s">
        <v>10108</v>
      </c>
      <c r="O1357" t="s">
        <v>10108</v>
      </c>
      <c r="P1357" t="s">
        <v>9690</v>
      </c>
      <c r="Q1357">
        <v>1</v>
      </c>
    </row>
    <row r="1358" spans="1:17" x14ac:dyDescent="0.25">
      <c r="A1358">
        <v>4</v>
      </c>
      <c r="B1358" t="s">
        <v>10111</v>
      </c>
      <c r="C1358" t="s">
        <v>21</v>
      </c>
      <c r="D1358" t="s">
        <v>9690</v>
      </c>
      <c r="G1358">
        <v>21039</v>
      </c>
      <c r="H1358" t="s">
        <v>10112</v>
      </c>
      <c r="I1358" t="s">
        <v>10113</v>
      </c>
      <c r="J1358">
        <v>21039</v>
      </c>
      <c r="K1358" t="s">
        <v>10114</v>
      </c>
      <c r="L1358">
        <v>4</v>
      </c>
      <c r="N1358" t="s">
        <v>4713</v>
      </c>
      <c r="O1358">
        <v>21039</v>
      </c>
      <c r="P1358" t="s">
        <v>9690</v>
      </c>
      <c r="Q1358">
        <v>1</v>
      </c>
    </row>
    <row r="1359" spans="1:17" x14ac:dyDescent="0.25">
      <c r="A1359">
        <v>4</v>
      </c>
      <c r="B1359" t="s">
        <v>10115</v>
      </c>
      <c r="C1359" t="s">
        <v>21</v>
      </c>
      <c r="D1359" t="s">
        <v>9690</v>
      </c>
      <c r="G1359">
        <v>21042</v>
      </c>
      <c r="H1359" t="s">
        <v>10116</v>
      </c>
      <c r="I1359" t="s">
        <v>10117</v>
      </c>
      <c r="J1359">
        <v>21042</v>
      </c>
      <c r="K1359" t="s">
        <v>10118</v>
      </c>
      <c r="L1359">
        <v>53</v>
      </c>
      <c r="O1359">
        <v>21042</v>
      </c>
      <c r="P1359" t="s">
        <v>9690</v>
      </c>
      <c r="Q1359">
        <v>1</v>
      </c>
    </row>
    <row r="1360" spans="1:17" x14ac:dyDescent="0.25">
      <c r="A1360">
        <v>4</v>
      </c>
      <c r="B1360" t="s">
        <v>10119</v>
      </c>
      <c r="C1360" t="s">
        <v>21</v>
      </c>
      <c r="D1360" t="s">
        <v>9690</v>
      </c>
      <c r="G1360">
        <v>21043</v>
      </c>
      <c r="H1360" t="s">
        <v>10120</v>
      </c>
      <c r="I1360" t="s">
        <v>10121</v>
      </c>
      <c r="J1360">
        <v>21043</v>
      </c>
      <c r="K1360" t="s">
        <v>10122</v>
      </c>
      <c r="L1360">
        <v>143</v>
      </c>
      <c r="O1360">
        <v>21043</v>
      </c>
      <c r="P1360" t="s">
        <v>9690</v>
      </c>
      <c r="Q1360">
        <v>1</v>
      </c>
    </row>
    <row r="1361" spans="1:17" x14ac:dyDescent="0.25">
      <c r="A1361">
        <v>4</v>
      </c>
      <c r="B1361" t="s">
        <v>10123</v>
      </c>
      <c r="C1361" t="s">
        <v>21</v>
      </c>
      <c r="D1361" t="s">
        <v>9690</v>
      </c>
      <c r="G1361">
        <v>21044</v>
      </c>
      <c r="H1361" t="s">
        <v>10124</v>
      </c>
      <c r="I1361" t="s">
        <v>10125</v>
      </c>
      <c r="J1361">
        <v>21044</v>
      </c>
      <c r="K1361" t="s">
        <v>10126</v>
      </c>
      <c r="L1361">
        <v>20</v>
      </c>
      <c r="O1361">
        <v>21044</v>
      </c>
      <c r="P1361" t="s">
        <v>9690</v>
      </c>
      <c r="Q1361">
        <v>1</v>
      </c>
    </row>
    <row r="1362" spans="1:17" x14ac:dyDescent="0.25">
      <c r="A1362">
        <v>4</v>
      </c>
      <c r="B1362" t="s">
        <v>10127</v>
      </c>
      <c r="C1362" t="s">
        <v>21</v>
      </c>
      <c r="D1362" t="s">
        <v>9690</v>
      </c>
      <c r="G1362">
        <v>21045</v>
      </c>
      <c r="H1362" t="s">
        <v>10128</v>
      </c>
      <c r="I1362" t="s">
        <v>10129</v>
      </c>
      <c r="J1362">
        <v>21045</v>
      </c>
      <c r="K1362" t="s">
        <v>10130</v>
      </c>
      <c r="L1362">
        <v>24</v>
      </c>
      <c r="O1362">
        <v>21045</v>
      </c>
      <c r="P1362" t="s">
        <v>9690</v>
      </c>
      <c r="Q1362">
        <v>1</v>
      </c>
    </row>
    <row r="1363" spans="1:17" x14ac:dyDescent="0.25">
      <c r="A1363">
        <v>4</v>
      </c>
      <c r="B1363" t="s">
        <v>10131</v>
      </c>
      <c r="C1363" t="s">
        <v>21</v>
      </c>
      <c r="D1363" t="s">
        <v>9690</v>
      </c>
      <c r="G1363" t="s">
        <v>10132</v>
      </c>
      <c r="H1363" t="s">
        <v>10109</v>
      </c>
      <c r="I1363" t="s">
        <v>10133</v>
      </c>
      <c r="J1363" t="s">
        <v>10132</v>
      </c>
      <c r="K1363" t="s">
        <v>10134</v>
      </c>
      <c r="L1363">
        <v>42</v>
      </c>
      <c r="O1363" t="s">
        <v>10132</v>
      </c>
      <c r="P1363" t="s">
        <v>9690</v>
      </c>
      <c r="Q1363">
        <v>1</v>
      </c>
    </row>
    <row r="1364" spans="1:17" x14ac:dyDescent="0.25">
      <c r="A1364">
        <v>3</v>
      </c>
      <c r="B1364" t="s">
        <v>10135</v>
      </c>
      <c r="C1364" t="s">
        <v>21</v>
      </c>
      <c r="D1364" t="s">
        <v>9690</v>
      </c>
      <c r="F1364" t="s">
        <v>10136</v>
      </c>
      <c r="H1364" t="s">
        <v>10137</v>
      </c>
      <c r="I1364" t="s">
        <v>10138</v>
      </c>
      <c r="J1364" t="s">
        <v>10136</v>
      </c>
      <c r="O1364" t="s">
        <v>10136</v>
      </c>
      <c r="P1364" t="s">
        <v>9690</v>
      </c>
      <c r="Q1364">
        <v>1</v>
      </c>
    </row>
    <row r="1365" spans="1:17" x14ac:dyDescent="0.25">
      <c r="A1365">
        <v>4</v>
      </c>
      <c r="B1365" t="s">
        <v>10139</v>
      </c>
      <c r="C1365" t="s">
        <v>21</v>
      </c>
      <c r="D1365" t="s">
        <v>9690</v>
      </c>
      <c r="G1365">
        <v>21047</v>
      </c>
      <c r="H1365" t="s">
        <v>10140</v>
      </c>
      <c r="I1365" t="s">
        <v>10141</v>
      </c>
      <c r="J1365">
        <v>21047</v>
      </c>
      <c r="K1365" t="s">
        <v>10142</v>
      </c>
      <c r="L1365">
        <v>154</v>
      </c>
      <c r="O1365">
        <v>21047</v>
      </c>
      <c r="P1365" t="s">
        <v>9690</v>
      </c>
      <c r="Q1365">
        <v>1</v>
      </c>
    </row>
    <row r="1366" spans="1:17" x14ac:dyDescent="0.25">
      <c r="A1366">
        <v>4</v>
      </c>
      <c r="B1366" t="s">
        <v>10143</v>
      </c>
      <c r="C1366" t="s">
        <v>21</v>
      </c>
      <c r="D1366" t="s">
        <v>9690</v>
      </c>
      <c r="G1366">
        <v>21048</v>
      </c>
      <c r="H1366" t="s">
        <v>10144</v>
      </c>
      <c r="I1366" t="s">
        <v>10145</v>
      </c>
      <c r="J1366">
        <v>21048</v>
      </c>
      <c r="K1366" t="s">
        <v>10146</v>
      </c>
      <c r="L1366">
        <v>51</v>
      </c>
      <c r="O1366">
        <v>21048</v>
      </c>
      <c r="P1366" t="s">
        <v>9690</v>
      </c>
      <c r="Q1366">
        <v>1</v>
      </c>
    </row>
    <row r="1367" spans="1:17" x14ac:dyDescent="0.25">
      <c r="A1367">
        <v>4</v>
      </c>
      <c r="B1367" t="s">
        <v>10147</v>
      </c>
      <c r="C1367" t="s">
        <v>21</v>
      </c>
      <c r="D1367" t="s">
        <v>9690</v>
      </c>
      <c r="G1367">
        <v>21049</v>
      </c>
      <c r="H1367" t="s">
        <v>10148</v>
      </c>
      <c r="I1367" t="s">
        <v>10149</v>
      </c>
      <c r="J1367">
        <v>21049</v>
      </c>
      <c r="K1367" t="s">
        <v>10150</v>
      </c>
      <c r="L1367">
        <v>18</v>
      </c>
      <c r="O1367">
        <v>21049</v>
      </c>
      <c r="P1367" t="s">
        <v>9690</v>
      </c>
      <c r="Q1367">
        <v>1</v>
      </c>
    </row>
    <row r="1368" spans="1:17" x14ac:dyDescent="0.25">
      <c r="A1368">
        <v>4</v>
      </c>
      <c r="B1368" t="s">
        <v>10151</v>
      </c>
      <c r="C1368" t="s">
        <v>21</v>
      </c>
      <c r="D1368" t="s">
        <v>9690</v>
      </c>
      <c r="G1368">
        <v>21050</v>
      </c>
      <c r="H1368" t="s">
        <v>10152</v>
      </c>
      <c r="I1368" t="s">
        <v>10153</v>
      </c>
      <c r="J1368">
        <v>21050</v>
      </c>
      <c r="K1368" t="s">
        <v>10154</v>
      </c>
      <c r="L1368">
        <v>29</v>
      </c>
      <c r="O1368">
        <v>21050</v>
      </c>
      <c r="P1368" t="s">
        <v>9690</v>
      </c>
      <c r="Q1368">
        <v>1</v>
      </c>
    </row>
    <row r="1369" spans="1:17" x14ac:dyDescent="0.25">
      <c r="A1369">
        <v>4</v>
      </c>
      <c r="B1369" t="s">
        <v>10155</v>
      </c>
      <c r="C1369" t="s">
        <v>21</v>
      </c>
      <c r="D1369" t="s">
        <v>9690</v>
      </c>
      <c r="G1369">
        <v>21051</v>
      </c>
      <c r="H1369" t="s">
        <v>10156</v>
      </c>
      <c r="I1369" t="s">
        <v>10157</v>
      </c>
      <c r="J1369">
        <v>21051</v>
      </c>
      <c r="K1369" t="s">
        <v>10158</v>
      </c>
      <c r="L1369">
        <v>32</v>
      </c>
      <c r="O1369">
        <v>21051</v>
      </c>
      <c r="P1369" t="s">
        <v>9690</v>
      </c>
      <c r="Q1369">
        <v>1</v>
      </c>
    </row>
    <row r="1370" spans="1:17" x14ac:dyDescent="0.25">
      <c r="A1370">
        <v>4</v>
      </c>
      <c r="B1370" t="s">
        <v>10159</v>
      </c>
      <c r="C1370" t="s">
        <v>21</v>
      </c>
      <c r="D1370" t="s">
        <v>9690</v>
      </c>
      <c r="G1370">
        <v>21052</v>
      </c>
      <c r="H1370" t="s">
        <v>10160</v>
      </c>
      <c r="I1370" t="s">
        <v>10161</v>
      </c>
      <c r="J1370">
        <v>21052</v>
      </c>
      <c r="K1370" t="s">
        <v>10162</v>
      </c>
      <c r="L1370">
        <v>16</v>
      </c>
      <c r="O1370">
        <v>21052</v>
      </c>
      <c r="P1370" t="s">
        <v>9690</v>
      </c>
      <c r="Q1370">
        <v>1</v>
      </c>
    </row>
    <row r="1371" spans="1:17" x14ac:dyDescent="0.25">
      <c r="A1371">
        <v>4</v>
      </c>
      <c r="B1371" t="s">
        <v>10163</v>
      </c>
      <c r="C1371" t="s">
        <v>21</v>
      </c>
      <c r="D1371" t="s">
        <v>9690</v>
      </c>
      <c r="G1371">
        <v>21053</v>
      </c>
      <c r="H1371" t="s">
        <v>10164</v>
      </c>
      <c r="I1371" t="s">
        <v>10165</v>
      </c>
      <c r="J1371">
        <v>21053</v>
      </c>
      <c r="K1371" t="s">
        <v>10166</v>
      </c>
      <c r="L1371">
        <v>331</v>
      </c>
      <c r="O1371">
        <v>21053</v>
      </c>
      <c r="P1371" t="s">
        <v>9690</v>
      </c>
      <c r="Q1371">
        <v>1</v>
      </c>
    </row>
    <row r="1372" spans="1:17" x14ac:dyDescent="0.25">
      <c r="A1372">
        <v>4</v>
      </c>
      <c r="B1372" t="s">
        <v>10167</v>
      </c>
      <c r="C1372" t="s">
        <v>21</v>
      </c>
      <c r="D1372" t="s">
        <v>9690</v>
      </c>
      <c r="G1372">
        <v>21054</v>
      </c>
      <c r="H1372" t="s">
        <v>10168</v>
      </c>
      <c r="I1372" t="s">
        <v>10169</v>
      </c>
      <c r="J1372">
        <v>21054</v>
      </c>
      <c r="K1372" t="s">
        <v>10170</v>
      </c>
      <c r="L1372">
        <v>85</v>
      </c>
      <c r="O1372">
        <v>21054</v>
      </c>
      <c r="P1372" t="s">
        <v>9690</v>
      </c>
      <c r="Q1372">
        <v>1</v>
      </c>
    </row>
    <row r="1373" spans="1:17" x14ac:dyDescent="0.25">
      <c r="A1373">
        <v>4</v>
      </c>
      <c r="B1373" t="s">
        <v>10171</v>
      </c>
      <c r="C1373" t="s">
        <v>21</v>
      </c>
      <c r="D1373" t="s">
        <v>9690</v>
      </c>
      <c r="G1373">
        <v>21055</v>
      </c>
      <c r="H1373" t="s">
        <v>10172</v>
      </c>
      <c r="I1373" t="s">
        <v>10173</v>
      </c>
      <c r="J1373">
        <v>21055</v>
      </c>
      <c r="K1373" t="s">
        <v>10174</v>
      </c>
      <c r="L1373">
        <v>26</v>
      </c>
      <c r="O1373">
        <v>21055</v>
      </c>
      <c r="P1373" t="s">
        <v>9690</v>
      </c>
      <c r="Q1373">
        <v>1</v>
      </c>
    </row>
    <row r="1374" spans="1:17" x14ac:dyDescent="0.25">
      <c r="A1374">
        <v>4</v>
      </c>
      <c r="B1374" t="s">
        <v>10175</v>
      </c>
      <c r="C1374" t="s">
        <v>21</v>
      </c>
      <c r="D1374" t="s">
        <v>9690</v>
      </c>
      <c r="G1374">
        <v>21056</v>
      </c>
      <c r="H1374" t="s">
        <v>10176</v>
      </c>
      <c r="I1374" t="s">
        <v>10177</v>
      </c>
      <c r="J1374">
        <v>21056</v>
      </c>
      <c r="K1374" t="s">
        <v>10178</v>
      </c>
      <c r="L1374">
        <v>6</v>
      </c>
      <c r="N1374" t="s">
        <v>4713</v>
      </c>
      <c r="O1374">
        <v>21056</v>
      </c>
      <c r="P1374" t="s">
        <v>9690</v>
      </c>
      <c r="Q1374">
        <v>1</v>
      </c>
    </row>
    <row r="1375" spans="1:17" x14ac:dyDescent="0.25">
      <c r="A1375">
        <v>4</v>
      </c>
      <c r="B1375" t="s">
        <v>10179</v>
      </c>
      <c r="C1375" t="s">
        <v>21</v>
      </c>
      <c r="D1375" t="s">
        <v>9690</v>
      </c>
      <c r="G1375">
        <v>21057</v>
      </c>
      <c r="H1375" t="s">
        <v>10180</v>
      </c>
      <c r="I1375" t="s">
        <v>10181</v>
      </c>
      <c r="J1375">
        <v>21057</v>
      </c>
      <c r="K1375" t="s">
        <v>10182</v>
      </c>
      <c r="L1375">
        <v>2</v>
      </c>
      <c r="N1375" t="s">
        <v>4713</v>
      </c>
      <c r="O1375">
        <v>21057</v>
      </c>
      <c r="P1375" t="s">
        <v>9690</v>
      </c>
      <c r="Q1375">
        <v>1</v>
      </c>
    </row>
    <row r="1376" spans="1:17" x14ac:dyDescent="0.25">
      <c r="A1376">
        <v>4</v>
      </c>
      <c r="B1376" t="s">
        <v>10183</v>
      </c>
      <c r="C1376" t="s">
        <v>21</v>
      </c>
      <c r="D1376" t="s">
        <v>9690</v>
      </c>
      <c r="G1376">
        <v>21058</v>
      </c>
      <c r="H1376" t="s">
        <v>10184</v>
      </c>
      <c r="I1376" t="s">
        <v>10185</v>
      </c>
      <c r="J1376">
        <v>21058</v>
      </c>
      <c r="K1376" t="s">
        <v>10186</v>
      </c>
      <c r="L1376">
        <v>6</v>
      </c>
      <c r="N1376" t="s">
        <v>4713</v>
      </c>
      <c r="O1376">
        <v>21058</v>
      </c>
      <c r="P1376" t="s">
        <v>9690</v>
      </c>
      <c r="Q1376">
        <v>1</v>
      </c>
    </row>
    <row r="1377" spans="1:17" x14ac:dyDescent="0.25">
      <c r="A1377">
        <v>4</v>
      </c>
      <c r="B1377" t="s">
        <v>10187</v>
      </c>
      <c r="C1377" t="s">
        <v>21</v>
      </c>
      <c r="D1377" t="s">
        <v>9690</v>
      </c>
      <c r="G1377">
        <v>21059</v>
      </c>
      <c r="H1377" t="s">
        <v>10188</v>
      </c>
      <c r="I1377" t="s">
        <v>10189</v>
      </c>
      <c r="J1377">
        <v>21059</v>
      </c>
      <c r="K1377" t="s">
        <v>10190</v>
      </c>
      <c r="L1377">
        <v>2</v>
      </c>
      <c r="N1377" t="s">
        <v>4713</v>
      </c>
      <c r="O1377">
        <v>21059</v>
      </c>
      <c r="P1377" t="s">
        <v>9690</v>
      </c>
      <c r="Q1377">
        <v>1</v>
      </c>
    </row>
    <row r="1378" spans="1:17" x14ac:dyDescent="0.25">
      <c r="A1378">
        <v>4</v>
      </c>
      <c r="B1378" t="s">
        <v>10191</v>
      </c>
      <c r="C1378" t="s">
        <v>21</v>
      </c>
      <c r="D1378" t="s">
        <v>9690</v>
      </c>
      <c r="G1378">
        <v>21060</v>
      </c>
      <c r="H1378" t="s">
        <v>10192</v>
      </c>
      <c r="I1378" t="s">
        <v>10193</v>
      </c>
      <c r="J1378">
        <v>21060</v>
      </c>
      <c r="K1378" t="s">
        <v>10194</v>
      </c>
      <c r="L1378">
        <v>12</v>
      </c>
      <c r="O1378">
        <v>21060</v>
      </c>
      <c r="P1378" t="s">
        <v>9690</v>
      </c>
      <c r="Q1378">
        <v>1</v>
      </c>
    </row>
    <row r="1379" spans="1:17" x14ac:dyDescent="0.25">
      <c r="A1379">
        <v>4</v>
      </c>
      <c r="B1379" t="s">
        <v>10195</v>
      </c>
      <c r="C1379" t="s">
        <v>21</v>
      </c>
      <c r="D1379" t="s">
        <v>9690</v>
      </c>
      <c r="G1379">
        <v>21062</v>
      </c>
      <c r="H1379" t="s">
        <v>10196</v>
      </c>
      <c r="I1379" t="s">
        <v>10197</v>
      </c>
      <c r="J1379">
        <v>21062</v>
      </c>
      <c r="K1379" t="s">
        <v>10198</v>
      </c>
      <c r="L1379">
        <v>14</v>
      </c>
      <c r="O1379">
        <v>21062</v>
      </c>
      <c r="P1379" t="s">
        <v>9690</v>
      </c>
      <c r="Q1379">
        <v>1</v>
      </c>
    </row>
    <row r="1380" spans="1:17" x14ac:dyDescent="0.25">
      <c r="A1380">
        <v>3</v>
      </c>
      <c r="B1380" t="s">
        <v>10199</v>
      </c>
      <c r="C1380" t="s">
        <v>21</v>
      </c>
      <c r="D1380" t="s">
        <v>9690</v>
      </c>
      <c r="F1380" t="s">
        <v>10200</v>
      </c>
      <c r="H1380" t="s">
        <v>10201</v>
      </c>
      <c r="I1380" t="s">
        <v>10202</v>
      </c>
      <c r="J1380" t="s">
        <v>10200</v>
      </c>
      <c r="O1380" t="s">
        <v>10200</v>
      </c>
      <c r="P1380" t="s">
        <v>9690</v>
      </c>
      <c r="Q1380">
        <v>1</v>
      </c>
    </row>
    <row r="1381" spans="1:17" x14ac:dyDescent="0.25">
      <c r="A1381">
        <v>4</v>
      </c>
      <c r="B1381" t="s">
        <v>10203</v>
      </c>
      <c r="C1381" t="s">
        <v>21</v>
      </c>
      <c r="D1381" t="s">
        <v>9690</v>
      </c>
      <c r="G1381">
        <v>163707</v>
      </c>
      <c r="H1381" t="s">
        <v>10204</v>
      </c>
      <c r="I1381" t="s">
        <v>10205</v>
      </c>
      <c r="J1381">
        <v>163707</v>
      </c>
      <c r="K1381" t="s">
        <v>10206</v>
      </c>
      <c r="L1381">
        <v>28</v>
      </c>
      <c r="O1381">
        <v>163707</v>
      </c>
      <c r="P1381" t="s">
        <v>9690</v>
      </c>
      <c r="Q1381">
        <v>1</v>
      </c>
    </row>
    <row r="1382" spans="1:17" x14ac:dyDescent="0.25">
      <c r="A1382">
        <v>4</v>
      </c>
      <c r="B1382" t="s">
        <v>10207</v>
      </c>
      <c r="C1382" t="s">
        <v>21</v>
      </c>
      <c r="D1382" t="s">
        <v>9690</v>
      </c>
      <c r="G1382">
        <v>21066</v>
      </c>
      <c r="H1382" t="s">
        <v>10208</v>
      </c>
      <c r="I1382" t="s">
        <v>10209</v>
      </c>
      <c r="J1382">
        <v>21066</v>
      </c>
      <c r="K1382" t="s">
        <v>10210</v>
      </c>
      <c r="L1382">
        <v>197</v>
      </c>
      <c r="O1382">
        <v>21066</v>
      </c>
      <c r="P1382" t="s">
        <v>9690</v>
      </c>
      <c r="Q1382">
        <v>1</v>
      </c>
    </row>
    <row r="1383" spans="1:17" x14ac:dyDescent="0.25">
      <c r="A1383">
        <v>4</v>
      </c>
      <c r="B1383" t="s">
        <v>10211</v>
      </c>
      <c r="C1383" t="s">
        <v>21</v>
      </c>
      <c r="D1383" t="s">
        <v>9690</v>
      </c>
      <c r="G1383">
        <v>21068</v>
      </c>
      <c r="H1383" t="s">
        <v>10212</v>
      </c>
      <c r="I1383" t="s">
        <v>10213</v>
      </c>
      <c r="J1383">
        <v>21068</v>
      </c>
      <c r="K1383" t="s">
        <v>10214</v>
      </c>
      <c r="L1383">
        <v>2</v>
      </c>
      <c r="N1383" t="s">
        <v>4713</v>
      </c>
      <c r="O1383">
        <v>21068</v>
      </c>
      <c r="P1383" t="s">
        <v>9690</v>
      </c>
      <c r="Q1383">
        <v>1</v>
      </c>
    </row>
    <row r="1384" spans="1:17" x14ac:dyDescent="0.25">
      <c r="A1384">
        <v>4</v>
      </c>
      <c r="B1384" t="s">
        <v>10215</v>
      </c>
      <c r="C1384" t="s">
        <v>21</v>
      </c>
      <c r="D1384" t="s">
        <v>9690</v>
      </c>
      <c r="G1384">
        <v>21069</v>
      </c>
      <c r="H1384" t="s">
        <v>10216</v>
      </c>
      <c r="I1384" t="s">
        <v>10217</v>
      </c>
      <c r="J1384">
        <v>21069</v>
      </c>
      <c r="K1384" t="s">
        <v>10218</v>
      </c>
      <c r="L1384">
        <v>4</v>
      </c>
      <c r="N1384" t="s">
        <v>4713</v>
      </c>
      <c r="O1384">
        <v>21069</v>
      </c>
      <c r="P1384" t="s">
        <v>9690</v>
      </c>
      <c r="Q1384">
        <v>1</v>
      </c>
    </row>
    <row r="1385" spans="1:17" x14ac:dyDescent="0.25">
      <c r="A1385">
        <v>4</v>
      </c>
      <c r="B1385" t="s">
        <v>10219</v>
      </c>
      <c r="C1385" t="s">
        <v>21</v>
      </c>
      <c r="D1385" t="s">
        <v>9690</v>
      </c>
      <c r="G1385">
        <v>21070</v>
      </c>
      <c r="H1385" t="s">
        <v>10220</v>
      </c>
      <c r="I1385" t="s">
        <v>10221</v>
      </c>
      <c r="J1385">
        <v>21070</v>
      </c>
      <c r="K1385" t="s">
        <v>10222</v>
      </c>
      <c r="L1385">
        <v>5</v>
      </c>
      <c r="N1385" t="s">
        <v>4713</v>
      </c>
      <c r="O1385">
        <v>21070</v>
      </c>
      <c r="P1385" t="s">
        <v>9690</v>
      </c>
      <c r="Q1385">
        <v>1</v>
      </c>
    </row>
    <row r="1386" spans="1:17" x14ac:dyDescent="0.25">
      <c r="A1386">
        <v>4</v>
      </c>
      <c r="B1386" t="s">
        <v>10223</v>
      </c>
      <c r="C1386" t="s">
        <v>21</v>
      </c>
      <c r="D1386" t="s">
        <v>9690</v>
      </c>
      <c r="G1386">
        <v>21071</v>
      </c>
      <c r="H1386" t="s">
        <v>10224</v>
      </c>
      <c r="I1386" t="s">
        <v>10225</v>
      </c>
      <c r="J1386">
        <v>21071</v>
      </c>
      <c r="K1386" t="s">
        <v>10226</v>
      </c>
      <c r="L1386">
        <v>19</v>
      </c>
      <c r="O1386">
        <v>21071</v>
      </c>
      <c r="P1386" t="s">
        <v>9690</v>
      </c>
      <c r="Q1386">
        <v>1</v>
      </c>
    </row>
    <row r="1387" spans="1:17" x14ac:dyDescent="0.25">
      <c r="A1387">
        <v>4</v>
      </c>
      <c r="B1387" t="s">
        <v>10227</v>
      </c>
      <c r="C1387" t="s">
        <v>21</v>
      </c>
      <c r="D1387" t="s">
        <v>9690</v>
      </c>
      <c r="G1387">
        <v>21072</v>
      </c>
      <c r="H1387" t="s">
        <v>10228</v>
      </c>
      <c r="I1387" t="s">
        <v>10229</v>
      </c>
      <c r="J1387">
        <v>21072</v>
      </c>
      <c r="K1387" t="s">
        <v>10230</v>
      </c>
      <c r="L1387">
        <v>8</v>
      </c>
      <c r="N1387" t="s">
        <v>4713</v>
      </c>
      <c r="O1387">
        <v>21072</v>
      </c>
      <c r="P1387" t="s">
        <v>9690</v>
      </c>
      <c r="Q1387">
        <v>1</v>
      </c>
    </row>
    <row r="1388" spans="1:17" x14ac:dyDescent="0.25">
      <c r="A1388">
        <v>4</v>
      </c>
      <c r="B1388" t="s">
        <v>10231</v>
      </c>
      <c r="C1388" t="s">
        <v>21</v>
      </c>
      <c r="D1388" t="s">
        <v>9690</v>
      </c>
      <c r="G1388">
        <v>21073</v>
      </c>
      <c r="H1388" t="s">
        <v>10201</v>
      </c>
      <c r="I1388" t="s">
        <v>10232</v>
      </c>
      <c r="J1388">
        <v>21073</v>
      </c>
      <c r="K1388" t="s">
        <v>10233</v>
      </c>
      <c r="L1388">
        <v>67</v>
      </c>
      <c r="O1388">
        <v>21073</v>
      </c>
      <c r="P1388" t="s">
        <v>9690</v>
      </c>
      <c r="Q1388">
        <v>1</v>
      </c>
    </row>
    <row r="1389" spans="1:17" x14ac:dyDescent="0.25">
      <c r="A1389">
        <v>4</v>
      </c>
      <c r="B1389" t="s">
        <v>10234</v>
      </c>
      <c r="C1389" t="s">
        <v>21</v>
      </c>
      <c r="D1389" t="s">
        <v>9690</v>
      </c>
      <c r="G1389">
        <v>21074</v>
      </c>
      <c r="H1389" t="s">
        <v>10235</v>
      </c>
      <c r="I1389" t="s">
        <v>10236</v>
      </c>
      <c r="J1389">
        <v>21074</v>
      </c>
      <c r="K1389" t="s">
        <v>10237</v>
      </c>
      <c r="L1389">
        <v>5</v>
      </c>
      <c r="N1389" t="s">
        <v>4713</v>
      </c>
      <c r="O1389">
        <v>21074</v>
      </c>
      <c r="P1389" t="s">
        <v>9690</v>
      </c>
      <c r="Q1389">
        <v>1</v>
      </c>
    </row>
    <row r="1390" spans="1:17" x14ac:dyDescent="0.25">
      <c r="A1390">
        <v>4</v>
      </c>
      <c r="B1390" t="s">
        <v>10238</v>
      </c>
      <c r="C1390" t="s">
        <v>21</v>
      </c>
      <c r="D1390" t="s">
        <v>9690</v>
      </c>
      <c r="G1390">
        <v>21075</v>
      </c>
      <c r="H1390" t="s">
        <v>10208</v>
      </c>
      <c r="I1390" t="s">
        <v>10239</v>
      </c>
      <c r="J1390">
        <v>21075</v>
      </c>
      <c r="K1390" t="s">
        <v>10240</v>
      </c>
      <c r="L1390">
        <v>197</v>
      </c>
      <c r="O1390">
        <v>21075</v>
      </c>
      <c r="P1390" t="s">
        <v>9690</v>
      </c>
      <c r="Q1390">
        <v>1</v>
      </c>
    </row>
    <row r="1391" spans="1:17" x14ac:dyDescent="0.25">
      <c r="A1391">
        <v>4</v>
      </c>
      <c r="B1391" t="s">
        <v>10241</v>
      </c>
      <c r="C1391" t="s">
        <v>21</v>
      </c>
      <c r="D1391" t="s">
        <v>9690</v>
      </c>
      <c r="G1391">
        <v>21078</v>
      </c>
      <c r="H1391" t="s">
        <v>10242</v>
      </c>
      <c r="I1391" t="s">
        <v>10243</v>
      </c>
      <c r="J1391">
        <v>21078</v>
      </c>
      <c r="K1391" t="s">
        <v>10244</v>
      </c>
      <c r="L1391">
        <v>16</v>
      </c>
      <c r="O1391">
        <v>21078</v>
      </c>
      <c r="P1391" t="s">
        <v>9690</v>
      </c>
      <c r="Q1391">
        <v>1</v>
      </c>
    </row>
    <row r="1392" spans="1:17" x14ac:dyDescent="0.25">
      <c r="A1392">
        <v>4</v>
      </c>
      <c r="B1392" t="s">
        <v>10245</v>
      </c>
      <c r="C1392" t="s">
        <v>21</v>
      </c>
      <c r="D1392" t="s">
        <v>9690</v>
      </c>
      <c r="G1392">
        <v>21079</v>
      </c>
      <c r="H1392" t="s">
        <v>10246</v>
      </c>
      <c r="I1392" t="s">
        <v>10247</v>
      </c>
      <c r="J1392">
        <v>21079</v>
      </c>
      <c r="K1392" t="s">
        <v>10248</v>
      </c>
      <c r="L1392">
        <v>38</v>
      </c>
      <c r="O1392">
        <v>21079</v>
      </c>
      <c r="P1392" t="s">
        <v>9690</v>
      </c>
      <c r="Q1392">
        <v>1</v>
      </c>
    </row>
    <row r="1393" spans="1:17" x14ac:dyDescent="0.25">
      <c r="A1393">
        <v>4</v>
      </c>
      <c r="B1393" t="s">
        <v>10249</v>
      </c>
      <c r="C1393" t="s">
        <v>21</v>
      </c>
      <c r="D1393" t="s">
        <v>9690</v>
      </c>
      <c r="G1393">
        <v>21081</v>
      </c>
      <c r="H1393" t="s">
        <v>10250</v>
      </c>
      <c r="I1393" t="s">
        <v>10251</v>
      </c>
      <c r="J1393">
        <v>21081</v>
      </c>
      <c r="K1393" t="s">
        <v>10252</v>
      </c>
      <c r="L1393">
        <v>51</v>
      </c>
      <c r="O1393">
        <v>21081</v>
      </c>
      <c r="P1393" t="s">
        <v>9690</v>
      </c>
      <c r="Q1393">
        <v>1</v>
      </c>
    </row>
    <row r="1394" spans="1:17" x14ac:dyDescent="0.25">
      <c r="A1394">
        <v>4</v>
      </c>
      <c r="B1394" t="s">
        <v>10253</v>
      </c>
      <c r="C1394" t="s">
        <v>21</v>
      </c>
      <c r="D1394" t="s">
        <v>9690</v>
      </c>
      <c r="G1394">
        <v>21083</v>
      </c>
      <c r="H1394" t="s">
        <v>10254</v>
      </c>
      <c r="I1394" t="s">
        <v>10255</v>
      </c>
      <c r="J1394">
        <v>21083</v>
      </c>
      <c r="K1394" t="s">
        <v>10256</v>
      </c>
      <c r="L1394">
        <v>7</v>
      </c>
      <c r="N1394" t="s">
        <v>4713</v>
      </c>
      <c r="O1394">
        <v>21083</v>
      </c>
      <c r="P1394" t="s">
        <v>9690</v>
      </c>
      <c r="Q1394">
        <v>1</v>
      </c>
    </row>
    <row r="1395" spans="1:17" x14ac:dyDescent="0.25">
      <c r="A1395">
        <v>4</v>
      </c>
      <c r="B1395" t="s">
        <v>10257</v>
      </c>
      <c r="C1395" t="s">
        <v>21</v>
      </c>
      <c r="D1395" t="s">
        <v>9690</v>
      </c>
      <c r="G1395">
        <v>21084</v>
      </c>
      <c r="H1395" t="s">
        <v>10258</v>
      </c>
      <c r="I1395" t="s">
        <v>10259</v>
      </c>
      <c r="J1395">
        <v>21084</v>
      </c>
      <c r="K1395" t="s">
        <v>10260</v>
      </c>
      <c r="L1395">
        <v>14</v>
      </c>
      <c r="O1395">
        <v>21084</v>
      </c>
      <c r="P1395" t="s">
        <v>9690</v>
      </c>
      <c r="Q1395">
        <v>1</v>
      </c>
    </row>
    <row r="1396" spans="1:17" x14ac:dyDescent="0.25">
      <c r="A1396">
        <v>4</v>
      </c>
      <c r="B1396" t="s">
        <v>10261</v>
      </c>
      <c r="C1396" t="s">
        <v>21</v>
      </c>
      <c r="D1396" t="s">
        <v>9690</v>
      </c>
      <c r="G1396">
        <v>21085</v>
      </c>
      <c r="H1396" t="s">
        <v>10262</v>
      </c>
      <c r="I1396" t="s">
        <v>10263</v>
      </c>
      <c r="J1396">
        <v>21085</v>
      </c>
      <c r="K1396" t="s">
        <v>10264</v>
      </c>
      <c r="L1396">
        <v>8</v>
      </c>
      <c r="N1396" t="s">
        <v>4713</v>
      </c>
      <c r="O1396">
        <v>21085</v>
      </c>
      <c r="P1396" t="s">
        <v>9690</v>
      </c>
      <c r="Q1396">
        <v>1</v>
      </c>
    </row>
    <row r="1397" spans="1:17" x14ac:dyDescent="0.25">
      <c r="A1397">
        <v>4</v>
      </c>
      <c r="B1397" t="s">
        <v>10265</v>
      </c>
      <c r="C1397" t="s">
        <v>21</v>
      </c>
      <c r="D1397" t="s">
        <v>9690</v>
      </c>
      <c r="G1397">
        <v>21087</v>
      </c>
      <c r="H1397" t="s">
        <v>10266</v>
      </c>
      <c r="I1397" t="s">
        <v>10267</v>
      </c>
      <c r="J1397">
        <v>21087</v>
      </c>
      <c r="K1397" t="s">
        <v>10268</v>
      </c>
      <c r="L1397">
        <v>6</v>
      </c>
      <c r="N1397" t="s">
        <v>4713</v>
      </c>
      <c r="O1397">
        <v>21087</v>
      </c>
      <c r="P1397" t="s">
        <v>9690</v>
      </c>
      <c r="Q1397">
        <v>1</v>
      </c>
    </row>
    <row r="1398" spans="1:17" x14ac:dyDescent="0.25">
      <c r="A1398">
        <v>4</v>
      </c>
      <c r="B1398" t="s">
        <v>10269</v>
      </c>
      <c r="C1398" t="s">
        <v>21</v>
      </c>
      <c r="D1398" t="s">
        <v>9690</v>
      </c>
      <c r="G1398">
        <v>21088</v>
      </c>
      <c r="H1398" t="s">
        <v>10270</v>
      </c>
      <c r="I1398" t="s">
        <v>10271</v>
      </c>
      <c r="J1398">
        <v>21088</v>
      </c>
      <c r="K1398" t="s">
        <v>10272</v>
      </c>
      <c r="L1398">
        <v>1</v>
      </c>
      <c r="N1398" t="s">
        <v>4734</v>
      </c>
      <c r="O1398">
        <v>21088</v>
      </c>
      <c r="P1398" t="s">
        <v>9690</v>
      </c>
      <c r="Q1398">
        <v>1</v>
      </c>
    </row>
    <row r="1399" spans="1:17" x14ac:dyDescent="0.25">
      <c r="A1399">
        <v>4</v>
      </c>
      <c r="B1399" t="s">
        <v>10273</v>
      </c>
      <c r="C1399" t="s">
        <v>21</v>
      </c>
      <c r="D1399" t="s">
        <v>9690</v>
      </c>
      <c r="G1399">
        <v>21090</v>
      </c>
      <c r="H1399" t="s">
        <v>10274</v>
      </c>
      <c r="I1399" t="s">
        <v>10202</v>
      </c>
      <c r="J1399">
        <v>21090</v>
      </c>
      <c r="K1399" t="s">
        <v>10275</v>
      </c>
      <c r="L1399">
        <v>3</v>
      </c>
      <c r="N1399" t="s">
        <v>4713</v>
      </c>
      <c r="O1399">
        <v>21090</v>
      </c>
      <c r="P1399" t="s">
        <v>9690</v>
      </c>
      <c r="Q1399">
        <v>1</v>
      </c>
    </row>
    <row r="1400" spans="1:17" x14ac:dyDescent="0.25">
      <c r="A1400">
        <v>4</v>
      </c>
      <c r="B1400" t="s">
        <v>10276</v>
      </c>
      <c r="C1400" t="s">
        <v>21</v>
      </c>
      <c r="D1400" t="s">
        <v>9690</v>
      </c>
      <c r="G1400">
        <v>21091</v>
      </c>
      <c r="H1400" t="s">
        <v>10277</v>
      </c>
      <c r="I1400" t="s">
        <v>10278</v>
      </c>
      <c r="J1400">
        <v>21091</v>
      </c>
      <c r="K1400" t="s">
        <v>10279</v>
      </c>
      <c r="L1400">
        <v>38</v>
      </c>
      <c r="O1400">
        <v>21091</v>
      </c>
      <c r="P1400" t="s">
        <v>9690</v>
      </c>
      <c r="Q1400">
        <v>1</v>
      </c>
    </row>
    <row r="1401" spans="1:17" x14ac:dyDescent="0.25">
      <c r="A1401">
        <v>4</v>
      </c>
      <c r="B1401" t="s">
        <v>10280</v>
      </c>
      <c r="C1401" t="s">
        <v>21</v>
      </c>
      <c r="D1401" t="s">
        <v>9690</v>
      </c>
      <c r="G1401">
        <v>44144</v>
      </c>
      <c r="H1401" t="s">
        <v>10281</v>
      </c>
      <c r="I1401" t="s">
        <v>10282</v>
      </c>
      <c r="J1401">
        <v>44144</v>
      </c>
      <c r="K1401" t="s">
        <v>10283</v>
      </c>
      <c r="L1401">
        <v>14</v>
      </c>
      <c r="O1401">
        <v>44144</v>
      </c>
      <c r="P1401" t="s">
        <v>9690</v>
      </c>
      <c r="Q1401">
        <v>1</v>
      </c>
    </row>
    <row r="1402" spans="1:17" x14ac:dyDescent="0.25">
      <c r="A1402">
        <v>3</v>
      </c>
      <c r="B1402" t="s">
        <v>10284</v>
      </c>
      <c r="C1402" t="s">
        <v>21</v>
      </c>
      <c r="D1402" t="s">
        <v>9690</v>
      </c>
      <c r="F1402" t="s">
        <v>10285</v>
      </c>
      <c r="H1402" t="s">
        <v>10286</v>
      </c>
      <c r="I1402" t="s">
        <v>10287</v>
      </c>
      <c r="J1402" t="s">
        <v>10285</v>
      </c>
      <c r="O1402" t="s">
        <v>10285</v>
      </c>
      <c r="P1402" t="s">
        <v>9690</v>
      </c>
      <c r="Q1402">
        <v>1</v>
      </c>
    </row>
    <row r="1403" spans="1:17" x14ac:dyDescent="0.25">
      <c r="A1403">
        <v>4</v>
      </c>
      <c r="B1403" t="s">
        <v>10288</v>
      </c>
      <c r="C1403" t="s">
        <v>21</v>
      </c>
      <c r="D1403" t="s">
        <v>9690</v>
      </c>
      <c r="G1403">
        <v>21095</v>
      </c>
      <c r="H1403" t="s">
        <v>10289</v>
      </c>
      <c r="I1403" t="s">
        <v>10290</v>
      </c>
      <c r="J1403">
        <v>21095</v>
      </c>
      <c r="K1403" t="s">
        <v>10291</v>
      </c>
      <c r="L1403">
        <v>115</v>
      </c>
      <c r="O1403">
        <v>21095</v>
      </c>
      <c r="P1403" t="s">
        <v>9690</v>
      </c>
      <c r="Q1403">
        <v>1</v>
      </c>
    </row>
    <row r="1404" spans="1:17" x14ac:dyDescent="0.25">
      <c r="A1404">
        <v>4</v>
      </c>
      <c r="B1404" t="s">
        <v>10292</v>
      </c>
      <c r="C1404" t="s">
        <v>21</v>
      </c>
      <c r="D1404" t="s">
        <v>9690</v>
      </c>
      <c r="G1404">
        <v>21097</v>
      </c>
      <c r="H1404" t="s">
        <v>10293</v>
      </c>
      <c r="I1404" t="s">
        <v>10294</v>
      </c>
      <c r="J1404">
        <v>21097</v>
      </c>
      <c r="K1404" t="s">
        <v>10295</v>
      </c>
      <c r="L1404">
        <v>10</v>
      </c>
      <c r="O1404">
        <v>21097</v>
      </c>
      <c r="P1404" t="s">
        <v>9690</v>
      </c>
      <c r="Q1404">
        <v>1</v>
      </c>
    </row>
    <row r="1405" spans="1:17" x14ac:dyDescent="0.25">
      <c r="A1405">
        <v>4</v>
      </c>
      <c r="B1405" t="s">
        <v>10296</v>
      </c>
      <c r="C1405" t="s">
        <v>21</v>
      </c>
      <c r="D1405" t="s">
        <v>9690</v>
      </c>
      <c r="G1405">
        <v>21098</v>
      </c>
      <c r="H1405" t="s">
        <v>10297</v>
      </c>
      <c r="I1405" t="s">
        <v>10298</v>
      </c>
      <c r="J1405">
        <v>21098</v>
      </c>
      <c r="K1405" t="s">
        <v>10299</v>
      </c>
      <c r="L1405">
        <v>27</v>
      </c>
      <c r="O1405">
        <v>21098</v>
      </c>
      <c r="P1405" t="s">
        <v>9690</v>
      </c>
      <c r="Q1405">
        <v>1</v>
      </c>
    </row>
    <row r="1406" spans="1:17" x14ac:dyDescent="0.25">
      <c r="A1406">
        <v>4</v>
      </c>
      <c r="B1406" t="s">
        <v>10300</v>
      </c>
      <c r="C1406" t="s">
        <v>21</v>
      </c>
      <c r="D1406" t="s">
        <v>9690</v>
      </c>
      <c r="G1406">
        <v>21099</v>
      </c>
      <c r="H1406" t="s">
        <v>10060</v>
      </c>
      <c r="I1406" t="s">
        <v>10301</v>
      </c>
      <c r="J1406">
        <v>21099</v>
      </c>
      <c r="K1406" t="s">
        <v>10302</v>
      </c>
      <c r="L1406">
        <v>3</v>
      </c>
      <c r="N1406" t="s">
        <v>4713</v>
      </c>
      <c r="O1406">
        <v>21099</v>
      </c>
      <c r="P1406" t="s">
        <v>9690</v>
      </c>
      <c r="Q1406">
        <v>1</v>
      </c>
    </row>
    <row r="1407" spans="1:17" x14ac:dyDescent="0.25">
      <c r="A1407">
        <v>4</v>
      </c>
      <c r="B1407" t="s">
        <v>10303</v>
      </c>
      <c r="C1407" t="s">
        <v>21</v>
      </c>
      <c r="D1407" t="s">
        <v>9690</v>
      </c>
      <c r="G1407">
        <v>21100</v>
      </c>
      <c r="H1407" t="s">
        <v>10304</v>
      </c>
      <c r="I1407" t="s">
        <v>10305</v>
      </c>
      <c r="J1407">
        <v>21100</v>
      </c>
      <c r="K1407" t="s">
        <v>10306</v>
      </c>
      <c r="L1407">
        <v>31</v>
      </c>
      <c r="O1407">
        <v>21100</v>
      </c>
      <c r="P1407" t="s">
        <v>9690</v>
      </c>
      <c r="Q1407">
        <v>1</v>
      </c>
    </row>
    <row r="1408" spans="1:17" x14ac:dyDescent="0.25">
      <c r="A1408">
        <v>4</v>
      </c>
      <c r="B1408" t="s">
        <v>10307</v>
      </c>
      <c r="C1408" t="s">
        <v>21</v>
      </c>
      <c r="D1408" t="s">
        <v>9690</v>
      </c>
      <c r="G1408">
        <v>21101</v>
      </c>
      <c r="H1408" t="s">
        <v>10308</v>
      </c>
      <c r="I1408" t="s">
        <v>10309</v>
      </c>
      <c r="J1408">
        <v>21101</v>
      </c>
      <c r="K1408" t="s">
        <v>10310</v>
      </c>
      <c r="L1408">
        <v>8</v>
      </c>
      <c r="N1408" t="s">
        <v>4713</v>
      </c>
      <c r="O1408">
        <v>21101</v>
      </c>
      <c r="P1408" t="s">
        <v>9690</v>
      </c>
      <c r="Q1408">
        <v>1</v>
      </c>
    </row>
    <row r="1409" spans="1:17" x14ac:dyDescent="0.25">
      <c r="A1409">
        <v>4</v>
      </c>
      <c r="B1409" t="s">
        <v>10311</v>
      </c>
      <c r="C1409" t="s">
        <v>21</v>
      </c>
      <c r="D1409" t="s">
        <v>9690</v>
      </c>
      <c r="G1409">
        <v>21102</v>
      </c>
      <c r="H1409" t="s">
        <v>10312</v>
      </c>
      <c r="I1409" t="s">
        <v>10313</v>
      </c>
      <c r="J1409">
        <v>21102</v>
      </c>
      <c r="K1409" t="s">
        <v>10314</v>
      </c>
      <c r="L1409">
        <v>111</v>
      </c>
      <c r="O1409">
        <v>21102</v>
      </c>
      <c r="P1409" t="s">
        <v>9690</v>
      </c>
      <c r="Q1409">
        <v>1</v>
      </c>
    </row>
    <row r="1410" spans="1:17" x14ac:dyDescent="0.25">
      <c r="A1410">
        <v>4</v>
      </c>
      <c r="B1410" t="s">
        <v>10315</v>
      </c>
      <c r="C1410" t="s">
        <v>21</v>
      </c>
      <c r="D1410" t="s">
        <v>9690</v>
      </c>
      <c r="G1410">
        <v>21103</v>
      </c>
      <c r="H1410" t="s">
        <v>10316</v>
      </c>
      <c r="I1410" t="s">
        <v>10317</v>
      </c>
      <c r="J1410">
        <v>21103</v>
      </c>
      <c r="K1410" t="s">
        <v>10318</v>
      </c>
      <c r="L1410">
        <v>53</v>
      </c>
      <c r="O1410">
        <v>21103</v>
      </c>
      <c r="P1410" t="s">
        <v>9690</v>
      </c>
      <c r="Q1410">
        <v>1</v>
      </c>
    </row>
    <row r="1411" spans="1:17" x14ac:dyDescent="0.25">
      <c r="A1411">
        <v>4</v>
      </c>
      <c r="B1411" t="s">
        <v>10319</v>
      </c>
      <c r="C1411" t="s">
        <v>21</v>
      </c>
      <c r="D1411" t="s">
        <v>9690</v>
      </c>
      <c r="G1411">
        <v>21104</v>
      </c>
      <c r="H1411" t="s">
        <v>10320</v>
      </c>
      <c r="I1411" t="s">
        <v>10321</v>
      </c>
      <c r="J1411">
        <v>21104</v>
      </c>
      <c r="K1411" t="s">
        <v>10322</v>
      </c>
      <c r="L1411">
        <v>2</v>
      </c>
      <c r="N1411" t="s">
        <v>4713</v>
      </c>
      <c r="O1411">
        <v>21104</v>
      </c>
      <c r="P1411" t="s">
        <v>9690</v>
      </c>
      <c r="Q1411">
        <v>1</v>
      </c>
    </row>
    <row r="1412" spans="1:17" x14ac:dyDescent="0.25">
      <c r="A1412">
        <v>4</v>
      </c>
      <c r="B1412" t="s">
        <v>10323</v>
      </c>
      <c r="C1412" t="s">
        <v>21</v>
      </c>
      <c r="D1412" t="s">
        <v>9690</v>
      </c>
      <c r="G1412">
        <v>21105</v>
      </c>
      <c r="H1412" t="s">
        <v>10324</v>
      </c>
      <c r="I1412" t="s">
        <v>10325</v>
      </c>
      <c r="J1412">
        <v>21105</v>
      </c>
      <c r="K1412" t="s">
        <v>10326</v>
      </c>
      <c r="L1412">
        <v>14</v>
      </c>
      <c r="O1412">
        <v>21105</v>
      </c>
      <c r="P1412" t="s">
        <v>9690</v>
      </c>
      <c r="Q1412">
        <v>1</v>
      </c>
    </row>
    <row r="1413" spans="1:17" x14ac:dyDescent="0.25">
      <c r="A1413">
        <v>4</v>
      </c>
      <c r="B1413" t="s">
        <v>10327</v>
      </c>
      <c r="C1413" t="s">
        <v>21</v>
      </c>
      <c r="D1413" t="s">
        <v>9690</v>
      </c>
      <c r="G1413">
        <v>21106</v>
      </c>
      <c r="H1413" t="s">
        <v>10328</v>
      </c>
      <c r="I1413" t="s">
        <v>10329</v>
      </c>
      <c r="J1413">
        <v>21106</v>
      </c>
      <c r="K1413" t="s">
        <v>10330</v>
      </c>
      <c r="L1413">
        <v>3</v>
      </c>
      <c r="N1413" t="s">
        <v>4713</v>
      </c>
      <c r="O1413">
        <v>21106</v>
      </c>
      <c r="P1413" t="s">
        <v>9690</v>
      </c>
      <c r="Q1413">
        <v>1</v>
      </c>
    </row>
    <row r="1414" spans="1:17" x14ac:dyDescent="0.25">
      <c r="A1414">
        <v>4</v>
      </c>
      <c r="B1414" t="s">
        <v>10331</v>
      </c>
      <c r="C1414" t="s">
        <v>21</v>
      </c>
      <c r="D1414" t="s">
        <v>9690</v>
      </c>
      <c r="G1414">
        <v>21108</v>
      </c>
      <c r="H1414" t="s">
        <v>10332</v>
      </c>
      <c r="I1414" t="s">
        <v>10333</v>
      </c>
      <c r="J1414">
        <v>21108</v>
      </c>
      <c r="K1414" t="s">
        <v>10334</v>
      </c>
      <c r="L1414">
        <v>5</v>
      </c>
      <c r="N1414" t="s">
        <v>4713</v>
      </c>
      <c r="O1414">
        <v>21108</v>
      </c>
      <c r="P1414" t="s">
        <v>9690</v>
      </c>
      <c r="Q1414">
        <v>1</v>
      </c>
    </row>
    <row r="1415" spans="1:17" x14ac:dyDescent="0.25">
      <c r="A1415">
        <v>4</v>
      </c>
      <c r="B1415" t="s">
        <v>10335</v>
      </c>
      <c r="C1415" t="s">
        <v>21</v>
      </c>
      <c r="D1415" t="s">
        <v>9690</v>
      </c>
      <c r="G1415">
        <v>21109</v>
      </c>
      <c r="H1415" t="s">
        <v>10336</v>
      </c>
      <c r="I1415" t="s">
        <v>10337</v>
      </c>
      <c r="J1415">
        <v>21109</v>
      </c>
      <c r="K1415" t="s">
        <v>10338</v>
      </c>
      <c r="L1415">
        <v>20</v>
      </c>
      <c r="O1415">
        <v>21109</v>
      </c>
      <c r="P1415" t="s">
        <v>9690</v>
      </c>
      <c r="Q1415">
        <v>1</v>
      </c>
    </row>
    <row r="1416" spans="1:17" x14ac:dyDescent="0.25">
      <c r="A1416">
        <v>4</v>
      </c>
      <c r="B1416" t="s">
        <v>10339</v>
      </c>
      <c r="C1416" t="s">
        <v>21</v>
      </c>
      <c r="D1416" t="s">
        <v>9690</v>
      </c>
      <c r="G1416">
        <v>21110</v>
      </c>
      <c r="H1416" t="s">
        <v>10340</v>
      </c>
      <c r="I1416" t="s">
        <v>10341</v>
      </c>
      <c r="J1416">
        <v>21110</v>
      </c>
      <c r="K1416" t="s">
        <v>10342</v>
      </c>
      <c r="L1416">
        <v>31</v>
      </c>
      <c r="O1416">
        <v>21110</v>
      </c>
      <c r="P1416" t="s">
        <v>9690</v>
      </c>
      <c r="Q1416">
        <v>1</v>
      </c>
    </row>
    <row r="1417" spans="1:17" x14ac:dyDescent="0.25">
      <c r="A1417">
        <v>4</v>
      </c>
      <c r="B1417" t="s">
        <v>10343</v>
      </c>
      <c r="C1417" t="s">
        <v>21</v>
      </c>
      <c r="D1417" t="s">
        <v>9690</v>
      </c>
      <c r="G1417">
        <v>21111</v>
      </c>
      <c r="H1417" t="s">
        <v>10344</v>
      </c>
      <c r="I1417" t="s">
        <v>10345</v>
      </c>
      <c r="J1417">
        <v>21111</v>
      </c>
      <c r="K1417" t="s">
        <v>10346</v>
      </c>
      <c r="L1417">
        <v>47</v>
      </c>
      <c r="O1417">
        <v>21111</v>
      </c>
      <c r="P1417" t="s">
        <v>9690</v>
      </c>
      <c r="Q1417">
        <v>1</v>
      </c>
    </row>
    <row r="1418" spans="1:17" x14ac:dyDescent="0.25">
      <c r="A1418">
        <v>4</v>
      </c>
      <c r="B1418" t="s">
        <v>10347</v>
      </c>
      <c r="C1418" t="s">
        <v>21</v>
      </c>
      <c r="D1418" t="s">
        <v>9690</v>
      </c>
      <c r="G1418">
        <v>21112</v>
      </c>
      <c r="H1418" t="s">
        <v>10348</v>
      </c>
      <c r="I1418" t="s">
        <v>10349</v>
      </c>
      <c r="J1418">
        <v>21112</v>
      </c>
      <c r="K1418" t="s">
        <v>10350</v>
      </c>
      <c r="L1418">
        <v>6</v>
      </c>
      <c r="N1418" t="s">
        <v>4713</v>
      </c>
      <c r="O1418">
        <v>21112</v>
      </c>
      <c r="P1418" t="s">
        <v>9690</v>
      </c>
      <c r="Q1418">
        <v>1</v>
      </c>
    </row>
    <row r="1419" spans="1:17" x14ac:dyDescent="0.25">
      <c r="A1419">
        <v>4</v>
      </c>
      <c r="B1419" t="s">
        <v>10351</v>
      </c>
      <c r="C1419" t="s">
        <v>21</v>
      </c>
      <c r="D1419" t="s">
        <v>9690</v>
      </c>
      <c r="G1419">
        <v>21113</v>
      </c>
      <c r="H1419" t="s">
        <v>10352</v>
      </c>
      <c r="I1419" t="s">
        <v>10353</v>
      </c>
      <c r="J1419">
        <v>21113</v>
      </c>
      <c r="K1419" t="s">
        <v>10354</v>
      </c>
      <c r="L1419">
        <v>1</v>
      </c>
      <c r="N1419" t="s">
        <v>4734</v>
      </c>
      <c r="O1419">
        <v>21113</v>
      </c>
      <c r="P1419" t="s">
        <v>9690</v>
      </c>
      <c r="Q1419">
        <v>1</v>
      </c>
    </row>
    <row r="1420" spans="1:17" x14ac:dyDescent="0.25">
      <c r="A1420">
        <v>4</v>
      </c>
      <c r="B1420" t="s">
        <v>10355</v>
      </c>
      <c r="C1420" t="s">
        <v>21</v>
      </c>
      <c r="D1420" t="s">
        <v>9690</v>
      </c>
      <c r="G1420">
        <v>21114</v>
      </c>
      <c r="H1420" t="s">
        <v>10356</v>
      </c>
      <c r="I1420" t="s">
        <v>10357</v>
      </c>
      <c r="J1420">
        <v>21114</v>
      </c>
      <c r="K1420" t="s">
        <v>10358</v>
      </c>
      <c r="L1420">
        <v>5</v>
      </c>
      <c r="N1420" t="s">
        <v>4713</v>
      </c>
      <c r="O1420">
        <v>21114</v>
      </c>
      <c r="P1420" t="s">
        <v>9690</v>
      </c>
      <c r="Q1420">
        <v>1</v>
      </c>
    </row>
    <row r="1421" spans="1:17" x14ac:dyDescent="0.25">
      <c r="A1421">
        <v>4</v>
      </c>
      <c r="B1421" t="s">
        <v>10359</v>
      </c>
      <c r="C1421" t="s">
        <v>21</v>
      </c>
      <c r="D1421" t="s">
        <v>9690</v>
      </c>
      <c r="G1421">
        <v>21115</v>
      </c>
      <c r="H1421" t="s">
        <v>10360</v>
      </c>
      <c r="I1421" t="s">
        <v>10361</v>
      </c>
      <c r="J1421">
        <v>21115</v>
      </c>
      <c r="K1421" t="s">
        <v>10362</v>
      </c>
      <c r="L1421">
        <v>16</v>
      </c>
      <c r="O1421">
        <v>21115</v>
      </c>
      <c r="P1421" t="s">
        <v>9690</v>
      </c>
      <c r="Q1421">
        <v>1</v>
      </c>
    </row>
    <row r="1422" spans="1:17" x14ac:dyDescent="0.25">
      <c r="A1422">
        <v>4</v>
      </c>
      <c r="B1422" t="s">
        <v>10363</v>
      </c>
      <c r="C1422" t="s">
        <v>21</v>
      </c>
      <c r="D1422" t="s">
        <v>9690</v>
      </c>
      <c r="G1422">
        <v>21116</v>
      </c>
      <c r="H1422" t="s">
        <v>10364</v>
      </c>
      <c r="I1422" t="s">
        <v>10365</v>
      </c>
      <c r="J1422">
        <v>21116</v>
      </c>
      <c r="K1422" t="s">
        <v>10366</v>
      </c>
      <c r="L1422">
        <v>3</v>
      </c>
      <c r="N1422" t="s">
        <v>4713</v>
      </c>
      <c r="O1422">
        <v>21116</v>
      </c>
      <c r="P1422" t="s">
        <v>9690</v>
      </c>
      <c r="Q1422">
        <v>1</v>
      </c>
    </row>
    <row r="1423" spans="1:17" x14ac:dyDescent="0.25">
      <c r="A1423">
        <v>3</v>
      </c>
      <c r="B1423" t="s">
        <v>10367</v>
      </c>
      <c r="C1423" t="s">
        <v>21</v>
      </c>
      <c r="D1423" t="s">
        <v>9690</v>
      </c>
      <c r="F1423" t="s">
        <v>10368</v>
      </c>
      <c r="H1423" t="s">
        <v>10369</v>
      </c>
      <c r="I1423" t="s">
        <v>10370</v>
      </c>
      <c r="J1423" t="s">
        <v>10368</v>
      </c>
      <c r="O1423" t="s">
        <v>10368</v>
      </c>
      <c r="P1423" t="s">
        <v>9690</v>
      </c>
      <c r="Q1423">
        <v>1</v>
      </c>
    </row>
    <row r="1424" spans="1:17" x14ac:dyDescent="0.25">
      <c r="A1424">
        <v>4</v>
      </c>
      <c r="B1424" t="s">
        <v>10371</v>
      </c>
      <c r="C1424" t="s">
        <v>21</v>
      </c>
      <c r="D1424" t="s">
        <v>9690</v>
      </c>
      <c r="G1424">
        <v>21120</v>
      </c>
      <c r="H1424" t="s">
        <v>10372</v>
      </c>
      <c r="I1424" t="s">
        <v>10373</v>
      </c>
      <c r="J1424">
        <v>21120</v>
      </c>
      <c r="K1424" t="s">
        <v>10374</v>
      </c>
      <c r="L1424">
        <v>21</v>
      </c>
      <c r="O1424">
        <v>21120</v>
      </c>
      <c r="P1424" t="s">
        <v>9690</v>
      </c>
      <c r="Q1424">
        <v>1</v>
      </c>
    </row>
    <row r="1425" spans="1:17" x14ac:dyDescent="0.25">
      <c r="A1425">
        <v>4</v>
      </c>
      <c r="B1425" t="s">
        <v>10375</v>
      </c>
      <c r="C1425" t="s">
        <v>21</v>
      </c>
      <c r="D1425" t="s">
        <v>9690</v>
      </c>
      <c r="G1425">
        <v>21121</v>
      </c>
      <c r="H1425" t="s">
        <v>10376</v>
      </c>
      <c r="I1425" t="s">
        <v>10377</v>
      </c>
      <c r="J1425">
        <v>21121</v>
      </c>
      <c r="K1425" t="s">
        <v>10378</v>
      </c>
      <c r="L1425">
        <v>121</v>
      </c>
      <c r="O1425">
        <v>21121</v>
      </c>
      <c r="P1425" t="s">
        <v>9690</v>
      </c>
      <c r="Q1425">
        <v>1</v>
      </c>
    </row>
    <row r="1426" spans="1:17" x14ac:dyDescent="0.25">
      <c r="A1426">
        <v>4</v>
      </c>
      <c r="B1426" t="s">
        <v>10379</v>
      </c>
      <c r="C1426" t="s">
        <v>21</v>
      </c>
      <c r="D1426" t="s">
        <v>9690</v>
      </c>
      <c r="G1426">
        <v>21123</v>
      </c>
      <c r="H1426" t="s">
        <v>10380</v>
      </c>
      <c r="I1426" t="s">
        <v>10381</v>
      </c>
      <c r="J1426">
        <v>21123</v>
      </c>
      <c r="K1426" t="s">
        <v>10382</v>
      </c>
      <c r="L1426">
        <v>8</v>
      </c>
      <c r="N1426" t="s">
        <v>4713</v>
      </c>
      <c r="O1426">
        <v>21123</v>
      </c>
      <c r="P1426" t="s">
        <v>9690</v>
      </c>
      <c r="Q1426">
        <v>1</v>
      </c>
    </row>
    <row r="1427" spans="1:17" x14ac:dyDescent="0.25">
      <c r="A1427">
        <v>4</v>
      </c>
      <c r="B1427" t="s">
        <v>10383</v>
      </c>
      <c r="C1427" t="s">
        <v>21</v>
      </c>
      <c r="D1427" t="s">
        <v>9690</v>
      </c>
      <c r="G1427">
        <v>21124</v>
      </c>
      <c r="H1427" t="s">
        <v>10384</v>
      </c>
      <c r="I1427" t="s">
        <v>10385</v>
      </c>
      <c r="J1427">
        <v>21124</v>
      </c>
      <c r="K1427" t="s">
        <v>10386</v>
      </c>
      <c r="L1427">
        <v>1</v>
      </c>
      <c r="N1427" t="s">
        <v>4734</v>
      </c>
      <c r="O1427">
        <v>21124</v>
      </c>
      <c r="P1427" t="s">
        <v>9690</v>
      </c>
      <c r="Q1427">
        <v>1</v>
      </c>
    </row>
    <row r="1428" spans="1:17" x14ac:dyDescent="0.25">
      <c r="A1428">
        <v>3</v>
      </c>
      <c r="B1428" t="s">
        <v>10387</v>
      </c>
      <c r="C1428" t="s">
        <v>21</v>
      </c>
      <c r="D1428" t="s">
        <v>9690</v>
      </c>
      <c r="F1428" t="s">
        <v>10388</v>
      </c>
      <c r="H1428" t="s">
        <v>10389</v>
      </c>
      <c r="I1428" t="s">
        <v>10390</v>
      </c>
      <c r="J1428" t="s">
        <v>10388</v>
      </c>
      <c r="O1428" t="s">
        <v>10388</v>
      </c>
      <c r="P1428" t="s">
        <v>9690</v>
      </c>
      <c r="Q1428">
        <v>1</v>
      </c>
    </row>
    <row r="1429" spans="1:17" x14ac:dyDescent="0.25">
      <c r="A1429">
        <v>4</v>
      </c>
      <c r="B1429" t="s">
        <v>10391</v>
      </c>
      <c r="C1429" t="s">
        <v>21</v>
      </c>
      <c r="D1429" t="s">
        <v>9690</v>
      </c>
      <c r="G1429">
        <v>208720</v>
      </c>
      <c r="H1429" t="s">
        <v>10392</v>
      </c>
      <c r="I1429" t="s">
        <v>10393</v>
      </c>
      <c r="J1429">
        <v>208720</v>
      </c>
      <c r="K1429" t="s">
        <v>10394</v>
      </c>
      <c r="L1429">
        <v>53</v>
      </c>
      <c r="O1429">
        <v>208720</v>
      </c>
      <c r="P1429" t="s">
        <v>9690</v>
      </c>
      <c r="Q1429">
        <v>1</v>
      </c>
    </row>
    <row r="1430" spans="1:17" x14ac:dyDescent="0.25">
      <c r="A1430">
        <v>4</v>
      </c>
      <c r="B1430" t="s">
        <v>10395</v>
      </c>
      <c r="C1430" t="s">
        <v>21</v>
      </c>
      <c r="D1430" t="s">
        <v>9690</v>
      </c>
      <c r="G1430">
        <v>21128</v>
      </c>
      <c r="H1430" t="s">
        <v>10396</v>
      </c>
      <c r="I1430" t="s">
        <v>10397</v>
      </c>
      <c r="J1430">
        <v>21128</v>
      </c>
      <c r="K1430" t="s">
        <v>10398</v>
      </c>
      <c r="L1430">
        <v>106</v>
      </c>
      <c r="O1430">
        <v>21128</v>
      </c>
      <c r="P1430" t="s">
        <v>9690</v>
      </c>
      <c r="Q1430">
        <v>1</v>
      </c>
    </row>
    <row r="1431" spans="1:17" x14ac:dyDescent="0.25">
      <c r="A1431">
        <v>4</v>
      </c>
      <c r="B1431" t="s">
        <v>10399</v>
      </c>
      <c r="C1431" t="s">
        <v>21</v>
      </c>
      <c r="D1431" t="s">
        <v>9690</v>
      </c>
      <c r="G1431">
        <v>21129</v>
      </c>
      <c r="H1431" t="s">
        <v>10400</v>
      </c>
      <c r="I1431" t="s">
        <v>10401</v>
      </c>
      <c r="J1431">
        <v>21129</v>
      </c>
      <c r="K1431" t="s">
        <v>10402</v>
      </c>
      <c r="L1431">
        <v>40</v>
      </c>
      <c r="O1431">
        <v>21129</v>
      </c>
      <c r="P1431" t="s">
        <v>9690</v>
      </c>
      <c r="Q1431">
        <v>1</v>
      </c>
    </row>
    <row r="1432" spans="1:17" x14ac:dyDescent="0.25">
      <c r="A1432">
        <v>4</v>
      </c>
      <c r="B1432" t="s">
        <v>10403</v>
      </c>
      <c r="C1432" t="s">
        <v>21</v>
      </c>
      <c r="D1432" t="s">
        <v>9690</v>
      </c>
      <c r="G1432">
        <v>21130</v>
      </c>
      <c r="H1432" t="s">
        <v>10404</v>
      </c>
      <c r="I1432" t="s">
        <v>10405</v>
      </c>
      <c r="J1432">
        <v>21130</v>
      </c>
      <c r="K1432" t="s">
        <v>10406</v>
      </c>
      <c r="L1432">
        <v>58</v>
      </c>
      <c r="O1432">
        <v>21130</v>
      </c>
      <c r="P1432" t="s">
        <v>9690</v>
      </c>
      <c r="Q1432">
        <v>1</v>
      </c>
    </row>
    <row r="1433" spans="1:17" x14ac:dyDescent="0.25">
      <c r="A1433">
        <v>4</v>
      </c>
      <c r="B1433" t="s">
        <v>10407</v>
      </c>
      <c r="C1433" t="s">
        <v>21</v>
      </c>
      <c r="D1433" t="s">
        <v>9690</v>
      </c>
      <c r="G1433">
        <v>21135</v>
      </c>
      <c r="H1433" t="s">
        <v>10408</v>
      </c>
      <c r="I1433" t="s">
        <v>10409</v>
      </c>
      <c r="J1433">
        <v>21135</v>
      </c>
      <c r="K1433" t="s">
        <v>10410</v>
      </c>
      <c r="L1433">
        <v>5</v>
      </c>
      <c r="N1433" t="s">
        <v>4713</v>
      </c>
      <c r="O1433">
        <v>21135</v>
      </c>
      <c r="P1433" t="s">
        <v>9690</v>
      </c>
      <c r="Q1433">
        <v>1</v>
      </c>
    </row>
    <row r="1434" spans="1:17" x14ac:dyDescent="0.25">
      <c r="A1434">
        <v>4</v>
      </c>
      <c r="B1434" t="s">
        <v>10411</v>
      </c>
      <c r="C1434" t="s">
        <v>21</v>
      </c>
      <c r="D1434" t="s">
        <v>9690</v>
      </c>
      <c r="G1434">
        <v>21136</v>
      </c>
      <c r="H1434" t="s">
        <v>10412</v>
      </c>
      <c r="I1434" t="s">
        <v>10413</v>
      </c>
      <c r="J1434">
        <v>21136</v>
      </c>
      <c r="K1434" t="s">
        <v>10414</v>
      </c>
      <c r="L1434">
        <v>32</v>
      </c>
      <c r="O1434">
        <v>21136</v>
      </c>
      <c r="P1434" t="s">
        <v>9690</v>
      </c>
      <c r="Q1434">
        <v>1</v>
      </c>
    </row>
    <row r="1435" spans="1:17" x14ac:dyDescent="0.25">
      <c r="A1435">
        <v>4</v>
      </c>
      <c r="B1435" t="s">
        <v>10415</v>
      </c>
      <c r="C1435" t="s">
        <v>21</v>
      </c>
      <c r="D1435" t="s">
        <v>9690</v>
      </c>
      <c r="G1435">
        <v>21137</v>
      </c>
      <c r="H1435" t="s">
        <v>10416</v>
      </c>
      <c r="I1435" t="s">
        <v>10417</v>
      </c>
      <c r="J1435">
        <v>21137</v>
      </c>
      <c r="K1435" t="s">
        <v>10418</v>
      </c>
      <c r="L1435">
        <v>88</v>
      </c>
      <c r="O1435">
        <v>21137</v>
      </c>
      <c r="P1435" t="s">
        <v>9690</v>
      </c>
      <c r="Q1435">
        <v>1</v>
      </c>
    </row>
    <row r="1436" spans="1:17" x14ac:dyDescent="0.25">
      <c r="A1436">
        <v>4</v>
      </c>
      <c r="B1436" t="s">
        <v>10419</v>
      </c>
      <c r="C1436" t="s">
        <v>21</v>
      </c>
      <c r="D1436" t="s">
        <v>9690</v>
      </c>
      <c r="G1436">
        <v>21138</v>
      </c>
      <c r="H1436" t="s">
        <v>10420</v>
      </c>
      <c r="I1436" t="s">
        <v>10421</v>
      </c>
      <c r="J1436">
        <v>21138</v>
      </c>
      <c r="K1436" t="s">
        <v>10422</v>
      </c>
      <c r="L1436">
        <v>16</v>
      </c>
      <c r="O1436">
        <v>21138</v>
      </c>
      <c r="P1436" t="s">
        <v>9690</v>
      </c>
      <c r="Q1436">
        <v>1</v>
      </c>
    </row>
    <row r="1437" spans="1:17" x14ac:dyDescent="0.25">
      <c r="A1437">
        <v>4</v>
      </c>
      <c r="B1437" t="s">
        <v>10423</v>
      </c>
      <c r="C1437" t="s">
        <v>21</v>
      </c>
      <c r="D1437" t="s">
        <v>9690</v>
      </c>
      <c r="G1437">
        <v>21139</v>
      </c>
      <c r="H1437" t="s">
        <v>10424</v>
      </c>
      <c r="I1437" t="s">
        <v>10425</v>
      </c>
      <c r="J1437">
        <v>21139</v>
      </c>
      <c r="K1437" t="s">
        <v>10426</v>
      </c>
      <c r="L1437">
        <v>23</v>
      </c>
      <c r="O1437">
        <v>21139</v>
      </c>
      <c r="P1437" t="s">
        <v>9690</v>
      </c>
      <c r="Q1437">
        <v>1</v>
      </c>
    </row>
    <row r="1438" spans="1:17" x14ac:dyDescent="0.25">
      <c r="A1438">
        <v>4</v>
      </c>
      <c r="B1438" t="s">
        <v>10427</v>
      </c>
      <c r="C1438" t="s">
        <v>21</v>
      </c>
      <c r="D1438" t="s">
        <v>9690</v>
      </c>
      <c r="G1438">
        <v>21140</v>
      </c>
      <c r="H1438" t="s">
        <v>10428</v>
      </c>
      <c r="I1438" t="s">
        <v>10429</v>
      </c>
      <c r="J1438">
        <v>21140</v>
      </c>
      <c r="K1438" t="s">
        <v>10430</v>
      </c>
      <c r="L1438">
        <v>62</v>
      </c>
      <c r="O1438">
        <v>21140</v>
      </c>
      <c r="P1438" t="s">
        <v>9690</v>
      </c>
      <c r="Q1438">
        <v>1</v>
      </c>
    </row>
    <row r="1439" spans="1:17" x14ac:dyDescent="0.25">
      <c r="A1439">
        <v>4</v>
      </c>
      <c r="B1439" t="s">
        <v>10431</v>
      </c>
      <c r="C1439" t="s">
        <v>21</v>
      </c>
      <c r="D1439" t="s">
        <v>9690</v>
      </c>
      <c r="G1439">
        <v>21141</v>
      </c>
      <c r="H1439" t="s">
        <v>10432</v>
      </c>
      <c r="I1439" t="s">
        <v>10433</v>
      </c>
      <c r="J1439">
        <v>21141</v>
      </c>
      <c r="K1439" t="s">
        <v>10434</v>
      </c>
      <c r="L1439">
        <v>6</v>
      </c>
      <c r="N1439" t="s">
        <v>4713</v>
      </c>
      <c r="O1439">
        <v>21141</v>
      </c>
      <c r="P1439" t="s">
        <v>9690</v>
      </c>
      <c r="Q1439">
        <v>1</v>
      </c>
    </row>
    <row r="1440" spans="1:17" x14ac:dyDescent="0.25">
      <c r="A1440">
        <v>3</v>
      </c>
      <c r="B1440" t="s">
        <v>10435</v>
      </c>
      <c r="C1440" t="s">
        <v>21</v>
      </c>
      <c r="D1440" t="s">
        <v>9690</v>
      </c>
      <c r="F1440" t="s">
        <v>10436</v>
      </c>
      <c r="H1440" t="s">
        <v>10437</v>
      </c>
      <c r="I1440" t="s">
        <v>10438</v>
      </c>
      <c r="J1440" t="s">
        <v>10436</v>
      </c>
      <c r="O1440" t="s">
        <v>10436</v>
      </c>
      <c r="P1440" t="s">
        <v>9690</v>
      </c>
      <c r="Q1440">
        <v>1</v>
      </c>
    </row>
    <row r="1441" spans="1:17" x14ac:dyDescent="0.25">
      <c r="A1441">
        <v>4</v>
      </c>
      <c r="B1441" t="s">
        <v>10439</v>
      </c>
      <c r="C1441" t="s">
        <v>21</v>
      </c>
      <c r="D1441" t="s">
        <v>9690</v>
      </c>
      <c r="G1441">
        <v>196033</v>
      </c>
      <c r="H1441" t="s">
        <v>10440</v>
      </c>
      <c r="I1441" t="s">
        <v>10441</v>
      </c>
      <c r="J1441">
        <v>196033</v>
      </c>
      <c r="K1441" t="s">
        <v>10442</v>
      </c>
      <c r="L1441">
        <v>2</v>
      </c>
      <c r="N1441" t="s">
        <v>4713</v>
      </c>
      <c r="O1441">
        <v>196033</v>
      </c>
      <c r="P1441" t="s">
        <v>9690</v>
      </c>
      <c r="Q1441">
        <v>1</v>
      </c>
    </row>
    <row r="1442" spans="1:17" x14ac:dyDescent="0.25">
      <c r="A1442">
        <v>4</v>
      </c>
      <c r="B1442" t="s">
        <v>10443</v>
      </c>
      <c r="C1442" t="s">
        <v>21</v>
      </c>
      <c r="D1442" t="s">
        <v>9690</v>
      </c>
      <c r="G1442">
        <v>21156</v>
      </c>
      <c r="H1442" t="s">
        <v>10444</v>
      </c>
      <c r="I1442" t="s">
        <v>10445</v>
      </c>
      <c r="J1442">
        <v>21156</v>
      </c>
      <c r="K1442" t="s">
        <v>10446</v>
      </c>
      <c r="L1442">
        <v>123</v>
      </c>
      <c r="O1442">
        <v>21156</v>
      </c>
      <c r="P1442" t="s">
        <v>9690</v>
      </c>
      <c r="Q1442">
        <v>1</v>
      </c>
    </row>
    <row r="1443" spans="1:17" x14ac:dyDescent="0.25">
      <c r="A1443">
        <v>4</v>
      </c>
      <c r="B1443" t="s">
        <v>10447</v>
      </c>
      <c r="C1443" t="s">
        <v>21</v>
      </c>
      <c r="D1443" t="s">
        <v>9690</v>
      </c>
      <c r="G1443">
        <v>21161</v>
      </c>
      <c r="H1443" t="s">
        <v>10448</v>
      </c>
      <c r="I1443" t="s">
        <v>10449</v>
      </c>
      <c r="J1443">
        <v>21161</v>
      </c>
      <c r="K1443" t="s">
        <v>10450</v>
      </c>
      <c r="L1443">
        <v>28</v>
      </c>
      <c r="O1443">
        <v>21161</v>
      </c>
      <c r="P1443" t="s">
        <v>9690</v>
      </c>
      <c r="Q1443">
        <v>1</v>
      </c>
    </row>
    <row r="1444" spans="1:17" x14ac:dyDescent="0.25">
      <c r="A1444">
        <v>4</v>
      </c>
      <c r="B1444" t="s">
        <v>10451</v>
      </c>
      <c r="C1444" t="s">
        <v>21</v>
      </c>
      <c r="D1444" t="s">
        <v>9690</v>
      </c>
      <c r="G1444">
        <v>21163</v>
      </c>
      <c r="H1444" t="s">
        <v>10452</v>
      </c>
      <c r="I1444" t="s">
        <v>10453</v>
      </c>
      <c r="J1444">
        <v>21163</v>
      </c>
      <c r="K1444" t="s">
        <v>10454</v>
      </c>
      <c r="L1444">
        <v>199</v>
      </c>
      <c r="O1444">
        <v>21163</v>
      </c>
      <c r="P1444" t="s">
        <v>9690</v>
      </c>
      <c r="Q1444">
        <v>1</v>
      </c>
    </row>
    <row r="1445" spans="1:17" x14ac:dyDescent="0.25">
      <c r="A1445">
        <v>4</v>
      </c>
      <c r="B1445" t="s">
        <v>10455</v>
      </c>
      <c r="C1445" t="s">
        <v>21</v>
      </c>
      <c r="D1445" t="s">
        <v>9690</v>
      </c>
      <c r="G1445">
        <v>21165</v>
      </c>
      <c r="H1445" t="s">
        <v>10456</v>
      </c>
      <c r="I1445" t="s">
        <v>10457</v>
      </c>
      <c r="J1445">
        <v>21165</v>
      </c>
      <c r="K1445" t="s">
        <v>10458</v>
      </c>
      <c r="L1445">
        <v>4</v>
      </c>
      <c r="N1445" t="s">
        <v>4713</v>
      </c>
      <c r="O1445">
        <v>21165</v>
      </c>
      <c r="P1445" t="s">
        <v>9690</v>
      </c>
      <c r="Q1445">
        <v>1</v>
      </c>
    </row>
    <row r="1446" spans="1:17" x14ac:dyDescent="0.25">
      <c r="A1446">
        <v>4</v>
      </c>
      <c r="B1446" t="s">
        <v>10459</v>
      </c>
      <c r="C1446" t="s">
        <v>21</v>
      </c>
      <c r="D1446" t="s">
        <v>9690</v>
      </c>
      <c r="G1446">
        <v>260866</v>
      </c>
      <c r="H1446" t="s">
        <v>10460</v>
      </c>
      <c r="I1446" t="s">
        <v>10461</v>
      </c>
      <c r="J1446">
        <v>260866</v>
      </c>
      <c r="K1446" t="s">
        <v>10462</v>
      </c>
      <c r="L1446">
        <v>1</v>
      </c>
      <c r="N1446" t="s">
        <v>4734</v>
      </c>
      <c r="O1446">
        <v>260866</v>
      </c>
      <c r="P1446" t="s">
        <v>9690</v>
      </c>
      <c r="Q1446">
        <v>1</v>
      </c>
    </row>
    <row r="1447" spans="1:17" x14ac:dyDescent="0.25">
      <c r="A1447">
        <v>4</v>
      </c>
      <c r="B1447" t="s">
        <v>10463</v>
      </c>
      <c r="C1447" t="s">
        <v>21</v>
      </c>
      <c r="D1447" t="s">
        <v>9690</v>
      </c>
      <c r="G1447">
        <v>260873</v>
      </c>
      <c r="H1447" t="s">
        <v>10464</v>
      </c>
      <c r="I1447" t="s">
        <v>10465</v>
      </c>
      <c r="J1447">
        <v>260873</v>
      </c>
      <c r="K1447" t="s">
        <v>10466</v>
      </c>
      <c r="L1447">
        <v>8</v>
      </c>
      <c r="N1447" t="s">
        <v>4713</v>
      </c>
      <c r="O1447">
        <v>260873</v>
      </c>
      <c r="P1447" t="s">
        <v>9690</v>
      </c>
      <c r="Q1447">
        <v>1</v>
      </c>
    </row>
    <row r="1448" spans="1:17" x14ac:dyDescent="0.25">
      <c r="A1448">
        <v>4</v>
      </c>
      <c r="B1448" t="s">
        <v>10467</v>
      </c>
      <c r="C1448" t="s">
        <v>21</v>
      </c>
      <c r="D1448" t="s">
        <v>9690</v>
      </c>
      <c r="G1448">
        <v>586863</v>
      </c>
      <c r="H1448" t="s">
        <v>10468</v>
      </c>
      <c r="I1448" t="s">
        <v>10469</v>
      </c>
      <c r="J1448">
        <v>586863</v>
      </c>
      <c r="K1448" t="s">
        <v>10470</v>
      </c>
      <c r="L1448">
        <v>30</v>
      </c>
      <c r="O1448">
        <v>586863</v>
      </c>
      <c r="P1448" t="s">
        <v>9690</v>
      </c>
      <c r="Q1448">
        <v>1</v>
      </c>
    </row>
    <row r="1449" spans="1:17" x14ac:dyDescent="0.25">
      <c r="A1449">
        <v>3</v>
      </c>
      <c r="B1449" t="s">
        <v>10471</v>
      </c>
      <c r="C1449" t="s">
        <v>21</v>
      </c>
      <c r="D1449" t="s">
        <v>9690</v>
      </c>
      <c r="F1449" t="s">
        <v>136</v>
      </c>
      <c r="H1449" t="s">
        <v>137</v>
      </c>
      <c r="I1449" t="s">
        <v>1191</v>
      </c>
      <c r="J1449" t="s">
        <v>136</v>
      </c>
      <c r="O1449" t="s">
        <v>136</v>
      </c>
      <c r="P1449" t="s">
        <v>9690</v>
      </c>
      <c r="Q1449">
        <v>1</v>
      </c>
    </row>
    <row r="1450" spans="1:17" x14ac:dyDescent="0.25">
      <c r="A1450">
        <v>4</v>
      </c>
      <c r="B1450" t="s">
        <v>10472</v>
      </c>
      <c r="C1450" t="s">
        <v>21</v>
      </c>
      <c r="D1450" t="s">
        <v>9690</v>
      </c>
      <c r="G1450">
        <v>21173</v>
      </c>
      <c r="H1450" t="s">
        <v>10473</v>
      </c>
      <c r="J1450">
        <v>21173</v>
      </c>
      <c r="K1450" t="s">
        <v>10474</v>
      </c>
      <c r="L1450" t="s">
        <v>7386</v>
      </c>
      <c r="M1450" t="s">
        <v>10086</v>
      </c>
      <c r="N1450" t="s">
        <v>7388</v>
      </c>
      <c r="P1450" t="s">
        <v>9690</v>
      </c>
    </row>
    <row r="1451" spans="1:17" x14ac:dyDescent="0.25">
      <c r="A1451">
        <v>4</v>
      </c>
      <c r="B1451" t="s">
        <v>10475</v>
      </c>
      <c r="C1451" t="s">
        <v>21</v>
      </c>
      <c r="D1451" t="s">
        <v>9690</v>
      </c>
      <c r="G1451">
        <v>21180</v>
      </c>
      <c r="H1451" t="s">
        <v>10476</v>
      </c>
      <c r="I1451" t="s">
        <v>10477</v>
      </c>
      <c r="J1451">
        <v>21180</v>
      </c>
      <c r="K1451" t="s">
        <v>10478</v>
      </c>
      <c r="L1451">
        <v>65</v>
      </c>
      <c r="O1451">
        <v>21180</v>
      </c>
      <c r="P1451" t="s">
        <v>9690</v>
      </c>
      <c r="Q1451">
        <v>1</v>
      </c>
    </row>
    <row r="1452" spans="1:17" x14ac:dyDescent="0.25">
      <c r="A1452">
        <v>4</v>
      </c>
      <c r="B1452" t="s">
        <v>10479</v>
      </c>
      <c r="C1452" t="s">
        <v>21</v>
      </c>
      <c r="D1452" t="s">
        <v>9690</v>
      </c>
      <c r="G1452">
        <v>21183</v>
      </c>
      <c r="H1452" t="s">
        <v>10480</v>
      </c>
      <c r="I1452" t="s">
        <v>10481</v>
      </c>
      <c r="J1452">
        <v>21183</v>
      </c>
      <c r="K1452" t="s">
        <v>10482</v>
      </c>
      <c r="L1452">
        <v>8</v>
      </c>
      <c r="N1452" t="s">
        <v>4713</v>
      </c>
      <c r="O1452">
        <v>21183</v>
      </c>
      <c r="P1452" t="s">
        <v>9690</v>
      </c>
      <c r="Q1452">
        <v>1</v>
      </c>
    </row>
    <row r="1453" spans="1:17" x14ac:dyDescent="0.25">
      <c r="A1453">
        <v>4</v>
      </c>
      <c r="B1453" t="s">
        <v>10483</v>
      </c>
      <c r="C1453" t="s">
        <v>21</v>
      </c>
      <c r="D1453" t="s">
        <v>9690</v>
      </c>
      <c r="G1453">
        <v>21186</v>
      </c>
      <c r="H1453" t="s">
        <v>10484</v>
      </c>
      <c r="I1453" t="s">
        <v>10485</v>
      </c>
      <c r="J1453">
        <v>21186</v>
      </c>
      <c r="K1453" t="s">
        <v>10486</v>
      </c>
      <c r="L1453">
        <v>5</v>
      </c>
      <c r="N1453" t="s">
        <v>4713</v>
      </c>
      <c r="O1453">
        <v>21186</v>
      </c>
      <c r="P1453" t="s">
        <v>9690</v>
      </c>
      <c r="Q1453">
        <v>1</v>
      </c>
    </row>
    <row r="1454" spans="1:17" x14ac:dyDescent="0.25">
      <c r="A1454">
        <v>4</v>
      </c>
      <c r="B1454" t="s">
        <v>10487</v>
      </c>
      <c r="C1454" t="s">
        <v>21</v>
      </c>
      <c r="D1454" t="s">
        <v>9690</v>
      </c>
      <c r="G1454">
        <v>21191</v>
      </c>
      <c r="H1454" t="s">
        <v>10488</v>
      </c>
      <c r="I1454" t="s">
        <v>10489</v>
      </c>
      <c r="J1454">
        <v>21191</v>
      </c>
      <c r="K1454" t="s">
        <v>10490</v>
      </c>
      <c r="L1454">
        <v>7</v>
      </c>
      <c r="N1454" t="s">
        <v>4713</v>
      </c>
      <c r="O1454">
        <v>21191</v>
      </c>
      <c r="P1454" t="s">
        <v>9690</v>
      </c>
      <c r="Q1454">
        <v>1</v>
      </c>
    </row>
    <row r="1455" spans="1:17" x14ac:dyDescent="0.25">
      <c r="A1455">
        <v>4</v>
      </c>
      <c r="B1455" t="s">
        <v>10491</v>
      </c>
      <c r="C1455" t="s">
        <v>21</v>
      </c>
      <c r="D1455" t="s">
        <v>9690</v>
      </c>
      <c r="G1455">
        <v>21193</v>
      </c>
      <c r="H1455" t="s">
        <v>10492</v>
      </c>
      <c r="I1455" t="s">
        <v>10493</v>
      </c>
      <c r="J1455">
        <v>21193</v>
      </c>
      <c r="K1455" t="s">
        <v>10494</v>
      </c>
      <c r="L1455">
        <v>41</v>
      </c>
      <c r="O1455">
        <v>21193</v>
      </c>
      <c r="P1455" t="s">
        <v>9690</v>
      </c>
      <c r="Q1455">
        <v>1</v>
      </c>
    </row>
    <row r="1456" spans="1:17" x14ac:dyDescent="0.25">
      <c r="A1456">
        <v>4</v>
      </c>
      <c r="B1456" t="s">
        <v>10495</v>
      </c>
      <c r="C1456" t="s">
        <v>21</v>
      </c>
      <c r="D1456" t="s">
        <v>9690</v>
      </c>
      <c r="G1456">
        <v>21194</v>
      </c>
      <c r="H1456" t="s">
        <v>10496</v>
      </c>
      <c r="I1456" t="s">
        <v>10497</v>
      </c>
      <c r="J1456">
        <v>21194</v>
      </c>
      <c r="K1456" t="s">
        <v>10498</v>
      </c>
      <c r="L1456">
        <v>28</v>
      </c>
      <c r="O1456">
        <v>21194</v>
      </c>
      <c r="P1456" t="s">
        <v>9690</v>
      </c>
      <c r="Q1456">
        <v>1</v>
      </c>
    </row>
    <row r="1457" spans="1:17" x14ac:dyDescent="0.25">
      <c r="A1457">
        <v>4</v>
      </c>
      <c r="B1457" t="s">
        <v>10499</v>
      </c>
      <c r="C1457" t="s">
        <v>21</v>
      </c>
      <c r="D1457" t="s">
        <v>9690</v>
      </c>
      <c r="G1457">
        <v>21196</v>
      </c>
      <c r="H1457" t="s">
        <v>10500</v>
      </c>
      <c r="I1457" t="s">
        <v>10501</v>
      </c>
      <c r="J1457">
        <v>21196</v>
      </c>
      <c r="K1457" t="s">
        <v>10502</v>
      </c>
      <c r="L1457">
        <v>10</v>
      </c>
      <c r="O1457">
        <v>21196</v>
      </c>
      <c r="P1457" t="s">
        <v>9690</v>
      </c>
      <c r="Q1457">
        <v>1</v>
      </c>
    </row>
    <row r="1458" spans="1:17" x14ac:dyDescent="0.25">
      <c r="A1458">
        <v>4</v>
      </c>
      <c r="B1458" t="s">
        <v>10503</v>
      </c>
      <c r="C1458" t="s">
        <v>21</v>
      </c>
      <c r="D1458" t="s">
        <v>9690</v>
      </c>
      <c r="G1458">
        <v>21197</v>
      </c>
      <c r="H1458" t="s">
        <v>10504</v>
      </c>
      <c r="I1458" t="s">
        <v>10505</v>
      </c>
      <c r="J1458">
        <v>21197</v>
      </c>
      <c r="K1458" t="s">
        <v>10506</v>
      </c>
      <c r="L1458">
        <v>5</v>
      </c>
      <c r="N1458" t="s">
        <v>4713</v>
      </c>
      <c r="O1458">
        <v>21197</v>
      </c>
      <c r="P1458" t="s">
        <v>9690</v>
      </c>
      <c r="Q1458">
        <v>1</v>
      </c>
    </row>
    <row r="1459" spans="1:17" x14ac:dyDescent="0.25">
      <c r="A1459">
        <v>3</v>
      </c>
      <c r="B1459" t="s">
        <v>10507</v>
      </c>
      <c r="C1459" t="s">
        <v>21</v>
      </c>
      <c r="D1459" t="s">
        <v>9690</v>
      </c>
      <c r="F1459" t="s">
        <v>2118</v>
      </c>
      <c r="H1459" t="s">
        <v>2127</v>
      </c>
      <c r="I1459" t="s">
        <v>2122</v>
      </c>
      <c r="J1459" t="s">
        <v>2118</v>
      </c>
      <c r="O1459" t="s">
        <v>2118</v>
      </c>
      <c r="P1459" t="s">
        <v>9690</v>
      </c>
      <c r="Q1459">
        <v>1</v>
      </c>
    </row>
    <row r="1460" spans="1:17" x14ac:dyDescent="0.25">
      <c r="A1460">
        <v>4</v>
      </c>
      <c r="B1460" t="s">
        <v>10508</v>
      </c>
      <c r="C1460" t="s">
        <v>21</v>
      </c>
      <c r="D1460" t="s">
        <v>9690</v>
      </c>
      <c r="G1460">
        <v>205168</v>
      </c>
      <c r="H1460" t="s">
        <v>10509</v>
      </c>
      <c r="I1460" t="s">
        <v>10510</v>
      </c>
      <c r="J1460">
        <v>205168</v>
      </c>
      <c r="K1460" t="s">
        <v>10511</v>
      </c>
      <c r="L1460">
        <v>63</v>
      </c>
      <c r="O1460">
        <v>205168</v>
      </c>
      <c r="P1460" t="s">
        <v>9690</v>
      </c>
      <c r="Q1460">
        <v>1</v>
      </c>
    </row>
    <row r="1461" spans="1:17" x14ac:dyDescent="0.25">
      <c r="A1461">
        <v>4</v>
      </c>
      <c r="B1461" t="s">
        <v>10512</v>
      </c>
      <c r="C1461" t="s">
        <v>21</v>
      </c>
      <c r="D1461" t="s">
        <v>9690</v>
      </c>
      <c r="G1461">
        <v>21201</v>
      </c>
      <c r="H1461" t="s">
        <v>10513</v>
      </c>
      <c r="I1461" t="s">
        <v>10514</v>
      </c>
      <c r="J1461">
        <v>21201</v>
      </c>
      <c r="K1461" t="s">
        <v>10515</v>
      </c>
      <c r="L1461">
        <v>54</v>
      </c>
      <c r="O1461">
        <v>21201</v>
      </c>
      <c r="P1461" t="s">
        <v>9690</v>
      </c>
      <c r="Q1461">
        <v>1</v>
      </c>
    </row>
    <row r="1462" spans="1:17" x14ac:dyDescent="0.25">
      <c r="A1462">
        <v>4</v>
      </c>
      <c r="B1462" t="s">
        <v>10516</v>
      </c>
      <c r="C1462" t="s">
        <v>21</v>
      </c>
      <c r="D1462" t="s">
        <v>9690</v>
      </c>
      <c r="G1462">
        <v>21203</v>
      </c>
      <c r="H1462" t="s">
        <v>10517</v>
      </c>
      <c r="I1462" t="s">
        <v>10518</v>
      </c>
      <c r="J1462">
        <v>21203</v>
      </c>
      <c r="K1462" t="s">
        <v>10519</v>
      </c>
      <c r="L1462">
        <v>73</v>
      </c>
      <c r="O1462">
        <v>21203</v>
      </c>
      <c r="P1462" t="s">
        <v>9690</v>
      </c>
      <c r="Q1462">
        <v>1</v>
      </c>
    </row>
    <row r="1463" spans="1:17" x14ac:dyDescent="0.25">
      <c r="A1463">
        <v>4</v>
      </c>
      <c r="B1463" t="s">
        <v>10520</v>
      </c>
      <c r="C1463" t="s">
        <v>21</v>
      </c>
      <c r="D1463" t="s">
        <v>9690</v>
      </c>
      <c r="G1463">
        <v>21206</v>
      </c>
      <c r="H1463" t="s">
        <v>10521</v>
      </c>
      <c r="I1463" t="s">
        <v>10522</v>
      </c>
      <c r="J1463">
        <v>21206</v>
      </c>
      <c r="K1463" t="s">
        <v>10523</v>
      </c>
      <c r="L1463">
        <v>20</v>
      </c>
      <c r="O1463">
        <v>21206</v>
      </c>
      <c r="P1463" t="s">
        <v>9690</v>
      </c>
      <c r="Q1463">
        <v>1</v>
      </c>
    </row>
    <row r="1464" spans="1:17" x14ac:dyDescent="0.25">
      <c r="A1464">
        <v>4</v>
      </c>
      <c r="B1464" t="s">
        <v>10524</v>
      </c>
      <c r="C1464" t="s">
        <v>21</v>
      </c>
      <c r="D1464" t="s">
        <v>9690</v>
      </c>
      <c r="G1464">
        <v>21208</v>
      </c>
      <c r="H1464" t="s">
        <v>10525</v>
      </c>
      <c r="I1464" t="s">
        <v>10526</v>
      </c>
      <c r="J1464">
        <v>21208</v>
      </c>
      <c r="K1464" t="s">
        <v>10527</v>
      </c>
      <c r="L1464">
        <v>1</v>
      </c>
      <c r="N1464" t="s">
        <v>4734</v>
      </c>
      <c r="O1464">
        <v>21208</v>
      </c>
      <c r="P1464" t="s">
        <v>9690</v>
      </c>
      <c r="Q1464">
        <v>1</v>
      </c>
    </row>
    <row r="1465" spans="1:17" x14ac:dyDescent="0.25">
      <c r="A1465">
        <v>4</v>
      </c>
      <c r="B1465" t="s">
        <v>10528</v>
      </c>
      <c r="C1465" t="s">
        <v>21</v>
      </c>
      <c r="D1465" t="s">
        <v>9690</v>
      </c>
      <c r="G1465">
        <v>647636</v>
      </c>
      <c r="H1465" t="s">
        <v>10529</v>
      </c>
      <c r="I1465" t="s">
        <v>10530</v>
      </c>
      <c r="J1465">
        <v>647636</v>
      </c>
      <c r="K1465" t="s">
        <v>10531</v>
      </c>
      <c r="L1465">
        <v>516</v>
      </c>
      <c r="O1465">
        <v>647636</v>
      </c>
      <c r="P1465" t="s">
        <v>9690</v>
      </c>
      <c r="Q1465">
        <v>1</v>
      </c>
    </row>
    <row r="1466" spans="1:17" x14ac:dyDescent="0.25">
      <c r="A1466">
        <v>4</v>
      </c>
      <c r="B1466" t="s">
        <v>10532</v>
      </c>
      <c r="C1466" t="s">
        <v>21</v>
      </c>
      <c r="D1466" t="s">
        <v>9690</v>
      </c>
      <c r="G1466">
        <v>647637</v>
      </c>
      <c r="H1466" t="s">
        <v>10533</v>
      </c>
      <c r="I1466" t="s">
        <v>10534</v>
      </c>
      <c r="J1466">
        <v>647637</v>
      </c>
      <c r="K1466" t="s">
        <v>10535</v>
      </c>
      <c r="L1466">
        <v>85</v>
      </c>
      <c r="O1466">
        <v>647637</v>
      </c>
      <c r="P1466" t="s">
        <v>9690</v>
      </c>
      <c r="Q1466">
        <v>1</v>
      </c>
    </row>
    <row r="1467" spans="1:17" x14ac:dyDescent="0.25">
      <c r="A1467">
        <v>4</v>
      </c>
      <c r="B1467" t="s">
        <v>10536</v>
      </c>
      <c r="C1467" t="s">
        <v>21</v>
      </c>
      <c r="D1467" t="s">
        <v>9690</v>
      </c>
      <c r="G1467">
        <v>647770</v>
      </c>
      <c r="H1467" t="s">
        <v>10537</v>
      </c>
      <c r="I1467" t="s">
        <v>10538</v>
      </c>
      <c r="J1467">
        <v>647770</v>
      </c>
      <c r="K1467" t="s">
        <v>10539</v>
      </c>
      <c r="L1467">
        <v>18</v>
      </c>
      <c r="O1467">
        <v>647770</v>
      </c>
      <c r="P1467" t="s">
        <v>9690</v>
      </c>
      <c r="Q1467">
        <v>1</v>
      </c>
    </row>
    <row r="1468" spans="1:17" x14ac:dyDescent="0.25">
      <c r="A1468">
        <v>4</v>
      </c>
      <c r="B1468" t="s">
        <v>10540</v>
      </c>
      <c r="C1468" t="s">
        <v>21</v>
      </c>
      <c r="D1468" t="s">
        <v>9690</v>
      </c>
      <c r="G1468">
        <v>647771</v>
      </c>
      <c r="H1468" t="s">
        <v>10541</v>
      </c>
      <c r="I1468" t="s">
        <v>10542</v>
      </c>
      <c r="J1468">
        <v>647771</v>
      </c>
      <c r="K1468" t="s">
        <v>10543</v>
      </c>
      <c r="L1468">
        <v>42</v>
      </c>
      <c r="O1468">
        <v>647771</v>
      </c>
      <c r="P1468" t="s">
        <v>9690</v>
      </c>
      <c r="Q1468">
        <v>1</v>
      </c>
    </row>
    <row r="1469" spans="1:17" x14ac:dyDescent="0.25">
      <c r="A1469">
        <v>4</v>
      </c>
      <c r="B1469" t="s">
        <v>10544</v>
      </c>
      <c r="C1469" t="s">
        <v>21</v>
      </c>
      <c r="D1469" t="s">
        <v>9690</v>
      </c>
      <c r="G1469">
        <v>647772</v>
      </c>
      <c r="H1469" t="s">
        <v>10545</v>
      </c>
      <c r="I1469" t="s">
        <v>10546</v>
      </c>
      <c r="J1469">
        <v>647772</v>
      </c>
      <c r="K1469" t="s">
        <v>10547</v>
      </c>
      <c r="L1469">
        <v>61</v>
      </c>
      <c r="O1469">
        <v>647772</v>
      </c>
      <c r="P1469" t="s">
        <v>9690</v>
      </c>
      <c r="Q1469">
        <v>1</v>
      </c>
    </row>
    <row r="1470" spans="1:17" x14ac:dyDescent="0.25">
      <c r="A1470">
        <v>4</v>
      </c>
      <c r="B1470" t="s">
        <v>10548</v>
      </c>
      <c r="C1470" t="s">
        <v>21</v>
      </c>
      <c r="D1470" t="s">
        <v>9690</v>
      </c>
      <c r="G1470">
        <v>647773</v>
      </c>
      <c r="H1470" t="s">
        <v>10549</v>
      </c>
      <c r="I1470" t="s">
        <v>10550</v>
      </c>
      <c r="J1470">
        <v>647773</v>
      </c>
      <c r="K1470" t="s">
        <v>10551</v>
      </c>
      <c r="L1470">
        <v>30</v>
      </c>
      <c r="O1470">
        <v>647773</v>
      </c>
      <c r="P1470" t="s">
        <v>9690</v>
      </c>
      <c r="Q1470">
        <v>1</v>
      </c>
    </row>
    <row r="1471" spans="1:17" x14ac:dyDescent="0.25">
      <c r="A1471">
        <v>4</v>
      </c>
      <c r="B1471" t="s">
        <v>10552</v>
      </c>
      <c r="C1471" t="s">
        <v>21</v>
      </c>
      <c r="D1471" t="s">
        <v>9690</v>
      </c>
      <c r="G1471">
        <v>647774</v>
      </c>
      <c r="H1471" t="s">
        <v>10553</v>
      </c>
      <c r="I1471" t="s">
        <v>10554</v>
      </c>
      <c r="J1471">
        <v>647774</v>
      </c>
      <c r="K1471" t="s">
        <v>10555</v>
      </c>
      <c r="L1471">
        <v>10</v>
      </c>
      <c r="O1471">
        <v>647774</v>
      </c>
      <c r="P1471" t="s">
        <v>9690</v>
      </c>
      <c r="Q1471">
        <v>1</v>
      </c>
    </row>
    <row r="1472" spans="1:17" x14ac:dyDescent="0.25">
      <c r="A1472">
        <v>4</v>
      </c>
      <c r="B1472" t="s">
        <v>10556</v>
      </c>
      <c r="C1472" t="s">
        <v>21</v>
      </c>
      <c r="D1472" t="s">
        <v>9690</v>
      </c>
      <c r="G1472">
        <v>647997</v>
      </c>
      <c r="H1472" t="s">
        <v>10557</v>
      </c>
      <c r="I1472" t="s">
        <v>10558</v>
      </c>
      <c r="J1472">
        <v>647997</v>
      </c>
      <c r="K1472" t="s">
        <v>10559</v>
      </c>
      <c r="L1472">
        <v>13</v>
      </c>
      <c r="O1472">
        <v>647997</v>
      </c>
      <c r="P1472" t="s">
        <v>9690</v>
      </c>
      <c r="Q1472">
        <v>1</v>
      </c>
    </row>
    <row r="1473" spans="1:17" x14ac:dyDescent="0.25">
      <c r="A1473">
        <v>4</v>
      </c>
      <c r="B1473" t="s">
        <v>10560</v>
      </c>
      <c r="C1473" t="s">
        <v>21</v>
      </c>
      <c r="D1473" t="s">
        <v>9690</v>
      </c>
      <c r="G1473">
        <v>647998</v>
      </c>
      <c r="H1473" t="s">
        <v>10561</v>
      </c>
      <c r="I1473" t="s">
        <v>10562</v>
      </c>
      <c r="J1473">
        <v>647998</v>
      </c>
      <c r="K1473" t="s">
        <v>10563</v>
      </c>
      <c r="L1473">
        <v>46</v>
      </c>
      <c r="O1473">
        <v>647998</v>
      </c>
      <c r="P1473" t="s">
        <v>9690</v>
      </c>
      <c r="Q1473">
        <v>1</v>
      </c>
    </row>
    <row r="1474" spans="1:17" x14ac:dyDescent="0.25">
      <c r="A1474">
        <v>4</v>
      </c>
      <c r="B1474" t="s">
        <v>10564</v>
      </c>
      <c r="C1474" t="s">
        <v>21</v>
      </c>
      <c r="D1474" t="s">
        <v>9690</v>
      </c>
      <c r="G1474">
        <v>647999</v>
      </c>
      <c r="H1474" t="s">
        <v>10565</v>
      </c>
      <c r="I1474" t="s">
        <v>10566</v>
      </c>
      <c r="J1474">
        <v>647999</v>
      </c>
      <c r="K1474" t="s">
        <v>10567</v>
      </c>
      <c r="L1474">
        <v>56</v>
      </c>
      <c r="O1474">
        <v>647999</v>
      </c>
      <c r="P1474" t="s">
        <v>9690</v>
      </c>
      <c r="Q1474">
        <v>1</v>
      </c>
    </row>
    <row r="1475" spans="1:17" x14ac:dyDescent="0.25">
      <c r="A1475">
        <v>4</v>
      </c>
      <c r="B1475" t="s">
        <v>10568</v>
      </c>
      <c r="C1475" t="s">
        <v>21</v>
      </c>
      <c r="D1475" t="s">
        <v>9690</v>
      </c>
      <c r="G1475">
        <v>648119</v>
      </c>
      <c r="H1475" t="s">
        <v>10569</v>
      </c>
      <c r="I1475" t="s">
        <v>10570</v>
      </c>
      <c r="J1475">
        <v>648119</v>
      </c>
      <c r="K1475" t="s">
        <v>10571</v>
      </c>
      <c r="L1475">
        <v>16</v>
      </c>
      <c r="O1475">
        <v>648119</v>
      </c>
      <c r="P1475" t="s">
        <v>9690</v>
      </c>
      <c r="Q1475">
        <v>1</v>
      </c>
    </row>
    <row r="1476" spans="1:17" x14ac:dyDescent="0.25">
      <c r="A1476">
        <v>4</v>
      </c>
      <c r="B1476" t="s">
        <v>10572</v>
      </c>
      <c r="C1476" t="s">
        <v>21</v>
      </c>
      <c r="D1476" t="s">
        <v>9690</v>
      </c>
      <c r="G1476">
        <v>648131</v>
      </c>
      <c r="H1476" t="s">
        <v>10573</v>
      </c>
      <c r="I1476" t="s">
        <v>10574</v>
      </c>
      <c r="J1476">
        <v>648131</v>
      </c>
      <c r="K1476" t="s">
        <v>10575</v>
      </c>
      <c r="L1476">
        <v>95</v>
      </c>
      <c r="O1476">
        <v>648131</v>
      </c>
      <c r="P1476" t="s">
        <v>9690</v>
      </c>
      <c r="Q1476">
        <v>1</v>
      </c>
    </row>
    <row r="1477" spans="1:17" x14ac:dyDescent="0.25">
      <c r="A1477">
        <v>4</v>
      </c>
      <c r="B1477" t="s">
        <v>10576</v>
      </c>
      <c r="C1477" t="s">
        <v>21</v>
      </c>
      <c r="D1477" t="s">
        <v>9690</v>
      </c>
      <c r="G1477">
        <v>649228</v>
      </c>
      <c r="H1477" t="s">
        <v>10577</v>
      </c>
      <c r="J1477">
        <v>649228</v>
      </c>
      <c r="K1477" t="s">
        <v>10578</v>
      </c>
      <c r="L1477" t="s">
        <v>7386</v>
      </c>
      <c r="M1477" t="s">
        <v>10086</v>
      </c>
      <c r="N1477" t="s">
        <v>7388</v>
      </c>
      <c r="P1477" t="s">
        <v>9690</v>
      </c>
    </row>
    <row r="1478" spans="1:17" x14ac:dyDescent="0.25">
      <c r="A1478">
        <v>4</v>
      </c>
      <c r="B1478" t="s">
        <v>10579</v>
      </c>
      <c r="C1478" t="s">
        <v>21</v>
      </c>
      <c r="D1478" t="s">
        <v>9690</v>
      </c>
      <c r="G1478">
        <v>649229</v>
      </c>
      <c r="H1478" t="s">
        <v>10580</v>
      </c>
      <c r="I1478" t="s">
        <v>10581</v>
      </c>
      <c r="J1478">
        <v>649229</v>
      </c>
      <c r="K1478" t="s">
        <v>10582</v>
      </c>
      <c r="L1478">
        <v>324</v>
      </c>
      <c r="O1478">
        <v>649229</v>
      </c>
      <c r="P1478" t="s">
        <v>9690</v>
      </c>
      <c r="Q1478">
        <v>1</v>
      </c>
    </row>
    <row r="1479" spans="1:17" x14ac:dyDescent="0.25">
      <c r="A1479">
        <v>4</v>
      </c>
      <c r="B1479" t="s">
        <v>10583</v>
      </c>
      <c r="C1479" t="s">
        <v>21</v>
      </c>
      <c r="D1479" t="s">
        <v>9690</v>
      </c>
      <c r="G1479">
        <v>655553</v>
      </c>
      <c r="H1479" t="s">
        <v>10584</v>
      </c>
      <c r="I1479" t="s">
        <v>10585</v>
      </c>
      <c r="J1479">
        <v>655553</v>
      </c>
      <c r="K1479" t="s">
        <v>10586</v>
      </c>
      <c r="L1479">
        <v>8</v>
      </c>
      <c r="N1479" t="s">
        <v>4713</v>
      </c>
      <c r="O1479">
        <v>655553</v>
      </c>
      <c r="P1479" t="s">
        <v>9690</v>
      </c>
      <c r="Q1479">
        <v>1</v>
      </c>
    </row>
    <row r="1480" spans="1:17" x14ac:dyDescent="0.25">
      <c r="A1480">
        <v>4</v>
      </c>
      <c r="B1480" t="s">
        <v>10587</v>
      </c>
      <c r="C1480" t="s">
        <v>21</v>
      </c>
      <c r="D1480" t="s">
        <v>9690</v>
      </c>
      <c r="G1480">
        <v>656561</v>
      </c>
      <c r="H1480" t="s">
        <v>10588</v>
      </c>
      <c r="I1480" t="s">
        <v>10589</v>
      </c>
      <c r="J1480">
        <v>656561</v>
      </c>
      <c r="K1480" t="s">
        <v>10590</v>
      </c>
      <c r="L1480">
        <v>27</v>
      </c>
      <c r="O1480">
        <v>656561</v>
      </c>
      <c r="P1480" t="s">
        <v>9690</v>
      </c>
      <c r="Q1480">
        <v>1</v>
      </c>
    </row>
    <row r="1481" spans="1:17" x14ac:dyDescent="0.25">
      <c r="A1481">
        <v>2</v>
      </c>
      <c r="B1481" t="s">
        <v>10591</v>
      </c>
      <c r="C1481" t="s">
        <v>21</v>
      </c>
      <c r="D1481" t="s">
        <v>9690</v>
      </c>
      <c r="E1481" t="s">
        <v>2114</v>
      </c>
      <c r="H1481" t="s">
        <v>2124</v>
      </c>
      <c r="I1481" t="s">
        <v>2115</v>
      </c>
      <c r="J1481" t="s">
        <v>2114</v>
      </c>
      <c r="O1481" t="s">
        <v>2114</v>
      </c>
      <c r="P1481" t="s">
        <v>9690</v>
      </c>
      <c r="Q1481">
        <v>2</v>
      </c>
    </row>
    <row r="1482" spans="1:17" x14ac:dyDescent="0.25">
      <c r="A1482">
        <v>3</v>
      </c>
      <c r="B1482" t="s">
        <v>10592</v>
      </c>
      <c r="C1482" t="s">
        <v>21</v>
      </c>
      <c r="D1482" t="s">
        <v>9690</v>
      </c>
      <c r="F1482" t="s">
        <v>2114</v>
      </c>
      <c r="H1482" t="s">
        <v>2124</v>
      </c>
      <c r="I1482" t="s">
        <v>2115</v>
      </c>
      <c r="J1482" t="s">
        <v>2114</v>
      </c>
      <c r="O1482" t="s">
        <v>2114</v>
      </c>
      <c r="P1482" t="s">
        <v>9690</v>
      </c>
      <c r="Q1482">
        <v>2</v>
      </c>
    </row>
    <row r="1483" spans="1:17" x14ac:dyDescent="0.25">
      <c r="A1483">
        <v>4</v>
      </c>
      <c r="B1483" t="s">
        <v>10593</v>
      </c>
      <c r="C1483" t="s">
        <v>21</v>
      </c>
      <c r="D1483" t="s">
        <v>9690</v>
      </c>
      <c r="G1483">
        <v>13207</v>
      </c>
      <c r="H1483" t="s">
        <v>10594</v>
      </c>
      <c r="I1483" t="s">
        <v>10595</v>
      </c>
      <c r="J1483">
        <v>13207</v>
      </c>
      <c r="K1483" t="s">
        <v>10596</v>
      </c>
      <c r="L1483">
        <v>1</v>
      </c>
      <c r="N1483" t="s">
        <v>4734</v>
      </c>
      <c r="O1483">
        <v>13207</v>
      </c>
      <c r="P1483" t="s">
        <v>9690</v>
      </c>
      <c r="Q1483">
        <v>1</v>
      </c>
    </row>
    <row r="1484" spans="1:17" x14ac:dyDescent="0.25">
      <c r="A1484">
        <v>4</v>
      </c>
      <c r="B1484" t="s">
        <v>10597</v>
      </c>
      <c r="C1484" t="s">
        <v>21</v>
      </c>
      <c r="D1484" t="s">
        <v>9690</v>
      </c>
      <c r="G1484">
        <v>13211</v>
      </c>
      <c r="H1484" t="s">
        <v>8938</v>
      </c>
      <c r="I1484" t="s">
        <v>8939</v>
      </c>
      <c r="J1484">
        <v>13211</v>
      </c>
      <c r="K1484" t="s">
        <v>10598</v>
      </c>
      <c r="L1484">
        <v>173</v>
      </c>
      <c r="O1484">
        <v>13211</v>
      </c>
      <c r="P1484" t="s">
        <v>9690</v>
      </c>
      <c r="Q1484">
        <v>1</v>
      </c>
    </row>
    <row r="1485" spans="1:17" x14ac:dyDescent="0.25">
      <c r="A1485">
        <v>4</v>
      </c>
      <c r="B1485" t="s">
        <v>10599</v>
      </c>
      <c r="C1485" t="s">
        <v>21</v>
      </c>
      <c r="D1485" t="s">
        <v>9690</v>
      </c>
      <c r="G1485">
        <v>13254</v>
      </c>
      <c r="H1485" t="s">
        <v>10600</v>
      </c>
      <c r="I1485" t="s">
        <v>10601</v>
      </c>
      <c r="J1485">
        <v>13254</v>
      </c>
      <c r="K1485" t="s">
        <v>10602</v>
      </c>
      <c r="L1485">
        <v>5</v>
      </c>
      <c r="N1485" t="s">
        <v>4713</v>
      </c>
      <c r="O1485">
        <v>13254</v>
      </c>
      <c r="P1485" t="s">
        <v>9690</v>
      </c>
      <c r="Q1485">
        <v>1</v>
      </c>
    </row>
    <row r="1486" spans="1:17" x14ac:dyDescent="0.25">
      <c r="A1486">
        <v>4</v>
      </c>
      <c r="B1486" t="s">
        <v>10603</v>
      </c>
      <c r="C1486" t="s">
        <v>21</v>
      </c>
      <c r="D1486" t="s">
        <v>9690</v>
      </c>
      <c r="G1486">
        <v>13270</v>
      </c>
      <c r="H1486" t="s">
        <v>10604</v>
      </c>
      <c r="I1486" t="s">
        <v>10605</v>
      </c>
      <c r="J1486">
        <v>13270</v>
      </c>
      <c r="K1486" t="s">
        <v>10606</v>
      </c>
      <c r="L1486">
        <v>11</v>
      </c>
      <c r="O1486">
        <v>13270</v>
      </c>
      <c r="P1486" t="s">
        <v>9690</v>
      </c>
      <c r="Q1486">
        <v>1</v>
      </c>
    </row>
    <row r="1487" spans="1:17" x14ac:dyDescent="0.25">
      <c r="A1487">
        <v>4</v>
      </c>
      <c r="B1487" t="s">
        <v>10607</v>
      </c>
      <c r="C1487" t="s">
        <v>21</v>
      </c>
      <c r="D1487" t="s">
        <v>9690</v>
      </c>
      <c r="G1487">
        <v>13277</v>
      </c>
      <c r="H1487" t="s">
        <v>10608</v>
      </c>
      <c r="I1487" t="s">
        <v>10609</v>
      </c>
      <c r="J1487">
        <v>13277</v>
      </c>
      <c r="K1487" t="s">
        <v>10610</v>
      </c>
      <c r="L1487">
        <v>12</v>
      </c>
      <c r="O1487">
        <v>13277</v>
      </c>
      <c r="P1487" t="s">
        <v>9690</v>
      </c>
      <c r="Q1487">
        <v>1</v>
      </c>
    </row>
    <row r="1488" spans="1:17" x14ac:dyDescent="0.25">
      <c r="A1488">
        <v>4</v>
      </c>
      <c r="B1488" t="s">
        <v>10611</v>
      </c>
      <c r="C1488" t="s">
        <v>21</v>
      </c>
      <c r="D1488" t="s">
        <v>9690</v>
      </c>
      <c r="G1488">
        <v>13324</v>
      </c>
      <c r="H1488" t="s">
        <v>10612</v>
      </c>
      <c r="I1488" t="s">
        <v>581</v>
      </c>
      <c r="J1488">
        <v>13324</v>
      </c>
      <c r="K1488" t="s">
        <v>10613</v>
      </c>
      <c r="L1488">
        <v>1</v>
      </c>
      <c r="N1488" t="s">
        <v>4734</v>
      </c>
      <c r="O1488">
        <v>13324</v>
      </c>
      <c r="P1488" t="s">
        <v>9690</v>
      </c>
      <c r="Q1488">
        <v>1</v>
      </c>
    </row>
    <row r="1489" spans="1:17" x14ac:dyDescent="0.25">
      <c r="A1489">
        <v>4</v>
      </c>
      <c r="B1489" t="s">
        <v>10614</v>
      </c>
      <c r="C1489" t="s">
        <v>21</v>
      </c>
      <c r="D1489" t="s">
        <v>9690</v>
      </c>
      <c r="G1489">
        <v>13327</v>
      </c>
      <c r="H1489" t="s">
        <v>10615</v>
      </c>
      <c r="I1489" t="s">
        <v>10616</v>
      </c>
      <c r="J1489">
        <v>13327</v>
      </c>
      <c r="K1489" t="s">
        <v>10617</v>
      </c>
      <c r="L1489">
        <v>29</v>
      </c>
      <c r="O1489">
        <v>13327</v>
      </c>
      <c r="P1489" t="s">
        <v>9690</v>
      </c>
      <c r="Q1489">
        <v>1</v>
      </c>
    </row>
    <row r="1490" spans="1:17" x14ac:dyDescent="0.25">
      <c r="A1490">
        <v>4</v>
      </c>
      <c r="B1490" t="s">
        <v>10618</v>
      </c>
      <c r="C1490" t="s">
        <v>21</v>
      </c>
      <c r="D1490" t="s">
        <v>9690</v>
      </c>
      <c r="G1490">
        <v>13396</v>
      </c>
      <c r="H1490" t="s">
        <v>10619</v>
      </c>
      <c r="I1490" t="s">
        <v>10620</v>
      </c>
      <c r="J1490">
        <v>13396</v>
      </c>
      <c r="K1490" t="s">
        <v>10621</v>
      </c>
      <c r="L1490">
        <v>12</v>
      </c>
      <c r="O1490">
        <v>13396</v>
      </c>
      <c r="P1490" t="s">
        <v>9690</v>
      </c>
      <c r="Q1490">
        <v>1</v>
      </c>
    </row>
    <row r="1491" spans="1:17" x14ac:dyDescent="0.25">
      <c r="A1491">
        <v>4</v>
      </c>
      <c r="B1491" t="s">
        <v>10622</v>
      </c>
      <c r="C1491" t="s">
        <v>21</v>
      </c>
      <c r="D1491" t="s">
        <v>9690</v>
      </c>
      <c r="G1491">
        <v>13420</v>
      </c>
      <c r="H1491" t="s">
        <v>10623</v>
      </c>
      <c r="I1491" t="s">
        <v>10624</v>
      </c>
      <c r="J1491">
        <v>13420</v>
      </c>
      <c r="K1491" t="s">
        <v>10625</v>
      </c>
      <c r="L1491">
        <v>2</v>
      </c>
      <c r="N1491" t="s">
        <v>4713</v>
      </c>
      <c r="O1491">
        <v>13420</v>
      </c>
      <c r="P1491" t="s">
        <v>9690</v>
      </c>
      <c r="Q1491">
        <v>1</v>
      </c>
    </row>
    <row r="1492" spans="1:17" x14ac:dyDescent="0.25">
      <c r="A1492">
        <v>4</v>
      </c>
      <c r="B1492" t="s">
        <v>10626</v>
      </c>
      <c r="C1492" t="s">
        <v>21</v>
      </c>
      <c r="D1492" t="s">
        <v>9690</v>
      </c>
      <c r="G1492">
        <v>13429</v>
      </c>
      <c r="H1492" t="s">
        <v>10627</v>
      </c>
      <c r="I1492" t="s">
        <v>10628</v>
      </c>
      <c r="J1492">
        <v>13429</v>
      </c>
      <c r="K1492" t="s">
        <v>10629</v>
      </c>
      <c r="L1492">
        <v>192</v>
      </c>
      <c r="O1492">
        <v>13429</v>
      </c>
      <c r="P1492" t="s">
        <v>9690</v>
      </c>
      <c r="Q1492">
        <v>1</v>
      </c>
    </row>
    <row r="1493" spans="1:17" x14ac:dyDescent="0.25">
      <c r="A1493">
        <v>4</v>
      </c>
      <c r="B1493" t="s">
        <v>10630</v>
      </c>
      <c r="C1493" t="s">
        <v>21</v>
      </c>
      <c r="D1493" t="s">
        <v>9690</v>
      </c>
      <c r="G1493">
        <v>21211</v>
      </c>
      <c r="H1493" t="s">
        <v>10631</v>
      </c>
      <c r="I1493" t="s">
        <v>10632</v>
      </c>
      <c r="J1493">
        <v>21211</v>
      </c>
      <c r="K1493" t="s">
        <v>10633</v>
      </c>
      <c r="L1493">
        <v>23</v>
      </c>
      <c r="O1493">
        <v>21211</v>
      </c>
      <c r="P1493" t="s">
        <v>9690</v>
      </c>
      <c r="Q1493">
        <v>1</v>
      </c>
    </row>
    <row r="1494" spans="1:17" x14ac:dyDescent="0.25">
      <c r="A1494">
        <v>4</v>
      </c>
      <c r="B1494" t="s">
        <v>10634</v>
      </c>
      <c r="C1494" t="s">
        <v>21</v>
      </c>
      <c r="D1494" t="s">
        <v>9690</v>
      </c>
      <c r="G1494">
        <v>226243</v>
      </c>
      <c r="H1494" t="s">
        <v>10635</v>
      </c>
      <c r="I1494" t="s">
        <v>10636</v>
      </c>
      <c r="J1494">
        <v>226243</v>
      </c>
      <c r="K1494" t="s">
        <v>10637</v>
      </c>
      <c r="L1494">
        <v>25</v>
      </c>
      <c r="O1494">
        <v>226243</v>
      </c>
      <c r="P1494" t="s">
        <v>9690</v>
      </c>
      <c r="Q1494">
        <v>1</v>
      </c>
    </row>
    <row r="1495" spans="1:17" x14ac:dyDescent="0.25">
      <c r="A1495">
        <v>4</v>
      </c>
      <c r="B1495" t="s">
        <v>10638</v>
      </c>
      <c r="C1495" t="s">
        <v>21</v>
      </c>
      <c r="D1495" t="s">
        <v>9690</v>
      </c>
      <c r="G1495">
        <v>35827</v>
      </c>
      <c r="H1495" t="s">
        <v>10639</v>
      </c>
      <c r="I1495" t="s">
        <v>10640</v>
      </c>
      <c r="J1495">
        <v>35827</v>
      </c>
      <c r="K1495" t="s">
        <v>10641</v>
      </c>
      <c r="L1495">
        <v>3</v>
      </c>
      <c r="N1495" t="s">
        <v>4713</v>
      </c>
      <c r="O1495">
        <v>35827</v>
      </c>
      <c r="P1495" t="s">
        <v>9690</v>
      </c>
      <c r="Q1495">
        <v>1</v>
      </c>
    </row>
    <row r="1496" spans="1:17" x14ac:dyDescent="0.25">
      <c r="A1496">
        <v>4</v>
      </c>
      <c r="B1496" t="s">
        <v>10642</v>
      </c>
      <c r="C1496" t="s">
        <v>21</v>
      </c>
      <c r="D1496" t="s">
        <v>9690</v>
      </c>
      <c r="G1496">
        <v>309354</v>
      </c>
      <c r="H1496" t="s">
        <v>10643</v>
      </c>
      <c r="I1496" t="s">
        <v>10644</v>
      </c>
      <c r="J1496">
        <v>309354</v>
      </c>
      <c r="K1496" t="s">
        <v>10645</v>
      </c>
      <c r="L1496">
        <v>23</v>
      </c>
      <c r="O1496">
        <v>309354</v>
      </c>
      <c r="P1496" t="s">
        <v>9690</v>
      </c>
      <c r="Q1496">
        <v>1</v>
      </c>
    </row>
    <row r="1497" spans="1:17" x14ac:dyDescent="0.25">
      <c r="A1497">
        <v>4</v>
      </c>
      <c r="B1497" t="s">
        <v>10646</v>
      </c>
      <c r="C1497" t="s">
        <v>21</v>
      </c>
      <c r="D1497" t="s">
        <v>9690</v>
      </c>
      <c r="G1497">
        <v>309357</v>
      </c>
      <c r="H1497" t="s">
        <v>10647</v>
      </c>
      <c r="I1497" t="s">
        <v>10648</v>
      </c>
      <c r="J1497">
        <v>309357</v>
      </c>
      <c r="K1497" t="s">
        <v>10649</v>
      </c>
      <c r="L1497">
        <v>9</v>
      </c>
      <c r="N1497" t="s">
        <v>4713</v>
      </c>
      <c r="O1497">
        <v>309357</v>
      </c>
      <c r="P1497" t="s">
        <v>9690</v>
      </c>
      <c r="Q1497">
        <v>1</v>
      </c>
    </row>
    <row r="1498" spans="1:17" x14ac:dyDescent="0.25">
      <c r="A1498">
        <v>2</v>
      </c>
      <c r="B1498" t="s">
        <v>10650</v>
      </c>
      <c r="C1498" t="s">
        <v>21</v>
      </c>
      <c r="D1498" t="s">
        <v>9690</v>
      </c>
      <c r="E1498" t="s">
        <v>24</v>
      </c>
      <c r="H1498" t="s">
        <v>10651</v>
      </c>
      <c r="I1498" t="s">
        <v>2712</v>
      </c>
      <c r="J1498" t="s">
        <v>24</v>
      </c>
      <c r="O1498" t="s">
        <v>24</v>
      </c>
      <c r="P1498" t="s">
        <v>9690</v>
      </c>
      <c r="Q1498">
        <v>2</v>
      </c>
    </row>
    <row r="1499" spans="1:17" x14ac:dyDescent="0.25">
      <c r="A1499">
        <v>3</v>
      </c>
      <c r="B1499" t="s">
        <v>10652</v>
      </c>
      <c r="C1499" t="s">
        <v>21</v>
      </c>
      <c r="D1499" t="s">
        <v>9690</v>
      </c>
      <c r="F1499" t="s">
        <v>144</v>
      </c>
      <c r="H1499" t="s">
        <v>145</v>
      </c>
      <c r="I1499" t="s">
        <v>385</v>
      </c>
      <c r="J1499" t="s">
        <v>144</v>
      </c>
      <c r="O1499" t="s">
        <v>144</v>
      </c>
      <c r="P1499" t="s">
        <v>9690</v>
      </c>
      <c r="Q1499">
        <v>1</v>
      </c>
    </row>
    <row r="1500" spans="1:17" x14ac:dyDescent="0.25">
      <c r="A1500">
        <v>4</v>
      </c>
      <c r="B1500" t="s">
        <v>10653</v>
      </c>
      <c r="C1500" t="s">
        <v>21</v>
      </c>
      <c r="D1500" t="s">
        <v>9690</v>
      </c>
      <c r="G1500">
        <v>23444</v>
      </c>
      <c r="H1500" t="s">
        <v>10654</v>
      </c>
      <c r="I1500" t="s">
        <v>10655</v>
      </c>
      <c r="J1500">
        <v>23444</v>
      </c>
      <c r="K1500" t="s">
        <v>10656</v>
      </c>
      <c r="L1500">
        <v>5</v>
      </c>
      <c r="N1500" t="s">
        <v>4713</v>
      </c>
      <c r="O1500">
        <v>23444</v>
      </c>
      <c r="P1500" t="s">
        <v>9690</v>
      </c>
      <c r="Q1500">
        <v>1</v>
      </c>
    </row>
    <row r="1501" spans="1:17" x14ac:dyDescent="0.25">
      <c r="A1501">
        <v>4</v>
      </c>
      <c r="B1501" t="s">
        <v>10657</v>
      </c>
      <c r="C1501" t="s">
        <v>21</v>
      </c>
      <c r="D1501" t="s">
        <v>9690</v>
      </c>
      <c r="G1501">
        <v>23446</v>
      </c>
      <c r="H1501" t="s">
        <v>10658</v>
      </c>
      <c r="J1501">
        <v>23446</v>
      </c>
      <c r="K1501" t="s">
        <v>10659</v>
      </c>
      <c r="L1501" t="s">
        <v>7386</v>
      </c>
      <c r="M1501" t="s">
        <v>10086</v>
      </c>
      <c r="N1501" t="s">
        <v>7388</v>
      </c>
      <c r="P1501" t="s">
        <v>9690</v>
      </c>
    </row>
    <row r="1502" spans="1:17" x14ac:dyDescent="0.25">
      <c r="A1502">
        <v>4</v>
      </c>
      <c r="B1502" t="s">
        <v>10660</v>
      </c>
      <c r="C1502" t="s">
        <v>21</v>
      </c>
      <c r="D1502" t="s">
        <v>9690</v>
      </c>
      <c r="G1502">
        <v>23448</v>
      </c>
      <c r="H1502" t="s">
        <v>10661</v>
      </c>
      <c r="I1502" t="s">
        <v>10662</v>
      </c>
      <c r="J1502">
        <v>23448</v>
      </c>
      <c r="K1502" t="s">
        <v>10663</v>
      </c>
      <c r="L1502">
        <v>27</v>
      </c>
      <c r="O1502">
        <v>23448</v>
      </c>
      <c r="P1502" t="s">
        <v>9690</v>
      </c>
      <c r="Q1502">
        <v>1</v>
      </c>
    </row>
    <row r="1503" spans="1:17" x14ac:dyDescent="0.25">
      <c r="A1503">
        <v>4</v>
      </c>
      <c r="B1503" t="s">
        <v>10664</v>
      </c>
      <c r="C1503" t="s">
        <v>21</v>
      </c>
      <c r="D1503" t="s">
        <v>9690</v>
      </c>
      <c r="G1503">
        <v>23450</v>
      </c>
      <c r="H1503" t="s">
        <v>10665</v>
      </c>
      <c r="I1503" t="s">
        <v>10666</v>
      </c>
      <c r="J1503">
        <v>23450</v>
      </c>
      <c r="K1503" t="s">
        <v>10667</v>
      </c>
      <c r="L1503">
        <v>21</v>
      </c>
      <c r="O1503">
        <v>23450</v>
      </c>
      <c r="P1503" t="s">
        <v>9690</v>
      </c>
      <c r="Q1503">
        <v>1</v>
      </c>
    </row>
    <row r="1504" spans="1:17" x14ac:dyDescent="0.25">
      <c r="A1504">
        <v>4</v>
      </c>
      <c r="B1504" t="s">
        <v>10668</v>
      </c>
      <c r="C1504" t="s">
        <v>21</v>
      </c>
      <c r="D1504" t="s">
        <v>9690</v>
      </c>
      <c r="G1504">
        <v>37944</v>
      </c>
      <c r="H1504" t="s">
        <v>10669</v>
      </c>
      <c r="I1504" t="s">
        <v>10670</v>
      </c>
      <c r="J1504">
        <v>37944</v>
      </c>
      <c r="K1504" t="s">
        <v>10671</v>
      </c>
      <c r="L1504">
        <v>15</v>
      </c>
      <c r="O1504">
        <v>37944</v>
      </c>
      <c r="P1504" t="s">
        <v>9690</v>
      </c>
      <c r="Q1504">
        <v>1</v>
      </c>
    </row>
    <row r="1505" spans="1:17" x14ac:dyDescent="0.25">
      <c r="A1505">
        <v>4</v>
      </c>
      <c r="B1505" t="s">
        <v>10672</v>
      </c>
      <c r="C1505" t="s">
        <v>21</v>
      </c>
      <c r="D1505" t="s">
        <v>9690</v>
      </c>
      <c r="G1505" t="s">
        <v>10673</v>
      </c>
      <c r="H1505" t="s">
        <v>10674</v>
      </c>
      <c r="I1505" t="s">
        <v>10675</v>
      </c>
      <c r="J1505" t="s">
        <v>10673</v>
      </c>
      <c r="K1505" t="s">
        <v>10676</v>
      </c>
      <c r="L1505" t="s">
        <v>10677</v>
      </c>
      <c r="O1505" t="s">
        <v>10673</v>
      </c>
      <c r="P1505" t="s">
        <v>9690</v>
      </c>
      <c r="Q1505">
        <v>1</v>
      </c>
    </row>
    <row r="1506" spans="1:17" x14ac:dyDescent="0.25">
      <c r="A1506">
        <v>4</v>
      </c>
      <c r="B1506" t="s">
        <v>10678</v>
      </c>
      <c r="C1506" t="s">
        <v>21</v>
      </c>
      <c r="D1506" t="s">
        <v>9690</v>
      </c>
      <c r="G1506" t="s">
        <v>10679</v>
      </c>
      <c r="H1506" t="s">
        <v>10680</v>
      </c>
      <c r="I1506" t="s">
        <v>10681</v>
      </c>
      <c r="J1506" t="s">
        <v>10679</v>
      </c>
      <c r="K1506" t="s">
        <v>10682</v>
      </c>
      <c r="L1506">
        <v>105</v>
      </c>
      <c r="O1506" t="s">
        <v>10679</v>
      </c>
      <c r="P1506" t="s">
        <v>9690</v>
      </c>
      <c r="Q1506">
        <v>1</v>
      </c>
    </row>
    <row r="1507" spans="1:17" x14ac:dyDescent="0.25">
      <c r="A1507">
        <v>3</v>
      </c>
      <c r="B1507" t="s">
        <v>10683</v>
      </c>
      <c r="C1507" t="s">
        <v>21</v>
      </c>
      <c r="D1507" t="s">
        <v>9690</v>
      </c>
      <c r="F1507" t="s">
        <v>146</v>
      </c>
      <c r="H1507" t="s">
        <v>10684</v>
      </c>
      <c r="I1507" t="s">
        <v>388</v>
      </c>
      <c r="J1507" t="s">
        <v>146</v>
      </c>
      <c r="O1507" t="s">
        <v>146</v>
      </c>
      <c r="P1507" t="s">
        <v>9690</v>
      </c>
      <c r="Q1507">
        <v>1</v>
      </c>
    </row>
    <row r="1508" spans="1:17" x14ac:dyDescent="0.25">
      <c r="A1508">
        <v>4</v>
      </c>
      <c r="B1508" t="s">
        <v>10685</v>
      </c>
      <c r="C1508" t="s">
        <v>21</v>
      </c>
      <c r="D1508" t="s">
        <v>9690</v>
      </c>
      <c r="G1508">
        <v>12435</v>
      </c>
      <c r="H1508" t="s">
        <v>10686</v>
      </c>
      <c r="I1508" t="s">
        <v>10687</v>
      </c>
      <c r="J1508">
        <v>12435</v>
      </c>
      <c r="K1508" t="s">
        <v>10688</v>
      </c>
      <c r="L1508">
        <v>33</v>
      </c>
      <c r="O1508">
        <v>12435</v>
      </c>
      <c r="P1508" t="s">
        <v>9690</v>
      </c>
      <c r="Q1508">
        <v>1</v>
      </c>
    </row>
    <row r="1509" spans="1:17" x14ac:dyDescent="0.25">
      <c r="A1509">
        <v>4</v>
      </c>
      <c r="B1509" t="s">
        <v>10689</v>
      </c>
      <c r="C1509" t="s">
        <v>21</v>
      </c>
      <c r="D1509" t="s">
        <v>9690</v>
      </c>
      <c r="G1509">
        <v>23459</v>
      </c>
      <c r="H1509" t="s">
        <v>10690</v>
      </c>
      <c r="I1509" t="s">
        <v>10691</v>
      </c>
      <c r="J1509">
        <v>23459</v>
      </c>
      <c r="K1509" t="s">
        <v>10692</v>
      </c>
      <c r="L1509">
        <v>31</v>
      </c>
      <c r="O1509">
        <v>23459</v>
      </c>
      <c r="P1509" t="s">
        <v>9690</v>
      </c>
      <c r="Q1509">
        <v>1</v>
      </c>
    </row>
    <row r="1510" spans="1:17" x14ac:dyDescent="0.25">
      <c r="A1510">
        <v>4</v>
      </c>
      <c r="B1510" t="s">
        <v>10693</v>
      </c>
      <c r="C1510" t="s">
        <v>21</v>
      </c>
      <c r="D1510" t="s">
        <v>9690</v>
      </c>
      <c r="G1510">
        <v>23461</v>
      </c>
      <c r="H1510" t="s">
        <v>10694</v>
      </c>
      <c r="I1510" t="s">
        <v>10695</v>
      </c>
      <c r="J1510">
        <v>23461</v>
      </c>
      <c r="K1510" t="s">
        <v>10696</v>
      </c>
      <c r="L1510">
        <v>3</v>
      </c>
      <c r="N1510" t="s">
        <v>4713</v>
      </c>
      <c r="O1510">
        <v>23461</v>
      </c>
      <c r="P1510" t="s">
        <v>9690</v>
      </c>
      <c r="Q1510">
        <v>1</v>
      </c>
    </row>
    <row r="1511" spans="1:17" x14ac:dyDescent="0.25">
      <c r="A1511">
        <v>4</v>
      </c>
      <c r="B1511" t="s">
        <v>10697</v>
      </c>
      <c r="C1511" t="s">
        <v>21</v>
      </c>
      <c r="D1511" t="s">
        <v>9690</v>
      </c>
      <c r="G1511">
        <v>23463</v>
      </c>
      <c r="H1511" t="s">
        <v>10698</v>
      </c>
      <c r="I1511" t="s">
        <v>10699</v>
      </c>
      <c r="J1511">
        <v>23463</v>
      </c>
      <c r="K1511" t="s">
        <v>10700</v>
      </c>
      <c r="L1511">
        <v>7</v>
      </c>
      <c r="N1511" t="s">
        <v>4713</v>
      </c>
      <c r="O1511">
        <v>23463</v>
      </c>
      <c r="P1511" t="s">
        <v>9690</v>
      </c>
      <c r="Q1511">
        <v>1</v>
      </c>
    </row>
    <row r="1512" spans="1:17" x14ac:dyDescent="0.25">
      <c r="A1512">
        <v>4</v>
      </c>
      <c r="B1512" t="s">
        <v>10701</v>
      </c>
      <c r="C1512" t="s">
        <v>21</v>
      </c>
      <c r="D1512" t="s">
        <v>9690</v>
      </c>
      <c r="G1512" t="s">
        <v>10702</v>
      </c>
      <c r="H1512" t="s">
        <v>10703</v>
      </c>
      <c r="I1512" t="s">
        <v>10704</v>
      </c>
      <c r="J1512" t="s">
        <v>10702</v>
      </c>
      <c r="K1512" t="s">
        <v>10705</v>
      </c>
      <c r="L1512">
        <v>114</v>
      </c>
      <c r="O1512" t="s">
        <v>10702</v>
      </c>
      <c r="P1512" t="s">
        <v>9690</v>
      </c>
      <c r="Q1512">
        <v>1</v>
      </c>
    </row>
    <row r="1513" spans="1:17" x14ac:dyDescent="0.25">
      <c r="A1513">
        <v>4</v>
      </c>
      <c r="B1513" t="s">
        <v>10706</v>
      </c>
      <c r="C1513" t="s">
        <v>21</v>
      </c>
      <c r="D1513" t="s">
        <v>9690</v>
      </c>
      <c r="G1513" t="s">
        <v>10707</v>
      </c>
      <c r="H1513" t="s">
        <v>10708</v>
      </c>
      <c r="I1513" t="s">
        <v>10709</v>
      </c>
      <c r="J1513" t="s">
        <v>10707</v>
      </c>
      <c r="K1513" t="s">
        <v>10710</v>
      </c>
      <c r="L1513">
        <v>692</v>
      </c>
      <c r="O1513" t="s">
        <v>10707</v>
      </c>
      <c r="P1513" t="s">
        <v>9690</v>
      </c>
      <c r="Q1513">
        <v>1</v>
      </c>
    </row>
    <row r="1514" spans="1:17" x14ac:dyDescent="0.25">
      <c r="A1514">
        <v>4</v>
      </c>
      <c r="B1514" t="s">
        <v>10711</v>
      </c>
      <c r="C1514" t="s">
        <v>21</v>
      </c>
      <c r="D1514" t="s">
        <v>9690</v>
      </c>
      <c r="G1514" t="s">
        <v>10712</v>
      </c>
      <c r="H1514" t="s">
        <v>10713</v>
      </c>
      <c r="I1514" t="s">
        <v>10714</v>
      </c>
      <c r="J1514" t="s">
        <v>10712</v>
      </c>
      <c r="K1514" t="s">
        <v>10715</v>
      </c>
      <c r="L1514">
        <v>215</v>
      </c>
      <c r="O1514" t="s">
        <v>10712</v>
      </c>
      <c r="P1514" t="s">
        <v>9690</v>
      </c>
      <c r="Q1514">
        <v>1</v>
      </c>
    </row>
    <row r="1515" spans="1:17" x14ac:dyDescent="0.25">
      <c r="A1515">
        <v>4</v>
      </c>
      <c r="B1515" t="s">
        <v>10716</v>
      </c>
      <c r="C1515" t="s">
        <v>21</v>
      </c>
      <c r="D1515" t="s">
        <v>9690</v>
      </c>
      <c r="G1515" t="s">
        <v>10717</v>
      </c>
      <c r="H1515" t="s">
        <v>10718</v>
      </c>
      <c r="I1515" t="s">
        <v>10719</v>
      </c>
      <c r="J1515" t="s">
        <v>10717</v>
      </c>
      <c r="K1515" t="s">
        <v>10720</v>
      </c>
      <c r="L1515">
        <v>27</v>
      </c>
      <c r="O1515" t="s">
        <v>10717</v>
      </c>
      <c r="P1515" t="s">
        <v>9690</v>
      </c>
      <c r="Q1515">
        <v>1</v>
      </c>
    </row>
    <row r="1516" spans="1:17" x14ac:dyDescent="0.25">
      <c r="A1516">
        <v>4</v>
      </c>
      <c r="B1516" t="s">
        <v>10721</v>
      </c>
      <c r="C1516" t="s">
        <v>21</v>
      </c>
      <c r="D1516" t="s">
        <v>9690</v>
      </c>
      <c r="G1516" t="s">
        <v>10722</v>
      </c>
      <c r="H1516" t="s">
        <v>10723</v>
      </c>
      <c r="I1516" t="s">
        <v>10724</v>
      </c>
      <c r="J1516" t="s">
        <v>10722</v>
      </c>
      <c r="K1516" t="s">
        <v>10725</v>
      </c>
      <c r="L1516">
        <v>79</v>
      </c>
      <c r="O1516" t="s">
        <v>10722</v>
      </c>
      <c r="P1516" t="s">
        <v>9690</v>
      </c>
      <c r="Q1516">
        <v>1</v>
      </c>
    </row>
    <row r="1517" spans="1:17" x14ac:dyDescent="0.25">
      <c r="A1517">
        <v>3</v>
      </c>
      <c r="B1517" t="s">
        <v>10726</v>
      </c>
      <c r="C1517" t="s">
        <v>21</v>
      </c>
      <c r="D1517" t="s">
        <v>9690</v>
      </c>
      <c r="F1517" t="s">
        <v>143</v>
      </c>
      <c r="H1517" t="s">
        <v>10727</v>
      </c>
      <c r="I1517" t="s">
        <v>991</v>
      </c>
      <c r="J1517" t="s">
        <v>143</v>
      </c>
      <c r="O1517" t="s">
        <v>143</v>
      </c>
      <c r="P1517" t="s">
        <v>9690</v>
      </c>
      <c r="Q1517">
        <v>1</v>
      </c>
    </row>
    <row r="1518" spans="1:17" x14ac:dyDescent="0.25">
      <c r="A1518">
        <v>4</v>
      </c>
      <c r="B1518" t="s">
        <v>10728</v>
      </c>
      <c r="C1518" t="s">
        <v>21</v>
      </c>
      <c r="D1518" t="s">
        <v>9690</v>
      </c>
      <c r="G1518">
        <v>23467</v>
      </c>
      <c r="H1518" t="s">
        <v>10729</v>
      </c>
      <c r="I1518" t="s">
        <v>10730</v>
      </c>
      <c r="J1518">
        <v>23467</v>
      </c>
      <c r="K1518" t="s">
        <v>10731</v>
      </c>
      <c r="L1518">
        <v>6</v>
      </c>
      <c r="N1518" t="s">
        <v>4713</v>
      </c>
      <c r="O1518">
        <v>23467</v>
      </c>
      <c r="P1518" t="s">
        <v>9690</v>
      </c>
      <c r="Q1518">
        <v>1</v>
      </c>
    </row>
    <row r="1519" spans="1:17" x14ac:dyDescent="0.25">
      <c r="A1519">
        <v>4</v>
      </c>
      <c r="B1519" t="s">
        <v>10732</v>
      </c>
      <c r="C1519" t="s">
        <v>21</v>
      </c>
      <c r="D1519" t="s">
        <v>9690</v>
      </c>
      <c r="G1519">
        <v>23470</v>
      </c>
      <c r="H1519" t="s">
        <v>10733</v>
      </c>
      <c r="I1519" t="s">
        <v>10734</v>
      </c>
      <c r="J1519">
        <v>23470</v>
      </c>
      <c r="K1519" t="s">
        <v>10735</v>
      </c>
      <c r="L1519">
        <v>4</v>
      </c>
      <c r="N1519" t="s">
        <v>4713</v>
      </c>
      <c r="O1519">
        <v>23470</v>
      </c>
      <c r="P1519" t="s">
        <v>9690</v>
      </c>
      <c r="Q1519">
        <v>1</v>
      </c>
    </row>
    <row r="1520" spans="1:17" x14ac:dyDescent="0.25">
      <c r="A1520">
        <v>4</v>
      </c>
      <c r="B1520" t="s">
        <v>10736</v>
      </c>
      <c r="C1520" t="s">
        <v>21</v>
      </c>
      <c r="D1520" t="s">
        <v>9690</v>
      </c>
      <c r="G1520">
        <v>23472</v>
      </c>
      <c r="H1520" t="s">
        <v>10737</v>
      </c>
      <c r="I1520" t="s">
        <v>10738</v>
      </c>
      <c r="J1520">
        <v>23472</v>
      </c>
      <c r="K1520" t="s">
        <v>10739</v>
      </c>
      <c r="L1520">
        <v>1</v>
      </c>
      <c r="N1520" t="s">
        <v>4734</v>
      </c>
      <c r="O1520">
        <v>23472</v>
      </c>
      <c r="P1520" t="s">
        <v>9690</v>
      </c>
      <c r="Q1520">
        <v>1</v>
      </c>
    </row>
    <row r="1521" spans="1:17" x14ac:dyDescent="0.25">
      <c r="A1521">
        <v>4</v>
      </c>
      <c r="B1521" t="s">
        <v>10740</v>
      </c>
      <c r="C1521" t="s">
        <v>21</v>
      </c>
      <c r="D1521" t="s">
        <v>9690</v>
      </c>
      <c r="G1521">
        <v>543944</v>
      </c>
      <c r="H1521" t="s">
        <v>10741</v>
      </c>
      <c r="I1521" t="s">
        <v>10742</v>
      </c>
      <c r="J1521">
        <v>543944</v>
      </c>
      <c r="K1521" t="s">
        <v>10743</v>
      </c>
      <c r="L1521">
        <v>17</v>
      </c>
      <c r="O1521">
        <v>543944</v>
      </c>
      <c r="P1521" t="s">
        <v>9690</v>
      </c>
      <c r="Q1521">
        <v>1</v>
      </c>
    </row>
    <row r="1522" spans="1:17" x14ac:dyDescent="0.25">
      <c r="A1522">
        <v>4</v>
      </c>
      <c r="B1522" t="s">
        <v>10744</v>
      </c>
      <c r="C1522" t="s">
        <v>21</v>
      </c>
      <c r="D1522" t="s">
        <v>9690</v>
      </c>
      <c r="G1522" t="s">
        <v>10745</v>
      </c>
      <c r="H1522" t="s">
        <v>10746</v>
      </c>
      <c r="I1522" t="s">
        <v>10747</v>
      </c>
      <c r="J1522" t="s">
        <v>10745</v>
      </c>
      <c r="K1522" t="s">
        <v>10748</v>
      </c>
      <c r="L1522">
        <v>68</v>
      </c>
      <c r="O1522" t="s">
        <v>10745</v>
      </c>
      <c r="P1522" t="s">
        <v>9690</v>
      </c>
      <c r="Q1522">
        <v>1</v>
      </c>
    </row>
    <row r="1523" spans="1:17" x14ac:dyDescent="0.25">
      <c r="A1523">
        <v>4</v>
      </c>
      <c r="B1523" t="s">
        <v>10749</v>
      </c>
      <c r="C1523" t="s">
        <v>21</v>
      </c>
      <c r="D1523" t="s">
        <v>9690</v>
      </c>
      <c r="G1523" t="s">
        <v>10750</v>
      </c>
      <c r="H1523" t="s">
        <v>10751</v>
      </c>
      <c r="I1523" t="s">
        <v>10752</v>
      </c>
      <c r="J1523" t="s">
        <v>10750</v>
      </c>
      <c r="K1523" t="s">
        <v>10753</v>
      </c>
      <c r="L1523">
        <v>109</v>
      </c>
      <c r="O1523" t="s">
        <v>10750</v>
      </c>
      <c r="P1523" t="s">
        <v>9690</v>
      </c>
      <c r="Q1523">
        <v>1</v>
      </c>
    </row>
    <row r="1524" spans="1:17" x14ac:dyDescent="0.25">
      <c r="A1524">
        <v>4</v>
      </c>
      <c r="B1524" t="s">
        <v>10754</v>
      </c>
      <c r="C1524" t="s">
        <v>21</v>
      </c>
      <c r="D1524" t="s">
        <v>9690</v>
      </c>
      <c r="G1524" t="s">
        <v>10755</v>
      </c>
      <c r="H1524" t="s">
        <v>10756</v>
      </c>
      <c r="I1524" t="s">
        <v>10757</v>
      </c>
      <c r="J1524" t="s">
        <v>10755</v>
      </c>
      <c r="K1524" t="s">
        <v>10758</v>
      </c>
      <c r="L1524">
        <v>205</v>
      </c>
      <c r="O1524" t="s">
        <v>10755</v>
      </c>
      <c r="P1524" t="s">
        <v>9690</v>
      </c>
      <c r="Q1524">
        <v>1</v>
      </c>
    </row>
    <row r="1525" spans="1:17" x14ac:dyDescent="0.25">
      <c r="A1525">
        <v>4</v>
      </c>
      <c r="B1525" t="s">
        <v>10759</v>
      </c>
      <c r="C1525" t="s">
        <v>21</v>
      </c>
      <c r="D1525" t="s">
        <v>9690</v>
      </c>
      <c r="G1525" t="s">
        <v>10760</v>
      </c>
      <c r="H1525" t="s">
        <v>10761</v>
      </c>
      <c r="I1525" t="s">
        <v>10762</v>
      </c>
      <c r="J1525" t="s">
        <v>10760</v>
      </c>
      <c r="K1525" t="s">
        <v>10763</v>
      </c>
      <c r="L1525">
        <v>91</v>
      </c>
      <c r="O1525" t="s">
        <v>10760</v>
      </c>
      <c r="P1525" t="s">
        <v>9690</v>
      </c>
      <c r="Q1525">
        <v>1</v>
      </c>
    </row>
    <row r="1526" spans="1:17" x14ac:dyDescent="0.25">
      <c r="A1526">
        <v>3</v>
      </c>
      <c r="B1526" t="s">
        <v>10764</v>
      </c>
      <c r="C1526" t="s">
        <v>21</v>
      </c>
      <c r="D1526" t="s">
        <v>9690</v>
      </c>
      <c r="F1526" t="s">
        <v>141</v>
      </c>
      <c r="H1526" t="s">
        <v>142</v>
      </c>
      <c r="I1526" t="s">
        <v>381</v>
      </c>
      <c r="J1526" t="s">
        <v>141</v>
      </c>
      <c r="O1526" t="s">
        <v>141</v>
      </c>
      <c r="P1526" t="s">
        <v>9690</v>
      </c>
      <c r="Q1526">
        <v>1</v>
      </c>
    </row>
    <row r="1527" spans="1:17" x14ac:dyDescent="0.25">
      <c r="A1527">
        <v>4</v>
      </c>
      <c r="B1527" t="s">
        <v>10765</v>
      </c>
      <c r="C1527" t="s">
        <v>21</v>
      </c>
      <c r="D1527" t="s">
        <v>9690</v>
      </c>
      <c r="G1527">
        <v>166294</v>
      </c>
      <c r="H1527" t="s">
        <v>10766</v>
      </c>
      <c r="I1527" t="s">
        <v>10767</v>
      </c>
      <c r="J1527">
        <v>166294</v>
      </c>
      <c r="K1527" t="s">
        <v>10768</v>
      </c>
      <c r="L1527">
        <v>27</v>
      </c>
      <c r="O1527">
        <v>166294</v>
      </c>
      <c r="P1527" t="s">
        <v>9690</v>
      </c>
      <c r="Q1527">
        <v>1</v>
      </c>
    </row>
    <row r="1528" spans="1:17" x14ac:dyDescent="0.25">
      <c r="A1528">
        <v>4</v>
      </c>
      <c r="B1528" t="s">
        <v>10769</v>
      </c>
      <c r="C1528" t="s">
        <v>21</v>
      </c>
      <c r="D1528" t="s">
        <v>9690</v>
      </c>
      <c r="G1528">
        <v>23474</v>
      </c>
      <c r="H1528" t="s">
        <v>10770</v>
      </c>
      <c r="I1528" t="s">
        <v>10771</v>
      </c>
      <c r="J1528">
        <v>23474</v>
      </c>
      <c r="K1528" t="s">
        <v>10772</v>
      </c>
      <c r="L1528">
        <v>19</v>
      </c>
      <c r="O1528">
        <v>23474</v>
      </c>
      <c r="P1528" t="s">
        <v>9690</v>
      </c>
      <c r="Q1528">
        <v>1</v>
      </c>
    </row>
    <row r="1529" spans="1:17" x14ac:dyDescent="0.25">
      <c r="A1529">
        <v>4</v>
      </c>
      <c r="B1529" t="s">
        <v>10773</v>
      </c>
      <c r="C1529" t="s">
        <v>21</v>
      </c>
      <c r="D1529" t="s">
        <v>9690</v>
      </c>
      <c r="G1529">
        <v>23476</v>
      </c>
      <c r="H1529" t="s">
        <v>10774</v>
      </c>
      <c r="I1529" t="s">
        <v>10775</v>
      </c>
      <c r="J1529">
        <v>23476</v>
      </c>
      <c r="K1529" t="s">
        <v>10776</v>
      </c>
      <c r="L1529">
        <v>71</v>
      </c>
      <c r="O1529">
        <v>23476</v>
      </c>
      <c r="P1529" t="s">
        <v>9690</v>
      </c>
      <c r="Q1529">
        <v>1</v>
      </c>
    </row>
    <row r="1530" spans="1:17" x14ac:dyDescent="0.25">
      <c r="A1530">
        <v>4</v>
      </c>
      <c r="B1530" t="s">
        <v>10777</v>
      </c>
      <c r="C1530" t="s">
        <v>21</v>
      </c>
      <c r="D1530" t="s">
        <v>9690</v>
      </c>
      <c r="G1530">
        <v>23478</v>
      </c>
      <c r="H1530" t="s">
        <v>10778</v>
      </c>
      <c r="I1530" t="s">
        <v>10779</v>
      </c>
      <c r="J1530">
        <v>23478</v>
      </c>
      <c r="K1530" t="s">
        <v>10780</v>
      </c>
      <c r="L1530">
        <v>9</v>
      </c>
      <c r="N1530" t="s">
        <v>4713</v>
      </c>
      <c r="O1530">
        <v>23478</v>
      </c>
      <c r="P1530" t="s">
        <v>9690</v>
      </c>
      <c r="Q1530">
        <v>1</v>
      </c>
    </row>
    <row r="1531" spans="1:17" x14ac:dyDescent="0.25">
      <c r="A1531">
        <v>4</v>
      </c>
      <c r="B1531" t="s">
        <v>10781</v>
      </c>
      <c r="C1531" t="s">
        <v>21</v>
      </c>
      <c r="D1531" t="s">
        <v>9690</v>
      </c>
      <c r="G1531">
        <v>23480</v>
      </c>
      <c r="H1531" t="s">
        <v>10782</v>
      </c>
      <c r="I1531" t="s">
        <v>10333</v>
      </c>
      <c r="J1531">
        <v>23480</v>
      </c>
      <c r="K1531" t="s">
        <v>10783</v>
      </c>
      <c r="L1531">
        <v>3</v>
      </c>
      <c r="N1531" t="s">
        <v>4713</v>
      </c>
      <c r="O1531">
        <v>23480</v>
      </c>
      <c r="P1531" t="s">
        <v>9690</v>
      </c>
      <c r="Q1531">
        <v>1</v>
      </c>
    </row>
    <row r="1532" spans="1:17" x14ac:dyDescent="0.25">
      <c r="A1532">
        <v>4</v>
      </c>
      <c r="B1532" t="s">
        <v>10784</v>
      </c>
      <c r="C1532" t="s">
        <v>21</v>
      </c>
      <c r="D1532" t="s">
        <v>9690</v>
      </c>
      <c r="G1532">
        <v>23482</v>
      </c>
      <c r="H1532" t="s">
        <v>10785</v>
      </c>
      <c r="I1532" t="s">
        <v>10786</v>
      </c>
      <c r="J1532">
        <v>23482</v>
      </c>
      <c r="K1532" t="s">
        <v>10787</v>
      </c>
      <c r="L1532">
        <v>19</v>
      </c>
      <c r="O1532">
        <v>23482</v>
      </c>
      <c r="P1532" t="s">
        <v>9690</v>
      </c>
      <c r="Q1532">
        <v>1</v>
      </c>
    </row>
    <row r="1533" spans="1:17" x14ac:dyDescent="0.25">
      <c r="A1533">
        <v>4</v>
      </c>
      <c r="B1533" t="s">
        <v>10788</v>
      </c>
      <c r="C1533" t="s">
        <v>21</v>
      </c>
      <c r="D1533" t="s">
        <v>9690</v>
      </c>
      <c r="G1533">
        <v>565095</v>
      </c>
      <c r="H1533" t="s">
        <v>10789</v>
      </c>
      <c r="I1533" t="s">
        <v>10790</v>
      </c>
      <c r="J1533">
        <v>565095</v>
      </c>
      <c r="K1533" t="s">
        <v>10791</v>
      </c>
      <c r="L1533">
        <v>1</v>
      </c>
      <c r="N1533" t="s">
        <v>4734</v>
      </c>
      <c r="O1533">
        <v>565095</v>
      </c>
      <c r="P1533" t="s">
        <v>9690</v>
      </c>
      <c r="Q1533">
        <v>1</v>
      </c>
    </row>
    <row r="1534" spans="1:17" x14ac:dyDescent="0.25">
      <c r="A1534">
        <v>4</v>
      </c>
      <c r="B1534" t="s">
        <v>10792</v>
      </c>
      <c r="C1534" t="s">
        <v>21</v>
      </c>
      <c r="D1534" t="s">
        <v>9690</v>
      </c>
      <c r="G1534">
        <v>589259</v>
      </c>
      <c r="H1534" t="s">
        <v>10793</v>
      </c>
      <c r="I1534" t="s">
        <v>10794</v>
      </c>
      <c r="J1534">
        <v>589259</v>
      </c>
      <c r="K1534" t="s">
        <v>10795</v>
      </c>
      <c r="L1534">
        <v>71</v>
      </c>
      <c r="O1534">
        <v>589259</v>
      </c>
      <c r="P1534" t="s">
        <v>9690</v>
      </c>
      <c r="Q1534">
        <v>1</v>
      </c>
    </row>
    <row r="1535" spans="1:17" x14ac:dyDescent="0.25">
      <c r="A1535">
        <v>4</v>
      </c>
      <c r="B1535" t="s">
        <v>10796</v>
      </c>
      <c r="C1535" t="s">
        <v>21</v>
      </c>
      <c r="D1535" t="s">
        <v>9690</v>
      </c>
      <c r="G1535" t="s">
        <v>10797</v>
      </c>
      <c r="H1535" t="s">
        <v>10798</v>
      </c>
      <c r="I1535" t="s">
        <v>10799</v>
      </c>
      <c r="J1535" t="s">
        <v>10797</v>
      </c>
      <c r="K1535" t="s">
        <v>10800</v>
      </c>
      <c r="L1535">
        <v>600</v>
      </c>
      <c r="O1535" t="s">
        <v>10797</v>
      </c>
      <c r="P1535" t="s">
        <v>9690</v>
      </c>
      <c r="Q1535">
        <v>1</v>
      </c>
    </row>
    <row r="1536" spans="1:17" x14ac:dyDescent="0.25">
      <c r="A1536">
        <v>4</v>
      </c>
      <c r="B1536" t="s">
        <v>10801</v>
      </c>
      <c r="C1536" t="s">
        <v>21</v>
      </c>
      <c r="D1536" t="s">
        <v>9690</v>
      </c>
      <c r="G1536" t="s">
        <v>10802</v>
      </c>
      <c r="H1536" t="s">
        <v>10803</v>
      </c>
      <c r="I1536" t="s">
        <v>10804</v>
      </c>
      <c r="J1536" t="s">
        <v>10802</v>
      </c>
      <c r="K1536" t="s">
        <v>10805</v>
      </c>
      <c r="L1536">
        <v>84</v>
      </c>
      <c r="O1536" t="s">
        <v>10802</v>
      </c>
      <c r="P1536" t="s">
        <v>9690</v>
      </c>
      <c r="Q1536">
        <v>1</v>
      </c>
    </row>
    <row r="1537" spans="1:17" x14ac:dyDescent="0.25">
      <c r="A1537">
        <v>1</v>
      </c>
      <c r="B1537">
        <v>9</v>
      </c>
      <c r="C1537" t="s">
        <v>7398</v>
      </c>
      <c r="D1537" t="s">
        <v>10806</v>
      </c>
      <c r="H1537" t="s">
        <v>10806</v>
      </c>
      <c r="I1537" t="e">
        <v>#N/A</v>
      </c>
      <c r="J1537" t="e">
        <v>#N/A</v>
      </c>
      <c r="O1537" t="s">
        <v>7398</v>
      </c>
      <c r="P1537" t="s">
        <v>10806</v>
      </c>
      <c r="Q1537">
        <v>9</v>
      </c>
    </row>
    <row r="1538" spans="1:17" x14ac:dyDescent="0.25">
      <c r="A1538">
        <v>2</v>
      </c>
      <c r="B1538" t="s">
        <v>10807</v>
      </c>
      <c r="C1538" t="s">
        <v>7398</v>
      </c>
      <c r="D1538" t="s">
        <v>10806</v>
      </c>
      <c r="E1538" t="s">
        <v>7398</v>
      </c>
      <c r="H1538" t="s">
        <v>10808</v>
      </c>
      <c r="I1538" t="e">
        <v>#N/A</v>
      </c>
      <c r="J1538" t="e">
        <v>#N/A</v>
      </c>
      <c r="O1538" t="s">
        <v>7398</v>
      </c>
      <c r="P1538" t="s">
        <v>10806</v>
      </c>
      <c r="Q1538">
        <v>9</v>
      </c>
    </row>
    <row r="1539" spans="1:17" x14ac:dyDescent="0.25">
      <c r="A1539">
        <v>3</v>
      </c>
      <c r="B1539" t="s">
        <v>10809</v>
      </c>
      <c r="C1539" t="s">
        <v>7398</v>
      </c>
      <c r="D1539" t="s">
        <v>10806</v>
      </c>
      <c r="F1539" t="s">
        <v>50</v>
      </c>
      <c r="H1539" t="s">
        <v>493</v>
      </c>
      <c r="I1539" t="s">
        <v>959</v>
      </c>
      <c r="J1539" t="s">
        <v>50</v>
      </c>
      <c r="O1539" t="s">
        <v>50</v>
      </c>
      <c r="P1539" t="s">
        <v>10806</v>
      </c>
      <c r="Q1539">
        <v>1</v>
      </c>
    </row>
    <row r="1540" spans="1:17" x14ac:dyDescent="0.25">
      <c r="A1540">
        <v>4</v>
      </c>
      <c r="B1540" t="s">
        <v>10810</v>
      </c>
      <c r="C1540" t="s">
        <v>7398</v>
      </c>
      <c r="D1540" t="s">
        <v>10806</v>
      </c>
      <c r="G1540" t="s">
        <v>10811</v>
      </c>
      <c r="H1540" t="s">
        <v>10812</v>
      </c>
      <c r="I1540" t="s">
        <v>10812</v>
      </c>
      <c r="J1540" t="s">
        <v>10811</v>
      </c>
      <c r="K1540" t="s">
        <v>10813</v>
      </c>
      <c r="L1540">
        <v>4</v>
      </c>
      <c r="N1540" t="s">
        <v>4713</v>
      </c>
      <c r="O1540" t="s">
        <v>10811</v>
      </c>
      <c r="P1540" t="s">
        <v>10806</v>
      </c>
      <c r="Q1540">
        <v>1</v>
      </c>
    </row>
    <row r="1541" spans="1:17" x14ac:dyDescent="0.25">
      <c r="A1541">
        <v>4</v>
      </c>
      <c r="B1541" t="s">
        <v>10814</v>
      </c>
      <c r="C1541" t="s">
        <v>7398</v>
      </c>
      <c r="D1541" t="s">
        <v>10806</v>
      </c>
      <c r="G1541" t="s">
        <v>10815</v>
      </c>
      <c r="H1541" t="s">
        <v>54</v>
      </c>
      <c r="I1541" t="s">
        <v>54</v>
      </c>
      <c r="J1541" t="s">
        <v>10815</v>
      </c>
      <c r="K1541" t="s">
        <v>10816</v>
      </c>
      <c r="L1541">
        <v>72</v>
      </c>
      <c r="O1541" t="s">
        <v>10815</v>
      </c>
      <c r="P1541" t="s">
        <v>10806</v>
      </c>
      <c r="Q1541">
        <v>1</v>
      </c>
    </row>
    <row r="1542" spans="1:17" x14ac:dyDescent="0.25">
      <c r="A1542">
        <v>3</v>
      </c>
      <c r="B1542" t="s">
        <v>10817</v>
      </c>
      <c r="C1542" t="s">
        <v>7398</v>
      </c>
      <c r="D1542" t="s">
        <v>10806</v>
      </c>
      <c r="F1542" t="s">
        <v>220</v>
      </c>
      <c r="H1542" t="s">
        <v>10818</v>
      </c>
      <c r="I1542" t="s">
        <v>2203</v>
      </c>
      <c r="J1542" t="s">
        <v>220</v>
      </c>
      <c r="O1542" t="s">
        <v>220</v>
      </c>
      <c r="P1542" t="s">
        <v>10806</v>
      </c>
      <c r="Q1542">
        <v>1</v>
      </c>
    </row>
    <row r="1543" spans="1:17" x14ac:dyDescent="0.25">
      <c r="A1543">
        <v>4</v>
      </c>
      <c r="B1543" t="s">
        <v>10819</v>
      </c>
      <c r="C1543" t="s">
        <v>7398</v>
      </c>
      <c r="D1543" t="s">
        <v>10806</v>
      </c>
      <c r="G1543">
        <v>19487</v>
      </c>
      <c r="H1543" t="s">
        <v>10820</v>
      </c>
      <c r="I1543" t="s">
        <v>10820</v>
      </c>
      <c r="J1543">
        <v>19487</v>
      </c>
      <c r="K1543" t="s">
        <v>10821</v>
      </c>
      <c r="L1543">
        <v>26</v>
      </c>
      <c r="O1543">
        <v>19487</v>
      </c>
      <c r="P1543" t="s">
        <v>10806</v>
      </c>
      <c r="Q1543">
        <v>1</v>
      </c>
    </row>
    <row r="1544" spans="1:17" x14ac:dyDescent="0.25">
      <c r="A1544">
        <v>3</v>
      </c>
      <c r="B1544" t="s">
        <v>10822</v>
      </c>
      <c r="C1544" t="s">
        <v>7398</v>
      </c>
      <c r="D1544" t="s">
        <v>10806</v>
      </c>
      <c r="F1544" t="s">
        <v>218</v>
      </c>
      <c r="H1544" t="s">
        <v>219</v>
      </c>
      <c r="I1544" t="s">
        <v>504</v>
      </c>
      <c r="J1544" t="s">
        <v>218</v>
      </c>
      <c r="O1544" t="s">
        <v>218</v>
      </c>
      <c r="P1544" t="s">
        <v>10806</v>
      </c>
      <c r="Q1544">
        <v>1</v>
      </c>
    </row>
    <row r="1545" spans="1:17" x14ac:dyDescent="0.25">
      <c r="A1545">
        <v>4</v>
      </c>
      <c r="B1545" t="s">
        <v>10823</v>
      </c>
      <c r="C1545" t="s">
        <v>7398</v>
      </c>
      <c r="D1545" t="s">
        <v>10806</v>
      </c>
      <c r="G1545">
        <v>19533</v>
      </c>
      <c r="H1545" t="s">
        <v>219</v>
      </c>
      <c r="I1545" t="s">
        <v>504</v>
      </c>
      <c r="J1545">
        <v>19533</v>
      </c>
      <c r="K1545" t="s">
        <v>10824</v>
      </c>
      <c r="L1545">
        <v>14</v>
      </c>
      <c r="O1545">
        <v>19533</v>
      </c>
      <c r="P1545" t="s">
        <v>10806</v>
      </c>
      <c r="Q1545">
        <v>1</v>
      </c>
    </row>
    <row r="1546" spans="1:17" x14ac:dyDescent="0.25">
      <c r="A1546">
        <v>4</v>
      </c>
      <c r="B1546" t="s">
        <v>10825</v>
      </c>
      <c r="C1546" t="s">
        <v>7398</v>
      </c>
      <c r="D1546" t="s">
        <v>10806</v>
      </c>
      <c r="G1546">
        <v>19535</v>
      </c>
      <c r="H1546" t="s">
        <v>10826</v>
      </c>
      <c r="I1546" t="s">
        <v>10827</v>
      </c>
      <c r="J1546">
        <v>19535</v>
      </c>
      <c r="K1546" t="s">
        <v>10828</v>
      </c>
      <c r="L1546">
        <v>2</v>
      </c>
      <c r="N1546" t="s">
        <v>4713</v>
      </c>
      <c r="O1546">
        <v>19535</v>
      </c>
      <c r="P1546" t="s">
        <v>10806</v>
      </c>
      <c r="Q1546">
        <v>1</v>
      </c>
    </row>
    <row r="1547" spans="1:17" x14ac:dyDescent="0.25">
      <c r="A1547">
        <v>4</v>
      </c>
      <c r="B1547" t="s">
        <v>10829</v>
      </c>
      <c r="C1547" t="s">
        <v>7398</v>
      </c>
      <c r="D1547" t="s">
        <v>10806</v>
      </c>
      <c r="G1547">
        <v>19537</v>
      </c>
      <c r="H1547" t="s">
        <v>10830</v>
      </c>
      <c r="I1547" t="s">
        <v>10831</v>
      </c>
      <c r="J1547">
        <v>19537</v>
      </c>
      <c r="K1547" t="s">
        <v>10832</v>
      </c>
      <c r="L1547">
        <v>18</v>
      </c>
      <c r="O1547">
        <v>19537</v>
      </c>
      <c r="P1547" t="s">
        <v>10806</v>
      </c>
      <c r="Q1547">
        <v>1</v>
      </c>
    </row>
    <row r="1548" spans="1:17" x14ac:dyDescent="0.25">
      <c r="A1548">
        <v>4</v>
      </c>
      <c r="B1548" t="s">
        <v>10833</v>
      </c>
      <c r="C1548" t="s">
        <v>7398</v>
      </c>
      <c r="D1548" t="s">
        <v>10806</v>
      </c>
      <c r="G1548">
        <v>19539</v>
      </c>
      <c r="H1548" t="s">
        <v>10834</v>
      </c>
      <c r="I1548" t="s">
        <v>10835</v>
      </c>
      <c r="J1548">
        <v>19539</v>
      </c>
      <c r="K1548" t="s">
        <v>10836</v>
      </c>
      <c r="L1548">
        <v>88</v>
      </c>
      <c r="O1548">
        <v>19539</v>
      </c>
      <c r="P1548" t="s">
        <v>10806</v>
      </c>
      <c r="Q1548">
        <v>1</v>
      </c>
    </row>
    <row r="1549" spans="1:17" x14ac:dyDescent="0.25">
      <c r="A1549">
        <v>4</v>
      </c>
      <c r="B1549" t="s">
        <v>10837</v>
      </c>
      <c r="C1549" t="s">
        <v>7398</v>
      </c>
      <c r="D1549" t="s">
        <v>10806</v>
      </c>
      <c r="G1549" t="s">
        <v>10838</v>
      </c>
      <c r="H1549" t="s">
        <v>10839</v>
      </c>
      <c r="I1549" t="s">
        <v>10840</v>
      </c>
      <c r="J1549" t="s">
        <v>10838</v>
      </c>
      <c r="K1549" t="s">
        <v>10841</v>
      </c>
      <c r="L1549">
        <v>190</v>
      </c>
      <c r="O1549" t="s">
        <v>10838</v>
      </c>
      <c r="P1549" t="s">
        <v>10806</v>
      </c>
      <c r="Q1549">
        <v>1</v>
      </c>
    </row>
    <row r="1550" spans="1:17" x14ac:dyDescent="0.25">
      <c r="A1550">
        <v>3</v>
      </c>
      <c r="B1550" t="s">
        <v>10842</v>
      </c>
      <c r="C1550" t="s">
        <v>7398</v>
      </c>
      <c r="D1550" t="s">
        <v>10806</v>
      </c>
      <c r="F1550" t="s">
        <v>216</v>
      </c>
      <c r="H1550" t="s">
        <v>217</v>
      </c>
      <c r="I1550" t="s">
        <v>501</v>
      </c>
      <c r="J1550" t="s">
        <v>216</v>
      </c>
      <c r="O1550" t="s">
        <v>216</v>
      </c>
      <c r="P1550" t="s">
        <v>10806</v>
      </c>
      <c r="Q1550">
        <v>1</v>
      </c>
    </row>
    <row r="1551" spans="1:17" x14ac:dyDescent="0.25">
      <c r="A1551">
        <v>4</v>
      </c>
      <c r="B1551" t="s">
        <v>10843</v>
      </c>
      <c r="C1551" t="s">
        <v>7398</v>
      </c>
      <c r="D1551" t="s">
        <v>10806</v>
      </c>
      <c r="G1551">
        <v>19497</v>
      </c>
      <c r="H1551" t="s">
        <v>10844</v>
      </c>
      <c r="I1551" t="s">
        <v>957</v>
      </c>
      <c r="J1551">
        <v>19497</v>
      </c>
      <c r="K1551" t="s">
        <v>10845</v>
      </c>
      <c r="L1551">
        <v>5</v>
      </c>
      <c r="N1551" t="s">
        <v>4713</v>
      </c>
      <c r="O1551">
        <v>19497</v>
      </c>
      <c r="P1551" t="s">
        <v>10806</v>
      </c>
      <c r="Q1551">
        <v>1</v>
      </c>
    </row>
    <row r="1552" spans="1:17" x14ac:dyDescent="0.25">
      <c r="A1552">
        <v>4</v>
      </c>
      <c r="B1552" t="s">
        <v>10846</v>
      </c>
      <c r="C1552" t="s">
        <v>7398</v>
      </c>
      <c r="D1552" t="s">
        <v>10806</v>
      </c>
      <c r="G1552">
        <v>19503</v>
      </c>
      <c r="H1552" t="s">
        <v>10847</v>
      </c>
      <c r="I1552" t="s">
        <v>10848</v>
      </c>
      <c r="J1552">
        <v>19503</v>
      </c>
      <c r="K1552" t="s">
        <v>10849</v>
      </c>
      <c r="L1552">
        <v>14</v>
      </c>
      <c r="O1552">
        <v>19503</v>
      </c>
      <c r="P1552" t="s">
        <v>10806</v>
      </c>
      <c r="Q1552">
        <v>1</v>
      </c>
    </row>
    <row r="1553" spans="1:17" x14ac:dyDescent="0.25">
      <c r="A1553">
        <v>3</v>
      </c>
      <c r="B1553" t="s">
        <v>10850</v>
      </c>
      <c r="C1553" t="s">
        <v>7398</v>
      </c>
      <c r="D1553" t="s">
        <v>10806</v>
      </c>
      <c r="F1553" t="s">
        <v>211</v>
      </c>
      <c r="H1553" t="s">
        <v>10851</v>
      </c>
      <c r="I1553" t="s">
        <v>494</v>
      </c>
      <c r="J1553" t="s">
        <v>211</v>
      </c>
      <c r="O1553" t="s">
        <v>211</v>
      </c>
      <c r="P1553" t="s">
        <v>10806</v>
      </c>
      <c r="Q1553">
        <v>1</v>
      </c>
    </row>
    <row r="1554" spans="1:17" x14ac:dyDescent="0.25">
      <c r="A1554">
        <v>4</v>
      </c>
      <c r="B1554" t="s">
        <v>10852</v>
      </c>
      <c r="C1554" t="s">
        <v>7398</v>
      </c>
      <c r="D1554" t="s">
        <v>10806</v>
      </c>
      <c r="G1554">
        <v>29852</v>
      </c>
      <c r="H1554" t="s">
        <v>10853</v>
      </c>
      <c r="I1554" t="s">
        <v>10854</v>
      </c>
      <c r="J1554">
        <v>29852</v>
      </c>
      <c r="K1554" t="s">
        <v>10855</v>
      </c>
      <c r="L1554">
        <v>6</v>
      </c>
      <c r="N1554" t="s">
        <v>4713</v>
      </c>
      <c r="O1554">
        <v>29852</v>
      </c>
      <c r="P1554" t="s">
        <v>10806</v>
      </c>
      <c r="Q1554">
        <v>1</v>
      </c>
    </row>
    <row r="1555" spans="1:17" x14ac:dyDescent="0.25">
      <c r="A1555">
        <v>4</v>
      </c>
      <c r="B1555" t="s">
        <v>10856</v>
      </c>
      <c r="C1555" t="s">
        <v>7398</v>
      </c>
      <c r="D1555" t="s">
        <v>10806</v>
      </c>
      <c r="G1555" t="s">
        <v>10857</v>
      </c>
      <c r="H1555" t="s">
        <v>5717</v>
      </c>
      <c r="I1555" t="s">
        <v>10858</v>
      </c>
      <c r="J1555" t="s">
        <v>10857</v>
      </c>
      <c r="K1555" t="s">
        <v>10859</v>
      </c>
      <c r="L1555">
        <v>60</v>
      </c>
      <c r="O1555" t="s">
        <v>10857</v>
      </c>
      <c r="P1555" t="s">
        <v>10806</v>
      </c>
      <c r="Q1555">
        <v>1</v>
      </c>
    </row>
    <row r="1556" spans="1:17" x14ac:dyDescent="0.25">
      <c r="A1556">
        <v>3</v>
      </c>
      <c r="B1556" t="s">
        <v>10860</v>
      </c>
      <c r="C1556" t="s">
        <v>7398</v>
      </c>
      <c r="D1556" t="s">
        <v>10806</v>
      </c>
      <c r="F1556" t="s">
        <v>214</v>
      </c>
      <c r="H1556" t="s">
        <v>215</v>
      </c>
      <c r="I1556" t="s">
        <v>498</v>
      </c>
      <c r="J1556" t="s">
        <v>214</v>
      </c>
      <c r="O1556" t="s">
        <v>214</v>
      </c>
      <c r="P1556" t="s">
        <v>10806</v>
      </c>
      <c r="Q1556">
        <v>1</v>
      </c>
    </row>
    <row r="1557" spans="1:17" x14ac:dyDescent="0.25">
      <c r="A1557">
        <v>4</v>
      </c>
      <c r="B1557" t="s">
        <v>10861</v>
      </c>
      <c r="C1557" t="s">
        <v>7398</v>
      </c>
      <c r="D1557" t="s">
        <v>10806</v>
      </c>
      <c r="G1557">
        <v>19525</v>
      </c>
      <c r="H1557" t="s">
        <v>10862</v>
      </c>
      <c r="I1557" t="s">
        <v>10863</v>
      </c>
      <c r="J1557">
        <v>19525</v>
      </c>
      <c r="K1557" t="s">
        <v>10864</v>
      </c>
      <c r="L1557">
        <v>30</v>
      </c>
      <c r="O1557">
        <v>19525</v>
      </c>
      <c r="P1557" t="s">
        <v>10806</v>
      </c>
      <c r="Q1557">
        <v>1</v>
      </c>
    </row>
    <row r="1558" spans="1:17" x14ac:dyDescent="0.25">
      <c r="A1558">
        <v>4</v>
      </c>
      <c r="B1558" t="s">
        <v>10865</v>
      </c>
      <c r="C1558" t="s">
        <v>7398</v>
      </c>
      <c r="D1558" t="s">
        <v>10806</v>
      </c>
      <c r="G1558">
        <v>19527</v>
      </c>
      <c r="H1558" t="s">
        <v>10866</v>
      </c>
      <c r="I1558" t="s">
        <v>10867</v>
      </c>
      <c r="J1558">
        <v>19527</v>
      </c>
      <c r="K1558" t="s">
        <v>10868</v>
      </c>
      <c r="L1558">
        <v>12</v>
      </c>
      <c r="O1558">
        <v>19527</v>
      </c>
      <c r="P1558" t="s">
        <v>10806</v>
      </c>
      <c r="Q1558">
        <v>1</v>
      </c>
    </row>
    <row r="1559" spans="1:17" x14ac:dyDescent="0.25">
      <c r="A1559">
        <v>4</v>
      </c>
      <c r="B1559" t="s">
        <v>10869</v>
      </c>
      <c r="C1559" t="s">
        <v>7398</v>
      </c>
      <c r="D1559" t="s">
        <v>10806</v>
      </c>
      <c r="G1559" t="s">
        <v>10870</v>
      </c>
      <c r="H1559" t="s">
        <v>10871</v>
      </c>
      <c r="I1559" t="s">
        <v>10872</v>
      </c>
      <c r="J1559" t="s">
        <v>10870</v>
      </c>
      <c r="K1559" t="s">
        <v>10873</v>
      </c>
      <c r="L1559">
        <v>562</v>
      </c>
      <c r="O1559" t="s">
        <v>10870</v>
      </c>
      <c r="P1559" t="s">
        <v>10806</v>
      </c>
      <c r="Q1559">
        <v>1</v>
      </c>
    </row>
    <row r="1560" spans="1:17" x14ac:dyDescent="0.25">
      <c r="A1560">
        <v>4</v>
      </c>
      <c r="B1560" t="s">
        <v>10874</v>
      </c>
      <c r="C1560" t="s">
        <v>7398</v>
      </c>
      <c r="D1560" t="s">
        <v>10806</v>
      </c>
      <c r="G1560" t="s">
        <v>10875</v>
      </c>
      <c r="H1560" t="s">
        <v>10876</v>
      </c>
      <c r="I1560" t="s">
        <v>10877</v>
      </c>
      <c r="J1560" t="s">
        <v>10875</v>
      </c>
      <c r="K1560" t="s">
        <v>10878</v>
      </c>
      <c r="L1560">
        <v>562</v>
      </c>
      <c r="O1560" t="s">
        <v>10875</v>
      </c>
      <c r="P1560" t="s">
        <v>10806</v>
      </c>
      <c r="Q1560">
        <v>1</v>
      </c>
    </row>
    <row r="1561" spans="1:17" x14ac:dyDescent="0.25">
      <c r="A1561">
        <v>3</v>
      </c>
      <c r="B1561" t="s">
        <v>10879</v>
      </c>
      <c r="C1561" t="s">
        <v>7398</v>
      </c>
      <c r="D1561" t="s">
        <v>10806</v>
      </c>
      <c r="F1561" t="s">
        <v>213</v>
      </c>
      <c r="H1561" t="s">
        <v>10880</v>
      </c>
      <c r="I1561" t="s">
        <v>960</v>
      </c>
      <c r="J1561" t="s">
        <v>213</v>
      </c>
      <c r="O1561" t="s">
        <v>213</v>
      </c>
      <c r="P1561" t="s">
        <v>10806</v>
      </c>
      <c r="Q1561">
        <v>1</v>
      </c>
    </row>
    <row r="1562" spans="1:17" x14ac:dyDescent="0.25">
      <c r="A1562">
        <v>4</v>
      </c>
      <c r="B1562" t="s">
        <v>10881</v>
      </c>
      <c r="C1562" t="s">
        <v>7398</v>
      </c>
      <c r="D1562" t="s">
        <v>10806</v>
      </c>
      <c r="G1562">
        <v>19520</v>
      </c>
      <c r="H1562" t="s">
        <v>10882</v>
      </c>
      <c r="I1562" t="s">
        <v>10883</v>
      </c>
      <c r="J1562">
        <v>19520</v>
      </c>
      <c r="K1562" t="s">
        <v>10884</v>
      </c>
      <c r="L1562">
        <v>13</v>
      </c>
      <c r="O1562">
        <v>19520</v>
      </c>
      <c r="P1562" t="s">
        <v>10806</v>
      </c>
      <c r="Q1562">
        <v>1</v>
      </c>
    </row>
    <row r="1563" spans="1:17" x14ac:dyDescent="0.25">
      <c r="A1563">
        <v>4</v>
      </c>
      <c r="B1563" t="s">
        <v>10885</v>
      </c>
      <c r="C1563" t="s">
        <v>7398</v>
      </c>
      <c r="D1563" t="s">
        <v>10806</v>
      </c>
      <c r="G1563" t="s">
        <v>10886</v>
      </c>
      <c r="H1563" t="s">
        <v>10887</v>
      </c>
      <c r="I1563" t="s">
        <v>10888</v>
      </c>
      <c r="J1563" t="s">
        <v>10886</v>
      </c>
      <c r="K1563" t="s">
        <v>10889</v>
      </c>
      <c r="L1563">
        <v>15</v>
      </c>
      <c r="O1563" t="s">
        <v>10886</v>
      </c>
      <c r="P1563" t="s">
        <v>10806</v>
      </c>
      <c r="Q1563">
        <v>1</v>
      </c>
    </row>
    <row r="1564" spans="1:17" x14ac:dyDescent="0.25">
      <c r="A1564">
        <v>4</v>
      </c>
      <c r="B1564" t="s">
        <v>10890</v>
      </c>
      <c r="C1564" t="s">
        <v>7398</v>
      </c>
      <c r="D1564" t="s">
        <v>10806</v>
      </c>
      <c r="G1564" t="s">
        <v>10891</v>
      </c>
      <c r="H1564" t="s">
        <v>10892</v>
      </c>
      <c r="J1564" t="s">
        <v>10891</v>
      </c>
      <c r="K1564" t="s">
        <v>10893</v>
      </c>
      <c r="L1564" t="s">
        <v>7386</v>
      </c>
      <c r="M1564" t="s">
        <v>10086</v>
      </c>
      <c r="N1564" t="s">
        <v>7388</v>
      </c>
      <c r="P1564" t="s">
        <v>10806</v>
      </c>
    </row>
    <row r="1565" spans="1:17" x14ac:dyDescent="0.25">
      <c r="A1565">
        <v>2</v>
      </c>
      <c r="B1565" t="s">
        <v>10894</v>
      </c>
      <c r="C1565" t="s">
        <v>7398</v>
      </c>
      <c r="D1565" t="s">
        <v>10806</v>
      </c>
      <c r="E1565" t="s">
        <v>7398</v>
      </c>
      <c r="H1565" t="s">
        <v>10895</v>
      </c>
      <c r="I1565" t="e">
        <v>#N/A</v>
      </c>
      <c r="J1565" t="e">
        <v>#N/A</v>
      </c>
      <c r="O1565" t="s">
        <v>7398</v>
      </c>
      <c r="P1565" t="s">
        <v>10806</v>
      </c>
      <c r="Q1565">
        <v>9</v>
      </c>
    </row>
    <row r="1566" spans="1:17" x14ac:dyDescent="0.25">
      <c r="A1566">
        <v>3</v>
      </c>
      <c r="B1566" t="s">
        <v>10896</v>
      </c>
      <c r="C1566" t="s">
        <v>7398</v>
      </c>
      <c r="D1566" t="s">
        <v>10806</v>
      </c>
      <c r="F1566" t="s">
        <v>51</v>
      </c>
      <c r="H1566" t="s">
        <v>10897</v>
      </c>
      <c r="I1566" t="s">
        <v>4031</v>
      </c>
      <c r="J1566" t="s">
        <v>51</v>
      </c>
      <c r="O1566" t="s">
        <v>51</v>
      </c>
      <c r="P1566" t="s">
        <v>10806</v>
      </c>
      <c r="Q1566">
        <v>1</v>
      </c>
    </row>
    <row r="1567" spans="1:17" x14ac:dyDescent="0.25">
      <c r="A1567">
        <v>4</v>
      </c>
      <c r="B1567" t="s">
        <v>10898</v>
      </c>
      <c r="C1567" t="s">
        <v>7398</v>
      </c>
      <c r="D1567" t="s">
        <v>10806</v>
      </c>
      <c r="G1567">
        <v>159785</v>
      </c>
      <c r="H1567" t="s">
        <v>10899</v>
      </c>
      <c r="I1567" t="s">
        <v>10900</v>
      </c>
      <c r="J1567">
        <v>159785</v>
      </c>
      <c r="K1567" t="s">
        <v>10901</v>
      </c>
      <c r="L1567">
        <v>218</v>
      </c>
      <c r="O1567">
        <v>159785</v>
      </c>
      <c r="P1567" t="s">
        <v>10806</v>
      </c>
      <c r="Q1567">
        <v>1</v>
      </c>
    </row>
    <row r="1568" spans="1:17" x14ac:dyDescent="0.25">
      <c r="A1568">
        <v>4</v>
      </c>
      <c r="B1568" t="s">
        <v>10902</v>
      </c>
      <c r="C1568" t="s">
        <v>7398</v>
      </c>
      <c r="D1568" t="s">
        <v>10806</v>
      </c>
      <c r="G1568">
        <v>159804</v>
      </c>
      <c r="H1568" t="s">
        <v>10903</v>
      </c>
      <c r="I1568" t="s">
        <v>10904</v>
      </c>
      <c r="J1568">
        <v>159804</v>
      </c>
      <c r="K1568" t="s">
        <v>10905</v>
      </c>
      <c r="L1568">
        <v>3</v>
      </c>
      <c r="N1568" t="s">
        <v>4713</v>
      </c>
      <c r="O1568">
        <v>159804</v>
      </c>
      <c r="P1568" t="s">
        <v>10806</v>
      </c>
      <c r="Q1568">
        <v>1</v>
      </c>
    </row>
    <row r="1569" spans="1:17" x14ac:dyDescent="0.25">
      <c r="A1569">
        <v>4</v>
      </c>
      <c r="B1569" t="s">
        <v>10906</v>
      </c>
      <c r="C1569" t="s">
        <v>7398</v>
      </c>
      <c r="D1569" t="s">
        <v>10806</v>
      </c>
      <c r="G1569">
        <v>159814</v>
      </c>
      <c r="H1569" t="s">
        <v>10907</v>
      </c>
      <c r="I1569" t="s">
        <v>10908</v>
      </c>
      <c r="J1569">
        <v>159814</v>
      </c>
      <c r="K1569" t="s">
        <v>10909</v>
      </c>
      <c r="L1569">
        <v>3</v>
      </c>
      <c r="N1569" t="s">
        <v>4713</v>
      </c>
      <c r="O1569">
        <v>159814</v>
      </c>
      <c r="P1569" t="s">
        <v>10806</v>
      </c>
      <c r="Q1569">
        <v>1</v>
      </c>
    </row>
    <row r="1570" spans="1:17" x14ac:dyDescent="0.25">
      <c r="A1570">
        <v>4</v>
      </c>
      <c r="B1570" t="s">
        <v>10910</v>
      </c>
      <c r="C1570" t="s">
        <v>7398</v>
      </c>
      <c r="D1570" t="s">
        <v>10806</v>
      </c>
      <c r="G1570">
        <v>16333</v>
      </c>
      <c r="H1570" t="s">
        <v>10911</v>
      </c>
      <c r="I1570" t="s">
        <v>1040</v>
      </c>
      <c r="J1570">
        <v>16333</v>
      </c>
      <c r="K1570" t="s">
        <v>10912</v>
      </c>
      <c r="L1570">
        <v>176</v>
      </c>
      <c r="O1570">
        <v>16333</v>
      </c>
      <c r="P1570" t="s">
        <v>10806</v>
      </c>
      <c r="Q1570">
        <v>1</v>
      </c>
    </row>
    <row r="1571" spans="1:17" x14ac:dyDescent="0.25">
      <c r="A1571">
        <v>4</v>
      </c>
      <c r="B1571" t="s">
        <v>10913</v>
      </c>
      <c r="C1571" t="s">
        <v>7398</v>
      </c>
      <c r="D1571" t="s">
        <v>10806</v>
      </c>
      <c r="G1571">
        <v>16339</v>
      </c>
      <c r="H1571" t="s">
        <v>10914</v>
      </c>
      <c r="I1571" t="s">
        <v>10915</v>
      </c>
      <c r="J1571">
        <v>16339</v>
      </c>
      <c r="K1571" t="s">
        <v>10916</v>
      </c>
      <c r="L1571">
        <v>7</v>
      </c>
      <c r="N1571" t="s">
        <v>4713</v>
      </c>
      <c r="O1571">
        <v>16339</v>
      </c>
      <c r="P1571" t="s">
        <v>10806</v>
      </c>
      <c r="Q1571">
        <v>1</v>
      </c>
    </row>
    <row r="1572" spans="1:17" x14ac:dyDescent="0.25">
      <c r="A1572">
        <v>4</v>
      </c>
      <c r="B1572" t="s">
        <v>10917</v>
      </c>
      <c r="C1572" t="s">
        <v>7398</v>
      </c>
      <c r="D1572" t="s">
        <v>10806</v>
      </c>
      <c r="G1572">
        <v>16341</v>
      </c>
      <c r="H1572" t="s">
        <v>10918</v>
      </c>
      <c r="I1572" t="s">
        <v>1041</v>
      </c>
      <c r="J1572">
        <v>16341</v>
      </c>
      <c r="K1572" t="s">
        <v>10919</v>
      </c>
      <c r="L1572">
        <v>218</v>
      </c>
      <c r="O1572">
        <v>16341</v>
      </c>
      <c r="P1572" t="s">
        <v>10806</v>
      </c>
      <c r="Q1572">
        <v>1</v>
      </c>
    </row>
    <row r="1573" spans="1:17" x14ac:dyDescent="0.25">
      <c r="A1573">
        <v>4</v>
      </c>
      <c r="B1573" t="s">
        <v>10920</v>
      </c>
      <c r="C1573" t="s">
        <v>7398</v>
      </c>
      <c r="D1573" t="s">
        <v>10806</v>
      </c>
      <c r="G1573">
        <v>16343</v>
      </c>
      <c r="H1573" t="s">
        <v>10844</v>
      </c>
      <c r="I1573" t="s">
        <v>957</v>
      </c>
      <c r="J1573">
        <v>16343</v>
      </c>
      <c r="K1573" t="s">
        <v>10921</v>
      </c>
      <c r="L1573">
        <v>343</v>
      </c>
      <c r="O1573">
        <v>16343</v>
      </c>
      <c r="P1573" t="s">
        <v>10806</v>
      </c>
      <c r="Q1573">
        <v>1</v>
      </c>
    </row>
    <row r="1574" spans="1:17" x14ac:dyDescent="0.25">
      <c r="A1574">
        <v>4</v>
      </c>
      <c r="B1574" t="s">
        <v>10922</v>
      </c>
      <c r="C1574" t="s">
        <v>7398</v>
      </c>
      <c r="D1574" t="s">
        <v>10806</v>
      </c>
      <c r="G1574">
        <v>16437</v>
      </c>
      <c r="H1574" t="s">
        <v>10923</v>
      </c>
      <c r="I1574" t="s">
        <v>10924</v>
      </c>
      <c r="J1574">
        <v>16437</v>
      </c>
      <c r="K1574" t="s">
        <v>10925</v>
      </c>
      <c r="L1574">
        <v>40</v>
      </c>
      <c r="O1574">
        <v>16437</v>
      </c>
      <c r="P1574" t="s">
        <v>10806</v>
      </c>
      <c r="Q1574">
        <v>1</v>
      </c>
    </row>
    <row r="1575" spans="1:17" x14ac:dyDescent="0.25">
      <c r="A1575">
        <v>4</v>
      </c>
      <c r="B1575" t="s">
        <v>10926</v>
      </c>
      <c r="C1575" t="s">
        <v>7398</v>
      </c>
      <c r="D1575" t="s">
        <v>10806</v>
      </c>
      <c r="G1575">
        <v>16443</v>
      </c>
      <c r="H1575" t="s">
        <v>10927</v>
      </c>
      <c r="I1575" t="s">
        <v>10928</v>
      </c>
      <c r="J1575">
        <v>16443</v>
      </c>
      <c r="K1575" t="s">
        <v>10929</v>
      </c>
      <c r="L1575">
        <v>12</v>
      </c>
      <c r="O1575">
        <v>16443</v>
      </c>
      <c r="P1575" t="s">
        <v>10806</v>
      </c>
      <c r="Q1575">
        <v>1</v>
      </c>
    </row>
    <row r="1576" spans="1:17" x14ac:dyDescent="0.25">
      <c r="A1576">
        <v>4</v>
      </c>
      <c r="B1576" t="s">
        <v>10930</v>
      </c>
      <c r="C1576" t="s">
        <v>7398</v>
      </c>
      <c r="D1576" t="s">
        <v>10806</v>
      </c>
      <c r="G1576">
        <v>16445</v>
      </c>
      <c r="H1576" t="s">
        <v>10931</v>
      </c>
      <c r="I1576" t="s">
        <v>10932</v>
      </c>
      <c r="J1576">
        <v>16445</v>
      </c>
      <c r="K1576" t="s">
        <v>10933</v>
      </c>
      <c r="L1576">
        <v>6</v>
      </c>
      <c r="N1576" t="s">
        <v>4713</v>
      </c>
      <c r="O1576">
        <v>16445</v>
      </c>
      <c r="P1576" t="s">
        <v>10806</v>
      </c>
      <c r="Q1576">
        <v>1</v>
      </c>
    </row>
    <row r="1577" spans="1:17" x14ac:dyDescent="0.25">
      <c r="A1577">
        <v>4</v>
      </c>
      <c r="B1577" t="s">
        <v>10934</v>
      </c>
      <c r="C1577" t="s">
        <v>7398</v>
      </c>
      <c r="D1577" t="s">
        <v>10806</v>
      </c>
      <c r="G1577">
        <v>37951</v>
      </c>
      <c r="H1577" t="s">
        <v>10935</v>
      </c>
      <c r="I1577" t="s">
        <v>10936</v>
      </c>
      <c r="J1577">
        <v>37951</v>
      </c>
      <c r="K1577" t="s">
        <v>10937</v>
      </c>
      <c r="L1577">
        <v>28</v>
      </c>
      <c r="O1577">
        <v>37951</v>
      </c>
      <c r="P1577" t="s">
        <v>10806</v>
      </c>
      <c r="Q1577">
        <v>1</v>
      </c>
    </row>
    <row r="1578" spans="1:17" x14ac:dyDescent="0.25">
      <c r="A1578">
        <v>4</v>
      </c>
      <c r="B1578" t="s">
        <v>10938</v>
      </c>
      <c r="C1578" t="s">
        <v>7398</v>
      </c>
      <c r="D1578" t="s">
        <v>10806</v>
      </c>
      <c r="G1578">
        <v>442368</v>
      </c>
      <c r="H1578" t="s">
        <v>10939</v>
      </c>
      <c r="I1578" t="s">
        <v>10940</v>
      </c>
      <c r="J1578">
        <v>442368</v>
      </c>
      <c r="K1578" t="s">
        <v>10941</v>
      </c>
      <c r="L1578">
        <v>417</v>
      </c>
      <c r="O1578">
        <v>442368</v>
      </c>
      <c r="P1578" t="s">
        <v>10806</v>
      </c>
      <c r="Q1578">
        <v>1</v>
      </c>
    </row>
    <row r="1579" spans="1:17" x14ac:dyDescent="0.25">
      <c r="A1579">
        <v>4</v>
      </c>
      <c r="B1579" t="s">
        <v>10942</v>
      </c>
      <c r="C1579" t="s">
        <v>7398</v>
      </c>
      <c r="D1579" t="s">
        <v>10806</v>
      </c>
      <c r="G1579">
        <v>65930</v>
      </c>
      <c r="H1579" t="s">
        <v>10943</v>
      </c>
      <c r="I1579" t="s">
        <v>10944</v>
      </c>
      <c r="J1579">
        <v>65930</v>
      </c>
      <c r="K1579" t="s">
        <v>10945</v>
      </c>
      <c r="L1579">
        <v>5</v>
      </c>
      <c r="N1579" t="s">
        <v>4713</v>
      </c>
      <c r="O1579">
        <v>65930</v>
      </c>
      <c r="P1579" t="s">
        <v>10806</v>
      </c>
      <c r="Q1579">
        <v>1</v>
      </c>
    </row>
    <row r="1580" spans="1:17" x14ac:dyDescent="0.25">
      <c r="A1580">
        <v>3</v>
      </c>
      <c r="B1580" t="s">
        <v>10946</v>
      </c>
      <c r="C1580" t="s">
        <v>7398</v>
      </c>
      <c r="D1580" t="s">
        <v>10806</v>
      </c>
      <c r="F1580" t="s">
        <v>210</v>
      </c>
      <c r="H1580" t="s">
        <v>10947</v>
      </c>
      <c r="I1580" t="s">
        <v>958</v>
      </c>
      <c r="J1580" t="s">
        <v>210</v>
      </c>
      <c r="O1580" t="s">
        <v>210</v>
      </c>
      <c r="P1580" t="s">
        <v>10806</v>
      </c>
      <c r="Q1580">
        <v>1</v>
      </c>
    </row>
    <row r="1581" spans="1:17" x14ac:dyDescent="0.25">
      <c r="A1581">
        <v>4</v>
      </c>
      <c r="B1581" t="s">
        <v>10948</v>
      </c>
      <c r="C1581" t="s">
        <v>7398</v>
      </c>
      <c r="D1581" t="s">
        <v>10806</v>
      </c>
      <c r="G1581">
        <v>160147</v>
      </c>
      <c r="H1581" t="s">
        <v>10949</v>
      </c>
      <c r="I1581" t="s">
        <v>10950</v>
      </c>
      <c r="J1581">
        <v>160147</v>
      </c>
      <c r="K1581" t="s">
        <v>10951</v>
      </c>
      <c r="L1581">
        <v>10</v>
      </c>
      <c r="O1581">
        <v>160147</v>
      </c>
      <c r="P1581" t="s">
        <v>10806</v>
      </c>
      <c r="Q1581">
        <v>1</v>
      </c>
    </row>
    <row r="1582" spans="1:17" x14ac:dyDescent="0.25">
      <c r="A1582">
        <v>4</v>
      </c>
      <c r="B1582" t="s">
        <v>10952</v>
      </c>
      <c r="C1582" t="s">
        <v>7398</v>
      </c>
      <c r="D1582" t="s">
        <v>10806</v>
      </c>
      <c r="G1582">
        <v>16499</v>
      </c>
      <c r="H1582" t="s">
        <v>10953</v>
      </c>
      <c r="I1582" t="s">
        <v>10954</v>
      </c>
      <c r="J1582">
        <v>16499</v>
      </c>
      <c r="K1582" t="s">
        <v>10955</v>
      </c>
      <c r="L1582">
        <v>84</v>
      </c>
      <c r="O1582">
        <v>16499</v>
      </c>
      <c r="P1582" t="s">
        <v>10806</v>
      </c>
      <c r="Q1582">
        <v>1</v>
      </c>
    </row>
    <row r="1583" spans="1:17" x14ac:dyDescent="0.25">
      <c r="A1583">
        <v>4</v>
      </c>
      <c r="B1583" t="s">
        <v>10956</v>
      </c>
      <c r="C1583" t="s">
        <v>7398</v>
      </c>
      <c r="D1583" t="s">
        <v>10806</v>
      </c>
      <c r="G1583">
        <v>16500</v>
      </c>
      <c r="H1583" t="s">
        <v>10957</v>
      </c>
      <c r="I1583" t="s">
        <v>10958</v>
      </c>
      <c r="J1583">
        <v>16500</v>
      </c>
      <c r="K1583" t="s">
        <v>10959</v>
      </c>
      <c r="L1583">
        <v>6</v>
      </c>
      <c r="N1583" t="s">
        <v>4713</v>
      </c>
      <c r="O1583">
        <v>16500</v>
      </c>
      <c r="P1583" t="s">
        <v>10806</v>
      </c>
      <c r="Q1583">
        <v>1</v>
      </c>
    </row>
    <row r="1584" spans="1:17" x14ac:dyDescent="0.25">
      <c r="A1584">
        <v>4</v>
      </c>
      <c r="B1584" t="s">
        <v>10960</v>
      </c>
      <c r="C1584" t="s">
        <v>7398</v>
      </c>
      <c r="D1584" t="s">
        <v>10806</v>
      </c>
      <c r="G1584">
        <v>16501</v>
      </c>
      <c r="H1584" t="s">
        <v>10961</v>
      </c>
      <c r="I1584" t="s">
        <v>10962</v>
      </c>
      <c r="J1584">
        <v>16501</v>
      </c>
      <c r="K1584" t="s">
        <v>10963</v>
      </c>
      <c r="L1584">
        <v>198</v>
      </c>
      <c r="O1584">
        <v>16501</v>
      </c>
      <c r="P1584" t="s">
        <v>10806</v>
      </c>
      <c r="Q1584">
        <v>1</v>
      </c>
    </row>
    <row r="1585" spans="1:17" x14ac:dyDescent="0.25">
      <c r="A1585">
        <v>4</v>
      </c>
      <c r="B1585" t="s">
        <v>10964</v>
      </c>
      <c r="C1585" t="s">
        <v>7398</v>
      </c>
      <c r="D1585" t="s">
        <v>10806</v>
      </c>
      <c r="G1585">
        <v>16502</v>
      </c>
      <c r="H1585" t="s">
        <v>10965</v>
      </c>
      <c r="I1585" t="s">
        <v>10966</v>
      </c>
      <c r="J1585">
        <v>16502</v>
      </c>
      <c r="K1585" t="s">
        <v>10967</v>
      </c>
      <c r="L1585">
        <v>113</v>
      </c>
      <c r="O1585">
        <v>16502</v>
      </c>
      <c r="P1585" t="s">
        <v>10806</v>
      </c>
      <c r="Q1585">
        <v>1</v>
      </c>
    </row>
    <row r="1586" spans="1:17" x14ac:dyDescent="0.25">
      <c r="A1586">
        <v>4</v>
      </c>
      <c r="B1586" t="s">
        <v>10968</v>
      </c>
      <c r="C1586" t="s">
        <v>7398</v>
      </c>
      <c r="D1586" t="s">
        <v>10806</v>
      </c>
      <c r="G1586">
        <v>16503</v>
      </c>
      <c r="H1586" t="s">
        <v>10969</v>
      </c>
      <c r="I1586" t="s">
        <v>10970</v>
      </c>
      <c r="J1586">
        <v>16503</v>
      </c>
      <c r="K1586" t="s">
        <v>10971</v>
      </c>
      <c r="L1586">
        <v>9</v>
      </c>
      <c r="N1586" t="s">
        <v>4713</v>
      </c>
      <c r="O1586">
        <v>16503</v>
      </c>
      <c r="P1586" t="s">
        <v>10806</v>
      </c>
      <c r="Q1586">
        <v>1</v>
      </c>
    </row>
    <row r="1587" spans="1:17" x14ac:dyDescent="0.25">
      <c r="A1587">
        <v>4</v>
      </c>
      <c r="B1587" t="s">
        <v>10972</v>
      </c>
      <c r="C1587" t="s">
        <v>7398</v>
      </c>
      <c r="D1587" t="s">
        <v>10806</v>
      </c>
      <c r="G1587">
        <v>16504</v>
      </c>
      <c r="H1587" t="s">
        <v>10973</v>
      </c>
      <c r="I1587" t="s">
        <v>10974</v>
      </c>
      <c r="J1587">
        <v>16504</v>
      </c>
      <c r="K1587" t="s">
        <v>10975</v>
      </c>
      <c r="L1587">
        <v>48</v>
      </c>
      <c r="O1587">
        <v>16504</v>
      </c>
      <c r="P1587" t="s">
        <v>10806</v>
      </c>
      <c r="Q1587">
        <v>1</v>
      </c>
    </row>
    <row r="1588" spans="1:17" x14ac:dyDescent="0.25">
      <c r="A1588">
        <v>4</v>
      </c>
      <c r="B1588" t="s">
        <v>10976</v>
      </c>
      <c r="C1588" t="s">
        <v>7398</v>
      </c>
      <c r="D1588" t="s">
        <v>10806</v>
      </c>
      <c r="G1588">
        <v>16505</v>
      </c>
      <c r="H1588" t="s">
        <v>10977</v>
      </c>
      <c r="I1588" t="s">
        <v>10978</v>
      </c>
      <c r="J1588">
        <v>16505</v>
      </c>
      <c r="K1588" t="s">
        <v>10979</v>
      </c>
      <c r="L1588">
        <v>68</v>
      </c>
      <c r="O1588">
        <v>16505</v>
      </c>
      <c r="P1588" t="s">
        <v>10806</v>
      </c>
      <c r="Q1588">
        <v>1</v>
      </c>
    </row>
    <row r="1589" spans="1:17" x14ac:dyDescent="0.25">
      <c r="A1589">
        <v>4</v>
      </c>
      <c r="B1589" t="s">
        <v>10980</v>
      </c>
      <c r="C1589" t="s">
        <v>7398</v>
      </c>
      <c r="D1589" t="s">
        <v>10806</v>
      </c>
      <c r="G1589">
        <v>16506</v>
      </c>
      <c r="H1589" t="s">
        <v>10981</v>
      </c>
      <c r="I1589" t="s">
        <v>10982</v>
      </c>
      <c r="J1589">
        <v>16506</v>
      </c>
      <c r="K1589" t="s">
        <v>10983</v>
      </c>
      <c r="L1589">
        <v>36</v>
      </c>
      <c r="O1589">
        <v>16506</v>
      </c>
      <c r="P1589" t="s">
        <v>10806</v>
      </c>
      <c r="Q1589">
        <v>1</v>
      </c>
    </row>
    <row r="1590" spans="1:17" x14ac:dyDescent="0.25">
      <c r="A1590">
        <v>4</v>
      </c>
      <c r="B1590" t="s">
        <v>10984</v>
      </c>
      <c r="C1590" t="s">
        <v>7398</v>
      </c>
      <c r="D1590" t="s">
        <v>10806</v>
      </c>
      <c r="G1590">
        <v>16508</v>
      </c>
      <c r="H1590" t="s">
        <v>10985</v>
      </c>
      <c r="I1590" t="s">
        <v>10986</v>
      </c>
      <c r="J1590">
        <v>16508</v>
      </c>
      <c r="K1590" t="s">
        <v>10987</v>
      </c>
      <c r="L1590">
        <v>14</v>
      </c>
      <c r="O1590">
        <v>16508</v>
      </c>
      <c r="P1590" t="s">
        <v>10806</v>
      </c>
      <c r="Q1590">
        <v>1</v>
      </c>
    </row>
    <row r="1591" spans="1:17" x14ac:dyDescent="0.25">
      <c r="A1591">
        <v>4</v>
      </c>
      <c r="B1591" t="s">
        <v>10988</v>
      </c>
      <c r="C1591" t="s">
        <v>7398</v>
      </c>
      <c r="D1591" t="s">
        <v>10806</v>
      </c>
      <c r="G1591">
        <v>16510</v>
      </c>
      <c r="H1591" t="s">
        <v>10989</v>
      </c>
      <c r="I1591" t="s">
        <v>10990</v>
      </c>
      <c r="J1591">
        <v>16510</v>
      </c>
      <c r="K1591" t="s">
        <v>10991</v>
      </c>
      <c r="L1591">
        <v>40</v>
      </c>
      <c r="O1591">
        <v>16510</v>
      </c>
      <c r="P1591" t="s">
        <v>10806</v>
      </c>
      <c r="Q1591">
        <v>1</v>
      </c>
    </row>
    <row r="1592" spans="1:17" x14ac:dyDescent="0.25">
      <c r="A1592">
        <v>4</v>
      </c>
      <c r="B1592" t="s">
        <v>10992</v>
      </c>
      <c r="C1592" t="s">
        <v>7398</v>
      </c>
      <c r="D1592" t="s">
        <v>10806</v>
      </c>
      <c r="G1592">
        <v>16512</v>
      </c>
      <c r="H1592" t="s">
        <v>10993</v>
      </c>
      <c r="I1592" t="s">
        <v>10994</v>
      </c>
      <c r="J1592">
        <v>16512</v>
      </c>
      <c r="K1592" t="s">
        <v>10995</v>
      </c>
      <c r="L1592">
        <v>38</v>
      </c>
      <c r="O1592">
        <v>16512</v>
      </c>
      <c r="P1592" t="s">
        <v>10806</v>
      </c>
      <c r="Q1592">
        <v>1</v>
      </c>
    </row>
    <row r="1593" spans="1:17" x14ac:dyDescent="0.25">
      <c r="A1593">
        <v>4</v>
      </c>
      <c r="B1593" t="s">
        <v>10996</v>
      </c>
      <c r="C1593" t="s">
        <v>7398</v>
      </c>
      <c r="D1593" t="s">
        <v>10806</v>
      </c>
      <c r="G1593">
        <v>16514</v>
      </c>
      <c r="H1593" t="s">
        <v>10997</v>
      </c>
      <c r="I1593" t="s">
        <v>10998</v>
      </c>
      <c r="J1593">
        <v>16514</v>
      </c>
      <c r="K1593" t="s">
        <v>10999</v>
      </c>
      <c r="L1593">
        <v>8</v>
      </c>
      <c r="N1593" t="s">
        <v>4713</v>
      </c>
      <c r="O1593">
        <v>16514</v>
      </c>
      <c r="P1593" t="s">
        <v>10806</v>
      </c>
      <c r="Q1593">
        <v>1</v>
      </c>
    </row>
    <row r="1594" spans="1:17" x14ac:dyDescent="0.25">
      <c r="A1594">
        <v>4</v>
      </c>
      <c r="B1594" t="s">
        <v>11000</v>
      </c>
      <c r="C1594" t="s">
        <v>7398</v>
      </c>
      <c r="D1594" t="s">
        <v>10806</v>
      </c>
      <c r="G1594">
        <v>16516</v>
      </c>
      <c r="H1594" t="s">
        <v>11001</v>
      </c>
      <c r="I1594" t="s">
        <v>11002</v>
      </c>
      <c r="J1594">
        <v>16516</v>
      </c>
      <c r="K1594" t="s">
        <v>11003</v>
      </c>
      <c r="L1594">
        <v>24</v>
      </c>
      <c r="O1594">
        <v>16516</v>
      </c>
      <c r="P1594" t="s">
        <v>10806</v>
      </c>
      <c r="Q1594">
        <v>1</v>
      </c>
    </row>
    <row r="1595" spans="1:17" x14ac:dyDescent="0.25">
      <c r="A1595">
        <v>4</v>
      </c>
      <c r="B1595" t="s">
        <v>11004</v>
      </c>
      <c r="C1595" t="s">
        <v>7398</v>
      </c>
      <c r="D1595" t="s">
        <v>10806</v>
      </c>
      <c r="G1595">
        <v>16518</v>
      </c>
      <c r="H1595" t="s">
        <v>11005</v>
      </c>
      <c r="I1595" t="s">
        <v>11006</v>
      </c>
      <c r="J1595">
        <v>16518</v>
      </c>
      <c r="K1595" t="s">
        <v>11007</v>
      </c>
      <c r="L1595">
        <v>5</v>
      </c>
      <c r="N1595" t="s">
        <v>4713</v>
      </c>
      <c r="O1595">
        <v>16518</v>
      </c>
      <c r="P1595" t="s">
        <v>10806</v>
      </c>
      <c r="Q1595">
        <v>1</v>
      </c>
    </row>
    <row r="1596" spans="1:17" x14ac:dyDescent="0.25">
      <c r="A1596">
        <v>4</v>
      </c>
      <c r="B1596" t="s">
        <v>11008</v>
      </c>
      <c r="C1596" t="s">
        <v>7398</v>
      </c>
      <c r="D1596" t="s">
        <v>10806</v>
      </c>
      <c r="G1596">
        <v>16520</v>
      </c>
      <c r="H1596" t="s">
        <v>11009</v>
      </c>
      <c r="I1596" t="s">
        <v>11010</v>
      </c>
      <c r="J1596">
        <v>16520</v>
      </c>
      <c r="K1596" t="s">
        <v>11011</v>
      </c>
      <c r="L1596">
        <v>9</v>
      </c>
      <c r="N1596" t="s">
        <v>4713</v>
      </c>
      <c r="O1596">
        <v>16520</v>
      </c>
      <c r="P1596" t="s">
        <v>10806</v>
      </c>
      <c r="Q1596">
        <v>1</v>
      </c>
    </row>
    <row r="1597" spans="1:17" x14ac:dyDescent="0.25">
      <c r="A1597">
        <v>4</v>
      </c>
      <c r="B1597" t="s">
        <v>11012</v>
      </c>
      <c r="C1597" t="s">
        <v>7398</v>
      </c>
      <c r="D1597" t="s">
        <v>10806</v>
      </c>
      <c r="G1597">
        <v>16522</v>
      </c>
      <c r="H1597" t="s">
        <v>11013</v>
      </c>
      <c r="I1597" t="s">
        <v>11014</v>
      </c>
      <c r="J1597">
        <v>16522</v>
      </c>
      <c r="K1597" t="s">
        <v>11015</v>
      </c>
      <c r="L1597">
        <v>6</v>
      </c>
      <c r="N1597" t="s">
        <v>4713</v>
      </c>
      <c r="O1597">
        <v>16522</v>
      </c>
      <c r="P1597" t="s">
        <v>10806</v>
      </c>
      <c r="Q1597">
        <v>1</v>
      </c>
    </row>
    <row r="1598" spans="1:17" x14ac:dyDescent="0.25">
      <c r="A1598">
        <v>4</v>
      </c>
      <c r="B1598" t="s">
        <v>11016</v>
      </c>
      <c r="C1598" t="s">
        <v>7398</v>
      </c>
      <c r="D1598" t="s">
        <v>10806</v>
      </c>
      <c r="G1598">
        <v>16524</v>
      </c>
      <c r="H1598" t="s">
        <v>11017</v>
      </c>
      <c r="I1598" t="s">
        <v>11018</v>
      </c>
      <c r="J1598">
        <v>16524</v>
      </c>
      <c r="K1598" t="s">
        <v>11019</v>
      </c>
      <c r="L1598">
        <v>15</v>
      </c>
      <c r="O1598">
        <v>16524</v>
      </c>
      <c r="P1598" t="s">
        <v>10806</v>
      </c>
      <c r="Q1598">
        <v>1</v>
      </c>
    </row>
    <row r="1599" spans="1:17" x14ac:dyDescent="0.25">
      <c r="A1599">
        <v>4</v>
      </c>
      <c r="B1599" t="s">
        <v>11020</v>
      </c>
      <c r="C1599" t="s">
        <v>7398</v>
      </c>
      <c r="D1599" t="s">
        <v>10806</v>
      </c>
      <c r="G1599">
        <v>16526</v>
      </c>
      <c r="H1599" t="s">
        <v>11021</v>
      </c>
      <c r="J1599">
        <v>16526</v>
      </c>
      <c r="K1599" t="s">
        <v>11022</v>
      </c>
      <c r="L1599" t="s">
        <v>7386</v>
      </c>
      <c r="M1599" t="s">
        <v>10086</v>
      </c>
      <c r="N1599" t="s">
        <v>7388</v>
      </c>
      <c r="P1599" t="s">
        <v>10806</v>
      </c>
    </row>
    <row r="1600" spans="1:17" x14ac:dyDescent="0.25">
      <c r="A1600">
        <v>4</v>
      </c>
      <c r="B1600" t="s">
        <v>11023</v>
      </c>
      <c r="C1600" t="s">
        <v>7398</v>
      </c>
      <c r="D1600" t="s">
        <v>10806</v>
      </c>
      <c r="G1600">
        <v>19414</v>
      </c>
      <c r="H1600" t="s">
        <v>11024</v>
      </c>
      <c r="I1600" t="s">
        <v>11025</v>
      </c>
      <c r="J1600">
        <v>19414</v>
      </c>
      <c r="K1600" t="s">
        <v>11026</v>
      </c>
      <c r="L1600">
        <v>2</v>
      </c>
      <c r="N1600" t="s">
        <v>4713</v>
      </c>
      <c r="O1600">
        <v>19414</v>
      </c>
      <c r="P1600" t="s">
        <v>10806</v>
      </c>
      <c r="Q1600">
        <v>1</v>
      </c>
    </row>
    <row r="1601" spans="1:17" x14ac:dyDescent="0.25">
      <c r="A1601">
        <v>3</v>
      </c>
      <c r="B1601" t="s">
        <v>11027</v>
      </c>
      <c r="C1601" t="s">
        <v>7398</v>
      </c>
      <c r="D1601" t="s">
        <v>10806</v>
      </c>
      <c r="F1601" t="s">
        <v>208</v>
      </c>
      <c r="H1601" t="s">
        <v>209</v>
      </c>
      <c r="I1601" t="s">
        <v>489</v>
      </c>
      <c r="J1601" t="s">
        <v>208</v>
      </c>
      <c r="O1601" t="s">
        <v>208</v>
      </c>
      <c r="P1601" t="s">
        <v>10806</v>
      </c>
      <c r="Q1601">
        <v>1</v>
      </c>
    </row>
    <row r="1602" spans="1:17" x14ac:dyDescent="0.25">
      <c r="A1602">
        <v>4</v>
      </c>
      <c r="B1602" t="s">
        <v>11028</v>
      </c>
      <c r="C1602" t="s">
        <v>7398</v>
      </c>
      <c r="D1602" t="s">
        <v>10806</v>
      </c>
      <c r="G1602">
        <v>16569</v>
      </c>
      <c r="H1602" t="s">
        <v>11029</v>
      </c>
      <c r="I1602" t="s">
        <v>11030</v>
      </c>
      <c r="J1602">
        <v>16569</v>
      </c>
      <c r="K1602" t="s">
        <v>11031</v>
      </c>
      <c r="L1602">
        <v>31</v>
      </c>
      <c r="O1602">
        <v>16569</v>
      </c>
      <c r="P1602" t="s">
        <v>10806</v>
      </c>
      <c r="Q1602">
        <v>1</v>
      </c>
    </row>
    <row r="1603" spans="1:17" x14ac:dyDescent="0.25">
      <c r="A1603">
        <v>4</v>
      </c>
      <c r="B1603" t="s">
        <v>11032</v>
      </c>
      <c r="C1603" t="s">
        <v>7398</v>
      </c>
      <c r="D1603" t="s">
        <v>10806</v>
      </c>
      <c r="G1603">
        <v>16571</v>
      </c>
      <c r="H1603" t="s">
        <v>11033</v>
      </c>
      <c r="I1603" t="s">
        <v>11034</v>
      </c>
      <c r="J1603">
        <v>16571</v>
      </c>
      <c r="K1603" t="s">
        <v>11035</v>
      </c>
      <c r="L1603">
        <v>2</v>
      </c>
      <c r="N1603" t="s">
        <v>4713</v>
      </c>
      <c r="O1603">
        <v>16571</v>
      </c>
      <c r="P1603" t="s">
        <v>10806</v>
      </c>
      <c r="Q1603">
        <v>1</v>
      </c>
    </row>
    <row r="1604" spans="1:17" x14ac:dyDescent="0.25">
      <c r="A1604">
        <v>4</v>
      </c>
      <c r="B1604" t="s">
        <v>11036</v>
      </c>
      <c r="C1604" t="s">
        <v>7398</v>
      </c>
      <c r="D1604" t="s">
        <v>10806</v>
      </c>
      <c r="G1604">
        <v>16573</v>
      </c>
      <c r="H1604" t="s">
        <v>11037</v>
      </c>
      <c r="I1604" t="s">
        <v>11038</v>
      </c>
      <c r="J1604">
        <v>16573</v>
      </c>
      <c r="K1604" t="s">
        <v>11039</v>
      </c>
      <c r="L1604">
        <v>31</v>
      </c>
      <c r="O1604">
        <v>16573</v>
      </c>
      <c r="P1604" t="s">
        <v>10806</v>
      </c>
      <c r="Q1604">
        <v>1</v>
      </c>
    </row>
    <row r="1605" spans="1:17" x14ac:dyDescent="0.25">
      <c r="A1605">
        <v>4</v>
      </c>
      <c r="B1605" t="s">
        <v>11040</v>
      </c>
      <c r="C1605" t="s">
        <v>7398</v>
      </c>
      <c r="D1605" t="s">
        <v>10806</v>
      </c>
      <c r="G1605">
        <v>16575</v>
      </c>
      <c r="H1605" t="s">
        <v>11041</v>
      </c>
      <c r="I1605" t="s">
        <v>11042</v>
      </c>
      <c r="J1605">
        <v>16575</v>
      </c>
      <c r="K1605" t="s">
        <v>11043</v>
      </c>
      <c r="L1605">
        <v>15</v>
      </c>
      <c r="O1605">
        <v>16575</v>
      </c>
      <c r="P1605" t="s">
        <v>10806</v>
      </c>
      <c r="Q1605">
        <v>1</v>
      </c>
    </row>
    <row r="1606" spans="1:17" x14ac:dyDescent="0.25">
      <c r="A1606">
        <v>4</v>
      </c>
      <c r="B1606" t="s">
        <v>11044</v>
      </c>
      <c r="C1606" t="s">
        <v>7398</v>
      </c>
      <c r="D1606" t="s">
        <v>10806</v>
      </c>
      <c r="G1606">
        <v>65940</v>
      </c>
      <c r="H1606" t="s">
        <v>11045</v>
      </c>
      <c r="I1606" t="s">
        <v>11046</v>
      </c>
      <c r="J1606">
        <v>65940</v>
      </c>
      <c r="K1606" t="s">
        <v>11047</v>
      </c>
      <c r="L1606">
        <v>8</v>
      </c>
      <c r="N1606" t="s">
        <v>4713</v>
      </c>
      <c r="O1606">
        <v>65940</v>
      </c>
      <c r="P1606" t="s">
        <v>10806</v>
      </c>
      <c r="Q1606">
        <v>1</v>
      </c>
    </row>
    <row r="1607" spans="1:17" x14ac:dyDescent="0.25">
      <c r="A1607">
        <v>2</v>
      </c>
      <c r="B1607" t="s">
        <v>11048</v>
      </c>
      <c r="C1607" t="s">
        <v>7398</v>
      </c>
      <c r="D1607" t="s">
        <v>10806</v>
      </c>
      <c r="E1607" t="s">
        <v>52</v>
      </c>
      <c r="H1607" t="s">
        <v>11049</v>
      </c>
      <c r="I1607" t="s">
        <v>1194</v>
      </c>
      <c r="J1607" t="s">
        <v>52</v>
      </c>
      <c r="O1607" t="s">
        <v>52</v>
      </c>
      <c r="P1607" t="s">
        <v>10806</v>
      </c>
      <c r="Q1607">
        <v>1</v>
      </c>
    </row>
    <row r="1608" spans="1:17" x14ac:dyDescent="0.25">
      <c r="A1608">
        <v>3</v>
      </c>
      <c r="B1608" t="s">
        <v>11050</v>
      </c>
      <c r="C1608" t="s">
        <v>7398</v>
      </c>
      <c r="D1608" t="s">
        <v>10806</v>
      </c>
      <c r="F1608" t="s">
        <v>223</v>
      </c>
      <c r="H1608" t="s">
        <v>511</v>
      </c>
      <c r="I1608" t="s">
        <v>962</v>
      </c>
      <c r="J1608" t="s">
        <v>223</v>
      </c>
      <c r="O1608" t="s">
        <v>223</v>
      </c>
      <c r="P1608" t="s">
        <v>10806</v>
      </c>
      <c r="Q1608">
        <v>1</v>
      </c>
    </row>
    <row r="1609" spans="1:17" x14ac:dyDescent="0.25">
      <c r="A1609">
        <v>4</v>
      </c>
      <c r="B1609" t="s">
        <v>11051</v>
      </c>
      <c r="C1609" t="s">
        <v>7398</v>
      </c>
      <c r="D1609" t="s">
        <v>10806</v>
      </c>
      <c r="G1609">
        <v>162657</v>
      </c>
      <c r="H1609" t="s">
        <v>11052</v>
      </c>
      <c r="I1609" t="s">
        <v>11053</v>
      </c>
      <c r="J1609">
        <v>162657</v>
      </c>
      <c r="K1609" t="s">
        <v>11054</v>
      </c>
      <c r="L1609">
        <v>75</v>
      </c>
      <c r="O1609">
        <v>162657</v>
      </c>
      <c r="P1609" t="s">
        <v>10806</v>
      </c>
      <c r="Q1609">
        <v>1</v>
      </c>
    </row>
    <row r="1610" spans="1:17" x14ac:dyDescent="0.25">
      <c r="A1610">
        <v>4</v>
      </c>
      <c r="B1610" t="s">
        <v>11055</v>
      </c>
      <c r="C1610" t="s">
        <v>7398</v>
      </c>
      <c r="D1610" t="s">
        <v>10806</v>
      </c>
      <c r="G1610">
        <v>197307</v>
      </c>
      <c r="H1610" t="s">
        <v>11056</v>
      </c>
      <c r="I1610" t="s">
        <v>11057</v>
      </c>
      <c r="J1610">
        <v>197307</v>
      </c>
      <c r="K1610" t="s">
        <v>11058</v>
      </c>
      <c r="L1610">
        <v>16</v>
      </c>
      <c r="O1610">
        <v>197307</v>
      </c>
      <c r="P1610" t="s">
        <v>10806</v>
      </c>
      <c r="Q1610">
        <v>1</v>
      </c>
    </row>
    <row r="1611" spans="1:17" x14ac:dyDescent="0.25">
      <c r="A1611">
        <v>4</v>
      </c>
      <c r="B1611" t="s">
        <v>11059</v>
      </c>
      <c r="C1611" t="s">
        <v>7398</v>
      </c>
      <c r="D1611" t="s">
        <v>10806</v>
      </c>
      <c r="G1611">
        <v>197309</v>
      </c>
      <c r="H1611" t="s">
        <v>11060</v>
      </c>
      <c r="I1611" t="s">
        <v>11061</v>
      </c>
      <c r="J1611">
        <v>197309</v>
      </c>
      <c r="K1611" t="s">
        <v>11062</v>
      </c>
      <c r="L1611">
        <v>16</v>
      </c>
      <c r="O1611">
        <v>197309</v>
      </c>
      <c r="P1611" t="s">
        <v>10806</v>
      </c>
      <c r="Q1611">
        <v>1</v>
      </c>
    </row>
    <row r="1612" spans="1:17" x14ac:dyDescent="0.25">
      <c r="A1612">
        <v>4</v>
      </c>
      <c r="B1612" t="s">
        <v>11063</v>
      </c>
      <c r="C1612" t="s">
        <v>7398</v>
      </c>
      <c r="D1612" t="s">
        <v>10806</v>
      </c>
      <c r="G1612">
        <v>26684</v>
      </c>
      <c r="H1612" t="s">
        <v>11064</v>
      </c>
      <c r="I1612" t="s">
        <v>11065</v>
      </c>
      <c r="J1612">
        <v>26684</v>
      </c>
      <c r="K1612" t="s">
        <v>11066</v>
      </c>
      <c r="L1612">
        <v>111</v>
      </c>
      <c r="O1612">
        <v>26684</v>
      </c>
      <c r="P1612" t="s">
        <v>10806</v>
      </c>
      <c r="Q1612">
        <v>1</v>
      </c>
    </row>
    <row r="1613" spans="1:17" x14ac:dyDescent="0.25">
      <c r="A1613">
        <v>4</v>
      </c>
      <c r="B1613" t="s">
        <v>11067</v>
      </c>
      <c r="C1613" t="s">
        <v>7398</v>
      </c>
      <c r="D1613" t="s">
        <v>10806</v>
      </c>
      <c r="G1613" t="s">
        <v>11068</v>
      </c>
      <c r="H1613" t="s">
        <v>11069</v>
      </c>
      <c r="I1613" t="s">
        <v>11070</v>
      </c>
      <c r="J1613" t="s">
        <v>11068</v>
      </c>
      <c r="K1613" t="s">
        <v>11071</v>
      </c>
      <c r="L1613">
        <v>166</v>
      </c>
      <c r="O1613" t="s">
        <v>11068</v>
      </c>
      <c r="P1613" t="s">
        <v>10806</v>
      </c>
      <c r="Q1613">
        <v>1</v>
      </c>
    </row>
    <row r="1614" spans="1:17" x14ac:dyDescent="0.25">
      <c r="A1614">
        <v>4</v>
      </c>
      <c r="B1614" t="s">
        <v>11072</v>
      </c>
      <c r="C1614" t="s">
        <v>7398</v>
      </c>
      <c r="D1614" t="s">
        <v>10806</v>
      </c>
      <c r="G1614" t="s">
        <v>11073</v>
      </c>
      <c r="H1614" t="s">
        <v>11074</v>
      </c>
      <c r="I1614" t="s">
        <v>11075</v>
      </c>
      <c r="J1614" t="s">
        <v>11073</v>
      </c>
      <c r="K1614" t="s">
        <v>11076</v>
      </c>
      <c r="L1614">
        <v>53</v>
      </c>
      <c r="O1614" t="s">
        <v>11073</v>
      </c>
      <c r="P1614" t="s">
        <v>10806</v>
      </c>
      <c r="Q1614">
        <v>1</v>
      </c>
    </row>
    <row r="1615" spans="1:17" x14ac:dyDescent="0.25">
      <c r="A1615">
        <v>4</v>
      </c>
      <c r="B1615" t="s">
        <v>11077</v>
      </c>
      <c r="C1615" t="s">
        <v>7398</v>
      </c>
      <c r="D1615" t="s">
        <v>10806</v>
      </c>
      <c r="G1615" t="s">
        <v>11078</v>
      </c>
      <c r="H1615" t="s">
        <v>11079</v>
      </c>
      <c r="I1615" t="s">
        <v>11080</v>
      </c>
      <c r="J1615" t="s">
        <v>11078</v>
      </c>
      <c r="K1615" t="s">
        <v>11081</v>
      </c>
      <c r="L1615">
        <v>8</v>
      </c>
      <c r="N1615" t="s">
        <v>4713</v>
      </c>
      <c r="O1615" t="s">
        <v>11078</v>
      </c>
      <c r="P1615" t="s">
        <v>10806</v>
      </c>
      <c r="Q1615">
        <v>1</v>
      </c>
    </row>
    <row r="1616" spans="1:17" x14ac:dyDescent="0.25">
      <c r="A1616">
        <v>3</v>
      </c>
      <c r="B1616" t="s">
        <v>11082</v>
      </c>
      <c r="C1616" t="s">
        <v>7398</v>
      </c>
      <c r="D1616" t="s">
        <v>10806</v>
      </c>
      <c r="F1616" t="s">
        <v>733</v>
      </c>
      <c r="H1616" t="s">
        <v>2239</v>
      </c>
      <c r="I1616" t="s">
        <v>2236</v>
      </c>
      <c r="J1616" t="s">
        <v>733</v>
      </c>
      <c r="O1616" t="s">
        <v>733</v>
      </c>
      <c r="P1616" t="s">
        <v>10806</v>
      </c>
      <c r="Q1616">
        <v>1</v>
      </c>
    </row>
    <row r="1617" spans="1:17" x14ac:dyDescent="0.25">
      <c r="A1617">
        <v>4</v>
      </c>
      <c r="B1617" t="s">
        <v>11083</v>
      </c>
      <c r="C1617" t="s">
        <v>7398</v>
      </c>
      <c r="D1617" t="s">
        <v>10806</v>
      </c>
      <c r="G1617">
        <v>16321</v>
      </c>
      <c r="H1617" t="s">
        <v>11084</v>
      </c>
      <c r="I1617" t="s">
        <v>11085</v>
      </c>
      <c r="J1617">
        <v>16321</v>
      </c>
      <c r="K1617" t="s">
        <v>11086</v>
      </c>
      <c r="L1617">
        <v>24</v>
      </c>
      <c r="O1617">
        <v>16321</v>
      </c>
      <c r="P1617" t="s">
        <v>10806</v>
      </c>
      <c r="Q1617">
        <v>1</v>
      </c>
    </row>
    <row r="1618" spans="1:17" x14ac:dyDescent="0.25">
      <c r="A1618">
        <v>4</v>
      </c>
      <c r="B1618" t="s">
        <v>11087</v>
      </c>
      <c r="C1618" t="s">
        <v>7398</v>
      </c>
      <c r="D1618" t="s">
        <v>10806</v>
      </c>
      <c r="G1618">
        <v>16325</v>
      </c>
      <c r="H1618" t="s">
        <v>11088</v>
      </c>
      <c r="I1618" t="s">
        <v>11089</v>
      </c>
      <c r="J1618">
        <v>16325</v>
      </c>
      <c r="K1618" t="s">
        <v>11090</v>
      </c>
      <c r="L1618">
        <v>48</v>
      </c>
      <c r="O1618">
        <v>16325</v>
      </c>
      <c r="P1618" t="s">
        <v>10806</v>
      </c>
      <c r="Q1618">
        <v>1</v>
      </c>
    </row>
    <row r="1619" spans="1:17" x14ac:dyDescent="0.25">
      <c r="A1619">
        <v>4</v>
      </c>
      <c r="B1619" t="s">
        <v>11091</v>
      </c>
      <c r="C1619" t="s">
        <v>7398</v>
      </c>
      <c r="D1619" t="s">
        <v>10806</v>
      </c>
      <c r="G1619">
        <v>16429</v>
      </c>
      <c r="H1619" t="s">
        <v>11092</v>
      </c>
      <c r="I1619" t="s">
        <v>11093</v>
      </c>
      <c r="J1619">
        <v>16429</v>
      </c>
      <c r="K1619" t="s">
        <v>11094</v>
      </c>
      <c r="L1619">
        <v>13</v>
      </c>
      <c r="O1619">
        <v>16429</v>
      </c>
      <c r="P1619" t="s">
        <v>10806</v>
      </c>
      <c r="Q1619">
        <v>1</v>
      </c>
    </row>
    <row r="1620" spans="1:17" x14ac:dyDescent="0.25">
      <c r="A1620">
        <v>4</v>
      </c>
      <c r="B1620" t="s">
        <v>11095</v>
      </c>
      <c r="C1620" t="s">
        <v>7398</v>
      </c>
      <c r="D1620" t="s">
        <v>10806</v>
      </c>
      <c r="G1620">
        <v>16431</v>
      </c>
      <c r="H1620" t="s">
        <v>11096</v>
      </c>
      <c r="I1620" t="s">
        <v>11097</v>
      </c>
      <c r="J1620">
        <v>16431</v>
      </c>
      <c r="K1620" t="s">
        <v>11098</v>
      </c>
      <c r="L1620">
        <v>30</v>
      </c>
      <c r="O1620">
        <v>16431</v>
      </c>
      <c r="P1620" t="s">
        <v>10806</v>
      </c>
      <c r="Q1620">
        <v>1</v>
      </c>
    </row>
    <row r="1621" spans="1:17" x14ac:dyDescent="0.25">
      <c r="A1621">
        <v>4</v>
      </c>
      <c r="B1621" t="s">
        <v>11099</v>
      </c>
      <c r="C1621" t="s">
        <v>7398</v>
      </c>
      <c r="D1621" t="s">
        <v>10806</v>
      </c>
      <c r="G1621">
        <v>16439</v>
      </c>
      <c r="H1621" t="s">
        <v>11100</v>
      </c>
      <c r="I1621" t="s">
        <v>11101</v>
      </c>
      <c r="J1621">
        <v>16439</v>
      </c>
      <c r="K1621" t="s">
        <v>11102</v>
      </c>
      <c r="L1621">
        <v>6</v>
      </c>
      <c r="N1621" t="s">
        <v>4713</v>
      </c>
      <c r="O1621">
        <v>16439</v>
      </c>
      <c r="P1621" t="s">
        <v>10806</v>
      </c>
      <c r="Q1621">
        <v>1</v>
      </c>
    </row>
    <row r="1622" spans="1:17" x14ac:dyDescent="0.25">
      <c r="A1622">
        <v>4</v>
      </c>
      <c r="B1622" t="s">
        <v>11103</v>
      </c>
      <c r="C1622" t="s">
        <v>7398</v>
      </c>
      <c r="D1622" t="s">
        <v>10806</v>
      </c>
      <c r="G1622">
        <v>164422</v>
      </c>
      <c r="H1622" t="s">
        <v>11104</v>
      </c>
      <c r="I1622" t="s">
        <v>11105</v>
      </c>
      <c r="J1622">
        <v>164422</v>
      </c>
      <c r="K1622" t="s">
        <v>11106</v>
      </c>
      <c r="L1622">
        <v>1</v>
      </c>
      <c r="N1622" t="s">
        <v>4734</v>
      </c>
      <c r="O1622">
        <v>164422</v>
      </c>
      <c r="P1622" t="s">
        <v>10806</v>
      </c>
      <c r="Q1622">
        <v>1</v>
      </c>
    </row>
    <row r="1623" spans="1:17" x14ac:dyDescent="0.25">
      <c r="A1623">
        <v>4</v>
      </c>
      <c r="B1623" t="s">
        <v>11107</v>
      </c>
      <c r="C1623" t="s">
        <v>7398</v>
      </c>
      <c r="D1623" t="s">
        <v>10806</v>
      </c>
      <c r="G1623">
        <v>19495</v>
      </c>
      <c r="H1623" t="s">
        <v>11108</v>
      </c>
      <c r="I1623" t="s">
        <v>11109</v>
      </c>
      <c r="J1623">
        <v>19495</v>
      </c>
      <c r="K1623" t="s">
        <v>11110</v>
      </c>
      <c r="L1623">
        <v>39</v>
      </c>
      <c r="O1623">
        <v>19495</v>
      </c>
      <c r="P1623" t="s">
        <v>10806</v>
      </c>
      <c r="Q1623">
        <v>1</v>
      </c>
    </row>
    <row r="1624" spans="1:17" x14ac:dyDescent="0.25">
      <c r="A1624">
        <v>4</v>
      </c>
      <c r="B1624" t="s">
        <v>11111</v>
      </c>
      <c r="C1624" t="s">
        <v>7398</v>
      </c>
      <c r="D1624" t="s">
        <v>10806</v>
      </c>
      <c r="G1624">
        <v>19499</v>
      </c>
      <c r="H1624" t="s">
        <v>11112</v>
      </c>
      <c r="I1624" t="s">
        <v>11113</v>
      </c>
      <c r="J1624">
        <v>19499</v>
      </c>
      <c r="K1624" t="s">
        <v>11114</v>
      </c>
      <c r="L1624">
        <v>62</v>
      </c>
      <c r="O1624">
        <v>19499</v>
      </c>
      <c r="P1624" t="s">
        <v>10806</v>
      </c>
      <c r="Q1624">
        <v>1</v>
      </c>
    </row>
    <row r="1625" spans="1:17" x14ac:dyDescent="0.25">
      <c r="A1625">
        <v>4</v>
      </c>
      <c r="B1625" t="s">
        <v>11115</v>
      </c>
      <c r="C1625" t="s">
        <v>7398</v>
      </c>
      <c r="D1625" t="s">
        <v>10806</v>
      </c>
      <c r="G1625">
        <v>19501</v>
      </c>
      <c r="H1625" t="s">
        <v>11116</v>
      </c>
      <c r="I1625" t="s">
        <v>11117</v>
      </c>
      <c r="J1625">
        <v>19501</v>
      </c>
      <c r="K1625" t="s">
        <v>11118</v>
      </c>
      <c r="L1625">
        <v>12</v>
      </c>
      <c r="O1625">
        <v>19501</v>
      </c>
      <c r="P1625" t="s">
        <v>10806</v>
      </c>
      <c r="Q1625">
        <v>1</v>
      </c>
    </row>
    <row r="1626" spans="1:17" x14ac:dyDescent="0.25">
      <c r="A1626">
        <v>4</v>
      </c>
      <c r="B1626" t="s">
        <v>11119</v>
      </c>
      <c r="C1626" t="s">
        <v>7398</v>
      </c>
      <c r="D1626" t="s">
        <v>10806</v>
      </c>
      <c r="G1626">
        <v>197915</v>
      </c>
      <c r="H1626" t="s">
        <v>11120</v>
      </c>
      <c r="I1626" t="s">
        <v>11121</v>
      </c>
      <c r="J1626">
        <v>197915</v>
      </c>
      <c r="K1626" t="s">
        <v>11122</v>
      </c>
      <c r="L1626">
        <v>2</v>
      </c>
      <c r="N1626" t="s">
        <v>4713</v>
      </c>
      <c r="O1626">
        <v>197915</v>
      </c>
      <c r="P1626" t="s">
        <v>10806</v>
      </c>
      <c r="Q1626">
        <v>1</v>
      </c>
    </row>
    <row r="1627" spans="1:17" x14ac:dyDescent="0.25">
      <c r="A1627">
        <v>4</v>
      </c>
      <c r="B1627" t="s">
        <v>11123</v>
      </c>
      <c r="C1627" t="s">
        <v>7398</v>
      </c>
      <c r="D1627" t="s">
        <v>10806</v>
      </c>
      <c r="G1627">
        <v>65924</v>
      </c>
      <c r="H1627" t="s">
        <v>11124</v>
      </c>
      <c r="I1627" t="s">
        <v>11125</v>
      </c>
      <c r="J1627">
        <v>65924</v>
      </c>
      <c r="K1627" t="s">
        <v>11126</v>
      </c>
      <c r="L1627">
        <v>6</v>
      </c>
      <c r="N1627" t="s">
        <v>4713</v>
      </c>
      <c r="O1627">
        <v>65924</v>
      </c>
      <c r="P1627" t="s">
        <v>10806</v>
      </c>
      <c r="Q1627">
        <v>1</v>
      </c>
    </row>
    <row r="1628" spans="1:17" x14ac:dyDescent="0.25">
      <c r="A1628">
        <v>4</v>
      </c>
      <c r="B1628" t="s">
        <v>11127</v>
      </c>
      <c r="C1628" t="s">
        <v>7398</v>
      </c>
      <c r="D1628" t="s">
        <v>10806</v>
      </c>
      <c r="G1628" t="s">
        <v>11128</v>
      </c>
      <c r="H1628" t="s">
        <v>11129</v>
      </c>
      <c r="I1628" t="s">
        <v>11130</v>
      </c>
      <c r="J1628" t="s">
        <v>11128</v>
      </c>
      <c r="K1628" t="s">
        <v>11131</v>
      </c>
      <c r="L1628">
        <v>50</v>
      </c>
      <c r="O1628" t="s">
        <v>11128</v>
      </c>
      <c r="P1628" t="s">
        <v>10806</v>
      </c>
      <c r="Q1628">
        <v>1</v>
      </c>
    </row>
    <row r="1629" spans="1:17" x14ac:dyDescent="0.25">
      <c r="A1629">
        <v>4</v>
      </c>
      <c r="B1629" t="s">
        <v>11132</v>
      </c>
      <c r="C1629" t="s">
        <v>7398</v>
      </c>
      <c r="D1629" t="s">
        <v>10806</v>
      </c>
      <c r="G1629" t="s">
        <v>11133</v>
      </c>
      <c r="H1629" t="s">
        <v>11134</v>
      </c>
      <c r="I1629" t="s">
        <v>1045</v>
      </c>
      <c r="J1629" t="s">
        <v>11133</v>
      </c>
      <c r="K1629" t="s">
        <v>11135</v>
      </c>
      <c r="L1629">
        <v>60</v>
      </c>
      <c r="O1629" t="s">
        <v>11133</v>
      </c>
      <c r="P1629" t="s">
        <v>10806</v>
      </c>
      <c r="Q1629">
        <v>1</v>
      </c>
    </row>
    <row r="1630" spans="1:17" x14ac:dyDescent="0.25">
      <c r="A1630">
        <v>4</v>
      </c>
      <c r="B1630" t="s">
        <v>11136</v>
      </c>
      <c r="C1630" t="s">
        <v>7398</v>
      </c>
      <c r="D1630" t="s">
        <v>10806</v>
      </c>
      <c r="G1630" t="s">
        <v>11137</v>
      </c>
      <c r="H1630" t="s">
        <v>11138</v>
      </c>
      <c r="I1630" t="s">
        <v>11139</v>
      </c>
      <c r="J1630" t="s">
        <v>11137</v>
      </c>
      <c r="K1630" t="s">
        <v>11140</v>
      </c>
      <c r="L1630">
        <v>24</v>
      </c>
      <c r="O1630" t="s">
        <v>11137</v>
      </c>
      <c r="P1630" t="s">
        <v>10806</v>
      </c>
      <c r="Q1630">
        <v>1</v>
      </c>
    </row>
    <row r="1631" spans="1:17" x14ac:dyDescent="0.25">
      <c r="A1631">
        <v>4</v>
      </c>
      <c r="B1631" t="s">
        <v>11141</v>
      </c>
      <c r="C1631" t="s">
        <v>7398</v>
      </c>
      <c r="D1631" t="s">
        <v>10806</v>
      </c>
      <c r="G1631">
        <v>191122</v>
      </c>
      <c r="H1631" t="s">
        <v>11142</v>
      </c>
      <c r="I1631" t="s">
        <v>11143</v>
      </c>
      <c r="J1631">
        <v>191122</v>
      </c>
      <c r="K1631" t="s">
        <v>11144</v>
      </c>
      <c r="L1631">
        <v>54</v>
      </c>
      <c r="O1631">
        <v>191122</v>
      </c>
      <c r="P1631" t="s">
        <v>10806</v>
      </c>
      <c r="Q1631">
        <v>1</v>
      </c>
    </row>
    <row r="1632" spans="1:17" x14ac:dyDescent="0.25">
      <c r="A1632">
        <v>1</v>
      </c>
      <c r="B1632">
        <v>10</v>
      </c>
      <c r="C1632" t="s">
        <v>7398</v>
      </c>
      <c r="D1632" t="s">
        <v>11145</v>
      </c>
      <c r="H1632" t="s">
        <v>11145</v>
      </c>
      <c r="I1632" t="e">
        <v>#N/A</v>
      </c>
      <c r="J1632" t="e">
        <v>#N/A</v>
      </c>
      <c r="O1632" t="s">
        <v>7398</v>
      </c>
      <c r="P1632" t="s">
        <v>11145</v>
      </c>
      <c r="Q1632">
        <v>9</v>
      </c>
    </row>
    <row r="1633" spans="1:17" x14ac:dyDescent="0.25">
      <c r="A1633">
        <v>2</v>
      </c>
      <c r="B1633" t="s">
        <v>11146</v>
      </c>
      <c r="C1633" t="s">
        <v>7398</v>
      </c>
      <c r="D1633" t="s">
        <v>11145</v>
      </c>
      <c r="E1633" t="s">
        <v>27</v>
      </c>
      <c r="H1633" t="s">
        <v>8</v>
      </c>
      <c r="I1633" t="s">
        <v>581</v>
      </c>
      <c r="J1633" t="s">
        <v>27</v>
      </c>
      <c r="O1633" t="s">
        <v>27</v>
      </c>
      <c r="P1633" t="s">
        <v>11145</v>
      </c>
      <c r="Q1633">
        <v>2</v>
      </c>
    </row>
    <row r="1634" spans="1:17" x14ac:dyDescent="0.25">
      <c r="A1634">
        <v>3</v>
      </c>
      <c r="B1634" t="s">
        <v>11147</v>
      </c>
      <c r="C1634" t="s">
        <v>7398</v>
      </c>
      <c r="D1634" t="s">
        <v>11145</v>
      </c>
      <c r="F1634" t="s">
        <v>11148</v>
      </c>
      <c r="H1634" t="s">
        <v>11149</v>
      </c>
      <c r="I1634" t="s">
        <v>11150</v>
      </c>
      <c r="J1634" t="s">
        <v>11148</v>
      </c>
      <c r="O1634" t="s">
        <v>11148</v>
      </c>
      <c r="P1634" t="s">
        <v>11145</v>
      </c>
      <c r="Q1634">
        <v>1</v>
      </c>
    </row>
    <row r="1635" spans="1:17" x14ac:dyDescent="0.25">
      <c r="A1635">
        <v>4</v>
      </c>
      <c r="B1635" t="s">
        <v>11151</v>
      </c>
      <c r="C1635" t="s">
        <v>7398</v>
      </c>
      <c r="D1635" t="s">
        <v>11145</v>
      </c>
      <c r="G1635">
        <v>170006</v>
      </c>
      <c r="H1635" t="s">
        <v>11152</v>
      </c>
      <c r="I1635" t="s">
        <v>11153</v>
      </c>
      <c r="J1635">
        <v>170006</v>
      </c>
      <c r="K1635" t="s">
        <v>11154</v>
      </c>
      <c r="L1635">
        <v>52</v>
      </c>
      <c r="O1635">
        <v>170006</v>
      </c>
      <c r="P1635" t="s">
        <v>11145</v>
      </c>
      <c r="Q1635">
        <v>1</v>
      </c>
    </row>
    <row r="1636" spans="1:17" x14ac:dyDescent="0.25">
      <c r="A1636">
        <v>4</v>
      </c>
      <c r="B1636" t="s">
        <v>11155</v>
      </c>
      <c r="C1636" t="s">
        <v>7398</v>
      </c>
      <c r="D1636" t="s">
        <v>11145</v>
      </c>
      <c r="G1636">
        <v>170008</v>
      </c>
      <c r="H1636" t="s">
        <v>11156</v>
      </c>
      <c r="I1636" t="s">
        <v>11157</v>
      </c>
      <c r="J1636">
        <v>170008</v>
      </c>
      <c r="K1636" t="s">
        <v>11158</v>
      </c>
      <c r="L1636">
        <v>19</v>
      </c>
      <c r="O1636">
        <v>170008</v>
      </c>
      <c r="P1636" t="s">
        <v>11145</v>
      </c>
      <c r="Q1636">
        <v>1</v>
      </c>
    </row>
    <row r="1637" spans="1:17" x14ac:dyDescent="0.25">
      <c r="A1637">
        <v>4</v>
      </c>
      <c r="B1637" t="s">
        <v>11159</v>
      </c>
      <c r="C1637" t="s">
        <v>7398</v>
      </c>
      <c r="D1637" t="s">
        <v>11145</v>
      </c>
      <c r="G1637">
        <v>170011</v>
      </c>
      <c r="H1637" t="s">
        <v>11160</v>
      </c>
      <c r="I1637" t="s">
        <v>11161</v>
      </c>
      <c r="J1637">
        <v>170011</v>
      </c>
      <c r="K1637" t="s">
        <v>11162</v>
      </c>
      <c r="L1637">
        <v>6</v>
      </c>
      <c r="N1637" t="s">
        <v>4713</v>
      </c>
      <c r="O1637">
        <v>170011</v>
      </c>
      <c r="P1637" t="s">
        <v>11145</v>
      </c>
      <c r="Q1637">
        <v>1</v>
      </c>
    </row>
    <row r="1638" spans="1:17" x14ac:dyDescent="0.25">
      <c r="A1638">
        <v>4</v>
      </c>
      <c r="B1638" t="s">
        <v>11163</v>
      </c>
      <c r="C1638" t="s">
        <v>7398</v>
      </c>
      <c r="D1638" t="s">
        <v>11145</v>
      </c>
      <c r="G1638">
        <v>170013</v>
      </c>
      <c r="H1638" t="s">
        <v>11164</v>
      </c>
      <c r="I1638" t="s">
        <v>11165</v>
      </c>
      <c r="J1638">
        <v>170013</v>
      </c>
      <c r="K1638" t="s">
        <v>11166</v>
      </c>
      <c r="L1638">
        <v>3</v>
      </c>
      <c r="N1638" t="s">
        <v>4713</v>
      </c>
      <c r="O1638">
        <v>170013</v>
      </c>
      <c r="P1638" t="s">
        <v>11145</v>
      </c>
      <c r="Q1638">
        <v>1</v>
      </c>
    </row>
    <row r="1639" spans="1:17" x14ac:dyDescent="0.25">
      <c r="A1639">
        <v>4</v>
      </c>
      <c r="B1639" t="s">
        <v>11167</v>
      </c>
      <c r="C1639" t="s">
        <v>7398</v>
      </c>
      <c r="D1639" t="s">
        <v>11145</v>
      </c>
      <c r="G1639">
        <v>170015</v>
      </c>
      <c r="H1639" t="s">
        <v>11168</v>
      </c>
      <c r="I1639" t="s">
        <v>11169</v>
      </c>
      <c r="J1639">
        <v>170015</v>
      </c>
      <c r="K1639" t="s">
        <v>11170</v>
      </c>
      <c r="L1639">
        <v>2</v>
      </c>
      <c r="N1639" t="s">
        <v>4713</v>
      </c>
      <c r="O1639">
        <v>170015</v>
      </c>
      <c r="P1639" t="s">
        <v>11145</v>
      </c>
      <c r="Q1639">
        <v>1</v>
      </c>
    </row>
    <row r="1640" spans="1:17" x14ac:dyDescent="0.25">
      <c r="A1640">
        <v>4</v>
      </c>
      <c r="B1640" t="s">
        <v>11171</v>
      </c>
      <c r="C1640" t="s">
        <v>7398</v>
      </c>
      <c r="D1640" t="s">
        <v>11145</v>
      </c>
      <c r="G1640">
        <v>21692</v>
      </c>
      <c r="H1640" t="s">
        <v>11172</v>
      </c>
      <c r="I1640" t="s">
        <v>11173</v>
      </c>
      <c r="J1640">
        <v>21692</v>
      </c>
      <c r="K1640" t="s">
        <v>11174</v>
      </c>
      <c r="L1640">
        <v>44</v>
      </c>
      <c r="O1640">
        <v>21692</v>
      </c>
      <c r="P1640" t="s">
        <v>11145</v>
      </c>
      <c r="Q1640">
        <v>1</v>
      </c>
    </row>
    <row r="1641" spans="1:17" x14ac:dyDescent="0.25">
      <c r="A1641">
        <v>4</v>
      </c>
      <c r="B1641" t="s">
        <v>11175</v>
      </c>
      <c r="C1641" t="s">
        <v>7398</v>
      </c>
      <c r="D1641" t="s">
        <v>11145</v>
      </c>
      <c r="G1641">
        <v>21694</v>
      </c>
      <c r="H1641" t="s">
        <v>11176</v>
      </c>
      <c r="I1641" t="s">
        <v>11177</v>
      </c>
      <c r="J1641">
        <v>21694</v>
      </c>
      <c r="K1641" t="s">
        <v>11178</v>
      </c>
      <c r="L1641">
        <v>6</v>
      </c>
      <c r="N1641" t="s">
        <v>4713</v>
      </c>
      <c r="O1641">
        <v>21694</v>
      </c>
      <c r="P1641" t="s">
        <v>11145</v>
      </c>
      <c r="Q1641">
        <v>1</v>
      </c>
    </row>
    <row r="1642" spans="1:17" x14ac:dyDescent="0.25">
      <c r="A1642">
        <v>4</v>
      </c>
      <c r="B1642" t="s">
        <v>11179</v>
      </c>
      <c r="C1642" t="s">
        <v>7398</v>
      </c>
      <c r="D1642" t="s">
        <v>11145</v>
      </c>
      <c r="G1642">
        <v>21696</v>
      </c>
      <c r="H1642" t="s">
        <v>11180</v>
      </c>
      <c r="I1642" t="s">
        <v>11181</v>
      </c>
      <c r="J1642">
        <v>21696</v>
      </c>
      <c r="K1642" t="s">
        <v>11182</v>
      </c>
      <c r="L1642">
        <v>14</v>
      </c>
      <c r="O1642">
        <v>21696</v>
      </c>
      <c r="P1642" t="s">
        <v>11145</v>
      </c>
      <c r="Q1642">
        <v>1</v>
      </c>
    </row>
    <row r="1643" spans="1:17" x14ac:dyDescent="0.25">
      <c r="A1643">
        <v>4</v>
      </c>
      <c r="B1643" t="s">
        <v>11183</v>
      </c>
      <c r="C1643" t="s">
        <v>7398</v>
      </c>
      <c r="D1643" t="s">
        <v>11145</v>
      </c>
      <c r="G1643" t="s">
        <v>11184</v>
      </c>
      <c r="H1643" t="s">
        <v>11185</v>
      </c>
      <c r="I1643" t="s">
        <v>11186</v>
      </c>
      <c r="J1643" t="s">
        <v>11184</v>
      </c>
      <c r="K1643" t="s">
        <v>11187</v>
      </c>
      <c r="L1643">
        <v>10</v>
      </c>
      <c r="O1643" t="s">
        <v>11184</v>
      </c>
      <c r="P1643" t="s">
        <v>11145</v>
      </c>
      <c r="Q1643">
        <v>1</v>
      </c>
    </row>
    <row r="1644" spans="1:17" x14ac:dyDescent="0.25">
      <c r="A1644">
        <v>4</v>
      </c>
      <c r="B1644" t="s">
        <v>11188</v>
      </c>
      <c r="C1644" t="s">
        <v>7398</v>
      </c>
      <c r="D1644" t="s">
        <v>11145</v>
      </c>
      <c r="G1644" t="s">
        <v>11189</v>
      </c>
      <c r="H1644" t="s">
        <v>11190</v>
      </c>
      <c r="I1644" t="s">
        <v>11191</v>
      </c>
      <c r="J1644" t="s">
        <v>11189</v>
      </c>
      <c r="K1644" t="s">
        <v>11192</v>
      </c>
      <c r="L1644">
        <v>8</v>
      </c>
      <c r="N1644" t="s">
        <v>4713</v>
      </c>
      <c r="O1644" t="s">
        <v>11189</v>
      </c>
      <c r="P1644" t="s">
        <v>11145</v>
      </c>
      <c r="Q1644">
        <v>1</v>
      </c>
    </row>
    <row r="1645" spans="1:17" x14ac:dyDescent="0.25">
      <c r="A1645">
        <v>4</v>
      </c>
      <c r="B1645" t="s">
        <v>11193</v>
      </c>
      <c r="C1645" t="s">
        <v>7398</v>
      </c>
      <c r="D1645" t="s">
        <v>11145</v>
      </c>
      <c r="G1645" t="s">
        <v>11194</v>
      </c>
      <c r="H1645" t="s">
        <v>11195</v>
      </c>
      <c r="I1645" t="s">
        <v>11196</v>
      </c>
      <c r="J1645" t="s">
        <v>11194</v>
      </c>
      <c r="K1645" t="s">
        <v>11197</v>
      </c>
      <c r="L1645">
        <v>31</v>
      </c>
      <c r="O1645" t="s">
        <v>11194</v>
      </c>
      <c r="P1645" t="s">
        <v>11145</v>
      </c>
      <c r="Q1645">
        <v>1</v>
      </c>
    </row>
    <row r="1646" spans="1:17" x14ac:dyDescent="0.25">
      <c r="A1646">
        <v>4</v>
      </c>
      <c r="B1646" t="s">
        <v>11198</v>
      </c>
      <c r="C1646" t="s">
        <v>7398</v>
      </c>
      <c r="D1646" t="s">
        <v>11145</v>
      </c>
      <c r="G1646" t="s">
        <v>11199</v>
      </c>
      <c r="H1646" t="s">
        <v>11200</v>
      </c>
      <c r="I1646" t="s">
        <v>11201</v>
      </c>
      <c r="J1646" t="s">
        <v>11199</v>
      </c>
      <c r="K1646" t="s">
        <v>11202</v>
      </c>
      <c r="L1646">
        <v>20</v>
      </c>
      <c r="O1646" t="s">
        <v>11199</v>
      </c>
      <c r="P1646" t="s">
        <v>11145</v>
      </c>
      <c r="Q1646">
        <v>1</v>
      </c>
    </row>
    <row r="1647" spans="1:17" x14ac:dyDescent="0.25">
      <c r="A1647">
        <v>4</v>
      </c>
      <c r="B1647" t="s">
        <v>11203</v>
      </c>
      <c r="C1647" t="s">
        <v>7398</v>
      </c>
      <c r="D1647" t="s">
        <v>11145</v>
      </c>
      <c r="G1647" t="s">
        <v>11204</v>
      </c>
      <c r="H1647" t="s">
        <v>11205</v>
      </c>
      <c r="I1647" t="s">
        <v>11206</v>
      </c>
      <c r="J1647" t="s">
        <v>11204</v>
      </c>
      <c r="K1647" t="s">
        <v>11207</v>
      </c>
      <c r="L1647">
        <v>13</v>
      </c>
      <c r="O1647" t="s">
        <v>11204</v>
      </c>
      <c r="P1647" t="s">
        <v>11145</v>
      </c>
      <c r="Q1647">
        <v>1</v>
      </c>
    </row>
    <row r="1648" spans="1:17" x14ac:dyDescent="0.25">
      <c r="A1648">
        <v>4</v>
      </c>
      <c r="B1648" t="s">
        <v>11208</v>
      </c>
      <c r="C1648" t="s">
        <v>7398</v>
      </c>
      <c r="D1648" t="s">
        <v>11145</v>
      </c>
      <c r="G1648" t="s">
        <v>11209</v>
      </c>
      <c r="H1648" t="s">
        <v>11210</v>
      </c>
      <c r="I1648" t="s">
        <v>11211</v>
      </c>
      <c r="J1648" t="s">
        <v>11209</v>
      </c>
      <c r="K1648" t="s">
        <v>11212</v>
      </c>
      <c r="L1648">
        <v>28</v>
      </c>
      <c r="O1648" t="s">
        <v>11209</v>
      </c>
      <c r="P1648" t="s">
        <v>11145</v>
      </c>
      <c r="Q1648">
        <v>1</v>
      </c>
    </row>
    <row r="1649" spans="1:17" x14ac:dyDescent="0.25">
      <c r="A1649">
        <v>4</v>
      </c>
      <c r="B1649" t="s">
        <v>11213</v>
      </c>
      <c r="C1649" t="s">
        <v>7398</v>
      </c>
      <c r="D1649" t="s">
        <v>11145</v>
      </c>
      <c r="G1649" t="s">
        <v>11214</v>
      </c>
      <c r="H1649" t="s">
        <v>11215</v>
      </c>
      <c r="I1649" t="s">
        <v>11216</v>
      </c>
      <c r="J1649" t="s">
        <v>11214</v>
      </c>
      <c r="K1649" t="s">
        <v>11217</v>
      </c>
      <c r="L1649">
        <v>10</v>
      </c>
      <c r="O1649" t="s">
        <v>11214</v>
      </c>
      <c r="P1649" t="s">
        <v>11145</v>
      </c>
      <c r="Q1649">
        <v>1</v>
      </c>
    </row>
    <row r="1650" spans="1:17" x14ac:dyDescent="0.25">
      <c r="A1650">
        <v>3</v>
      </c>
      <c r="B1650" t="s">
        <v>11218</v>
      </c>
      <c r="C1650" t="s">
        <v>7398</v>
      </c>
      <c r="D1650" t="s">
        <v>11145</v>
      </c>
      <c r="F1650" t="s">
        <v>11219</v>
      </c>
      <c r="H1650" t="s">
        <v>11220</v>
      </c>
      <c r="I1650" t="s">
        <v>11221</v>
      </c>
      <c r="J1650" t="s">
        <v>11219</v>
      </c>
      <c r="O1650" t="s">
        <v>11219</v>
      </c>
      <c r="P1650" t="s">
        <v>11145</v>
      </c>
      <c r="Q1650">
        <v>1</v>
      </c>
    </row>
    <row r="1651" spans="1:17" x14ac:dyDescent="0.25">
      <c r="A1651">
        <v>4</v>
      </c>
      <c r="B1651" t="s">
        <v>11222</v>
      </c>
      <c r="C1651" t="s">
        <v>7398</v>
      </c>
      <c r="D1651" t="s">
        <v>11145</v>
      </c>
      <c r="G1651">
        <v>21702</v>
      </c>
      <c r="H1651" t="s">
        <v>11223</v>
      </c>
      <c r="I1651" t="s">
        <v>11224</v>
      </c>
      <c r="J1651">
        <v>21702</v>
      </c>
      <c r="K1651" t="s">
        <v>11225</v>
      </c>
      <c r="L1651">
        <v>95</v>
      </c>
      <c r="O1651">
        <v>21702</v>
      </c>
      <c r="P1651" t="s">
        <v>11145</v>
      </c>
      <c r="Q1651">
        <v>1</v>
      </c>
    </row>
    <row r="1652" spans="1:17" x14ac:dyDescent="0.25">
      <c r="A1652">
        <v>4</v>
      </c>
      <c r="B1652" t="s">
        <v>11226</v>
      </c>
      <c r="C1652" t="s">
        <v>7398</v>
      </c>
      <c r="D1652" t="s">
        <v>11145</v>
      </c>
      <c r="G1652">
        <v>21704</v>
      </c>
      <c r="H1652" t="s">
        <v>11227</v>
      </c>
      <c r="I1652" t="s">
        <v>11228</v>
      </c>
      <c r="J1652">
        <v>21704</v>
      </c>
      <c r="K1652" t="s">
        <v>11229</v>
      </c>
      <c r="L1652">
        <v>29</v>
      </c>
      <c r="O1652">
        <v>21704</v>
      </c>
      <c r="P1652" t="s">
        <v>11145</v>
      </c>
      <c r="Q1652">
        <v>1</v>
      </c>
    </row>
    <row r="1653" spans="1:17" x14ac:dyDescent="0.25">
      <c r="A1653">
        <v>4</v>
      </c>
      <c r="B1653" t="s">
        <v>11230</v>
      </c>
      <c r="C1653" t="s">
        <v>7398</v>
      </c>
      <c r="D1653" t="s">
        <v>11145</v>
      </c>
      <c r="G1653">
        <v>21708</v>
      </c>
      <c r="H1653" t="s">
        <v>11231</v>
      </c>
      <c r="I1653" t="s">
        <v>11232</v>
      </c>
      <c r="J1653">
        <v>21708</v>
      </c>
      <c r="K1653" t="s">
        <v>11233</v>
      </c>
      <c r="L1653">
        <v>164</v>
      </c>
      <c r="O1653">
        <v>21708</v>
      </c>
      <c r="P1653" t="s">
        <v>11145</v>
      </c>
      <c r="Q1653">
        <v>1</v>
      </c>
    </row>
    <row r="1654" spans="1:17" x14ac:dyDescent="0.25">
      <c r="A1654">
        <v>4</v>
      </c>
      <c r="B1654" t="s">
        <v>11234</v>
      </c>
      <c r="C1654" t="s">
        <v>7398</v>
      </c>
      <c r="D1654" t="s">
        <v>11145</v>
      </c>
      <c r="G1654">
        <v>21722</v>
      </c>
      <c r="H1654" t="s">
        <v>11235</v>
      </c>
      <c r="I1654" t="s">
        <v>11236</v>
      </c>
      <c r="J1654">
        <v>21722</v>
      </c>
      <c r="K1654" t="s">
        <v>11237</v>
      </c>
      <c r="L1654">
        <v>2</v>
      </c>
      <c r="N1654" t="s">
        <v>4713</v>
      </c>
      <c r="O1654">
        <v>21722</v>
      </c>
      <c r="P1654" t="s">
        <v>11145</v>
      </c>
      <c r="Q1654">
        <v>1</v>
      </c>
    </row>
    <row r="1655" spans="1:17" x14ac:dyDescent="0.25">
      <c r="A1655">
        <v>4</v>
      </c>
      <c r="B1655" t="s">
        <v>11238</v>
      </c>
      <c r="C1655" t="s">
        <v>7398</v>
      </c>
      <c r="D1655" t="s">
        <v>11145</v>
      </c>
      <c r="G1655">
        <v>21724</v>
      </c>
      <c r="H1655" t="s">
        <v>11239</v>
      </c>
      <c r="I1655" t="s">
        <v>11240</v>
      </c>
      <c r="J1655">
        <v>21724</v>
      </c>
      <c r="K1655" t="s">
        <v>11241</v>
      </c>
      <c r="L1655">
        <v>2</v>
      </c>
      <c r="N1655" t="s">
        <v>4713</v>
      </c>
      <c r="O1655">
        <v>21724</v>
      </c>
      <c r="P1655" t="s">
        <v>11145</v>
      </c>
      <c r="Q1655">
        <v>1</v>
      </c>
    </row>
    <row r="1656" spans="1:17" x14ac:dyDescent="0.25">
      <c r="A1656">
        <v>4</v>
      </c>
      <c r="B1656" t="s">
        <v>11242</v>
      </c>
      <c r="C1656" t="s">
        <v>7398</v>
      </c>
      <c r="D1656" t="s">
        <v>11145</v>
      </c>
      <c r="G1656">
        <v>220917</v>
      </c>
      <c r="H1656" t="s">
        <v>11243</v>
      </c>
      <c r="I1656" t="s">
        <v>11244</v>
      </c>
      <c r="J1656">
        <v>220917</v>
      </c>
      <c r="K1656" t="s">
        <v>11245</v>
      </c>
      <c r="L1656">
        <v>2</v>
      </c>
      <c r="N1656" t="s">
        <v>4713</v>
      </c>
      <c r="O1656">
        <v>220917</v>
      </c>
      <c r="P1656" t="s">
        <v>11145</v>
      </c>
      <c r="Q1656">
        <v>1</v>
      </c>
    </row>
    <row r="1657" spans="1:17" x14ac:dyDescent="0.25">
      <c r="A1657">
        <v>4</v>
      </c>
      <c r="B1657" t="s">
        <v>11246</v>
      </c>
      <c r="C1657" t="s">
        <v>7398</v>
      </c>
      <c r="D1657" t="s">
        <v>11145</v>
      </c>
      <c r="G1657" t="s">
        <v>11247</v>
      </c>
      <c r="H1657" t="s">
        <v>11220</v>
      </c>
      <c r="I1657" t="s">
        <v>11221</v>
      </c>
      <c r="J1657" t="s">
        <v>11247</v>
      </c>
      <c r="K1657" t="s">
        <v>11248</v>
      </c>
      <c r="L1657">
        <v>640</v>
      </c>
      <c r="O1657" t="s">
        <v>11247</v>
      </c>
      <c r="P1657" t="s">
        <v>11145</v>
      </c>
      <c r="Q1657">
        <v>1</v>
      </c>
    </row>
    <row r="1658" spans="1:17" x14ac:dyDescent="0.25">
      <c r="A1658">
        <v>3</v>
      </c>
      <c r="B1658" t="s">
        <v>11249</v>
      </c>
      <c r="C1658" t="s">
        <v>7398</v>
      </c>
      <c r="D1658" t="s">
        <v>11145</v>
      </c>
      <c r="F1658" t="s">
        <v>11250</v>
      </c>
      <c r="H1658" t="s">
        <v>11251</v>
      </c>
      <c r="I1658" t="s">
        <v>11252</v>
      </c>
      <c r="J1658" t="s">
        <v>11250</v>
      </c>
      <c r="O1658" t="s">
        <v>11250</v>
      </c>
      <c r="P1658" t="s">
        <v>11145</v>
      </c>
      <c r="Q1658">
        <v>1</v>
      </c>
    </row>
    <row r="1659" spans="1:17" x14ac:dyDescent="0.25">
      <c r="A1659">
        <v>4</v>
      </c>
      <c r="B1659" t="s">
        <v>11253</v>
      </c>
      <c r="C1659" t="s">
        <v>7398</v>
      </c>
      <c r="D1659" t="s">
        <v>11145</v>
      </c>
      <c r="G1659">
        <v>21716</v>
      </c>
      <c r="H1659" t="s">
        <v>11254</v>
      </c>
      <c r="I1659" t="s">
        <v>11255</v>
      </c>
      <c r="J1659">
        <v>21716</v>
      </c>
      <c r="K1659" t="s">
        <v>11256</v>
      </c>
      <c r="L1659">
        <v>41</v>
      </c>
      <c r="O1659">
        <v>21716</v>
      </c>
      <c r="P1659" t="s">
        <v>11145</v>
      </c>
      <c r="Q1659">
        <v>1</v>
      </c>
    </row>
    <row r="1660" spans="1:17" x14ac:dyDescent="0.25">
      <c r="A1660">
        <v>4</v>
      </c>
      <c r="B1660" t="s">
        <v>11257</v>
      </c>
      <c r="C1660" t="s">
        <v>7398</v>
      </c>
      <c r="D1660" t="s">
        <v>11145</v>
      </c>
      <c r="G1660">
        <v>21718</v>
      </c>
      <c r="H1660" t="s">
        <v>11258</v>
      </c>
      <c r="I1660" t="s">
        <v>11259</v>
      </c>
      <c r="J1660">
        <v>21718</v>
      </c>
      <c r="K1660" t="s">
        <v>11260</v>
      </c>
      <c r="L1660">
        <v>76</v>
      </c>
      <c r="O1660">
        <v>21718</v>
      </c>
      <c r="P1660" t="s">
        <v>11145</v>
      </c>
      <c r="Q1660">
        <v>1</v>
      </c>
    </row>
    <row r="1661" spans="1:17" x14ac:dyDescent="0.25">
      <c r="A1661">
        <v>4</v>
      </c>
      <c r="B1661" t="s">
        <v>11261</v>
      </c>
      <c r="C1661" t="s">
        <v>7398</v>
      </c>
      <c r="D1661" t="s">
        <v>11145</v>
      </c>
      <c r="G1661">
        <v>21720</v>
      </c>
      <c r="H1661" t="s">
        <v>11251</v>
      </c>
      <c r="I1661" t="s">
        <v>11252</v>
      </c>
      <c r="J1661">
        <v>21720</v>
      </c>
      <c r="K1661" t="s">
        <v>11262</v>
      </c>
      <c r="L1661">
        <v>398</v>
      </c>
      <c r="O1661">
        <v>21720</v>
      </c>
      <c r="P1661" t="s">
        <v>11145</v>
      </c>
      <c r="Q1661">
        <v>1</v>
      </c>
    </row>
    <row r="1662" spans="1:17" x14ac:dyDescent="0.25">
      <c r="A1662">
        <v>3</v>
      </c>
      <c r="B1662" t="s">
        <v>11263</v>
      </c>
      <c r="C1662" t="s">
        <v>7398</v>
      </c>
      <c r="D1662" t="s">
        <v>11145</v>
      </c>
      <c r="F1662" t="s">
        <v>11264</v>
      </c>
      <c r="H1662" t="s">
        <v>11265</v>
      </c>
      <c r="I1662" t="s">
        <v>11266</v>
      </c>
      <c r="J1662" t="s">
        <v>11264</v>
      </c>
      <c r="O1662" t="s">
        <v>11264</v>
      </c>
      <c r="P1662" t="s">
        <v>11145</v>
      </c>
      <c r="Q1662">
        <v>1</v>
      </c>
    </row>
    <row r="1663" spans="1:17" x14ac:dyDescent="0.25">
      <c r="A1663">
        <v>4</v>
      </c>
      <c r="B1663" t="s">
        <v>11267</v>
      </c>
      <c r="C1663" t="s">
        <v>7398</v>
      </c>
      <c r="D1663" t="s">
        <v>11145</v>
      </c>
      <c r="G1663">
        <v>21729</v>
      </c>
      <c r="H1663" t="s">
        <v>11268</v>
      </c>
      <c r="I1663" t="s">
        <v>11269</v>
      </c>
      <c r="J1663">
        <v>21729</v>
      </c>
      <c r="K1663" t="s">
        <v>11270</v>
      </c>
      <c r="L1663">
        <v>26</v>
      </c>
      <c r="O1663">
        <v>21729</v>
      </c>
      <c r="P1663" t="s">
        <v>11145</v>
      </c>
      <c r="Q1663">
        <v>1</v>
      </c>
    </row>
    <row r="1664" spans="1:17" x14ac:dyDescent="0.25">
      <c r="A1664">
        <v>4</v>
      </c>
      <c r="B1664" t="s">
        <v>11271</v>
      </c>
      <c r="C1664" t="s">
        <v>7398</v>
      </c>
      <c r="D1664" t="s">
        <v>11145</v>
      </c>
      <c r="G1664">
        <v>21739</v>
      </c>
      <c r="H1664" t="s">
        <v>11272</v>
      </c>
      <c r="I1664" t="s">
        <v>11273</v>
      </c>
      <c r="J1664">
        <v>21739</v>
      </c>
      <c r="K1664" t="s">
        <v>11274</v>
      </c>
      <c r="L1664">
        <v>13</v>
      </c>
      <c r="O1664">
        <v>21739</v>
      </c>
      <c r="P1664" t="s">
        <v>11145</v>
      </c>
      <c r="Q1664">
        <v>1</v>
      </c>
    </row>
    <row r="1665" spans="1:17" x14ac:dyDescent="0.25">
      <c r="A1665">
        <v>4</v>
      </c>
      <c r="B1665" t="s">
        <v>11275</v>
      </c>
      <c r="C1665" t="s">
        <v>7398</v>
      </c>
      <c r="D1665" t="s">
        <v>11145</v>
      </c>
      <c r="G1665">
        <v>279754</v>
      </c>
      <c r="H1665" t="s">
        <v>11276</v>
      </c>
      <c r="I1665" t="s">
        <v>11277</v>
      </c>
      <c r="J1665">
        <v>279754</v>
      </c>
      <c r="K1665" t="s">
        <v>11278</v>
      </c>
      <c r="L1665">
        <v>62</v>
      </c>
      <c r="O1665">
        <v>279754</v>
      </c>
      <c r="P1665" t="s">
        <v>11145</v>
      </c>
      <c r="Q1665">
        <v>1</v>
      </c>
    </row>
    <row r="1666" spans="1:17" x14ac:dyDescent="0.25">
      <c r="A1666">
        <v>4</v>
      </c>
      <c r="B1666" t="s">
        <v>11279</v>
      </c>
      <c r="C1666" t="s">
        <v>7398</v>
      </c>
      <c r="D1666" t="s">
        <v>11145</v>
      </c>
      <c r="G1666" t="s">
        <v>11280</v>
      </c>
      <c r="H1666" t="s">
        <v>11281</v>
      </c>
      <c r="I1666" t="s">
        <v>11266</v>
      </c>
      <c r="J1666" t="s">
        <v>11280</v>
      </c>
      <c r="K1666" t="s">
        <v>11282</v>
      </c>
      <c r="L1666">
        <v>132</v>
      </c>
      <c r="O1666" t="s">
        <v>11280</v>
      </c>
      <c r="P1666" t="s">
        <v>11145</v>
      </c>
      <c r="Q1666">
        <v>1</v>
      </c>
    </row>
    <row r="1667" spans="1:17" x14ac:dyDescent="0.25">
      <c r="A1667">
        <v>4</v>
      </c>
      <c r="B1667" t="s">
        <v>11283</v>
      </c>
      <c r="C1667" t="s">
        <v>7398</v>
      </c>
      <c r="D1667" t="s">
        <v>11145</v>
      </c>
      <c r="G1667" t="s">
        <v>11284</v>
      </c>
      <c r="H1667" t="s">
        <v>11285</v>
      </c>
      <c r="I1667" t="s">
        <v>11286</v>
      </c>
      <c r="J1667" t="s">
        <v>11284</v>
      </c>
      <c r="K1667" t="s">
        <v>11287</v>
      </c>
      <c r="L1667">
        <v>41</v>
      </c>
      <c r="O1667" t="s">
        <v>11284</v>
      </c>
      <c r="P1667" t="s">
        <v>11145</v>
      </c>
      <c r="Q1667">
        <v>1</v>
      </c>
    </row>
    <row r="1668" spans="1:17" x14ac:dyDescent="0.25">
      <c r="A1668">
        <v>4</v>
      </c>
      <c r="B1668" t="s">
        <v>11288</v>
      </c>
      <c r="C1668" t="s">
        <v>7398</v>
      </c>
      <c r="D1668" t="s">
        <v>11145</v>
      </c>
      <c r="G1668" t="s">
        <v>11289</v>
      </c>
      <c r="H1668" t="s">
        <v>11290</v>
      </c>
      <c r="I1668" t="s">
        <v>11291</v>
      </c>
      <c r="J1668" t="s">
        <v>11289</v>
      </c>
      <c r="K1668" t="s">
        <v>11292</v>
      </c>
      <c r="L1668">
        <v>35</v>
      </c>
      <c r="O1668" t="s">
        <v>11289</v>
      </c>
      <c r="P1668" t="s">
        <v>11145</v>
      </c>
      <c r="Q1668">
        <v>1</v>
      </c>
    </row>
    <row r="1669" spans="1:17" x14ac:dyDescent="0.25">
      <c r="A1669">
        <v>3</v>
      </c>
      <c r="B1669" t="s">
        <v>11293</v>
      </c>
      <c r="C1669" t="s">
        <v>7398</v>
      </c>
      <c r="D1669" t="s">
        <v>11145</v>
      </c>
      <c r="F1669" t="s">
        <v>11294</v>
      </c>
      <c r="H1669" t="s">
        <v>11295</v>
      </c>
      <c r="I1669" t="s">
        <v>11296</v>
      </c>
      <c r="J1669" t="s">
        <v>11294</v>
      </c>
      <c r="O1669" t="s">
        <v>11294</v>
      </c>
      <c r="P1669" t="s">
        <v>11145</v>
      </c>
      <c r="Q1669">
        <v>1</v>
      </c>
    </row>
    <row r="1670" spans="1:17" x14ac:dyDescent="0.25">
      <c r="A1670">
        <v>4</v>
      </c>
      <c r="B1670" t="s">
        <v>11297</v>
      </c>
      <c r="C1670" t="s">
        <v>7398</v>
      </c>
      <c r="D1670" t="s">
        <v>11145</v>
      </c>
      <c r="G1670">
        <v>21733</v>
      </c>
      <c r="H1670" t="s">
        <v>11298</v>
      </c>
      <c r="I1670" t="s">
        <v>11299</v>
      </c>
      <c r="J1670">
        <v>21733</v>
      </c>
      <c r="K1670" t="s">
        <v>11300</v>
      </c>
      <c r="L1670">
        <v>342</v>
      </c>
      <c r="O1670">
        <v>21733</v>
      </c>
      <c r="P1670" t="s">
        <v>11145</v>
      </c>
      <c r="Q1670">
        <v>1</v>
      </c>
    </row>
    <row r="1671" spans="1:17" x14ac:dyDescent="0.25">
      <c r="A1671">
        <v>4</v>
      </c>
      <c r="B1671" t="s">
        <v>11301</v>
      </c>
      <c r="C1671" t="s">
        <v>7398</v>
      </c>
      <c r="D1671" t="s">
        <v>11145</v>
      </c>
      <c r="G1671">
        <v>21735</v>
      </c>
      <c r="H1671" t="s">
        <v>11302</v>
      </c>
      <c r="I1671" t="s">
        <v>11303</v>
      </c>
      <c r="J1671">
        <v>21735</v>
      </c>
      <c r="K1671" t="s">
        <v>11304</v>
      </c>
      <c r="L1671">
        <v>22</v>
      </c>
      <c r="O1671">
        <v>21735</v>
      </c>
      <c r="P1671" t="s">
        <v>11145</v>
      </c>
      <c r="Q1671">
        <v>1</v>
      </c>
    </row>
    <row r="1672" spans="1:17" x14ac:dyDescent="0.25">
      <c r="A1672">
        <v>4</v>
      </c>
      <c r="B1672" t="s">
        <v>11305</v>
      </c>
      <c r="C1672" t="s">
        <v>7398</v>
      </c>
      <c r="D1672" t="s">
        <v>11145</v>
      </c>
      <c r="G1672">
        <v>21737</v>
      </c>
      <c r="H1672" t="s">
        <v>11306</v>
      </c>
      <c r="I1672" t="s">
        <v>11307</v>
      </c>
      <c r="J1672">
        <v>21737</v>
      </c>
      <c r="K1672" t="s">
        <v>11308</v>
      </c>
      <c r="L1672">
        <v>71</v>
      </c>
      <c r="O1672">
        <v>21737</v>
      </c>
      <c r="P1672" t="s">
        <v>11145</v>
      </c>
      <c r="Q1672">
        <v>1</v>
      </c>
    </row>
    <row r="1673" spans="1:17" x14ac:dyDescent="0.25">
      <c r="A1673">
        <v>3</v>
      </c>
      <c r="B1673" t="s">
        <v>11309</v>
      </c>
      <c r="C1673" t="s">
        <v>7398</v>
      </c>
      <c r="D1673" t="s">
        <v>11145</v>
      </c>
      <c r="F1673" t="s">
        <v>11310</v>
      </c>
      <c r="H1673" t="s">
        <v>11311</v>
      </c>
      <c r="I1673" t="s">
        <v>11312</v>
      </c>
      <c r="J1673" t="s">
        <v>11310</v>
      </c>
      <c r="O1673" t="s">
        <v>11310</v>
      </c>
      <c r="P1673" t="s">
        <v>11145</v>
      </c>
      <c r="Q1673">
        <v>1</v>
      </c>
    </row>
    <row r="1674" spans="1:17" x14ac:dyDescent="0.25">
      <c r="A1674">
        <v>4</v>
      </c>
      <c r="B1674" t="s">
        <v>11313</v>
      </c>
      <c r="C1674" t="s">
        <v>7398</v>
      </c>
      <c r="D1674" t="s">
        <v>11145</v>
      </c>
      <c r="G1674">
        <v>21747</v>
      </c>
      <c r="H1674" t="s">
        <v>11314</v>
      </c>
      <c r="I1674" t="s">
        <v>11315</v>
      </c>
      <c r="J1674">
        <v>21747</v>
      </c>
      <c r="K1674" t="s">
        <v>11316</v>
      </c>
      <c r="L1674">
        <v>21</v>
      </c>
      <c r="O1674">
        <v>21747</v>
      </c>
      <c r="P1674" t="s">
        <v>11145</v>
      </c>
      <c r="Q1674">
        <v>1</v>
      </c>
    </row>
    <row r="1675" spans="1:17" x14ac:dyDescent="0.25">
      <c r="A1675">
        <v>4</v>
      </c>
      <c r="B1675" t="s">
        <v>11317</v>
      </c>
      <c r="C1675" t="s">
        <v>7398</v>
      </c>
      <c r="D1675" t="s">
        <v>11145</v>
      </c>
      <c r="G1675">
        <v>21749</v>
      </c>
      <c r="H1675" t="s">
        <v>11318</v>
      </c>
      <c r="I1675" t="s">
        <v>11319</v>
      </c>
      <c r="J1675">
        <v>21749</v>
      </c>
      <c r="K1675" t="s">
        <v>11320</v>
      </c>
      <c r="L1675">
        <v>13</v>
      </c>
      <c r="O1675">
        <v>21749</v>
      </c>
      <c r="P1675" t="s">
        <v>11145</v>
      </c>
      <c r="Q1675">
        <v>1</v>
      </c>
    </row>
    <row r="1676" spans="1:17" x14ac:dyDescent="0.25">
      <c r="A1676">
        <v>4</v>
      </c>
      <c r="B1676" t="s">
        <v>11321</v>
      </c>
      <c r="C1676" t="s">
        <v>7398</v>
      </c>
      <c r="D1676" t="s">
        <v>11145</v>
      </c>
      <c r="G1676">
        <v>21751</v>
      </c>
      <c r="H1676" t="s">
        <v>11322</v>
      </c>
      <c r="I1676" t="s">
        <v>11323</v>
      </c>
      <c r="J1676">
        <v>21751</v>
      </c>
      <c r="K1676" t="s">
        <v>11324</v>
      </c>
      <c r="L1676">
        <v>10</v>
      </c>
      <c r="O1676">
        <v>21751</v>
      </c>
      <c r="P1676" t="s">
        <v>11145</v>
      </c>
      <c r="Q1676">
        <v>1</v>
      </c>
    </row>
    <row r="1677" spans="1:17" x14ac:dyDescent="0.25">
      <c r="A1677">
        <v>4</v>
      </c>
      <c r="B1677" t="s">
        <v>11325</v>
      </c>
      <c r="C1677" t="s">
        <v>7398</v>
      </c>
      <c r="D1677" t="s">
        <v>11145</v>
      </c>
      <c r="G1677" t="s">
        <v>11326</v>
      </c>
      <c r="H1677" t="s">
        <v>11327</v>
      </c>
      <c r="I1677" t="s">
        <v>11328</v>
      </c>
      <c r="J1677" t="s">
        <v>11326</v>
      </c>
      <c r="K1677" t="s">
        <v>11329</v>
      </c>
      <c r="L1677">
        <v>37</v>
      </c>
      <c r="O1677" t="s">
        <v>11326</v>
      </c>
      <c r="P1677" t="s">
        <v>11145</v>
      </c>
      <c r="Q1677">
        <v>1</v>
      </c>
    </row>
    <row r="1678" spans="1:17" x14ac:dyDescent="0.25">
      <c r="A1678">
        <v>3</v>
      </c>
      <c r="B1678" t="s">
        <v>11330</v>
      </c>
      <c r="C1678" t="s">
        <v>7398</v>
      </c>
      <c r="D1678" t="s">
        <v>11145</v>
      </c>
      <c r="F1678" t="s">
        <v>11331</v>
      </c>
      <c r="H1678" t="s">
        <v>11332</v>
      </c>
      <c r="I1678" t="s">
        <v>11333</v>
      </c>
      <c r="J1678" t="s">
        <v>11331</v>
      </c>
      <c r="O1678" t="s">
        <v>11331</v>
      </c>
      <c r="P1678" t="s">
        <v>11145</v>
      </c>
      <c r="Q1678">
        <v>1</v>
      </c>
    </row>
    <row r="1679" spans="1:17" x14ac:dyDescent="0.25">
      <c r="A1679">
        <v>4</v>
      </c>
      <c r="B1679" t="s">
        <v>11334</v>
      </c>
      <c r="C1679" t="s">
        <v>7398</v>
      </c>
      <c r="D1679" t="s">
        <v>11145</v>
      </c>
      <c r="G1679">
        <v>21761</v>
      </c>
      <c r="H1679" t="s">
        <v>11335</v>
      </c>
      <c r="I1679" t="s">
        <v>11336</v>
      </c>
      <c r="J1679">
        <v>21761</v>
      </c>
      <c r="K1679" t="s">
        <v>11337</v>
      </c>
      <c r="L1679">
        <v>2</v>
      </c>
      <c r="N1679" t="s">
        <v>4713</v>
      </c>
      <c r="O1679">
        <v>21761</v>
      </c>
      <c r="P1679" t="s">
        <v>11145</v>
      </c>
      <c r="Q1679">
        <v>1</v>
      </c>
    </row>
    <row r="1680" spans="1:17" x14ac:dyDescent="0.25">
      <c r="A1680">
        <v>4</v>
      </c>
      <c r="B1680" t="s">
        <v>11338</v>
      </c>
      <c r="C1680" t="s">
        <v>7398</v>
      </c>
      <c r="D1680" t="s">
        <v>11145</v>
      </c>
      <c r="G1680">
        <v>21765</v>
      </c>
      <c r="H1680" t="s">
        <v>11339</v>
      </c>
      <c r="I1680" t="s">
        <v>11340</v>
      </c>
      <c r="J1680">
        <v>21765</v>
      </c>
      <c r="K1680" t="s">
        <v>11341</v>
      </c>
      <c r="L1680">
        <v>2</v>
      </c>
      <c r="N1680" t="s">
        <v>4713</v>
      </c>
      <c r="O1680">
        <v>21765</v>
      </c>
      <c r="P1680" t="s">
        <v>11145</v>
      </c>
      <c r="Q1680">
        <v>1</v>
      </c>
    </row>
    <row r="1681" spans="1:17" x14ac:dyDescent="0.25">
      <c r="A1681">
        <v>4</v>
      </c>
      <c r="B1681" t="s">
        <v>11342</v>
      </c>
      <c r="C1681" t="s">
        <v>7398</v>
      </c>
      <c r="D1681" t="s">
        <v>11145</v>
      </c>
      <c r="G1681">
        <v>21767</v>
      </c>
      <c r="H1681" t="s">
        <v>11343</v>
      </c>
      <c r="I1681" t="s">
        <v>11344</v>
      </c>
      <c r="J1681">
        <v>21767</v>
      </c>
      <c r="K1681" t="s">
        <v>11345</v>
      </c>
      <c r="L1681">
        <v>2</v>
      </c>
      <c r="N1681" t="s">
        <v>4713</v>
      </c>
      <c r="O1681">
        <v>21767</v>
      </c>
      <c r="P1681" t="s">
        <v>11145</v>
      </c>
      <c r="Q1681">
        <v>1</v>
      </c>
    </row>
    <row r="1682" spans="1:17" x14ac:dyDescent="0.25">
      <c r="A1682">
        <v>4</v>
      </c>
      <c r="B1682" t="s">
        <v>11346</v>
      </c>
      <c r="C1682" t="s">
        <v>7398</v>
      </c>
      <c r="D1682" t="s">
        <v>11145</v>
      </c>
      <c r="G1682">
        <v>21769</v>
      </c>
      <c r="H1682" t="s">
        <v>11347</v>
      </c>
      <c r="I1682" t="s">
        <v>11348</v>
      </c>
      <c r="J1682">
        <v>21769</v>
      </c>
      <c r="K1682" t="s">
        <v>11349</v>
      </c>
      <c r="L1682">
        <v>11</v>
      </c>
      <c r="O1682">
        <v>21769</v>
      </c>
      <c r="P1682" t="s">
        <v>11145</v>
      </c>
      <c r="Q1682">
        <v>1</v>
      </c>
    </row>
    <row r="1683" spans="1:17" x14ac:dyDescent="0.25">
      <c r="A1683">
        <v>4</v>
      </c>
      <c r="B1683" t="s">
        <v>11350</v>
      </c>
      <c r="C1683" t="s">
        <v>7398</v>
      </c>
      <c r="D1683" t="s">
        <v>11145</v>
      </c>
      <c r="G1683">
        <v>21771</v>
      </c>
      <c r="H1683" t="s">
        <v>11351</v>
      </c>
      <c r="I1683" t="s">
        <v>11352</v>
      </c>
      <c r="J1683">
        <v>21771</v>
      </c>
      <c r="K1683" t="s">
        <v>11353</v>
      </c>
      <c r="L1683">
        <v>4</v>
      </c>
      <c r="N1683" t="s">
        <v>4713</v>
      </c>
      <c r="O1683">
        <v>21771</v>
      </c>
      <c r="P1683" t="s">
        <v>11145</v>
      </c>
      <c r="Q1683">
        <v>1</v>
      </c>
    </row>
    <row r="1684" spans="1:17" x14ac:dyDescent="0.25">
      <c r="A1684">
        <v>4</v>
      </c>
      <c r="B1684" t="s">
        <v>11354</v>
      </c>
      <c r="C1684" t="s">
        <v>7398</v>
      </c>
      <c r="D1684" t="s">
        <v>11145</v>
      </c>
      <c r="G1684">
        <v>21775</v>
      </c>
      <c r="H1684" t="s">
        <v>11355</v>
      </c>
      <c r="I1684" t="s">
        <v>11356</v>
      </c>
      <c r="J1684">
        <v>21775</v>
      </c>
      <c r="K1684" t="s">
        <v>11357</v>
      </c>
      <c r="L1684">
        <v>10</v>
      </c>
      <c r="O1684">
        <v>21775</v>
      </c>
      <c r="P1684" t="s">
        <v>11145</v>
      </c>
      <c r="Q1684">
        <v>1</v>
      </c>
    </row>
    <row r="1685" spans="1:17" x14ac:dyDescent="0.25">
      <c r="A1685">
        <v>4</v>
      </c>
      <c r="B1685" t="s">
        <v>11358</v>
      </c>
      <c r="C1685" t="s">
        <v>7398</v>
      </c>
      <c r="D1685" t="s">
        <v>11145</v>
      </c>
      <c r="G1685">
        <v>21777</v>
      </c>
      <c r="H1685" t="s">
        <v>11359</v>
      </c>
      <c r="I1685" t="s">
        <v>11360</v>
      </c>
      <c r="J1685">
        <v>21777</v>
      </c>
      <c r="K1685" t="s">
        <v>11361</v>
      </c>
      <c r="L1685">
        <v>14</v>
      </c>
      <c r="O1685">
        <v>21777</v>
      </c>
      <c r="P1685" t="s">
        <v>11145</v>
      </c>
      <c r="Q1685">
        <v>1</v>
      </c>
    </row>
    <row r="1686" spans="1:17" x14ac:dyDescent="0.25">
      <c r="A1686">
        <v>4</v>
      </c>
      <c r="B1686" t="s">
        <v>11362</v>
      </c>
      <c r="C1686" t="s">
        <v>7398</v>
      </c>
      <c r="D1686" t="s">
        <v>11145</v>
      </c>
      <c r="G1686" t="s">
        <v>11363</v>
      </c>
      <c r="H1686" t="s">
        <v>11364</v>
      </c>
      <c r="I1686" t="s">
        <v>11365</v>
      </c>
      <c r="J1686" t="s">
        <v>11363</v>
      </c>
      <c r="K1686" t="s">
        <v>11366</v>
      </c>
      <c r="L1686">
        <v>28</v>
      </c>
      <c r="O1686" t="s">
        <v>11363</v>
      </c>
      <c r="P1686" t="s">
        <v>11145</v>
      </c>
      <c r="Q1686">
        <v>1</v>
      </c>
    </row>
    <row r="1687" spans="1:17" x14ac:dyDescent="0.25">
      <c r="A1687">
        <v>3</v>
      </c>
      <c r="B1687" t="s">
        <v>11367</v>
      </c>
      <c r="C1687" t="s">
        <v>7398</v>
      </c>
      <c r="D1687" t="s">
        <v>11145</v>
      </c>
      <c r="F1687" t="s">
        <v>11368</v>
      </c>
      <c r="H1687" t="s">
        <v>11369</v>
      </c>
      <c r="I1687" t="s">
        <v>11370</v>
      </c>
      <c r="J1687" t="s">
        <v>11368</v>
      </c>
      <c r="O1687" t="s">
        <v>11368</v>
      </c>
      <c r="P1687" t="s">
        <v>11145</v>
      </c>
      <c r="Q1687">
        <v>1</v>
      </c>
    </row>
    <row r="1688" spans="1:17" x14ac:dyDescent="0.25">
      <c r="A1688">
        <v>4</v>
      </c>
      <c r="B1688" t="s">
        <v>11371</v>
      </c>
      <c r="C1688" t="s">
        <v>7398</v>
      </c>
      <c r="D1688" t="s">
        <v>11145</v>
      </c>
      <c r="G1688">
        <v>21781</v>
      </c>
      <c r="H1688" t="s">
        <v>11372</v>
      </c>
      <c r="I1688" t="s">
        <v>11373</v>
      </c>
      <c r="J1688">
        <v>21781</v>
      </c>
      <c r="K1688" t="s">
        <v>11374</v>
      </c>
      <c r="L1688">
        <v>11</v>
      </c>
      <c r="O1688">
        <v>21781</v>
      </c>
      <c r="P1688" t="s">
        <v>11145</v>
      </c>
      <c r="Q1688">
        <v>1</v>
      </c>
    </row>
    <row r="1689" spans="1:17" x14ac:dyDescent="0.25">
      <c r="A1689">
        <v>4</v>
      </c>
      <c r="B1689" t="s">
        <v>11375</v>
      </c>
      <c r="C1689" t="s">
        <v>7398</v>
      </c>
      <c r="D1689" t="s">
        <v>11145</v>
      </c>
      <c r="G1689">
        <v>21783</v>
      </c>
      <c r="H1689" t="s">
        <v>11376</v>
      </c>
      <c r="I1689" t="s">
        <v>11377</v>
      </c>
      <c r="J1689">
        <v>21783</v>
      </c>
      <c r="K1689" t="s">
        <v>11378</v>
      </c>
      <c r="L1689">
        <v>1</v>
      </c>
      <c r="N1689" t="s">
        <v>4734</v>
      </c>
      <c r="O1689">
        <v>21783</v>
      </c>
      <c r="P1689" t="s">
        <v>11145</v>
      </c>
      <c r="Q1689">
        <v>1</v>
      </c>
    </row>
    <row r="1690" spans="1:17" x14ac:dyDescent="0.25">
      <c r="A1690">
        <v>4</v>
      </c>
      <c r="B1690" t="s">
        <v>11379</v>
      </c>
      <c r="C1690" t="s">
        <v>7398</v>
      </c>
      <c r="D1690" t="s">
        <v>11145</v>
      </c>
      <c r="G1690">
        <v>21785</v>
      </c>
      <c r="H1690" t="s">
        <v>11380</v>
      </c>
      <c r="I1690" t="s">
        <v>11381</v>
      </c>
      <c r="J1690">
        <v>21785</v>
      </c>
      <c r="K1690" t="s">
        <v>11382</v>
      </c>
      <c r="L1690">
        <v>1</v>
      </c>
      <c r="N1690" t="s">
        <v>4734</v>
      </c>
      <c r="O1690">
        <v>21785</v>
      </c>
      <c r="P1690" t="s">
        <v>11145</v>
      </c>
      <c r="Q1690">
        <v>1</v>
      </c>
    </row>
    <row r="1691" spans="1:17" x14ac:dyDescent="0.25">
      <c r="A1691">
        <v>4</v>
      </c>
      <c r="B1691" t="s">
        <v>11383</v>
      </c>
      <c r="C1691" t="s">
        <v>7398</v>
      </c>
      <c r="D1691" t="s">
        <v>11145</v>
      </c>
      <c r="G1691" t="s">
        <v>11384</v>
      </c>
      <c r="H1691" t="s">
        <v>11385</v>
      </c>
      <c r="I1691" t="s">
        <v>11386</v>
      </c>
      <c r="J1691" t="s">
        <v>11384</v>
      </c>
      <c r="K1691" t="s">
        <v>11387</v>
      </c>
      <c r="L1691">
        <v>21</v>
      </c>
      <c r="O1691" t="s">
        <v>11384</v>
      </c>
      <c r="P1691" t="s">
        <v>11145</v>
      </c>
      <c r="Q1691">
        <v>1</v>
      </c>
    </row>
    <row r="1692" spans="1:17" x14ac:dyDescent="0.25">
      <c r="A1692">
        <v>3</v>
      </c>
      <c r="B1692" t="s">
        <v>11388</v>
      </c>
      <c r="C1692" t="s">
        <v>7398</v>
      </c>
      <c r="D1692" t="s">
        <v>11145</v>
      </c>
      <c r="F1692" t="s">
        <v>11389</v>
      </c>
      <c r="H1692" t="s">
        <v>11390</v>
      </c>
      <c r="I1692" t="s">
        <v>11391</v>
      </c>
      <c r="J1692" t="s">
        <v>11389</v>
      </c>
      <c r="O1692" t="s">
        <v>11389</v>
      </c>
      <c r="P1692" t="s">
        <v>11145</v>
      </c>
      <c r="Q1692">
        <v>1</v>
      </c>
    </row>
    <row r="1693" spans="1:17" x14ac:dyDescent="0.25">
      <c r="A1693">
        <v>4</v>
      </c>
      <c r="B1693" t="s">
        <v>11392</v>
      </c>
      <c r="C1693" t="s">
        <v>7398</v>
      </c>
      <c r="D1693" t="s">
        <v>11145</v>
      </c>
      <c r="G1693">
        <v>21787</v>
      </c>
      <c r="H1693" t="s">
        <v>11393</v>
      </c>
      <c r="I1693" t="s">
        <v>11391</v>
      </c>
      <c r="J1693">
        <v>21787</v>
      </c>
      <c r="K1693" t="s">
        <v>11394</v>
      </c>
      <c r="L1693">
        <v>47</v>
      </c>
      <c r="O1693">
        <v>21787</v>
      </c>
      <c r="P1693" t="s">
        <v>11145</v>
      </c>
      <c r="Q1693">
        <v>1</v>
      </c>
    </row>
    <row r="1694" spans="1:17" x14ac:dyDescent="0.25">
      <c r="A1694">
        <v>4</v>
      </c>
      <c r="B1694" t="s">
        <v>11395</v>
      </c>
      <c r="C1694" t="s">
        <v>7398</v>
      </c>
      <c r="D1694" t="s">
        <v>11145</v>
      </c>
      <c r="G1694">
        <v>21789</v>
      </c>
      <c r="H1694" t="s">
        <v>11396</v>
      </c>
      <c r="I1694" t="s">
        <v>11397</v>
      </c>
      <c r="J1694">
        <v>21789</v>
      </c>
      <c r="K1694" t="s">
        <v>11398</v>
      </c>
      <c r="L1694">
        <v>3</v>
      </c>
      <c r="N1694" t="s">
        <v>4713</v>
      </c>
      <c r="O1694">
        <v>21789</v>
      </c>
      <c r="P1694" t="s">
        <v>11145</v>
      </c>
      <c r="Q1694">
        <v>1</v>
      </c>
    </row>
    <row r="1695" spans="1:17" x14ac:dyDescent="0.25">
      <c r="A1695">
        <v>3</v>
      </c>
      <c r="B1695" t="s">
        <v>11399</v>
      </c>
      <c r="C1695" t="s">
        <v>7398</v>
      </c>
      <c r="D1695" t="s">
        <v>11145</v>
      </c>
      <c r="F1695" t="s">
        <v>11400</v>
      </c>
      <c r="H1695" t="s">
        <v>11401</v>
      </c>
      <c r="I1695" t="s">
        <v>11402</v>
      </c>
      <c r="J1695" t="s">
        <v>11400</v>
      </c>
      <c r="O1695" t="s">
        <v>11400</v>
      </c>
      <c r="P1695" t="s">
        <v>11145</v>
      </c>
      <c r="Q1695">
        <v>1</v>
      </c>
    </row>
    <row r="1696" spans="1:17" x14ac:dyDescent="0.25">
      <c r="A1696">
        <v>4</v>
      </c>
      <c r="B1696" t="s">
        <v>11403</v>
      </c>
      <c r="C1696" t="s">
        <v>7398</v>
      </c>
      <c r="D1696" t="s">
        <v>11145</v>
      </c>
      <c r="G1696">
        <v>21797</v>
      </c>
      <c r="H1696" t="s">
        <v>11404</v>
      </c>
      <c r="I1696" t="s">
        <v>11405</v>
      </c>
      <c r="J1696">
        <v>21797</v>
      </c>
      <c r="K1696" t="s">
        <v>11406</v>
      </c>
      <c r="L1696">
        <v>105</v>
      </c>
      <c r="O1696">
        <v>21797</v>
      </c>
      <c r="P1696" t="s">
        <v>11145</v>
      </c>
      <c r="Q1696">
        <v>1</v>
      </c>
    </row>
    <row r="1697" spans="1:17" x14ac:dyDescent="0.25">
      <c r="A1697">
        <v>4</v>
      </c>
      <c r="B1697" t="s">
        <v>11407</v>
      </c>
      <c r="C1697" t="s">
        <v>7398</v>
      </c>
      <c r="D1697" t="s">
        <v>11145</v>
      </c>
      <c r="G1697" t="s">
        <v>11408</v>
      </c>
      <c r="H1697" t="s">
        <v>11409</v>
      </c>
      <c r="I1697" t="s">
        <v>11410</v>
      </c>
      <c r="J1697" t="s">
        <v>11408</v>
      </c>
      <c r="K1697" t="s">
        <v>11411</v>
      </c>
      <c r="L1697">
        <v>30</v>
      </c>
      <c r="O1697" t="s">
        <v>11408</v>
      </c>
      <c r="P1697" t="s">
        <v>11145</v>
      </c>
      <c r="Q1697">
        <v>1</v>
      </c>
    </row>
    <row r="1698" spans="1:17" x14ac:dyDescent="0.25">
      <c r="A1698">
        <v>4</v>
      </c>
      <c r="B1698" t="s">
        <v>11412</v>
      </c>
      <c r="C1698" t="s">
        <v>7398</v>
      </c>
      <c r="D1698" t="s">
        <v>11145</v>
      </c>
      <c r="G1698" t="s">
        <v>11413</v>
      </c>
      <c r="H1698" t="s">
        <v>10004</v>
      </c>
      <c r="I1698" t="s">
        <v>10005</v>
      </c>
      <c r="J1698" t="s">
        <v>11413</v>
      </c>
      <c r="K1698" t="s">
        <v>11414</v>
      </c>
      <c r="L1698">
        <v>10</v>
      </c>
      <c r="O1698" t="s">
        <v>11413</v>
      </c>
      <c r="P1698" t="s">
        <v>11145</v>
      </c>
      <c r="Q1698">
        <v>1</v>
      </c>
    </row>
    <row r="1699" spans="1:17" x14ac:dyDescent="0.25">
      <c r="A1699">
        <v>3</v>
      </c>
      <c r="B1699" t="s">
        <v>11415</v>
      </c>
      <c r="C1699" t="s">
        <v>7398</v>
      </c>
      <c r="D1699" t="s">
        <v>11145</v>
      </c>
      <c r="F1699" t="s">
        <v>11416</v>
      </c>
      <c r="H1699" t="s">
        <v>11417</v>
      </c>
      <c r="I1699" t="s">
        <v>11418</v>
      </c>
      <c r="J1699" t="s">
        <v>11416</v>
      </c>
      <c r="O1699" t="s">
        <v>11416</v>
      </c>
      <c r="P1699" t="s">
        <v>11145</v>
      </c>
      <c r="Q1699">
        <v>1</v>
      </c>
    </row>
    <row r="1700" spans="1:17" x14ac:dyDescent="0.25">
      <c r="A1700">
        <v>4</v>
      </c>
      <c r="B1700" t="s">
        <v>11419</v>
      </c>
      <c r="C1700" t="s">
        <v>7398</v>
      </c>
      <c r="D1700" t="s">
        <v>11145</v>
      </c>
      <c r="G1700">
        <v>21801</v>
      </c>
      <c r="H1700" t="s">
        <v>11420</v>
      </c>
      <c r="I1700" t="s">
        <v>11421</v>
      </c>
      <c r="J1700">
        <v>21801</v>
      </c>
      <c r="K1700" t="s">
        <v>11422</v>
      </c>
      <c r="L1700">
        <v>3</v>
      </c>
      <c r="N1700" t="s">
        <v>4713</v>
      </c>
      <c r="O1700">
        <v>21801</v>
      </c>
      <c r="P1700" t="s">
        <v>11145</v>
      </c>
      <c r="Q1700">
        <v>1</v>
      </c>
    </row>
    <row r="1701" spans="1:17" x14ac:dyDescent="0.25">
      <c r="A1701">
        <v>4</v>
      </c>
      <c r="B1701" t="s">
        <v>11423</v>
      </c>
      <c r="C1701" t="s">
        <v>7398</v>
      </c>
      <c r="D1701" t="s">
        <v>11145</v>
      </c>
      <c r="G1701">
        <v>21803</v>
      </c>
      <c r="H1701" t="s">
        <v>11424</v>
      </c>
      <c r="I1701" t="s">
        <v>11425</v>
      </c>
      <c r="J1701">
        <v>21803</v>
      </c>
      <c r="K1701" t="s">
        <v>11426</v>
      </c>
      <c r="L1701">
        <v>30</v>
      </c>
      <c r="O1701">
        <v>21803</v>
      </c>
      <c r="P1701" t="s">
        <v>11145</v>
      </c>
      <c r="Q1701">
        <v>1</v>
      </c>
    </row>
    <row r="1702" spans="1:17" x14ac:dyDescent="0.25">
      <c r="A1702">
        <v>4</v>
      </c>
      <c r="B1702" t="s">
        <v>11427</v>
      </c>
      <c r="C1702" t="s">
        <v>7398</v>
      </c>
      <c r="D1702" t="s">
        <v>11145</v>
      </c>
      <c r="G1702">
        <v>21805</v>
      </c>
      <c r="H1702" t="s">
        <v>11428</v>
      </c>
      <c r="I1702" t="s">
        <v>11429</v>
      </c>
      <c r="J1702">
        <v>21805</v>
      </c>
      <c r="K1702" t="s">
        <v>11430</v>
      </c>
      <c r="L1702">
        <v>64</v>
      </c>
      <c r="O1702">
        <v>21805</v>
      </c>
      <c r="P1702" t="s">
        <v>11145</v>
      </c>
      <c r="Q1702">
        <v>1</v>
      </c>
    </row>
    <row r="1703" spans="1:17" x14ac:dyDescent="0.25">
      <c r="A1703">
        <v>4</v>
      </c>
      <c r="B1703" t="s">
        <v>11431</v>
      </c>
      <c r="C1703" t="s">
        <v>7398</v>
      </c>
      <c r="D1703" t="s">
        <v>11145</v>
      </c>
      <c r="G1703">
        <v>21811</v>
      </c>
      <c r="H1703" t="s">
        <v>11432</v>
      </c>
      <c r="I1703" t="s">
        <v>11433</v>
      </c>
      <c r="J1703">
        <v>21811</v>
      </c>
      <c r="K1703" t="s">
        <v>11434</v>
      </c>
      <c r="L1703">
        <v>32</v>
      </c>
      <c r="O1703">
        <v>21811</v>
      </c>
      <c r="P1703" t="s">
        <v>11145</v>
      </c>
      <c r="Q1703">
        <v>1</v>
      </c>
    </row>
    <row r="1704" spans="1:17" x14ac:dyDescent="0.25">
      <c r="A1704">
        <v>4</v>
      </c>
      <c r="B1704" t="s">
        <v>11435</v>
      </c>
      <c r="C1704" t="s">
        <v>7398</v>
      </c>
      <c r="D1704" t="s">
        <v>11145</v>
      </c>
      <c r="G1704">
        <v>21813</v>
      </c>
      <c r="H1704" t="s">
        <v>11436</v>
      </c>
      <c r="I1704" t="s">
        <v>11437</v>
      </c>
      <c r="J1704">
        <v>21813</v>
      </c>
      <c r="K1704" t="s">
        <v>11438</v>
      </c>
      <c r="L1704">
        <v>12</v>
      </c>
      <c r="O1704">
        <v>21813</v>
      </c>
      <c r="P1704" t="s">
        <v>11145</v>
      </c>
      <c r="Q1704">
        <v>1</v>
      </c>
    </row>
    <row r="1705" spans="1:17" x14ac:dyDescent="0.25">
      <c r="A1705">
        <v>4</v>
      </c>
      <c r="B1705" t="s">
        <v>11439</v>
      </c>
      <c r="C1705" t="s">
        <v>7398</v>
      </c>
      <c r="D1705" t="s">
        <v>11145</v>
      </c>
      <c r="G1705">
        <v>21815</v>
      </c>
      <c r="H1705" t="s">
        <v>11440</v>
      </c>
      <c r="I1705" t="s">
        <v>11441</v>
      </c>
      <c r="J1705">
        <v>21815</v>
      </c>
      <c r="K1705" t="s">
        <v>11442</v>
      </c>
      <c r="L1705">
        <v>122</v>
      </c>
      <c r="O1705">
        <v>21815</v>
      </c>
      <c r="P1705" t="s">
        <v>11145</v>
      </c>
      <c r="Q1705">
        <v>1</v>
      </c>
    </row>
    <row r="1706" spans="1:17" x14ac:dyDescent="0.25">
      <c r="A1706">
        <v>4</v>
      </c>
      <c r="B1706" t="s">
        <v>11443</v>
      </c>
      <c r="C1706" t="s">
        <v>7398</v>
      </c>
      <c r="D1706" t="s">
        <v>11145</v>
      </c>
      <c r="G1706">
        <v>21823</v>
      </c>
      <c r="H1706" t="s">
        <v>11444</v>
      </c>
      <c r="I1706" t="s">
        <v>11445</v>
      </c>
      <c r="J1706">
        <v>21823</v>
      </c>
      <c r="K1706" t="s">
        <v>11446</v>
      </c>
      <c r="L1706">
        <v>4</v>
      </c>
      <c r="N1706" t="s">
        <v>4713</v>
      </c>
      <c r="O1706">
        <v>21823</v>
      </c>
      <c r="P1706" t="s">
        <v>11145</v>
      </c>
      <c r="Q1706">
        <v>1</v>
      </c>
    </row>
    <row r="1707" spans="1:17" x14ac:dyDescent="0.25">
      <c r="A1707">
        <v>4</v>
      </c>
      <c r="B1707" t="s">
        <v>11447</v>
      </c>
      <c r="C1707" t="s">
        <v>7398</v>
      </c>
      <c r="D1707" t="s">
        <v>11145</v>
      </c>
      <c r="G1707">
        <v>234116</v>
      </c>
      <c r="H1707" t="s">
        <v>11448</v>
      </c>
      <c r="I1707" t="s">
        <v>11449</v>
      </c>
      <c r="J1707">
        <v>234116</v>
      </c>
      <c r="K1707" t="s">
        <v>11450</v>
      </c>
      <c r="L1707">
        <v>14</v>
      </c>
      <c r="O1707">
        <v>234116</v>
      </c>
      <c r="P1707" t="s">
        <v>11145</v>
      </c>
      <c r="Q1707">
        <v>1</v>
      </c>
    </row>
    <row r="1708" spans="1:17" x14ac:dyDescent="0.25">
      <c r="A1708">
        <v>4</v>
      </c>
      <c r="B1708" t="s">
        <v>11451</v>
      </c>
      <c r="C1708" t="s">
        <v>7398</v>
      </c>
      <c r="D1708" t="s">
        <v>11145</v>
      </c>
      <c r="G1708">
        <v>234117</v>
      </c>
      <c r="H1708" t="s">
        <v>11452</v>
      </c>
      <c r="I1708" t="s">
        <v>11453</v>
      </c>
      <c r="J1708">
        <v>234117</v>
      </c>
      <c r="K1708" t="s">
        <v>11454</v>
      </c>
      <c r="L1708">
        <v>90</v>
      </c>
      <c r="O1708">
        <v>234117</v>
      </c>
      <c r="P1708" t="s">
        <v>11145</v>
      </c>
      <c r="Q1708">
        <v>1</v>
      </c>
    </row>
    <row r="1709" spans="1:17" x14ac:dyDescent="0.25">
      <c r="A1709">
        <v>4</v>
      </c>
      <c r="B1709" t="s">
        <v>11455</v>
      </c>
      <c r="C1709" t="s">
        <v>7398</v>
      </c>
      <c r="D1709" t="s">
        <v>11145</v>
      </c>
      <c r="G1709">
        <v>234119</v>
      </c>
      <c r="H1709" t="s">
        <v>11456</v>
      </c>
      <c r="I1709" t="s">
        <v>11457</v>
      </c>
      <c r="J1709">
        <v>234119</v>
      </c>
      <c r="K1709" t="s">
        <v>11458</v>
      </c>
      <c r="L1709">
        <v>67</v>
      </c>
      <c r="O1709">
        <v>234119</v>
      </c>
      <c r="P1709" t="s">
        <v>11145</v>
      </c>
      <c r="Q1709">
        <v>1</v>
      </c>
    </row>
    <row r="1710" spans="1:17" x14ac:dyDescent="0.25">
      <c r="A1710">
        <v>4</v>
      </c>
      <c r="B1710" t="s">
        <v>11459</v>
      </c>
      <c r="C1710" t="s">
        <v>7398</v>
      </c>
      <c r="D1710" t="s">
        <v>11145</v>
      </c>
      <c r="G1710">
        <v>234120</v>
      </c>
      <c r="H1710" t="s">
        <v>11460</v>
      </c>
      <c r="I1710" t="s">
        <v>11461</v>
      </c>
      <c r="J1710">
        <v>234120</v>
      </c>
      <c r="K1710" t="s">
        <v>11462</v>
      </c>
      <c r="L1710">
        <v>206</v>
      </c>
      <c r="O1710">
        <v>234120</v>
      </c>
      <c r="P1710" t="s">
        <v>11145</v>
      </c>
      <c r="Q1710">
        <v>1</v>
      </c>
    </row>
    <row r="1711" spans="1:17" x14ac:dyDescent="0.25">
      <c r="A1711">
        <v>4</v>
      </c>
      <c r="B1711" t="s">
        <v>11463</v>
      </c>
      <c r="C1711" t="s">
        <v>7398</v>
      </c>
      <c r="D1711" t="s">
        <v>11145</v>
      </c>
      <c r="G1711">
        <v>234122</v>
      </c>
      <c r="H1711" t="s">
        <v>11464</v>
      </c>
      <c r="I1711" t="s">
        <v>11465</v>
      </c>
      <c r="J1711">
        <v>234122</v>
      </c>
      <c r="K1711" t="s">
        <v>11466</v>
      </c>
      <c r="L1711">
        <v>9</v>
      </c>
      <c r="N1711" t="s">
        <v>4713</v>
      </c>
      <c r="O1711">
        <v>234122</v>
      </c>
      <c r="P1711" t="s">
        <v>11145</v>
      </c>
      <c r="Q1711">
        <v>1</v>
      </c>
    </row>
    <row r="1712" spans="1:17" x14ac:dyDescent="0.25">
      <c r="A1712">
        <v>4</v>
      </c>
      <c r="B1712" t="s">
        <v>11467</v>
      </c>
      <c r="C1712" t="s">
        <v>7398</v>
      </c>
      <c r="D1712" t="s">
        <v>11145</v>
      </c>
      <c r="G1712">
        <v>234124</v>
      </c>
      <c r="H1712" t="s">
        <v>11468</v>
      </c>
      <c r="I1712" t="s">
        <v>11469</v>
      </c>
      <c r="J1712">
        <v>234124</v>
      </c>
      <c r="K1712" t="s">
        <v>11470</v>
      </c>
      <c r="L1712">
        <v>11</v>
      </c>
      <c r="O1712">
        <v>234124</v>
      </c>
      <c r="P1712" t="s">
        <v>11145</v>
      </c>
      <c r="Q1712">
        <v>1</v>
      </c>
    </row>
    <row r="1713" spans="1:17" x14ac:dyDescent="0.25">
      <c r="A1713">
        <v>4</v>
      </c>
      <c r="B1713" t="s">
        <v>11471</v>
      </c>
      <c r="C1713" t="s">
        <v>7398</v>
      </c>
      <c r="D1713" t="s">
        <v>11145</v>
      </c>
      <c r="G1713">
        <v>234125</v>
      </c>
      <c r="H1713" t="s">
        <v>11472</v>
      </c>
      <c r="I1713" t="s">
        <v>11473</v>
      </c>
      <c r="J1713">
        <v>234125</v>
      </c>
      <c r="K1713" t="s">
        <v>11474</v>
      </c>
      <c r="L1713">
        <v>7</v>
      </c>
      <c r="N1713" t="s">
        <v>4713</v>
      </c>
      <c r="O1713">
        <v>234125</v>
      </c>
      <c r="P1713" t="s">
        <v>11145</v>
      </c>
      <c r="Q1713">
        <v>1</v>
      </c>
    </row>
    <row r="1714" spans="1:17" x14ac:dyDescent="0.25">
      <c r="A1714">
        <v>4</v>
      </c>
      <c r="B1714" t="s">
        <v>11475</v>
      </c>
      <c r="C1714" t="s">
        <v>7398</v>
      </c>
      <c r="D1714" t="s">
        <v>11145</v>
      </c>
      <c r="G1714">
        <v>234126</v>
      </c>
      <c r="H1714" t="s">
        <v>11476</v>
      </c>
      <c r="I1714" t="s">
        <v>11477</v>
      </c>
      <c r="J1714">
        <v>234126</v>
      </c>
      <c r="K1714" t="s">
        <v>11478</v>
      </c>
      <c r="L1714">
        <v>56</v>
      </c>
      <c r="O1714">
        <v>234126</v>
      </c>
      <c r="P1714" t="s">
        <v>11145</v>
      </c>
      <c r="Q1714">
        <v>1</v>
      </c>
    </row>
    <row r="1715" spans="1:17" x14ac:dyDescent="0.25">
      <c r="A1715">
        <v>4</v>
      </c>
      <c r="B1715" t="s">
        <v>11479</v>
      </c>
      <c r="C1715" t="s">
        <v>7398</v>
      </c>
      <c r="D1715" t="s">
        <v>11145</v>
      </c>
      <c r="G1715">
        <v>235491</v>
      </c>
      <c r="H1715" t="s">
        <v>11480</v>
      </c>
      <c r="I1715" t="s">
        <v>11481</v>
      </c>
      <c r="J1715">
        <v>235491</v>
      </c>
      <c r="K1715" t="s">
        <v>11482</v>
      </c>
      <c r="L1715">
        <v>2</v>
      </c>
      <c r="N1715" t="s">
        <v>4713</v>
      </c>
      <c r="O1715">
        <v>235491</v>
      </c>
      <c r="P1715" t="s">
        <v>11145</v>
      </c>
      <c r="Q1715">
        <v>1</v>
      </c>
    </row>
    <row r="1716" spans="1:17" x14ac:dyDescent="0.25">
      <c r="A1716">
        <v>4</v>
      </c>
      <c r="B1716" t="s">
        <v>11483</v>
      </c>
      <c r="C1716" t="s">
        <v>7398</v>
      </c>
      <c r="D1716" t="s">
        <v>11145</v>
      </c>
      <c r="G1716">
        <v>235492</v>
      </c>
      <c r="H1716" t="s">
        <v>11484</v>
      </c>
      <c r="I1716" t="s">
        <v>11485</v>
      </c>
      <c r="J1716">
        <v>235492</v>
      </c>
      <c r="K1716" t="s">
        <v>11486</v>
      </c>
      <c r="L1716">
        <v>1</v>
      </c>
      <c r="N1716" t="s">
        <v>4734</v>
      </c>
      <c r="O1716">
        <v>235492</v>
      </c>
      <c r="P1716" t="s">
        <v>11145</v>
      </c>
      <c r="Q1716">
        <v>1</v>
      </c>
    </row>
    <row r="1717" spans="1:17" x14ac:dyDescent="0.25">
      <c r="A1717">
        <v>4</v>
      </c>
      <c r="B1717" t="s">
        <v>11487</v>
      </c>
      <c r="C1717" t="s">
        <v>7398</v>
      </c>
      <c r="D1717" t="s">
        <v>11145</v>
      </c>
      <c r="G1717">
        <v>240563</v>
      </c>
      <c r="H1717" t="s">
        <v>11488</v>
      </c>
      <c r="I1717" t="s">
        <v>11489</v>
      </c>
      <c r="J1717">
        <v>240563</v>
      </c>
      <c r="K1717" t="s">
        <v>11490</v>
      </c>
      <c r="L1717">
        <v>12</v>
      </c>
      <c r="O1717">
        <v>240563</v>
      </c>
      <c r="P1717" t="s">
        <v>11145</v>
      </c>
      <c r="Q1717">
        <v>1</v>
      </c>
    </row>
    <row r="1718" spans="1:17" x14ac:dyDescent="0.25">
      <c r="A1718">
        <v>4</v>
      </c>
      <c r="B1718" t="s">
        <v>11491</v>
      </c>
      <c r="C1718" t="s">
        <v>7398</v>
      </c>
      <c r="D1718" t="s">
        <v>11145</v>
      </c>
      <c r="G1718">
        <v>596529</v>
      </c>
      <c r="H1718" t="s">
        <v>11492</v>
      </c>
      <c r="I1718" t="s">
        <v>11493</v>
      </c>
      <c r="J1718">
        <v>596529</v>
      </c>
      <c r="K1718" t="s">
        <v>11494</v>
      </c>
      <c r="L1718">
        <v>393</v>
      </c>
      <c r="O1718">
        <v>596529</v>
      </c>
      <c r="P1718" t="s">
        <v>11145</v>
      </c>
      <c r="Q1718">
        <v>1</v>
      </c>
    </row>
    <row r="1719" spans="1:17" x14ac:dyDescent="0.25">
      <c r="A1719">
        <v>4</v>
      </c>
      <c r="B1719" t="s">
        <v>11495</v>
      </c>
      <c r="C1719" t="s">
        <v>7398</v>
      </c>
      <c r="D1719" t="s">
        <v>11145</v>
      </c>
      <c r="G1719" t="s">
        <v>11496</v>
      </c>
      <c r="H1719" t="s">
        <v>11497</v>
      </c>
      <c r="I1719" t="s">
        <v>11498</v>
      </c>
      <c r="J1719" t="s">
        <v>11496</v>
      </c>
      <c r="K1719" t="s">
        <v>11499</v>
      </c>
      <c r="L1719">
        <v>40</v>
      </c>
      <c r="O1719" t="s">
        <v>11496</v>
      </c>
      <c r="P1719" t="s">
        <v>11145</v>
      </c>
      <c r="Q1719">
        <v>1</v>
      </c>
    </row>
    <row r="1720" spans="1:17" x14ac:dyDescent="0.25">
      <c r="A1720">
        <v>4</v>
      </c>
      <c r="B1720" t="s">
        <v>11500</v>
      </c>
      <c r="C1720" t="s">
        <v>7398</v>
      </c>
      <c r="D1720" t="s">
        <v>11145</v>
      </c>
      <c r="G1720" t="s">
        <v>11501</v>
      </c>
      <c r="H1720" t="s">
        <v>11502</v>
      </c>
      <c r="I1720" t="s">
        <v>11503</v>
      </c>
      <c r="J1720" t="s">
        <v>11501</v>
      </c>
      <c r="K1720" t="s">
        <v>11504</v>
      </c>
      <c r="L1720">
        <v>39</v>
      </c>
      <c r="O1720" t="s">
        <v>11501</v>
      </c>
      <c r="P1720" t="s">
        <v>11145</v>
      </c>
      <c r="Q1720">
        <v>1</v>
      </c>
    </row>
    <row r="1721" spans="1:17" x14ac:dyDescent="0.25">
      <c r="A1721">
        <v>4</v>
      </c>
      <c r="B1721" t="s">
        <v>11505</v>
      </c>
      <c r="C1721" t="s">
        <v>7398</v>
      </c>
      <c r="D1721" t="s">
        <v>11145</v>
      </c>
      <c r="G1721" t="s">
        <v>11506</v>
      </c>
      <c r="H1721" t="s">
        <v>11507</v>
      </c>
      <c r="I1721" t="s">
        <v>11508</v>
      </c>
      <c r="J1721" t="s">
        <v>11506</v>
      </c>
      <c r="K1721" t="s">
        <v>11509</v>
      </c>
      <c r="L1721">
        <v>193</v>
      </c>
      <c r="O1721" t="s">
        <v>11506</v>
      </c>
      <c r="P1721" t="s">
        <v>11145</v>
      </c>
      <c r="Q1721">
        <v>1</v>
      </c>
    </row>
    <row r="1722" spans="1:17" x14ac:dyDescent="0.25">
      <c r="A1722">
        <v>4</v>
      </c>
      <c r="B1722" t="s">
        <v>11510</v>
      </c>
      <c r="C1722" t="s">
        <v>7398</v>
      </c>
      <c r="D1722" t="s">
        <v>11145</v>
      </c>
      <c r="G1722" t="s">
        <v>11511</v>
      </c>
      <c r="H1722" t="s">
        <v>11512</v>
      </c>
      <c r="I1722" t="s">
        <v>11513</v>
      </c>
      <c r="J1722" t="s">
        <v>11511</v>
      </c>
      <c r="K1722" t="s">
        <v>11514</v>
      </c>
      <c r="L1722">
        <v>11</v>
      </c>
      <c r="O1722" t="s">
        <v>11511</v>
      </c>
      <c r="P1722" t="s">
        <v>11145</v>
      </c>
      <c r="Q1722">
        <v>1</v>
      </c>
    </row>
    <row r="1723" spans="1:17" x14ac:dyDescent="0.25">
      <c r="A1723">
        <v>4</v>
      </c>
      <c r="B1723" t="s">
        <v>11515</v>
      </c>
      <c r="C1723" t="s">
        <v>7398</v>
      </c>
      <c r="D1723" t="s">
        <v>11145</v>
      </c>
      <c r="G1723" t="s">
        <v>11516</v>
      </c>
      <c r="H1723" t="s">
        <v>11517</v>
      </c>
      <c r="I1723" t="s">
        <v>11518</v>
      </c>
      <c r="J1723" t="s">
        <v>11516</v>
      </c>
      <c r="K1723" t="s">
        <v>11519</v>
      </c>
      <c r="L1723">
        <v>3</v>
      </c>
      <c r="N1723" t="s">
        <v>4713</v>
      </c>
      <c r="O1723" t="s">
        <v>11516</v>
      </c>
      <c r="P1723" t="s">
        <v>11145</v>
      </c>
      <c r="Q1723">
        <v>1</v>
      </c>
    </row>
    <row r="1724" spans="1:17" x14ac:dyDescent="0.25">
      <c r="A1724">
        <v>3</v>
      </c>
      <c r="B1724" t="s">
        <v>11520</v>
      </c>
      <c r="C1724" t="s">
        <v>7398</v>
      </c>
      <c r="D1724" t="s">
        <v>11145</v>
      </c>
      <c r="F1724" t="s">
        <v>11521</v>
      </c>
      <c r="H1724" t="s">
        <v>11522</v>
      </c>
      <c r="I1724" t="s">
        <v>11523</v>
      </c>
      <c r="J1724" t="s">
        <v>11521</v>
      </c>
      <c r="O1724" t="s">
        <v>11521</v>
      </c>
      <c r="P1724" t="s">
        <v>11145</v>
      </c>
      <c r="Q1724">
        <v>1</v>
      </c>
    </row>
    <row r="1725" spans="1:17" x14ac:dyDescent="0.25">
      <c r="A1725">
        <v>4</v>
      </c>
      <c r="B1725" t="s">
        <v>11524</v>
      </c>
      <c r="C1725" t="s">
        <v>7398</v>
      </c>
      <c r="D1725" t="s">
        <v>11145</v>
      </c>
      <c r="G1725">
        <v>21791</v>
      </c>
      <c r="H1725" t="s">
        <v>11525</v>
      </c>
      <c r="I1725" t="s">
        <v>11526</v>
      </c>
      <c r="J1725">
        <v>21791</v>
      </c>
      <c r="K1725" t="s">
        <v>11527</v>
      </c>
      <c r="L1725">
        <v>7</v>
      </c>
      <c r="N1725" t="s">
        <v>4713</v>
      </c>
      <c r="O1725">
        <v>21791</v>
      </c>
      <c r="P1725" t="s">
        <v>11145</v>
      </c>
      <c r="Q1725">
        <v>1</v>
      </c>
    </row>
    <row r="1726" spans="1:17" x14ac:dyDescent="0.25">
      <c r="A1726">
        <v>4</v>
      </c>
      <c r="B1726" t="s">
        <v>11528</v>
      </c>
      <c r="C1726" t="s">
        <v>7398</v>
      </c>
      <c r="D1726" t="s">
        <v>11145</v>
      </c>
      <c r="G1726" t="s">
        <v>11529</v>
      </c>
      <c r="H1726" t="s">
        <v>11530</v>
      </c>
      <c r="I1726" t="s">
        <v>11523</v>
      </c>
      <c r="J1726" t="s">
        <v>11529</v>
      </c>
      <c r="K1726" t="s">
        <v>11531</v>
      </c>
      <c r="L1726">
        <v>34</v>
      </c>
      <c r="O1726" t="s">
        <v>11529</v>
      </c>
      <c r="P1726" t="s">
        <v>11145</v>
      </c>
      <c r="Q1726">
        <v>1</v>
      </c>
    </row>
    <row r="1727" spans="1:17" x14ac:dyDescent="0.25">
      <c r="A1727">
        <v>3</v>
      </c>
      <c r="B1727" t="s">
        <v>11532</v>
      </c>
      <c r="C1727" t="s">
        <v>7398</v>
      </c>
      <c r="D1727" t="s">
        <v>11145</v>
      </c>
      <c r="F1727" t="s">
        <v>11533</v>
      </c>
      <c r="H1727" t="s">
        <v>11534</v>
      </c>
      <c r="I1727" t="s">
        <v>11535</v>
      </c>
      <c r="J1727" t="s">
        <v>11533</v>
      </c>
      <c r="O1727" t="s">
        <v>11533</v>
      </c>
      <c r="P1727" t="s">
        <v>11145</v>
      </c>
      <c r="Q1727">
        <v>1</v>
      </c>
    </row>
    <row r="1728" spans="1:17" x14ac:dyDescent="0.25">
      <c r="A1728">
        <v>4</v>
      </c>
      <c r="B1728" t="s">
        <v>11536</v>
      </c>
      <c r="C1728" t="s">
        <v>7398</v>
      </c>
      <c r="D1728" t="s">
        <v>11145</v>
      </c>
      <c r="G1728">
        <v>162945</v>
      </c>
      <c r="H1728" t="s">
        <v>11537</v>
      </c>
      <c r="I1728" t="s">
        <v>11538</v>
      </c>
      <c r="J1728">
        <v>162945</v>
      </c>
      <c r="K1728" t="s">
        <v>11539</v>
      </c>
      <c r="L1728">
        <v>1</v>
      </c>
      <c r="N1728" t="s">
        <v>4734</v>
      </c>
      <c r="O1728">
        <v>162945</v>
      </c>
      <c r="P1728" t="s">
        <v>11145</v>
      </c>
      <c r="Q1728">
        <v>1</v>
      </c>
    </row>
    <row r="1729" spans="1:17" x14ac:dyDescent="0.25">
      <c r="A1729">
        <v>4</v>
      </c>
      <c r="B1729" t="s">
        <v>11540</v>
      </c>
      <c r="C1729" t="s">
        <v>7398</v>
      </c>
      <c r="D1729" t="s">
        <v>11145</v>
      </c>
      <c r="G1729">
        <v>163102</v>
      </c>
      <c r="H1729" t="s">
        <v>11541</v>
      </c>
      <c r="I1729" t="s">
        <v>11542</v>
      </c>
      <c r="J1729">
        <v>163102</v>
      </c>
      <c r="K1729" t="s">
        <v>11543</v>
      </c>
      <c r="L1729">
        <v>13</v>
      </c>
      <c r="O1729">
        <v>163102</v>
      </c>
      <c r="P1729" t="s">
        <v>11145</v>
      </c>
      <c r="Q1729">
        <v>1</v>
      </c>
    </row>
    <row r="1730" spans="1:17" x14ac:dyDescent="0.25">
      <c r="A1730">
        <v>4</v>
      </c>
      <c r="B1730" t="s">
        <v>11544</v>
      </c>
      <c r="C1730" t="s">
        <v>7398</v>
      </c>
      <c r="D1730" t="s">
        <v>11145</v>
      </c>
      <c r="G1730">
        <v>21712</v>
      </c>
      <c r="H1730" t="s">
        <v>11545</v>
      </c>
      <c r="I1730" t="s">
        <v>11546</v>
      </c>
      <c r="J1730">
        <v>21712</v>
      </c>
      <c r="K1730" t="s">
        <v>11547</v>
      </c>
      <c r="L1730">
        <v>7</v>
      </c>
      <c r="N1730" t="s">
        <v>4713</v>
      </c>
      <c r="O1730">
        <v>21712</v>
      </c>
      <c r="P1730" t="s">
        <v>11145</v>
      </c>
      <c r="Q1730">
        <v>1</v>
      </c>
    </row>
    <row r="1731" spans="1:17" x14ac:dyDescent="0.25">
      <c r="A1731">
        <v>4</v>
      </c>
      <c r="B1731" t="s">
        <v>11548</v>
      </c>
      <c r="C1731" t="s">
        <v>7398</v>
      </c>
      <c r="D1731" t="s">
        <v>11145</v>
      </c>
      <c r="G1731">
        <v>21773</v>
      </c>
      <c r="H1731" t="s">
        <v>11549</v>
      </c>
      <c r="I1731" t="s">
        <v>11550</v>
      </c>
      <c r="J1731">
        <v>21773</v>
      </c>
      <c r="K1731" t="s">
        <v>11551</v>
      </c>
      <c r="L1731">
        <v>7</v>
      </c>
      <c r="N1731" t="s">
        <v>4713</v>
      </c>
      <c r="O1731">
        <v>21773</v>
      </c>
      <c r="P1731" t="s">
        <v>11145</v>
      </c>
      <c r="Q1731">
        <v>1</v>
      </c>
    </row>
    <row r="1732" spans="1:17" x14ac:dyDescent="0.25">
      <c r="A1732">
        <v>4</v>
      </c>
      <c r="B1732" t="s">
        <v>11552</v>
      </c>
      <c r="C1732" t="s">
        <v>7398</v>
      </c>
      <c r="D1732" t="s">
        <v>11145</v>
      </c>
      <c r="G1732">
        <v>21795</v>
      </c>
      <c r="H1732" t="s">
        <v>11553</v>
      </c>
      <c r="I1732" t="s">
        <v>11554</v>
      </c>
      <c r="J1732">
        <v>21795</v>
      </c>
      <c r="K1732" t="s">
        <v>11555</v>
      </c>
      <c r="L1732">
        <v>71</v>
      </c>
      <c r="O1732">
        <v>21795</v>
      </c>
      <c r="P1732" t="s">
        <v>11145</v>
      </c>
      <c r="Q1732">
        <v>1</v>
      </c>
    </row>
    <row r="1733" spans="1:17" x14ac:dyDescent="0.25">
      <c r="A1733">
        <v>4</v>
      </c>
      <c r="B1733" t="s">
        <v>11556</v>
      </c>
      <c r="C1733" t="s">
        <v>7398</v>
      </c>
      <c r="D1733" t="s">
        <v>11145</v>
      </c>
      <c r="G1733" t="s">
        <v>11557</v>
      </c>
      <c r="H1733" t="s">
        <v>5182</v>
      </c>
      <c r="I1733" t="s">
        <v>11558</v>
      </c>
      <c r="J1733" t="s">
        <v>11557</v>
      </c>
      <c r="K1733" t="s">
        <v>11559</v>
      </c>
      <c r="L1733">
        <v>73</v>
      </c>
      <c r="O1733" t="s">
        <v>11557</v>
      </c>
      <c r="P1733" t="s">
        <v>11145</v>
      </c>
      <c r="Q1733">
        <v>1</v>
      </c>
    </row>
    <row r="1734" spans="1:17" x14ac:dyDescent="0.25">
      <c r="A1734">
        <v>4</v>
      </c>
      <c r="B1734" t="s">
        <v>11560</v>
      </c>
      <c r="C1734" t="s">
        <v>7398</v>
      </c>
      <c r="D1734" t="s">
        <v>11145</v>
      </c>
      <c r="G1734" t="s">
        <v>11561</v>
      </c>
      <c r="H1734" t="s">
        <v>11562</v>
      </c>
      <c r="I1734" t="s">
        <v>11563</v>
      </c>
      <c r="J1734" t="s">
        <v>11561</v>
      </c>
      <c r="K1734" t="s">
        <v>11564</v>
      </c>
      <c r="L1734">
        <v>19</v>
      </c>
      <c r="O1734" t="s">
        <v>11561</v>
      </c>
      <c r="P1734" t="s">
        <v>11145</v>
      </c>
      <c r="Q1734">
        <v>1</v>
      </c>
    </row>
    <row r="1735" spans="1:17" x14ac:dyDescent="0.25">
      <c r="A1735">
        <v>4</v>
      </c>
      <c r="B1735" t="s">
        <v>11565</v>
      </c>
      <c r="C1735" t="s">
        <v>7398</v>
      </c>
      <c r="D1735" t="s">
        <v>11145</v>
      </c>
      <c r="G1735" t="s">
        <v>11566</v>
      </c>
      <c r="H1735" t="s">
        <v>11567</v>
      </c>
      <c r="I1735" t="s">
        <v>11568</v>
      </c>
      <c r="J1735" t="s">
        <v>11566</v>
      </c>
      <c r="K1735" t="s">
        <v>11569</v>
      </c>
      <c r="L1735">
        <v>21</v>
      </c>
      <c r="O1735" t="s">
        <v>11566</v>
      </c>
      <c r="P1735" t="s">
        <v>11145</v>
      </c>
      <c r="Q1735">
        <v>1</v>
      </c>
    </row>
    <row r="1736" spans="1:17" x14ac:dyDescent="0.25">
      <c r="A1736">
        <v>3</v>
      </c>
      <c r="B1736" t="s">
        <v>11570</v>
      </c>
      <c r="C1736" t="s">
        <v>7398</v>
      </c>
      <c r="D1736" t="s">
        <v>11145</v>
      </c>
      <c r="F1736" t="s">
        <v>11571</v>
      </c>
      <c r="H1736" t="s">
        <v>11572</v>
      </c>
      <c r="I1736" t="s">
        <v>11573</v>
      </c>
      <c r="J1736" t="s">
        <v>11571</v>
      </c>
      <c r="O1736" t="s">
        <v>11571</v>
      </c>
      <c r="P1736" t="s">
        <v>11145</v>
      </c>
      <c r="Q1736">
        <v>2</v>
      </c>
    </row>
    <row r="1737" spans="1:17" x14ac:dyDescent="0.25">
      <c r="A1737">
        <v>4</v>
      </c>
      <c r="B1737" t="s">
        <v>11574</v>
      </c>
      <c r="C1737" t="s">
        <v>7398</v>
      </c>
      <c r="D1737" t="s">
        <v>11145</v>
      </c>
      <c r="G1737">
        <v>21865</v>
      </c>
      <c r="H1737" t="s">
        <v>11575</v>
      </c>
      <c r="I1737" t="s">
        <v>11576</v>
      </c>
      <c r="J1737">
        <v>21865</v>
      </c>
      <c r="K1737" t="s">
        <v>11577</v>
      </c>
      <c r="L1737">
        <v>1</v>
      </c>
      <c r="N1737" t="s">
        <v>4734</v>
      </c>
      <c r="O1737">
        <v>21865</v>
      </c>
      <c r="P1737" t="s">
        <v>11145</v>
      </c>
      <c r="Q1737">
        <v>1</v>
      </c>
    </row>
    <row r="1738" spans="1:17" x14ac:dyDescent="0.25">
      <c r="A1738">
        <v>4</v>
      </c>
      <c r="B1738" t="s">
        <v>11578</v>
      </c>
      <c r="C1738" t="s">
        <v>7398</v>
      </c>
      <c r="D1738" t="s">
        <v>11145</v>
      </c>
      <c r="G1738">
        <v>21867</v>
      </c>
      <c r="H1738" t="s">
        <v>11579</v>
      </c>
      <c r="I1738" t="s">
        <v>11580</v>
      </c>
      <c r="J1738">
        <v>21867</v>
      </c>
      <c r="K1738" t="s">
        <v>11581</v>
      </c>
      <c r="L1738">
        <v>1</v>
      </c>
      <c r="N1738" t="s">
        <v>4734</v>
      </c>
      <c r="O1738">
        <v>21867</v>
      </c>
      <c r="P1738" t="s">
        <v>11145</v>
      </c>
      <c r="Q1738">
        <v>1</v>
      </c>
    </row>
    <row r="1739" spans="1:17" x14ac:dyDescent="0.25">
      <c r="A1739">
        <v>4</v>
      </c>
      <c r="B1739" t="s">
        <v>11582</v>
      </c>
      <c r="C1739" t="s">
        <v>7398</v>
      </c>
      <c r="D1739" t="s">
        <v>11145</v>
      </c>
      <c r="G1739">
        <v>21869</v>
      </c>
      <c r="H1739" t="s">
        <v>11583</v>
      </c>
      <c r="I1739" t="s">
        <v>11584</v>
      </c>
      <c r="J1739">
        <v>21869</v>
      </c>
      <c r="K1739" t="s">
        <v>11585</v>
      </c>
      <c r="L1739">
        <v>17</v>
      </c>
      <c r="O1739">
        <v>21869</v>
      </c>
      <c r="P1739" t="s">
        <v>11145</v>
      </c>
      <c r="Q1739">
        <v>1</v>
      </c>
    </row>
    <row r="1740" spans="1:17" x14ac:dyDescent="0.25">
      <c r="A1740">
        <v>4</v>
      </c>
      <c r="B1740" t="s">
        <v>11586</v>
      </c>
      <c r="C1740" t="s">
        <v>7398</v>
      </c>
      <c r="D1740" t="s">
        <v>11145</v>
      </c>
      <c r="G1740">
        <v>21871</v>
      </c>
      <c r="H1740" t="s">
        <v>11587</v>
      </c>
      <c r="I1740" t="s">
        <v>11588</v>
      </c>
      <c r="J1740">
        <v>21871</v>
      </c>
      <c r="K1740" t="s">
        <v>11589</v>
      </c>
      <c r="L1740">
        <v>16</v>
      </c>
      <c r="O1740">
        <v>21871</v>
      </c>
      <c r="P1740" t="s">
        <v>11145</v>
      </c>
      <c r="Q1740">
        <v>1</v>
      </c>
    </row>
    <row r="1741" spans="1:17" x14ac:dyDescent="0.25">
      <c r="A1741">
        <v>4</v>
      </c>
      <c r="B1741" t="s">
        <v>11590</v>
      </c>
      <c r="C1741" t="s">
        <v>7398</v>
      </c>
      <c r="D1741" t="s">
        <v>11145</v>
      </c>
      <c r="G1741" t="s">
        <v>11591</v>
      </c>
      <c r="H1741" t="s">
        <v>11592</v>
      </c>
      <c r="I1741" t="s">
        <v>11573</v>
      </c>
      <c r="J1741" t="s">
        <v>11591</v>
      </c>
      <c r="K1741" t="s">
        <v>11593</v>
      </c>
      <c r="L1741">
        <v>36</v>
      </c>
      <c r="O1741" t="s">
        <v>11591</v>
      </c>
      <c r="P1741" t="s">
        <v>11145</v>
      </c>
      <c r="Q1741">
        <v>1</v>
      </c>
    </row>
    <row r="1742" spans="1:17" x14ac:dyDescent="0.25">
      <c r="A1742">
        <v>4</v>
      </c>
      <c r="B1742" t="s">
        <v>11594</v>
      </c>
      <c r="C1742" t="s">
        <v>7398</v>
      </c>
      <c r="D1742" t="s">
        <v>11145</v>
      </c>
      <c r="G1742" t="s">
        <v>11595</v>
      </c>
      <c r="H1742" t="s">
        <v>11596</v>
      </c>
      <c r="I1742" t="s">
        <v>11597</v>
      </c>
      <c r="J1742" t="s">
        <v>11595</v>
      </c>
      <c r="K1742" t="s">
        <v>11598</v>
      </c>
      <c r="L1742">
        <v>38</v>
      </c>
      <c r="O1742" t="s">
        <v>11595</v>
      </c>
      <c r="P1742" t="s">
        <v>11145</v>
      </c>
      <c r="Q1742">
        <v>1</v>
      </c>
    </row>
    <row r="1743" spans="1:17" x14ac:dyDescent="0.25">
      <c r="A1743">
        <v>4</v>
      </c>
      <c r="B1743" t="s">
        <v>11599</v>
      </c>
      <c r="C1743" t="s">
        <v>7398</v>
      </c>
      <c r="D1743" t="s">
        <v>11145</v>
      </c>
      <c r="G1743" t="s">
        <v>11600</v>
      </c>
      <c r="H1743" t="s">
        <v>11601</v>
      </c>
      <c r="I1743" t="s">
        <v>11602</v>
      </c>
      <c r="J1743" t="s">
        <v>11600</v>
      </c>
      <c r="K1743" t="s">
        <v>11603</v>
      </c>
      <c r="L1743">
        <v>165</v>
      </c>
      <c r="O1743" t="s">
        <v>11600</v>
      </c>
      <c r="P1743" t="s">
        <v>11145</v>
      </c>
      <c r="Q1743">
        <v>1</v>
      </c>
    </row>
    <row r="1744" spans="1:17" x14ac:dyDescent="0.25">
      <c r="A1744">
        <v>2</v>
      </c>
      <c r="B1744" t="s">
        <v>11604</v>
      </c>
      <c r="C1744" t="s">
        <v>7398</v>
      </c>
      <c r="D1744" t="s">
        <v>11145</v>
      </c>
      <c r="E1744" t="s">
        <v>806</v>
      </c>
      <c r="H1744" t="s">
        <v>918</v>
      </c>
      <c r="I1744" t="s">
        <v>1049</v>
      </c>
      <c r="J1744" t="s">
        <v>806</v>
      </c>
      <c r="O1744" t="s">
        <v>806</v>
      </c>
      <c r="P1744" t="s">
        <v>11145</v>
      </c>
      <c r="Q1744">
        <v>1</v>
      </c>
    </row>
    <row r="1745" spans="1:17" x14ac:dyDescent="0.25">
      <c r="A1745">
        <v>3</v>
      </c>
      <c r="B1745" t="s">
        <v>11605</v>
      </c>
      <c r="C1745" t="s">
        <v>7398</v>
      </c>
      <c r="D1745" t="s">
        <v>11145</v>
      </c>
      <c r="F1745" t="s">
        <v>11606</v>
      </c>
      <c r="H1745" t="s">
        <v>11607</v>
      </c>
      <c r="I1745" t="s">
        <v>11608</v>
      </c>
      <c r="J1745" t="s">
        <v>11606</v>
      </c>
      <c r="O1745" t="s">
        <v>11606</v>
      </c>
      <c r="P1745" t="s">
        <v>11145</v>
      </c>
      <c r="Q1745">
        <v>1</v>
      </c>
    </row>
    <row r="1746" spans="1:17" x14ac:dyDescent="0.25">
      <c r="A1746">
        <v>4</v>
      </c>
      <c r="B1746" t="s">
        <v>11609</v>
      </c>
      <c r="C1746" t="s">
        <v>7398</v>
      </c>
      <c r="D1746" t="s">
        <v>11145</v>
      </c>
      <c r="G1746">
        <v>238412</v>
      </c>
      <c r="H1746" t="s">
        <v>11610</v>
      </c>
      <c r="I1746" t="s">
        <v>11611</v>
      </c>
      <c r="J1746">
        <v>238412</v>
      </c>
      <c r="K1746" t="s">
        <v>11612</v>
      </c>
      <c r="L1746">
        <v>15</v>
      </c>
      <c r="O1746">
        <v>238412</v>
      </c>
      <c r="P1746" t="s">
        <v>11145</v>
      </c>
      <c r="Q1746">
        <v>1</v>
      </c>
    </row>
    <row r="1747" spans="1:17" x14ac:dyDescent="0.25">
      <c r="A1747">
        <v>4</v>
      </c>
      <c r="B1747" t="s">
        <v>11613</v>
      </c>
      <c r="C1747" t="s">
        <v>7398</v>
      </c>
      <c r="D1747" t="s">
        <v>11145</v>
      </c>
      <c r="G1747" t="s">
        <v>11614</v>
      </c>
      <c r="H1747" t="s">
        <v>11607</v>
      </c>
      <c r="I1747" t="s">
        <v>11608</v>
      </c>
      <c r="J1747" t="s">
        <v>11614</v>
      </c>
      <c r="K1747" t="s">
        <v>11615</v>
      </c>
      <c r="L1747">
        <v>60</v>
      </c>
      <c r="O1747" t="s">
        <v>11614</v>
      </c>
      <c r="P1747" t="s">
        <v>11145</v>
      </c>
      <c r="Q1747">
        <v>1</v>
      </c>
    </row>
    <row r="1748" spans="1:17" x14ac:dyDescent="0.25">
      <c r="A1748">
        <v>3</v>
      </c>
      <c r="B1748" t="s">
        <v>11616</v>
      </c>
      <c r="C1748" t="s">
        <v>7398</v>
      </c>
      <c r="D1748" t="s">
        <v>11145</v>
      </c>
      <c r="F1748" t="s">
        <v>11617</v>
      </c>
      <c r="H1748" t="s">
        <v>11618</v>
      </c>
      <c r="I1748" t="s">
        <v>11619</v>
      </c>
      <c r="J1748" t="s">
        <v>11617</v>
      </c>
      <c r="O1748" t="s">
        <v>11617</v>
      </c>
      <c r="P1748" t="s">
        <v>11145</v>
      </c>
      <c r="Q1748">
        <v>1</v>
      </c>
    </row>
    <row r="1749" spans="1:17" x14ac:dyDescent="0.25">
      <c r="A1749">
        <v>4</v>
      </c>
      <c r="B1749" t="s">
        <v>11620</v>
      </c>
      <c r="C1749" t="s">
        <v>7398</v>
      </c>
      <c r="D1749" t="s">
        <v>11145</v>
      </c>
      <c r="G1749">
        <v>21825</v>
      </c>
      <c r="H1749" t="s">
        <v>11621</v>
      </c>
      <c r="I1749" t="s">
        <v>11622</v>
      </c>
      <c r="J1749">
        <v>21825</v>
      </c>
      <c r="K1749" t="s">
        <v>11623</v>
      </c>
      <c r="L1749">
        <v>195</v>
      </c>
      <c r="O1749">
        <v>21825</v>
      </c>
      <c r="P1749" t="s">
        <v>11145</v>
      </c>
      <c r="Q1749">
        <v>1</v>
      </c>
    </row>
    <row r="1750" spans="1:17" x14ac:dyDescent="0.25">
      <c r="A1750">
        <v>4</v>
      </c>
      <c r="B1750" t="s">
        <v>11624</v>
      </c>
      <c r="C1750" t="s">
        <v>7398</v>
      </c>
      <c r="D1750" t="s">
        <v>11145</v>
      </c>
      <c r="G1750">
        <v>660450</v>
      </c>
      <c r="H1750" t="s">
        <v>11625</v>
      </c>
      <c r="I1750" t="s">
        <v>11626</v>
      </c>
      <c r="J1750">
        <v>660450</v>
      </c>
      <c r="K1750" t="s">
        <v>11627</v>
      </c>
      <c r="L1750">
        <v>26</v>
      </c>
      <c r="O1750">
        <v>660450</v>
      </c>
      <c r="P1750" t="s">
        <v>11145</v>
      </c>
      <c r="Q1750">
        <v>1</v>
      </c>
    </row>
    <row r="1751" spans="1:17" x14ac:dyDescent="0.25">
      <c r="A1751">
        <v>4</v>
      </c>
      <c r="B1751" t="s">
        <v>11628</v>
      </c>
      <c r="C1751" t="s">
        <v>7398</v>
      </c>
      <c r="D1751" t="s">
        <v>11145</v>
      </c>
      <c r="G1751" t="s">
        <v>11629</v>
      </c>
      <c r="H1751" t="s">
        <v>11630</v>
      </c>
      <c r="I1751" t="s">
        <v>11631</v>
      </c>
      <c r="J1751" t="s">
        <v>11629</v>
      </c>
      <c r="K1751" t="s">
        <v>11632</v>
      </c>
      <c r="L1751">
        <v>34</v>
      </c>
      <c r="O1751" t="s">
        <v>11629</v>
      </c>
      <c r="P1751" t="s">
        <v>11145</v>
      </c>
      <c r="Q1751">
        <v>1</v>
      </c>
    </row>
    <row r="1752" spans="1:17" x14ac:dyDescent="0.25">
      <c r="A1752">
        <v>3</v>
      </c>
      <c r="B1752" t="s">
        <v>11633</v>
      </c>
      <c r="C1752" t="s">
        <v>7398</v>
      </c>
      <c r="D1752" t="s">
        <v>11145</v>
      </c>
      <c r="F1752" t="s">
        <v>11634</v>
      </c>
      <c r="H1752" t="s">
        <v>11635</v>
      </c>
      <c r="I1752" t="s">
        <v>11636</v>
      </c>
      <c r="J1752" t="s">
        <v>11634</v>
      </c>
      <c r="O1752" t="s">
        <v>11634</v>
      </c>
      <c r="P1752" t="s">
        <v>11145</v>
      </c>
      <c r="Q1752">
        <v>1</v>
      </c>
    </row>
    <row r="1753" spans="1:17" x14ac:dyDescent="0.25">
      <c r="A1753">
        <v>4</v>
      </c>
      <c r="B1753" t="s">
        <v>11637</v>
      </c>
      <c r="C1753" t="s">
        <v>7398</v>
      </c>
      <c r="D1753" t="s">
        <v>11145</v>
      </c>
      <c r="G1753">
        <v>38104</v>
      </c>
      <c r="H1753" t="s">
        <v>11638</v>
      </c>
      <c r="I1753" t="s">
        <v>11639</v>
      </c>
      <c r="J1753">
        <v>38104</v>
      </c>
      <c r="K1753" t="s">
        <v>11640</v>
      </c>
      <c r="L1753">
        <v>117</v>
      </c>
      <c r="O1753">
        <v>38104</v>
      </c>
      <c r="P1753" t="s">
        <v>11145</v>
      </c>
      <c r="Q1753">
        <v>1</v>
      </c>
    </row>
    <row r="1754" spans="1:17" x14ac:dyDescent="0.25">
      <c r="A1754">
        <v>4</v>
      </c>
      <c r="B1754" t="s">
        <v>11641</v>
      </c>
      <c r="C1754" t="s">
        <v>7398</v>
      </c>
      <c r="D1754" t="s">
        <v>11145</v>
      </c>
      <c r="G1754" t="s">
        <v>11642</v>
      </c>
      <c r="H1754" t="s">
        <v>11643</v>
      </c>
      <c r="I1754" t="s">
        <v>11644</v>
      </c>
      <c r="J1754" t="s">
        <v>11642</v>
      </c>
      <c r="K1754" t="s">
        <v>11645</v>
      </c>
      <c r="L1754">
        <v>8</v>
      </c>
      <c r="N1754" t="s">
        <v>4713</v>
      </c>
      <c r="O1754" t="s">
        <v>11642</v>
      </c>
      <c r="P1754" t="s">
        <v>11145</v>
      </c>
      <c r="Q1754">
        <v>1</v>
      </c>
    </row>
    <row r="1755" spans="1:17" x14ac:dyDescent="0.25">
      <c r="A1755">
        <v>4</v>
      </c>
      <c r="B1755" t="s">
        <v>11646</v>
      </c>
      <c r="C1755" t="s">
        <v>7398</v>
      </c>
      <c r="D1755" t="s">
        <v>11145</v>
      </c>
      <c r="G1755" t="s">
        <v>11647</v>
      </c>
      <c r="H1755" t="s">
        <v>11648</v>
      </c>
      <c r="I1755" t="s">
        <v>11649</v>
      </c>
      <c r="J1755" t="s">
        <v>11647</v>
      </c>
      <c r="K1755" t="s">
        <v>11650</v>
      </c>
      <c r="L1755">
        <v>31</v>
      </c>
      <c r="O1755" t="s">
        <v>11647</v>
      </c>
      <c r="P1755" t="s">
        <v>11145</v>
      </c>
      <c r="Q1755">
        <v>1</v>
      </c>
    </row>
    <row r="1756" spans="1:17" x14ac:dyDescent="0.25">
      <c r="A1756">
        <v>3</v>
      </c>
      <c r="B1756" t="s">
        <v>11651</v>
      </c>
      <c r="C1756" t="s">
        <v>7398</v>
      </c>
      <c r="D1756" t="s">
        <v>11145</v>
      </c>
      <c r="F1756" t="s">
        <v>11652</v>
      </c>
      <c r="H1756" t="s">
        <v>11653</v>
      </c>
      <c r="I1756" t="s">
        <v>11654</v>
      </c>
      <c r="J1756" t="s">
        <v>11652</v>
      </c>
      <c r="O1756" t="s">
        <v>11652</v>
      </c>
      <c r="P1756" t="s">
        <v>11145</v>
      </c>
      <c r="Q1756">
        <v>1</v>
      </c>
    </row>
    <row r="1757" spans="1:17" x14ac:dyDescent="0.25">
      <c r="A1757">
        <v>4</v>
      </c>
      <c r="B1757" t="s">
        <v>11655</v>
      </c>
      <c r="C1757" t="s">
        <v>7398</v>
      </c>
      <c r="D1757" t="s">
        <v>11145</v>
      </c>
      <c r="G1757">
        <v>21827</v>
      </c>
      <c r="H1757" t="s">
        <v>11656</v>
      </c>
      <c r="I1757" t="s">
        <v>11657</v>
      </c>
      <c r="J1757">
        <v>21827</v>
      </c>
      <c r="K1757" t="s">
        <v>11658</v>
      </c>
      <c r="L1757">
        <v>2</v>
      </c>
      <c r="N1757" t="s">
        <v>4713</v>
      </c>
      <c r="O1757">
        <v>21827</v>
      </c>
      <c r="P1757" t="s">
        <v>11145</v>
      </c>
      <c r="Q1757">
        <v>1</v>
      </c>
    </row>
    <row r="1758" spans="1:17" x14ac:dyDescent="0.25">
      <c r="A1758">
        <v>4</v>
      </c>
      <c r="B1758" t="s">
        <v>11659</v>
      </c>
      <c r="C1758" t="s">
        <v>7398</v>
      </c>
      <c r="D1758" t="s">
        <v>11145</v>
      </c>
      <c r="G1758">
        <v>21829</v>
      </c>
      <c r="H1758" t="s">
        <v>11660</v>
      </c>
      <c r="I1758" t="s">
        <v>11661</v>
      </c>
      <c r="J1758">
        <v>21829</v>
      </c>
      <c r="K1758" t="s">
        <v>11662</v>
      </c>
      <c r="L1758">
        <v>4</v>
      </c>
      <c r="N1758" t="s">
        <v>4713</v>
      </c>
      <c r="O1758">
        <v>21829</v>
      </c>
      <c r="P1758" t="s">
        <v>11145</v>
      </c>
      <c r="Q1758">
        <v>1</v>
      </c>
    </row>
    <row r="1759" spans="1:17" x14ac:dyDescent="0.25">
      <c r="A1759">
        <v>4</v>
      </c>
      <c r="B1759" t="s">
        <v>11663</v>
      </c>
      <c r="C1759" t="s">
        <v>7398</v>
      </c>
      <c r="D1759" t="s">
        <v>11145</v>
      </c>
      <c r="G1759" t="s">
        <v>11664</v>
      </c>
      <c r="H1759" t="s">
        <v>11665</v>
      </c>
      <c r="I1759" t="s">
        <v>11654</v>
      </c>
      <c r="J1759" t="s">
        <v>11664</v>
      </c>
      <c r="K1759" t="s">
        <v>11666</v>
      </c>
      <c r="L1759">
        <v>25</v>
      </c>
      <c r="O1759" t="s">
        <v>11664</v>
      </c>
      <c r="P1759" t="s">
        <v>11145</v>
      </c>
      <c r="Q1759">
        <v>1</v>
      </c>
    </row>
    <row r="1760" spans="1:17" x14ac:dyDescent="0.25">
      <c r="A1760">
        <v>3</v>
      </c>
      <c r="B1760" t="s">
        <v>11667</v>
      </c>
      <c r="C1760" t="s">
        <v>7398</v>
      </c>
      <c r="D1760" t="s">
        <v>11145</v>
      </c>
      <c r="F1760" t="s">
        <v>11668</v>
      </c>
      <c r="H1760" t="s">
        <v>11669</v>
      </c>
      <c r="I1760" t="s">
        <v>11670</v>
      </c>
      <c r="J1760" t="s">
        <v>11668</v>
      </c>
      <c r="O1760" t="s">
        <v>11668</v>
      </c>
      <c r="P1760" t="s">
        <v>11145</v>
      </c>
      <c r="Q1760">
        <v>1</v>
      </c>
    </row>
    <row r="1761" spans="1:17" x14ac:dyDescent="0.25">
      <c r="A1761">
        <v>4</v>
      </c>
      <c r="B1761" t="s">
        <v>11671</v>
      </c>
      <c r="C1761" t="s">
        <v>7398</v>
      </c>
      <c r="D1761" t="s">
        <v>11145</v>
      </c>
      <c r="G1761">
        <v>21831</v>
      </c>
      <c r="H1761" t="s">
        <v>11672</v>
      </c>
      <c r="I1761" t="s">
        <v>11673</v>
      </c>
      <c r="J1761">
        <v>21831</v>
      </c>
      <c r="K1761" t="s">
        <v>11674</v>
      </c>
      <c r="L1761">
        <v>27</v>
      </c>
      <c r="O1761">
        <v>21831</v>
      </c>
      <c r="P1761" t="s">
        <v>11145</v>
      </c>
      <c r="Q1761">
        <v>1</v>
      </c>
    </row>
    <row r="1762" spans="1:17" x14ac:dyDescent="0.25">
      <c r="A1762">
        <v>4</v>
      </c>
      <c r="B1762" t="s">
        <v>11675</v>
      </c>
      <c r="C1762" t="s">
        <v>7398</v>
      </c>
      <c r="D1762" t="s">
        <v>11145</v>
      </c>
      <c r="G1762">
        <v>21833</v>
      </c>
      <c r="H1762" t="s">
        <v>11676</v>
      </c>
      <c r="I1762" t="s">
        <v>11677</v>
      </c>
      <c r="J1762">
        <v>21833</v>
      </c>
      <c r="K1762" t="s">
        <v>11678</v>
      </c>
      <c r="L1762">
        <v>220</v>
      </c>
      <c r="O1762">
        <v>21833</v>
      </c>
      <c r="P1762" t="s">
        <v>11145</v>
      </c>
      <c r="Q1762">
        <v>1</v>
      </c>
    </row>
    <row r="1763" spans="1:17" x14ac:dyDescent="0.25">
      <c r="A1763">
        <v>4</v>
      </c>
      <c r="B1763" t="s">
        <v>11679</v>
      </c>
      <c r="C1763" t="s">
        <v>7398</v>
      </c>
      <c r="D1763" t="s">
        <v>11145</v>
      </c>
      <c r="G1763">
        <v>21835</v>
      </c>
      <c r="H1763" t="s">
        <v>11680</v>
      </c>
      <c r="I1763" t="s">
        <v>11681</v>
      </c>
      <c r="J1763">
        <v>21835</v>
      </c>
      <c r="K1763" t="s">
        <v>11682</v>
      </c>
      <c r="L1763">
        <v>13</v>
      </c>
      <c r="O1763">
        <v>21835</v>
      </c>
      <c r="P1763" t="s">
        <v>11145</v>
      </c>
      <c r="Q1763">
        <v>1</v>
      </c>
    </row>
    <row r="1764" spans="1:17" x14ac:dyDescent="0.25">
      <c r="A1764">
        <v>4</v>
      </c>
      <c r="B1764" t="s">
        <v>11683</v>
      </c>
      <c r="C1764" t="s">
        <v>7398</v>
      </c>
      <c r="D1764" t="s">
        <v>11145</v>
      </c>
      <c r="G1764">
        <v>21837</v>
      </c>
      <c r="H1764" t="s">
        <v>11684</v>
      </c>
      <c r="I1764" t="s">
        <v>11685</v>
      </c>
      <c r="J1764">
        <v>21837</v>
      </c>
      <c r="K1764" t="s">
        <v>11686</v>
      </c>
      <c r="L1764">
        <v>12</v>
      </c>
      <c r="O1764">
        <v>21837</v>
      </c>
      <c r="P1764" t="s">
        <v>11145</v>
      </c>
      <c r="Q1764">
        <v>1</v>
      </c>
    </row>
    <row r="1765" spans="1:17" x14ac:dyDescent="0.25">
      <c r="A1765">
        <v>4</v>
      </c>
      <c r="B1765" t="s">
        <v>11687</v>
      </c>
      <c r="C1765" t="s">
        <v>7398</v>
      </c>
      <c r="D1765" t="s">
        <v>11145</v>
      </c>
      <c r="G1765">
        <v>21839</v>
      </c>
      <c r="H1765" t="s">
        <v>11688</v>
      </c>
      <c r="I1765" t="s">
        <v>11689</v>
      </c>
      <c r="J1765">
        <v>21839</v>
      </c>
      <c r="K1765" t="s">
        <v>11690</v>
      </c>
      <c r="L1765">
        <v>11</v>
      </c>
      <c r="O1765">
        <v>21839</v>
      </c>
      <c r="P1765" t="s">
        <v>11145</v>
      </c>
      <c r="Q1765">
        <v>1</v>
      </c>
    </row>
    <row r="1766" spans="1:17" x14ac:dyDescent="0.25">
      <c r="A1766">
        <v>4</v>
      </c>
      <c r="B1766" t="s">
        <v>11691</v>
      </c>
      <c r="C1766" t="s">
        <v>7398</v>
      </c>
      <c r="D1766" t="s">
        <v>11145</v>
      </c>
      <c r="G1766">
        <v>21841</v>
      </c>
      <c r="H1766" t="s">
        <v>11692</v>
      </c>
      <c r="I1766" t="s">
        <v>11693</v>
      </c>
      <c r="J1766">
        <v>21841</v>
      </c>
      <c r="K1766" t="s">
        <v>11694</v>
      </c>
      <c r="L1766">
        <v>96</v>
      </c>
      <c r="O1766">
        <v>21841</v>
      </c>
      <c r="P1766" t="s">
        <v>11145</v>
      </c>
      <c r="Q1766">
        <v>1</v>
      </c>
    </row>
    <row r="1767" spans="1:17" x14ac:dyDescent="0.25">
      <c r="A1767">
        <v>4</v>
      </c>
      <c r="B1767" t="s">
        <v>11695</v>
      </c>
      <c r="C1767" t="s">
        <v>7398</v>
      </c>
      <c r="D1767" t="s">
        <v>11145</v>
      </c>
      <c r="G1767">
        <v>21843</v>
      </c>
      <c r="H1767" t="s">
        <v>11696</v>
      </c>
      <c r="I1767" t="s">
        <v>11697</v>
      </c>
      <c r="J1767">
        <v>21843</v>
      </c>
      <c r="K1767" t="s">
        <v>11698</v>
      </c>
      <c r="L1767">
        <v>94</v>
      </c>
      <c r="O1767">
        <v>21843</v>
      </c>
      <c r="P1767" t="s">
        <v>11145</v>
      </c>
      <c r="Q1767">
        <v>1</v>
      </c>
    </row>
    <row r="1768" spans="1:17" x14ac:dyDescent="0.25">
      <c r="A1768">
        <v>4</v>
      </c>
      <c r="B1768" t="s">
        <v>11699</v>
      </c>
      <c r="C1768" t="s">
        <v>7398</v>
      </c>
      <c r="D1768" t="s">
        <v>11145</v>
      </c>
      <c r="G1768">
        <v>224027</v>
      </c>
      <c r="H1768" t="s">
        <v>11700</v>
      </c>
      <c r="I1768" t="s">
        <v>11701</v>
      </c>
      <c r="J1768">
        <v>224027</v>
      </c>
      <c r="K1768" t="s">
        <v>11702</v>
      </c>
      <c r="L1768">
        <v>13</v>
      </c>
      <c r="O1768">
        <v>224027</v>
      </c>
      <c r="P1768" t="s">
        <v>11145</v>
      </c>
      <c r="Q1768">
        <v>1</v>
      </c>
    </row>
    <row r="1769" spans="1:17" x14ac:dyDescent="0.25">
      <c r="A1769">
        <v>4</v>
      </c>
      <c r="B1769" t="s">
        <v>11703</v>
      </c>
      <c r="C1769" t="s">
        <v>7398</v>
      </c>
      <c r="D1769" t="s">
        <v>11145</v>
      </c>
      <c r="G1769" t="s">
        <v>11704</v>
      </c>
      <c r="H1769" t="s">
        <v>11705</v>
      </c>
      <c r="I1769" t="s">
        <v>11706</v>
      </c>
      <c r="J1769" t="s">
        <v>11704</v>
      </c>
      <c r="K1769" t="s">
        <v>11707</v>
      </c>
      <c r="L1769">
        <v>4</v>
      </c>
      <c r="N1769" t="s">
        <v>4713</v>
      </c>
      <c r="O1769" t="s">
        <v>11704</v>
      </c>
      <c r="P1769" t="s">
        <v>11145</v>
      </c>
      <c r="Q1769">
        <v>1</v>
      </c>
    </row>
    <row r="1770" spans="1:17" x14ac:dyDescent="0.25">
      <c r="A1770">
        <v>3</v>
      </c>
      <c r="B1770" t="s">
        <v>11708</v>
      </c>
      <c r="C1770" t="s">
        <v>7398</v>
      </c>
      <c r="D1770" t="s">
        <v>11145</v>
      </c>
      <c r="F1770" t="s">
        <v>11709</v>
      </c>
      <c r="H1770" t="s">
        <v>11710</v>
      </c>
      <c r="I1770" t="s">
        <v>11711</v>
      </c>
      <c r="J1770" t="s">
        <v>11709</v>
      </c>
      <c r="O1770" t="s">
        <v>11709</v>
      </c>
      <c r="P1770" t="s">
        <v>11145</v>
      </c>
      <c r="Q1770">
        <v>1</v>
      </c>
    </row>
    <row r="1771" spans="1:17" x14ac:dyDescent="0.25">
      <c r="A1771">
        <v>4</v>
      </c>
      <c r="B1771" t="s">
        <v>11712</v>
      </c>
      <c r="C1771" t="s">
        <v>7398</v>
      </c>
      <c r="D1771" t="s">
        <v>11145</v>
      </c>
      <c r="G1771">
        <v>21845</v>
      </c>
      <c r="H1771" t="s">
        <v>11713</v>
      </c>
      <c r="I1771" t="s">
        <v>11714</v>
      </c>
      <c r="J1771">
        <v>21845</v>
      </c>
      <c r="K1771" t="s">
        <v>11715</v>
      </c>
      <c r="L1771">
        <v>33</v>
      </c>
      <c r="O1771">
        <v>21845</v>
      </c>
      <c r="P1771" t="s">
        <v>11145</v>
      </c>
      <c r="Q1771">
        <v>1</v>
      </c>
    </row>
    <row r="1772" spans="1:17" x14ac:dyDescent="0.25">
      <c r="A1772">
        <v>4</v>
      </c>
      <c r="B1772" t="s">
        <v>11716</v>
      </c>
      <c r="C1772" t="s">
        <v>7398</v>
      </c>
      <c r="D1772" t="s">
        <v>11145</v>
      </c>
      <c r="G1772" t="s">
        <v>11717</v>
      </c>
      <c r="H1772" t="s">
        <v>11718</v>
      </c>
      <c r="I1772" t="s">
        <v>11711</v>
      </c>
      <c r="J1772" t="s">
        <v>11717</v>
      </c>
      <c r="K1772" t="s">
        <v>11719</v>
      </c>
      <c r="L1772">
        <v>5</v>
      </c>
      <c r="N1772" t="s">
        <v>4713</v>
      </c>
      <c r="O1772" t="s">
        <v>11717</v>
      </c>
      <c r="P1772" t="s">
        <v>11145</v>
      </c>
      <c r="Q1772">
        <v>1</v>
      </c>
    </row>
    <row r="1773" spans="1:17" x14ac:dyDescent="0.25">
      <c r="A1773">
        <v>3</v>
      </c>
      <c r="B1773" t="s">
        <v>11720</v>
      </c>
      <c r="C1773" t="s">
        <v>7398</v>
      </c>
      <c r="D1773" t="s">
        <v>11145</v>
      </c>
      <c r="F1773" t="s">
        <v>11721</v>
      </c>
      <c r="H1773" t="s">
        <v>11722</v>
      </c>
      <c r="I1773" t="s">
        <v>11723</v>
      </c>
      <c r="J1773" t="s">
        <v>11721</v>
      </c>
      <c r="O1773" t="s">
        <v>11721</v>
      </c>
      <c r="P1773" t="s">
        <v>11145</v>
      </c>
      <c r="Q1773">
        <v>1</v>
      </c>
    </row>
    <row r="1774" spans="1:17" x14ac:dyDescent="0.25">
      <c r="A1774">
        <v>4</v>
      </c>
      <c r="B1774" t="s">
        <v>11724</v>
      </c>
      <c r="C1774" t="s">
        <v>7398</v>
      </c>
      <c r="D1774" t="s">
        <v>11145</v>
      </c>
      <c r="G1774">
        <v>207994</v>
      </c>
      <c r="H1774" t="s">
        <v>5475</v>
      </c>
      <c r="I1774" t="s">
        <v>11725</v>
      </c>
      <c r="J1774">
        <v>207994</v>
      </c>
      <c r="K1774" t="s">
        <v>11726</v>
      </c>
      <c r="L1774">
        <v>6</v>
      </c>
      <c r="N1774" t="s">
        <v>4713</v>
      </c>
      <c r="O1774">
        <v>207994</v>
      </c>
      <c r="P1774" t="s">
        <v>11145</v>
      </c>
      <c r="Q1774">
        <v>1</v>
      </c>
    </row>
    <row r="1775" spans="1:17" x14ac:dyDescent="0.25">
      <c r="A1775">
        <v>4</v>
      </c>
      <c r="B1775" t="s">
        <v>11727</v>
      </c>
      <c r="C1775" t="s">
        <v>7398</v>
      </c>
      <c r="D1775" t="s">
        <v>11145</v>
      </c>
      <c r="G1775">
        <v>21849</v>
      </c>
      <c r="H1775" t="s">
        <v>11728</v>
      </c>
      <c r="I1775" t="s">
        <v>11729</v>
      </c>
      <c r="J1775">
        <v>21849</v>
      </c>
      <c r="K1775" t="s">
        <v>11730</v>
      </c>
      <c r="L1775">
        <v>35</v>
      </c>
      <c r="O1775">
        <v>21849</v>
      </c>
      <c r="P1775" t="s">
        <v>11145</v>
      </c>
      <c r="Q1775">
        <v>1</v>
      </c>
    </row>
    <row r="1776" spans="1:17" x14ac:dyDescent="0.25">
      <c r="A1776">
        <v>4</v>
      </c>
      <c r="B1776" t="s">
        <v>11731</v>
      </c>
      <c r="C1776" t="s">
        <v>7398</v>
      </c>
      <c r="D1776" t="s">
        <v>11145</v>
      </c>
      <c r="G1776">
        <v>21851</v>
      </c>
      <c r="H1776" t="s">
        <v>11732</v>
      </c>
      <c r="I1776" t="s">
        <v>11733</v>
      </c>
      <c r="J1776">
        <v>21851</v>
      </c>
      <c r="K1776" t="s">
        <v>11734</v>
      </c>
      <c r="L1776">
        <v>7</v>
      </c>
      <c r="N1776" t="s">
        <v>4713</v>
      </c>
      <c r="O1776">
        <v>21851</v>
      </c>
      <c r="P1776" t="s">
        <v>11145</v>
      </c>
      <c r="Q1776">
        <v>1</v>
      </c>
    </row>
    <row r="1777" spans="1:17" x14ac:dyDescent="0.25">
      <c r="A1777">
        <v>4</v>
      </c>
      <c r="B1777" t="s">
        <v>11735</v>
      </c>
      <c r="C1777" t="s">
        <v>7398</v>
      </c>
      <c r="D1777" t="s">
        <v>11145</v>
      </c>
      <c r="G1777" t="s">
        <v>11736</v>
      </c>
      <c r="H1777" t="s">
        <v>11737</v>
      </c>
      <c r="I1777" t="s">
        <v>11738</v>
      </c>
      <c r="J1777" t="s">
        <v>11736</v>
      </c>
      <c r="K1777" t="s">
        <v>11739</v>
      </c>
      <c r="L1777">
        <v>4</v>
      </c>
      <c r="N1777" t="s">
        <v>4713</v>
      </c>
      <c r="O1777" t="s">
        <v>11736</v>
      </c>
      <c r="P1777" t="s">
        <v>11145</v>
      </c>
      <c r="Q1777">
        <v>1</v>
      </c>
    </row>
    <row r="1778" spans="1:17" x14ac:dyDescent="0.25">
      <c r="A1778">
        <v>3</v>
      </c>
      <c r="B1778" t="s">
        <v>11740</v>
      </c>
      <c r="C1778" t="s">
        <v>7398</v>
      </c>
      <c r="D1778" t="s">
        <v>11145</v>
      </c>
      <c r="F1778" t="s">
        <v>11741</v>
      </c>
      <c r="H1778" t="s">
        <v>11742</v>
      </c>
      <c r="I1778" t="s">
        <v>11743</v>
      </c>
      <c r="J1778" t="s">
        <v>11741</v>
      </c>
      <c r="O1778" t="s">
        <v>11741</v>
      </c>
      <c r="P1778" t="s">
        <v>11145</v>
      </c>
      <c r="Q1778">
        <v>1</v>
      </c>
    </row>
    <row r="1779" spans="1:17" x14ac:dyDescent="0.25">
      <c r="A1779">
        <v>4</v>
      </c>
      <c r="B1779" t="s">
        <v>11744</v>
      </c>
      <c r="C1779" t="s">
        <v>7398</v>
      </c>
      <c r="D1779" t="s">
        <v>11145</v>
      </c>
      <c r="G1779">
        <v>21855</v>
      </c>
      <c r="H1779" t="s">
        <v>11745</v>
      </c>
      <c r="I1779" t="s">
        <v>11746</v>
      </c>
      <c r="J1779">
        <v>21855</v>
      </c>
      <c r="K1779" t="s">
        <v>11747</v>
      </c>
      <c r="L1779">
        <v>42</v>
      </c>
      <c r="O1779">
        <v>21855</v>
      </c>
      <c r="P1779" t="s">
        <v>11145</v>
      </c>
      <c r="Q1779">
        <v>1</v>
      </c>
    </row>
    <row r="1780" spans="1:17" x14ac:dyDescent="0.25">
      <c r="A1780">
        <v>4</v>
      </c>
      <c r="B1780" t="s">
        <v>11748</v>
      </c>
      <c r="C1780" t="s">
        <v>7398</v>
      </c>
      <c r="D1780" t="s">
        <v>11145</v>
      </c>
      <c r="G1780" t="s">
        <v>11749</v>
      </c>
      <c r="H1780" t="s">
        <v>11742</v>
      </c>
      <c r="I1780" t="s">
        <v>11750</v>
      </c>
      <c r="J1780" t="s">
        <v>11749</v>
      </c>
      <c r="K1780" t="s">
        <v>11751</v>
      </c>
      <c r="L1780">
        <v>20</v>
      </c>
      <c r="O1780" t="s">
        <v>11749</v>
      </c>
      <c r="P1780" t="s">
        <v>11145</v>
      </c>
      <c r="Q1780">
        <v>1</v>
      </c>
    </row>
    <row r="1781" spans="1:17" x14ac:dyDescent="0.25">
      <c r="A1781">
        <v>4</v>
      </c>
      <c r="B1781" t="s">
        <v>11752</v>
      </c>
      <c r="C1781" t="s">
        <v>7398</v>
      </c>
      <c r="D1781" t="s">
        <v>11145</v>
      </c>
      <c r="G1781" t="s">
        <v>11753</v>
      </c>
      <c r="H1781" t="s">
        <v>11754</v>
      </c>
      <c r="I1781" t="s">
        <v>11755</v>
      </c>
      <c r="J1781" t="s">
        <v>11753</v>
      </c>
      <c r="K1781" t="s">
        <v>11756</v>
      </c>
      <c r="L1781">
        <v>16</v>
      </c>
      <c r="O1781" t="s">
        <v>11753</v>
      </c>
      <c r="P1781" t="s">
        <v>11145</v>
      </c>
      <c r="Q1781">
        <v>1</v>
      </c>
    </row>
    <row r="1782" spans="1:17" x14ac:dyDescent="0.25">
      <c r="A1782">
        <v>3</v>
      </c>
      <c r="B1782" t="s">
        <v>11757</v>
      </c>
      <c r="C1782" t="s">
        <v>7398</v>
      </c>
      <c r="D1782" t="s">
        <v>11145</v>
      </c>
      <c r="F1782" t="s">
        <v>11758</v>
      </c>
      <c r="H1782" t="s">
        <v>11759</v>
      </c>
      <c r="I1782" t="s">
        <v>11760</v>
      </c>
      <c r="J1782" t="s">
        <v>11758</v>
      </c>
      <c r="O1782" t="s">
        <v>11758</v>
      </c>
      <c r="P1782" t="s">
        <v>11145</v>
      </c>
      <c r="Q1782">
        <v>1</v>
      </c>
    </row>
    <row r="1783" spans="1:17" x14ac:dyDescent="0.25">
      <c r="A1783">
        <v>4</v>
      </c>
      <c r="B1783" t="s">
        <v>11761</v>
      </c>
      <c r="C1783" t="s">
        <v>7398</v>
      </c>
      <c r="D1783" t="s">
        <v>11145</v>
      </c>
      <c r="G1783">
        <v>21857</v>
      </c>
      <c r="H1783" t="s">
        <v>11762</v>
      </c>
      <c r="I1783" t="s">
        <v>11763</v>
      </c>
      <c r="J1783">
        <v>21857</v>
      </c>
      <c r="K1783" t="s">
        <v>11764</v>
      </c>
      <c r="L1783">
        <v>6</v>
      </c>
      <c r="N1783" t="s">
        <v>4713</v>
      </c>
      <c r="O1783">
        <v>21857</v>
      </c>
      <c r="P1783" t="s">
        <v>11145</v>
      </c>
      <c r="Q1783">
        <v>1</v>
      </c>
    </row>
    <row r="1784" spans="1:17" x14ac:dyDescent="0.25">
      <c r="A1784">
        <v>4</v>
      </c>
      <c r="B1784" t="s">
        <v>11765</v>
      </c>
      <c r="C1784" t="s">
        <v>7398</v>
      </c>
      <c r="D1784" t="s">
        <v>11145</v>
      </c>
      <c r="G1784">
        <v>21859</v>
      </c>
      <c r="H1784" t="s">
        <v>11766</v>
      </c>
      <c r="I1784" t="s">
        <v>11767</v>
      </c>
      <c r="J1784">
        <v>21859</v>
      </c>
      <c r="K1784" t="s">
        <v>11768</v>
      </c>
      <c r="L1784">
        <v>1</v>
      </c>
      <c r="N1784" t="s">
        <v>4734</v>
      </c>
      <c r="O1784">
        <v>21859</v>
      </c>
      <c r="P1784" t="s">
        <v>11145</v>
      </c>
      <c r="Q1784">
        <v>1</v>
      </c>
    </row>
    <row r="1785" spans="1:17" x14ac:dyDescent="0.25">
      <c r="A1785">
        <v>4</v>
      </c>
      <c r="B1785" t="s">
        <v>11769</v>
      </c>
      <c r="C1785" t="s">
        <v>7398</v>
      </c>
      <c r="D1785" t="s">
        <v>11145</v>
      </c>
      <c r="G1785">
        <v>21861</v>
      </c>
      <c r="H1785" t="s">
        <v>11770</v>
      </c>
      <c r="I1785" t="s">
        <v>11771</v>
      </c>
      <c r="J1785">
        <v>21861</v>
      </c>
      <c r="K1785" t="s">
        <v>11772</v>
      </c>
      <c r="L1785">
        <v>4</v>
      </c>
      <c r="N1785" t="s">
        <v>4713</v>
      </c>
      <c r="O1785">
        <v>21861</v>
      </c>
      <c r="P1785" t="s">
        <v>11145</v>
      </c>
      <c r="Q1785">
        <v>1</v>
      </c>
    </row>
    <row r="1786" spans="1:17" x14ac:dyDescent="0.25">
      <c r="A1786">
        <v>4</v>
      </c>
      <c r="B1786" t="s">
        <v>11773</v>
      </c>
      <c r="C1786" t="s">
        <v>7398</v>
      </c>
      <c r="D1786" t="s">
        <v>11145</v>
      </c>
      <c r="G1786" t="s">
        <v>11774</v>
      </c>
      <c r="H1786" t="s">
        <v>11775</v>
      </c>
      <c r="I1786" t="s">
        <v>11776</v>
      </c>
      <c r="J1786" t="s">
        <v>11774</v>
      </c>
      <c r="K1786" t="s">
        <v>11777</v>
      </c>
      <c r="L1786">
        <v>11</v>
      </c>
      <c r="O1786" t="s">
        <v>11774</v>
      </c>
      <c r="P1786" t="s">
        <v>11145</v>
      </c>
      <c r="Q1786">
        <v>1</v>
      </c>
    </row>
    <row r="1787" spans="1:17" x14ac:dyDescent="0.25">
      <c r="A1787">
        <v>3</v>
      </c>
      <c r="B1787" t="s">
        <v>11778</v>
      </c>
      <c r="C1787" t="s">
        <v>7398</v>
      </c>
      <c r="D1787" t="s">
        <v>11145</v>
      </c>
      <c r="F1787" t="s">
        <v>11779</v>
      </c>
      <c r="H1787" t="s">
        <v>11780</v>
      </c>
      <c r="I1787" t="s">
        <v>11781</v>
      </c>
      <c r="J1787" t="s">
        <v>11779</v>
      </c>
      <c r="O1787" t="s">
        <v>11779</v>
      </c>
      <c r="P1787" t="s">
        <v>11145</v>
      </c>
      <c r="Q1787">
        <v>1</v>
      </c>
    </row>
    <row r="1788" spans="1:17" x14ac:dyDescent="0.25">
      <c r="A1788">
        <v>4</v>
      </c>
      <c r="B1788" t="s">
        <v>11782</v>
      </c>
      <c r="C1788" t="s">
        <v>7398</v>
      </c>
      <c r="D1788" t="s">
        <v>11145</v>
      </c>
      <c r="G1788">
        <v>21863</v>
      </c>
      <c r="H1788" t="s">
        <v>11783</v>
      </c>
      <c r="I1788" t="s">
        <v>11784</v>
      </c>
      <c r="J1788">
        <v>21863</v>
      </c>
      <c r="K1788" t="s">
        <v>11785</v>
      </c>
      <c r="L1788">
        <v>5</v>
      </c>
      <c r="N1788" t="s">
        <v>4713</v>
      </c>
      <c r="O1788">
        <v>21863</v>
      </c>
      <c r="P1788" t="s">
        <v>11145</v>
      </c>
      <c r="Q1788">
        <v>1</v>
      </c>
    </row>
    <row r="1789" spans="1:17" x14ac:dyDescent="0.25">
      <c r="A1789">
        <v>4</v>
      </c>
      <c r="B1789" t="s">
        <v>11786</v>
      </c>
      <c r="C1789" t="s">
        <v>7398</v>
      </c>
      <c r="D1789" t="s">
        <v>11145</v>
      </c>
      <c r="G1789" t="s">
        <v>11787</v>
      </c>
      <c r="H1789" t="s">
        <v>11788</v>
      </c>
      <c r="I1789" t="s">
        <v>11789</v>
      </c>
      <c r="J1789" t="s">
        <v>11787</v>
      </c>
      <c r="K1789" t="s">
        <v>11790</v>
      </c>
      <c r="L1789">
        <v>5</v>
      </c>
      <c r="N1789" t="s">
        <v>4713</v>
      </c>
      <c r="O1789" t="s">
        <v>11787</v>
      </c>
      <c r="P1789" t="s">
        <v>11145</v>
      </c>
      <c r="Q1789">
        <v>1</v>
      </c>
    </row>
    <row r="1790" spans="1:17" x14ac:dyDescent="0.25">
      <c r="A1790">
        <v>3</v>
      </c>
      <c r="B1790" t="s">
        <v>11791</v>
      </c>
      <c r="C1790" t="s">
        <v>7398</v>
      </c>
      <c r="D1790" t="s">
        <v>11145</v>
      </c>
      <c r="F1790" t="s">
        <v>11571</v>
      </c>
      <c r="H1790" t="s">
        <v>11572</v>
      </c>
      <c r="I1790" t="s">
        <v>11573</v>
      </c>
      <c r="J1790" t="s">
        <v>11571</v>
      </c>
      <c r="O1790" t="s">
        <v>11571</v>
      </c>
      <c r="P1790" t="s">
        <v>11145</v>
      </c>
      <c r="Q1790">
        <v>2</v>
      </c>
    </row>
    <row r="1791" spans="1:17" x14ac:dyDescent="0.25">
      <c r="A1791">
        <v>4</v>
      </c>
      <c r="B1791" t="s">
        <v>11792</v>
      </c>
      <c r="C1791" t="s">
        <v>7398</v>
      </c>
      <c r="D1791" t="s">
        <v>11145</v>
      </c>
      <c r="G1791">
        <v>21873</v>
      </c>
      <c r="H1791" t="s">
        <v>11793</v>
      </c>
      <c r="I1791" t="s">
        <v>11794</v>
      </c>
      <c r="J1791">
        <v>21873</v>
      </c>
      <c r="K1791" t="s">
        <v>11795</v>
      </c>
      <c r="L1791">
        <v>14</v>
      </c>
      <c r="O1791">
        <v>21873</v>
      </c>
      <c r="P1791" t="s">
        <v>11145</v>
      </c>
      <c r="Q1791">
        <v>1</v>
      </c>
    </row>
    <row r="1792" spans="1:17" x14ac:dyDescent="0.25">
      <c r="A1792">
        <v>4</v>
      </c>
      <c r="B1792" t="s">
        <v>11796</v>
      </c>
      <c r="C1792" t="s">
        <v>7398</v>
      </c>
      <c r="D1792" t="s">
        <v>11145</v>
      </c>
      <c r="G1792">
        <v>21875</v>
      </c>
      <c r="H1792" t="s">
        <v>11797</v>
      </c>
      <c r="I1792" t="s">
        <v>11798</v>
      </c>
      <c r="J1792">
        <v>21875</v>
      </c>
      <c r="K1792" t="s">
        <v>11799</v>
      </c>
      <c r="L1792">
        <v>16</v>
      </c>
      <c r="O1792">
        <v>21875</v>
      </c>
      <c r="P1792" t="s">
        <v>11145</v>
      </c>
      <c r="Q1792">
        <v>1</v>
      </c>
    </row>
    <row r="1793" spans="1:17" x14ac:dyDescent="0.25">
      <c r="A1793">
        <v>4</v>
      </c>
      <c r="B1793" t="s">
        <v>11800</v>
      </c>
      <c r="C1793" t="s">
        <v>7398</v>
      </c>
      <c r="D1793" t="s">
        <v>11145</v>
      </c>
      <c r="G1793">
        <v>21877</v>
      </c>
      <c r="H1793" t="s">
        <v>11801</v>
      </c>
      <c r="I1793" t="s">
        <v>11802</v>
      </c>
      <c r="J1793">
        <v>21877</v>
      </c>
      <c r="K1793" t="s">
        <v>11803</v>
      </c>
      <c r="L1793">
        <v>14</v>
      </c>
      <c r="O1793">
        <v>21877</v>
      </c>
      <c r="P1793" t="s">
        <v>11145</v>
      </c>
      <c r="Q1793">
        <v>1</v>
      </c>
    </row>
    <row r="1794" spans="1:17" x14ac:dyDescent="0.25">
      <c r="A1794">
        <v>4</v>
      </c>
      <c r="B1794" t="s">
        <v>11804</v>
      </c>
      <c r="C1794" t="s">
        <v>7398</v>
      </c>
      <c r="D1794" t="s">
        <v>11145</v>
      </c>
      <c r="G1794">
        <v>21879</v>
      </c>
      <c r="H1794" t="s">
        <v>11805</v>
      </c>
      <c r="I1794" t="s">
        <v>11806</v>
      </c>
      <c r="J1794">
        <v>21879</v>
      </c>
      <c r="K1794" t="s">
        <v>11807</v>
      </c>
      <c r="L1794">
        <v>6</v>
      </c>
      <c r="N1794" t="s">
        <v>4713</v>
      </c>
      <c r="O1794">
        <v>21879</v>
      </c>
      <c r="P1794" t="s">
        <v>11145</v>
      </c>
      <c r="Q1794">
        <v>1</v>
      </c>
    </row>
    <row r="1795" spans="1:17" x14ac:dyDescent="0.25">
      <c r="A1795">
        <v>4</v>
      </c>
      <c r="B1795" t="s">
        <v>11808</v>
      </c>
      <c r="C1795" t="s">
        <v>7398</v>
      </c>
      <c r="D1795" t="s">
        <v>11145</v>
      </c>
      <c r="G1795">
        <v>222970</v>
      </c>
      <c r="H1795" t="s">
        <v>11809</v>
      </c>
      <c r="I1795" t="s">
        <v>11810</v>
      </c>
      <c r="J1795">
        <v>222970</v>
      </c>
      <c r="K1795" t="s">
        <v>11811</v>
      </c>
      <c r="L1795">
        <v>21</v>
      </c>
      <c r="O1795">
        <v>222970</v>
      </c>
      <c r="P1795" t="s">
        <v>11145</v>
      </c>
      <c r="Q1795">
        <v>1</v>
      </c>
    </row>
    <row r="1796" spans="1:17" x14ac:dyDescent="0.25">
      <c r="A1796">
        <v>4</v>
      </c>
      <c r="B1796" t="s">
        <v>11812</v>
      </c>
      <c r="C1796" t="s">
        <v>7398</v>
      </c>
      <c r="D1796" t="s">
        <v>11145</v>
      </c>
      <c r="G1796">
        <v>303248</v>
      </c>
      <c r="H1796" t="s">
        <v>11813</v>
      </c>
      <c r="I1796" t="s">
        <v>11813</v>
      </c>
      <c r="J1796">
        <v>303248</v>
      </c>
      <c r="K1796" t="s">
        <v>11814</v>
      </c>
      <c r="L1796">
        <v>148</v>
      </c>
      <c r="O1796">
        <v>303248</v>
      </c>
      <c r="P1796" t="s">
        <v>11145</v>
      </c>
      <c r="Q1796">
        <v>1</v>
      </c>
    </row>
    <row r="1797" spans="1:17" x14ac:dyDescent="0.25">
      <c r="A1797">
        <v>4</v>
      </c>
      <c r="B1797" t="s">
        <v>11815</v>
      </c>
      <c r="C1797" t="s">
        <v>7398</v>
      </c>
      <c r="D1797" t="s">
        <v>11145</v>
      </c>
      <c r="G1797">
        <v>303264</v>
      </c>
      <c r="H1797" t="s">
        <v>11816</v>
      </c>
      <c r="I1797" t="s">
        <v>11817</v>
      </c>
      <c r="J1797">
        <v>303264</v>
      </c>
      <c r="K1797" t="s">
        <v>11818</v>
      </c>
      <c r="L1797">
        <v>6</v>
      </c>
      <c r="N1797" t="s">
        <v>4713</v>
      </c>
      <c r="O1797">
        <v>303264</v>
      </c>
      <c r="P1797" t="s">
        <v>11145</v>
      </c>
      <c r="Q1797">
        <v>1</v>
      </c>
    </row>
    <row r="1798" spans="1:17" x14ac:dyDescent="0.25">
      <c r="A1798">
        <v>3</v>
      </c>
      <c r="B1798" t="s">
        <v>11819</v>
      </c>
      <c r="C1798" t="s">
        <v>7398</v>
      </c>
      <c r="D1798" t="s">
        <v>11145</v>
      </c>
      <c r="F1798" t="s">
        <v>11820</v>
      </c>
      <c r="H1798" t="s">
        <v>11821</v>
      </c>
      <c r="I1798" t="s">
        <v>11822</v>
      </c>
      <c r="J1798" t="s">
        <v>11820</v>
      </c>
      <c r="O1798" t="s">
        <v>11820</v>
      </c>
      <c r="P1798" t="s">
        <v>11145</v>
      </c>
      <c r="Q1798">
        <v>1</v>
      </c>
    </row>
    <row r="1799" spans="1:17" x14ac:dyDescent="0.25">
      <c r="A1799">
        <v>4</v>
      </c>
      <c r="B1799" t="s">
        <v>11823</v>
      </c>
      <c r="C1799" t="s">
        <v>7398</v>
      </c>
      <c r="D1799" t="s">
        <v>11145</v>
      </c>
      <c r="G1799">
        <v>602999</v>
      </c>
      <c r="H1799" t="s">
        <v>11824</v>
      </c>
      <c r="I1799" t="s">
        <v>11825</v>
      </c>
      <c r="J1799">
        <v>602999</v>
      </c>
      <c r="K1799" t="s">
        <v>11826</v>
      </c>
      <c r="L1799">
        <v>2</v>
      </c>
      <c r="N1799" t="s">
        <v>4713</v>
      </c>
      <c r="O1799">
        <v>602999</v>
      </c>
      <c r="P1799" t="s">
        <v>11145</v>
      </c>
      <c r="Q1799">
        <v>1</v>
      </c>
    </row>
    <row r="1800" spans="1:17" x14ac:dyDescent="0.25">
      <c r="A1800">
        <v>4</v>
      </c>
      <c r="B1800" t="s">
        <v>11827</v>
      </c>
      <c r="C1800" t="s">
        <v>7398</v>
      </c>
      <c r="D1800" t="s">
        <v>11145</v>
      </c>
      <c r="G1800">
        <v>603005</v>
      </c>
      <c r="H1800" t="s">
        <v>11828</v>
      </c>
      <c r="I1800" t="s">
        <v>11829</v>
      </c>
      <c r="J1800">
        <v>603005</v>
      </c>
      <c r="K1800" t="s">
        <v>11830</v>
      </c>
      <c r="L1800">
        <v>3</v>
      </c>
      <c r="N1800" t="s">
        <v>4713</v>
      </c>
      <c r="O1800">
        <v>603005</v>
      </c>
      <c r="P1800" t="s">
        <v>11145</v>
      </c>
      <c r="Q1800">
        <v>1</v>
      </c>
    </row>
    <row r="1801" spans="1:17" x14ac:dyDescent="0.25">
      <c r="A1801">
        <v>4</v>
      </c>
      <c r="B1801" t="s">
        <v>11831</v>
      </c>
      <c r="C1801" t="s">
        <v>7398</v>
      </c>
      <c r="D1801" t="s">
        <v>11145</v>
      </c>
      <c r="G1801">
        <v>603007</v>
      </c>
      <c r="H1801" t="s">
        <v>11832</v>
      </c>
      <c r="I1801" t="s">
        <v>11833</v>
      </c>
      <c r="J1801">
        <v>603007</v>
      </c>
      <c r="K1801" t="s">
        <v>11834</v>
      </c>
      <c r="L1801">
        <v>84</v>
      </c>
      <c r="O1801">
        <v>603007</v>
      </c>
      <c r="P1801" t="s">
        <v>11145</v>
      </c>
      <c r="Q1801">
        <v>1</v>
      </c>
    </row>
    <row r="1802" spans="1:17" x14ac:dyDescent="0.25">
      <c r="A1802">
        <v>4</v>
      </c>
      <c r="B1802" t="s">
        <v>11835</v>
      </c>
      <c r="C1802" t="s">
        <v>7398</v>
      </c>
      <c r="D1802" t="s">
        <v>11145</v>
      </c>
      <c r="G1802">
        <v>603008</v>
      </c>
      <c r="H1802" t="s">
        <v>11836</v>
      </c>
      <c r="I1802" t="s">
        <v>11837</v>
      </c>
      <c r="J1802">
        <v>603008</v>
      </c>
      <c r="K1802" t="s">
        <v>11838</v>
      </c>
      <c r="L1802">
        <v>46</v>
      </c>
      <c r="O1802">
        <v>603008</v>
      </c>
      <c r="P1802" t="s">
        <v>11145</v>
      </c>
      <c r="Q1802">
        <v>1</v>
      </c>
    </row>
    <row r="1803" spans="1:17" x14ac:dyDescent="0.25">
      <c r="A1803">
        <v>4</v>
      </c>
      <c r="B1803" t="s">
        <v>11839</v>
      </c>
      <c r="C1803" t="s">
        <v>7398</v>
      </c>
      <c r="D1803" t="s">
        <v>11145</v>
      </c>
      <c r="G1803">
        <v>603058</v>
      </c>
      <c r="H1803" t="s">
        <v>11840</v>
      </c>
      <c r="I1803" t="s">
        <v>11841</v>
      </c>
      <c r="J1803">
        <v>603058</v>
      </c>
      <c r="K1803" t="s">
        <v>11842</v>
      </c>
      <c r="L1803">
        <v>33</v>
      </c>
      <c r="O1803">
        <v>603058</v>
      </c>
      <c r="P1803" t="s">
        <v>11145</v>
      </c>
      <c r="Q1803">
        <v>1</v>
      </c>
    </row>
    <row r="1804" spans="1:17" x14ac:dyDescent="0.25">
      <c r="A1804">
        <v>4</v>
      </c>
      <c r="B1804" t="s">
        <v>11843</v>
      </c>
      <c r="C1804" t="s">
        <v>7398</v>
      </c>
      <c r="D1804" t="s">
        <v>11145</v>
      </c>
      <c r="G1804">
        <v>197148</v>
      </c>
      <c r="H1804" t="s">
        <v>11844</v>
      </c>
      <c r="I1804" t="s">
        <v>11845</v>
      </c>
      <c r="J1804">
        <v>197148</v>
      </c>
      <c r="K1804" t="s">
        <v>11846</v>
      </c>
      <c r="L1804">
        <v>11</v>
      </c>
      <c r="O1804">
        <v>197148</v>
      </c>
      <c r="P1804" t="s">
        <v>11145</v>
      </c>
      <c r="Q1804">
        <v>1</v>
      </c>
    </row>
    <row r="1805" spans="1:17" x14ac:dyDescent="0.25">
      <c r="A1805">
        <v>2</v>
      </c>
      <c r="B1805" t="s">
        <v>11847</v>
      </c>
      <c r="C1805" t="s">
        <v>7398</v>
      </c>
      <c r="D1805" t="s">
        <v>11145</v>
      </c>
      <c r="E1805" t="s">
        <v>28</v>
      </c>
      <c r="H1805" t="s">
        <v>9</v>
      </c>
      <c r="I1805" t="s">
        <v>567</v>
      </c>
      <c r="J1805" t="s">
        <v>28</v>
      </c>
      <c r="O1805" t="s">
        <v>28</v>
      </c>
      <c r="P1805" t="s">
        <v>11145</v>
      </c>
      <c r="Q1805">
        <v>1</v>
      </c>
    </row>
    <row r="1806" spans="1:17" x14ac:dyDescent="0.25">
      <c r="A1806">
        <v>3</v>
      </c>
      <c r="B1806" t="s">
        <v>11848</v>
      </c>
      <c r="C1806" t="s">
        <v>7398</v>
      </c>
      <c r="D1806" t="s">
        <v>11145</v>
      </c>
      <c r="F1806" t="s">
        <v>258</v>
      </c>
      <c r="H1806" t="s">
        <v>11849</v>
      </c>
      <c r="I1806" t="s">
        <v>576</v>
      </c>
      <c r="J1806" t="s">
        <v>258</v>
      </c>
      <c r="O1806" t="s">
        <v>258</v>
      </c>
      <c r="P1806" t="s">
        <v>11145</v>
      </c>
      <c r="Q1806">
        <v>1</v>
      </c>
    </row>
    <row r="1807" spans="1:17" x14ac:dyDescent="0.25">
      <c r="A1807">
        <v>4</v>
      </c>
      <c r="B1807" t="s">
        <v>11850</v>
      </c>
      <c r="C1807" t="s">
        <v>7398</v>
      </c>
      <c r="D1807" t="s">
        <v>11145</v>
      </c>
      <c r="G1807">
        <v>29112</v>
      </c>
      <c r="H1807" t="s">
        <v>11851</v>
      </c>
      <c r="I1807" t="s">
        <v>11852</v>
      </c>
      <c r="J1807">
        <v>29112</v>
      </c>
      <c r="K1807" t="s">
        <v>11853</v>
      </c>
      <c r="L1807">
        <v>67</v>
      </c>
      <c r="O1807">
        <v>29112</v>
      </c>
      <c r="P1807" t="s">
        <v>11145</v>
      </c>
      <c r="Q1807">
        <v>1</v>
      </c>
    </row>
    <row r="1808" spans="1:17" x14ac:dyDescent="0.25">
      <c r="A1808">
        <v>4</v>
      </c>
      <c r="B1808" t="s">
        <v>11854</v>
      </c>
      <c r="C1808" t="s">
        <v>7398</v>
      </c>
      <c r="D1808" t="s">
        <v>11145</v>
      </c>
      <c r="G1808">
        <v>29114</v>
      </c>
      <c r="H1808" t="s">
        <v>11855</v>
      </c>
      <c r="I1808" t="s">
        <v>11856</v>
      </c>
      <c r="J1808">
        <v>29114</v>
      </c>
      <c r="K1808" t="s">
        <v>11857</v>
      </c>
      <c r="L1808">
        <v>13</v>
      </c>
      <c r="O1808">
        <v>29114</v>
      </c>
      <c r="P1808" t="s">
        <v>11145</v>
      </c>
      <c r="Q1808">
        <v>1</v>
      </c>
    </row>
    <row r="1809" spans="1:17" x14ac:dyDescent="0.25">
      <c r="A1809">
        <v>4</v>
      </c>
      <c r="B1809" t="s">
        <v>11858</v>
      </c>
      <c r="C1809" t="s">
        <v>7398</v>
      </c>
      <c r="D1809" t="s">
        <v>11145</v>
      </c>
      <c r="G1809">
        <v>29116</v>
      </c>
      <c r="H1809" t="s">
        <v>11859</v>
      </c>
      <c r="I1809" t="s">
        <v>11860</v>
      </c>
      <c r="J1809">
        <v>29116</v>
      </c>
      <c r="K1809" t="s">
        <v>11861</v>
      </c>
      <c r="L1809">
        <v>4</v>
      </c>
      <c r="N1809" t="s">
        <v>4713</v>
      </c>
      <c r="O1809">
        <v>29116</v>
      </c>
      <c r="P1809" t="s">
        <v>11145</v>
      </c>
      <c r="Q1809">
        <v>1</v>
      </c>
    </row>
    <row r="1810" spans="1:17" x14ac:dyDescent="0.25">
      <c r="A1810">
        <v>3</v>
      </c>
      <c r="B1810" t="s">
        <v>11862</v>
      </c>
      <c r="C1810" t="s">
        <v>7398</v>
      </c>
      <c r="D1810" t="s">
        <v>11145</v>
      </c>
      <c r="F1810" t="s">
        <v>260</v>
      </c>
      <c r="H1810" t="s">
        <v>11863</v>
      </c>
      <c r="I1810" t="s">
        <v>1052</v>
      </c>
      <c r="J1810" t="s">
        <v>260</v>
      </c>
      <c r="O1810" t="s">
        <v>260</v>
      </c>
      <c r="P1810" t="s">
        <v>11145</v>
      </c>
      <c r="Q1810">
        <v>1</v>
      </c>
    </row>
    <row r="1811" spans="1:17" x14ac:dyDescent="0.25">
      <c r="A1811">
        <v>4</v>
      </c>
      <c r="B1811" t="s">
        <v>11864</v>
      </c>
      <c r="C1811" t="s">
        <v>7398</v>
      </c>
      <c r="D1811" t="s">
        <v>11145</v>
      </c>
      <c r="G1811">
        <v>29119</v>
      </c>
      <c r="H1811" t="s">
        <v>11863</v>
      </c>
      <c r="I1811" t="s">
        <v>11865</v>
      </c>
      <c r="J1811">
        <v>29119</v>
      </c>
      <c r="K1811" t="s">
        <v>11866</v>
      </c>
      <c r="L1811">
        <v>92</v>
      </c>
      <c r="O1811">
        <v>29119</v>
      </c>
      <c r="P1811" t="s">
        <v>11145</v>
      </c>
      <c r="Q1811">
        <v>1</v>
      </c>
    </row>
    <row r="1812" spans="1:17" x14ac:dyDescent="0.25">
      <c r="A1812">
        <v>4</v>
      </c>
      <c r="B1812" t="s">
        <v>11867</v>
      </c>
      <c r="C1812" t="s">
        <v>7398</v>
      </c>
      <c r="D1812" t="s">
        <v>11145</v>
      </c>
      <c r="G1812">
        <v>29187</v>
      </c>
      <c r="H1812" t="s">
        <v>11868</v>
      </c>
      <c r="I1812" t="s">
        <v>11869</v>
      </c>
      <c r="J1812">
        <v>29187</v>
      </c>
      <c r="K1812" t="s">
        <v>11870</v>
      </c>
      <c r="L1812">
        <v>46</v>
      </c>
      <c r="O1812">
        <v>29187</v>
      </c>
      <c r="P1812" t="s">
        <v>11145</v>
      </c>
      <c r="Q1812">
        <v>1</v>
      </c>
    </row>
    <row r="1813" spans="1:17" x14ac:dyDescent="0.25">
      <c r="A1813">
        <v>3</v>
      </c>
      <c r="B1813" t="s">
        <v>11871</v>
      </c>
      <c r="C1813" t="s">
        <v>7398</v>
      </c>
      <c r="D1813" t="s">
        <v>11145</v>
      </c>
      <c r="F1813" t="s">
        <v>257</v>
      </c>
      <c r="H1813" t="s">
        <v>11872</v>
      </c>
      <c r="I1813" t="s">
        <v>965</v>
      </c>
      <c r="J1813" t="s">
        <v>257</v>
      </c>
      <c r="O1813" t="s">
        <v>257</v>
      </c>
      <c r="P1813" t="s">
        <v>11145</v>
      </c>
      <c r="Q1813">
        <v>1</v>
      </c>
    </row>
    <row r="1814" spans="1:17" x14ac:dyDescent="0.25">
      <c r="A1814">
        <v>4</v>
      </c>
      <c r="B1814" t="s">
        <v>11873</v>
      </c>
      <c r="C1814" t="s">
        <v>7398</v>
      </c>
      <c r="D1814" t="s">
        <v>11145</v>
      </c>
      <c r="G1814">
        <v>557671</v>
      </c>
      <c r="H1814" t="s">
        <v>11874</v>
      </c>
      <c r="I1814" t="s">
        <v>11875</v>
      </c>
      <c r="J1814">
        <v>557671</v>
      </c>
      <c r="K1814" t="s">
        <v>11876</v>
      </c>
      <c r="L1814">
        <v>51</v>
      </c>
      <c r="O1814">
        <v>557671</v>
      </c>
      <c r="P1814" t="s">
        <v>11145</v>
      </c>
      <c r="Q1814">
        <v>1</v>
      </c>
    </row>
    <row r="1815" spans="1:17" x14ac:dyDescent="0.25">
      <c r="A1815">
        <v>4</v>
      </c>
      <c r="B1815" t="s">
        <v>11877</v>
      </c>
      <c r="C1815" t="s">
        <v>7398</v>
      </c>
      <c r="D1815" t="s">
        <v>11145</v>
      </c>
      <c r="G1815">
        <v>558535</v>
      </c>
      <c r="H1815" t="s">
        <v>11878</v>
      </c>
      <c r="I1815" t="s">
        <v>11879</v>
      </c>
      <c r="J1815">
        <v>558535</v>
      </c>
      <c r="K1815" t="s">
        <v>11880</v>
      </c>
      <c r="L1815">
        <v>5</v>
      </c>
      <c r="N1815" t="s">
        <v>4713</v>
      </c>
      <c r="O1815">
        <v>558535</v>
      </c>
      <c r="P1815" t="s">
        <v>11145</v>
      </c>
      <c r="Q1815">
        <v>1</v>
      </c>
    </row>
    <row r="1816" spans="1:17" x14ac:dyDescent="0.25">
      <c r="A1816">
        <v>4</v>
      </c>
      <c r="B1816" t="s">
        <v>11881</v>
      </c>
      <c r="C1816" t="s">
        <v>7398</v>
      </c>
      <c r="D1816" t="s">
        <v>11145</v>
      </c>
      <c r="G1816" t="s">
        <v>11882</v>
      </c>
      <c r="H1816" t="s">
        <v>11883</v>
      </c>
      <c r="I1816" t="s">
        <v>11884</v>
      </c>
      <c r="J1816" t="s">
        <v>11882</v>
      </c>
      <c r="K1816" t="s">
        <v>11885</v>
      </c>
      <c r="L1816">
        <v>33</v>
      </c>
      <c r="O1816" t="s">
        <v>11882</v>
      </c>
      <c r="P1816" t="s">
        <v>11145</v>
      </c>
      <c r="Q1816">
        <v>1</v>
      </c>
    </row>
    <row r="1817" spans="1:17" x14ac:dyDescent="0.25">
      <c r="A1817">
        <v>3</v>
      </c>
      <c r="B1817" t="s">
        <v>11886</v>
      </c>
      <c r="C1817" t="s">
        <v>7398</v>
      </c>
      <c r="D1817" t="s">
        <v>11145</v>
      </c>
      <c r="F1817" t="s">
        <v>261</v>
      </c>
      <c r="H1817" t="s">
        <v>11887</v>
      </c>
      <c r="I1817" t="s">
        <v>1053</v>
      </c>
      <c r="J1817" t="s">
        <v>261</v>
      </c>
      <c r="O1817" t="s">
        <v>261</v>
      </c>
      <c r="P1817" t="s">
        <v>11145</v>
      </c>
      <c r="Q1817">
        <v>1</v>
      </c>
    </row>
    <row r="1818" spans="1:17" x14ac:dyDescent="0.25">
      <c r="A1818">
        <v>4</v>
      </c>
      <c r="B1818" t="s">
        <v>11888</v>
      </c>
      <c r="C1818" t="s">
        <v>7398</v>
      </c>
      <c r="D1818" t="s">
        <v>11145</v>
      </c>
      <c r="G1818">
        <v>29235</v>
      </c>
      <c r="H1818" t="s">
        <v>11889</v>
      </c>
      <c r="I1818" t="s">
        <v>11890</v>
      </c>
      <c r="J1818">
        <v>29235</v>
      </c>
      <c r="K1818" t="s">
        <v>11891</v>
      </c>
      <c r="L1818">
        <v>411</v>
      </c>
      <c r="O1818">
        <v>29235</v>
      </c>
      <c r="P1818" t="s">
        <v>11145</v>
      </c>
      <c r="Q1818">
        <v>1</v>
      </c>
    </row>
    <row r="1819" spans="1:17" x14ac:dyDescent="0.25">
      <c r="A1819">
        <v>4</v>
      </c>
      <c r="B1819" t="s">
        <v>11892</v>
      </c>
      <c r="C1819" t="s">
        <v>7398</v>
      </c>
      <c r="D1819" t="s">
        <v>11145</v>
      </c>
      <c r="G1819">
        <v>493173</v>
      </c>
      <c r="H1819" t="s">
        <v>11893</v>
      </c>
      <c r="I1819" t="s">
        <v>11894</v>
      </c>
      <c r="J1819">
        <v>493173</v>
      </c>
      <c r="K1819" t="s">
        <v>11895</v>
      </c>
      <c r="L1819">
        <v>84</v>
      </c>
      <c r="O1819">
        <v>493173</v>
      </c>
      <c r="P1819" t="s">
        <v>11145</v>
      </c>
      <c r="Q1819">
        <v>1</v>
      </c>
    </row>
    <row r="1820" spans="1:17" x14ac:dyDescent="0.25">
      <c r="A1820">
        <v>4</v>
      </c>
      <c r="B1820" t="s">
        <v>11896</v>
      </c>
      <c r="C1820" t="s">
        <v>7398</v>
      </c>
      <c r="D1820" t="s">
        <v>11145</v>
      </c>
      <c r="G1820">
        <v>493174</v>
      </c>
      <c r="H1820" t="s">
        <v>11897</v>
      </c>
      <c r="I1820" t="s">
        <v>11898</v>
      </c>
      <c r="J1820">
        <v>493174</v>
      </c>
      <c r="K1820" t="s">
        <v>11899</v>
      </c>
      <c r="L1820">
        <v>154</v>
      </c>
      <c r="O1820">
        <v>493174</v>
      </c>
      <c r="P1820" t="s">
        <v>11145</v>
      </c>
      <c r="Q1820">
        <v>1</v>
      </c>
    </row>
    <row r="1821" spans="1:17" x14ac:dyDescent="0.25">
      <c r="A1821">
        <v>4</v>
      </c>
      <c r="B1821" t="s">
        <v>11900</v>
      </c>
      <c r="C1821" t="s">
        <v>7398</v>
      </c>
      <c r="D1821" t="s">
        <v>11145</v>
      </c>
      <c r="G1821">
        <v>493175</v>
      </c>
      <c r="H1821" t="s">
        <v>11901</v>
      </c>
      <c r="I1821" t="s">
        <v>11902</v>
      </c>
      <c r="J1821">
        <v>493175</v>
      </c>
      <c r="K1821" t="s">
        <v>11903</v>
      </c>
      <c r="L1821">
        <v>30</v>
      </c>
      <c r="O1821">
        <v>493175</v>
      </c>
      <c r="P1821" t="s">
        <v>11145</v>
      </c>
      <c r="Q1821">
        <v>1</v>
      </c>
    </row>
    <row r="1822" spans="1:17" x14ac:dyDescent="0.25">
      <c r="A1822">
        <v>4</v>
      </c>
      <c r="B1822" t="s">
        <v>11904</v>
      </c>
      <c r="C1822" t="s">
        <v>7398</v>
      </c>
      <c r="D1822" t="s">
        <v>11145</v>
      </c>
      <c r="G1822">
        <v>493201</v>
      </c>
      <c r="H1822" t="s">
        <v>922</v>
      </c>
      <c r="I1822" t="s">
        <v>1053</v>
      </c>
      <c r="J1822">
        <v>493201</v>
      </c>
      <c r="K1822" t="s">
        <v>11905</v>
      </c>
      <c r="L1822">
        <v>14</v>
      </c>
      <c r="O1822">
        <v>493201</v>
      </c>
      <c r="P1822" t="s">
        <v>11145</v>
      </c>
      <c r="Q1822">
        <v>1</v>
      </c>
    </row>
    <row r="1823" spans="1:17" x14ac:dyDescent="0.25">
      <c r="A1823">
        <v>4</v>
      </c>
      <c r="B1823" t="s">
        <v>11906</v>
      </c>
      <c r="C1823" t="s">
        <v>7398</v>
      </c>
      <c r="D1823" t="s">
        <v>11145</v>
      </c>
      <c r="G1823">
        <v>495111</v>
      </c>
      <c r="H1823" t="s">
        <v>11907</v>
      </c>
      <c r="I1823" t="s">
        <v>11908</v>
      </c>
      <c r="J1823">
        <v>495111</v>
      </c>
      <c r="K1823" t="s">
        <v>11909</v>
      </c>
      <c r="L1823">
        <v>26</v>
      </c>
      <c r="O1823">
        <v>495111</v>
      </c>
      <c r="P1823" t="s">
        <v>11145</v>
      </c>
      <c r="Q1823">
        <v>1</v>
      </c>
    </row>
    <row r="1824" spans="1:17" x14ac:dyDescent="0.25">
      <c r="A1824">
        <v>3</v>
      </c>
      <c r="B1824" t="s">
        <v>11910</v>
      </c>
      <c r="C1824" t="s">
        <v>7398</v>
      </c>
      <c r="D1824" t="s">
        <v>11145</v>
      </c>
      <c r="F1824" t="s">
        <v>259</v>
      </c>
      <c r="H1824" t="s">
        <v>11911</v>
      </c>
      <c r="I1824" t="s">
        <v>966</v>
      </c>
      <c r="J1824" t="s">
        <v>259</v>
      </c>
      <c r="O1824" t="s">
        <v>259</v>
      </c>
      <c r="P1824" t="s">
        <v>11145</v>
      </c>
      <c r="Q1824">
        <v>1</v>
      </c>
    </row>
    <row r="1825" spans="1:17" x14ac:dyDescent="0.25">
      <c r="A1825">
        <v>4</v>
      </c>
      <c r="B1825" t="s">
        <v>11912</v>
      </c>
      <c r="C1825" t="s">
        <v>7398</v>
      </c>
      <c r="D1825" t="s">
        <v>11145</v>
      </c>
      <c r="G1825">
        <v>29210</v>
      </c>
      <c r="H1825" t="s">
        <v>11913</v>
      </c>
      <c r="I1825" t="s">
        <v>11914</v>
      </c>
      <c r="J1825">
        <v>29210</v>
      </c>
      <c r="K1825" t="s">
        <v>11915</v>
      </c>
      <c r="L1825">
        <v>41</v>
      </c>
      <c r="O1825">
        <v>29210</v>
      </c>
      <c r="P1825" t="s">
        <v>11145</v>
      </c>
      <c r="Q1825">
        <v>1</v>
      </c>
    </row>
    <row r="1826" spans="1:17" x14ac:dyDescent="0.25">
      <c r="A1826">
        <v>4</v>
      </c>
      <c r="B1826" t="s">
        <v>11916</v>
      </c>
      <c r="C1826" t="s">
        <v>7398</v>
      </c>
      <c r="D1826" t="s">
        <v>11145</v>
      </c>
      <c r="G1826">
        <v>29212</v>
      </c>
      <c r="H1826" t="s">
        <v>11917</v>
      </c>
      <c r="I1826" t="s">
        <v>11918</v>
      </c>
      <c r="J1826">
        <v>29212</v>
      </c>
      <c r="K1826" t="s">
        <v>11919</v>
      </c>
      <c r="L1826">
        <v>51</v>
      </c>
      <c r="O1826">
        <v>29212</v>
      </c>
      <c r="P1826" t="s">
        <v>11145</v>
      </c>
      <c r="Q1826">
        <v>1</v>
      </c>
    </row>
    <row r="1827" spans="1:17" x14ac:dyDescent="0.25">
      <c r="A1827">
        <v>4</v>
      </c>
      <c r="B1827" t="s">
        <v>11920</v>
      </c>
      <c r="C1827" t="s">
        <v>7398</v>
      </c>
      <c r="D1827" t="s">
        <v>11145</v>
      </c>
      <c r="G1827">
        <v>29214</v>
      </c>
      <c r="H1827" t="s">
        <v>11921</v>
      </c>
      <c r="I1827" t="s">
        <v>11922</v>
      </c>
      <c r="J1827">
        <v>29214</v>
      </c>
      <c r="K1827" t="s">
        <v>11923</v>
      </c>
      <c r="L1827">
        <v>12</v>
      </c>
      <c r="O1827">
        <v>29214</v>
      </c>
      <c r="P1827" t="s">
        <v>11145</v>
      </c>
      <c r="Q1827">
        <v>1</v>
      </c>
    </row>
    <row r="1828" spans="1:17" x14ac:dyDescent="0.25">
      <c r="A1828">
        <v>4</v>
      </c>
      <c r="B1828" t="s">
        <v>11924</v>
      </c>
      <c r="C1828" t="s">
        <v>7398</v>
      </c>
      <c r="D1828" t="s">
        <v>11145</v>
      </c>
      <c r="G1828">
        <v>29216</v>
      </c>
      <c r="H1828" t="s">
        <v>11925</v>
      </c>
      <c r="I1828" t="s">
        <v>11926</v>
      </c>
      <c r="J1828">
        <v>29216</v>
      </c>
      <c r="K1828" t="s">
        <v>11927</v>
      </c>
      <c r="L1828">
        <v>241</v>
      </c>
      <c r="O1828">
        <v>29216</v>
      </c>
      <c r="P1828" t="s">
        <v>11145</v>
      </c>
      <c r="Q1828">
        <v>1</v>
      </c>
    </row>
    <row r="1829" spans="1:17" x14ac:dyDescent="0.25">
      <c r="A1829">
        <v>4</v>
      </c>
      <c r="B1829" t="s">
        <v>11928</v>
      </c>
      <c r="C1829" t="s">
        <v>7398</v>
      </c>
      <c r="D1829" t="s">
        <v>11145</v>
      </c>
      <c r="G1829">
        <v>29218</v>
      </c>
      <c r="H1829" t="s">
        <v>11929</v>
      </c>
      <c r="I1829" t="s">
        <v>11930</v>
      </c>
      <c r="J1829">
        <v>29218</v>
      </c>
      <c r="K1829" t="s">
        <v>11931</v>
      </c>
      <c r="L1829">
        <v>25</v>
      </c>
      <c r="O1829">
        <v>29218</v>
      </c>
      <c r="P1829" t="s">
        <v>11145</v>
      </c>
      <c r="Q1829">
        <v>1</v>
      </c>
    </row>
    <row r="1830" spans="1:17" x14ac:dyDescent="0.25">
      <c r="A1830">
        <v>4</v>
      </c>
      <c r="B1830" t="s">
        <v>11932</v>
      </c>
      <c r="C1830" t="s">
        <v>7398</v>
      </c>
      <c r="D1830" t="s">
        <v>11145</v>
      </c>
      <c r="G1830">
        <v>29220</v>
      </c>
      <c r="H1830" t="s">
        <v>11933</v>
      </c>
      <c r="I1830" t="s">
        <v>11934</v>
      </c>
      <c r="J1830">
        <v>29220</v>
      </c>
      <c r="K1830" t="s">
        <v>11935</v>
      </c>
      <c r="L1830">
        <v>7</v>
      </c>
      <c r="N1830" t="s">
        <v>4713</v>
      </c>
      <c r="O1830">
        <v>29220</v>
      </c>
      <c r="P1830" t="s">
        <v>11145</v>
      </c>
      <c r="Q1830">
        <v>1</v>
      </c>
    </row>
    <row r="1831" spans="1:17" x14ac:dyDescent="0.25">
      <c r="A1831">
        <v>4</v>
      </c>
      <c r="B1831" t="s">
        <v>11936</v>
      </c>
      <c r="C1831" t="s">
        <v>7398</v>
      </c>
      <c r="D1831" t="s">
        <v>11145</v>
      </c>
      <c r="G1831">
        <v>29222</v>
      </c>
      <c r="H1831" t="s">
        <v>8</v>
      </c>
      <c r="I1831" t="s">
        <v>581</v>
      </c>
      <c r="J1831">
        <v>29222</v>
      </c>
      <c r="K1831" t="s">
        <v>11937</v>
      </c>
      <c r="L1831">
        <v>10</v>
      </c>
      <c r="O1831">
        <v>29222</v>
      </c>
      <c r="P1831" t="s">
        <v>11145</v>
      </c>
      <c r="Q1831">
        <v>1</v>
      </c>
    </row>
    <row r="1832" spans="1:17" x14ac:dyDescent="0.25">
      <c r="A1832">
        <v>4</v>
      </c>
      <c r="B1832" t="s">
        <v>11938</v>
      </c>
      <c r="C1832" t="s">
        <v>7398</v>
      </c>
      <c r="D1832" t="s">
        <v>11145</v>
      </c>
      <c r="G1832">
        <v>30885</v>
      </c>
      <c r="H1832" t="s">
        <v>11939</v>
      </c>
      <c r="I1832" t="s">
        <v>11940</v>
      </c>
      <c r="J1832">
        <v>30885</v>
      </c>
      <c r="K1832" t="s">
        <v>11941</v>
      </c>
      <c r="L1832">
        <v>5</v>
      </c>
      <c r="N1832" t="s">
        <v>4713</v>
      </c>
      <c r="O1832">
        <v>30885</v>
      </c>
      <c r="P1832" t="s">
        <v>11145</v>
      </c>
      <c r="Q1832">
        <v>1</v>
      </c>
    </row>
    <row r="1833" spans="1:17" x14ac:dyDescent="0.25">
      <c r="A1833">
        <v>4</v>
      </c>
      <c r="B1833" t="s">
        <v>11942</v>
      </c>
      <c r="C1833" t="s">
        <v>7398</v>
      </c>
      <c r="D1833" t="s">
        <v>11145</v>
      </c>
      <c r="G1833">
        <v>30910</v>
      </c>
      <c r="H1833" t="s">
        <v>11943</v>
      </c>
      <c r="I1833" t="s">
        <v>11944</v>
      </c>
      <c r="J1833">
        <v>30910</v>
      </c>
      <c r="K1833" t="s">
        <v>11945</v>
      </c>
      <c r="L1833">
        <v>5</v>
      </c>
      <c r="N1833" t="s">
        <v>4713</v>
      </c>
      <c r="O1833">
        <v>30910</v>
      </c>
      <c r="P1833" t="s">
        <v>11145</v>
      </c>
      <c r="Q1833">
        <v>1</v>
      </c>
    </row>
    <row r="1834" spans="1:17" x14ac:dyDescent="0.25">
      <c r="A1834">
        <v>4</v>
      </c>
      <c r="B1834" t="s">
        <v>11946</v>
      </c>
      <c r="C1834" t="s">
        <v>7398</v>
      </c>
      <c r="D1834" t="s">
        <v>11145</v>
      </c>
      <c r="G1834" t="s">
        <v>11947</v>
      </c>
      <c r="H1834" t="s">
        <v>11948</v>
      </c>
      <c r="I1834" t="s">
        <v>11949</v>
      </c>
      <c r="J1834" t="s">
        <v>11947</v>
      </c>
      <c r="K1834" t="s">
        <v>11950</v>
      </c>
      <c r="L1834">
        <v>11</v>
      </c>
      <c r="O1834" t="s">
        <v>11947</v>
      </c>
      <c r="P1834" t="s">
        <v>11145</v>
      </c>
      <c r="Q1834">
        <v>1</v>
      </c>
    </row>
    <row r="1835" spans="1:17" x14ac:dyDescent="0.25">
      <c r="A1835">
        <v>4</v>
      </c>
      <c r="B1835" t="s">
        <v>11951</v>
      </c>
      <c r="C1835" t="s">
        <v>7398</v>
      </c>
      <c r="D1835" t="s">
        <v>11145</v>
      </c>
      <c r="G1835" t="s">
        <v>11952</v>
      </c>
      <c r="H1835" t="s">
        <v>11953</v>
      </c>
      <c r="I1835" t="s">
        <v>11954</v>
      </c>
      <c r="J1835" t="s">
        <v>11952</v>
      </c>
      <c r="K1835" t="s">
        <v>11955</v>
      </c>
      <c r="L1835">
        <v>36</v>
      </c>
      <c r="O1835" t="s">
        <v>11952</v>
      </c>
      <c r="P1835" t="s">
        <v>11145</v>
      </c>
      <c r="Q1835">
        <v>1</v>
      </c>
    </row>
    <row r="1836" spans="1:17" x14ac:dyDescent="0.25">
      <c r="A1836">
        <v>3</v>
      </c>
      <c r="B1836" t="s">
        <v>11956</v>
      </c>
      <c r="C1836" t="s">
        <v>7398</v>
      </c>
      <c r="D1836" t="s">
        <v>11145</v>
      </c>
      <c r="F1836" t="s">
        <v>255</v>
      </c>
      <c r="H1836" t="s">
        <v>11957</v>
      </c>
      <c r="I1836" t="s">
        <v>570</v>
      </c>
      <c r="J1836" t="s">
        <v>255</v>
      </c>
      <c r="O1836" t="s">
        <v>255</v>
      </c>
      <c r="P1836" t="s">
        <v>11145</v>
      </c>
      <c r="Q1836">
        <v>3</v>
      </c>
    </row>
    <row r="1837" spans="1:17" x14ac:dyDescent="0.25">
      <c r="A1837">
        <v>4</v>
      </c>
      <c r="B1837" t="s">
        <v>11958</v>
      </c>
      <c r="C1837" t="s">
        <v>7398</v>
      </c>
      <c r="D1837" t="s">
        <v>11145</v>
      </c>
      <c r="G1837">
        <v>29241</v>
      </c>
      <c r="H1837" t="s">
        <v>11957</v>
      </c>
      <c r="I1837" t="s">
        <v>11959</v>
      </c>
      <c r="J1837">
        <v>29241</v>
      </c>
      <c r="K1837" t="s">
        <v>11960</v>
      </c>
      <c r="L1837">
        <v>204</v>
      </c>
      <c r="O1837">
        <v>29241</v>
      </c>
      <c r="P1837" t="s">
        <v>11145</v>
      </c>
      <c r="Q1837">
        <v>1</v>
      </c>
    </row>
    <row r="1838" spans="1:17" x14ac:dyDescent="0.25">
      <c r="A1838">
        <v>3</v>
      </c>
      <c r="B1838" t="s">
        <v>11961</v>
      </c>
      <c r="C1838" t="s">
        <v>7398</v>
      </c>
      <c r="D1838" t="s">
        <v>11145</v>
      </c>
      <c r="F1838" t="s">
        <v>255</v>
      </c>
      <c r="H1838" t="s">
        <v>11962</v>
      </c>
      <c r="I1838" t="s">
        <v>570</v>
      </c>
      <c r="J1838" t="s">
        <v>255</v>
      </c>
      <c r="O1838" t="s">
        <v>255</v>
      </c>
      <c r="P1838" t="s">
        <v>11145</v>
      </c>
      <c r="Q1838">
        <v>3</v>
      </c>
    </row>
    <row r="1839" spans="1:17" x14ac:dyDescent="0.25">
      <c r="A1839">
        <v>4</v>
      </c>
      <c r="B1839" t="s">
        <v>11963</v>
      </c>
      <c r="C1839" t="s">
        <v>7398</v>
      </c>
      <c r="D1839" t="s">
        <v>11145</v>
      </c>
      <c r="G1839">
        <v>29191</v>
      </c>
      <c r="H1839" t="s">
        <v>11964</v>
      </c>
      <c r="I1839" t="s">
        <v>11965</v>
      </c>
      <c r="J1839">
        <v>29191</v>
      </c>
      <c r="K1839" t="s">
        <v>11966</v>
      </c>
      <c r="L1839">
        <v>10</v>
      </c>
      <c r="O1839">
        <v>29191</v>
      </c>
      <c r="P1839" t="s">
        <v>11145</v>
      </c>
      <c r="Q1839">
        <v>1</v>
      </c>
    </row>
    <row r="1840" spans="1:17" x14ac:dyDescent="0.25">
      <c r="A1840">
        <v>4</v>
      </c>
      <c r="B1840" t="s">
        <v>11967</v>
      </c>
      <c r="C1840" t="s">
        <v>7398</v>
      </c>
      <c r="D1840" t="s">
        <v>11145</v>
      </c>
      <c r="G1840">
        <v>29193</v>
      </c>
      <c r="H1840" t="s">
        <v>11968</v>
      </c>
      <c r="I1840" t="s">
        <v>11969</v>
      </c>
      <c r="J1840">
        <v>29193</v>
      </c>
      <c r="K1840" t="s">
        <v>11970</v>
      </c>
      <c r="L1840">
        <v>3</v>
      </c>
      <c r="N1840" t="s">
        <v>4713</v>
      </c>
      <c r="O1840">
        <v>29193</v>
      </c>
      <c r="P1840" t="s">
        <v>11145</v>
      </c>
      <c r="Q1840">
        <v>1</v>
      </c>
    </row>
    <row r="1841" spans="1:17" x14ac:dyDescent="0.25">
      <c r="A1841">
        <v>3</v>
      </c>
      <c r="B1841" t="s">
        <v>11971</v>
      </c>
      <c r="C1841" t="s">
        <v>7398</v>
      </c>
      <c r="D1841" t="s">
        <v>11145</v>
      </c>
      <c r="F1841" t="s">
        <v>255</v>
      </c>
      <c r="H1841" t="s">
        <v>11972</v>
      </c>
      <c r="I1841" t="s">
        <v>570</v>
      </c>
      <c r="J1841" t="s">
        <v>255</v>
      </c>
      <c r="O1841" t="s">
        <v>255</v>
      </c>
      <c r="P1841" t="s">
        <v>11145</v>
      </c>
      <c r="Q1841">
        <v>3</v>
      </c>
    </row>
    <row r="1842" spans="1:17" x14ac:dyDescent="0.25">
      <c r="A1842">
        <v>4</v>
      </c>
      <c r="B1842" t="s">
        <v>11973</v>
      </c>
      <c r="C1842" t="s">
        <v>7398</v>
      </c>
      <c r="D1842" t="s">
        <v>11145</v>
      </c>
      <c r="G1842">
        <v>29198</v>
      </c>
      <c r="H1842" t="s">
        <v>11974</v>
      </c>
      <c r="I1842" t="s">
        <v>11975</v>
      </c>
      <c r="J1842">
        <v>29198</v>
      </c>
      <c r="K1842" t="s">
        <v>11976</v>
      </c>
      <c r="L1842">
        <v>8</v>
      </c>
      <c r="N1842" t="s">
        <v>4713</v>
      </c>
      <c r="O1842">
        <v>29198</v>
      </c>
      <c r="P1842" t="s">
        <v>11145</v>
      </c>
      <c r="Q1842">
        <v>1</v>
      </c>
    </row>
    <row r="1843" spans="1:17" x14ac:dyDescent="0.25">
      <c r="A1843">
        <v>4</v>
      </c>
      <c r="B1843" t="s">
        <v>11977</v>
      </c>
      <c r="C1843" t="s">
        <v>7398</v>
      </c>
      <c r="D1843" t="s">
        <v>11145</v>
      </c>
      <c r="G1843">
        <v>29200</v>
      </c>
      <c r="H1843" t="s">
        <v>11978</v>
      </c>
      <c r="I1843" t="s">
        <v>11979</v>
      </c>
      <c r="J1843">
        <v>29200</v>
      </c>
      <c r="K1843" t="s">
        <v>11980</v>
      </c>
      <c r="L1843">
        <v>4</v>
      </c>
      <c r="N1843" t="s">
        <v>4713</v>
      </c>
      <c r="O1843">
        <v>29200</v>
      </c>
      <c r="P1843" t="s">
        <v>11145</v>
      </c>
      <c r="Q1843">
        <v>1</v>
      </c>
    </row>
    <row r="1844" spans="1:17" x14ac:dyDescent="0.25">
      <c r="A1844">
        <v>3</v>
      </c>
      <c r="B1844" t="s">
        <v>11981</v>
      </c>
      <c r="C1844" t="s">
        <v>7398</v>
      </c>
      <c r="D1844" t="s">
        <v>11145</v>
      </c>
      <c r="F1844" t="s">
        <v>256</v>
      </c>
      <c r="H1844" t="s">
        <v>11982</v>
      </c>
      <c r="I1844" t="s">
        <v>1193</v>
      </c>
      <c r="J1844" t="s">
        <v>256</v>
      </c>
      <c r="O1844" t="s">
        <v>256</v>
      </c>
      <c r="P1844" t="s">
        <v>11145</v>
      </c>
      <c r="Q1844">
        <v>1</v>
      </c>
    </row>
    <row r="1845" spans="1:17" x14ac:dyDescent="0.25">
      <c r="A1845">
        <v>4</v>
      </c>
      <c r="B1845" t="s">
        <v>11983</v>
      </c>
      <c r="C1845" t="s">
        <v>7398</v>
      </c>
      <c r="D1845" t="s">
        <v>11145</v>
      </c>
      <c r="G1845">
        <v>29204</v>
      </c>
      <c r="H1845" t="s">
        <v>11984</v>
      </c>
      <c r="I1845" t="s">
        <v>11985</v>
      </c>
      <c r="J1845">
        <v>29204</v>
      </c>
      <c r="K1845" t="s">
        <v>11986</v>
      </c>
      <c r="L1845">
        <v>11</v>
      </c>
      <c r="O1845">
        <v>29204</v>
      </c>
      <c r="P1845" t="s">
        <v>11145</v>
      </c>
      <c r="Q1845">
        <v>1</v>
      </c>
    </row>
    <row r="1846" spans="1:17" x14ac:dyDescent="0.25">
      <c r="A1846">
        <v>4</v>
      </c>
      <c r="B1846" t="s">
        <v>11987</v>
      </c>
      <c r="C1846" t="s">
        <v>7398</v>
      </c>
      <c r="D1846" t="s">
        <v>11145</v>
      </c>
      <c r="G1846">
        <v>29206</v>
      </c>
      <c r="H1846" t="s">
        <v>11988</v>
      </c>
      <c r="I1846" t="s">
        <v>11989</v>
      </c>
      <c r="J1846">
        <v>29206</v>
      </c>
      <c r="K1846" t="s">
        <v>11990</v>
      </c>
      <c r="L1846">
        <v>93</v>
      </c>
      <c r="O1846">
        <v>29206</v>
      </c>
      <c r="P1846" t="s">
        <v>11145</v>
      </c>
      <c r="Q1846">
        <v>1</v>
      </c>
    </row>
    <row r="1847" spans="1:17" x14ac:dyDescent="0.25">
      <c r="A1847">
        <v>3</v>
      </c>
      <c r="B1847" t="s">
        <v>11991</v>
      </c>
      <c r="C1847" t="s">
        <v>7398</v>
      </c>
      <c r="D1847" t="s">
        <v>11145</v>
      </c>
      <c r="F1847" t="s">
        <v>11992</v>
      </c>
      <c r="H1847" t="s">
        <v>11993</v>
      </c>
      <c r="I1847" t="s">
        <v>11994</v>
      </c>
      <c r="J1847" t="s">
        <v>11992</v>
      </c>
      <c r="O1847" t="s">
        <v>11992</v>
      </c>
      <c r="P1847" t="s">
        <v>11145</v>
      </c>
      <c r="Q1847">
        <v>1</v>
      </c>
    </row>
    <row r="1848" spans="1:17" x14ac:dyDescent="0.25">
      <c r="A1848">
        <v>4</v>
      </c>
      <c r="B1848" t="s">
        <v>11995</v>
      </c>
      <c r="C1848" t="s">
        <v>7398</v>
      </c>
      <c r="D1848" t="s">
        <v>11145</v>
      </c>
      <c r="G1848">
        <v>30054</v>
      </c>
      <c r="H1848" t="s">
        <v>11996</v>
      </c>
      <c r="I1848" t="s">
        <v>11997</v>
      </c>
      <c r="J1848">
        <v>30054</v>
      </c>
      <c r="K1848" t="s">
        <v>11998</v>
      </c>
      <c r="L1848">
        <v>4</v>
      </c>
      <c r="N1848" t="s">
        <v>4713</v>
      </c>
      <c r="O1848">
        <v>30054</v>
      </c>
      <c r="P1848" t="s">
        <v>11145</v>
      </c>
      <c r="Q1848">
        <v>1</v>
      </c>
    </row>
    <row r="1849" spans="1:17" x14ac:dyDescent="0.25">
      <c r="A1849">
        <v>4</v>
      </c>
      <c r="B1849" t="s">
        <v>11999</v>
      </c>
      <c r="C1849" t="s">
        <v>7398</v>
      </c>
      <c r="D1849" t="s">
        <v>11145</v>
      </c>
      <c r="G1849">
        <v>30056</v>
      </c>
      <c r="H1849" t="s">
        <v>12000</v>
      </c>
      <c r="I1849" t="s">
        <v>12001</v>
      </c>
      <c r="J1849">
        <v>30056</v>
      </c>
      <c r="K1849" t="s">
        <v>12002</v>
      </c>
      <c r="L1849">
        <v>7</v>
      </c>
      <c r="N1849" t="s">
        <v>4713</v>
      </c>
      <c r="O1849">
        <v>30056</v>
      </c>
      <c r="P1849" t="s">
        <v>11145</v>
      </c>
      <c r="Q1849">
        <v>1</v>
      </c>
    </row>
    <row r="1850" spans="1:17" x14ac:dyDescent="0.25">
      <c r="A1850">
        <v>4</v>
      </c>
      <c r="B1850" t="s">
        <v>12003</v>
      </c>
      <c r="C1850" t="s">
        <v>7398</v>
      </c>
      <c r="D1850" t="s">
        <v>11145</v>
      </c>
      <c r="G1850">
        <v>30058</v>
      </c>
      <c r="H1850" t="s">
        <v>12004</v>
      </c>
      <c r="I1850" t="s">
        <v>12005</v>
      </c>
      <c r="J1850">
        <v>30058</v>
      </c>
      <c r="K1850" t="s">
        <v>12006</v>
      </c>
      <c r="L1850">
        <v>2</v>
      </c>
      <c r="N1850" t="s">
        <v>4713</v>
      </c>
      <c r="O1850">
        <v>30058</v>
      </c>
      <c r="P1850" t="s">
        <v>11145</v>
      </c>
      <c r="Q1850">
        <v>1</v>
      </c>
    </row>
    <row r="1851" spans="1:17" x14ac:dyDescent="0.25">
      <c r="A1851">
        <v>1</v>
      </c>
      <c r="B1851">
        <v>11</v>
      </c>
      <c r="C1851" t="s">
        <v>7398</v>
      </c>
      <c r="D1851" t="s">
        <v>12007</v>
      </c>
      <c r="H1851" t="s">
        <v>12007</v>
      </c>
      <c r="I1851" t="e">
        <v>#N/A</v>
      </c>
      <c r="J1851" t="e">
        <v>#N/A</v>
      </c>
      <c r="O1851" t="s">
        <v>7398</v>
      </c>
      <c r="P1851" t="s">
        <v>12007</v>
      </c>
      <c r="Q1851">
        <v>9</v>
      </c>
    </row>
    <row r="1852" spans="1:17" x14ac:dyDescent="0.25">
      <c r="A1852">
        <v>2</v>
      </c>
      <c r="B1852" t="s">
        <v>12008</v>
      </c>
      <c r="C1852" t="s">
        <v>7398</v>
      </c>
      <c r="D1852" t="s">
        <v>12007</v>
      </c>
      <c r="E1852" t="s">
        <v>7398</v>
      </c>
      <c r="H1852" t="s">
        <v>12009</v>
      </c>
      <c r="I1852" t="e">
        <v>#N/A</v>
      </c>
      <c r="J1852" t="e">
        <v>#N/A</v>
      </c>
      <c r="O1852" t="s">
        <v>7398</v>
      </c>
      <c r="P1852" t="s">
        <v>12007</v>
      </c>
      <c r="Q1852">
        <v>9</v>
      </c>
    </row>
    <row r="1853" spans="1:17" x14ac:dyDescent="0.25">
      <c r="A1853">
        <v>3</v>
      </c>
      <c r="B1853" t="s">
        <v>12010</v>
      </c>
      <c r="C1853" t="s">
        <v>7398</v>
      </c>
      <c r="D1853" t="s">
        <v>12007</v>
      </c>
      <c r="F1853" t="s">
        <v>239</v>
      </c>
      <c r="H1853" t="s">
        <v>12011</v>
      </c>
      <c r="I1853" t="s">
        <v>963</v>
      </c>
      <c r="J1853" t="s">
        <v>239</v>
      </c>
      <c r="O1853" t="s">
        <v>239</v>
      </c>
      <c r="P1853" t="s">
        <v>12007</v>
      </c>
      <c r="Q1853">
        <v>1</v>
      </c>
    </row>
    <row r="1854" spans="1:17" x14ac:dyDescent="0.25">
      <c r="A1854">
        <v>4</v>
      </c>
      <c r="B1854" t="s">
        <v>12012</v>
      </c>
      <c r="C1854" t="s">
        <v>7398</v>
      </c>
      <c r="D1854" t="s">
        <v>12007</v>
      </c>
      <c r="G1854">
        <v>166047</v>
      </c>
      <c r="H1854" t="s">
        <v>12013</v>
      </c>
      <c r="I1854" t="s">
        <v>12014</v>
      </c>
      <c r="J1854">
        <v>166047</v>
      </c>
      <c r="K1854" t="s">
        <v>12015</v>
      </c>
      <c r="L1854">
        <v>5</v>
      </c>
      <c r="N1854" t="s">
        <v>4713</v>
      </c>
      <c r="O1854">
        <v>166047</v>
      </c>
      <c r="P1854" t="s">
        <v>12007</v>
      </c>
      <c r="Q1854">
        <v>1</v>
      </c>
    </row>
    <row r="1855" spans="1:17" x14ac:dyDescent="0.25">
      <c r="A1855">
        <v>4</v>
      </c>
      <c r="B1855" t="s">
        <v>12016</v>
      </c>
      <c r="C1855" t="s">
        <v>7398</v>
      </c>
      <c r="D1855" t="s">
        <v>12007</v>
      </c>
      <c r="G1855">
        <v>221656</v>
      </c>
      <c r="H1855" t="s">
        <v>12017</v>
      </c>
      <c r="I1855" t="s">
        <v>12018</v>
      </c>
      <c r="J1855">
        <v>221656</v>
      </c>
      <c r="K1855" t="s">
        <v>12019</v>
      </c>
      <c r="L1855">
        <v>37</v>
      </c>
      <c r="O1855">
        <v>221656</v>
      </c>
      <c r="P1855" t="s">
        <v>12007</v>
      </c>
      <c r="Q1855">
        <v>1</v>
      </c>
    </row>
    <row r="1856" spans="1:17" x14ac:dyDescent="0.25">
      <c r="A1856">
        <v>4</v>
      </c>
      <c r="B1856" t="s">
        <v>12020</v>
      </c>
      <c r="C1856" t="s">
        <v>7398</v>
      </c>
      <c r="D1856" t="s">
        <v>12007</v>
      </c>
      <c r="G1856">
        <v>244573</v>
      </c>
      <c r="H1856" t="s">
        <v>12021</v>
      </c>
      <c r="I1856" t="s">
        <v>12022</v>
      </c>
      <c r="J1856">
        <v>244573</v>
      </c>
      <c r="K1856" t="s">
        <v>12023</v>
      </c>
      <c r="L1856">
        <v>65</v>
      </c>
      <c r="O1856">
        <v>244573</v>
      </c>
      <c r="P1856" t="s">
        <v>12007</v>
      </c>
      <c r="Q1856">
        <v>1</v>
      </c>
    </row>
    <row r="1857" spans="1:17" x14ac:dyDescent="0.25">
      <c r="A1857">
        <v>4</v>
      </c>
      <c r="B1857" t="s">
        <v>12024</v>
      </c>
      <c r="C1857" t="s">
        <v>7398</v>
      </c>
      <c r="D1857" t="s">
        <v>12007</v>
      </c>
      <c r="G1857">
        <v>30728</v>
      </c>
      <c r="H1857" t="s">
        <v>12025</v>
      </c>
      <c r="I1857" t="s">
        <v>12026</v>
      </c>
      <c r="J1857">
        <v>30728</v>
      </c>
      <c r="K1857" t="s">
        <v>12027</v>
      </c>
      <c r="L1857">
        <v>24</v>
      </c>
      <c r="O1857">
        <v>30728</v>
      </c>
      <c r="P1857" t="s">
        <v>12007</v>
      </c>
      <c r="Q1857">
        <v>1</v>
      </c>
    </row>
    <row r="1858" spans="1:17" x14ac:dyDescent="0.25">
      <c r="A1858">
        <v>4</v>
      </c>
      <c r="B1858" t="s">
        <v>12028</v>
      </c>
      <c r="C1858" t="s">
        <v>7398</v>
      </c>
      <c r="D1858" t="s">
        <v>12007</v>
      </c>
      <c r="G1858">
        <v>30730</v>
      </c>
      <c r="H1858" t="s">
        <v>12029</v>
      </c>
      <c r="I1858" t="s">
        <v>12030</v>
      </c>
      <c r="J1858">
        <v>30730</v>
      </c>
      <c r="K1858" t="s">
        <v>12031</v>
      </c>
      <c r="L1858">
        <v>39</v>
      </c>
      <c r="O1858">
        <v>30730</v>
      </c>
      <c r="P1858" t="s">
        <v>12007</v>
      </c>
      <c r="Q1858">
        <v>1</v>
      </c>
    </row>
    <row r="1859" spans="1:17" x14ac:dyDescent="0.25">
      <c r="A1859">
        <v>4</v>
      </c>
      <c r="B1859" t="s">
        <v>12032</v>
      </c>
      <c r="C1859" t="s">
        <v>7398</v>
      </c>
      <c r="D1859" t="s">
        <v>12007</v>
      </c>
      <c r="G1859">
        <v>309361</v>
      </c>
      <c r="H1859" t="s">
        <v>12033</v>
      </c>
      <c r="I1859" t="s">
        <v>12034</v>
      </c>
      <c r="J1859">
        <v>309361</v>
      </c>
      <c r="K1859" t="s">
        <v>12035</v>
      </c>
      <c r="L1859">
        <v>26</v>
      </c>
      <c r="O1859">
        <v>309361</v>
      </c>
      <c r="P1859" t="s">
        <v>12007</v>
      </c>
      <c r="Q1859">
        <v>1</v>
      </c>
    </row>
    <row r="1860" spans="1:17" x14ac:dyDescent="0.25">
      <c r="A1860">
        <v>4</v>
      </c>
      <c r="B1860" t="s">
        <v>12036</v>
      </c>
      <c r="C1860" t="s">
        <v>7398</v>
      </c>
      <c r="D1860" t="s">
        <v>12007</v>
      </c>
      <c r="G1860" t="s">
        <v>12037</v>
      </c>
      <c r="H1860" t="s">
        <v>12038</v>
      </c>
      <c r="I1860" t="s">
        <v>12039</v>
      </c>
      <c r="J1860" t="s">
        <v>12037</v>
      </c>
      <c r="K1860" t="s">
        <v>12040</v>
      </c>
      <c r="L1860">
        <v>77</v>
      </c>
      <c r="O1860" t="s">
        <v>12037</v>
      </c>
      <c r="P1860" t="s">
        <v>12007</v>
      </c>
      <c r="Q1860">
        <v>1</v>
      </c>
    </row>
    <row r="1861" spans="1:17" x14ac:dyDescent="0.25">
      <c r="A1861">
        <v>4</v>
      </c>
      <c r="B1861" t="s">
        <v>12041</v>
      </c>
      <c r="C1861" t="s">
        <v>7398</v>
      </c>
      <c r="D1861" t="s">
        <v>12007</v>
      </c>
      <c r="G1861" t="s">
        <v>12042</v>
      </c>
      <c r="H1861" t="s">
        <v>12043</v>
      </c>
      <c r="I1861" t="s">
        <v>12044</v>
      </c>
      <c r="J1861" t="s">
        <v>12042</v>
      </c>
      <c r="K1861" t="s">
        <v>12045</v>
      </c>
      <c r="L1861">
        <v>52</v>
      </c>
      <c r="O1861" t="s">
        <v>12042</v>
      </c>
      <c r="P1861" t="s">
        <v>12007</v>
      </c>
      <c r="Q1861">
        <v>1</v>
      </c>
    </row>
    <row r="1862" spans="1:17" x14ac:dyDescent="0.25">
      <c r="A1862">
        <v>4</v>
      </c>
      <c r="B1862" t="s">
        <v>12046</v>
      </c>
      <c r="C1862" t="s">
        <v>7398</v>
      </c>
      <c r="D1862" t="s">
        <v>12007</v>
      </c>
      <c r="G1862" t="s">
        <v>12047</v>
      </c>
      <c r="H1862" t="s">
        <v>12048</v>
      </c>
      <c r="I1862" t="s">
        <v>12049</v>
      </c>
      <c r="J1862" t="s">
        <v>12047</v>
      </c>
      <c r="K1862" t="s">
        <v>12050</v>
      </c>
      <c r="L1862">
        <v>111</v>
      </c>
      <c r="O1862" t="s">
        <v>12047</v>
      </c>
      <c r="P1862" t="s">
        <v>12007</v>
      </c>
      <c r="Q1862">
        <v>1</v>
      </c>
    </row>
    <row r="1863" spans="1:17" x14ac:dyDescent="0.25">
      <c r="A1863">
        <v>3</v>
      </c>
      <c r="B1863" t="s">
        <v>12051</v>
      </c>
      <c r="C1863" t="s">
        <v>7398</v>
      </c>
      <c r="D1863" t="s">
        <v>12007</v>
      </c>
      <c r="F1863" t="s">
        <v>243</v>
      </c>
      <c r="H1863" t="s">
        <v>12052</v>
      </c>
      <c r="I1863" t="s">
        <v>546</v>
      </c>
      <c r="J1863" t="s">
        <v>243</v>
      </c>
      <c r="O1863" t="s">
        <v>243</v>
      </c>
      <c r="P1863" t="s">
        <v>12007</v>
      </c>
      <c r="Q1863">
        <v>1</v>
      </c>
    </row>
    <row r="1864" spans="1:17" x14ac:dyDescent="0.25">
      <c r="A1864">
        <v>4</v>
      </c>
      <c r="B1864" t="s">
        <v>12053</v>
      </c>
      <c r="C1864" t="s">
        <v>7398</v>
      </c>
      <c r="D1864" t="s">
        <v>12007</v>
      </c>
      <c r="G1864">
        <v>204833</v>
      </c>
      <c r="H1864" t="s">
        <v>12054</v>
      </c>
      <c r="I1864" t="s">
        <v>12055</v>
      </c>
      <c r="J1864">
        <v>204833</v>
      </c>
      <c r="K1864" t="s">
        <v>12056</v>
      </c>
      <c r="L1864">
        <v>67</v>
      </c>
      <c r="O1864">
        <v>204833</v>
      </c>
      <c r="P1864" t="s">
        <v>12007</v>
      </c>
      <c r="Q1864">
        <v>1</v>
      </c>
    </row>
    <row r="1865" spans="1:17" x14ac:dyDescent="0.25">
      <c r="A1865">
        <v>4</v>
      </c>
      <c r="B1865" t="s">
        <v>12057</v>
      </c>
      <c r="C1865" t="s">
        <v>7398</v>
      </c>
      <c r="D1865" t="s">
        <v>12007</v>
      </c>
      <c r="G1865">
        <v>30735</v>
      </c>
      <c r="H1865" t="s">
        <v>12058</v>
      </c>
      <c r="I1865" t="s">
        <v>12059</v>
      </c>
      <c r="J1865">
        <v>30735</v>
      </c>
      <c r="K1865" t="s">
        <v>12060</v>
      </c>
      <c r="L1865">
        <v>15</v>
      </c>
      <c r="O1865">
        <v>30735</v>
      </c>
      <c r="P1865" t="s">
        <v>12007</v>
      </c>
      <c r="Q1865">
        <v>1</v>
      </c>
    </row>
    <row r="1866" spans="1:17" x14ac:dyDescent="0.25">
      <c r="A1866">
        <v>4</v>
      </c>
      <c r="B1866" t="s">
        <v>12061</v>
      </c>
      <c r="C1866" t="s">
        <v>7398</v>
      </c>
      <c r="D1866" t="s">
        <v>12007</v>
      </c>
      <c r="G1866" t="s">
        <v>12062</v>
      </c>
      <c r="H1866" t="s">
        <v>12063</v>
      </c>
      <c r="I1866" t="s">
        <v>12064</v>
      </c>
      <c r="J1866" t="s">
        <v>12062</v>
      </c>
      <c r="K1866" t="s">
        <v>12065</v>
      </c>
      <c r="L1866">
        <v>53</v>
      </c>
      <c r="O1866" t="s">
        <v>12062</v>
      </c>
      <c r="P1866" t="s">
        <v>12007</v>
      </c>
      <c r="Q1866">
        <v>1</v>
      </c>
    </row>
    <row r="1867" spans="1:17" x14ac:dyDescent="0.25">
      <c r="A1867">
        <v>4</v>
      </c>
      <c r="B1867" t="s">
        <v>12066</v>
      </c>
      <c r="C1867" t="s">
        <v>7398</v>
      </c>
      <c r="D1867" t="s">
        <v>12007</v>
      </c>
      <c r="G1867" t="s">
        <v>12067</v>
      </c>
      <c r="H1867" t="s">
        <v>12068</v>
      </c>
      <c r="I1867" t="s">
        <v>12069</v>
      </c>
      <c r="J1867" t="s">
        <v>12067</v>
      </c>
      <c r="K1867" t="s">
        <v>12070</v>
      </c>
      <c r="L1867">
        <v>25</v>
      </c>
      <c r="O1867" t="s">
        <v>12067</v>
      </c>
      <c r="P1867" t="s">
        <v>12007</v>
      </c>
      <c r="Q1867">
        <v>1</v>
      </c>
    </row>
    <row r="1868" spans="1:17" x14ac:dyDescent="0.25">
      <c r="A1868">
        <v>4</v>
      </c>
      <c r="B1868" t="s">
        <v>12071</v>
      </c>
      <c r="C1868" t="s">
        <v>7398</v>
      </c>
      <c r="D1868" t="s">
        <v>12007</v>
      </c>
      <c r="G1868" t="s">
        <v>12072</v>
      </c>
      <c r="H1868" t="s">
        <v>12073</v>
      </c>
      <c r="I1868" t="s">
        <v>12074</v>
      </c>
      <c r="J1868" t="s">
        <v>12072</v>
      </c>
      <c r="K1868" t="s">
        <v>12075</v>
      </c>
      <c r="L1868">
        <v>35</v>
      </c>
      <c r="O1868" t="s">
        <v>12072</v>
      </c>
      <c r="P1868" t="s">
        <v>12007</v>
      </c>
      <c r="Q1868">
        <v>1</v>
      </c>
    </row>
    <row r="1869" spans="1:17" x14ac:dyDescent="0.25">
      <c r="A1869">
        <v>3</v>
      </c>
      <c r="B1869" t="s">
        <v>12076</v>
      </c>
      <c r="C1869" t="s">
        <v>7398</v>
      </c>
      <c r="D1869" t="s">
        <v>12007</v>
      </c>
      <c r="F1869" t="s">
        <v>12077</v>
      </c>
      <c r="H1869" t="s">
        <v>12078</v>
      </c>
      <c r="I1869" t="s">
        <v>12079</v>
      </c>
      <c r="J1869" t="s">
        <v>12077</v>
      </c>
      <c r="O1869" t="s">
        <v>12077</v>
      </c>
      <c r="P1869" t="s">
        <v>12007</v>
      </c>
      <c r="Q1869">
        <v>1</v>
      </c>
    </row>
    <row r="1870" spans="1:17" x14ac:dyDescent="0.25">
      <c r="A1870">
        <v>4</v>
      </c>
      <c r="B1870" t="s">
        <v>12080</v>
      </c>
      <c r="C1870" t="s">
        <v>7398</v>
      </c>
      <c r="D1870" t="s">
        <v>12007</v>
      </c>
      <c r="G1870">
        <v>165884</v>
      </c>
      <c r="H1870" t="s">
        <v>12081</v>
      </c>
      <c r="I1870" t="s">
        <v>12082</v>
      </c>
      <c r="J1870">
        <v>165884</v>
      </c>
      <c r="K1870" t="s">
        <v>12083</v>
      </c>
      <c r="L1870">
        <v>30</v>
      </c>
      <c r="O1870">
        <v>165884</v>
      </c>
      <c r="P1870" t="s">
        <v>12007</v>
      </c>
      <c r="Q1870">
        <v>1</v>
      </c>
    </row>
    <row r="1871" spans="1:17" x14ac:dyDescent="0.25">
      <c r="A1871">
        <v>4</v>
      </c>
      <c r="B1871" t="s">
        <v>12084</v>
      </c>
      <c r="C1871" t="s">
        <v>7398</v>
      </c>
      <c r="D1871" t="s">
        <v>12007</v>
      </c>
      <c r="G1871">
        <v>166037</v>
      </c>
      <c r="H1871" t="s">
        <v>12085</v>
      </c>
      <c r="I1871" t="s">
        <v>12086</v>
      </c>
      <c r="J1871">
        <v>166037</v>
      </c>
      <c r="K1871" t="s">
        <v>12087</v>
      </c>
      <c r="L1871">
        <v>8</v>
      </c>
      <c r="N1871" t="s">
        <v>4713</v>
      </c>
      <c r="O1871">
        <v>166037</v>
      </c>
      <c r="P1871" t="s">
        <v>12007</v>
      </c>
      <c r="Q1871">
        <v>1</v>
      </c>
    </row>
    <row r="1872" spans="1:17" x14ac:dyDescent="0.25">
      <c r="A1872">
        <v>4</v>
      </c>
      <c r="B1872" t="s">
        <v>12088</v>
      </c>
      <c r="C1872" t="s">
        <v>7398</v>
      </c>
      <c r="D1872" t="s">
        <v>12007</v>
      </c>
      <c r="G1872">
        <v>30738</v>
      </c>
      <c r="H1872" t="s">
        <v>12089</v>
      </c>
      <c r="I1872" t="s">
        <v>12090</v>
      </c>
      <c r="J1872">
        <v>30738</v>
      </c>
      <c r="K1872" t="s">
        <v>12091</v>
      </c>
      <c r="L1872">
        <v>61</v>
      </c>
      <c r="O1872">
        <v>30738</v>
      </c>
      <c r="P1872" t="s">
        <v>12007</v>
      </c>
      <c r="Q1872">
        <v>1</v>
      </c>
    </row>
    <row r="1873" spans="1:17" x14ac:dyDescent="0.25">
      <c r="A1873">
        <v>4</v>
      </c>
      <c r="B1873" t="s">
        <v>12092</v>
      </c>
      <c r="C1873" t="s">
        <v>7398</v>
      </c>
      <c r="D1873" t="s">
        <v>12007</v>
      </c>
      <c r="G1873">
        <v>30740</v>
      </c>
      <c r="H1873" t="s">
        <v>12093</v>
      </c>
      <c r="I1873" t="s">
        <v>12094</v>
      </c>
      <c r="J1873">
        <v>30740</v>
      </c>
      <c r="K1873" t="s">
        <v>12095</v>
      </c>
      <c r="L1873">
        <v>8</v>
      </c>
      <c r="N1873" t="s">
        <v>4713</v>
      </c>
      <c r="O1873">
        <v>30740</v>
      </c>
      <c r="P1873" t="s">
        <v>12007</v>
      </c>
      <c r="Q1873">
        <v>1</v>
      </c>
    </row>
    <row r="1874" spans="1:17" x14ac:dyDescent="0.25">
      <c r="A1874">
        <v>4</v>
      </c>
      <c r="B1874" t="s">
        <v>12096</v>
      </c>
      <c r="C1874" t="s">
        <v>7398</v>
      </c>
      <c r="D1874" t="s">
        <v>12007</v>
      </c>
      <c r="G1874">
        <v>30742</v>
      </c>
      <c r="H1874" t="s">
        <v>12097</v>
      </c>
      <c r="I1874" t="s">
        <v>12098</v>
      </c>
      <c r="J1874">
        <v>30742</v>
      </c>
      <c r="K1874" t="s">
        <v>12099</v>
      </c>
      <c r="L1874">
        <v>2</v>
      </c>
      <c r="N1874" t="s">
        <v>4713</v>
      </c>
      <c r="O1874">
        <v>30742</v>
      </c>
      <c r="P1874" t="s">
        <v>12007</v>
      </c>
      <c r="Q1874">
        <v>1</v>
      </c>
    </row>
    <row r="1875" spans="1:17" x14ac:dyDescent="0.25">
      <c r="A1875">
        <v>4</v>
      </c>
      <c r="B1875" t="s">
        <v>12100</v>
      </c>
      <c r="C1875" t="s">
        <v>7398</v>
      </c>
      <c r="D1875" t="s">
        <v>12007</v>
      </c>
      <c r="G1875">
        <v>30745</v>
      </c>
      <c r="H1875" t="s">
        <v>12101</v>
      </c>
      <c r="I1875" t="s">
        <v>12102</v>
      </c>
      <c r="J1875">
        <v>30745</v>
      </c>
      <c r="K1875" t="s">
        <v>12103</v>
      </c>
      <c r="L1875">
        <v>9</v>
      </c>
      <c r="N1875" t="s">
        <v>4713</v>
      </c>
      <c r="O1875">
        <v>30745</v>
      </c>
      <c r="P1875" t="s">
        <v>12007</v>
      </c>
      <c r="Q1875">
        <v>1</v>
      </c>
    </row>
    <row r="1876" spans="1:17" x14ac:dyDescent="0.25">
      <c r="A1876">
        <v>4</v>
      </c>
      <c r="B1876" t="s">
        <v>12104</v>
      </c>
      <c r="C1876" t="s">
        <v>7398</v>
      </c>
      <c r="D1876" t="s">
        <v>12007</v>
      </c>
      <c r="G1876">
        <v>35865</v>
      </c>
      <c r="H1876" t="s">
        <v>12105</v>
      </c>
      <c r="I1876" t="s">
        <v>12106</v>
      </c>
      <c r="J1876">
        <v>35865</v>
      </c>
      <c r="K1876" t="s">
        <v>12107</v>
      </c>
      <c r="L1876">
        <v>130</v>
      </c>
      <c r="O1876">
        <v>35865</v>
      </c>
      <c r="P1876" t="s">
        <v>12007</v>
      </c>
      <c r="Q1876">
        <v>1</v>
      </c>
    </row>
    <row r="1877" spans="1:17" x14ac:dyDescent="0.25">
      <c r="A1877">
        <v>4</v>
      </c>
      <c r="B1877" t="s">
        <v>12108</v>
      </c>
      <c r="C1877" t="s">
        <v>7398</v>
      </c>
      <c r="D1877" t="s">
        <v>12007</v>
      </c>
      <c r="G1877" t="s">
        <v>12109</v>
      </c>
      <c r="H1877" t="s">
        <v>12110</v>
      </c>
      <c r="I1877" t="s">
        <v>12111</v>
      </c>
      <c r="J1877" t="s">
        <v>12109</v>
      </c>
      <c r="K1877" t="s">
        <v>12112</v>
      </c>
      <c r="L1877">
        <v>15</v>
      </c>
      <c r="O1877" t="s">
        <v>12109</v>
      </c>
      <c r="P1877" t="s">
        <v>12007</v>
      </c>
      <c r="Q1877">
        <v>1</v>
      </c>
    </row>
    <row r="1878" spans="1:17" x14ac:dyDescent="0.25">
      <c r="A1878">
        <v>3</v>
      </c>
      <c r="B1878" t="s">
        <v>12113</v>
      </c>
      <c r="C1878" t="s">
        <v>7398</v>
      </c>
      <c r="D1878" t="s">
        <v>12007</v>
      </c>
      <c r="F1878" t="s">
        <v>240</v>
      </c>
      <c r="H1878" t="s">
        <v>12114</v>
      </c>
      <c r="I1878" t="s">
        <v>964</v>
      </c>
      <c r="J1878" t="s">
        <v>240</v>
      </c>
      <c r="O1878" t="s">
        <v>240</v>
      </c>
      <c r="P1878" t="s">
        <v>12007</v>
      </c>
      <c r="Q1878">
        <v>1</v>
      </c>
    </row>
    <row r="1879" spans="1:17" x14ac:dyDescent="0.25">
      <c r="A1879">
        <v>4</v>
      </c>
      <c r="B1879" t="s">
        <v>12115</v>
      </c>
      <c r="C1879" t="s">
        <v>7398</v>
      </c>
      <c r="D1879" t="s">
        <v>12007</v>
      </c>
      <c r="G1879">
        <v>219482</v>
      </c>
      <c r="H1879" t="s">
        <v>12116</v>
      </c>
      <c r="I1879" t="s">
        <v>12117</v>
      </c>
      <c r="J1879">
        <v>219482</v>
      </c>
      <c r="K1879" t="s">
        <v>12118</v>
      </c>
      <c r="L1879">
        <v>14</v>
      </c>
      <c r="O1879">
        <v>219482</v>
      </c>
      <c r="P1879" t="s">
        <v>12007</v>
      </c>
      <c r="Q1879">
        <v>1</v>
      </c>
    </row>
    <row r="1880" spans="1:17" x14ac:dyDescent="0.25">
      <c r="A1880">
        <v>4</v>
      </c>
      <c r="B1880" t="s">
        <v>12119</v>
      </c>
      <c r="C1880" t="s">
        <v>7398</v>
      </c>
      <c r="D1880" t="s">
        <v>12007</v>
      </c>
      <c r="G1880">
        <v>30749</v>
      </c>
      <c r="H1880" t="s">
        <v>12120</v>
      </c>
      <c r="I1880" t="s">
        <v>12121</v>
      </c>
      <c r="J1880">
        <v>30749</v>
      </c>
      <c r="K1880" t="s">
        <v>12122</v>
      </c>
      <c r="L1880">
        <v>19</v>
      </c>
      <c r="O1880">
        <v>30749</v>
      </c>
      <c r="P1880" t="s">
        <v>12007</v>
      </c>
      <c r="Q1880">
        <v>1</v>
      </c>
    </row>
    <row r="1881" spans="1:17" x14ac:dyDescent="0.25">
      <c r="A1881">
        <v>4</v>
      </c>
      <c r="B1881" t="s">
        <v>12123</v>
      </c>
      <c r="C1881" t="s">
        <v>7398</v>
      </c>
      <c r="D1881" t="s">
        <v>12007</v>
      </c>
      <c r="G1881">
        <v>30751</v>
      </c>
      <c r="H1881" t="s">
        <v>12124</v>
      </c>
      <c r="I1881" t="s">
        <v>12125</v>
      </c>
      <c r="J1881">
        <v>30751</v>
      </c>
      <c r="K1881" t="s">
        <v>12126</v>
      </c>
      <c r="L1881">
        <v>13</v>
      </c>
      <c r="O1881">
        <v>30751</v>
      </c>
      <c r="P1881" t="s">
        <v>12007</v>
      </c>
      <c r="Q1881">
        <v>1</v>
      </c>
    </row>
    <row r="1882" spans="1:17" x14ac:dyDescent="0.25">
      <c r="A1882">
        <v>4</v>
      </c>
      <c r="B1882" t="s">
        <v>12127</v>
      </c>
      <c r="C1882" t="s">
        <v>7398</v>
      </c>
      <c r="D1882" t="s">
        <v>12007</v>
      </c>
      <c r="G1882">
        <v>30753</v>
      </c>
      <c r="H1882" t="s">
        <v>12128</v>
      </c>
      <c r="I1882" t="s">
        <v>12129</v>
      </c>
      <c r="J1882">
        <v>30753</v>
      </c>
      <c r="K1882" t="s">
        <v>12130</v>
      </c>
      <c r="L1882">
        <v>7</v>
      </c>
      <c r="N1882" t="s">
        <v>4713</v>
      </c>
      <c r="O1882">
        <v>30753</v>
      </c>
      <c r="P1882" t="s">
        <v>12007</v>
      </c>
      <c r="Q1882">
        <v>1</v>
      </c>
    </row>
    <row r="1883" spans="1:17" x14ac:dyDescent="0.25">
      <c r="A1883">
        <v>4</v>
      </c>
      <c r="B1883" t="s">
        <v>12131</v>
      </c>
      <c r="C1883" t="s">
        <v>7398</v>
      </c>
      <c r="D1883" t="s">
        <v>12007</v>
      </c>
      <c r="G1883">
        <v>30755</v>
      </c>
      <c r="H1883" t="s">
        <v>12132</v>
      </c>
      <c r="I1883" t="s">
        <v>8593</v>
      </c>
      <c r="J1883">
        <v>30755</v>
      </c>
      <c r="K1883" t="s">
        <v>12133</v>
      </c>
      <c r="L1883">
        <v>14</v>
      </c>
      <c r="O1883">
        <v>30755</v>
      </c>
      <c r="P1883" t="s">
        <v>12007</v>
      </c>
      <c r="Q1883">
        <v>1</v>
      </c>
    </row>
    <row r="1884" spans="1:17" x14ac:dyDescent="0.25">
      <c r="A1884">
        <v>4</v>
      </c>
      <c r="B1884" t="s">
        <v>12134</v>
      </c>
      <c r="C1884" t="s">
        <v>7398</v>
      </c>
      <c r="D1884" t="s">
        <v>12007</v>
      </c>
      <c r="G1884">
        <v>30757</v>
      </c>
      <c r="H1884" t="s">
        <v>12135</v>
      </c>
      <c r="I1884" t="s">
        <v>12136</v>
      </c>
      <c r="J1884">
        <v>30757</v>
      </c>
      <c r="K1884" t="s">
        <v>12137</v>
      </c>
      <c r="L1884">
        <v>29</v>
      </c>
      <c r="O1884">
        <v>30757</v>
      </c>
      <c r="P1884" t="s">
        <v>12007</v>
      </c>
      <c r="Q1884">
        <v>1</v>
      </c>
    </row>
    <row r="1885" spans="1:17" x14ac:dyDescent="0.25">
      <c r="A1885">
        <v>4</v>
      </c>
      <c r="B1885" t="s">
        <v>12138</v>
      </c>
      <c r="C1885" t="s">
        <v>7398</v>
      </c>
      <c r="D1885" t="s">
        <v>12007</v>
      </c>
      <c r="G1885">
        <v>30759</v>
      </c>
      <c r="H1885" t="s">
        <v>12139</v>
      </c>
      <c r="I1885" t="s">
        <v>12140</v>
      </c>
      <c r="J1885">
        <v>30759</v>
      </c>
      <c r="K1885" t="s">
        <v>12141</v>
      </c>
      <c r="L1885">
        <v>66</v>
      </c>
      <c r="O1885">
        <v>30759</v>
      </c>
      <c r="P1885" t="s">
        <v>12007</v>
      </c>
      <c r="Q1885">
        <v>1</v>
      </c>
    </row>
    <row r="1886" spans="1:17" x14ac:dyDescent="0.25">
      <c r="A1886">
        <v>4</v>
      </c>
      <c r="B1886" t="s">
        <v>12142</v>
      </c>
      <c r="C1886" t="s">
        <v>7398</v>
      </c>
      <c r="D1886" t="s">
        <v>12007</v>
      </c>
      <c r="G1886" t="s">
        <v>12143</v>
      </c>
      <c r="H1886" t="s">
        <v>12144</v>
      </c>
      <c r="I1886" t="s">
        <v>12145</v>
      </c>
      <c r="J1886" t="s">
        <v>12143</v>
      </c>
      <c r="K1886" t="s">
        <v>12146</v>
      </c>
      <c r="L1886">
        <v>37</v>
      </c>
      <c r="O1886" t="s">
        <v>12143</v>
      </c>
      <c r="P1886" t="s">
        <v>12007</v>
      </c>
      <c r="Q1886">
        <v>1</v>
      </c>
    </row>
    <row r="1887" spans="1:17" x14ac:dyDescent="0.25">
      <c r="A1887">
        <v>3</v>
      </c>
      <c r="B1887" t="s">
        <v>12147</v>
      </c>
      <c r="C1887" t="s">
        <v>7398</v>
      </c>
      <c r="D1887" t="s">
        <v>12007</v>
      </c>
      <c r="F1887" t="s">
        <v>12148</v>
      </c>
      <c r="H1887" t="s">
        <v>12149</v>
      </c>
      <c r="I1887" t="s">
        <v>12150</v>
      </c>
      <c r="J1887" t="s">
        <v>12148</v>
      </c>
      <c r="O1887" t="s">
        <v>12148</v>
      </c>
      <c r="P1887" t="s">
        <v>12007</v>
      </c>
      <c r="Q1887">
        <v>1</v>
      </c>
    </row>
    <row r="1888" spans="1:17" x14ac:dyDescent="0.25">
      <c r="A1888">
        <v>4</v>
      </c>
      <c r="B1888" t="s">
        <v>12151</v>
      </c>
      <c r="C1888" t="s">
        <v>7398</v>
      </c>
      <c r="D1888" t="s">
        <v>12007</v>
      </c>
      <c r="G1888">
        <v>30761</v>
      </c>
      <c r="H1888" t="s">
        <v>12152</v>
      </c>
      <c r="I1888" t="s">
        <v>12153</v>
      </c>
      <c r="J1888">
        <v>30761</v>
      </c>
      <c r="K1888" t="s">
        <v>12154</v>
      </c>
      <c r="L1888">
        <v>2</v>
      </c>
      <c r="N1888" t="s">
        <v>4713</v>
      </c>
      <c r="O1888">
        <v>30761</v>
      </c>
      <c r="P1888" t="s">
        <v>12007</v>
      </c>
      <c r="Q1888">
        <v>1</v>
      </c>
    </row>
    <row r="1889" spans="1:17" x14ac:dyDescent="0.25">
      <c r="A1889">
        <v>4</v>
      </c>
      <c r="B1889" t="s">
        <v>12155</v>
      </c>
      <c r="C1889" t="s">
        <v>7398</v>
      </c>
      <c r="D1889" t="s">
        <v>12007</v>
      </c>
      <c r="G1889" t="s">
        <v>12156</v>
      </c>
      <c r="H1889" t="s">
        <v>12157</v>
      </c>
      <c r="I1889" t="s">
        <v>12158</v>
      </c>
      <c r="J1889" t="s">
        <v>12156</v>
      </c>
      <c r="K1889" t="s">
        <v>12159</v>
      </c>
      <c r="L1889">
        <v>11</v>
      </c>
      <c r="O1889" t="s">
        <v>12156</v>
      </c>
      <c r="P1889" t="s">
        <v>12007</v>
      </c>
      <c r="Q1889">
        <v>1</v>
      </c>
    </row>
    <row r="1890" spans="1:17" x14ac:dyDescent="0.25">
      <c r="A1890">
        <v>3</v>
      </c>
      <c r="B1890" t="s">
        <v>12160</v>
      </c>
      <c r="C1890" t="s">
        <v>7398</v>
      </c>
      <c r="D1890" t="s">
        <v>12007</v>
      </c>
      <c r="F1890" t="s">
        <v>245</v>
      </c>
      <c r="H1890" t="s">
        <v>12161</v>
      </c>
      <c r="I1890" t="s">
        <v>1051</v>
      </c>
      <c r="J1890" t="s">
        <v>245</v>
      </c>
      <c r="O1890" t="s">
        <v>245</v>
      </c>
      <c r="P1890" t="s">
        <v>12007</v>
      </c>
      <c r="Q1890">
        <v>1</v>
      </c>
    </row>
    <row r="1891" spans="1:17" x14ac:dyDescent="0.25">
      <c r="A1891">
        <v>4</v>
      </c>
      <c r="B1891" t="s">
        <v>12162</v>
      </c>
      <c r="C1891" t="s">
        <v>7398</v>
      </c>
      <c r="D1891" t="s">
        <v>12007</v>
      </c>
      <c r="G1891">
        <v>30764</v>
      </c>
      <c r="H1891" t="s">
        <v>12163</v>
      </c>
      <c r="I1891" t="s">
        <v>12164</v>
      </c>
      <c r="J1891">
        <v>30764</v>
      </c>
      <c r="K1891" t="s">
        <v>12165</v>
      </c>
      <c r="L1891">
        <v>152</v>
      </c>
      <c r="O1891">
        <v>30764</v>
      </c>
      <c r="P1891" t="s">
        <v>12007</v>
      </c>
      <c r="Q1891">
        <v>1</v>
      </c>
    </row>
    <row r="1892" spans="1:17" x14ac:dyDescent="0.25">
      <c r="A1892">
        <v>4</v>
      </c>
      <c r="B1892" t="s">
        <v>12166</v>
      </c>
      <c r="C1892" t="s">
        <v>7398</v>
      </c>
      <c r="D1892" t="s">
        <v>12007</v>
      </c>
      <c r="G1892">
        <v>30766</v>
      </c>
      <c r="H1892" t="s">
        <v>12167</v>
      </c>
      <c r="I1892" t="s">
        <v>12168</v>
      </c>
      <c r="J1892">
        <v>30766</v>
      </c>
      <c r="K1892" t="s">
        <v>12169</v>
      </c>
      <c r="L1892">
        <v>13</v>
      </c>
      <c r="O1892">
        <v>30766</v>
      </c>
      <c r="P1892" t="s">
        <v>12007</v>
      </c>
      <c r="Q1892">
        <v>1</v>
      </c>
    </row>
    <row r="1893" spans="1:17" x14ac:dyDescent="0.25">
      <c r="A1893">
        <v>4</v>
      </c>
      <c r="B1893" t="s">
        <v>12170</v>
      </c>
      <c r="C1893" t="s">
        <v>7398</v>
      </c>
      <c r="D1893" t="s">
        <v>12007</v>
      </c>
      <c r="G1893">
        <v>30768</v>
      </c>
      <c r="H1893" t="s">
        <v>12171</v>
      </c>
      <c r="I1893" t="s">
        <v>12172</v>
      </c>
      <c r="J1893">
        <v>30768</v>
      </c>
      <c r="K1893" t="s">
        <v>12173</v>
      </c>
      <c r="L1893">
        <v>338</v>
      </c>
      <c r="O1893">
        <v>30768</v>
      </c>
      <c r="P1893" t="s">
        <v>12007</v>
      </c>
      <c r="Q1893">
        <v>1</v>
      </c>
    </row>
    <row r="1894" spans="1:17" x14ac:dyDescent="0.25">
      <c r="A1894">
        <v>4</v>
      </c>
      <c r="B1894" t="s">
        <v>12174</v>
      </c>
      <c r="C1894" t="s">
        <v>7398</v>
      </c>
      <c r="D1894" t="s">
        <v>12007</v>
      </c>
      <c r="G1894">
        <v>30770</v>
      </c>
      <c r="H1894" t="s">
        <v>12175</v>
      </c>
      <c r="I1894" t="s">
        <v>12176</v>
      </c>
      <c r="J1894">
        <v>30770</v>
      </c>
      <c r="K1894" t="s">
        <v>12177</v>
      </c>
      <c r="L1894">
        <v>48</v>
      </c>
      <c r="O1894">
        <v>30770</v>
      </c>
      <c r="P1894" t="s">
        <v>12007</v>
      </c>
      <c r="Q1894">
        <v>1</v>
      </c>
    </row>
    <row r="1895" spans="1:17" x14ac:dyDescent="0.25">
      <c r="A1895">
        <v>4</v>
      </c>
      <c r="B1895" t="s">
        <v>12178</v>
      </c>
      <c r="C1895" t="s">
        <v>7398</v>
      </c>
      <c r="D1895" t="s">
        <v>12007</v>
      </c>
      <c r="G1895">
        <v>30772</v>
      </c>
      <c r="H1895" t="s">
        <v>12179</v>
      </c>
      <c r="I1895" t="s">
        <v>12180</v>
      </c>
      <c r="J1895">
        <v>30772</v>
      </c>
      <c r="K1895" t="s">
        <v>12181</v>
      </c>
      <c r="L1895">
        <v>44</v>
      </c>
      <c r="O1895">
        <v>30772</v>
      </c>
      <c r="P1895" t="s">
        <v>12007</v>
      </c>
      <c r="Q1895">
        <v>1</v>
      </c>
    </row>
    <row r="1896" spans="1:17" x14ac:dyDescent="0.25">
      <c r="A1896">
        <v>4</v>
      </c>
      <c r="B1896" t="s">
        <v>12182</v>
      </c>
      <c r="C1896" t="s">
        <v>7398</v>
      </c>
      <c r="D1896" t="s">
        <v>12007</v>
      </c>
      <c r="G1896">
        <v>343107</v>
      </c>
      <c r="H1896" t="s">
        <v>12183</v>
      </c>
      <c r="I1896" t="s">
        <v>12184</v>
      </c>
      <c r="J1896">
        <v>343107</v>
      </c>
      <c r="K1896" t="s">
        <v>12185</v>
      </c>
      <c r="L1896">
        <v>89</v>
      </c>
      <c r="O1896">
        <v>343107</v>
      </c>
      <c r="P1896" t="s">
        <v>12007</v>
      </c>
      <c r="Q1896">
        <v>1</v>
      </c>
    </row>
    <row r="1897" spans="1:17" x14ac:dyDescent="0.25">
      <c r="A1897">
        <v>2</v>
      </c>
      <c r="B1897" t="s">
        <v>12186</v>
      </c>
      <c r="C1897" t="s">
        <v>7398</v>
      </c>
      <c r="D1897" t="s">
        <v>12007</v>
      </c>
      <c r="E1897" t="s">
        <v>812</v>
      </c>
      <c r="H1897" t="s">
        <v>12187</v>
      </c>
      <c r="I1897" t="s">
        <v>1054</v>
      </c>
      <c r="J1897" t="s">
        <v>812</v>
      </c>
      <c r="O1897" t="s">
        <v>812</v>
      </c>
      <c r="P1897" t="s">
        <v>12007</v>
      </c>
      <c r="Q1897">
        <v>1</v>
      </c>
    </row>
    <row r="1898" spans="1:17" x14ac:dyDescent="0.25">
      <c r="A1898">
        <v>3</v>
      </c>
      <c r="B1898" t="s">
        <v>12188</v>
      </c>
      <c r="C1898" t="s">
        <v>7398</v>
      </c>
      <c r="D1898" t="s">
        <v>12007</v>
      </c>
      <c r="F1898" t="s">
        <v>29</v>
      </c>
      <c r="H1898" t="s">
        <v>56</v>
      </c>
      <c r="I1898" t="s">
        <v>536</v>
      </c>
      <c r="J1898" t="s">
        <v>29</v>
      </c>
      <c r="O1898" t="s">
        <v>29</v>
      </c>
      <c r="P1898" t="s">
        <v>12007</v>
      </c>
      <c r="Q1898">
        <v>1</v>
      </c>
    </row>
    <row r="1899" spans="1:17" x14ac:dyDescent="0.25">
      <c r="A1899">
        <v>4</v>
      </c>
      <c r="B1899" t="s">
        <v>12189</v>
      </c>
      <c r="C1899" t="s">
        <v>7398</v>
      </c>
      <c r="D1899" t="s">
        <v>12007</v>
      </c>
      <c r="G1899" t="s">
        <v>12190</v>
      </c>
      <c r="H1899" t="s">
        <v>12191</v>
      </c>
      <c r="I1899" t="s">
        <v>12192</v>
      </c>
      <c r="J1899" t="s">
        <v>12190</v>
      </c>
      <c r="K1899" t="s">
        <v>12193</v>
      </c>
      <c r="L1899">
        <v>13</v>
      </c>
      <c r="O1899" t="s">
        <v>12190</v>
      </c>
      <c r="P1899" t="s">
        <v>12007</v>
      </c>
      <c r="Q1899">
        <v>1</v>
      </c>
    </row>
    <row r="1900" spans="1:17" x14ac:dyDescent="0.25">
      <c r="A1900">
        <v>4</v>
      </c>
      <c r="B1900" t="s">
        <v>12194</v>
      </c>
      <c r="C1900" t="s">
        <v>7398</v>
      </c>
      <c r="D1900" t="s">
        <v>12007</v>
      </c>
      <c r="G1900" t="s">
        <v>12195</v>
      </c>
      <c r="H1900" t="s">
        <v>12196</v>
      </c>
      <c r="I1900" t="s">
        <v>12197</v>
      </c>
      <c r="J1900" t="s">
        <v>12195</v>
      </c>
      <c r="K1900" t="s">
        <v>12198</v>
      </c>
      <c r="L1900">
        <v>48</v>
      </c>
      <c r="O1900" t="s">
        <v>12195</v>
      </c>
      <c r="P1900" t="s">
        <v>12007</v>
      </c>
      <c r="Q1900">
        <v>1</v>
      </c>
    </row>
    <row r="1901" spans="1:17" x14ac:dyDescent="0.25">
      <c r="A1901">
        <v>4</v>
      </c>
      <c r="B1901" t="s">
        <v>12199</v>
      </c>
      <c r="C1901" t="s">
        <v>7398</v>
      </c>
      <c r="D1901" t="s">
        <v>12007</v>
      </c>
      <c r="G1901" t="s">
        <v>12200</v>
      </c>
      <c r="H1901" t="s">
        <v>12201</v>
      </c>
      <c r="I1901" t="s">
        <v>12202</v>
      </c>
      <c r="J1901" t="s">
        <v>12200</v>
      </c>
      <c r="K1901" t="s">
        <v>12203</v>
      </c>
      <c r="L1901">
        <v>13</v>
      </c>
      <c r="O1901" t="s">
        <v>12200</v>
      </c>
      <c r="P1901" t="s">
        <v>12007</v>
      </c>
      <c r="Q1901">
        <v>1</v>
      </c>
    </row>
    <row r="1902" spans="1:17" x14ac:dyDescent="0.25">
      <c r="A1902">
        <v>4</v>
      </c>
      <c r="B1902" t="s">
        <v>12204</v>
      </c>
      <c r="C1902" t="s">
        <v>7398</v>
      </c>
      <c r="D1902" t="s">
        <v>12007</v>
      </c>
      <c r="G1902" t="s">
        <v>12205</v>
      </c>
      <c r="H1902" t="s">
        <v>12206</v>
      </c>
      <c r="I1902" t="s">
        <v>12207</v>
      </c>
      <c r="J1902" t="s">
        <v>12205</v>
      </c>
      <c r="K1902" t="s">
        <v>12208</v>
      </c>
      <c r="L1902">
        <v>76</v>
      </c>
      <c r="O1902" t="s">
        <v>12205</v>
      </c>
      <c r="P1902" t="s">
        <v>12007</v>
      </c>
      <c r="Q1902">
        <v>1</v>
      </c>
    </row>
    <row r="1903" spans="1:17" x14ac:dyDescent="0.25">
      <c r="A1903">
        <v>4</v>
      </c>
      <c r="B1903" t="s">
        <v>12209</v>
      </c>
      <c r="C1903" t="s">
        <v>7398</v>
      </c>
      <c r="D1903" t="s">
        <v>12007</v>
      </c>
      <c r="G1903" t="s">
        <v>12210</v>
      </c>
      <c r="H1903" t="s">
        <v>12211</v>
      </c>
      <c r="I1903" t="s">
        <v>12212</v>
      </c>
      <c r="J1903" t="s">
        <v>12210</v>
      </c>
      <c r="K1903" t="s">
        <v>12213</v>
      </c>
      <c r="L1903">
        <v>14</v>
      </c>
      <c r="O1903" t="s">
        <v>12210</v>
      </c>
      <c r="P1903" t="s">
        <v>12007</v>
      </c>
      <c r="Q1903">
        <v>1</v>
      </c>
    </row>
    <row r="1904" spans="1:17" x14ac:dyDescent="0.25">
      <c r="A1904">
        <v>4</v>
      </c>
      <c r="B1904" t="s">
        <v>12214</v>
      </c>
      <c r="C1904" t="s">
        <v>7398</v>
      </c>
      <c r="D1904" t="s">
        <v>12007</v>
      </c>
      <c r="G1904" t="s">
        <v>12215</v>
      </c>
      <c r="H1904" t="s">
        <v>12216</v>
      </c>
      <c r="I1904" t="s">
        <v>12217</v>
      </c>
      <c r="J1904" t="s">
        <v>12215</v>
      </c>
      <c r="K1904" t="s">
        <v>12218</v>
      </c>
      <c r="L1904">
        <v>257</v>
      </c>
      <c r="O1904" t="s">
        <v>12215</v>
      </c>
      <c r="P1904" t="s">
        <v>12007</v>
      </c>
      <c r="Q1904">
        <v>1</v>
      </c>
    </row>
    <row r="1905" spans="1:17" x14ac:dyDescent="0.25">
      <c r="A1905">
        <v>3</v>
      </c>
      <c r="B1905" t="s">
        <v>12219</v>
      </c>
      <c r="C1905" t="s">
        <v>7398</v>
      </c>
      <c r="D1905" t="s">
        <v>12007</v>
      </c>
      <c r="F1905" t="s">
        <v>237</v>
      </c>
      <c r="H1905" t="s">
        <v>238</v>
      </c>
      <c r="I1905" t="s">
        <v>538</v>
      </c>
      <c r="J1905" t="s">
        <v>237</v>
      </c>
      <c r="O1905" t="s">
        <v>237</v>
      </c>
      <c r="P1905" t="s">
        <v>12007</v>
      </c>
      <c r="Q1905">
        <v>1</v>
      </c>
    </row>
    <row r="1906" spans="1:17" x14ac:dyDescent="0.25">
      <c r="A1906">
        <v>4</v>
      </c>
      <c r="B1906" t="s">
        <v>12220</v>
      </c>
      <c r="C1906" t="s">
        <v>7398</v>
      </c>
      <c r="D1906" t="s">
        <v>12007</v>
      </c>
      <c r="G1906">
        <v>30159</v>
      </c>
      <c r="H1906" t="s">
        <v>12221</v>
      </c>
      <c r="I1906" t="s">
        <v>12222</v>
      </c>
      <c r="J1906">
        <v>30159</v>
      </c>
      <c r="K1906" t="s">
        <v>12223</v>
      </c>
      <c r="L1906">
        <v>11</v>
      </c>
      <c r="O1906">
        <v>30159</v>
      </c>
      <c r="P1906" t="s">
        <v>12007</v>
      </c>
      <c r="Q1906">
        <v>1</v>
      </c>
    </row>
    <row r="1907" spans="1:17" x14ac:dyDescent="0.25">
      <c r="A1907">
        <v>4</v>
      </c>
      <c r="B1907" t="s">
        <v>12224</v>
      </c>
      <c r="C1907" t="s">
        <v>7398</v>
      </c>
      <c r="D1907" t="s">
        <v>12007</v>
      </c>
      <c r="G1907">
        <v>309352</v>
      </c>
      <c r="H1907" t="s">
        <v>12225</v>
      </c>
      <c r="I1907" t="s">
        <v>12226</v>
      </c>
      <c r="J1907">
        <v>309352</v>
      </c>
      <c r="K1907" t="s">
        <v>12227</v>
      </c>
      <c r="L1907">
        <v>9</v>
      </c>
      <c r="N1907" t="s">
        <v>4713</v>
      </c>
      <c r="O1907">
        <v>309352</v>
      </c>
      <c r="P1907" t="s">
        <v>12007</v>
      </c>
      <c r="Q1907">
        <v>1</v>
      </c>
    </row>
    <row r="1908" spans="1:17" x14ac:dyDescent="0.25">
      <c r="A1908">
        <v>4</v>
      </c>
      <c r="B1908" t="s">
        <v>12228</v>
      </c>
      <c r="C1908" t="s">
        <v>7398</v>
      </c>
      <c r="D1908" t="s">
        <v>12007</v>
      </c>
      <c r="G1908" t="s">
        <v>12229</v>
      </c>
      <c r="H1908" t="s">
        <v>12230</v>
      </c>
      <c r="I1908" t="s">
        <v>12231</v>
      </c>
      <c r="J1908" t="s">
        <v>12229</v>
      </c>
      <c r="K1908" t="s">
        <v>12232</v>
      </c>
      <c r="L1908">
        <v>26</v>
      </c>
      <c r="O1908" t="s">
        <v>12229</v>
      </c>
      <c r="P1908" t="s">
        <v>12007</v>
      </c>
      <c r="Q1908">
        <v>1</v>
      </c>
    </row>
    <row r="1909" spans="1:17" x14ac:dyDescent="0.25">
      <c r="A1909">
        <v>4</v>
      </c>
      <c r="B1909" t="s">
        <v>12233</v>
      </c>
      <c r="C1909" t="s">
        <v>7398</v>
      </c>
      <c r="D1909" t="s">
        <v>12007</v>
      </c>
      <c r="G1909" t="s">
        <v>12234</v>
      </c>
      <c r="H1909" t="s">
        <v>12235</v>
      </c>
      <c r="I1909" t="s">
        <v>12236</v>
      </c>
      <c r="J1909" t="s">
        <v>12234</v>
      </c>
      <c r="K1909" t="s">
        <v>12237</v>
      </c>
      <c r="L1909">
        <v>46</v>
      </c>
      <c r="O1909" t="s">
        <v>12234</v>
      </c>
      <c r="P1909" t="s">
        <v>12007</v>
      </c>
      <c r="Q1909">
        <v>1</v>
      </c>
    </row>
    <row r="1910" spans="1:17" x14ac:dyDescent="0.25">
      <c r="A1910">
        <v>4</v>
      </c>
      <c r="B1910" t="s">
        <v>12238</v>
      </c>
      <c r="C1910" t="s">
        <v>7398</v>
      </c>
      <c r="D1910" t="s">
        <v>12007</v>
      </c>
      <c r="G1910" t="s">
        <v>12239</v>
      </c>
      <c r="H1910" t="s">
        <v>12240</v>
      </c>
      <c r="I1910" t="s">
        <v>12241</v>
      </c>
      <c r="J1910" t="s">
        <v>12239</v>
      </c>
      <c r="K1910" t="s">
        <v>12242</v>
      </c>
      <c r="L1910">
        <v>24</v>
      </c>
      <c r="O1910" t="s">
        <v>12239</v>
      </c>
      <c r="P1910" t="s">
        <v>12007</v>
      </c>
      <c r="Q1910">
        <v>1</v>
      </c>
    </row>
    <row r="1911" spans="1:17" x14ac:dyDescent="0.25">
      <c r="A1911">
        <v>4</v>
      </c>
      <c r="B1911" t="s">
        <v>12243</v>
      </c>
      <c r="C1911" t="s">
        <v>7398</v>
      </c>
      <c r="D1911" t="s">
        <v>12007</v>
      </c>
      <c r="G1911" t="s">
        <v>12244</v>
      </c>
      <c r="H1911" t="s">
        <v>12245</v>
      </c>
      <c r="I1911" t="s">
        <v>1057</v>
      </c>
      <c r="J1911" t="s">
        <v>12244</v>
      </c>
      <c r="K1911" t="s">
        <v>12246</v>
      </c>
      <c r="L1911">
        <v>444</v>
      </c>
      <c r="O1911" t="s">
        <v>12244</v>
      </c>
      <c r="P1911" t="s">
        <v>12007</v>
      </c>
      <c r="Q1911">
        <v>1</v>
      </c>
    </row>
    <row r="1912" spans="1:17" x14ac:dyDescent="0.25">
      <c r="A1912">
        <v>3</v>
      </c>
      <c r="B1912" t="s">
        <v>12247</v>
      </c>
      <c r="C1912" t="s">
        <v>7398</v>
      </c>
      <c r="D1912" t="s">
        <v>12007</v>
      </c>
      <c r="F1912" t="s">
        <v>241</v>
      </c>
      <c r="H1912" t="s">
        <v>242</v>
      </c>
      <c r="I1912" t="s">
        <v>543</v>
      </c>
      <c r="J1912" t="s">
        <v>241</v>
      </c>
      <c r="O1912" t="s">
        <v>241</v>
      </c>
      <c r="P1912" t="s">
        <v>12007</v>
      </c>
      <c r="Q1912">
        <v>1</v>
      </c>
    </row>
    <row r="1913" spans="1:17" x14ac:dyDescent="0.25">
      <c r="A1913">
        <v>4</v>
      </c>
      <c r="B1913" t="s">
        <v>12248</v>
      </c>
      <c r="C1913" t="s">
        <v>7398</v>
      </c>
      <c r="D1913" t="s">
        <v>12007</v>
      </c>
      <c r="G1913">
        <v>304352</v>
      </c>
      <c r="H1913" t="s">
        <v>12249</v>
      </c>
      <c r="I1913" t="s">
        <v>12250</v>
      </c>
      <c r="J1913">
        <v>304352</v>
      </c>
      <c r="K1913" t="s">
        <v>12251</v>
      </c>
      <c r="L1913">
        <v>4</v>
      </c>
      <c r="N1913" t="s">
        <v>4713</v>
      </c>
      <c r="O1913">
        <v>304352</v>
      </c>
      <c r="P1913" t="s">
        <v>12007</v>
      </c>
      <c r="Q1913">
        <v>1</v>
      </c>
    </row>
    <row r="1914" spans="1:17" x14ac:dyDescent="0.25">
      <c r="A1914">
        <v>4</v>
      </c>
      <c r="B1914" t="s">
        <v>12252</v>
      </c>
      <c r="C1914" t="s">
        <v>7398</v>
      </c>
      <c r="D1914" t="s">
        <v>12007</v>
      </c>
      <c r="G1914" t="s">
        <v>12253</v>
      </c>
      <c r="H1914" t="s">
        <v>12254</v>
      </c>
      <c r="I1914" t="s">
        <v>12255</v>
      </c>
      <c r="J1914" t="s">
        <v>12253</v>
      </c>
      <c r="K1914" t="s">
        <v>12256</v>
      </c>
      <c r="L1914">
        <v>942</v>
      </c>
      <c r="O1914" t="s">
        <v>12253</v>
      </c>
      <c r="P1914" t="s">
        <v>12007</v>
      </c>
      <c r="Q1914">
        <v>1</v>
      </c>
    </row>
    <row r="1915" spans="1:17" x14ac:dyDescent="0.25">
      <c r="A1915">
        <v>4</v>
      </c>
      <c r="B1915" t="s">
        <v>12257</v>
      </c>
      <c r="C1915" t="s">
        <v>7398</v>
      </c>
      <c r="D1915" t="s">
        <v>12007</v>
      </c>
      <c r="G1915" t="s">
        <v>12258</v>
      </c>
      <c r="H1915" t="s">
        <v>12259</v>
      </c>
      <c r="I1915" t="s">
        <v>12260</v>
      </c>
      <c r="J1915" t="s">
        <v>12258</v>
      </c>
      <c r="K1915" t="s">
        <v>12261</v>
      </c>
      <c r="L1915">
        <v>51</v>
      </c>
      <c r="O1915" t="s">
        <v>12258</v>
      </c>
      <c r="P1915" t="s">
        <v>12007</v>
      </c>
      <c r="Q1915">
        <v>1</v>
      </c>
    </row>
    <row r="1916" spans="1:17" x14ac:dyDescent="0.25">
      <c r="A1916">
        <v>4</v>
      </c>
      <c r="B1916" t="s">
        <v>12262</v>
      </c>
      <c r="C1916" t="s">
        <v>7398</v>
      </c>
      <c r="D1916" t="s">
        <v>12007</v>
      </c>
      <c r="G1916" t="s">
        <v>12263</v>
      </c>
      <c r="H1916" t="s">
        <v>12264</v>
      </c>
      <c r="I1916" t="s">
        <v>12265</v>
      </c>
      <c r="J1916" t="s">
        <v>12263</v>
      </c>
      <c r="K1916" t="s">
        <v>12266</v>
      </c>
      <c r="L1916">
        <v>186</v>
      </c>
      <c r="O1916" t="s">
        <v>12263</v>
      </c>
      <c r="P1916" t="s">
        <v>12007</v>
      </c>
      <c r="Q1916">
        <v>1</v>
      </c>
    </row>
    <row r="1917" spans="1:17" x14ac:dyDescent="0.25">
      <c r="A1917">
        <v>2</v>
      </c>
      <c r="B1917" t="s">
        <v>12267</v>
      </c>
      <c r="C1917" t="s">
        <v>7398</v>
      </c>
      <c r="D1917" t="s">
        <v>12007</v>
      </c>
      <c r="E1917" t="s">
        <v>30</v>
      </c>
      <c r="H1917" t="s">
        <v>12268</v>
      </c>
      <c r="I1917" t="s">
        <v>550</v>
      </c>
      <c r="J1917" t="s">
        <v>30</v>
      </c>
      <c r="O1917" t="s">
        <v>30</v>
      </c>
      <c r="P1917" t="s">
        <v>12007</v>
      </c>
      <c r="Q1917">
        <v>1</v>
      </c>
    </row>
    <row r="1918" spans="1:17" x14ac:dyDescent="0.25">
      <c r="A1918">
        <v>3</v>
      </c>
      <c r="B1918" t="s">
        <v>12269</v>
      </c>
      <c r="C1918" t="s">
        <v>7398</v>
      </c>
      <c r="D1918" t="s">
        <v>12007</v>
      </c>
      <c r="F1918" t="s">
        <v>252</v>
      </c>
      <c r="H1918" t="s">
        <v>12270</v>
      </c>
      <c r="I1918" t="s">
        <v>1058</v>
      </c>
      <c r="J1918" t="s">
        <v>252</v>
      </c>
      <c r="O1918" t="s">
        <v>252</v>
      </c>
      <c r="P1918" t="s">
        <v>12007</v>
      </c>
      <c r="Q1918">
        <v>1</v>
      </c>
    </row>
    <row r="1919" spans="1:17" x14ac:dyDescent="0.25">
      <c r="A1919">
        <v>4</v>
      </c>
      <c r="B1919" t="s">
        <v>12271</v>
      </c>
      <c r="C1919" t="s">
        <v>7398</v>
      </c>
      <c r="D1919" t="s">
        <v>12007</v>
      </c>
      <c r="G1919">
        <v>177959</v>
      </c>
      <c r="H1919" t="s">
        <v>9782</v>
      </c>
      <c r="I1919" t="s">
        <v>9783</v>
      </c>
      <c r="J1919">
        <v>177959</v>
      </c>
      <c r="K1919" t="s">
        <v>12272</v>
      </c>
      <c r="L1919">
        <v>565</v>
      </c>
      <c r="O1919">
        <v>177959</v>
      </c>
      <c r="P1919" t="s">
        <v>12007</v>
      </c>
      <c r="Q1919">
        <v>1</v>
      </c>
    </row>
    <row r="1920" spans="1:17" x14ac:dyDescent="0.25">
      <c r="A1920">
        <v>4</v>
      </c>
      <c r="B1920" t="s">
        <v>12273</v>
      </c>
      <c r="C1920" t="s">
        <v>7398</v>
      </c>
      <c r="D1920" t="s">
        <v>12007</v>
      </c>
      <c r="G1920">
        <v>177960</v>
      </c>
      <c r="H1920" t="s">
        <v>12274</v>
      </c>
      <c r="I1920" t="s">
        <v>10229</v>
      </c>
      <c r="J1920">
        <v>177960</v>
      </c>
      <c r="K1920" t="s">
        <v>12275</v>
      </c>
      <c r="L1920">
        <v>67</v>
      </c>
      <c r="O1920">
        <v>177960</v>
      </c>
      <c r="P1920" t="s">
        <v>12007</v>
      </c>
      <c r="Q1920">
        <v>1</v>
      </c>
    </row>
    <row r="1921" spans="1:17" x14ac:dyDescent="0.25">
      <c r="A1921">
        <v>4</v>
      </c>
      <c r="B1921" t="s">
        <v>12276</v>
      </c>
      <c r="C1921" t="s">
        <v>7398</v>
      </c>
      <c r="D1921" t="s">
        <v>12007</v>
      </c>
      <c r="G1921">
        <v>177961</v>
      </c>
      <c r="H1921" t="s">
        <v>12277</v>
      </c>
      <c r="I1921" t="s">
        <v>12278</v>
      </c>
      <c r="J1921">
        <v>177961</v>
      </c>
      <c r="K1921" t="s">
        <v>12279</v>
      </c>
      <c r="L1921">
        <v>96</v>
      </c>
      <c r="O1921">
        <v>177961</v>
      </c>
      <c r="P1921" t="s">
        <v>12007</v>
      </c>
      <c r="Q1921">
        <v>1</v>
      </c>
    </row>
    <row r="1922" spans="1:17" x14ac:dyDescent="0.25">
      <c r="A1922">
        <v>4</v>
      </c>
      <c r="B1922" t="s">
        <v>12280</v>
      </c>
      <c r="C1922" t="s">
        <v>7398</v>
      </c>
      <c r="D1922" t="s">
        <v>12007</v>
      </c>
      <c r="G1922" t="s">
        <v>12281</v>
      </c>
      <c r="H1922" t="s">
        <v>12282</v>
      </c>
      <c r="I1922" t="s">
        <v>12283</v>
      </c>
      <c r="J1922" t="s">
        <v>12281</v>
      </c>
      <c r="K1922" t="s">
        <v>12284</v>
      </c>
      <c r="L1922">
        <v>3</v>
      </c>
      <c r="N1922" t="s">
        <v>4713</v>
      </c>
      <c r="O1922" t="s">
        <v>12281</v>
      </c>
      <c r="P1922" t="s">
        <v>12007</v>
      </c>
      <c r="Q1922">
        <v>1</v>
      </c>
    </row>
    <row r="1923" spans="1:17" x14ac:dyDescent="0.25">
      <c r="A1923">
        <v>4</v>
      </c>
      <c r="B1923" t="s">
        <v>12285</v>
      </c>
      <c r="C1923" t="s">
        <v>7398</v>
      </c>
      <c r="D1923" t="s">
        <v>12007</v>
      </c>
      <c r="G1923" t="s">
        <v>12286</v>
      </c>
      <c r="H1923" t="s">
        <v>12287</v>
      </c>
      <c r="I1923" t="s">
        <v>12288</v>
      </c>
      <c r="J1923" t="s">
        <v>12286</v>
      </c>
      <c r="K1923" t="s">
        <v>12289</v>
      </c>
      <c r="L1923">
        <v>32</v>
      </c>
      <c r="O1923" t="s">
        <v>12286</v>
      </c>
      <c r="P1923" t="s">
        <v>12007</v>
      </c>
      <c r="Q1923">
        <v>1</v>
      </c>
    </row>
    <row r="1924" spans="1:17" x14ac:dyDescent="0.25">
      <c r="A1924">
        <v>3</v>
      </c>
      <c r="B1924" t="s">
        <v>12290</v>
      </c>
      <c r="C1924" t="s">
        <v>7398</v>
      </c>
      <c r="D1924" t="s">
        <v>12007</v>
      </c>
      <c r="F1924" t="s">
        <v>250</v>
      </c>
      <c r="H1924" t="s">
        <v>251</v>
      </c>
      <c r="I1924" t="s">
        <v>564</v>
      </c>
      <c r="J1924" t="s">
        <v>250</v>
      </c>
      <c r="O1924" t="s">
        <v>250</v>
      </c>
      <c r="P1924" t="s">
        <v>12007</v>
      </c>
      <c r="Q1924">
        <v>1</v>
      </c>
    </row>
    <row r="1925" spans="1:17" x14ac:dyDescent="0.25">
      <c r="A1925">
        <v>4</v>
      </c>
      <c r="B1925" t="s">
        <v>12291</v>
      </c>
      <c r="C1925" t="s">
        <v>7398</v>
      </c>
      <c r="D1925" t="s">
        <v>12007</v>
      </c>
      <c r="G1925" t="s">
        <v>12292</v>
      </c>
      <c r="H1925" t="s">
        <v>12293</v>
      </c>
      <c r="I1925" t="s">
        <v>12294</v>
      </c>
      <c r="J1925" t="s">
        <v>12292</v>
      </c>
      <c r="K1925" t="s">
        <v>12295</v>
      </c>
      <c r="L1925">
        <v>788</v>
      </c>
      <c r="O1925" t="s">
        <v>12292</v>
      </c>
      <c r="P1925" t="s">
        <v>12007</v>
      </c>
      <c r="Q1925">
        <v>1</v>
      </c>
    </row>
    <row r="1926" spans="1:17" x14ac:dyDescent="0.25">
      <c r="A1926">
        <v>4</v>
      </c>
      <c r="B1926" t="s">
        <v>12296</v>
      </c>
      <c r="C1926" t="s">
        <v>7398</v>
      </c>
      <c r="D1926" t="s">
        <v>12007</v>
      </c>
      <c r="G1926" t="s">
        <v>12297</v>
      </c>
      <c r="H1926" t="s">
        <v>12298</v>
      </c>
      <c r="I1926" t="s">
        <v>12299</v>
      </c>
      <c r="J1926" t="s">
        <v>12297</v>
      </c>
      <c r="K1926" t="s">
        <v>12300</v>
      </c>
      <c r="L1926">
        <v>3</v>
      </c>
      <c r="N1926" t="s">
        <v>4713</v>
      </c>
      <c r="O1926" t="s">
        <v>12297</v>
      </c>
      <c r="P1926" t="s">
        <v>12007</v>
      </c>
      <c r="Q1926">
        <v>1</v>
      </c>
    </row>
    <row r="1927" spans="1:17" x14ac:dyDescent="0.25">
      <c r="A1927">
        <v>3</v>
      </c>
      <c r="B1927" t="s">
        <v>12301</v>
      </c>
      <c r="C1927" t="s">
        <v>7398</v>
      </c>
      <c r="D1927" t="s">
        <v>12007</v>
      </c>
      <c r="F1927" t="s">
        <v>249</v>
      </c>
      <c r="H1927" t="s">
        <v>12302</v>
      </c>
      <c r="I1927" t="s">
        <v>560</v>
      </c>
      <c r="J1927" t="s">
        <v>249</v>
      </c>
      <c r="O1927" t="s">
        <v>249</v>
      </c>
      <c r="P1927" t="s">
        <v>12007</v>
      </c>
      <c r="Q1927">
        <v>1</v>
      </c>
    </row>
    <row r="1928" spans="1:17" x14ac:dyDescent="0.25">
      <c r="A1928">
        <v>4</v>
      </c>
      <c r="B1928" t="s">
        <v>12303</v>
      </c>
      <c r="C1928" t="s">
        <v>7398</v>
      </c>
      <c r="D1928" t="s">
        <v>12007</v>
      </c>
      <c r="G1928" t="s">
        <v>12304</v>
      </c>
      <c r="H1928" t="s">
        <v>12305</v>
      </c>
      <c r="I1928" t="s">
        <v>12306</v>
      </c>
      <c r="J1928" t="s">
        <v>12304</v>
      </c>
      <c r="K1928" t="s">
        <v>12307</v>
      </c>
      <c r="L1928">
        <v>71</v>
      </c>
      <c r="O1928" t="s">
        <v>12304</v>
      </c>
      <c r="P1928" t="s">
        <v>12007</v>
      </c>
      <c r="Q1928">
        <v>1</v>
      </c>
    </row>
    <row r="1929" spans="1:17" x14ac:dyDescent="0.25">
      <c r="A1929">
        <v>4</v>
      </c>
      <c r="B1929" t="s">
        <v>12308</v>
      </c>
      <c r="C1929" t="s">
        <v>7398</v>
      </c>
      <c r="D1929" t="s">
        <v>12007</v>
      </c>
      <c r="G1929" t="s">
        <v>12309</v>
      </c>
      <c r="H1929" t="s">
        <v>12310</v>
      </c>
      <c r="I1929" t="s">
        <v>12311</v>
      </c>
      <c r="J1929" t="s">
        <v>12309</v>
      </c>
      <c r="K1929" t="s">
        <v>12312</v>
      </c>
      <c r="L1929">
        <v>65</v>
      </c>
      <c r="O1929" t="s">
        <v>12309</v>
      </c>
      <c r="P1929" t="s">
        <v>12007</v>
      </c>
      <c r="Q1929">
        <v>1</v>
      </c>
    </row>
    <row r="1930" spans="1:17" x14ac:dyDescent="0.25">
      <c r="A1930">
        <v>4</v>
      </c>
      <c r="B1930" t="s">
        <v>12313</v>
      </c>
      <c r="C1930" t="s">
        <v>7398</v>
      </c>
      <c r="D1930" t="s">
        <v>12007</v>
      </c>
      <c r="G1930" t="s">
        <v>12314</v>
      </c>
      <c r="H1930" t="s">
        <v>12315</v>
      </c>
      <c r="I1930" t="s">
        <v>12316</v>
      </c>
      <c r="J1930" t="s">
        <v>12314</v>
      </c>
      <c r="K1930" t="s">
        <v>12317</v>
      </c>
      <c r="L1930">
        <v>29</v>
      </c>
      <c r="O1930" t="s">
        <v>12314</v>
      </c>
      <c r="P1930" t="s">
        <v>12007</v>
      </c>
      <c r="Q1930">
        <v>1</v>
      </c>
    </row>
    <row r="1931" spans="1:17" x14ac:dyDescent="0.25">
      <c r="A1931">
        <v>3</v>
      </c>
      <c r="B1931" t="s">
        <v>12318</v>
      </c>
      <c r="C1931" t="s">
        <v>7398</v>
      </c>
      <c r="D1931" t="s">
        <v>12007</v>
      </c>
      <c r="F1931" t="s">
        <v>246</v>
      </c>
      <c r="H1931" t="s">
        <v>247</v>
      </c>
      <c r="I1931" t="s">
        <v>553</v>
      </c>
      <c r="J1931" t="s">
        <v>246</v>
      </c>
      <c r="O1931" t="s">
        <v>246</v>
      </c>
      <c r="P1931" t="s">
        <v>12007</v>
      </c>
      <c r="Q1931">
        <v>1</v>
      </c>
    </row>
    <row r="1932" spans="1:17" x14ac:dyDescent="0.25">
      <c r="A1932">
        <v>4</v>
      </c>
      <c r="B1932" t="s">
        <v>12319</v>
      </c>
      <c r="C1932" t="s">
        <v>7398</v>
      </c>
      <c r="D1932" t="s">
        <v>12007</v>
      </c>
      <c r="G1932" t="s">
        <v>12320</v>
      </c>
      <c r="H1932" t="s">
        <v>12321</v>
      </c>
      <c r="I1932" t="s">
        <v>553</v>
      </c>
      <c r="J1932" t="s">
        <v>12320</v>
      </c>
      <c r="K1932" t="s">
        <v>12322</v>
      </c>
      <c r="L1932">
        <v>174</v>
      </c>
      <c r="O1932" t="s">
        <v>12320</v>
      </c>
      <c r="P1932" t="s">
        <v>12007</v>
      </c>
      <c r="Q1932">
        <v>1</v>
      </c>
    </row>
    <row r="1933" spans="1:17" x14ac:dyDescent="0.25">
      <c r="A1933">
        <v>3</v>
      </c>
      <c r="B1933" t="s">
        <v>12323</v>
      </c>
      <c r="C1933" t="s">
        <v>7398</v>
      </c>
      <c r="D1933" t="s">
        <v>12007</v>
      </c>
      <c r="F1933" t="s">
        <v>12324</v>
      </c>
      <c r="H1933" t="s">
        <v>12325</v>
      </c>
      <c r="I1933" t="s">
        <v>12326</v>
      </c>
      <c r="J1933" t="s">
        <v>12324</v>
      </c>
      <c r="O1933" t="s">
        <v>12324</v>
      </c>
      <c r="P1933" t="s">
        <v>12007</v>
      </c>
      <c r="Q1933">
        <v>1</v>
      </c>
    </row>
    <row r="1934" spans="1:17" x14ac:dyDescent="0.25">
      <c r="A1934">
        <v>4</v>
      </c>
      <c r="B1934" t="s">
        <v>12327</v>
      </c>
      <c r="C1934" t="s">
        <v>7398</v>
      </c>
      <c r="D1934" t="s">
        <v>12007</v>
      </c>
      <c r="G1934" t="s">
        <v>12328</v>
      </c>
      <c r="H1934" t="s">
        <v>12329</v>
      </c>
      <c r="I1934" t="s">
        <v>12330</v>
      </c>
      <c r="J1934" t="s">
        <v>12328</v>
      </c>
      <c r="K1934" t="s">
        <v>12331</v>
      </c>
      <c r="L1934">
        <v>37</v>
      </c>
      <c r="O1934" t="s">
        <v>12328</v>
      </c>
      <c r="P1934" t="s">
        <v>12007</v>
      </c>
      <c r="Q1934">
        <v>1</v>
      </c>
    </row>
    <row r="1935" spans="1:17" x14ac:dyDescent="0.25">
      <c r="A1935">
        <v>4</v>
      </c>
      <c r="B1935" t="s">
        <v>12332</v>
      </c>
      <c r="C1935" t="s">
        <v>7398</v>
      </c>
      <c r="D1935" t="s">
        <v>12007</v>
      </c>
      <c r="G1935" t="s">
        <v>12333</v>
      </c>
      <c r="H1935" t="s">
        <v>12334</v>
      </c>
      <c r="I1935" t="s">
        <v>12335</v>
      </c>
      <c r="J1935" t="s">
        <v>12333</v>
      </c>
      <c r="K1935" t="s">
        <v>12336</v>
      </c>
      <c r="L1935">
        <v>4</v>
      </c>
      <c r="N1935" t="s">
        <v>4713</v>
      </c>
      <c r="O1935" t="s">
        <v>12333</v>
      </c>
      <c r="P1935" t="s">
        <v>12007</v>
      </c>
      <c r="Q1935">
        <v>1</v>
      </c>
    </row>
    <row r="1936" spans="1:17" x14ac:dyDescent="0.25">
      <c r="A1936">
        <v>3</v>
      </c>
      <c r="B1936" t="s">
        <v>12337</v>
      </c>
      <c r="C1936" t="s">
        <v>7398</v>
      </c>
      <c r="D1936" t="s">
        <v>12007</v>
      </c>
      <c r="F1936" t="s">
        <v>253</v>
      </c>
      <c r="H1936" t="s">
        <v>12338</v>
      </c>
      <c r="I1936" t="s">
        <v>1059</v>
      </c>
      <c r="J1936" t="s">
        <v>253</v>
      </c>
      <c r="O1936" t="s">
        <v>253</v>
      </c>
      <c r="P1936" t="s">
        <v>12007</v>
      </c>
      <c r="Q1936">
        <v>1</v>
      </c>
    </row>
    <row r="1937" spans="1:17" x14ac:dyDescent="0.25">
      <c r="A1937">
        <v>4</v>
      </c>
      <c r="B1937" t="s">
        <v>12339</v>
      </c>
      <c r="C1937" t="s">
        <v>7398</v>
      </c>
      <c r="D1937" t="s">
        <v>12007</v>
      </c>
      <c r="G1937" t="s">
        <v>12340</v>
      </c>
      <c r="H1937" t="s">
        <v>12341</v>
      </c>
      <c r="I1937" t="s">
        <v>12342</v>
      </c>
      <c r="J1937" t="s">
        <v>12340</v>
      </c>
      <c r="K1937" t="s">
        <v>12343</v>
      </c>
      <c r="L1937">
        <v>79</v>
      </c>
      <c r="O1937" t="s">
        <v>12340</v>
      </c>
      <c r="P1937" t="s">
        <v>12007</v>
      </c>
      <c r="Q1937">
        <v>1</v>
      </c>
    </row>
    <row r="1938" spans="1:17" x14ac:dyDescent="0.25">
      <c r="A1938">
        <v>4</v>
      </c>
      <c r="B1938" t="s">
        <v>12344</v>
      </c>
      <c r="C1938" t="s">
        <v>7398</v>
      </c>
      <c r="D1938" t="s">
        <v>12007</v>
      </c>
      <c r="G1938" t="s">
        <v>12345</v>
      </c>
      <c r="H1938" t="s">
        <v>12346</v>
      </c>
      <c r="I1938" t="s">
        <v>12347</v>
      </c>
      <c r="J1938" t="s">
        <v>12345</v>
      </c>
      <c r="K1938" t="s">
        <v>12348</v>
      </c>
      <c r="L1938">
        <v>192</v>
      </c>
      <c r="O1938" t="s">
        <v>12345</v>
      </c>
      <c r="P1938" t="s">
        <v>12007</v>
      </c>
      <c r="Q1938">
        <v>1</v>
      </c>
    </row>
    <row r="1939" spans="1:17" x14ac:dyDescent="0.25">
      <c r="A1939">
        <v>3</v>
      </c>
      <c r="B1939" t="s">
        <v>12349</v>
      </c>
      <c r="C1939" t="s">
        <v>7398</v>
      </c>
      <c r="D1939" t="s">
        <v>12007</v>
      </c>
      <c r="F1939" t="s">
        <v>12350</v>
      </c>
      <c r="H1939" t="s">
        <v>12351</v>
      </c>
      <c r="I1939" t="s">
        <v>12352</v>
      </c>
      <c r="J1939" t="s">
        <v>12350</v>
      </c>
      <c r="O1939" t="s">
        <v>12350</v>
      </c>
      <c r="P1939" t="s">
        <v>12007</v>
      </c>
      <c r="Q1939">
        <v>1</v>
      </c>
    </row>
    <row r="1940" spans="1:17" x14ac:dyDescent="0.25">
      <c r="A1940">
        <v>4</v>
      </c>
      <c r="B1940" t="s">
        <v>12353</v>
      </c>
      <c r="C1940" t="s">
        <v>7398</v>
      </c>
      <c r="D1940" t="s">
        <v>12007</v>
      </c>
      <c r="G1940" t="s">
        <v>12354</v>
      </c>
      <c r="H1940" t="s">
        <v>12351</v>
      </c>
      <c r="I1940" t="s">
        <v>12355</v>
      </c>
      <c r="J1940" t="s">
        <v>12354</v>
      </c>
      <c r="K1940" t="s">
        <v>12356</v>
      </c>
      <c r="L1940">
        <v>93</v>
      </c>
      <c r="O1940" t="s">
        <v>12354</v>
      </c>
      <c r="P1940" t="s">
        <v>12007</v>
      </c>
      <c r="Q1940">
        <v>1</v>
      </c>
    </row>
    <row r="1941" spans="1:17" x14ac:dyDescent="0.25">
      <c r="A1941">
        <v>3</v>
      </c>
      <c r="B1941" t="s">
        <v>12357</v>
      </c>
      <c r="C1941" t="s">
        <v>7398</v>
      </c>
      <c r="D1941" t="s">
        <v>12007</v>
      </c>
      <c r="F1941" t="s">
        <v>7398</v>
      </c>
      <c r="H1941" t="s">
        <v>12358</v>
      </c>
      <c r="J1941" t="e">
        <v>#N/A</v>
      </c>
      <c r="L1941" t="s">
        <v>7386</v>
      </c>
      <c r="M1941" t="s">
        <v>12359</v>
      </c>
      <c r="P1941" t="s">
        <v>12007</v>
      </c>
    </row>
    <row r="1942" spans="1:17" x14ac:dyDescent="0.25">
      <c r="A1942">
        <v>4</v>
      </c>
      <c r="B1942" t="s">
        <v>12360</v>
      </c>
      <c r="C1942" t="s">
        <v>7398</v>
      </c>
      <c r="D1942" t="s">
        <v>12007</v>
      </c>
      <c r="G1942">
        <v>12758</v>
      </c>
      <c r="H1942" t="s">
        <v>12361</v>
      </c>
      <c r="J1942">
        <v>12758</v>
      </c>
      <c r="K1942" t="s">
        <v>12362</v>
      </c>
      <c r="L1942" t="s">
        <v>7386</v>
      </c>
      <c r="M1942" t="s">
        <v>12359</v>
      </c>
      <c r="N1942" t="s">
        <v>7388</v>
      </c>
      <c r="P1942" t="s">
        <v>12007</v>
      </c>
    </row>
    <row r="1943" spans="1:17" x14ac:dyDescent="0.25">
      <c r="A1943">
        <v>4</v>
      </c>
      <c r="B1943" t="s">
        <v>12363</v>
      </c>
      <c r="C1943" t="s">
        <v>7398</v>
      </c>
      <c r="D1943" t="s">
        <v>12007</v>
      </c>
      <c r="G1943">
        <v>12760</v>
      </c>
      <c r="H1943" t="s">
        <v>12364</v>
      </c>
      <c r="J1943">
        <v>12760</v>
      </c>
      <c r="K1943" t="s">
        <v>12365</v>
      </c>
      <c r="L1943" t="s">
        <v>7386</v>
      </c>
      <c r="M1943" t="s">
        <v>12359</v>
      </c>
      <c r="N1943" t="s">
        <v>7388</v>
      </c>
      <c r="P1943" t="s">
        <v>12007</v>
      </c>
    </row>
    <row r="1944" spans="1:17" x14ac:dyDescent="0.25">
      <c r="A1944">
        <v>4</v>
      </c>
      <c r="B1944" t="s">
        <v>12366</v>
      </c>
      <c r="C1944" t="s">
        <v>7398</v>
      </c>
      <c r="D1944" t="s">
        <v>12007</v>
      </c>
      <c r="G1944">
        <v>15456</v>
      </c>
      <c r="H1944" t="s">
        <v>12367</v>
      </c>
      <c r="J1944">
        <v>15456</v>
      </c>
      <c r="K1944" t="s">
        <v>12368</v>
      </c>
      <c r="L1944" t="s">
        <v>7386</v>
      </c>
      <c r="M1944" t="s">
        <v>12359</v>
      </c>
      <c r="N1944" t="s">
        <v>7388</v>
      </c>
      <c r="P1944" t="s">
        <v>12007</v>
      </c>
    </row>
    <row r="1945" spans="1:17" x14ac:dyDescent="0.25">
      <c r="A1945">
        <v>4</v>
      </c>
      <c r="B1945" t="s">
        <v>12369</v>
      </c>
      <c r="C1945" t="s">
        <v>7398</v>
      </c>
      <c r="D1945" t="s">
        <v>12007</v>
      </c>
      <c r="G1945">
        <v>7318</v>
      </c>
      <c r="H1945" t="s">
        <v>12370</v>
      </c>
      <c r="J1945">
        <v>7318</v>
      </c>
      <c r="K1945" t="s">
        <v>12371</v>
      </c>
      <c r="L1945" t="s">
        <v>7386</v>
      </c>
      <c r="M1945" t="s">
        <v>12359</v>
      </c>
      <c r="N1945" t="s">
        <v>7388</v>
      </c>
      <c r="P1945" t="s">
        <v>12007</v>
      </c>
    </row>
    <row r="1946" spans="1:17" x14ac:dyDescent="0.25">
      <c r="A1946">
        <v>4</v>
      </c>
      <c r="B1946" t="s">
        <v>12372</v>
      </c>
      <c r="C1946" t="s">
        <v>7398</v>
      </c>
      <c r="D1946" t="s">
        <v>12007</v>
      </c>
      <c r="G1946" t="s">
        <v>12373</v>
      </c>
      <c r="H1946" t="s">
        <v>12374</v>
      </c>
      <c r="J1946" t="s">
        <v>12373</v>
      </c>
      <c r="K1946" t="s">
        <v>12375</v>
      </c>
      <c r="L1946" t="s">
        <v>7386</v>
      </c>
      <c r="M1946" t="s">
        <v>12359</v>
      </c>
      <c r="N1946" t="s">
        <v>7388</v>
      </c>
      <c r="P1946" t="s">
        <v>12007</v>
      </c>
    </row>
    <row r="1947" spans="1:17" x14ac:dyDescent="0.25">
      <c r="A1947">
        <v>4</v>
      </c>
      <c r="B1947" t="s">
        <v>12376</v>
      </c>
      <c r="C1947" t="s">
        <v>7398</v>
      </c>
      <c r="D1947" t="s">
        <v>12007</v>
      </c>
      <c r="G1947" t="s">
        <v>12377</v>
      </c>
      <c r="H1947" t="s">
        <v>12378</v>
      </c>
      <c r="J1947" t="s">
        <v>12377</v>
      </c>
      <c r="K1947" t="s">
        <v>12379</v>
      </c>
      <c r="L1947" t="s">
        <v>7386</v>
      </c>
      <c r="M1947" t="s">
        <v>12359</v>
      </c>
      <c r="N1947" t="s">
        <v>7388</v>
      </c>
      <c r="P1947" t="s">
        <v>12007</v>
      </c>
    </row>
    <row r="1948" spans="1:17" x14ac:dyDescent="0.25">
      <c r="A1948">
        <v>4</v>
      </c>
      <c r="B1948" t="s">
        <v>12380</v>
      </c>
      <c r="C1948" t="s">
        <v>7398</v>
      </c>
      <c r="D1948" t="s">
        <v>12007</v>
      </c>
      <c r="G1948">
        <v>184806</v>
      </c>
      <c r="H1948" t="s">
        <v>12381</v>
      </c>
      <c r="I1948" t="s">
        <v>12382</v>
      </c>
      <c r="J1948">
        <v>184806</v>
      </c>
      <c r="K1948" t="s">
        <v>12383</v>
      </c>
      <c r="L1948">
        <v>40</v>
      </c>
      <c r="O1948">
        <v>184806</v>
      </c>
      <c r="P1948" t="s">
        <v>12007</v>
      </c>
      <c r="Q1948">
        <v>1</v>
      </c>
    </row>
    <row r="1949" spans="1:17" x14ac:dyDescent="0.25">
      <c r="A1949">
        <v>4</v>
      </c>
      <c r="B1949" t="s">
        <v>12384</v>
      </c>
      <c r="C1949" t="s">
        <v>7398</v>
      </c>
      <c r="D1949" t="s">
        <v>12007</v>
      </c>
      <c r="G1949">
        <v>25295</v>
      </c>
      <c r="H1949" t="s">
        <v>12385</v>
      </c>
      <c r="I1949" t="s">
        <v>12386</v>
      </c>
      <c r="J1949">
        <v>25295</v>
      </c>
      <c r="K1949" t="s">
        <v>12387</v>
      </c>
      <c r="L1949">
        <v>85</v>
      </c>
      <c r="O1949">
        <v>25295</v>
      </c>
      <c r="P1949" t="s">
        <v>12007</v>
      </c>
      <c r="Q1949">
        <v>1</v>
      </c>
    </row>
    <row r="1950" spans="1:17" x14ac:dyDescent="0.25">
      <c r="A1950">
        <v>4</v>
      </c>
      <c r="B1950" t="s">
        <v>12388</v>
      </c>
      <c r="C1950" t="s">
        <v>7398</v>
      </c>
      <c r="D1950" t="s">
        <v>12007</v>
      </c>
      <c r="G1950">
        <v>661997</v>
      </c>
      <c r="H1950" t="s">
        <v>12389</v>
      </c>
      <c r="I1950" t="s">
        <v>12390</v>
      </c>
      <c r="J1950">
        <v>661997</v>
      </c>
      <c r="K1950" t="s">
        <v>12391</v>
      </c>
      <c r="L1950">
        <v>2</v>
      </c>
      <c r="N1950" t="s">
        <v>4713</v>
      </c>
      <c r="O1950">
        <v>661997</v>
      </c>
      <c r="P1950" t="s">
        <v>12007</v>
      </c>
      <c r="Q1950">
        <v>1</v>
      </c>
    </row>
    <row r="1951" spans="1:17" x14ac:dyDescent="0.25">
      <c r="A1951">
        <v>4</v>
      </c>
      <c r="B1951" t="s">
        <v>12392</v>
      </c>
      <c r="C1951" t="s">
        <v>7398</v>
      </c>
      <c r="D1951" t="s">
        <v>12007</v>
      </c>
      <c r="G1951">
        <v>661999</v>
      </c>
      <c r="H1951" t="s">
        <v>12393</v>
      </c>
      <c r="I1951" t="s">
        <v>12394</v>
      </c>
      <c r="J1951">
        <v>661999</v>
      </c>
      <c r="K1951" t="s">
        <v>12395</v>
      </c>
      <c r="L1951">
        <v>18</v>
      </c>
      <c r="O1951">
        <v>661999</v>
      </c>
      <c r="P1951" t="s">
        <v>12007</v>
      </c>
      <c r="Q1951">
        <v>1</v>
      </c>
    </row>
    <row r="1952" spans="1:17" x14ac:dyDescent="0.25">
      <c r="A1952">
        <v>4</v>
      </c>
      <c r="B1952" t="s">
        <v>12396</v>
      </c>
      <c r="C1952" t="s">
        <v>7398</v>
      </c>
      <c r="D1952" t="s">
        <v>12007</v>
      </c>
      <c r="G1952" t="s">
        <v>12397</v>
      </c>
      <c r="H1952" t="s">
        <v>12398</v>
      </c>
      <c r="I1952" t="s">
        <v>12399</v>
      </c>
      <c r="J1952" t="s">
        <v>12397</v>
      </c>
      <c r="K1952" t="s">
        <v>12400</v>
      </c>
      <c r="L1952">
        <v>60</v>
      </c>
      <c r="O1952" t="s">
        <v>12397</v>
      </c>
      <c r="P1952" t="s">
        <v>12007</v>
      </c>
      <c r="Q1952">
        <v>1</v>
      </c>
    </row>
    <row r="1953" spans="1:17" x14ac:dyDescent="0.25">
      <c r="A1953">
        <v>4</v>
      </c>
      <c r="B1953" t="s">
        <v>12401</v>
      </c>
      <c r="C1953" t="s">
        <v>7398</v>
      </c>
      <c r="D1953" t="s">
        <v>12007</v>
      </c>
      <c r="G1953" t="s">
        <v>12402</v>
      </c>
      <c r="H1953" t="s">
        <v>12403</v>
      </c>
      <c r="I1953" t="s">
        <v>556</v>
      </c>
      <c r="J1953" t="s">
        <v>12402</v>
      </c>
      <c r="K1953" t="s">
        <v>12404</v>
      </c>
      <c r="L1953">
        <v>76</v>
      </c>
      <c r="O1953" t="s">
        <v>12402</v>
      </c>
      <c r="P1953" t="s">
        <v>12007</v>
      </c>
      <c r="Q1953">
        <v>1</v>
      </c>
    </row>
    <row r="1954" spans="1:17" x14ac:dyDescent="0.25">
      <c r="A1954">
        <v>4</v>
      </c>
      <c r="B1954" t="s">
        <v>12405</v>
      </c>
      <c r="C1954" t="s">
        <v>7398</v>
      </c>
      <c r="D1954" t="s">
        <v>12007</v>
      </c>
      <c r="G1954" t="s">
        <v>12406</v>
      </c>
      <c r="H1954" t="s">
        <v>12407</v>
      </c>
      <c r="I1954" t="s">
        <v>12408</v>
      </c>
      <c r="J1954" t="s">
        <v>12406</v>
      </c>
      <c r="K1954" t="s">
        <v>12409</v>
      </c>
      <c r="L1954">
        <v>103</v>
      </c>
      <c r="O1954" t="s">
        <v>12406</v>
      </c>
      <c r="P1954" t="s">
        <v>12007</v>
      </c>
      <c r="Q1954">
        <v>1</v>
      </c>
    </row>
    <row r="1955" spans="1:17" x14ac:dyDescent="0.25">
      <c r="A1955">
        <v>1</v>
      </c>
      <c r="B1955">
        <v>12</v>
      </c>
      <c r="C1955" t="s">
        <v>7398</v>
      </c>
      <c r="D1955" t="s">
        <v>12410</v>
      </c>
      <c r="H1955" t="s">
        <v>12410</v>
      </c>
      <c r="I1955" t="e">
        <v>#N/A</v>
      </c>
      <c r="J1955" t="e">
        <v>#N/A</v>
      </c>
      <c r="O1955" t="s">
        <v>7398</v>
      </c>
      <c r="P1955" t="s">
        <v>12410</v>
      </c>
      <c r="Q1955">
        <v>9</v>
      </c>
    </row>
    <row r="1956" spans="1:17" x14ac:dyDescent="0.25">
      <c r="A1956">
        <v>2</v>
      </c>
      <c r="B1956" t="s">
        <v>12411</v>
      </c>
      <c r="C1956" t="s">
        <v>7398</v>
      </c>
      <c r="D1956" t="s">
        <v>12410</v>
      </c>
      <c r="E1956" t="s">
        <v>613</v>
      </c>
      <c r="H1956" t="s">
        <v>898</v>
      </c>
      <c r="I1956" t="s">
        <v>1032</v>
      </c>
      <c r="J1956" t="s">
        <v>613</v>
      </c>
      <c r="O1956" t="s">
        <v>613</v>
      </c>
      <c r="P1956" t="s">
        <v>12410</v>
      </c>
      <c r="Q1956">
        <v>1</v>
      </c>
    </row>
    <row r="1957" spans="1:17" x14ac:dyDescent="0.25">
      <c r="A1957">
        <v>4</v>
      </c>
      <c r="B1957" t="s">
        <v>12412</v>
      </c>
      <c r="C1957" t="s">
        <v>7398</v>
      </c>
      <c r="D1957" t="s">
        <v>12410</v>
      </c>
      <c r="G1957">
        <v>167322</v>
      </c>
      <c r="H1957" t="s">
        <v>12413</v>
      </c>
      <c r="I1957" t="s">
        <v>12414</v>
      </c>
      <c r="J1957">
        <v>167322</v>
      </c>
      <c r="K1957" t="s">
        <v>12415</v>
      </c>
      <c r="L1957">
        <v>41</v>
      </c>
      <c r="O1957">
        <v>167322</v>
      </c>
      <c r="P1957" t="s">
        <v>12410</v>
      </c>
      <c r="Q1957">
        <v>1</v>
      </c>
    </row>
    <row r="1958" spans="1:17" x14ac:dyDescent="0.25">
      <c r="A1958">
        <v>4</v>
      </c>
      <c r="B1958" t="s">
        <v>12416</v>
      </c>
      <c r="C1958" t="s">
        <v>7398</v>
      </c>
      <c r="D1958" t="s">
        <v>12410</v>
      </c>
      <c r="G1958">
        <v>167509</v>
      </c>
      <c r="H1958" t="s">
        <v>12417</v>
      </c>
      <c r="I1958" t="s">
        <v>12418</v>
      </c>
      <c r="J1958">
        <v>167509</v>
      </c>
      <c r="K1958" t="s">
        <v>12419</v>
      </c>
      <c r="L1958">
        <v>48</v>
      </c>
      <c r="O1958">
        <v>167509</v>
      </c>
      <c r="P1958" t="s">
        <v>12410</v>
      </c>
      <c r="Q1958">
        <v>1</v>
      </c>
    </row>
    <row r="1959" spans="1:17" x14ac:dyDescent="0.25">
      <c r="A1959">
        <v>4</v>
      </c>
      <c r="B1959" t="s">
        <v>12420</v>
      </c>
      <c r="C1959" t="s">
        <v>7398</v>
      </c>
      <c r="D1959" t="s">
        <v>12410</v>
      </c>
      <c r="G1959">
        <v>169050</v>
      </c>
      <c r="H1959" t="s">
        <v>12421</v>
      </c>
      <c r="I1959" t="s">
        <v>12422</v>
      </c>
      <c r="J1959">
        <v>169050</v>
      </c>
      <c r="K1959" t="s">
        <v>12423</v>
      </c>
      <c r="L1959">
        <v>2</v>
      </c>
      <c r="N1959" t="s">
        <v>4713</v>
      </c>
      <c r="O1959">
        <v>169050</v>
      </c>
      <c r="P1959" t="s">
        <v>12410</v>
      </c>
      <c r="Q1959">
        <v>1</v>
      </c>
    </row>
    <row r="1960" spans="1:17" x14ac:dyDescent="0.25">
      <c r="A1960">
        <v>4</v>
      </c>
      <c r="B1960" t="s">
        <v>12424</v>
      </c>
      <c r="C1960" t="s">
        <v>7398</v>
      </c>
      <c r="D1960" t="s">
        <v>12410</v>
      </c>
      <c r="G1960">
        <v>169060</v>
      </c>
      <c r="H1960" t="s">
        <v>12425</v>
      </c>
      <c r="I1960" t="s">
        <v>12426</v>
      </c>
      <c r="J1960">
        <v>169060</v>
      </c>
      <c r="K1960" t="s">
        <v>12427</v>
      </c>
      <c r="L1960">
        <v>12</v>
      </c>
      <c r="O1960">
        <v>169060</v>
      </c>
      <c r="P1960" t="s">
        <v>12410</v>
      </c>
      <c r="Q1960">
        <v>1</v>
      </c>
    </row>
    <row r="1961" spans="1:17" x14ac:dyDescent="0.25">
      <c r="A1961">
        <v>4</v>
      </c>
      <c r="B1961" t="s">
        <v>12428</v>
      </c>
      <c r="C1961" t="s">
        <v>7398</v>
      </c>
      <c r="D1961" t="s">
        <v>12410</v>
      </c>
      <c r="G1961">
        <v>178111</v>
      </c>
      <c r="H1961" t="s">
        <v>12429</v>
      </c>
      <c r="I1961" t="s">
        <v>12430</v>
      </c>
      <c r="J1961">
        <v>178111</v>
      </c>
      <c r="K1961" t="s">
        <v>12431</v>
      </c>
      <c r="L1961">
        <v>34</v>
      </c>
      <c r="O1961">
        <v>178111</v>
      </c>
      <c r="P1961" t="s">
        <v>12410</v>
      </c>
      <c r="Q1961">
        <v>1</v>
      </c>
    </row>
    <row r="1962" spans="1:17" x14ac:dyDescent="0.25">
      <c r="A1962">
        <v>4</v>
      </c>
      <c r="B1962" t="s">
        <v>12432</v>
      </c>
      <c r="C1962" t="s">
        <v>7398</v>
      </c>
      <c r="D1962" t="s">
        <v>12410</v>
      </c>
      <c r="G1962">
        <v>185450</v>
      </c>
      <c r="H1962" t="s">
        <v>9687</v>
      </c>
      <c r="I1962" t="s">
        <v>9688</v>
      </c>
      <c r="J1962">
        <v>185450</v>
      </c>
      <c r="K1962" t="s">
        <v>12433</v>
      </c>
      <c r="L1962">
        <v>288</v>
      </c>
      <c r="O1962">
        <v>185450</v>
      </c>
      <c r="P1962" t="s">
        <v>12410</v>
      </c>
      <c r="Q1962">
        <v>1</v>
      </c>
    </row>
    <row r="1963" spans="1:17" x14ac:dyDescent="0.25">
      <c r="A1963">
        <v>4</v>
      </c>
      <c r="B1963" t="s">
        <v>12434</v>
      </c>
      <c r="C1963" t="s">
        <v>7398</v>
      </c>
      <c r="D1963" t="s">
        <v>12410</v>
      </c>
      <c r="G1963">
        <v>26240</v>
      </c>
      <c r="H1963" t="s">
        <v>12435</v>
      </c>
      <c r="I1963" t="s">
        <v>12436</v>
      </c>
      <c r="J1963">
        <v>26240</v>
      </c>
      <c r="K1963" t="s">
        <v>12437</v>
      </c>
      <c r="L1963">
        <v>35</v>
      </c>
      <c r="O1963">
        <v>26240</v>
      </c>
      <c r="P1963" t="s">
        <v>12410</v>
      </c>
      <c r="Q1963">
        <v>1</v>
      </c>
    </row>
    <row r="1964" spans="1:17" x14ac:dyDescent="0.25">
      <c r="A1964">
        <v>4</v>
      </c>
      <c r="B1964" t="s">
        <v>12438</v>
      </c>
      <c r="C1964" t="s">
        <v>7398</v>
      </c>
      <c r="D1964" t="s">
        <v>12410</v>
      </c>
      <c r="G1964" t="s">
        <v>12439</v>
      </c>
      <c r="H1964" t="s">
        <v>12440</v>
      </c>
      <c r="I1964" t="s">
        <v>12441</v>
      </c>
      <c r="J1964" t="s">
        <v>12439</v>
      </c>
      <c r="K1964" t="s">
        <v>12442</v>
      </c>
      <c r="L1964">
        <v>64</v>
      </c>
      <c r="O1964" t="s">
        <v>12439</v>
      </c>
      <c r="P1964" t="s">
        <v>12410</v>
      </c>
      <c r="Q1964">
        <v>1</v>
      </c>
    </row>
    <row r="1965" spans="1:17" x14ac:dyDescent="0.25">
      <c r="A1965">
        <v>2</v>
      </c>
      <c r="B1965" t="s">
        <v>12443</v>
      </c>
      <c r="C1965" t="s">
        <v>7398</v>
      </c>
      <c r="D1965" t="s">
        <v>12410</v>
      </c>
      <c r="E1965" t="s">
        <v>610</v>
      </c>
      <c r="H1965" t="s">
        <v>895</v>
      </c>
      <c r="I1965" t="s">
        <v>1030</v>
      </c>
      <c r="J1965" t="s">
        <v>610</v>
      </c>
      <c r="O1965" t="s">
        <v>610</v>
      </c>
      <c r="P1965" t="s">
        <v>12410</v>
      </c>
      <c r="Q1965">
        <v>1</v>
      </c>
    </row>
    <row r="1966" spans="1:17" x14ac:dyDescent="0.25">
      <c r="A1966">
        <v>4</v>
      </c>
      <c r="B1966" t="s">
        <v>12444</v>
      </c>
      <c r="C1966" t="s">
        <v>7398</v>
      </c>
      <c r="D1966" t="s">
        <v>12410</v>
      </c>
      <c r="G1966">
        <v>167634</v>
      </c>
      <c r="H1966" t="s">
        <v>12445</v>
      </c>
      <c r="I1966" t="s">
        <v>12446</v>
      </c>
      <c r="J1966">
        <v>167634</v>
      </c>
      <c r="K1966" t="s">
        <v>12447</v>
      </c>
      <c r="L1966">
        <v>2</v>
      </c>
      <c r="N1966" t="s">
        <v>4713</v>
      </c>
      <c r="O1966">
        <v>167634</v>
      </c>
      <c r="P1966" t="s">
        <v>12410</v>
      </c>
      <c r="Q1966">
        <v>1</v>
      </c>
    </row>
    <row r="1967" spans="1:17" x14ac:dyDescent="0.25">
      <c r="A1967">
        <v>4</v>
      </c>
      <c r="B1967" t="s">
        <v>12448</v>
      </c>
      <c r="C1967" t="s">
        <v>7398</v>
      </c>
      <c r="D1967" t="s">
        <v>12410</v>
      </c>
      <c r="G1967">
        <v>168447</v>
      </c>
      <c r="H1967" t="s">
        <v>12449</v>
      </c>
      <c r="I1967" t="s">
        <v>12450</v>
      </c>
      <c r="J1967">
        <v>168447</v>
      </c>
      <c r="K1967" t="s">
        <v>12451</v>
      </c>
      <c r="L1967">
        <v>7</v>
      </c>
      <c r="N1967" t="s">
        <v>4713</v>
      </c>
      <c r="O1967">
        <v>168447</v>
      </c>
      <c r="P1967" t="s">
        <v>12410</v>
      </c>
      <c r="Q1967">
        <v>1</v>
      </c>
    </row>
    <row r="1968" spans="1:17" x14ac:dyDescent="0.25">
      <c r="A1968">
        <v>4</v>
      </c>
      <c r="B1968" t="s">
        <v>12452</v>
      </c>
      <c r="C1968" t="s">
        <v>7398</v>
      </c>
      <c r="D1968" t="s">
        <v>12410</v>
      </c>
      <c r="G1968">
        <v>169288</v>
      </c>
      <c r="H1968" t="s">
        <v>12453</v>
      </c>
      <c r="I1968" t="s">
        <v>12454</v>
      </c>
      <c r="J1968">
        <v>169288</v>
      </c>
      <c r="K1968" t="s">
        <v>12455</v>
      </c>
      <c r="L1968">
        <v>27</v>
      </c>
      <c r="O1968">
        <v>169288</v>
      </c>
      <c r="P1968" t="s">
        <v>12410</v>
      </c>
      <c r="Q1968">
        <v>1</v>
      </c>
    </row>
    <row r="1969" spans="1:17" x14ac:dyDescent="0.25">
      <c r="A1969">
        <v>4</v>
      </c>
      <c r="B1969" t="s">
        <v>12456</v>
      </c>
      <c r="C1969" t="s">
        <v>7398</v>
      </c>
      <c r="D1969" t="s">
        <v>12410</v>
      </c>
      <c r="G1969">
        <v>178130</v>
      </c>
      <c r="H1969" t="s">
        <v>12457</v>
      </c>
      <c r="I1969" t="s">
        <v>12458</v>
      </c>
      <c r="J1969">
        <v>178130</v>
      </c>
      <c r="K1969" t="s">
        <v>12459</v>
      </c>
      <c r="L1969">
        <v>21</v>
      </c>
      <c r="O1969">
        <v>178130</v>
      </c>
      <c r="P1969" t="s">
        <v>12410</v>
      </c>
      <c r="Q1969">
        <v>1</v>
      </c>
    </row>
    <row r="1970" spans="1:17" x14ac:dyDescent="0.25">
      <c r="A1970">
        <v>4</v>
      </c>
      <c r="B1970" t="s">
        <v>12460</v>
      </c>
      <c r="C1970" t="s">
        <v>7398</v>
      </c>
      <c r="D1970" t="s">
        <v>12410</v>
      </c>
      <c r="G1970">
        <v>26225</v>
      </c>
      <c r="H1970" t="s">
        <v>5794</v>
      </c>
      <c r="I1970" t="s">
        <v>12461</v>
      </c>
      <c r="J1970">
        <v>26225</v>
      </c>
      <c r="K1970" t="s">
        <v>12462</v>
      </c>
      <c r="L1970">
        <v>1</v>
      </c>
      <c r="N1970" t="s">
        <v>4734</v>
      </c>
      <c r="O1970">
        <v>26225</v>
      </c>
      <c r="P1970" t="s">
        <v>12410</v>
      </c>
      <c r="Q1970">
        <v>1</v>
      </c>
    </row>
    <row r="1971" spans="1:17" x14ac:dyDescent="0.25">
      <c r="A1971">
        <v>4</v>
      </c>
      <c r="B1971" t="s">
        <v>12463</v>
      </c>
      <c r="C1971" t="s">
        <v>7398</v>
      </c>
      <c r="D1971" t="s">
        <v>12410</v>
      </c>
      <c r="G1971" t="s">
        <v>12464</v>
      </c>
      <c r="H1971" t="s">
        <v>12465</v>
      </c>
      <c r="I1971" t="s">
        <v>12466</v>
      </c>
      <c r="J1971" t="s">
        <v>12464</v>
      </c>
      <c r="K1971" t="s">
        <v>12467</v>
      </c>
      <c r="L1971">
        <v>9</v>
      </c>
      <c r="N1971" t="s">
        <v>4713</v>
      </c>
      <c r="O1971" t="s">
        <v>12464</v>
      </c>
      <c r="P1971" t="s">
        <v>12410</v>
      </c>
      <c r="Q1971">
        <v>1</v>
      </c>
    </row>
    <row r="1972" spans="1:17" x14ac:dyDescent="0.25">
      <c r="A1972">
        <v>2</v>
      </c>
      <c r="B1972" t="s">
        <v>12468</v>
      </c>
      <c r="C1972" t="s">
        <v>7398</v>
      </c>
      <c r="D1972" t="s">
        <v>12410</v>
      </c>
      <c r="E1972" t="s">
        <v>616</v>
      </c>
      <c r="H1972" t="s">
        <v>901</v>
      </c>
      <c r="I1972" t="s">
        <v>1035</v>
      </c>
      <c r="J1972" t="s">
        <v>616</v>
      </c>
      <c r="O1972" t="s">
        <v>616</v>
      </c>
      <c r="P1972" t="s">
        <v>12410</v>
      </c>
      <c r="Q1972">
        <v>1</v>
      </c>
    </row>
    <row r="1973" spans="1:17" x14ac:dyDescent="0.25">
      <c r="A1973">
        <v>4</v>
      </c>
      <c r="B1973" t="s">
        <v>12469</v>
      </c>
      <c r="C1973" t="s">
        <v>7398</v>
      </c>
      <c r="D1973" t="s">
        <v>12410</v>
      </c>
      <c r="G1973">
        <v>177591</v>
      </c>
      <c r="H1973" t="s">
        <v>12470</v>
      </c>
      <c r="I1973" t="s">
        <v>12471</v>
      </c>
      <c r="J1973">
        <v>177591</v>
      </c>
      <c r="K1973" t="s">
        <v>12472</v>
      </c>
      <c r="L1973">
        <v>18</v>
      </c>
      <c r="O1973">
        <v>177591</v>
      </c>
      <c r="P1973" t="s">
        <v>12410</v>
      </c>
      <c r="Q1973">
        <v>1</v>
      </c>
    </row>
    <row r="1974" spans="1:17" x14ac:dyDescent="0.25">
      <c r="A1974">
        <v>4</v>
      </c>
      <c r="B1974" t="s">
        <v>12473</v>
      </c>
      <c r="C1974" t="s">
        <v>7398</v>
      </c>
      <c r="D1974" t="s">
        <v>12410</v>
      </c>
      <c r="G1974">
        <v>42782</v>
      </c>
      <c r="H1974" t="s">
        <v>12474</v>
      </c>
      <c r="I1974" t="s">
        <v>12475</v>
      </c>
      <c r="J1974">
        <v>42782</v>
      </c>
      <c r="K1974" t="s">
        <v>12476</v>
      </c>
      <c r="L1974">
        <v>27</v>
      </c>
      <c r="O1974">
        <v>42782</v>
      </c>
      <c r="P1974" t="s">
        <v>12410</v>
      </c>
      <c r="Q1974">
        <v>1</v>
      </c>
    </row>
    <row r="1975" spans="1:17" x14ac:dyDescent="0.25">
      <c r="A1975">
        <v>4</v>
      </c>
      <c r="B1975" t="s">
        <v>12477</v>
      </c>
      <c r="C1975" t="s">
        <v>7398</v>
      </c>
      <c r="D1975" t="s">
        <v>12410</v>
      </c>
      <c r="G1975">
        <v>43024</v>
      </c>
      <c r="H1975" t="s">
        <v>12478</v>
      </c>
      <c r="I1975" t="s">
        <v>12479</v>
      </c>
      <c r="J1975">
        <v>43024</v>
      </c>
      <c r="K1975" t="s">
        <v>12480</v>
      </c>
      <c r="L1975">
        <v>4</v>
      </c>
      <c r="N1975" t="s">
        <v>4713</v>
      </c>
      <c r="O1975">
        <v>43024</v>
      </c>
      <c r="P1975" t="s">
        <v>12410</v>
      </c>
      <c r="Q1975">
        <v>1</v>
      </c>
    </row>
    <row r="1976" spans="1:17" x14ac:dyDescent="0.25">
      <c r="A1976">
        <v>4</v>
      </c>
      <c r="B1976" t="s">
        <v>12481</v>
      </c>
      <c r="C1976" t="s">
        <v>7398</v>
      </c>
      <c r="D1976" t="s">
        <v>12410</v>
      </c>
      <c r="G1976">
        <v>43058</v>
      </c>
      <c r="H1976" t="s">
        <v>12482</v>
      </c>
      <c r="I1976" t="s">
        <v>12483</v>
      </c>
      <c r="J1976">
        <v>43058</v>
      </c>
      <c r="K1976" t="s">
        <v>12484</v>
      </c>
      <c r="L1976">
        <v>4</v>
      </c>
      <c r="N1976" t="s">
        <v>4713</v>
      </c>
      <c r="O1976">
        <v>43058</v>
      </c>
      <c r="P1976" t="s">
        <v>12410</v>
      </c>
      <c r="Q1976">
        <v>1</v>
      </c>
    </row>
    <row r="1977" spans="1:17" x14ac:dyDescent="0.25">
      <c r="A1977">
        <v>4</v>
      </c>
      <c r="B1977" t="s">
        <v>12485</v>
      </c>
      <c r="C1977" t="s">
        <v>7398</v>
      </c>
      <c r="D1977" t="s">
        <v>12410</v>
      </c>
      <c r="G1977">
        <v>43060</v>
      </c>
      <c r="H1977" t="s">
        <v>12486</v>
      </c>
      <c r="I1977" t="s">
        <v>5235</v>
      </c>
      <c r="J1977">
        <v>43060</v>
      </c>
      <c r="K1977" t="s">
        <v>12487</v>
      </c>
      <c r="L1977">
        <v>5</v>
      </c>
      <c r="N1977" t="s">
        <v>4713</v>
      </c>
      <c r="O1977">
        <v>43060</v>
      </c>
      <c r="P1977" t="s">
        <v>12410</v>
      </c>
      <c r="Q1977">
        <v>1</v>
      </c>
    </row>
    <row r="1978" spans="1:17" x14ac:dyDescent="0.25">
      <c r="A1978">
        <v>4</v>
      </c>
      <c r="B1978" t="s">
        <v>12488</v>
      </c>
      <c r="C1978" t="s">
        <v>7398</v>
      </c>
      <c r="D1978" t="s">
        <v>12410</v>
      </c>
      <c r="G1978">
        <v>43154</v>
      </c>
      <c r="H1978" t="s">
        <v>12489</v>
      </c>
      <c r="I1978" t="s">
        <v>12490</v>
      </c>
      <c r="J1978">
        <v>43154</v>
      </c>
      <c r="K1978" t="s">
        <v>12491</v>
      </c>
      <c r="L1978">
        <v>30</v>
      </c>
      <c r="O1978">
        <v>43154</v>
      </c>
      <c r="P1978" t="s">
        <v>12410</v>
      </c>
      <c r="Q1978">
        <v>1</v>
      </c>
    </row>
    <row r="1979" spans="1:17" x14ac:dyDescent="0.25">
      <c r="A1979">
        <v>4</v>
      </c>
      <c r="B1979" t="s">
        <v>12492</v>
      </c>
      <c r="C1979" t="s">
        <v>7398</v>
      </c>
      <c r="D1979" t="s">
        <v>12410</v>
      </c>
      <c r="G1979">
        <v>43318</v>
      </c>
      <c r="H1979" t="s">
        <v>12493</v>
      </c>
      <c r="I1979" t="s">
        <v>12494</v>
      </c>
      <c r="J1979">
        <v>43318</v>
      </c>
      <c r="K1979" t="s">
        <v>12495</v>
      </c>
      <c r="L1979">
        <v>5</v>
      </c>
      <c r="N1979" t="s">
        <v>4713</v>
      </c>
      <c r="O1979">
        <v>43318</v>
      </c>
      <c r="P1979" t="s">
        <v>12410</v>
      </c>
      <c r="Q1979">
        <v>1</v>
      </c>
    </row>
    <row r="1980" spans="1:17" x14ac:dyDescent="0.25">
      <c r="A1980">
        <v>4</v>
      </c>
      <c r="B1980" t="s">
        <v>12496</v>
      </c>
      <c r="C1980" t="s">
        <v>7398</v>
      </c>
      <c r="D1980" t="s">
        <v>12410</v>
      </c>
      <c r="G1980">
        <v>43354</v>
      </c>
      <c r="H1980" t="s">
        <v>12497</v>
      </c>
      <c r="I1980" t="s">
        <v>12498</v>
      </c>
      <c r="J1980">
        <v>43354</v>
      </c>
      <c r="K1980" t="s">
        <v>12499</v>
      </c>
      <c r="L1980">
        <v>37</v>
      </c>
      <c r="O1980">
        <v>43354</v>
      </c>
      <c r="P1980" t="s">
        <v>12410</v>
      </c>
      <c r="Q1980">
        <v>1</v>
      </c>
    </row>
    <row r="1981" spans="1:17" x14ac:dyDescent="0.25">
      <c r="A1981">
        <v>4</v>
      </c>
      <c r="B1981" t="s">
        <v>12500</v>
      </c>
      <c r="C1981" t="s">
        <v>7398</v>
      </c>
      <c r="D1981" t="s">
        <v>12410</v>
      </c>
      <c r="G1981">
        <v>43418</v>
      </c>
      <c r="H1981" t="s">
        <v>12501</v>
      </c>
      <c r="I1981" t="s">
        <v>12502</v>
      </c>
      <c r="J1981">
        <v>43418</v>
      </c>
      <c r="K1981" t="s">
        <v>12503</v>
      </c>
      <c r="L1981">
        <v>28</v>
      </c>
      <c r="O1981">
        <v>43418</v>
      </c>
      <c r="P1981" t="s">
        <v>12410</v>
      </c>
      <c r="Q1981">
        <v>1</v>
      </c>
    </row>
    <row r="1982" spans="1:17" x14ac:dyDescent="0.25">
      <c r="A1982">
        <v>4</v>
      </c>
      <c r="B1982" t="s">
        <v>12504</v>
      </c>
      <c r="C1982" t="s">
        <v>7398</v>
      </c>
      <c r="D1982" t="s">
        <v>12410</v>
      </c>
      <c r="G1982">
        <v>43452</v>
      </c>
      <c r="H1982" t="s">
        <v>12505</v>
      </c>
      <c r="I1982" t="s">
        <v>12506</v>
      </c>
      <c r="J1982">
        <v>43452</v>
      </c>
      <c r="K1982" t="s">
        <v>12507</v>
      </c>
      <c r="L1982">
        <v>5</v>
      </c>
      <c r="N1982" t="s">
        <v>4713</v>
      </c>
      <c r="O1982">
        <v>43452</v>
      </c>
      <c r="P1982" t="s">
        <v>12410</v>
      </c>
      <c r="Q1982">
        <v>1</v>
      </c>
    </row>
    <row r="1983" spans="1:17" x14ac:dyDescent="0.25">
      <c r="A1983">
        <v>4</v>
      </c>
      <c r="B1983" t="s">
        <v>12508</v>
      </c>
      <c r="C1983" t="s">
        <v>7398</v>
      </c>
      <c r="D1983" t="s">
        <v>12410</v>
      </c>
      <c r="G1983">
        <v>43518</v>
      </c>
      <c r="H1983" t="s">
        <v>12509</v>
      </c>
      <c r="I1983" t="s">
        <v>12510</v>
      </c>
      <c r="J1983">
        <v>43518</v>
      </c>
      <c r="K1983" t="s">
        <v>12511</v>
      </c>
      <c r="L1983">
        <v>199</v>
      </c>
      <c r="O1983">
        <v>43518</v>
      </c>
      <c r="P1983" t="s">
        <v>12410</v>
      </c>
      <c r="Q1983">
        <v>1</v>
      </c>
    </row>
    <row r="1984" spans="1:17" x14ac:dyDescent="0.25">
      <c r="A1984">
        <v>4</v>
      </c>
      <c r="B1984" t="s">
        <v>12512</v>
      </c>
      <c r="C1984" t="s">
        <v>7398</v>
      </c>
      <c r="D1984" t="s">
        <v>12410</v>
      </c>
      <c r="G1984">
        <v>43527</v>
      </c>
      <c r="H1984" t="s">
        <v>12513</v>
      </c>
      <c r="I1984" t="s">
        <v>12514</v>
      </c>
      <c r="J1984">
        <v>43527</v>
      </c>
      <c r="K1984" t="s">
        <v>12515</v>
      </c>
      <c r="L1984">
        <v>36</v>
      </c>
      <c r="O1984">
        <v>43527</v>
      </c>
      <c r="P1984" t="s">
        <v>12410</v>
      </c>
      <c r="Q1984">
        <v>1</v>
      </c>
    </row>
    <row r="1985" spans="1:17" x14ac:dyDescent="0.25">
      <c r="A1985">
        <v>2</v>
      </c>
      <c r="B1985" t="s">
        <v>12516</v>
      </c>
      <c r="C1985" t="s">
        <v>7398</v>
      </c>
      <c r="D1985" t="s">
        <v>12410</v>
      </c>
      <c r="E1985" t="s">
        <v>589</v>
      </c>
      <c r="H1985" t="s">
        <v>883</v>
      </c>
      <c r="I1985" t="s">
        <v>1020</v>
      </c>
      <c r="J1985" t="s">
        <v>589</v>
      </c>
      <c r="O1985" t="s">
        <v>589</v>
      </c>
      <c r="P1985" t="s">
        <v>12410</v>
      </c>
      <c r="Q1985">
        <v>1</v>
      </c>
    </row>
    <row r="1986" spans="1:17" x14ac:dyDescent="0.25">
      <c r="A1986">
        <v>4</v>
      </c>
      <c r="B1986" t="s">
        <v>12517</v>
      </c>
      <c r="C1986" t="s">
        <v>7398</v>
      </c>
      <c r="D1986" t="s">
        <v>12410</v>
      </c>
      <c r="G1986">
        <v>189035</v>
      </c>
      <c r="H1986" t="s">
        <v>12518</v>
      </c>
      <c r="I1986" t="s">
        <v>12519</v>
      </c>
      <c r="J1986">
        <v>189035</v>
      </c>
      <c r="K1986" t="s">
        <v>12520</v>
      </c>
      <c r="L1986">
        <v>233</v>
      </c>
      <c r="O1986">
        <v>189035</v>
      </c>
      <c r="P1986" t="s">
        <v>12410</v>
      </c>
      <c r="Q1986">
        <v>1</v>
      </c>
    </row>
    <row r="1987" spans="1:17" x14ac:dyDescent="0.25">
      <c r="A1987">
        <v>4</v>
      </c>
      <c r="B1987" t="s">
        <v>12521</v>
      </c>
      <c r="C1987" t="s">
        <v>7398</v>
      </c>
      <c r="D1987" t="s">
        <v>12410</v>
      </c>
      <c r="G1987">
        <v>189075</v>
      </c>
      <c r="H1987" t="s">
        <v>12522</v>
      </c>
      <c r="I1987" t="s">
        <v>10752</v>
      </c>
      <c r="J1987">
        <v>189075</v>
      </c>
      <c r="K1987" t="s">
        <v>12523</v>
      </c>
      <c r="L1987">
        <v>245</v>
      </c>
      <c r="O1987">
        <v>189075</v>
      </c>
      <c r="P1987" t="s">
        <v>12410</v>
      </c>
      <c r="Q1987">
        <v>1</v>
      </c>
    </row>
    <row r="1988" spans="1:17" x14ac:dyDescent="0.25">
      <c r="A1988">
        <v>4</v>
      </c>
      <c r="B1988" t="s">
        <v>12524</v>
      </c>
      <c r="C1988" t="s">
        <v>7398</v>
      </c>
      <c r="D1988" t="s">
        <v>12410</v>
      </c>
      <c r="G1988">
        <v>189076</v>
      </c>
      <c r="H1988" t="s">
        <v>12525</v>
      </c>
      <c r="I1988" t="s">
        <v>12526</v>
      </c>
      <c r="J1988">
        <v>189076</v>
      </c>
      <c r="K1988" t="s">
        <v>12527</v>
      </c>
      <c r="L1988">
        <v>247</v>
      </c>
      <c r="O1988">
        <v>189076</v>
      </c>
      <c r="P1988" t="s">
        <v>12410</v>
      </c>
      <c r="Q1988">
        <v>1</v>
      </c>
    </row>
    <row r="1989" spans="1:17" x14ac:dyDescent="0.25">
      <c r="A1989">
        <v>4</v>
      </c>
      <c r="B1989" t="s">
        <v>12528</v>
      </c>
      <c r="C1989" t="s">
        <v>7398</v>
      </c>
      <c r="D1989" t="s">
        <v>12410</v>
      </c>
      <c r="G1989">
        <v>189077</v>
      </c>
      <c r="H1989" t="s">
        <v>12529</v>
      </c>
      <c r="I1989" t="s">
        <v>12530</v>
      </c>
      <c r="J1989">
        <v>189077</v>
      </c>
      <c r="K1989" t="s">
        <v>12531</v>
      </c>
      <c r="L1989">
        <v>51</v>
      </c>
      <c r="O1989">
        <v>189077</v>
      </c>
      <c r="P1989" t="s">
        <v>12410</v>
      </c>
      <c r="Q1989">
        <v>1</v>
      </c>
    </row>
    <row r="1990" spans="1:17" x14ac:dyDescent="0.25">
      <c r="A1990">
        <v>4</v>
      </c>
      <c r="B1990" t="s">
        <v>12532</v>
      </c>
      <c r="C1990" t="s">
        <v>7398</v>
      </c>
      <c r="D1990" t="s">
        <v>12410</v>
      </c>
      <c r="G1990">
        <v>189078</v>
      </c>
      <c r="H1990" t="s">
        <v>10741</v>
      </c>
      <c r="I1990" t="s">
        <v>10742</v>
      </c>
      <c r="J1990">
        <v>189078</v>
      </c>
      <c r="K1990" t="s">
        <v>12533</v>
      </c>
      <c r="L1990">
        <v>115</v>
      </c>
      <c r="O1990">
        <v>189078</v>
      </c>
      <c r="P1990" t="s">
        <v>12410</v>
      </c>
      <c r="Q1990">
        <v>1</v>
      </c>
    </row>
    <row r="1991" spans="1:17" x14ac:dyDescent="0.25">
      <c r="A1991">
        <v>4</v>
      </c>
      <c r="B1991" t="s">
        <v>12534</v>
      </c>
      <c r="C1991" t="s">
        <v>7398</v>
      </c>
      <c r="D1991" t="s">
        <v>12410</v>
      </c>
      <c r="G1991">
        <v>190122</v>
      </c>
      <c r="H1991" t="s">
        <v>12535</v>
      </c>
      <c r="I1991" t="s">
        <v>12536</v>
      </c>
      <c r="J1991">
        <v>190122</v>
      </c>
      <c r="K1991" t="s">
        <v>12537</v>
      </c>
      <c r="L1991">
        <v>10</v>
      </c>
      <c r="O1991">
        <v>190122</v>
      </c>
      <c r="P1991" t="s">
        <v>12410</v>
      </c>
      <c r="Q1991">
        <v>1</v>
      </c>
    </row>
    <row r="1992" spans="1:17" x14ac:dyDescent="0.25">
      <c r="A1992">
        <v>4</v>
      </c>
      <c r="B1992" t="s">
        <v>12538</v>
      </c>
      <c r="C1992" t="s">
        <v>7398</v>
      </c>
      <c r="D1992" t="s">
        <v>12410</v>
      </c>
      <c r="G1992">
        <v>190137</v>
      </c>
      <c r="H1992" t="s">
        <v>12539</v>
      </c>
      <c r="I1992" t="s">
        <v>12540</v>
      </c>
      <c r="J1992">
        <v>190137</v>
      </c>
      <c r="K1992" t="s">
        <v>12541</v>
      </c>
      <c r="L1992">
        <v>35</v>
      </c>
      <c r="O1992">
        <v>190137</v>
      </c>
      <c r="P1992" t="s">
        <v>12410</v>
      </c>
      <c r="Q1992">
        <v>1</v>
      </c>
    </row>
    <row r="1993" spans="1:17" x14ac:dyDescent="0.25">
      <c r="A1993">
        <v>4</v>
      </c>
      <c r="B1993" t="s">
        <v>12542</v>
      </c>
      <c r="C1993" t="s">
        <v>7398</v>
      </c>
      <c r="D1993" t="s">
        <v>12410</v>
      </c>
      <c r="G1993">
        <v>190139</v>
      </c>
      <c r="H1993" t="s">
        <v>12543</v>
      </c>
      <c r="I1993" t="s">
        <v>12544</v>
      </c>
      <c r="J1993">
        <v>190139</v>
      </c>
      <c r="K1993" t="s">
        <v>12545</v>
      </c>
      <c r="L1993">
        <v>18</v>
      </c>
      <c r="O1993">
        <v>190139</v>
      </c>
      <c r="P1993" t="s">
        <v>12410</v>
      </c>
      <c r="Q1993">
        <v>1</v>
      </c>
    </row>
    <row r="1994" spans="1:17" x14ac:dyDescent="0.25">
      <c r="A1994">
        <v>4</v>
      </c>
      <c r="B1994" t="s">
        <v>12546</v>
      </c>
      <c r="C1994" t="s">
        <v>7398</v>
      </c>
      <c r="D1994" t="s">
        <v>12410</v>
      </c>
      <c r="G1994">
        <v>190140</v>
      </c>
      <c r="H1994" t="s">
        <v>12547</v>
      </c>
      <c r="I1994" t="s">
        <v>12548</v>
      </c>
      <c r="J1994">
        <v>190140</v>
      </c>
      <c r="K1994" t="s">
        <v>12549</v>
      </c>
      <c r="L1994">
        <v>43</v>
      </c>
      <c r="O1994">
        <v>190140</v>
      </c>
      <c r="P1994" t="s">
        <v>12410</v>
      </c>
      <c r="Q1994">
        <v>1</v>
      </c>
    </row>
    <row r="1995" spans="1:17" x14ac:dyDescent="0.25">
      <c r="A1995">
        <v>4</v>
      </c>
      <c r="B1995" t="s">
        <v>12550</v>
      </c>
      <c r="C1995" t="s">
        <v>7398</v>
      </c>
      <c r="D1995" t="s">
        <v>12410</v>
      </c>
      <c r="G1995">
        <v>190141</v>
      </c>
      <c r="H1995" t="s">
        <v>12551</v>
      </c>
      <c r="I1995" t="s">
        <v>12552</v>
      </c>
      <c r="J1995">
        <v>190141</v>
      </c>
      <c r="K1995" t="s">
        <v>12553</v>
      </c>
      <c r="L1995">
        <v>383</v>
      </c>
      <c r="O1995">
        <v>190141</v>
      </c>
      <c r="P1995" t="s">
        <v>12410</v>
      </c>
      <c r="Q1995">
        <v>1</v>
      </c>
    </row>
    <row r="1996" spans="1:17" x14ac:dyDescent="0.25">
      <c r="A1996">
        <v>4</v>
      </c>
      <c r="B1996" t="s">
        <v>12554</v>
      </c>
      <c r="C1996" t="s">
        <v>7398</v>
      </c>
      <c r="D1996" t="s">
        <v>12410</v>
      </c>
      <c r="G1996">
        <v>190142</v>
      </c>
      <c r="H1996" t="s">
        <v>12555</v>
      </c>
      <c r="I1996" t="s">
        <v>12556</v>
      </c>
      <c r="J1996">
        <v>190142</v>
      </c>
      <c r="K1996" t="s">
        <v>12557</v>
      </c>
      <c r="L1996">
        <v>498</v>
      </c>
      <c r="O1996">
        <v>190142</v>
      </c>
      <c r="P1996" t="s">
        <v>12410</v>
      </c>
      <c r="Q1996">
        <v>1</v>
      </c>
    </row>
    <row r="1997" spans="1:17" x14ac:dyDescent="0.25">
      <c r="A1997">
        <v>4</v>
      </c>
      <c r="B1997" t="s">
        <v>12558</v>
      </c>
      <c r="C1997" t="s">
        <v>7398</v>
      </c>
      <c r="D1997" t="s">
        <v>12410</v>
      </c>
      <c r="G1997">
        <v>190143</v>
      </c>
      <c r="H1997" t="s">
        <v>12559</v>
      </c>
      <c r="I1997" t="s">
        <v>12560</v>
      </c>
      <c r="J1997">
        <v>190143</v>
      </c>
      <c r="K1997" t="s">
        <v>12561</v>
      </c>
      <c r="L1997">
        <v>24</v>
      </c>
      <c r="O1997">
        <v>190143</v>
      </c>
      <c r="P1997" t="s">
        <v>12410</v>
      </c>
      <c r="Q1997">
        <v>1</v>
      </c>
    </row>
    <row r="1998" spans="1:17" x14ac:dyDescent="0.25">
      <c r="A1998">
        <v>4</v>
      </c>
      <c r="B1998" t="s">
        <v>12562</v>
      </c>
      <c r="C1998" t="s">
        <v>7398</v>
      </c>
      <c r="D1998" t="s">
        <v>12410</v>
      </c>
      <c r="G1998">
        <v>190144</v>
      </c>
      <c r="H1998" t="s">
        <v>12563</v>
      </c>
      <c r="I1998" t="s">
        <v>12564</v>
      </c>
      <c r="J1998">
        <v>190144</v>
      </c>
      <c r="K1998" t="s">
        <v>12565</v>
      </c>
      <c r="L1998">
        <v>33</v>
      </c>
      <c r="O1998">
        <v>190144</v>
      </c>
      <c r="P1998" t="s">
        <v>12410</v>
      </c>
      <c r="Q1998">
        <v>1</v>
      </c>
    </row>
    <row r="1999" spans="1:17" x14ac:dyDescent="0.25">
      <c r="A1999">
        <v>4</v>
      </c>
      <c r="B1999" t="s">
        <v>12566</v>
      </c>
      <c r="C1999" t="s">
        <v>7398</v>
      </c>
      <c r="D1999" t="s">
        <v>12410</v>
      </c>
      <c r="G1999">
        <v>190145</v>
      </c>
      <c r="H1999" t="s">
        <v>12567</v>
      </c>
      <c r="I1999" t="s">
        <v>12568</v>
      </c>
      <c r="J1999">
        <v>190145</v>
      </c>
      <c r="K1999" t="s">
        <v>12569</v>
      </c>
      <c r="L1999">
        <v>6</v>
      </c>
      <c r="N1999" t="s">
        <v>4713</v>
      </c>
      <c r="O1999">
        <v>190145</v>
      </c>
      <c r="P1999" t="s">
        <v>12410</v>
      </c>
      <c r="Q1999">
        <v>1</v>
      </c>
    </row>
    <row r="2000" spans="1:17" x14ac:dyDescent="0.25">
      <c r="A2000">
        <v>4</v>
      </c>
      <c r="B2000" t="s">
        <v>12570</v>
      </c>
      <c r="C2000" t="s">
        <v>7398</v>
      </c>
      <c r="D2000" t="s">
        <v>12410</v>
      </c>
      <c r="G2000">
        <v>190146</v>
      </c>
      <c r="H2000" t="s">
        <v>12571</v>
      </c>
      <c r="I2000" t="s">
        <v>12572</v>
      </c>
      <c r="J2000">
        <v>190146</v>
      </c>
      <c r="K2000" t="s">
        <v>12573</v>
      </c>
      <c r="L2000">
        <v>141</v>
      </c>
      <c r="O2000">
        <v>190146</v>
      </c>
      <c r="P2000" t="s">
        <v>12410</v>
      </c>
      <c r="Q2000">
        <v>1</v>
      </c>
    </row>
    <row r="2001" spans="1:17" x14ac:dyDescent="0.25">
      <c r="A2001">
        <v>4</v>
      </c>
      <c r="B2001" t="s">
        <v>12574</v>
      </c>
      <c r="C2001" t="s">
        <v>7398</v>
      </c>
      <c r="D2001" t="s">
        <v>12410</v>
      </c>
      <c r="G2001">
        <v>206791</v>
      </c>
      <c r="H2001" t="s">
        <v>12575</v>
      </c>
      <c r="I2001" t="s">
        <v>12576</v>
      </c>
      <c r="J2001">
        <v>206791</v>
      </c>
      <c r="K2001" t="s">
        <v>12577</v>
      </c>
      <c r="L2001">
        <v>300</v>
      </c>
      <c r="O2001">
        <v>206791</v>
      </c>
      <c r="P2001" t="s">
        <v>12410</v>
      </c>
      <c r="Q2001">
        <v>1</v>
      </c>
    </row>
    <row r="2002" spans="1:17" x14ac:dyDescent="0.25">
      <c r="A2002">
        <v>4</v>
      </c>
      <c r="B2002" t="s">
        <v>12578</v>
      </c>
      <c r="C2002" t="s">
        <v>7398</v>
      </c>
      <c r="D2002" t="s">
        <v>12410</v>
      </c>
      <c r="G2002">
        <v>207388</v>
      </c>
      <c r="H2002" t="s">
        <v>12579</v>
      </c>
      <c r="I2002" t="s">
        <v>12580</v>
      </c>
      <c r="J2002">
        <v>207388</v>
      </c>
      <c r="K2002" t="s">
        <v>12581</v>
      </c>
      <c r="L2002">
        <v>352</v>
      </c>
      <c r="O2002">
        <v>207388</v>
      </c>
      <c r="P2002" t="s">
        <v>12410</v>
      </c>
      <c r="Q2002">
        <v>1</v>
      </c>
    </row>
    <row r="2003" spans="1:17" x14ac:dyDescent="0.25">
      <c r="A2003">
        <v>4</v>
      </c>
      <c r="B2003" t="s">
        <v>12582</v>
      </c>
      <c r="C2003" t="s">
        <v>7398</v>
      </c>
      <c r="D2003" t="s">
        <v>12410</v>
      </c>
      <c r="G2003">
        <v>207390</v>
      </c>
      <c r="H2003" t="s">
        <v>12583</v>
      </c>
      <c r="I2003" t="s">
        <v>10704</v>
      </c>
      <c r="J2003">
        <v>207390</v>
      </c>
      <c r="K2003" t="s">
        <v>12584</v>
      </c>
      <c r="L2003">
        <v>221</v>
      </c>
      <c r="O2003">
        <v>207390</v>
      </c>
      <c r="P2003" t="s">
        <v>12410</v>
      </c>
      <c r="Q2003">
        <v>1</v>
      </c>
    </row>
    <row r="2004" spans="1:17" x14ac:dyDescent="0.25">
      <c r="A2004">
        <v>1</v>
      </c>
      <c r="B2004">
        <v>13</v>
      </c>
      <c r="C2004" t="s">
        <v>625</v>
      </c>
      <c r="D2004" t="s">
        <v>12585</v>
      </c>
      <c r="H2004" t="s">
        <v>12585</v>
      </c>
      <c r="I2004" t="s">
        <v>950</v>
      </c>
      <c r="J2004" t="s">
        <v>625</v>
      </c>
      <c r="O2004" t="s">
        <v>625</v>
      </c>
      <c r="P2004" t="s">
        <v>12585</v>
      </c>
      <c r="Q2004">
        <v>1</v>
      </c>
    </row>
    <row r="2005" spans="1:17" x14ac:dyDescent="0.25">
      <c r="A2005">
        <v>2</v>
      </c>
      <c r="B2005" t="s">
        <v>12586</v>
      </c>
      <c r="C2005" t="s">
        <v>625</v>
      </c>
      <c r="D2005" t="s">
        <v>12585</v>
      </c>
      <c r="E2005" t="s">
        <v>626</v>
      </c>
      <c r="H2005" t="s">
        <v>849</v>
      </c>
      <c r="I2005" t="s">
        <v>849</v>
      </c>
      <c r="J2005" t="s">
        <v>626</v>
      </c>
      <c r="O2005" t="s">
        <v>626</v>
      </c>
      <c r="P2005" t="s">
        <v>12585</v>
      </c>
      <c r="Q2005">
        <v>1</v>
      </c>
    </row>
    <row r="2006" spans="1:17" x14ac:dyDescent="0.25">
      <c r="A2006">
        <v>4</v>
      </c>
      <c r="B2006" t="s">
        <v>12587</v>
      </c>
      <c r="C2006" t="s">
        <v>625</v>
      </c>
      <c r="D2006" t="s">
        <v>12585</v>
      </c>
      <c r="G2006">
        <v>12398</v>
      </c>
      <c r="H2006" t="s">
        <v>12588</v>
      </c>
      <c r="I2006" t="s">
        <v>12589</v>
      </c>
      <c r="J2006">
        <v>12398</v>
      </c>
      <c r="K2006" t="s">
        <v>12590</v>
      </c>
      <c r="L2006">
        <v>61</v>
      </c>
      <c r="O2006">
        <v>12398</v>
      </c>
      <c r="P2006" t="s">
        <v>12585</v>
      </c>
      <c r="Q2006">
        <v>1</v>
      </c>
    </row>
    <row r="2007" spans="1:17" x14ac:dyDescent="0.25">
      <c r="A2007">
        <v>4</v>
      </c>
      <c r="B2007" t="s">
        <v>12591</v>
      </c>
      <c r="C2007" t="s">
        <v>625</v>
      </c>
      <c r="D2007" t="s">
        <v>12585</v>
      </c>
      <c r="G2007">
        <v>12407</v>
      </c>
      <c r="H2007" t="s">
        <v>12592</v>
      </c>
      <c r="I2007" t="s">
        <v>12593</v>
      </c>
      <c r="J2007">
        <v>12407</v>
      </c>
      <c r="K2007" t="s">
        <v>12594</v>
      </c>
      <c r="L2007">
        <v>71</v>
      </c>
      <c r="O2007">
        <v>12407</v>
      </c>
      <c r="P2007" t="s">
        <v>12585</v>
      </c>
      <c r="Q2007">
        <v>1</v>
      </c>
    </row>
    <row r="2008" spans="1:17" x14ac:dyDescent="0.25">
      <c r="A2008">
        <v>4</v>
      </c>
      <c r="B2008" t="s">
        <v>12595</v>
      </c>
      <c r="C2008" t="s">
        <v>625</v>
      </c>
      <c r="D2008" t="s">
        <v>12585</v>
      </c>
      <c r="G2008">
        <v>12410</v>
      </c>
      <c r="H2008" t="s">
        <v>12596</v>
      </c>
      <c r="I2008" t="s">
        <v>12597</v>
      </c>
      <c r="J2008">
        <v>12410</v>
      </c>
      <c r="K2008" t="s">
        <v>12598</v>
      </c>
      <c r="L2008">
        <v>88</v>
      </c>
      <c r="O2008">
        <v>12410</v>
      </c>
      <c r="P2008" t="s">
        <v>12585</v>
      </c>
      <c r="Q2008">
        <v>1</v>
      </c>
    </row>
    <row r="2009" spans="1:17" x14ac:dyDescent="0.25">
      <c r="A2009">
        <v>4</v>
      </c>
      <c r="B2009" t="s">
        <v>12599</v>
      </c>
      <c r="C2009" t="s">
        <v>625</v>
      </c>
      <c r="D2009" t="s">
        <v>12585</v>
      </c>
      <c r="G2009">
        <v>12417</v>
      </c>
      <c r="H2009" t="s">
        <v>12600</v>
      </c>
      <c r="I2009" t="s">
        <v>12601</v>
      </c>
      <c r="J2009">
        <v>12417</v>
      </c>
      <c r="K2009" t="s">
        <v>12602</v>
      </c>
      <c r="L2009">
        <v>32</v>
      </c>
      <c r="O2009">
        <v>12417</v>
      </c>
      <c r="P2009" t="s">
        <v>12585</v>
      </c>
      <c r="Q2009">
        <v>1</v>
      </c>
    </row>
    <row r="2010" spans="1:17" x14ac:dyDescent="0.25">
      <c r="A2010">
        <v>4</v>
      </c>
      <c r="B2010" t="s">
        <v>12603</v>
      </c>
      <c r="C2010" t="s">
        <v>625</v>
      </c>
      <c r="D2010" t="s">
        <v>12585</v>
      </c>
      <c r="G2010">
        <v>12426</v>
      </c>
      <c r="H2010" t="s">
        <v>12604</v>
      </c>
      <c r="I2010" t="s">
        <v>12605</v>
      </c>
      <c r="J2010">
        <v>12426</v>
      </c>
      <c r="K2010" t="s">
        <v>12606</v>
      </c>
      <c r="L2010">
        <v>29</v>
      </c>
      <c r="O2010">
        <v>12426</v>
      </c>
      <c r="P2010" t="s">
        <v>12585</v>
      </c>
      <c r="Q2010">
        <v>1</v>
      </c>
    </row>
    <row r="2011" spans="1:17" x14ac:dyDescent="0.25">
      <c r="A2011">
        <v>4</v>
      </c>
      <c r="B2011" t="s">
        <v>12607</v>
      </c>
      <c r="C2011" t="s">
        <v>625</v>
      </c>
      <c r="D2011" t="s">
        <v>12585</v>
      </c>
      <c r="G2011">
        <v>12502</v>
      </c>
      <c r="H2011" t="s">
        <v>12608</v>
      </c>
      <c r="I2011" t="s">
        <v>12609</v>
      </c>
      <c r="J2011">
        <v>12502</v>
      </c>
      <c r="K2011" t="s">
        <v>12610</v>
      </c>
      <c r="L2011">
        <v>3</v>
      </c>
      <c r="N2011" t="s">
        <v>4713</v>
      </c>
      <c r="O2011">
        <v>12502</v>
      </c>
      <c r="P2011" t="s">
        <v>12585</v>
      </c>
      <c r="Q2011">
        <v>1</v>
      </c>
    </row>
    <row r="2012" spans="1:17" x14ac:dyDescent="0.25">
      <c r="A2012">
        <v>4</v>
      </c>
      <c r="B2012" t="s">
        <v>12611</v>
      </c>
      <c r="C2012" t="s">
        <v>625</v>
      </c>
      <c r="D2012" t="s">
        <v>12585</v>
      </c>
      <c r="G2012">
        <v>14506</v>
      </c>
      <c r="H2012" t="s">
        <v>7674</v>
      </c>
      <c r="I2012" t="s">
        <v>7675</v>
      </c>
      <c r="J2012">
        <v>14506</v>
      </c>
      <c r="K2012" t="s">
        <v>12612</v>
      </c>
      <c r="L2012">
        <v>104</v>
      </c>
      <c r="O2012">
        <v>14506</v>
      </c>
      <c r="P2012" t="s">
        <v>12585</v>
      </c>
      <c r="Q2012">
        <v>1</v>
      </c>
    </row>
    <row r="2013" spans="1:17" x14ac:dyDescent="0.25">
      <c r="A2013">
        <v>4</v>
      </c>
      <c r="B2013" t="s">
        <v>12613</v>
      </c>
      <c r="C2013" t="s">
        <v>625</v>
      </c>
      <c r="D2013" t="s">
        <v>12585</v>
      </c>
      <c r="G2013">
        <v>171348</v>
      </c>
      <c r="H2013" t="s">
        <v>12614</v>
      </c>
      <c r="I2013" t="s">
        <v>12614</v>
      </c>
      <c r="J2013">
        <v>171348</v>
      </c>
      <c r="K2013" t="s">
        <v>12615</v>
      </c>
      <c r="L2013">
        <v>9</v>
      </c>
      <c r="N2013" t="s">
        <v>4713</v>
      </c>
      <c r="O2013">
        <v>171348</v>
      </c>
      <c r="P2013" t="s">
        <v>12585</v>
      </c>
      <c r="Q2013">
        <v>1</v>
      </c>
    </row>
    <row r="2014" spans="1:17" x14ac:dyDescent="0.25">
      <c r="A2014">
        <v>4</v>
      </c>
      <c r="B2014" t="s">
        <v>12616</v>
      </c>
      <c r="C2014" t="s">
        <v>625</v>
      </c>
      <c r="D2014" t="s">
        <v>12585</v>
      </c>
      <c r="G2014">
        <v>171751</v>
      </c>
      <c r="H2014" t="s">
        <v>12617</v>
      </c>
      <c r="I2014" t="s">
        <v>12618</v>
      </c>
      <c r="J2014">
        <v>171751</v>
      </c>
      <c r="K2014" t="s">
        <v>12619</v>
      </c>
      <c r="L2014">
        <v>26</v>
      </c>
      <c r="O2014">
        <v>171751</v>
      </c>
      <c r="P2014" t="s">
        <v>12585</v>
      </c>
      <c r="Q2014">
        <v>1</v>
      </c>
    </row>
    <row r="2015" spans="1:17" x14ac:dyDescent="0.25">
      <c r="A2015">
        <v>4</v>
      </c>
      <c r="B2015" t="s">
        <v>12620</v>
      </c>
      <c r="C2015" t="s">
        <v>625</v>
      </c>
      <c r="D2015" t="s">
        <v>12585</v>
      </c>
      <c r="G2015">
        <v>178172</v>
      </c>
      <c r="H2015" t="s">
        <v>12621</v>
      </c>
      <c r="I2015" t="s">
        <v>12622</v>
      </c>
      <c r="J2015">
        <v>178172</v>
      </c>
      <c r="K2015" t="s">
        <v>12623</v>
      </c>
      <c r="L2015">
        <v>1</v>
      </c>
      <c r="N2015" t="s">
        <v>4734</v>
      </c>
      <c r="O2015">
        <v>178172</v>
      </c>
      <c r="P2015" t="s">
        <v>12585</v>
      </c>
      <c r="Q2015">
        <v>1</v>
      </c>
    </row>
    <row r="2016" spans="1:17" x14ac:dyDescent="0.25">
      <c r="A2016">
        <v>4</v>
      </c>
      <c r="B2016" t="s">
        <v>12624</v>
      </c>
      <c r="C2016" t="s">
        <v>625</v>
      </c>
      <c r="D2016" t="s">
        <v>12585</v>
      </c>
      <c r="G2016">
        <v>195762</v>
      </c>
      <c r="H2016" t="s">
        <v>12625</v>
      </c>
      <c r="I2016" t="s">
        <v>12626</v>
      </c>
      <c r="J2016">
        <v>195762</v>
      </c>
      <c r="K2016" t="s">
        <v>12627</v>
      </c>
      <c r="L2016">
        <v>3</v>
      </c>
      <c r="N2016" t="s">
        <v>4713</v>
      </c>
      <c r="O2016">
        <v>195762</v>
      </c>
      <c r="P2016" t="s">
        <v>12585</v>
      </c>
      <c r="Q2016">
        <v>1</v>
      </c>
    </row>
    <row r="2017" spans="1:17" x14ac:dyDescent="0.25">
      <c r="A2017">
        <v>4</v>
      </c>
      <c r="B2017" t="s">
        <v>12628</v>
      </c>
      <c r="C2017" t="s">
        <v>625</v>
      </c>
      <c r="D2017" t="s">
        <v>12585</v>
      </c>
      <c r="G2017">
        <v>216333</v>
      </c>
      <c r="H2017" t="s">
        <v>12629</v>
      </c>
      <c r="I2017" t="s">
        <v>12630</v>
      </c>
      <c r="J2017">
        <v>216333</v>
      </c>
      <c r="K2017" t="s">
        <v>12631</v>
      </c>
      <c r="L2017">
        <v>172</v>
      </c>
      <c r="O2017">
        <v>216333</v>
      </c>
      <c r="P2017" t="s">
        <v>12585</v>
      </c>
      <c r="Q2017">
        <v>1</v>
      </c>
    </row>
    <row r="2018" spans="1:17" x14ac:dyDescent="0.25">
      <c r="A2018">
        <v>4</v>
      </c>
      <c r="B2018" t="s">
        <v>12632</v>
      </c>
      <c r="C2018" t="s">
        <v>625</v>
      </c>
      <c r="D2018" t="s">
        <v>12585</v>
      </c>
      <c r="G2018" t="s">
        <v>12633</v>
      </c>
      <c r="H2018" t="s">
        <v>12634</v>
      </c>
      <c r="J2018" t="s">
        <v>12633</v>
      </c>
      <c r="K2018" t="s">
        <v>12635</v>
      </c>
      <c r="L2018" t="s">
        <v>12636</v>
      </c>
      <c r="M2018" t="s">
        <v>12636</v>
      </c>
      <c r="N2018" t="s">
        <v>12637</v>
      </c>
      <c r="P2018" t="s">
        <v>12585</v>
      </c>
    </row>
    <row r="2019" spans="1:17" x14ac:dyDescent="0.25">
      <c r="A2019">
        <v>4</v>
      </c>
      <c r="B2019" t="s">
        <v>12638</v>
      </c>
      <c r="C2019" t="s">
        <v>625</v>
      </c>
      <c r="D2019" t="s">
        <v>12585</v>
      </c>
      <c r="G2019" t="s">
        <v>12639</v>
      </c>
      <c r="H2019" t="s">
        <v>12640</v>
      </c>
      <c r="J2019" t="s">
        <v>12639</v>
      </c>
      <c r="K2019" t="s">
        <v>12641</v>
      </c>
      <c r="L2019" t="s">
        <v>12636</v>
      </c>
      <c r="M2019" t="s">
        <v>12642</v>
      </c>
      <c r="N2019" t="s">
        <v>12637</v>
      </c>
      <c r="P2019" t="s">
        <v>12585</v>
      </c>
    </row>
    <row r="2020" spans="1:17" x14ac:dyDescent="0.25">
      <c r="A2020">
        <v>4</v>
      </c>
      <c r="B2020" t="s">
        <v>12643</v>
      </c>
      <c r="C2020" t="s">
        <v>625</v>
      </c>
      <c r="D2020" t="s">
        <v>12585</v>
      </c>
      <c r="G2020">
        <v>271495</v>
      </c>
      <c r="H2020" t="s">
        <v>12644</v>
      </c>
      <c r="I2020" t="s">
        <v>12645</v>
      </c>
      <c r="J2020">
        <v>271495</v>
      </c>
      <c r="K2020" t="s">
        <v>12646</v>
      </c>
      <c r="L2020">
        <v>332</v>
      </c>
      <c r="O2020">
        <v>271495</v>
      </c>
      <c r="P2020" t="s">
        <v>12585</v>
      </c>
      <c r="Q2020">
        <v>1</v>
      </c>
    </row>
    <row r="2021" spans="1:17" x14ac:dyDescent="0.25">
      <c r="A2021">
        <v>4</v>
      </c>
      <c r="B2021" t="s">
        <v>12647</v>
      </c>
      <c r="C2021" t="s">
        <v>625</v>
      </c>
      <c r="D2021" t="s">
        <v>12585</v>
      </c>
      <c r="G2021">
        <v>33738</v>
      </c>
      <c r="H2021" t="s">
        <v>12648</v>
      </c>
      <c r="I2021" t="s">
        <v>12649</v>
      </c>
      <c r="J2021">
        <v>33738</v>
      </c>
      <c r="K2021" t="s">
        <v>12650</v>
      </c>
      <c r="L2021">
        <v>78</v>
      </c>
      <c r="O2021">
        <v>33738</v>
      </c>
      <c r="P2021" t="s">
        <v>12585</v>
      </c>
      <c r="Q2021">
        <v>1</v>
      </c>
    </row>
    <row r="2022" spans="1:17" x14ac:dyDescent="0.25">
      <c r="A2022">
        <v>4</v>
      </c>
      <c r="B2022" t="s">
        <v>12651</v>
      </c>
      <c r="C2022" t="s">
        <v>625</v>
      </c>
      <c r="D2022" t="s">
        <v>12585</v>
      </c>
      <c r="G2022">
        <v>376314</v>
      </c>
      <c r="H2022" t="s">
        <v>12652</v>
      </c>
      <c r="I2022" t="s">
        <v>12652</v>
      </c>
      <c r="J2022">
        <v>376314</v>
      </c>
      <c r="K2022" t="s">
        <v>12653</v>
      </c>
      <c r="L2022">
        <v>6</v>
      </c>
      <c r="N2022" t="s">
        <v>4713</v>
      </c>
      <c r="O2022">
        <v>376314</v>
      </c>
      <c r="P2022" t="s">
        <v>12585</v>
      </c>
      <c r="Q2022">
        <v>1</v>
      </c>
    </row>
    <row r="2023" spans="1:17" x14ac:dyDescent="0.25">
      <c r="A2023">
        <v>4</v>
      </c>
      <c r="B2023" t="s">
        <v>12654</v>
      </c>
      <c r="C2023" t="s">
        <v>625</v>
      </c>
      <c r="D2023" t="s">
        <v>12585</v>
      </c>
      <c r="G2023" t="s">
        <v>12655</v>
      </c>
      <c r="H2023" t="s">
        <v>12656</v>
      </c>
      <c r="I2023" t="s">
        <v>12657</v>
      </c>
      <c r="J2023" t="s">
        <v>12655</v>
      </c>
      <c r="K2023" t="s">
        <v>12658</v>
      </c>
      <c r="L2023">
        <v>85</v>
      </c>
      <c r="O2023" t="s">
        <v>12655</v>
      </c>
      <c r="P2023" t="s">
        <v>12585</v>
      </c>
      <c r="Q2023">
        <v>1</v>
      </c>
    </row>
    <row r="2024" spans="1:17" x14ac:dyDescent="0.25">
      <c r="A2024">
        <v>4</v>
      </c>
      <c r="B2024" t="s">
        <v>12659</v>
      </c>
      <c r="C2024" t="s">
        <v>625</v>
      </c>
      <c r="D2024" t="s">
        <v>12585</v>
      </c>
      <c r="G2024" t="s">
        <v>12660</v>
      </c>
      <c r="H2024" t="s">
        <v>12661</v>
      </c>
      <c r="I2024" t="s">
        <v>12662</v>
      </c>
      <c r="J2024" t="s">
        <v>12660</v>
      </c>
      <c r="K2024" t="s">
        <v>12663</v>
      </c>
      <c r="L2024">
        <v>85</v>
      </c>
      <c r="O2024" t="s">
        <v>12660</v>
      </c>
      <c r="P2024" t="s">
        <v>12585</v>
      </c>
      <c r="Q2024">
        <v>1</v>
      </c>
    </row>
    <row r="2025" spans="1:17" x14ac:dyDescent="0.25">
      <c r="A2025">
        <v>4</v>
      </c>
      <c r="B2025" t="s">
        <v>12664</v>
      </c>
      <c r="C2025" t="s">
        <v>625</v>
      </c>
      <c r="D2025" t="s">
        <v>12585</v>
      </c>
      <c r="G2025">
        <v>39417</v>
      </c>
      <c r="H2025" t="s">
        <v>12665</v>
      </c>
      <c r="I2025" t="s">
        <v>12666</v>
      </c>
      <c r="J2025">
        <v>39417</v>
      </c>
      <c r="K2025" t="s">
        <v>12667</v>
      </c>
      <c r="L2025">
        <v>5</v>
      </c>
      <c r="N2025" t="s">
        <v>4713</v>
      </c>
      <c r="O2025">
        <v>39417</v>
      </c>
      <c r="P2025" t="s">
        <v>12585</v>
      </c>
      <c r="Q2025">
        <v>1</v>
      </c>
    </row>
    <row r="2026" spans="1:17" x14ac:dyDescent="0.25">
      <c r="A2026">
        <v>4</v>
      </c>
      <c r="B2026" t="s">
        <v>12668</v>
      </c>
      <c r="C2026" t="s">
        <v>625</v>
      </c>
      <c r="D2026" t="s">
        <v>12585</v>
      </c>
      <c r="G2026">
        <v>514198</v>
      </c>
      <c r="H2026" t="s">
        <v>12669</v>
      </c>
      <c r="I2026" t="s">
        <v>12670</v>
      </c>
      <c r="J2026">
        <v>514198</v>
      </c>
      <c r="K2026" t="s">
        <v>12671</v>
      </c>
      <c r="L2026">
        <v>52</v>
      </c>
      <c r="O2026">
        <v>514198</v>
      </c>
      <c r="P2026" t="s">
        <v>12585</v>
      </c>
      <c r="Q2026">
        <v>1</v>
      </c>
    </row>
    <row r="2027" spans="1:17" x14ac:dyDescent="0.25">
      <c r="A2027">
        <v>4</v>
      </c>
      <c r="B2027" t="s">
        <v>12672</v>
      </c>
      <c r="C2027" t="s">
        <v>625</v>
      </c>
      <c r="D2027" t="s">
        <v>12585</v>
      </c>
      <c r="G2027">
        <v>625063</v>
      </c>
      <c r="H2027" t="s">
        <v>12673</v>
      </c>
      <c r="I2027" t="s">
        <v>12674</v>
      </c>
      <c r="J2027">
        <v>625063</v>
      </c>
      <c r="K2027" t="s">
        <v>12675</v>
      </c>
      <c r="L2027">
        <v>31</v>
      </c>
      <c r="O2027">
        <v>625063</v>
      </c>
      <c r="P2027" t="s">
        <v>12585</v>
      </c>
      <c r="Q2027">
        <v>1</v>
      </c>
    </row>
    <row r="2028" spans="1:17" x14ac:dyDescent="0.25">
      <c r="A2028">
        <v>4</v>
      </c>
      <c r="B2028" t="s">
        <v>12676</v>
      </c>
      <c r="C2028" t="s">
        <v>625</v>
      </c>
      <c r="D2028" t="s">
        <v>12585</v>
      </c>
      <c r="G2028">
        <v>690268</v>
      </c>
      <c r="H2028" t="s">
        <v>12677</v>
      </c>
      <c r="I2028" t="s">
        <v>12677</v>
      </c>
      <c r="J2028">
        <v>690268</v>
      </c>
      <c r="K2028" t="s">
        <v>12678</v>
      </c>
      <c r="L2028">
        <v>53</v>
      </c>
      <c r="O2028">
        <v>690268</v>
      </c>
      <c r="P2028" t="s">
        <v>12585</v>
      </c>
      <c r="Q2028">
        <v>1</v>
      </c>
    </row>
    <row r="2029" spans="1:17" x14ac:dyDescent="0.25">
      <c r="A2029">
        <v>4</v>
      </c>
      <c r="B2029" t="s">
        <v>12679</v>
      </c>
      <c r="C2029" t="s">
        <v>625</v>
      </c>
      <c r="D2029" t="s">
        <v>12585</v>
      </c>
      <c r="G2029" t="s">
        <v>12680</v>
      </c>
      <c r="H2029" t="s">
        <v>12681</v>
      </c>
      <c r="I2029" t="s">
        <v>12681</v>
      </c>
      <c r="J2029" t="s">
        <v>12680</v>
      </c>
      <c r="K2029" t="s">
        <v>12682</v>
      </c>
      <c r="L2029">
        <v>7</v>
      </c>
      <c r="N2029" t="s">
        <v>4713</v>
      </c>
      <c r="O2029" t="s">
        <v>12680</v>
      </c>
      <c r="P2029" t="s">
        <v>12585</v>
      </c>
      <c r="Q2029">
        <v>1</v>
      </c>
    </row>
    <row r="2030" spans="1:17" x14ac:dyDescent="0.25">
      <c r="A2030">
        <v>4</v>
      </c>
      <c r="B2030" t="s">
        <v>12683</v>
      </c>
      <c r="C2030" t="s">
        <v>625</v>
      </c>
      <c r="D2030" t="s">
        <v>12585</v>
      </c>
      <c r="G2030" t="s">
        <v>12684</v>
      </c>
      <c r="H2030" t="s">
        <v>12685</v>
      </c>
      <c r="I2030" t="s">
        <v>12686</v>
      </c>
      <c r="J2030" t="s">
        <v>12684</v>
      </c>
      <c r="K2030" t="s">
        <v>12687</v>
      </c>
      <c r="L2030">
        <v>86</v>
      </c>
      <c r="O2030" t="s">
        <v>12684</v>
      </c>
      <c r="P2030" t="s">
        <v>12585</v>
      </c>
      <c r="Q2030">
        <v>1</v>
      </c>
    </row>
    <row r="2031" spans="1:17" x14ac:dyDescent="0.25">
      <c r="A2031">
        <v>4</v>
      </c>
      <c r="B2031" t="s">
        <v>12688</v>
      </c>
      <c r="C2031" t="s">
        <v>625</v>
      </c>
      <c r="D2031" t="s">
        <v>12585</v>
      </c>
      <c r="G2031" t="s">
        <v>12689</v>
      </c>
      <c r="H2031" t="s">
        <v>12690</v>
      </c>
      <c r="I2031" t="s">
        <v>12691</v>
      </c>
      <c r="J2031" t="s">
        <v>12689</v>
      </c>
      <c r="K2031" t="s">
        <v>12692</v>
      </c>
      <c r="L2031">
        <v>3</v>
      </c>
      <c r="N2031" t="s">
        <v>4713</v>
      </c>
      <c r="O2031" t="s">
        <v>12689</v>
      </c>
      <c r="P2031" t="s">
        <v>12585</v>
      </c>
      <c r="Q2031">
        <v>1</v>
      </c>
    </row>
    <row r="2032" spans="1:17" x14ac:dyDescent="0.25">
      <c r="A2032">
        <v>4</v>
      </c>
      <c r="B2032" t="s">
        <v>12693</v>
      </c>
      <c r="C2032" t="s">
        <v>625</v>
      </c>
      <c r="D2032" t="s">
        <v>12585</v>
      </c>
      <c r="G2032" t="s">
        <v>12694</v>
      </c>
      <c r="H2032" t="s">
        <v>12695</v>
      </c>
      <c r="I2032" t="s">
        <v>12696</v>
      </c>
      <c r="J2032" t="s">
        <v>12694</v>
      </c>
      <c r="K2032" t="s">
        <v>12697</v>
      </c>
      <c r="L2032">
        <v>8</v>
      </c>
      <c r="N2032" t="s">
        <v>4713</v>
      </c>
      <c r="O2032" t="s">
        <v>12694</v>
      </c>
      <c r="P2032" t="s">
        <v>12585</v>
      </c>
      <c r="Q2032">
        <v>1</v>
      </c>
    </row>
    <row r="2033" spans="1:17" x14ac:dyDescent="0.25">
      <c r="A2033">
        <v>4</v>
      </c>
      <c r="B2033" t="s">
        <v>12698</v>
      </c>
      <c r="C2033" t="s">
        <v>625</v>
      </c>
      <c r="D2033" t="s">
        <v>12585</v>
      </c>
      <c r="G2033" t="s">
        <v>12699</v>
      </c>
      <c r="H2033" t="s">
        <v>12700</v>
      </c>
      <c r="I2033" t="s">
        <v>12701</v>
      </c>
      <c r="J2033" t="s">
        <v>12699</v>
      </c>
      <c r="K2033" t="s">
        <v>12702</v>
      </c>
      <c r="L2033">
        <v>54</v>
      </c>
      <c r="O2033" t="s">
        <v>12699</v>
      </c>
      <c r="P2033" t="s">
        <v>12585</v>
      </c>
      <c r="Q2033">
        <v>1</v>
      </c>
    </row>
    <row r="2034" spans="1:17" x14ac:dyDescent="0.25">
      <c r="A2034">
        <v>2</v>
      </c>
      <c r="B2034" t="s">
        <v>12703</v>
      </c>
      <c r="C2034" t="s">
        <v>625</v>
      </c>
      <c r="D2034" t="s">
        <v>12585</v>
      </c>
      <c r="E2034" t="s">
        <v>603</v>
      </c>
      <c r="H2034" t="s">
        <v>12704</v>
      </c>
      <c r="I2034" t="s">
        <v>946</v>
      </c>
      <c r="J2034" t="s">
        <v>603</v>
      </c>
      <c r="O2034" t="s">
        <v>603</v>
      </c>
      <c r="P2034" t="s">
        <v>12585</v>
      </c>
      <c r="Q2034">
        <v>3</v>
      </c>
    </row>
    <row r="2035" spans="1:17" x14ac:dyDescent="0.25">
      <c r="A2035">
        <v>4</v>
      </c>
      <c r="B2035" t="s">
        <v>12705</v>
      </c>
      <c r="C2035" t="s">
        <v>625</v>
      </c>
      <c r="D2035" t="s">
        <v>12585</v>
      </c>
      <c r="G2035">
        <v>11973</v>
      </c>
      <c r="H2035" t="s">
        <v>12706</v>
      </c>
      <c r="I2035" t="s">
        <v>12707</v>
      </c>
      <c r="J2035">
        <v>11973</v>
      </c>
      <c r="K2035" t="s">
        <v>12708</v>
      </c>
      <c r="L2035">
        <v>59</v>
      </c>
      <c r="O2035">
        <v>11973</v>
      </c>
      <c r="P2035" t="s">
        <v>12585</v>
      </c>
      <c r="Q2035">
        <v>1</v>
      </c>
    </row>
    <row r="2036" spans="1:17" x14ac:dyDescent="0.25">
      <c r="A2036">
        <v>4</v>
      </c>
      <c r="B2036" t="s">
        <v>12709</v>
      </c>
      <c r="C2036" t="s">
        <v>625</v>
      </c>
      <c r="D2036" t="s">
        <v>12585</v>
      </c>
      <c r="G2036">
        <v>159991</v>
      </c>
      <c r="H2036" t="s">
        <v>12710</v>
      </c>
      <c r="I2036" t="s">
        <v>12711</v>
      </c>
      <c r="J2036">
        <v>159991</v>
      </c>
      <c r="K2036" t="s">
        <v>12712</v>
      </c>
      <c r="L2036">
        <v>114</v>
      </c>
      <c r="O2036">
        <v>159991</v>
      </c>
      <c r="P2036" t="s">
        <v>12585</v>
      </c>
      <c r="Q2036">
        <v>1</v>
      </c>
    </row>
    <row r="2037" spans="1:17" x14ac:dyDescent="0.25">
      <c r="A2037">
        <v>4</v>
      </c>
      <c r="B2037" t="s">
        <v>12713</v>
      </c>
      <c r="C2037" t="s">
        <v>625</v>
      </c>
      <c r="D2037" t="s">
        <v>12585</v>
      </c>
      <c r="G2037">
        <v>171014</v>
      </c>
      <c r="H2037" t="s">
        <v>12714</v>
      </c>
      <c r="I2037" t="s">
        <v>12715</v>
      </c>
      <c r="J2037">
        <v>171014</v>
      </c>
      <c r="K2037" t="s">
        <v>12716</v>
      </c>
      <c r="L2037">
        <v>133</v>
      </c>
      <c r="O2037">
        <v>171014</v>
      </c>
      <c r="P2037" t="s">
        <v>12585</v>
      </c>
      <c r="Q2037">
        <v>1</v>
      </c>
    </row>
    <row r="2038" spans="1:17" x14ac:dyDescent="0.25">
      <c r="A2038">
        <v>4</v>
      </c>
      <c r="B2038" t="s">
        <v>12717</v>
      </c>
      <c r="C2038" t="s">
        <v>625</v>
      </c>
      <c r="D2038" t="s">
        <v>12585</v>
      </c>
      <c r="G2038" t="s">
        <v>12718</v>
      </c>
      <c r="H2038" t="s">
        <v>12719</v>
      </c>
      <c r="I2038" t="s">
        <v>12720</v>
      </c>
      <c r="J2038" t="s">
        <v>12718</v>
      </c>
      <c r="K2038" t="s">
        <v>12721</v>
      </c>
      <c r="L2038">
        <v>27</v>
      </c>
      <c r="O2038" t="s">
        <v>12718</v>
      </c>
      <c r="P2038" t="s">
        <v>12585</v>
      </c>
      <c r="Q2038">
        <v>1</v>
      </c>
    </row>
    <row r="2039" spans="1:17" x14ac:dyDescent="0.25">
      <c r="A2039">
        <v>4</v>
      </c>
      <c r="B2039" t="s">
        <v>12722</v>
      </c>
      <c r="C2039" t="s">
        <v>625</v>
      </c>
      <c r="D2039" t="s">
        <v>12585</v>
      </c>
      <c r="G2039" t="s">
        <v>12723</v>
      </c>
      <c r="H2039" t="s">
        <v>12724</v>
      </c>
      <c r="I2039" t="s">
        <v>12725</v>
      </c>
      <c r="J2039" t="s">
        <v>12723</v>
      </c>
      <c r="K2039" t="s">
        <v>12726</v>
      </c>
      <c r="L2039">
        <v>13</v>
      </c>
      <c r="O2039" t="s">
        <v>12723</v>
      </c>
      <c r="P2039" t="s">
        <v>12585</v>
      </c>
      <c r="Q2039">
        <v>1</v>
      </c>
    </row>
    <row r="2040" spans="1:17" x14ac:dyDescent="0.25">
      <c r="A2040">
        <v>2</v>
      </c>
      <c r="B2040" t="s">
        <v>12727</v>
      </c>
      <c r="C2040" t="s">
        <v>625</v>
      </c>
      <c r="D2040" t="s">
        <v>12585</v>
      </c>
      <c r="E2040" t="s">
        <v>618</v>
      </c>
      <c r="H2040" t="s">
        <v>857</v>
      </c>
      <c r="I2040" t="s">
        <v>999</v>
      </c>
      <c r="J2040" t="s">
        <v>618</v>
      </c>
      <c r="O2040" t="s">
        <v>618</v>
      </c>
      <c r="P2040" t="s">
        <v>12585</v>
      </c>
      <c r="Q2040">
        <v>1</v>
      </c>
    </row>
    <row r="2041" spans="1:17" x14ac:dyDescent="0.25">
      <c r="A2041">
        <v>4</v>
      </c>
      <c r="B2041" t="s">
        <v>12728</v>
      </c>
      <c r="C2041" t="s">
        <v>625</v>
      </c>
      <c r="D2041" t="s">
        <v>12585</v>
      </c>
      <c r="G2041">
        <v>12081</v>
      </c>
      <c r="H2041" t="s">
        <v>12729</v>
      </c>
      <c r="I2041" t="s">
        <v>12730</v>
      </c>
      <c r="J2041">
        <v>12081</v>
      </c>
      <c r="K2041" t="s">
        <v>12731</v>
      </c>
      <c r="L2041">
        <v>93</v>
      </c>
      <c r="O2041">
        <v>12081</v>
      </c>
      <c r="P2041" t="s">
        <v>12585</v>
      </c>
      <c r="Q2041">
        <v>1</v>
      </c>
    </row>
    <row r="2042" spans="1:17" x14ac:dyDescent="0.25">
      <c r="A2042">
        <v>4</v>
      </c>
      <c r="B2042" t="s">
        <v>12732</v>
      </c>
      <c r="C2042" t="s">
        <v>625</v>
      </c>
      <c r="D2042" t="s">
        <v>12585</v>
      </c>
      <c r="G2042">
        <v>12085</v>
      </c>
      <c r="H2042" t="s">
        <v>12733</v>
      </c>
      <c r="I2042" t="s">
        <v>12734</v>
      </c>
      <c r="J2042">
        <v>12085</v>
      </c>
      <c r="K2042" t="s">
        <v>12735</v>
      </c>
      <c r="L2042">
        <v>527</v>
      </c>
      <c r="O2042">
        <v>12085</v>
      </c>
      <c r="P2042" t="s">
        <v>12585</v>
      </c>
      <c r="Q2042">
        <v>1</v>
      </c>
    </row>
    <row r="2043" spans="1:17" x14ac:dyDescent="0.25">
      <c r="A2043">
        <v>4</v>
      </c>
      <c r="B2043" t="s">
        <v>12736</v>
      </c>
      <c r="C2043" t="s">
        <v>625</v>
      </c>
      <c r="D2043" t="s">
        <v>12585</v>
      </c>
      <c r="G2043">
        <v>12087</v>
      </c>
      <c r="H2043" t="s">
        <v>12737</v>
      </c>
      <c r="I2043" t="s">
        <v>12738</v>
      </c>
      <c r="J2043">
        <v>12087</v>
      </c>
      <c r="K2043" t="s">
        <v>12739</v>
      </c>
      <c r="L2043">
        <v>8</v>
      </c>
      <c r="N2043" t="s">
        <v>4713</v>
      </c>
      <c r="O2043">
        <v>12087</v>
      </c>
      <c r="P2043" t="s">
        <v>12585</v>
      </c>
      <c r="Q2043">
        <v>1</v>
      </c>
    </row>
    <row r="2044" spans="1:17" x14ac:dyDescent="0.25">
      <c r="A2044">
        <v>4</v>
      </c>
      <c r="B2044" t="s">
        <v>12740</v>
      </c>
      <c r="C2044" t="s">
        <v>625</v>
      </c>
      <c r="D2044" t="s">
        <v>12585</v>
      </c>
      <c r="G2044">
        <v>12089</v>
      </c>
      <c r="H2044" t="s">
        <v>12741</v>
      </c>
      <c r="I2044" t="s">
        <v>12742</v>
      </c>
      <c r="J2044">
        <v>12089</v>
      </c>
      <c r="K2044" t="s">
        <v>12743</v>
      </c>
      <c r="L2044">
        <v>48</v>
      </c>
      <c r="O2044">
        <v>12089</v>
      </c>
      <c r="P2044" t="s">
        <v>12585</v>
      </c>
      <c r="Q2044">
        <v>1</v>
      </c>
    </row>
    <row r="2045" spans="1:17" x14ac:dyDescent="0.25">
      <c r="A2045">
        <v>4</v>
      </c>
      <c r="B2045" t="s">
        <v>12744</v>
      </c>
      <c r="C2045" t="s">
        <v>625</v>
      </c>
      <c r="D2045" t="s">
        <v>12585</v>
      </c>
      <c r="G2045">
        <v>12091</v>
      </c>
      <c r="H2045" t="s">
        <v>12745</v>
      </c>
      <c r="I2045" t="s">
        <v>12746</v>
      </c>
      <c r="J2045">
        <v>12091</v>
      </c>
      <c r="K2045" t="s">
        <v>12747</v>
      </c>
      <c r="L2045">
        <v>1</v>
      </c>
      <c r="N2045" t="s">
        <v>4734</v>
      </c>
      <c r="O2045">
        <v>12091</v>
      </c>
      <c r="P2045" t="s">
        <v>12585</v>
      </c>
      <c r="Q2045">
        <v>1</v>
      </c>
    </row>
    <row r="2046" spans="1:17" x14ac:dyDescent="0.25">
      <c r="A2046">
        <v>4</v>
      </c>
      <c r="B2046" t="s">
        <v>12748</v>
      </c>
      <c r="C2046" t="s">
        <v>625</v>
      </c>
      <c r="D2046" t="s">
        <v>12585</v>
      </c>
      <c r="G2046">
        <v>12093</v>
      </c>
      <c r="H2046" t="s">
        <v>12749</v>
      </c>
      <c r="I2046" t="s">
        <v>12750</v>
      </c>
      <c r="J2046">
        <v>12093</v>
      </c>
      <c r="K2046" t="s">
        <v>12751</v>
      </c>
      <c r="L2046">
        <v>5</v>
      </c>
      <c r="N2046" t="s">
        <v>4713</v>
      </c>
      <c r="O2046">
        <v>12093</v>
      </c>
      <c r="P2046" t="s">
        <v>12585</v>
      </c>
      <c r="Q2046">
        <v>1</v>
      </c>
    </row>
    <row r="2047" spans="1:17" x14ac:dyDescent="0.25">
      <c r="A2047">
        <v>4</v>
      </c>
      <c r="B2047" t="s">
        <v>12752</v>
      </c>
      <c r="C2047" t="s">
        <v>625</v>
      </c>
      <c r="D2047" t="s">
        <v>12585</v>
      </c>
      <c r="G2047">
        <v>12095</v>
      </c>
      <c r="H2047" t="s">
        <v>12753</v>
      </c>
      <c r="I2047" t="s">
        <v>12754</v>
      </c>
      <c r="J2047">
        <v>12095</v>
      </c>
      <c r="K2047" t="s">
        <v>12755</v>
      </c>
      <c r="L2047">
        <v>113</v>
      </c>
      <c r="O2047">
        <v>12095</v>
      </c>
      <c r="P2047" t="s">
        <v>12585</v>
      </c>
      <c r="Q2047">
        <v>1</v>
      </c>
    </row>
    <row r="2048" spans="1:17" x14ac:dyDescent="0.25">
      <c r="A2048">
        <v>4</v>
      </c>
      <c r="B2048" t="s">
        <v>12756</v>
      </c>
      <c r="C2048" t="s">
        <v>625</v>
      </c>
      <c r="D2048" t="s">
        <v>12585</v>
      </c>
      <c r="G2048" t="s">
        <v>12757</v>
      </c>
      <c r="H2048" t="s">
        <v>12758</v>
      </c>
      <c r="I2048" t="s">
        <v>12759</v>
      </c>
      <c r="J2048" t="s">
        <v>12757</v>
      </c>
      <c r="K2048" t="s">
        <v>12760</v>
      </c>
      <c r="L2048">
        <v>363</v>
      </c>
      <c r="O2048" t="s">
        <v>12757</v>
      </c>
      <c r="P2048" t="s">
        <v>12585</v>
      </c>
      <c r="Q2048">
        <v>1</v>
      </c>
    </row>
    <row r="2049" spans="1:17" x14ac:dyDescent="0.25">
      <c r="A2049">
        <v>4</v>
      </c>
      <c r="B2049" t="s">
        <v>12761</v>
      </c>
      <c r="C2049" t="s">
        <v>625</v>
      </c>
      <c r="D2049" t="s">
        <v>12585</v>
      </c>
      <c r="G2049" t="s">
        <v>12762</v>
      </c>
      <c r="H2049" t="s">
        <v>12763</v>
      </c>
      <c r="I2049" t="s">
        <v>12764</v>
      </c>
      <c r="J2049" t="s">
        <v>12762</v>
      </c>
      <c r="K2049" t="s">
        <v>12765</v>
      </c>
      <c r="L2049">
        <v>29</v>
      </c>
      <c r="O2049" t="s">
        <v>12762</v>
      </c>
      <c r="P2049" t="s">
        <v>12585</v>
      </c>
      <c r="Q2049">
        <v>1</v>
      </c>
    </row>
    <row r="2050" spans="1:17" x14ac:dyDescent="0.25">
      <c r="A2050">
        <v>4</v>
      </c>
      <c r="B2050" t="s">
        <v>12766</v>
      </c>
      <c r="C2050" t="s">
        <v>625</v>
      </c>
      <c r="D2050" t="s">
        <v>12585</v>
      </c>
      <c r="G2050" t="s">
        <v>12767</v>
      </c>
      <c r="H2050" t="s">
        <v>12768</v>
      </c>
      <c r="I2050" t="s">
        <v>12769</v>
      </c>
      <c r="J2050" t="s">
        <v>12767</v>
      </c>
      <c r="K2050" t="s">
        <v>12770</v>
      </c>
      <c r="L2050">
        <v>57</v>
      </c>
      <c r="O2050" t="s">
        <v>12767</v>
      </c>
      <c r="P2050" t="s">
        <v>12585</v>
      </c>
      <c r="Q2050">
        <v>1</v>
      </c>
    </row>
    <row r="2051" spans="1:17" x14ac:dyDescent="0.25">
      <c r="A2051">
        <v>4</v>
      </c>
      <c r="B2051" t="s">
        <v>12771</v>
      </c>
      <c r="C2051" t="s">
        <v>625</v>
      </c>
      <c r="D2051" t="s">
        <v>12585</v>
      </c>
      <c r="G2051" t="s">
        <v>12772</v>
      </c>
      <c r="H2051" t="s">
        <v>12773</v>
      </c>
      <c r="I2051" t="s">
        <v>12774</v>
      </c>
      <c r="J2051" t="s">
        <v>12772</v>
      </c>
      <c r="K2051" t="s">
        <v>12775</v>
      </c>
      <c r="L2051">
        <v>31</v>
      </c>
      <c r="O2051" t="s">
        <v>12772</v>
      </c>
      <c r="P2051" t="s">
        <v>12585</v>
      </c>
      <c r="Q2051">
        <v>1</v>
      </c>
    </row>
    <row r="2052" spans="1:17" x14ac:dyDescent="0.25">
      <c r="A2052">
        <v>4</v>
      </c>
      <c r="B2052" t="s">
        <v>12776</v>
      </c>
      <c r="C2052" t="s">
        <v>625</v>
      </c>
      <c r="D2052" t="s">
        <v>12585</v>
      </c>
      <c r="G2052" t="s">
        <v>12777</v>
      </c>
      <c r="H2052" t="s">
        <v>12778</v>
      </c>
      <c r="I2052" t="s">
        <v>12779</v>
      </c>
      <c r="J2052" t="s">
        <v>12777</v>
      </c>
      <c r="K2052" t="s">
        <v>12780</v>
      </c>
      <c r="L2052">
        <v>70</v>
      </c>
      <c r="O2052" t="s">
        <v>12777</v>
      </c>
      <c r="P2052" t="s">
        <v>12585</v>
      </c>
      <c r="Q2052">
        <v>1</v>
      </c>
    </row>
    <row r="2053" spans="1:17" x14ac:dyDescent="0.25">
      <c r="A2053">
        <v>4</v>
      </c>
      <c r="B2053" t="s">
        <v>12781</v>
      </c>
      <c r="C2053" t="s">
        <v>625</v>
      </c>
      <c r="D2053" t="s">
        <v>12585</v>
      </c>
      <c r="G2053" t="s">
        <v>12782</v>
      </c>
      <c r="H2053" t="s">
        <v>12783</v>
      </c>
      <c r="I2053" t="s">
        <v>12784</v>
      </c>
      <c r="J2053" t="s">
        <v>12782</v>
      </c>
      <c r="K2053" t="s">
        <v>12785</v>
      </c>
      <c r="L2053">
        <v>21</v>
      </c>
      <c r="O2053" t="s">
        <v>12782</v>
      </c>
      <c r="P2053" t="s">
        <v>12585</v>
      </c>
      <c r="Q2053">
        <v>1</v>
      </c>
    </row>
    <row r="2054" spans="1:17" x14ac:dyDescent="0.25">
      <c r="A2054">
        <v>2</v>
      </c>
      <c r="B2054" t="s">
        <v>12786</v>
      </c>
      <c r="C2054" t="s">
        <v>625</v>
      </c>
      <c r="D2054" t="s">
        <v>12585</v>
      </c>
      <c r="E2054" t="s">
        <v>611</v>
      </c>
      <c r="H2054" t="s">
        <v>896</v>
      </c>
      <c r="I2054" t="s">
        <v>1031</v>
      </c>
      <c r="J2054" t="s">
        <v>611</v>
      </c>
      <c r="O2054" t="s">
        <v>611</v>
      </c>
      <c r="P2054" t="s">
        <v>12585</v>
      </c>
      <c r="Q2054">
        <v>1</v>
      </c>
    </row>
    <row r="2055" spans="1:17" x14ac:dyDescent="0.25">
      <c r="A2055">
        <v>4</v>
      </c>
      <c r="B2055" t="s">
        <v>12787</v>
      </c>
      <c r="C2055" t="s">
        <v>625</v>
      </c>
      <c r="D2055" t="s">
        <v>12585</v>
      </c>
      <c r="G2055">
        <v>12274</v>
      </c>
      <c r="H2055" t="s">
        <v>12788</v>
      </c>
      <c r="I2055" t="s">
        <v>12789</v>
      </c>
      <c r="J2055">
        <v>12274</v>
      </c>
      <c r="K2055" t="s">
        <v>12790</v>
      </c>
      <c r="L2055">
        <v>64</v>
      </c>
      <c r="O2055">
        <v>12274</v>
      </c>
      <c r="P2055" t="s">
        <v>12585</v>
      </c>
      <c r="Q2055">
        <v>1</v>
      </c>
    </row>
    <row r="2056" spans="1:17" x14ac:dyDescent="0.25">
      <c r="A2056">
        <v>4</v>
      </c>
      <c r="B2056" t="s">
        <v>12791</v>
      </c>
      <c r="C2056" t="s">
        <v>625</v>
      </c>
      <c r="D2056" t="s">
        <v>12585</v>
      </c>
      <c r="G2056">
        <v>12288</v>
      </c>
      <c r="H2056" t="s">
        <v>12792</v>
      </c>
      <c r="I2056" t="s">
        <v>12793</v>
      </c>
      <c r="J2056">
        <v>12288</v>
      </c>
      <c r="K2056" t="s">
        <v>12794</v>
      </c>
      <c r="L2056">
        <v>9</v>
      </c>
      <c r="N2056" t="s">
        <v>4713</v>
      </c>
      <c r="O2056">
        <v>12288</v>
      </c>
      <c r="P2056" t="s">
        <v>12585</v>
      </c>
      <c r="Q2056">
        <v>1</v>
      </c>
    </row>
    <row r="2057" spans="1:17" x14ac:dyDescent="0.25">
      <c r="A2057">
        <v>4</v>
      </c>
      <c r="B2057" t="s">
        <v>12795</v>
      </c>
      <c r="C2057" t="s">
        <v>625</v>
      </c>
      <c r="D2057" t="s">
        <v>12585</v>
      </c>
      <c r="G2057">
        <v>12294</v>
      </c>
      <c r="H2057" t="s">
        <v>12796</v>
      </c>
      <c r="I2057" t="s">
        <v>12797</v>
      </c>
      <c r="J2057">
        <v>12294</v>
      </c>
      <c r="K2057" t="s">
        <v>12798</v>
      </c>
      <c r="L2057">
        <v>63</v>
      </c>
      <c r="O2057">
        <v>12294</v>
      </c>
      <c r="P2057" t="s">
        <v>12585</v>
      </c>
      <c r="Q2057">
        <v>1</v>
      </c>
    </row>
    <row r="2058" spans="1:17" x14ac:dyDescent="0.25">
      <c r="A2058">
        <v>4</v>
      </c>
      <c r="B2058" t="s">
        <v>12799</v>
      </c>
      <c r="C2058" t="s">
        <v>625</v>
      </c>
      <c r="D2058" t="s">
        <v>12585</v>
      </c>
      <c r="G2058">
        <v>12297</v>
      </c>
      <c r="H2058" t="s">
        <v>12800</v>
      </c>
      <c r="I2058" t="s">
        <v>12801</v>
      </c>
      <c r="J2058">
        <v>12297</v>
      </c>
      <c r="K2058" t="s">
        <v>12802</v>
      </c>
      <c r="L2058">
        <v>64</v>
      </c>
      <c r="O2058">
        <v>12297</v>
      </c>
      <c r="P2058" t="s">
        <v>12585</v>
      </c>
      <c r="Q2058">
        <v>1</v>
      </c>
    </row>
    <row r="2059" spans="1:17" x14ac:dyDescent="0.25">
      <c r="A2059">
        <v>4</v>
      </c>
      <c r="B2059" t="s">
        <v>12803</v>
      </c>
      <c r="C2059" t="s">
        <v>625</v>
      </c>
      <c r="D2059" t="s">
        <v>12585</v>
      </c>
      <c r="G2059">
        <v>12340</v>
      </c>
      <c r="H2059" t="s">
        <v>12804</v>
      </c>
      <c r="I2059" t="s">
        <v>12805</v>
      </c>
      <c r="J2059">
        <v>12340</v>
      </c>
      <c r="K2059" t="s">
        <v>12806</v>
      </c>
      <c r="L2059">
        <v>30</v>
      </c>
      <c r="O2059">
        <v>12340</v>
      </c>
      <c r="P2059" t="s">
        <v>12585</v>
      </c>
      <c r="Q2059">
        <v>1</v>
      </c>
    </row>
    <row r="2060" spans="1:17" x14ac:dyDescent="0.25">
      <c r="A2060">
        <v>4</v>
      </c>
      <c r="B2060" t="s">
        <v>12807</v>
      </c>
      <c r="C2060" t="s">
        <v>625</v>
      </c>
      <c r="D2060" t="s">
        <v>12585</v>
      </c>
      <c r="G2060">
        <v>12344</v>
      </c>
      <c r="H2060" t="s">
        <v>12808</v>
      </c>
      <c r="I2060" t="s">
        <v>12809</v>
      </c>
      <c r="J2060">
        <v>12344</v>
      </c>
      <c r="K2060" t="s">
        <v>12810</v>
      </c>
      <c r="L2060">
        <v>95</v>
      </c>
      <c r="O2060">
        <v>12344</v>
      </c>
      <c r="P2060" t="s">
        <v>12585</v>
      </c>
      <c r="Q2060">
        <v>1</v>
      </c>
    </row>
    <row r="2061" spans="1:17" x14ac:dyDescent="0.25">
      <c r="A2061">
        <v>4</v>
      </c>
      <c r="B2061" t="s">
        <v>12811</v>
      </c>
      <c r="C2061" t="s">
        <v>625</v>
      </c>
      <c r="D2061" t="s">
        <v>12585</v>
      </c>
      <c r="G2061">
        <v>12347</v>
      </c>
      <c r="H2061" t="s">
        <v>190</v>
      </c>
      <c r="I2061" t="s">
        <v>459</v>
      </c>
      <c r="J2061">
        <v>12347</v>
      </c>
      <c r="K2061" t="s">
        <v>12812</v>
      </c>
      <c r="L2061">
        <v>293</v>
      </c>
      <c r="O2061">
        <v>12347</v>
      </c>
      <c r="P2061" t="s">
        <v>12585</v>
      </c>
      <c r="Q2061">
        <v>1</v>
      </c>
    </row>
    <row r="2062" spans="1:17" x14ac:dyDescent="0.25">
      <c r="A2062">
        <v>4</v>
      </c>
      <c r="B2062" t="s">
        <v>12813</v>
      </c>
      <c r="C2062" t="s">
        <v>625</v>
      </c>
      <c r="D2062" t="s">
        <v>12585</v>
      </c>
      <c r="G2062">
        <v>12360</v>
      </c>
      <c r="H2062" t="s">
        <v>12814</v>
      </c>
      <c r="I2062" t="s">
        <v>12814</v>
      </c>
      <c r="J2062">
        <v>12360</v>
      </c>
      <c r="K2062" t="s">
        <v>12815</v>
      </c>
      <c r="L2062">
        <v>46</v>
      </c>
      <c r="O2062">
        <v>12360</v>
      </c>
      <c r="P2062" t="s">
        <v>12585</v>
      </c>
      <c r="Q2062">
        <v>1</v>
      </c>
    </row>
    <row r="2063" spans="1:17" x14ac:dyDescent="0.25">
      <c r="A2063">
        <v>4</v>
      </c>
      <c r="B2063" t="s">
        <v>12816</v>
      </c>
      <c r="C2063" t="s">
        <v>625</v>
      </c>
      <c r="D2063" t="s">
        <v>12585</v>
      </c>
      <c r="G2063">
        <v>12363</v>
      </c>
      <c r="H2063" t="s">
        <v>12817</v>
      </c>
      <c r="I2063" t="s">
        <v>12818</v>
      </c>
      <c r="J2063">
        <v>12363</v>
      </c>
      <c r="K2063" t="s">
        <v>12819</v>
      </c>
      <c r="L2063">
        <v>6</v>
      </c>
      <c r="N2063" t="s">
        <v>4713</v>
      </c>
      <c r="O2063">
        <v>12363</v>
      </c>
      <c r="P2063" t="s">
        <v>12585</v>
      </c>
      <c r="Q2063">
        <v>1</v>
      </c>
    </row>
    <row r="2064" spans="1:17" x14ac:dyDescent="0.25">
      <c r="A2064">
        <v>4</v>
      </c>
      <c r="B2064" t="s">
        <v>12820</v>
      </c>
      <c r="C2064" t="s">
        <v>625</v>
      </c>
      <c r="D2064" t="s">
        <v>12585</v>
      </c>
      <c r="G2064">
        <v>12369</v>
      </c>
      <c r="H2064" t="s">
        <v>12821</v>
      </c>
      <c r="I2064" t="s">
        <v>12822</v>
      </c>
      <c r="J2064">
        <v>12369</v>
      </c>
      <c r="K2064" t="s">
        <v>12823</v>
      </c>
      <c r="L2064">
        <v>3</v>
      </c>
      <c r="N2064" t="s">
        <v>4713</v>
      </c>
      <c r="O2064">
        <v>12369</v>
      </c>
      <c r="P2064" t="s">
        <v>12585</v>
      </c>
      <c r="Q2064">
        <v>1</v>
      </c>
    </row>
    <row r="2065" spans="1:17" x14ac:dyDescent="0.25">
      <c r="A2065">
        <v>4</v>
      </c>
      <c r="B2065" t="s">
        <v>12824</v>
      </c>
      <c r="C2065" t="s">
        <v>625</v>
      </c>
      <c r="D2065" t="s">
        <v>12585</v>
      </c>
      <c r="G2065">
        <v>12372</v>
      </c>
      <c r="H2065" t="s">
        <v>12825</v>
      </c>
      <c r="I2065" t="s">
        <v>12826</v>
      </c>
      <c r="J2065">
        <v>12372</v>
      </c>
      <c r="K2065" t="s">
        <v>12827</v>
      </c>
      <c r="L2065">
        <v>1</v>
      </c>
      <c r="N2065" t="s">
        <v>4734</v>
      </c>
      <c r="O2065">
        <v>12372</v>
      </c>
      <c r="P2065" t="s">
        <v>12585</v>
      </c>
      <c r="Q2065">
        <v>1</v>
      </c>
    </row>
    <row r="2066" spans="1:17" x14ac:dyDescent="0.25">
      <c r="A2066">
        <v>4</v>
      </c>
      <c r="B2066" t="s">
        <v>12828</v>
      </c>
      <c r="C2066" t="s">
        <v>625</v>
      </c>
      <c r="D2066" t="s">
        <v>12585</v>
      </c>
      <c r="G2066">
        <v>207561</v>
      </c>
      <c r="H2066" t="s">
        <v>12829</v>
      </c>
      <c r="I2066" t="s">
        <v>12830</v>
      </c>
      <c r="J2066">
        <v>207561</v>
      </c>
      <c r="K2066" t="s">
        <v>12831</v>
      </c>
      <c r="L2066">
        <v>12</v>
      </c>
      <c r="O2066">
        <v>207561</v>
      </c>
      <c r="P2066" t="s">
        <v>12585</v>
      </c>
      <c r="Q2066">
        <v>1</v>
      </c>
    </row>
    <row r="2067" spans="1:17" x14ac:dyDescent="0.25">
      <c r="A2067">
        <v>4</v>
      </c>
      <c r="B2067" t="s">
        <v>12832</v>
      </c>
      <c r="C2067" t="s">
        <v>625</v>
      </c>
      <c r="D2067" t="s">
        <v>12585</v>
      </c>
      <c r="G2067">
        <v>218688</v>
      </c>
      <c r="H2067" t="s">
        <v>12833</v>
      </c>
      <c r="I2067" t="s">
        <v>12834</v>
      </c>
      <c r="J2067">
        <v>218688</v>
      </c>
      <c r="K2067" t="s">
        <v>12835</v>
      </c>
      <c r="L2067">
        <v>64</v>
      </c>
      <c r="O2067">
        <v>218688</v>
      </c>
      <c r="P2067" t="s">
        <v>12585</v>
      </c>
      <c r="Q2067">
        <v>1</v>
      </c>
    </row>
    <row r="2068" spans="1:17" x14ac:dyDescent="0.25">
      <c r="A2068">
        <v>4</v>
      </c>
      <c r="B2068" t="s">
        <v>12836</v>
      </c>
      <c r="C2068" t="s">
        <v>625</v>
      </c>
      <c r="D2068" t="s">
        <v>12585</v>
      </c>
      <c r="G2068">
        <v>283005</v>
      </c>
      <c r="H2068" t="s">
        <v>12837</v>
      </c>
      <c r="I2068" t="s">
        <v>12838</v>
      </c>
      <c r="J2068">
        <v>283005</v>
      </c>
      <c r="K2068" t="s">
        <v>12839</v>
      </c>
      <c r="L2068">
        <v>5</v>
      </c>
      <c r="N2068" t="s">
        <v>4713</v>
      </c>
      <c r="O2068">
        <v>283005</v>
      </c>
      <c r="P2068" t="s">
        <v>12585</v>
      </c>
      <c r="Q2068">
        <v>1</v>
      </c>
    </row>
    <row r="2069" spans="1:17" x14ac:dyDescent="0.25">
      <c r="A2069">
        <v>4</v>
      </c>
      <c r="B2069" t="s">
        <v>12840</v>
      </c>
      <c r="C2069" t="s">
        <v>625</v>
      </c>
      <c r="D2069" t="s">
        <v>12585</v>
      </c>
      <c r="G2069">
        <v>283013</v>
      </c>
      <c r="H2069" t="s">
        <v>12841</v>
      </c>
      <c r="I2069" t="s">
        <v>12842</v>
      </c>
      <c r="J2069">
        <v>283013</v>
      </c>
      <c r="K2069" t="s">
        <v>12843</v>
      </c>
      <c r="L2069">
        <v>39</v>
      </c>
      <c r="O2069">
        <v>283013</v>
      </c>
      <c r="P2069" t="s">
        <v>12585</v>
      </c>
      <c r="Q2069">
        <v>1</v>
      </c>
    </row>
    <row r="2070" spans="1:17" x14ac:dyDescent="0.25">
      <c r="A2070">
        <v>4</v>
      </c>
      <c r="B2070" t="s">
        <v>12844</v>
      </c>
      <c r="C2070" t="s">
        <v>625</v>
      </c>
      <c r="D2070" t="s">
        <v>12585</v>
      </c>
      <c r="G2070">
        <v>33211</v>
      </c>
      <c r="H2070" t="s">
        <v>12845</v>
      </c>
      <c r="I2070" t="s">
        <v>12846</v>
      </c>
      <c r="J2070">
        <v>33211</v>
      </c>
      <c r="K2070" t="s">
        <v>12847</v>
      </c>
      <c r="L2070">
        <v>24</v>
      </c>
      <c r="O2070">
        <v>33211</v>
      </c>
      <c r="P2070" t="s">
        <v>12585</v>
      </c>
      <c r="Q2070">
        <v>1</v>
      </c>
    </row>
    <row r="2071" spans="1:17" x14ac:dyDescent="0.25">
      <c r="A2071">
        <v>4</v>
      </c>
      <c r="B2071" t="s">
        <v>12848</v>
      </c>
      <c r="C2071" t="s">
        <v>625</v>
      </c>
      <c r="D2071" t="s">
        <v>12585</v>
      </c>
      <c r="G2071">
        <v>632296</v>
      </c>
      <c r="H2071" t="s">
        <v>12849</v>
      </c>
      <c r="I2071" t="s">
        <v>12850</v>
      </c>
      <c r="J2071">
        <v>632296</v>
      </c>
      <c r="K2071" t="s">
        <v>12851</v>
      </c>
      <c r="L2071">
        <v>42</v>
      </c>
      <c r="O2071">
        <v>632296</v>
      </c>
      <c r="P2071" t="s">
        <v>12585</v>
      </c>
      <c r="Q2071">
        <v>1</v>
      </c>
    </row>
    <row r="2072" spans="1:17" x14ac:dyDescent="0.25">
      <c r="A2072">
        <v>4</v>
      </c>
      <c r="B2072" t="s">
        <v>12852</v>
      </c>
      <c r="C2072" t="s">
        <v>625</v>
      </c>
      <c r="D2072" t="s">
        <v>12585</v>
      </c>
      <c r="G2072">
        <v>632369</v>
      </c>
      <c r="H2072" t="s">
        <v>12853</v>
      </c>
      <c r="I2072" t="s">
        <v>12854</v>
      </c>
      <c r="J2072">
        <v>632369</v>
      </c>
      <c r="K2072" t="s">
        <v>12855</v>
      </c>
      <c r="L2072">
        <v>14</v>
      </c>
      <c r="O2072">
        <v>632369</v>
      </c>
      <c r="P2072" t="s">
        <v>12585</v>
      </c>
      <c r="Q2072">
        <v>1</v>
      </c>
    </row>
    <row r="2073" spans="1:17" x14ac:dyDescent="0.25">
      <c r="A2073">
        <v>4</v>
      </c>
      <c r="B2073" t="s">
        <v>12856</v>
      </c>
      <c r="C2073" t="s">
        <v>625</v>
      </c>
      <c r="D2073" t="s">
        <v>12585</v>
      </c>
      <c r="G2073">
        <v>632370</v>
      </c>
      <c r="H2073" t="s">
        <v>12857</v>
      </c>
      <c r="I2073" t="s">
        <v>12858</v>
      </c>
      <c r="J2073">
        <v>632370</v>
      </c>
      <c r="K2073" t="s">
        <v>12859</v>
      </c>
      <c r="L2073">
        <v>34</v>
      </c>
      <c r="O2073">
        <v>632370</v>
      </c>
      <c r="P2073" t="s">
        <v>12585</v>
      </c>
      <c r="Q2073">
        <v>1</v>
      </c>
    </row>
    <row r="2074" spans="1:17" x14ac:dyDescent="0.25">
      <c r="A2074">
        <v>4</v>
      </c>
      <c r="B2074" t="s">
        <v>12860</v>
      </c>
      <c r="C2074" t="s">
        <v>625</v>
      </c>
      <c r="D2074" t="s">
        <v>12585</v>
      </c>
      <c r="G2074">
        <v>632371</v>
      </c>
      <c r="H2074" t="s">
        <v>12861</v>
      </c>
      <c r="I2074" t="s">
        <v>12862</v>
      </c>
      <c r="J2074">
        <v>632371</v>
      </c>
      <c r="K2074" t="s">
        <v>12863</v>
      </c>
      <c r="L2074">
        <v>2</v>
      </c>
      <c r="N2074" t="s">
        <v>4713</v>
      </c>
      <c r="O2074">
        <v>632371</v>
      </c>
      <c r="P2074" t="s">
        <v>12585</v>
      </c>
      <c r="Q2074">
        <v>1</v>
      </c>
    </row>
    <row r="2075" spans="1:17" x14ac:dyDescent="0.25">
      <c r="A2075">
        <v>4</v>
      </c>
      <c r="B2075" t="s">
        <v>12864</v>
      </c>
      <c r="C2075" t="s">
        <v>625</v>
      </c>
      <c r="D2075" t="s">
        <v>12585</v>
      </c>
      <c r="G2075">
        <v>632372</v>
      </c>
      <c r="H2075" t="s">
        <v>12865</v>
      </c>
      <c r="I2075" t="s">
        <v>12866</v>
      </c>
      <c r="J2075">
        <v>632372</v>
      </c>
      <c r="K2075" t="s">
        <v>12867</v>
      </c>
      <c r="L2075">
        <v>293</v>
      </c>
      <c r="N2075" t="s">
        <v>9287</v>
      </c>
      <c r="O2075">
        <v>632372</v>
      </c>
      <c r="P2075" t="s">
        <v>12585</v>
      </c>
      <c r="Q2075">
        <v>1</v>
      </c>
    </row>
    <row r="2076" spans="1:17" x14ac:dyDescent="0.25">
      <c r="A2076">
        <v>4</v>
      </c>
      <c r="B2076" t="s">
        <v>12868</v>
      </c>
      <c r="C2076" t="s">
        <v>625</v>
      </c>
      <c r="D2076" t="s">
        <v>12585</v>
      </c>
      <c r="G2076">
        <v>632373</v>
      </c>
      <c r="H2076" t="s">
        <v>1183</v>
      </c>
      <c r="I2076" t="s">
        <v>12869</v>
      </c>
      <c r="J2076">
        <v>632373</v>
      </c>
      <c r="K2076" t="s">
        <v>12870</v>
      </c>
      <c r="L2076">
        <v>293</v>
      </c>
      <c r="N2076" t="s">
        <v>9287</v>
      </c>
      <c r="O2076">
        <v>632373</v>
      </c>
      <c r="P2076" t="s">
        <v>12585</v>
      </c>
      <c r="Q2076">
        <v>1</v>
      </c>
    </row>
    <row r="2077" spans="1:17" x14ac:dyDescent="0.25">
      <c r="A2077">
        <v>4</v>
      </c>
      <c r="B2077" t="s">
        <v>12871</v>
      </c>
      <c r="C2077" t="s">
        <v>625</v>
      </c>
      <c r="D2077" t="s">
        <v>12585</v>
      </c>
      <c r="G2077">
        <v>632374</v>
      </c>
      <c r="H2077" t="s">
        <v>12872</v>
      </c>
      <c r="I2077" t="s">
        <v>12872</v>
      </c>
      <c r="J2077">
        <v>632374</v>
      </c>
      <c r="K2077" t="s">
        <v>12873</v>
      </c>
      <c r="L2077">
        <v>1</v>
      </c>
      <c r="N2077" t="s">
        <v>4734</v>
      </c>
      <c r="O2077">
        <v>632374</v>
      </c>
      <c r="P2077" t="s">
        <v>12585</v>
      </c>
      <c r="Q2077">
        <v>1</v>
      </c>
    </row>
    <row r="2078" spans="1:17" x14ac:dyDescent="0.25">
      <c r="A2078">
        <v>4</v>
      </c>
      <c r="B2078" t="s">
        <v>12874</v>
      </c>
      <c r="C2078" t="s">
        <v>625</v>
      </c>
      <c r="D2078" t="s">
        <v>12585</v>
      </c>
      <c r="G2078">
        <v>632375</v>
      </c>
      <c r="H2078" t="s">
        <v>10806</v>
      </c>
      <c r="I2078" t="s">
        <v>12875</v>
      </c>
      <c r="J2078">
        <v>632375</v>
      </c>
      <c r="K2078" t="s">
        <v>12876</v>
      </c>
      <c r="L2078">
        <v>4</v>
      </c>
      <c r="N2078" t="s">
        <v>4713</v>
      </c>
      <c r="O2078">
        <v>632375</v>
      </c>
      <c r="P2078" t="s">
        <v>12585</v>
      </c>
      <c r="Q2078">
        <v>1</v>
      </c>
    </row>
    <row r="2079" spans="1:17" x14ac:dyDescent="0.25">
      <c r="A2079">
        <v>4</v>
      </c>
      <c r="B2079" t="s">
        <v>12877</v>
      </c>
      <c r="C2079" t="s">
        <v>625</v>
      </c>
      <c r="D2079" t="s">
        <v>12585</v>
      </c>
      <c r="G2079">
        <v>632376</v>
      </c>
      <c r="H2079" t="s">
        <v>12878</v>
      </c>
      <c r="I2079" t="s">
        <v>12879</v>
      </c>
      <c r="J2079">
        <v>632376</v>
      </c>
      <c r="K2079" t="s">
        <v>12880</v>
      </c>
      <c r="L2079">
        <v>8</v>
      </c>
      <c r="N2079" t="s">
        <v>4713</v>
      </c>
      <c r="O2079">
        <v>632376</v>
      </c>
      <c r="P2079" t="s">
        <v>12585</v>
      </c>
      <c r="Q2079">
        <v>1</v>
      </c>
    </row>
    <row r="2080" spans="1:17" x14ac:dyDescent="0.25">
      <c r="A2080">
        <v>4</v>
      </c>
      <c r="B2080" t="s">
        <v>12881</v>
      </c>
      <c r="C2080" t="s">
        <v>625</v>
      </c>
      <c r="D2080" t="s">
        <v>12585</v>
      </c>
      <c r="G2080">
        <v>634884</v>
      </c>
      <c r="H2080" t="s">
        <v>12882</v>
      </c>
      <c r="I2080" t="s">
        <v>12883</v>
      </c>
      <c r="J2080">
        <v>634884</v>
      </c>
      <c r="K2080" t="s">
        <v>12884</v>
      </c>
      <c r="L2080">
        <v>1</v>
      </c>
      <c r="N2080" t="s">
        <v>4734</v>
      </c>
      <c r="O2080">
        <v>634884</v>
      </c>
      <c r="P2080" t="s">
        <v>12585</v>
      </c>
      <c r="Q2080">
        <v>1</v>
      </c>
    </row>
    <row r="2081" spans="1:17" x14ac:dyDescent="0.25">
      <c r="A2081">
        <v>4</v>
      </c>
      <c r="B2081" t="s">
        <v>12885</v>
      </c>
      <c r="C2081" t="s">
        <v>625</v>
      </c>
      <c r="D2081" t="s">
        <v>12585</v>
      </c>
      <c r="G2081" t="s">
        <v>12886</v>
      </c>
      <c r="H2081" t="s">
        <v>12887</v>
      </c>
      <c r="I2081" t="s">
        <v>12888</v>
      </c>
      <c r="J2081" t="s">
        <v>12886</v>
      </c>
      <c r="K2081" t="s">
        <v>12889</v>
      </c>
      <c r="L2081">
        <v>2</v>
      </c>
      <c r="N2081" t="s">
        <v>4713</v>
      </c>
      <c r="O2081" t="s">
        <v>12886</v>
      </c>
      <c r="P2081" t="s">
        <v>12585</v>
      </c>
      <c r="Q2081">
        <v>1</v>
      </c>
    </row>
    <row r="2082" spans="1:17" x14ac:dyDescent="0.25">
      <c r="A2082">
        <v>4</v>
      </c>
      <c r="B2082" t="s">
        <v>12890</v>
      </c>
      <c r="C2082" t="s">
        <v>625</v>
      </c>
      <c r="D2082" t="s">
        <v>12585</v>
      </c>
      <c r="G2082" t="s">
        <v>12891</v>
      </c>
      <c r="H2082" t="s">
        <v>12892</v>
      </c>
      <c r="I2082" t="s">
        <v>12892</v>
      </c>
      <c r="J2082" t="s">
        <v>12891</v>
      </c>
      <c r="K2082" t="s">
        <v>12893</v>
      </c>
      <c r="L2082">
        <v>52</v>
      </c>
      <c r="O2082" t="s">
        <v>12891</v>
      </c>
      <c r="P2082" t="s">
        <v>12585</v>
      </c>
      <c r="Q2082">
        <v>1</v>
      </c>
    </row>
    <row r="2083" spans="1:17" x14ac:dyDescent="0.25">
      <c r="A2083">
        <v>4</v>
      </c>
      <c r="B2083" t="s">
        <v>12894</v>
      </c>
      <c r="C2083" t="s">
        <v>625</v>
      </c>
      <c r="D2083" t="s">
        <v>12585</v>
      </c>
      <c r="G2083" t="s">
        <v>12895</v>
      </c>
      <c r="H2083" t="s">
        <v>12896</v>
      </c>
      <c r="I2083" t="s">
        <v>12896</v>
      </c>
      <c r="J2083" t="s">
        <v>12895</v>
      </c>
      <c r="K2083" t="s">
        <v>12897</v>
      </c>
      <c r="L2083">
        <v>14</v>
      </c>
      <c r="O2083" t="s">
        <v>12895</v>
      </c>
      <c r="P2083" t="s">
        <v>12585</v>
      </c>
      <c r="Q2083">
        <v>1</v>
      </c>
    </row>
    <row r="2084" spans="1:17" x14ac:dyDescent="0.25">
      <c r="A2084">
        <v>4</v>
      </c>
      <c r="B2084" t="s">
        <v>12898</v>
      </c>
      <c r="C2084" t="s">
        <v>625</v>
      </c>
      <c r="D2084" t="s">
        <v>12585</v>
      </c>
      <c r="G2084" t="s">
        <v>12899</v>
      </c>
      <c r="H2084" t="s">
        <v>12900</v>
      </c>
      <c r="I2084" t="s">
        <v>12901</v>
      </c>
      <c r="J2084" t="s">
        <v>12899</v>
      </c>
      <c r="K2084" t="s">
        <v>12902</v>
      </c>
      <c r="L2084">
        <v>70</v>
      </c>
      <c r="O2084" t="s">
        <v>12899</v>
      </c>
      <c r="P2084" t="s">
        <v>12585</v>
      </c>
      <c r="Q2084">
        <v>1</v>
      </c>
    </row>
    <row r="2085" spans="1:17" x14ac:dyDescent="0.25">
      <c r="A2085">
        <v>4</v>
      </c>
      <c r="B2085" t="s">
        <v>12903</v>
      </c>
      <c r="C2085" t="s">
        <v>625</v>
      </c>
      <c r="D2085" t="s">
        <v>12585</v>
      </c>
      <c r="G2085" t="s">
        <v>12904</v>
      </c>
      <c r="H2085" t="s">
        <v>12905</v>
      </c>
      <c r="I2085" t="s">
        <v>12905</v>
      </c>
      <c r="J2085" t="s">
        <v>12904</v>
      </c>
      <c r="K2085" t="s">
        <v>12906</v>
      </c>
      <c r="L2085">
        <v>1</v>
      </c>
      <c r="N2085" t="s">
        <v>4734</v>
      </c>
      <c r="O2085" t="s">
        <v>12904</v>
      </c>
      <c r="P2085" t="s">
        <v>12585</v>
      </c>
      <c r="Q2085">
        <v>1</v>
      </c>
    </row>
    <row r="2086" spans="1:17" x14ac:dyDescent="0.25">
      <c r="A2086">
        <v>4</v>
      </c>
      <c r="B2086" t="s">
        <v>12907</v>
      </c>
      <c r="C2086" t="s">
        <v>625</v>
      </c>
      <c r="D2086" t="s">
        <v>12585</v>
      </c>
      <c r="G2086" t="s">
        <v>12908</v>
      </c>
      <c r="H2086" t="s">
        <v>12909</v>
      </c>
      <c r="I2086" t="s">
        <v>12910</v>
      </c>
      <c r="J2086" t="s">
        <v>12908</v>
      </c>
      <c r="K2086" t="s">
        <v>12911</v>
      </c>
      <c r="L2086">
        <v>14</v>
      </c>
      <c r="O2086" t="s">
        <v>12908</v>
      </c>
      <c r="P2086" t="s">
        <v>12585</v>
      </c>
      <c r="Q2086">
        <v>1</v>
      </c>
    </row>
    <row r="2087" spans="1:17" x14ac:dyDescent="0.25">
      <c r="A2087">
        <v>4</v>
      </c>
      <c r="B2087" t="s">
        <v>12912</v>
      </c>
      <c r="C2087" t="s">
        <v>625</v>
      </c>
      <c r="D2087" t="s">
        <v>12585</v>
      </c>
      <c r="G2087" t="s">
        <v>12913</v>
      </c>
      <c r="H2087" t="s">
        <v>12914</v>
      </c>
      <c r="I2087" t="s">
        <v>12915</v>
      </c>
      <c r="J2087" t="s">
        <v>12913</v>
      </c>
      <c r="K2087" t="s">
        <v>12916</v>
      </c>
      <c r="L2087">
        <v>15</v>
      </c>
      <c r="O2087" t="s">
        <v>12913</v>
      </c>
      <c r="P2087" t="s">
        <v>12585</v>
      </c>
      <c r="Q2087">
        <v>1</v>
      </c>
    </row>
    <row r="2088" spans="1:17" x14ac:dyDescent="0.25">
      <c r="A2088">
        <v>4</v>
      </c>
      <c r="B2088" t="s">
        <v>12917</v>
      </c>
      <c r="C2088" t="s">
        <v>625</v>
      </c>
      <c r="D2088" t="s">
        <v>12585</v>
      </c>
      <c r="G2088" t="s">
        <v>12918</v>
      </c>
      <c r="H2088" t="s">
        <v>12919</v>
      </c>
      <c r="I2088" t="s">
        <v>12920</v>
      </c>
      <c r="J2088" t="s">
        <v>12918</v>
      </c>
      <c r="K2088" t="s">
        <v>12921</v>
      </c>
      <c r="L2088">
        <v>10</v>
      </c>
      <c r="O2088" t="s">
        <v>12918</v>
      </c>
      <c r="P2088" t="s">
        <v>12585</v>
      </c>
      <c r="Q2088">
        <v>1</v>
      </c>
    </row>
    <row r="2089" spans="1:17" x14ac:dyDescent="0.25">
      <c r="A2089">
        <v>4</v>
      </c>
      <c r="B2089" t="s">
        <v>12922</v>
      </c>
      <c r="C2089" t="s">
        <v>625</v>
      </c>
      <c r="D2089" t="s">
        <v>12585</v>
      </c>
      <c r="G2089" t="s">
        <v>12923</v>
      </c>
      <c r="H2089" t="s">
        <v>12924</v>
      </c>
      <c r="I2089" t="s">
        <v>12925</v>
      </c>
      <c r="J2089" t="s">
        <v>12923</v>
      </c>
      <c r="K2089" t="s">
        <v>12926</v>
      </c>
      <c r="L2089">
        <v>40</v>
      </c>
      <c r="O2089" t="s">
        <v>12923</v>
      </c>
      <c r="P2089" t="s">
        <v>12585</v>
      </c>
      <c r="Q2089">
        <v>1</v>
      </c>
    </row>
    <row r="2090" spans="1:17" x14ac:dyDescent="0.25">
      <c r="A2090">
        <v>2</v>
      </c>
      <c r="B2090" t="s">
        <v>12927</v>
      </c>
      <c r="C2090" t="s">
        <v>625</v>
      </c>
      <c r="D2090" t="s">
        <v>12585</v>
      </c>
      <c r="E2090" t="s">
        <v>628</v>
      </c>
      <c r="H2090" t="s">
        <v>852</v>
      </c>
      <c r="I2090" t="s">
        <v>996</v>
      </c>
      <c r="J2090" t="s">
        <v>628</v>
      </c>
      <c r="O2090" t="s">
        <v>628</v>
      </c>
      <c r="P2090" t="s">
        <v>12585</v>
      </c>
      <c r="Q2090">
        <v>1</v>
      </c>
    </row>
    <row r="2091" spans="1:17" x14ac:dyDescent="0.25">
      <c r="A2091">
        <v>4</v>
      </c>
      <c r="B2091" t="s">
        <v>12928</v>
      </c>
      <c r="C2091" t="s">
        <v>625</v>
      </c>
      <c r="D2091" t="s">
        <v>12585</v>
      </c>
      <c r="G2091">
        <v>11840</v>
      </c>
      <c r="H2091" t="s">
        <v>12929</v>
      </c>
      <c r="I2091" t="s">
        <v>12930</v>
      </c>
      <c r="J2091">
        <v>11840</v>
      </c>
      <c r="K2091" t="s">
        <v>12931</v>
      </c>
      <c r="L2091" t="s">
        <v>12932</v>
      </c>
      <c r="O2091">
        <v>11840</v>
      </c>
      <c r="P2091" t="s">
        <v>12585</v>
      </c>
      <c r="Q2091">
        <v>1</v>
      </c>
    </row>
    <row r="2092" spans="1:17" x14ac:dyDescent="0.25">
      <c r="A2092">
        <v>4</v>
      </c>
      <c r="B2092" t="s">
        <v>12933</v>
      </c>
      <c r="C2092" t="s">
        <v>625</v>
      </c>
      <c r="D2092" t="s">
        <v>12585</v>
      </c>
      <c r="G2092">
        <v>11843</v>
      </c>
      <c r="H2092" t="s">
        <v>12934</v>
      </c>
      <c r="I2092" t="s">
        <v>12935</v>
      </c>
      <c r="J2092">
        <v>11843</v>
      </c>
      <c r="K2092" t="s">
        <v>12936</v>
      </c>
      <c r="L2092">
        <v>9</v>
      </c>
      <c r="N2092" t="s">
        <v>4713</v>
      </c>
      <c r="O2092">
        <v>11843</v>
      </c>
      <c r="P2092" t="s">
        <v>12585</v>
      </c>
      <c r="Q2092">
        <v>1</v>
      </c>
    </row>
    <row r="2093" spans="1:17" x14ac:dyDescent="0.25">
      <c r="A2093">
        <v>4</v>
      </c>
      <c r="B2093" t="s">
        <v>12937</v>
      </c>
      <c r="C2093" t="s">
        <v>625</v>
      </c>
      <c r="D2093" t="s">
        <v>12585</v>
      </c>
      <c r="G2093">
        <v>11847</v>
      </c>
      <c r="H2093" t="s">
        <v>12938</v>
      </c>
      <c r="I2093" t="s">
        <v>12938</v>
      </c>
      <c r="J2093">
        <v>11847</v>
      </c>
      <c r="K2093" t="s">
        <v>12939</v>
      </c>
      <c r="L2093">
        <v>2</v>
      </c>
      <c r="N2093" t="s">
        <v>4713</v>
      </c>
      <c r="O2093">
        <v>11847</v>
      </c>
      <c r="P2093" t="s">
        <v>12585</v>
      </c>
      <c r="Q2093">
        <v>1</v>
      </c>
    </row>
    <row r="2094" spans="1:17" x14ac:dyDescent="0.25">
      <c r="A2094">
        <v>4</v>
      </c>
      <c r="B2094" t="s">
        <v>12940</v>
      </c>
      <c r="C2094" t="s">
        <v>625</v>
      </c>
      <c r="D2094" t="s">
        <v>12585</v>
      </c>
      <c r="G2094">
        <v>11890</v>
      </c>
      <c r="H2094" t="s">
        <v>12941</v>
      </c>
      <c r="I2094" t="s">
        <v>12942</v>
      </c>
      <c r="J2094">
        <v>11890</v>
      </c>
      <c r="K2094" t="s">
        <v>12943</v>
      </c>
      <c r="L2094">
        <v>2</v>
      </c>
      <c r="N2094" t="s">
        <v>4713</v>
      </c>
      <c r="O2094">
        <v>11890</v>
      </c>
      <c r="P2094" t="s">
        <v>12585</v>
      </c>
      <c r="Q2094">
        <v>1</v>
      </c>
    </row>
    <row r="2095" spans="1:17" x14ac:dyDescent="0.25">
      <c r="A2095">
        <v>4</v>
      </c>
      <c r="B2095" t="s">
        <v>12944</v>
      </c>
      <c r="C2095" t="s">
        <v>625</v>
      </c>
      <c r="D2095" t="s">
        <v>12585</v>
      </c>
      <c r="G2095">
        <v>12001</v>
      </c>
      <c r="H2095" t="s">
        <v>12945</v>
      </c>
      <c r="I2095" t="s">
        <v>12946</v>
      </c>
      <c r="J2095">
        <v>12001</v>
      </c>
      <c r="K2095" t="s">
        <v>12947</v>
      </c>
      <c r="L2095">
        <v>17</v>
      </c>
      <c r="O2095">
        <v>12001</v>
      </c>
      <c r="P2095" t="s">
        <v>12585</v>
      </c>
      <c r="Q2095">
        <v>1</v>
      </c>
    </row>
    <row r="2096" spans="1:17" x14ac:dyDescent="0.25">
      <c r="A2096">
        <v>4</v>
      </c>
      <c r="B2096" t="s">
        <v>12948</v>
      </c>
      <c r="C2096" t="s">
        <v>625</v>
      </c>
      <c r="D2096" t="s">
        <v>12585</v>
      </c>
      <c r="G2096">
        <v>12006</v>
      </c>
      <c r="H2096" t="s">
        <v>12949</v>
      </c>
      <c r="I2096" t="s">
        <v>12950</v>
      </c>
      <c r="J2096">
        <v>12006</v>
      </c>
      <c r="K2096" t="s">
        <v>12951</v>
      </c>
      <c r="L2096">
        <v>81</v>
      </c>
      <c r="O2096">
        <v>12006</v>
      </c>
      <c r="P2096" t="s">
        <v>12585</v>
      </c>
      <c r="Q2096">
        <v>1</v>
      </c>
    </row>
    <row r="2097" spans="1:17" x14ac:dyDescent="0.25">
      <c r="A2097">
        <v>4</v>
      </c>
      <c r="B2097" t="s">
        <v>12952</v>
      </c>
      <c r="C2097" t="s">
        <v>625</v>
      </c>
      <c r="D2097" t="s">
        <v>12585</v>
      </c>
      <c r="G2097">
        <v>12009</v>
      </c>
      <c r="H2097" t="s">
        <v>12953</v>
      </c>
      <c r="I2097" t="s">
        <v>12954</v>
      </c>
      <c r="J2097">
        <v>12009</v>
      </c>
      <c r="K2097" t="s">
        <v>12955</v>
      </c>
      <c r="L2097">
        <v>40</v>
      </c>
      <c r="O2097">
        <v>12009</v>
      </c>
      <c r="P2097" t="s">
        <v>12585</v>
      </c>
      <c r="Q2097">
        <v>1</v>
      </c>
    </row>
    <row r="2098" spans="1:17" x14ac:dyDescent="0.25">
      <c r="A2098">
        <v>4</v>
      </c>
      <c r="B2098" t="s">
        <v>12956</v>
      </c>
      <c r="C2098" t="s">
        <v>625</v>
      </c>
      <c r="D2098" t="s">
        <v>12585</v>
      </c>
      <c r="G2098">
        <v>12012</v>
      </c>
      <c r="H2098" t="s">
        <v>12957</v>
      </c>
      <c r="I2098" t="s">
        <v>12958</v>
      </c>
      <c r="J2098">
        <v>12012</v>
      </c>
      <c r="K2098" t="s">
        <v>12959</v>
      </c>
      <c r="L2098">
        <v>113</v>
      </c>
      <c r="O2098">
        <v>12012</v>
      </c>
      <c r="P2098" t="s">
        <v>12585</v>
      </c>
      <c r="Q2098">
        <v>1</v>
      </c>
    </row>
    <row r="2099" spans="1:17" x14ac:dyDescent="0.25">
      <c r="A2099">
        <v>4</v>
      </c>
      <c r="B2099" t="s">
        <v>12960</v>
      </c>
      <c r="C2099" t="s">
        <v>625</v>
      </c>
      <c r="D2099" t="s">
        <v>12585</v>
      </c>
      <c r="G2099">
        <v>12014</v>
      </c>
      <c r="H2099" t="s">
        <v>12961</v>
      </c>
      <c r="I2099" t="s">
        <v>12962</v>
      </c>
      <c r="J2099">
        <v>12014</v>
      </c>
      <c r="K2099" t="s">
        <v>12963</v>
      </c>
      <c r="L2099">
        <v>43</v>
      </c>
      <c r="O2099">
        <v>12014</v>
      </c>
      <c r="P2099" t="s">
        <v>12585</v>
      </c>
      <c r="Q2099">
        <v>1</v>
      </c>
    </row>
    <row r="2100" spans="1:17" x14ac:dyDescent="0.25">
      <c r="A2100">
        <v>4</v>
      </c>
      <c r="B2100" t="s">
        <v>12964</v>
      </c>
      <c r="C2100" t="s">
        <v>625</v>
      </c>
      <c r="D2100" t="s">
        <v>12585</v>
      </c>
      <c r="G2100">
        <v>12021</v>
      </c>
      <c r="H2100" t="s">
        <v>12965</v>
      </c>
      <c r="I2100" t="s">
        <v>12966</v>
      </c>
      <c r="J2100">
        <v>12021</v>
      </c>
      <c r="K2100" t="s">
        <v>12967</v>
      </c>
      <c r="L2100">
        <v>22</v>
      </c>
      <c r="O2100">
        <v>12021</v>
      </c>
      <c r="P2100" t="s">
        <v>12585</v>
      </c>
      <c r="Q2100">
        <v>1</v>
      </c>
    </row>
    <row r="2101" spans="1:17" x14ac:dyDescent="0.25">
      <c r="A2101">
        <v>4</v>
      </c>
      <c r="B2101" t="s">
        <v>12968</v>
      </c>
      <c r="C2101" t="s">
        <v>625</v>
      </c>
      <c r="D2101" t="s">
        <v>12585</v>
      </c>
      <c r="G2101">
        <v>12024</v>
      </c>
      <c r="H2101" t="s">
        <v>12969</v>
      </c>
      <c r="I2101" t="s">
        <v>12970</v>
      </c>
      <c r="J2101">
        <v>12024</v>
      </c>
      <c r="K2101" t="s">
        <v>12971</v>
      </c>
      <c r="L2101">
        <v>5</v>
      </c>
      <c r="N2101" t="s">
        <v>4713</v>
      </c>
      <c r="O2101">
        <v>12024</v>
      </c>
      <c r="P2101" t="s">
        <v>12585</v>
      </c>
      <c r="Q2101">
        <v>1</v>
      </c>
    </row>
    <row r="2102" spans="1:17" x14ac:dyDescent="0.25">
      <c r="A2102">
        <v>4</v>
      </c>
      <c r="B2102" t="s">
        <v>12972</v>
      </c>
      <c r="C2102" t="s">
        <v>625</v>
      </c>
      <c r="D2102" t="s">
        <v>12585</v>
      </c>
      <c r="G2102">
        <v>12027</v>
      </c>
      <c r="H2102" t="s">
        <v>5182</v>
      </c>
      <c r="I2102" t="s">
        <v>5183</v>
      </c>
      <c r="J2102">
        <v>12027</v>
      </c>
      <c r="K2102" t="s">
        <v>12973</v>
      </c>
      <c r="L2102">
        <v>34</v>
      </c>
      <c r="O2102">
        <v>12027</v>
      </c>
      <c r="P2102" t="s">
        <v>12585</v>
      </c>
      <c r="Q2102">
        <v>1</v>
      </c>
    </row>
    <row r="2103" spans="1:17" x14ac:dyDescent="0.25">
      <c r="A2103">
        <v>4</v>
      </c>
      <c r="B2103" t="s">
        <v>12974</v>
      </c>
      <c r="C2103" t="s">
        <v>625</v>
      </c>
      <c r="D2103" t="s">
        <v>12585</v>
      </c>
      <c r="G2103">
        <v>343865</v>
      </c>
      <c r="H2103" t="s">
        <v>12975</v>
      </c>
      <c r="I2103" t="s">
        <v>12976</v>
      </c>
      <c r="J2103">
        <v>343865</v>
      </c>
      <c r="K2103" t="s">
        <v>12977</v>
      </c>
      <c r="L2103">
        <v>5</v>
      </c>
      <c r="N2103" t="s">
        <v>4713</v>
      </c>
      <c r="O2103">
        <v>343865</v>
      </c>
      <c r="P2103" t="s">
        <v>12585</v>
      </c>
      <c r="Q2103">
        <v>1</v>
      </c>
    </row>
    <row r="2104" spans="1:17" x14ac:dyDescent="0.25">
      <c r="A2104">
        <v>4</v>
      </c>
      <c r="B2104" t="s">
        <v>12978</v>
      </c>
      <c r="C2104" t="s">
        <v>625</v>
      </c>
      <c r="D2104" t="s">
        <v>12585</v>
      </c>
      <c r="G2104" t="s">
        <v>12979</v>
      </c>
      <c r="H2104" t="s">
        <v>5465</v>
      </c>
      <c r="I2104" t="s">
        <v>5466</v>
      </c>
      <c r="J2104" t="s">
        <v>12979</v>
      </c>
      <c r="K2104" t="s">
        <v>12980</v>
      </c>
      <c r="L2104">
        <v>36</v>
      </c>
      <c r="O2104" t="s">
        <v>12979</v>
      </c>
      <c r="P2104" t="s">
        <v>12585</v>
      </c>
      <c r="Q2104">
        <v>1</v>
      </c>
    </row>
    <row r="2105" spans="1:17" x14ac:dyDescent="0.25">
      <c r="A2105">
        <v>4</v>
      </c>
      <c r="B2105" t="s">
        <v>12981</v>
      </c>
      <c r="C2105" t="s">
        <v>625</v>
      </c>
      <c r="D2105" t="s">
        <v>12585</v>
      </c>
      <c r="G2105" t="s">
        <v>12982</v>
      </c>
      <c r="H2105" t="s">
        <v>12983</v>
      </c>
      <c r="I2105" t="s">
        <v>12984</v>
      </c>
      <c r="J2105" t="s">
        <v>12982</v>
      </c>
      <c r="K2105" t="s">
        <v>12985</v>
      </c>
      <c r="L2105">
        <v>29</v>
      </c>
      <c r="O2105" t="s">
        <v>12982</v>
      </c>
      <c r="P2105" t="s">
        <v>12585</v>
      </c>
      <c r="Q2105">
        <v>1</v>
      </c>
    </row>
    <row r="2106" spans="1:17" x14ac:dyDescent="0.25">
      <c r="A2106">
        <v>2</v>
      </c>
      <c r="B2106" t="s">
        <v>12986</v>
      </c>
      <c r="C2106" t="s">
        <v>625</v>
      </c>
      <c r="D2106" t="s">
        <v>12585</v>
      </c>
      <c r="E2106" t="s">
        <v>634</v>
      </c>
      <c r="H2106" t="s">
        <v>12987</v>
      </c>
      <c r="I2106" t="s">
        <v>684</v>
      </c>
      <c r="J2106" t="s">
        <v>634</v>
      </c>
      <c r="O2106" t="s">
        <v>634</v>
      </c>
      <c r="P2106" t="s">
        <v>12585</v>
      </c>
      <c r="Q2106">
        <v>1</v>
      </c>
    </row>
    <row r="2107" spans="1:17" x14ac:dyDescent="0.25">
      <c r="A2107">
        <v>4</v>
      </c>
      <c r="B2107" t="s">
        <v>12988</v>
      </c>
      <c r="C2107" t="s">
        <v>625</v>
      </c>
      <c r="D2107" t="s">
        <v>12585</v>
      </c>
      <c r="G2107">
        <v>171425</v>
      </c>
      <c r="H2107" t="s">
        <v>12989</v>
      </c>
      <c r="I2107" t="s">
        <v>12989</v>
      </c>
      <c r="J2107">
        <v>171425</v>
      </c>
      <c r="K2107" t="s">
        <v>12990</v>
      </c>
      <c r="L2107">
        <v>85</v>
      </c>
      <c r="O2107">
        <v>171425</v>
      </c>
      <c r="P2107" t="s">
        <v>12585</v>
      </c>
      <c r="Q2107">
        <v>1</v>
      </c>
    </row>
    <row r="2108" spans="1:17" x14ac:dyDescent="0.25">
      <c r="A2108">
        <v>4</v>
      </c>
      <c r="B2108" t="s">
        <v>12991</v>
      </c>
      <c r="C2108" t="s">
        <v>625</v>
      </c>
      <c r="D2108" t="s">
        <v>12585</v>
      </c>
      <c r="G2108">
        <v>171426</v>
      </c>
      <c r="H2108" t="s">
        <v>12992</v>
      </c>
      <c r="I2108" t="s">
        <v>12992</v>
      </c>
      <c r="J2108">
        <v>171426</v>
      </c>
      <c r="K2108" t="s">
        <v>12993</v>
      </c>
      <c r="L2108">
        <v>9</v>
      </c>
      <c r="N2108" t="s">
        <v>4713</v>
      </c>
      <c r="O2108">
        <v>171426</v>
      </c>
      <c r="P2108" t="s">
        <v>12585</v>
      </c>
      <c r="Q2108">
        <v>1</v>
      </c>
    </row>
    <row r="2109" spans="1:17" x14ac:dyDescent="0.25">
      <c r="A2109">
        <v>4</v>
      </c>
      <c r="B2109" t="s">
        <v>12994</v>
      </c>
      <c r="C2109" t="s">
        <v>625</v>
      </c>
      <c r="D2109" t="s">
        <v>12585</v>
      </c>
      <c r="G2109">
        <v>171427</v>
      </c>
      <c r="H2109" t="s">
        <v>12995</v>
      </c>
      <c r="I2109" t="s">
        <v>12995</v>
      </c>
      <c r="J2109">
        <v>171427</v>
      </c>
      <c r="K2109" t="s">
        <v>12996</v>
      </c>
      <c r="L2109">
        <v>427</v>
      </c>
      <c r="M2109" t="s">
        <v>12997</v>
      </c>
      <c r="N2109" t="s">
        <v>12998</v>
      </c>
      <c r="P2109" t="s">
        <v>12585</v>
      </c>
    </row>
    <row r="2110" spans="1:17" x14ac:dyDescent="0.25">
      <c r="A2110">
        <v>4</v>
      </c>
      <c r="B2110" t="s">
        <v>12999</v>
      </c>
      <c r="C2110" t="s">
        <v>625</v>
      </c>
      <c r="D2110" t="s">
        <v>12585</v>
      </c>
      <c r="G2110">
        <v>171428</v>
      </c>
      <c r="H2110" t="s">
        <v>13000</v>
      </c>
      <c r="I2110" t="s">
        <v>13000</v>
      </c>
      <c r="J2110">
        <v>171428</v>
      </c>
      <c r="K2110" t="s">
        <v>13001</v>
      </c>
      <c r="L2110">
        <v>20</v>
      </c>
      <c r="O2110">
        <v>171428</v>
      </c>
      <c r="P2110" t="s">
        <v>12585</v>
      </c>
      <c r="Q2110">
        <v>1</v>
      </c>
    </row>
    <row r="2111" spans="1:17" x14ac:dyDescent="0.25">
      <c r="A2111">
        <v>4</v>
      </c>
      <c r="B2111" t="s">
        <v>13002</v>
      </c>
      <c r="C2111" t="s">
        <v>625</v>
      </c>
      <c r="D2111" t="s">
        <v>12585</v>
      </c>
      <c r="G2111">
        <v>171429</v>
      </c>
      <c r="H2111" t="s">
        <v>13003</v>
      </c>
      <c r="I2111" t="s">
        <v>13003</v>
      </c>
      <c r="J2111">
        <v>171429</v>
      </c>
      <c r="K2111" t="s">
        <v>13004</v>
      </c>
      <c r="L2111">
        <v>6</v>
      </c>
      <c r="N2111" t="s">
        <v>4713</v>
      </c>
      <c r="O2111">
        <v>171429</v>
      </c>
      <c r="P2111" t="s">
        <v>12585</v>
      </c>
      <c r="Q2111">
        <v>1</v>
      </c>
    </row>
    <row r="2112" spans="1:17" x14ac:dyDescent="0.25">
      <c r="A2112">
        <v>4</v>
      </c>
      <c r="B2112" t="s">
        <v>13005</v>
      </c>
      <c r="C2112" t="s">
        <v>625</v>
      </c>
      <c r="D2112" t="s">
        <v>12585</v>
      </c>
      <c r="G2112">
        <v>171430</v>
      </c>
      <c r="H2112" t="s">
        <v>13006</v>
      </c>
      <c r="I2112" t="s">
        <v>13006</v>
      </c>
      <c r="J2112">
        <v>171430</v>
      </c>
      <c r="K2112" t="s">
        <v>13007</v>
      </c>
      <c r="L2112">
        <v>280</v>
      </c>
      <c r="O2112">
        <v>171430</v>
      </c>
      <c r="P2112" t="s">
        <v>12585</v>
      </c>
      <c r="Q2112">
        <v>1</v>
      </c>
    </row>
    <row r="2113" spans="1:17" x14ac:dyDescent="0.25">
      <c r="A2113">
        <v>4</v>
      </c>
      <c r="B2113" t="s">
        <v>13008</v>
      </c>
      <c r="C2113" t="s">
        <v>625</v>
      </c>
      <c r="D2113" t="s">
        <v>12585</v>
      </c>
      <c r="G2113">
        <v>171431</v>
      </c>
      <c r="H2113" t="s">
        <v>13009</v>
      </c>
      <c r="I2113" t="s">
        <v>13009</v>
      </c>
      <c r="J2113">
        <v>171431</v>
      </c>
      <c r="K2113" t="s">
        <v>13010</v>
      </c>
      <c r="L2113">
        <v>427</v>
      </c>
      <c r="M2113" t="s">
        <v>12997</v>
      </c>
      <c r="N2113" t="s">
        <v>12998</v>
      </c>
      <c r="P2113" t="s">
        <v>12585</v>
      </c>
    </row>
    <row r="2114" spans="1:17" x14ac:dyDescent="0.25">
      <c r="A2114">
        <v>4</v>
      </c>
      <c r="B2114" t="s">
        <v>13011</v>
      </c>
      <c r="C2114" t="s">
        <v>625</v>
      </c>
      <c r="D2114" t="s">
        <v>12585</v>
      </c>
      <c r="G2114">
        <v>171432</v>
      </c>
      <c r="H2114" t="s">
        <v>13012</v>
      </c>
      <c r="I2114" t="s">
        <v>13012</v>
      </c>
      <c r="J2114">
        <v>171432</v>
      </c>
      <c r="K2114" t="s">
        <v>13013</v>
      </c>
      <c r="L2114">
        <v>7</v>
      </c>
      <c r="N2114" t="s">
        <v>4713</v>
      </c>
      <c r="O2114">
        <v>171432</v>
      </c>
      <c r="P2114" t="s">
        <v>12585</v>
      </c>
      <c r="Q2114">
        <v>1</v>
      </c>
    </row>
    <row r="2115" spans="1:17" x14ac:dyDescent="0.25">
      <c r="A2115">
        <v>4</v>
      </c>
      <c r="B2115" t="s">
        <v>13014</v>
      </c>
      <c r="C2115" t="s">
        <v>625</v>
      </c>
      <c r="D2115" t="s">
        <v>12585</v>
      </c>
      <c r="G2115">
        <v>171433</v>
      </c>
      <c r="H2115" t="s">
        <v>13015</v>
      </c>
      <c r="I2115" t="s">
        <v>13015</v>
      </c>
      <c r="J2115">
        <v>171433</v>
      </c>
      <c r="K2115" t="s">
        <v>13016</v>
      </c>
      <c r="L2115">
        <v>6</v>
      </c>
      <c r="N2115" t="s">
        <v>4713</v>
      </c>
      <c r="O2115">
        <v>171433</v>
      </c>
      <c r="P2115" t="s">
        <v>12585</v>
      </c>
      <c r="Q2115">
        <v>1</v>
      </c>
    </row>
    <row r="2116" spans="1:17" x14ac:dyDescent="0.25">
      <c r="A2116">
        <v>4</v>
      </c>
      <c r="B2116" t="s">
        <v>13017</v>
      </c>
      <c r="C2116" t="s">
        <v>625</v>
      </c>
      <c r="D2116" t="s">
        <v>12585</v>
      </c>
      <c r="G2116">
        <v>171434</v>
      </c>
      <c r="H2116" t="s">
        <v>13018</v>
      </c>
      <c r="I2116" t="s">
        <v>13018</v>
      </c>
      <c r="J2116">
        <v>171434</v>
      </c>
      <c r="K2116" t="s">
        <v>13019</v>
      </c>
      <c r="L2116">
        <v>6</v>
      </c>
      <c r="N2116" t="s">
        <v>4713</v>
      </c>
      <c r="O2116">
        <v>171434</v>
      </c>
      <c r="P2116" t="s">
        <v>12585</v>
      </c>
      <c r="Q2116">
        <v>1</v>
      </c>
    </row>
    <row r="2117" spans="1:17" x14ac:dyDescent="0.25">
      <c r="A2117">
        <v>4</v>
      </c>
      <c r="B2117" t="s">
        <v>13020</v>
      </c>
      <c r="C2117" t="s">
        <v>625</v>
      </c>
      <c r="D2117" t="s">
        <v>12585</v>
      </c>
      <c r="G2117">
        <v>171435</v>
      </c>
      <c r="H2117" t="s">
        <v>13021</v>
      </c>
      <c r="I2117" t="s">
        <v>13021</v>
      </c>
      <c r="J2117">
        <v>171435</v>
      </c>
      <c r="K2117" t="s">
        <v>13022</v>
      </c>
      <c r="L2117">
        <v>2</v>
      </c>
      <c r="N2117" t="s">
        <v>4713</v>
      </c>
      <c r="O2117">
        <v>171435</v>
      </c>
      <c r="P2117" t="s">
        <v>12585</v>
      </c>
      <c r="Q2117">
        <v>1</v>
      </c>
    </row>
    <row r="2118" spans="1:17" x14ac:dyDescent="0.25">
      <c r="A2118">
        <v>4</v>
      </c>
      <c r="B2118" t="s">
        <v>13023</v>
      </c>
      <c r="C2118" t="s">
        <v>625</v>
      </c>
      <c r="D2118" t="s">
        <v>12585</v>
      </c>
      <c r="G2118">
        <v>171436</v>
      </c>
      <c r="H2118" t="s">
        <v>13024</v>
      </c>
      <c r="I2118" t="s">
        <v>13024</v>
      </c>
      <c r="J2118">
        <v>171436</v>
      </c>
      <c r="K2118" t="s">
        <v>13025</v>
      </c>
      <c r="L2118">
        <v>427</v>
      </c>
      <c r="M2118" t="s">
        <v>12997</v>
      </c>
      <c r="N2118" t="s">
        <v>12998</v>
      </c>
      <c r="P2118" t="s">
        <v>12585</v>
      </c>
    </row>
    <row r="2119" spans="1:17" x14ac:dyDescent="0.25">
      <c r="A2119">
        <v>4</v>
      </c>
      <c r="B2119" t="s">
        <v>13026</v>
      </c>
      <c r="C2119" t="s">
        <v>625</v>
      </c>
      <c r="D2119" t="s">
        <v>12585</v>
      </c>
      <c r="G2119">
        <v>171437</v>
      </c>
      <c r="H2119" t="s">
        <v>13027</v>
      </c>
      <c r="J2119">
        <v>171437</v>
      </c>
      <c r="K2119" t="s">
        <v>13028</v>
      </c>
      <c r="L2119">
        <v>427</v>
      </c>
      <c r="M2119" t="s">
        <v>12997</v>
      </c>
      <c r="N2119" t="s">
        <v>12998</v>
      </c>
      <c r="P2119" t="s">
        <v>12585</v>
      </c>
    </row>
    <row r="2120" spans="1:17" x14ac:dyDescent="0.25">
      <c r="A2120">
        <v>4</v>
      </c>
      <c r="B2120" t="s">
        <v>13029</v>
      </c>
      <c r="C2120" t="s">
        <v>625</v>
      </c>
      <c r="D2120" t="s">
        <v>12585</v>
      </c>
      <c r="G2120">
        <v>171438</v>
      </c>
      <c r="H2120" t="s">
        <v>13030</v>
      </c>
      <c r="J2120">
        <v>171438</v>
      </c>
      <c r="K2120" t="s">
        <v>13031</v>
      </c>
      <c r="L2120">
        <v>427</v>
      </c>
      <c r="M2120" t="s">
        <v>12997</v>
      </c>
      <c r="N2120" t="s">
        <v>12998</v>
      </c>
      <c r="P2120" t="s">
        <v>12585</v>
      </c>
    </row>
    <row r="2121" spans="1:17" x14ac:dyDescent="0.25">
      <c r="A2121">
        <v>4</v>
      </c>
      <c r="B2121" t="s">
        <v>13032</v>
      </c>
      <c r="C2121" t="s">
        <v>625</v>
      </c>
      <c r="D2121" t="s">
        <v>12585</v>
      </c>
      <c r="G2121">
        <v>171439</v>
      </c>
      <c r="H2121" t="s">
        <v>13033</v>
      </c>
      <c r="I2121" t="s">
        <v>13033</v>
      </c>
      <c r="J2121">
        <v>171439</v>
      </c>
      <c r="K2121" t="s">
        <v>13034</v>
      </c>
      <c r="L2121">
        <v>1</v>
      </c>
      <c r="N2121" t="s">
        <v>4734</v>
      </c>
      <c r="O2121">
        <v>171439</v>
      </c>
      <c r="P2121" t="s">
        <v>12585</v>
      </c>
      <c r="Q2121">
        <v>1</v>
      </c>
    </row>
    <row r="2122" spans="1:17" x14ac:dyDescent="0.25">
      <c r="A2122">
        <v>4</v>
      </c>
      <c r="B2122" t="s">
        <v>13035</v>
      </c>
      <c r="C2122" t="s">
        <v>625</v>
      </c>
      <c r="D2122" t="s">
        <v>12585</v>
      </c>
      <c r="G2122">
        <v>171440</v>
      </c>
      <c r="H2122" t="s">
        <v>13036</v>
      </c>
      <c r="I2122" t="s">
        <v>13036</v>
      </c>
      <c r="J2122">
        <v>171440</v>
      </c>
      <c r="K2122" t="s">
        <v>13037</v>
      </c>
      <c r="L2122">
        <v>1</v>
      </c>
      <c r="N2122" t="s">
        <v>4734</v>
      </c>
      <c r="O2122">
        <v>171440</v>
      </c>
      <c r="P2122" t="s">
        <v>12585</v>
      </c>
      <c r="Q2122">
        <v>1</v>
      </c>
    </row>
    <row r="2123" spans="1:17" x14ac:dyDescent="0.25">
      <c r="A2123">
        <v>4</v>
      </c>
      <c r="B2123" t="s">
        <v>13038</v>
      </c>
      <c r="C2123" t="s">
        <v>625</v>
      </c>
      <c r="D2123" t="s">
        <v>12585</v>
      </c>
      <c r="G2123">
        <v>171441</v>
      </c>
      <c r="H2123" t="s">
        <v>13039</v>
      </c>
      <c r="J2123">
        <v>171441</v>
      </c>
      <c r="K2123" t="s">
        <v>13040</v>
      </c>
      <c r="L2123">
        <v>427</v>
      </c>
      <c r="M2123" t="s">
        <v>12997</v>
      </c>
      <c r="N2123" t="s">
        <v>12998</v>
      </c>
      <c r="P2123" t="s">
        <v>12585</v>
      </c>
    </row>
    <row r="2124" spans="1:17" x14ac:dyDescent="0.25">
      <c r="A2124">
        <v>4</v>
      </c>
      <c r="B2124" t="s">
        <v>13041</v>
      </c>
      <c r="C2124" t="s">
        <v>625</v>
      </c>
      <c r="D2124" t="s">
        <v>12585</v>
      </c>
      <c r="G2124">
        <v>171442</v>
      </c>
      <c r="H2124" t="s">
        <v>13042</v>
      </c>
      <c r="J2124">
        <v>171442</v>
      </c>
      <c r="K2124" t="s">
        <v>13043</v>
      </c>
      <c r="L2124">
        <v>427</v>
      </c>
      <c r="M2124" t="s">
        <v>12997</v>
      </c>
      <c r="N2124" t="s">
        <v>12998</v>
      </c>
      <c r="P2124" t="s">
        <v>12585</v>
      </c>
    </row>
    <row r="2125" spans="1:17" x14ac:dyDescent="0.25">
      <c r="A2125">
        <v>4</v>
      </c>
      <c r="B2125" t="s">
        <v>13044</v>
      </c>
      <c r="C2125" t="s">
        <v>625</v>
      </c>
      <c r="D2125" t="s">
        <v>12585</v>
      </c>
      <c r="G2125">
        <v>171443</v>
      </c>
      <c r="H2125" t="s">
        <v>13045</v>
      </c>
      <c r="I2125" t="s">
        <v>13045</v>
      </c>
      <c r="J2125">
        <v>171443</v>
      </c>
      <c r="K2125" t="s">
        <v>13046</v>
      </c>
      <c r="L2125">
        <v>3</v>
      </c>
      <c r="N2125" t="s">
        <v>4713</v>
      </c>
      <c r="O2125">
        <v>171443</v>
      </c>
      <c r="P2125" t="s">
        <v>12585</v>
      </c>
      <c r="Q2125">
        <v>1</v>
      </c>
    </row>
    <row r="2126" spans="1:17" x14ac:dyDescent="0.25">
      <c r="A2126">
        <v>4</v>
      </c>
      <c r="B2126" t="s">
        <v>13047</v>
      </c>
      <c r="C2126" t="s">
        <v>625</v>
      </c>
      <c r="D2126" t="s">
        <v>12585</v>
      </c>
      <c r="G2126">
        <v>171445</v>
      </c>
      <c r="H2126" t="s">
        <v>13048</v>
      </c>
      <c r="I2126" t="s">
        <v>13048</v>
      </c>
      <c r="J2126">
        <v>171445</v>
      </c>
      <c r="K2126" t="s">
        <v>13049</v>
      </c>
      <c r="L2126">
        <v>1</v>
      </c>
      <c r="N2126" t="s">
        <v>4734</v>
      </c>
      <c r="O2126">
        <v>171445</v>
      </c>
      <c r="P2126" t="s">
        <v>12585</v>
      </c>
      <c r="Q2126">
        <v>1</v>
      </c>
    </row>
    <row r="2127" spans="1:17" x14ac:dyDescent="0.25">
      <c r="A2127">
        <v>4</v>
      </c>
      <c r="B2127" t="s">
        <v>13050</v>
      </c>
      <c r="C2127" t="s">
        <v>625</v>
      </c>
      <c r="D2127" t="s">
        <v>12585</v>
      </c>
      <c r="G2127">
        <v>171446</v>
      </c>
      <c r="H2127" t="s">
        <v>13051</v>
      </c>
      <c r="J2127">
        <v>171446</v>
      </c>
      <c r="K2127" t="s">
        <v>13052</v>
      </c>
      <c r="L2127">
        <v>427</v>
      </c>
      <c r="M2127" t="s">
        <v>12997</v>
      </c>
      <c r="N2127" t="s">
        <v>12998</v>
      </c>
      <c r="P2127" t="s">
        <v>12585</v>
      </c>
    </row>
    <row r="2128" spans="1:17" x14ac:dyDescent="0.25">
      <c r="A2128">
        <v>4</v>
      </c>
      <c r="B2128" t="s">
        <v>13053</v>
      </c>
      <c r="C2128" t="s">
        <v>625</v>
      </c>
      <c r="D2128" t="s">
        <v>12585</v>
      </c>
      <c r="G2128">
        <v>582477</v>
      </c>
      <c r="H2128" t="s">
        <v>13054</v>
      </c>
      <c r="J2128">
        <v>582477</v>
      </c>
      <c r="K2128" t="s">
        <v>13055</v>
      </c>
      <c r="L2128">
        <v>427</v>
      </c>
      <c r="M2128" t="s">
        <v>12997</v>
      </c>
      <c r="N2128" t="s">
        <v>12998</v>
      </c>
      <c r="P2128" t="s">
        <v>12585</v>
      </c>
    </row>
    <row r="2129" spans="1:17" x14ac:dyDescent="0.25">
      <c r="A2129">
        <v>2</v>
      </c>
      <c r="B2129" t="s">
        <v>13056</v>
      </c>
      <c r="C2129" t="s">
        <v>625</v>
      </c>
      <c r="D2129" t="s">
        <v>12585</v>
      </c>
      <c r="E2129" t="s">
        <v>635</v>
      </c>
      <c r="H2129" t="s">
        <v>13057</v>
      </c>
      <c r="I2129" t="s">
        <v>953</v>
      </c>
      <c r="J2129" t="s">
        <v>635</v>
      </c>
      <c r="O2129" t="s">
        <v>635</v>
      </c>
      <c r="P2129" t="s">
        <v>12585</v>
      </c>
      <c r="Q2129">
        <v>1</v>
      </c>
    </row>
    <row r="2130" spans="1:17" x14ac:dyDescent="0.25">
      <c r="A2130">
        <v>4</v>
      </c>
      <c r="B2130" t="s">
        <v>13058</v>
      </c>
      <c r="C2130" t="s">
        <v>625</v>
      </c>
      <c r="D2130" t="s">
        <v>12585</v>
      </c>
      <c r="G2130">
        <v>12052</v>
      </c>
      <c r="H2130" t="s">
        <v>13059</v>
      </c>
      <c r="I2130" t="s">
        <v>13060</v>
      </c>
      <c r="J2130">
        <v>12052</v>
      </c>
      <c r="K2130" t="s">
        <v>13061</v>
      </c>
      <c r="L2130">
        <v>8</v>
      </c>
      <c r="N2130" t="s">
        <v>4713</v>
      </c>
      <c r="O2130">
        <v>12052</v>
      </c>
      <c r="P2130" t="s">
        <v>12585</v>
      </c>
      <c r="Q2130">
        <v>1</v>
      </c>
    </row>
    <row r="2131" spans="1:17" x14ac:dyDescent="0.25">
      <c r="A2131">
        <v>4</v>
      </c>
      <c r="B2131" t="s">
        <v>13062</v>
      </c>
      <c r="C2131" t="s">
        <v>625</v>
      </c>
      <c r="D2131" t="s">
        <v>12585</v>
      </c>
      <c r="G2131">
        <v>12118</v>
      </c>
      <c r="H2131" t="s">
        <v>13063</v>
      </c>
      <c r="I2131" t="s">
        <v>13064</v>
      </c>
      <c r="J2131">
        <v>12118</v>
      </c>
      <c r="K2131" t="s">
        <v>13065</v>
      </c>
      <c r="L2131">
        <v>16</v>
      </c>
      <c r="O2131">
        <v>12118</v>
      </c>
      <c r="P2131" t="s">
        <v>12585</v>
      </c>
      <c r="Q2131">
        <v>1</v>
      </c>
    </row>
    <row r="2132" spans="1:17" x14ac:dyDescent="0.25">
      <c r="A2132">
        <v>4</v>
      </c>
      <c r="B2132" t="s">
        <v>13066</v>
      </c>
      <c r="C2132" t="s">
        <v>625</v>
      </c>
      <c r="D2132" t="s">
        <v>12585</v>
      </c>
      <c r="G2132">
        <v>212190</v>
      </c>
      <c r="H2132" t="s">
        <v>13067</v>
      </c>
      <c r="I2132" t="s">
        <v>13067</v>
      </c>
      <c r="J2132">
        <v>212190</v>
      </c>
      <c r="K2132" t="s">
        <v>13068</v>
      </c>
      <c r="L2132">
        <v>121</v>
      </c>
      <c r="O2132">
        <v>212190</v>
      </c>
      <c r="P2132" t="s">
        <v>12585</v>
      </c>
      <c r="Q2132">
        <v>1</v>
      </c>
    </row>
    <row r="2133" spans="1:17" x14ac:dyDescent="0.25">
      <c r="A2133">
        <v>4</v>
      </c>
      <c r="B2133" t="s">
        <v>13069</v>
      </c>
      <c r="C2133" t="s">
        <v>625</v>
      </c>
      <c r="D2133" t="s">
        <v>12585</v>
      </c>
      <c r="G2133" t="s">
        <v>13070</v>
      </c>
      <c r="H2133" t="s">
        <v>13071</v>
      </c>
      <c r="I2133" t="s">
        <v>13072</v>
      </c>
      <c r="J2133" t="s">
        <v>13070</v>
      </c>
      <c r="K2133" t="s">
        <v>13073</v>
      </c>
      <c r="L2133">
        <v>245</v>
      </c>
      <c r="O2133" t="s">
        <v>13070</v>
      </c>
      <c r="P2133" t="s">
        <v>12585</v>
      </c>
      <c r="Q2133">
        <v>1</v>
      </c>
    </row>
    <row r="2134" spans="1:17" x14ac:dyDescent="0.25">
      <c r="A2134">
        <v>4</v>
      </c>
      <c r="B2134" t="s">
        <v>13074</v>
      </c>
      <c r="C2134" t="s">
        <v>625</v>
      </c>
      <c r="D2134" t="s">
        <v>12585</v>
      </c>
      <c r="G2134" t="s">
        <v>13075</v>
      </c>
      <c r="H2134" t="s">
        <v>13076</v>
      </c>
      <c r="I2134" t="s">
        <v>13077</v>
      </c>
      <c r="J2134" t="s">
        <v>13075</v>
      </c>
      <c r="K2134" t="s">
        <v>13078</v>
      </c>
      <c r="L2134">
        <v>259</v>
      </c>
      <c r="O2134" t="s">
        <v>13075</v>
      </c>
      <c r="P2134" t="s">
        <v>12585</v>
      </c>
      <c r="Q2134">
        <v>1</v>
      </c>
    </row>
    <row r="2135" spans="1:17" x14ac:dyDescent="0.25">
      <c r="A2135">
        <v>4</v>
      </c>
      <c r="B2135" t="s">
        <v>13079</v>
      </c>
      <c r="C2135" t="s">
        <v>625</v>
      </c>
      <c r="D2135" t="s">
        <v>12585</v>
      </c>
      <c r="G2135" t="s">
        <v>13080</v>
      </c>
      <c r="H2135" t="s">
        <v>13081</v>
      </c>
      <c r="I2135" t="s">
        <v>13082</v>
      </c>
      <c r="J2135" t="s">
        <v>13080</v>
      </c>
      <c r="K2135" t="s">
        <v>13083</v>
      </c>
      <c r="L2135">
        <v>178</v>
      </c>
      <c r="O2135" t="s">
        <v>13080</v>
      </c>
      <c r="P2135" t="s">
        <v>12585</v>
      </c>
      <c r="Q2135">
        <v>1</v>
      </c>
    </row>
    <row r="2136" spans="1:17" x14ac:dyDescent="0.25">
      <c r="A2136">
        <v>4</v>
      </c>
      <c r="B2136" t="s">
        <v>13084</v>
      </c>
      <c r="C2136" t="s">
        <v>625</v>
      </c>
      <c r="D2136" t="s">
        <v>12585</v>
      </c>
      <c r="G2136" t="s">
        <v>13085</v>
      </c>
      <c r="H2136" t="s">
        <v>13086</v>
      </c>
      <c r="I2136" t="s">
        <v>13087</v>
      </c>
      <c r="J2136" t="s">
        <v>13085</v>
      </c>
      <c r="K2136" t="s">
        <v>13088</v>
      </c>
      <c r="L2136">
        <v>256</v>
      </c>
      <c r="O2136" t="s">
        <v>13085</v>
      </c>
      <c r="P2136" t="s">
        <v>12585</v>
      </c>
      <c r="Q2136">
        <v>1</v>
      </c>
    </row>
    <row r="2137" spans="1:17" x14ac:dyDescent="0.25">
      <c r="A2137">
        <v>4</v>
      </c>
      <c r="B2137" t="s">
        <v>13089</v>
      </c>
      <c r="C2137" t="s">
        <v>625</v>
      </c>
      <c r="D2137" t="s">
        <v>12585</v>
      </c>
      <c r="G2137" t="s">
        <v>13090</v>
      </c>
      <c r="H2137" t="s">
        <v>13091</v>
      </c>
      <c r="I2137" t="s">
        <v>13092</v>
      </c>
      <c r="J2137" t="s">
        <v>13090</v>
      </c>
      <c r="K2137" t="s">
        <v>13093</v>
      </c>
      <c r="L2137">
        <v>41</v>
      </c>
      <c r="O2137" t="s">
        <v>13090</v>
      </c>
      <c r="P2137" t="s">
        <v>12585</v>
      </c>
      <c r="Q2137">
        <v>1</v>
      </c>
    </row>
    <row r="2138" spans="1:17" x14ac:dyDescent="0.25">
      <c r="A2138">
        <v>4</v>
      </c>
      <c r="B2138" t="s">
        <v>13094</v>
      </c>
      <c r="C2138" t="s">
        <v>625</v>
      </c>
      <c r="D2138" t="s">
        <v>12585</v>
      </c>
      <c r="G2138" t="s">
        <v>13095</v>
      </c>
      <c r="H2138" t="s">
        <v>13096</v>
      </c>
      <c r="I2138" t="s">
        <v>13097</v>
      </c>
      <c r="J2138" t="s">
        <v>13095</v>
      </c>
      <c r="K2138" t="s">
        <v>13098</v>
      </c>
      <c r="L2138">
        <v>70</v>
      </c>
      <c r="O2138" t="s">
        <v>13095</v>
      </c>
      <c r="P2138" t="s">
        <v>12585</v>
      </c>
      <c r="Q2138">
        <v>1</v>
      </c>
    </row>
    <row r="2139" spans="1:17" x14ac:dyDescent="0.25">
      <c r="A2139">
        <v>4</v>
      </c>
      <c r="B2139" t="s">
        <v>13099</v>
      </c>
      <c r="C2139" t="s">
        <v>625</v>
      </c>
      <c r="D2139" t="s">
        <v>12585</v>
      </c>
      <c r="G2139" t="s">
        <v>13100</v>
      </c>
      <c r="H2139" t="s">
        <v>13101</v>
      </c>
      <c r="I2139" t="s">
        <v>13102</v>
      </c>
      <c r="J2139" t="s">
        <v>13100</v>
      </c>
      <c r="K2139" t="s">
        <v>13103</v>
      </c>
      <c r="L2139">
        <v>4</v>
      </c>
      <c r="N2139" t="s">
        <v>4713</v>
      </c>
      <c r="O2139" t="s">
        <v>13100</v>
      </c>
      <c r="P2139" t="s">
        <v>12585</v>
      </c>
      <c r="Q2139">
        <v>1</v>
      </c>
    </row>
    <row r="2140" spans="1:17" x14ac:dyDescent="0.25">
      <c r="A2140">
        <v>2</v>
      </c>
      <c r="B2140" t="s">
        <v>13104</v>
      </c>
      <c r="C2140" t="s">
        <v>625</v>
      </c>
      <c r="D2140" t="s">
        <v>12585</v>
      </c>
      <c r="E2140" t="s">
        <v>603</v>
      </c>
      <c r="H2140" t="s">
        <v>13105</v>
      </c>
      <c r="I2140" t="s">
        <v>946</v>
      </c>
      <c r="J2140" t="s">
        <v>603</v>
      </c>
      <c r="O2140" t="s">
        <v>603</v>
      </c>
      <c r="P2140" t="s">
        <v>12585</v>
      </c>
      <c r="Q2140">
        <v>3</v>
      </c>
    </row>
    <row r="2141" spans="1:17" x14ac:dyDescent="0.25">
      <c r="A2141">
        <v>4</v>
      </c>
      <c r="B2141" t="s">
        <v>13106</v>
      </c>
      <c r="C2141" t="s">
        <v>625</v>
      </c>
      <c r="D2141" t="s">
        <v>12585</v>
      </c>
      <c r="G2141">
        <v>11851</v>
      </c>
      <c r="H2141" t="s">
        <v>13107</v>
      </c>
      <c r="I2141" t="s">
        <v>13108</v>
      </c>
      <c r="J2141">
        <v>11851</v>
      </c>
      <c r="K2141" t="s">
        <v>13109</v>
      </c>
      <c r="L2141" t="s">
        <v>13110</v>
      </c>
      <c r="O2141">
        <v>11851</v>
      </c>
      <c r="P2141" t="s">
        <v>12585</v>
      </c>
      <c r="Q2141">
        <v>1</v>
      </c>
    </row>
    <row r="2142" spans="1:17" x14ac:dyDescent="0.25">
      <c r="A2142">
        <v>4</v>
      </c>
      <c r="B2142" t="s">
        <v>13111</v>
      </c>
      <c r="C2142" t="s">
        <v>625</v>
      </c>
      <c r="D2142" t="s">
        <v>12585</v>
      </c>
      <c r="G2142">
        <v>11880</v>
      </c>
      <c r="H2142" t="s">
        <v>13112</v>
      </c>
      <c r="I2142" t="s">
        <v>13113</v>
      </c>
      <c r="J2142">
        <v>11880</v>
      </c>
      <c r="K2142" t="s">
        <v>13114</v>
      </c>
      <c r="L2142" t="s">
        <v>13115</v>
      </c>
      <c r="O2142">
        <v>11880</v>
      </c>
      <c r="P2142" t="s">
        <v>12585</v>
      </c>
      <c r="Q2142">
        <v>1</v>
      </c>
    </row>
    <row r="2143" spans="1:17" x14ac:dyDescent="0.25">
      <c r="A2143">
        <v>4</v>
      </c>
      <c r="B2143" t="s">
        <v>13116</v>
      </c>
      <c r="C2143" t="s">
        <v>625</v>
      </c>
      <c r="D2143" t="s">
        <v>12585</v>
      </c>
      <c r="G2143">
        <v>11899</v>
      </c>
      <c r="H2143" t="s">
        <v>13117</v>
      </c>
      <c r="I2143" t="s">
        <v>13118</v>
      </c>
      <c r="J2143">
        <v>11899</v>
      </c>
      <c r="K2143" t="s">
        <v>13119</v>
      </c>
      <c r="L2143">
        <v>72</v>
      </c>
      <c r="O2143">
        <v>11899</v>
      </c>
      <c r="P2143" t="s">
        <v>12585</v>
      </c>
      <c r="Q2143">
        <v>1</v>
      </c>
    </row>
    <row r="2144" spans="1:17" x14ac:dyDescent="0.25">
      <c r="A2144">
        <v>4</v>
      </c>
      <c r="B2144" t="s">
        <v>13120</v>
      </c>
      <c r="C2144" t="s">
        <v>625</v>
      </c>
      <c r="D2144" t="s">
        <v>12585</v>
      </c>
      <c r="G2144">
        <v>11912</v>
      </c>
      <c r="H2144" t="s">
        <v>13121</v>
      </c>
      <c r="I2144" t="s">
        <v>13122</v>
      </c>
      <c r="J2144">
        <v>11912</v>
      </c>
      <c r="K2144" t="s">
        <v>13123</v>
      </c>
      <c r="L2144">
        <v>6</v>
      </c>
      <c r="N2144" t="s">
        <v>4713</v>
      </c>
      <c r="O2144">
        <v>11912</v>
      </c>
      <c r="P2144" t="s">
        <v>12585</v>
      </c>
      <c r="Q2144">
        <v>1</v>
      </c>
    </row>
    <row r="2145" spans="1:17" x14ac:dyDescent="0.25">
      <c r="A2145">
        <v>4</v>
      </c>
      <c r="B2145" t="s">
        <v>13124</v>
      </c>
      <c r="C2145" t="s">
        <v>625</v>
      </c>
      <c r="D2145" t="s">
        <v>12585</v>
      </c>
      <c r="G2145">
        <v>11966</v>
      </c>
      <c r="H2145" t="s">
        <v>12259</v>
      </c>
      <c r="I2145" t="s">
        <v>12260</v>
      </c>
      <c r="J2145">
        <v>11966</v>
      </c>
      <c r="K2145" t="s">
        <v>13125</v>
      </c>
      <c r="L2145">
        <v>63</v>
      </c>
      <c r="O2145">
        <v>11966</v>
      </c>
      <c r="P2145" t="s">
        <v>12585</v>
      </c>
      <c r="Q2145">
        <v>1</v>
      </c>
    </row>
    <row r="2146" spans="1:17" x14ac:dyDescent="0.25">
      <c r="A2146">
        <v>4</v>
      </c>
      <c r="B2146" t="s">
        <v>13126</v>
      </c>
      <c r="C2146" t="s">
        <v>625</v>
      </c>
      <c r="D2146" t="s">
        <v>12585</v>
      </c>
      <c r="G2146">
        <v>11977</v>
      </c>
      <c r="H2146" t="s">
        <v>13127</v>
      </c>
      <c r="I2146" t="s">
        <v>13128</v>
      </c>
      <c r="J2146">
        <v>11977</v>
      </c>
      <c r="K2146" t="s">
        <v>13129</v>
      </c>
      <c r="L2146">
        <v>7</v>
      </c>
      <c r="N2146" t="s">
        <v>4713</v>
      </c>
      <c r="O2146">
        <v>11977</v>
      </c>
      <c r="P2146" t="s">
        <v>12585</v>
      </c>
      <c r="Q2146">
        <v>1</v>
      </c>
    </row>
    <row r="2147" spans="1:17" x14ac:dyDescent="0.25">
      <c r="A2147">
        <v>4</v>
      </c>
      <c r="B2147" t="s">
        <v>13130</v>
      </c>
      <c r="C2147" t="s">
        <v>625</v>
      </c>
      <c r="D2147" t="s">
        <v>12585</v>
      </c>
      <c r="G2147">
        <v>11991</v>
      </c>
      <c r="H2147" t="s">
        <v>13131</v>
      </c>
      <c r="I2147" t="s">
        <v>13132</v>
      </c>
      <c r="J2147">
        <v>11991</v>
      </c>
      <c r="K2147" t="s">
        <v>13133</v>
      </c>
      <c r="L2147">
        <v>15</v>
      </c>
      <c r="O2147">
        <v>11991</v>
      </c>
      <c r="P2147" t="s">
        <v>12585</v>
      </c>
      <c r="Q2147">
        <v>1</v>
      </c>
    </row>
    <row r="2148" spans="1:17" x14ac:dyDescent="0.25">
      <c r="A2148">
        <v>4</v>
      </c>
      <c r="B2148" t="s">
        <v>13134</v>
      </c>
      <c r="C2148" t="s">
        <v>625</v>
      </c>
      <c r="D2148" t="s">
        <v>12585</v>
      </c>
      <c r="G2148">
        <v>12184</v>
      </c>
      <c r="H2148" t="s">
        <v>13135</v>
      </c>
      <c r="I2148" t="s">
        <v>13136</v>
      </c>
      <c r="J2148">
        <v>12184</v>
      </c>
      <c r="K2148" t="s">
        <v>13137</v>
      </c>
      <c r="L2148">
        <v>130</v>
      </c>
      <c r="O2148">
        <v>12184</v>
      </c>
      <c r="P2148" t="s">
        <v>12585</v>
      </c>
      <c r="Q2148">
        <v>1</v>
      </c>
    </row>
    <row r="2149" spans="1:17" x14ac:dyDescent="0.25">
      <c r="A2149">
        <v>4</v>
      </c>
      <c r="B2149" t="s">
        <v>13138</v>
      </c>
      <c r="C2149" t="s">
        <v>625</v>
      </c>
      <c r="D2149" t="s">
        <v>12585</v>
      </c>
      <c r="G2149">
        <v>12187</v>
      </c>
      <c r="H2149" t="s">
        <v>13139</v>
      </c>
      <c r="I2149" t="s">
        <v>13140</v>
      </c>
      <c r="J2149">
        <v>12187</v>
      </c>
      <c r="K2149" t="s">
        <v>13141</v>
      </c>
      <c r="L2149">
        <v>105</v>
      </c>
      <c r="O2149">
        <v>12187</v>
      </c>
      <c r="P2149" t="s">
        <v>12585</v>
      </c>
      <c r="Q2149">
        <v>1</v>
      </c>
    </row>
    <row r="2150" spans="1:17" x14ac:dyDescent="0.25">
      <c r="A2150">
        <v>4</v>
      </c>
      <c r="B2150" t="s">
        <v>13142</v>
      </c>
      <c r="C2150" t="s">
        <v>625</v>
      </c>
      <c r="D2150" t="s">
        <v>12585</v>
      </c>
      <c r="G2150">
        <v>12198</v>
      </c>
      <c r="H2150" t="s">
        <v>13143</v>
      </c>
      <c r="I2150" t="s">
        <v>13144</v>
      </c>
      <c r="J2150">
        <v>12198</v>
      </c>
      <c r="K2150" t="s">
        <v>13145</v>
      </c>
      <c r="L2150">
        <v>2</v>
      </c>
      <c r="N2150" t="s">
        <v>4713</v>
      </c>
      <c r="O2150">
        <v>12198</v>
      </c>
      <c r="P2150" t="s">
        <v>12585</v>
      </c>
      <c r="Q2150">
        <v>1</v>
      </c>
    </row>
    <row r="2151" spans="1:17" x14ac:dyDescent="0.25">
      <c r="A2151">
        <v>4</v>
      </c>
      <c r="B2151" t="s">
        <v>13146</v>
      </c>
      <c r="C2151" t="s">
        <v>625</v>
      </c>
      <c r="D2151" t="s">
        <v>12585</v>
      </c>
      <c r="G2151">
        <v>12207</v>
      </c>
      <c r="H2151" t="s">
        <v>13147</v>
      </c>
      <c r="I2151" t="s">
        <v>13148</v>
      </c>
      <c r="J2151">
        <v>12207</v>
      </c>
      <c r="K2151" t="s">
        <v>13149</v>
      </c>
      <c r="L2151">
        <v>6</v>
      </c>
      <c r="N2151" t="s">
        <v>4713</v>
      </c>
      <c r="O2151">
        <v>12207</v>
      </c>
      <c r="P2151" t="s">
        <v>12585</v>
      </c>
      <c r="Q2151">
        <v>1</v>
      </c>
    </row>
    <row r="2152" spans="1:17" x14ac:dyDescent="0.25">
      <c r="A2152">
        <v>4</v>
      </c>
      <c r="B2152" t="s">
        <v>13150</v>
      </c>
      <c r="C2152" t="s">
        <v>625</v>
      </c>
      <c r="D2152" t="s">
        <v>12585</v>
      </c>
      <c r="G2152">
        <v>12211</v>
      </c>
      <c r="H2152" t="s">
        <v>13151</v>
      </c>
      <c r="I2152" t="s">
        <v>13152</v>
      </c>
      <c r="J2152">
        <v>12211</v>
      </c>
      <c r="K2152" t="s">
        <v>13153</v>
      </c>
      <c r="L2152">
        <v>15</v>
      </c>
      <c r="O2152">
        <v>12211</v>
      </c>
      <c r="P2152" t="s">
        <v>12585</v>
      </c>
      <c r="Q2152">
        <v>1</v>
      </c>
    </row>
    <row r="2153" spans="1:17" x14ac:dyDescent="0.25">
      <c r="A2153">
        <v>4</v>
      </c>
      <c r="B2153" t="s">
        <v>13154</v>
      </c>
      <c r="C2153" t="s">
        <v>625</v>
      </c>
      <c r="D2153" t="s">
        <v>12585</v>
      </c>
      <c r="G2153">
        <v>12381</v>
      </c>
      <c r="H2153" t="s">
        <v>13155</v>
      </c>
      <c r="I2153" t="s">
        <v>13156</v>
      </c>
      <c r="J2153">
        <v>12381</v>
      </c>
      <c r="K2153" t="s">
        <v>13157</v>
      </c>
      <c r="L2153">
        <v>2</v>
      </c>
      <c r="N2153" t="s">
        <v>4713</v>
      </c>
      <c r="O2153">
        <v>12381</v>
      </c>
      <c r="P2153" t="s">
        <v>12585</v>
      </c>
      <c r="Q2153">
        <v>1</v>
      </c>
    </row>
    <row r="2154" spans="1:17" x14ac:dyDescent="0.25">
      <c r="A2154">
        <v>4</v>
      </c>
      <c r="B2154" t="s">
        <v>13158</v>
      </c>
      <c r="C2154" t="s">
        <v>625</v>
      </c>
      <c r="D2154" t="s">
        <v>12585</v>
      </c>
      <c r="G2154">
        <v>12386</v>
      </c>
      <c r="H2154" t="s">
        <v>13159</v>
      </c>
      <c r="I2154" t="s">
        <v>13160</v>
      </c>
      <c r="J2154">
        <v>12386</v>
      </c>
      <c r="K2154" t="s">
        <v>13161</v>
      </c>
      <c r="L2154">
        <v>13</v>
      </c>
      <c r="O2154">
        <v>12386</v>
      </c>
      <c r="P2154" t="s">
        <v>12585</v>
      </c>
      <c r="Q2154">
        <v>1</v>
      </c>
    </row>
    <row r="2155" spans="1:17" x14ac:dyDescent="0.25">
      <c r="A2155">
        <v>4</v>
      </c>
      <c r="B2155" t="s">
        <v>13162</v>
      </c>
      <c r="C2155" t="s">
        <v>625</v>
      </c>
      <c r="D2155" t="s">
        <v>12585</v>
      </c>
      <c r="G2155">
        <v>12389</v>
      </c>
      <c r="H2155" t="s">
        <v>13163</v>
      </c>
      <c r="I2155" t="s">
        <v>13164</v>
      </c>
      <c r="J2155">
        <v>12389</v>
      </c>
      <c r="K2155" t="s">
        <v>13165</v>
      </c>
      <c r="L2155">
        <v>3</v>
      </c>
      <c r="N2155" t="s">
        <v>4713</v>
      </c>
      <c r="O2155">
        <v>12389</v>
      </c>
      <c r="P2155" t="s">
        <v>12585</v>
      </c>
      <c r="Q2155">
        <v>1</v>
      </c>
    </row>
    <row r="2156" spans="1:17" x14ac:dyDescent="0.25">
      <c r="A2156">
        <v>4</v>
      </c>
      <c r="B2156" t="s">
        <v>13166</v>
      </c>
      <c r="C2156" t="s">
        <v>625</v>
      </c>
      <c r="D2156" t="s">
        <v>12585</v>
      </c>
      <c r="G2156">
        <v>16737</v>
      </c>
      <c r="H2156" t="s">
        <v>13167</v>
      </c>
      <c r="I2156" t="s">
        <v>13168</v>
      </c>
      <c r="J2156">
        <v>16737</v>
      </c>
      <c r="K2156" t="s">
        <v>13169</v>
      </c>
      <c r="L2156">
        <v>63</v>
      </c>
      <c r="O2156">
        <v>16737</v>
      </c>
      <c r="P2156" t="s">
        <v>12585</v>
      </c>
      <c r="Q2156">
        <v>1</v>
      </c>
    </row>
    <row r="2157" spans="1:17" x14ac:dyDescent="0.25">
      <c r="A2157">
        <v>4</v>
      </c>
      <c r="B2157" t="s">
        <v>13170</v>
      </c>
      <c r="C2157" t="s">
        <v>625</v>
      </c>
      <c r="D2157" t="s">
        <v>12585</v>
      </c>
      <c r="G2157">
        <v>19686</v>
      </c>
      <c r="H2157" t="s">
        <v>13171</v>
      </c>
      <c r="I2157" t="s">
        <v>13172</v>
      </c>
      <c r="J2157">
        <v>19686</v>
      </c>
      <c r="K2157" t="s">
        <v>13173</v>
      </c>
      <c r="L2157">
        <v>71</v>
      </c>
      <c r="O2157">
        <v>19686</v>
      </c>
      <c r="P2157" t="s">
        <v>12585</v>
      </c>
      <c r="Q2157">
        <v>1</v>
      </c>
    </row>
    <row r="2158" spans="1:17" x14ac:dyDescent="0.25">
      <c r="A2158">
        <v>4</v>
      </c>
      <c r="B2158" t="s">
        <v>13174</v>
      </c>
      <c r="C2158" t="s">
        <v>625</v>
      </c>
      <c r="D2158" t="s">
        <v>12585</v>
      </c>
      <c r="G2158">
        <v>542174</v>
      </c>
      <c r="H2158" t="s">
        <v>13175</v>
      </c>
      <c r="I2158" t="s">
        <v>13176</v>
      </c>
      <c r="J2158">
        <v>542174</v>
      </c>
      <c r="K2158" t="s">
        <v>13177</v>
      </c>
      <c r="L2158">
        <v>32</v>
      </c>
      <c r="O2158">
        <v>542174</v>
      </c>
      <c r="P2158" t="s">
        <v>12585</v>
      </c>
      <c r="Q2158">
        <v>1</v>
      </c>
    </row>
    <row r="2159" spans="1:17" x14ac:dyDescent="0.25">
      <c r="A2159">
        <v>4</v>
      </c>
      <c r="B2159" t="s">
        <v>13178</v>
      </c>
      <c r="C2159" t="s">
        <v>625</v>
      </c>
      <c r="D2159" t="s">
        <v>12585</v>
      </c>
      <c r="G2159">
        <v>578084</v>
      </c>
      <c r="H2159" t="s">
        <v>13179</v>
      </c>
      <c r="I2159" t="s">
        <v>13180</v>
      </c>
      <c r="J2159">
        <v>578084</v>
      </c>
      <c r="K2159" t="s">
        <v>13181</v>
      </c>
      <c r="L2159">
        <v>112</v>
      </c>
      <c r="O2159">
        <v>578084</v>
      </c>
      <c r="P2159" t="s">
        <v>12585</v>
      </c>
      <c r="Q2159">
        <v>1</v>
      </c>
    </row>
    <row r="2160" spans="1:17" x14ac:dyDescent="0.25">
      <c r="A2160">
        <v>2</v>
      </c>
      <c r="B2160" t="s">
        <v>13182</v>
      </c>
      <c r="C2160" t="s">
        <v>625</v>
      </c>
      <c r="D2160" t="s">
        <v>12585</v>
      </c>
      <c r="E2160" t="s">
        <v>603</v>
      </c>
      <c r="H2160" t="s">
        <v>13183</v>
      </c>
      <c r="I2160" t="s">
        <v>946</v>
      </c>
      <c r="J2160" t="s">
        <v>603</v>
      </c>
      <c r="O2160" t="s">
        <v>603</v>
      </c>
      <c r="P2160" t="s">
        <v>12585</v>
      </c>
      <c r="Q2160">
        <v>3</v>
      </c>
    </row>
    <row r="2161" spans="1:17" x14ac:dyDescent="0.25">
      <c r="A2161">
        <v>4</v>
      </c>
      <c r="B2161" t="s">
        <v>13184</v>
      </c>
      <c r="C2161" t="s">
        <v>625</v>
      </c>
      <c r="D2161" t="s">
        <v>12585</v>
      </c>
      <c r="G2161">
        <v>11762</v>
      </c>
      <c r="H2161" t="s">
        <v>13185</v>
      </c>
      <c r="I2161" t="s">
        <v>13186</v>
      </c>
      <c r="J2161">
        <v>11762</v>
      </c>
      <c r="K2161" t="s">
        <v>13187</v>
      </c>
      <c r="L2161">
        <v>33</v>
      </c>
      <c r="O2161">
        <v>11762</v>
      </c>
      <c r="P2161" t="s">
        <v>12585</v>
      </c>
      <c r="Q2161">
        <v>1</v>
      </c>
    </row>
    <row r="2162" spans="1:17" x14ac:dyDescent="0.25">
      <c r="A2162">
        <v>4</v>
      </c>
      <c r="B2162" t="s">
        <v>13188</v>
      </c>
      <c r="C2162" t="s">
        <v>625</v>
      </c>
      <c r="D2162" t="s">
        <v>12585</v>
      </c>
      <c r="G2162">
        <v>11764</v>
      </c>
      <c r="H2162" t="s">
        <v>13189</v>
      </c>
      <c r="I2162" t="s">
        <v>947</v>
      </c>
      <c r="J2162">
        <v>11764</v>
      </c>
      <c r="K2162" t="s">
        <v>13190</v>
      </c>
      <c r="L2162">
        <v>22</v>
      </c>
      <c r="O2162">
        <v>11764</v>
      </c>
      <c r="P2162" t="s">
        <v>12585</v>
      </c>
      <c r="Q2162">
        <v>1</v>
      </c>
    </row>
    <row r="2163" spans="1:17" x14ac:dyDescent="0.25">
      <c r="A2163">
        <v>4</v>
      </c>
      <c r="B2163" t="s">
        <v>13191</v>
      </c>
      <c r="C2163" t="s">
        <v>625</v>
      </c>
      <c r="D2163" t="s">
        <v>12585</v>
      </c>
      <c r="G2163">
        <v>11766</v>
      </c>
      <c r="H2163" t="s">
        <v>13192</v>
      </c>
      <c r="I2163" t="s">
        <v>13193</v>
      </c>
      <c r="J2163">
        <v>11766</v>
      </c>
      <c r="K2163" t="s">
        <v>13194</v>
      </c>
      <c r="L2163">
        <v>4</v>
      </c>
      <c r="N2163" t="s">
        <v>4713</v>
      </c>
      <c r="O2163">
        <v>11766</v>
      </c>
      <c r="P2163" t="s">
        <v>12585</v>
      </c>
      <c r="Q2163">
        <v>1</v>
      </c>
    </row>
    <row r="2164" spans="1:17" x14ac:dyDescent="0.25">
      <c r="A2164">
        <v>4</v>
      </c>
      <c r="B2164" t="s">
        <v>13195</v>
      </c>
      <c r="C2164" t="s">
        <v>625</v>
      </c>
      <c r="D2164" t="s">
        <v>12585</v>
      </c>
      <c r="G2164">
        <v>11768</v>
      </c>
      <c r="H2164" t="s">
        <v>13196</v>
      </c>
      <c r="I2164" t="s">
        <v>13197</v>
      </c>
      <c r="J2164">
        <v>11768</v>
      </c>
      <c r="K2164" t="s">
        <v>13198</v>
      </c>
      <c r="L2164">
        <v>232</v>
      </c>
      <c r="O2164">
        <v>11768</v>
      </c>
      <c r="P2164" t="s">
        <v>12585</v>
      </c>
      <c r="Q2164">
        <v>1</v>
      </c>
    </row>
    <row r="2165" spans="1:17" x14ac:dyDescent="0.25">
      <c r="A2165">
        <v>4</v>
      </c>
      <c r="B2165" t="s">
        <v>13199</v>
      </c>
      <c r="C2165" t="s">
        <v>625</v>
      </c>
      <c r="D2165" t="s">
        <v>12585</v>
      </c>
      <c r="G2165">
        <v>11975</v>
      </c>
      <c r="H2165" t="s">
        <v>13200</v>
      </c>
      <c r="I2165" t="s">
        <v>13201</v>
      </c>
      <c r="J2165">
        <v>11975</v>
      </c>
      <c r="K2165" t="s">
        <v>13202</v>
      </c>
      <c r="L2165">
        <v>45</v>
      </c>
      <c r="O2165">
        <v>11975</v>
      </c>
      <c r="P2165" t="s">
        <v>12585</v>
      </c>
      <c r="Q2165">
        <v>1</v>
      </c>
    </row>
    <row r="2166" spans="1:17" x14ac:dyDescent="0.25">
      <c r="A2166">
        <v>4</v>
      </c>
      <c r="B2166" t="s">
        <v>13203</v>
      </c>
      <c r="C2166" t="s">
        <v>625</v>
      </c>
      <c r="D2166" t="s">
        <v>12585</v>
      </c>
      <c r="G2166">
        <v>11981</v>
      </c>
      <c r="H2166" t="s">
        <v>13204</v>
      </c>
      <c r="I2166" t="s">
        <v>13205</v>
      </c>
      <c r="J2166">
        <v>11981</v>
      </c>
      <c r="K2166" t="s">
        <v>13206</v>
      </c>
      <c r="L2166">
        <v>28</v>
      </c>
      <c r="O2166">
        <v>11981</v>
      </c>
      <c r="P2166" t="s">
        <v>12585</v>
      </c>
      <c r="Q2166">
        <v>1</v>
      </c>
    </row>
    <row r="2167" spans="1:17" x14ac:dyDescent="0.25">
      <c r="A2167">
        <v>4</v>
      </c>
      <c r="B2167" t="s">
        <v>13207</v>
      </c>
      <c r="C2167" t="s">
        <v>625</v>
      </c>
      <c r="D2167" t="s">
        <v>12585</v>
      </c>
      <c r="G2167">
        <v>12069</v>
      </c>
      <c r="H2167" t="s">
        <v>13208</v>
      </c>
      <c r="I2167" t="s">
        <v>13209</v>
      </c>
      <c r="J2167">
        <v>12069</v>
      </c>
      <c r="K2167" t="s">
        <v>13210</v>
      </c>
      <c r="L2167">
        <v>17</v>
      </c>
      <c r="O2167">
        <v>12069</v>
      </c>
      <c r="P2167" t="s">
        <v>12585</v>
      </c>
      <c r="Q2167">
        <v>1</v>
      </c>
    </row>
    <row r="2168" spans="1:17" x14ac:dyDescent="0.25">
      <c r="A2168">
        <v>4</v>
      </c>
      <c r="B2168" t="s">
        <v>13211</v>
      </c>
      <c r="C2168" t="s">
        <v>625</v>
      </c>
      <c r="D2168" t="s">
        <v>12585</v>
      </c>
      <c r="G2168">
        <v>12077</v>
      </c>
      <c r="H2168" t="s">
        <v>13212</v>
      </c>
      <c r="I2168" t="s">
        <v>13213</v>
      </c>
      <c r="J2168">
        <v>12077</v>
      </c>
      <c r="K2168" t="s">
        <v>13214</v>
      </c>
      <c r="L2168">
        <v>10</v>
      </c>
      <c r="O2168">
        <v>12077</v>
      </c>
      <c r="P2168" t="s">
        <v>12585</v>
      </c>
      <c r="Q2168">
        <v>1</v>
      </c>
    </row>
    <row r="2169" spans="1:17" x14ac:dyDescent="0.25">
      <c r="A2169">
        <v>4</v>
      </c>
      <c r="B2169" t="s">
        <v>13215</v>
      </c>
      <c r="C2169" t="s">
        <v>625</v>
      </c>
      <c r="D2169" t="s">
        <v>12585</v>
      </c>
      <c r="G2169">
        <v>12107</v>
      </c>
      <c r="H2169" t="s">
        <v>13216</v>
      </c>
      <c r="I2169" t="s">
        <v>13217</v>
      </c>
      <c r="J2169">
        <v>12107</v>
      </c>
      <c r="K2169" t="s">
        <v>13218</v>
      </c>
      <c r="L2169">
        <v>46</v>
      </c>
      <c r="O2169">
        <v>12107</v>
      </c>
      <c r="P2169" t="s">
        <v>12585</v>
      </c>
      <c r="Q2169">
        <v>1</v>
      </c>
    </row>
    <row r="2170" spans="1:17" x14ac:dyDescent="0.25">
      <c r="A2170">
        <v>4</v>
      </c>
      <c r="B2170" t="s">
        <v>13219</v>
      </c>
      <c r="C2170" t="s">
        <v>625</v>
      </c>
      <c r="D2170" t="s">
        <v>12585</v>
      </c>
      <c r="G2170">
        <v>12159</v>
      </c>
      <c r="H2170" t="s">
        <v>13220</v>
      </c>
      <c r="I2170" t="s">
        <v>13221</v>
      </c>
      <c r="J2170">
        <v>12159</v>
      </c>
      <c r="K2170" t="s">
        <v>13222</v>
      </c>
      <c r="L2170">
        <v>99</v>
      </c>
      <c r="O2170">
        <v>12159</v>
      </c>
      <c r="P2170" t="s">
        <v>12585</v>
      </c>
      <c r="Q2170">
        <v>1</v>
      </c>
    </row>
    <row r="2171" spans="1:17" x14ac:dyDescent="0.25">
      <c r="A2171">
        <v>4</v>
      </c>
      <c r="B2171" t="s">
        <v>13223</v>
      </c>
      <c r="C2171" t="s">
        <v>625</v>
      </c>
      <c r="D2171" t="s">
        <v>12585</v>
      </c>
      <c r="G2171">
        <v>12162</v>
      </c>
      <c r="H2171" t="s">
        <v>13224</v>
      </c>
      <c r="I2171" t="s">
        <v>13225</v>
      </c>
      <c r="J2171">
        <v>12162</v>
      </c>
      <c r="K2171" t="s">
        <v>13226</v>
      </c>
      <c r="L2171">
        <v>53</v>
      </c>
      <c r="O2171">
        <v>12162</v>
      </c>
      <c r="P2171" t="s">
        <v>12585</v>
      </c>
      <c r="Q2171">
        <v>1</v>
      </c>
    </row>
    <row r="2172" spans="1:17" x14ac:dyDescent="0.25">
      <c r="A2172">
        <v>4</v>
      </c>
      <c r="B2172" t="s">
        <v>13227</v>
      </c>
      <c r="C2172" t="s">
        <v>625</v>
      </c>
      <c r="D2172" t="s">
        <v>12585</v>
      </c>
      <c r="G2172">
        <v>12181</v>
      </c>
      <c r="H2172" t="s">
        <v>13228</v>
      </c>
      <c r="I2172" t="s">
        <v>13229</v>
      </c>
      <c r="J2172">
        <v>12181</v>
      </c>
      <c r="K2172" t="s">
        <v>13230</v>
      </c>
      <c r="L2172">
        <v>12</v>
      </c>
      <c r="O2172">
        <v>12181</v>
      </c>
      <c r="P2172" t="s">
        <v>12585</v>
      </c>
      <c r="Q2172">
        <v>1</v>
      </c>
    </row>
    <row r="2173" spans="1:17" x14ac:dyDescent="0.25">
      <c r="A2173">
        <v>4</v>
      </c>
      <c r="B2173" t="s">
        <v>13231</v>
      </c>
      <c r="C2173" t="s">
        <v>625</v>
      </c>
      <c r="D2173" t="s">
        <v>12585</v>
      </c>
      <c r="G2173">
        <v>12204</v>
      </c>
      <c r="H2173" t="s">
        <v>13232</v>
      </c>
      <c r="I2173" t="s">
        <v>13233</v>
      </c>
      <c r="J2173">
        <v>12204</v>
      </c>
      <c r="K2173" t="s">
        <v>13234</v>
      </c>
      <c r="L2173">
        <v>1</v>
      </c>
      <c r="N2173" t="s">
        <v>4734</v>
      </c>
      <c r="O2173">
        <v>12204</v>
      </c>
      <c r="P2173" t="s">
        <v>12585</v>
      </c>
      <c r="Q2173">
        <v>1</v>
      </c>
    </row>
    <row r="2174" spans="1:17" x14ac:dyDescent="0.25">
      <c r="A2174">
        <v>4</v>
      </c>
      <c r="B2174" t="s">
        <v>13235</v>
      </c>
      <c r="C2174" t="s">
        <v>625</v>
      </c>
      <c r="D2174" t="s">
        <v>12585</v>
      </c>
      <c r="G2174">
        <v>175663</v>
      </c>
      <c r="H2174" t="s">
        <v>13236</v>
      </c>
      <c r="I2174" t="s">
        <v>13237</v>
      </c>
      <c r="J2174">
        <v>175663</v>
      </c>
      <c r="K2174" t="s">
        <v>13238</v>
      </c>
      <c r="L2174">
        <v>61</v>
      </c>
      <c r="O2174">
        <v>175663</v>
      </c>
      <c r="P2174" t="s">
        <v>12585</v>
      </c>
      <c r="Q2174">
        <v>1</v>
      </c>
    </row>
    <row r="2175" spans="1:17" x14ac:dyDescent="0.25">
      <c r="A2175">
        <v>4</v>
      </c>
      <c r="B2175" t="s">
        <v>13239</v>
      </c>
      <c r="C2175" t="s">
        <v>625</v>
      </c>
      <c r="D2175" t="s">
        <v>12585</v>
      </c>
      <c r="G2175">
        <v>197870</v>
      </c>
      <c r="H2175" t="s">
        <v>13240</v>
      </c>
      <c r="I2175" t="s">
        <v>13241</v>
      </c>
      <c r="J2175">
        <v>197870</v>
      </c>
      <c r="K2175" t="s">
        <v>13242</v>
      </c>
      <c r="L2175">
        <v>8</v>
      </c>
      <c r="N2175" t="s">
        <v>4713</v>
      </c>
      <c r="O2175">
        <v>197870</v>
      </c>
      <c r="P2175" t="s">
        <v>12585</v>
      </c>
      <c r="Q2175">
        <v>1</v>
      </c>
    </row>
    <row r="2176" spans="1:17" x14ac:dyDescent="0.25">
      <c r="A2176">
        <v>4</v>
      </c>
      <c r="B2176" t="s">
        <v>13243</v>
      </c>
      <c r="C2176" t="s">
        <v>625</v>
      </c>
      <c r="D2176" t="s">
        <v>12585</v>
      </c>
      <c r="G2176">
        <v>20652</v>
      </c>
      <c r="H2176" t="s">
        <v>13244</v>
      </c>
      <c r="I2176" t="s">
        <v>13245</v>
      </c>
      <c r="J2176">
        <v>20652</v>
      </c>
      <c r="K2176" t="s">
        <v>13246</v>
      </c>
      <c r="L2176">
        <v>45</v>
      </c>
      <c r="O2176">
        <v>20652</v>
      </c>
      <c r="P2176" t="s">
        <v>12585</v>
      </c>
      <c r="Q2176">
        <v>1</v>
      </c>
    </row>
    <row r="2177" spans="1:17" x14ac:dyDescent="0.25">
      <c r="A2177">
        <v>4</v>
      </c>
      <c r="B2177" t="s">
        <v>13247</v>
      </c>
      <c r="C2177" t="s">
        <v>625</v>
      </c>
      <c r="D2177" t="s">
        <v>12585</v>
      </c>
      <c r="G2177">
        <v>207280</v>
      </c>
      <c r="H2177" t="s">
        <v>13248</v>
      </c>
      <c r="I2177" t="s">
        <v>13249</v>
      </c>
      <c r="J2177">
        <v>207280</v>
      </c>
      <c r="K2177" t="s">
        <v>13250</v>
      </c>
      <c r="L2177">
        <v>4</v>
      </c>
      <c r="N2177" t="s">
        <v>4713</v>
      </c>
      <c r="O2177">
        <v>207280</v>
      </c>
      <c r="P2177" t="s">
        <v>12585</v>
      </c>
      <c r="Q2177">
        <v>1</v>
      </c>
    </row>
    <row r="2178" spans="1:17" x14ac:dyDescent="0.25">
      <c r="A2178">
        <v>4</v>
      </c>
      <c r="B2178" t="s">
        <v>13251</v>
      </c>
      <c r="C2178" t="s">
        <v>625</v>
      </c>
      <c r="D2178" t="s">
        <v>12585</v>
      </c>
      <c r="G2178">
        <v>25665</v>
      </c>
      <c r="H2178" t="s">
        <v>13252</v>
      </c>
      <c r="I2178" t="s">
        <v>13253</v>
      </c>
      <c r="J2178">
        <v>25665</v>
      </c>
      <c r="K2178" t="s">
        <v>13254</v>
      </c>
      <c r="L2178">
        <v>4</v>
      </c>
      <c r="N2178" t="s">
        <v>4713</v>
      </c>
      <c r="O2178">
        <v>25665</v>
      </c>
      <c r="P2178" t="s">
        <v>12585</v>
      </c>
      <c r="Q2178">
        <v>1</v>
      </c>
    </row>
    <row r="2179" spans="1:17" x14ac:dyDescent="0.25">
      <c r="A2179">
        <v>4</v>
      </c>
      <c r="B2179" t="s">
        <v>13255</v>
      </c>
      <c r="C2179" t="s">
        <v>625</v>
      </c>
      <c r="D2179" t="s">
        <v>12585</v>
      </c>
      <c r="G2179">
        <v>26436</v>
      </c>
      <c r="H2179" t="s">
        <v>13256</v>
      </c>
      <c r="I2179" t="s">
        <v>13257</v>
      </c>
      <c r="J2179">
        <v>26436</v>
      </c>
      <c r="K2179" t="s">
        <v>13258</v>
      </c>
      <c r="L2179">
        <v>21</v>
      </c>
      <c r="O2179">
        <v>26436</v>
      </c>
      <c r="P2179" t="s">
        <v>12585</v>
      </c>
      <c r="Q2179">
        <v>1</v>
      </c>
    </row>
    <row r="2180" spans="1:17" x14ac:dyDescent="0.25">
      <c r="A2180">
        <v>4</v>
      </c>
      <c r="B2180" t="s">
        <v>13259</v>
      </c>
      <c r="C2180" t="s">
        <v>625</v>
      </c>
      <c r="D2180" t="s">
        <v>12585</v>
      </c>
      <c r="G2180">
        <v>670795</v>
      </c>
      <c r="H2180" t="s">
        <v>13260</v>
      </c>
      <c r="I2180" t="s">
        <v>1014</v>
      </c>
      <c r="J2180">
        <v>670795</v>
      </c>
      <c r="K2180" t="s">
        <v>13261</v>
      </c>
      <c r="L2180">
        <v>193</v>
      </c>
      <c r="O2180">
        <v>670795</v>
      </c>
      <c r="P2180" t="s">
        <v>12585</v>
      </c>
      <c r="Q2180">
        <v>1</v>
      </c>
    </row>
    <row r="2181" spans="1:17" x14ac:dyDescent="0.25">
      <c r="A2181">
        <v>4</v>
      </c>
      <c r="B2181" t="s">
        <v>13262</v>
      </c>
      <c r="C2181" t="s">
        <v>625</v>
      </c>
      <c r="D2181" t="s">
        <v>12585</v>
      </c>
      <c r="G2181">
        <v>6795</v>
      </c>
      <c r="H2181" t="s">
        <v>13263</v>
      </c>
      <c r="I2181" t="s">
        <v>13264</v>
      </c>
      <c r="J2181">
        <v>6795</v>
      </c>
      <c r="K2181" t="s">
        <v>13265</v>
      </c>
      <c r="L2181">
        <v>25</v>
      </c>
      <c r="O2181">
        <v>6795</v>
      </c>
      <c r="P2181" t="s">
        <v>12585</v>
      </c>
      <c r="Q2181">
        <v>1</v>
      </c>
    </row>
    <row r="2182" spans="1:17" x14ac:dyDescent="0.25">
      <c r="A2182">
        <v>4</v>
      </c>
      <c r="B2182" t="s">
        <v>13266</v>
      </c>
      <c r="C2182" t="s">
        <v>625</v>
      </c>
      <c r="D2182" t="s">
        <v>12585</v>
      </c>
      <c r="G2182" t="s">
        <v>13267</v>
      </c>
      <c r="H2182" t="s">
        <v>13268</v>
      </c>
      <c r="I2182" t="s">
        <v>13269</v>
      </c>
      <c r="J2182" t="s">
        <v>13267</v>
      </c>
      <c r="K2182" t="s">
        <v>13270</v>
      </c>
      <c r="L2182">
        <v>3</v>
      </c>
      <c r="N2182" t="s">
        <v>4713</v>
      </c>
      <c r="O2182" t="s">
        <v>13267</v>
      </c>
      <c r="P2182" t="s">
        <v>12585</v>
      </c>
      <c r="Q2182">
        <v>1</v>
      </c>
    </row>
    <row r="2183" spans="1:17" x14ac:dyDescent="0.25">
      <c r="A2183">
        <v>4</v>
      </c>
      <c r="B2183" t="s">
        <v>13271</v>
      </c>
      <c r="C2183" t="s">
        <v>625</v>
      </c>
      <c r="D2183" t="s">
        <v>12585</v>
      </c>
      <c r="G2183" t="s">
        <v>13272</v>
      </c>
      <c r="H2183" t="s">
        <v>13273</v>
      </c>
      <c r="I2183" t="s">
        <v>953</v>
      </c>
      <c r="J2183" t="s">
        <v>13272</v>
      </c>
      <c r="K2183" t="s">
        <v>13274</v>
      </c>
      <c r="L2183">
        <v>25</v>
      </c>
      <c r="O2183" t="s">
        <v>13272</v>
      </c>
      <c r="P2183" t="s">
        <v>12585</v>
      </c>
      <c r="Q2183">
        <v>1</v>
      </c>
    </row>
    <row r="2184" spans="1:17" x14ac:dyDescent="0.25">
      <c r="A2184">
        <v>4</v>
      </c>
      <c r="B2184" t="s">
        <v>13275</v>
      </c>
      <c r="C2184" t="s">
        <v>625</v>
      </c>
      <c r="D2184" t="s">
        <v>12585</v>
      </c>
      <c r="G2184" t="s">
        <v>13276</v>
      </c>
      <c r="H2184" t="s">
        <v>13277</v>
      </c>
      <c r="I2184" t="s">
        <v>13278</v>
      </c>
      <c r="J2184" t="s">
        <v>13276</v>
      </c>
      <c r="K2184" t="s">
        <v>13279</v>
      </c>
      <c r="L2184">
        <v>3</v>
      </c>
      <c r="N2184" t="s">
        <v>4713</v>
      </c>
      <c r="O2184" t="s">
        <v>13276</v>
      </c>
      <c r="P2184" t="s">
        <v>12585</v>
      </c>
      <c r="Q2184">
        <v>1</v>
      </c>
    </row>
    <row r="2185" spans="1:17" x14ac:dyDescent="0.25">
      <c r="A2185">
        <v>4</v>
      </c>
      <c r="B2185" t="s">
        <v>13280</v>
      </c>
      <c r="C2185" t="s">
        <v>625</v>
      </c>
      <c r="D2185" t="s">
        <v>12585</v>
      </c>
      <c r="G2185" t="s">
        <v>13281</v>
      </c>
      <c r="H2185" t="s">
        <v>13282</v>
      </c>
      <c r="I2185" t="s">
        <v>13283</v>
      </c>
      <c r="J2185" t="s">
        <v>13281</v>
      </c>
      <c r="K2185" t="s">
        <v>13284</v>
      </c>
      <c r="L2185">
        <v>1</v>
      </c>
      <c r="N2185" t="s">
        <v>4734</v>
      </c>
      <c r="O2185" t="s">
        <v>13281</v>
      </c>
      <c r="P2185" t="s">
        <v>12585</v>
      </c>
      <c r="Q2185">
        <v>1</v>
      </c>
    </row>
    <row r="2186" spans="1:17" x14ac:dyDescent="0.25">
      <c r="A2186">
        <v>4</v>
      </c>
      <c r="B2186" t="s">
        <v>13285</v>
      </c>
      <c r="C2186" t="s">
        <v>625</v>
      </c>
      <c r="D2186" t="s">
        <v>12585</v>
      </c>
      <c r="G2186" t="s">
        <v>13286</v>
      </c>
      <c r="H2186" t="s">
        <v>13287</v>
      </c>
      <c r="I2186" t="s">
        <v>13288</v>
      </c>
      <c r="J2186" t="s">
        <v>13286</v>
      </c>
      <c r="K2186" t="s">
        <v>13289</v>
      </c>
      <c r="L2186">
        <v>44</v>
      </c>
      <c r="O2186" t="s">
        <v>13286</v>
      </c>
      <c r="P2186" t="s">
        <v>12585</v>
      </c>
      <c r="Q2186">
        <v>1</v>
      </c>
    </row>
    <row r="2187" spans="1:17" x14ac:dyDescent="0.25">
      <c r="A2187">
        <v>4</v>
      </c>
      <c r="B2187" t="s">
        <v>13290</v>
      </c>
      <c r="C2187" t="s">
        <v>625</v>
      </c>
      <c r="D2187" t="s">
        <v>12585</v>
      </c>
      <c r="G2187" t="s">
        <v>13291</v>
      </c>
      <c r="H2187" t="s">
        <v>13292</v>
      </c>
      <c r="I2187" t="s">
        <v>13293</v>
      </c>
      <c r="J2187" t="s">
        <v>13291</v>
      </c>
      <c r="K2187" t="s">
        <v>13294</v>
      </c>
      <c r="L2187">
        <v>22</v>
      </c>
      <c r="O2187" t="s">
        <v>13291</v>
      </c>
      <c r="P2187" t="s">
        <v>12585</v>
      </c>
      <c r="Q2187">
        <v>1</v>
      </c>
    </row>
    <row r="2188" spans="1:17" x14ac:dyDescent="0.25">
      <c r="A2188">
        <v>4</v>
      </c>
      <c r="B2188" t="s">
        <v>13295</v>
      </c>
      <c r="C2188" t="s">
        <v>625</v>
      </c>
      <c r="D2188" t="s">
        <v>12585</v>
      </c>
      <c r="G2188" t="s">
        <v>13296</v>
      </c>
      <c r="H2188" t="s">
        <v>13297</v>
      </c>
      <c r="I2188" t="s">
        <v>13298</v>
      </c>
      <c r="J2188" t="s">
        <v>13296</v>
      </c>
      <c r="K2188" t="s">
        <v>13299</v>
      </c>
      <c r="L2188">
        <v>42</v>
      </c>
      <c r="O2188" t="s">
        <v>13296</v>
      </c>
      <c r="P2188" t="s">
        <v>12585</v>
      </c>
      <c r="Q2188">
        <v>1</v>
      </c>
    </row>
    <row r="2189" spans="1:17" x14ac:dyDescent="0.25">
      <c r="A2189">
        <v>4</v>
      </c>
      <c r="B2189" t="s">
        <v>13300</v>
      </c>
      <c r="C2189" t="s">
        <v>625</v>
      </c>
      <c r="D2189" t="s">
        <v>12585</v>
      </c>
      <c r="G2189" t="s">
        <v>13301</v>
      </c>
      <c r="H2189" t="s">
        <v>13302</v>
      </c>
      <c r="I2189" t="s">
        <v>13303</v>
      </c>
      <c r="J2189" t="s">
        <v>13301</v>
      </c>
      <c r="K2189" t="s">
        <v>13304</v>
      </c>
      <c r="L2189">
        <v>17</v>
      </c>
      <c r="O2189" t="s">
        <v>13301</v>
      </c>
      <c r="P2189" t="s">
        <v>12585</v>
      </c>
      <c r="Q2189">
        <v>1</v>
      </c>
    </row>
    <row r="2190" spans="1:17" x14ac:dyDescent="0.25">
      <c r="A2190">
        <v>2</v>
      </c>
      <c r="B2190" t="s">
        <v>13305</v>
      </c>
      <c r="C2190" t="s">
        <v>625</v>
      </c>
      <c r="D2190" t="s">
        <v>12585</v>
      </c>
      <c r="E2190" t="s">
        <v>595</v>
      </c>
      <c r="H2190" t="s">
        <v>13306</v>
      </c>
      <c r="I2190" t="s">
        <v>945</v>
      </c>
      <c r="J2190" t="s">
        <v>595</v>
      </c>
      <c r="O2190" t="s">
        <v>595</v>
      </c>
      <c r="P2190" t="s">
        <v>12585</v>
      </c>
      <c r="Q2190">
        <v>2</v>
      </c>
    </row>
    <row r="2191" spans="1:17" x14ac:dyDescent="0.25">
      <c r="A2191">
        <v>4</v>
      </c>
      <c r="B2191" t="s">
        <v>13307</v>
      </c>
      <c r="C2191" t="s">
        <v>625</v>
      </c>
      <c r="D2191" t="s">
        <v>12585</v>
      </c>
      <c r="G2191">
        <v>12038</v>
      </c>
      <c r="H2191" t="s">
        <v>13308</v>
      </c>
      <c r="I2191" t="s">
        <v>13309</v>
      </c>
      <c r="J2191">
        <v>12038</v>
      </c>
      <c r="K2191" t="s">
        <v>13310</v>
      </c>
      <c r="L2191">
        <v>21</v>
      </c>
      <c r="O2191">
        <v>12038</v>
      </c>
      <c r="P2191" t="s">
        <v>12585</v>
      </c>
      <c r="Q2191">
        <v>1</v>
      </c>
    </row>
    <row r="2192" spans="1:17" x14ac:dyDescent="0.25">
      <c r="A2192">
        <v>4</v>
      </c>
      <c r="B2192" t="s">
        <v>13311</v>
      </c>
      <c r="C2192" t="s">
        <v>625</v>
      </c>
      <c r="D2192" t="s">
        <v>12585</v>
      </c>
      <c r="G2192">
        <v>12047</v>
      </c>
      <c r="H2192" t="s">
        <v>13312</v>
      </c>
      <c r="I2192" t="s">
        <v>13313</v>
      </c>
      <c r="J2192">
        <v>12047</v>
      </c>
      <c r="K2192" t="s">
        <v>13314</v>
      </c>
      <c r="L2192">
        <v>56</v>
      </c>
      <c r="O2192">
        <v>12047</v>
      </c>
      <c r="P2192" t="s">
        <v>12585</v>
      </c>
      <c r="Q2192">
        <v>1</v>
      </c>
    </row>
    <row r="2193" spans="1:17" x14ac:dyDescent="0.25">
      <c r="A2193">
        <v>4</v>
      </c>
      <c r="B2193" t="s">
        <v>13315</v>
      </c>
      <c r="C2193" t="s">
        <v>625</v>
      </c>
      <c r="D2193" t="s">
        <v>12585</v>
      </c>
      <c r="G2193">
        <v>12060</v>
      </c>
      <c r="H2193" t="s">
        <v>5182</v>
      </c>
      <c r="I2193" t="s">
        <v>5183</v>
      </c>
      <c r="J2193">
        <v>12060</v>
      </c>
      <c r="K2193" t="s">
        <v>13316</v>
      </c>
      <c r="L2193">
        <v>53</v>
      </c>
      <c r="O2193">
        <v>12060</v>
      </c>
      <c r="P2193" t="s">
        <v>12585</v>
      </c>
      <c r="Q2193">
        <v>1</v>
      </c>
    </row>
    <row r="2194" spans="1:17" x14ac:dyDescent="0.25">
      <c r="A2194">
        <v>4</v>
      </c>
      <c r="B2194" t="s">
        <v>13317</v>
      </c>
      <c r="C2194" t="s">
        <v>625</v>
      </c>
      <c r="D2194" t="s">
        <v>12585</v>
      </c>
      <c r="G2194">
        <v>12066</v>
      </c>
      <c r="H2194" t="s">
        <v>13318</v>
      </c>
      <c r="I2194" t="s">
        <v>13319</v>
      </c>
      <c r="J2194">
        <v>12066</v>
      </c>
      <c r="K2194" t="s">
        <v>13320</v>
      </c>
      <c r="L2194">
        <v>9</v>
      </c>
      <c r="N2194" t="s">
        <v>4713</v>
      </c>
      <c r="O2194">
        <v>12066</v>
      </c>
      <c r="P2194" t="s">
        <v>12585</v>
      </c>
      <c r="Q2194">
        <v>1</v>
      </c>
    </row>
    <row r="2195" spans="1:17" x14ac:dyDescent="0.25">
      <c r="A2195">
        <v>4</v>
      </c>
      <c r="B2195" t="s">
        <v>13321</v>
      </c>
      <c r="C2195" t="s">
        <v>625</v>
      </c>
      <c r="D2195" t="s">
        <v>12585</v>
      </c>
      <c r="G2195">
        <v>12455</v>
      </c>
      <c r="H2195" t="s">
        <v>13322</v>
      </c>
      <c r="I2195" t="s">
        <v>13323</v>
      </c>
      <c r="J2195">
        <v>12455</v>
      </c>
      <c r="K2195" t="s">
        <v>13324</v>
      </c>
      <c r="L2195">
        <v>4</v>
      </c>
      <c r="N2195" t="s">
        <v>4713</v>
      </c>
      <c r="O2195">
        <v>12455</v>
      </c>
      <c r="P2195" t="s">
        <v>12585</v>
      </c>
      <c r="Q2195">
        <v>1</v>
      </c>
    </row>
    <row r="2196" spans="1:17" x14ac:dyDescent="0.25">
      <c r="A2196">
        <v>4</v>
      </c>
      <c r="B2196" t="s">
        <v>13325</v>
      </c>
      <c r="C2196" t="s">
        <v>625</v>
      </c>
      <c r="D2196" t="s">
        <v>12585</v>
      </c>
      <c r="G2196">
        <v>12457</v>
      </c>
      <c r="H2196" t="s">
        <v>13326</v>
      </c>
      <c r="I2196" t="s">
        <v>13327</v>
      </c>
      <c r="J2196">
        <v>12457</v>
      </c>
      <c r="K2196" t="s">
        <v>13328</v>
      </c>
      <c r="L2196">
        <v>39</v>
      </c>
      <c r="O2196">
        <v>12457</v>
      </c>
      <c r="P2196" t="s">
        <v>12585</v>
      </c>
      <c r="Q2196">
        <v>1</v>
      </c>
    </row>
    <row r="2197" spans="1:17" x14ac:dyDescent="0.25">
      <c r="A2197">
        <v>4</v>
      </c>
      <c r="B2197" t="s">
        <v>13329</v>
      </c>
      <c r="C2197" t="s">
        <v>625</v>
      </c>
      <c r="D2197" t="s">
        <v>12585</v>
      </c>
      <c r="G2197">
        <v>12459</v>
      </c>
      <c r="H2197" t="s">
        <v>13330</v>
      </c>
      <c r="I2197" t="s">
        <v>13331</v>
      </c>
      <c r="J2197">
        <v>12459</v>
      </c>
      <c r="K2197" t="s">
        <v>13332</v>
      </c>
      <c r="L2197">
        <v>4</v>
      </c>
      <c r="N2197" t="s">
        <v>4713</v>
      </c>
      <c r="O2197">
        <v>12459</v>
      </c>
      <c r="P2197" t="s">
        <v>12585</v>
      </c>
      <c r="Q2197">
        <v>1</v>
      </c>
    </row>
    <row r="2198" spans="1:17" x14ac:dyDescent="0.25">
      <c r="A2198">
        <v>4</v>
      </c>
      <c r="B2198" t="s">
        <v>13333</v>
      </c>
      <c r="C2198" t="s">
        <v>625</v>
      </c>
      <c r="D2198" t="s">
        <v>12585</v>
      </c>
      <c r="G2198" t="s">
        <v>13334</v>
      </c>
      <c r="H2198" t="s">
        <v>13335</v>
      </c>
      <c r="I2198" t="s">
        <v>13336</v>
      </c>
      <c r="J2198" t="s">
        <v>13334</v>
      </c>
      <c r="K2198" t="s">
        <v>13337</v>
      </c>
      <c r="L2198">
        <v>1</v>
      </c>
      <c r="N2198" t="s">
        <v>4734</v>
      </c>
      <c r="O2198" t="s">
        <v>13334</v>
      </c>
      <c r="P2198" t="s">
        <v>12585</v>
      </c>
      <c r="Q2198">
        <v>1</v>
      </c>
    </row>
    <row r="2199" spans="1:17" x14ac:dyDescent="0.25">
      <c r="A2199">
        <v>4</v>
      </c>
      <c r="B2199" t="s">
        <v>13338</v>
      </c>
      <c r="C2199" t="s">
        <v>625</v>
      </c>
      <c r="D2199" t="s">
        <v>12585</v>
      </c>
      <c r="G2199" t="s">
        <v>13339</v>
      </c>
      <c r="H2199" t="s">
        <v>13340</v>
      </c>
      <c r="I2199" t="s">
        <v>13340</v>
      </c>
      <c r="J2199" t="s">
        <v>13339</v>
      </c>
      <c r="K2199" t="s">
        <v>13341</v>
      </c>
      <c r="L2199">
        <v>2</v>
      </c>
      <c r="N2199" t="s">
        <v>4713</v>
      </c>
      <c r="O2199" t="s">
        <v>13339</v>
      </c>
      <c r="P2199" t="s">
        <v>12585</v>
      </c>
      <c r="Q2199">
        <v>1</v>
      </c>
    </row>
    <row r="2200" spans="1:17" x14ac:dyDescent="0.25">
      <c r="A2200">
        <v>4</v>
      </c>
      <c r="B2200" t="s">
        <v>13342</v>
      </c>
      <c r="C2200" t="s">
        <v>625</v>
      </c>
      <c r="D2200" t="s">
        <v>12585</v>
      </c>
      <c r="G2200" t="s">
        <v>13343</v>
      </c>
      <c r="H2200" t="s">
        <v>13344</v>
      </c>
      <c r="I2200" t="s">
        <v>13345</v>
      </c>
      <c r="J2200" t="s">
        <v>13343</v>
      </c>
      <c r="K2200" t="s">
        <v>13346</v>
      </c>
      <c r="L2200">
        <v>9</v>
      </c>
      <c r="N2200" t="s">
        <v>4713</v>
      </c>
      <c r="O2200" t="s">
        <v>13343</v>
      </c>
      <c r="P2200" t="s">
        <v>12585</v>
      </c>
      <c r="Q2200">
        <v>1</v>
      </c>
    </row>
    <row r="2201" spans="1:17" x14ac:dyDescent="0.25">
      <c r="A2201">
        <v>4</v>
      </c>
      <c r="B2201" t="s">
        <v>13347</v>
      </c>
      <c r="C2201" t="s">
        <v>625</v>
      </c>
      <c r="D2201" t="s">
        <v>12585</v>
      </c>
      <c r="G2201" t="s">
        <v>13348</v>
      </c>
      <c r="H2201" t="s">
        <v>13349</v>
      </c>
      <c r="I2201" t="s">
        <v>13350</v>
      </c>
      <c r="J2201" t="s">
        <v>13348</v>
      </c>
      <c r="K2201" t="s">
        <v>13351</v>
      </c>
      <c r="L2201">
        <v>94</v>
      </c>
      <c r="O2201" t="s">
        <v>13348</v>
      </c>
      <c r="P2201" t="s">
        <v>12585</v>
      </c>
      <c r="Q2201">
        <v>1</v>
      </c>
    </row>
    <row r="2202" spans="1:17" x14ac:dyDescent="0.25">
      <c r="A2202">
        <v>2</v>
      </c>
      <c r="B2202" t="s">
        <v>13352</v>
      </c>
      <c r="C2202" t="s">
        <v>625</v>
      </c>
      <c r="D2202" t="s">
        <v>12585</v>
      </c>
      <c r="E2202" t="s">
        <v>595</v>
      </c>
      <c r="H2202" t="s">
        <v>13353</v>
      </c>
      <c r="I2202" t="s">
        <v>945</v>
      </c>
      <c r="J2202" t="s">
        <v>595</v>
      </c>
      <c r="O2202" t="s">
        <v>595</v>
      </c>
      <c r="P2202" t="s">
        <v>12585</v>
      </c>
      <c r="Q2202">
        <v>2</v>
      </c>
    </row>
    <row r="2203" spans="1:17" x14ac:dyDescent="0.25">
      <c r="A2203">
        <v>4</v>
      </c>
      <c r="B2203" t="s">
        <v>13354</v>
      </c>
      <c r="C2203" t="s">
        <v>625</v>
      </c>
      <c r="D2203" t="s">
        <v>12585</v>
      </c>
      <c r="G2203">
        <v>12138</v>
      </c>
      <c r="H2203" t="s">
        <v>13355</v>
      </c>
      <c r="I2203" t="s">
        <v>13356</v>
      </c>
      <c r="J2203">
        <v>12138</v>
      </c>
      <c r="K2203" t="s">
        <v>13357</v>
      </c>
      <c r="L2203">
        <v>3</v>
      </c>
      <c r="N2203" t="s">
        <v>4713</v>
      </c>
      <c r="O2203">
        <v>12138</v>
      </c>
      <c r="P2203" t="s">
        <v>12585</v>
      </c>
      <c r="Q2203">
        <v>1</v>
      </c>
    </row>
    <row r="2204" spans="1:17" x14ac:dyDescent="0.25">
      <c r="A2204">
        <v>4</v>
      </c>
      <c r="B2204" t="s">
        <v>13358</v>
      </c>
      <c r="C2204" t="s">
        <v>625</v>
      </c>
      <c r="D2204" t="s">
        <v>12585</v>
      </c>
      <c r="G2204">
        <v>12143</v>
      </c>
      <c r="H2204" t="s">
        <v>13359</v>
      </c>
      <c r="I2204" t="s">
        <v>13360</v>
      </c>
      <c r="J2204">
        <v>12143</v>
      </c>
      <c r="K2204" t="s">
        <v>13361</v>
      </c>
      <c r="L2204">
        <v>76</v>
      </c>
      <c r="O2204">
        <v>12143</v>
      </c>
      <c r="P2204" t="s">
        <v>12585</v>
      </c>
      <c r="Q2204">
        <v>1</v>
      </c>
    </row>
    <row r="2205" spans="1:17" x14ac:dyDescent="0.25">
      <c r="A2205">
        <v>4</v>
      </c>
      <c r="B2205" t="s">
        <v>13362</v>
      </c>
      <c r="C2205" t="s">
        <v>625</v>
      </c>
      <c r="D2205" t="s">
        <v>12585</v>
      </c>
      <c r="G2205">
        <v>12148</v>
      </c>
      <c r="H2205" t="s">
        <v>13363</v>
      </c>
      <c r="I2205" t="s">
        <v>13364</v>
      </c>
      <c r="J2205">
        <v>12148</v>
      </c>
      <c r="K2205" t="s">
        <v>13365</v>
      </c>
      <c r="L2205">
        <v>60</v>
      </c>
      <c r="O2205">
        <v>12148</v>
      </c>
      <c r="P2205" t="s">
        <v>12585</v>
      </c>
      <c r="Q2205">
        <v>1</v>
      </c>
    </row>
    <row r="2206" spans="1:17" x14ac:dyDescent="0.25">
      <c r="A2206">
        <v>4</v>
      </c>
      <c r="B2206" t="s">
        <v>13366</v>
      </c>
      <c r="C2206" t="s">
        <v>625</v>
      </c>
      <c r="D2206" t="s">
        <v>12585</v>
      </c>
      <c r="G2206">
        <v>12221</v>
      </c>
      <c r="H2206" t="s">
        <v>13367</v>
      </c>
      <c r="I2206" t="s">
        <v>13368</v>
      </c>
      <c r="J2206">
        <v>12221</v>
      </c>
      <c r="K2206" t="s">
        <v>13369</v>
      </c>
      <c r="L2206">
        <v>99</v>
      </c>
      <c r="O2206">
        <v>12221</v>
      </c>
      <c r="P2206" t="s">
        <v>12585</v>
      </c>
      <c r="Q2206">
        <v>1</v>
      </c>
    </row>
    <row r="2207" spans="1:17" x14ac:dyDescent="0.25">
      <c r="A2207">
        <v>4</v>
      </c>
      <c r="B2207" t="s">
        <v>13370</v>
      </c>
      <c r="C2207" t="s">
        <v>625</v>
      </c>
      <c r="D2207" t="s">
        <v>12585</v>
      </c>
      <c r="G2207">
        <v>12251</v>
      </c>
      <c r="H2207" t="s">
        <v>13371</v>
      </c>
      <c r="I2207" t="s">
        <v>13372</v>
      </c>
      <c r="J2207">
        <v>12251</v>
      </c>
      <c r="K2207" t="s">
        <v>13373</v>
      </c>
      <c r="L2207">
        <v>30</v>
      </c>
      <c r="O2207">
        <v>12251</v>
      </c>
      <c r="P2207" t="s">
        <v>12585</v>
      </c>
      <c r="Q2207">
        <v>1</v>
      </c>
    </row>
    <row r="2208" spans="1:17" x14ac:dyDescent="0.25">
      <c r="A2208">
        <v>4</v>
      </c>
      <c r="B2208" t="s">
        <v>13374</v>
      </c>
      <c r="C2208" t="s">
        <v>625</v>
      </c>
      <c r="D2208" t="s">
        <v>12585</v>
      </c>
      <c r="G2208">
        <v>12277</v>
      </c>
      <c r="H2208" t="s">
        <v>13375</v>
      </c>
      <c r="I2208" t="s">
        <v>7659</v>
      </c>
      <c r="J2208">
        <v>12277</v>
      </c>
      <c r="K2208" t="s">
        <v>13376</v>
      </c>
      <c r="L2208">
        <v>19</v>
      </c>
      <c r="O2208">
        <v>12277</v>
      </c>
      <c r="P2208" t="s">
        <v>12585</v>
      </c>
      <c r="Q2208">
        <v>1</v>
      </c>
    </row>
    <row r="2209" spans="1:17" x14ac:dyDescent="0.25">
      <c r="A2209">
        <v>4</v>
      </c>
      <c r="B2209" t="s">
        <v>13377</v>
      </c>
      <c r="C2209" t="s">
        <v>625</v>
      </c>
      <c r="D2209" t="s">
        <v>12585</v>
      </c>
      <c r="G2209">
        <v>558885</v>
      </c>
      <c r="H2209" t="s">
        <v>13378</v>
      </c>
      <c r="I2209" t="s">
        <v>13378</v>
      </c>
      <c r="J2209">
        <v>558885</v>
      </c>
      <c r="K2209" t="s">
        <v>13379</v>
      </c>
      <c r="L2209">
        <v>50</v>
      </c>
      <c r="O2209">
        <v>558885</v>
      </c>
      <c r="P2209" t="s">
        <v>12585</v>
      </c>
      <c r="Q2209">
        <v>1</v>
      </c>
    </row>
    <row r="2210" spans="1:17" x14ac:dyDescent="0.25">
      <c r="A2210">
        <v>4</v>
      </c>
      <c r="B2210" t="s">
        <v>13380</v>
      </c>
      <c r="C2210" t="s">
        <v>625</v>
      </c>
      <c r="D2210" t="s">
        <v>12585</v>
      </c>
      <c r="G2210" t="s">
        <v>13381</v>
      </c>
      <c r="H2210" t="s">
        <v>13382</v>
      </c>
      <c r="I2210" t="s">
        <v>13382</v>
      </c>
      <c r="J2210" t="s">
        <v>13381</v>
      </c>
      <c r="K2210" t="s">
        <v>13383</v>
      </c>
      <c r="L2210">
        <v>14</v>
      </c>
      <c r="O2210" t="s">
        <v>13381</v>
      </c>
      <c r="P2210" t="s">
        <v>12585</v>
      </c>
      <c r="Q2210">
        <v>1</v>
      </c>
    </row>
    <row r="2211" spans="1:17" x14ac:dyDescent="0.25">
      <c r="A2211">
        <v>4</v>
      </c>
      <c r="B2211" t="s">
        <v>13384</v>
      </c>
      <c r="C2211" t="s">
        <v>625</v>
      </c>
      <c r="D2211" t="s">
        <v>12585</v>
      </c>
      <c r="G2211" t="s">
        <v>13385</v>
      </c>
      <c r="H2211" t="s">
        <v>13386</v>
      </c>
      <c r="I2211" t="s">
        <v>13387</v>
      </c>
      <c r="J2211" t="s">
        <v>13385</v>
      </c>
      <c r="K2211" t="s">
        <v>13388</v>
      </c>
      <c r="L2211">
        <v>7</v>
      </c>
      <c r="N2211" t="s">
        <v>4713</v>
      </c>
      <c r="O2211" t="s">
        <v>13385</v>
      </c>
      <c r="P2211" t="s">
        <v>12585</v>
      </c>
      <c r="Q2211">
        <v>1</v>
      </c>
    </row>
    <row r="2212" spans="1:17" x14ac:dyDescent="0.25">
      <c r="A2212">
        <v>4</v>
      </c>
      <c r="B2212" t="s">
        <v>13389</v>
      </c>
      <c r="C2212" t="s">
        <v>625</v>
      </c>
      <c r="D2212" t="s">
        <v>12585</v>
      </c>
      <c r="G2212" t="s">
        <v>13390</v>
      </c>
      <c r="H2212" t="s">
        <v>13391</v>
      </c>
      <c r="I2212" t="s">
        <v>13392</v>
      </c>
      <c r="J2212" t="s">
        <v>13390</v>
      </c>
      <c r="K2212" t="s">
        <v>13393</v>
      </c>
      <c r="L2212">
        <v>64</v>
      </c>
      <c r="O2212" t="s">
        <v>13390</v>
      </c>
      <c r="P2212" t="s">
        <v>12585</v>
      </c>
      <c r="Q2212">
        <v>1</v>
      </c>
    </row>
    <row r="2213" spans="1:17" x14ac:dyDescent="0.25">
      <c r="A2213">
        <v>4</v>
      </c>
      <c r="B2213" t="s">
        <v>13394</v>
      </c>
      <c r="C2213" t="s">
        <v>625</v>
      </c>
      <c r="D2213" t="s">
        <v>12585</v>
      </c>
      <c r="G2213" t="s">
        <v>13395</v>
      </c>
      <c r="H2213" t="s">
        <v>13396</v>
      </c>
      <c r="I2213" t="s">
        <v>13396</v>
      </c>
      <c r="J2213" t="s">
        <v>13395</v>
      </c>
      <c r="K2213" t="s">
        <v>13397</v>
      </c>
      <c r="L2213">
        <v>16</v>
      </c>
      <c r="O2213" t="s">
        <v>13395</v>
      </c>
      <c r="P2213" t="s">
        <v>12585</v>
      </c>
      <c r="Q2213">
        <v>1</v>
      </c>
    </row>
    <row r="2214" spans="1:17" x14ac:dyDescent="0.25">
      <c r="A2214">
        <v>4</v>
      </c>
      <c r="B2214" t="s">
        <v>13398</v>
      </c>
      <c r="C2214" t="s">
        <v>625</v>
      </c>
      <c r="D2214" t="s">
        <v>12585</v>
      </c>
      <c r="G2214" t="s">
        <v>13399</v>
      </c>
      <c r="H2214" t="s">
        <v>13400</v>
      </c>
      <c r="I2214" t="s">
        <v>13401</v>
      </c>
      <c r="J2214" t="s">
        <v>13399</v>
      </c>
      <c r="K2214" t="s">
        <v>13402</v>
      </c>
      <c r="L2214">
        <v>45</v>
      </c>
      <c r="O2214" t="s">
        <v>13399</v>
      </c>
      <c r="P2214" t="s">
        <v>12585</v>
      </c>
      <c r="Q2214">
        <v>1</v>
      </c>
    </row>
    <row r="2215" spans="1:17" x14ac:dyDescent="0.25">
      <c r="A2215">
        <v>4</v>
      </c>
      <c r="B2215" t="s">
        <v>13403</v>
      </c>
      <c r="C2215" t="s">
        <v>625</v>
      </c>
      <c r="D2215" t="s">
        <v>12585</v>
      </c>
      <c r="G2215" t="s">
        <v>13404</v>
      </c>
      <c r="H2215" t="s">
        <v>5234</v>
      </c>
      <c r="I2215" t="s">
        <v>5234</v>
      </c>
      <c r="J2215" t="s">
        <v>13404</v>
      </c>
      <c r="K2215" t="s">
        <v>13405</v>
      </c>
      <c r="L2215">
        <v>367</v>
      </c>
      <c r="O2215" t="s">
        <v>13404</v>
      </c>
      <c r="P2215" t="s">
        <v>12585</v>
      </c>
      <c r="Q2215">
        <v>1</v>
      </c>
    </row>
    <row r="2216" spans="1:17" x14ac:dyDescent="0.25">
      <c r="A2216">
        <v>4</v>
      </c>
      <c r="B2216" t="s">
        <v>13406</v>
      </c>
      <c r="C2216" t="s">
        <v>625</v>
      </c>
      <c r="D2216" t="s">
        <v>12585</v>
      </c>
      <c r="G2216" t="s">
        <v>13407</v>
      </c>
      <c r="H2216" t="s">
        <v>8938</v>
      </c>
      <c r="I2216" t="s">
        <v>13408</v>
      </c>
      <c r="J2216" t="s">
        <v>13407</v>
      </c>
      <c r="K2216" t="s">
        <v>13409</v>
      </c>
      <c r="L2216">
        <v>173</v>
      </c>
      <c r="O2216" t="s">
        <v>13407</v>
      </c>
      <c r="P2216" t="s">
        <v>12585</v>
      </c>
      <c r="Q2216">
        <v>1</v>
      </c>
    </row>
    <row r="2217" spans="1:17" x14ac:dyDescent="0.25">
      <c r="A2217">
        <v>4</v>
      </c>
      <c r="B2217" t="s">
        <v>13410</v>
      </c>
      <c r="C2217" t="s">
        <v>625</v>
      </c>
      <c r="D2217" t="s">
        <v>12585</v>
      </c>
      <c r="G2217" t="s">
        <v>13411</v>
      </c>
      <c r="H2217" t="s">
        <v>13412</v>
      </c>
      <c r="I2217" t="s">
        <v>13413</v>
      </c>
      <c r="J2217" t="s">
        <v>13411</v>
      </c>
      <c r="K2217" t="s">
        <v>13414</v>
      </c>
      <c r="L2217">
        <v>137</v>
      </c>
      <c r="O2217" t="s">
        <v>13411</v>
      </c>
      <c r="P2217" t="s">
        <v>12585</v>
      </c>
      <c r="Q2217">
        <v>1</v>
      </c>
    </row>
    <row r="2218" spans="1:17" x14ac:dyDescent="0.25">
      <c r="A2218">
        <v>4</v>
      </c>
      <c r="B2218" t="s">
        <v>13415</v>
      </c>
      <c r="C2218" t="s">
        <v>625</v>
      </c>
      <c r="D2218" t="s">
        <v>12585</v>
      </c>
      <c r="G2218" t="s">
        <v>13416</v>
      </c>
      <c r="H2218" t="s">
        <v>13417</v>
      </c>
      <c r="I2218" t="s">
        <v>13417</v>
      </c>
      <c r="J2218" t="s">
        <v>13416</v>
      </c>
      <c r="K2218" t="s">
        <v>13418</v>
      </c>
      <c r="L2218">
        <v>277</v>
      </c>
      <c r="O2218" t="s">
        <v>13416</v>
      </c>
      <c r="P2218" t="s">
        <v>12585</v>
      </c>
      <c r="Q2218">
        <v>1</v>
      </c>
    </row>
    <row r="2219" spans="1:17" x14ac:dyDescent="0.25">
      <c r="A2219">
        <v>4</v>
      </c>
      <c r="B2219" t="s">
        <v>13419</v>
      </c>
      <c r="C2219" t="s">
        <v>625</v>
      </c>
      <c r="D2219" t="s">
        <v>12585</v>
      </c>
      <c r="G2219" t="s">
        <v>13420</v>
      </c>
      <c r="H2219" t="s">
        <v>13421</v>
      </c>
      <c r="I2219" t="s">
        <v>13421</v>
      </c>
      <c r="J2219" t="s">
        <v>13420</v>
      </c>
      <c r="K2219" t="s">
        <v>13422</v>
      </c>
      <c r="L2219">
        <v>311</v>
      </c>
      <c r="O2219" t="s">
        <v>13420</v>
      </c>
      <c r="P2219" t="s">
        <v>12585</v>
      </c>
      <c r="Q2219">
        <v>1</v>
      </c>
    </row>
    <row r="2220" spans="1:17" x14ac:dyDescent="0.25">
      <c r="A2220">
        <v>2</v>
      </c>
      <c r="B2220" t="s">
        <v>13423</v>
      </c>
      <c r="C2220" t="s">
        <v>625</v>
      </c>
      <c r="D2220" t="s">
        <v>12585</v>
      </c>
      <c r="E2220" t="s">
        <v>617</v>
      </c>
      <c r="H2220" t="s">
        <v>13424</v>
      </c>
      <c r="I2220" t="s">
        <v>949</v>
      </c>
      <c r="J2220" t="s">
        <v>617</v>
      </c>
      <c r="O2220" t="s">
        <v>617</v>
      </c>
      <c r="P2220" t="s">
        <v>12585</v>
      </c>
      <c r="Q2220">
        <v>1</v>
      </c>
    </row>
    <row r="2221" spans="1:17" x14ac:dyDescent="0.25">
      <c r="A2221">
        <v>4</v>
      </c>
      <c r="B2221" t="s">
        <v>13425</v>
      </c>
      <c r="C2221" t="s">
        <v>625</v>
      </c>
      <c r="D2221" t="s">
        <v>12585</v>
      </c>
      <c r="G2221">
        <v>11893</v>
      </c>
      <c r="H2221" t="s">
        <v>13426</v>
      </c>
      <c r="I2221" t="s">
        <v>13427</v>
      </c>
      <c r="J2221">
        <v>11893</v>
      </c>
      <c r="K2221" t="s">
        <v>13428</v>
      </c>
      <c r="L2221">
        <v>11</v>
      </c>
      <c r="O2221">
        <v>11893</v>
      </c>
      <c r="P2221" t="s">
        <v>12585</v>
      </c>
      <c r="Q2221">
        <v>1</v>
      </c>
    </row>
    <row r="2222" spans="1:17" x14ac:dyDescent="0.25">
      <c r="A2222">
        <v>4</v>
      </c>
      <c r="B2222" t="s">
        <v>13429</v>
      </c>
      <c r="C2222" t="s">
        <v>625</v>
      </c>
      <c r="D2222" t="s">
        <v>12585</v>
      </c>
      <c r="G2222">
        <v>12156</v>
      </c>
      <c r="H2222" t="s">
        <v>13430</v>
      </c>
      <c r="I2222" t="s">
        <v>13431</v>
      </c>
      <c r="J2222">
        <v>12156</v>
      </c>
      <c r="K2222" t="s">
        <v>13432</v>
      </c>
      <c r="L2222">
        <v>34</v>
      </c>
      <c r="O2222">
        <v>12156</v>
      </c>
      <c r="P2222" t="s">
        <v>12585</v>
      </c>
      <c r="Q2222">
        <v>1</v>
      </c>
    </row>
    <row r="2223" spans="1:17" x14ac:dyDescent="0.25">
      <c r="A2223">
        <v>4</v>
      </c>
      <c r="B2223" t="s">
        <v>13433</v>
      </c>
      <c r="C2223" t="s">
        <v>625</v>
      </c>
      <c r="D2223" t="s">
        <v>12585</v>
      </c>
      <c r="G2223">
        <v>12171</v>
      </c>
      <c r="H2223" t="s">
        <v>13434</v>
      </c>
      <c r="I2223" t="s">
        <v>13435</v>
      </c>
      <c r="J2223">
        <v>12171</v>
      </c>
      <c r="K2223" t="s">
        <v>13436</v>
      </c>
      <c r="L2223">
        <v>47</v>
      </c>
      <c r="O2223">
        <v>12171</v>
      </c>
      <c r="P2223" t="s">
        <v>12585</v>
      </c>
      <c r="Q2223">
        <v>1</v>
      </c>
    </row>
    <row r="2224" spans="1:17" x14ac:dyDescent="0.25">
      <c r="A2224">
        <v>4</v>
      </c>
      <c r="B2224" t="s">
        <v>13437</v>
      </c>
      <c r="C2224" t="s">
        <v>625</v>
      </c>
      <c r="D2224" t="s">
        <v>12585</v>
      </c>
      <c r="G2224">
        <v>12254</v>
      </c>
      <c r="H2224" t="s">
        <v>13438</v>
      </c>
      <c r="I2224" t="s">
        <v>13439</v>
      </c>
      <c r="J2224">
        <v>12254</v>
      </c>
      <c r="K2224" t="s">
        <v>13440</v>
      </c>
      <c r="L2224">
        <v>61</v>
      </c>
      <c r="O2224">
        <v>12254</v>
      </c>
      <c r="P2224" t="s">
        <v>12585</v>
      </c>
      <c r="Q2224">
        <v>1</v>
      </c>
    </row>
    <row r="2225" spans="1:17" x14ac:dyDescent="0.25">
      <c r="A2225">
        <v>4</v>
      </c>
      <c r="B2225" t="s">
        <v>13441</v>
      </c>
      <c r="C2225" t="s">
        <v>625</v>
      </c>
      <c r="D2225" t="s">
        <v>12585</v>
      </c>
      <c r="G2225">
        <v>12308</v>
      </c>
      <c r="H2225" t="s">
        <v>13442</v>
      </c>
      <c r="I2225" t="s">
        <v>13368</v>
      </c>
      <c r="J2225">
        <v>12308</v>
      </c>
      <c r="K2225" t="s">
        <v>13443</v>
      </c>
      <c r="L2225">
        <v>9</v>
      </c>
      <c r="N2225" t="s">
        <v>4713</v>
      </c>
      <c r="O2225">
        <v>12308</v>
      </c>
      <c r="P2225" t="s">
        <v>12585</v>
      </c>
      <c r="Q2225">
        <v>1</v>
      </c>
    </row>
    <row r="2226" spans="1:17" x14ac:dyDescent="0.25">
      <c r="A2226">
        <v>4</v>
      </c>
      <c r="B2226" t="s">
        <v>13444</v>
      </c>
      <c r="C2226" t="s">
        <v>625</v>
      </c>
      <c r="D2226" t="s">
        <v>12585</v>
      </c>
      <c r="G2226">
        <v>12312</v>
      </c>
      <c r="H2226" t="s">
        <v>13445</v>
      </c>
      <c r="I2226" t="s">
        <v>13446</v>
      </c>
      <c r="J2226">
        <v>12312</v>
      </c>
      <c r="K2226" t="s">
        <v>13447</v>
      </c>
      <c r="L2226">
        <v>71</v>
      </c>
      <c r="O2226">
        <v>12312</v>
      </c>
      <c r="P2226" t="s">
        <v>12585</v>
      </c>
      <c r="Q2226">
        <v>1</v>
      </c>
    </row>
    <row r="2227" spans="1:17" x14ac:dyDescent="0.25">
      <c r="A2227">
        <v>4</v>
      </c>
      <c r="B2227" t="s">
        <v>13448</v>
      </c>
      <c r="C2227" t="s">
        <v>625</v>
      </c>
      <c r="D2227" t="s">
        <v>12585</v>
      </c>
      <c r="G2227">
        <v>162182</v>
      </c>
      <c r="H2227" t="s">
        <v>13449</v>
      </c>
      <c r="I2227" t="s">
        <v>13450</v>
      </c>
      <c r="J2227">
        <v>162182</v>
      </c>
      <c r="K2227" t="s">
        <v>13451</v>
      </c>
      <c r="L2227">
        <v>93</v>
      </c>
      <c r="O2227">
        <v>162182</v>
      </c>
      <c r="P2227" t="s">
        <v>12585</v>
      </c>
      <c r="Q2227">
        <v>1</v>
      </c>
    </row>
    <row r="2228" spans="1:17" x14ac:dyDescent="0.25">
      <c r="A2228">
        <v>4</v>
      </c>
      <c r="B2228" t="s">
        <v>13452</v>
      </c>
      <c r="C2228" t="s">
        <v>625</v>
      </c>
      <c r="D2228" t="s">
        <v>12585</v>
      </c>
      <c r="G2228">
        <v>163174</v>
      </c>
      <c r="H2228" t="s">
        <v>13453</v>
      </c>
      <c r="I2228" t="s">
        <v>13454</v>
      </c>
      <c r="J2228">
        <v>163174</v>
      </c>
      <c r="K2228" t="s">
        <v>13455</v>
      </c>
      <c r="L2228">
        <v>646</v>
      </c>
      <c r="O2228">
        <v>163174</v>
      </c>
      <c r="P2228" t="s">
        <v>12585</v>
      </c>
      <c r="Q2228">
        <v>1</v>
      </c>
    </row>
    <row r="2229" spans="1:17" x14ac:dyDescent="0.25">
      <c r="A2229">
        <v>4</v>
      </c>
      <c r="B2229" t="s">
        <v>13456</v>
      </c>
      <c r="C2229" t="s">
        <v>625</v>
      </c>
      <c r="D2229" t="s">
        <v>12585</v>
      </c>
      <c r="G2229" t="s">
        <v>13457</v>
      </c>
      <c r="H2229" t="s">
        <v>13458</v>
      </c>
      <c r="I2229" t="s">
        <v>13459</v>
      </c>
      <c r="J2229" t="s">
        <v>13457</v>
      </c>
      <c r="K2229" t="s">
        <v>13460</v>
      </c>
      <c r="L2229">
        <v>40</v>
      </c>
      <c r="O2229" t="s">
        <v>13457</v>
      </c>
      <c r="P2229" t="s">
        <v>12585</v>
      </c>
      <c r="Q2229">
        <v>1</v>
      </c>
    </row>
    <row r="2230" spans="1:17" x14ac:dyDescent="0.25">
      <c r="A2230">
        <v>4</v>
      </c>
      <c r="B2230" t="s">
        <v>13461</v>
      </c>
      <c r="C2230" t="s">
        <v>625</v>
      </c>
      <c r="D2230" t="s">
        <v>12585</v>
      </c>
      <c r="G2230" t="s">
        <v>13462</v>
      </c>
      <c r="H2230" t="s">
        <v>13463</v>
      </c>
      <c r="I2230" t="s">
        <v>13464</v>
      </c>
      <c r="J2230" t="s">
        <v>13462</v>
      </c>
      <c r="K2230" t="s">
        <v>13465</v>
      </c>
      <c r="L2230">
        <v>6</v>
      </c>
      <c r="N2230" t="s">
        <v>4713</v>
      </c>
      <c r="O2230" t="s">
        <v>13462</v>
      </c>
      <c r="P2230" t="s">
        <v>12585</v>
      </c>
      <c r="Q2230">
        <v>1</v>
      </c>
    </row>
    <row r="2231" spans="1:17" x14ac:dyDescent="0.25">
      <c r="A2231">
        <v>2</v>
      </c>
      <c r="B2231" t="s">
        <v>13466</v>
      </c>
      <c r="C2231" t="s">
        <v>625</v>
      </c>
      <c r="D2231" t="s">
        <v>12585</v>
      </c>
      <c r="E2231">
        <v>12323</v>
      </c>
      <c r="H2231" t="s">
        <v>13467</v>
      </c>
      <c r="I2231" t="s">
        <v>13468</v>
      </c>
      <c r="J2231">
        <v>12323</v>
      </c>
      <c r="K2231" t="s">
        <v>13469</v>
      </c>
      <c r="L2231">
        <v>163</v>
      </c>
      <c r="O2231">
        <v>12323</v>
      </c>
      <c r="P2231" t="s">
        <v>12585</v>
      </c>
      <c r="Q2231">
        <v>1</v>
      </c>
    </row>
    <row r="2232" spans="1:17" x14ac:dyDescent="0.25">
      <c r="A2232">
        <v>2</v>
      </c>
      <c r="B2232" t="s">
        <v>13470</v>
      </c>
      <c r="C2232" t="s">
        <v>625</v>
      </c>
      <c r="D2232" t="s">
        <v>12585</v>
      </c>
      <c r="E2232" t="s">
        <v>593</v>
      </c>
      <c r="H2232" t="s">
        <v>13471</v>
      </c>
      <c r="I2232" t="s">
        <v>1023</v>
      </c>
      <c r="J2232" t="s">
        <v>593</v>
      </c>
      <c r="O2232" t="s">
        <v>593</v>
      </c>
      <c r="P2232" t="s">
        <v>12585</v>
      </c>
      <c r="Q2232">
        <v>1</v>
      </c>
    </row>
    <row r="2233" spans="1:17" x14ac:dyDescent="0.25">
      <c r="A2233">
        <v>4</v>
      </c>
      <c r="B2233" t="s">
        <v>13472</v>
      </c>
      <c r="C2233" t="s">
        <v>625</v>
      </c>
      <c r="D2233" t="s">
        <v>12585</v>
      </c>
      <c r="G2233">
        <v>12269</v>
      </c>
      <c r="H2233" t="s">
        <v>13473</v>
      </c>
      <c r="I2233" t="s">
        <v>13474</v>
      </c>
      <c r="J2233">
        <v>12269</v>
      </c>
      <c r="K2233" t="s">
        <v>13475</v>
      </c>
      <c r="L2233">
        <v>2</v>
      </c>
      <c r="N2233" t="s">
        <v>4713</v>
      </c>
      <c r="O2233">
        <v>12269</v>
      </c>
      <c r="P2233" t="s">
        <v>12585</v>
      </c>
      <c r="Q2233">
        <v>1</v>
      </c>
    </row>
    <row r="2234" spans="1:17" x14ac:dyDescent="0.25">
      <c r="A2234">
        <v>4</v>
      </c>
      <c r="B2234" t="s">
        <v>13476</v>
      </c>
      <c r="C2234" t="s">
        <v>625</v>
      </c>
      <c r="D2234" t="s">
        <v>12585</v>
      </c>
      <c r="G2234">
        <v>12506</v>
      </c>
      <c r="H2234" t="s">
        <v>13477</v>
      </c>
      <c r="I2234" t="s">
        <v>13478</v>
      </c>
      <c r="J2234">
        <v>12506</v>
      </c>
      <c r="K2234" t="s">
        <v>13479</v>
      </c>
      <c r="L2234">
        <v>90</v>
      </c>
      <c r="O2234">
        <v>12506</v>
      </c>
      <c r="P2234" t="s">
        <v>12585</v>
      </c>
      <c r="Q2234">
        <v>1</v>
      </c>
    </row>
    <row r="2235" spans="1:17" x14ac:dyDescent="0.25">
      <c r="A2235">
        <v>4</v>
      </c>
      <c r="B2235" t="s">
        <v>13480</v>
      </c>
      <c r="C2235" t="s">
        <v>625</v>
      </c>
      <c r="D2235" t="s">
        <v>12585</v>
      </c>
      <c r="G2235">
        <v>12508</v>
      </c>
      <c r="H2235" t="s">
        <v>13481</v>
      </c>
      <c r="I2235" t="s">
        <v>13482</v>
      </c>
      <c r="J2235">
        <v>12508</v>
      </c>
      <c r="K2235" t="s">
        <v>13483</v>
      </c>
      <c r="L2235">
        <v>36</v>
      </c>
      <c r="O2235">
        <v>12508</v>
      </c>
      <c r="P2235" t="s">
        <v>12585</v>
      </c>
      <c r="Q2235">
        <v>1</v>
      </c>
    </row>
    <row r="2236" spans="1:17" x14ac:dyDescent="0.25">
      <c r="A2236">
        <v>4</v>
      </c>
      <c r="B2236" t="s">
        <v>13484</v>
      </c>
      <c r="C2236" t="s">
        <v>625</v>
      </c>
      <c r="D2236" t="s">
        <v>12585</v>
      </c>
      <c r="G2236">
        <v>191924</v>
      </c>
      <c r="H2236" t="s">
        <v>13485</v>
      </c>
      <c r="I2236" t="s">
        <v>13486</v>
      </c>
      <c r="J2236">
        <v>191924</v>
      </c>
      <c r="K2236" t="s">
        <v>13487</v>
      </c>
      <c r="L2236">
        <v>278</v>
      </c>
      <c r="O2236">
        <v>191924</v>
      </c>
      <c r="P2236" t="s">
        <v>12585</v>
      </c>
      <c r="Q2236">
        <v>1</v>
      </c>
    </row>
    <row r="2237" spans="1:17" x14ac:dyDescent="0.25">
      <c r="A2237">
        <v>4</v>
      </c>
      <c r="B2237" t="s">
        <v>13488</v>
      </c>
      <c r="C2237" t="s">
        <v>625</v>
      </c>
      <c r="D2237" t="s">
        <v>12585</v>
      </c>
      <c r="G2237" t="s">
        <v>13489</v>
      </c>
      <c r="H2237" t="s">
        <v>13490</v>
      </c>
      <c r="I2237" t="s">
        <v>13491</v>
      </c>
      <c r="J2237" t="s">
        <v>13489</v>
      </c>
      <c r="K2237" t="s">
        <v>13492</v>
      </c>
      <c r="L2237">
        <v>4</v>
      </c>
      <c r="N2237" t="s">
        <v>4713</v>
      </c>
      <c r="O2237" t="s">
        <v>13489</v>
      </c>
      <c r="P2237" t="s">
        <v>12585</v>
      </c>
      <c r="Q2237">
        <v>1</v>
      </c>
    </row>
    <row r="2238" spans="1:17" x14ac:dyDescent="0.25">
      <c r="A2238">
        <v>4</v>
      </c>
      <c r="B2238" t="s">
        <v>13493</v>
      </c>
      <c r="C2238" t="s">
        <v>625</v>
      </c>
      <c r="D2238" t="s">
        <v>12585</v>
      </c>
      <c r="G2238" t="s">
        <v>13494</v>
      </c>
      <c r="H2238" t="s">
        <v>13495</v>
      </c>
      <c r="I2238" t="s">
        <v>13496</v>
      </c>
      <c r="J2238" t="s">
        <v>13494</v>
      </c>
      <c r="K2238" t="s">
        <v>13497</v>
      </c>
      <c r="L2238">
        <v>152</v>
      </c>
      <c r="O2238" t="s">
        <v>13494</v>
      </c>
      <c r="P2238" t="s">
        <v>12585</v>
      </c>
      <c r="Q2238">
        <v>1</v>
      </c>
    </row>
    <row r="2239" spans="1:17" x14ac:dyDescent="0.25">
      <c r="A2239">
        <v>4</v>
      </c>
      <c r="B2239" t="s">
        <v>13498</v>
      </c>
      <c r="C2239" t="s">
        <v>625</v>
      </c>
      <c r="D2239" t="s">
        <v>12585</v>
      </c>
      <c r="G2239" t="s">
        <v>13499</v>
      </c>
      <c r="H2239" t="s">
        <v>13500</v>
      </c>
      <c r="I2239" t="s">
        <v>13501</v>
      </c>
      <c r="J2239" t="s">
        <v>13499</v>
      </c>
      <c r="K2239" t="s">
        <v>13502</v>
      </c>
      <c r="L2239">
        <v>23</v>
      </c>
      <c r="O2239" t="s">
        <v>13499</v>
      </c>
      <c r="P2239" t="s">
        <v>12585</v>
      </c>
      <c r="Q2239">
        <v>1</v>
      </c>
    </row>
    <row r="2240" spans="1:17" x14ac:dyDescent="0.25">
      <c r="A2240">
        <v>4</v>
      </c>
      <c r="B2240" t="s">
        <v>13503</v>
      </c>
      <c r="C2240" t="s">
        <v>625</v>
      </c>
      <c r="D2240" t="s">
        <v>12585</v>
      </c>
      <c r="G2240" t="s">
        <v>13504</v>
      </c>
      <c r="H2240" t="s">
        <v>13505</v>
      </c>
      <c r="I2240" t="s">
        <v>9713</v>
      </c>
      <c r="J2240" t="s">
        <v>13504</v>
      </c>
      <c r="K2240" t="s">
        <v>13506</v>
      </c>
      <c r="L2240">
        <v>2</v>
      </c>
      <c r="N2240" t="s">
        <v>4713</v>
      </c>
      <c r="O2240" t="s">
        <v>13504</v>
      </c>
      <c r="P2240" t="s">
        <v>12585</v>
      </c>
      <c r="Q2240">
        <v>1</v>
      </c>
    </row>
  </sheetData>
  <autoFilter ref="A1:Q224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179"/>
  <sheetViews>
    <sheetView topLeftCell="A2141" workbookViewId="0">
      <selection sqref="A1:D1048576"/>
    </sheetView>
  </sheetViews>
  <sheetFormatPr defaultColWidth="8.85546875" defaultRowHeight="15" x14ac:dyDescent="0.25"/>
  <cols>
    <col min="1" max="1" width="14.85546875" customWidth="1"/>
  </cols>
  <sheetData>
    <row r="1" spans="1:3" x14ac:dyDescent="0.25">
      <c r="A1">
        <v>6795</v>
      </c>
      <c r="B1" t="s">
        <v>12585</v>
      </c>
      <c r="C1">
        <v>1</v>
      </c>
    </row>
    <row r="2" spans="1:3" x14ac:dyDescent="0.25">
      <c r="A2">
        <v>11762</v>
      </c>
      <c r="B2" t="s">
        <v>12585</v>
      </c>
      <c r="C2">
        <v>1</v>
      </c>
    </row>
    <row r="3" spans="1:3" x14ac:dyDescent="0.25">
      <c r="A3">
        <v>11764</v>
      </c>
      <c r="B3" t="s">
        <v>12585</v>
      </c>
      <c r="C3">
        <v>1</v>
      </c>
    </row>
    <row r="4" spans="1:3" x14ac:dyDescent="0.25">
      <c r="A4">
        <v>11766</v>
      </c>
      <c r="B4" t="s">
        <v>12585</v>
      </c>
      <c r="C4">
        <v>1</v>
      </c>
    </row>
    <row r="5" spans="1:3" x14ac:dyDescent="0.25">
      <c r="A5">
        <v>11768</v>
      </c>
      <c r="B5" t="s">
        <v>12585</v>
      </c>
      <c r="C5">
        <v>1</v>
      </c>
    </row>
    <row r="6" spans="1:3" x14ac:dyDescent="0.25">
      <c r="A6">
        <v>11840</v>
      </c>
      <c r="B6" t="s">
        <v>12585</v>
      </c>
      <c r="C6">
        <v>1</v>
      </c>
    </row>
    <row r="7" spans="1:3" x14ac:dyDescent="0.25">
      <c r="A7">
        <v>11843</v>
      </c>
      <c r="B7" t="s">
        <v>12585</v>
      </c>
      <c r="C7">
        <v>1</v>
      </c>
    </row>
    <row r="8" spans="1:3" x14ac:dyDescent="0.25">
      <c r="A8">
        <v>11847</v>
      </c>
      <c r="B8" t="s">
        <v>12585</v>
      </c>
      <c r="C8">
        <v>1</v>
      </c>
    </row>
    <row r="9" spans="1:3" x14ac:dyDescent="0.25">
      <c r="A9">
        <v>11851</v>
      </c>
      <c r="B9" t="s">
        <v>12585</v>
      </c>
      <c r="C9">
        <v>1</v>
      </c>
    </row>
    <row r="10" spans="1:3" x14ac:dyDescent="0.25">
      <c r="A10">
        <v>11880</v>
      </c>
      <c r="B10" t="s">
        <v>12585</v>
      </c>
      <c r="C10">
        <v>1</v>
      </c>
    </row>
    <row r="11" spans="1:3" x14ac:dyDescent="0.25">
      <c r="A11">
        <v>11890</v>
      </c>
      <c r="B11" t="s">
        <v>12585</v>
      </c>
      <c r="C11">
        <v>1</v>
      </c>
    </row>
    <row r="12" spans="1:3" x14ac:dyDescent="0.25">
      <c r="A12">
        <v>11893</v>
      </c>
      <c r="B12" t="s">
        <v>12585</v>
      </c>
      <c r="C12">
        <v>1</v>
      </c>
    </row>
    <row r="13" spans="1:3" x14ac:dyDescent="0.25">
      <c r="A13">
        <v>11899</v>
      </c>
      <c r="B13" t="s">
        <v>12585</v>
      </c>
      <c r="C13">
        <v>1</v>
      </c>
    </row>
    <row r="14" spans="1:3" x14ac:dyDescent="0.25">
      <c r="A14">
        <v>11912</v>
      </c>
      <c r="B14" t="s">
        <v>12585</v>
      </c>
      <c r="C14">
        <v>1</v>
      </c>
    </row>
    <row r="15" spans="1:3" x14ac:dyDescent="0.25">
      <c r="A15">
        <v>11966</v>
      </c>
      <c r="B15" t="s">
        <v>12585</v>
      </c>
      <c r="C15">
        <v>1</v>
      </c>
    </row>
    <row r="16" spans="1:3" x14ac:dyDescent="0.25">
      <c r="A16">
        <v>11973</v>
      </c>
      <c r="B16" t="s">
        <v>12585</v>
      </c>
      <c r="C16">
        <v>1</v>
      </c>
    </row>
    <row r="17" spans="1:3" x14ac:dyDescent="0.25">
      <c r="A17">
        <v>11975</v>
      </c>
      <c r="B17" t="s">
        <v>12585</v>
      </c>
      <c r="C17">
        <v>1</v>
      </c>
    </row>
    <row r="18" spans="1:3" x14ac:dyDescent="0.25">
      <c r="A18">
        <v>11977</v>
      </c>
      <c r="B18" t="s">
        <v>12585</v>
      </c>
      <c r="C18">
        <v>1</v>
      </c>
    </row>
    <row r="19" spans="1:3" x14ac:dyDescent="0.25">
      <c r="A19">
        <v>11981</v>
      </c>
      <c r="B19" t="s">
        <v>12585</v>
      </c>
      <c r="C19">
        <v>1</v>
      </c>
    </row>
    <row r="20" spans="1:3" x14ac:dyDescent="0.25">
      <c r="A20">
        <v>11991</v>
      </c>
      <c r="B20" t="s">
        <v>12585</v>
      </c>
      <c r="C20">
        <v>1</v>
      </c>
    </row>
    <row r="21" spans="1:3" x14ac:dyDescent="0.25">
      <c r="A21">
        <v>12001</v>
      </c>
      <c r="B21" t="s">
        <v>12585</v>
      </c>
      <c r="C21">
        <v>1</v>
      </c>
    </row>
    <row r="22" spans="1:3" x14ac:dyDescent="0.25">
      <c r="A22">
        <v>12006</v>
      </c>
      <c r="B22" t="s">
        <v>12585</v>
      </c>
      <c r="C22">
        <v>1</v>
      </c>
    </row>
    <row r="23" spans="1:3" x14ac:dyDescent="0.25">
      <c r="A23">
        <v>12009</v>
      </c>
      <c r="B23" t="s">
        <v>12585</v>
      </c>
      <c r="C23">
        <v>1</v>
      </c>
    </row>
    <row r="24" spans="1:3" x14ac:dyDescent="0.25">
      <c r="A24">
        <v>12012</v>
      </c>
      <c r="B24" t="s">
        <v>12585</v>
      </c>
      <c r="C24">
        <v>1</v>
      </c>
    </row>
    <row r="25" spans="1:3" x14ac:dyDescent="0.25">
      <c r="A25">
        <v>12014</v>
      </c>
      <c r="B25" t="s">
        <v>12585</v>
      </c>
      <c r="C25">
        <v>1</v>
      </c>
    </row>
    <row r="26" spans="1:3" x14ac:dyDescent="0.25">
      <c r="A26">
        <v>12021</v>
      </c>
      <c r="B26" t="s">
        <v>12585</v>
      </c>
      <c r="C26">
        <v>1</v>
      </c>
    </row>
    <row r="27" spans="1:3" x14ac:dyDescent="0.25">
      <c r="A27">
        <v>12024</v>
      </c>
      <c r="B27" t="s">
        <v>12585</v>
      </c>
      <c r="C27">
        <v>1</v>
      </c>
    </row>
    <row r="28" spans="1:3" x14ac:dyDescent="0.25">
      <c r="A28">
        <v>12027</v>
      </c>
      <c r="B28" t="s">
        <v>12585</v>
      </c>
      <c r="C28">
        <v>1</v>
      </c>
    </row>
    <row r="29" spans="1:3" x14ac:dyDescent="0.25">
      <c r="A29">
        <v>12038</v>
      </c>
      <c r="B29" t="s">
        <v>12585</v>
      </c>
      <c r="C29">
        <v>1</v>
      </c>
    </row>
    <row r="30" spans="1:3" x14ac:dyDescent="0.25">
      <c r="A30">
        <v>12047</v>
      </c>
      <c r="B30" t="s">
        <v>12585</v>
      </c>
      <c r="C30">
        <v>1</v>
      </c>
    </row>
    <row r="31" spans="1:3" x14ac:dyDescent="0.25">
      <c r="A31">
        <v>12052</v>
      </c>
      <c r="B31" t="s">
        <v>12585</v>
      </c>
      <c r="C31">
        <v>1</v>
      </c>
    </row>
    <row r="32" spans="1:3" x14ac:dyDescent="0.25">
      <c r="A32">
        <v>12060</v>
      </c>
      <c r="B32" t="s">
        <v>12585</v>
      </c>
      <c r="C32">
        <v>1</v>
      </c>
    </row>
    <row r="33" spans="1:3" x14ac:dyDescent="0.25">
      <c r="A33">
        <v>12066</v>
      </c>
      <c r="B33" t="s">
        <v>12585</v>
      </c>
      <c r="C33">
        <v>1</v>
      </c>
    </row>
    <row r="34" spans="1:3" x14ac:dyDescent="0.25">
      <c r="A34">
        <v>12069</v>
      </c>
      <c r="B34" t="s">
        <v>12585</v>
      </c>
      <c r="C34">
        <v>1</v>
      </c>
    </row>
    <row r="35" spans="1:3" x14ac:dyDescent="0.25">
      <c r="A35">
        <v>12077</v>
      </c>
      <c r="B35" t="s">
        <v>12585</v>
      </c>
      <c r="C35">
        <v>1</v>
      </c>
    </row>
    <row r="36" spans="1:3" x14ac:dyDescent="0.25">
      <c r="A36">
        <v>12081</v>
      </c>
      <c r="B36" t="s">
        <v>12585</v>
      </c>
      <c r="C36">
        <v>1</v>
      </c>
    </row>
    <row r="37" spans="1:3" x14ac:dyDescent="0.25">
      <c r="A37">
        <v>12085</v>
      </c>
      <c r="B37" t="s">
        <v>12585</v>
      </c>
      <c r="C37">
        <v>1</v>
      </c>
    </row>
    <row r="38" spans="1:3" x14ac:dyDescent="0.25">
      <c r="A38">
        <v>12087</v>
      </c>
      <c r="B38" t="s">
        <v>12585</v>
      </c>
      <c r="C38">
        <v>1</v>
      </c>
    </row>
    <row r="39" spans="1:3" x14ac:dyDescent="0.25">
      <c r="A39">
        <v>12089</v>
      </c>
      <c r="B39" t="s">
        <v>12585</v>
      </c>
      <c r="C39">
        <v>1</v>
      </c>
    </row>
    <row r="40" spans="1:3" x14ac:dyDescent="0.25">
      <c r="A40">
        <v>12091</v>
      </c>
      <c r="B40" t="s">
        <v>12585</v>
      </c>
      <c r="C40">
        <v>1</v>
      </c>
    </row>
    <row r="41" spans="1:3" x14ac:dyDescent="0.25">
      <c r="A41">
        <v>12093</v>
      </c>
      <c r="B41" t="s">
        <v>12585</v>
      </c>
      <c r="C41">
        <v>1</v>
      </c>
    </row>
    <row r="42" spans="1:3" x14ac:dyDescent="0.25">
      <c r="A42">
        <v>12095</v>
      </c>
      <c r="B42" t="s">
        <v>12585</v>
      </c>
      <c r="C42">
        <v>1</v>
      </c>
    </row>
    <row r="43" spans="1:3" x14ac:dyDescent="0.25">
      <c r="A43">
        <v>12107</v>
      </c>
      <c r="B43" t="s">
        <v>12585</v>
      </c>
      <c r="C43">
        <v>1</v>
      </c>
    </row>
    <row r="44" spans="1:3" x14ac:dyDescent="0.25">
      <c r="A44">
        <v>12118</v>
      </c>
      <c r="B44" t="s">
        <v>12585</v>
      </c>
      <c r="C44">
        <v>1</v>
      </c>
    </row>
    <row r="45" spans="1:3" x14ac:dyDescent="0.25">
      <c r="A45">
        <v>12138</v>
      </c>
      <c r="B45" t="s">
        <v>12585</v>
      </c>
      <c r="C45">
        <v>1</v>
      </c>
    </row>
    <row r="46" spans="1:3" x14ac:dyDescent="0.25">
      <c r="A46">
        <v>12143</v>
      </c>
      <c r="B46" t="s">
        <v>12585</v>
      </c>
      <c r="C46">
        <v>1</v>
      </c>
    </row>
    <row r="47" spans="1:3" x14ac:dyDescent="0.25">
      <c r="A47">
        <v>12148</v>
      </c>
      <c r="B47" t="s">
        <v>12585</v>
      </c>
      <c r="C47">
        <v>1</v>
      </c>
    </row>
    <row r="48" spans="1:3" x14ac:dyDescent="0.25">
      <c r="A48">
        <v>12156</v>
      </c>
      <c r="B48" t="s">
        <v>12585</v>
      </c>
      <c r="C48">
        <v>1</v>
      </c>
    </row>
    <row r="49" spans="1:3" x14ac:dyDescent="0.25">
      <c r="A49">
        <v>12159</v>
      </c>
      <c r="B49" t="s">
        <v>12585</v>
      </c>
      <c r="C49">
        <v>1</v>
      </c>
    </row>
    <row r="50" spans="1:3" x14ac:dyDescent="0.25">
      <c r="A50">
        <v>12162</v>
      </c>
      <c r="B50" t="s">
        <v>12585</v>
      </c>
      <c r="C50">
        <v>1</v>
      </c>
    </row>
    <row r="51" spans="1:3" x14ac:dyDescent="0.25">
      <c r="A51">
        <v>12171</v>
      </c>
      <c r="B51" t="s">
        <v>12585</v>
      </c>
      <c r="C51">
        <v>1</v>
      </c>
    </row>
    <row r="52" spans="1:3" x14ac:dyDescent="0.25">
      <c r="A52">
        <v>12181</v>
      </c>
      <c r="B52" t="s">
        <v>12585</v>
      </c>
      <c r="C52">
        <v>1</v>
      </c>
    </row>
    <row r="53" spans="1:3" x14ac:dyDescent="0.25">
      <c r="A53">
        <v>12184</v>
      </c>
      <c r="B53" t="s">
        <v>12585</v>
      </c>
      <c r="C53">
        <v>1</v>
      </c>
    </row>
    <row r="54" spans="1:3" x14ac:dyDescent="0.25">
      <c r="A54">
        <v>12187</v>
      </c>
      <c r="B54" t="s">
        <v>12585</v>
      </c>
      <c r="C54">
        <v>1</v>
      </c>
    </row>
    <row r="55" spans="1:3" x14ac:dyDescent="0.25">
      <c r="A55">
        <v>12198</v>
      </c>
      <c r="B55" t="s">
        <v>12585</v>
      </c>
      <c r="C55">
        <v>1</v>
      </c>
    </row>
    <row r="56" spans="1:3" x14ac:dyDescent="0.25">
      <c r="A56">
        <v>12204</v>
      </c>
      <c r="B56" t="s">
        <v>12585</v>
      </c>
      <c r="C56">
        <v>1</v>
      </c>
    </row>
    <row r="57" spans="1:3" x14ac:dyDescent="0.25">
      <c r="A57">
        <v>12207</v>
      </c>
      <c r="B57" t="s">
        <v>12585</v>
      </c>
      <c r="C57">
        <v>1</v>
      </c>
    </row>
    <row r="58" spans="1:3" x14ac:dyDescent="0.25">
      <c r="A58">
        <v>12211</v>
      </c>
      <c r="B58" t="s">
        <v>12585</v>
      </c>
      <c r="C58">
        <v>1</v>
      </c>
    </row>
    <row r="59" spans="1:3" x14ac:dyDescent="0.25">
      <c r="A59">
        <v>12221</v>
      </c>
      <c r="B59" t="s">
        <v>12585</v>
      </c>
      <c r="C59">
        <v>1</v>
      </c>
    </row>
    <row r="60" spans="1:3" x14ac:dyDescent="0.25">
      <c r="A60">
        <v>12251</v>
      </c>
      <c r="B60" t="s">
        <v>12585</v>
      </c>
      <c r="C60">
        <v>1</v>
      </c>
    </row>
    <row r="61" spans="1:3" x14ac:dyDescent="0.25">
      <c r="A61">
        <v>12254</v>
      </c>
      <c r="B61" t="s">
        <v>12585</v>
      </c>
      <c r="C61">
        <v>1</v>
      </c>
    </row>
    <row r="62" spans="1:3" x14ac:dyDescent="0.25">
      <c r="A62">
        <v>12269</v>
      </c>
      <c r="B62" t="s">
        <v>12585</v>
      </c>
      <c r="C62">
        <v>1</v>
      </c>
    </row>
    <row r="63" spans="1:3" x14ac:dyDescent="0.25">
      <c r="A63">
        <v>12274</v>
      </c>
      <c r="B63" t="s">
        <v>12585</v>
      </c>
      <c r="C63">
        <v>1</v>
      </c>
    </row>
    <row r="64" spans="1:3" x14ac:dyDescent="0.25">
      <c r="A64">
        <v>12277</v>
      </c>
      <c r="B64" t="s">
        <v>12585</v>
      </c>
      <c r="C64">
        <v>1</v>
      </c>
    </row>
    <row r="65" spans="1:3" x14ac:dyDescent="0.25">
      <c r="A65">
        <v>12288</v>
      </c>
      <c r="B65" t="s">
        <v>12585</v>
      </c>
      <c r="C65">
        <v>1</v>
      </c>
    </row>
    <row r="66" spans="1:3" x14ac:dyDescent="0.25">
      <c r="A66">
        <v>12294</v>
      </c>
      <c r="B66" t="s">
        <v>12585</v>
      </c>
      <c r="C66">
        <v>1</v>
      </c>
    </row>
    <row r="67" spans="1:3" x14ac:dyDescent="0.25">
      <c r="A67">
        <v>12297</v>
      </c>
      <c r="B67" t="s">
        <v>12585</v>
      </c>
      <c r="C67">
        <v>1</v>
      </c>
    </row>
    <row r="68" spans="1:3" x14ac:dyDescent="0.25">
      <c r="A68">
        <v>12308</v>
      </c>
      <c r="B68" t="s">
        <v>12585</v>
      </c>
      <c r="C68">
        <v>1</v>
      </c>
    </row>
    <row r="69" spans="1:3" x14ac:dyDescent="0.25">
      <c r="A69">
        <v>12312</v>
      </c>
      <c r="B69" t="s">
        <v>12585</v>
      </c>
      <c r="C69">
        <v>1</v>
      </c>
    </row>
    <row r="70" spans="1:3" x14ac:dyDescent="0.25">
      <c r="A70">
        <v>12323</v>
      </c>
      <c r="B70" t="s">
        <v>12585</v>
      </c>
      <c r="C70">
        <v>1</v>
      </c>
    </row>
    <row r="71" spans="1:3" x14ac:dyDescent="0.25">
      <c r="A71">
        <v>12340</v>
      </c>
      <c r="B71" t="s">
        <v>12585</v>
      </c>
      <c r="C71">
        <v>1</v>
      </c>
    </row>
    <row r="72" spans="1:3" x14ac:dyDescent="0.25">
      <c r="A72">
        <v>12344</v>
      </c>
      <c r="B72" t="s">
        <v>12585</v>
      </c>
      <c r="C72">
        <v>1</v>
      </c>
    </row>
    <row r="73" spans="1:3" x14ac:dyDescent="0.25">
      <c r="A73">
        <v>12347</v>
      </c>
      <c r="B73" t="s">
        <v>12585</v>
      </c>
      <c r="C73">
        <v>1</v>
      </c>
    </row>
    <row r="74" spans="1:3" x14ac:dyDescent="0.25">
      <c r="A74">
        <v>12360</v>
      </c>
      <c r="B74" t="s">
        <v>12585</v>
      </c>
      <c r="C74">
        <v>1</v>
      </c>
    </row>
    <row r="75" spans="1:3" x14ac:dyDescent="0.25">
      <c r="A75">
        <v>12363</v>
      </c>
      <c r="B75" t="s">
        <v>12585</v>
      </c>
      <c r="C75">
        <v>1</v>
      </c>
    </row>
    <row r="76" spans="1:3" x14ac:dyDescent="0.25">
      <c r="A76">
        <v>12369</v>
      </c>
      <c r="B76" t="s">
        <v>12585</v>
      </c>
      <c r="C76">
        <v>1</v>
      </c>
    </row>
    <row r="77" spans="1:3" x14ac:dyDescent="0.25">
      <c r="A77">
        <v>12372</v>
      </c>
      <c r="B77" t="s">
        <v>12585</v>
      </c>
      <c r="C77">
        <v>1</v>
      </c>
    </row>
    <row r="78" spans="1:3" x14ac:dyDescent="0.25">
      <c r="A78">
        <v>12381</v>
      </c>
      <c r="B78" t="s">
        <v>12585</v>
      </c>
      <c r="C78">
        <v>1</v>
      </c>
    </row>
    <row r="79" spans="1:3" x14ac:dyDescent="0.25">
      <c r="A79">
        <v>12386</v>
      </c>
      <c r="B79" t="s">
        <v>12585</v>
      </c>
      <c r="C79">
        <v>1</v>
      </c>
    </row>
    <row r="80" spans="1:3" x14ac:dyDescent="0.25">
      <c r="A80">
        <v>12389</v>
      </c>
      <c r="B80" t="s">
        <v>12585</v>
      </c>
      <c r="C80">
        <v>1</v>
      </c>
    </row>
    <row r="81" spans="1:3" x14ac:dyDescent="0.25">
      <c r="A81">
        <v>12398</v>
      </c>
      <c r="B81" t="s">
        <v>12585</v>
      </c>
      <c r="C81">
        <v>1</v>
      </c>
    </row>
    <row r="82" spans="1:3" x14ac:dyDescent="0.25">
      <c r="A82">
        <v>12407</v>
      </c>
      <c r="B82" t="s">
        <v>12585</v>
      </c>
      <c r="C82">
        <v>1</v>
      </c>
    </row>
    <row r="83" spans="1:3" x14ac:dyDescent="0.25">
      <c r="A83">
        <v>12410</v>
      </c>
      <c r="B83" t="s">
        <v>12585</v>
      </c>
      <c r="C83">
        <v>1</v>
      </c>
    </row>
    <row r="84" spans="1:3" x14ac:dyDescent="0.25">
      <c r="A84">
        <v>12417</v>
      </c>
      <c r="B84" t="s">
        <v>12585</v>
      </c>
      <c r="C84">
        <v>1</v>
      </c>
    </row>
    <row r="85" spans="1:3" x14ac:dyDescent="0.25">
      <c r="A85">
        <v>12426</v>
      </c>
      <c r="B85" t="s">
        <v>12585</v>
      </c>
      <c r="C85">
        <v>1</v>
      </c>
    </row>
    <row r="86" spans="1:3" x14ac:dyDescent="0.25">
      <c r="A86">
        <v>12435</v>
      </c>
      <c r="B86" t="s">
        <v>9690</v>
      </c>
      <c r="C86">
        <v>1</v>
      </c>
    </row>
    <row r="87" spans="1:3" x14ac:dyDescent="0.25">
      <c r="A87">
        <v>12455</v>
      </c>
      <c r="B87" t="s">
        <v>12585</v>
      </c>
      <c r="C87">
        <v>1</v>
      </c>
    </row>
    <row r="88" spans="1:3" x14ac:dyDescent="0.25">
      <c r="A88">
        <v>12457</v>
      </c>
      <c r="B88" t="s">
        <v>12585</v>
      </c>
      <c r="C88">
        <v>1</v>
      </c>
    </row>
    <row r="89" spans="1:3" x14ac:dyDescent="0.25">
      <c r="A89">
        <v>12459</v>
      </c>
      <c r="B89" t="s">
        <v>12585</v>
      </c>
      <c r="C89">
        <v>1</v>
      </c>
    </row>
    <row r="90" spans="1:3" x14ac:dyDescent="0.25">
      <c r="A90">
        <v>12502</v>
      </c>
      <c r="B90" t="s">
        <v>12585</v>
      </c>
      <c r="C90">
        <v>1</v>
      </c>
    </row>
    <row r="91" spans="1:3" x14ac:dyDescent="0.25">
      <c r="A91">
        <v>12506</v>
      </c>
      <c r="B91" t="s">
        <v>12585</v>
      </c>
      <c r="C91">
        <v>1</v>
      </c>
    </row>
    <row r="92" spans="1:3" x14ac:dyDescent="0.25">
      <c r="A92">
        <v>12508</v>
      </c>
      <c r="B92" t="s">
        <v>12585</v>
      </c>
      <c r="C92">
        <v>1</v>
      </c>
    </row>
    <row r="93" spans="1:3" x14ac:dyDescent="0.25">
      <c r="A93">
        <v>13207</v>
      </c>
      <c r="B93" t="s">
        <v>9690</v>
      </c>
      <c r="C93">
        <v>1</v>
      </c>
    </row>
    <row r="94" spans="1:3" x14ac:dyDescent="0.25">
      <c r="A94">
        <v>13211</v>
      </c>
      <c r="B94" t="s">
        <v>9690</v>
      </c>
      <c r="C94">
        <v>1</v>
      </c>
    </row>
    <row r="95" spans="1:3" x14ac:dyDescent="0.25">
      <c r="A95">
        <v>13254</v>
      </c>
      <c r="B95" t="s">
        <v>9690</v>
      </c>
      <c r="C95">
        <v>1</v>
      </c>
    </row>
    <row r="96" spans="1:3" x14ac:dyDescent="0.25">
      <c r="A96">
        <v>13270</v>
      </c>
      <c r="B96" t="s">
        <v>9690</v>
      </c>
      <c r="C96">
        <v>1</v>
      </c>
    </row>
    <row r="97" spans="1:3" x14ac:dyDescent="0.25">
      <c r="A97">
        <v>13277</v>
      </c>
      <c r="B97" t="s">
        <v>9690</v>
      </c>
      <c r="C97">
        <v>1</v>
      </c>
    </row>
    <row r="98" spans="1:3" x14ac:dyDescent="0.25">
      <c r="A98">
        <v>13324</v>
      </c>
      <c r="B98" t="s">
        <v>9690</v>
      </c>
      <c r="C98">
        <v>1</v>
      </c>
    </row>
    <row r="99" spans="1:3" x14ac:dyDescent="0.25">
      <c r="A99">
        <v>13327</v>
      </c>
      <c r="B99" t="s">
        <v>9690</v>
      </c>
      <c r="C99">
        <v>1</v>
      </c>
    </row>
    <row r="100" spans="1:3" x14ac:dyDescent="0.25">
      <c r="A100">
        <v>13396</v>
      </c>
      <c r="B100" t="s">
        <v>9690</v>
      </c>
      <c r="C100">
        <v>1</v>
      </c>
    </row>
    <row r="101" spans="1:3" x14ac:dyDescent="0.25">
      <c r="A101">
        <v>13420</v>
      </c>
      <c r="B101" t="s">
        <v>9690</v>
      </c>
      <c r="C101">
        <v>1</v>
      </c>
    </row>
    <row r="102" spans="1:3" x14ac:dyDescent="0.25">
      <c r="A102">
        <v>13429</v>
      </c>
      <c r="B102" t="s">
        <v>9690</v>
      </c>
      <c r="C102">
        <v>1</v>
      </c>
    </row>
    <row r="103" spans="1:3" x14ac:dyDescent="0.25">
      <c r="A103">
        <v>13691</v>
      </c>
      <c r="B103" t="s">
        <v>3</v>
      </c>
      <c r="C103">
        <v>1</v>
      </c>
    </row>
    <row r="104" spans="1:3" x14ac:dyDescent="0.25">
      <c r="A104">
        <v>13695</v>
      </c>
      <c r="B104" t="s">
        <v>3</v>
      </c>
      <c r="C104">
        <v>1</v>
      </c>
    </row>
    <row r="105" spans="1:3" x14ac:dyDescent="0.25">
      <c r="A105">
        <v>13696</v>
      </c>
      <c r="B105" t="s">
        <v>3</v>
      </c>
      <c r="C105">
        <v>1</v>
      </c>
    </row>
    <row r="106" spans="1:3" x14ac:dyDescent="0.25">
      <c r="A106">
        <v>14084</v>
      </c>
      <c r="B106" t="s">
        <v>3</v>
      </c>
      <c r="C106">
        <v>1</v>
      </c>
    </row>
    <row r="107" spans="1:3" x14ac:dyDescent="0.25">
      <c r="A107">
        <v>14278</v>
      </c>
      <c r="B107" t="s">
        <v>3</v>
      </c>
      <c r="C107">
        <v>1</v>
      </c>
    </row>
    <row r="108" spans="1:3" x14ac:dyDescent="0.25">
      <c r="A108">
        <v>14280</v>
      </c>
      <c r="B108" t="s">
        <v>3</v>
      </c>
      <c r="C108">
        <v>1</v>
      </c>
    </row>
    <row r="109" spans="1:3" x14ac:dyDescent="0.25">
      <c r="A109">
        <v>14349</v>
      </c>
      <c r="B109" t="s">
        <v>7008</v>
      </c>
      <c r="C109">
        <v>1</v>
      </c>
    </row>
    <row r="110" spans="1:3" x14ac:dyDescent="0.25">
      <c r="A110">
        <v>14495</v>
      </c>
      <c r="B110" t="s">
        <v>7862</v>
      </c>
      <c r="C110">
        <v>1</v>
      </c>
    </row>
    <row r="111" spans="1:3" x14ac:dyDescent="0.25">
      <c r="A111">
        <v>14503</v>
      </c>
      <c r="B111" t="s">
        <v>3</v>
      </c>
      <c r="C111">
        <v>1</v>
      </c>
    </row>
    <row r="112" spans="1:3" x14ac:dyDescent="0.25">
      <c r="A112">
        <v>14506</v>
      </c>
      <c r="B112" t="s">
        <v>12585</v>
      </c>
      <c r="C112">
        <v>1</v>
      </c>
    </row>
    <row r="113" spans="1:3" x14ac:dyDescent="0.25">
      <c r="A113">
        <v>14529</v>
      </c>
      <c r="B113" t="s">
        <v>7862</v>
      </c>
      <c r="C113">
        <v>1</v>
      </c>
    </row>
    <row r="114" spans="1:3" x14ac:dyDescent="0.25">
      <c r="A114">
        <v>14665</v>
      </c>
      <c r="B114" t="s">
        <v>7862</v>
      </c>
      <c r="C114">
        <v>1</v>
      </c>
    </row>
    <row r="115" spans="1:3" x14ac:dyDescent="0.25">
      <c r="A115">
        <v>15493</v>
      </c>
      <c r="B115" t="s">
        <v>7862</v>
      </c>
      <c r="C115">
        <v>1</v>
      </c>
    </row>
    <row r="116" spans="1:3" x14ac:dyDescent="0.25">
      <c r="A116">
        <v>15495</v>
      </c>
      <c r="B116" t="s">
        <v>7862</v>
      </c>
      <c r="C116">
        <v>1</v>
      </c>
    </row>
    <row r="117" spans="1:3" x14ac:dyDescent="0.25">
      <c r="A117">
        <v>15499</v>
      </c>
      <c r="B117" t="s">
        <v>2</v>
      </c>
      <c r="C117">
        <v>1</v>
      </c>
    </row>
    <row r="118" spans="1:3" x14ac:dyDescent="0.25">
      <c r="A118">
        <v>15669</v>
      </c>
      <c r="B118" t="s">
        <v>7862</v>
      </c>
      <c r="C118">
        <v>1</v>
      </c>
    </row>
    <row r="119" spans="1:3" x14ac:dyDescent="0.25">
      <c r="A119">
        <v>15671</v>
      </c>
      <c r="B119" t="s">
        <v>7862</v>
      </c>
      <c r="C119">
        <v>1</v>
      </c>
    </row>
    <row r="120" spans="1:3" x14ac:dyDescent="0.25">
      <c r="A120">
        <v>15673</v>
      </c>
      <c r="B120" t="s">
        <v>7862</v>
      </c>
      <c r="C120">
        <v>1</v>
      </c>
    </row>
    <row r="121" spans="1:3" x14ac:dyDescent="0.25">
      <c r="A121">
        <v>15674</v>
      </c>
      <c r="B121" t="s">
        <v>7862</v>
      </c>
      <c r="C121">
        <v>1</v>
      </c>
    </row>
    <row r="122" spans="1:3" x14ac:dyDescent="0.25">
      <c r="A122">
        <v>15675</v>
      </c>
      <c r="B122" t="s">
        <v>7862</v>
      </c>
      <c r="C122">
        <v>1</v>
      </c>
    </row>
    <row r="123" spans="1:3" x14ac:dyDescent="0.25">
      <c r="A123">
        <v>15676</v>
      </c>
      <c r="B123" t="s">
        <v>7862</v>
      </c>
      <c r="C123">
        <v>1</v>
      </c>
    </row>
    <row r="124" spans="1:3" x14ac:dyDescent="0.25">
      <c r="A124">
        <v>15677</v>
      </c>
      <c r="B124" t="s">
        <v>7862</v>
      </c>
      <c r="C124">
        <v>1</v>
      </c>
    </row>
    <row r="125" spans="1:3" x14ac:dyDescent="0.25">
      <c r="A125">
        <v>15678</v>
      </c>
      <c r="B125" t="s">
        <v>7862</v>
      </c>
      <c r="C125">
        <v>1</v>
      </c>
    </row>
    <row r="126" spans="1:3" x14ac:dyDescent="0.25">
      <c r="A126">
        <v>15883</v>
      </c>
      <c r="B126" t="s">
        <v>8182</v>
      </c>
      <c r="C126">
        <v>1</v>
      </c>
    </row>
    <row r="127" spans="1:3" x14ac:dyDescent="0.25">
      <c r="A127">
        <v>16198</v>
      </c>
      <c r="B127" t="s">
        <v>7862</v>
      </c>
      <c r="C127">
        <v>1</v>
      </c>
    </row>
    <row r="128" spans="1:3" x14ac:dyDescent="0.25">
      <c r="A128">
        <v>16243</v>
      </c>
      <c r="B128" t="s">
        <v>7862</v>
      </c>
      <c r="C128">
        <v>1</v>
      </c>
    </row>
    <row r="129" spans="1:3" x14ac:dyDescent="0.25">
      <c r="A129">
        <v>16321</v>
      </c>
      <c r="B129" t="s">
        <v>10806</v>
      </c>
      <c r="C129">
        <v>1</v>
      </c>
    </row>
    <row r="130" spans="1:3" x14ac:dyDescent="0.25">
      <c r="A130">
        <v>16325</v>
      </c>
      <c r="B130" t="s">
        <v>10806</v>
      </c>
      <c r="C130">
        <v>1</v>
      </c>
    </row>
    <row r="131" spans="1:3" x14ac:dyDescent="0.25">
      <c r="A131">
        <v>16333</v>
      </c>
      <c r="B131" t="s">
        <v>10806</v>
      </c>
      <c r="C131">
        <v>1</v>
      </c>
    </row>
    <row r="132" spans="1:3" x14ac:dyDescent="0.25">
      <c r="A132">
        <v>16339</v>
      </c>
      <c r="B132" t="s">
        <v>10806</v>
      </c>
      <c r="C132">
        <v>1</v>
      </c>
    </row>
    <row r="133" spans="1:3" x14ac:dyDescent="0.25">
      <c r="A133">
        <v>16341</v>
      </c>
      <c r="B133" t="s">
        <v>10806</v>
      </c>
      <c r="C133">
        <v>1</v>
      </c>
    </row>
    <row r="134" spans="1:3" x14ac:dyDescent="0.25">
      <c r="A134">
        <v>16343</v>
      </c>
      <c r="B134" t="s">
        <v>10806</v>
      </c>
      <c r="C134">
        <v>1</v>
      </c>
    </row>
    <row r="135" spans="1:3" x14ac:dyDescent="0.25">
      <c r="A135">
        <v>16429</v>
      </c>
      <c r="B135" t="s">
        <v>10806</v>
      </c>
      <c r="C135">
        <v>1</v>
      </c>
    </row>
    <row r="136" spans="1:3" x14ac:dyDescent="0.25">
      <c r="A136">
        <v>16431</v>
      </c>
      <c r="B136" t="s">
        <v>10806</v>
      </c>
      <c r="C136">
        <v>1</v>
      </c>
    </row>
    <row r="137" spans="1:3" x14ac:dyDescent="0.25">
      <c r="A137">
        <v>16437</v>
      </c>
      <c r="B137" t="s">
        <v>10806</v>
      </c>
      <c r="C137">
        <v>1</v>
      </c>
    </row>
    <row r="138" spans="1:3" x14ac:dyDescent="0.25">
      <c r="A138">
        <v>16439</v>
      </c>
      <c r="B138" t="s">
        <v>10806</v>
      </c>
      <c r="C138">
        <v>1</v>
      </c>
    </row>
    <row r="139" spans="1:3" x14ac:dyDescent="0.25">
      <c r="A139">
        <v>16443</v>
      </c>
      <c r="B139" t="s">
        <v>10806</v>
      </c>
      <c r="C139">
        <v>1</v>
      </c>
    </row>
    <row r="140" spans="1:3" x14ac:dyDescent="0.25">
      <c r="A140">
        <v>16445</v>
      </c>
      <c r="B140" t="s">
        <v>10806</v>
      </c>
      <c r="C140">
        <v>1</v>
      </c>
    </row>
    <row r="141" spans="1:3" x14ac:dyDescent="0.25">
      <c r="A141">
        <v>16499</v>
      </c>
      <c r="B141" t="s">
        <v>10806</v>
      </c>
      <c r="C141">
        <v>1</v>
      </c>
    </row>
    <row r="142" spans="1:3" x14ac:dyDescent="0.25">
      <c r="A142">
        <v>16500</v>
      </c>
      <c r="B142" t="s">
        <v>10806</v>
      </c>
      <c r="C142">
        <v>1</v>
      </c>
    </row>
    <row r="143" spans="1:3" x14ac:dyDescent="0.25">
      <c r="A143">
        <v>16501</v>
      </c>
      <c r="B143" t="s">
        <v>10806</v>
      </c>
      <c r="C143">
        <v>1</v>
      </c>
    </row>
    <row r="144" spans="1:3" x14ac:dyDescent="0.25">
      <c r="A144">
        <v>16502</v>
      </c>
      <c r="B144" t="s">
        <v>10806</v>
      </c>
      <c r="C144">
        <v>1</v>
      </c>
    </row>
    <row r="145" spans="1:3" x14ac:dyDescent="0.25">
      <c r="A145">
        <v>16503</v>
      </c>
      <c r="B145" t="s">
        <v>10806</v>
      </c>
      <c r="C145">
        <v>1</v>
      </c>
    </row>
    <row r="146" spans="1:3" x14ac:dyDescent="0.25">
      <c r="A146">
        <v>16504</v>
      </c>
      <c r="B146" t="s">
        <v>10806</v>
      </c>
      <c r="C146">
        <v>1</v>
      </c>
    </row>
    <row r="147" spans="1:3" x14ac:dyDescent="0.25">
      <c r="A147">
        <v>16505</v>
      </c>
      <c r="B147" t="s">
        <v>10806</v>
      </c>
      <c r="C147">
        <v>1</v>
      </c>
    </row>
    <row r="148" spans="1:3" x14ac:dyDescent="0.25">
      <c r="A148">
        <v>16506</v>
      </c>
      <c r="B148" t="s">
        <v>10806</v>
      </c>
      <c r="C148">
        <v>1</v>
      </c>
    </row>
    <row r="149" spans="1:3" x14ac:dyDescent="0.25">
      <c r="A149">
        <v>16508</v>
      </c>
      <c r="B149" t="s">
        <v>10806</v>
      </c>
      <c r="C149">
        <v>1</v>
      </c>
    </row>
    <row r="150" spans="1:3" x14ac:dyDescent="0.25">
      <c r="A150">
        <v>16510</v>
      </c>
      <c r="B150" t="s">
        <v>10806</v>
      </c>
      <c r="C150">
        <v>1</v>
      </c>
    </row>
    <row r="151" spans="1:3" x14ac:dyDescent="0.25">
      <c r="A151">
        <v>16512</v>
      </c>
      <c r="B151" t="s">
        <v>10806</v>
      </c>
      <c r="C151">
        <v>1</v>
      </c>
    </row>
    <row r="152" spans="1:3" x14ac:dyDescent="0.25">
      <c r="A152">
        <v>16514</v>
      </c>
      <c r="B152" t="s">
        <v>10806</v>
      </c>
      <c r="C152">
        <v>1</v>
      </c>
    </row>
    <row r="153" spans="1:3" x14ac:dyDescent="0.25">
      <c r="A153">
        <v>16516</v>
      </c>
      <c r="B153" t="s">
        <v>10806</v>
      </c>
      <c r="C153">
        <v>1</v>
      </c>
    </row>
    <row r="154" spans="1:3" x14ac:dyDescent="0.25">
      <c r="A154">
        <v>16518</v>
      </c>
      <c r="B154" t="s">
        <v>10806</v>
      </c>
      <c r="C154">
        <v>1</v>
      </c>
    </row>
    <row r="155" spans="1:3" x14ac:dyDescent="0.25">
      <c r="A155">
        <v>16520</v>
      </c>
      <c r="B155" t="s">
        <v>10806</v>
      </c>
      <c r="C155">
        <v>1</v>
      </c>
    </row>
    <row r="156" spans="1:3" x14ac:dyDescent="0.25">
      <c r="A156">
        <v>16522</v>
      </c>
      <c r="B156" t="s">
        <v>10806</v>
      </c>
      <c r="C156">
        <v>1</v>
      </c>
    </row>
    <row r="157" spans="1:3" x14ac:dyDescent="0.25">
      <c r="A157">
        <v>16524</v>
      </c>
      <c r="B157" t="s">
        <v>10806</v>
      </c>
      <c r="C157">
        <v>1</v>
      </c>
    </row>
    <row r="158" spans="1:3" x14ac:dyDescent="0.25">
      <c r="A158">
        <v>16569</v>
      </c>
      <c r="B158" t="s">
        <v>10806</v>
      </c>
      <c r="C158">
        <v>1</v>
      </c>
    </row>
    <row r="159" spans="1:3" x14ac:dyDescent="0.25">
      <c r="A159">
        <v>16571</v>
      </c>
      <c r="B159" t="s">
        <v>10806</v>
      </c>
      <c r="C159">
        <v>1</v>
      </c>
    </row>
    <row r="160" spans="1:3" x14ac:dyDescent="0.25">
      <c r="A160">
        <v>16573</v>
      </c>
      <c r="B160" t="s">
        <v>10806</v>
      </c>
      <c r="C160">
        <v>1</v>
      </c>
    </row>
    <row r="161" spans="1:3" x14ac:dyDescent="0.25">
      <c r="A161">
        <v>16575</v>
      </c>
      <c r="B161" t="s">
        <v>10806</v>
      </c>
      <c r="C161">
        <v>1</v>
      </c>
    </row>
    <row r="162" spans="1:3" x14ac:dyDescent="0.25">
      <c r="A162">
        <v>16666</v>
      </c>
      <c r="B162" t="s">
        <v>3</v>
      </c>
      <c r="C162">
        <v>1</v>
      </c>
    </row>
    <row r="163" spans="1:3" x14ac:dyDescent="0.25">
      <c r="A163">
        <v>16668</v>
      </c>
      <c r="B163" t="s">
        <v>3</v>
      </c>
      <c r="C163">
        <v>1</v>
      </c>
    </row>
    <row r="164" spans="1:3" x14ac:dyDescent="0.25">
      <c r="A164">
        <v>16672</v>
      </c>
      <c r="B164" t="s">
        <v>3</v>
      </c>
      <c r="C164">
        <v>1</v>
      </c>
    </row>
    <row r="165" spans="1:3" x14ac:dyDescent="0.25">
      <c r="A165">
        <v>16737</v>
      </c>
      <c r="B165" t="s">
        <v>12585</v>
      </c>
      <c r="C165">
        <v>1</v>
      </c>
    </row>
    <row r="166" spans="1:3" x14ac:dyDescent="0.25">
      <c r="A166">
        <v>16752</v>
      </c>
      <c r="B166" t="s">
        <v>7008</v>
      </c>
      <c r="C166">
        <v>1</v>
      </c>
    </row>
    <row r="167" spans="1:3" x14ac:dyDescent="0.25">
      <c r="A167">
        <v>16754</v>
      </c>
      <c r="B167" t="s">
        <v>7008</v>
      </c>
      <c r="C167">
        <v>1</v>
      </c>
    </row>
    <row r="168" spans="1:3" x14ac:dyDescent="0.25">
      <c r="A168">
        <v>16756</v>
      </c>
      <c r="B168" t="s">
        <v>7008</v>
      </c>
      <c r="C168">
        <v>1</v>
      </c>
    </row>
    <row r="169" spans="1:3" x14ac:dyDescent="0.25">
      <c r="A169">
        <v>16758</v>
      </c>
      <c r="B169" t="s">
        <v>7008</v>
      </c>
      <c r="C169">
        <v>1</v>
      </c>
    </row>
    <row r="170" spans="1:3" x14ac:dyDescent="0.25">
      <c r="A170">
        <v>19414</v>
      </c>
      <c r="B170" t="s">
        <v>10806</v>
      </c>
      <c r="C170">
        <v>1</v>
      </c>
    </row>
    <row r="171" spans="1:3" x14ac:dyDescent="0.25">
      <c r="A171">
        <v>19487</v>
      </c>
      <c r="B171" t="s">
        <v>10806</v>
      </c>
      <c r="C171">
        <v>1</v>
      </c>
    </row>
    <row r="172" spans="1:3" x14ac:dyDescent="0.25">
      <c r="A172">
        <v>19495</v>
      </c>
      <c r="B172" t="s">
        <v>10806</v>
      </c>
      <c r="C172">
        <v>1</v>
      </c>
    </row>
    <row r="173" spans="1:3" x14ac:dyDescent="0.25">
      <c r="A173">
        <v>19497</v>
      </c>
      <c r="B173" t="s">
        <v>10806</v>
      </c>
      <c r="C173">
        <v>1</v>
      </c>
    </row>
    <row r="174" spans="1:3" x14ac:dyDescent="0.25">
      <c r="A174">
        <v>19499</v>
      </c>
      <c r="B174" t="s">
        <v>10806</v>
      </c>
      <c r="C174">
        <v>1</v>
      </c>
    </row>
    <row r="175" spans="1:3" x14ac:dyDescent="0.25">
      <c r="A175">
        <v>19501</v>
      </c>
      <c r="B175" t="s">
        <v>10806</v>
      </c>
      <c r="C175">
        <v>1</v>
      </c>
    </row>
    <row r="176" spans="1:3" x14ac:dyDescent="0.25">
      <c r="A176">
        <v>19503</v>
      </c>
      <c r="B176" t="s">
        <v>10806</v>
      </c>
      <c r="C176">
        <v>1</v>
      </c>
    </row>
    <row r="177" spans="1:3" x14ac:dyDescent="0.25">
      <c r="A177">
        <v>19520</v>
      </c>
      <c r="B177" t="s">
        <v>10806</v>
      </c>
      <c r="C177">
        <v>1</v>
      </c>
    </row>
    <row r="178" spans="1:3" x14ac:dyDescent="0.25">
      <c r="A178">
        <v>19525</v>
      </c>
      <c r="B178" t="s">
        <v>10806</v>
      </c>
      <c r="C178">
        <v>1</v>
      </c>
    </row>
    <row r="179" spans="1:3" x14ac:dyDescent="0.25">
      <c r="A179">
        <v>19527</v>
      </c>
      <c r="B179" t="s">
        <v>10806</v>
      </c>
      <c r="C179">
        <v>1</v>
      </c>
    </row>
    <row r="180" spans="1:3" x14ac:dyDescent="0.25">
      <c r="A180">
        <v>19533</v>
      </c>
      <c r="B180" t="s">
        <v>10806</v>
      </c>
      <c r="C180">
        <v>1</v>
      </c>
    </row>
    <row r="181" spans="1:3" x14ac:dyDescent="0.25">
      <c r="A181">
        <v>19535</v>
      </c>
      <c r="B181" t="s">
        <v>10806</v>
      </c>
      <c r="C181">
        <v>1</v>
      </c>
    </row>
    <row r="182" spans="1:3" x14ac:dyDescent="0.25">
      <c r="A182">
        <v>19537</v>
      </c>
      <c r="B182" t="s">
        <v>10806</v>
      </c>
      <c r="C182">
        <v>1</v>
      </c>
    </row>
    <row r="183" spans="1:3" x14ac:dyDescent="0.25">
      <c r="A183">
        <v>19539</v>
      </c>
      <c r="B183" t="s">
        <v>10806</v>
      </c>
      <c r="C183">
        <v>1</v>
      </c>
    </row>
    <row r="184" spans="1:3" x14ac:dyDescent="0.25">
      <c r="A184">
        <v>19686</v>
      </c>
      <c r="B184" t="s">
        <v>12585</v>
      </c>
      <c r="C184">
        <v>1</v>
      </c>
    </row>
    <row r="185" spans="1:3" x14ac:dyDescent="0.25">
      <c r="A185">
        <v>19693</v>
      </c>
      <c r="B185" t="s">
        <v>7008</v>
      </c>
      <c r="C185">
        <v>1</v>
      </c>
    </row>
    <row r="186" spans="1:3" x14ac:dyDescent="0.25">
      <c r="A186">
        <v>19728</v>
      </c>
      <c r="B186" t="s">
        <v>7008</v>
      </c>
      <c r="C186">
        <v>1</v>
      </c>
    </row>
    <row r="187" spans="1:3" x14ac:dyDescent="0.25">
      <c r="A187">
        <v>19737</v>
      </c>
      <c r="B187" t="s">
        <v>7008</v>
      </c>
      <c r="C187">
        <v>1</v>
      </c>
    </row>
    <row r="188" spans="1:3" x14ac:dyDescent="0.25">
      <c r="A188">
        <v>19744</v>
      </c>
      <c r="B188" t="s">
        <v>7008</v>
      </c>
      <c r="C188">
        <v>1</v>
      </c>
    </row>
    <row r="189" spans="1:3" x14ac:dyDescent="0.25">
      <c r="A189">
        <v>19746</v>
      </c>
      <c r="B189" t="s">
        <v>7008</v>
      </c>
      <c r="C189">
        <v>1</v>
      </c>
    </row>
    <row r="190" spans="1:3" x14ac:dyDescent="0.25">
      <c r="A190">
        <v>19881</v>
      </c>
      <c r="B190" t="s">
        <v>7862</v>
      </c>
      <c r="C190">
        <v>1</v>
      </c>
    </row>
    <row r="191" spans="1:3" x14ac:dyDescent="0.25">
      <c r="A191">
        <v>19883</v>
      </c>
      <c r="B191" t="s">
        <v>7862</v>
      </c>
      <c r="C191">
        <v>1</v>
      </c>
    </row>
    <row r="192" spans="1:3" x14ac:dyDescent="0.25">
      <c r="A192">
        <v>19885</v>
      </c>
      <c r="B192" t="s">
        <v>7862</v>
      </c>
      <c r="C192">
        <v>1</v>
      </c>
    </row>
    <row r="193" spans="1:3" x14ac:dyDescent="0.25">
      <c r="A193">
        <v>19887</v>
      </c>
      <c r="B193" t="s">
        <v>7862</v>
      </c>
      <c r="C193">
        <v>1</v>
      </c>
    </row>
    <row r="194" spans="1:3" x14ac:dyDescent="0.25">
      <c r="A194">
        <v>19889</v>
      </c>
      <c r="B194" t="s">
        <v>7862</v>
      </c>
      <c r="C194">
        <v>1</v>
      </c>
    </row>
    <row r="195" spans="1:3" x14ac:dyDescent="0.25">
      <c r="A195">
        <v>20088</v>
      </c>
      <c r="B195" t="s">
        <v>2</v>
      </c>
      <c r="C195">
        <v>1</v>
      </c>
    </row>
    <row r="196" spans="1:3" x14ac:dyDescent="0.25">
      <c r="A196">
        <v>20113</v>
      </c>
      <c r="B196" t="s">
        <v>2</v>
      </c>
      <c r="C196">
        <v>1</v>
      </c>
    </row>
    <row r="197" spans="1:3" x14ac:dyDescent="0.25">
      <c r="A197">
        <v>20129</v>
      </c>
      <c r="B197" t="s">
        <v>2</v>
      </c>
      <c r="C197">
        <v>1</v>
      </c>
    </row>
    <row r="198" spans="1:3" x14ac:dyDescent="0.25">
      <c r="A198">
        <v>20133</v>
      </c>
      <c r="B198" t="s">
        <v>2</v>
      </c>
      <c r="C198">
        <v>1</v>
      </c>
    </row>
    <row r="199" spans="1:3" x14ac:dyDescent="0.25">
      <c r="A199">
        <v>20138</v>
      </c>
      <c r="B199" t="s">
        <v>2</v>
      </c>
      <c r="C199">
        <v>1</v>
      </c>
    </row>
    <row r="200" spans="1:3" x14ac:dyDescent="0.25">
      <c r="A200">
        <v>20140</v>
      </c>
      <c r="B200" t="s">
        <v>2</v>
      </c>
      <c r="C200">
        <v>1</v>
      </c>
    </row>
    <row r="201" spans="1:3" x14ac:dyDescent="0.25">
      <c r="A201">
        <v>20142</v>
      </c>
      <c r="B201" t="s">
        <v>2</v>
      </c>
      <c r="C201">
        <v>1</v>
      </c>
    </row>
    <row r="202" spans="1:3" x14ac:dyDescent="0.25">
      <c r="A202">
        <v>20359</v>
      </c>
      <c r="B202" t="s">
        <v>7008</v>
      </c>
      <c r="C202">
        <v>1</v>
      </c>
    </row>
    <row r="203" spans="1:3" x14ac:dyDescent="0.25">
      <c r="A203">
        <v>20361</v>
      </c>
      <c r="B203" t="s">
        <v>7008</v>
      </c>
      <c r="C203">
        <v>1</v>
      </c>
    </row>
    <row r="204" spans="1:3" x14ac:dyDescent="0.25">
      <c r="A204">
        <v>20403</v>
      </c>
      <c r="B204" t="s">
        <v>7008</v>
      </c>
      <c r="C204">
        <v>1</v>
      </c>
    </row>
    <row r="205" spans="1:3" x14ac:dyDescent="0.25">
      <c r="A205">
        <v>20405</v>
      </c>
      <c r="B205" t="s">
        <v>7008</v>
      </c>
      <c r="C205">
        <v>1</v>
      </c>
    </row>
    <row r="206" spans="1:3" x14ac:dyDescent="0.25">
      <c r="A206">
        <v>20407</v>
      </c>
      <c r="B206" t="s">
        <v>7008</v>
      </c>
      <c r="C206">
        <v>1</v>
      </c>
    </row>
    <row r="207" spans="1:3" x14ac:dyDescent="0.25">
      <c r="A207">
        <v>20409</v>
      </c>
      <c r="B207" t="s">
        <v>7008</v>
      </c>
      <c r="C207">
        <v>1</v>
      </c>
    </row>
    <row r="208" spans="1:3" x14ac:dyDescent="0.25">
      <c r="A208">
        <v>20411</v>
      </c>
      <c r="B208" t="s">
        <v>7008</v>
      </c>
      <c r="C208">
        <v>1</v>
      </c>
    </row>
    <row r="209" spans="1:3" x14ac:dyDescent="0.25">
      <c r="A209">
        <v>20413</v>
      </c>
      <c r="B209" t="s">
        <v>7008</v>
      </c>
      <c r="C209">
        <v>1</v>
      </c>
    </row>
    <row r="210" spans="1:3" x14ac:dyDescent="0.25">
      <c r="A210">
        <v>20415</v>
      </c>
      <c r="B210" t="s">
        <v>7008</v>
      </c>
      <c r="C210">
        <v>1</v>
      </c>
    </row>
    <row r="211" spans="1:3" x14ac:dyDescent="0.25">
      <c r="A211">
        <v>20451</v>
      </c>
      <c r="B211" t="s">
        <v>7008</v>
      </c>
      <c r="C211">
        <v>1</v>
      </c>
    </row>
    <row r="212" spans="1:3" x14ac:dyDescent="0.25">
      <c r="A212">
        <v>20453</v>
      </c>
      <c r="B212" t="s">
        <v>7008</v>
      </c>
      <c r="C212">
        <v>1</v>
      </c>
    </row>
    <row r="213" spans="1:3" x14ac:dyDescent="0.25">
      <c r="A213">
        <v>20455</v>
      </c>
      <c r="B213" t="s">
        <v>7008</v>
      </c>
      <c r="C213">
        <v>1</v>
      </c>
    </row>
    <row r="214" spans="1:3" x14ac:dyDescent="0.25">
      <c r="A214">
        <v>20457</v>
      </c>
      <c r="B214" t="s">
        <v>7008</v>
      </c>
      <c r="C214">
        <v>1</v>
      </c>
    </row>
    <row r="215" spans="1:3" x14ac:dyDescent="0.25">
      <c r="A215">
        <v>20459</v>
      </c>
      <c r="B215" t="s">
        <v>7008</v>
      </c>
      <c r="C215">
        <v>1</v>
      </c>
    </row>
    <row r="216" spans="1:3" x14ac:dyDescent="0.25">
      <c r="A216">
        <v>20498</v>
      </c>
      <c r="B216" t="s">
        <v>7008</v>
      </c>
      <c r="C216">
        <v>1</v>
      </c>
    </row>
    <row r="217" spans="1:3" x14ac:dyDescent="0.25">
      <c r="A217">
        <v>20500</v>
      </c>
      <c r="B217" t="s">
        <v>7008</v>
      </c>
      <c r="C217">
        <v>1</v>
      </c>
    </row>
    <row r="218" spans="1:3" x14ac:dyDescent="0.25">
      <c r="A218">
        <v>20652</v>
      </c>
      <c r="B218" t="s">
        <v>12585</v>
      </c>
      <c r="C218">
        <v>1</v>
      </c>
    </row>
    <row r="219" spans="1:3" x14ac:dyDescent="0.25">
      <c r="A219">
        <v>20661</v>
      </c>
      <c r="B219" t="s">
        <v>7008</v>
      </c>
      <c r="C219">
        <v>1</v>
      </c>
    </row>
    <row r="220" spans="1:3" x14ac:dyDescent="0.25">
      <c r="A220">
        <v>20662</v>
      </c>
      <c r="B220" t="s">
        <v>2</v>
      </c>
      <c r="C220">
        <v>1</v>
      </c>
    </row>
    <row r="221" spans="1:3" x14ac:dyDescent="0.25">
      <c r="A221">
        <v>20672</v>
      </c>
      <c r="B221" t="s">
        <v>7008</v>
      </c>
      <c r="C221">
        <v>1</v>
      </c>
    </row>
    <row r="222" spans="1:3" x14ac:dyDescent="0.25">
      <c r="A222">
        <v>20674</v>
      </c>
      <c r="B222" t="s">
        <v>7008</v>
      </c>
      <c r="C222">
        <v>1</v>
      </c>
    </row>
    <row r="223" spans="1:3" x14ac:dyDescent="0.25">
      <c r="A223">
        <v>20681</v>
      </c>
      <c r="B223" t="s">
        <v>2</v>
      </c>
      <c r="C223">
        <v>1</v>
      </c>
    </row>
    <row r="224" spans="1:3" x14ac:dyDescent="0.25">
      <c r="A224">
        <v>20903</v>
      </c>
      <c r="B224" t="s">
        <v>9690</v>
      </c>
      <c r="C224">
        <v>1</v>
      </c>
    </row>
    <row r="225" spans="1:3" x14ac:dyDescent="0.25">
      <c r="A225">
        <v>20911</v>
      </c>
      <c r="B225" t="s">
        <v>9690</v>
      </c>
      <c r="C225">
        <v>1</v>
      </c>
    </row>
    <row r="226" spans="1:3" x14ac:dyDescent="0.25">
      <c r="A226">
        <v>20919</v>
      </c>
      <c r="B226" t="s">
        <v>9690</v>
      </c>
      <c r="C226">
        <v>1</v>
      </c>
    </row>
    <row r="227" spans="1:3" x14ac:dyDescent="0.25">
      <c r="A227">
        <v>20921</v>
      </c>
      <c r="B227" t="s">
        <v>9690</v>
      </c>
      <c r="C227">
        <v>1</v>
      </c>
    </row>
    <row r="228" spans="1:3" x14ac:dyDescent="0.25">
      <c r="A228">
        <v>20922</v>
      </c>
      <c r="B228" t="s">
        <v>9690</v>
      </c>
      <c r="C228">
        <v>1</v>
      </c>
    </row>
    <row r="229" spans="1:3" x14ac:dyDescent="0.25">
      <c r="A229">
        <v>20926</v>
      </c>
      <c r="B229" t="s">
        <v>9690</v>
      </c>
      <c r="C229">
        <v>1</v>
      </c>
    </row>
    <row r="230" spans="1:3" x14ac:dyDescent="0.25">
      <c r="A230">
        <v>20927</v>
      </c>
      <c r="B230" t="s">
        <v>9690</v>
      </c>
      <c r="C230">
        <v>1</v>
      </c>
    </row>
    <row r="231" spans="1:3" x14ac:dyDescent="0.25">
      <c r="A231">
        <v>20931</v>
      </c>
      <c r="B231" t="s">
        <v>9690</v>
      </c>
      <c r="C231">
        <v>1</v>
      </c>
    </row>
    <row r="232" spans="1:3" x14ac:dyDescent="0.25">
      <c r="A232">
        <v>20933</v>
      </c>
      <c r="B232" t="s">
        <v>9690</v>
      </c>
      <c r="C232">
        <v>1</v>
      </c>
    </row>
    <row r="233" spans="1:3" x14ac:dyDescent="0.25">
      <c r="A233">
        <v>20935</v>
      </c>
      <c r="B233" t="s">
        <v>9690</v>
      </c>
      <c r="C233">
        <v>1</v>
      </c>
    </row>
    <row r="234" spans="1:3" x14ac:dyDescent="0.25">
      <c r="A234">
        <v>20937</v>
      </c>
      <c r="B234" t="s">
        <v>9690</v>
      </c>
      <c r="C234">
        <v>1</v>
      </c>
    </row>
    <row r="235" spans="1:3" x14ac:dyDescent="0.25">
      <c r="A235">
        <v>20938</v>
      </c>
      <c r="B235" t="s">
        <v>9690</v>
      </c>
      <c r="C235">
        <v>1</v>
      </c>
    </row>
    <row r="236" spans="1:3" x14ac:dyDescent="0.25">
      <c r="A236">
        <v>20950</v>
      </c>
      <c r="B236" t="s">
        <v>9690</v>
      </c>
      <c r="C236">
        <v>1</v>
      </c>
    </row>
    <row r="237" spans="1:3" x14ac:dyDescent="0.25">
      <c r="A237">
        <v>20952</v>
      </c>
      <c r="B237" t="s">
        <v>9690</v>
      </c>
      <c r="C237">
        <v>1</v>
      </c>
    </row>
    <row r="238" spans="1:3" x14ac:dyDescent="0.25">
      <c r="A238">
        <v>20954</v>
      </c>
      <c r="B238" t="s">
        <v>9690</v>
      </c>
      <c r="C238">
        <v>1</v>
      </c>
    </row>
    <row r="239" spans="1:3" x14ac:dyDescent="0.25">
      <c r="A239">
        <v>20956</v>
      </c>
      <c r="B239" t="s">
        <v>9690</v>
      </c>
      <c r="C239">
        <v>1</v>
      </c>
    </row>
    <row r="240" spans="1:3" x14ac:dyDescent="0.25">
      <c r="A240">
        <v>20960</v>
      </c>
      <c r="B240" t="s">
        <v>9690</v>
      </c>
      <c r="C240">
        <v>1</v>
      </c>
    </row>
    <row r="241" spans="1:3" x14ac:dyDescent="0.25">
      <c r="A241">
        <v>20961</v>
      </c>
      <c r="B241" t="s">
        <v>9690</v>
      </c>
      <c r="C241">
        <v>1</v>
      </c>
    </row>
    <row r="242" spans="1:3" x14ac:dyDescent="0.25">
      <c r="A242">
        <v>20962</v>
      </c>
      <c r="B242" t="s">
        <v>9690</v>
      </c>
      <c r="C242">
        <v>1</v>
      </c>
    </row>
    <row r="243" spans="1:3" x14ac:dyDescent="0.25">
      <c r="A243">
        <v>20963</v>
      </c>
      <c r="B243" t="s">
        <v>9690</v>
      </c>
      <c r="C243">
        <v>1</v>
      </c>
    </row>
    <row r="244" spans="1:3" x14ac:dyDescent="0.25">
      <c r="A244">
        <v>20965</v>
      </c>
      <c r="B244" t="s">
        <v>9690</v>
      </c>
      <c r="C244">
        <v>1</v>
      </c>
    </row>
    <row r="245" spans="1:3" x14ac:dyDescent="0.25">
      <c r="A245">
        <v>20966</v>
      </c>
      <c r="B245" t="s">
        <v>9690</v>
      </c>
      <c r="C245">
        <v>1</v>
      </c>
    </row>
    <row r="246" spans="1:3" x14ac:dyDescent="0.25">
      <c r="A246">
        <v>20967</v>
      </c>
      <c r="B246" t="s">
        <v>9690</v>
      </c>
      <c r="C246">
        <v>1</v>
      </c>
    </row>
    <row r="247" spans="1:3" x14ac:dyDescent="0.25">
      <c r="A247">
        <v>20968</v>
      </c>
      <c r="B247" t="s">
        <v>9690</v>
      </c>
      <c r="C247">
        <v>1</v>
      </c>
    </row>
    <row r="248" spans="1:3" x14ac:dyDescent="0.25">
      <c r="A248">
        <v>20969</v>
      </c>
      <c r="B248" t="s">
        <v>9690</v>
      </c>
      <c r="C248">
        <v>1</v>
      </c>
    </row>
    <row r="249" spans="1:3" x14ac:dyDescent="0.25">
      <c r="A249">
        <v>20971</v>
      </c>
      <c r="B249" t="s">
        <v>9690</v>
      </c>
      <c r="C249">
        <v>1</v>
      </c>
    </row>
    <row r="250" spans="1:3" x14ac:dyDescent="0.25">
      <c r="A250">
        <v>20973</v>
      </c>
      <c r="B250" t="s">
        <v>9690</v>
      </c>
      <c r="C250">
        <v>1</v>
      </c>
    </row>
    <row r="251" spans="1:3" x14ac:dyDescent="0.25">
      <c r="A251">
        <v>20975</v>
      </c>
      <c r="B251" t="s">
        <v>9690</v>
      </c>
      <c r="C251">
        <v>1</v>
      </c>
    </row>
    <row r="252" spans="1:3" x14ac:dyDescent="0.25">
      <c r="A252">
        <v>20977</v>
      </c>
      <c r="B252" t="s">
        <v>9690</v>
      </c>
      <c r="C252">
        <v>1</v>
      </c>
    </row>
    <row r="253" spans="1:3" x14ac:dyDescent="0.25">
      <c r="A253">
        <v>20978</v>
      </c>
      <c r="B253" t="s">
        <v>9690</v>
      </c>
      <c r="C253">
        <v>1</v>
      </c>
    </row>
    <row r="254" spans="1:3" x14ac:dyDescent="0.25">
      <c r="A254">
        <v>20981</v>
      </c>
      <c r="B254" t="s">
        <v>9690</v>
      </c>
      <c r="C254">
        <v>1</v>
      </c>
    </row>
    <row r="255" spans="1:3" x14ac:dyDescent="0.25">
      <c r="A255">
        <v>20982</v>
      </c>
      <c r="B255" t="s">
        <v>9690</v>
      </c>
      <c r="C255">
        <v>1</v>
      </c>
    </row>
    <row r="256" spans="1:3" x14ac:dyDescent="0.25">
      <c r="A256">
        <v>20984</v>
      </c>
      <c r="B256" t="s">
        <v>9690</v>
      </c>
      <c r="C256">
        <v>1</v>
      </c>
    </row>
    <row r="257" spans="1:3" x14ac:dyDescent="0.25">
      <c r="A257">
        <v>20988</v>
      </c>
      <c r="B257" t="s">
        <v>9690</v>
      </c>
      <c r="C257">
        <v>1</v>
      </c>
    </row>
    <row r="258" spans="1:3" x14ac:dyDescent="0.25">
      <c r="A258">
        <v>20990</v>
      </c>
      <c r="B258" t="s">
        <v>9690</v>
      </c>
      <c r="C258">
        <v>1</v>
      </c>
    </row>
    <row r="259" spans="1:3" x14ac:dyDescent="0.25">
      <c r="A259">
        <v>20991</v>
      </c>
      <c r="B259" t="s">
        <v>9690</v>
      </c>
      <c r="C259">
        <v>1</v>
      </c>
    </row>
    <row r="260" spans="1:3" x14ac:dyDescent="0.25">
      <c r="A260">
        <v>20992</v>
      </c>
      <c r="B260" t="s">
        <v>9690</v>
      </c>
      <c r="C260">
        <v>1</v>
      </c>
    </row>
    <row r="261" spans="1:3" x14ac:dyDescent="0.25">
      <c r="A261">
        <v>20993</v>
      </c>
      <c r="B261" t="s">
        <v>9690</v>
      </c>
      <c r="C261">
        <v>1</v>
      </c>
    </row>
    <row r="262" spans="1:3" x14ac:dyDescent="0.25">
      <c r="A262">
        <v>20994</v>
      </c>
      <c r="B262" t="s">
        <v>9690</v>
      </c>
      <c r="C262">
        <v>1</v>
      </c>
    </row>
    <row r="263" spans="1:3" x14ac:dyDescent="0.25">
      <c r="A263">
        <v>21039</v>
      </c>
      <c r="B263" t="s">
        <v>9690</v>
      </c>
      <c r="C263">
        <v>1</v>
      </c>
    </row>
    <row r="264" spans="1:3" x14ac:dyDescent="0.25">
      <c r="A264">
        <v>21042</v>
      </c>
      <c r="B264" t="s">
        <v>9690</v>
      </c>
      <c r="C264">
        <v>1</v>
      </c>
    </row>
    <row r="265" spans="1:3" x14ac:dyDescent="0.25">
      <c r="A265">
        <v>21043</v>
      </c>
      <c r="B265" t="s">
        <v>9690</v>
      </c>
      <c r="C265">
        <v>1</v>
      </c>
    </row>
    <row r="266" spans="1:3" x14ac:dyDescent="0.25">
      <c r="A266">
        <v>21044</v>
      </c>
      <c r="B266" t="s">
        <v>9690</v>
      </c>
      <c r="C266">
        <v>1</v>
      </c>
    </row>
    <row r="267" spans="1:3" x14ac:dyDescent="0.25">
      <c r="A267">
        <v>21045</v>
      </c>
      <c r="B267" t="s">
        <v>9690</v>
      </c>
      <c r="C267">
        <v>1</v>
      </c>
    </row>
    <row r="268" spans="1:3" x14ac:dyDescent="0.25">
      <c r="A268">
        <v>21047</v>
      </c>
      <c r="B268" t="s">
        <v>9690</v>
      </c>
      <c r="C268">
        <v>1</v>
      </c>
    </row>
    <row r="269" spans="1:3" x14ac:dyDescent="0.25">
      <c r="A269">
        <v>21048</v>
      </c>
      <c r="B269" t="s">
        <v>9690</v>
      </c>
      <c r="C269">
        <v>1</v>
      </c>
    </row>
    <row r="270" spans="1:3" x14ac:dyDescent="0.25">
      <c r="A270">
        <v>21049</v>
      </c>
      <c r="B270" t="s">
        <v>9690</v>
      </c>
      <c r="C270">
        <v>1</v>
      </c>
    </row>
    <row r="271" spans="1:3" x14ac:dyDescent="0.25">
      <c r="A271">
        <v>21050</v>
      </c>
      <c r="B271" t="s">
        <v>9690</v>
      </c>
      <c r="C271">
        <v>1</v>
      </c>
    </row>
    <row r="272" spans="1:3" x14ac:dyDescent="0.25">
      <c r="A272">
        <v>21051</v>
      </c>
      <c r="B272" t="s">
        <v>9690</v>
      </c>
      <c r="C272">
        <v>1</v>
      </c>
    </row>
    <row r="273" spans="1:3" x14ac:dyDescent="0.25">
      <c r="A273">
        <v>21052</v>
      </c>
      <c r="B273" t="s">
        <v>9690</v>
      </c>
      <c r="C273">
        <v>1</v>
      </c>
    </row>
    <row r="274" spans="1:3" x14ac:dyDescent="0.25">
      <c r="A274">
        <v>21053</v>
      </c>
      <c r="B274" t="s">
        <v>9690</v>
      </c>
      <c r="C274">
        <v>1</v>
      </c>
    </row>
    <row r="275" spans="1:3" x14ac:dyDescent="0.25">
      <c r="A275">
        <v>21054</v>
      </c>
      <c r="B275" t="s">
        <v>9690</v>
      </c>
      <c r="C275">
        <v>1</v>
      </c>
    </row>
    <row r="276" spans="1:3" x14ac:dyDescent="0.25">
      <c r="A276">
        <v>21055</v>
      </c>
      <c r="B276" t="s">
        <v>9690</v>
      </c>
      <c r="C276">
        <v>1</v>
      </c>
    </row>
    <row r="277" spans="1:3" x14ac:dyDescent="0.25">
      <c r="A277">
        <v>21056</v>
      </c>
      <c r="B277" t="s">
        <v>9690</v>
      </c>
      <c r="C277">
        <v>1</v>
      </c>
    </row>
    <row r="278" spans="1:3" x14ac:dyDescent="0.25">
      <c r="A278">
        <v>21057</v>
      </c>
      <c r="B278" t="s">
        <v>9690</v>
      </c>
      <c r="C278">
        <v>1</v>
      </c>
    </row>
    <row r="279" spans="1:3" x14ac:dyDescent="0.25">
      <c r="A279">
        <v>21058</v>
      </c>
      <c r="B279" t="s">
        <v>9690</v>
      </c>
      <c r="C279">
        <v>1</v>
      </c>
    </row>
    <row r="280" spans="1:3" x14ac:dyDescent="0.25">
      <c r="A280">
        <v>21059</v>
      </c>
      <c r="B280" t="s">
        <v>9690</v>
      </c>
      <c r="C280">
        <v>1</v>
      </c>
    </row>
    <row r="281" spans="1:3" x14ac:dyDescent="0.25">
      <c r="A281">
        <v>21060</v>
      </c>
      <c r="B281" t="s">
        <v>9690</v>
      </c>
      <c r="C281">
        <v>1</v>
      </c>
    </row>
    <row r="282" spans="1:3" x14ac:dyDescent="0.25">
      <c r="A282">
        <v>21062</v>
      </c>
      <c r="B282" t="s">
        <v>9690</v>
      </c>
      <c r="C282">
        <v>1</v>
      </c>
    </row>
    <row r="283" spans="1:3" x14ac:dyDescent="0.25">
      <c r="A283">
        <v>21066</v>
      </c>
      <c r="B283" t="s">
        <v>9690</v>
      </c>
      <c r="C283">
        <v>1</v>
      </c>
    </row>
    <row r="284" spans="1:3" x14ac:dyDescent="0.25">
      <c r="A284">
        <v>21068</v>
      </c>
      <c r="B284" t="s">
        <v>9690</v>
      </c>
      <c r="C284">
        <v>1</v>
      </c>
    </row>
    <row r="285" spans="1:3" x14ac:dyDescent="0.25">
      <c r="A285">
        <v>21069</v>
      </c>
      <c r="B285" t="s">
        <v>9690</v>
      </c>
      <c r="C285">
        <v>1</v>
      </c>
    </row>
    <row r="286" spans="1:3" x14ac:dyDescent="0.25">
      <c r="A286">
        <v>21070</v>
      </c>
      <c r="B286" t="s">
        <v>9690</v>
      </c>
      <c r="C286">
        <v>1</v>
      </c>
    </row>
    <row r="287" spans="1:3" x14ac:dyDescent="0.25">
      <c r="A287">
        <v>21071</v>
      </c>
      <c r="B287" t="s">
        <v>9690</v>
      </c>
      <c r="C287">
        <v>1</v>
      </c>
    </row>
    <row r="288" spans="1:3" x14ac:dyDescent="0.25">
      <c r="A288">
        <v>21072</v>
      </c>
      <c r="B288" t="s">
        <v>9690</v>
      </c>
      <c r="C288">
        <v>1</v>
      </c>
    </row>
    <row r="289" spans="1:3" x14ac:dyDescent="0.25">
      <c r="A289">
        <v>21073</v>
      </c>
      <c r="B289" t="s">
        <v>9690</v>
      </c>
      <c r="C289">
        <v>1</v>
      </c>
    </row>
    <row r="290" spans="1:3" x14ac:dyDescent="0.25">
      <c r="A290">
        <v>21074</v>
      </c>
      <c r="B290" t="s">
        <v>9690</v>
      </c>
      <c r="C290">
        <v>1</v>
      </c>
    </row>
    <row r="291" spans="1:3" x14ac:dyDescent="0.25">
      <c r="A291">
        <v>21075</v>
      </c>
      <c r="B291" t="s">
        <v>9690</v>
      </c>
      <c r="C291">
        <v>1</v>
      </c>
    </row>
    <row r="292" spans="1:3" x14ac:dyDescent="0.25">
      <c r="A292">
        <v>21078</v>
      </c>
      <c r="B292" t="s">
        <v>9690</v>
      </c>
      <c r="C292">
        <v>1</v>
      </c>
    </row>
    <row r="293" spans="1:3" x14ac:dyDescent="0.25">
      <c r="A293">
        <v>21079</v>
      </c>
      <c r="B293" t="s">
        <v>9690</v>
      </c>
      <c r="C293">
        <v>1</v>
      </c>
    </row>
    <row r="294" spans="1:3" x14ac:dyDescent="0.25">
      <c r="A294">
        <v>21081</v>
      </c>
      <c r="B294" t="s">
        <v>9690</v>
      </c>
      <c r="C294">
        <v>1</v>
      </c>
    </row>
    <row r="295" spans="1:3" x14ac:dyDescent="0.25">
      <c r="A295">
        <v>21083</v>
      </c>
      <c r="B295" t="s">
        <v>9690</v>
      </c>
      <c r="C295">
        <v>1</v>
      </c>
    </row>
    <row r="296" spans="1:3" x14ac:dyDescent="0.25">
      <c r="A296">
        <v>21084</v>
      </c>
      <c r="B296" t="s">
        <v>9690</v>
      </c>
      <c r="C296">
        <v>1</v>
      </c>
    </row>
    <row r="297" spans="1:3" x14ac:dyDescent="0.25">
      <c r="A297">
        <v>21085</v>
      </c>
      <c r="B297" t="s">
        <v>9690</v>
      </c>
      <c r="C297">
        <v>1</v>
      </c>
    </row>
    <row r="298" spans="1:3" x14ac:dyDescent="0.25">
      <c r="A298">
        <v>21087</v>
      </c>
      <c r="B298" t="s">
        <v>9690</v>
      </c>
      <c r="C298">
        <v>1</v>
      </c>
    </row>
    <row r="299" spans="1:3" x14ac:dyDescent="0.25">
      <c r="A299">
        <v>21088</v>
      </c>
      <c r="B299" t="s">
        <v>9690</v>
      </c>
      <c r="C299">
        <v>1</v>
      </c>
    </row>
    <row r="300" spans="1:3" x14ac:dyDescent="0.25">
      <c r="A300">
        <v>21090</v>
      </c>
      <c r="B300" t="s">
        <v>9690</v>
      </c>
      <c r="C300">
        <v>1</v>
      </c>
    </row>
    <row r="301" spans="1:3" x14ac:dyDescent="0.25">
      <c r="A301">
        <v>21091</v>
      </c>
      <c r="B301" t="s">
        <v>9690</v>
      </c>
      <c r="C301">
        <v>1</v>
      </c>
    </row>
    <row r="302" spans="1:3" x14ac:dyDescent="0.25">
      <c r="A302">
        <v>21095</v>
      </c>
      <c r="B302" t="s">
        <v>9690</v>
      </c>
      <c r="C302">
        <v>1</v>
      </c>
    </row>
    <row r="303" spans="1:3" x14ac:dyDescent="0.25">
      <c r="A303">
        <v>21097</v>
      </c>
      <c r="B303" t="s">
        <v>9690</v>
      </c>
      <c r="C303">
        <v>1</v>
      </c>
    </row>
    <row r="304" spans="1:3" x14ac:dyDescent="0.25">
      <c r="A304">
        <v>21098</v>
      </c>
      <c r="B304" t="s">
        <v>9690</v>
      </c>
      <c r="C304">
        <v>1</v>
      </c>
    </row>
    <row r="305" spans="1:3" x14ac:dyDescent="0.25">
      <c r="A305">
        <v>21099</v>
      </c>
      <c r="B305" t="s">
        <v>9690</v>
      </c>
      <c r="C305">
        <v>1</v>
      </c>
    </row>
    <row r="306" spans="1:3" x14ac:dyDescent="0.25">
      <c r="A306">
        <v>21100</v>
      </c>
      <c r="B306" t="s">
        <v>9690</v>
      </c>
      <c r="C306">
        <v>1</v>
      </c>
    </row>
    <row r="307" spans="1:3" x14ac:dyDescent="0.25">
      <c r="A307">
        <v>21101</v>
      </c>
      <c r="B307" t="s">
        <v>9690</v>
      </c>
      <c r="C307">
        <v>1</v>
      </c>
    </row>
    <row r="308" spans="1:3" x14ac:dyDescent="0.25">
      <c r="A308">
        <v>21102</v>
      </c>
      <c r="B308" t="s">
        <v>9690</v>
      </c>
      <c r="C308">
        <v>1</v>
      </c>
    </row>
    <row r="309" spans="1:3" x14ac:dyDescent="0.25">
      <c r="A309">
        <v>21103</v>
      </c>
      <c r="B309" t="s">
        <v>9690</v>
      </c>
      <c r="C309">
        <v>1</v>
      </c>
    </row>
    <row r="310" spans="1:3" x14ac:dyDescent="0.25">
      <c r="A310">
        <v>21104</v>
      </c>
      <c r="B310" t="s">
        <v>9690</v>
      </c>
      <c r="C310">
        <v>1</v>
      </c>
    </row>
    <row r="311" spans="1:3" x14ac:dyDescent="0.25">
      <c r="A311">
        <v>21105</v>
      </c>
      <c r="B311" t="s">
        <v>9690</v>
      </c>
      <c r="C311">
        <v>1</v>
      </c>
    </row>
    <row r="312" spans="1:3" x14ac:dyDescent="0.25">
      <c r="A312">
        <v>21106</v>
      </c>
      <c r="B312" t="s">
        <v>9690</v>
      </c>
      <c r="C312">
        <v>1</v>
      </c>
    </row>
    <row r="313" spans="1:3" x14ac:dyDescent="0.25">
      <c r="A313">
        <v>21108</v>
      </c>
      <c r="B313" t="s">
        <v>9690</v>
      </c>
      <c r="C313">
        <v>1</v>
      </c>
    </row>
    <row r="314" spans="1:3" x14ac:dyDescent="0.25">
      <c r="A314">
        <v>21109</v>
      </c>
      <c r="B314" t="s">
        <v>9690</v>
      </c>
      <c r="C314">
        <v>1</v>
      </c>
    </row>
    <row r="315" spans="1:3" x14ac:dyDescent="0.25">
      <c r="A315">
        <v>21110</v>
      </c>
      <c r="B315" t="s">
        <v>9690</v>
      </c>
      <c r="C315">
        <v>1</v>
      </c>
    </row>
    <row r="316" spans="1:3" x14ac:dyDescent="0.25">
      <c r="A316">
        <v>21111</v>
      </c>
      <c r="B316" t="s">
        <v>9690</v>
      </c>
      <c r="C316">
        <v>1</v>
      </c>
    </row>
    <row r="317" spans="1:3" x14ac:dyDescent="0.25">
      <c r="A317">
        <v>21112</v>
      </c>
      <c r="B317" t="s">
        <v>9690</v>
      </c>
      <c r="C317">
        <v>1</v>
      </c>
    </row>
    <row r="318" spans="1:3" x14ac:dyDescent="0.25">
      <c r="A318">
        <v>21113</v>
      </c>
      <c r="B318" t="s">
        <v>9690</v>
      </c>
      <c r="C318">
        <v>1</v>
      </c>
    </row>
    <row r="319" spans="1:3" x14ac:dyDescent="0.25">
      <c r="A319">
        <v>21114</v>
      </c>
      <c r="B319" t="s">
        <v>9690</v>
      </c>
      <c r="C319">
        <v>1</v>
      </c>
    </row>
    <row r="320" spans="1:3" x14ac:dyDescent="0.25">
      <c r="A320">
        <v>21115</v>
      </c>
      <c r="B320" t="s">
        <v>9690</v>
      </c>
      <c r="C320">
        <v>1</v>
      </c>
    </row>
    <row r="321" spans="1:3" x14ac:dyDescent="0.25">
      <c r="A321">
        <v>21116</v>
      </c>
      <c r="B321" t="s">
        <v>9690</v>
      </c>
      <c r="C321">
        <v>1</v>
      </c>
    </row>
    <row r="322" spans="1:3" x14ac:dyDescent="0.25">
      <c r="A322">
        <v>21120</v>
      </c>
      <c r="B322" t="s">
        <v>9690</v>
      </c>
      <c r="C322">
        <v>1</v>
      </c>
    </row>
    <row r="323" spans="1:3" x14ac:dyDescent="0.25">
      <c r="A323">
        <v>21121</v>
      </c>
      <c r="B323" t="s">
        <v>9690</v>
      </c>
      <c r="C323">
        <v>1</v>
      </c>
    </row>
    <row r="324" spans="1:3" x14ac:dyDescent="0.25">
      <c r="A324">
        <v>21123</v>
      </c>
      <c r="B324" t="s">
        <v>9690</v>
      </c>
      <c r="C324">
        <v>1</v>
      </c>
    </row>
    <row r="325" spans="1:3" x14ac:dyDescent="0.25">
      <c r="A325">
        <v>21124</v>
      </c>
      <c r="B325" t="s">
        <v>9690</v>
      </c>
      <c r="C325">
        <v>1</v>
      </c>
    </row>
    <row r="326" spans="1:3" x14ac:dyDescent="0.25">
      <c r="A326">
        <v>21128</v>
      </c>
      <c r="B326" t="s">
        <v>9690</v>
      </c>
      <c r="C326">
        <v>1</v>
      </c>
    </row>
    <row r="327" spans="1:3" x14ac:dyDescent="0.25">
      <c r="A327">
        <v>21129</v>
      </c>
      <c r="B327" t="s">
        <v>9690</v>
      </c>
      <c r="C327">
        <v>1</v>
      </c>
    </row>
    <row r="328" spans="1:3" x14ac:dyDescent="0.25">
      <c r="A328">
        <v>21130</v>
      </c>
      <c r="B328" t="s">
        <v>9690</v>
      </c>
      <c r="C328">
        <v>1</v>
      </c>
    </row>
    <row r="329" spans="1:3" x14ac:dyDescent="0.25">
      <c r="A329">
        <v>21135</v>
      </c>
      <c r="B329" t="s">
        <v>9690</v>
      </c>
      <c r="C329">
        <v>1</v>
      </c>
    </row>
    <row r="330" spans="1:3" x14ac:dyDescent="0.25">
      <c r="A330">
        <v>21136</v>
      </c>
      <c r="B330" t="s">
        <v>9690</v>
      </c>
      <c r="C330">
        <v>1</v>
      </c>
    </row>
    <row r="331" spans="1:3" x14ac:dyDescent="0.25">
      <c r="A331">
        <v>21137</v>
      </c>
      <c r="B331" t="s">
        <v>9690</v>
      </c>
      <c r="C331">
        <v>1</v>
      </c>
    </row>
    <row r="332" spans="1:3" x14ac:dyDescent="0.25">
      <c r="A332">
        <v>21138</v>
      </c>
      <c r="B332" t="s">
        <v>9690</v>
      </c>
      <c r="C332">
        <v>1</v>
      </c>
    </row>
    <row r="333" spans="1:3" x14ac:dyDescent="0.25">
      <c r="A333">
        <v>21139</v>
      </c>
      <c r="B333" t="s">
        <v>9690</v>
      </c>
      <c r="C333">
        <v>1</v>
      </c>
    </row>
    <row r="334" spans="1:3" x14ac:dyDescent="0.25">
      <c r="A334">
        <v>21140</v>
      </c>
      <c r="B334" t="s">
        <v>9690</v>
      </c>
      <c r="C334">
        <v>1</v>
      </c>
    </row>
    <row r="335" spans="1:3" x14ac:dyDescent="0.25">
      <c r="A335">
        <v>21141</v>
      </c>
      <c r="B335" t="s">
        <v>9690</v>
      </c>
      <c r="C335">
        <v>1</v>
      </c>
    </row>
    <row r="336" spans="1:3" x14ac:dyDescent="0.25">
      <c r="A336">
        <v>21156</v>
      </c>
      <c r="B336" t="s">
        <v>9690</v>
      </c>
      <c r="C336">
        <v>1</v>
      </c>
    </row>
    <row r="337" spans="1:3" x14ac:dyDescent="0.25">
      <c r="A337">
        <v>21161</v>
      </c>
      <c r="B337" t="s">
        <v>9690</v>
      </c>
      <c r="C337">
        <v>1</v>
      </c>
    </row>
    <row r="338" spans="1:3" x14ac:dyDescent="0.25">
      <c r="A338">
        <v>21163</v>
      </c>
      <c r="B338" t="s">
        <v>9690</v>
      </c>
      <c r="C338">
        <v>1</v>
      </c>
    </row>
    <row r="339" spans="1:3" x14ac:dyDescent="0.25">
      <c r="A339">
        <v>21165</v>
      </c>
      <c r="B339" t="s">
        <v>9690</v>
      </c>
      <c r="C339">
        <v>1</v>
      </c>
    </row>
    <row r="340" spans="1:3" x14ac:dyDescent="0.25">
      <c r="A340">
        <v>21180</v>
      </c>
      <c r="B340" t="s">
        <v>9690</v>
      </c>
      <c r="C340">
        <v>1</v>
      </c>
    </row>
    <row r="341" spans="1:3" x14ac:dyDescent="0.25">
      <c r="A341">
        <v>21183</v>
      </c>
      <c r="B341" t="s">
        <v>9690</v>
      </c>
      <c r="C341">
        <v>1</v>
      </c>
    </row>
    <row r="342" spans="1:3" x14ac:dyDescent="0.25">
      <c r="A342">
        <v>21186</v>
      </c>
      <c r="B342" t="s">
        <v>9690</v>
      </c>
      <c r="C342">
        <v>1</v>
      </c>
    </row>
    <row r="343" spans="1:3" x14ac:dyDescent="0.25">
      <c r="A343">
        <v>21191</v>
      </c>
      <c r="B343" t="s">
        <v>9690</v>
      </c>
      <c r="C343">
        <v>1</v>
      </c>
    </row>
    <row r="344" spans="1:3" x14ac:dyDescent="0.25">
      <c r="A344">
        <v>21193</v>
      </c>
      <c r="B344" t="s">
        <v>9690</v>
      </c>
      <c r="C344">
        <v>1</v>
      </c>
    </row>
    <row r="345" spans="1:3" x14ac:dyDescent="0.25">
      <c r="A345">
        <v>21194</v>
      </c>
      <c r="B345" t="s">
        <v>9690</v>
      </c>
      <c r="C345">
        <v>1</v>
      </c>
    </row>
    <row r="346" spans="1:3" x14ac:dyDescent="0.25">
      <c r="A346">
        <v>21196</v>
      </c>
      <c r="B346" t="s">
        <v>9690</v>
      </c>
      <c r="C346">
        <v>1</v>
      </c>
    </row>
    <row r="347" spans="1:3" x14ac:dyDescent="0.25">
      <c r="A347">
        <v>21197</v>
      </c>
      <c r="B347" t="s">
        <v>9690</v>
      </c>
      <c r="C347">
        <v>1</v>
      </c>
    </row>
    <row r="348" spans="1:3" x14ac:dyDescent="0.25">
      <c r="A348">
        <v>21201</v>
      </c>
      <c r="B348" t="s">
        <v>9690</v>
      </c>
      <c r="C348">
        <v>1</v>
      </c>
    </row>
    <row r="349" spans="1:3" x14ac:dyDescent="0.25">
      <c r="A349">
        <v>21203</v>
      </c>
      <c r="B349" t="s">
        <v>9690</v>
      </c>
      <c r="C349">
        <v>1</v>
      </c>
    </row>
    <row r="350" spans="1:3" x14ac:dyDescent="0.25">
      <c r="A350">
        <v>21206</v>
      </c>
      <c r="B350" t="s">
        <v>9690</v>
      </c>
      <c r="C350">
        <v>1</v>
      </c>
    </row>
    <row r="351" spans="1:3" x14ac:dyDescent="0.25">
      <c r="A351">
        <v>21208</v>
      </c>
      <c r="B351" t="s">
        <v>9690</v>
      </c>
      <c r="C351">
        <v>1</v>
      </c>
    </row>
    <row r="352" spans="1:3" x14ac:dyDescent="0.25">
      <c r="A352">
        <v>21211</v>
      </c>
      <c r="B352" t="s">
        <v>9690</v>
      </c>
      <c r="C352">
        <v>1</v>
      </c>
    </row>
    <row r="353" spans="1:3" x14ac:dyDescent="0.25">
      <c r="A353">
        <v>21226</v>
      </c>
      <c r="B353" t="s">
        <v>11</v>
      </c>
      <c r="C353">
        <v>1</v>
      </c>
    </row>
    <row r="354" spans="1:3" x14ac:dyDescent="0.25">
      <c r="A354">
        <v>21238</v>
      </c>
      <c r="B354" t="s">
        <v>11</v>
      </c>
      <c r="C354">
        <v>1</v>
      </c>
    </row>
    <row r="355" spans="1:3" x14ac:dyDescent="0.25">
      <c r="A355">
        <v>21261</v>
      </c>
      <c r="B355" t="s">
        <v>11</v>
      </c>
      <c r="C355">
        <v>1</v>
      </c>
    </row>
    <row r="356" spans="1:3" x14ac:dyDescent="0.25">
      <c r="A356">
        <v>21279</v>
      </c>
      <c r="B356" t="s">
        <v>2</v>
      </c>
      <c r="C356">
        <v>1</v>
      </c>
    </row>
    <row r="357" spans="1:3" x14ac:dyDescent="0.25">
      <c r="A357">
        <v>21306</v>
      </c>
      <c r="B357" t="s">
        <v>9690</v>
      </c>
      <c r="C357">
        <v>1</v>
      </c>
    </row>
    <row r="358" spans="1:3" x14ac:dyDescent="0.25">
      <c r="A358">
        <v>21309</v>
      </c>
      <c r="B358" t="s">
        <v>9690</v>
      </c>
      <c r="C358">
        <v>1</v>
      </c>
    </row>
    <row r="359" spans="1:3" x14ac:dyDescent="0.25">
      <c r="A359">
        <v>21311</v>
      </c>
      <c r="B359" t="s">
        <v>9690</v>
      </c>
      <c r="C359">
        <v>1</v>
      </c>
    </row>
    <row r="360" spans="1:3" x14ac:dyDescent="0.25">
      <c r="A360">
        <v>21488</v>
      </c>
      <c r="B360" t="s">
        <v>2</v>
      </c>
      <c r="C360">
        <v>1</v>
      </c>
    </row>
    <row r="361" spans="1:3" x14ac:dyDescent="0.25">
      <c r="A361">
        <v>21490</v>
      </c>
      <c r="B361" t="s">
        <v>2</v>
      </c>
      <c r="C361">
        <v>1</v>
      </c>
    </row>
    <row r="362" spans="1:3" x14ac:dyDescent="0.25">
      <c r="A362">
        <v>21492</v>
      </c>
      <c r="B362" t="s">
        <v>2</v>
      </c>
      <c r="C362">
        <v>1</v>
      </c>
    </row>
    <row r="363" spans="1:3" x14ac:dyDescent="0.25">
      <c r="A363">
        <v>21494</v>
      </c>
      <c r="B363" t="s">
        <v>2</v>
      </c>
      <c r="C363">
        <v>1</v>
      </c>
    </row>
    <row r="364" spans="1:3" x14ac:dyDescent="0.25">
      <c r="A364">
        <v>21496</v>
      </c>
      <c r="B364" t="s">
        <v>2</v>
      </c>
      <c r="C364">
        <v>1</v>
      </c>
    </row>
    <row r="365" spans="1:3" x14ac:dyDescent="0.25">
      <c r="A365">
        <v>21498</v>
      </c>
      <c r="B365" t="s">
        <v>2</v>
      </c>
      <c r="C365">
        <v>1</v>
      </c>
    </row>
    <row r="366" spans="1:3" x14ac:dyDescent="0.25">
      <c r="A366">
        <v>21500</v>
      </c>
      <c r="B366" t="s">
        <v>2</v>
      </c>
      <c r="C366">
        <v>1</v>
      </c>
    </row>
    <row r="367" spans="1:3" x14ac:dyDescent="0.25">
      <c r="A367">
        <v>21504</v>
      </c>
      <c r="B367" t="s">
        <v>2</v>
      </c>
      <c r="C367">
        <v>1</v>
      </c>
    </row>
    <row r="368" spans="1:3" x14ac:dyDescent="0.25">
      <c r="A368">
        <v>21506</v>
      </c>
      <c r="B368" t="s">
        <v>2</v>
      </c>
      <c r="C368">
        <v>1</v>
      </c>
    </row>
    <row r="369" spans="1:3" x14ac:dyDescent="0.25">
      <c r="A369">
        <v>21508</v>
      </c>
      <c r="B369" t="s">
        <v>2</v>
      </c>
      <c r="C369">
        <v>1</v>
      </c>
    </row>
    <row r="370" spans="1:3" x14ac:dyDescent="0.25">
      <c r="A370">
        <v>21510</v>
      </c>
      <c r="B370" t="s">
        <v>2</v>
      </c>
      <c r="C370">
        <v>1</v>
      </c>
    </row>
    <row r="371" spans="1:3" x14ac:dyDescent="0.25">
      <c r="A371">
        <v>21512</v>
      </c>
      <c r="B371" t="s">
        <v>2</v>
      </c>
      <c r="C371">
        <v>1</v>
      </c>
    </row>
    <row r="372" spans="1:3" x14ac:dyDescent="0.25">
      <c r="A372">
        <v>21514</v>
      </c>
      <c r="B372" t="s">
        <v>2</v>
      </c>
      <c r="C372">
        <v>1</v>
      </c>
    </row>
    <row r="373" spans="1:3" x14ac:dyDescent="0.25">
      <c r="A373">
        <v>21516</v>
      </c>
      <c r="B373" t="s">
        <v>2</v>
      </c>
      <c r="C373">
        <v>1</v>
      </c>
    </row>
    <row r="374" spans="1:3" x14ac:dyDescent="0.25">
      <c r="A374">
        <v>21518</v>
      </c>
      <c r="B374" t="s">
        <v>2</v>
      </c>
      <c r="C374">
        <v>1</v>
      </c>
    </row>
    <row r="375" spans="1:3" x14ac:dyDescent="0.25">
      <c r="A375">
        <v>21520</v>
      </c>
      <c r="B375" t="s">
        <v>2</v>
      </c>
      <c r="C375">
        <v>1</v>
      </c>
    </row>
    <row r="376" spans="1:3" x14ac:dyDescent="0.25">
      <c r="A376">
        <v>21522</v>
      </c>
      <c r="B376" t="s">
        <v>2</v>
      </c>
      <c r="C376">
        <v>1</v>
      </c>
    </row>
    <row r="377" spans="1:3" x14ac:dyDescent="0.25">
      <c r="A377">
        <v>21524</v>
      </c>
      <c r="B377" t="s">
        <v>2</v>
      </c>
      <c r="C377">
        <v>1</v>
      </c>
    </row>
    <row r="378" spans="1:3" x14ac:dyDescent="0.25">
      <c r="A378">
        <v>21526</v>
      </c>
      <c r="B378" t="s">
        <v>2</v>
      </c>
      <c r="C378">
        <v>1</v>
      </c>
    </row>
    <row r="379" spans="1:3" x14ac:dyDescent="0.25">
      <c r="A379">
        <v>21528</v>
      </c>
      <c r="B379" t="s">
        <v>2</v>
      </c>
      <c r="C379">
        <v>1</v>
      </c>
    </row>
    <row r="380" spans="1:3" x14ac:dyDescent="0.25">
      <c r="A380">
        <v>21530</v>
      </c>
      <c r="B380" t="s">
        <v>2</v>
      </c>
      <c r="C380">
        <v>1</v>
      </c>
    </row>
    <row r="381" spans="1:3" x14ac:dyDescent="0.25">
      <c r="A381">
        <v>21532</v>
      </c>
      <c r="B381" t="s">
        <v>2</v>
      </c>
      <c r="C381">
        <v>1</v>
      </c>
    </row>
    <row r="382" spans="1:3" x14ac:dyDescent="0.25">
      <c r="A382">
        <v>21534</v>
      </c>
      <c r="B382" t="s">
        <v>2</v>
      </c>
      <c r="C382">
        <v>1</v>
      </c>
    </row>
    <row r="383" spans="1:3" x14ac:dyDescent="0.25">
      <c r="A383">
        <v>21536</v>
      </c>
      <c r="B383" t="s">
        <v>2</v>
      </c>
      <c r="C383">
        <v>1</v>
      </c>
    </row>
    <row r="384" spans="1:3" x14ac:dyDescent="0.25">
      <c r="A384">
        <v>21538</v>
      </c>
      <c r="B384" t="s">
        <v>2</v>
      </c>
      <c r="C384">
        <v>1</v>
      </c>
    </row>
    <row r="385" spans="1:3" x14ac:dyDescent="0.25">
      <c r="A385">
        <v>21540</v>
      </c>
      <c r="B385" t="s">
        <v>2</v>
      </c>
      <c r="C385">
        <v>1</v>
      </c>
    </row>
    <row r="386" spans="1:3" x14ac:dyDescent="0.25">
      <c r="A386">
        <v>21542</v>
      </c>
      <c r="B386" t="s">
        <v>2</v>
      </c>
      <c r="C386">
        <v>1</v>
      </c>
    </row>
    <row r="387" spans="1:3" x14ac:dyDescent="0.25">
      <c r="A387">
        <v>21544</v>
      </c>
      <c r="B387" t="s">
        <v>2</v>
      </c>
      <c r="C387">
        <v>1</v>
      </c>
    </row>
    <row r="388" spans="1:3" x14ac:dyDescent="0.25">
      <c r="A388">
        <v>21546</v>
      </c>
      <c r="B388" t="s">
        <v>2</v>
      </c>
      <c r="C388">
        <v>1</v>
      </c>
    </row>
    <row r="389" spans="1:3" x14ac:dyDescent="0.25">
      <c r="A389">
        <v>21550</v>
      </c>
      <c r="B389" t="s">
        <v>2</v>
      </c>
      <c r="C389">
        <v>1</v>
      </c>
    </row>
    <row r="390" spans="1:3" x14ac:dyDescent="0.25">
      <c r="A390">
        <v>21552</v>
      </c>
      <c r="B390" t="s">
        <v>2</v>
      </c>
      <c r="C390">
        <v>1</v>
      </c>
    </row>
    <row r="391" spans="1:3" x14ac:dyDescent="0.25">
      <c r="A391">
        <v>21554</v>
      </c>
      <c r="B391" t="s">
        <v>2</v>
      </c>
      <c r="C391">
        <v>1</v>
      </c>
    </row>
    <row r="392" spans="1:3" x14ac:dyDescent="0.25">
      <c r="A392">
        <v>21556</v>
      </c>
      <c r="B392" t="s">
        <v>2</v>
      </c>
      <c r="C392">
        <v>1</v>
      </c>
    </row>
    <row r="393" spans="1:3" x14ac:dyDescent="0.25">
      <c r="A393">
        <v>21558</v>
      </c>
      <c r="B393" t="s">
        <v>2</v>
      </c>
      <c r="C393">
        <v>1</v>
      </c>
    </row>
    <row r="394" spans="1:3" x14ac:dyDescent="0.25">
      <c r="A394">
        <v>21560</v>
      </c>
      <c r="B394" t="s">
        <v>2</v>
      </c>
      <c r="C394">
        <v>1</v>
      </c>
    </row>
    <row r="395" spans="1:3" x14ac:dyDescent="0.25">
      <c r="A395">
        <v>21562</v>
      </c>
      <c r="B395" t="s">
        <v>2</v>
      </c>
      <c r="C395">
        <v>1</v>
      </c>
    </row>
    <row r="396" spans="1:3" x14ac:dyDescent="0.25">
      <c r="A396">
        <v>21564</v>
      </c>
      <c r="B396" t="s">
        <v>2</v>
      </c>
      <c r="C396">
        <v>1</v>
      </c>
    </row>
    <row r="397" spans="1:3" x14ac:dyDescent="0.25">
      <c r="A397">
        <v>21566</v>
      </c>
      <c r="B397" t="s">
        <v>2</v>
      </c>
      <c r="C397">
        <v>1</v>
      </c>
    </row>
    <row r="398" spans="1:3" x14ac:dyDescent="0.25">
      <c r="A398">
        <v>21568</v>
      </c>
      <c r="B398" t="s">
        <v>2</v>
      </c>
      <c r="C398">
        <v>1</v>
      </c>
    </row>
    <row r="399" spans="1:3" x14ac:dyDescent="0.25">
      <c r="A399">
        <v>21570</v>
      </c>
      <c r="B399" t="s">
        <v>2</v>
      </c>
      <c r="C399">
        <v>1</v>
      </c>
    </row>
    <row r="400" spans="1:3" x14ac:dyDescent="0.25">
      <c r="A400">
        <v>21572</v>
      </c>
      <c r="B400" t="s">
        <v>2</v>
      </c>
      <c r="C400">
        <v>1</v>
      </c>
    </row>
    <row r="401" spans="1:3" x14ac:dyDescent="0.25">
      <c r="A401">
        <v>21574</v>
      </c>
      <c r="B401" t="s">
        <v>2</v>
      </c>
      <c r="C401">
        <v>1</v>
      </c>
    </row>
    <row r="402" spans="1:3" x14ac:dyDescent="0.25">
      <c r="A402">
        <v>21576</v>
      </c>
      <c r="B402" t="s">
        <v>2</v>
      </c>
      <c r="C402">
        <v>1</v>
      </c>
    </row>
    <row r="403" spans="1:3" x14ac:dyDescent="0.25">
      <c r="A403">
        <v>21578</v>
      </c>
      <c r="B403" t="s">
        <v>2</v>
      </c>
      <c r="C403">
        <v>1</v>
      </c>
    </row>
    <row r="404" spans="1:3" x14ac:dyDescent="0.25">
      <c r="A404">
        <v>21580</v>
      </c>
      <c r="B404" t="s">
        <v>2</v>
      </c>
      <c r="C404">
        <v>1</v>
      </c>
    </row>
    <row r="405" spans="1:3" x14ac:dyDescent="0.25">
      <c r="A405">
        <v>21582</v>
      </c>
      <c r="B405" t="s">
        <v>2</v>
      </c>
      <c r="C405">
        <v>1</v>
      </c>
    </row>
    <row r="406" spans="1:3" x14ac:dyDescent="0.25">
      <c r="A406">
        <v>21584</v>
      </c>
      <c r="B406" t="s">
        <v>2</v>
      </c>
      <c r="C406">
        <v>1</v>
      </c>
    </row>
    <row r="407" spans="1:3" x14ac:dyDescent="0.25">
      <c r="A407">
        <v>21586</v>
      </c>
      <c r="B407" t="s">
        <v>2</v>
      </c>
      <c r="C407">
        <v>1</v>
      </c>
    </row>
    <row r="408" spans="1:3" x14ac:dyDescent="0.25">
      <c r="A408">
        <v>21588</v>
      </c>
      <c r="B408" t="s">
        <v>2</v>
      </c>
      <c r="C408">
        <v>1</v>
      </c>
    </row>
    <row r="409" spans="1:3" x14ac:dyDescent="0.25">
      <c r="A409">
        <v>21590</v>
      </c>
      <c r="B409" t="s">
        <v>2</v>
      </c>
      <c r="C409">
        <v>1</v>
      </c>
    </row>
    <row r="410" spans="1:3" x14ac:dyDescent="0.25">
      <c r="A410">
        <v>21592</v>
      </c>
      <c r="B410" t="s">
        <v>2</v>
      </c>
      <c r="C410">
        <v>1</v>
      </c>
    </row>
    <row r="411" spans="1:3" x14ac:dyDescent="0.25">
      <c r="A411">
        <v>21597</v>
      </c>
      <c r="B411" t="s">
        <v>2</v>
      </c>
      <c r="C411">
        <v>1</v>
      </c>
    </row>
    <row r="412" spans="1:3" x14ac:dyDescent="0.25">
      <c r="A412">
        <v>21599</v>
      </c>
      <c r="B412" t="s">
        <v>2</v>
      </c>
      <c r="C412">
        <v>1</v>
      </c>
    </row>
    <row r="413" spans="1:3" x14ac:dyDescent="0.25">
      <c r="A413">
        <v>21601</v>
      </c>
      <c r="B413" t="s">
        <v>2</v>
      </c>
      <c r="C413">
        <v>1</v>
      </c>
    </row>
    <row r="414" spans="1:3" x14ac:dyDescent="0.25">
      <c r="A414">
        <v>21603</v>
      </c>
      <c r="B414" t="s">
        <v>2</v>
      </c>
      <c r="C414">
        <v>1</v>
      </c>
    </row>
    <row r="415" spans="1:3" x14ac:dyDescent="0.25">
      <c r="A415">
        <v>21605</v>
      </c>
      <c r="B415" t="s">
        <v>2</v>
      </c>
      <c r="C415">
        <v>1</v>
      </c>
    </row>
    <row r="416" spans="1:3" x14ac:dyDescent="0.25">
      <c r="A416">
        <v>21607</v>
      </c>
      <c r="B416" t="s">
        <v>2</v>
      </c>
      <c r="C416">
        <v>1</v>
      </c>
    </row>
    <row r="417" spans="1:3" x14ac:dyDescent="0.25">
      <c r="A417">
        <v>21621</v>
      </c>
      <c r="B417" t="s">
        <v>2</v>
      </c>
      <c r="C417">
        <v>1</v>
      </c>
    </row>
    <row r="418" spans="1:3" x14ac:dyDescent="0.25">
      <c r="A418">
        <v>21623</v>
      </c>
      <c r="B418" t="s">
        <v>2</v>
      </c>
      <c r="C418">
        <v>1</v>
      </c>
    </row>
    <row r="419" spans="1:3" x14ac:dyDescent="0.25">
      <c r="A419">
        <v>21625</v>
      </c>
      <c r="B419" t="s">
        <v>2</v>
      </c>
      <c r="C419">
        <v>1</v>
      </c>
    </row>
    <row r="420" spans="1:3" x14ac:dyDescent="0.25">
      <c r="A420">
        <v>21627</v>
      </c>
      <c r="B420" t="s">
        <v>2</v>
      </c>
      <c r="C420">
        <v>1</v>
      </c>
    </row>
    <row r="421" spans="1:3" x14ac:dyDescent="0.25">
      <c r="A421">
        <v>21629</v>
      </c>
      <c r="B421" t="s">
        <v>2</v>
      </c>
      <c r="C421">
        <v>1</v>
      </c>
    </row>
    <row r="422" spans="1:3" x14ac:dyDescent="0.25">
      <c r="A422">
        <v>21633</v>
      </c>
      <c r="B422" t="s">
        <v>2</v>
      </c>
      <c r="C422">
        <v>1</v>
      </c>
    </row>
    <row r="423" spans="1:3" x14ac:dyDescent="0.25">
      <c r="A423">
        <v>21635</v>
      </c>
      <c r="B423" t="s">
        <v>2</v>
      </c>
      <c r="C423">
        <v>1</v>
      </c>
    </row>
    <row r="424" spans="1:3" x14ac:dyDescent="0.25">
      <c r="A424">
        <v>21637</v>
      </c>
      <c r="B424" t="s">
        <v>2</v>
      </c>
      <c r="C424">
        <v>1</v>
      </c>
    </row>
    <row r="425" spans="1:3" x14ac:dyDescent="0.25">
      <c r="A425">
        <v>21639</v>
      </c>
      <c r="B425" t="s">
        <v>2</v>
      </c>
      <c r="C425">
        <v>1</v>
      </c>
    </row>
    <row r="426" spans="1:3" x14ac:dyDescent="0.25">
      <c r="A426">
        <v>21642</v>
      </c>
      <c r="B426" t="s">
        <v>2</v>
      </c>
      <c r="C426">
        <v>1</v>
      </c>
    </row>
    <row r="427" spans="1:3" x14ac:dyDescent="0.25">
      <c r="A427">
        <v>21644</v>
      </c>
      <c r="B427" t="s">
        <v>2</v>
      </c>
      <c r="C427">
        <v>1</v>
      </c>
    </row>
    <row r="428" spans="1:3" x14ac:dyDescent="0.25">
      <c r="A428">
        <v>21646</v>
      </c>
      <c r="B428" t="s">
        <v>2</v>
      </c>
      <c r="C428">
        <v>1</v>
      </c>
    </row>
    <row r="429" spans="1:3" x14ac:dyDescent="0.25">
      <c r="A429">
        <v>21650</v>
      </c>
      <c r="B429" t="s">
        <v>2</v>
      </c>
      <c r="C429">
        <v>1</v>
      </c>
    </row>
    <row r="430" spans="1:3" x14ac:dyDescent="0.25">
      <c r="A430">
        <v>21652</v>
      </c>
      <c r="B430" t="s">
        <v>2</v>
      </c>
      <c r="C430">
        <v>1</v>
      </c>
    </row>
    <row r="431" spans="1:3" x14ac:dyDescent="0.25">
      <c r="A431">
        <v>21654</v>
      </c>
      <c r="B431" t="s">
        <v>2</v>
      </c>
      <c r="C431">
        <v>1</v>
      </c>
    </row>
    <row r="432" spans="1:3" x14ac:dyDescent="0.25">
      <c r="A432">
        <v>21692</v>
      </c>
      <c r="B432" t="s">
        <v>11145</v>
      </c>
      <c r="C432">
        <v>1</v>
      </c>
    </row>
    <row r="433" spans="1:3" x14ac:dyDescent="0.25">
      <c r="A433">
        <v>21694</v>
      </c>
      <c r="B433" t="s">
        <v>11145</v>
      </c>
      <c r="C433">
        <v>1</v>
      </c>
    </row>
    <row r="434" spans="1:3" x14ac:dyDescent="0.25">
      <c r="A434">
        <v>21696</v>
      </c>
      <c r="B434" t="s">
        <v>11145</v>
      </c>
      <c r="C434">
        <v>1</v>
      </c>
    </row>
    <row r="435" spans="1:3" x14ac:dyDescent="0.25">
      <c r="A435">
        <v>21702</v>
      </c>
      <c r="B435" t="s">
        <v>11145</v>
      </c>
      <c r="C435">
        <v>1</v>
      </c>
    </row>
    <row r="436" spans="1:3" x14ac:dyDescent="0.25">
      <c r="A436">
        <v>21704</v>
      </c>
      <c r="B436" t="s">
        <v>11145</v>
      </c>
      <c r="C436">
        <v>1</v>
      </c>
    </row>
    <row r="437" spans="1:3" x14ac:dyDescent="0.25">
      <c r="A437">
        <v>21708</v>
      </c>
      <c r="B437" t="s">
        <v>11145</v>
      </c>
      <c r="C437">
        <v>1</v>
      </c>
    </row>
    <row r="438" spans="1:3" x14ac:dyDescent="0.25">
      <c r="A438">
        <v>21712</v>
      </c>
      <c r="B438" t="s">
        <v>11145</v>
      </c>
      <c r="C438">
        <v>1</v>
      </c>
    </row>
    <row r="439" spans="1:3" x14ac:dyDescent="0.25">
      <c r="A439">
        <v>21716</v>
      </c>
      <c r="B439" t="s">
        <v>11145</v>
      </c>
      <c r="C439">
        <v>1</v>
      </c>
    </row>
    <row r="440" spans="1:3" x14ac:dyDescent="0.25">
      <c r="A440">
        <v>21718</v>
      </c>
      <c r="B440" t="s">
        <v>11145</v>
      </c>
      <c r="C440">
        <v>1</v>
      </c>
    </row>
    <row r="441" spans="1:3" x14ac:dyDescent="0.25">
      <c r="A441">
        <v>21720</v>
      </c>
      <c r="B441" t="s">
        <v>11145</v>
      </c>
      <c r="C441">
        <v>1</v>
      </c>
    </row>
    <row r="442" spans="1:3" x14ac:dyDescent="0.25">
      <c r="A442">
        <v>21722</v>
      </c>
      <c r="B442" t="s">
        <v>11145</v>
      </c>
      <c r="C442">
        <v>1</v>
      </c>
    </row>
    <row r="443" spans="1:3" x14ac:dyDescent="0.25">
      <c r="A443">
        <v>21724</v>
      </c>
      <c r="B443" t="s">
        <v>11145</v>
      </c>
      <c r="C443">
        <v>1</v>
      </c>
    </row>
    <row r="444" spans="1:3" x14ac:dyDescent="0.25">
      <c r="A444">
        <v>21729</v>
      </c>
      <c r="B444" t="s">
        <v>11145</v>
      </c>
      <c r="C444">
        <v>1</v>
      </c>
    </row>
    <row r="445" spans="1:3" x14ac:dyDescent="0.25">
      <c r="A445">
        <v>21733</v>
      </c>
      <c r="B445" t="s">
        <v>11145</v>
      </c>
      <c r="C445">
        <v>1</v>
      </c>
    </row>
    <row r="446" spans="1:3" x14ac:dyDescent="0.25">
      <c r="A446">
        <v>21735</v>
      </c>
      <c r="B446" t="s">
        <v>11145</v>
      </c>
      <c r="C446">
        <v>1</v>
      </c>
    </row>
    <row r="447" spans="1:3" x14ac:dyDescent="0.25">
      <c r="A447">
        <v>21737</v>
      </c>
      <c r="B447" t="s">
        <v>11145</v>
      </c>
      <c r="C447">
        <v>1</v>
      </c>
    </row>
    <row r="448" spans="1:3" x14ac:dyDescent="0.25">
      <c r="A448">
        <v>21739</v>
      </c>
      <c r="B448" t="s">
        <v>11145</v>
      </c>
      <c r="C448">
        <v>1</v>
      </c>
    </row>
    <row r="449" spans="1:3" x14ac:dyDescent="0.25">
      <c r="A449">
        <v>21747</v>
      </c>
      <c r="B449" t="s">
        <v>11145</v>
      </c>
      <c r="C449">
        <v>1</v>
      </c>
    </row>
    <row r="450" spans="1:3" x14ac:dyDescent="0.25">
      <c r="A450">
        <v>21749</v>
      </c>
      <c r="B450" t="s">
        <v>11145</v>
      </c>
      <c r="C450">
        <v>1</v>
      </c>
    </row>
    <row r="451" spans="1:3" x14ac:dyDescent="0.25">
      <c r="A451">
        <v>21751</v>
      </c>
      <c r="B451" t="s">
        <v>11145</v>
      </c>
      <c r="C451">
        <v>1</v>
      </c>
    </row>
    <row r="452" spans="1:3" x14ac:dyDescent="0.25">
      <c r="A452">
        <v>21761</v>
      </c>
      <c r="B452" t="s">
        <v>11145</v>
      </c>
      <c r="C452">
        <v>1</v>
      </c>
    </row>
    <row r="453" spans="1:3" x14ac:dyDescent="0.25">
      <c r="A453">
        <v>21765</v>
      </c>
      <c r="B453" t="s">
        <v>11145</v>
      </c>
      <c r="C453">
        <v>1</v>
      </c>
    </row>
    <row r="454" spans="1:3" x14ac:dyDescent="0.25">
      <c r="A454">
        <v>21767</v>
      </c>
      <c r="B454" t="s">
        <v>11145</v>
      </c>
      <c r="C454">
        <v>1</v>
      </c>
    </row>
    <row r="455" spans="1:3" x14ac:dyDescent="0.25">
      <c r="A455">
        <v>21769</v>
      </c>
      <c r="B455" t="s">
        <v>11145</v>
      </c>
      <c r="C455">
        <v>1</v>
      </c>
    </row>
    <row r="456" spans="1:3" x14ac:dyDescent="0.25">
      <c r="A456">
        <v>21771</v>
      </c>
      <c r="B456" t="s">
        <v>11145</v>
      </c>
      <c r="C456">
        <v>1</v>
      </c>
    </row>
    <row r="457" spans="1:3" x14ac:dyDescent="0.25">
      <c r="A457">
        <v>21773</v>
      </c>
      <c r="B457" t="s">
        <v>11145</v>
      </c>
      <c r="C457">
        <v>1</v>
      </c>
    </row>
    <row r="458" spans="1:3" x14ac:dyDescent="0.25">
      <c r="A458">
        <v>21775</v>
      </c>
      <c r="B458" t="s">
        <v>11145</v>
      </c>
      <c r="C458">
        <v>1</v>
      </c>
    </row>
    <row r="459" spans="1:3" x14ac:dyDescent="0.25">
      <c r="A459">
        <v>21777</v>
      </c>
      <c r="B459" t="s">
        <v>11145</v>
      </c>
      <c r="C459">
        <v>1</v>
      </c>
    </row>
    <row r="460" spans="1:3" x14ac:dyDescent="0.25">
      <c r="A460">
        <v>21781</v>
      </c>
      <c r="B460" t="s">
        <v>11145</v>
      </c>
      <c r="C460">
        <v>1</v>
      </c>
    </row>
    <row r="461" spans="1:3" x14ac:dyDescent="0.25">
      <c r="A461">
        <v>21783</v>
      </c>
      <c r="B461" t="s">
        <v>11145</v>
      </c>
      <c r="C461">
        <v>1</v>
      </c>
    </row>
    <row r="462" spans="1:3" x14ac:dyDescent="0.25">
      <c r="A462">
        <v>21785</v>
      </c>
      <c r="B462" t="s">
        <v>11145</v>
      </c>
      <c r="C462">
        <v>1</v>
      </c>
    </row>
    <row r="463" spans="1:3" x14ac:dyDescent="0.25">
      <c r="A463">
        <v>21787</v>
      </c>
      <c r="B463" t="s">
        <v>11145</v>
      </c>
      <c r="C463">
        <v>1</v>
      </c>
    </row>
    <row r="464" spans="1:3" x14ac:dyDescent="0.25">
      <c r="A464">
        <v>21789</v>
      </c>
      <c r="B464" t="s">
        <v>11145</v>
      </c>
      <c r="C464">
        <v>1</v>
      </c>
    </row>
    <row r="465" spans="1:3" x14ac:dyDescent="0.25">
      <c r="A465">
        <v>21791</v>
      </c>
      <c r="B465" t="s">
        <v>11145</v>
      </c>
      <c r="C465">
        <v>1</v>
      </c>
    </row>
    <row r="466" spans="1:3" x14ac:dyDescent="0.25">
      <c r="A466">
        <v>21795</v>
      </c>
      <c r="B466" t="s">
        <v>11145</v>
      </c>
      <c r="C466">
        <v>1</v>
      </c>
    </row>
    <row r="467" spans="1:3" x14ac:dyDescent="0.25">
      <c r="A467">
        <v>21797</v>
      </c>
      <c r="B467" t="s">
        <v>11145</v>
      </c>
      <c r="C467">
        <v>1</v>
      </c>
    </row>
    <row r="468" spans="1:3" x14ac:dyDescent="0.25">
      <c r="A468">
        <v>21801</v>
      </c>
      <c r="B468" t="s">
        <v>11145</v>
      </c>
      <c r="C468">
        <v>1</v>
      </c>
    </row>
    <row r="469" spans="1:3" x14ac:dyDescent="0.25">
      <c r="A469">
        <v>21803</v>
      </c>
      <c r="B469" t="s">
        <v>11145</v>
      </c>
      <c r="C469">
        <v>1</v>
      </c>
    </row>
    <row r="470" spans="1:3" x14ac:dyDescent="0.25">
      <c r="A470">
        <v>21805</v>
      </c>
      <c r="B470" t="s">
        <v>11145</v>
      </c>
      <c r="C470">
        <v>1</v>
      </c>
    </row>
    <row r="471" spans="1:3" x14ac:dyDescent="0.25">
      <c r="A471">
        <v>21811</v>
      </c>
      <c r="B471" t="s">
        <v>11145</v>
      </c>
      <c r="C471">
        <v>1</v>
      </c>
    </row>
    <row r="472" spans="1:3" x14ac:dyDescent="0.25">
      <c r="A472">
        <v>21813</v>
      </c>
      <c r="B472" t="s">
        <v>11145</v>
      </c>
      <c r="C472">
        <v>1</v>
      </c>
    </row>
    <row r="473" spans="1:3" x14ac:dyDescent="0.25">
      <c r="A473">
        <v>21815</v>
      </c>
      <c r="B473" t="s">
        <v>11145</v>
      </c>
      <c r="C473">
        <v>1</v>
      </c>
    </row>
    <row r="474" spans="1:3" x14ac:dyDescent="0.25">
      <c r="A474">
        <v>21823</v>
      </c>
      <c r="B474" t="s">
        <v>11145</v>
      </c>
      <c r="C474">
        <v>1</v>
      </c>
    </row>
    <row r="475" spans="1:3" x14ac:dyDescent="0.25">
      <c r="A475">
        <v>21825</v>
      </c>
      <c r="B475" t="s">
        <v>11145</v>
      </c>
      <c r="C475">
        <v>1</v>
      </c>
    </row>
    <row r="476" spans="1:3" x14ac:dyDescent="0.25">
      <c r="A476">
        <v>21827</v>
      </c>
      <c r="B476" t="s">
        <v>11145</v>
      </c>
      <c r="C476">
        <v>1</v>
      </c>
    </row>
    <row r="477" spans="1:3" x14ac:dyDescent="0.25">
      <c r="A477">
        <v>21829</v>
      </c>
      <c r="B477" t="s">
        <v>11145</v>
      </c>
      <c r="C477">
        <v>1</v>
      </c>
    </row>
    <row r="478" spans="1:3" x14ac:dyDescent="0.25">
      <c r="A478">
        <v>21831</v>
      </c>
      <c r="B478" t="s">
        <v>11145</v>
      </c>
      <c r="C478">
        <v>1</v>
      </c>
    </row>
    <row r="479" spans="1:3" x14ac:dyDescent="0.25">
      <c r="A479">
        <v>21833</v>
      </c>
      <c r="B479" t="s">
        <v>11145</v>
      </c>
      <c r="C479">
        <v>1</v>
      </c>
    </row>
    <row r="480" spans="1:3" x14ac:dyDescent="0.25">
      <c r="A480">
        <v>21835</v>
      </c>
      <c r="B480" t="s">
        <v>11145</v>
      </c>
      <c r="C480">
        <v>1</v>
      </c>
    </row>
    <row r="481" spans="1:3" x14ac:dyDescent="0.25">
      <c r="A481">
        <v>21837</v>
      </c>
      <c r="B481" t="s">
        <v>11145</v>
      </c>
      <c r="C481">
        <v>1</v>
      </c>
    </row>
    <row r="482" spans="1:3" x14ac:dyDescent="0.25">
      <c r="A482">
        <v>21839</v>
      </c>
      <c r="B482" t="s">
        <v>11145</v>
      </c>
      <c r="C482">
        <v>1</v>
      </c>
    </row>
    <row r="483" spans="1:3" x14ac:dyDescent="0.25">
      <c r="A483">
        <v>21841</v>
      </c>
      <c r="B483" t="s">
        <v>11145</v>
      </c>
      <c r="C483">
        <v>1</v>
      </c>
    </row>
    <row r="484" spans="1:3" x14ac:dyDescent="0.25">
      <c r="A484">
        <v>21843</v>
      </c>
      <c r="B484" t="s">
        <v>11145</v>
      </c>
      <c r="C484">
        <v>1</v>
      </c>
    </row>
    <row r="485" spans="1:3" x14ac:dyDescent="0.25">
      <c r="A485">
        <v>21845</v>
      </c>
      <c r="B485" t="s">
        <v>11145</v>
      </c>
      <c r="C485">
        <v>1</v>
      </c>
    </row>
    <row r="486" spans="1:3" x14ac:dyDescent="0.25">
      <c r="A486">
        <v>21849</v>
      </c>
      <c r="B486" t="s">
        <v>11145</v>
      </c>
      <c r="C486">
        <v>1</v>
      </c>
    </row>
    <row r="487" spans="1:3" x14ac:dyDescent="0.25">
      <c r="A487">
        <v>21851</v>
      </c>
      <c r="B487" t="s">
        <v>11145</v>
      </c>
      <c r="C487">
        <v>1</v>
      </c>
    </row>
    <row r="488" spans="1:3" x14ac:dyDescent="0.25">
      <c r="A488">
        <v>21855</v>
      </c>
      <c r="B488" t="s">
        <v>11145</v>
      </c>
      <c r="C488">
        <v>1</v>
      </c>
    </row>
    <row r="489" spans="1:3" x14ac:dyDescent="0.25">
      <c r="A489">
        <v>21857</v>
      </c>
      <c r="B489" t="s">
        <v>11145</v>
      </c>
      <c r="C489">
        <v>1</v>
      </c>
    </row>
    <row r="490" spans="1:3" x14ac:dyDescent="0.25">
      <c r="A490">
        <v>21859</v>
      </c>
      <c r="B490" t="s">
        <v>11145</v>
      </c>
      <c r="C490">
        <v>1</v>
      </c>
    </row>
    <row r="491" spans="1:3" x14ac:dyDescent="0.25">
      <c r="A491">
        <v>21861</v>
      </c>
      <c r="B491" t="s">
        <v>11145</v>
      </c>
      <c r="C491">
        <v>1</v>
      </c>
    </row>
    <row r="492" spans="1:3" x14ac:dyDescent="0.25">
      <c r="A492">
        <v>21863</v>
      </c>
      <c r="B492" t="s">
        <v>11145</v>
      </c>
      <c r="C492">
        <v>1</v>
      </c>
    </row>
    <row r="493" spans="1:3" x14ac:dyDescent="0.25">
      <c r="A493">
        <v>21865</v>
      </c>
      <c r="B493" t="s">
        <v>11145</v>
      </c>
      <c r="C493">
        <v>1</v>
      </c>
    </row>
    <row r="494" spans="1:3" x14ac:dyDescent="0.25">
      <c r="A494">
        <v>21867</v>
      </c>
      <c r="B494" t="s">
        <v>11145</v>
      </c>
      <c r="C494">
        <v>1</v>
      </c>
    </row>
    <row r="495" spans="1:3" x14ac:dyDescent="0.25">
      <c r="A495">
        <v>21869</v>
      </c>
      <c r="B495" t="s">
        <v>11145</v>
      </c>
      <c r="C495">
        <v>1</v>
      </c>
    </row>
    <row r="496" spans="1:3" x14ac:dyDescent="0.25">
      <c r="A496">
        <v>21871</v>
      </c>
      <c r="B496" t="s">
        <v>11145</v>
      </c>
      <c r="C496">
        <v>1</v>
      </c>
    </row>
    <row r="497" spans="1:3" x14ac:dyDescent="0.25">
      <c r="A497">
        <v>21873</v>
      </c>
      <c r="B497" t="s">
        <v>11145</v>
      </c>
      <c r="C497">
        <v>1</v>
      </c>
    </row>
    <row r="498" spans="1:3" x14ac:dyDescent="0.25">
      <c r="A498">
        <v>21875</v>
      </c>
      <c r="B498" t="s">
        <v>11145</v>
      </c>
      <c r="C498">
        <v>1</v>
      </c>
    </row>
    <row r="499" spans="1:3" x14ac:dyDescent="0.25">
      <c r="A499">
        <v>21877</v>
      </c>
      <c r="B499" t="s">
        <v>11145</v>
      </c>
      <c r="C499">
        <v>1</v>
      </c>
    </row>
    <row r="500" spans="1:3" x14ac:dyDescent="0.25">
      <c r="A500">
        <v>21879</v>
      </c>
      <c r="B500" t="s">
        <v>11145</v>
      </c>
      <c r="C500">
        <v>1</v>
      </c>
    </row>
    <row r="501" spans="1:3" x14ac:dyDescent="0.25">
      <c r="A501">
        <v>21988</v>
      </c>
      <c r="B501" t="s">
        <v>2</v>
      </c>
      <c r="C501">
        <v>1</v>
      </c>
    </row>
    <row r="502" spans="1:3" x14ac:dyDescent="0.25">
      <c r="A502">
        <v>22010</v>
      </c>
      <c r="B502" t="s">
        <v>3</v>
      </c>
      <c r="C502">
        <v>1</v>
      </c>
    </row>
    <row r="503" spans="1:3" x14ac:dyDescent="0.25">
      <c r="A503">
        <v>22012</v>
      </c>
      <c r="B503" t="s">
        <v>3</v>
      </c>
      <c r="C503">
        <v>1</v>
      </c>
    </row>
    <row r="504" spans="1:3" x14ac:dyDescent="0.25">
      <c r="A504">
        <v>22014</v>
      </c>
      <c r="B504" t="s">
        <v>3</v>
      </c>
      <c r="C504">
        <v>1</v>
      </c>
    </row>
    <row r="505" spans="1:3" x14ac:dyDescent="0.25">
      <c r="A505">
        <v>22016</v>
      </c>
      <c r="B505" t="s">
        <v>3</v>
      </c>
      <c r="C505">
        <v>1</v>
      </c>
    </row>
    <row r="506" spans="1:3" x14ac:dyDescent="0.25">
      <c r="A506">
        <v>22018</v>
      </c>
      <c r="B506" t="s">
        <v>3</v>
      </c>
      <c r="C506">
        <v>1</v>
      </c>
    </row>
    <row r="507" spans="1:3" x14ac:dyDescent="0.25">
      <c r="A507">
        <v>22020</v>
      </c>
      <c r="B507" t="s">
        <v>3</v>
      </c>
      <c r="C507">
        <v>1</v>
      </c>
    </row>
    <row r="508" spans="1:3" x14ac:dyDescent="0.25">
      <c r="A508">
        <v>22022</v>
      </c>
      <c r="B508" t="s">
        <v>3</v>
      </c>
      <c r="C508">
        <v>1</v>
      </c>
    </row>
    <row r="509" spans="1:3" x14ac:dyDescent="0.25">
      <c r="A509">
        <v>22024</v>
      </c>
      <c r="B509" t="s">
        <v>3</v>
      </c>
      <c r="C509">
        <v>1</v>
      </c>
    </row>
    <row r="510" spans="1:3" x14ac:dyDescent="0.25">
      <c r="A510">
        <v>22026</v>
      </c>
      <c r="B510" t="s">
        <v>3</v>
      </c>
      <c r="C510">
        <v>1</v>
      </c>
    </row>
    <row r="511" spans="1:3" x14ac:dyDescent="0.25">
      <c r="A511">
        <v>22029</v>
      </c>
      <c r="B511" t="s">
        <v>3</v>
      </c>
      <c r="C511">
        <v>1</v>
      </c>
    </row>
    <row r="512" spans="1:3" x14ac:dyDescent="0.25">
      <c r="A512">
        <v>22087</v>
      </c>
      <c r="B512" t="s">
        <v>3</v>
      </c>
      <c r="C512">
        <v>1</v>
      </c>
    </row>
    <row r="513" spans="1:3" x14ac:dyDescent="0.25">
      <c r="A513">
        <v>22089</v>
      </c>
      <c r="B513" t="s">
        <v>3</v>
      </c>
      <c r="C513">
        <v>1</v>
      </c>
    </row>
    <row r="514" spans="1:3" x14ac:dyDescent="0.25">
      <c r="A514">
        <v>23280</v>
      </c>
      <c r="B514" t="s">
        <v>11</v>
      </c>
      <c r="C514">
        <v>1</v>
      </c>
    </row>
    <row r="515" spans="1:3" x14ac:dyDescent="0.25">
      <c r="A515">
        <v>23307</v>
      </c>
      <c r="B515" t="s">
        <v>11</v>
      </c>
      <c r="C515">
        <v>1</v>
      </c>
    </row>
    <row r="516" spans="1:3" x14ac:dyDescent="0.25">
      <c r="A516">
        <v>23311</v>
      </c>
      <c r="B516" t="s">
        <v>11</v>
      </c>
      <c r="C516">
        <v>1</v>
      </c>
    </row>
    <row r="517" spans="1:3" x14ac:dyDescent="0.25">
      <c r="A517">
        <v>23313</v>
      </c>
      <c r="B517" t="s">
        <v>11</v>
      </c>
      <c r="C517">
        <v>1</v>
      </c>
    </row>
    <row r="518" spans="1:3" x14ac:dyDescent="0.25">
      <c r="A518">
        <v>23315</v>
      </c>
      <c r="B518" t="s">
        <v>11</v>
      </c>
      <c r="C518">
        <v>1</v>
      </c>
    </row>
    <row r="519" spans="1:3" x14ac:dyDescent="0.25">
      <c r="A519">
        <v>23317</v>
      </c>
      <c r="B519" t="s">
        <v>11</v>
      </c>
      <c r="C519">
        <v>1</v>
      </c>
    </row>
    <row r="520" spans="1:3" x14ac:dyDescent="0.25">
      <c r="A520">
        <v>23319</v>
      </c>
      <c r="B520" t="s">
        <v>11</v>
      </c>
      <c r="C520">
        <v>1</v>
      </c>
    </row>
    <row r="521" spans="1:3" x14ac:dyDescent="0.25">
      <c r="A521">
        <v>23321</v>
      </c>
      <c r="B521" t="s">
        <v>11</v>
      </c>
      <c r="C521">
        <v>1</v>
      </c>
    </row>
    <row r="522" spans="1:3" x14ac:dyDescent="0.25">
      <c r="A522">
        <v>23323</v>
      </c>
      <c r="B522" t="s">
        <v>11</v>
      </c>
      <c r="C522">
        <v>1</v>
      </c>
    </row>
    <row r="523" spans="1:3" x14ac:dyDescent="0.25">
      <c r="A523">
        <v>23326</v>
      </c>
      <c r="B523" t="s">
        <v>11</v>
      </c>
      <c r="C523">
        <v>1</v>
      </c>
    </row>
    <row r="524" spans="1:3" x14ac:dyDescent="0.25">
      <c r="A524">
        <v>23444</v>
      </c>
      <c r="B524" t="s">
        <v>9690</v>
      </c>
      <c r="C524">
        <v>1</v>
      </c>
    </row>
    <row r="525" spans="1:3" x14ac:dyDescent="0.25">
      <c r="A525">
        <v>23448</v>
      </c>
      <c r="B525" t="s">
        <v>9690</v>
      </c>
      <c r="C525">
        <v>1</v>
      </c>
    </row>
    <row r="526" spans="1:3" x14ac:dyDescent="0.25">
      <c r="A526">
        <v>23450</v>
      </c>
      <c r="B526" t="s">
        <v>9690</v>
      </c>
      <c r="C526">
        <v>1</v>
      </c>
    </row>
    <row r="527" spans="1:3" x14ac:dyDescent="0.25">
      <c r="A527">
        <v>23459</v>
      </c>
      <c r="B527" t="s">
        <v>9690</v>
      </c>
      <c r="C527">
        <v>1</v>
      </c>
    </row>
    <row r="528" spans="1:3" x14ac:dyDescent="0.25">
      <c r="A528">
        <v>23461</v>
      </c>
      <c r="B528" t="s">
        <v>9690</v>
      </c>
      <c r="C528">
        <v>1</v>
      </c>
    </row>
    <row r="529" spans="1:3" x14ac:dyDescent="0.25">
      <c r="A529">
        <v>23463</v>
      </c>
      <c r="B529" t="s">
        <v>9690</v>
      </c>
      <c r="C529">
        <v>1</v>
      </c>
    </row>
    <row r="530" spans="1:3" x14ac:dyDescent="0.25">
      <c r="A530">
        <v>23467</v>
      </c>
      <c r="B530" t="s">
        <v>9690</v>
      </c>
      <c r="C530">
        <v>1</v>
      </c>
    </row>
    <row r="531" spans="1:3" x14ac:dyDescent="0.25">
      <c r="A531">
        <v>23470</v>
      </c>
      <c r="B531" t="s">
        <v>9690</v>
      </c>
      <c r="C531">
        <v>1</v>
      </c>
    </row>
    <row r="532" spans="1:3" x14ac:dyDescent="0.25">
      <c r="A532">
        <v>23472</v>
      </c>
      <c r="B532" t="s">
        <v>9690</v>
      </c>
      <c r="C532">
        <v>1</v>
      </c>
    </row>
    <row r="533" spans="1:3" x14ac:dyDescent="0.25">
      <c r="A533">
        <v>23474</v>
      </c>
      <c r="B533" t="s">
        <v>9690</v>
      </c>
      <c r="C533">
        <v>1</v>
      </c>
    </row>
    <row r="534" spans="1:3" x14ac:dyDescent="0.25">
      <c r="A534">
        <v>23476</v>
      </c>
      <c r="B534" t="s">
        <v>9690</v>
      </c>
      <c r="C534">
        <v>1</v>
      </c>
    </row>
    <row r="535" spans="1:3" x14ac:dyDescent="0.25">
      <c r="A535">
        <v>23478</v>
      </c>
      <c r="B535" t="s">
        <v>9690</v>
      </c>
      <c r="C535">
        <v>1</v>
      </c>
    </row>
    <row r="536" spans="1:3" x14ac:dyDescent="0.25">
      <c r="A536">
        <v>23480</v>
      </c>
      <c r="B536" t="s">
        <v>9690</v>
      </c>
      <c r="C536">
        <v>1</v>
      </c>
    </row>
    <row r="537" spans="1:3" x14ac:dyDescent="0.25">
      <c r="A537">
        <v>23482</v>
      </c>
      <c r="B537" t="s">
        <v>9690</v>
      </c>
      <c r="C537">
        <v>1</v>
      </c>
    </row>
    <row r="538" spans="1:3" x14ac:dyDescent="0.25">
      <c r="A538">
        <v>23723</v>
      </c>
      <c r="B538" t="s">
        <v>7008</v>
      </c>
      <c r="C538">
        <v>1</v>
      </c>
    </row>
    <row r="539" spans="1:3" x14ac:dyDescent="0.25">
      <c r="A539">
        <v>23725</v>
      </c>
      <c r="B539" t="s">
        <v>7008</v>
      </c>
      <c r="C539">
        <v>1</v>
      </c>
    </row>
    <row r="540" spans="1:3" x14ac:dyDescent="0.25">
      <c r="A540">
        <v>23731</v>
      </c>
      <c r="B540" t="s">
        <v>7008</v>
      </c>
      <c r="C540">
        <v>1</v>
      </c>
    </row>
    <row r="541" spans="1:3" x14ac:dyDescent="0.25">
      <c r="A541">
        <v>23741</v>
      </c>
      <c r="B541" t="s">
        <v>7008</v>
      </c>
      <c r="C541">
        <v>1</v>
      </c>
    </row>
    <row r="542" spans="1:3" x14ac:dyDescent="0.25">
      <c r="A542">
        <v>23743</v>
      </c>
      <c r="B542" t="s">
        <v>7008</v>
      </c>
      <c r="C542">
        <v>1</v>
      </c>
    </row>
    <row r="543" spans="1:3" x14ac:dyDescent="0.25">
      <c r="A543">
        <v>23747</v>
      </c>
      <c r="B543" t="s">
        <v>7008</v>
      </c>
      <c r="C543">
        <v>1</v>
      </c>
    </row>
    <row r="544" spans="1:3" x14ac:dyDescent="0.25">
      <c r="A544">
        <v>23749</v>
      </c>
      <c r="B544" t="s">
        <v>7008</v>
      </c>
      <c r="C544">
        <v>1</v>
      </c>
    </row>
    <row r="545" spans="1:3" x14ac:dyDescent="0.25">
      <c r="A545">
        <v>23759</v>
      </c>
      <c r="B545" t="s">
        <v>7616</v>
      </c>
      <c r="C545">
        <v>1</v>
      </c>
    </row>
    <row r="546" spans="1:3" x14ac:dyDescent="0.25">
      <c r="A546">
        <v>23761</v>
      </c>
      <c r="B546" t="s">
        <v>7616</v>
      </c>
      <c r="C546">
        <v>1</v>
      </c>
    </row>
    <row r="547" spans="1:3" x14ac:dyDescent="0.25">
      <c r="A547">
        <v>23769</v>
      </c>
      <c r="B547" t="s">
        <v>7616</v>
      </c>
      <c r="C547">
        <v>1</v>
      </c>
    </row>
    <row r="548" spans="1:3" x14ac:dyDescent="0.25">
      <c r="A548">
        <v>23773</v>
      </c>
      <c r="B548" t="s">
        <v>7616</v>
      </c>
      <c r="C548">
        <v>1</v>
      </c>
    </row>
    <row r="549" spans="1:3" x14ac:dyDescent="0.25">
      <c r="A549">
        <v>23779</v>
      </c>
      <c r="B549" t="s">
        <v>7616</v>
      </c>
      <c r="C549">
        <v>1</v>
      </c>
    </row>
    <row r="550" spans="1:3" x14ac:dyDescent="0.25">
      <c r="A550">
        <v>23781</v>
      </c>
      <c r="B550" t="s">
        <v>7616</v>
      </c>
      <c r="C550">
        <v>1</v>
      </c>
    </row>
    <row r="551" spans="1:3" x14ac:dyDescent="0.25">
      <c r="A551">
        <v>23783</v>
      </c>
      <c r="B551" t="s">
        <v>7616</v>
      </c>
      <c r="C551">
        <v>1</v>
      </c>
    </row>
    <row r="552" spans="1:3" x14ac:dyDescent="0.25">
      <c r="A552">
        <v>23787</v>
      </c>
      <c r="B552" t="s">
        <v>7616</v>
      </c>
      <c r="C552">
        <v>1</v>
      </c>
    </row>
    <row r="553" spans="1:3" x14ac:dyDescent="0.25">
      <c r="A553">
        <v>23789</v>
      </c>
      <c r="B553" t="s">
        <v>7616</v>
      </c>
      <c r="C553">
        <v>1</v>
      </c>
    </row>
    <row r="554" spans="1:3" x14ac:dyDescent="0.25">
      <c r="A554">
        <v>23793</v>
      </c>
      <c r="B554" t="s">
        <v>7616</v>
      </c>
      <c r="C554">
        <v>1</v>
      </c>
    </row>
    <row r="555" spans="1:3" x14ac:dyDescent="0.25">
      <c r="A555">
        <v>23795</v>
      </c>
      <c r="B555" t="s">
        <v>7616</v>
      </c>
      <c r="C555">
        <v>1</v>
      </c>
    </row>
    <row r="556" spans="1:3" x14ac:dyDescent="0.25">
      <c r="A556">
        <v>23797</v>
      </c>
      <c r="B556" t="s">
        <v>7616</v>
      </c>
      <c r="C556">
        <v>1</v>
      </c>
    </row>
    <row r="557" spans="1:3" x14ac:dyDescent="0.25">
      <c r="A557">
        <v>23897</v>
      </c>
      <c r="B557" t="s">
        <v>2</v>
      </c>
      <c r="C557">
        <v>1</v>
      </c>
    </row>
    <row r="558" spans="1:3" x14ac:dyDescent="0.25">
      <c r="A558">
        <v>23901</v>
      </c>
      <c r="B558" t="s">
        <v>2</v>
      </c>
      <c r="C558">
        <v>1</v>
      </c>
    </row>
    <row r="559" spans="1:3" x14ac:dyDescent="0.25">
      <c r="A559">
        <v>23927</v>
      </c>
      <c r="B559" t="s">
        <v>2</v>
      </c>
      <c r="C559">
        <v>1</v>
      </c>
    </row>
    <row r="560" spans="1:3" x14ac:dyDescent="0.25">
      <c r="A560">
        <v>23929</v>
      </c>
      <c r="B560" t="s">
        <v>2</v>
      </c>
      <c r="C560">
        <v>1</v>
      </c>
    </row>
    <row r="561" spans="1:3" x14ac:dyDescent="0.25">
      <c r="A561">
        <v>23931</v>
      </c>
      <c r="B561" t="s">
        <v>2</v>
      </c>
      <c r="C561">
        <v>1</v>
      </c>
    </row>
    <row r="562" spans="1:3" x14ac:dyDescent="0.25">
      <c r="A562">
        <v>23933</v>
      </c>
      <c r="B562" t="s">
        <v>2</v>
      </c>
      <c r="C562">
        <v>1</v>
      </c>
    </row>
    <row r="563" spans="1:3" x14ac:dyDescent="0.25">
      <c r="A563">
        <v>23936</v>
      </c>
      <c r="B563" t="s">
        <v>2</v>
      </c>
      <c r="C563">
        <v>1</v>
      </c>
    </row>
    <row r="564" spans="1:3" x14ac:dyDescent="0.25">
      <c r="A564">
        <v>23946</v>
      </c>
      <c r="B564" t="s">
        <v>2</v>
      </c>
      <c r="C564">
        <v>1</v>
      </c>
    </row>
    <row r="565" spans="1:3" x14ac:dyDescent="0.25">
      <c r="A565">
        <v>23948</v>
      </c>
      <c r="B565" t="s">
        <v>2</v>
      </c>
      <c r="C565">
        <v>1</v>
      </c>
    </row>
    <row r="566" spans="1:3" x14ac:dyDescent="0.25">
      <c r="A566">
        <v>23950</v>
      </c>
      <c r="B566" t="s">
        <v>2</v>
      </c>
      <c r="C566">
        <v>1</v>
      </c>
    </row>
    <row r="567" spans="1:3" x14ac:dyDescent="0.25">
      <c r="A567">
        <v>23957</v>
      </c>
      <c r="B567" t="s">
        <v>2</v>
      </c>
      <c r="C567">
        <v>1</v>
      </c>
    </row>
    <row r="568" spans="1:3" x14ac:dyDescent="0.25">
      <c r="A568">
        <v>23962</v>
      </c>
      <c r="B568" t="s">
        <v>2</v>
      </c>
      <c r="C568">
        <v>1</v>
      </c>
    </row>
    <row r="569" spans="1:3" x14ac:dyDescent="0.25">
      <c r="A569">
        <v>23964</v>
      </c>
      <c r="B569" t="s">
        <v>2</v>
      </c>
      <c r="C569">
        <v>1</v>
      </c>
    </row>
    <row r="570" spans="1:3" x14ac:dyDescent="0.25">
      <c r="A570">
        <v>23967</v>
      </c>
      <c r="B570" t="s">
        <v>2</v>
      </c>
      <c r="C570">
        <v>1</v>
      </c>
    </row>
    <row r="571" spans="1:3" x14ac:dyDescent="0.25">
      <c r="A571">
        <v>23975</v>
      </c>
      <c r="B571" t="s">
        <v>2</v>
      </c>
      <c r="C571">
        <v>1</v>
      </c>
    </row>
    <row r="572" spans="1:3" x14ac:dyDescent="0.25">
      <c r="A572">
        <v>23978</v>
      </c>
      <c r="B572" t="s">
        <v>2</v>
      </c>
      <c r="C572">
        <v>1</v>
      </c>
    </row>
    <row r="573" spans="1:3" x14ac:dyDescent="0.25">
      <c r="A573">
        <v>24051</v>
      </c>
      <c r="B573" t="s">
        <v>8182</v>
      </c>
      <c r="C573">
        <v>1</v>
      </c>
    </row>
    <row r="574" spans="1:3" x14ac:dyDescent="0.25">
      <c r="A574">
        <v>24053</v>
      </c>
      <c r="B574" t="s">
        <v>8182</v>
      </c>
      <c r="C574">
        <v>1</v>
      </c>
    </row>
    <row r="575" spans="1:3" x14ac:dyDescent="0.25">
      <c r="A575">
        <v>24055</v>
      </c>
      <c r="B575" t="s">
        <v>7008</v>
      </c>
      <c r="C575">
        <v>1</v>
      </c>
    </row>
    <row r="576" spans="1:3" x14ac:dyDescent="0.25">
      <c r="A576">
        <v>24441</v>
      </c>
      <c r="B576" t="s">
        <v>3</v>
      </c>
      <c r="C576">
        <v>1</v>
      </c>
    </row>
    <row r="577" spans="1:3" x14ac:dyDescent="0.25">
      <c r="A577">
        <v>24443</v>
      </c>
      <c r="B577" t="s">
        <v>3</v>
      </c>
      <c r="C577">
        <v>1</v>
      </c>
    </row>
    <row r="578" spans="1:3" x14ac:dyDescent="0.25">
      <c r="A578">
        <v>24511</v>
      </c>
      <c r="B578" t="s">
        <v>2</v>
      </c>
      <c r="C578">
        <v>1</v>
      </c>
    </row>
    <row r="579" spans="1:3" x14ac:dyDescent="0.25">
      <c r="A579">
        <v>24513</v>
      </c>
      <c r="B579" t="s">
        <v>2</v>
      </c>
      <c r="C579">
        <v>1</v>
      </c>
    </row>
    <row r="580" spans="1:3" x14ac:dyDescent="0.25">
      <c r="A580">
        <v>24814</v>
      </c>
      <c r="B580" t="s">
        <v>11</v>
      </c>
      <c r="C580">
        <v>1</v>
      </c>
    </row>
    <row r="581" spans="1:3" x14ac:dyDescent="0.25">
      <c r="A581">
        <v>24817</v>
      </c>
      <c r="B581" t="s">
        <v>11</v>
      </c>
      <c r="C581">
        <v>1</v>
      </c>
    </row>
    <row r="582" spans="1:3" x14ac:dyDescent="0.25">
      <c r="A582">
        <v>24843</v>
      </c>
      <c r="B582" t="s">
        <v>2</v>
      </c>
      <c r="C582">
        <v>1</v>
      </c>
    </row>
    <row r="583" spans="1:3" x14ac:dyDescent="0.25">
      <c r="A583">
        <v>24889</v>
      </c>
      <c r="B583" t="s">
        <v>9690</v>
      </c>
      <c r="C583">
        <v>1</v>
      </c>
    </row>
    <row r="584" spans="1:3" x14ac:dyDescent="0.25">
      <c r="A584">
        <v>24891</v>
      </c>
      <c r="B584" t="s">
        <v>9690</v>
      </c>
      <c r="C584">
        <v>1</v>
      </c>
    </row>
    <row r="585" spans="1:3" x14ac:dyDescent="0.25">
      <c r="A585">
        <v>24893</v>
      </c>
      <c r="B585" t="s">
        <v>9690</v>
      </c>
      <c r="C585">
        <v>1</v>
      </c>
    </row>
    <row r="586" spans="1:3" x14ac:dyDescent="0.25">
      <c r="A586">
        <v>24895</v>
      </c>
      <c r="B586" t="s">
        <v>9690</v>
      </c>
      <c r="C586">
        <v>1</v>
      </c>
    </row>
    <row r="587" spans="1:3" x14ac:dyDescent="0.25">
      <c r="A587">
        <v>24897</v>
      </c>
      <c r="B587" t="s">
        <v>9690</v>
      </c>
      <c r="C587">
        <v>1</v>
      </c>
    </row>
    <row r="588" spans="1:3" x14ac:dyDescent="0.25">
      <c r="A588">
        <v>24899</v>
      </c>
      <c r="B588" t="s">
        <v>9690</v>
      </c>
      <c r="C588">
        <v>1</v>
      </c>
    </row>
    <row r="589" spans="1:3" x14ac:dyDescent="0.25">
      <c r="A589">
        <v>24927</v>
      </c>
      <c r="B589" t="s">
        <v>2</v>
      </c>
      <c r="C589">
        <v>1</v>
      </c>
    </row>
    <row r="590" spans="1:3" x14ac:dyDescent="0.25">
      <c r="A590">
        <v>24936</v>
      </c>
      <c r="B590" t="s">
        <v>2</v>
      </c>
      <c r="C590">
        <v>1</v>
      </c>
    </row>
    <row r="591" spans="1:3" x14ac:dyDescent="0.25">
      <c r="A591">
        <v>24939</v>
      </c>
      <c r="B591" t="s">
        <v>2</v>
      </c>
      <c r="C591">
        <v>1</v>
      </c>
    </row>
    <row r="592" spans="1:3" x14ac:dyDescent="0.25">
      <c r="A592">
        <v>24941</v>
      </c>
      <c r="B592" t="s">
        <v>2</v>
      </c>
      <c r="C592">
        <v>1</v>
      </c>
    </row>
    <row r="593" spans="1:3" x14ac:dyDescent="0.25">
      <c r="A593">
        <v>24957</v>
      </c>
      <c r="B593" t="s">
        <v>2</v>
      </c>
      <c r="C593">
        <v>1</v>
      </c>
    </row>
    <row r="594" spans="1:3" x14ac:dyDescent="0.25">
      <c r="A594">
        <v>24959</v>
      </c>
      <c r="B594" t="s">
        <v>2</v>
      </c>
      <c r="C594">
        <v>1</v>
      </c>
    </row>
    <row r="595" spans="1:3" x14ac:dyDescent="0.25">
      <c r="A595">
        <v>24963</v>
      </c>
      <c r="B595" t="s">
        <v>2</v>
      </c>
      <c r="C595">
        <v>1</v>
      </c>
    </row>
    <row r="596" spans="1:3" x14ac:dyDescent="0.25">
      <c r="A596">
        <v>24988</v>
      </c>
      <c r="B596" t="s">
        <v>2</v>
      </c>
      <c r="C596">
        <v>1</v>
      </c>
    </row>
    <row r="597" spans="1:3" x14ac:dyDescent="0.25">
      <c r="A597">
        <v>25043</v>
      </c>
      <c r="B597" t="s">
        <v>2</v>
      </c>
      <c r="C597">
        <v>1</v>
      </c>
    </row>
    <row r="598" spans="1:3" x14ac:dyDescent="0.25">
      <c r="A598">
        <v>25046</v>
      </c>
      <c r="B598" t="s">
        <v>2</v>
      </c>
      <c r="C598">
        <v>1</v>
      </c>
    </row>
    <row r="599" spans="1:3" x14ac:dyDescent="0.25">
      <c r="A599">
        <v>25048</v>
      </c>
      <c r="B599" t="s">
        <v>2</v>
      </c>
      <c r="C599">
        <v>1</v>
      </c>
    </row>
    <row r="600" spans="1:3" x14ac:dyDescent="0.25">
      <c r="A600">
        <v>25060</v>
      </c>
      <c r="B600" t="s">
        <v>2</v>
      </c>
      <c r="C600">
        <v>1</v>
      </c>
    </row>
    <row r="601" spans="1:3" x14ac:dyDescent="0.25">
      <c r="A601">
        <v>25062</v>
      </c>
      <c r="B601" t="s">
        <v>2</v>
      </c>
      <c r="C601">
        <v>1</v>
      </c>
    </row>
    <row r="602" spans="1:3" x14ac:dyDescent="0.25">
      <c r="A602">
        <v>25064</v>
      </c>
      <c r="B602" t="s">
        <v>2</v>
      </c>
      <c r="C602">
        <v>1</v>
      </c>
    </row>
    <row r="603" spans="1:3" x14ac:dyDescent="0.25">
      <c r="A603">
        <v>25066</v>
      </c>
      <c r="B603" t="s">
        <v>2</v>
      </c>
      <c r="C603">
        <v>1</v>
      </c>
    </row>
    <row r="604" spans="1:3" x14ac:dyDescent="0.25">
      <c r="A604">
        <v>25068</v>
      </c>
      <c r="B604" t="s">
        <v>2</v>
      </c>
      <c r="C604">
        <v>1</v>
      </c>
    </row>
    <row r="605" spans="1:3" x14ac:dyDescent="0.25">
      <c r="A605">
        <v>25070</v>
      </c>
      <c r="B605" t="s">
        <v>2</v>
      </c>
      <c r="C605">
        <v>1</v>
      </c>
    </row>
    <row r="606" spans="1:3" x14ac:dyDescent="0.25">
      <c r="A606">
        <v>25072</v>
      </c>
      <c r="B606" t="s">
        <v>2</v>
      </c>
      <c r="C606">
        <v>1</v>
      </c>
    </row>
    <row r="607" spans="1:3" x14ac:dyDescent="0.25">
      <c r="A607">
        <v>25074</v>
      </c>
      <c r="B607" t="s">
        <v>2</v>
      </c>
      <c r="C607">
        <v>1</v>
      </c>
    </row>
    <row r="608" spans="1:3" x14ac:dyDescent="0.25">
      <c r="A608">
        <v>25076</v>
      </c>
      <c r="B608" t="s">
        <v>2</v>
      </c>
      <c r="C608">
        <v>1</v>
      </c>
    </row>
    <row r="609" spans="1:3" x14ac:dyDescent="0.25">
      <c r="A609">
        <v>25078</v>
      </c>
      <c r="B609" t="s">
        <v>2</v>
      </c>
      <c r="C609">
        <v>1</v>
      </c>
    </row>
    <row r="610" spans="1:3" x14ac:dyDescent="0.25">
      <c r="A610">
        <v>25080</v>
      </c>
      <c r="B610" t="s">
        <v>2</v>
      </c>
      <c r="C610">
        <v>1</v>
      </c>
    </row>
    <row r="611" spans="1:3" x14ac:dyDescent="0.25">
      <c r="A611">
        <v>25187</v>
      </c>
      <c r="B611" t="s">
        <v>11</v>
      </c>
      <c r="C611">
        <v>1</v>
      </c>
    </row>
    <row r="612" spans="1:3" x14ac:dyDescent="0.25">
      <c r="A612">
        <v>25200</v>
      </c>
      <c r="B612" t="s">
        <v>2</v>
      </c>
      <c r="C612">
        <v>1</v>
      </c>
    </row>
    <row r="613" spans="1:3" x14ac:dyDescent="0.25">
      <c r="A613">
        <v>25202</v>
      </c>
      <c r="B613" t="s">
        <v>2</v>
      </c>
      <c r="C613">
        <v>1</v>
      </c>
    </row>
    <row r="614" spans="1:3" x14ac:dyDescent="0.25">
      <c r="A614">
        <v>25204</v>
      </c>
      <c r="B614" t="s">
        <v>2</v>
      </c>
      <c r="C614">
        <v>1</v>
      </c>
    </row>
    <row r="615" spans="1:3" x14ac:dyDescent="0.25">
      <c r="A615">
        <v>25213</v>
      </c>
      <c r="B615" t="s">
        <v>11</v>
      </c>
      <c r="C615">
        <v>1</v>
      </c>
    </row>
    <row r="616" spans="1:3" x14ac:dyDescent="0.25">
      <c r="A616">
        <v>25217</v>
      </c>
      <c r="B616" t="s">
        <v>11</v>
      </c>
      <c r="C616">
        <v>1</v>
      </c>
    </row>
    <row r="617" spans="1:3" x14ac:dyDescent="0.25">
      <c r="A617">
        <v>25221</v>
      </c>
      <c r="B617" t="s">
        <v>2</v>
      </c>
      <c r="C617">
        <v>1</v>
      </c>
    </row>
    <row r="618" spans="1:3" x14ac:dyDescent="0.25">
      <c r="A618">
        <v>25223</v>
      </c>
      <c r="B618" t="s">
        <v>2</v>
      </c>
      <c r="C618">
        <v>1</v>
      </c>
    </row>
    <row r="619" spans="1:3" x14ac:dyDescent="0.25">
      <c r="A619">
        <v>25225</v>
      </c>
      <c r="B619" t="s">
        <v>2</v>
      </c>
      <c r="C619">
        <v>1</v>
      </c>
    </row>
    <row r="620" spans="1:3" x14ac:dyDescent="0.25">
      <c r="A620">
        <v>25233</v>
      </c>
      <c r="B620" t="s">
        <v>2</v>
      </c>
      <c r="C620">
        <v>1</v>
      </c>
    </row>
    <row r="621" spans="1:3" x14ac:dyDescent="0.25">
      <c r="A621">
        <v>25237</v>
      </c>
      <c r="B621" t="s">
        <v>2</v>
      </c>
      <c r="C621">
        <v>1</v>
      </c>
    </row>
    <row r="622" spans="1:3" x14ac:dyDescent="0.25">
      <c r="A622">
        <v>25246</v>
      </c>
      <c r="B622" t="s">
        <v>11</v>
      </c>
      <c r="C622">
        <v>1</v>
      </c>
    </row>
    <row r="623" spans="1:3" x14ac:dyDescent="0.25">
      <c r="A623">
        <v>25251</v>
      </c>
      <c r="B623" t="s">
        <v>11</v>
      </c>
      <c r="C623">
        <v>1</v>
      </c>
    </row>
    <row r="624" spans="1:3" x14ac:dyDescent="0.25">
      <c r="A624">
        <v>25257</v>
      </c>
      <c r="B624" t="s">
        <v>11</v>
      </c>
      <c r="C624">
        <v>1</v>
      </c>
    </row>
    <row r="625" spans="1:3" x14ac:dyDescent="0.25">
      <c r="A625">
        <v>25262</v>
      </c>
      <c r="B625" t="s">
        <v>11</v>
      </c>
      <c r="C625">
        <v>1</v>
      </c>
    </row>
    <row r="626" spans="1:3" x14ac:dyDescent="0.25">
      <c r="A626">
        <v>25265</v>
      </c>
      <c r="B626" t="s">
        <v>11</v>
      </c>
      <c r="C626">
        <v>1</v>
      </c>
    </row>
    <row r="627" spans="1:3" x14ac:dyDescent="0.25">
      <c r="A627">
        <v>25277</v>
      </c>
      <c r="B627" t="s">
        <v>9690</v>
      </c>
      <c r="C627">
        <v>1</v>
      </c>
    </row>
    <row r="628" spans="1:3" x14ac:dyDescent="0.25">
      <c r="A628">
        <v>25279</v>
      </c>
      <c r="B628" t="s">
        <v>9690</v>
      </c>
      <c r="C628">
        <v>1</v>
      </c>
    </row>
    <row r="629" spans="1:3" x14ac:dyDescent="0.25">
      <c r="A629">
        <v>25281</v>
      </c>
      <c r="B629" t="s">
        <v>9690</v>
      </c>
      <c r="C629">
        <v>1</v>
      </c>
    </row>
    <row r="630" spans="1:3" x14ac:dyDescent="0.25">
      <c r="A630">
        <v>25285</v>
      </c>
      <c r="B630" t="s">
        <v>9690</v>
      </c>
      <c r="C630">
        <v>1</v>
      </c>
    </row>
    <row r="631" spans="1:3" x14ac:dyDescent="0.25">
      <c r="A631">
        <v>25287</v>
      </c>
      <c r="B631" t="s">
        <v>9690</v>
      </c>
      <c r="C631">
        <v>1</v>
      </c>
    </row>
    <row r="632" spans="1:3" x14ac:dyDescent="0.25">
      <c r="A632">
        <v>25291</v>
      </c>
      <c r="B632" t="s">
        <v>9690</v>
      </c>
      <c r="C632">
        <v>1</v>
      </c>
    </row>
    <row r="633" spans="1:3" x14ac:dyDescent="0.25">
      <c r="A633">
        <v>25293</v>
      </c>
      <c r="B633" t="s">
        <v>9690</v>
      </c>
      <c r="C633">
        <v>1</v>
      </c>
    </row>
    <row r="634" spans="1:3" x14ac:dyDescent="0.25">
      <c r="A634">
        <v>25295</v>
      </c>
      <c r="B634" t="s">
        <v>12007</v>
      </c>
      <c r="C634">
        <v>1</v>
      </c>
    </row>
    <row r="635" spans="1:3" x14ac:dyDescent="0.25">
      <c r="A635">
        <v>25297</v>
      </c>
      <c r="B635" t="s">
        <v>9690</v>
      </c>
      <c r="C635">
        <v>1</v>
      </c>
    </row>
    <row r="636" spans="1:3" x14ac:dyDescent="0.25">
      <c r="A636">
        <v>25299</v>
      </c>
      <c r="B636" t="s">
        <v>9690</v>
      </c>
      <c r="C636">
        <v>1</v>
      </c>
    </row>
    <row r="637" spans="1:3" x14ac:dyDescent="0.25">
      <c r="A637">
        <v>25301</v>
      </c>
      <c r="B637" t="s">
        <v>9690</v>
      </c>
      <c r="C637">
        <v>1</v>
      </c>
    </row>
    <row r="638" spans="1:3" x14ac:dyDescent="0.25">
      <c r="A638">
        <v>25303</v>
      </c>
      <c r="B638" t="s">
        <v>9690</v>
      </c>
      <c r="C638">
        <v>1</v>
      </c>
    </row>
    <row r="639" spans="1:3" x14ac:dyDescent="0.25">
      <c r="A639">
        <v>25307</v>
      </c>
      <c r="B639" t="s">
        <v>9690</v>
      </c>
      <c r="C639">
        <v>1</v>
      </c>
    </row>
    <row r="640" spans="1:3" x14ac:dyDescent="0.25">
      <c r="A640">
        <v>25309</v>
      </c>
      <c r="B640" t="s">
        <v>9690</v>
      </c>
      <c r="C640">
        <v>1</v>
      </c>
    </row>
    <row r="641" spans="1:3" x14ac:dyDescent="0.25">
      <c r="A641">
        <v>25311</v>
      </c>
      <c r="B641" t="s">
        <v>9690</v>
      </c>
      <c r="C641">
        <v>1</v>
      </c>
    </row>
    <row r="642" spans="1:3" x14ac:dyDescent="0.25">
      <c r="A642">
        <v>25317</v>
      </c>
      <c r="B642" t="s">
        <v>9690</v>
      </c>
      <c r="C642">
        <v>1</v>
      </c>
    </row>
    <row r="643" spans="1:3" x14ac:dyDescent="0.25">
      <c r="A643">
        <v>25321</v>
      </c>
      <c r="B643" t="s">
        <v>9690</v>
      </c>
      <c r="C643">
        <v>1</v>
      </c>
    </row>
    <row r="644" spans="1:3" x14ac:dyDescent="0.25">
      <c r="A644">
        <v>25323</v>
      </c>
      <c r="B644" t="s">
        <v>9690</v>
      </c>
      <c r="C644">
        <v>1</v>
      </c>
    </row>
    <row r="645" spans="1:3" x14ac:dyDescent="0.25">
      <c r="A645">
        <v>25325</v>
      </c>
      <c r="B645" t="s">
        <v>9690</v>
      </c>
      <c r="C645">
        <v>1</v>
      </c>
    </row>
    <row r="646" spans="1:3" x14ac:dyDescent="0.25">
      <c r="A646">
        <v>25327</v>
      </c>
      <c r="B646" t="s">
        <v>9690</v>
      </c>
      <c r="C646">
        <v>1</v>
      </c>
    </row>
    <row r="647" spans="1:3" x14ac:dyDescent="0.25">
      <c r="A647">
        <v>25331</v>
      </c>
      <c r="B647" t="s">
        <v>9690</v>
      </c>
      <c r="C647">
        <v>1</v>
      </c>
    </row>
    <row r="648" spans="1:3" x14ac:dyDescent="0.25">
      <c r="A648">
        <v>25333</v>
      </c>
      <c r="B648" t="s">
        <v>9690</v>
      </c>
      <c r="C648">
        <v>1</v>
      </c>
    </row>
    <row r="649" spans="1:3" x14ac:dyDescent="0.25">
      <c r="A649">
        <v>25339</v>
      </c>
      <c r="B649" t="s">
        <v>9690</v>
      </c>
      <c r="C649">
        <v>1</v>
      </c>
    </row>
    <row r="650" spans="1:3" x14ac:dyDescent="0.25">
      <c r="A650">
        <v>25341</v>
      </c>
      <c r="B650" t="s">
        <v>9690</v>
      </c>
      <c r="C650">
        <v>1</v>
      </c>
    </row>
    <row r="651" spans="1:3" x14ac:dyDescent="0.25">
      <c r="A651">
        <v>25343</v>
      </c>
      <c r="B651" t="s">
        <v>9690</v>
      </c>
      <c r="C651">
        <v>1</v>
      </c>
    </row>
    <row r="652" spans="1:3" x14ac:dyDescent="0.25">
      <c r="A652">
        <v>25345</v>
      </c>
      <c r="B652" t="s">
        <v>9690</v>
      </c>
      <c r="C652">
        <v>1</v>
      </c>
    </row>
    <row r="653" spans="1:3" x14ac:dyDescent="0.25">
      <c r="A653">
        <v>25349</v>
      </c>
      <c r="B653" t="s">
        <v>9690</v>
      </c>
      <c r="C653">
        <v>1</v>
      </c>
    </row>
    <row r="654" spans="1:3" x14ac:dyDescent="0.25">
      <c r="A654">
        <v>25353</v>
      </c>
      <c r="B654" t="s">
        <v>9690</v>
      </c>
      <c r="C654">
        <v>1</v>
      </c>
    </row>
    <row r="655" spans="1:3" x14ac:dyDescent="0.25">
      <c r="A655">
        <v>25359</v>
      </c>
      <c r="B655" t="s">
        <v>11</v>
      </c>
      <c r="C655">
        <v>1</v>
      </c>
    </row>
    <row r="656" spans="1:3" x14ac:dyDescent="0.25">
      <c r="A656">
        <v>25361</v>
      </c>
      <c r="B656" t="s">
        <v>11</v>
      </c>
      <c r="C656">
        <v>1</v>
      </c>
    </row>
    <row r="657" spans="1:3" x14ac:dyDescent="0.25">
      <c r="A657">
        <v>25367</v>
      </c>
      <c r="B657" t="s">
        <v>11</v>
      </c>
      <c r="C657">
        <v>1</v>
      </c>
    </row>
    <row r="658" spans="1:3" x14ac:dyDescent="0.25">
      <c r="A658">
        <v>25665</v>
      </c>
      <c r="B658" t="s">
        <v>12585</v>
      </c>
      <c r="C658">
        <v>1</v>
      </c>
    </row>
    <row r="659" spans="1:3" x14ac:dyDescent="0.25">
      <c r="A659">
        <v>25668</v>
      </c>
      <c r="B659" t="s">
        <v>11</v>
      </c>
      <c r="C659">
        <v>1</v>
      </c>
    </row>
    <row r="660" spans="1:3" x14ac:dyDescent="0.25">
      <c r="A660">
        <v>25674</v>
      </c>
      <c r="B660" t="s">
        <v>11</v>
      </c>
      <c r="C660">
        <v>1</v>
      </c>
    </row>
    <row r="661" spans="1:3" x14ac:dyDescent="0.25">
      <c r="A661">
        <v>25879</v>
      </c>
      <c r="B661" t="s">
        <v>7862</v>
      </c>
      <c r="C661">
        <v>1</v>
      </c>
    </row>
    <row r="662" spans="1:3" x14ac:dyDescent="0.25">
      <c r="A662">
        <v>25889</v>
      </c>
      <c r="B662" t="s">
        <v>7862</v>
      </c>
      <c r="C662">
        <v>1</v>
      </c>
    </row>
    <row r="663" spans="1:3" x14ac:dyDescent="0.25">
      <c r="A663">
        <v>25893</v>
      </c>
      <c r="B663" t="s">
        <v>7862</v>
      </c>
      <c r="C663">
        <v>1</v>
      </c>
    </row>
    <row r="664" spans="1:3" x14ac:dyDescent="0.25">
      <c r="A664">
        <v>25897</v>
      </c>
      <c r="B664" t="s">
        <v>7862</v>
      </c>
      <c r="C664">
        <v>1</v>
      </c>
    </row>
    <row r="665" spans="1:3" x14ac:dyDescent="0.25">
      <c r="A665">
        <v>25907</v>
      </c>
      <c r="B665" t="s">
        <v>7862</v>
      </c>
      <c r="C665">
        <v>1</v>
      </c>
    </row>
    <row r="666" spans="1:3" x14ac:dyDescent="0.25">
      <c r="A666">
        <v>26225</v>
      </c>
      <c r="B666" t="s">
        <v>12410</v>
      </c>
      <c r="C666">
        <v>1</v>
      </c>
    </row>
    <row r="667" spans="1:3" x14ac:dyDescent="0.25">
      <c r="A667">
        <v>26232</v>
      </c>
      <c r="B667" t="s">
        <v>7008</v>
      </c>
      <c r="C667">
        <v>1</v>
      </c>
    </row>
    <row r="668" spans="1:3" x14ac:dyDescent="0.25">
      <c r="A668">
        <v>26234</v>
      </c>
      <c r="B668" t="s">
        <v>7008</v>
      </c>
      <c r="C668">
        <v>1</v>
      </c>
    </row>
    <row r="669" spans="1:3" x14ac:dyDescent="0.25">
      <c r="A669">
        <v>26236</v>
      </c>
      <c r="B669" t="s">
        <v>7008</v>
      </c>
      <c r="C669">
        <v>1</v>
      </c>
    </row>
    <row r="670" spans="1:3" x14ac:dyDescent="0.25">
      <c r="A670">
        <v>26238</v>
      </c>
      <c r="B670" t="s">
        <v>7008</v>
      </c>
      <c r="C670">
        <v>1</v>
      </c>
    </row>
    <row r="671" spans="1:3" x14ac:dyDescent="0.25">
      <c r="A671">
        <v>26240</v>
      </c>
      <c r="B671" t="s">
        <v>12410</v>
      </c>
      <c r="C671">
        <v>1</v>
      </c>
    </row>
    <row r="672" spans="1:3" x14ac:dyDescent="0.25">
      <c r="A672">
        <v>26436</v>
      </c>
      <c r="B672" t="s">
        <v>12585</v>
      </c>
      <c r="C672">
        <v>1</v>
      </c>
    </row>
    <row r="673" spans="1:3" x14ac:dyDescent="0.25">
      <c r="A673">
        <v>26468</v>
      </c>
      <c r="B673" t="s">
        <v>8182</v>
      </c>
      <c r="C673">
        <v>1</v>
      </c>
    </row>
    <row r="674" spans="1:3" x14ac:dyDescent="0.25">
      <c r="A674">
        <v>26470</v>
      </c>
      <c r="B674" t="s">
        <v>8182</v>
      </c>
      <c r="C674">
        <v>1</v>
      </c>
    </row>
    <row r="675" spans="1:3" x14ac:dyDescent="0.25">
      <c r="A675">
        <v>26684</v>
      </c>
      <c r="B675" t="s">
        <v>10806</v>
      </c>
      <c r="C675">
        <v>1</v>
      </c>
    </row>
    <row r="676" spans="1:3" x14ac:dyDescent="0.25">
      <c r="A676">
        <v>26703</v>
      </c>
      <c r="B676" t="s">
        <v>8182</v>
      </c>
      <c r="C676">
        <v>1</v>
      </c>
    </row>
    <row r="677" spans="1:3" x14ac:dyDescent="0.25">
      <c r="A677">
        <v>26705</v>
      </c>
      <c r="B677" t="s">
        <v>8182</v>
      </c>
      <c r="C677">
        <v>1</v>
      </c>
    </row>
    <row r="678" spans="1:3" x14ac:dyDescent="0.25">
      <c r="A678">
        <v>26707</v>
      </c>
      <c r="B678" t="s">
        <v>8182</v>
      </c>
      <c r="C678">
        <v>1</v>
      </c>
    </row>
    <row r="679" spans="1:3" x14ac:dyDescent="0.25">
      <c r="A679">
        <v>26709</v>
      </c>
      <c r="B679" t="s">
        <v>8182</v>
      </c>
      <c r="C679">
        <v>1</v>
      </c>
    </row>
    <row r="680" spans="1:3" x14ac:dyDescent="0.25">
      <c r="A680">
        <v>27522</v>
      </c>
      <c r="B680" t="s">
        <v>8182</v>
      </c>
      <c r="C680">
        <v>1</v>
      </c>
    </row>
    <row r="681" spans="1:3" x14ac:dyDescent="0.25">
      <c r="A681">
        <v>27526</v>
      </c>
      <c r="B681" t="s">
        <v>8182</v>
      </c>
      <c r="C681">
        <v>1</v>
      </c>
    </row>
    <row r="682" spans="1:3" x14ac:dyDescent="0.25">
      <c r="A682">
        <v>27528</v>
      </c>
      <c r="B682" t="s">
        <v>8182</v>
      </c>
      <c r="C682">
        <v>1</v>
      </c>
    </row>
    <row r="683" spans="1:3" x14ac:dyDescent="0.25">
      <c r="A683">
        <v>27531</v>
      </c>
      <c r="B683" t="s">
        <v>8182</v>
      </c>
      <c r="C683">
        <v>1</v>
      </c>
    </row>
    <row r="684" spans="1:3" x14ac:dyDescent="0.25">
      <c r="A684">
        <v>28158</v>
      </c>
      <c r="B684" t="s">
        <v>8182</v>
      </c>
      <c r="C684">
        <v>1</v>
      </c>
    </row>
    <row r="685" spans="1:3" x14ac:dyDescent="0.25">
      <c r="A685">
        <v>28160</v>
      </c>
      <c r="B685" t="s">
        <v>8182</v>
      </c>
      <c r="C685">
        <v>1</v>
      </c>
    </row>
    <row r="686" spans="1:3" x14ac:dyDescent="0.25">
      <c r="A686">
        <v>28162</v>
      </c>
      <c r="B686" t="s">
        <v>8182</v>
      </c>
      <c r="C686">
        <v>1</v>
      </c>
    </row>
    <row r="687" spans="1:3" x14ac:dyDescent="0.25">
      <c r="A687">
        <v>28164</v>
      </c>
      <c r="B687" t="s">
        <v>8182</v>
      </c>
      <c r="C687">
        <v>1</v>
      </c>
    </row>
    <row r="688" spans="1:3" x14ac:dyDescent="0.25">
      <c r="A688">
        <v>28166</v>
      </c>
      <c r="B688" t="s">
        <v>8182</v>
      </c>
      <c r="C688">
        <v>1</v>
      </c>
    </row>
    <row r="689" spans="1:3" x14ac:dyDescent="0.25">
      <c r="A689">
        <v>28175</v>
      </c>
      <c r="B689" t="s">
        <v>8182</v>
      </c>
      <c r="C689">
        <v>1</v>
      </c>
    </row>
    <row r="690" spans="1:3" x14ac:dyDescent="0.25">
      <c r="A690">
        <v>28177</v>
      </c>
      <c r="B690" t="s">
        <v>8182</v>
      </c>
      <c r="C690">
        <v>1</v>
      </c>
    </row>
    <row r="691" spans="1:3" x14ac:dyDescent="0.25">
      <c r="A691">
        <v>28254</v>
      </c>
      <c r="B691" t="s">
        <v>11</v>
      </c>
      <c r="C691">
        <v>1</v>
      </c>
    </row>
    <row r="692" spans="1:3" x14ac:dyDescent="0.25">
      <c r="A692">
        <v>28270</v>
      </c>
      <c r="B692" t="s">
        <v>11</v>
      </c>
      <c r="C692">
        <v>1</v>
      </c>
    </row>
    <row r="693" spans="1:3" x14ac:dyDescent="0.25">
      <c r="A693">
        <v>28331</v>
      </c>
      <c r="B693" t="s">
        <v>11</v>
      </c>
      <c r="C693">
        <v>1</v>
      </c>
    </row>
    <row r="694" spans="1:3" x14ac:dyDescent="0.25">
      <c r="A694">
        <v>28334</v>
      </c>
      <c r="B694" t="s">
        <v>11</v>
      </c>
      <c r="C694">
        <v>1</v>
      </c>
    </row>
    <row r="695" spans="1:3" x14ac:dyDescent="0.25">
      <c r="A695">
        <v>28336</v>
      </c>
      <c r="B695" t="s">
        <v>11</v>
      </c>
      <c r="C695">
        <v>1</v>
      </c>
    </row>
    <row r="696" spans="1:3" x14ac:dyDescent="0.25">
      <c r="A696">
        <v>28378</v>
      </c>
      <c r="B696" t="s">
        <v>11</v>
      </c>
      <c r="C696">
        <v>1</v>
      </c>
    </row>
    <row r="697" spans="1:3" x14ac:dyDescent="0.25">
      <c r="A697">
        <v>28384</v>
      </c>
      <c r="B697" t="s">
        <v>11</v>
      </c>
      <c r="C697">
        <v>1</v>
      </c>
    </row>
    <row r="698" spans="1:3" x14ac:dyDescent="0.25">
      <c r="A698">
        <v>28386</v>
      </c>
      <c r="B698" t="s">
        <v>11</v>
      </c>
      <c r="C698">
        <v>1</v>
      </c>
    </row>
    <row r="699" spans="1:3" x14ac:dyDescent="0.25">
      <c r="A699">
        <v>28404</v>
      </c>
      <c r="B699" t="s">
        <v>11</v>
      </c>
      <c r="C699">
        <v>1</v>
      </c>
    </row>
    <row r="700" spans="1:3" x14ac:dyDescent="0.25">
      <c r="A700">
        <v>28407</v>
      </c>
      <c r="B700" t="s">
        <v>11</v>
      </c>
      <c r="C700">
        <v>1</v>
      </c>
    </row>
    <row r="701" spans="1:3" x14ac:dyDescent="0.25">
      <c r="A701">
        <v>28410</v>
      </c>
      <c r="B701" t="s">
        <v>11</v>
      </c>
      <c r="C701">
        <v>1</v>
      </c>
    </row>
    <row r="702" spans="1:3" x14ac:dyDescent="0.25">
      <c r="A702">
        <v>28412</v>
      </c>
      <c r="B702" t="s">
        <v>11</v>
      </c>
      <c r="C702">
        <v>1</v>
      </c>
    </row>
    <row r="703" spans="1:3" x14ac:dyDescent="0.25">
      <c r="A703">
        <v>28414</v>
      </c>
      <c r="B703" t="s">
        <v>11</v>
      </c>
      <c r="C703">
        <v>1</v>
      </c>
    </row>
    <row r="704" spans="1:3" x14ac:dyDescent="0.25">
      <c r="A704">
        <v>28417</v>
      </c>
      <c r="B704" t="s">
        <v>11</v>
      </c>
      <c r="C704">
        <v>1</v>
      </c>
    </row>
    <row r="705" spans="1:3" x14ac:dyDescent="0.25">
      <c r="A705">
        <v>28420</v>
      </c>
      <c r="B705" t="s">
        <v>11</v>
      </c>
      <c r="C705">
        <v>1</v>
      </c>
    </row>
    <row r="706" spans="1:3" x14ac:dyDescent="0.25">
      <c r="A706">
        <v>28428</v>
      </c>
      <c r="B706" t="s">
        <v>11</v>
      </c>
      <c r="C706">
        <v>1</v>
      </c>
    </row>
    <row r="707" spans="1:3" x14ac:dyDescent="0.25">
      <c r="A707">
        <v>28430</v>
      </c>
      <c r="B707" t="s">
        <v>11</v>
      </c>
      <c r="C707">
        <v>1</v>
      </c>
    </row>
    <row r="708" spans="1:3" x14ac:dyDescent="0.25">
      <c r="A708">
        <v>28574</v>
      </c>
      <c r="B708" t="s">
        <v>7862</v>
      </c>
      <c r="C708">
        <v>1</v>
      </c>
    </row>
    <row r="709" spans="1:3" x14ac:dyDescent="0.25">
      <c r="A709">
        <v>28576</v>
      </c>
      <c r="B709" t="s">
        <v>7862</v>
      </c>
      <c r="C709">
        <v>1</v>
      </c>
    </row>
    <row r="710" spans="1:3" x14ac:dyDescent="0.25">
      <c r="A710">
        <v>28699</v>
      </c>
      <c r="B710" t="s">
        <v>7862</v>
      </c>
      <c r="C710">
        <v>1</v>
      </c>
    </row>
    <row r="711" spans="1:3" x14ac:dyDescent="0.25">
      <c r="A711">
        <v>29058</v>
      </c>
      <c r="B711" t="s">
        <v>8182</v>
      </c>
      <c r="C711">
        <v>1</v>
      </c>
    </row>
    <row r="712" spans="1:3" x14ac:dyDescent="0.25">
      <c r="A712">
        <v>29061</v>
      </c>
      <c r="B712" t="s">
        <v>8182</v>
      </c>
      <c r="C712">
        <v>1</v>
      </c>
    </row>
    <row r="713" spans="1:3" x14ac:dyDescent="0.25">
      <c r="A713">
        <v>29063</v>
      </c>
      <c r="B713" t="s">
        <v>2</v>
      </c>
      <c r="C713">
        <v>1</v>
      </c>
    </row>
    <row r="714" spans="1:3" x14ac:dyDescent="0.25">
      <c r="A714">
        <v>29065</v>
      </c>
      <c r="B714" t="s">
        <v>8182</v>
      </c>
      <c r="C714">
        <v>1</v>
      </c>
    </row>
    <row r="715" spans="1:3" x14ac:dyDescent="0.25">
      <c r="A715">
        <v>29067</v>
      </c>
      <c r="B715" t="s">
        <v>8182</v>
      </c>
      <c r="C715">
        <v>1</v>
      </c>
    </row>
    <row r="716" spans="1:3" x14ac:dyDescent="0.25">
      <c r="A716">
        <v>29075</v>
      </c>
      <c r="B716" t="s">
        <v>8182</v>
      </c>
      <c r="C716">
        <v>1</v>
      </c>
    </row>
    <row r="717" spans="1:3" x14ac:dyDescent="0.25">
      <c r="A717">
        <v>29110</v>
      </c>
      <c r="B717" t="s">
        <v>8182</v>
      </c>
      <c r="C717">
        <v>1</v>
      </c>
    </row>
    <row r="718" spans="1:3" x14ac:dyDescent="0.25">
      <c r="A718">
        <v>29112</v>
      </c>
      <c r="B718" t="s">
        <v>11145</v>
      </c>
      <c r="C718">
        <v>1</v>
      </c>
    </row>
    <row r="719" spans="1:3" x14ac:dyDescent="0.25">
      <c r="A719">
        <v>29114</v>
      </c>
      <c r="B719" t="s">
        <v>11145</v>
      </c>
      <c r="C719">
        <v>1</v>
      </c>
    </row>
    <row r="720" spans="1:3" x14ac:dyDescent="0.25">
      <c r="A720">
        <v>29116</v>
      </c>
      <c r="B720" t="s">
        <v>11145</v>
      </c>
      <c r="C720">
        <v>1</v>
      </c>
    </row>
    <row r="721" spans="1:3" x14ac:dyDescent="0.25">
      <c r="A721">
        <v>29119</v>
      </c>
      <c r="B721" t="s">
        <v>11145</v>
      </c>
      <c r="C721">
        <v>1</v>
      </c>
    </row>
    <row r="722" spans="1:3" x14ac:dyDescent="0.25">
      <c r="A722">
        <v>29187</v>
      </c>
      <c r="B722" t="s">
        <v>11145</v>
      </c>
      <c r="C722">
        <v>1</v>
      </c>
    </row>
    <row r="723" spans="1:3" x14ac:dyDescent="0.25">
      <c r="A723">
        <v>29191</v>
      </c>
      <c r="B723" t="s">
        <v>11145</v>
      </c>
      <c r="C723">
        <v>1</v>
      </c>
    </row>
    <row r="724" spans="1:3" x14ac:dyDescent="0.25">
      <c r="A724">
        <v>29193</v>
      </c>
      <c r="B724" t="s">
        <v>11145</v>
      </c>
      <c r="C724">
        <v>1</v>
      </c>
    </row>
    <row r="725" spans="1:3" x14ac:dyDescent="0.25">
      <c r="A725">
        <v>29198</v>
      </c>
      <c r="B725" t="s">
        <v>11145</v>
      </c>
      <c r="C725">
        <v>1</v>
      </c>
    </row>
    <row r="726" spans="1:3" x14ac:dyDescent="0.25">
      <c r="A726">
        <v>29200</v>
      </c>
      <c r="B726" t="s">
        <v>11145</v>
      </c>
      <c r="C726">
        <v>1</v>
      </c>
    </row>
    <row r="727" spans="1:3" x14ac:dyDescent="0.25">
      <c r="A727">
        <v>29204</v>
      </c>
      <c r="B727" t="s">
        <v>11145</v>
      </c>
      <c r="C727">
        <v>1</v>
      </c>
    </row>
    <row r="728" spans="1:3" x14ac:dyDescent="0.25">
      <c r="A728">
        <v>29206</v>
      </c>
      <c r="B728" t="s">
        <v>11145</v>
      </c>
      <c r="C728">
        <v>1</v>
      </c>
    </row>
    <row r="729" spans="1:3" x14ac:dyDescent="0.25">
      <c r="A729">
        <v>29210</v>
      </c>
      <c r="B729" t="s">
        <v>11145</v>
      </c>
      <c r="C729">
        <v>1</v>
      </c>
    </row>
    <row r="730" spans="1:3" x14ac:dyDescent="0.25">
      <c r="A730">
        <v>29212</v>
      </c>
      <c r="B730" t="s">
        <v>11145</v>
      </c>
      <c r="C730">
        <v>1</v>
      </c>
    </row>
    <row r="731" spans="1:3" x14ac:dyDescent="0.25">
      <c r="A731">
        <v>29214</v>
      </c>
      <c r="B731" t="s">
        <v>11145</v>
      </c>
      <c r="C731">
        <v>1</v>
      </c>
    </row>
    <row r="732" spans="1:3" x14ac:dyDescent="0.25">
      <c r="A732">
        <v>29216</v>
      </c>
      <c r="B732" t="s">
        <v>11145</v>
      </c>
      <c r="C732">
        <v>1</v>
      </c>
    </row>
    <row r="733" spans="1:3" x14ac:dyDescent="0.25">
      <c r="A733">
        <v>29218</v>
      </c>
      <c r="B733" t="s">
        <v>11145</v>
      </c>
      <c r="C733">
        <v>1</v>
      </c>
    </row>
    <row r="734" spans="1:3" x14ac:dyDescent="0.25">
      <c r="A734">
        <v>29220</v>
      </c>
      <c r="B734" t="s">
        <v>11145</v>
      </c>
      <c r="C734">
        <v>1</v>
      </c>
    </row>
    <row r="735" spans="1:3" x14ac:dyDescent="0.25">
      <c r="A735">
        <v>29222</v>
      </c>
      <c r="B735" t="s">
        <v>11145</v>
      </c>
      <c r="C735">
        <v>1</v>
      </c>
    </row>
    <row r="736" spans="1:3" x14ac:dyDescent="0.25">
      <c r="A736">
        <v>29235</v>
      </c>
      <c r="B736" t="s">
        <v>11145</v>
      </c>
      <c r="C736">
        <v>1</v>
      </c>
    </row>
    <row r="737" spans="1:3" x14ac:dyDescent="0.25">
      <c r="A737">
        <v>29241</v>
      </c>
      <c r="B737" t="s">
        <v>11145</v>
      </c>
      <c r="C737">
        <v>1</v>
      </c>
    </row>
    <row r="738" spans="1:3" x14ac:dyDescent="0.25">
      <c r="A738">
        <v>29360</v>
      </c>
      <c r="B738" t="s">
        <v>8182</v>
      </c>
      <c r="C738">
        <v>1</v>
      </c>
    </row>
    <row r="739" spans="1:3" x14ac:dyDescent="0.25">
      <c r="A739">
        <v>29370</v>
      </c>
      <c r="B739" t="s">
        <v>8182</v>
      </c>
      <c r="C739">
        <v>1</v>
      </c>
    </row>
    <row r="740" spans="1:3" x14ac:dyDescent="0.25">
      <c r="A740">
        <v>29387</v>
      </c>
      <c r="B740" t="s">
        <v>8182</v>
      </c>
      <c r="C740">
        <v>1</v>
      </c>
    </row>
    <row r="741" spans="1:3" x14ac:dyDescent="0.25">
      <c r="A741">
        <v>29802</v>
      </c>
      <c r="B741" t="s">
        <v>2</v>
      </c>
      <c r="C741">
        <v>1</v>
      </c>
    </row>
    <row r="742" spans="1:3" x14ac:dyDescent="0.25">
      <c r="A742">
        <v>29807</v>
      </c>
      <c r="B742" t="s">
        <v>2</v>
      </c>
      <c r="C742">
        <v>1</v>
      </c>
    </row>
    <row r="743" spans="1:3" x14ac:dyDescent="0.25">
      <c r="A743">
        <v>29852</v>
      </c>
      <c r="B743" t="s">
        <v>10806</v>
      </c>
      <c r="C743">
        <v>1</v>
      </c>
    </row>
    <row r="744" spans="1:3" x14ac:dyDescent="0.25">
      <c r="A744">
        <v>29976</v>
      </c>
      <c r="B744" t="s">
        <v>7862</v>
      </c>
      <c r="C744">
        <v>1</v>
      </c>
    </row>
    <row r="745" spans="1:3" x14ac:dyDescent="0.25">
      <c r="A745">
        <v>30007</v>
      </c>
      <c r="B745" t="s">
        <v>7862</v>
      </c>
      <c r="C745">
        <v>1</v>
      </c>
    </row>
    <row r="746" spans="1:3" x14ac:dyDescent="0.25">
      <c r="A746">
        <v>30054</v>
      </c>
      <c r="B746" t="s">
        <v>11145</v>
      </c>
      <c r="C746">
        <v>1</v>
      </c>
    </row>
    <row r="747" spans="1:3" x14ac:dyDescent="0.25">
      <c r="A747">
        <v>30056</v>
      </c>
      <c r="B747" t="s">
        <v>11145</v>
      </c>
      <c r="C747">
        <v>1</v>
      </c>
    </row>
    <row r="748" spans="1:3" x14ac:dyDescent="0.25">
      <c r="A748">
        <v>30058</v>
      </c>
      <c r="B748" t="s">
        <v>11145</v>
      </c>
      <c r="C748">
        <v>1</v>
      </c>
    </row>
    <row r="749" spans="1:3" x14ac:dyDescent="0.25">
      <c r="A749">
        <v>30159</v>
      </c>
      <c r="B749" t="s">
        <v>12007</v>
      </c>
      <c r="C749">
        <v>1</v>
      </c>
    </row>
    <row r="750" spans="1:3" x14ac:dyDescent="0.25">
      <c r="A750">
        <v>30455</v>
      </c>
      <c r="B750" t="s">
        <v>11</v>
      </c>
      <c r="C750">
        <v>1</v>
      </c>
    </row>
    <row r="751" spans="1:3" x14ac:dyDescent="0.25">
      <c r="A751">
        <v>30477</v>
      </c>
      <c r="B751" t="s">
        <v>11</v>
      </c>
      <c r="C751">
        <v>1</v>
      </c>
    </row>
    <row r="752" spans="1:3" x14ac:dyDescent="0.25">
      <c r="A752">
        <v>30479</v>
      </c>
      <c r="B752" t="s">
        <v>11</v>
      </c>
      <c r="C752">
        <v>1</v>
      </c>
    </row>
    <row r="753" spans="1:3" x14ac:dyDescent="0.25">
      <c r="A753">
        <v>30504</v>
      </c>
      <c r="B753" t="s">
        <v>11</v>
      </c>
      <c r="C753">
        <v>1</v>
      </c>
    </row>
    <row r="754" spans="1:3" x14ac:dyDescent="0.25">
      <c r="A754">
        <v>30720</v>
      </c>
      <c r="B754" t="s">
        <v>11</v>
      </c>
      <c r="C754">
        <v>1</v>
      </c>
    </row>
    <row r="755" spans="1:3" x14ac:dyDescent="0.25">
      <c r="A755">
        <v>30728</v>
      </c>
      <c r="B755" t="s">
        <v>12007</v>
      </c>
      <c r="C755">
        <v>1</v>
      </c>
    </row>
    <row r="756" spans="1:3" x14ac:dyDescent="0.25">
      <c r="A756">
        <v>30730</v>
      </c>
      <c r="B756" t="s">
        <v>12007</v>
      </c>
      <c r="C756">
        <v>1</v>
      </c>
    </row>
    <row r="757" spans="1:3" x14ac:dyDescent="0.25">
      <c r="A757">
        <v>30735</v>
      </c>
      <c r="B757" t="s">
        <v>12007</v>
      </c>
      <c r="C757">
        <v>1</v>
      </c>
    </row>
    <row r="758" spans="1:3" x14ac:dyDescent="0.25">
      <c r="A758">
        <v>30738</v>
      </c>
      <c r="B758" t="s">
        <v>12007</v>
      </c>
      <c r="C758">
        <v>1</v>
      </c>
    </row>
    <row r="759" spans="1:3" x14ac:dyDescent="0.25">
      <c r="A759">
        <v>30740</v>
      </c>
      <c r="B759" t="s">
        <v>12007</v>
      </c>
      <c r="C759">
        <v>1</v>
      </c>
    </row>
    <row r="760" spans="1:3" x14ac:dyDescent="0.25">
      <c r="A760">
        <v>30742</v>
      </c>
      <c r="B760" t="s">
        <v>12007</v>
      </c>
      <c r="C760">
        <v>1</v>
      </c>
    </row>
    <row r="761" spans="1:3" x14ac:dyDescent="0.25">
      <c r="A761">
        <v>30745</v>
      </c>
      <c r="B761" t="s">
        <v>12007</v>
      </c>
      <c r="C761">
        <v>1</v>
      </c>
    </row>
    <row r="762" spans="1:3" x14ac:dyDescent="0.25">
      <c r="A762">
        <v>30749</v>
      </c>
      <c r="B762" t="s">
        <v>12007</v>
      </c>
      <c r="C762">
        <v>1</v>
      </c>
    </row>
    <row r="763" spans="1:3" x14ac:dyDescent="0.25">
      <c r="A763">
        <v>30751</v>
      </c>
      <c r="B763" t="s">
        <v>12007</v>
      </c>
      <c r="C763">
        <v>1</v>
      </c>
    </row>
    <row r="764" spans="1:3" x14ac:dyDescent="0.25">
      <c r="A764">
        <v>30753</v>
      </c>
      <c r="B764" t="s">
        <v>12007</v>
      </c>
      <c r="C764">
        <v>1</v>
      </c>
    </row>
    <row r="765" spans="1:3" x14ac:dyDescent="0.25">
      <c r="A765">
        <v>30755</v>
      </c>
      <c r="B765" t="s">
        <v>12007</v>
      </c>
      <c r="C765">
        <v>1</v>
      </c>
    </row>
    <row r="766" spans="1:3" x14ac:dyDescent="0.25">
      <c r="A766">
        <v>30757</v>
      </c>
      <c r="B766" t="s">
        <v>12007</v>
      </c>
      <c r="C766">
        <v>1</v>
      </c>
    </row>
    <row r="767" spans="1:3" x14ac:dyDescent="0.25">
      <c r="A767">
        <v>30759</v>
      </c>
      <c r="B767" t="s">
        <v>12007</v>
      </c>
      <c r="C767">
        <v>1</v>
      </c>
    </row>
    <row r="768" spans="1:3" x14ac:dyDescent="0.25">
      <c r="A768">
        <v>30761</v>
      </c>
      <c r="B768" t="s">
        <v>12007</v>
      </c>
      <c r="C768">
        <v>1</v>
      </c>
    </row>
    <row r="769" spans="1:3" x14ac:dyDescent="0.25">
      <c r="A769">
        <v>30764</v>
      </c>
      <c r="B769" t="s">
        <v>12007</v>
      </c>
      <c r="C769">
        <v>1</v>
      </c>
    </row>
    <row r="770" spans="1:3" x14ac:dyDescent="0.25">
      <c r="A770">
        <v>30766</v>
      </c>
      <c r="B770" t="s">
        <v>12007</v>
      </c>
      <c r="C770">
        <v>1</v>
      </c>
    </row>
    <row r="771" spans="1:3" x14ac:dyDescent="0.25">
      <c r="A771">
        <v>30768</v>
      </c>
      <c r="B771" t="s">
        <v>12007</v>
      </c>
      <c r="C771">
        <v>1</v>
      </c>
    </row>
    <row r="772" spans="1:3" x14ac:dyDescent="0.25">
      <c r="A772">
        <v>30770</v>
      </c>
      <c r="B772" t="s">
        <v>12007</v>
      </c>
      <c r="C772">
        <v>1</v>
      </c>
    </row>
    <row r="773" spans="1:3" x14ac:dyDescent="0.25">
      <c r="A773">
        <v>30772</v>
      </c>
      <c r="B773" t="s">
        <v>12007</v>
      </c>
      <c r="C773">
        <v>1</v>
      </c>
    </row>
    <row r="774" spans="1:3" x14ac:dyDescent="0.25">
      <c r="A774">
        <v>30786</v>
      </c>
      <c r="B774" t="s">
        <v>11</v>
      </c>
      <c r="C774">
        <v>1</v>
      </c>
    </row>
    <row r="775" spans="1:3" x14ac:dyDescent="0.25">
      <c r="A775">
        <v>30801</v>
      </c>
      <c r="B775" t="s">
        <v>11</v>
      </c>
      <c r="C775">
        <v>1</v>
      </c>
    </row>
    <row r="776" spans="1:3" x14ac:dyDescent="0.25">
      <c r="A776">
        <v>30806</v>
      </c>
      <c r="B776" t="s">
        <v>11</v>
      </c>
      <c r="C776">
        <v>1</v>
      </c>
    </row>
    <row r="777" spans="1:3" x14ac:dyDescent="0.25">
      <c r="A777">
        <v>30877</v>
      </c>
      <c r="B777" t="s">
        <v>11</v>
      </c>
      <c r="C777">
        <v>1</v>
      </c>
    </row>
    <row r="778" spans="1:3" x14ac:dyDescent="0.25">
      <c r="A778">
        <v>30885</v>
      </c>
      <c r="B778" t="s">
        <v>11145</v>
      </c>
      <c r="C778">
        <v>1</v>
      </c>
    </row>
    <row r="779" spans="1:3" x14ac:dyDescent="0.25">
      <c r="A779">
        <v>30910</v>
      </c>
      <c r="B779" t="s">
        <v>11145</v>
      </c>
      <c r="C779">
        <v>1</v>
      </c>
    </row>
    <row r="780" spans="1:3" x14ac:dyDescent="0.25">
      <c r="A780">
        <v>30912</v>
      </c>
      <c r="B780" t="s">
        <v>3</v>
      </c>
      <c r="C780">
        <v>1</v>
      </c>
    </row>
    <row r="781" spans="1:3" x14ac:dyDescent="0.25">
      <c r="A781">
        <v>30941</v>
      </c>
      <c r="B781" t="s">
        <v>11</v>
      </c>
      <c r="C781">
        <v>1</v>
      </c>
    </row>
    <row r="782" spans="1:3" x14ac:dyDescent="0.25">
      <c r="A782">
        <v>30965</v>
      </c>
      <c r="B782" t="s">
        <v>11</v>
      </c>
      <c r="C782">
        <v>1</v>
      </c>
    </row>
    <row r="783" spans="1:3" x14ac:dyDescent="0.25">
      <c r="A783">
        <v>30984</v>
      </c>
      <c r="B783" t="s">
        <v>11</v>
      </c>
      <c r="C783">
        <v>1</v>
      </c>
    </row>
    <row r="784" spans="1:3" x14ac:dyDescent="0.25">
      <c r="A784">
        <v>31015</v>
      </c>
      <c r="B784" t="s">
        <v>11</v>
      </c>
      <c r="C784">
        <v>1</v>
      </c>
    </row>
    <row r="785" spans="1:3" x14ac:dyDescent="0.25">
      <c r="A785">
        <v>31018</v>
      </c>
      <c r="B785" t="s">
        <v>11</v>
      </c>
      <c r="C785">
        <v>1</v>
      </c>
    </row>
    <row r="786" spans="1:3" x14ac:dyDescent="0.25">
      <c r="A786">
        <v>31022</v>
      </c>
      <c r="B786" t="s">
        <v>11</v>
      </c>
      <c r="C786">
        <v>1</v>
      </c>
    </row>
    <row r="787" spans="1:3" x14ac:dyDescent="0.25">
      <c r="A787">
        <v>31024</v>
      </c>
      <c r="B787" t="s">
        <v>11</v>
      </c>
      <c r="C787">
        <v>1</v>
      </c>
    </row>
    <row r="788" spans="1:3" x14ac:dyDescent="0.25">
      <c r="A788">
        <v>31040</v>
      </c>
      <c r="B788" t="s">
        <v>11</v>
      </c>
      <c r="C788">
        <v>1</v>
      </c>
    </row>
    <row r="789" spans="1:3" x14ac:dyDescent="0.25">
      <c r="A789">
        <v>31068</v>
      </c>
      <c r="B789" t="s">
        <v>11</v>
      </c>
      <c r="C789">
        <v>1</v>
      </c>
    </row>
    <row r="790" spans="1:3" x14ac:dyDescent="0.25">
      <c r="A790">
        <v>31112</v>
      </c>
      <c r="B790" t="s">
        <v>8182</v>
      </c>
      <c r="C790">
        <v>1</v>
      </c>
    </row>
    <row r="791" spans="1:3" x14ac:dyDescent="0.25">
      <c r="A791">
        <v>31114</v>
      </c>
      <c r="B791" t="s">
        <v>8182</v>
      </c>
      <c r="C791">
        <v>1</v>
      </c>
    </row>
    <row r="792" spans="1:3" x14ac:dyDescent="0.25">
      <c r="A792">
        <v>31118</v>
      </c>
      <c r="B792" t="s">
        <v>8182</v>
      </c>
      <c r="C792">
        <v>1</v>
      </c>
    </row>
    <row r="793" spans="1:3" x14ac:dyDescent="0.25">
      <c r="A793">
        <v>31126</v>
      </c>
      <c r="B793" t="s">
        <v>8182</v>
      </c>
      <c r="C793">
        <v>1</v>
      </c>
    </row>
    <row r="794" spans="1:3" x14ac:dyDescent="0.25">
      <c r="A794">
        <v>31128</v>
      </c>
      <c r="B794" t="s">
        <v>8182</v>
      </c>
      <c r="C794">
        <v>1</v>
      </c>
    </row>
    <row r="795" spans="1:3" x14ac:dyDescent="0.25">
      <c r="A795">
        <v>31130</v>
      </c>
      <c r="B795" t="s">
        <v>8182</v>
      </c>
      <c r="C795">
        <v>1</v>
      </c>
    </row>
    <row r="796" spans="1:3" x14ac:dyDescent="0.25">
      <c r="A796">
        <v>31132</v>
      </c>
      <c r="B796" t="s">
        <v>8182</v>
      </c>
      <c r="C796">
        <v>1</v>
      </c>
    </row>
    <row r="797" spans="1:3" x14ac:dyDescent="0.25">
      <c r="A797">
        <v>33211</v>
      </c>
      <c r="B797" t="s">
        <v>12585</v>
      </c>
      <c r="C797">
        <v>1</v>
      </c>
    </row>
    <row r="798" spans="1:3" x14ac:dyDescent="0.25">
      <c r="A798">
        <v>33738</v>
      </c>
      <c r="B798" t="s">
        <v>12585</v>
      </c>
      <c r="C798">
        <v>1</v>
      </c>
    </row>
    <row r="799" spans="1:3" x14ac:dyDescent="0.25">
      <c r="A799">
        <v>35489</v>
      </c>
      <c r="B799" t="s">
        <v>3</v>
      </c>
      <c r="C799">
        <v>1</v>
      </c>
    </row>
    <row r="800" spans="1:3" x14ac:dyDescent="0.25">
      <c r="A800">
        <v>35827</v>
      </c>
      <c r="B800" t="s">
        <v>9690</v>
      </c>
      <c r="C800">
        <v>1</v>
      </c>
    </row>
    <row r="801" spans="1:3" x14ac:dyDescent="0.25">
      <c r="A801">
        <v>35865</v>
      </c>
      <c r="B801" t="s">
        <v>12007</v>
      </c>
      <c r="C801">
        <v>1</v>
      </c>
    </row>
    <row r="802" spans="1:3" x14ac:dyDescent="0.25">
      <c r="A802">
        <v>35984</v>
      </c>
      <c r="B802" t="s">
        <v>11</v>
      </c>
      <c r="C802">
        <v>1</v>
      </c>
    </row>
    <row r="803" spans="1:3" x14ac:dyDescent="0.25">
      <c r="A803">
        <v>35986</v>
      </c>
      <c r="B803" t="s">
        <v>11</v>
      </c>
      <c r="C803">
        <v>1</v>
      </c>
    </row>
    <row r="804" spans="1:3" x14ac:dyDescent="0.25">
      <c r="A804">
        <v>37069</v>
      </c>
      <c r="B804" t="s">
        <v>3</v>
      </c>
      <c r="C804">
        <v>1</v>
      </c>
    </row>
    <row r="805" spans="1:3" x14ac:dyDescent="0.25">
      <c r="A805">
        <v>37832</v>
      </c>
      <c r="B805" t="s">
        <v>2</v>
      </c>
      <c r="C805">
        <v>1</v>
      </c>
    </row>
    <row r="806" spans="1:3" x14ac:dyDescent="0.25">
      <c r="A806">
        <v>37834</v>
      </c>
      <c r="B806" t="s">
        <v>2</v>
      </c>
      <c r="C806">
        <v>1</v>
      </c>
    </row>
    <row r="807" spans="1:3" x14ac:dyDescent="0.25">
      <c r="A807">
        <v>37944</v>
      </c>
      <c r="B807" t="s">
        <v>9690</v>
      </c>
      <c r="C807">
        <v>1</v>
      </c>
    </row>
    <row r="808" spans="1:3" x14ac:dyDescent="0.25">
      <c r="A808">
        <v>37951</v>
      </c>
      <c r="B808" t="s">
        <v>10806</v>
      </c>
      <c r="C808">
        <v>1</v>
      </c>
    </row>
    <row r="809" spans="1:3" x14ac:dyDescent="0.25">
      <c r="A809">
        <v>38104</v>
      </c>
      <c r="B809" t="s">
        <v>11145</v>
      </c>
      <c r="C809">
        <v>1</v>
      </c>
    </row>
    <row r="810" spans="1:3" x14ac:dyDescent="0.25">
      <c r="A810">
        <v>38163</v>
      </c>
      <c r="B810" t="s">
        <v>3</v>
      </c>
      <c r="C810">
        <v>1</v>
      </c>
    </row>
    <row r="811" spans="1:3" x14ac:dyDescent="0.25">
      <c r="A811">
        <v>38165</v>
      </c>
      <c r="B811" t="s">
        <v>3</v>
      </c>
      <c r="C811">
        <v>1</v>
      </c>
    </row>
    <row r="812" spans="1:3" x14ac:dyDescent="0.25">
      <c r="A812">
        <v>39415</v>
      </c>
      <c r="B812" t="s">
        <v>3</v>
      </c>
      <c r="C812">
        <v>1</v>
      </c>
    </row>
    <row r="813" spans="1:3" x14ac:dyDescent="0.25">
      <c r="A813">
        <v>39417</v>
      </c>
      <c r="B813" t="s">
        <v>12585</v>
      </c>
      <c r="C813">
        <v>1</v>
      </c>
    </row>
    <row r="814" spans="1:3" x14ac:dyDescent="0.25">
      <c r="A814">
        <v>42780</v>
      </c>
      <c r="B814" t="s">
        <v>7616</v>
      </c>
      <c r="C814">
        <v>1</v>
      </c>
    </row>
    <row r="815" spans="1:3" x14ac:dyDescent="0.25">
      <c r="A815">
        <v>42782</v>
      </c>
      <c r="B815" t="s">
        <v>12410</v>
      </c>
      <c r="C815">
        <v>1</v>
      </c>
    </row>
    <row r="816" spans="1:3" x14ac:dyDescent="0.25">
      <c r="A816">
        <v>43024</v>
      </c>
      <c r="B816" t="s">
        <v>12410</v>
      </c>
      <c r="C816">
        <v>1</v>
      </c>
    </row>
    <row r="817" spans="1:3" x14ac:dyDescent="0.25">
      <c r="A817">
        <v>43058</v>
      </c>
      <c r="B817" t="s">
        <v>12410</v>
      </c>
      <c r="C817">
        <v>1</v>
      </c>
    </row>
    <row r="818" spans="1:3" x14ac:dyDescent="0.25">
      <c r="A818">
        <v>43060</v>
      </c>
      <c r="B818" t="s">
        <v>12410</v>
      </c>
      <c r="C818">
        <v>1</v>
      </c>
    </row>
    <row r="819" spans="1:3" x14ac:dyDescent="0.25">
      <c r="A819">
        <v>43154</v>
      </c>
      <c r="B819" t="s">
        <v>12410</v>
      </c>
      <c r="C819">
        <v>1</v>
      </c>
    </row>
    <row r="820" spans="1:3" x14ac:dyDescent="0.25">
      <c r="A820">
        <v>43318</v>
      </c>
      <c r="B820" t="s">
        <v>12410</v>
      </c>
      <c r="C820">
        <v>1</v>
      </c>
    </row>
    <row r="821" spans="1:3" x14ac:dyDescent="0.25">
      <c r="A821">
        <v>43354</v>
      </c>
      <c r="B821" t="s">
        <v>12410</v>
      </c>
      <c r="C821">
        <v>1</v>
      </c>
    </row>
    <row r="822" spans="1:3" x14ac:dyDescent="0.25">
      <c r="A822">
        <v>43388</v>
      </c>
      <c r="B822" t="s">
        <v>7008</v>
      </c>
      <c r="C822">
        <v>1</v>
      </c>
    </row>
    <row r="823" spans="1:3" x14ac:dyDescent="0.25">
      <c r="A823">
        <v>43418</v>
      </c>
      <c r="B823" t="s">
        <v>12410</v>
      </c>
      <c r="C823">
        <v>1</v>
      </c>
    </row>
    <row r="824" spans="1:3" x14ac:dyDescent="0.25">
      <c r="A824">
        <v>43452</v>
      </c>
      <c r="B824" t="s">
        <v>12410</v>
      </c>
      <c r="C824">
        <v>1</v>
      </c>
    </row>
    <row r="825" spans="1:3" x14ac:dyDescent="0.25">
      <c r="A825">
        <v>43518</v>
      </c>
      <c r="B825" t="s">
        <v>12410</v>
      </c>
      <c r="C825">
        <v>1</v>
      </c>
    </row>
    <row r="826" spans="1:3" x14ac:dyDescent="0.25">
      <c r="A826">
        <v>43527</v>
      </c>
      <c r="B826" t="s">
        <v>12410</v>
      </c>
      <c r="C826">
        <v>1</v>
      </c>
    </row>
    <row r="827" spans="1:3" x14ac:dyDescent="0.25">
      <c r="A827">
        <v>43673</v>
      </c>
      <c r="B827" t="s">
        <v>2</v>
      </c>
      <c r="C827">
        <v>1</v>
      </c>
    </row>
    <row r="828" spans="1:3" x14ac:dyDescent="0.25">
      <c r="A828">
        <v>43864</v>
      </c>
      <c r="B828" t="s">
        <v>7862</v>
      </c>
      <c r="C828">
        <v>1</v>
      </c>
    </row>
    <row r="829" spans="1:3" x14ac:dyDescent="0.25">
      <c r="A829">
        <v>44144</v>
      </c>
      <c r="B829" t="s">
        <v>9690</v>
      </c>
      <c r="C829">
        <v>1</v>
      </c>
    </row>
    <row r="830" spans="1:3" x14ac:dyDescent="0.25">
      <c r="A830">
        <v>44540</v>
      </c>
      <c r="B830" t="s">
        <v>2</v>
      </c>
      <c r="C830">
        <v>1</v>
      </c>
    </row>
    <row r="831" spans="1:3" x14ac:dyDescent="0.25">
      <c r="A831">
        <v>44553</v>
      </c>
      <c r="B831" t="s">
        <v>2</v>
      </c>
      <c r="C831">
        <v>1</v>
      </c>
    </row>
    <row r="832" spans="1:3" x14ac:dyDescent="0.25">
      <c r="A832">
        <v>44558</v>
      </c>
      <c r="B832" t="s">
        <v>2</v>
      </c>
      <c r="C832">
        <v>1</v>
      </c>
    </row>
    <row r="833" spans="1:3" x14ac:dyDescent="0.25">
      <c r="A833">
        <v>44866</v>
      </c>
      <c r="B833" t="s">
        <v>7862</v>
      </c>
      <c r="C833">
        <v>1</v>
      </c>
    </row>
    <row r="834" spans="1:3" x14ac:dyDescent="0.25">
      <c r="A834">
        <v>44870</v>
      </c>
      <c r="B834" t="s">
        <v>8182</v>
      </c>
      <c r="C834">
        <v>1</v>
      </c>
    </row>
    <row r="835" spans="1:3" x14ac:dyDescent="0.25">
      <c r="A835">
        <v>44872</v>
      </c>
      <c r="B835" t="s">
        <v>8182</v>
      </c>
      <c r="C835">
        <v>1</v>
      </c>
    </row>
    <row r="836" spans="1:3" x14ac:dyDescent="0.25">
      <c r="A836">
        <v>44874</v>
      </c>
      <c r="B836" t="s">
        <v>8182</v>
      </c>
      <c r="C836">
        <v>1</v>
      </c>
    </row>
    <row r="837" spans="1:3" x14ac:dyDescent="0.25">
      <c r="A837">
        <v>44876</v>
      </c>
      <c r="B837" t="s">
        <v>8182</v>
      </c>
      <c r="C837">
        <v>1</v>
      </c>
    </row>
    <row r="838" spans="1:3" x14ac:dyDescent="0.25">
      <c r="A838">
        <v>65924</v>
      </c>
      <c r="B838" t="s">
        <v>10806</v>
      </c>
      <c r="C838">
        <v>1</v>
      </c>
    </row>
    <row r="839" spans="1:3" x14ac:dyDescent="0.25">
      <c r="A839">
        <v>65930</v>
      </c>
      <c r="B839" t="s">
        <v>10806</v>
      </c>
      <c r="C839">
        <v>1</v>
      </c>
    </row>
    <row r="840" spans="1:3" x14ac:dyDescent="0.25">
      <c r="A840">
        <v>65940</v>
      </c>
      <c r="B840" t="s">
        <v>10806</v>
      </c>
      <c r="C840">
        <v>1</v>
      </c>
    </row>
    <row r="841" spans="1:3" x14ac:dyDescent="0.25">
      <c r="A841">
        <v>66020</v>
      </c>
      <c r="B841" t="s">
        <v>7616</v>
      </c>
      <c r="C841">
        <v>1</v>
      </c>
    </row>
    <row r="842" spans="1:3" x14ac:dyDescent="0.25">
      <c r="A842">
        <v>159785</v>
      </c>
      <c r="B842" t="s">
        <v>10806</v>
      </c>
      <c r="C842">
        <v>1</v>
      </c>
    </row>
    <row r="843" spans="1:3" x14ac:dyDescent="0.25">
      <c r="A843">
        <v>159804</v>
      </c>
      <c r="B843" t="s">
        <v>10806</v>
      </c>
      <c r="C843">
        <v>1</v>
      </c>
    </row>
    <row r="844" spans="1:3" x14ac:dyDescent="0.25">
      <c r="A844">
        <v>159814</v>
      </c>
      <c r="B844" t="s">
        <v>10806</v>
      </c>
      <c r="C844">
        <v>1</v>
      </c>
    </row>
    <row r="845" spans="1:3" x14ac:dyDescent="0.25">
      <c r="A845">
        <v>159991</v>
      </c>
      <c r="B845" t="s">
        <v>12585</v>
      </c>
      <c r="C845">
        <v>1</v>
      </c>
    </row>
    <row r="846" spans="1:3" x14ac:dyDescent="0.25">
      <c r="A846">
        <v>160147</v>
      </c>
      <c r="B846" t="s">
        <v>10806</v>
      </c>
      <c r="C846">
        <v>1</v>
      </c>
    </row>
    <row r="847" spans="1:3" x14ac:dyDescent="0.25">
      <c r="A847">
        <v>161196</v>
      </c>
      <c r="B847" t="s">
        <v>7862</v>
      </c>
      <c r="C847">
        <v>1</v>
      </c>
    </row>
    <row r="848" spans="1:3" x14ac:dyDescent="0.25">
      <c r="A848">
        <v>162182</v>
      </c>
      <c r="B848" t="s">
        <v>12585</v>
      </c>
      <c r="C848">
        <v>1</v>
      </c>
    </row>
    <row r="849" spans="1:3" x14ac:dyDescent="0.25">
      <c r="A849">
        <v>162657</v>
      </c>
      <c r="B849" t="s">
        <v>10806</v>
      </c>
      <c r="C849">
        <v>1</v>
      </c>
    </row>
    <row r="850" spans="1:3" x14ac:dyDescent="0.25">
      <c r="A850">
        <v>162945</v>
      </c>
      <c r="B850" t="s">
        <v>11145</v>
      </c>
      <c r="C850">
        <v>1</v>
      </c>
    </row>
    <row r="851" spans="1:3" x14ac:dyDescent="0.25">
      <c r="A851">
        <v>163102</v>
      </c>
      <c r="B851" t="s">
        <v>11145</v>
      </c>
      <c r="C851">
        <v>1</v>
      </c>
    </row>
    <row r="852" spans="1:3" x14ac:dyDescent="0.25">
      <c r="A852">
        <v>163174</v>
      </c>
      <c r="B852" t="s">
        <v>12585</v>
      </c>
      <c r="C852">
        <v>1</v>
      </c>
    </row>
    <row r="853" spans="1:3" x14ac:dyDescent="0.25">
      <c r="A853">
        <v>163707</v>
      </c>
      <c r="B853" t="s">
        <v>9690</v>
      </c>
      <c r="C853">
        <v>1</v>
      </c>
    </row>
    <row r="854" spans="1:3" x14ac:dyDescent="0.25">
      <c r="A854">
        <v>164422</v>
      </c>
      <c r="B854" t="s">
        <v>10806</v>
      </c>
      <c r="C854">
        <v>1</v>
      </c>
    </row>
    <row r="855" spans="1:3" x14ac:dyDescent="0.25">
      <c r="A855">
        <v>164918</v>
      </c>
      <c r="B855" t="s">
        <v>7008</v>
      </c>
      <c r="C855">
        <v>1</v>
      </c>
    </row>
    <row r="856" spans="1:3" x14ac:dyDescent="0.25">
      <c r="A856">
        <v>165884</v>
      </c>
      <c r="B856" t="s">
        <v>12007</v>
      </c>
      <c r="C856">
        <v>1</v>
      </c>
    </row>
    <row r="857" spans="1:3" x14ac:dyDescent="0.25">
      <c r="A857">
        <v>166037</v>
      </c>
      <c r="B857" t="s">
        <v>12007</v>
      </c>
      <c r="C857">
        <v>1</v>
      </c>
    </row>
    <row r="858" spans="1:3" x14ac:dyDescent="0.25">
      <c r="A858">
        <v>166047</v>
      </c>
      <c r="B858" t="s">
        <v>12007</v>
      </c>
      <c r="C858">
        <v>1</v>
      </c>
    </row>
    <row r="859" spans="1:3" x14ac:dyDescent="0.25">
      <c r="A859">
        <v>166294</v>
      </c>
      <c r="B859" t="s">
        <v>9690</v>
      </c>
      <c r="C859">
        <v>1</v>
      </c>
    </row>
    <row r="860" spans="1:3" x14ac:dyDescent="0.25">
      <c r="A860">
        <v>166744</v>
      </c>
      <c r="B860" t="s">
        <v>3</v>
      </c>
      <c r="C860">
        <v>1</v>
      </c>
    </row>
    <row r="861" spans="1:3" x14ac:dyDescent="0.25">
      <c r="A861">
        <v>166913</v>
      </c>
      <c r="B861" t="s">
        <v>7616</v>
      </c>
      <c r="C861">
        <v>1</v>
      </c>
    </row>
    <row r="862" spans="1:3" x14ac:dyDescent="0.25">
      <c r="A862">
        <v>167322</v>
      </c>
      <c r="B862" t="s">
        <v>12410</v>
      </c>
      <c r="C862">
        <v>1</v>
      </c>
    </row>
    <row r="863" spans="1:3" x14ac:dyDescent="0.25">
      <c r="A863">
        <v>167501</v>
      </c>
      <c r="B863" t="s">
        <v>3</v>
      </c>
      <c r="C863">
        <v>1</v>
      </c>
    </row>
    <row r="864" spans="1:3" x14ac:dyDescent="0.25">
      <c r="A864">
        <v>167509</v>
      </c>
      <c r="B864" t="s">
        <v>12410</v>
      </c>
      <c r="C864">
        <v>1</v>
      </c>
    </row>
    <row r="865" spans="1:3" x14ac:dyDescent="0.25">
      <c r="A865">
        <v>167634</v>
      </c>
      <c r="B865" t="s">
        <v>12410</v>
      </c>
      <c r="C865">
        <v>1</v>
      </c>
    </row>
    <row r="866" spans="1:3" x14ac:dyDescent="0.25">
      <c r="A866">
        <v>168447</v>
      </c>
      <c r="B866" t="s">
        <v>12410</v>
      </c>
      <c r="C866">
        <v>1</v>
      </c>
    </row>
    <row r="867" spans="1:3" x14ac:dyDescent="0.25">
      <c r="A867">
        <v>168450</v>
      </c>
      <c r="B867" t="s">
        <v>2</v>
      </c>
      <c r="C867">
        <v>1</v>
      </c>
    </row>
    <row r="868" spans="1:3" x14ac:dyDescent="0.25">
      <c r="A868">
        <v>169050</v>
      </c>
      <c r="B868" t="s">
        <v>12410</v>
      </c>
      <c r="C868">
        <v>1</v>
      </c>
    </row>
    <row r="869" spans="1:3" x14ac:dyDescent="0.25">
      <c r="A869">
        <v>169060</v>
      </c>
      <c r="B869" t="s">
        <v>12410</v>
      </c>
      <c r="C869">
        <v>1</v>
      </c>
    </row>
    <row r="870" spans="1:3" x14ac:dyDescent="0.25">
      <c r="A870">
        <v>169288</v>
      </c>
      <c r="B870" t="s">
        <v>12410</v>
      </c>
      <c r="C870">
        <v>1</v>
      </c>
    </row>
    <row r="871" spans="1:3" x14ac:dyDescent="0.25">
      <c r="A871">
        <v>169333</v>
      </c>
      <c r="B871" t="s">
        <v>7616</v>
      </c>
      <c r="C871">
        <v>1</v>
      </c>
    </row>
    <row r="872" spans="1:3" x14ac:dyDescent="0.25">
      <c r="A872">
        <v>169371</v>
      </c>
      <c r="B872" t="s">
        <v>7616</v>
      </c>
      <c r="C872">
        <v>1</v>
      </c>
    </row>
    <row r="873" spans="1:3" x14ac:dyDescent="0.25">
      <c r="A873">
        <v>170006</v>
      </c>
      <c r="B873" t="s">
        <v>11145</v>
      </c>
      <c r="C873">
        <v>1</v>
      </c>
    </row>
    <row r="874" spans="1:3" x14ac:dyDescent="0.25">
      <c r="A874">
        <v>170008</v>
      </c>
      <c r="B874" t="s">
        <v>11145</v>
      </c>
      <c r="C874">
        <v>1</v>
      </c>
    </row>
    <row r="875" spans="1:3" x14ac:dyDescent="0.25">
      <c r="A875">
        <v>170011</v>
      </c>
      <c r="B875" t="s">
        <v>11145</v>
      </c>
      <c r="C875">
        <v>1</v>
      </c>
    </row>
    <row r="876" spans="1:3" x14ac:dyDescent="0.25">
      <c r="A876">
        <v>170013</v>
      </c>
      <c r="B876" t="s">
        <v>11145</v>
      </c>
      <c r="C876">
        <v>1</v>
      </c>
    </row>
    <row r="877" spans="1:3" x14ac:dyDescent="0.25">
      <c r="A877">
        <v>170015</v>
      </c>
      <c r="B877" t="s">
        <v>11145</v>
      </c>
      <c r="C877">
        <v>1</v>
      </c>
    </row>
    <row r="878" spans="1:3" x14ac:dyDescent="0.25">
      <c r="A878">
        <v>170085</v>
      </c>
      <c r="B878" t="s">
        <v>7862</v>
      </c>
      <c r="C878">
        <v>1</v>
      </c>
    </row>
    <row r="879" spans="1:3" x14ac:dyDescent="0.25">
      <c r="A879">
        <v>170866</v>
      </c>
      <c r="B879" t="s">
        <v>7862</v>
      </c>
      <c r="C879">
        <v>1</v>
      </c>
    </row>
    <row r="880" spans="1:3" x14ac:dyDescent="0.25">
      <c r="A880">
        <v>170941</v>
      </c>
      <c r="B880" t="s">
        <v>3</v>
      </c>
      <c r="C880">
        <v>1</v>
      </c>
    </row>
    <row r="881" spans="1:3" x14ac:dyDescent="0.25">
      <c r="A881">
        <v>171014</v>
      </c>
      <c r="B881" t="s">
        <v>12585</v>
      </c>
      <c r="C881">
        <v>1</v>
      </c>
    </row>
    <row r="882" spans="1:3" x14ac:dyDescent="0.25">
      <c r="A882">
        <v>171348</v>
      </c>
      <c r="B882" t="s">
        <v>12585</v>
      </c>
      <c r="C882">
        <v>1</v>
      </c>
    </row>
    <row r="883" spans="1:3" x14ac:dyDescent="0.25">
      <c r="A883">
        <v>171425</v>
      </c>
      <c r="B883" t="s">
        <v>12585</v>
      </c>
      <c r="C883">
        <v>1</v>
      </c>
    </row>
    <row r="884" spans="1:3" x14ac:dyDescent="0.25">
      <c r="A884">
        <v>171426</v>
      </c>
      <c r="B884" t="s">
        <v>12585</v>
      </c>
      <c r="C884">
        <v>1</v>
      </c>
    </row>
    <row r="885" spans="1:3" x14ac:dyDescent="0.25">
      <c r="A885">
        <v>171428</v>
      </c>
      <c r="B885" t="s">
        <v>12585</v>
      </c>
      <c r="C885">
        <v>1</v>
      </c>
    </row>
    <row r="886" spans="1:3" x14ac:dyDescent="0.25">
      <c r="A886">
        <v>171429</v>
      </c>
      <c r="B886" t="s">
        <v>12585</v>
      </c>
      <c r="C886">
        <v>1</v>
      </c>
    </row>
    <row r="887" spans="1:3" x14ac:dyDescent="0.25">
      <c r="A887">
        <v>171430</v>
      </c>
      <c r="B887" t="s">
        <v>12585</v>
      </c>
      <c r="C887">
        <v>1</v>
      </c>
    </row>
    <row r="888" spans="1:3" x14ac:dyDescent="0.25">
      <c r="A888">
        <v>171432</v>
      </c>
      <c r="B888" t="s">
        <v>12585</v>
      </c>
      <c r="C888">
        <v>1</v>
      </c>
    </row>
    <row r="889" spans="1:3" x14ac:dyDescent="0.25">
      <c r="A889">
        <v>171433</v>
      </c>
      <c r="B889" t="s">
        <v>12585</v>
      </c>
      <c r="C889">
        <v>1</v>
      </c>
    </row>
    <row r="890" spans="1:3" x14ac:dyDescent="0.25">
      <c r="A890">
        <v>171434</v>
      </c>
      <c r="B890" t="s">
        <v>12585</v>
      </c>
      <c r="C890">
        <v>1</v>
      </c>
    </row>
    <row r="891" spans="1:3" x14ac:dyDescent="0.25">
      <c r="A891">
        <v>171435</v>
      </c>
      <c r="B891" t="s">
        <v>12585</v>
      </c>
      <c r="C891">
        <v>1</v>
      </c>
    </row>
    <row r="892" spans="1:3" x14ac:dyDescent="0.25">
      <c r="A892">
        <v>171439</v>
      </c>
      <c r="B892" t="s">
        <v>12585</v>
      </c>
      <c r="C892">
        <v>1</v>
      </c>
    </row>
    <row r="893" spans="1:3" x14ac:dyDescent="0.25">
      <c r="A893">
        <v>171440</v>
      </c>
      <c r="B893" t="s">
        <v>12585</v>
      </c>
      <c r="C893">
        <v>1</v>
      </c>
    </row>
    <row r="894" spans="1:3" x14ac:dyDescent="0.25">
      <c r="A894">
        <v>171443</v>
      </c>
      <c r="B894" t="s">
        <v>12585</v>
      </c>
      <c r="C894">
        <v>1</v>
      </c>
    </row>
    <row r="895" spans="1:3" x14ac:dyDescent="0.25">
      <c r="A895">
        <v>171445</v>
      </c>
      <c r="B895" t="s">
        <v>12585</v>
      </c>
      <c r="C895">
        <v>1</v>
      </c>
    </row>
    <row r="896" spans="1:3" x14ac:dyDescent="0.25">
      <c r="A896">
        <v>171751</v>
      </c>
      <c r="B896" t="s">
        <v>12585</v>
      </c>
      <c r="C896">
        <v>1</v>
      </c>
    </row>
    <row r="897" spans="1:3" x14ac:dyDescent="0.25">
      <c r="A897">
        <v>175663</v>
      </c>
      <c r="B897" t="s">
        <v>12585</v>
      </c>
      <c r="C897">
        <v>1</v>
      </c>
    </row>
    <row r="898" spans="1:3" x14ac:dyDescent="0.25">
      <c r="A898">
        <v>177589</v>
      </c>
      <c r="B898" t="s">
        <v>7008</v>
      </c>
      <c r="C898">
        <v>1</v>
      </c>
    </row>
    <row r="899" spans="1:3" x14ac:dyDescent="0.25">
      <c r="A899">
        <v>177591</v>
      </c>
      <c r="B899" t="s">
        <v>12410</v>
      </c>
      <c r="C899">
        <v>1</v>
      </c>
    </row>
    <row r="900" spans="1:3" x14ac:dyDescent="0.25">
      <c r="A900">
        <v>177867</v>
      </c>
      <c r="B900" t="s">
        <v>9690</v>
      </c>
      <c r="C900">
        <v>1</v>
      </c>
    </row>
    <row r="901" spans="1:3" x14ac:dyDescent="0.25">
      <c r="A901">
        <v>177870</v>
      </c>
      <c r="B901" t="s">
        <v>9690</v>
      </c>
      <c r="C901">
        <v>1</v>
      </c>
    </row>
    <row r="902" spans="1:3" x14ac:dyDescent="0.25">
      <c r="A902">
        <v>177871</v>
      </c>
      <c r="B902" t="s">
        <v>9690</v>
      </c>
      <c r="C902">
        <v>1</v>
      </c>
    </row>
    <row r="903" spans="1:3" x14ac:dyDescent="0.25">
      <c r="A903">
        <v>177878</v>
      </c>
      <c r="B903" t="s">
        <v>9690</v>
      </c>
      <c r="C903">
        <v>1</v>
      </c>
    </row>
    <row r="904" spans="1:3" x14ac:dyDescent="0.25">
      <c r="A904">
        <v>177886</v>
      </c>
      <c r="B904" t="s">
        <v>9690</v>
      </c>
      <c r="C904">
        <v>1</v>
      </c>
    </row>
    <row r="905" spans="1:3" x14ac:dyDescent="0.25">
      <c r="A905">
        <v>177889</v>
      </c>
      <c r="B905" t="s">
        <v>9690</v>
      </c>
      <c r="C905">
        <v>1</v>
      </c>
    </row>
    <row r="906" spans="1:3" x14ac:dyDescent="0.25">
      <c r="A906">
        <v>177890</v>
      </c>
      <c r="B906" t="s">
        <v>9690</v>
      </c>
      <c r="C906">
        <v>1</v>
      </c>
    </row>
    <row r="907" spans="1:3" x14ac:dyDescent="0.25">
      <c r="A907">
        <v>177892</v>
      </c>
      <c r="B907" t="s">
        <v>9690</v>
      </c>
      <c r="C907">
        <v>1</v>
      </c>
    </row>
    <row r="908" spans="1:3" x14ac:dyDescent="0.25">
      <c r="A908">
        <v>177959</v>
      </c>
      <c r="B908" t="s">
        <v>12007</v>
      </c>
      <c r="C908">
        <v>1</v>
      </c>
    </row>
    <row r="909" spans="1:3" x14ac:dyDescent="0.25">
      <c r="A909">
        <v>177960</v>
      </c>
      <c r="B909" t="s">
        <v>12007</v>
      </c>
      <c r="C909">
        <v>1</v>
      </c>
    </row>
    <row r="910" spans="1:3" x14ac:dyDescent="0.25">
      <c r="A910">
        <v>177961</v>
      </c>
      <c r="B910" t="s">
        <v>12007</v>
      </c>
      <c r="C910">
        <v>1</v>
      </c>
    </row>
    <row r="911" spans="1:3" x14ac:dyDescent="0.25">
      <c r="A911">
        <v>177989</v>
      </c>
      <c r="B911" t="s">
        <v>3</v>
      </c>
      <c r="C911">
        <v>1</v>
      </c>
    </row>
    <row r="912" spans="1:3" x14ac:dyDescent="0.25">
      <c r="A912">
        <v>178070</v>
      </c>
      <c r="B912" t="s">
        <v>2</v>
      </c>
      <c r="C912">
        <v>1</v>
      </c>
    </row>
    <row r="913" spans="1:3" x14ac:dyDescent="0.25">
      <c r="A913">
        <v>178071</v>
      </c>
      <c r="B913" t="s">
        <v>2</v>
      </c>
      <c r="C913">
        <v>1</v>
      </c>
    </row>
    <row r="914" spans="1:3" x14ac:dyDescent="0.25">
      <c r="A914">
        <v>178072</v>
      </c>
      <c r="B914" t="s">
        <v>2</v>
      </c>
      <c r="C914">
        <v>1</v>
      </c>
    </row>
    <row r="915" spans="1:3" x14ac:dyDescent="0.25">
      <c r="A915">
        <v>178073</v>
      </c>
      <c r="B915" t="s">
        <v>7616</v>
      </c>
      <c r="C915">
        <v>1</v>
      </c>
    </row>
    <row r="916" spans="1:3" x14ac:dyDescent="0.25">
      <c r="A916">
        <v>178074</v>
      </c>
      <c r="B916" t="s">
        <v>7616</v>
      </c>
      <c r="C916">
        <v>1</v>
      </c>
    </row>
    <row r="917" spans="1:3" x14ac:dyDescent="0.25">
      <c r="A917">
        <v>178075</v>
      </c>
      <c r="B917" t="s">
        <v>2</v>
      </c>
      <c r="C917">
        <v>1</v>
      </c>
    </row>
    <row r="918" spans="1:3" x14ac:dyDescent="0.25">
      <c r="A918">
        <v>178076</v>
      </c>
      <c r="B918" t="s">
        <v>2</v>
      </c>
      <c r="C918">
        <v>1</v>
      </c>
    </row>
    <row r="919" spans="1:3" x14ac:dyDescent="0.25">
      <c r="A919">
        <v>178077</v>
      </c>
      <c r="B919" t="s">
        <v>2</v>
      </c>
      <c r="C919">
        <v>1</v>
      </c>
    </row>
    <row r="920" spans="1:3" x14ac:dyDescent="0.25">
      <c r="A920">
        <v>178078</v>
      </c>
      <c r="B920" t="s">
        <v>2</v>
      </c>
      <c r="C920">
        <v>1</v>
      </c>
    </row>
    <row r="921" spans="1:3" x14ac:dyDescent="0.25">
      <c r="A921">
        <v>178079</v>
      </c>
      <c r="B921" t="s">
        <v>2</v>
      </c>
      <c r="C921">
        <v>1</v>
      </c>
    </row>
    <row r="922" spans="1:3" x14ac:dyDescent="0.25">
      <c r="A922">
        <v>178080</v>
      </c>
      <c r="B922" t="s">
        <v>2</v>
      </c>
      <c r="C922">
        <v>1</v>
      </c>
    </row>
    <row r="923" spans="1:3" x14ac:dyDescent="0.25">
      <c r="A923">
        <v>178081</v>
      </c>
      <c r="B923" t="s">
        <v>2</v>
      </c>
      <c r="C923">
        <v>1</v>
      </c>
    </row>
    <row r="924" spans="1:3" x14ac:dyDescent="0.25">
      <c r="A924">
        <v>178082</v>
      </c>
      <c r="B924" t="s">
        <v>2</v>
      </c>
      <c r="C924">
        <v>1</v>
      </c>
    </row>
    <row r="925" spans="1:3" x14ac:dyDescent="0.25">
      <c r="A925">
        <v>178083</v>
      </c>
      <c r="B925" t="s">
        <v>2</v>
      </c>
      <c r="C925">
        <v>1</v>
      </c>
    </row>
    <row r="926" spans="1:3" x14ac:dyDescent="0.25">
      <c r="A926">
        <v>178084</v>
      </c>
      <c r="B926" t="s">
        <v>7616</v>
      </c>
      <c r="C926">
        <v>1</v>
      </c>
    </row>
    <row r="927" spans="1:3" x14ac:dyDescent="0.25">
      <c r="A927">
        <v>178085</v>
      </c>
      <c r="B927" t="s">
        <v>7616</v>
      </c>
      <c r="C927">
        <v>1</v>
      </c>
    </row>
    <row r="928" spans="1:3" x14ac:dyDescent="0.25">
      <c r="A928">
        <v>178086</v>
      </c>
      <c r="B928" t="s">
        <v>2</v>
      </c>
      <c r="C928">
        <v>1</v>
      </c>
    </row>
    <row r="929" spans="1:3" x14ac:dyDescent="0.25">
      <c r="A929">
        <v>178087</v>
      </c>
      <c r="B929" t="s">
        <v>2</v>
      </c>
      <c r="C929">
        <v>1</v>
      </c>
    </row>
    <row r="930" spans="1:3" x14ac:dyDescent="0.25">
      <c r="A930">
        <v>178088</v>
      </c>
      <c r="B930" t="s">
        <v>2</v>
      </c>
      <c r="C930">
        <v>1</v>
      </c>
    </row>
    <row r="931" spans="1:3" x14ac:dyDescent="0.25">
      <c r="A931">
        <v>178089</v>
      </c>
      <c r="B931" t="s">
        <v>2</v>
      </c>
      <c r="C931">
        <v>1</v>
      </c>
    </row>
    <row r="932" spans="1:3" x14ac:dyDescent="0.25">
      <c r="A932">
        <v>178111</v>
      </c>
      <c r="B932" t="s">
        <v>12410</v>
      </c>
      <c r="C932">
        <v>1</v>
      </c>
    </row>
    <row r="933" spans="1:3" x14ac:dyDescent="0.25">
      <c r="A933">
        <v>178130</v>
      </c>
      <c r="B933" t="s">
        <v>12410</v>
      </c>
      <c r="C933">
        <v>1</v>
      </c>
    </row>
    <row r="934" spans="1:3" x14ac:dyDescent="0.25">
      <c r="A934">
        <v>178172</v>
      </c>
      <c r="B934" t="s">
        <v>12585</v>
      </c>
      <c r="C934">
        <v>1</v>
      </c>
    </row>
    <row r="935" spans="1:3" x14ac:dyDescent="0.25">
      <c r="A935">
        <v>181571</v>
      </c>
      <c r="B935" t="s">
        <v>3</v>
      </c>
      <c r="C935">
        <v>1</v>
      </c>
    </row>
    <row r="936" spans="1:3" x14ac:dyDescent="0.25">
      <c r="A936">
        <v>184806</v>
      </c>
      <c r="B936" t="s">
        <v>12007</v>
      </c>
      <c r="C936">
        <v>1</v>
      </c>
    </row>
    <row r="937" spans="1:3" x14ac:dyDescent="0.25">
      <c r="A937">
        <v>184812</v>
      </c>
      <c r="B937" t="s">
        <v>11</v>
      </c>
      <c r="C937">
        <v>1</v>
      </c>
    </row>
    <row r="938" spans="1:3" x14ac:dyDescent="0.25">
      <c r="A938">
        <v>184814</v>
      </c>
      <c r="B938" t="s">
        <v>11</v>
      </c>
      <c r="C938">
        <v>1</v>
      </c>
    </row>
    <row r="939" spans="1:3" x14ac:dyDescent="0.25">
      <c r="A939">
        <v>185450</v>
      </c>
      <c r="B939" t="s">
        <v>12410</v>
      </c>
      <c r="C939">
        <v>1</v>
      </c>
    </row>
    <row r="940" spans="1:3" x14ac:dyDescent="0.25">
      <c r="A940">
        <v>186861</v>
      </c>
      <c r="B940" t="s">
        <v>7862</v>
      </c>
      <c r="C940">
        <v>1</v>
      </c>
    </row>
    <row r="941" spans="1:3" x14ac:dyDescent="0.25">
      <c r="A941">
        <v>188798</v>
      </c>
      <c r="B941" t="s">
        <v>7008</v>
      </c>
      <c r="C941">
        <v>1</v>
      </c>
    </row>
    <row r="942" spans="1:3" x14ac:dyDescent="0.25">
      <c r="A942">
        <v>189035</v>
      </c>
      <c r="B942" t="s">
        <v>12410</v>
      </c>
      <c r="C942">
        <v>1</v>
      </c>
    </row>
    <row r="943" spans="1:3" x14ac:dyDescent="0.25">
      <c r="A943">
        <v>189075</v>
      </c>
      <c r="B943" t="s">
        <v>12410</v>
      </c>
      <c r="C943">
        <v>1</v>
      </c>
    </row>
    <row r="944" spans="1:3" x14ac:dyDescent="0.25">
      <c r="A944">
        <v>189076</v>
      </c>
      <c r="B944" t="s">
        <v>12410</v>
      </c>
      <c r="C944">
        <v>1</v>
      </c>
    </row>
    <row r="945" spans="1:3" x14ac:dyDescent="0.25">
      <c r="A945">
        <v>189077</v>
      </c>
      <c r="B945" t="s">
        <v>12410</v>
      </c>
      <c r="C945">
        <v>1</v>
      </c>
    </row>
    <row r="946" spans="1:3" x14ac:dyDescent="0.25">
      <c r="A946">
        <v>189078</v>
      </c>
      <c r="B946" t="s">
        <v>12410</v>
      </c>
      <c r="C946">
        <v>1</v>
      </c>
    </row>
    <row r="947" spans="1:3" x14ac:dyDescent="0.25">
      <c r="A947">
        <v>190122</v>
      </c>
      <c r="B947" t="s">
        <v>12410</v>
      </c>
      <c r="C947">
        <v>1</v>
      </c>
    </row>
    <row r="948" spans="1:3" x14ac:dyDescent="0.25">
      <c r="A948">
        <v>190137</v>
      </c>
      <c r="B948" t="s">
        <v>12410</v>
      </c>
      <c r="C948">
        <v>1</v>
      </c>
    </row>
    <row r="949" spans="1:3" x14ac:dyDescent="0.25">
      <c r="A949">
        <v>190139</v>
      </c>
      <c r="B949" t="s">
        <v>12410</v>
      </c>
      <c r="C949">
        <v>1</v>
      </c>
    </row>
    <row r="950" spans="1:3" x14ac:dyDescent="0.25">
      <c r="A950">
        <v>190140</v>
      </c>
      <c r="B950" t="s">
        <v>12410</v>
      </c>
      <c r="C950">
        <v>1</v>
      </c>
    </row>
    <row r="951" spans="1:3" x14ac:dyDescent="0.25">
      <c r="A951">
        <v>190141</v>
      </c>
      <c r="B951" t="s">
        <v>12410</v>
      </c>
      <c r="C951">
        <v>1</v>
      </c>
    </row>
    <row r="952" spans="1:3" x14ac:dyDescent="0.25">
      <c r="A952">
        <v>190142</v>
      </c>
      <c r="B952" t="s">
        <v>12410</v>
      </c>
      <c r="C952">
        <v>1</v>
      </c>
    </row>
    <row r="953" spans="1:3" x14ac:dyDescent="0.25">
      <c r="A953">
        <v>190143</v>
      </c>
      <c r="B953" t="s">
        <v>12410</v>
      </c>
      <c r="C953">
        <v>1</v>
      </c>
    </row>
    <row r="954" spans="1:3" x14ac:dyDescent="0.25">
      <c r="A954">
        <v>190144</v>
      </c>
      <c r="B954" t="s">
        <v>12410</v>
      </c>
      <c r="C954">
        <v>1</v>
      </c>
    </row>
    <row r="955" spans="1:3" x14ac:dyDescent="0.25">
      <c r="A955">
        <v>190145</v>
      </c>
      <c r="B955" t="s">
        <v>12410</v>
      </c>
      <c r="C955">
        <v>1</v>
      </c>
    </row>
    <row r="956" spans="1:3" x14ac:dyDescent="0.25">
      <c r="A956">
        <v>190146</v>
      </c>
      <c r="B956" t="s">
        <v>12410</v>
      </c>
      <c r="C956">
        <v>1</v>
      </c>
    </row>
    <row r="957" spans="1:3" x14ac:dyDescent="0.25">
      <c r="A957">
        <v>191117</v>
      </c>
      <c r="B957" t="s">
        <v>3</v>
      </c>
      <c r="C957">
        <v>1</v>
      </c>
    </row>
    <row r="958" spans="1:3" x14ac:dyDescent="0.25">
      <c r="A958">
        <v>191122</v>
      </c>
      <c r="B958" t="s">
        <v>10806</v>
      </c>
      <c r="C958">
        <v>1</v>
      </c>
    </row>
    <row r="959" spans="1:3" x14ac:dyDescent="0.25">
      <c r="A959">
        <v>191924</v>
      </c>
      <c r="B959" t="s">
        <v>12585</v>
      </c>
      <c r="C959">
        <v>1</v>
      </c>
    </row>
    <row r="960" spans="1:3" x14ac:dyDescent="0.25">
      <c r="A960">
        <v>195762</v>
      </c>
      <c r="B960" t="s">
        <v>12585</v>
      </c>
      <c r="C960">
        <v>1</v>
      </c>
    </row>
    <row r="961" spans="1:3" x14ac:dyDescent="0.25">
      <c r="A961">
        <v>196033</v>
      </c>
      <c r="B961" t="s">
        <v>9690</v>
      </c>
      <c r="C961">
        <v>1</v>
      </c>
    </row>
    <row r="962" spans="1:3" x14ac:dyDescent="0.25">
      <c r="A962">
        <v>197148</v>
      </c>
      <c r="B962" t="s">
        <v>11145</v>
      </c>
      <c r="C962">
        <v>1</v>
      </c>
    </row>
    <row r="963" spans="1:3" x14ac:dyDescent="0.25">
      <c r="A963">
        <v>197307</v>
      </c>
      <c r="B963" t="s">
        <v>10806</v>
      </c>
      <c r="C963">
        <v>1</v>
      </c>
    </row>
    <row r="964" spans="1:3" x14ac:dyDescent="0.25">
      <c r="A964">
        <v>197309</v>
      </c>
      <c r="B964" t="s">
        <v>10806</v>
      </c>
      <c r="C964">
        <v>1</v>
      </c>
    </row>
    <row r="965" spans="1:3" x14ac:dyDescent="0.25">
      <c r="A965">
        <v>197346</v>
      </c>
      <c r="B965" t="s">
        <v>7008</v>
      </c>
      <c r="C965">
        <v>1</v>
      </c>
    </row>
    <row r="966" spans="1:3" x14ac:dyDescent="0.25">
      <c r="A966">
        <v>197870</v>
      </c>
      <c r="B966" t="s">
        <v>12585</v>
      </c>
      <c r="C966">
        <v>1</v>
      </c>
    </row>
    <row r="967" spans="1:3" x14ac:dyDescent="0.25">
      <c r="A967">
        <v>197915</v>
      </c>
      <c r="B967" t="s">
        <v>10806</v>
      </c>
      <c r="C967">
        <v>1</v>
      </c>
    </row>
    <row r="968" spans="1:3" x14ac:dyDescent="0.25">
      <c r="A968">
        <v>197930</v>
      </c>
      <c r="B968" t="s">
        <v>2</v>
      </c>
      <c r="C968">
        <v>1</v>
      </c>
    </row>
    <row r="969" spans="1:3" x14ac:dyDescent="0.25">
      <c r="A969">
        <v>203642</v>
      </c>
      <c r="B969" t="s">
        <v>2</v>
      </c>
      <c r="C969">
        <v>1</v>
      </c>
    </row>
    <row r="970" spans="1:3" x14ac:dyDescent="0.25">
      <c r="A970">
        <v>203643</v>
      </c>
      <c r="B970" t="s">
        <v>2</v>
      </c>
      <c r="C970">
        <v>1</v>
      </c>
    </row>
    <row r="971" spans="1:3" x14ac:dyDescent="0.25">
      <c r="A971">
        <v>203645</v>
      </c>
      <c r="B971" t="s">
        <v>2</v>
      </c>
      <c r="C971">
        <v>1</v>
      </c>
    </row>
    <row r="972" spans="1:3" x14ac:dyDescent="0.25">
      <c r="A972">
        <v>203649</v>
      </c>
      <c r="B972" t="s">
        <v>2</v>
      </c>
      <c r="C972">
        <v>1</v>
      </c>
    </row>
    <row r="973" spans="1:3" x14ac:dyDescent="0.25">
      <c r="A973">
        <v>204833</v>
      </c>
      <c r="B973" t="s">
        <v>12007</v>
      </c>
      <c r="C973">
        <v>1</v>
      </c>
    </row>
    <row r="974" spans="1:3" x14ac:dyDescent="0.25">
      <c r="A974">
        <v>205130</v>
      </c>
      <c r="B974" t="s">
        <v>11</v>
      </c>
      <c r="C974">
        <v>1</v>
      </c>
    </row>
    <row r="975" spans="1:3" x14ac:dyDescent="0.25">
      <c r="A975">
        <v>205139</v>
      </c>
      <c r="B975" t="s">
        <v>11</v>
      </c>
      <c r="C975">
        <v>1</v>
      </c>
    </row>
    <row r="976" spans="1:3" x14ac:dyDescent="0.25">
      <c r="A976">
        <v>205165</v>
      </c>
      <c r="B976" t="s">
        <v>8182</v>
      </c>
      <c r="C976">
        <v>1</v>
      </c>
    </row>
    <row r="977" spans="1:3" x14ac:dyDescent="0.25">
      <c r="A977">
        <v>205168</v>
      </c>
      <c r="B977" t="s">
        <v>9690</v>
      </c>
      <c r="C977">
        <v>1</v>
      </c>
    </row>
    <row r="978" spans="1:3" x14ac:dyDescent="0.25">
      <c r="A978">
        <v>205243</v>
      </c>
      <c r="B978" t="s">
        <v>8182</v>
      </c>
      <c r="C978">
        <v>1</v>
      </c>
    </row>
    <row r="979" spans="1:3" x14ac:dyDescent="0.25">
      <c r="A979">
        <v>205942</v>
      </c>
      <c r="B979" t="s">
        <v>2</v>
      </c>
      <c r="C979">
        <v>1</v>
      </c>
    </row>
    <row r="980" spans="1:3" x14ac:dyDescent="0.25">
      <c r="A980">
        <v>206791</v>
      </c>
      <c r="B980" t="s">
        <v>12410</v>
      </c>
      <c r="C980">
        <v>1</v>
      </c>
    </row>
    <row r="981" spans="1:3" x14ac:dyDescent="0.25">
      <c r="A981">
        <v>207280</v>
      </c>
      <c r="B981" t="s">
        <v>12585</v>
      </c>
      <c r="C981">
        <v>1</v>
      </c>
    </row>
    <row r="982" spans="1:3" x14ac:dyDescent="0.25">
      <c r="A982">
        <v>207388</v>
      </c>
      <c r="B982" t="s">
        <v>12410</v>
      </c>
      <c r="C982">
        <v>1</v>
      </c>
    </row>
    <row r="983" spans="1:3" x14ac:dyDescent="0.25">
      <c r="A983">
        <v>207390</v>
      </c>
      <c r="B983" t="s">
        <v>12410</v>
      </c>
      <c r="C983">
        <v>1</v>
      </c>
    </row>
    <row r="984" spans="1:3" x14ac:dyDescent="0.25">
      <c r="A984">
        <v>207461</v>
      </c>
      <c r="B984" t="s">
        <v>8182</v>
      </c>
      <c r="C984">
        <v>1</v>
      </c>
    </row>
    <row r="985" spans="1:3" x14ac:dyDescent="0.25">
      <c r="A985">
        <v>207561</v>
      </c>
      <c r="B985" t="s">
        <v>12585</v>
      </c>
      <c r="C985">
        <v>1</v>
      </c>
    </row>
    <row r="986" spans="1:3" x14ac:dyDescent="0.25">
      <c r="A986">
        <v>207994</v>
      </c>
      <c r="B986" t="s">
        <v>11145</v>
      </c>
      <c r="C986">
        <v>1</v>
      </c>
    </row>
    <row r="987" spans="1:3" x14ac:dyDescent="0.25">
      <c r="A987">
        <v>208720</v>
      </c>
      <c r="B987" t="s">
        <v>9690</v>
      </c>
      <c r="C987">
        <v>1</v>
      </c>
    </row>
    <row r="988" spans="1:3" x14ac:dyDescent="0.25">
      <c r="A988">
        <v>212190</v>
      </c>
      <c r="B988" t="s">
        <v>12585</v>
      </c>
      <c r="C988">
        <v>1</v>
      </c>
    </row>
    <row r="989" spans="1:3" x14ac:dyDescent="0.25">
      <c r="A989">
        <v>216333</v>
      </c>
      <c r="B989" t="s">
        <v>12585</v>
      </c>
      <c r="C989">
        <v>1</v>
      </c>
    </row>
    <row r="990" spans="1:3" x14ac:dyDescent="0.25">
      <c r="A990">
        <v>217352</v>
      </c>
      <c r="B990" t="s">
        <v>8182</v>
      </c>
      <c r="C990">
        <v>1</v>
      </c>
    </row>
    <row r="991" spans="1:3" x14ac:dyDescent="0.25">
      <c r="A991">
        <v>217354</v>
      </c>
      <c r="B991" t="s">
        <v>8182</v>
      </c>
      <c r="C991">
        <v>1</v>
      </c>
    </row>
    <row r="992" spans="1:3" x14ac:dyDescent="0.25">
      <c r="A992">
        <v>217355</v>
      </c>
      <c r="B992" t="s">
        <v>8182</v>
      </c>
      <c r="C992">
        <v>1</v>
      </c>
    </row>
    <row r="993" spans="1:3" x14ac:dyDescent="0.25">
      <c r="A993">
        <v>217971</v>
      </c>
      <c r="B993" t="s">
        <v>8182</v>
      </c>
      <c r="C993">
        <v>1</v>
      </c>
    </row>
    <row r="994" spans="1:3" x14ac:dyDescent="0.25">
      <c r="A994">
        <v>218688</v>
      </c>
      <c r="B994" t="s">
        <v>12585</v>
      </c>
      <c r="C994">
        <v>1</v>
      </c>
    </row>
    <row r="995" spans="1:3" x14ac:dyDescent="0.25">
      <c r="A995">
        <v>219482</v>
      </c>
      <c r="B995" t="s">
        <v>12007</v>
      </c>
      <c r="C995">
        <v>1</v>
      </c>
    </row>
    <row r="996" spans="1:3" x14ac:dyDescent="0.25">
      <c r="A996">
        <v>220917</v>
      </c>
      <c r="B996" t="s">
        <v>11145</v>
      </c>
      <c r="C996">
        <v>1</v>
      </c>
    </row>
    <row r="997" spans="1:3" x14ac:dyDescent="0.25">
      <c r="A997">
        <v>221656</v>
      </c>
      <c r="B997" t="s">
        <v>12007</v>
      </c>
      <c r="C997">
        <v>1</v>
      </c>
    </row>
    <row r="998" spans="1:3" x14ac:dyDescent="0.25">
      <c r="A998">
        <v>222970</v>
      </c>
      <c r="B998" t="s">
        <v>11145</v>
      </c>
      <c r="C998">
        <v>1</v>
      </c>
    </row>
    <row r="999" spans="1:3" x14ac:dyDescent="0.25">
      <c r="A999">
        <v>224027</v>
      </c>
      <c r="B999" t="s">
        <v>11145</v>
      </c>
      <c r="C999">
        <v>1</v>
      </c>
    </row>
    <row r="1000" spans="1:3" x14ac:dyDescent="0.25">
      <c r="A1000">
        <v>226243</v>
      </c>
      <c r="B1000" t="s">
        <v>9690</v>
      </c>
      <c r="C1000">
        <v>1</v>
      </c>
    </row>
    <row r="1001" spans="1:3" x14ac:dyDescent="0.25">
      <c r="A1001">
        <v>227430</v>
      </c>
      <c r="B1001" t="s">
        <v>2</v>
      </c>
      <c r="C1001">
        <v>1</v>
      </c>
    </row>
    <row r="1002" spans="1:3" x14ac:dyDescent="0.25">
      <c r="A1002">
        <v>232561</v>
      </c>
      <c r="B1002" t="s">
        <v>8182</v>
      </c>
      <c r="C1002">
        <v>1</v>
      </c>
    </row>
    <row r="1003" spans="1:3" x14ac:dyDescent="0.25">
      <c r="A1003">
        <v>234116</v>
      </c>
      <c r="B1003" t="s">
        <v>11145</v>
      </c>
      <c r="C1003">
        <v>1</v>
      </c>
    </row>
    <row r="1004" spans="1:3" x14ac:dyDescent="0.25">
      <c r="A1004">
        <v>234117</v>
      </c>
      <c r="B1004" t="s">
        <v>11145</v>
      </c>
      <c r="C1004">
        <v>1</v>
      </c>
    </row>
    <row r="1005" spans="1:3" x14ac:dyDescent="0.25">
      <c r="A1005">
        <v>234119</v>
      </c>
      <c r="B1005" t="s">
        <v>11145</v>
      </c>
      <c r="C1005">
        <v>1</v>
      </c>
    </row>
    <row r="1006" spans="1:3" x14ac:dyDescent="0.25">
      <c r="A1006">
        <v>234120</v>
      </c>
      <c r="B1006" t="s">
        <v>11145</v>
      </c>
      <c r="C1006">
        <v>1</v>
      </c>
    </row>
    <row r="1007" spans="1:3" x14ac:dyDescent="0.25">
      <c r="A1007">
        <v>234122</v>
      </c>
      <c r="B1007" t="s">
        <v>11145</v>
      </c>
      <c r="C1007">
        <v>1</v>
      </c>
    </row>
    <row r="1008" spans="1:3" x14ac:dyDescent="0.25">
      <c r="A1008">
        <v>234124</v>
      </c>
      <c r="B1008" t="s">
        <v>11145</v>
      </c>
      <c r="C1008">
        <v>1</v>
      </c>
    </row>
    <row r="1009" spans="1:3" x14ac:dyDescent="0.25">
      <c r="A1009">
        <v>234125</v>
      </c>
      <c r="B1009" t="s">
        <v>11145</v>
      </c>
      <c r="C1009">
        <v>1</v>
      </c>
    </row>
    <row r="1010" spans="1:3" x14ac:dyDescent="0.25">
      <c r="A1010">
        <v>234126</v>
      </c>
      <c r="B1010" t="s">
        <v>11145</v>
      </c>
      <c r="C1010">
        <v>1</v>
      </c>
    </row>
    <row r="1011" spans="1:3" x14ac:dyDescent="0.25">
      <c r="A1011">
        <v>235491</v>
      </c>
      <c r="B1011" t="s">
        <v>11145</v>
      </c>
      <c r="C1011">
        <v>1</v>
      </c>
    </row>
    <row r="1012" spans="1:3" x14ac:dyDescent="0.25">
      <c r="A1012">
        <v>235492</v>
      </c>
      <c r="B1012" t="s">
        <v>11145</v>
      </c>
      <c r="C1012">
        <v>1</v>
      </c>
    </row>
    <row r="1013" spans="1:3" x14ac:dyDescent="0.25">
      <c r="A1013">
        <v>235635</v>
      </c>
      <c r="B1013" t="s">
        <v>2</v>
      </c>
      <c r="C1013">
        <v>1</v>
      </c>
    </row>
    <row r="1014" spans="1:3" x14ac:dyDescent="0.25">
      <c r="A1014">
        <v>238170</v>
      </c>
      <c r="B1014" t="s">
        <v>7008</v>
      </c>
      <c r="C1014">
        <v>1</v>
      </c>
    </row>
    <row r="1015" spans="1:3" x14ac:dyDescent="0.25">
      <c r="A1015">
        <v>238412</v>
      </c>
      <c r="B1015" t="s">
        <v>11145</v>
      </c>
      <c r="C1015">
        <v>1</v>
      </c>
    </row>
    <row r="1016" spans="1:3" x14ac:dyDescent="0.25">
      <c r="A1016">
        <v>238422</v>
      </c>
      <c r="B1016" t="s">
        <v>7008</v>
      </c>
      <c r="C1016">
        <v>1</v>
      </c>
    </row>
    <row r="1017" spans="1:3" x14ac:dyDescent="0.25">
      <c r="A1017">
        <v>240155</v>
      </c>
      <c r="B1017" t="s">
        <v>2</v>
      </c>
      <c r="C1017">
        <v>1</v>
      </c>
    </row>
    <row r="1018" spans="1:3" x14ac:dyDescent="0.25">
      <c r="A1018">
        <v>240563</v>
      </c>
      <c r="B1018" t="s">
        <v>11145</v>
      </c>
      <c r="C1018">
        <v>1</v>
      </c>
    </row>
    <row r="1019" spans="1:3" x14ac:dyDescent="0.25">
      <c r="A1019">
        <v>244501</v>
      </c>
      <c r="B1019" t="s">
        <v>11</v>
      </c>
      <c r="C1019">
        <v>1</v>
      </c>
    </row>
    <row r="1020" spans="1:3" x14ac:dyDescent="0.25">
      <c r="A1020">
        <v>244573</v>
      </c>
      <c r="B1020" t="s">
        <v>12007</v>
      </c>
      <c r="C1020">
        <v>1</v>
      </c>
    </row>
    <row r="1021" spans="1:3" x14ac:dyDescent="0.25">
      <c r="A1021">
        <v>246448</v>
      </c>
      <c r="B1021" t="s">
        <v>8182</v>
      </c>
      <c r="C1021">
        <v>1</v>
      </c>
    </row>
    <row r="1022" spans="1:3" x14ac:dyDescent="0.25">
      <c r="A1022">
        <v>246460</v>
      </c>
      <c r="B1022" t="s">
        <v>8182</v>
      </c>
      <c r="C1022">
        <v>1</v>
      </c>
    </row>
    <row r="1023" spans="1:3" x14ac:dyDescent="0.25">
      <c r="A1023">
        <v>246462</v>
      </c>
      <c r="B1023" t="s">
        <v>8182</v>
      </c>
      <c r="C1023">
        <v>1</v>
      </c>
    </row>
    <row r="1024" spans="1:3" x14ac:dyDescent="0.25">
      <c r="A1024">
        <v>246464</v>
      </c>
      <c r="B1024" t="s">
        <v>8182</v>
      </c>
      <c r="C1024">
        <v>1</v>
      </c>
    </row>
    <row r="1025" spans="1:3" x14ac:dyDescent="0.25">
      <c r="A1025">
        <v>246468</v>
      </c>
      <c r="B1025" t="s">
        <v>8182</v>
      </c>
      <c r="C1025">
        <v>1</v>
      </c>
    </row>
    <row r="1026" spans="1:3" x14ac:dyDescent="0.25">
      <c r="A1026">
        <v>246470</v>
      </c>
      <c r="B1026" t="s">
        <v>8182</v>
      </c>
      <c r="C1026">
        <v>1</v>
      </c>
    </row>
    <row r="1027" spans="1:3" x14ac:dyDescent="0.25">
      <c r="A1027">
        <v>246474</v>
      </c>
      <c r="B1027" t="s">
        <v>8182</v>
      </c>
      <c r="C1027">
        <v>1</v>
      </c>
    </row>
    <row r="1028" spans="1:3" x14ac:dyDescent="0.25">
      <c r="A1028">
        <v>247537</v>
      </c>
      <c r="B1028" t="s">
        <v>11</v>
      </c>
      <c r="C1028">
        <v>1</v>
      </c>
    </row>
    <row r="1029" spans="1:3" x14ac:dyDescent="0.25">
      <c r="A1029">
        <v>247749</v>
      </c>
      <c r="B1029" t="s">
        <v>7616</v>
      </c>
      <c r="C1029">
        <v>1</v>
      </c>
    </row>
    <row r="1030" spans="1:3" x14ac:dyDescent="0.25">
      <c r="A1030">
        <v>247766</v>
      </c>
      <c r="B1030" t="s">
        <v>7616</v>
      </c>
      <c r="C1030">
        <v>1</v>
      </c>
    </row>
    <row r="1031" spans="1:3" x14ac:dyDescent="0.25">
      <c r="A1031">
        <v>247801</v>
      </c>
      <c r="B1031" t="s">
        <v>7616</v>
      </c>
      <c r="C1031">
        <v>1</v>
      </c>
    </row>
    <row r="1032" spans="1:3" x14ac:dyDescent="0.25">
      <c r="A1032">
        <v>247820</v>
      </c>
      <c r="B1032" t="s">
        <v>7616</v>
      </c>
      <c r="C1032">
        <v>1</v>
      </c>
    </row>
    <row r="1033" spans="1:3" x14ac:dyDescent="0.25">
      <c r="A1033">
        <v>260866</v>
      </c>
      <c r="B1033" t="s">
        <v>9690</v>
      </c>
      <c r="C1033">
        <v>1</v>
      </c>
    </row>
    <row r="1034" spans="1:3" x14ac:dyDescent="0.25">
      <c r="A1034">
        <v>260873</v>
      </c>
      <c r="B1034" t="s">
        <v>9690</v>
      </c>
      <c r="C1034">
        <v>1</v>
      </c>
    </row>
    <row r="1035" spans="1:3" x14ac:dyDescent="0.25">
      <c r="A1035">
        <v>260884</v>
      </c>
      <c r="B1035" t="s">
        <v>2</v>
      </c>
      <c r="C1035">
        <v>1</v>
      </c>
    </row>
    <row r="1036" spans="1:3" x14ac:dyDescent="0.25">
      <c r="A1036">
        <v>261645</v>
      </c>
      <c r="B1036" t="s">
        <v>3</v>
      </c>
      <c r="C1036">
        <v>1</v>
      </c>
    </row>
    <row r="1037" spans="1:3" x14ac:dyDescent="0.25">
      <c r="A1037">
        <v>271495</v>
      </c>
      <c r="B1037" t="s">
        <v>12585</v>
      </c>
      <c r="C1037">
        <v>1</v>
      </c>
    </row>
    <row r="1038" spans="1:3" x14ac:dyDescent="0.25">
      <c r="A1038">
        <v>272515</v>
      </c>
      <c r="B1038" t="s">
        <v>8182</v>
      </c>
      <c r="C1038">
        <v>1</v>
      </c>
    </row>
    <row r="1039" spans="1:3" x14ac:dyDescent="0.25">
      <c r="A1039">
        <v>272517</v>
      </c>
      <c r="B1039" t="s">
        <v>8182</v>
      </c>
      <c r="C1039">
        <v>1</v>
      </c>
    </row>
    <row r="1040" spans="1:3" x14ac:dyDescent="0.25">
      <c r="A1040">
        <v>272519</v>
      </c>
      <c r="B1040" t="s">
        <v>8182</v>
      </c>
      <c r="C1040">
        <v>1</v>
      </c>
    </row>
    <row r="1041" spans="1:3" x14ac:dyDescent="0.25">
      <c r="A1041">
        <v>272521</v>
      </c>
      <c r="B1041" t="s">
        <v>8182</v>
      </c>
      <c r="C1041">
        <v>1</v>
      </c>
    </row>
    <row r="1042" spans="1:3" x14ac:dyDescent="0.25">
      <c r="A1042">
        <v>272523</v>
      </c>
      <c r="B1042" t="s">
        <v>8182</v>
      </c>
      <c r="C1042">
        <v>1</v>
      </c>
    </row>
    <row r="1043" spans="1:3" x14ac:dyDescent="0.25">
      <c r="A1043">
        <v>272554</v>
      </c>
      <c r="B1043" t="s">
        <v>8182</v>
      </c>
      <c r="C1043">
        <v>1</v>
      </c>
    </row>
    <row r="1044" spans="1:3" x14ac:dyDescent="0.25">
      <c r="A1044">
        <v>272615</v>
      </c>
      <c r="B1044" t="s">
        <v>3</v>
      </c>
      <c r="C1044">
        <v>1</v>
      </c>
    </row>
    <row r="1045" spans="1:3" x14ac:dyDescent="0.25">
      <c r="A1045">
        <v>272616</v>
      </c>
      <c r="B1045" t="s">
        <v>3</v>
      </c>
      <c r="C1045">
        <v>1</v>
      </c>
    </row>
    <row r="1046" spans="1:3" x14ac:dyDescent="0.25">
      <c r="A1046">
        <v>272620</v>
      </c>
      <c r="B1046" t="s">
        <v>3</v>
      </c>
      <c r="C1046">
        <v>1</v>
      </c>
    </row>
    <row r="1047" spans="1:3" x14ac:dyDescent="0.25">
      <c r="A1047">
        <v>272962</v>
      </c>
      <c r="B1047" t="s">
        <v>7008</v>
      </c>
      <c r="C1047">
        <v>1</v>
      </c>
    </row>
    <row r="1048" spans="1:3" x14ac:dyDescent="0.25">
      <c r="A1048">
        <v>272984</v>
      </c>
      <c r="B1048" t="s">
        <v>7008</v>
      </c>
      <c r="C1048">
        <v>1</v>
      </c>
    </row>
    <row r="1049" spans="1:3" x14ac:dyDescent="0.25">
      <c r="A1049">
        <v>273006</v>
      </c>
      <c r="B1049" t="s">
        <v>7008</v>
      </c>
      <c r="C1049">
        <v>1</v>
      </c>
    </row>
    <row r="1050" spans="1:3" x14ac:dyDescent="0.25">
      <c r="A1050">
        <v>277172</v>
      </c>
      <c r="B1050" t="s">
        <v>8182</v>
      </c>
      <c r="C1050">
        <v>1</v>
      </c>
    </row>
    <row r="1051" spans="1:3" x14ac:dyDescent="0.25">
      <c r="A1051">
        <v>279754</v>
      </c>
      <c r="B1051" t="s">
        <v>11145</v>
      </c>
      <c r="C1051">
        <v>1</v>
      </c>
    </row>
    <row r="1052" spans="1:3" x14ac:dyDescent="0.25">
      <c r="A1052">
        <v>282931</v>
      </c>
      <c r="B1052" t="s">
        <v>11</v>
      </c>
      <c r="C1052">
        <v>1</v>
      </c>
    </row>
    <row r="1053" spans="1:3" x14ac:dyDescent="0.25">
      <c r="A1053">
        <v>283005</v>
      </c>
      <c r="B1053" t="s">
        <v>12585</v>
      </c>
      <c r="C1053">
        <v>1</v>
      </c>
    </row>
    <row r="1054" spans="1:3" x14ac:dyDescent="0.25">
      <c r="A1054">
        <v>283013</v>
      </c>
      <c r="B1054" t="s">
        <v>12585</v>
      </c>
      <c r="C1054">
        <v>1</v>
      </c>
    </row>
    <row r="1055" spans="1:3" x14ac:dyDescent="0.25">
      <c r="A1055">
        <v>294147</v>
      </c>
      <c r="B1055" t="s">
        <v>3</v>
      </c>
      <c r="C1055">
        <v>1</v>
      </c>
    </row>
    <row r="1056" spans="1:3" x14ac:dyDescent="0.25">
      <c r="A1056">
        <v>297641</v>
      </c>
      <c r="B1056" t="s">
        <v>7616</v>
      </c>
      <c r="C1056">
        <v>1</v>
      </c>
    </row>
    <row r="1057" spans="1:3" x14ac:dyDescent="0.25">
      <c r="A1057">
        <v>303248</v>
      </c>
      <c r="B1057" t="s">
        <v>11145</v>
      </c>
      <c r="C1057">
        <v>1</v>
      </c>
    </row>
    <row r="1058" spans="1:3" x14ac:dyDescent="0.25">
      <c r="A1058">
        <v>303264</v>
      </c>
      <c r="B1058" t="s">
        <v>11145</v>
      </c>
      <c r="C1058">
        <v>1</v>
      </c>
    </row>
    <row r="1059" spans="1:3" x14ac:dyDescent="0.25">
      <c r="A1059">
        <v>304352</v>
      </c>
      <c r="B1059" t="s">
        <v>12007</v>
      </c>
      <c r="C1059">
        <v>1</v>
      </c>
    </row>
    <row r="1060" spans="1:3" x14ac:dyDescent="0.25">
      <c r="A1060">
        <v>304376</v>
      </c>
      <c r="B1060" t="s">
        <v>8182</v>
      </c>
      <c r="C1060">
        <v>1</v>
      </c>
    </row>
    <row r="1061" spans="1:3" x14ac:dyDescent="0.25">
      <c r="A1061">
        <v>309352</v>
      </c>
      <c r="B1061" t="s">
        <v>12007</v>
      </c>
      <c r="C1061">
        <v>1</v>
      </c>
    </row>
    <row r="1062" spans="1:3" x14ac:dyDescent="0.25">
      <c r="A1062">
        <v>309354</v>
      </c>
      <c r="B1062" t="s">
        <v>9690</v>
      </c>
      <c r="C1062">
        <v>1</v>
      </c>
    </row>
    <row r="1063" spans="1:3" x14ac:dyDescent="0.25">
      <c r="A1063">
        <v>309357</v>
      </c>
      <c r="B1063" t="s">
        <v>9690</v>
      </c>
      <c r="C1063">
        <v>1</v>
      </c>
    </row>
    <row r="1064" spans="1:3" x14ac:dyDescent="0.25">
      <c r="A1064">
        <v>309361</v>
      </c>
      <c r="B1064" t="s">
        <v>12007</v>
      </c>
      <c r="C1064">
        <v>1</v>
      </c>
    </row>
    <row r="1065" spans="1:3" x14ac:dyDescent="0.25">
      <c r="A1065">
        <v>316834</v>
      </c>
      <c r="B1065" t="s">
        <v>3</v>
      </c>
      <c r="C1065">
        <v>1</v>
      </c>
    </row>
    <row r="1066" spans="1:3" x14ac:dyDescent="0.25">
      <c r="A1066">
        <v>316838</v>
      </c>
      <c r="B1066" t="s">
        <v>3</v>
      </c>
      <c r="C1066">
        <v>1</v>
      </c>
    </row>
    <row r="1067" spans="1:3" x14ac:dyDescent="0.25">
      <c r="A1067">
        <v>318488</v>
      </c>
      <c r="B1067" t="s">
        <v>3</v>
      </c>
      <c r="C1067">
        <v>1</v>
      </c>
    </row>
    <row r="1068" spans="1:3" x14ac:dyDescent="0.25">
      <c r="A1068">
        <v>320014</v>
      </c>
      <c r="B1068" t="s">
        <v>2</v>
      </c>
      <c r="C1068">
        <v>1</v>
      </c>
    </row>
    <row r="1069" spans="1:3" x14ac:dyDescent="0.25">
      <c r="A1069">
        <v>331206</v>
      </c>
      <c r="B1069" t="s">
        <v>8182</v>
      </c>
      <c r="C1069">
        <v>1</v>
      </c>
    </row>
    <row r="1070" spans="1:3" x14ac:dyDescent="0.25">
      <c r="A1070">
        <v>338964</v>
      </c>
      <c r="B1070" t="s">
        <v>7862</v>
      </c>
      <c r="C1070">
        <v>1</v>
      </c>
    </row>
    <row r="1071" spans="1:3" x14ac:dyDescent="0.25">
      <c r="A1071">
        <v>341456</v>
      </c>
      <c r="B1071" t="s">
        <v>2</v>
      </c>
      <c r="C1071">
        <v>1</v>
      </c>
    </row>
    <row r="1072" spans="1:3" x14ac:dyDescent="0.25">
      <c r="A1072">
        <v>343107</v>
      </c>
      <c r="B1072" t="s">
        <v>12007</v>
      </c>
      <c r="C1072">
        <v>1</v>
      </c>
    </row>
    <row r="1073" spans="1:3" x14ac:dyDescent="0.25">
      <c r="A1073">
        <v>343865</v>
      </c>
      <c r="B1073" t="s">
        <v>12585</v>
      </c>
      <c r="C1073">
        <v>1</v>
      </c>
    </row>
    <row r="1074" spans="1:3" x14ac:dyDescent="0.25">
      <c r="A1074">
        <v>345630</v>
      </c>
      <c r="B1074" t="s">
        <v>3</v>
      </c>
      <c r="C1074">
        <v>1</v>
      </c>
    </row>
    <row r="1075" spans="1:3" x14ac:dyDescent="0.25">
      <c r="A1075">
        <v>353399</v>
      </c>
      <c r="B1075" t="s">
        <v>2</v>
      </c>
      <c r="C1075">
        <v>1</v>
      </c>
    </row>
    <row r="1076" spans="1:3" x14ac:dyDescent="0.25">
      <c r="A1076">
        <v>357384</v>
      </c>
      <c r="B1076" t="s">
        <v>3</v>
      </c>
      <c r="C1076">
        <v>1</v>
      </c>
    </row>
    <row r="1077" spans="1:3" x14ac:dyDescent="0.25">
      <c r="A1077">
        <v>357417</v>
      </c>
      <c r="B1077" t="s">
        <v>11</v>
      </c>
      <c r="C1077">
        <v>1</v>
      </c>
    </row>
    <row r="1078" spans="1:3" x14ac:dyDescent="0.25">
      <c r="A1078">
        <v>357419</v>
      </c>
      <c r="B1078" t="s">
        <v>11</v>
      </c>
      <c r="C1078">
        <v>1</v>
      </c>
    </row>
    <row r="1079" spans="1:3" x14ac:dyDescent="0.25">
      <c r="A1079">
        <v>357421</v>
      </c>
      <c r="B1079" t="s">
        <v>11</v>
      </c>
      <c r="C1079">
        <v>1</v>
      </c>
    </row>
    <row r="1080" spans="1:3" x14ac:dyDescent="0.25">
      <c r="A1080">
        <v>357855</v>
      </c>
      <c r="B1080" t="s">
        <v>3</v>
      </c>
      <c r="C1080">
        <v>1</v>
      </c>
    </row>
    <row r="1081" spans="1:3" x14ac:dyDescent="0.25">
      <c r="A1081">
        <v>360554</v>
      </c>
      <c r="B1081" t="s">
        <v>9690</v>
      </c>
      <c r="C1081">
        <v>1</v>
      </c>
    </row>
    <row r="1082" spans="1:3" x14ac:dyDescent="0.25">
      <c r="A1082">
        <v>376314</v>
      </c>
      <c r="B1082" t="s">
        <v>12585</v>
      </c>
      <c r="C1082">
        <v>1</v>
      </c>
    </row>
    <row r="1083" spans="1:3" x14ac:dyDescent="0.25">
      <c r="A1083">
        <v>389470</v>
      </c>
      <c r="B1083" t="s">
        <v>8182</v>
      </c>
      <c r="C1083">
        <v>1</v>
      </c>
    </row>
    <row r="1084" spans="1:3" x14ac:dyDescent="0.25">
      <c r="A1084">
        <v>442141</v>
      </c>
      <c r="B1084" t="s">
        <v>7862</v>
      </c>
      <c r="C1084">
        <v>1</v>
      </c>
    </row>
    <row r="1085" spans="1:3" x14ac:dyDescent="0.25">
      <c r="A1085">
        <v>442368</v>
      </c>
      <c r="B1085" t="s">
        <v>10806</v>
      </c>
      <c r="C1085">
        <v>1</v>
      </c>
    </row>
    <row r="1086" spans="1:3" x14ac:dyDescent="0.25">
      <c r="A1086">
        <v>472007</v>
      </c>
      <c r="B1086" t="s">
        <v>8182</v>
      </c>
      <c r="C1086">
        <v>1</v>
      </c>
    </row>
    <row r="1087" spans="1:3" x14ac:dyDescent="0.25">
      <c r="A1087">
        <v>491662</v>
      </c>
      <c r="B1087" t="s">
        <v>11</v>
      </c>
      <c r="C1087">
        <v>1</v>
      </c>
    </row>
    <row r="1088" spans="1:3" x14ac:dyDescent="0.25">
      <c r="A1088">
        <v>491693</v>
      </c>
      <c r="B1088" t="s">
        <v>11</v>
      </c>
      <c r="C1088">
        <v>1</v>
      </c>
    </row>
    <row r="1089" spans="1:3" x14ac:dyDescent="0.25">
      <c r="A1089">
        <v>493173</v>
      </c>
      <c r="B1089" t="s">
        <v>11145</v>
      </c>
      <c r="C1089">
        <v>1</v>
      </c>
    </row>
    <row r="1090" spans="1:3" x14ac:dyDescent="0.25">
      <c r="A1090">
        <v>493174</v>
      </c>
      <c r="B1090" t="s">
        <v>11145</v>
      </c>
      <c r="C1090">
        <v>1</v>
      </c>
    </row>
    <row r="1091" spans="1:3" x14ac:dyDescent="0.25">
      <c r="A1091">
        <v>493175</v>
      </c>
      <c r="B1091" t="s">
        <v>11145</v>
      </c>
      <c r="C1091">
        <v>1</v>
      </c>
    </row>
    <row r="1092" spans="1:3" x14ac:dyDescent="0.25">
      <c r="A1092">
        <v>493201</v>
      </c>
      <c r="B1092" t="s">
        <v>11145</v>
      </c>
      <c r="C1092">
        <v>1</v>
      </c>
    </row>
    <row r="1093" spans="1:3" x14ac:dyDescent="0.25">
      <c r="A1093">
        <v>493777</v>
      </c>
      <c r="B1093" t="s">
        <v>11</v>
      </c>
      <c r="C1093">
        <v>1</v>
      </c>
    </row>
    <row r="1094" spans="1:3" x14ac:dyDescent="0.25">
      <c r="A1094">
        <v>495111</v>
      </c>
      <c r="B1094" t="s">
        <v>11145</v>
      </c>
      <c r="C1094">
        <v>1</v>
      </c>
    </row>
    <row r="1095" spans="1:3" x14ac:dyDescent="0.25">
      <c r="A1095">
        <v>514138</v>
      </c>
      <c r="B1095" t="s">
        <v>8182</v>
      </c>
      <c r="C1095">
        <v>1</v>
      </c>
    </row>
    <row r="1096" spans="1:3" x14ac:dyDescent="0.25">
      <c r="A1096">
        <v>514198</v>
      </c>
      <c r="B1096" t="s">
        <v>12585</v>
      </c>
      <c r="C1096">
        <v>1</v>
      </c>
    </row>
    <row r="1097" spans="1:3" x14ac:dyDescent="0.25">
      <c r="A1097">
        <v>522725</v>
      </c>
      <c r="B1097" t="s">
        <v>8182</v>
      </c>
      <c r="C1097">
        <v>1</v>
      </c>
    </row>
    <row r="1098" spans="1:3" x14ac:dyDescent="0.25">
      <c r="A1098">
        <v>522726</v>
      </c>
      <c r="B1098" t="s">
        <v>8182</v>
      </c>
      <c r="C1098">
        <v>1</v>
      </c>
    </row>
    <row r="1099" spans="1:3" x14ac:dyDescent="0.25">
      <c r="A1099">
        <v>523143</v>
      </c>
      <c r="B1099" t="s">
        <v>2</v>
      </c>
      <c r="C1099">
        <v>1</v>
      </c>
    </row>
    <row r="1100" spans="1:3" x14ac:dyDescent="0.25">
      <c r="A1100">
        <v>527038</v>
      </c>
      <c r="B1100" t="s">
        <v>3</v>
      </c>
      <c r="C1100">
        <v>1</v>
      </c>
    </row>
    <row r="1101" spans="1:3" x14ac:dyDescent="0.25">
      <c r="A1101">
        <v>528290</v>
      </c>
      <c r="B1101" t="s">
        <v>8182</v>
      </c>
      <c r="C1101">
        <v>1</v>
      </c>
    </row>
    <row r="1102" spans="1:3" x14ac:dyDescent="0.25">
      <c r="A1102">
        <v>529303</v>
      </c>
      <c r="B1102" t="s">
        <v>11</v>
      </c>
      <c r="C1102">
        <v>1</v>
      </c>
    </row>
    <row r="1103" spans="1:3" x14ac:dyDescent="0.25">
      <c r="A1103">
        <v>530364</v>
      </c>
      <c r="B1103" t="s">
        <v>9690</v>
      </c>
      <c r="C1103">
        <v>1</v>
      </c>
    </row>
    <row r="1104" spans="1:3" x14ac:dyDescent="0.25">
      <c r="A1104">
        <v>530868</v>
      </c>
      <c r="B1104" t="s">
        <v>7008</v>
      </c>
      <c r="C1104">
        <v>1</v>
      </c>
    </row>
    <row r="1105" spans="1:3" x14ac:dyDescent="0.25">
      <c r="A1105">
        <v>531709</v>
      </c>
      <c r="B1105" t="s">
        <v>7008</v>
      </c>
      <c r="C1105">
        <v>1</v>
      </c>
    </row>
    <row r="1106" spans="1:3" x14ac:dyDescent="0.25">
      <c r="A1106">
        <v>541357</v>
      </c>
      <c r="B1106" t="s">
        <v>7008</v>
      </c>
      <c r="C1106">
        <v>1</v>
      </c>
    </row>
    <row r="1107" spans="1:3" x14ac:dyDescent="0.25">
      <c r="A1107">
        <v>541358</v>
      </c>
      <c r="B1107" t="s">
        <v>7008</v>
      </c>
      <c r="C1107">
        <v>1</v>
      </c>
    </row>
    <row r="1108" spans="1:3" x14ac:dyDescent="0.25">
      <c r="A1108">
        <v>542174</v>
      </c>
      <c r="B1108" t="s">
        <v>12585</v>
      </c>
      <c r="C1108">
        <v>1</v>
      </c>
    </row>
    <row r="1109" spans="1:3" x14ac:dyDescent="0.25">
      <c r="A1109">
        <v>543944</v>
      </c>
      <c r="B1109" t="s">
        <v>9690</v>
      </c>
      <c r="C1109">
        <v>1</v>
      </c>
    </row>
    <row r="1110" spans="1:3" x14ac:dyDescent="0.25">
      <c r="A1110">
        <v>554467</v>
      </c>
      <c r="B1110" t="s">
        <v>7008</v>
      </c>
      <c r="C1110">
        <v>1</v>
      </c>
    </row>
    <row r="1111" spans="1:3" x14ac:dyDescent="0.25">
      <c r="A1111">
        <v>557335</v>
      </c>
      <c r="B1111" t="s">
        <v>3</v>
      </c>
      <c r="C1111">
        <v>1</v>
      </c>
    </row>
    <row r="1112" spans="1:3" x14ac:dyDescent="0.25">
      <c r="A1112">
        <v>557671</v>
      </c>
      <c r="B1112" t="s">
        <v>11145</v>
      </c>
      <c r="C1112">
        <v>1</v>
      </c>
    </row>
    <row r="1113" spans="1:3" x14ac:dyDescent="0.25">
      <c r="A1113">
        <v>558259</v>
      </c>
      <c r="B1113" t="s">
        <v>11</v>
      </c>
      <c r="C1113">
        <v>1</v>
      </c>
    </row>
    <row r="1114" spans="1:3" x14ac:dyDescent="0.25">
      <c r="A1114">
        <v>558512</v>
      </c>
      <c r="B1114" t="s">
        <v>9690</v>
      </c>
      <c r="C1114">
        <v>1</v>
      </c>
    </row>
    <row r="1115" spans="1:3" x14ac:dyDescent="0.25">
      <c r="A1115">
        <v>558535</v>
      </c>
      <c r="B1115" t="s">
        <v>11145</v>
      </c>
      <c r="C1115">
        <v>1</v>
      </c>
    </row>
    <row r="1116" spans="1:3" x14ac:dyDescent="0.25">
      <c r="A1116">
        <v>558565</v>
      </c>
      <c r="B1116" t="s">
        <v>9690</v>
      </c>
      <c r="C1116">
        <v>1</v>
      </c>
    </row>
    <row r="1117" spans="1:3" x14ac:dyDescent="0.25">
      <c r="A1117">
        <v>558885</v>
      </c>
      <c r="B1117" t="s">
        <v>12585</v>
      </c>
      <c r="C1117">
        <v>1</v>
      </c>
    </row>
    <row r="1118" spans="1:3" x14ac:dyDescent="0.25">
      <c r="A1118">
        <v>559700</v>
      </c>
      <c r="B1118" t="s">
        <v>9690</v>
      </c>
      <c r="C1118">
        <v>1</v>
      </c>
    </row>
    <row r="1119" spans="1:3" x14ac:dyDescent="0.25">
      <c r="A1119">
        <v>564234</v>
      </c>
      <c r="B1119" t="s">
        <v>2</v>
      </c>
      <c r="C1119">
        <v>1</v>
      </c>
    </row>
    <row r="1120" spans="1:3" x14ac:dyDescent="0.25">
      <c r="A1120">
        <v>564740</v>
      </c>
      <c r="B1120" t="s">
        <v>3</v>
      </c>
      <c r="C1120">
        <v>1</v>
      </c>
    </row>
    <row r="1121" spans="1:3" x14ac:dyDescent="0.25">
      <c r="A1121">
        <v>565095</v>
      </c>
      <c r="B1121" t="s">
        <v>9690</v>
      </c>
      <c r="C1121">
        <v>1</v>
      </c>
    </row>
    <row r="1122" spans="1:3" x14ac:dyDescent="0.25">
      <c r="A1122">
        <v>565444</v>
      </c>
      <c r="B1122" t="s">
        <v>2</v>
      </c>
      <c r="C1122">
        <v>1</v>
      </c>
    </row>
    <row r="1123" spans="1:3" x14ac:dyDescent="0.25">
      <c r="A1123">
        <v>568072</v>
      </c>
      <c r="B1123" t="s">
        <v>9690</v>
      </c>
      <c r="C1123">
        <v>1</v>
      </c>
    </row>
    <row r="1124" spans="1:3" x14ac:dyDescent="0.25">
      <c r="A1124">
        <v>573072</v>
      </c>
      <c r="B1124" t="s">
        <v>7862</v>
      </c>
      <c r="C1124">
        <v>1</v>
      </c>
    </row>
    <row r="1125" spans="1:3" x14ac:dyDescent="0.25">
      <c r="A1125">
        <v>573687</v>
      </c>
      <c r="B1125" t="s">
        <v>9690</v>
      </c>
      <c r="C1125">
        <v>1</v>
      </c>
    </row>
    <row r="1126" spans="1:3" x14ac:dyDescent="0.25">
      <c r="A1126">
        <v>573689</v>
      </c>
      <c r="B1126" t="s">
        <v>9690</v>
      </c>
      <c r="C1126">
        <v>1</v>
      </c>
    </row>
    <row r="1127" spans="1:3" x14ac:dyDescent="0.25">
      <c r="A1127">
        <v>575053</v>
      </c>
      <c r="B1127" t="s">
        <v>11</v>
      </c>
      <c r="C1127">
        <v>1</v>
      </c>
    </row>
    <row r="1128" spans="1:3" x14ac:dyDescent="0.25">
      <c r="A1128">
        <v>575331</v>
      </c>
      <c r="B1128" t="s">
        <v>9690</v>
      </c>
      <c r="C1128">
        <v>1</v>
      </c>
    </row>
    <row r="1129" spans="1:3" x14ac:dyDescent="0.25">
      <c r="A1129">
        <v>575391</v>
      </c>
      <c r="B1129" t="s">
        <v>9690</v>
      </c>
      <c r="C1129">
        <v>1</v>
      </c>
    </row>
    <row r="1130" spans="1:3" x14ac:dyDescent="0.25">
      <c r="A1130">
        <v>576830</v>
      </c>
      <c r="B1130" t="s">
        <v>9690</v>
      </c>
      <c r="C1130">
        <v>1</v>
      </c>
    </row>
    <row r="1131" spans="1:3" x14ac:dyDescent="0.25">
      <c r="A1131">
        <v>578084</v>
      </c>
      <c r="B1131" t="s">
        <v>12585</v>
      </c>
      <c r="C1131">
        <v>1</v>
      </c>
    </row>
    <row r="1132" spans="1:3" x14ac:dyDescent="0.25">
      <c r="A1132">
        <v>578236</v>
      </c>
      <c r="B1132" t="s">
        <v>7008</v>
      </c>
      <c r="C1132">
        <v>1</v>
      </c>
    </row>
    <row r="1133" spans="1:3" x14ac:dyDescent="0.25">
      <c r="A1133">
        <v>578296</v>
      </c>
      <c r="B1133" t="s">
        <v>7008</v>
      </c>
      <c r="C1133">
        <v>1</v>
      </c>
    </row>
    <row r="1134" spans="1:3" x14ac:dyDescent="0.25">
      <c r="A1134">
        <v>579026</v>
      </c>
      <c r="B1134" t="s">
        <v>9690</v>
      </c>
      <c r="C1134">
        <v>1</v>
      </c>
    </row>
    <row r="1135" spans="1:3" x14ac:dyDescent="0.25">
      <c r="A1135">
        <v>579322</v>
      </c>
      <c r="B1135" t="s">
        <v>9690</v>
      </c>
      <c r="C1135">
        <v>1</v>
      </c>
    </row>
    <row r="1136" spans="1:3" x14ac:dyDescent="0.25">
      <c r="A1136">
        <v>582738</v>
      </c>
      <c r="B1136" t="s">
        <v>9690</v>
      </c>
      <c r="C1136">
        <v>1</v>
      </c>
    </row>
    <row r="1137" spans="1:3" x14ac:dyDescent="0.25">
      <c r="A1137">
        <v>585919</v>
      </c>
      <c r="B1137" t="s">
        <v>8182</v>
      </c>
      <c r="C1137">
        <v>1</v>
      </c>
    </row>
    <row r="1138" spans="1:3" x14ac:dyDescent="0.25">
      <c r="A1138">
        <v>586863</v>
      </c>
      <c r="B1138" t="s">
        <v>9690</v>
      </c>
      <c r="C1138">
        <v>1</v>
      </c>
    </row>
    <row r="1139" spans="1:3" x14ac:dyDescent="0.25">
      <c r="A1139">
        <v>587319</v>
      </c>
      <c r="B1139" t="s">
        <v>3</v>
      </c>
      <c r="C1139">
        <v>1</v>
      </c>
    </row>
    <row r="1140" spans="1:3" x14ac:dyDescent="0.25">
      <c r="A1140">
        <v>587677</v>
      </c>
      <c r="B1140" t="s">
        <v>7008</v>
      </c>
      <c r="C1140">
        <v>1</v>
      </c>
    </row>
    <row r="1141" spans="1:3" x14ac:dyDescent="0.25">
      <c r="A1141">
        <v>589259</v>
      </c>
      <c r="B1141" t="s">
        <v>9690</v>
      </c>
      <c r="C1141">
        <v>1</v>
      </c>
    </row>
    <row r="1142" spans="1:3" x14ac:dyDescent="0.25">
      <c r="A1142">
        <v>596529</v>
      </c>
      <c r="B1142" t="s">
        <v>11145</v>
      </c>
      <c r="C1142">
        <v>1</v>
      </c>
    </row>
    <row r="1143" spans="1:3" x14ac:dyDescent="0.25">
      <c r="A1143">
        <v>598460</v>
      </c>
      <c r="B1143" t="s">
        <v>2</v>
      </c>
      <c r="C1143">
        <v>1</v>
      </c>
    </row>
    <row r="1144" spans="1:3" x14ac:dyDescent="0.25">
      <c r="A1144">
        <v>601938</v>
      </c>
      <c r="B1144" t="s">
        <v>9690</v>
      </c>
      <c r="C1144">
        <v>1</v>
      </c>
    </row>
    <row r="1145" spans="1:3" x14ac:dyDescent="0.25">
      <c r="A1145">
        <v>602999</v>
      </c>
      <c r="B1145" t="s">
        <v>11145</v>
      </c>
      <c r="C1145">
        <v>1</v>
      </c>
    </row>
    <row r="1146" spans="1:3" x14ac:dyDescent="0.25">
      <c r="A1146">
        <v>603005</v>
      </c>
      <c r="B1146" t="s">
        <v>11145</v>
      </c>
      <c r="C1146">
        <v>1</v>
      </c>
    </row>
    <row r="1147" spans="1:3" x14ac:dyDescent="0.25">
      <c r="A1147">
        <v>603007</v>
      </c>
      <c r="B1147" t="s">
        <v>11145</v>
      </c>
      <c r="C1147">
        <v>1</v>
      </c>
    </row>
    <row r="1148" spans="1:3" x14ac:dyDescent="0.25">
      <c r="A1148">
        <v>603008</v>
      </c>
      <c r="B1148" t="s">
        <v>11145</v>
      </c>
      <c r="C1148">
        <v>1</v>
      </c>
    </row>
    <row r="1149" spans="1:3" x14ac:dyDescent="0.25">
      <c r="A1149">
        <v>603058</v>
      </c>
      <c r="B1149" t="s">
        <v>11145</v>
      </c>
      <c r="C1149">
        <v>1</v>
      </c>
    </row>
    <row r="1150" spans="1:3" x14ac:dyDescent="0.25">
      <c r="A1150">
        <v>616192</v>
      </c>
      <c r="B1150" t="s">
        <v>11</v>
      </c>
      <c r="C1150">
        <v>1</v>
      </c>
    </row>
    <row r="1151" spans="1:3" x14ac:dyDescent="0.25">
      <c r="A1151">
        <v>625063</v>
      </c>
      <c r="B1151" t="s">
        <v>12585</v>
      </c>
      <c r="C1151">
        <v>1</v>
      </c>
    </row>
    <row r="1152" spans="1:3" x14ac:dyDescent="0.25">
      <c r="A1152">
        <v>632296</v>
      </c>
      <c r="B1152" t="s">
        <v>12585</v>
      </c>
      <c r="C1152">
        <v>1</v>
      </c>
    </row>
    <row r="1153" spans="1:3" x14ac:dyDescent="0.25">
      <c r="A1153">
        <v>632369</v>
      </c>
      <c r="B1153" t="s">
        <v>12585</v>
      </c>
      <c r="C1153">
        <v>1</v>
      </c>
    </row>
    <row r="1154" spans="1:3" x14ac:dyDescent="0.25">
      <c r="A1154">
        <v>632370</v>
      </c>
      <c r="B1154" t="s">
        <v>12585</v>
      </c>
      <c r="C1154">
        <v>1</v>
      </c>
    </row>
    <row r="1155" spans="1:3" x14ac:dyDescent="0.25">
      <c r="A1155">
        <v>632371</v>
      </c>
      <c r="B1155" t="s">
        <v>12585</v>
      </c>
      <c r="C1155">
        <v>1</v>
      </c>
    </row>
    <row r="1156" spans="1:3" x14ac:dyDescent="0.25">
      <c r="A1156">
        <v>632372</v>
      </c>
      <c r="B1156" t="s">
        <v>12585</v>
      </c>
      <c r="C1156">
        <v>1</v>
      </c>
    </row>
    <row r="1157" spans="1:3" x14ac:dyDescent="0.25">
      <c r="A1157">
        <v>632373</v>
      </c>
      <c r="B1157" t="s">
        <v>12585</v>
      </c>
      <c r="C1157">
        <v>1</v>
      </c>
    </row>
    <row r="1158" spans="1:3" x14ac:dyDescent="0.25">
      <c r="A1158">
        <v>632374</v>
      </c>
      <c r="B1158" t="s">
        <v>12585</v>
      </c>
      <c r="C1158">
        <v>1</v>
      </c>
    </row>
    <row r="1159" spans="1:3" x14ac:dyDescent="0.25">
      <c r="A1159">
        <v>632375</v>
      </c>
      <c r="B1159" t="s">
        <v>12585</v>
      </c>
      <c r="C1159">
        <v>1</v>
      </c>
    </row>
    <row r="1160" spans="1:3" x14ac:dyDescent="0.25">
      <c r="A1160">
        <v>632376</v>
      </c>
      <c r="B1160" t="s">
        <v>12585</v>
      </c>
      <c r="C1160">
        <v>1</v>
      </c>
    </row>
    <row r="1161" spans="1:3" x14ac:dyDescent="0.25">
      <c r="A1161">
        <v>632705</v>
      </c>
      <c r="B1161" t="s">
        <v>3</v>
      </c>
      <c r="C1161">
        <v>1</v>
      </c>
    </row>
    <row r="1162" spans="1:3" x14ac:dyDescent="0.25">
      <c r="A1162">
        <v>634374</v>
      </c>
      <c r="B1162" t="s">
        <v>9690</v>
      </c>
      <c r="C1162">
        <v>1</v>
      </c>
    </row>
    <row r="1163" spans="1:3" x14ac:dyDescent="0.25">
      <c r="A1163">
        <v>634884</v>
      </c>
      <c r="B1163" t="s">
        <v>12585</v>
      </c>
      <c r="C1163">
        <v>1</v>
      </c>
    </row>
    <row r="1164" spans="1:3" x14ac:dyDescent="0.25">
      <c r="A1164">
        <v>638703</v>
      </c>
      <c r="B1164" t="s">
        <v>7008</v>
      </c>
      <c r="C1164">
        <v>1</v>
      </c>
    </row>
    <row r="1165" spans="1:3" x14ac:dyDescent="0.25">
      <c r="A1165">
        <v>642460</v>
      </c>
      <c r="B1165" t="s">
        <v>7008</v>
      </c>
      <c r="C1165">
        <v>1</v>
      </c>
    </row>
    <row r="1166" spans="1:3" x14ac:dyDescent="0.25">
      <c r="A1166">
        <v>646931</v>
      </c>
      <c r="B1166" t="s">
        <v>11</v>
      </c>
      <c r="C1166">
        <v>1</v>
      </c>
    </row>
    <row r="1167" spans="1:3" x14ac:dyDescent="0.25">
      <c r="A1167">
        <v>647636</v>
      </c>
      <c r="B1167" t="s">
        <v>9690</v>
      </c>
      <c r="C1167">
        <v>1</v>
      </c>
    </row>
    <row r="1168" spans="1:3" x14ac:dyDescent="0.25">
      <c r="A1168">
        <v>647637</v>
      </c>
      <c r="B1168" t="s">
        <v>9690</v>
      </c>
      <c r="C1168">
        <v>1</v>
      </c>
    </row>
    <row r="1169" spans="1:3" x14ac:dyDescent="0.25">
      <c r="A1169">
        <v>647770</v>
      </c>
      <c r="B1169" t="s">
        <v>9690</v>
      </c>
      <c r="C1169">
        <v>1</v>
      </c>
    </row>
    <row r="1170" spans="1:3" x14ac:dyDescent="0.25">
      <c r="A1170">
        <v>647771</v>
      </c>
      <c r="B1170" t="s">
        <v>9690</v>
      </c>
      <c r="C1170">
        <v>1</v>
      </c>
    </row>
    <row r="1171" spans="1:3" x14ac:dyDescent="0.25">
      <c r="A1171">
        <v>647772</v>
      </c>
      <c r="B1171" t="s">
        <v>9690</v>
      </c>
      <c r="C1171">
        <v>1</v>
      </c>
    </row>
    <row r="1172" spans="1:3" x14ac:dyDescent="0.25">
      <c r="A1172">
        <v>647773</v>
      </c>
      <c r="B1172" t="s">
        <v>9690</v>
      </c>
      <c r="C1172">
        <v>1</v>
      </c>
    </row>
    <row r="1173" spans="1:3" x14ac:dyDescent="0.25">
      <c r="A1173">
        <v>647774</v>
      </c>
      <c r="B1173" t="s">
        <v>9690</v>
      </c>
      <c r="C1173">
        <v>1</v>
      </c>
    </row>
    <row r="1174" spans="1:3" x14ac:dyDescent="0.25">
      <c r="A1174">
        <v>647997</v>
      </c>
      <c r="B1174" t="s">
        <v>9690</v>
      </c>
      <c r="C1174">
        <v>1</v>
      </c>
    </row>
    <row r="1175" spans="1:3" x14ac:dyDescent="0.25">
      <c r="A1175">
        <v>647998</v>
      </c>
      <c r="B1175" t="s">
        <v>9690</v>
      </c>
      <c r="C1175">
        <v>1</v>
      </c>
    </row>
    <row r="1176" spans="1:3" x14ac:dyDescent="0.25">
      <c r="A1176">
        <v>647999</v>
      </c>
      <c r="B1176" t="s">
        <v>9690</v>
      </c>
      <c r="C1176">
        <v>1</v>
      </c>
    </row>
    <row r="1177" spans="1:3" x14ac:dyDescent="0.25">
      <c r="A1177">
        <v>648117</v>
      </c>
      <c r="B1177" t="s">
        <v>7008</v>
      </c>
      <c r="C1177">
        <v>1</v>
      </c>
    </row>
    <row r="1178" spans="1:3" x14ac:dyDescent="0.25">
      <c r="A1178">
        <v>648119</v>
      </c>
      <c r="B1178" t="s">
        <v>9690</v>
      </c>
      <c r="C1178">
        <v>1</v>
      </c>
    </row>
    <row r="1179" spans="1:3" x14ac:dyDescent="0.25">
      <c r="A1179">
        <v>648131</v>
      </c>
      <c r="B1179" t="s">
        <v>9690</v>
      </c>
      <c r="C1179">
        <v>1</v>
      </c>
    </row>
    <row r="1180" spans="1:3" x14ac:dyDescent="0.25">
      <c r="A1180">
        <v>648625</v>
      </c>
      <c r="B1180" t="s">
        <v>3</v>
      </c>
      <c r="C1180">
        <v>1</v>
      </c>
    </row>
    <row r="1181" spans="1:3" x14ac:dyDescent="0.25">
      <c r="A1181">
        <v>649229</v>
      </c>
      <c r="B1181" t="s">
        <v>9690</v>
      </c>
      <c r="C1181">
        <v>1</v>
      </c>
    </row>
    <row r="1182" spans="1:3" x14ac:dyDescent="0.25">
      <c r="A1182">
        <v>655553</v>
      </c>
      <c r="B1182" t="s">
        <v>9690</v>
      </c>
      <c r="C1182">
        <v>1</v>
      </c>
    </row>
    <row r="1183" spans="1:3" x14ac:dyDescent="0.25">
      <c r="A1183">
        <v>656561</v>
      </c>
      <c r="B1183" t="s">
        <v>9690</v>
      </c>
      <c r="C1183">
        <v>1</v>
      </c>
    </row>
    <row r="1184" spans="1:3" x14ac:dyDescent="0.25">
      <c r="A1184">
        <v>660450</v>
      </c>
      <c r="B1184" t="s">
        <v>11145</v>
      </c>
      <c r="C1184">
        <v>1</v>
      </c>
    </row>
    <row r="1185" spans="1:3" x14ac:dyDescent="0.25">
      <c r="A1185">
        <v>661997</v>
      </c>
      <c r="B1185" t="s">
        <v>12007</v>
      </c>
      <c r="C1185">
        <v>1</v>
      </c>
    </row>
    <row r="1186" spans="1:3" x14ac:dyDescent="0.25">
      <c r="A1186">
        <v>661999</v>
      </c>
      <c r="B1186" t="s">
        <v>12007</v>
      </c>
      <c r="C1186">
        <v>1</v>
      </c>
    </row>
    <row r="1187" spans="1:3" x14ac:dyDescent="0.25">
      <c r="A1187">
        <v>662607</v>
      </c>
      <c r="B1187" t="s">
        <v>7008</v>
      </c>
      <c r="C1187">
        <v>1</v>
      </c>
    </row>
    <row r="1188" spans="1:3" x14ac:dyDescent="0.25">
      <c r="A1188">
        <v>668238</v>
      </c>
      <c r="B1188" t="s">
        <v>7008</v>
      </c>
      <c r="C1188">
        <v>1</v>
      </c>
    </row>
    <row r="1189" spans="1:3" x14ac:dyDescent="0.25">
      <c r="A1189">
        <v>668515</v>
      </c>
      <c r="B1189" t="s">
        <v>7008</v>
      </c>
      <c r="C1189">
        <v>1</v>
      </c>
    </row>
    <row r="1190" spans="1:3" x14ac:dyDescent="0.25">
      <c r="A1190">
        <v>670409</v>
      </c>
      <c r="B1190" t="s">
        <v>7008</v>
      </c>
      <c r="C1190">
        <v>1</v>
      </c>
    </row>
    <row r="1191" spans="1:3" x14ac:dyDescent="0.25">
      <c r="A1191">
        <v>670705</v>
      </c>
      <c r="B1191" t="s">
        <v>7008</v>
      </c>
      <c r="C1191">
        <v>1</v>
      </c>
    </row>
    <row r="1192" spans="1:3" x14ac:dyDescent="0.25">
      <c r="A1192">
        <v>670795</v>
      </c>
      <c r="B1192" t="s">
        <v>12585</v>
      </c>
      <c r="C1192">
        <v>1</v>
      </c>
    </row>
    <row r="1193" spans="1:3" x14ac:dyDescent="0.25">
      <c r="A1193">
        <v>675895</v>
      </c>
      <c r="B1193" t="s">
        <v>7008</v>
      </c>
      <c r="C1193">
        <v>1</v>
      </c>
    </row>
    <row r="1194" spans="1:3" x14ac:dyDescent="0.25">
      <c r="A1194">
        <v>676098</v>
      </c>
      <c r="B1194" t="s">
        <v>7008</v>
      </c>
      <c r="C1194">
        <v>1</v>
      </c>
    </row>
    <row r="1195" spans="1:3" x14ac:dyDescent="0.25">
      <c r="A1195">
        <v>676107</v>
      </c>
      <c r="B1195" t="s">
        <v>7008</v>
      </c>
      <c r="C1195">
        <v>1</v>
      </c>
    </row>
    <row r="1196" spans="1:3" x14ac:dyDescent="0.25">
      <c r="A1196">
        <v>676136</v>
      </c>
      <c r="B1196" t="s">
        <v>7008</v>
      </c>
      <c r="C1196">
        <v>1</v>
      </c>
    </row>
    <row r="1197" spans="1:3" x14ac:dyDescent="0.25">
      <c r="A1197">
        <v>676144</v>
      </c>
      <c r="B1197" t="s">
        <v>7008</v>
      </c>
      <c r="C1197">
        <v>1</v>
      </c>
    </row>
    <row r="1198" spans="1:3" x14ac:dyDescent="0.25">
      <c r="A1198">
        <v>676145</v>
      </c>
      <c r="B1198" t="s">
        <v>7008</v>
      </c>
      <c r="C1198">
        <v>1</v>
      </c>
    </row>
    <row r="1199" spans="1:3" x14ac:dyDescent="0.25">
      <c r="A1199">
        <v>676147</v>
      </c>
      <c r="B1199" t="s">
        <v>7008</v>
      </c>
      <c r="C1199">
        <v>1</v>
      </c>
    </row>
    <row r="1200" spans="1:3" x14ac:dyDescent="0.25">
      <c r="A1200">
        <v>676155</v>
      </c>
      <c r="B1200" t="s">
        <v>7008</v>
      </c>
      <c r="C1200">
        <v>1</v>
      </c>
    </row>
    <row r="1201" spans="1:3" x14ac:dyDescent="0.25">
      <c r="A1201">
        <v>676284</v>
      </c>
      <c r="B1201" t="s">
        <v>7008</v>
      </c>
      <c r="C1201">
        <v>1</v>
      </c>
    </row>
    <row r="1202" spans="1:3" x14ac:dyDescent="0.25">
      <c r="A1202">
        <v>685807</v>
      </c>
      <c r="B1202" t="s">
        <v>8182</v>
      </c>
      <c r="C1202">
        <v>1</v>
      </c>
    </row>
    <row r="1203" spans="1:3" x14ac:dyDescent="0.25">
      <c r="A1203">
        <v>690268</v>
      </c>
      <c r="B1203" t="s">
        <v>12585</v>
      </c>
      <c r="C1203">
        <v>1</v>
      </c>
    </row>
    <row r="1204" spans="1:3" x14ac:dyDescent="0.25">
      <c r="A1204" t="s">
        <v>12655</v>
      </c>
      <c r="B1204" t="s">
        <v>12585</v>
      </c>
      <c r="C1204">
        <v>1</v>
      </c>
    </row>
    <row r="1205" spans="1:3" x14ac:dyDescent="0.25">
      <c r="A1205" t="s">
        <v>12660</v>
      </c>
      <c r="B1205" t="s">
        <v>12585</v>
      </c>
      <c r="C1205">
        <v>1</v>
      </c>
    </row>
    <row r="1206" spans="1:3" x14ac:dyDescent="0.25">
      <c r="A1206" t="s">
        <v>4835</v>
      </c>
      <c r="B1206" t="s">
        <v>2</v>
      </c>
      <c r="C1206">
        <v>1</v>
      </c>
    </row>
    <row r="1207" spans="1:3" x14ac:dyDescent="0.25">
      <c r="A1207" t="s">
        <v>4840</v>
      </c>
      <c r="B1207" t="s">
        <v>2</v>
      </c>
      <c r="C1207">
        <v>1</v>
      </c>
    </row>
    <row r="1208" spans="1:3" x14ac:dyDescent="0.25">
      <c r="A1208" t="s">
        <v>4845</v>
      </c>
      <c r="B1208" t="s">
        <v>2</v>
      </c>
      <c r="C1208">
        <v>1</v>
      </c>
    </row>
    <row r="1209" spans="1:3" x14ac:dyDescent="0.25">
      <c r="A1209" t="s">
        <v>4850</v>
      </c>
      <c r="B1209" t="s">
        <v>2</v>
      </c>
      <c r="C1209">
        <v>1</v>
      </c>
    </row>
    <row r="1210" spans="1:3" x14ac:dyDescent="0.25">
      <c r="A1210" t="s">
        <v>5515</v>
      </c>
      <c r="B1210" t="s">
        <v>2</v>
      </c>
      <c r="C1210">
        <v>1</v>
      </c>
    </row>
    <row r="1211" spans="1:3" x14ac:dyDescent="0.25">
      <c r="A1211" t="s">
        <v>5588</v>
      </c>
      <c r="B1211" t="s">
        <v>2</v>
      </c>
      <c r="C1211">
        <v>1</v>
      </c>
    </row>
    <row r="1212" spans="1:3" x14ac:dyDescent="0.25">
      <c r="A1212" t="s">
        <v>5593</v>
      </c>
      <c r="B1212" t="s">
        <v>2</v>
      </c>
      <c r="C1212">
        <v>1</v>
      </c>
    </row>
    <row r="1213" spans="1:3" x14ac:dyDescent="0.25">
      <c r="A1213" t="s">
        <v>5598</v>
      </c>
      <c r="B1213" t="s">
        <v>2</v>
      </c>
      <c r="C1213">
        <v>1</v>
      </c>
    </row>
    <row r="1214" spans="1:3" x14ac:dyDescent="0.25">
      <c r="A1214" t="s">
        <v>5528</v>
      </c>
      <c r="B1214" t="s">
        <v>2</v>
      </c>
      <c r="C1214">
        <v>1</v>
      </c>
    </row>
    <row r="1215" spans="1:3" x14ac:dyDescent="0.25">
      <c r="A1215" t="s">
        <v>5549</v>
      </c>
      <c r="B1215" t="s">
        <v>2</v>
      </c>
      <c r="C1215">
        <v>1</v>
      </c>
    </row>
    <row r="1216" spans="1:3" x14ac:dyDescent="0.25">
      <c r="A1216" t="s">
        <v>5559</v>
      </c>
      <c r="B1216" t="s">
        <v>2</v>
      </c>
      <c r="C1216">
        <v>1</v>
      </c>
    </row>
    <row r="1217" spans="1:3" x14ac:dyDescent="0.25">
      <c r="A1217" t="s">
        <v>5579</v>
      </c>
      <c r="B1217" t="s">
        <v>2</v>
      </c>
      <c r="C1217">
        <v>1</v>
      </c>
    </row>
    <row r="1218" spans="1:3" x14ac:dyDescent="0.25">
      <c r="A1218" t="s">
        <v>5721</v>
      </c>
      <c r="B1218" t="s">
        <v>2</v>
      </c>
      <c r="C1218">
        <v>1</v>
      </c>
    </row>
    <row r="1219" spans="1:3" x14ac:dyDescent="0.25">
      <c r="A1219" t="s">
        <v>6008</v>
      </c>
      <c r="B1219" t="s">
        <v>2</v>
      </c>
      <c r="C1219">
        <v>1</v>
      </c>
    </row>
    <row r="1220" spans="1:3" x14ac:dyDescent="0.25">
      <c r="A1220" t="s">
        <v>4855</v>
      </c>
      <c r="B1220" t="s">
        <v>2</v>
      </c>
      <c r="C1220">
        <v>1</v>
      </c>
    </row>
    <row r="1221" spans="1:3" x14ac:dyDescent="0.25">
      <c r="A1221" t="s">
        <v>5626</v>
      </c>
      <c r="B1221" t="s">
        <v>2</v>
      </c>
      <c r="C1221">
        <v>1</v>
      </c>
    </row>
    <row r="1222" spans="1:3" x14ac:dyDescent="0.25">
      <c r="A1222" t="s">
        <v>5631</v>
      </c>
      <c r="B1222" t="s">
        <v>2</v>
      </c>
      <c r="C1222">
        <v>1</v>
      </c>
    </row>
    <row r="1223" spans="1:3" x14ac:dyDescent="0.25">
      <c r="A1223" t="s">
        <v>5635</v>
      </c>
      <c r="B1223" t="s">
        <v>2</v>
      </c>
      <c r="C1223">
        <v>1</v>
      </c>
    </row>
    <row r="1224" spans="1:3" x14ac:dyDescent="0.25">
      <c r="A1224" t="s">
        <v>10811</v>
      </c>
      <c r="B1224" t="s">
        <v>10806</v>
      </c>
      <c r="C1224">
        <v>1</v>
      </c>
    </row>
    <row r="1225" spans="1:3" x14ac:dyDescent="0.25">
      <c r="A1225" t="s">
        <v>5640</v>
      </c>
      <c r="B1225" t="s">
        <v>2</v>
      </c>
      <c r="C1225">
        <v>1</v>
      </c>
    </row>
    <row r="1226" spans="1:3" x14ac:dyDescent="0.25">
      <c r="A1226" t="s">
        <v>5645</v>
      </c>
      <c r="B1226" t="s">
        <v>2</v>
      </c>
      <c r="C1226">
        <v>1</v>
      </c>
    </row>
    <row r="1227" spans="1:3" x14ac:dyDescent="0.25">
      <c r="A1227" t="s">
        <v>5650</v>
      </c>
      <c r="B1227" t="s">
        <v>2</v>
      </c>
      <c r="C1227">
        <v>1</v>
      </c>
    </row>
    <row r="1228" spans="1:3" x14ac:dyDescent="0.25">
      <c r="A1228" t="s">
        <v>5655</v>
      </c>
      <c r="B1228" t="s">
        <v>2</v>
      </c>
      <c r="C1228">
        <v>1</v>
      </c>
    </row>
    <row r="1229" spans="1:3" x14ac:dyDescent="0.25">
      <c r="A1229" t="s">
        <v>5660</v>
      </c>
      <c r="B1229" t="s">
        <v>2</v>
      </c>
      <c r="C1229">
        <v>1</v>
      </c>
    </row>
    <row r="1230" spans="1:3" x14ac:dyDescent="0.25">
      <c r="A1230" t="s">
        <v>5665</v>
      </c>
      <c r="B1230" t="s">
        <v>2</v>
      </c>
      <c r="C1230">
        <v>1</v>
      </c>
    </row>
    <row r="1231" spans="1:3" x14ac:dyDescent="0.25">
      <c r="A1231" t="s">
        <v>5678</v>
      </c>
      <c r="B1231" t="s">
        <v>2</v>
      </c>
      <c r="C1231">
        <v>1</v>
      </c>
    </row>
    <row r="1232" spans="1:3" x14ac:dyDescent="0.25">
      <c r="A1232" t="s">
        <v>10886</v>
      </c>
      <c r="B1232" t="s">
        <v>10806</v>
      </c>
      <c r="C1232">
        <v>1</v>
      </c>
    </row>
    <row r="1233" spans="1:3" x14ac:dyDescent="0.25">
      <c r="A1233" t="s">
        <v>5683</v>
      </c>
      <c r="B1233" t="s">
        <v>2</v>
      </c>
      <c r="C1233">
        <v>1</v>
      </c>
    </row>
    <row r="1234" spans="1:3" x14ac:dyDescent="0.25">
      <c r="A1234" t="s">
        <v>5688</v>
      </c>
      <c r="B1234" t="s">
        <v>2</v>
      </c>
      <c r="C1234">
        <v>1</v>
      </c>
    </row>
    <row r="1235" spans="1:3" x14ac:dyDescent="0.25">
      <c r="A1235" t="s">
        <v>5697</v>
      </c>
      <c r="B1235" t="s">
        <v>2</v>
      </c>
      <c r="C1235">
        <v>1</v>
      </c>
    </row>
    <row r="1236" spans="1:3" x14ac:dyDescent="0.25">
      <c r="A1236" t="s">
        <v>5700</v>
      </c>
      <c r="B1236" t="s">
        <v>2</v>
      </c>
      <c r="C1236">
        <v>1</v>
      </c>
    </row>
    <row r="1237" spans="1:3" x14ac:dyDescent="0.25">
      <c r="A1237" t="s">
        <v>5741</v>
      </c>
      <c r="B1237" t="s">
        <v>2</v>
      </c>
      <c r="C1237">
        <v>1</v>
      </c>
    </row>
    <row r="1238" spans="1:3" x14ac:dyDescent="0.25">
      <c r="A1238" t="s">
        <v>5746</v>
      </c>
      <c r="B1238" t="s">
        <v>2</v>
      </c>
      <c r="C1238">
        <v>1</v>
      </c>
    </row>
    <row r="1239" spans="1:3" x14ac:dyDescent="0.25">
      <c r="A1239" t="s">
        <v>5760</v>
      </c>
      <c r="B1239" t="s">
        <v>2</v>
      </c>
      <c r="C1239">
        <v>1</v>
      </c>
    </row>
    <row r="1240" spans="1:3" x14ac:dyDescent="0.25">
      <c r="A1240" t="s">
        <v>5765</v>
      </c>
      <c r="B1240" t="s">
        <v>2</v>
      </c>
      <c r="C1240">
        <v>1</v>
      </c>
    </row>
    <row r="1241" spans="1:3" x14ac:dyDescent="0.25">
      <c r="A1241" t="s">
        <v>5751</v>
      </c>
      <c r="B1241" t="s">
        <v>2</v>
      </c>
      <c r="C1241">
        <v>1</v>
      </c>
    </row>
    <row r="1242" spans="1:3" x14ac:dyDescent="0.25">
      <c r="A1242" t="s">
        <v>5820</v>
      </c>
      <c r="B1242" t="s">
        <v>2</v>
      </c>
      <c r="C1242">
        <v>1</v>
      </c>
    </row>
    <row r="1243" spans="1:3" x14ac:dyDescent="0.25">
      <c r="A1243" t="s">
        <v>5837</v>
      </c>
      <c r="B1243" t="s">
        <v>2</v>
      </c>
      <c r="C1243">
        <v>1</v>
      </c>
    </row>
    <row r="1244" spans="1:3" x14ac:dyDescent="0.25">
      <c r="A1244" t="s">
        <v>5842</v>
      </c>
      <c r="B1244" t="s">
        <v>2</v>
      </c>
      <c r="C1244">
        <v>1</v>
      </c>
    </row>
    <row r="1245" spans="1:3" x14ac:dyDescent="0.25">
      <c r="A1245" t="s">
        <v>5847</v>
      </c>
      <c r="B1245" t="s">
        <v>2</v>
      </c>
      <c r="C1245">
        <v>1</v>
      </c>
    </row>
    <row r="1246" spans="1:3" x14ac:dyDescent="0.25">
      <c r="A1246" t="s">
        <v>5956</v>
      </c>
      <c r="B1246" t="s">
        <v>2</v>
      </c>
      <c r="C1246">
        <v>1</v>
      </c>
    </row>
    <row r="1247" spans="1:3" x14ac:dyDescent="0.25">
      <c r="A1247" t="s">
        <v>5999</v>
      </c>
      <c r="B1247" t="s">
        <v>2</v>
      </c>
      <c r="C1247">
        <v>1</v>
      </c>
    </row>
    <row r="1248" spans="1:3" x14ac:dyDescent="0.25">
      <c r="A1248" t="s">
        <v>5980</v>
      </c>
      <c r="B1248" t="s">
        <v>2</v>
      </c>
      <c r="C1248">
        <v>1</v>
      </c>
    </row>
    <row r="1249" spans="1:3" x14ac:dyDescent="0.25">
      <c r="A1249" t="s">
        <v>5905</v>
      </c>
      <c r="B1249" t="s">
        <v>2</v>
      </c>
      <c r="C1249">
        <v>1</v>
      </c>
    </row>
    <row r="1250" spans="1:3" x14ac:dyDescent="0.25">
      <c r="A1250" t="s">
        <v>5918</v>
      </c>
      <c r="B1250" t="s">
        <v>2</v>
      </c>
      <c r="C1250">
        <v>1</v>
      </c>
    </row>
    <row r="1251" spans="1:3" x14ac:dyDescent="0.25">
      <c r="A1251" t="s">
        <v>5923</v>
      </c>
      <c r="B1251" t="s">
        <v>2</v>
      </c>
      <c r="C1251">
        <v>1</v>
      </c>
    </row>
    <row r="1252" spans="1:3" x14ac:dyDescent="0.25">
      <c r="A1252" t="s">
        <v>5928</v>
      </c>
      <c r="B1252" t="s">
        <v>2</v>
      </c>
      <c r="C1252">
        <v>1</v>
      </c>
    </row>
    <row r="1253" spans="1:3" x14ac:dyDescent="0.25">
      <c r="A1253" t="s">
        <v>5933</v>
      </c>
      <c r="B1253" t="s">
        <v>2</v>
      </c>
      <c r="C1253">
        <v>1</v>
      </c>
    </row>
    <row r="1254" spans="1:3" x14ac:dyDescent="0.25">
      <c r="A1254" t="s">
        <v>5938</v>
      </c>
      <c r="B1254" t="s">
        <v>2</v>
      </c>
      <c r="C1254">
        <v>1</v>
      </c>
    </row>
    <row r="1255" spans="1:3" x14ac:dyDescent="0.25">
      <c r="A1255" t="s">
        <v>7227</v>
      </c>
      <c r="B1255" t="s">
        <v>7008</v>
      </c>
      <c r="C1255">
        <v>1</v>
      </c>
    </row>
    <row r="1256" spans="1:3" x14ac:dyDescent="0.25">
      <c r="A1256" t="s">
        <v>7232</v>
      </c>
      <c r="B1256" t="s">
        <v>7008</v>
      </c>
      <c r="C1256">
        <v>1</v>
      </c>
    </row>
    <row r="1257" spans="1:3" x14ac:dyDescent="0.25">
      <c r="A1257" t="s">
        <v>7237</v>
      </c>
      <c r="B1257" t="s">
        <v>7008</v>
      </c>
      <c r="C1257">
        <v>1</v>
      </c>
    </row>
    <row r="1258" spans="1:3" x14ac:dyDescent="0.25">
      <c r="A1258" t="s">
        <v>7242</v>
      </c>
      <c r="B1258" t="s">
        <v>7008</v>
      </c>
      <c r="C1258">
        <v>1</v>
      </c>
    </row>
    <row r="1259" spans="1:3" x14ac:dyDescent="0.25">
      <c r="A1259" t="s">
        <v>7248</v>
      </c>
      <c r="B1259" t="s">
        <v>7008</v>
      </c>
      <c r="C1259">
        <v>1</v>
      </c>
    </row>
    <row r="1260" spans="1:3" x14ac:dyDescent="0.25">
      <c r="A1260" t="s">
        <v>7264</v>
      </c>
      <c r="B1260" t="s">
        <v>7008</v>
      </c>
      <c r="C1260">
        <v>1</v>
      </c>
    </row>
    <row r="1261" spans="1:3" x14ac:dyDescent="0.25">
      <c r="A1261" t="s">
        <v>7269</v>
      </c>
      <c r="B1261" t="s">
        <v>7008</v>
      </c>
      <c r="C1261">
        <v>1</v>
      </c>
    </row>
    <row r="1262" spans="1:3" x14ac:dyDescent="0.25">
      <c r="A1262" t="s">
        <v>7330</v>
      </c>
      <c r="B1262" t="s">
        <v>7008</v>
      </c>
      <c r="C1262">
        <v>1</v>
      </c>
    </row>
    <row r="1263" spans="1:3" x14ac:dyDescent="0.25">
      <c r="A1263" t="s">
        <v>7336</v>
      </c>
      <c r="B1263" t="s">
        <v>7008</v>
      </c>
      <c r="C1263">
        <v>1</v>
      </c>
    </row>
    <row r="1264" spans="1:3" x14ac:dyDescent="0.25">
      <c r="A1264" t="s">
        <v>7341</v>
      </c>
      <c r="B1264" t="s">
        <v>7008</v>
      </c>
      <c r="C1264">
        <v>1</v>
      </c>
    </row>
    <row r="1265" spans="1:3" x14ac:dyDescent="0.25">
      <c r="A1265" t="s">
        <v>7346</v>
      </c>
      <c r="B1265" t="s">
        <v>7008</v>
      </c>
      <c r="C1265">
        <v>1</v>
      </c>
    </row>
    <row r="1266" spans="1:3" x14ac:dyDescent="0.25">
      <c r="A1266" t="s">
        <v>7351</v>
      </c>
      <c r="B1266" t="s">
        <v>7008</v>
      </c>
      <c r="C1266">
        <v>1</v>
      </c>
    </row>
    <row r="1267" spans="1:3" x14ac:dyDescent="0.25">
      <c r="A1267" t="s">
        <v>7038</v>
      </c>
      <c r="B1267" t="s">
        <v>7008</v>
      </c>
      <c r="C1267">
        <v>1</v>
      </c>
    </row>
    <row r="1268" spans="1:3" x14ac:dyDescent="0.25">
      <c r="A1268" t="s">
        <v>7043</v>
      </c>
      <c r="B1268" t="s">
        <v>7008</v>
      </c>
      <c r="C1268">
        <v>1</v>
      </c>
    </row>
    <row r="1269" spans="1:3" x14ac:dyDescent="0.25">
      <c r="A1269" t="s">
        <v>7054</v>
      </c>
      <c r="B1269" t="s">
        <v>7008</v>
      </c>
      <c r="C1269">
        <v>1</v>
      </c>
    </row>
    <row r="1270" spans="1:3" x14ac:dyDescent="0.25">
      <c r="A1270" t="s">
        <v>7059</v>
      </c>
      <c r="B1270" t="s">
        <v>7008</v>
      </c>
      <c r="C1270">
        <v>1</v>
      </c>
    </row>
    <row r="1271" spans="1:3" x14ac:dyDescent="0.25">
      <c r="A1271" t="s">
        <v>7078</v>
      </c>
      <c r="B1271" t="s">
        <v>7008</v>
      </c>
      <c r="C1271">
        <v>1</v>
      </c>
    </row>
    <row r="1272" spans="1:3" x14ac:dyDescent="0.25">
      <c r="A1272" t="s">
        <v>7082</v>
      </c>
      <c r="B1272" t="s">
        <v>7008</v>
      </c>
      <c r="C1272">
        <v>1</v>
      </c>
    </row>
    <row r="1273" spans="1:3" x14ac:dyDescent="0.25">
      <c r="A1273" t="s">
        <v>7087</v>
      </c>
      <c r="B1273" t="s">
        <v>7008</v>
      </c>
      <c r="C1273">
        <v>1</v>
      </c>
    </row>
    <row r="1274" spans="1:3" x14ac:dyDescent="0.25">
      <c r="A1274" t="s">
        <v>7254</v>
      </c>
      <c r="B1274" t="s">
        <v>7008</v>
      </c>
      <c r="C1274">
        <v>1</v>
      </c>
    </row>
    <row r="1275" spans="1:3" x14ac:dyDescent="0.25">
      <c r="A1275" t="s">
        <v>5418</v>
      </c>
      <c r="B1275" t="s">
        <v>2</v>
      </c>
      <c r="C1275">
        <v>1</v>
      </c>
    </row>
    <row r="1276" spans="1:3" x14ac:dyDescent="0.25">
      <c r="A1276" t="s">
        <v>12292</v>
      </c>
      <c r="B1276" t="s">
        <v>12007</v>
      </c>
      <c r="C1276">
        <v>1</v>
      </c>
    </row>
    <row r="1277" spans="1:3" x14ac:dyDescent="0.25">
      <c r="A1277" t="s">
        <v>12297</v>
      </c>
      <c r="B1277" t="s">
        <v>12007</v>
      </c>
      <c r="C1277">
        <v>1</v>
      </c>
    </row>
    <row r="1278" spans="1:3" x14ac:dyDescent="0.25">
      <c r="A1278" t="s">
        <v>7602</v>
      </c>
      <c r="B1278" t="s">
        <v>7008</v>
      </c>
      <c r="C1278">
        <v>1</v>
      </c>
    </row>
    <row r="1279" spans="1:3" x14ac:dyDescent="0.25">
      <c r="A1279" t="s">
        <v>7607</v>
      </c>
      <c r="B1279" t="s">
        <v>7008</v>
      </c>
      <c r="C1279">
        <v>1</v>
      </c>
    </row>
    <row r="1280" spans="1:3" x14ac:dyDescent="0.25">
      <c r="A1280" t="s">
        <v>7612</v>
      </c>
      <c r="B1280" t="s">
        <v>7008</v>
      </c>
      <c r="C1280">
        <v>1</v>
      </c>
    </row>
    <row r="1281" spans="1:3" x14ac:dyDescent="0.25">
      <c r="A1281" t="s">
        <v>7774</v>
      </c>
      <c r="B1281" t="s">
        <v>7616</v>
      </c>
      <c r="C1281">
        <v>1</v>
      </c>
    </row>
    <row r="1282" spans="1:3" x14ac:dyDescent="0.25">
      <c r="A1282" t="s">
        <v>7779</v>
      </c>
      <c r="B1282" t="s">
        <v>7616</v>
      </c>
      <c r="C1282">
        <v>1</v>
      </c>
    </row>
    <row r="1283" spans="1:3" x14ac:dyDescent="0.25">
      <c r="A1283" t="s">
        <v>7184</v>
      </c>
      <c r="B1283" t="s">
        <v>7008</v>
      </c>
      <c r="C1283">
        <v>1</v>
      </c>
    </row>
    <row r="1284" spans="1:3" x14ac:dyDescent="0.25">
      <c r="A1284" t="s">
        <v>12439</v>
      </c>
      <c r="B1284" t="s">
        <v>12410</v>
      </c>
      <c r="C1284">
        <v>1</v>
      </c>
    </row>
    <row r="1285" spans="1:3" x14ac:dyDescent="0.25">
      <c r="A1285" t="s">
        <v>7189</v>
      </c>
      <c r="B1285" t="s">
        <v>7008</v>
      </c>
      <c r="C1285">
        <v>1</v>
      </c>
    </row>
    <row r="1286" spans="1:3" x14ac:dyDescent="0.25">
      <c r="A1286" t="s">
        <v>12464</v>
      </c>
      <c r="B1286" t="s">
        <v>12410</v>
      </c>
      <c r="C1286">
        <v>1</v>
      </c>
    </row>
    <row r="1287" spans="1:3" x14ac:dyDescent="0.25">
      <c r="A1287" t="s">
        <v>5423</v>
      </c>
      <c r="B1287" t="s">
        <v>2</v>
      </c>
      <c r="C1287">
        <v>1</v>
      </c>
    </row>
    <row r="1288" spans="1:3" x14ac:dyDescent="0.25">
      <c r="A1288" t="s">
        <v>5427</v>
      </c>
      <c r="B1288" t="s">
        <v>2</v>
      </c>
      <c r="C1288">
        <v>1</v>
      </c>
    </row>
    <row r="1289" spans="1:3" x14ac:dyDescent="0.25">
      <c r="A1289" t="s">
        <v>5431</v>
      </c>
      <c r="B1289" t="s">
        <v>2</v>
      </c>
      <c r="C1289">
        <v>1</v>
      </c>
    </row>
    <row r="1290" spans="1:3" x14ac:dyDescent="0.25">
      <c r="A1290" t="s">
        <v>5435</v>
      </c>
      <c r="B1290" t="s">
        <v>2</v>
      </c>
      <c r="C1290">
        <v>1</v>
      </c>
    </row>
    <row r="1291" spans="1:3" x14ac:dyDescent="0.25">
      <c r="A1291" t="s">
        <v>5440</v>
      </c>
      <c r="B1291" t="s">
        <v>2</v>
      </c>
      <c r="C1291">
        <v>1</v>
      </c>
    </row>
    <row r="1292" spans="1:3" x14ac:dyDescent="0.25">
      <c r="A1292" t="s">
        <v>7596</v>
      </c>
      <c r="B1292" t="s">
        <v>7008</v>
      </c>
      <c r="C1292">
        <v>1</v>
      </c>
    </row>
    <row r="1293" spans="1:3" x14ac:dyDescent="0.25">
      <c r="A1293" t="s">
        <v>5444</v>
      </c>
      <c r="B1293" t="s">
        <v>2</v>
      </c>
      <c r="C1293">
        <v>1</v>
      </c>
    </row>
    <row r="1294" spans="1:3" x14ac:dyDescent="0.25">
      <c r="A1294" t="s">
        <v>5410</v>
      </c>
      <c r="B1294" t="s">
        <v>2</v>
      </c>
      <c r="C1294">
        <v>1</v>
      </c>
    </row>
    <row r="1295" spans="1:3" x14ac:dyDescent="0.25">
      <c r="A1295" t="s">
        <v>5386</v>
      </c>
      <c r="B1295" t="s">
        <v>2</v>
      </c>
      <c r="C1295">
        <v>1</v>
      </c>
    </row>
    <row r="1296" spans="1:3" x14ac:dyDescent="0.25">
      <c r="A1296" t="s">
        <v>5398</v>
      </c>
      <c r="B1296" t="s">
        <v>2</v>
      </c>
      <c r="C1296">
        <v>1</v>
      </c>
    </row>
    <row r="1297" spans="1:3" x14ac:dyDescent="0.25">
      <c r="A1297" t="s">
        <v>5449</v>
      </c>
      <c r="B1297" t="s">
        <v>2</v>
      </c>
      <c r="C1297">
        <v>1</v>
      </c>
    </row>
    <row r="1298" spans="1:3" x14ac:dyDescent="0.25">
      <c r="A1298" t="s">
        <v>5454</v>
      </c>
      <c r="B1298" t="s">
        <v>2</v>
      </c>
      <c r="C1298">
        <v>1</v>
      </c>
    </row>
    <row r="1299" spans="1:3" x14ac:dyDescent="0.25">
      <c r="A1299" t="s">
        <v>5459</v>
      </c>
      <c r="B1299" t="s">
        <v>2</v>
      </c>
      <c r="C1299">
        <v>1</v>
      </c>
    </row>
    <row r="1300" spans="1:3" x14ac:dyDescent="0.25">
      <c r="A1300" t="s">
        <v>9947</v>
      </c>
      <c r="B1300" t="s">
        <v>9690</v>
      </c>
      <c r="C1300">
        <v>1</v>
      </c>
    </row>
    <row r="1301" spans="1:3" x14ac:dyDescent="0.25">
      <c r="A1301" t="s">
        <v>10132</v>
      </c>
      <c r="B1301" t="s">
        <v>9690</v>
      </c>
      <c r="C1301">
        <v>1</v>
      </c>
    </row>
    <row r="1302" spans="1:3" x14ac:dyDescent="0.25">
      <c r="A1302" t="s">
        <v>8737</v>
      </c>
      <c r="B1302" t="s">
        <v>11</v>
      </c>
      <c r="C1302">
        <v>1</v>
      </c>
    </row>
    <row r="1303" spans="1:3" x14ac:dyDescent="0.25">
      <c r="A1303" t="s">
        <v>8742</v>
      </c>
      <c r="B1303" t="s">
        <v>11</v>
      </c>
      <c r="C1303">
        <v>1</v>
      </c>
    </row>
    <row r="1304" spans="1:3" x14ac:dyDescent="0.25">
      <c r="A1304" t="s">
        <v>8753</v>
      </c>
      <c r="B1304" t="s">
        <v>11</v>
      </c>
      <c r="C1304">
        <v>1</v>
      </c>
    </row>
    <row r="1305" spans="1:3" x14ac:dyDescent="0.25">
      <c r="A1305" t="s">
        <v>8758</v>
      </c>
      <c r="B1305" t="s">
        <v>11</v>
      </c>
      <c r="C1305">
        <v>1</v>
      </c>
    </row>
    <row r="1306" spans="1:3" x14ac:dyDescent="0.25">
      <c r="A1306" t="s">
        <v>8772</v>
      </c>
      <c r="B1306" t="s">
        <v>11</v>
      </c>
      <c r="C1306">
        <v>1</v>
      </c>
    </row>
    <row r="1307" spans="1:3" x14ac:dyDescent="0.25">
      <c r="A1307" t="s">
        <v>8776</v>
      </c>
      <c r="B1307" t="s">
        <v>11</v>
      </c>
      <c r="C1307">
        <v>1</v>
      </c>
    </row>
    <row r="1308" spans="1:3" x14ac:dyDescent="0.25">
      <c r="A1308" t="s">
        <v>8786</v>
      </c>
      <c r="B1308" t="s">
        <v>11</v>
      </c>
      <c r="C1308">
        <v>1</v>
      </c>
    </row>
    <row r="1309" spans="1:3" x14ac:dyDescent="0.25">
      <c r="A1309" t="s">
        <v>8079</v>
      </c>
      <c r="B1309" t="s">
        <v>7862</v>
      </c>
      <c r="C1309">
        <v>1</v>
      </c>
    </row>
    <row r="1310" spans="1:3" x14ac:dyDescent="0.25">
      <c r="A1310" t="s">
        <v>8084</v>
      </c>
      <c r="B1310" t="s">
        <v>7862</v>
      </c>
      <c r="C1310">
        <v>1</v>
      </c>
    </row>
    <row r="1311" spans="1:3" x14ac:dyDescent="0.25">
      <c r="A1311" t="s">
        <v>8111</v>
      </c>
      <c r="B1311" t="s">
        <v>7862</v>
      </c>
      <c r="C1311">
        <v>1</v>
      </c>
    </row>
    <row r="1312" spans="1:3" x14ac:dyDescent="0.25">
      <c r="A1312" t="s">
        <v>8116</v>
      </c>
      <c r="B1312" t="s">
        <v>7862</v>
      </c>
      <c r="C1312">
        <v>1</v>
      </c>
    </row>
    <row r="1313" spans="1:3" x14ac:dyDescent="0.25">
      <c r="A1313" t="s">
        <v>8121</v>
      </c>
      <c r="B1313" t="s">
        <v>7862</v>
      </c>
      <c r="C1313">
        <v>1</v>
      </c>
    </row>
    <row r="1314" spans="1:3" x14ac:dyDescent="0.25">
      <c r="A1314" t="s">
        <v>8126</v>
      </c>
      <c r="B1314" t="s">
        <v>7862</v>
      </c>
      <c r="C1314">
        <v>1</v>
      </c>
    </row>
    <row r="1315" spans="1:3" x14ac:dyDescent="0.25">
      <c r="A1315" t="s">
        <v>8131</v>
      </c>
      <c r="B1315" t="s">
        <v>7862</v>
      </c>
      <c r="C1315">
        <v>1</v>
      </c>
    </row>
    <row r="1316" spans="1:3" x14ac:dyDescent="0.25">
      <c r="A1316" t="s">
        <v>8136</v>
      </c>
      <c r="B1316" t="s">
        <v>7862</v>
      </c>
      <c r="C1316">
        <v>1</v>
      </c>
    </row>
    <row r="1317" spans="1:3" x14ac:dyDescent="0.25">
      <c r="A1317" t="s">
        <v>6604</v>
      </c>
      <c r="B1317" t="s">
        <v>3</v>
      </c>
      <c r="C1317">
        <v>1</v>
      </c>
    </row>
    <row r="1318" spans="1:3" x14ac:dyDescent="0.25">
      <c r="A1318" t="s">
        <v>6609</v>
      </c>
      <c r="B1318" t="s">
        <v>3</v>
      </c>
      <c r="C1318">
        <v>1</v>
      </c>
    </row>
    <row r="1319" spans="1:3" x14ac:dyDescent="0.25">
      <c r="A1319" t="s">
        <v>6614</v>
      </c>
      <c r="B1319" t="s">
        <v>3</v>
      </c>
      <c r="C1319">
        <v>1</v>
      </c>
    </row>
    <row r="1320" spans="1:3" x14ac:dyDescent="0.25">
      <c r="A1320" t="s">
        <v>6619</v>
      </c>
      <c r="B1320" t="s">
        <v>3</v>
      </c>
      <c r="C1320">
        <v>1</v>
      </c>
    </row>
    <row r="1321" spans="1:3" x14ac:dyDescent="0.25">
      <c r="A1321" t="s">
        <v>6624</v>
      </c>
      <c r="B1321" t="s">
        <v>3</v>
      </c>
      <c r="C1321">
        <v>1</v>
      </c>
    </row>
    <row r="1322" spans="1:3" x14ac:dyDescent="0.25">
      <c r="A1322" t="s">
        <v>6629</v>
      </c>
      <c r="B1322" t="s">
        <v>3</v>
      </c>
      <c r="C1322">
        <v>1</v>
      </c>
    </row>
    <row r="1323" spans="1:3" x14ac:dyDescent="0.25">
      <c r="A1323" t="s">
        <v>6634</v>
      </c>
      <c r="B1323" t="s">
        <v>3</v>
      </c>
      <c r="C1323">
        <v>1</v>
      </c>
    </row>
    <row r="1324" spans="1:3" x14ac:dyDescent="0.25">
      <c r="A1324" t="s">
        <v>6639</v>
      </c>
      <c r="B1324" t="s">
        <v>3</v>
      </c>
      <c r="C1324">
        <v>1</v>
      </c>
    </row>
    <row r="1325" spans="1:3" x14ac:dyDescent="0.25">
      <c r="A1325" t="s">
        <v>6644</v>
      </c>
      <c r="B1325" t="s">
        <v>3</v>
      </c>
      <c r="C1325">
        <v>1</v>
      </c>
    </row>
    <row r="1326" spans="1:3" x14ac:dyDescent="0.25">
      <c r="A1326" t="s">
        <v>6649</v>
      </c>
      <c r="B1326" t="s">
        <v>3</v>
      </c>
      <c r="C1326">
        <v>1</v>
      </c>
    </row>
    <row r="1327" spans="1:3" x14ac:dyDescent="0.25">
      <c r="A1327" t="s">
        <v>6654</v>
      </c>
      <c r="B1327" t="s">
        <v>3</v>
      </c>
      <c r="C1327">
        <v>1</v>
      </c>
    </row>
    <row r="1328" spans="1:3" x14ac:dyDescent="0.25">
      <c r="A1328" t="s">
        <v>6663</v>
      </c>
      <c r="B1328" t="s">
        <v>3</v>
      </c>
      <c r="C1328">
        <v>1</v>
      </c>
    </row>
    <row r="1329" spans="1:3" x14ac:dyDescent="0.25">
      <c r="A1329" t="s">
        <v>6668</v>
      </c>
      <c r="B1329" t="s">
        <v>3</v>
      </c>
      <c r="C1329">
        <v>1</v>
      </c>
    </row>
    <row r="1330" spans="1:3" x14ac:dyDescent="0.25">
      <c r="A1330" t="s">
        <v>6673</v>
      </c>
      <c r="B1330" t="s">
        <v>3</v>
      </c>
      <c r="C1330">
        <v>1</v>
      </c>
    </row>
    <row r="1331" spans="1:3" x14ac:dyDescent="0.25">
      <c r="A1331" t="s">
        <v>6684</v>
      </c>
      <c r="B1331" t="s">
        <v>3</v>
      </c>
      <c r="C1331">
        <v>1</v>
      </c>
    </row>
    <row r="1332" spans="1:3" x14ac:dyDescent="0.25">
      <c r="A1332" t="s">
        <v>6689</v>
      </c>
      <c r="B1332" t="s">
        <v>3</v>
      </c>
      <c r="C1332">
        <v>1</v>
      </c>
    </row>
    <row r="1333" spans="1:3" x14ac:dyDescent="0.25">
      <c r="A1333" t="s">
        <v>6694</v>
      </c>
      <c r="B1333" t="s">
        <v>3</v>
      </c>
      <c r="C1333">
        <v>1</v>
      </c>
    </row>
    <row r="1334" spans="1:3" x14ac:dyDescent="0.25">
      <c r="A1334" t="s">
        <v>7000</v>
      </c>
      <c r="B1334" t="s">
        <v>3</v>
      </c>
      <c r="C1334">
        <v>1</v>
      </c>
    </row>
    <row r="1335" spans="1:3" x14ac:dyDescent="0.25">
      <c r="A1335" t="s">
        <v>6802</v>
      </c>
      <c r="B1335" t="s">
        <v>3</v>
      </c>
      <c r="C1335">
        <v>1</v>
      </c>
    </row>
    <row r="1336" spans="1:3" x14ac:dyDescent="0.25">
      <c r="A1336" t="s">
        <v>6807</v>
      </c>
      <c r="B1336" t="s">
        <v>3</v>
      </c>
      <c r="C1336">
        <v>1</v>
      </c>
    </row>
    <row r="1337" spans="1:3" x14ac:dyDescent="0.25">
      <c r="A1337" t="s">
        <v>6812</v>
      </c>
      <c r="B1337" t="s">
        <v>3</v>
      </c>
      <c r="C1337">
        <v>1</v>
      </c>
    </row>
    <row r="1338" spans="1:3" x14ac:dyDescent="0.25">
      <c r="A1338" t="s">
        <v>6817</v>
      </c>
      <c r="B1338" t="s">
        <v>3</v>
      </c>
      <c r="C1338">
        <v>1</v>
      </c>
    </row>
    <row r="1339" spans="1:3" x14ac:dyDescent="0.25">
      <c r="A1339" t="s">
        <v>6822</v>
      </c>
      <c r="B1339" t="s">
        <v>3</v>
      </c>
      <c r="C1339">
        <v>1</v>
      </c>
    </row>
    <row r="1340" spans="1:3" x14ac:dyDescent="0.25">
      <c r="A1340" t="s">
        <v>6980</v>
      </c>
      <c r="B1340" t="s">
        <v>3</v>
      </c>
      <c r="C1340">
        <v>1</v>
      </c>
    </row>
    <row r="1341" spans="1:3" x14ac:dyDescent="0.25">
      <c r="A1341" t="s">
        <v>6985</v>
      </c>
      <c r="B1341" t="s">
        <v>3</v>
      </c>
      <c r="C1341">
        <v>1</v>
      </c>
    </row>
    <row r="1342" spans="1:3" x14ac:dyDescent="0.25">
      <c r="A1342" t="s">
        <v>6990</v>
      </c>
      <c r="B1342" t="s">
        <v>3</v>
      </c>
      <c r="C1342">
        <v>1</v>
      </c>
    </row>
    <row r="1343" spans="1:3" x14ac:dyDescent="0.25">
      <c r="A1343" t="s">
        <v>6849</v>
      </c>
      <c r="B1343" t="s">
        <v>3</v>
      </c>
      <c r="C1343">
        <v>1</v>
      </c>
    </row>
    <row r="1344" spans="1:3" x14ac:dyDescent="0.25">
      <c r="A1344" t="s">
        <v>6854</v>
      </c>
      <c r="B1344" t="s">
        <v>3</v>
      </c>
      <c r="C1344">
        <v>1</v>
      </c>
    </row>
    <row r="1345" spans="1:3" x14ac:dyDescent="0.25">
      <c r="A1345" t="s">
        <v>6859</v>
      </c>
      <c r="B1345" t="s">
        <v>3</v>
      </c>
      <c r="C1345">
        <v>1</v>
      </c>
    </row>
    <row r="1346" spans="1:3" x14ac:dyDescent="0.25">
      <c r="A1346" t="s">
        <v>6864</v>
      </c>
      <c r="B1346" t="s">
        <v>3</v>
      </c>
      <c r="C1346">
        <v>1</v>
      </c>
    </row>
    <row r="1347" spans="1:3" x14ac:dyDescent="0.25">
      <c r="A1347" t="s">
        <v>6925</v>
      </c>
      <c r="B1347" t="s">
        <v>3</v>
      </c>
      <c r="C1347">
        <v>1</v>
      </c>
    </row>
    <row r="1348" spans="1:3" x14ac:dyDescent="0.25">
      <c r="A1348" t="s">
        <v>6930</v>
      </c>
      <c r="B1348" t="s">
        <v>3</v>
      </c>
      <c r="C1348">
        <v>1</v>
      </c>
    </row>
    <row r="1349" spans="1:3" x14ac:dyDescent="0.25">
      <c r="A1349" t="s">
        <v>6891</v>
      </c>
      <c r="B1349" t="s">
        <v>3</v>
      </c>
      <c r="C1349">
        <v>1</v>
      </c>
    </row>
    <row r="1350" spans="1:3" x14ac:dyDescent="0.25">
      <c r="A1350" t="s">
        <v>6896</v>
      </c>
      <c r="B1350" t="s">
        <v>3</v>
      </c>
      <c r="C1350">
        <v>1</v>
      </c>
    </row>
    <row r="1351" spans="1:3" x14ac:dyDescent="0.25">
      <c r="A1351" t="s">
        <v>6901</v>
      </c>
      <c r="B1351" t="s">
        <v>3</v>
      </c>
      <c r="C1351">
        <v>1</v>
      </c>
    </row>
    <row r="1352" spans="1:3" x14ac:dyDescent="0.25">
      <c r="A1352" t="s">
        <v>6906</v>
      </c>
      <c r="B1352" t="s">
        <v>3</v>
      </c>
      <c r="C1352">
        <v>1</v>
      </c>
    </row>
    <row r="1353" spans="1:3" x14ac:dyDescent="0.25">
      <c r="A1353" t="s">
        <v>6911</v>
      </c>
      <c r="B1353" t="s">
        <v>3</v>
      </c>
      <c r="C1353">
        <v>1</v>
      </c>
    </row>
    <row r="1354" spans="1:3" x14ac:dyDescent="0.25">
      <c r="A1354" t="s">
        <v>6995</v>
      </c>
      <c r="B1354" t="s">
        <v>3</v>
      </c>
      <c r="C1354">
        <v>1</v>
      </c>
    </row>
    <row r="1355" spans="1:3" x14ac:dyDescent="0.25">
      <c r="A1355" t="s">
        <v>6943</v>
      </c>
      <c r="B1355" t="s">
        <v>3</v>
      </c>
      <c r="C1355">
        <v>1</v>
      </c>
    </row>
    <row r="1356" spans="1:3" x14ac:dyDescent="0.25">
      <c r="A1356" t="s">
        <v>6948</v>
      </c>
      <c r="B1356" t="s">
        <v>3</v>
      </c>
      <c r="C1356">
        <v>1</v>
      </c>
    </row>
    <row r="1357" spans="1:3" x14ac:dyDescent="0.25">
      <c r="A1357" t="s">
        <v>6827</v>
      </c>
      <c r="B1357" t="s">
        <v>3</v>
      </c>
      <c r="C1357">
        <v>1</v>
      </c>
    </row>
    <row r="1358" spans="1:3" x14ac:dyDescent="0.25">
      <c r="A1358" t="s">
        <v>6832</v>
      </c>
      <c r="B1358" t="s">
        <v>3</v>
      </c>
      <c r="C1358">
        <v>1</v>
      </c>
    </row>
    <row r="1359" spans="1:3" x14ac:dyDescent="0.25">
      <c r="A1359" t="s">
        <v>6957</v>
      </c>
      <c r="B1359" t="s">
        <v>3</v>
      </c>
      <c r="C1359">
        <v>1</v>
      </c>
    </row>
    <row r="1360" spans="1:3" x14ac:dyDescent="0.25">
      <c r="A1360" t="s">
        <v>6916</v>
      </c>
      <c r="B1360" t="s">
        <v>3</v>
      </c>
      <c r="C1360">
        <v>1</v>
      </c>
    </row>
    <row r="1361" spans="1:3" x14ac:dyDescent="0.25">
      <c r="A1361" t="s">
        <v>6962</v>
      </c>
      <c r="B1361" t="s">
        <v>3</v>
      </c>
      <c r="C1361">
        <v>1</v>
      </c>
    </row>
    <row r="1362" spans="1:3" x14ac:dyDescent="0.25">
      <c r="A1362" t="s">
        <v>6967</v>
      </c>
      <c r="B1362" t="s">
        <v>3</v>
      </c>
      <c r="C1362">
        <v>1</v>
      </c>
    </row>
    <row r="1363" spans="1:3" x14ac:dyDescent="0.25">
      <c r="A1363" t="s">
        <v>7866</v>
      </c>
      <c r="B1363" t="s">
        <v>7862</v>
      </c>
      <c r="C1363">
        <v>1</v>
      </c>
    </row>
    <row r="1364" spans="1:3" x14ac:dyDescent="0.25">
      <c r="A1364" t="s">
        <v>7871</v>
      </c>
      <c r="B1364" t="s">
        <v>7862</v>
      </c>
      <c r="C1364">
        <v>1</v>
      </c>
    </row>
    <row r="1365" spans="1:3" x14ac:dyDescent="0.25">
      <c r="A1365" t="s">
        <v>7919</v>
      </c>
      <c r="B1365" t="s">
        <v>7862</v>
      </c>
      <c r="C1365">
        <v>1</v>
      </c>
    </row>
    <row r="1366" spans="1:3" x14ac:dyDescent="0.25">
      <c r="A1366" t="s">
        <v>7882</v>
      </c>
      <c r="B1366" t="s">
        <v>7862</v>
      </c>
      <c r="C1366">
        <v>1</v>
      </c>
    </row>
    <row r="1367" spans="1:3" x14ac:dyDescent="0.25">
      <c r="A1367" t="s">
        <v>7924</v>
      </c>
      <c r="B1367" t="s">
        <v>7862</v>
      </c>
      <c r="C1367">
        <v>1</v>
      </c>
    </row>
    <row r="1368" spans="1:3" x14ac:dyDescent="0.25">
      <c r="A1368" t="s">
        <v>7891</v>
      </c>
      <c r="B1368" t="s">
        <v>7862</v>
      </c>
      <c r="C1368">
        <v>1</v>
      </c>
    </row>
    <row r="1369" spans="1:3" x14ac:dyDescent="0.25">
      <c r="A1369" t="s">
        <v>7897</v>
      </c>
      <c r="B1369" t="s">
        <v>7862</v>
      </c>
      <c r="C1369">
        <v>1</v>
      </c>
    </row>
    <row r="1370" spans="1:3" x14ac:dyDescent="0.25">
      <c r="A1370" t="s">
        <v>7902</v>
      </c>
      <c r="B1370" t="s">
        <v>7862</v>
      </c>
      <c r="C1370">
        <v>1</v>
      </c>
    </row>
    <row r="1371" spans="1:3" x14ac:dyDescent="0.25">
      <c r="A1371" t="s">
        <v>7911</v>
      </c>
      <c r="B1371" t="s">
        <v>7862</v>
      </c>
      <c r="C1371">
        <v>1</v>
      </c>
    </row>
    <row r="1372" spans="1:3" x14ac:dyDescent="0.25">
      <c r="A1372" t="s">
        <v>7929</v>
      </c>
      <c r="B1372" t="s">
        <v>7862</v>
      </c>
      <c r="C1372">
        <v>1</v>
      </c>
    </row>
    <row r="1373" spans="1:3" x14ac:dyDescent="0.25">
      <c r="A1373" t="s">
        <v>4704</v>
      </c>
      <c r="B1373" t="s">
        <v>2</v>
      </c>
      <c r="C1373">
        <v>1</v>
      </c>
    </row>
    <row r="1374" spans="1:3" x14ac:dyDescent="0.25">
      <c r="A1374" t="s">
        <v>4709</v>
      </c>
      <c r="B1374" t="s">
        <v>2</v>
      </c>
      <c r="C1374">
        <v>1</v>
      </c>
    </row>
    <row r="1375" spans="1:3" x14ac:dyDescent="0.25">
      <c r="A1375" t="s">
        <v>4724</v>
      </c>
      <c r="B1375" t="s">
        <v>2</v>
      </c>
      <c r="C1375">
        <v>1</v>
      </c>
    </row>
    <row r="1376" spans="1:3" x14ac:dyDescent="0.25">
      <c r="A1376" t="s">
        <v>4736</v>
      </c>
      <c r="B1376" t="s">
        <v>2</v>
      </c>
      <c r="C1376">
        <v>1</v>
      </c>
    </row>
    <row r="1377" spans="1:3" x14ac:dyDescent="0.25">
      <c r="A1377" t="s">
        <v>4743</v>
      </c>
      <c r="B1377" t="s">
        <v>2</v>
      </c>
      <c r="C1377">
        <v>1</v>
      </c>
    </row>
    <row r="1378" spans="1:3" x14ac:dyDescent="0.25">
      <c r="A1378" t="s">
        <v>4748</v>
      </c>
      <c r="B1378" t="s">
        <v>2</v>
      </c>
      <c r="C1378">
        <v>1</v>
      </c>
    </row>
    <row r="1379" spans="1:3" x14ac:dyDescent="0.25">
      <c r="A1379" t="s">
        <v>4868</v>
      </c>
      <c r="B1379" t="s">
        <v>2</v>
      </c>
      <c r="C1379">
        <v>1</v>
      </c>
    </row>
    <row r="1380" spans="1:3" x14ac:dyDescent="0.25">
      <c r="A1380" t="s">
        <v>4776</v>
      </c>
      <c r="B1380" t="s">
        <v>2</v>
      </c>
      <c r="C1380">
        <v>1</v>
      </c>
    </row>
    <row r="1381" spans="1:3" x14ac:dyDescent="0.25">
      <c r="A1381" t="s">
        <v>4873</v>
      </c>
      <c r="B1381" t="s">
        <v>2</v>
      </c>
      <c r="C1381">
        <v>1</v>
      </c>
    </row>
    <row r="1382" spans="1:3" x14ac:dyDescent="0.25">
      <c r="A1382" t="s">
        <v>4878</v>
      </c>
      <c r="B1382" t="s">
        <v>2</v>
      </c>
      <c r="C1382">
        <v>1</v>
      </c>
    </row>
    <row r="1383" spans="1:3" x14ac:dyDescent="0.25">
      <c r="A1383" t="s">
        <v>4883</v>
      </c>
      <c r="B1383" t="s">
        <v>2</v>
      </c>
      <c r="C1383">
        <v>1</v>
      </c>
    </row>
    <row r="1384" spans="1:3" x14ac:dyDescent="0.25">
      <c r="A1384" t="s">
        <v>4788</v>
      </c>
      <c r="B1384" t="s">
        <v>2</v>
      </c>
      <c r="C1384">
        <v>1</v>
      </c>
    </row>
    <row r="1385" spans="1:3" x14ac:dyDescent="0.25">
      <c r="A1385" t="s">
        <v>4798</v>
      </c>
      <c r="B1385" t="s">
        <v>2</v>
      </c>
      <c r="C1385">
        <v>1</v>
      </c>
    </row>
    <row r="1386" spans="1:3" x14ac:dyDescent="0.25">
      <c r="A1386" t="s">
        <v>4802</v>
      </c>
      <c r="B1386" t="s">
        <v>2</v>
      </c>
      <c r="C1386">
        <v>1</v>
      </c>
    </row>
    <row r="1387" spans="1:3" x14ac:dyDescent="0.25">
      <c r="A1387" t="s">
        <v>4888</v>
      </c>
      <c r="B1387" t="s">
        <v>2</v>
      </c>
      <c r="C1387">
        <v>1</v>
      </c>
    </row>
    <row r="1388" spans="1:3" x14ac:dyDescent="0.25">
      <c r="A1388" t="s">
        <v>4892</v>
      </c>
      <c r="B1388" t="s">
        <v>2</v>
      </c>
      <c r="C1388">
        <v>1</v>
      </c>
    </row>
    <row r="1389" spans="1:3" x14ac:dyDescent="0.25">
      <c r="A1389" t="s">
        <v>4897</v>
      </c>
      <c r="B1389" t="s">
        <v>2</v>
      </c>
      <c r="C1389">
        <v>1</v>
      </c>
    </row>
    <row r="1390" spans="1:3" x14ac:dyDescent="0.25">
      <c r="A1390" t="s">
        <v>4902</v>
      </c>
      <c r="B1390" t="s">
        <v>2</v>
      </c>
      <c r="C1390">
        <v>1</v>
      </c>
    </row>
    <row r="1391" spans="1:3" x14ac:dyDescent="0.25">
      <c r="A1391" t="s">
        <v>4813</v>
      </c>
      <c r="B1391" t="s">
        <v>2</v>
      </c>
      <c r="C1391">
        <v>1</v>
      </c>
    </row>
    <row r="1392" spans="1:3" x14ac:dyDescent="0.25">
      <c r="A1392" t="s">
        <v>4822</v>
      </c>
      <c r="B1392" t="s">
        <v>2</v>
      </c>
      <c r="C1392">
        <v>1</v>
      </c>
    </row>
    <row r="1393" spans="1:3" x14ac:dyDescent="0.25">
      <c r="A1393" t="s">
        <v>4826</v>
      </c>
      <c r="B1393" t="s">
        <v>2</v>
      </c>
      <c r="C1393">
        <v>1</v>
      </c>
    </row>
    <row r="1394" spans="1:3" x14ac:dyDescent="0.25">
      <c r="A1394" t="s">
        <v>8024</v>
      </c>
      <c r="B1394" t="s">
        <v>7862</v>
      </c>
      <c r="C1394">
        <v>1</v>
      </c>
    </row>
    <row r="1395" spans="1:3" x14ac:dyDescent="0.25">
      <c r="A1395" t="s">
        <v>8029</v>
      </c>
      <c r="B1395" t="s">
        <v>7862</v>
      </c>
      <c r="C1395">
        <v>1</v>
      </c>
    </row>
    <row r="1396" spans="1:3" x14ac:dyDescent="0.25">
      <c r="A1396" t="s">
        <v>8036</v>
      </c>
      <c r="B1396" t="s">
        <v>7862</v>
      </c>
      <c r="C1396">
        <v>1</v>
      </c>
    </row>
    <row r="1397" spans="1:3" x14ac:dyDescent="0.25">
      <c r="A1397" t="s">
        <v>8041</v>
      </c>
      <c r="B1397" t="s">
        <v>7862</v>
      </c>
      <c r="C1397">
        <v>1</v>
      </c>
    </row>
    <row r="1398" spans="1:3" x14ac:dyDescent="0.25">
      <c r="A1398" t="s">
        <v>8045</v>
      </c>
      <c r="B1398" t="s">
        <v>7862</v>
      </c>
      <c r="C1398">
        <v>1</v>
      </c>
    </row>
    <row r="1399" spans="1:3" x14ac:dyDescent="0.25">
      <c r="A1399" t="s">
        <v>9380</v>
      </c>
      <c r="B1399" t="s">
        <v>11</v>
      </c>
      <c r="C1399">
        <v>1</v>
      </c>
    </row>
    <row r="1400" spans="1:3" x14ac:dyDescent="0.25">
      <c r="A1400" t="s">
        <v>9385</v>
      </c>
      <c r="B1400" t="s">
        <v>11</v>
      </c>
      <c r="C1400">
        <v>1</v>
      </c>
    </row>
    <row r="1401" spans="1:3" x14ac:dyDescent="0.25">
      <c r="A1401" t="s">
        <v>9390</v>
      </c>
      <c r="B1401" t="s">
        <v>11</v>
      </c>
      <c r="C1401">
        <v>1</v>
      </c>
    </row>
    <row r="1402" spans="1:3" x14ac:dyDescent="0.25">
      <c r="A1402" t="s">
        <v>9395</v>
      </c>
      <c r="B1402" t="s">
        <v>11</v>
      </c>
      <c r="C1402">
        <v>1</v>
      </c>
    </row>
    <row r="1403" spans="1:3" x14ac:dyDescent="0.25">
      <c r="A1403" t="s">
        <v>9401</v>
      </c>
      <c r="B1403" t="s">
        <v>11</v>
      </c>
      <c r="C1403">
        <v>1</v>
      </c>
    </row>
    <row r="1404" spans="1:3" x14ac:dyDescent="0.25">
      <c r="A1404" t="s">
        <v>9406</v>
      </c>
      <c r="B1404" t="s">
        <v>11</v>
      </c>
      <c r="C1404">
        <v>1</v>
      </c>
    </row>
    <row r="1405" spans="1:3" x14ac:dyDescent="0.25">
      <c r="A1405" t="s">
        <v>9411</v>
      </c>
      <c r="B1405" t="s">
        <v>11</v>
      </c>
      <c r="C1405">
        <v>1</v>
      </c>
    </row>
    <row r="1406" spans="1:3" x14ac:dyDescent="0.25">
      <c r="A1406" t="s">
        <v>9434</v>
      </c>
      <c r="B1406" t="s">
        <v>11</v>
      </c>
      <c r="C1406">
        <v>1</v>
      </c>
    </row>
    <row r="1407" spans="1:3" x14ac:dyDescent="0.25">
      <c r="A1407" t="s">
        <v>9439</v>
      </c>
      <c r="B1407" t="s">
        <v>11</v>
      </c>
      <c r="C1407">
        <v>1</v>
      </c>
    </row>
    <row r="1408" spans="1:3" x14ac:dyDescent="0.25">
      <c r="A1408" t="s">
        <v>9486</v>
      </c>
      <c r="B1408" t="s">
        <v>11</v>
      </c>
      <c r="C1408">
        <v>1</v>
      </c>
    </row>
    <row r="1409" spans="1:3" x14ac:dyDescent="0.25">
      <c r="A1409" t="s">
        <v>9455</v>
      </c>
      <c r="B1409" t="s">
        <v>11</v>
      </c>
      <c r="C1409">
        <v>1</v>
      </c>
    </row>
    <row r="1410" spans="1:3" x14ac:dyDescent="0.25">
      <c r="A1410" t="s">
        <v>8798</v>
      </c>
      <c r="B1410" t="s">
        <v>11</v>
      </c>
      <c r="C1410">
        <v>1</v>
      </c>
    </row>
    <row r="1411" spans="1:3" x14ac:dyDescent="0.25">
      <c r="A1411" t="s">
        <v>8808</v>
      </c>
      <c r="B1411" t="s">
        <v>11</v>
      </c>
      <c r="C1411">
        <v>1</v>
      </c>
    </row>
    <row r="1412" spans="1:3" x14ac:dyDescent="0.25">
      <c r="A1412" t="s">
        <v>8813</v>
      </c>
      <c r="B1412" t="s">
        <v>11</v>
      </c>
      <c r="C1412">
        <v>1</v>
      </c>
    </row>
    <row r="1413" spans="1:3" x14ac:dyDescent="0.25">
      <c r="A1413" t="s">
        <v>8818</v>
      </c>
      <c r="B1413" t="s">
        <v>11</v>
      </c>
      <c r="C1413">
        <v>1</v>
      </c>
    </row>
    <row r="1414" spans="1:3" x14ac:dyDescent="0.25">
      <c r="A1414" t="s">
        <v>8823</v>
      </c>
      <c r="B1414" t="s">
        <v>11</v>
      </c>
      <c r="C1414">
        <v>1</v>
      </c>
    </row>
    <row r="1415" spans="1:3" x14ac:dyDescent="0.25">
      <c r="A1415" t="s">
        <v>8828</v>
      </c>
      <c r="B1415" t="s">
        <v>11</v>
      </c>
      <c r="C1415">
        <v>1</v>
      </c>
    </row>
    <row r="1416" spans="1:3" x14ac:dyDescent="0.25">
      <c r="A1416" t="s">
        <v>8833</v>
      </c>
      <c r="B1416" t="s">
        <v>11</v>
      </c>
      <c r="C1416">
        <v>1</v>
      </c>
    </row>
    <row r="1417" spans="1:3" x14ac:dyDescent="0.25">
      <c r="A1417" t="s">
        <v>8838</v>
      </c>
      <c r="B1417" t="s">
        <v>11</v>
      </c>
      <c r="C1417">
        <v>1</v>
      </c>
    </row>
    <row r="1418" spans="1:3" x14ac:dyDescent="0.25">
      <c r="A1418" t="s">
        <v>8848</v>
      </c>
      <c r="B1418" t="s">
        <v>11</v>
      </c>
      <c r="C1418">
        <v>1</v>
      </c>
    </row>
    <row r="1419" spans="1:3" x14ac:dyDescent="0.25">
      <c r="A1419" t="s">
        <v>8913</v>
      </c>
      <c r="B1419" t="s">
        <v>11</v>
      </c>
      <c r="C1419">
        <v>1</v>
      </c>
    </row>
    <row r="1420" spans="1:3" x14ac:dyDescent="0.25">
      <c r="A1420" t="s">
        <v>9640</v>
      </c>
      <c r="B1420" t="s">
        <v>11</v>
      </c>
      <c r="C1420">
        <v>1</v>
      </c>
    </row>
    <row r="1421" spans="1:3" x14ac:dyDescent="0.25">
      <c r="A1421" t="s">
        <v>9645</v>
      </c>
      <c r="B1421" t="s">
        <v>11</v>
      </c>
      <c r="C1421">
        <v>1</v>
      </c>
    </row>
    <row r="1422" spans="1:3" x14ac:dyDescent="0.25">
      <c r="A1422" t="s">
        <v>9650</v>
      </c>
      <c r="B1422" t="s">
        <v>11</v>
      </c>
      <c r="C1422">
        <v>1</v>
      </c>
    </row>
    <row r="1423" spans="1:3" x14ac:dyDescent="0.25">
      <c r="A1423" t="s">
        <v>9657</v>
      </c>
      <c r="B1423" t="s">
        <v>11</v>
      </c>
      <c r="C1423">
        <v>1</v>
      </c>
    </row>
    <row r="1424" spans="1:3" x14ac:dyDescent="0.25">
      <c r="A1424" t="s">
        <v>9666</v>
      </c>
      <c r="B1424" t="s">
        <v>11</v>
      </c>
      <c r="C1424">
        <v>1</v>
      </c>
    </row>
    <row r="1425" spans="1:3" x14ac:dyDescent="0.25">
      <c r="A1425" t="s">
        <v>9671</v>
      </c>
      <c r="B1425" t="s">
        <v>11</v>
      </c>
      <c r="C1425">
        <v>1</v>
      </c>
    </row>
    <row r="1426" spans="1:3" x14ac:dyDescent="0.25">
      <c r="A1426" t="s">
        <v>9676</v>
      </c>
      <c r="B1426" t="s">
        <v>11</v>
      </c>
      <c r="C1426">
        <v>1</v>
      </c>
    </row>
    <row r="1427" spans="1:3" x14ac:dyDescent="0.25">
      <c r="A1427" t="s">
        <v>9681</v>
      </c>
      <c r="B1427" t="s">
        <v>11</v>
      </c>
      <c r="C1427">
        <v>1</v>
      </c>
    </row>
    <row r="1428" spans="1:3" x14ac:dyDescent="0.25">
      <c r="A1428" t="s">
        <v>9686</v>
      </c>
      <c r="B1428" t="s">
        <v>11</v>
      </c>
      <c r="C1428">
        <v>1</v>
      </c>
    </row>
    <row r="1429" spans="1:3" x14ac:dyDescent="0.25">
      <c r="A1429" t="s">
        <v>9350</v>
      </c>
      <c r="B1429" t="s">
        <v>11</v>
      </c>
      <c r="C1429">
        <v>1</v>
      </c>
    </row>
    <row r="1430" spans="1:3" x14ac:dyDescent="0.25">
      <c r="A1430" t="s">
        <v>9355</v>
      </c>
      <c r="B1430" t="s">
        <v>11</v>
      </c>
      <c r="C1430">
        <v>1</v>
      </c>
    </row>
    <row r="1431" spans="1:3" x14ac:dyDescent="0.25">
      <c r="A1431" t="s">
        <v>9360</v>
      </c>
      <c r="B1431" t="s">
        <v>11</v>
      </c>
      <c r="C1431">
        <v>1</v>
      </c>
    </row>
    <row r="1432" spans="1:3" x14ac:dyDescent="0.25">
      <c r="A1432" t="s">
        <v>9128</v>
      </c>
      <c r="B1432" t="s">
        <v>11</v>
      </c>
      <c r="C1432">
        <v>1</v>
      </c>
    </row>
    <row r="1433" spans="1:3" x14ac:dyDescent="0.25">
      <c r="A1433" t="s">
        <v>9133</v>
      </c>
      <c r="B1433" t="s">
        <v>11</v>
      </c>
      <c r="C1433">
        <v>1</v>
      </c>
    </row>
    <row r="1434" spans="1:3" x14ac:dyDescent="0.25">
      <c r="A1434" t="s">
        <v>9138</v>
      </c>
      <c r="B1434" t="s">
        <v>11</v>
      </c>
      <c r="C1434">
        <v>1</v>
      </c>
    </row>
    <row r="1435" spans="1:3" x14ac:dyDescent="0.25">
      <c r="A1435" t="s">
        <v>9152</v>
      </c>
      <c r="B1435" t="s">
        <v>11</v>
      </c>
      <c r="C1435">
        <v>1</v>
      </c>
    </row>
    <row r="1436" spans="1:3" x14ac:dyDescent="0.25">
      <c r="A1436" t="s">
        <v>9157</v>
      </c>
      <c r="B1436" t="s">
        <v>11</v>
      </c>
      <c r="C1436">
        <v>1</v>
      </c>
    </row>
    <row r="1437" spans="1:3" x14ac:dyDescent="0.25">
      <c r="A1437" t="s">
        <v>9162</v>
      </c>
      <c r="B1437" t="s">
        <v>11</v>
      </c>
      <c r="C1437">
        <v>1</v>
      </c>
    </row>
    <row r="1438" spans="1:3" x14ac:dyDescent="0.25">
      <c r="A1438" t="s">
        <v>9167</v>
      </c>
      <c r="B1438" t="s">
        <v>11</v>
      </c>
      <c r="C1438">
        <v>1</v>
      </c>
    </row>
    <row r="1439" spans="1:3" x14ac:dyDescent="0.25">
      <c r="A1439" t="s">
        <v>9172</v>
      </c>
      <c r="B1439" t="s">
        <v>11</v>
      </c>
      <c r="C1439">
        <v>1</v>
      </c>
    </row>
    <row r="1440" spans="1:3" x14ac:dyDescent="0.25">
      <c r="A1440" t="s">
        <v>9177</v>
      </c>
      <c r="B1440" t="s">
        <v>11</v>
      </c>
      <c r="C1440">
        <v>1</v>
      </c>
    </row>
    <row r="1441" spans="1:3" x14ac:dyDescent="0.25">
      <c r="A1441" t="s">
        <v>9182</v>
      </c>
      <c r="B1441" t="s">
        <v>11</v>
      </c>
      <c r="C1441">
        <v>1</v>
      </c>
    </row>
    <row r="1442" spans="1:3" x14ac:dyDescent="0.25">
      <c r="A1442" t="s">
        <v>9193</v>
      </c>
      <c r="B1442" t="s">
        <v>11</v>
      </c>
      <c r="C1442">
        <v>1</v>
      </c>
    </row>
    <row r="1443" spans="1:3" x14ac:dyDescent="0.25">
      <c r="A1443" t="s">
        <v>9198</v>
      </c>
      <c r="B1443" t="s">
        <v>11</v>
      </c>
      <c r="C1443">
        <v>1</v>
      </c>
    </row>
    <row r="1444" spans="1:3" x14ac:dyDescent="0.25">
      <c r="A1444" t="s">
        <v>9203</v>
      </c>
      <c r="B1444" t="s">
        <v>11</v>
      </c>
      <c r="C1444">
        <v>1</v>
      </c>
    </row>
    <row r="1445" spans="1:3" x14ac:dyDescent="0.25">
      <c r="A1445" t="s">
        <v>9208</v>
      </c>
      <c r="B1445" t="s">
        <v>11</v>
      </c>
      <c r="C1445">
        <v>1</v>
      </c>
    </row>
    <row r="1446" spans="1:3" x14ac:dyDescent="0.25">
      <c r="A1446" t="s">
        <v>9213</v>
      </c>
      <c r="B1446" t="s">
        <v>11</v>
      </c>
      <c r="C1446">
        <v>1</v>
      </c>
    </row>
    <row r="1447" spans="1:3" x14ac:dyDescent="0.25">
      <c r="A1447" t="s">
        <v>9218</v>
      </c>
      <c r="B1447" t="s">
        <v>11</v>
      </c>
      <c r="C1447">
        <v>1</v>
      </c>
    </row>
    <row r="1448" spans="1:3" x14ac:dyDescent="0.25">
      <c r="A1448" t="s">
        <v>9248</v>
      </c>
      <c r="B1448" t="s">
        <v>11</v>
      </c>
      <c r="C1448">
        <v>1</v>
      </c>
    </row>
    <row r="1449" spans="1:3" x14ac:dyDescent="0.25">
      <c r="A1449" t="s">
        <v>9253</v>
      </c>
      <c r="B1449" t="s">
        <v>11</v>
      </c>
      <c r="C1449">
        <v>1</v>
      </c>
    </row>
    <row r="1450" spans="1:3" x14ac:dyDescent="0.25">
      <c r="A1450" t="s">
        <v>9278</v>
      </c>
      <c r="B1450" t="s">
        <v>11</v>
      </c>
      <c r="C1450">
        <v>1</v>
      </c>
    </row>
    <row r="1451" spans="1:3" x14ac:dyDescent="0.25">
      <c r="A1451" t="s">
        <v>9283</v>
      </c>
      <c r="B1451" t="s">
        <v>11</v>
      </c>
      <c r="C1451">
        <v>1</v>
      </c>
    </row>
    <row r="1452" spans="1:3" x14ac:dyDescent="0.25">
      <c r="A1452" t="s">
        <v>9293</v>
      </c>
      <c r="B1452" t="s">
        <v>11</v>
      </c>
      <c r="C1452">
        <v>1</v>
      </c>
    </row>
    <row r="1453" spans="1:3" x14ac:dyDescent="0.25">
      <c r="A1453" t="s">
        <v>9297</v>
      </c>
      <c r="B1453" t="s">
        <v>11</v>
      </c>
      <c r="C1453">
        <v>1</v>
      </c>
    </row>
    <row r="1454" spans="1:3" x14ac:dyDescent="0.25">
      <c r="A1454" t="s">
        <v>9310</v>
      </c>
      <c r="B1454" t="s">
        <v>11</v>
      </c>
      <c r="C1454">
        <v>1</v>
      </c>
    </row>
    <row r="1455" spans="1:3" x14ac:dyDescent="0.25">
      <c r="A1455" t="s">
        <v>9313</v>
      </c>
      <c r="B1455" t="s">
        <v>11</v>
      </c>
      <c r="C1455">
        <v>1</v>
      </c>
    </row>
    <row r="1456" spans="1:3" x14ac:dyDescent="0.25">
      <c r="A1456" t="s">
        <v>9330</v>
      </c>
      <c r="B1456" t="s">
        <v>11</v>
      </c>
      <c r="C1456">
        <v>1</v>
      </c>
    </row>
    <row r="1457" spans="1:3" x14ac:dyDescent="0.25">
      <c r="A1457" t="s">
        <v>9335</v>
      </c>
      <c r="B1457" t="s">
        <v>11</v>
      </c>
      <c r="C1457">
        <v>1</v>
      </c>
    </row>
    <row r="1458" spans="1:3" x14ac:dyDescent="0.25">
      <c r="A1458" t="s">
        <v>6247</v>
      </c>
      <c r="B1458" t="s">
        <v>3</v>
      </c>
      <c r="C1458">
        <v>1</v>
      </c>
    </row>
    <row r="1459" spans="1:3" x14ac:dyDescent="0.25">
      <c r="A1459" t="s">
        <v>6269</v>
      </c>
      <c r="B1459" t="s">
        <v>3</v>
      </c>
      <c r="C1459">
        <v>1</v>
      </c>
    </row>
    <row r="1460" spans="1:3" x14ac:dyDescent="0.25">
      <c r="A1460" t="s">
        <v>6282</v>
      </c>
      <c r="B1460" t="s">
        <v>3</v>
      </c>
      <c r="C1460">
        <v>1</v>
      </c>
    </row>
    <row r="1461" spans="1:3" x14ac:dyDescent="0.25">
      <c r="A1461" t="s">
        <v>6287</v>
      </c>
      <c r="B1461" t="s">
        <v>3</v>
      </c>
      <c r="C1461">
        <v>1</v>
      </c>
    </row>
    <row r="1462" spans="1:3" x14ac:dyDescent="0.25">
      <c r="A1462" t="s">
        <v>6292</v>
      </c>
      <c r="B1462" t="s">
        <v>3</v>
      </c>
      <c r="C1462">
        <v>1</v>
      </c>
    </row>
    <row r="1463" spans="1:3" x14ac:dyDescent="0.25">
      <c r="A1463" t="s">
        <v>6313</v>
      </c>
      <c r="B1463" t="s">
        <v>3</v>
      </c>
      <c r="C1463">
        <v>1</v>
      </c>
    </row>
    <row r="1464" spans="1:3" x14ac:dyDescent="0.25">
      <c r="A1464" t="s">
        <v>6318</v>
      </c>
      <c r="B1464" t="s">
        <v>3</v>
      </c>
      <c r="C1464">
        <v>1</v>
      </c>
    </row>
    <row r="1465" spans="1:3" x14ac:dyDescent="0.25">
      <c r="A1465" t="s">
        <v>6327</v>
      </c>
      <c r="B1465" t="s">
        <v>3</v>
      </c>
      <c r="C1465">
        <v>1</v>
      </c>
    </row>
    <row r="1466" spans="1:3" x14ac:dyDescent="0.25">
      <c r="A1466" t="s">
        <v>6332</v>
      </c>
      <c r="B1466" t="s">
        <v>3</v>
      </c>
      <c r="C1466">
        <v>1</v>
      </c>
    </row>
    <row r="1467" spans="1:3" x14ac:dyDescent="0.25">
      <c r="A1467" t="s">
        <v>6402</v>
      </c>
      <c r="B1467" t="s">
        <v>3</v>
      </c>
      <c r="C1467">
        <v>1</v>
      </c>
    </row>
    <row r="1468" spans="1:3" x14ac:dyDescent="0.25">
      <c r="A1468" t="s">
        <v>6408</v>
      </c>
      <c r="B1468" t="s">
        <v>3</v>
      </c>
      <c r="C1468">
        <v>1</v>
      </c>
    </row>
    <row r="1469" spans="1:3" x14ac:dyDescent="0.25">
      <c r="A1469" t="s">
        <v>6440</v>
      </c>
      <c r="B1469" t="s">
        <v>3</v>
      </c>
      <c r="C1469">
        <v>1</v>
      </c>
    </row>
    <row r="1470" spans="1:3" x14ac:dyDescent="0.25">
      <c r="A1470" t="s">
        <v>6412</v>
      </c>
      <c r="B1470" t="s">
        <v>3</v>
      </c>
      <c r="C1470">
        <v>1</v>
      </c>
    </row>
    <row r="1471" spans="1:3" x14ac:dyDescent="0.25">
      <c r="A1471" t="s">
        <v>6418</v>
      </c>
      <c r="B1471" t="s">
        <v>3</v>
      </c>
      <c r="C1471">
        <v>1</v>
      </c>
    </row>
    <row r="1472" spans="1:3" x14ac:dyDescent="0.25">
      <c r="A1472" t="s">
        <v>6423</v>
      </c>
      <c r="B1472" t="s">
        <v>3</v>
      </c>
      <c r="C1472">
        <v>1</v>
      </c>
    </row>
    <row r="1473" spans="1:3" x14ac:dyDescent="0.25">
      <c r="A1473" t="s">
        <v>6445</v>
      </c>
      <c r="B1473" t="s">
        <v>3</v>
      </c>
      <c r="C1473">
        <v>1</v>
      </c>
    </row>
    <row r="1474" spans="1:3" x14ac:dyDescent="0.25">
      <c r="A1474" t="s">
        <v>6450</v>
      </c>
      <c r="B1474" t="s">
        <v>3</v>
      </c>
      <c r="C1474">
        <v>1</v>
      </c>
    </row>
    <row r="1475" spans="1:3" x14ac:dyDescent="0.25">
      <c r="A1475" t="s">
        <v>6455</v>
      </c>
      <c r="B1475" t="s">
        <v>3</v>
      </c>
      <c r="C1475">
        <v>1</v>
      </c>
    </row>
    <row r="1476" spans="1:3" x14ac:dyDescent="0.25">
      <c r="A1476" t="s">
        <v>6460</v>
      </c>
      <c r="B1476" t="s">
        <v>3</v>
      </c>
      <c r="C1476">
        <v>1</v>
      </c>
    </row>
    <row r="1477" spans="1:3" x14ac:dyDescent="0.25">
      <c r="A1477" t="s">
        <v>6465</v>
      </c>
      <c r="B1477" t="s">
        <v>3</v>
      </c>
      <c r="C1477">
        <v>1</v>
      </c>
    </row>
    <row r="1478" spans="1:3" x14ac:dyDescent="0.25">
      <c r="A1478" t="s">
        <v>6470</v>
      </c>
      <c r="B1478" t="s">
        <v>3</v>
      </c>
      <c r="C1478">
        <v>1</v>
      </c>
    </row>
    <row r="1479" spans="1:3" x14ac:dyDescent="0.25">
      <c r="A1479" t="s">
        <v>6475</v>
      </c>
      <c r="B1479" t="s">
        <v>3</v>
      </c>
      <c r="C1479">
        <v>1</v>
      </c>
    </row>
    <row r="1480" spans="1:3" x14ac:dyDescent="0.25">
      <c r="A1480" t="s">
        <v>6480</v>
      </c>
      <c r="B1480" t="s">
        <v>3</v>
      </c>
      <c r="C1480">
        <v>1</v>
      </c>
    </row>
    <row r="1481" spans="1:3" x14ac:dyDescent="0.25">
      <c r="A1481" t="s">
        <v>6375</v>
      </c>
      <c r="B1481" t="s">
        <v>3</v>
      </c>
      <c r="C1481">
        <v>1</v>
      </c>
    </row>
    <row r="1482" spans="1:3" x14ac:dyDescent="0.25">
      <c r="A1482" t="s">
        <v>6380</v>
      </c>
      <c r="B1482" t="s">
        <v>3</v>
      </c>
      <c r="C1482">
        <v>1</v>
      </c>
    </row>
    <row r="1483" spans="1:3" x14ac:dyDescent="0.25">
      <c r="A1483" t="s">
        <v>6385</v>
      </c>
      <c r="B1483" t="s">
        <v>3</v>
      </c>
      <c r="C1483">
        <v>1</v>
      </c>
    </row>
    <row r="1484" spans="1:3" x14ac:dyDescent="0.25">
      <c r="A1484" t="s">
        <v>6500</v>
      </c>
      <c r="B1484" t="s">
        <v>3</v>
      </c>
      <c r="C1484">
        <v>1</v>
      </c>
    </row>
    <row r="1485" spans="1:3" x14ac:dyDescent="0.25">
      <c r="A1485" t="s">
        <v>6505</v>
      </c>
      <c r="B1485" t="s">
        <v>3</v>
      </c>
      <c r="C1485">
        <v>1</v>
      </c>
    </row>
    <row r="1486" spans="1:3" x14ac:dyDescent="0.25">
      <c r="A1486" t="s">
        <v>6510</v>
      </c>
      <c r="B1486" t="s">
        <v>3</v>
      </c>
      <c r="C1486">
        <v>1</v>
      </c>
    </row>
    <row r="1487" spans="1:3" x14ac:dyDescent="0.25">
      <c r="A1487" t="s">
        <v>6515</v>
      </c>
      <c r="B1487" t="s">
        <v>3</v>
      </c>
      <c r="C1487">
        <v>1</v>
      </c>
    </row>
    <row r="1488" spans="1:3" x14ac:dyDescent="0.25">
      <c r="A1488" t="s">
        <v>6520</v>
      </c>
      <c r="B1488" t="s">
        <v>3</v>
      </c>
      <c r="C1488">
        <v>1</v>
      </c>
    </row>
    <row r="1489" spans="1:3" x14ac:dyDescent="0.25">
      <c r="A1489" t="s">
        <v>6525</v>
      </c>
      <c r="B1489" t="s">
        <v>3</v>
      </c>
      <c r="C1489">
        <v>1</v>
      </c>
    </row>
    <row r="1490" spans="1:3" x14ac:dyDescent="0.25">
      <c r="A1490" t="s">
        <v>6530</v>
      </c>
      <c r="B1490" t="s">
        <v>3</v>
      </c>
      <c r="C1490">
        <v>1</v>
      </c>
    </row>
    <row r="1491" spans="1:3" x14ac:dyDescent="0.25">
      <c r="A1491" t="s">
        <v>6535</v>
      </c>
      <c r="B1491" t="s">
        <v>3</v>
      </c>
      <c r="C1491">
        <v>1</v>
      </c>
    </row>
    <row r="1492" spans="1:3" x14ac:dyDescent="0.25">
      <c r="A1492" t="s">
        <v>6540</v>
      </c>
      <c r="B1492" t="s">
        <v>3</v>
      </c>
      <c r="C1492">
        <v>1</v>
      </c>
    </row>
    <row r="1493" spans="1:3" x14ac:dyDescent="0.25">
      <c r="A1493" t="s">
        <v>6561</v>
      </c>
      <c r="B1493" t="s">
        <v>3</v>
      </c>
      <c r="C1493">
        <v>1</v>
      </c>
    </row>
    <row r="1494" spans="1:3" x14ac:dyDescent="0.25">
      <c r="A1494" t="s">
        <v>6566</v>
      </c>
      <c r="B1494" t="s">
        <v>3</v>
      </c>
      <c r="C1494">
        <v>1</v>
      </c>
    </row>
    <row r="1495" spans="1:3" x14ac:dyDescent="0.25">
      <c r="A1495" t="s">
        <v>6571</v>
      </c>
      <c r="B1495" t="s">
        <v>3</v>
      </c>
      <c r="C1495">
        <v>1</v>
      </c>
    </row>
    <row r="1496" spans="1:3" x14ac:dyDescent="0.25">
      <c r="A1496" t="s">
        <v>6576</v>
      </c>
      <c r="B1496" t="s">
        <v>3</v>
      </c>
      <c r="C1496">
        <v>1</v>
      </c>
    </row>
    <row r="1497" spans="1:3" x14ac:dyDescent="0.25">
      <c r="A1497" t="s">
        <v>6581</v>
      </c>
      <c r="B1497" t="s">
        <v>3</v>
      </c>
      <c r="C1497">
        <v>1</v>
      </c>
    </row>
    <row r="1498" spans="1:3" x14ac:dyDescent="0.25">
      <c r="A1498" t="s">
        <v>6586</v>
      </c>
      <c r="B1498" t="s">
        <v>3</v>
      </c>
      <c r="C1498">
        <v>1</v>
      </c>
    </row>
    <row r="1499" spans="1:3" x14ac:dyDescent="0.25">
      <c r="A1499" t="s">
        <v>8923</v>
      </c>
      <c r="B1499" t="s">
        <v>11</v>
      </c>
      <c r="C1499">
        <v>1</v>
      </c>
    </row>
    <row r="1500" spans="1:3" x14ac:dyDescent="0.25">
      <c r="A1500" t="s">
        <v>9071</v>
      </c>
      <c r="B1500" t="s">
        <v>11</v>
      </c>
      <c r="C1500">
        <v>1</v>
      </c>
    </row>
    <row r="1501" spans="1:3" x14ac:dyDescent="0.25">
      <c r="A1501" t="s">
        <v>9076</v>
      </c>
      <c r="B1501" t="s">
        <v>11</v>
      </c>
      <c r="C1501">
        <v>1</v>
      </c>
    </row>
    <row r="1502" spans="1:3" x14ac:dyDescent="0.25">
      <c r="A1502" t="s">
        <v>8942</v>
      </c>
      <c r="B1502" t="s">
        <v>11</v>
      </c>
      <c r="C1502">
        <v>1</v>
      </c>
    </row>
    <row r="1503" spans="1:3" x14ac:dyDescent="0.25">
      <c r="A1503" t="s">
        <v>8951</v>
      </c>
      <c r="B1503" t="s">
        <v>11</v>
      </c>
      <c r="C1503">
        <v>1</v>
      </c>
    </row>
    <row r="1504" spans="1:3" x14ac:dyDescent="0.25">
      <c r="A1504" t="s">
        <v>8956</v>
      </c>
      <c r="B1504" t="s">
        <v>11</v>
      </c>
      <c r="C1504">
        <v>1</v>
      </c>
    </row>
    <row r="1505" spans="1:3" x14ac:dyDescent="0.25">
      <c r="A1505" t="s">
        <v>8971</v>
      </c>
      <c r="B1505" t="s">
        <v>11</v>
      </c>
      <c r="C1505">
        <v>1</v>
      </c>
    </row>
    <row r="1506" spans="1:3" x14ac:dyDescent="0.25">
      <c r="A1506" t="s">
        <v>8976</v>
      </c>
      <c r="B1506" t="s">
        <v>11</v>
      </c>
      <c r="C1506">
        <v>1</v>
      </c>
    </row>
    <row r="1507" spans="1:3" x14ac:dyDescent="0.25">
      <c r="A1507" t="s">
        <v>8991</v>
      </c>
      <c r="B1507" t="s">
        <v>11</v>
      </c>
      <c r="C1507">
        <v>1</v>
      </c>
    </row>
    <row r="1508" spans="1:3" x14ac:dyDescent="0.25">
      <c r="A1508" t="s">
        <v>9081</v>
      </c>
      <c r="B1508" t="s">
        <v>11</v>
      </c>
      <c r="C1508">
        <v>1</v>
      </c>
    </row>
    <row r="1509" spans="1:3" x14ac:dyDescent="0.25">
      <c r="A1509" t="s">
        <v>9086</v>
      </c>
      <c r="B1509" t="s">
        <v>11</v>
      </c>
      <c r="C1509">
        <v>1</v>
      </c>
    </row>
    <row r="1510" spans="1:3" x14ac:dyDescent="0.25">
      <c r="A1510" t="s">
        <v>9001</v>
      </c>
      <c r="B1510" t="s">
        <v>11</v>
      </c>
      <c r="C1510">
        <v>1</v>
      </c>
    </row>
    <row r="1511" spans="1:3" x14ac:dyDescent="0.25">
      <c r="A1511" t="s">
        <v>9011</v>
      </c>
      <c r="B1511" t="s">
        <v>11</v>
      </c>
      <c r="C1511">
        <v>1</v>
      </c>
    </row>
    <row r="1512" spans="1:3" x14ac:dyDescent="0.25">
      <c r="A1512" t="s">
        <v>5286</v>
      </c>
      <c r="B1512" t="s">
        <v>2</v>
      </c>
      <c r="C1512">
        <v>1</v>
      </c>
    </row>
    <row r="1513" spans="1:3" x14ac:dyDescent="0.25">
      <c r="A1513" t="s">
        <v>9041</v>
      </c>
      <c r="B1513" t="s">
        <v>11</v>
      </c>
      <c r="C1513">
        <v>1</v>
      </c>
    </row>
    <row r="1514" spans="1:3" x14ac:dyDescent="0.25">
      <c r="A1514" t="s">
        <v>9091</v>
      </c>
      <c r="B1514" t="s">
        <v>11</v>
      </c>
      <c r="C1514">
        <v>1</v>
      </c>
    </row>
    <row r="1515" spans="1:3" x14ac:dyDescent="0.25">
      <c r="A1515" t="s">
        <v>9096</v>
      </c>
      <c r="B1515" t="s">
        <v>11</v>
      </c>
      <c r="C1515">
        <v>1</v>
      </c>
    </row>
    <row r="1516" spans="1:3" x14ac:dyDescent="0.25">
      <c r="A1516" t="s">
        <v>9101</v>
      </c>
      <c r="B1516" t="s">
        <v>11</v>
      </c>
      <c r="C1516">
        <v>1</v>
      </c>
    </row>
    <row r="1517" spans="1:3" x14ac:dyDescent="0.25">
      <c r="A1517" t="s">
        <v>9106</v>
      </c>
      <c r="B1517" t="s">
        <v>11</v>
      </c>
      <c r="C1517">
        <v>1</v>
      </c>
    </row>
    <row r="1518" spans="1:3" x14ac:dyDescent="0.25">
      <c r="A1518" t="s">
        <v>9111</v>
      </c>
      <c r="B1518" t="s">
        <v>11</v>
      </c>
      <c r="C1518">
        <v>1</v>
      </c>
    </row>
    <row r="1519" spans="1:3" x14ac:dyDescent="0.25">
      <c r="A1519" t="s">
        <v>9054</v>
      </c>
      <c r="B1519" t="s">
        <v>11</v>
      </c>
      <c r="C1519">
        <v>1</v>
      </c>
    </row>
    <row r="1520" spans="1:3" x14ac:dyDescent="0.25">
      <c r="A1520" t="s">
        <v>8157</v>
      </c>
      <c r="B1520" t="s">
        <v>7862</v>
      </c>
      <c r="C1520">
        <v>1</v>
      </c>
    </row>
    <row r="1521" spans="1:3" x14ac:dyDescent="0.25">
      <c r="A1521" t="s">
        <v>8325</v>
      </c>
      <c r="B1521" t="s">
        <v>8182</v>
      </c>
      <c r="C1521">
        <v>1</v>
      </c>
    </row>
    <row r="1522" spans="1:3" x14ac:dyDescent="0.25">
      <c r="A1522" t="s">
        <v>8231</v>
      </c>
      <c r="B1522" t="s">
        <v>8182</v>
      </c>
      <c r="C1522">
        <v>1</v>
      </c>
    </row>
    <row r="1523" spans="1:3" x14ac:dyDescent="0.25">
      <c r="A1523" t="s">
        <v>8236</v>
      </c>
      <c r="B1523" t="s">
        <v>8182</v>
      </c>
      <c r="C1523">
        <v>1</v>
      </c>
    </row>
    <row r="1524" spans="1:3" x14ac:dyDescent="0.25">
      <c r="A1524" t="s">
        <v>8374</v>
      </c>
      <c r="B1524" t="s">
        <v>8182</v>
      </c>
      <c r="C1524">
        <v>1</v>
      </c>
    </row>
    <row r="1525" spans="1:3" x14ac:dyDescent="0.25">
      <c r="A1525" t="s">
        <v>8379</v>
      </c>
      <c r="B1525" t="s">
        <v>8182</v>
      </c>
      <c r="C1525">
        <v>1</v>
      </c>
    </row>
    <row r="1526" spans="1:3" x14ac:dyDescent="0.25">
      <c r="A1526" t="s">
        <v>8384</v>
      </c>
      <c r="B1526" t="s">
        <v>8182</v>
      </c>
      <c r="C1526">
        <v>1</v>
      </c>
    </row>
    <row r="1527" spans="1:3" x14ac:dyDescent="0.25">
      <c r="A1527" t="s">
        <v>8389</v>
      </c>
      <c r="B1527" t="s">
        <v>8182</v>
      </c>
      <c r="C1527">
        <v>1</v>
      </c>
    </row>
    <row r="1528" spans="1:3" x14ac:dyDescent="0.25">
      <c r="A1528" t="s">
        <v>8394</v>
      </c>
      <c r="B1528" t="s">
        <v>8182</v>
      </c>
      <c r="C1528">
        <v>1</v>
      </c>
    </row>
    <row r="1529" spans="1:3" x14ac:dyDescent="0.25">
      <c r="A1529" t="s">
        <v>8399</v>
      </c>
      <c r="B1529" t="s">
        <v>8182</v>
      </c>
      <c r="C1529">
        <v>1</v>
      </c>
    </row>
    <row r="1530" spans="1:3" x14ac:dyDescent="0.25">
      <c r="A1530" t="s">
        <v>8404</v>
      </c>
      <c r="B1530" t="s">
        <v>8182</v>
      </c>
      <c r="C1530">
        <v>1</v>
      </c>
    </row>
    <row r="1531" spans="1:3" x14ac:dyDescent="0.25">
      <c r="A1531" t="s">
        <v>8409</v>
      </c>
      <c r="B1531" t="s">
        <v>8182</v>
      </c>
      <c r="C1531">
        <v>1</v>
      </c>
    </row>
    <row r="1532" spans="1:3" x14ac:dyDescent="0.25">
      <c r="A1532" t="s">
        <v>8414</v>
      </c>
      <c r="B1532" t="s">
        <v>8182</v>
      </c>
      <c r="C1532">
        <v>1</v>
      </c>
    </row>
    <row r="1533" spans="1:3" x14ac:dyDescent="0.25">
      <c r="A1533" t="s">
        <v>8419</v>
      </c>
      <c r="B1533" t="s">
        <v>8182</v>
      </c>
      <c r="C1533">
        <v>1</v>
      </c>
    </row>
    <row r="1534" spans="1:3" x14ac:dyDescent="0.25">
      <c r="A1534" t="s">
        <v>8424</v>
      </c>
      <c r="B1534" t="s">
        <v>8182</v>
      </c>
      <c r="C1534">
        <v>1</v>
      </c>
    </row>
    <row r="1535" spans="1:3" x14ac:dyDescent="0.25">
      <c r="A1535" t="s">
        <v>8429</v>
      </c>
      <c r="B1535" t="s">
        <v>8182</v>
      </c>
      <c r="C1535">
        <v>1</v>
      </c>
    </row>
    <row r="1536" spans="1:3" x14ac:dyDescent="0.25">
      <c r="A1536" t="s">
        <v>8434</v>
      </c>
      <c r="B1536" t="s">
        <v>8182</v>
      </c>
      <c r="C1536">
        <v>1</v>
      </c>
    </row>
    <row r="1537" spans="1:3" x14ac:dyDescent="0.25">
      <c r="A1537" t="s">
        <v>8439</v>
      </c>
      <c r="B1537" t="s">
        <v>8182</v>
      </c>
      <c r="C1537">
        <v>1</v>
      </c>
    </row>
    <row r="1538" spans="1:3" x14ac:dyDescent="0.25">
      <c r="A1538" t="s">
        <v>8444</v>
      </c>
      <c r="B1538" t="s">
        <v>8182</v>
      </c>
      <c r="C1538">
        <v>1</v>
      </c>
    </row>
    <row r="1539" spans="1:3" x14ac:dyDescent="0.25">
      <c r="A1539" t="s">
        <v>8504</v>
      </c>
      <c r="B1539" t="s">
        <v>8182</v>
      </c>
      <c r="C1539">
        <v>1</v>
      </c>
    </row>
    <row r="1540" spans="1:3" x14ac:dyDescent="0.25">
      <c r="A1540" t="s">
        <v>8519</v>
      </c>
      <c r="B1540" t="s">
        <v>8182</v>
      </c>
      <c r="C1540">
        <v>1</v>
      </c>
    </row>
    <row r="1541" spans="1:3" x14ac:dyDescent="0.25">
      <c r="A1541" t="s">
        <v>8532</v>
      </c>
      <c r="B1541" t="s">
        <v>8182</v>
      </c>
      <c r="C1541">
        <v>1</v>
      </c>
    </row>
    <row r="1542" spans="1:3" x14ac:dyDescent="0.25">
      <c r="A1542" t="s">
        <v>8537</v>
      </c>
      <c r="B1542" t="s">
        <v>8182</v>
      </c>
      <c r="C1542">
        <v>1</v>
      </c>
    </row>
    <row r="1543" spans="1:3" x14ac:dyDescent="0.25">
      <c r="A1543" t="s">
        <v>8180</v>
      </c>
      <c r="B1543" t="s">
        <v>7862</v>
      </c>
      <c r="C1543">
        <v>1</v>
      </c>
    </row>
    <row r="1544" spans="1:3" x14ac:dyDescent="0.25">
      <c r="A1544" t="s">
        <v>8568</v>
      </c>
      <c r="B1544" t="s">
        <v>8182</v>
      </c>
      <c r="C1544">
        <v>1</v>
      </c>
    </row>
    <row r="1545" spans="1:3" x14ac:dyDescent="0.25">
      <c r="A1545" t="s">
        <v>8573</v>
      </c>
      <c r="B1545" t="s">
        <v>8182</v>
      </c>
      <c r="C1545">
        <v>1</v>
      </c>
    </row>
    <row r="1546" spans="1:3" x14ac:dyDescent="0.25">
      <c r="A1546" t="s">
        <v>8578</v>
      </c>
      <c r="B1546" t="s">
        <v>8182</v>
      </c>
      <c r="C1546">
        <v>1</v>
      </c>
    </row>
    <row r="1547" spans="1:3" x14ac:dyDescent="0.25">
      <c r="A1547" t="s">
        <v>8604</v>
      </c>
      <c r="B1547" t="s">
        <v>8182</v>
      </c>
      <c r="C1547">
        <v>1</v>
      </c>
    </row>
    <row r="1548" spans="1:3" x14ac:dyDescent="0.25">
      <c r="A1548" t="s">
        <v>8609</v>
      </c>
      <c r="B1548" t="s">
        <v>8182</v>
      </c>
      <c r="C1548">
        <v>1</v>
      </c>
    </row>
    <row r="1549" spans="1:3" x14ac:dyDescent="0.25">
      <c r="A1549" t="s">
        <v>8633</v>
      </c>
      <c r="B1549" t="s">
        <v>8182</v>
      </c>
      <c r="C1549">
        <v>1</v>
      </c>
    </row>
    <row r="1550" spans="1:3" x14ac:dyDescent="0.25">
      <c r="A1550" t="s">
        <v>8648</v>
      </c>
      <c r="B1550" t="s">
        <v>8182</v>
      </c>
      <c r="C1550">
        <v>1</v>
      </c>
    </row>
    <row r="1551" spans="1:3" x14ac:dyDescent="0.25">
      <c r="A1551" t="s">
        <v>8653</v>
      </c>
      <c r="B1551" t="s">
        <v>8182</v>
      </c>
      <c r="C1551">
        <v>1</v>
      </c>
    </row>
    <row r="1552" spans="1:3" x14ac:dyDescent="0.25">
      <c r="A1552" t="s">
        <v>8685</v>
      </c>
      <c r="B1552" t="s">
        <v>8182</v>
      </c>
      <c r="C1552">
        <v>1</v>
      </c>
    </row>
    <row r="1553" spans="1:3" x14ac:dyDescent="0.25">
      <c r="A1553" t="s">
        <v>8690</v>
      </c>
      <c r="B1553" t="s">
        <v>8182</v>
      </c>
      <c r="C1553">
        <v>1</v>
      </c>
    </row>
    <row r="1554" spans="1:3" x14ac:dyDescent="0.25">
      <c r="A1554" t="s">
        <v>8695</v>
      </c>
      <c r="B1554" t="s">
        <v>8182</v>
      </c>
      <c r="C1554">
        <v>1</v>
      </c>
    </row>
    <row r="1555" spans="1:3" x14ac:dyDescent="0.25">
      <c r="A1555" t="s">
        <v>8700</v>
      </c>
      <c r="B1555" t="s">
        <v>8182</v>
      </c>
      <c r="C1555">
        <v>1</v>
      </c>
    </row>
    <row r="1556" spans="1:3" x14ac:dyDescent="0.25">
      <c r="A1556" t="s">
        <v>8725</v>
      </c>
      <c r="B1556" t="s">
        <v>8182</v>
      </c>
      <c r="C1556">
        <v>1</v>
      </c>
    </row>
    <row r="1557" spans="1:3" x14ac:dyDescent="0.25">
      <c r="A1557" t="s">
        <v>11882</v>
      </c>
      <c r="B1557" t="s">
        <v>11145</v>
      </c>
      <c r="C1557">
        <v>1</v>
      </c>
    </row>
    <row r="1558" spans="1:3" x14ac:dyDescent="0.25">
      <c r="A1558" t="s">
        <v>11947</v>
      </c>
      <c r="B1558" t="s">
        <v>11145</v>
      </c>
      <c r="C1558">
        <v>1</v>
      </c>
    </row>
    <row r="1559" spans="1:3" x14ac:dyDescent="0.25">
      <c r="A1559" t="s">
        <v>11952</v>
      </c>
      <c r="B1559" t="s">
        <v>11145</v>
      </c>
      <c r="C1559">
        <v>1</v>
      </c>
    </row>
    <row r="1560" spans="1:3" x14ac:dyDescent="0.25">
      <c r="A1560" t="s">
        <v>7407</v>
      </c>
      <c r="B1560" t="s">
        <v>7008</v>
      </c>
      <c r="C1560">
        <v>1</v>
      </c>
    </row>
    <row r="1561" spans="1:3" x14ac:dyDescent="0.25">
      <c r="A1561" t="s">
        <v>7412</v>
      </c>
      <c r="B1561" t="s">
        <v>7008</v>
      </c>
      <c r="C1561">
        <v>1</v>
      </c>
    </row>
    <row r="1562" spans="1:3" x14ac:dyDescent="0.25">
      <c r="A1562" t="s">
        <v>7417</v>
      </c>
      <c r="B1562" t="s">
        <v>7008</v>
      </c>
      <c r="C1562">
        <v>1</v>
      </c>
    </row>
    <row r="1563" spans="1:3" x14ac:dyDescent="0.25">
      <c r="A1563" t="s">
        <v>7422</v>
      </c>
      <c r="B1563" t="s">
        <v>7008</v>
      </c>
      <c r="C1563">
        <v>1</v>
      </c>
    </row>
    <row r="1564" spans="1:3" x14ac:dyDescent="0.25">
      <c r="A1564" t="s">
        <v>7427</v>
      </c>
      <c r="B1564" t="s">
        <v>7008</v>
      </c>
      <c r="C1564">
        <v>1</v>
      </c>
    </row>
    <row r="1565" spans="1:3" x14ac:dyDescent="0.25">
      <c r="A1565" t="s">
        <v>7587</v>
      </c>
      <c r="B1565" t="s">
        <v>7008</v>
      </c>
      <c r="C1565">
        <v>1</v>
      </c>
    </row>
    <row r="1566" spans="1:3" x14ac:dyDescent="0.25">
      <c r="A1566" t="s">
        <v>7446</v>
      </c>
      <c r="B1566" t="s">
        <v>7008</v>
      </c>
      <c r="C1566">
        <v>1</v>
      </c>
    </row>
    <row r="1567" spans="1:3" x14ac:dyDescent="0.25">
      <c r="A1567" t="s">
        <v>7451</v>
      </c>
      <c r="B1567" t="s">
        <v>7008</v>
      </c>
      <c r="C1567">
        <v>1</v>
      </c>
    </row>
    <row r="1568" spans="1:3" x14ac:dyDescent="0.25">
      <c r="A1568" t="s">
        <v>7456</v>
      </c>
      <c r="B1568" t="s">
        <v>7008</v>
      </c>
      <c r="C1568">
        <v>1</v>
      </c>
    </row>
    <row r="1569" spans="1:3" x14ac:dyDescent="0.25">
      <c r="A1569" t="s">
        <v>7461</v>
      </c>
      <c r="B1569" t="s">
        <v>7008</v>
      </c>
      <c r="C1569">
        <v>1</v>
      </c>
    </row>
    <row r="1570" spans="1:3" x14ac:dyDescent="0.25">
      <c r="A1570" t="s">
        <v>7478</v>
      </c>
      <c r="B1570" t="s">
        <v>7008</v>
      </c>
      <c r="C1570">
        <v>1</v>
      </c>
    </row>
    <row r="1571" spans="1:3" x14ac:dyDescent="0.25">
      <c r="A1571" t="s">
        <v>7483</v>
      </c>
      <c r="B1571" t="s">
        <v>7008</v>
      </c>
      <c r="C1571">
        <v>1</v>
      </c>
    </row>
    <row r="1572" spans="1:3" x14ac:dyDescent="0.25">
      <c r="A1572" t="s">
        <v>7488</v>
      </c>
      <c r="B1572" t="s">
        <v>7008</v>
      </c>
      <c r="C1572">
        <v>1</v>
      </c>
    </row>
    <row r="1573" spans="1:3" x14ac:dyDescent="0.25">
      <c r="A1573" t="s">
        <v>7493</v>
      </c>
      <c r="B1573" t="s">
        <v>7008</v>
      </c>
      <c r="C1573">
        <v>1</v>
      </c>
    </row>
    <row r="1574" spans="1:3" x14ac:dyDescent="0.25">
      <c r="A1574" t="s">
        <v>7498</v>
      </c>
      <c r="B1574" t="s">
        <v>7008</v>
      </c>
      <c r="C1574">
        <v>1</v>
      </c>
    </row>
    <row r="1575" spans="1:3" x14ac:dyDescent="0.25">
      <c r="A1575" t="s">
        <v>7511</v>
      </c>
      <c r="B1575" t="s">
        <v>7008</v>
      </c>
      <c r="C1575">
        <v>1</v>
      </c>
    </row>
    <row r="1576" spans="1:3" x14ac:dyDescent="0.25">
      <c r="A1576" t="s">
        <v>7516</v>
      </c>
      <c r="B1576" t="s">
        <v>7008</v>
      </c>
      <c r="C1576">
        <v>1</v>
      </c>
    </row>
    <row r="1577" spans="1:3" x14ac:dyDescent="0.25">
      <c r="A1577" t="s">
        <v>7520</v>
      </c>
      <c r="B1577" t="s">
        <v>7008</v>
      </c>
      <c r="C1577">
        <v>1</v>
      </c>
    </row>
    <row r="1578" spans="1:3" x14ac:dyDescent="0.25">
      <c r="A1578" t="s">
        <v>7541</v>
      </c>
      <c r="B1578" t="s">
        <v>7008</v>
      </c>
      <c r="C1578">
        <v>1</v>
      </c>
    </row>
    <row r="1579" spans="1:3" x14ac:dyDescent="0.25">
      <c r="A1579" t="s">
        <v>7545</v>
      </c>
      <c r="B1579" t="s">
        <v>7008</v>
      </c>
      <c r="C1579">
        <v>1</v>
      </c>
    </row>
    <row r="1580" spans="1:3" x14ac:dyDescent="0.25">
      <c r="A1580" t="s">
        <v>7566</v>
      </c>
      <c r="B1580" t="s">
        <v>7008</v>
      </c>
      <c r="C1580">
        <v>1</v>
      </c>
    </row>
    <row r="1581" spans="1:3" x14ac:dyDescent="0.25">
      <c r="A1581" t="s">
        <v>10673</v>
      </c>
      <c r="B1581" t="s">
        <v>9690</v>
      </c>
      <c r="C1581">
        <v>1</v>
      </c>
    </row>
    <row r="1582" spans="1:3" x14ac:dyDescent="0.25">
      <c r="A1582" t="s">
        <v>10679</v>
      </c>
      <c r="B1582" t="s">
        <v>9690</v>
      </c>
      <c r="C1582">
        <v>1</v>
      </c>
    </row>
    <row r="1583" spans="1:3" x14ac:dyDescent="0.25">
      <c r="A1583" t="s">
        <v>10702</v>
      </c>
      <c r="B1583" t="s">
        <v>9690</v>
      </c>
      <c r="C1583">
        <v>1</v>
      </c>
    </row>
    <row r="1584" spans="1:3" x14ac:dyDescent="0.25">
      <c r="A1584" t="s">
        <v>10707</v>
      </c>
      <c r="B1584" t="s">
        <v>9690</v>
      </c>
      <c r="C1584">
        <v>1</v>
      </c>
    </row>
    <row r="1585" spans="1:3" x14ac:dyDescent="0.25">
      <c r="A1585" t="s">
        <v>10712</v>
      </c>
      <c r="B1585" t="s">
        <v>9690</v>
      </c>
      <c r="C1585">
        <v>1</v>
      </c>
    </row>
    <row r="1586" spans="1:3" x14ac:dyDescent="0.25">
      <c r="A1586" t="s">
        <v>10717</v>
      </c>
      <c r="B1586" t="s">
        <v>9690</v>
      </c>
      <c r="C1586">
        <v>1</v>
      </c>
    </row>
    <row r="1587" spans="1:3" x14ac:dyDescent="0.25">
      <c r="A1587" t="s">
        <v>10745</v>
      </c>
      <c r="B1587" t="s">
        <v>9690</v>
      </c>
      <c r="C1587">
        <v>1</v>
      </c>
    </row>
    <row r="1588" spans="1:3" x14ac:dyDescent="0.25">
      <c r="A1588" t="s">
        <v>10750</v>
      </c>
      <c r="B1588" t="s">
        <v>9690</v>
      </c>
      <c r="C1588">
        <v>1</v>
      </c>
    </row>
    <row r="1589" spans="1:3" x14ac:dyDescent="0.25">
      <c r="A1589" t="s">
        <v>10755</v>
      </c>
      <c r="B1589" t="s">
        <v>9690</v>
      </c>
      <c r="C1589">
        <v>1</v>
      </c>
    </row>
    <row r="1590" spans="1:3" x14ac:dyDescent="0.25">
      <c r="A1590" t="s">
        <v>10760</v>
      </c>
      <c r="B1590" t="s">
        <v>9690</v>
      </c>
      <c r="C1590">
        <v>1</v>
      </c>
    </row>
    <row r="1591" spans="1:3" x14ac:dyDescent="0.25">
      <c r="A1591" t="s">
        <v>10797</v>
      </c>
      <c r="B1591" t="s">
        <v>9690</v>
      </c>
      <c r="C1591">
        <v>1</v>
      </c>
    </row>
    <row r="1592" spans="1:3" x14ac:dyDescent="0.25">
      <c r="A1592" t="s">
        <v>10802</v>
      </c>
      <c r="B1592" t="s">
        <v>9690</v>
      </c>
      <c r="C1592">
        <v>1</v>
      </c>
    </row>
    <row r="1593" spans="1:3" x14ac:dyDescent="0.25">
      <c r="A1593" t="s">
        <v>11068</v>
      </c>
      <c r="B1593" t="s">
        <v>10806</v>
      </c>
      <c r="C1593">
        <v>1</v>
      </c>
    </row>
    <row r="1594" spans="1:3" x14ac:dyDescent="0.25">
      <c r="A1594" t="s">
        <v>11073</v>
      </c>
      <c r="B1594" t="s">
        <v>10806</v>
      </c>
      <c r="C1594">
        <v>1</v>
      </c>
    </row>
    <row r="1595" spans="1:3" x14ac:dyDescent="0.25">
      <c r="A1595" t="s">
        <v>11128</v>
      </c>
      <c r="B1595" t="s">
        <v>10806</v>
      </c>
      <c r="C1595">
        <v>1</v>
      </c>
    </row>
    <row r="1596" spans="1:3" x14ac:dyDescent="0.25">
      <c r="A1596" t="s">
        <v>6207</v>
      </c>
      <c r="B1596" t="s">
        <v>3</v>
      </c>
      <c r="C1596">
        <v>1</v>
      </c>
    </row>
    <row r="1597" spans="1:3" x14ac:dyDescent="0.25">
      <c r="A1597" t="s">
        <v>6212</v>
      </c>
      <c r="B1597" t="s">
        <v>3</v>
      </c>
      <c r="C1597">
        <v>1</v>
      </c>
    </row>
    <row r="1598" spans="1:3" x14ac:dyDescent="0.25">
      <c r="A1598" t="s">
        <v>6215</v>
      </c>
      <c r="B1598" t="s">
        <v>3</v>
      </c>
      <c r="C1598">
        <v>1</v>
      </c>
    </row>
    <row r="1599" spans="1:3" x14ac:dyDescent="0.25">
      <c r="A1599" t="s">
        <v>6219</v>
      </c>
      <c r="B1599" t="s">
        <v>3</v>
      </c>
      <c r="C1599">
        <v>1</v>
      </c>
    </row>
    <row r="1600" spans="1:3" x14ac:dyDescent="0.25">
      <c r="A1600" t="s">
        <v>6705</v>
      </c>
      <c r="B1600" t="s">
        <v>3</v>
      </c>
      <c r="C1600">
        <v>1</v>
      </c>
    </row>
    <row r="1601" spans="1:3" x14ac:dyDescent="0.25">
      <c r="A1601" t="s">
        <v>6084</v>
      </c>
      <c r="B1601" t="s">
        <v>3</v>
      </c>
      <c r="C1601">
        <v>1</v>
      </c>
    </row>
    <row r="1602" spans="1:3" x14ac:dyDescent="0.25">
      <c r="A1602" t="s">
        <v>6089</v>
      </c>
      <c r="B1602" t="s">
        <v>3</v>
      </c>
      <c r="C1602">
        <v>1</v>
      </c>
    </row>
    <row r="1603" spans="1:3" x14ac:dyDescent="0.25">
      <c r="A1603" t="s">
        <v>6095</v>
      </c>
      <c r="B1603" t="s">
        <v>3</v>
      </c>
      <c r="C1603">
        <v>1</v>
      </c>
    </row>
    <row r="1604" spans="1:3" x14ac:dyDescent="0.25">
      <c r="A1604" t="s">
        <v>6100</v>
      </c>
      <c r="B1604" t="s">
        <v>3</v>
      </c>
      <c r="C1604">
        <v>1</v>
      </c>
    </row>
    <row r="1605" spans="1:3" x14ac:dyDescent="0.25">
      <c r="A1605" t="s">
        <v>6113</v>
      </c>
      <c r="B1605" t="s">
        <v>3</v>
      </c>
      <c r="C1605">
        <v>1</v>
      </c>
    </row>
    <row r="1606" spans="1:3" x14ac:dyDescent="0.25">
      <c r="A1606" t="s">
        <v>6118</v>
      </c>
      <c r="B1606" t="s">
        <v>3</v>
      </c>
      <c r="C1606">
        <v>1</v>
      </c>
    </row>
    <row r="1607" spans="1:3" x14ac:dyDescent="0.25">
      <c r="A1607" t="s">
        <v>6123</v>
      </c>
      <c r="B1607" t="s">
        <v>3</v>
      </c>
      <c r="C1607">
        <v>1</v>
      </c>
    </row>
    <row r="1608" spans="1:3" x14ac:dyDescent="0.25">
      <c r="A1608" t="s">
        <v>6128</v>
      </c>
      <c r="B1608" t="s">
        <v>3</v>
      </c>
      <c r="C1608">
        <v>1</v>
      </c>
    </row>
    <row r="1609" spans="1:3" x14ac:dyDescent="0.25">
      <c r="A1609" t="s">
        <v>6133</v>
      </c>
      <c r="B1609" t="s">
        <v>3</v>
      </c>
      <c r="C1609">
        <v>1</v>
      </c>
    </row>
    <row r="1610" spans="1:3" x14ac:dyDescent="0.25">
      <c r="A1610" t="s">
        <v>6061</v>
      </c>
      <c r="B1610" t="s">
        <v>3</v>
      </c>
      <c r="C1610">
        <v>1</v>
      </c>
    </row>
    <row r="1611" spans="1:3" x14ac:dyDescent="0.25">
      <c r="A1611" t="s">
        <v>6066</v>
      </c>
      <c r="B1611" t="s">
        <v>3</v>
      </c>
      <c r="C1611">
        <v>1</v>
      </c>
    </row>
    <row r="1612" spans="1:3" x14ac:dyDescent="0.25">
      <c r="A1612" t="s">
        <v>6071</v>
      </c>
      <c r="B1612" t="s">
        <v>3</v>
      </c>
      <c r="C1612">
        <v>1</v>
      </c>
    </row>
    <row r="1613" spans="1:3" x14ac:dyDescent="0.25">
      <c r="A1613" t="s">
        <v>6029</v>
      </c>
      <c r="B1613" t="s">
        <v>3</v>
      </c>
      <c r="C1613">
        <v>1</v>
      </c>
    </row>
    <row r="1614" spans="1:3" x14ac:dyDescent="0.25">
      <c r="A1614" t="s">
        <v>6034</v>
      </c>
      <c r="B1614" t="s">
        <v>3</v>
      </c>
      <c r="C1614">
        <v>1</v>
      </c>
    </row>
    <row r="1615" spans="1:3" x14ac:dyDescent="0.25">
      <c r="A1615" t="s">
        <v>6039</v>
      </c>
      <c r="B1615" t="s">
        <v>3</v>
      </c>
      <c r="C1615">
        <v>1</v>
      </c>
    </row>
    <row r="1616" spans="1:3" x14ac:dyDescent="0.25">
      <c r="A1616" t="s">
        <v>6044</v>
      </c>
      <c r="B1616" t="s">
        <v>3</v>
      </c>
      <c r="C1616">
        <v>1</v>
      </c>
    </row>
    <row r="1617" spans="1:3" x14ac:dyDescent="0.25">
      <c r="A1617" t="s">
        <v>6146</v>
      </c>
      <c r="B1617" t="s">
        <v>3</v>
      </c>
      <c r="C1617">
        <v>1</v>
      </c>
    </row>
    <row r="1618" spans="1:3" x14ac:dyDescent="0.25">
      <c r="A1618" t="s">
        <v>6151</v>
      </c>
      <c r="B1618" t="s">
        <v>3</v>
      </c>
      <c r="C1618">
        <v>1</v>
      </c>
    </row>
    <row r="1619" spans="1:3" x14ac:dyDescent="0.25">
      <c r="A1619" t="s">
        <v>6156</v>
      </c>
      <c r="B1619" t="s">
        <v>3</v>
      </c>
      <c r="C1619">
        <v>1</v>
      </c>
    </row>
    <row r="1620" spans="1:3" x14ac:dyDescent="0.25">
      <c r="A1620" t="s">
        <v>6161</v>
      </c>
      <c r="B1620" t="s">
        <v>3</v>
      </c>
      <c r="C1620">
        <v>1</v>
      </c>
    </row>
    <row r="1621" spans="1:3" x14ac:dyDescent="0.25">
      <c r="A1621" t="s">
        <v>6222</v>
      </c>
      <c r="B1621" t="s">
        <v>3</v>
      </c>
      <c r="C1621">
        <v>1</v>
      </c>
    </row>
    <row r="1622" spans="1:3" x14ac:dyDescent="0.25">
      <c r="A1622" t="s">
        <v>6174</v>
      </c>
      <c r="B1622" t="s">
        <v>3</v>
      </c>
      <c r="C1622">
        <v>1</v>
      </c>
    </row>
    <row r="1623" spans="1:3" x14ac:dyDescent="0.25">
      <c r="A1623" t="s">
        <v>6179</v>
      </c>
      <c r="B1623" t="s">
        <v>3</v>
      </c>
      <c r="C1623">
        <v>1</v>
      </c>
    </row>
    <row r="1624" spans="1:3" x14ac:dyDescent="0.25">
      <c r="A1624" t="s">
        <v>6184</v>
      </c>
      <c r="B1624" t="s">
        <v>3</v>
      </c>
      <c r="C1624">
        <v>1</v>
      </c>
    </row>
    <row r="1625" spans="1:3" x14ac:dyDescent="0.25">
      <c r="A1625" t="s">
        <v>6189</v>
      </c>
      <c r="B1625" t="s">
        <v>3</v>
      </c>
      <c r="C1625">
        <v>1</v>
      </c>
    </row>
    <row r="1626" spans="1:3" x14ac:dyDescent="0.25">
      <c r="A1626" t="s">
        <v>6194</v>
      </c>
      <c r="B1626" t="s">
        <v>3</v>
      </c>
      <c r="C1626">
        <v>1</v>
      </c>
    </row>
    <row r="1627" spans="1:3" x14ac:dyDescent="0.25">
      <c r="A1627" t="s">
        <v>6718</v>
      </c>
      <c r="B1627" t="s">
        <v>3</v>
      </c>
      <c r="C1627">
        <v>1</v>
      </c>
    </row>
    <row r="1628" spans="1:3" x14ac:dyDescent="0.25">
      <c r="A1628" t="s">
        <v>6724</v>
      </c>
      <c r="B1628" t="s">
        <v>3</v>
      </c>
      <c r="C1628">
        <v>1</v>
      </c>
    </row>
    <row r="1629" spans="1:3" x14ac:dyDescent="0.25">
      <c r="A1629" t="s">
        <v>6729</v>
      </c>
      <c r="B1629" t="s">
        <v>3</v>
      </c>
      <c r="C1629">
        <v>1</v>
      </c>
    </row>
    <row r="1630" spans="1:3" x14ac:dyDescent="0.25">
      <c r="A1630" t="s">
        <v>6734</v>
      </c>
      <c r="B1630" t="s">
        <v>3</v>
      </c>
      <c r="C1630">
        <v>1</v>
      </c>
    </row>
    <row r="1631" spans="1:3" x14ac:dyDescent="0.25">
      <c r="A1631" t="s">
        <v>6747</v>
      </c>
      <c r="B1631" t="s">
        <v>3</v>
      </c>
      <c r="C1631">
        <v>1</v>
      </c>
    </row>
    <row r="1632" spans="1:3" x14ac:dyDescent="0.25">
      <c r="A1632" t="s">
        <v>6752</v>
      </c>
      <c r="B1632" t="s">
        <v>3</v>
      </c>
      <c r="C1632">
        <v>1</v>
      </c>
    </row>
    <row r="1633" spans="1:3" x14ac:dyDescent="0.25">
      <c r="A1633" t="s">
        <v>6757</v>
      </c>
      <c r="B1633" t="s">
        <v>3</v>
      </c>
      <c r="C1633">
        <v>1</v>
      </c>
    </row>
    <row r="1634" spans="1:3" x14ac:dyDescent="0.25">
      <c r="A1634" t="s">
        <v>6762</v>
      </c>
      <c r="B1634" t="s">
        <v>3</v>
      </c>
      <c r="C1634">
        <v>1</v>
      </c>
    </row>
    <row r="1635" spans="1:3" x14ac:dyDescent="0.25">
      <c r="A1635" t="s">
        <v>6767</v>
      </c>
      <c r="B1635" t="s">
        <v>3</v>
      </c>
      <c r="C1635">
        <v>1</v>
      </c>
    </row>
    <row r="1636" spans="1:3" x14ac:dyDescent="0.25">
      <c r="A1636" t="s">
        <v>7792</v>
      </c>
      <c r="B1636" t="s">
        <v>7616</v>
      </c>
      <c r="C1636">
        <v>1</v>
      </c>
    </row>
    <row r="1637" spans="1:3" x14ac:dyDescent="0.25">
      <c r="A1637" t="s">
        <v>7796</v>
      </c>
      <c r="B1637" t="s">
        <v>7616</v>
      </c>
      <c r="C1637">
        <v>1</v>
      </c>
    </row>
    <row r="1638" spans="1:3" x14ac:dyDescent="0.25">
      <c r="A1638" t="s">
        <v>7800</v>
      </c>
      <c r="B1638" t="s">
        <v>7616</v>
      </c>
      <c r="C1638">
        <v>1</v>
      </c>
    </row>
    <row r="1639" spans="1:3" x14ac:dyDescent="0.25">
      <c r="A1639" t="s">
        <v>7804</v>
      </c>
      <c r="B1639" t="s">
        <v>7616</v>
      </c>
      <c r="C1639">
        <v>1</v>
      </c>
    </row>
    <row r="1640" spans="1:3" x14ac:dyDescent="0.25">
      <c r="A1640" t="s">
        <v>7808</v>
      </c>
      <c r="B1640" t="s">
        <v>7616</v>
      </c>
      <c r="C1640">
        <v>1</v>
      </c>
    </row>
    <row r="1641" spans="1:3" x14ac:dyDescent="0.25">
      <c r="A1641" t="s">
        <v>7816</v>
      </c>
      <c r="B1641" t="s">
        <v>7616</v>
      </c>
      <c r="C1641">
        <v>1</v>
      </c>
    </row>
    <row r="1642" spans="1:3" x14ac:dyDescent="0.25">
      <c r="A1642" t="s">
        <v>7858</v>
      </c>
      <c r="B1642" t="s">
        <v>7616</v>
      </c>
      <c r="C1642">
        <v>1</v>
      </c>
    </row>
    <row r="1643" spans="1:3" x14ac:dyDescent="0.25">
      <c r="A1643" t="s">
        <v>8449</v>
      </c>
      <c r="B1643" t="s">
        <v>8182</v>
      </c>
      <c r="C1643">
        <v>1</v>
      </c>
    </row>
    <row r="1644" spans="1:3" x14ac:dyDescent="0.25">
      <c r="A1644" t="s">
        <v>6869</v>
      </c>
      <c r="B1644" t="s">
        <v>3</v>
      </c>
      <c r="C1644">
        <v>1</v>
      </c>
    </row>
    <row r="1645" spans="1:3" x14ac:dyDescent="0.25">
      <c r="A1645" t="s">
        <v>8241</v>
      </c>
      <c r="B1645" t="s">
        <v>8182</v>
      </c>
      <c r="C1645">
        <v>1</v>
      </c>
    </row>
    <row r="1646" spans="1:3" x14ac:dyDescent="0.25">
      <c r="A1646" t="s">
        <v>8246</v>
      </c>
      <c r="B1646" t="s">
        <v>8182</v>
      </c>
      <c r="C1646">
        <v>1</v>
      </c>
    </row>
    <row r="1647" spans="1:3" x14ac:dyDescent="0.25">
      <c r="A1647" t="s">
        <v>6252</v>
      </c>
      <c r="B1647" t="s">
        <v>3</v>
      </c>
      <c r="C1647">
        <v>1</v>
      </c>
    </row>
    <row r="1648" spans="1:3" x14ac:dyDescent="0.25">
      <c r="A1648" t="s">
        <v>7820</v>
      </c>
      <c r="B1648" t="s">
        <v>7616</v>
      </c>
      <c r="C1648">
        <v>1</v>
      </c>
    </row>
    <row r="1649" spans="1:3" x14ac:dyDescent="0.25">
      <c r="A1649" t="s">
        <v>7824</v>
      </c>
      <c r="B1649" t="s">
        <v>7616</v>
      </c>
      <c r="C1649">
        <v>1</v>
      </c>
    </row>
    <row r="1650" spans="1:3" x14ac:dyDescent="0.25">
      <c r="A1650" t="s">
        <v>8141</v>
      </c>
      <c r="B1650" t="s">
        <v>7862</v>
      </c>
      <c r="C1650">
        <v>1</v>
      </c>
    </row>
    <row r="1651" spans="1:3" x14ac:dyDescent="0.25">
      <c r="A1651" t="s">
        <v>7194</v>
      </c>
      <c r="B1651" t="s">
        <v>7008</v>
      </c>
      <c r="C1651">
        <v>1</v>
      </c>
    </row>
    <row r="1652" spans="1:3" x14ac:dyDescent="0.25">
      <c r="A1652" t="s">
        <v>7832</v>
      </c>
      <c r="B1652" t="s">
        <v>7616</v>
      </c>
      <c r="C1652">
        <v>1</v>
      </c>
    </row>
    <row r="1653" spans="1:3" x14ac:dyDescent="0.25">
      <c r="A1653" t="s">
        <v>5291</v>
      </c>
      <c r="B1653" t="s">
        <v>2</v>
      </c>
      <c r="C1653">
        <v>1</v>
      </c>
    </row>
    <row r="1654" spans="1:3" x14ac:dyDescent="0.25">
      <c r="A1654" t="s">
        <v>4860</v>
      </c>
      <c r="B1654" t="s">
        <v>2</v>
      </c>
      <c r="C1654">
        <v>1</v>
      </c>
    </row>
    <row r="1655" spans="1:3" x14ac:dyDescent="0.25">
      <c r="A1655" t="s">
        <v>7836</v>
      </c>
      <c r="B1655" t="s">
        <v>7616</v>
      </c>
      <c r="C1655">
        <v>1</v>
      </c>
    </row>
    <row r="1656" spans="1:3" x14ac:dyDescent="0.25">
      <c r="A1656" t="s">
        <v>7840</v>
      </c>
      <c r="B1656" t="s">
        <v>7616</v>
      </c>
      <c r="C1656">
        <v>1</v>
      </c>
    </row>
    <row r="1657" spans="1:3" x14ac:dyDescent="0.25">
      <c r="A1657" t="s">
        <v>6776</v>
      </c>
      <c r="B1657" t="s">
        <v>3</v>
      </c>
      <c r="C1657">
        <v>1</v>
      </c>
    </row>
    <row r="1658" spans="1:3" x14ac:dyDescent="0.25">
      <c r="A1658" t="s">
        <v>8050</v>
      </c>
      <c r="B1658" t="s">
        <v>7862</v>
      </c>
      <c r="C1658">
        <v>1</v>
      </c>
    </row>
    <row r="1659" spans="1:3" x14ac:dyDescent="0.25">
      <c r="A1659" t="s">
        <v>8614</v>
      </c>
      <c r="B1659" t="s">
        <v>8182</v>
      </c>
      <c r="C1659">
        <v>1</v>
      </c>
    </row>
    <row r="1660" spans="1:3" x14ac:dyDescent="0.25">
      <c r="A1660" t="s">
        <v>8619</v>
      </c>
      <c r="B1660" t="s">
        <v>8182</v>
      </c>
      <c r="C1660">
        <v>1</v>
      </c>
    </row>
    <row r="1661" spans="1:3" x14ac:dyDescent="0.25">
      <c r="A1661" t="s">
        <v>8278</v>
      </c>
      <c r="B1661" t="s">
        <v>8182</v>
      </c>
      <c r="C1661">
        <v>1</v>
      </c>
    </row>
    <row r="1662" spans="1:3" x14ac:dyDescent="0.25">
      <c r="A1662" t="s">
        <v>5464</v>
      </c>
      <c r="B1662" t="s">
        <v>2</v>
      </c>
      <c r="C1662">
        <v>1</v>
      </c>
    </row>
    <row r="1663" spans="1:3" x14ac:dyDescent="0.25">
      <c r="A1663" t="s">
        <v>7634</v>
      </c>
      <c r="B1663" t="s">
        <v>7616</v>
      </c>
      <c r="C1663">
        <v>1</v>
      </c>
    </row>
    <row r="1664" spans="1:3" x14ac:dyDescent="0.25">
      <c r="A1664" t="s">
        <v>7678</v>
      </c>
      <c r="B1664" t="s">
        <v>7616</v>
      </c>
      <c r="C1664">
        <v>1</v>
      </c>
    </row>
    <row r="1665" spans="1:3" x14ac:dyDescent="0.25">
      <c r="A1665" t="s">
        <v>7705</v>
      </c>
      <c r="B1665" t="s">
        <v>7616</v>
      </c>
      <c r="C1665">
        <v>1</v>
      </c>
    </row>
    <row r="1666" spans="1:3" x14ac:dyDescent="0.25">
      <c r="A1666" t="s">
        <v>5898</v>
      </c>
      <c r="B1666" t="s">
        <v>2</v>
      </c>
      <c r="C1666">
        <v>1</v>
      </c>
    </row>
    <row r="1667" spans="1:3" x14ac:dyDescent="0.25">
      <c r="A1667" t="s">
        <v>8454</v>
      </c>
      <c r="B1667" t="s">
        <v>8182</v>
      </c>
      <c r="C1667">
        <v>1</v>
      </c>
    </row>
    <row r="1668" spans="1:3" x14ac:dyDescent="0.25">
      <c r="A1668" t="s">
        <v>9116</v>
      </c>
      <c r="B1668" t="s">
        <v>11</v>
      </c>
      <c r="C1668">
        <v>1</v>
      </c>
    </row>
    <row r="1669" spans="1:3" x14ac:dyDescent="0.25">
      <c r="A1669" t="s">
        <v>9223</v>
      </c>
      <c r="B1669" t="s">
        <v>11</v>
      </c>
      <c r="C1669">
        <v>1</v>
      </c>
    </row>
    <row r="1670" spans="1:3" x14ac:dyDescent="0.25">
      <c r="A1670" t="s">
        <v>9228</v>
      </c>
      <c r="B1670" t="s">
        <v>11</v>
      </c>
      <c r="C1670">
        <v>1</v>
      </c>
    </row>
    <row r="1671" spans="1:3" x14ac:dyDescent="0.25">
      <c r="A1671" t="s">
        <v>9233</v>
      </c>
      <c r="B1671" t="s">
        <v>11</v>
      </c>
      <c r="C1671">
        <v>1</v>
      </c>
    </row>
    <row r="1672" spans="1:3" x14ac:dyDescent="0.25">
      <c r="A1672" t="s">
        <v>7364</v>
      </c>
      <c r="B1672" t="s">
        <v>7008</v>
      </c>
      <c r="C1672">
        <v>1</v>
      </c>
    </row>
    <row r="1673" spans="1:3" x14ac:dyDescent="0.25">
      <c r="A1673" t="s">
        <v>7368</v>
      </c>
      <c r="B1673" t="s">
        <v>7008</v>
      </c>
      <c r="C1673">
        <v>1</v>
      </c>
    </row>
    <row r="1674" spans="1:3" x14ac:dyDescent="0.25">
      <c r="A1674" t="s">
        <v>12281</v>
      </c>
      <c r="B1674" t="s">
        <v>12007</v>
      </c>
      <c r="C1674">
        <v>1</v>
      </c>
    </row>
    <row r="1675" spans="1:3" x14ac:dyDescent="0.25">
      <c r="A1675" t="s">
        <v>12286</v>
      </c>
      <c r="B1675" t="s">
        <v>12007</v>
      </c>
      <c r="C1675">
        <v>1</v>
      </c>
    </row>
    <row r="1676" spans="1:3" x14ac:dyDescent="0.25">
      <c r="A1676" t="s">
        <v>12397</v>
      </c>
      <c r="B1676" t="s">
        <v>12007</v>
      </c>
      <c r="C1676">
        <v>1</v>
      </c>
    </row>
    <row r="1677" spans="1:3" x14ac:dyDescent="0.25">
      <c r="A1677" t="s">
        <v>12304</v>
      </c>
      <c r="B1677" t="s">
        <v>12007</v>
      </c>
      <c r="C1677">
        <v>1</v>
      </c>
    </row>
    <row r="1678" spans="1:3" x14ac:dyDescent="0.25">
      <c r="A1678" t="s">
        <v>12309</v>
      </c>
      <c r="B1678" t="s">
        <v>12007</v>
      </c>
      <c r="C1678">
        <v>1</v>
      </c>
    </row>
    <row r="1679" spans="1:3" x14ac:dyDescent="0.25">
      <c r="A1679" t="s">
        <v>12314</v>
      </c>
      <c r="B1679" t="s">
        <v>12007</v>
      </c>
      <c r="C1679">
        <v>1</v>
      </c>
    </row>
    <row r="1680" spans="1:3" x14ac:dyDescent="0.25">
      <c r="A1680" t="s">
        <v>12402</v>
      </c>
      <c r="B1680" t="s">
        <v>12007</v>
      </c>
      <c r="C1680">
        <v>1</v>
      </c>
    </row>
    <row r="1681" spans="1:3" x14ac:dyDescent="0.25">
      <c r="A1681" t="s">
        <v>12320</v>
      </c>
      <c r="B1681" t="s">
        <v>12007</v>
      </c>
      <c r="C1681">
        <v>1</v>
      </c>
    </row>
    <row r="1682" spans="1:3" x14ac:dyDescent="0.25">
      <c r="A1682" t="s">
        <v>12354</v>
      </c>
      <c r="B1682" t="s">
        <v>12007</v>
      </c>
      <c r="C1682">
        <v>1</v>
      </c>
    </row>
    <row r="1683" spans="1:3" x14ac:dyDescent="0.25">
      <c r="A1683" t="s">
        <v>12328</v>
      </c>
      <c r="B1683" t="s">
        <v>12007</v>
      </c>
      <c r="C1683">
        <v>1</v>
      </c>
    </row>
    <row r="1684" spans="1:3" x14ac:dyDescent="0.25">
      <c r="A1684" t="s">
        <v>12333</v>
      </c>
      <c r="B1684" t="s">
        <v>12007</v>
      </c>
      <c r="C1684">
        <v>1</v>
      </c>
    </row>
    <row r="1685" spans="1:3" x14ac:dyDescent="0.25">
      <c r="A1685" t="s">
        <v>12406</v>
      </c>
      <c r="B1685" t="s">
        <v>12007</v>
      </c>
      <c r="C1685">
        <v>1</v>
      </c>
    </row>
    <row r="1686" spans="1:3" x14ac:dyDescent="0.25">
      <c r="A1686" t="s">
        <v>12340</v>
      </c>
      <c r="B1686" t="s">
        <v>12007</v>
      </c>
      <c r="C1686">
        <v>1</v>
      </c>
    </row>
    <row r="1687" spans="1:3" x14ac:dyDescent="0.25">
      <c r="A1687" t="s">
        <v>12345</v>
      </c>
      <c r="B1687" t="s">
        <v>12007</v>
      </c>
      <c r="C1687">
        <v>1</v>
      </c>
    </row>
    <row r="1688" spans="1:3" x14ac:dyDescent="0.25">
      <c r="A1688" t="s">
        <v>7646</v>
      </c>
      <c r="B1688" t="s">
        <v>7616</v>
      </c>
      <c r="C1688">
        <v>1</v>
      </c>
    </row>
    <row r="1689" spans="1:3" x14ac:dyDescent="0.25">
      <c r="A1689" t="s">
        <v>7662</v>
      </c>
      <c r="B1689" t="s">
        <v>7616</v>
      </c>
      <c r="C1689">
        <v>1</v>
      </c>
    </row>
    <row r="1690" spans="1:3" x14ac:dyDescent="0.25">
      <c r="A1690" t="s">
        <v>5943</v>
      </c>
      <c r="B1690" t="s">
        <v>2</v>
      </c>
      <c r="C1690">
        <v>1</v>
      </c>
    </row>
    <row r="1691" spans="1:3" x14ac:dyDescent="0.25">
      <c r="A1691" t="s">
        <v>10857</v>
      </c>
      <c r="B1691" t="s">
        <v>10806</v>
      </c>
      <c r="C1691">
        <v>1</v>
      </c>
    </row>
    <row r="1692" spans="1:3" x14ac:dyDescent="0.25">
      <c r="A1692" t="s">
        <v>10870</v>
      </c>
      <c r="B1692" t="s">
        <v>10806</v>
      </c>
      <c r="C1692">
        <v>1</v>
      </c>
    </row>
    <row r="1693" spans="1:3" x14ac:dyDescent="0.25">
      <c r="A1693" t="s">
        <v>9340</v>
      </c>
      <c r="B1693" t="s">
        <v>11</v>
      </c>
      <c r="C1693">
        <v>1</v>
      </c>
    </row>
    <row r="1694" spans="1:3" x14ac:dyDescent="0.25">
      <c r="A1694" t="s">
        <v>6874</v>
      </c>
      <c r="B1694" t="s">
        <v>3</v>
      </c>
      <c r="C1694">
        <v>1</v>
      </c>
    </row>
    <row r="1695" spans="1:3" x14ac:dyDescent="0.25">
      <c r="A1695" t="s">
        <v>11133</v>
      </c>
      <c r="B1695" t="s">
        <v>10806</v>
      </c>
      <c r="C1695">
        <v>1</v>
      </c>
    </row>
    <row r="1696" spans="1:3" x14ac:dyDescent="0.25">
      <c r="A1696" t="s">
        <v>7747</v>
      </c>
      <c r="B1696" t="s">
        <v>7616</v>
      </c>
      <c r="C1696">
        <v>1</v>
      </c>
    </row>
    <row r="1697" spans="1:3" x14ac:dyDescent="0.25">
      <c r="A1697" t="s">
        <v>9520</v>
      </c>
      <c r="B1697" t="s">
        <v>11</v>
      </c>
      <c r="C1697">
        <v>1</v>
      </c>
    </row>
    <row r="1698" spans="1:3" x14ac:dyDescent="0.25">
      <c r="A1698" t="s">
        <v>9617</v>
      </c>
      <c r="B1698" t="s">
        <v>11</v>
      </c>
      <c r="C1698">
        <v>1</v>
      </c>
    </row>
    <row r="1699" spans="1:3" x14ac:dyDescent="0.25">
      <c r="A1699" t="s">
        <v>9592</v>
      </c>
      <c r="B1699" t="s">
        <v>11</v>
      </c>
      <c r="C1699">
        <v>1</v>
      </c>
    </row>
    <row r="1700" spans="1:3" x14ac:dyDescent="0.25">
      <c r="A1700" t="s">
        <v>10722</v>
      </c>
      <c r="B1700" t="s">
        <v>9690</v>
      </c>
      <c r="C1700">
        <v>1</v>
      </c>
    </row>
    <row r="1701" spans="1:3" x14ac:dyDescent="0.25">
      <c r="A1701" t="s">
        <v>5469</v>
      </c>
      <c r="B1701" t="s">
        <v>2</v>
      </c>
      <c r="C1701">
        <v>1</v>
      </c>
    </row>
    <row r="1702" spans="1:3" x14ac:dyDescent="0.25">
      <c r="A1702" t="s">
        <v>5474</v>
      </c>
      <c r="B1702" t="s">
        <v>2</v>
      </c>
      <c r="C1702">
        <v>1</v>
      </c>
    </row>
    <row r="1703" spans="1:3" x14ac:dyDescent="0.25">
      <c r="A1703" t="s">
        <v>5479</v>
      </c>
      <c r="B1703" t="s">
        <v>2</v>
      </c>
      <c r="C1703">
        <v>1</v>
      </c>
    </row>
    <row r="1704" spans="1:3" x14ac:dyDescent="0.25">
      <c r="A1704" t="s">
        <v>11137</v>
      </c>
      <c r="B1704" t="s">
        <v>10806</v>
      </c>
      <c r="C1704">
        <v>1</v>
      </c>
    </row>
    <row r="1705" spans="1:3" x14ac:dyDescent="0.25">
      <c r="A1705" t="s">
        <v>8890</v>
      </c>
      <c r="B1705" t="s">
        <v>11</v>
      </c>
      <c r="C1705">
        <v>1</v>
      </c>
    </row>
    <row r="1706" spans="1:3" x14ac:dyDescent="0.25">
      <c r="A1706" t="s">
        <v>10815</v>
      </c>
      <c r="B1706" t="s">
        <v>10806</v>
      </c>
      <c r="C1706">
        <v>1</v>
      </c>
    </row>
    <row r="1707" spans="1:3" x14ac:dyDescent="0.25">
      <c r="A1707" t="s">
        <v>10838</v>
      </c>
      <c r="B1707" t="s">
        <v>10806</v>
      </c>
      <c r="C1707">
        <v>1</v>
      </c>
    </row>
    <row r="1708" spans="1:3" x14ac:dyDescent="0.25">
      <c r="A1708" t="s">
        <v>10875</v>
      </c>
      <c r="B1708" t="s">
        <v>10806</v>
      </c>
      <c r="C1708">
        <v>1</v>
      </c>
    </row>
    <row r="1709" spans="1:3" x14ac:dyDescent="0.25">
      <c r="A1709" t="s">
        <v>8869</v>
      </c>
      <c r="B1709" t="s">
        <v>11</v>
      </c>
      <c r="C1709">
        <v>1</v>
      </c>
    </row>
    <row r="1710" spans="1:3" x14ac:dyDescent="0.25">
      <c r="A1710" t="s">
        <v>8874</v>
      </c>
      <c r="B1710" t="s">
        <v>11</v>
      </c>
      <c r="C1710">
        <v>1</v>
      </c>
    </row>
    <row r="1711" spans="1:3" x14ac:dyDescent="0.25">
      <c r="A1711" t="s">
        <v>8879</v>
      </c>
      <c r="B1711" t="s">
        <v>11</v>
      </c>
      <c r="C1711">
        <v>1</v>
      </c>
    </row>
    <row r="1712" spans="1:3" x14ac:dyDescent="0.25">
      <c r="A1712" t="s">
        <v>9525</v>
      </c>
      <c r="B1712" t="s">
        <v>11</v>
      </c>
      <c r="C1712">
        <v>1</v>
      </c>
    </row>
    <row r="1713" spans="1:3" x14ac:dyDescent="0.25">
      <c r="A1713" t="s">
        <v>9530</v>
      </c>
      <c r="B1713" t="s">
        <v>11</v>
      </c>
      <c r="C1713">
        <v>1</v>
      </c>
    </row>
    <row r="1714" spans="1:3" x14ac:dyDescent="0.25">
      <c r="A1714" t="s">
        <v>9535</v>
      </c>
      <c r="B1714" t="s">
        <v>11</v>
      </c>
      <c r="C1714">
        <v>1</v>
      </c>
    </row>
    <row r="1715" spans="1:3" x14ac:dyDescent="0.25">
      <c r="A1715" t="s">
        <v>9540</v>
      </c>
      <c r="B1715" t="s">
        <v>11</v>
      </c>
      <c r="C1715">
        <v>1</v>
      </c>
    </row>
    <row r="1716" spans="1:3" x14ac:dyDescent="0.25">
      <c r="A1716" t="s">
        <v>9562</v>
      </c>
      <c r="B1716" t="s">
        <v>11</v>
      </c>
      <c r="C1716">
        <v>1</v>
      </c>
    </row>
    <row r="1717" spans="1:3" x14ac:dyDescent="0.25">
      <c r="A1717" t="s">
        <v>9568</v>
      </c>
      <c r="B1717" t="s">
        <v>11</v>
      </c>
      <c r="C1717">
        <v>1</v>
      </c>
    </row>
    <row r="1718" spans="1:3" x14ac:dyDescent="0.25">
      <c r="A1718" t="s">
        <v>9631</v>
      </c>
      <c r="B1718" t="s">
        <v>11</v>
      </c>
      <c r="C1718">
        <v>1</v>
      </c>
    </row>
    <row r="1719" spans="1:3" x14ac:dyDescent="0.25">
      <c r="A1719" t="s">
        <v>9622</v>
      </c>
      <c r="B1719" t="s">
        <v>11</v>
      </c>
      <c r="C1719">
        <v>1</v>
      </c>
    </row>
    <row r="1720" spans="1:3" x14ac:dyDescent="0.25">
      <c r="A1720" t="s">
        <v>9574</v>
      </c>
      <c r="B1720" t="s">
        <v>11</v>
      </c>
      <c r="C1720">
        <v>1</v>
      </c>
    </row>
    <row r="1721" spans="1:3" x14ac:dyDescent="0.25">
      <c r="A1721" t="s">
        <v>9579</v>
      </c>
      <c r="B1721" t="s">
        <v>11</v>
      </c>
      <c r="C1721">
        <v>1</v>
      </c>
    </row>
    <row r="1722" spans="1:3" x14ac:dyDescent="0.25">
      <c r="A1722" t="s">
        <v>9597</v>
      </c>
      <c r="B1722" t="s">
        <v>11</v>
      </c>
      <c r="C1722">
        <v>1</v>
      </c>
    </row>
    <row r="1723" spans="1:3" x14ac:dyDescent="0.25">
      <c r="A1723" t="s">
        <v>5484</v>
      </c>
      <c r="B1723" t="s">
        <v>2</v>
      </c>
      <c r="C1723">
        <v>1</v>
      </c>
    </row>
    <row r="1724" spans="1:3" x14ac:dyDescent="0.25">
      <c r="A1724" t="s">
        <v>5489</v>
      </c>
      <c r="B1724" t="s">
        <v>2</v>
      </c>
      <c r="C1724">
        <v>1</v>
      </c>
    </row>
    <row r="1725" spans="1:3" x14ac:dyDescent="0.25">
      <c r="A1725" t="s">
        <v>5788</v>
      </c>
      <c r="B1725" t="s">
        <v>2</v>
      </c>
      <c r="C1725">
        <v>1</v>
      </c>
    </row>
    <row r="1726" spans="1:3" x14ac:dyDescent="0.25">
      <c r="A1726" t="s">
        <v>5809</v>
      </c>
      <c r="B1726" t="s">
        <v>2</v>
      </c>
      <c r="C1726">
        <v>1</v>
      </c>
    </row>
    <row r="1727" spans="1:3" x14ac:dyDescent="0.25">
      <c r="A1727" t="s">
        <v>9444</v>
      </c>
      <c r="B1727" t="s">
        <v>11</v>
      </c>
      <c r="C1727">
        <v>1</v>
      </c>
    </row>
    <row r="1728" spans="1:3" x14ac:dyDescent="0.25">
      <c r="A1728" t="s">
        <v>8895</v>
      </c>
      <c r="B1728" t="s">
        <v>11</v>
      </c>
      <c r="C1728">
        <v>1</v>
      </c>
    </row>
    <row r="1729" spans="1:3" x14ac:dyDescent="0.25">
      <c r="A1729" t="s">
        <v>12143</v>
      </c>
      <c r="B1729" t="s">
        <v>12007</v>
      </c>
      <c r="C1729">
        <v>1</v>
      </c>
    </row>
    <row r="1730" spans="1:3" x14ac:dyDescent="0.25">
      <c r="A1730" t="s">
        <v>12037</v>
      </c>
      <c r="B1730" t="s">
        <v>12007</v>
      </c>
      <c r="C1730">
        <v>1</v>
      </c>
    </row>
    <row r="1731" spans="1:3" x14ac:dyDescent="0.25">
      <c r="A1731" t="s">
        <v>12042</v>
      </c>
      <c r="B1731" t="s">
        <v>12007</v>
      </c>
      <c r="C1731">
        <v>1</v>
      </c>
    </row>
    <row r="1732" spans="1:3" x14ac:dyDescent="0.25">
      <c r="A1732" t="s">
        <v>12047</v>
      </c>
      <c r="B1732" t="s">
        <v>12007</v>
      </c>
      <c r="C1732">
        <v>1</v>
      </c>
    </row>
    <row r="1733" spans="1:3" x14ac:dyDescent="0.25">
      <c r="A1733" t="s">
        <v>12156</v>
      </c>
      <c r="B1733" t="s">
        <v>12007</v>
      </c>
      <c r="C1733">
        <v>1</v>
      </c>
    </row>
    <row r="1734" spans="1:3" x14ac:dyDescent="0.25">
      <c r="A1734" t="s">
        <v>11629</v>
      </c>
      <c r="B1734" t="s">
        <v>11145</v>
      </c>
      <c r="C1734">
        <v>1</v>
      </c>
    </row>
    <row r="1735" spans="1:3" x14ac:dyDescent="0.25">
      <c r="A1735" t="s">
        <v>11642</v>
      </c>
      <c r="B1735" t="s">
        <v>11145</v>
      </c>
      <c r="C1735">
        <v>1</v>
      </c>
    </row>
    <row r="1736" spans="1:3" x14ac:dyDescent="0.25">
      <c r="A1736" t="s">
        <v>11647</v>
      </c>
      <c r="B1736" t="s">
        <v>11145</v>
      </c>
      <c r="C1736">
        <v>1</v>
      </c>
    </row>
    <row r="1737" spans="1:3" x14ac:dyDescent="0.25">
      <c r="A1737" t="s">
        <v>11664</v>
      </c>
      <c r="B1737" t="s">
        <v>11145</v>
      </c>
      <c r="C1737">
        <v>1</v>
      </c>
    </row>
    <row r="1738" spans="1:3" x14ac:dyDescent="0.25">
      <c r="A1738" t="s">
        <v>11704</v>
      </c>
      <c r="B1738" t="s">
        <v>11145</v>
      </c>
      <c r="C1738">
        <v>1</v>
      </c>
    </row>
    <row r="1739" spans="1:3" x14ac:dyDescent="0.25">
      <c r="A1739" t="s">
        <v>11717</v>
      </c>
      <c r="B1739" t="s">
        <v>11145</v>
      </c>
      <c r="C1739">
        <v>1</v>
      </c>
    </row>
    <row r="1740" spans="1:3" x14ac:dyDescent="0.25">
      <c r="A1740" t="s">
        <v>11736</v>
      </c>
      <c r="B1740" t="s">
        <v>11145</v>
      </c>
      <c r="C1740">
        <v>1</v>
      </c>
    </row>
    <row r="1741" spans="1:3" x14ac:dyDescent="0.25">
      <c r="A1741" t="s">
        <v>11749</v>
      </c>
      <c r="B1741" t="s">
        <v>11145</v>
      </c>
      <c r="C1741">
        <v>1</v>
      </c>
    </row>
    <row r="1742" spans="1:3" x14ac:dyDescent="0.25">
      <c r="A1742" t="s">
        <v>11753</v>
      </c>
      <c r="B1742" t="s">
        <v>11145</v>
      </c>
      <c r="C1742">
        <v>1</v>
      </c>
    </row>
    <row r="1743" spans="1:3" x14ac:dyDescent="0.25">
      <c r="A1743" t="s">
        <v>11774</v>
      </c>
      <c r="B1743" t="s">
        <v>11145</v>
      </c>
      <c r="C1743">
        <v>1</v>
      </c>
    </row>
    <row r="1744" spans="1:3" x14ac:dyDescent="0.25">
      <c r="A1744" t="s">
        <v>11787</v>
      </c>
      <c r="B1744" t="s">
        <v>11145</v>
      </c>
      <c r="C1744">
        <v>1</v>
      </c>
    </row>
    <row r="1745" spans="1:3" x14ac:dyDescent="0.25">
      <c r="A1745" t="s">
        <v>11591</v>
      </c>
      <c r="B1745" t="s">
        <v>11145</v>
      </c>
      <c r="C1745">
        <v>1</v>
      </c>
    </row>
    <row r="1746" spans="1:3" x14ac:dyDescent="0.25">
      <c r="A1746" t="s">
        <v>8283</v>
      </c>
      <c r="B1746" t="s">
        <v>8182</v>
      </c>
      <c r="C1746">
        <v>1</v>
      </c>
    </row>
    <row r="1747" spans="1:3" x14ac:dyDescent="0.25">
      <c r="A1747" t="s">
        <v>11184</v>
      </c>
      <c r="B1747" t="s">
        <v>11145</v>
      </c>
      <c r="C1747">
        <v>1</v>
      </c>
    </row>
    <row r="1748" spans="1:3" x14ac:dyDescent="0.25">
      <c r="A1748" t="s">
        <v>11189</v>
      </c>
      <c r="B1748" t="s">
        <v>11145</v>
      </c>
      <c r="C1748">
        <v>1</v>
      </c>
    </row>
    <row r="1749" spans="1:3" x14ac:dyDescent="0.25">
      <c r="A1749" t="s">
        <v>11194</v>
      </c>
      <c r="B1749" t="s">
        <v>11145</v>
      </c>
      <c r="C1749">
        <v>1</v>
      </c>
    </row>
    <row r="1750" spans="1:3" x14ac:dyDescent="0.25">
      <c r="A1750" t="s">
        <v>11199</v>
      </c>
      <c r="B1750" t="s">
        <v>11145</v>
      </c>
      <c r="C1750">
        <v>1</v>
      </c>
    </row>
    <row r="1751" spans="1:3" x14ac:dyDescent="0.25">
      <c r="A1751" t="s">
        <v>11204</v>
      </c>
      <c r="B1751" t="s">
        <v>11145</v>
      </c>
      <c r="C1751">
        <v>1</v>
      </c>
    </row>
    <row r="1752" spans="1:3" x14ac:dyDescent="0.25">
      <c r="A1752" t="s">
        <v>11209</v>
      </c>
      <c r="B1752" t="s">
        <v>11145</v>
      </c>
      <c r="C1752">
        <v>1</v>
      </c>
    </row>
    <row r="1753" spans="1:3" x14ac:dyDescent="0.25">
      <c r="A1753" t="s">
        <v>11214</v>
      </c>
      <c r="B1753" t="s">
        <v>11145</v>
      </c>
      <c r="C1753">
        <v>1</v>
      </c>
    </row>
    <row r="1754" spans="1:3" x14ac:dyDescent="0.25">
      <c r="A1754" t="s">
        <v>11247</v>
      </c>
      <c r="B1754" t="s">
        <v>11145</v>
      </c>
      <c r="C1754">
        <v>1</v>
      </c>
    </row>
    <row r="1755" spans="1:3" x14ac:dyDescent="0.25">
      <c r="A1755" t="s">
        <v>11280</v>
      </c>
      <c r="B1755" t="s">
        <v>11145</v>
      </c>
      <c r="C1755">
        <v>1</v>
      </c>
    </row>
    <row r="1756" spans="1:3" x14ac:dyDescent="0.25">
      <c r="A1756" t="s">
        <v>11284</v>
      </c>
      <c r="B1756" t="s">
        <v>11145</v>
      </c>
      <c r="C1756">
        <v>1</v>
      </c>
    </row>
    <row r="1757" spans="1:3" x14ac:dyDescent="0.25">
      <c r="A1757" t="s">
        <v>11289</v>
      </c>
      <c r="B1757" t="s">
        <v>11145</v>
      </c>
      <c r="C1757">
        <v>1</v>
      </c>
    </row>
    <row r="1758" spans="1:3" x14ac:dyDescent="0.25">
      <c r="A1758" t="s">
        <v>11326</v>
      </c>
      <c r="B1758" t="s">
        <v>11145</v>
      </c>
      <c r="C1758">
        <v>1</v>
      </c>
    </row>
    <row r="1759" spans="1:3" x14ac:dyDescent="0.25">
      <c r="A1759" t="s">
        <v>11363</v>
      </c>
      <c r="B1759" t="s">
        <v>11145</v>
      </c>
      <c r="C1759">
        <v>1</v>
      </c>
    </row>
    <row r="1760" spans="1:3" x14ac:dyDescent="0.25">
      <c r="A1760" t="s">
        <v>11595</v>
      </c>
      <c r="B1760" t="s">
        <v>11145</v>
      </c>
      <c r="C1760">
        <v>1</v>
      </c>
    </row>
    <row r="1761" spans="1:3" x14ac:dyDescent="0.25">
      <c r="A1761" t="s">
        <v>11384</v>
      </c>
      <c r="B1761" t="s">
        <v>11145</v>
      </c>
      <c r="C1761">
        <v>1</v>
      </c>
    </row>
    <row r="1762" spans="1:3" x14ac:dyDescent="0.25">
      <c r="A1762" t="s">
        <v>11529</v>
      </c>
      <c r="B1762" t="s">
        <v>11145</v>
      </c>
      <c r="C1762">
        <v>1</v>
      </c>
    </row>
    <row r="1763" spans="1:3" x14ac:dyDescent="0.25">
      <c r="A1763" t="s">
        <v>11408</v>
      </c>
      <c r="B1763" t="s">
        <v>11145</v>
      </c>
      <c r="C1763">
        <v>1</v>
      </c>
    </row>
    <row r="1764" spans="1:3" x14ac:dyDescent="0.25">
      <c r="A1764" t="s">
        <v>11600</v>
      </c>
      <c r="B1764" t="s">
        <v>11145</v>
      </c>
      <c r="C1764">
        <v>1</v>
      </c>
    </row>
    <row r="1765" spans="1:3" x14ac:dyDescent="0.25">
      <c r="A1765" t="s">
        <v>11496</v>
      </c>
      <c r="B1765" t="s">
        <v>11145</v>
      </c>
      <c r="C1765">
        <v>1</v>
      </c>
    </row>
    <row r="1766" spans="1:3" x14ac:dyDescent="0.25">
      <c r="A1766" t="s">
        <v>11413</v>
      </c>
      <c r="B1766" t="s">
        <v>11145</v>
      </c>
      <c r="C1766">
        <v>1</v>
      </c>
    </row>
    <row r="1767" spans="1:3" x14ac:dyDescent="0.25">
      <c r="A1767" t="s">
        <v>11501</v>
      </c>
      <c r="B1767" t="s">
        <v>11145</v>
      </c>
      <c r="C1767">
        <v>1</v>
      </c>
    </row>
    <row r="1768" spans="1:3" x14ac:dyDescent="0.25">
      <c r="A1768" t="s">
        <v>11506</v>
      </c>
      <c r="B1768" t="s">
        <v>11145</v>
      </c>
      <c r="C1768">
        <v>1</v>
      </c>
    </row>
    <row r="1769" spans="1:3" x14ac:dyDescent="0.25">
      <c r="A1769" t="s">
        <v>11511</v>
      </c>
      <c r="B1769" t="s">
        <v>11145</v>
      </c>
      <c r="C1769">
        <v>1</v>
      </c>
    </row>
    <row r="1770" spans="1:3" x14ac:dyDescent="0.25">
      <c r="A1770" t="s">
        <v>11516</v>
      </c>
      <c r="B1770" t="s">
        <v>11145</v>
      </c>
      <c r="C1770">
        <v>1</v>
      </c>
    </row>
    <row r="1771" spans="1:3" x14ac:dyDescent="0.25">
      <c r="A1771" t="s">
        <v>11557</v>
      </c>
      <c r="B1771" t="s">
        <v>11145</v>
      </c>
      <c r="C1771">
        <v>1</v>
      </c>
    </row>
    <row r="1772" spans="1:3" x14ac:dyDescent="0.25">
      <c r="A1772" t="s">
        <v>11561</v>
      </c>
      <c r="B1772" t="s">
        <v>11145</v>
      </c>
      <c r="C1772">
        <v>1</v>
      </c>
    </row>
    <row r="1773" spans="1:3" x14ac:dyDescent="0.25">
      <c r="A1773" t="s">
        <v>11566</v>
      </c>
      <c r="B1773" t="s">
        <v>11145</v>
      </c>
      <c r="C1773">
        <v>1</v>
      </c>
    </row>
    <row r="1774" spans="1:3" x14ac:dyDescent="0.25">
      <c r="A1774" t="s">
        <v>11614</v>
      </c>
      <c r="B1774" t="s">
        <v>11145</v>
      </c>
      <c r="C1774">
        <v>1</v>
      </c>
    </row>
    <row r="1775" spans="1:3" x14ac:dyDescent="0.25">
      <c r="A1775" t="s">
        <v>12062</v>
      </c>
      <c r="B1775" t="s">
        <v>12007</v>
      </c>
      <c r="C1775">
        <v>1</v>
      </c>
    </row>
    <row r="1776" spans="1:3" x14ac:dyDescent="0.25">
      <c r="A1776" t="s">
        <v>12067</v>
      </c>
      <c r="B1776" t="s">
        <v>12007</v>
      </c>
      <c r="C1776">
        <v>1</v>
      </c>
    </row>
    <row r="1777" spans="1:3" x14ac:dyDescent="0.25">
      <c r="A1777" t="s">
        <v>12072</v>
      </c>
      <c r="B1777" t="s">
        <v>12007</v>
      </c>
      <c r="C1777">
        <v>1</v>
      </c>
    </row>
    <row r="1778" spans="1:3" x14ac:dyDescent="0.25">
      <c r="A1778" t="s">
        <v>12190</v>
      </c>
      <c r="B1778" t="s">
        <v>12007</v>
      </c>
      <c r="C1778">
        <v>1</v>
      </c>
    </row>
    <row r="1779" spans="1:3" x14ac:dyDescent="0.25">
      <c r="A1779" t="s">
        <v>12195</v>
      </c>
      <c r="B1779" t="s">
        <v>12007</v>
      </c>
      <c r="C1779">
        <v>1</v>
      </c>
    </row>
    <row r="1780" spans="1:3" x14ac:dyDescent="0.25">
      <c r="A1780" t="s">
        <v>12200</v>
      </c>
      <c r="B1780" t="s">
        <v>12007</v>
      </c>
      <c r="C1780">
        <v>1</v>
      </c>
    </row>
    <row r="1781" spans="1:3" x14ac:dyDescent="0.25">
      <c r="A1781" t="s">
        <v>12205</v>
      </c>
      <c r="B1781" t="s">
        <v>12007</v>
      </c>
      <c r="C1781">
        <v>1</v>
      </c>
    </row>
    <row r="1782" spans="1:3" x14ac:dyDescent="0.25">
      <c r="A1782" t="s">
        <v>12210</v>
      </c>
      <c r="B1782" t="s">
        <v>12007</v>
      </c>
      <c r="C1782">
        <v>1</v>
      </c>
    </row>
    <row r="1783" spans="1:3" x14ac:dyDescent="0.25">
      <c r="A1783" t="s">
        <v>12215</v>
      </c>
      <c r="B1783" t="s">
        <v>12007</v>
      </c>
      <c r="C1783">
        <v>1</v>
      </c>
    </row>
    <row r="1784" spans="1:3" x14ac:dyDescent="0.25">
      <c r="A1784" t="s">
        <v>12229</v>
      </c>
      <c r="B1784" t="s">
        <v>12007</v>
      </c>
      <c r="C1784">
        <v>1</v>
      </c>
    </row>
    <row r="1785" spans="1:3" x14ac:dyDescent="0.25">
      <c r="A1785" t="s">
        <v>12234</v>
      </c>
      <c r="B1785" t="s">
        <v>12007</v>
      </c>
      <c r="C1785">
        <v>1</v>
      </c>
    </row>
    <row r="1786" spans="1:3" x14ac:dyDescent="0.25">
      <c r="A1786" t="s">
        <v>12239</v>
      </c>
      <c r="B1786" t="s">
        <v>12007</v>
      </c>
      <c r="C1786">
        <v>1</v>
      </c>
    </row>
    <row r="1787" spans="1:3" x14ac:dyDescent="0.25">
      <c r="A1787" t="s">
        <v>12244</v>
      </c>
      <c r="B1787" t="s">
        <v>12007</v>
      </c>
      <c r="C1787">
        <v>1</v>
      </c>
    </row>
    <row r="1788" spans="1:3" x14ac:dyDescent="0.25">
      <c r="A1788" t="s">
        <v>12253</v>
      </c>
      <c r="B1788" t="s">
        <v>12007</v>
      </c>
      <c r="C1788">
        <v>1</v>
      </c>
    </row>
    <row r="1789" spans="1:3" x14ac:dyDescent="0.25">
      <c r="A1789" t="s">
        <v>12258</v>
      </c>
      <c r="B1789" t="s">
        <v>12007</v>
      </c>
      <c r="C1789">
        <v>1</v>
      </c>
    </row>
    <row r="1790" spans="1:3" x14ac:dyDescent="0.25">
      <c r="A1790" t="s">
        <v>12263</v>
      </c>
      <c r="B1790" t="s">
        <v>12007</v>
      </c>
      <c r="C1790">
        <v>1</v>
      </c>
    </row>
    <row r="1791" spans="1:3" x14ac:dyDescent="0.25">
      <c r="A1791" t="s">
        <v>12109</v>
      </c>
      <c r="B1791" t="s">
        <v>12007</v>
      </c>
      <c r="C1791">
        <v>1</v>
      </c>
    </row>
    <row r="1792" spans="1:3" x14ac:dyDescent="0.25">
      <c r="A1792" t="s">
        <v>8055</v>
      </c>
      <c r="B1792" t="s">
        <v>7862</v>
      </c>
      <c r="C1792">
        <v>1</v>
      </c>
    </row>
    <row r="1793" spans="1:3" x14ac:dyDescent="0.25">
      <c r="A1793" t="s">
        <v>8060</v>
      </c>
      <c r="B1793" t="s">
        <v>7862</v>
      </c>
      <c r="C1793">
        <v>1</v>
      </c>
    </row>
    <row r="1794" spans="1:3" x14ac:dyDescent="0.25">
      <c r="A1794" t="s">
        <v>8063</v>
      </c>
      <c r="B1794" t="s">
        <v>7862</v>
      </c>
      <c r="C1794">
        <v>1</v>
      </c>
    </row>
    <row r="1795" spans="1:3" x14ac:dyDescent="0.25">
      <c r="A1795" t="s">
        <v>9258</v>
      </c>
      <c r="B1795" t="s">
        <v>11</v>
      </c>
      <c r="C1795">
        <v>1</v>
      </c>
    </row>
    <row r="1796" spans="1:3" x14ac:dyDescent="0.25">
      <c r="A1796" t="s">
        <v>9263</v>
      </c>
      <c r="B1796" t="s">
        <v>11</v>
      </c>
      <c r="C1796">
        <v>1</v>
      </c>
    </row>
    <row r="1797" spans="1:3" x14ac:dyDescent="0.25">
      <c r="A1797" t="s">
        <v>9273</v>
      </c>
      <c r="B1797" t="s">
        <v>11</v>
      </c>
      <c r="C1797">
        <v>1</v>
      </c>
    </row>
    <row r="1798" spans="1:3" x14ac:dyDescent="0.25">
      <c r="A1798" t="s">
        <v>7724</v>
      </c>
      <c r="B1798" t="s">
        <v>7616</v>
      </c>
      <c r="C1798">
        <v>1</v>
      </c>
    </row>
    <row r="1799" spans="1:3" x14ac:dyDescent="0.25">
      <c r="A1799" t="s">
        <v>5603</v>
      </c>
      <c r="B1799" t="s">
        <v>2</v>
      </c>
      <c r="C1799">
        <v>1</v>
      </c>
    </row>
    <row r="1800" spans="1:3" x14ac:dyDescent="0.25">
      <c r="A1800" t="s">
        <v>13070</v>
      </c>
      <c r="B1800" t="s">
        <v>12585</v>
      </c>
      <c r="C1800">
        <v>1</v>
      </c>
    </row>
    <row r="1801" spans="1:3" x14ac:dyDescent="0.25">
      <c r="A1801" t="s">
        <v>13267</v>
      </c>
      <c r="B1801" t="s">
        <v>12585</v>
      </c>
      <c r="C1801">
        <v>1</v>
      </c>
    </row>
    <row r="1802" spans="1:3" x14ac:dyDescent="0.25">
      <c r="A1802" t="s">
        <v>13334</v>
      </c>
      <c r="B1802" t="s">
        <v>12585</v>
      </c>
      <c r="C1802">
        <v>1</v>
      </c>
    </row>
    <row r="1803" spans="1:3" x14ac:dyDescent="0.25">
      <c r="A1803" t="s">
        <v>13339</v>
      </c>
      <c r="B1803" t="s">
        <v>12585</v>
      </c>
      <c r="C1803">
        <v>1</v>
      </c>
    </row>
    <row r="1804" spans="1:3" x14ac:dyDescent="0.25">
      <c r="A1804" t="s">
        <v>12886</v>
      </c>
      <c r="B1804" t="s">
        <v>12585</v>
      </c>
      <c r="C1804">
        <v>1</v>
      </c>
    </row>
    <row r="1805" spans="1:3" x14ac:dyDescent="0.25">
      <c r="A1805" t="s">
        <v>11078</v>
      </c>
      <c r="B1805" t="s">
        <v>10806</v>
      </c>
      <c r="C1805">
        <v>1</v>
      </c>
    </row>
    <row r="1806" spans="1:3" x14ac:dyDescent="0.25">
      <c r="A1806" t="s">
        <v>13075</v>
      </c>
      <c r="B1806" t="s">
        <v>12585</v>
      </c>
      <c r="C1806">
        <v>1</v>
      </c>
    </row>
    <row r="1807" spans="1:3" x14ac:dyDescent="0.25">
      <c r="A1807" t="s">
        <v>12680</v>
      </c>
      <c r="B1807" t="s">
        <v>12585</v>
      </c>
      <c r="C1807">
        <v>1</v>
      </c>
    </row>
    <row r="1808" spans="1:3" x14ac:dyDescent="0.25">
      <c r="A1808" t="s">
        <v>13457</v>
      </c>
      <c r="B1808" t="s">
        <v>12585</v>
      </c>
      <c r="C1808">
        <v>1</v>
      </c>
    </row>
    <row r="1809" spans="1:3" x14ac:dyDescent="0.25">
      <c r="A1809" t="s">
        <v>13462</v>
      </c>
      <c r="B1809" t="s">
        <v>12585</v>
      </c>
      <c r="C1809">
        <v>1</v>
      </c>
    </row>
    <row r="1810" spans="1:3" x14ac:dyDescent="0.25">
      <c r="A1810" t="s">
        <v>13489</v>
      </c>
      <c r="B1810" t="s">
        <v>12585</v>
      </c>
      <c r="C1810">
        <v>1</v>
      </c>
    </row>
    <row r="1811" spans="1:3" x14ac:dyDescent="0.25">
      <c r="A1811" t="s">
        <v>12718</v>
      </c>
      <c r="B1811" t="s">
        <v>12585</v>
      </c>
      <c r="C1811">
        <v>1</v>
      </c>
    </row>
    <row r="1812" spans="1:3" x14ac:dyDescent="0.25">
      <c r="A1812" t="s">
        <v>12723</v>
      </c>
      <c r="B1812" t="s">
        <v>12585</v>
      </c>
      <c r="C1812">
        <v>1</v>
      </c>
    </row>
    <row r="1813" spans="1:3" x14ac:dyDescent="0.25">
      <c r="A1813" t="s">
        <v>12684</v>
      </c>
      <c r="B1813" t="s">
        <v>12585</v>
      </c>
      <c r="C1813">
        <v>1</v>
      </c>
    </row>
    <row r="1814" spans="1:3" x14ac:dyDescent="0.25">
      <c r="A1814" t="s">
        <v>13494</v>
      </c>
      <c r="B1814" t="s">
        <v>12585</v>
      </c>
      <c r="C1814">
        <v>1</v>
      </c>
    </row>
    <row r="1815" spans="1:3" x14ac:dyDescent="0.25">
      <c r="A1815" t="s">
        <v>13499</v>
      </c>
      <c r="B1815" t="s">
        <v>12585</v>
      </c>
      <c r="C1815">
        <v>1</v>
      </c>
    </row>
    <row r="1816" spans="1:3" x14ac:dyDescent="0.25">
      <c r="A1816" t="s">
        <v>13504</v>
      </c>
      <c r="B1816" t="s">
        <v>12585</v>
      </c>
      <c r="C1816">
        <v>1</v>
      </c>
    </row>
    <row r="1817" spans="1:3" x14ac:dyDescent="0.25">
      <c r="A1817" t="s">
        <v>12979</v>
      </c>
      <c r="B1817" t="s">
        <v>12585</v>
      </c>
      <c r="C1817">
        <v>1</v>
      </c>
    </row>
    <row r="1818" spans="1:3" x14ac:dyDescent="0.25">
      <c r="A1818" t="s">
        <v>12982</v>
      </c>
      <c r="B1818" t="s">
        <v>12585</v>
      </c>
      <c r="C1818">
        <v>1</v>
      </c>
    </row>
    <row r="1819" spans="1:3" x14ac:dyDescent="0.25">
      <c r="A1819" t="s">
        <v>12891</v>
      </c>
      <c r="B1819" t="s">
        <v>12585</v>
      </c>
      <c r="C1819">
        <v>1</v>
      </c>
    </row>
    <row r="1820" spans="1:3" x14ac:dyDescent="0.25">
      <c r="A1820" t="s">
        <v>13080</v>
      </c>
      <c r="B1820" t="s">
        <v>12585</v>
      </c>
      <c r="C1820">
        <v>1</v>
      </c>
    </row>
    <row r="1821" spans="1:3" x14ac:dyDescent="0.25">
      <c r="A1821" t="s">
        <v>13085</v>
      </c>
      <c r="B1821" t="s">
        <v>12585</v>
      </c>
      <c r="C1821">
        <v>1</v>
      </c>
    </row>
    <row r="1822" spans="1:3" x14ac:dyDescent="0.25">
      <c r="A1822" t="s">
        <v>12689</v>
      </c>
      <c r="B1822" t="s">
        <v>12585</v>
      </c>
      <c r="C1822">
        <v>1</v>
      </c>
    </row>
    <row r="1823" spans="1:3" x14ac:dyDescent="0.25">
      <c r="A1823" t="s">
        <v>12694</v>
      </c>
      <c r="B1823" t="s">
        <v>12585</v>
      </c>
      <c r="C1823">
        <v>1</v>
      </c>
    </row>
    <row r="1824" spans="1:3" x14ac:dyDescent="0.25">
      <c r="A1824" t="s">
        <v>8459</v>
      </c>
      <c r="B1824" t="s">
        <v>8182</v>
      </c>
      <c r="C1824">
        <v>1</v>
      </c>
    </row>
    <row r="1825" spans="1:3" x14ac:dyDescent="0.25">
      <c r="A1825" t="s">
        <v>13381</v>
      </c>
      <c r="B1825" t="s">
        <v>12585</v>
      </c>
      <c r="C1825">
        <v>1</v>
      </c>
    </row>
    <row r="1826" spans="1:3" x14ac:dyDescent="0.25">
      <c r="A1826" t="s">
        <v>13385</v>
      </c>
      <c r="B1826" t="s">
        <v>12585</v>
      </c>
      <c r="C1826">
        <v>1</v>
      </c>
    </row>
    <row r="1827" spans="1:3" x14ac:dyDescent="0.25">
      <c r="A1827" t="s">
        <v>13390</v>
      </c>
      <c r="B1827" t="s">
        <v>12585</v>
      </c>
      <c r="C1827">
        <v>1</v>
      </c>
    </row>
    <row r="1828" spans="1:3" x14ac:dyDescent="0.25">
      <c r="A1828" t="s">
        <v>13395</v>
      </c>
      <c r="B1828" t="s">
        <v>12585</v>
      </c>
      <c r="C1828">
        <v>1</v>
      </c>
    </row>
    <row r="1829" spans="1:3" x14ac:dyDescent="0.25">
      <c r="A1829" t="s">
        <v>13399</v>
      </c>
      <c r="B1829" t="s">
        <v>12585</v>
      </c>
      <c r="C1829">
        <v>1</v>
      </c>
    </row>
    <row r="1830" spans="1:3" x14ac:dyDescent="0.25">
      <c r="A1830" t="s">
        <v>13404</v>
      </c>
      <c r="B1830" t="s">
        <v>12585</v>
      </c>
      <c r="C1830">
        <v>1</v>
      </c>
    </row>
    <row r="1831" spans="1:3" x14ac:dyDescent="0.25">
      <c r="A1831" t="s">
        <v>13407</v>
      </c>
      <c r="B1831" t="s">
        <v>12585</v>
      </c>
      <c r="C1831">
        <v>1</v>
      </c>
    </row>
    <row r="1832" spans="1:3" x14ac:dyDescent="0.25">
      <c r="A1832" t="s">
        <v>13411</v>
      </c>
      <c r="B1832" t="s">
        <v>12585</v>
      </c>
      <c r="C1832">
        <v>1</v>
      </c>
    </row>
    <row r="1833" spans="1:3" x14ac:dyDescent="0.25">
      <c r="A1833" t="s">
        <v>13090</v>
      </c>
      <c r="B1833" t="s">
        <v>12585</v>
      </c>
      <c r="C1833">
        <v>1</v>
      </c>
    </row>
    <row r="1834" spans="1:3" x14ac:dyDescent="0.25">
      <c r="A1834" t="s">
        <v>13095</v>
      </c>
      <c r="B1834" t="s">
        <v>12585</v>
      </c>
      <c r="C1834">
        <v>1</v>
      </c>
    </row>
    <row r="1835" spans="1:3" x14ac:dyDescent="0.25">
      <c r="A1835" t="s">
        <v>13272</v>
      </c>
      <c r="B1835" t="s">
        <v>12585</v>
      </c>
      <c r="C1835">
        <v>1</v>
      </c>
    </row>
    <row r="1836" spans="1:3" x14ac:dyDescent="0.25">
      <c r="A1836" t="s">
        <v>12895</v>
      </c>
      <c r="B1836" t="s">
        <v>12585</v>
      </c>
      <c r="C1836">
        <v>1</v>
      </c>
    </row>
    <row r="1837" spans="1:3" x14ac:dyDescent="0.25">
      <c r="A1837" t="s">
        <v>12899</v>
      </c>
      <c r="B1837" t="s">
        <v>12585</v>
      </c>
      <c r="C1837">
        <v>1</v>
      </c>
    </row>
    <row r="1838" spans="1:3" x14ac:dyDescent="0.25">
      <c r="A1838" t="s">
        <v>12904</v>
      </c>
      <c r="B1838" t="s">
        <v>12585</v>
      </c>
      <c r="C1838">
        <v>1</v>
      </c>
    </row>
    <row r="1839" spans="1:3" x14ac:dyDescent="0.25">
      <c r="A1839" t="s">
        <v>12908</v>
      </c>
      <c r="B1839" t="s">
        <v>12585</v>
      </c>
      <c r="C1839">
        <v>1</v>
      </c>
    </row>
    <row r="1840" spans="1:3" x14ac:dyDescent="0.25">
      <c r="A1840" t="s">
        <v>12913</v>
      </c>
      <c r="B1840" t="s">
        <v>12585</v>
      </c>
      <c r="C1840">
        <v>1</v>
      </c>
    </row>
    <row r="1841" spans="1:3" x14ac:dyDescent="0.25">
      <c r="A1841" t="s">
        <v>12918</v>
      </c>
      <c r="B1841" t="s">
        <v>12585</v>
      </c>
      <c r="C1841">
        <v>1</v>
      </c>
    </row>
    <row r="1842" spans="1:3" x14ac:dyDescent="0.25">
      <c r="A1842" t="s">
        <v>12923</v>
      </c>
      <c r="B1842" t="s">
        <v>12585</v>
      </c>
      <c r="C1842">
        <v>1</v>
      </c>
    </row>
    <row r="1843" spans="1:3" x14ac:dyDescent="0.25">
      <c r="A1843" t="s">
        <v>12699</v>
      </c>
      <c r="B1843" t="s">
        <v>12585</v>
      </c>
      <c r="C1843">
        <v>1</v>
      </c>
    </row>
    <row r="1844" spans="1:3" x14ac:dyDescent="0.25">
      <c r="A1844" t="s">
        <v>12757</v>
      </c>
      <c r="B1844" t="s">
        <v>12585</v>
      </c>
      <c r="C1844">
        <v>1</v>
      </c>
    </row>
    <row r="1845" spans="1:3" x14ac:dyDescent="0.25">
      <c r="A1845" t="s">
        <v>12762</v>
      </c>
      <c r="B1845" t="s">
        <v>12585</v>
      </c>
      <c r="C1845">
        <v>1</v>
      </c>
    </row>
    <row r="1846" spans="1:3" x14ac:dyDescent="0.25">
      <c r="A1846" t="s">
        <v>12767</v>
      </c>
      <c r="B1846" t="s">
        <v>12585</v>
      </c>
      <c r="C1846">
        <v>1</v>
      </c>
    </row>
    <row r="1847" spans="1:3" x14ac:dyDescent="0.25">
      <c r="A1847" t="s">
        <v>12772</v>
      </c>
      <c r="B1847" t="s">
        <v>12585</v>
      </c>
      <c r="C1847">
        <v>1</v>
      </c>
    </row>
    <row r="1848" spans="1:3" x14ac:dyDescent="0.25">
      <c r="A1848" t="s">
        <v>12777</v>
      </c>
      <c r="B1848" t="s">
        <v>12585</v>
      </c>
      <c r="C1848">
        <v>1</v>
      </c>
    </row>
    <row r="1849" spans="1:3" x14ac:dyDescent="0.25">
      <c r="A1849" t="s">
        <v>13276</v>
      </c>
      <c r="B1849" t="s">
        <v>12585</v>
      </c>
      <c r="C1849">
        <v>1</v>
      </c>
    </row>
    <row r="1850" spans="1:3" x14ac:dyDescent="0.25">
      <c r="A1850" t="s">
        <v>13281</v>
      </c>
      <c r="B1850" t="s">
        <v>12585</v>
      </c>
      <c r="C1850">
        <v>1</v>
      </c>
    </row>
    <row r="1851" spans="1:3" x14ac:dyDescent="0.25">
      <c r="A1851" t="s">
        <v>13286</v>
      </c>
      <c r="B1851" t="s">
        <v>12585</v>
      </c>
      <c r="C1851">
        <v>1</v>
      </c>
    </row>
    <row r="1852" spans="1:3" x14ac:dyDescent="0.25">
      <c r="A1852" t="s">
        <v>13291</v>
      </c>
      <c r="B1852" t="s">
        <v>12585</v>
      </c>
      <c r="C1852">
        <v>1</v>
      </c>
    </row>
    <row r="1853" spans="1:3" x14ac:dyDescent="0.25">
      <c r="A1853" t="s">
        <v>13296</v>
      </c>
      <c r="B1853" t="s">
        <v>12585</v>
      </c>
      <c r="C1853">
        <v>1</v>
      </c>
    </row>
    <row r="1854" spans="1:3" x14ac:dyDescent="0.25">
      <c r="A1854" t="s">
        <v>13416</v>
      </c>
      <c r="B1854" t="s">
        <v>12585</v>
      </c>
      <c r="C1854">
        <v>1</v>
      </c>
    </row>
    <row r="1855" spans="1:3" x14ac:dyDescent="0.25">
      <c r="A1855" t="s">
        <v>13343</v>
      </c>
      <c r="B1855" t="s">
        <v>12585</v>
      </c>
      <c r="C1855">
        <v>1</v>
      </c>
    </row>
    <row r="1856" spans="1:3" x14ac:dyDescent="0.25">
      <c r="A1856" t="s">
        <v>13348</v>
      </c>
      <c r="B1856" t="s">
        <v>12585</v>
      </c>
      <c r="C1856">
        <v>1</v>
      </c>
    </row>
    <row r="1857" spans="1:3" x14ac:dyDescent="0.25">
      <c r="A1857" t="s">
        <v>13420</v>
      </c>
      <c r="B1857" t="s">
        <v>12585</v>
      </c>
      <c r="C1857">
        <v>1</v>
      </c>
    </row>
    <row r="1858" spans="1:3" x14ac:dyDescent="0.25">
      <c r="A1858" t="s">
        <v>13301</v>
      </c>
      <c r="B1858" t="s">
        <v>12585</v>
      </c>
      <c r="C1858">
        <v>1</v>
      </c>
    </row>
    <row r="1859" spans="1:3" x14ac:dyDescent="0.25">
      <c r="A1859" t="s">
        <v>13100</v>
      </c>
      <c r="B1859" t="s">
        <v>12585</v>
      </c>
      <c r="C1859">
        <v>1</v>
      </c>
    </row>
    <row r="1860" spans="1:3" x14ac:dyDescent="0.25">
      <c r="A1860" t="s">
        <v>12782</v>
      </c>
      <c r="B1860" t="s">
        <v>12585</v>
      </c>
      <c r="C1860">
        <v>1</v>
      </c>
    </row>
    <row r="1861" spans="1:3" x14ac:dyDescent="0.25">
      <c r="A1861" t="s">
        <v>18</v>
      </c>
      <c r="B1861" t="s">
        <v>7008</v>
      </c>
      <c r="C1861">
        <v>1</v>
      </c>
    </row>
    <row r="1862" spans="1:3" x14ac:dyDescent="0.25">
      <c r="A1862" t="s">
        <v>26</v>
      </c>
      <c r="B1862" t="s">
        <v>8182</v>
      </c>
      <c r="C1862">
        <v>2</v>
      </c>
    </row>
    <row r="1863" spans="1:3" x14ac:dyDescent="0.25">
      <c r="A1863" t="s">
        <v>31</v>
      </c>
      <c r="B1863" t="s">
        <v>11</v>
      </c>
      <c r="C1863">
        <v>1</v>
      </c>
    </row>
    <row r="1864" spans="1:3" x14ac:dyDescent="0.25">
      <c r="A1864" t="s">
        <v>46</v>
      </c>
      <c r="B1864" t="s">
        <v>7862</v>
      </c>
      <c r="C1864">
        <v>2</v>
      </c>
    </row>
    <row r="1865" spans="1:3" x14ac:dyDescent="0.25">
      <c r="A1865" t="s">
        <v>132</v>
      </c>
      <c r="B1865" t="s">
        <v>2</v>
      </c>
      <c r="C1865">
        <v>1</v>
      </c>
    </row>
    <row r="1866" spans="1:3" x14ac:dyDescent="0.25">
      <c r="A1866" t="s">
        <v>127</v>
      </c>
      <c r="B1866" t="s">
        <v>2</v>
      </c>
      <c r="C1866">
        <v>1</v>
      </c>
    </row>
    <row r="1867" spans="1:3" x14ac:dyDescent="0.25">
      <c r="A1867" t="s">
        <v>131</v>
      </c>
      <c r="B1867" t="s">
        <v>2</v>
      </c>
      <c r="C1867">
        <v>1</v>
      </c>
    </row>
    <row r="1868" spans="1:3" x14ac:dyDescent="0.25">
      <c r="A1868" t="s">
        <v>129</v>
      </c>
      <c r="B1868" t="s">
        <v>2</v>
      </c>
      <c r="C1868">
        <v>1</v>
      </c>
    </row>
    <row r="1869" spans="1:3" x14ac:dyDescent="0.25">
      <c r="A1869" t="s">
        <v>134</v>
      </c>
      <c r="B1869" t="s">
        <v>2</v>
      </c>
      <c r="C1869">
        <v>1</v>
      </c>
    </row>
    <row r="1870" spans="1:3" x14ac:dyDescent="0.25">
      <c r="A1870" t="s">
        <v>8658</v>
      </c>
      <c r="B1870" t="s">
        <v>8182</v>
      </c>
      <c r="C1870">
        <v>1</v>
      </c>
    </row>
    <row r="1871" spans="1:3" x14ac:dyDescent="0.25">
      <c r="A1871" t="s">
        <v>262</v>
      </c>
      <c r="B1871" t="s">
        <v>8182</v>
      </c>
      <c r="C1871">
        <v>1</v>
      </c>
    </row>
    <row r="1872" spans="1:3" x14ac:dyDescent="0.25">
      <c r="A1872" t="s">
        <v>8636</v>
      </c>
      <c r="B1872" t="s">
        <v>8182</v>
      </c>
      <c r="C1872">
        <v>1</v>
      </c>
    </row>
    <row r="1873" spans="1:3" x14ac:dyDescent="0.25">
      <c r="A1873" t="s">
        <v>741</v>
      </c>
      <c r="B1873" t="s">
        <v>3</v>
      </c>
      <c r="C1873">
        <v>1</v>
      </c>
    </row>
    <row r="1874" spans="1:3" x14ac:dyDescent="0.25">
      <c r="A1874" t="s">
        <v>742</v>
      </c>
      <c r="B1874" t="s">
        <v>3</v>
      </c>
      <c r="C1874">
        <v>1</v>
      </c>
    </row>
    <row r="1875" spans="1:3" x14ac:dyDescent="0.25">
      <c r="A1875" t="s">
        <v>744</v>
      </c>
      <c r="B1875" t="s">
        <v>3</v>
      </c>
      <c r="C1875">
        <v>1</v>
      </c>
    </row>
    <row r="1876" spans="1:3" x14ac:dyDescent="0.25">
      <c r="A1876" t="s">
        <v>745</v>
      </c>
      <c r="B1876" t="s">
        <v>3</v>
      </c>
      <c r="C1876">
        <v>1</v>
      </c>
    </row>
    <row r="1877" spans="1:3" x14ac:dyDescent="0.25">
      <c r="A1877" t="s">
        <v>19</v>
      </c>
      <c r="B1877" t="s">
        <v>2</v>
      </c>
      <c r="C1877">
        <v>1</v>
      </c>
    </row>
    <row r="1878" spans="1:3" x14ac:dyDescent="0.25">
      <c r="A1878" t="s">
        <v>20</v>
      </c>
      <c r="B1878" t="s">
        <v>3</v>
      </c>
      <c r="C1878">
        <v>1</v>
      </c>
    </row>
    <row r="1879" spans="1:3" x14ac:dyDescent="0.25">
      <c r="A1879" t="s">
        <v>21</v>
      </c>
      <c r="B1879" t="s">
        <v>9690</v>
      </c>
      <c r="C1879">
        <v>2</v>
      </c>
    </row>
    <row r="1880" spans="1:3" x14ac:dyDescent="0.25">
      <c r="A1880" t="s">
        <v>22</v>
      </c>
      <c r="B1880" t="s">
        <v>7008</v>
      </c>
      <c r="C1880">
        <v>1</v>
      </c>
    </row>
    <row r="1881" spans="1:3" x14ac:dyDescent="0.25">
      <c r="A1881" t="s">
        <v>23</v>
      </c>
      <c r="B1881" t="s">
        <v>7008</v>
      </c>
      <c r="C1881">
        <v>1</v>
      </c>
    </row>
    <row r="1882" spans="1:3" x14ac:dyDescent="0.25">
      <c r="A1882" t="s">
        <v>24</v>
      </c>
      <c r="B1882" t="s">
        <v>9690</v>
      </c>
      <c r="C1882">
        <v>2</v>
      </c>
    </row>
    <row r="1883" spans="1:3" x14ac:dyDescent="0.25">
      <c r="A1883" t="s">
        <v>25</v>
      </c>
      <c r="B1883" t="s">
        <v>9690</v>
      </c>
      <c r="C1883">
        <v>1</v>
      </c>
    </row>
    <row r="1884" spans="1:3" x14ac:dyDescent="0.25">
      <c r="A1884" s="27" t="s">
        <v>27</v>
      </c>
      <c r="B1884" s="27" t="s">
        <v>11145</v>
      </c>
      <c r="C1884" s="27">
        <v>2</v>
      </c>
    </row>
    <row r="1885" spans="1:3" x14ac:dyDescent="0.25">
      <c r="A1885" t="s">
        <v>28</v>
      </c>
      <c r="B1885" t="s">
        <v>11145</v>
      </c>
      <c r="C1885">
        <v>1</v>
      </c>
    </row>
    <row r="1886" spans="1:3" x14ac:dyDescent="0.25">
      <c r="A1886" t="s">
        <v>29</v>
      </c>
      <c r="B1886" t="s">
        <v>12007</v>
      </c>
      <c r="C1886">
        <v>1</v>
      </c>
    </row>
    <row r="1887" spans="1:3" x14ac:dyDescent="0.25">
      <c r="A1887" t="s">
        <v>30</v>
      </c>
      <c r="B1887" t="s">
        <v>12007</v>
      </c>
      <c r="C1887">
        <v>1</v>
      </c>
    </row>
    <row r="1888" spans="1:3" x14ac:dyDescent="0.25">
      <c r="A1888" t="s">
        <v>32</v>
      </c>
      <c r="B1888" t="s">
        <v>11</v>
      </c>
      <c r="C1888">
        <v>1</v>
      </c>
    </row>
    <row r="1889" spans="1:3" x14ac:dyDescent="0.25">
      <c r="A1889" s="27" t="s">
        <v>34</v>
      </c>
      <c r="B1889" s="27" t="s">
        <v>11</v>
      </c>
      <c r="C1889" s="27">
        <v>2</v>
      </c>
    </row>
    <row r="1890" spans="1:3" x14ac:dyDescent="0.25">
      <c r="A1890" t="s">
        <v>36</v>
      </c>
      <c r="B1890" t="s">
        <v>11</v>
      </c>
      <c r="C1890">
        <v>1</v>
      </c>
    </row>
    <row r="1891" spans="1:3" x14ac:dyDescent="0.25">
      <c r="A1891" t="s">
        <v>38</v>
      </c>
      <c r="B1891" t="s">
        <v>11</v>
      </c>
      <c r="C1891">
        <v>1</v>
      </c>
    </row>
    <row r="1892" spans="1:3" x14ac:dyDescent="0.25">
      <c r="A1892" t="s">
        <v>40</v>
      </c>
      <c r="B1892" t="s">
        <v>11</v>
      </c>
      <c r="C1892">
        <v>1</v>
      </c>
    </row>
    <row r="1893" spans="1:3" x14ac:dyDescent="0.25">
      <c r="A1893" t="s">
        <v>42</v>
      </c>
      <c r="B1893" t="s">
        <v>11</v>
      </c>
      <c r="C1893">
        <v>1</v>
      </c>
    </row>
    <row r="1894" spans="1:3" x14ac:dyDescent="0.25">
      <c r="A1894" t="s">
        <v>44</v>
      </c>
      <c r="B1894" t="s">
        <v>11</v>
      </c>
      <c r="C1894">
        <v>1</v>
      </c>
    </row>
    <row r="1895" spans="1:3" x14ac:dyDescent="0.25">
      <c r="A1895" t="s">
        <v>7784</v>
      </c>
      <c r="B1895" t="s">
        <v>7616</v>
      </c>
      <c r="C1895">
        <v>1</v>
      </c>
    </row>
    <row r="1896" spans="1:3" x14ac:dyDescent="0.25">
      <c r="A1896" t="s">
        <v>49</v>
      </c>
      <c r="B1896" t="s">
        <v>7862</v>
      </c>
      <c r="C1896">
        <v>1</v>
      </c>
    </row>
    <row r="1897" spans="1:3" x14ac:dyDescent="0.25">
      <c r="A1897" t="s">
        <v>50</v>
      </c>
      <c r="B1897" t="s">
        <v>10806</v>
      </c>
      <c r="C1897">
        <v>1</v>
      </c>
    </row>
    <row r="1898" spans="1:3" x14ac:dyDescent="0.25">
      <c r="A1898" t="s">
        <v>51</v>
      </c>
      <c r="B1898" t="s">
        <v>10806</v>
      </c>
      <c r="C1898">
        <v>1</v>
      </c>
    </row>
    <row r="1899" spans="1:3" x14ac:dyDescent="0.25">
      <c r="A1899" t="s">
        <v>52</v>
      </c>
      <c r="B1899" t="s">
        <v>10806</v>
      </c>
      <c r="C1899">
        <v>1</v>
      </c>
    </row>
    <row r="1900" spans="1:3" x14ac:dyDescent="0.25">
      <c r="A1900" t="s">
        <v>57</v>
      </c>
      <c r="B1900" t="s">
        <v>8182</v>
      </c>
      <c r="C1900">
        <v>2</v>
      </c>
    </row>
    <row r="1901" spans="1:3" x14ac:dyDescent="0.25">
      <c r="A1901" t="s">
        <v>831</v>
      </c>
      <c r="B1901" t="s">
        <v>8182</v>
      </c>
      <c r="C1901">
        <v>1</v>
      </c>
    </row>
    <row r="1902" spans="1:3" x14ac:dyDescent="0.25">
      <c r="A1902" t="s">
        <v>818</v>
      </c>
      <c r="B1902" t="s">
        <v>8182</v>
      </c>
      <c r="C1902">
        <v>1</v>
      </c>
    </row>
    <row r="1903" spans="1:3" x14ac:dyDescent="0.25">
      <c r="A1903" t="s">
        <v>815</v>
      </c>
      <c r="B1903" t="s">
        <v>7862</v>
      </c>
      <c r="C1903">
        <v>1</v>
      </c>
    </row>
    <row r="1904" spans="1:3" x14ac:dyDescent="0.25">
      <c r="A1904" t="s">
        <v>625</v>
      </c>
      <c r="B1904" t="s">
        <v>12585</v>
      </c>
      <c r="C1904">
        <v>1</v>
      </c>
    </row>
    <row r="1905" spans="1:3" x14ac:dyDescent="0.25">
      <c r="A1905" t="s">
        <v>617</v>
      </c>
      <c r="B1905" t="s">
        <v>12585</v>
      </c>
      <c r="C1905">
        <v>1</v>
      </c>
    </row>
    <row r="1906" spans="1:3" x14ac:dyDescent="0.25">
      <c r="A1906" t="s">
        <v>595</v>
      </c>
      <c r="B1906" t="s">
        <v>12585</v>
      </c>
      <c r="C1906">
        <v>2</v>
      </c>
    </row>
    <row r="1907" spans="1:3" x14ac:dyDescent="0.25">
      <c r="A1907" t="s">
        <v>603</v>
      </c>
      <c r="B1907" t="s">
        <v>12585</v>
      </c>
      <c r="C1907">
        <v>3</v>
      </c>
    </row>
    <row r="1908" spans="1:3" x14ac:dyDescent="0.25">
      <c r="A1908" t="s">
        <v>2114</v>
      </c>
      <c r="B1908" t="s">
        <v>9690</v>
      </c>
      <c r="C1908">
        <v>2</v>
      </c>
    </row>
    <row r="1909" spans="1:3" x14ac:dyDescent="0.25">
      <c r="A1909" t="s">
        <v>4694</v>
      </c>
      <c r="B1909" t="s">
        <v>2</v>
      </c>
      <c r="C1909">
        <v>4</v>
      </c>
    </row>
    <row r="1910" spans="1:3" x14ac:dyDescent="0.25">
      <c r="A1910" t="s">
        <v>4694</v>
      </c>
      <c r="B1910" t="s">
        <v>2</v>
      </c>
    </row>
    <row r="1911" spans="1:3" x14ac:dyDescent="0.25">
      <c r="A1911" t="s">
        <v>4753</v>
      </c>
      <c r="B1911" t="s">
        <v>2</v>
      </c>
      <c r="C1911">
        <v>1</v>
      </c>
    </row>
    <row r="1912" spans="1:3" x14ac:dyDescent="0.25">
      <c r="A1912" t="s">
        <v>4763</v>
      </c>
      <c r="B1912" t="s">
        <v>2</v>
      </c>
      <c r="C1912">
        <v>4</v>
      </c>
    </row>
    <row r="1913" spans="1:3" x14ac:dyDescent="0.25">
      <c r="A1913" t="s">
        <v>4818</v>
      </c>
      <c r="B1913" t="s">
        <v>2</v>
      </c>
      <c r="C1913">
        <v>1</v>
      </c>
    </row>
    <row r="1914" spans="1:3" x14ac:dyDescent="0.25">
      <c r="A1914" t="s">
        <v>4831</v>
      </c>
      <c r="B1914" t="s">
        <v>2</v>
      </c>
      <c r="C1914">
        <v>1</v>
      </c>
    </row>
    <row r="1915" spans="1:3" x14ac:dyDescent="0.25">
      <c r="A1915" t="s">
        <v>4908</v>
      </c>
      <c r="B1915" t="s">
        <v>2</v>
      </c>
      <c r="C1915">
        <v>1</v>
      </c>
    </row>
    <row r="1916" spans="1:3" x14ac:dyDescent="0.25">
      <c r="A1916" t="s">
        <v>4924</v>
      </c>
      <c r="B1916" t="s">
        <v>2</v>
      </c>
      <c r="C1916">
        <v>1</v>
      </c>
    </row>
    <row r="1917" spans="1:3" x14ac:dyDescent="0.25">
      <c r="A1917" t="s">
        <v>4963</v>
      </c>
      <c r="B1917" t="s">
        <v>2</v>
      </c>
      <c r="C1917">
        <v>1</v>
      </c>
    </row>
    <row r="1918" spans="1:3" x14ac:dyDescent="0.25">
      <c r="A1918" t="s">
        <v>4975</v>
      </c>
      <c r="B1918" t="s">
        <v>2</v>
      </c>
      <c r="C1918">
        <v>1</v>
      </c>
    </row>
    <row r="1919" spans="1:3" x14ac:dyDescent="0.25">
      <c r="A1919" t="s">
        <v>5068</v>
      </c>
      <c r="B1919" t="s">
        <v>2</v>
      </c>
      <c r="C1919">
        <v>1</v>
      </c>
    </row>
    <row r="1920" spans="1:3" x14ac:dyDescent="0.25">
      <c r="A1920" t="s">
        <v>5080</v>
      </c>
      <c r="B1920" t="s">
        <v>2</v>
      </c>
      <c r="C1920">
        <v>1</v>
      </c>
    </row>
    <row r="1921" spans="1:3" x14ac:dyDescent="0.25">
      <c r="A1921" t="s">
        <v>5116</v>
      </c>
      <c r="B1921" t="s">
        <v>2</v>
      </c>
      <c r="C1921">
        <v>1</v>
      </c>
    </row>
    <row r="1922" spans="1:3" x14ac:dyDescent="0.25">
      <c r="A1922" t="s">
        <v>5123</v>
      </c>
      <c r="B1922" t="s">
        <v>2</v>
      </c>
      <c r="C1922">
        <v>1</v>
      </c>
    </row>
    <row r="1923" spans="1:3" x14ac:dyDescent="0.25">
      <c r="A1923" t="s">
        <v>5141</v>
      </c>
      <c r="B1923" t="s">
        <v>2</v>
      </c>
      <c r="C1923">
        <v>1</v>
      </c>
    </row>
    <row r="1924" spans="1:3" x14ac:dyDescent="0.25">
      <c r="A1924" t="s">
        <v>5161</v>
      </c>
      <c r="B1924" t="s">
        <v>2</v>
      </c>
      <c r="C1924">
        <v>4</v>
      </c>
    </row>
    <row r="1925" spans="1:3" x14ac:dyDescent="0.25">
      <c r="A1925" t="s">
        <v>5224</v>
      </c>
      <c r="B1925" t="s">
        <v>2</v>
      </c>
      <c r="C1925">
        <v>1</v>
      </c>
    </row>
    <row r="1926" spans="1:3" x14ac:dyDescent="0.25">
      <c r="A1926" t="s">
        <v>5298</v>
      </c>
      <c r="B1926" t="s">
        <v>2</v>
      </c>
      <c r="C1926">
        <v>1</v>
      </c>
    </row>
    <row r="1927" spans="1:3" x14ac:dyDescent="0.25">
      <c r="A1927" t="s">
        <v>5338</v>
      </c>
      <c r="B1927" t="s">
        <v>2</v>
      </c>
      <c r="C1927">
        <v>1</v>
      </c>
    </row>
    <row r="1928" spans="1:3" x14ac:dyDescent="0.25">
      <c r="A1928" t="s">
        <v>5378</v>
      </c>
      <c r="B1928" t="s">
        <v>2</v>
      </c>
      <c r="C1928">
        <v>1</v>
      </c>
    </row>
    <row r="1929" spans="1:3" x14ac:dyDescent="0.25">
      <c r="A1929" t="s">
        <v>5390</v>
      </c>
      <c r="B1929" t="s">
        <v>2</v>
      </c>
      <c r="C1929">
        <v>1</v>
      </c>
    </row>
    <row r="1930" spans="1:3" x14ac:dyDescent="0.25">
      <c r="A1930" t="s">
        <v>5402</v>
      </c>
      <c r="B1930" t="s">
        <v>2</v>
      </c>
      <c r="C1930">
        <v>1</v>
      </c>
    </row>
    <row r="1931" spans="1:3" x14ac:dyDescent="0.25">
      <c r="A1931" t="s">
        <v>5495</v>
      </c>
      <c r="B1931" t="s">
        <v>2</v>
      </c>
      <c r="C1931">
        <v>1</v>
      </c>
    </row>
    <row r="1932" spans="1:3" x14ac:dyDescent="0.25">
      <c r="A1932" t="s">
        <v>5520</v>
      </c>
      <c r="B1932" t="s">
        <v>2</v>
      </c>
      <c r="C1932">
        <v>1</v>
      </c>
    </row>
    <row r="1933" spans="1:3" x14ac:dyDescent="0.25">
      <c r="A1933" t="s">
        <v>5533</v>
      </c>
      <c r="B1933" t="s">
        <v>2</v>
      </c>
      <c r="C1933">
        <v>1</v>
      </c>
    </row>
    <row r="1934" spans="1:3" x14ac:dyDescent="0.25">
      <c r="A1934" t="s">
        <v>5553</v>
      </c>
      <c r="B1934" t="s">
        <v>2</v>
      </c>
      <c r="C1934">
        <v>1</v>
      </c>
    </row>
    <row r="1935" spans="1:3" x14ac:dyDescent="0.25">
      <c r="A1935" t="s">
        <v>5563</v>
      </c>
      <c r="B1935" t="s">
        <v>2</v>
      </c>
      <c r="C1935">
        <v>1</v>
      </c>
    </row>
    <row r="1936" spans="1:3" x14ac:dyDescent="0.25">
      <c r="A1936" t="s">
        <v>5609</v>
      </c>
      <c r="B1936" t="s">
        <v>2</v>
      </c>
      <c r="C1936">
        <v>1</v>
      </c>
    </row>
    <row r="1937" spans="1:3" x14ac:dyDescent="0.25">
      <c r="A1937" t="s">
        <v>5705</v>
      </c>
      <c r="B1937" t="s">
        <v>2</v>
      </c>
      <c r="C1937">
        <v>1</v>
      </c>
    </row>
    <row r="1938" spans="1:3" x14ac:dyDescent="0.25">
      <c r="A1938" t="s">
        <v>5670</v>
      </c>
      <c r="B1938" t="s">
        <v>2</v>
      </c>
      <c r="C1938">
        <v>1</v>
      </c>
    </row>
    <row r="1939" spans="1:3" x14ac:dyDescent="0.25">
      <c r="A1939" t="s">
        <v>5693</v>
      </c>
      <c r="B1939" t="s">
        <v>2</v>
      </c>
      <c r="C1939">
        <v>1</v>
      </c>
    </row>
    <row r="1940" spans="1:3" x14ac:dyDescent="0.25">
      <c r="A1940" t="s">
        <v>5725</v>
      </c>
      <c r="B1940" t="s">
        <v>2</v>
      </c>
      <c r="C1940">
        <v>1</v>
      </c>
    </row>
    <row r="1941" spans="1:3" x14ac:dyDescent="0.25">
      <c r="A1941" t="s">
        <v>5756</v>
      </c>
      <c r="B1941" t="s">
        <v>2</v>
      </c>
      <c r="C1941">
        <v>1</v>
      </c>
    </row>
    <row r="1942" spans="1:3" x14ac:dyDescent="0.25">
      <c r="A1942" t="s">
        <v>5770</v>
      </c>
      <c r="B1942" t="s">
        <v>2</v>
      </c>
      <c r="C1942">
        <v>1</v>
      </c>
    </row>
    <row r="1943" spans="1:3" x14ac:dyDescent="0.25">
      <c r="A1943" t="s">
        <v>5784</v>
      </c>
      <c r="B1943" t="s">
        <v>2</v>
      </c>
      <c r="C1943">
        <v>1</v>
      </c>
    </row>
    <row r="1944" spans="1:3" x14ac:dyDescent="0.25">
      <c r="A1944" t="s">
        <v>5793</v>
      </c>
      <c r="B1944" t="s">
        <v>2</v>
      </c>
      <c r="C1944">
        <v>1</v>
      </c>
    </row>
    <row r="1945" spans="1:3" x14ac:dyDescent="0.25">
      <c r="A1945" t="s">
        <v>5812</v>
      </c>
      <c r="B1945" t="s">
        <v>2</v>
      </c>
      <c r="C1945">
        <v>1</v>
      </c>
    </row>
    <row r="1946" spans="1:3" x14ac:dyDescent="0.25">
      <c r="A1946" t="s">
        <v>5825</v>
      </c>
      <c r="B1946" t="s">
        <v>2</v>
      </c>
      <c r="C1946">
        <v>1</v>
      </c>
    </row>
    <row r="1947" spans="1:3" x14ac:dyDescent="0.25">
      <c r="A1947" t="s">
        <v>5852</v>
      </c>
      <c r="B1947" t="s">
        <v>2</v>
      </c>
      <c r="C1947">
        <v>2</v>
      </c>
    </row>
    <row r="1948" spans="1:3" x14ac:dyDescent="0.25">
      <c r="A1948" t="s">
        <v>5983</v>
      </c>
      <c r="B1948" t="s">
        <v>2</v>
      </c>
      <c r="C1948">
        <v>1</v>
      </c>
    </row>
    <row r="1949" spans="1:3" x14ac:dyDescent="0.25">
      <c r="A1949" t="s">
        <v>5961</v>
      </c>
      <c r="B1949" t="s">
        <v>2</v>
      </c>
      <c r="C1949">
        <v>1</v>
      </c>
    </row>
    <row r="1950" spans="1:3" x14ac:dyDescent="0.25">
      <c r="A1950" t="s">
        <v>5910</v>
      </c>
      <c r="B1950" t="s">
        <v>2</v>
      </c>
      <c r="C1950">
        <v>1</v>
      </c>
    </row>
    <row r="1951" spans="1:3" x14ac:dyDescent="0.25">
      <c r="A1951" t="s">
        <v>5948</v>
      </c>
      <c r="B1951" t="s">
        <v>2</v>
      </c>
      <c r="C1951">
        <v>1</v>
      </c>
    </row>
    <row r="1952" spans="1:3" x14ac:dyDescent="0.25">
      <c r="A1952" t="s">
        <v>6199</v>
      </c>
      <c r="B1952" t="s">
        <v>3</v>
      </c>
      <c r="C1952">
        <v>1</v>
      </c>
    </row>
    <row r="1953" spans="1:3" x14ac:dyDescent="0.25">
      <c r="A1953" t="s">
        <v>6076</v>
      </c>
      <c r="B1953" t="s">
        <v>3</v>
      </c>
      <c r="C1953">
        <v>1</v>
      </c>
    </row>
    <row r="1954" spans="1:3" x14ac:dyDescent="0.25">
      <c r="A1954" t="s">
        <v>6105</v>
      </c>
      <c r="B1954" t="s">
        <v>3</v>
      </c>
      <c r="C1954">
        <v>1</v>
      </c>
    </row>
    <row r="1955" spans="1:3" x14ac:dyDescent="0.25">
      <c r="A1955" t="s">
        <v>6014</v>
      </c>
      <c r="B1955" t="s">
        <v>3</v>
      </c>
      <c r="C1955">
        <v>1</v>
      </c>
    </row>
    <row r="1956" spans="1:3" x14ac:dyDescent="0.25">
      <c r="A1956" t="s">
        <v>6138</v>
      </c>
      <c r="B1956" t="s">
        <v>3</v>
      </c>
      <c r="C1956">
        <v>1</v>
      </c>
    </row>
    <row r="1957" spans="1:3" x14ac:dyDescent="0.25">
      <c r="A1957" t="s">
        <v>6166</v>
      </c>
      <c r="B1957" t="s">
        <v>3</v>
      </c>
      <c r="C1957">
        <v>1</v>
      </c>
    </row>
    <row r="1958" spans="1:3" x14ac:dyDescent="0.25">
      <c r="A1958" t="s">
        <v>6229</v>
      </c>
      <c r="B1958" t="s">
        <v>3</v>
      </c>
      <c r="C1958">
        <v>1</v>
      </c>
    </row>
    <row r="1959" spans="1:3" x14ac:dyDescent="0.25">
      <c r="A1959" t="s">
        <v>6257</v>
      </c>
      <c r="B1959" t="s">
        <v>3</v>
      </c>
      <c r="C1959">
        <v>1</v>
      </c>
    </row>
    <row r="1960" spans="1:3" x14ac:dyDescent="0.25">
      <c r="A1960" t="s">
        <v>6274</v>
      </c>
      <c r="B1960" t="s">
        <v>3</v>
      </c>
      <c r="C1960">
        <v>1</v>
      </c>
    </row>
    <row r="1961" spans="1:3" x14ac:dyDescent="0.25">
      <c r="A1961" t="s">
        <v>6297</v>
      </c>
      <c r="B1961" t="s">
        <v>3</v>
      </c>
      <c r="C1961">
        <v>1</v>
      </c>
    </row>
    <row r="1962" spans="1:3" x14ac:dyDescent="0.25">
      <c r="A1962" t="s">
        <v>6323</v>
      </c>
      <c r="B1962" t="s">
        <v>3</v>
      </c>
      <c r="C1962">
        <v>1</v>
      </c>
    </row>
    <row r="1963" spans="1:3" x14ac:dyDescent="0.25">
      <c r="A1963" t="s">
        <v>6337</v>
      </c>
      <c r="B1963" t="s">
        <v>3</v>
      </c>
      <c r="C1963">
        <v>1</v>
      </c>
    </row>
    <row r="1964" spans="1:3" x14ac:dyDescent="0.25">
      <c r="A1964" t="s">
        <v>6371</v>
      </c>
      <c r="B1964" t="s">
        <v>3</v>
      </c>
      <c r="C1964">
        <v>1</v>
      </c>
    </row>
    <row r="1965" spans="1:3" x14ac:dyDescent="0.25">
      <c r="A1965" t="s">
        <v>6390</v>
      </c>
      <c r="B1965" t="s">
        <v>3</v>
      </c>
      <c r="C1965">
        <v>1</v>
      </c>
    </row>
    <row r="1966" spans="1:3" x14ac:dyDescent="0.25">
      <c r="A1966" t="s">
        <v>6428</v>
      </c>
      <c r="B1966" t="s">
        <v>3</v>
      </c>
      <c r="C1966">
        <v>1</v>
      </c>
    </row>
    <row r="1967" spans="1:3" x14ac:dyDescent="0.25">
      <c r="A1967" t="s">
        <v>6493</v>
      </c>
      <c r="B1967" t="s">
        <v>3</v>
      </c>
      <c r="C1967">
        <v>1</v>
      </c>
    </row>
    <row r="1968" spans="1:3" x14ac:dyDescent="0.25">
      <c r="A1968" t="s">
        <v>6545</v>
      </c>
      <c r="B1968" t="s">
        <v>3</v>
      </c>
      <c r="C1968">
        <v>1</v>
      </c>
    </row>
    <row r="1969" spans="1:3" x14ac:dyDescent="0.25">
      <c r="A1969" t="s">
        <v>6592</v>
      </c>
      <c r="B1969" t="s">
        <v>3</v>
      </c>
      <c r="C1969">
        <v>1</v>
      </c>
    </row>
    <row r="1970" spans="1:3" x14ac:dyDescent="0.25">
      <c r="A1970" t="s">
        <v>6659</v>
      </c>
      <c r="B1970" t="s">
        <v>3</v>
      </c>
      <c r="C1970">
        <v>1</v>
      </c>
    </row>
    <row r="1971" spans="1:3" x14ac:dyDescent="0.25">
      <c r="A1971" s="27" t="s">
        <v>6678</v>
      </c>
      <c r="B1971" s="27" t="s">
        <v>7862</v>
      </c>
      <c r="C1971" s="27">
        <v>2</v>
      </c>
    </row>
    <row r="1972" spans="1:3" x14ac:dyDescent="0.25">
      <c r="A1972" t="s">
        <v>6699</v>
      </c>
      <c r="B1972" t="s">
        <v>3</v>
      </c>
      <c r="C1972">
        <v>1</v>
      </c>
    </row>
    <row r="1973" spans="1:3" x14ac:dyDescent="0.25">
      <c r="A1973" t="s">
        <v>6710</v>
      </c>
      <c r="B1973" t="s">
        <v>3</v>
      </c>
      <c r="C1973">
        <v>1</v>
      </c>
    </row>
    <row r="1974" spans="1:3" x14ac:dyDescent="0.25">
      <c r="A1974" t="s">
        <v>6739</v>
      </c>
      <c r="B1974" t="s">
        <v>3</v>
      </c>
      <c r="C1974">
        <v>1</v>
      </c>
    </row>
    <row r="1975" spans="1:3" x14ac:dyDescent="0.25">
      <c r="A1975" t="s">
        <v>6782</v>
      </c>
      <c r="B1975" t="s">
        <v>3</v>
      </c>
      <c r="C1975">
        <v>1</v>
      </c>
    </row>
    <row r="1976" spans="1:3" x14ac:dyDescent="0.25">
      <c r="A1976" t="s">
        <v>6972</v>
      </c>
      <c r="B1976" t="s">
        <v>3</v>
      </c>
      <c r="C1976">
        <v>1</v>
      </c>
    </row>
    <row r="1977" spans="1:3" x14ac:dyDescent="0.25">
      <c r="A1977" t="s">
        <v>6837</v>
      </c>
      <c r="B1977" t="s">
        <v>3</v>
      </c>
      <c r="C1977">
        <v>1</v>
      </c>
    </row>
    <row r="1978" spans="1:3" x14ac:dyDescent="0.25">
      <c r="A1978" t="s">
        <v>6921</v>
      </c>
      <c r="B1978" t="s">
        <v>3</v>
      </c>
      <c r="C1978">
        <v>1</v>
      </c>
    </row>
    <row r="1979" spans="1:3" x14ac:dyDescent="0.25">
      <c r="A1979" t="s">
        <v>6879</v>
      </c>
      <c r="B1979" t="s">
        <v>3</v>
      </c>
      <c r="C1979">
        <v>1</v>
      </c>
    </row>
    <row r="1980" spans="1:3" x14ac:dyDescent="0.25">
      <c r="A1980" t="s">
        <v>6953</v>
      </c>
      <c r="B1980" t="s">
        <v>3</v>
      </c>
      <c r="C1980">
        <v>1</v>
      </c>
    </row>
    <row r="1981" spans="1:3" x14ac:dyDescent="0.25">
      <c r="A1981" t="s">
        <v>6935</v>
      </c>
      <c r="B1981" t="s">
        <v>3</v>
      </c>
      <c r="C1981">
        <v>1</v>
      </c>
    </row>
    <row r="1982" spans="1:3" x14ac:dyDescent="0.25">
      <c r="A1982" t="s">
        <v>148</v>
      </c>
      <c r="B1982" t="s">
        <v>9690</v>
      </c>
      <c r="C1982">
        <v>1</v>
      </c>
    </row>
    <row r="1983" spans="1:3" x14ac:dyDescent="0.25">
      <c r="A1983" t="s">
        <v>155</v>
      </c>
      <c r="B1983" t="s">
        <v>7008</v>
      </c>
      <c r="C1983">
        <v>1</v>
      </c>
    </row>
    <row r="1984" spans="1:3" x14ac:dyDescent="0.25">
      <c r="A1984" t="s">
        <v>154</v>
      </c>
      <c r="B1984" t="s">
        <v>7008</v>
      </c>
      <c r="C1984">
        <v>1</v>
      </c>
    </row>
    <row r="1985" spans="1:3" x14ac:dyDescent="0.25">
      <c r="A1985" t="s">
        <v>150</v>
      </c>
      <c r="B1985" t="s">
        <v>7008</v>
      </c>
      <c r="C1985">
        <v>1</v>
      </c>
    </row>
    <row r="1986" spans="1:3" x14ac:dyDescent="0.25">
      <c r="A1986" t="s">
        <v>159</v>
      </c>
      <c r="B1986" t="s">
        <v>7008</v>
      </c>
      <c r="C1986">
        <v>1</v>
      </c>
    </row>
    <row r="1987" spans="1:3" x14ac:dyDescent="0.25">
      <c r="A1987" s="27" t="s">
        <v>161</v>
      </c>
      <c r="B1987" s="27" t="s">
        <v>9690</v>
      </c>
      <c r="C1987" s="27">
        <v>2</v>
      </c>
    </row>
    <row r="1988" spans="1:3" x14ac:dyDescent="0.25">
      <c r="A1988" t="s">
        <v>157</v>
      </c>
      <c r="B1988" t="s">
        <v>7008</v>
      </c>
      <c r="C1988">
        <v>1</v>
      </c>
    </row>
    <row r="1989" spans="1:3" x14ac:dyDescent="0.25">
      <c r="A1989" t="s">
        <v>152</v>
      </c>
      <c r="B1989" t="s">
        <v>7008</v>
      </c>
      <c r="C1989">
        <v>1</v>
      </c>
    </row>
    <row r="1990" spans="1:3" x14ac:dyDescent="0.25">
      <c r="A1990" t="s">
        <v>7356</v>
      </c>
      <c r="B1990" t="s">
        <v>7008</v>
      </c>
      <c r="C1990">
        <v>1</v>
      </c>
    </row>
    <row r="1991" spans="1:3" x14ac:dyDescent="0.25">
      <c r="A1991" t="s">
        <v>7373</v>
      </c>
      <c r="B1991" t="s">
        <v>7008</v>
      </c>
      <c r="C1991">
        <v>1</v>
      </c>
    </row>
    <row r="1992" spans="1:3" x14ac:dyDescent="0.25">
      <c r="A1992" t="s">
        <v>183</v>
      </c>
      <c r="B1992" t="s">
        <v>7008</v>
      </c>
      <c r="C1992">
        <v>1</v>
      </c>
    </row>
    <row r="1993" spans="1:3" x14ac:dyDescent="0.25">
      <c r="A1993" t="s">
        <v>175</v>
      </c>
      <c r="B1993" t="s">
        <v>7008</v>
      </c>
      <c r="C1993">
        <v>1</v>
      </c>
    </row>
    <row r="1994" spans="1:3" x14ac:dyDescent="0.25">
      <c r="A1994" t="s">
        <v>185</v>
      </c>
      <c r="B1994" t="s">
        <v>7008</v>
      </c>
      <c r="C1994">
        <v>1</v>
      </c>
    </row>
    <row r="1995" spans="1:3" x14ac:dyDescent="0.25">
      <c r="A1995" t="s">
        <v>187</v>
      </c>
      <c r="B1995" t="s">
        <v>7008</v>
      </c>
      <c r="C1995">
        <v>1</v>
      </c>
    </row>
    <row r="1996" spans="1:3" x14ac:dyDescent="0.25">
      <c r="A1996" t="s">
        <v>177</v>
      </c>
      <c r="B1996" t="s">
        <v>7008</v>
      </c>
      <c r="C1996">
        <v>1</v>
      </c>
    </row>
    <row r="1997" spans="1:3" x14ac:dyDescent="0.25">
      <c r="A1997" t="s">
        <v>181</v>
      </c>
      <c r="B1997" t="s">
        <v>7008</v>
      </c>
      <c r="C1997">
        <v>1</v>
      </c>
    </row>
    <row r="1998" spans="1:3" x14ac:dyDescent="0.25">
      <c r="A1998" t="s">
        <v>7503</v>
      </c>
      <c r="B1998" t="s">
        <v>7008</v>
      </c>
      <c r="C1998">
        <v>1</v>
      </c>
    </row>
    <row r="1999" spans="1:3" x14ac:dyDescent="0.25">
      <c r="A1999" t="s">
        <v>7466</v>
      </c>
      <c r="B1999" t="s">
        <v>7008</v>
      </c>
      <c r="C1999">
        <v>1</v>
      </c>
    </row>
    <row r="2000" spans="1:3" x14ac:dyDescent="0.25">
      <c r="A2000" t="s">
        <v>7525</v>
      </c>
      <c r="B2000" t="s">
        <v>7008</v>
      </c>
      <c r="C2000">
        <v>1</v>
      </c>
    </row>
    <row r="2001" spans="1:3" x14ac:dyDescent="0.25">
      <c r="A2001" t="s">
        <v>7550</v>
      </c>
      <c r="B2001" t="s">
        <v>7008</v>
      </c>
      <c r="C2001">
        <v>1</v>
      </c>
    </row>
    <row r="2002" spans="1:3" x14ac:dyDescent="0.25">
      <c r="A2002" t="s">
        <v>144</v>
      </c>
      <c r="B2002" t="s">
        <v>9690</v>
      </c>
      <c r="C2002">
        <v>1</v>
      </c>
    </row>
    <row r="2003" spans="1:3" x14ac:dyDescent="0.25">
      <c r="A2003" t="s">
        <v>146</v>
      </c>
      <c r="B2003" t="s">
        <v>9690</v>
      </c>
      <c r="C2003">
        <v>1</v>
      </c>
    </row>
    <row r="2004" spans="1:3" x14ac:dyDescent="0.25">
      <c r="A2004" t="s">
        <v>143</v>
      </c>
      <c r="B2004" t="s">
        <v>9690</v>
      </c>
      <c r="C2004">
        <v>1</v>
      </c>
    </row>
    <row r="2005" spans="1:3" x14ac:dyDescent="0.25">
      <c r="A2005" t="s">
        <v>141</v>
      </c>
      <c r="B2005" t="s">
        <v>9690</v>
      </c>
      <c r="C2005">
        <v>1</v>
      </c>
    </row>
    <row r="2006" spans="1:3" x14ac:dyDescent="0.25">
      <c r="A2006" t="s">
        <v>139</v>
      </c>
      <c r="B2006" t="s">
        <v>9690</v>
      </c>
      <c r="C2006">
        <v>1</v>
      </c>
    </row>
    <row r="2007" spans="1:3" x14ac:dyDescent="0.25">
      <c r="A2007" t="s">
        <v>9991</v>
      </c>
      <c r="B2007" t="s">
        <v>9690</v>
      </c>
      <c r="C2007">
        <v>1</v>
      </c>
    </row>
    <row r="2008" spans="1:3" x14ac:dyDescent="0.25">
      <c r="A2008" t="s">
        <v>10108</v>
      </c>
      <c r="B2008" t="s">
        <v>9690</v>
      </c>
      <c r="C2008">
        <v>1</v>
      </c>
    </row>
    <row r="2009" spans="1:3" x14ac:dyDescent="0.25">
      <c r="A2009" t="s">
        <v>10136</v>
      </c>
      <c r="B2009" t="s">
        <v>9690</v>
      </c>
      <c r="C2009">
        <v>1</v>
      </c>
    </row>
    <row r="2010" spans="1:3" x14ac:dyDescent="0.25">
      <c r="A2010" t="s">
        <v>10200</v>
      </c>
      <c r="B2010" t="s">
        <v>9690</v>
      </c>
      <c r="C2010">
        <v>1</v>
      </c>
    </row>
    <row r="2011" spans="1:3" x14ac:dyDescent="0.25">
      <c r="A2011" t="s">
        <v>10285</v>
      </c>
      <c r="B2011" t="s">
        <v>9690</v>
      </c>
      <c r="C2011">
        <v>1</v>
      </c>
    </row>
    <row r="2012" spans="1:3" x14ac:dyDescent="0.25">
      <c r="A2012" t="s">
        <v>10368</v>
      </c>
      <c r="B2012" t="s">
        <v>9690</v>
      </c>
      <c r="C2012">
        <v>1</v>
      </c>
    </row>
    <row r="2013" spans="1:3" x14ac:dyDescent="0.25">
      <c r="A2013" t="s">
        <v>10388</v>
      </c>
      <c r="B2013" t="s">
        <v>9690</v>
      </c>
      <c r="C2013">
        <v>1</v>
      </c>
    </row>
    <row r="2014" spans="1:3" x14ac:dyDescent="0.25">
      <c r="A2014" t="s">
        <v>10436</v>
      </c>
      <c r="B2014" t="s">
        <v>9690</v>
      </c>
      <c r="C2014">
        <v>1</v>
      </c>
    </row>
    <row r="2015" spans="1:3" x14ac:dyDescent="0.25">
      <c r="A2015" t="s">
        <v>136</v>
      </c>
      <c r="B2015" t="s">
        <v>9690</v>
      </c>
      <c r="C2015">
        <v>1</v>
      </c>
    </row>
    <row r="2016" spans="1:3" x14ac:dyDescent="0.25">
      <c r="A2016" t="s">
        <v>170</v>
      </c>
      <c r="B2016" t="s">
        <v>7008</v>
      </c>
      <c r="C2016">
        <v>1</v>
      </c>
    </row>
    <row r="2017" spans="1:3" x14ac:dyDescent="0.25">
      <c r="A2017" t="s">
        <v>173</v>
      </c>
      <c r="B2017" t="s">
        <v>7008</v>
      </c>
      <c r="C2017">
        <v>1</v>
      </c>
    </row>
    <row r="2018" spans="1:3" x14ac:dyDescent="0.25">
      <c r="A2018" t="s">
        <v>166</v>
      </c>
      <c r="B2018" t="s">
        <v>9690</v>
      </c>
      <c r="C2018">
        <v>1</v>
      </c>
    </row>
    <row r="2019" spans="1:3" x14ac:dyDescent="0.25">
      <c r="A2019" t="s">
        <v>162</v>
      </c>
      <c r="B2019" t="s">
        <v>9690</v>
      </c>
      <c r="C2019">
        <v>1</v>
      </c>
    </row>
    <row r="2020" spans="1:3" x14ac:dyDescent="0.25">
      <c r="A2020" t="s">
        <v>171</v>
      </c>
      <c r="B2020" t="s">
        <v>9690</v>
      </c>
      <c r="C2020">
        <v>1</v>
      </c>
    </row>
    <row r="2021" spans="1:3" x14ac:dyDescent="0.25">
      <c r="A2021" t="s">
        <v>168</v>
      </c>
      <c r="B2021" t="s">
        <v>9690</v>
      </c>
      <c r="C2021">
        <v>1</v>
      </c>
    </row>
    <row r="2022" spans="1:3" x14ac:dyDescent="0.25">
      <c r="A2022" t="s">
        <v>164</v>
      </c>
      <c r="B2022" t="s">
        <v>9690</v>
      </c>
      <c r="C2022">
        <v>1</v>
      </c>
    </row>
    <row r="2023" spans="1:3" x14ac:dyDescent="0.25">
      <c r="A2023" t="s">
        <v>9894</v>
      </c>
      <c r="B2023" t="s">
        <v>9690</v>
      </c>
      <c r="C2023">
        <v>1</v>
      </c>
    </row>
    <row r="2024" spans="1:3" x14ac:dyDescent="0.25">
      <c r="A2024" t="s">
        <v>11148</v>
      </c>
      <c r="B2024" t="s">
        <v>11145</v>
      </c>
      <c r="C2024">
        <v>1</v>
      </c>
    </row>
    <row r="2025" spans="1:3" x14ac:dyDescent="0.25">
      <c r="A2025" t="s">
        <v>11219</v>
      </c>
      <c r="B2025" t="s">
        <v>11145</v>
      </c>
      <c r="C2025">
        <v>1</v>
      </c>
    </row>
    <row r="2026" spans="1:3" x14ac:dyDescent="0.25">
      <c r="A2026" t="s">
        <v>11250</v>
      </c>
      <c r="B2026" t="s">
        <v>11145</v>
      </c>
      <c r="C2026">
        <v>1</v>
      </c>
    </row>
    <row r="2027" spans="1:3" x14ac:dyDescent="0.25">
      <c r="A2027" t="s">
        <v>11264</v>
      </c>
      <c r="B2027" t="s">
        <v>11145</v>
      </c>
      <c r="C2027">
        <v>1</v>
      </c>
    </row>
    <row r="2028" spans="1:3" x14ac:dyDescent="0.25">
      <c r="A2028" t="s">
        <v>11294</v>
      </c>
      <c r="B2028" t="s">
        <v>11145</v>
      </c>
      <c r="C2028">
        <v>1</v>
      </c>
    </row>
    <row r="2029" spans="1:3" x14ac:dyDescent="0.25">
      <c r="A2029" t="s">
        <v>11310</v>
      </c>
      <c r="B2029" t="s">
        <v>11145</v>
      </c>
      <c r="C2029">
        <v>1</v>
      </c>
    </row>
    <row r="2030" spans="1:3" x14ac:dyDescent="0.25">
      <c r="A2030" t="s">
        <v>11331</v>
      </c>
      <c r="B2030" t="s">
        <v>11145</v>
      </c>
      <c r="C2030">
        <v>1</v>
      </c>
    </row>
    <row r="2031" spans="1:3" x14ac:dyDescent="0.25">
      <c r="A2031" t="s">
        <v>11368</v>
      </c>
      <c r="B2031" t="s">
        <v>11145</v>
      </c>
      <c r="C2031">
        <v>1</v>
      </c>
    </row>
    <row r="2032" spans="1:3" x14ac:dyDescent="0.25">
      <c r="A2032" t="s">
        <v>11389</v>
      </c>
      <c r="B2032" t="s">
        <v>11145</v>
      </c>
      <c r="C2032">
        <v>1</v>
      </c>
    </row>
    <row r="2033" spans="1:3" x14ac:dyDescent="0.25">
      <c r="A2033" t="s">
        <v>11400</v>
      </c>
      <c r="B2033" t="s">
        <v>11145</v>
      </c>
      <c r="C2033">
        <v>1</v>
      </c>
    </row>
    <row r="2034" spans="1:3" x14ac:dyDescent="0.25">
      <c r="A2034" t="s">
        <v>11416</v>
      </c>
      <c r="B2034" t="s">
        <v>11145</v>
      </c>
      <c r="C2034">
        <v>1</v>
      </c>
    </row>
    <row r="2035" spans="1:3" x14ac:dyDescent="0.25">
      <c r="A2035" t="s">
        <v>11521</v>
      </c>
      <c r="B2035" t="s">
        <v>11145</v>
      </c>
      <c r="C2035">
        <v>1</v>
      </c>
    </row>
    <row r="2036" spans="1:3" x14ac:dyDescent="0.25">
      <c r="A2036" t="s">
        <v>11533</v>
      </c>
      <c r="B2036" t="s">
        <v>11145</v>
      </c>
      <c r="C2036">
        <v>1</v>
      </c>
    </row>
    <row r="2037" spans="1:3" x14ac:dyDescent="0.25">
      <c r="A2037" t="s">
        <v>11571</v>
      </c>
      <c r="B2037" t="s">
        <v>11145</v>
      </c>
      <c r="C2037">
        <v>2</v>
      </c>
    </row>
    <row r="2038" spans="1:3" x14ac:dyDescent="0.25">
      <c r="A2038" t="s">
        <v>11606</v>
      </c>
      <c r="B2038" t="s">
        <v>11145</v>
      </c>
      <c r="C2038">
        <v>1</v>
      </c>
    </row>
    <row r="2039" spans="1:3" x14ac:dyDescent="0.25">
      <c r="A2039" t="s">
        <v>11617</v>
      </c>
      <c r="B2039" t="s">
        <v>11145</v>
      </c>
      <c r="C2039">
        <v>1</v>
      </c>
    </row>
    <row r="2040" spans="1:3" x14ac:dyDescent="0.25">
      <c r="A2040" t="s">
        <v>11634</v>
      </c>
      <c r="B2040" t="s">
        <v>11145</v>
      </c>
      <c r="C2040">
        <v>1</v>
      </c>
    </row>
    <row r="2041" spans="1:3" x14ac:dyDescent="0.25">
      <c r="A2041" t="s">
        <v>11652</v>
      </c>
      <c r="B2041" t="s">
        <v>11145</v>
      </c>
      <c r="C2041">
        <v>1</v>
      </c>
    </row>
    <row r="2042" spans="1:3" x14ac:dyDescent="0.25">
      <c r="A2042" t="s">
        <v>11668</v>
      </c>
      <c r="B2042" t="s">
        <v>11145</v>
      </c>
      <c r="C2042">
        <v>1</v>
      </c>
    </row>
    <row r="2043" spans="1:3" x14ac:dyDescent="0.25">
      <c r="A2043" t="s">
        <v>11709</v>
      </c>
      <c r="B2043" t="s">
        <v>11145</v>
      </c>
      <c r="C2043">
        <v>1</v>
      </c>
    </row>
    <row r="2044" spans="1:3" x14ac:dyDescent="0.25">
      <c r="A2044" t="s">
        <v>11721</v>
      </c>
      <c r="B2044" t="s">
        <v>11145</v>
      </c>
      <c r="C2044">
        <v>1</v>
      </c>
    </row>
    <row r="2045" spans="1:3" x14ac:dyDescent="0.25">
      <c r="A2045" t="s">
        <v>11741</v>
      </c>
      <c r="B2045" t="s">
        <v>11145</v>
      </c>
      <c r="C2045">
        <v>1</v>
      </c>
    </row>
    <row r="2046" spans="1:3" x14ac:dyDescent="0.25">
      <c r="A2046" t="s">
        <v>11758</v>
      </c>
      <c r="B2046" t="s">
        <v>11145</v>
      </c>
      <c r="C2046">
        <v>1</v>
      </c>
    </row>
    <row r="2047" spans="1:3" x14ac:dyDescent="0.25">
      <c r="A2047" t="s">
        <v>11779</v>
      </c>
      <c r="B2047" t="s">
        <v>11145</v>
      </c>
      <c r="C2047">
        <v>1</v>
      </c>
    </row>
    <row r="2048" spans="1:3" x14ac:dyDescent="0.25">
      <c r="A2048" t="s">
        <v>258</v>
      </c>
      <c r="B2048" t="s">
        <v>11145</v>
      </c>
      <c r="C2048">
        <v>1</v>
      </c>
    </row>
    <row r="2049" spans="1:3" x14ac:dyDescent="0.25">
      <c r="A2049" t="s">
        <v>260</v>
      </c>
      <c r="B2049" t="s">
        <v>11145</v>
      </c>
      <c r="C2049">
        <v>1</v>
      </c>
    </row>
    <row r="2050" spans="1:3" x14ac:dyDescent="0.25">
      <c r="A2050" t="s">
        <v>261</v>
      </c>
      <c r="B2050" t="s">
        <v>11145</v>
      </c>
      <c r="C2050">
        <v>1</v>
      </c>
    </row>
    <row r="2051" spans="1:3" x14ac:dyDescent="0.25">
      <c r="A2051" t="s">
        <v>257</v>
      </c>
      <c r="B2051" t="s">
        <v>11145</v>
      </c>
      <c r="C2051">
        <v>1</v>
      </c>
    </row>
    <row r="2052" spans="1:3" x14ac:dyDescent="0.25">
      <c r="A2052" t="s">
        <v>256</v>
      </c>
      <c r="B2052" t="s">
        <v>11145</v>
      </c>
      <c r="C2052">
        <v>1</v>
      </c>
    </row>
    <row r="2053" spans="1:3" x14ac:dyDescent="0.25">
      <c r="A2053" t="s">
        <v>259</v>
      </c>
      <c r="B2053" t="s">
        <v>11145</v>
      </c>
      <c r="C2053">
        <v>1</v>
      </c>
    </row>
    <row r="2054" spans="1:3" x14ac:dyDescent="0.25">
      <c r="A2054" t="s">
        <v>255</v>
      </c>
      <c r="B2054" t="s">
        <v>11145</v>
      </c>
      <c r="C2054">
        <v>3</v>
      </c>
    </row>
    <row r="2055" spans="1:3" x14ac:dyDescent="0.25">
      <c r="A2055" t="s">
        <v>11992</v>
      </c>
      <c r="B2055" t="s">
        <v>11145</v>
      </c>
      <c r="C2055">
        <v>1</v>
      </c>
    </row>
    <row r="2056" spans="1:3" x14ac:dyDescent="0.25">
      <c r="A2056" t="s">
        <v>239</v>
      </c>
      <c r="B2056" t="s">
        <v>12007</v>
      </c>
      <c r="C2056">
        <v>1</v>
      </c>
    </row>
    <row r="2057" spans="1:3" x14ac:dyDescent="0.25">
      <c r="A2057" t="s">
        <v>243</v>
      </c>
      <c r="B2057" t="s">
        <v>12007</v>
      </c>
      <c r="C2057">
        <v>1</v>
      </c>
    </row>
    <row r="2058" spans="1:3" x14ac:dyDescent="0.25">
      <c r="A2058" t="s">
        <v>12077</v>
      </c>
      <c r="B2058" t="s">
        <v>12007</v>
      </c>
      <c r="C2058">
        <v>1</v>
      </c>
    </row>
    <row r="2059" spans="1:3" x14ac:dyDescent="0.25">
      <c r="A2059" t="s">
        <v>240</v>
      </c>
      <c r="B2059" t="s">
        <v>12007</v>
      </c>
      <c r="C2059">
        <v>1</v>
      </c>
    </row>
    <row r="2060" spans="1:3" x14ac:dyDescent="0.25">
      <c r="A2060" t="s">
        <v>12148</v>
      </c>
      <c r="B2060" t="s">
        <v>12007</v>
      </c>
      <c r="C2060">
        <v>1</v>
      </c>
    </row>
    <row r="2061" spans="1:3" x14ac:dyDescent="0.25">
      <c r="A2061" t="s">
        <v>245</v>
      </c>
      <c r="B2061" t="s">
        <v>12007</v>
      </c>
      <c r="C2061">
        <v>1</v>
      </c>
    </row>
    <row r="2062" spans="1:3" x14ac:dyDescent="0.25">
      <c r="A2062" t="s">
        <v>237</v>
      </c>
      <c r="B2062" t="s">
        <v>12007</v>
      </c>
      <c r="C2062">
        <v>1</v>
      </c>
    </row>
    <row r="2063" spans="1:3" x14ac:dyDescent="0.25">
      <c r="A2063" t="s">
        <v>241</v>
      </c>
      <c r="B2063" t="s">
        <v>12007</v>
      </c>
      <c r="C2063">
        <v>1</v>
      </c>
    </row>
    <row r="2064" spans="1:3" x14ac:dyDescent="0.25">
      <c r="A2064" t="s">
        <v>252</v>
      </c>
      <c r="B2064" t="s">
        <v>12007</v>
      </c>
      <c r="C2064">
        <v>1</v>
      </c>
    </row>
    <row r="2065" spans="1:3" x14ac:dyDescent="0.25">
      <c r="A2065" t="s">
        <v>250</v>
      </c>
      <c r="B2065" t="s">
        <v>12007</v>
      </c>
      <c r="C2065">
        <v>1</v>
      </c>
    </row>
    <row r="2066" spans="1:3" x14ac:dyDescent="0.25">
      <c r="A2066" t="s">
        <v>249</v>
      </c>
      <c r="B2066" t="s">
        <v>12007</v>
      </c>
      <c r="C2066">
        <v>1</v>
      </c>
    </row>
    <row r="2067" spans="1:3" x14ac:dyDescent="0.25">
      <c r="A2067" t="s">
        <v>246</v>
      </c>
      <c r="B2067" t="s">
        <v>12007</v>
      </c>
      <c r="C2067">
        <v>1</v>
      </c>
    </row>
    <row r="2068" spans="1:3" x14ac:dyDescent="0.25">
      <c r="A2068" t="s">
        <v>12324</v>
      </c>
      <c r="B2068" t="s">
        <v>12007</v>
      </c>
      <c r="C2068">
        <v>1</v>
      </c>
    </row>
    <row r="2069" spans="1:3" x14ac:dyDescent="0.25">
      <c r="A2069" t="s">
        <v>253</v>
      </c>
      <c r="B2069" t="s">
        <v>12007</v>
      </c>
      <c r="C2069">
        <v>1</v>
      </c>
    </row>
    <row r="2070" spans="1:3" x14ac:dyDescent="0.25">
      <c r="A2070" t="s">
        <v>12350</v>
      </c>
      <c r="B2070" t="s">
        <v>12007</v>
      </c>
      <c r="C2070">
        <v>1</v>
      </c>
    </row>
    <row r="2071" spans="1:3" x14ac:dyDescent="0.25">
      <c r="A2071" t="s">
        <v>97</v>
      </c>
      <c r="B2071" t="s">
        <v>11</v>
      </c>
      <c r="C2071">
        <v>1</v>
      </c>
    </row>
    <row r="2072" spans="1:3" x14ac:dyDescent="0.25">
      <c r="A2072" t="s">
        <v>95</v>
      </c>
      <c r="B2072" t="s">
        <v>11</v>
      </c>
      <c r="C2072">
        <v>1</v>
      </c>
    </row>
    <row r="2073" spans="1:3" x14ac:dyDescent="0.25">
      <c r="A2073" t="s">
        <v>93</v>
      </c>
      <c r="B2073" t="s">
        <v>11</v>
      </c>
      <c r="C2073">
        <v>1</v>
      </c>
    </row>
    <row r="2074" spans="1:3" x14ac:dyDescent="0.25">
      <c r="A2074" t="s">
        <v>91</v>
      </c>
      <c r="B2074" t="s">
        <v>11</v>
      </c>
      <c r="C2074">
        <v>1</v>
      </c>
    </row>
    <row r="2075" spans="1:3" x14ac:dyDescent="0.25">
      <c r="A2075" t="s">
        <v>60</v>
      </c>
      <c r="B2075" t="s">
        <v>11</v>
      </c>
      <c r="C2075">
        <v>1</v>
      </c>
    </row>
    <row r="2076" spans="1:3" x14ac:dyDescent="0.25">
      <c r="A2076" t="s">
        <v>65</v>
      </c>
      <c r="B2076" t="s">
        <v>11</v>
      </c>
      <c r="C2076">
        <v>1</v>
      </c>
    </row>
    <row r="2077" spans="1:3" x14ac:dyDescent="0.25">
      <c r="A2077" t="s">
        <v>63</v>
      </c>
      <c r="B2077" t="s">
        <v>11</v>
      </c>
      <c r="C2077">
        <v>1</v>
      </c>
    </row>
    <row r="2078" spans="1:3" x14ac:dyDescent="0.25">
      <c r="A2078" t="s">
        <v>61</v>
      </c>
      <c r="B2078" t="s">
        <v>11</v>
      </c>
      <c r="C2078">
        <v>1</v>
      </c>
    </row>
    <row r="2079" spans="1:3" x14ac:dyDescent="0.25">
      <c r="A2079" t="s">
        <v>58</v>
      </c>
      <c r="B2079" t="s">
        <v>11</v>
      </c>
      <c r="C2079">
        <v>1</v>
      </c>
    </row>
    <row r="2080" spans="1:3" x14ac:dyDescent="0.25">
      <c r="A2080" t="s">
        <v>66</v>
      </c>
      <c r="B2080" t="s">
        <v>11</v>
      </c>
      <c r="C2080">
        <v>1</v>
      </c>
    </row>
    <row r="2081" spans="1:3" x14ac:dyDescent="0.25">
      <c r="A2081" t="s">
        <v>100</v>
      </c>
      <c r="B2081" t="s">
        <v>11</v>
      </c>
      <c r="C2081">
        <v>1</v>
      </c>
    </row>
    <row r="2082" spans="1:3" x14ac:dyDescent="0.25">
      <c r="A2082" t="s">
        <v>101</v>
      </c>
      <c r="B2082" t="s">
        <v>11</v>
      </c>
      <c r="C2082">
        <v>1</v>
      </c>
    </row>
    <row r="2083" spans="1:3" x14ac:dyDescent="0.25">
      <c r="A2083" t="s">
        <v>104</v>
      </c>
      <c r="B2083" t="s">
        <v>11</v>
      </c>
      <c r="C2083">
        <v>1</v>
      </c>
    </row>
    <row r="2084" spans="1:3" x14ac:dyDescent="0.25">
      <c r="A2084" t="s">
        <v>103</v>
      </c>
      <c r="B2084" t="s">
        <v>11</v>
      </c>
      <c r="C2084">
        <v>1</v>
      </c>
    </row>
    <row r="2085" spans="1:3" x14ac:dyDescent="0.25">
      <c r="A2085" t="s">
        <v>105</v>
      </c>
      <c r="B2085" t="s">
        <v>11</v>
      </c>
      <c r="C2085">
        <v>1</v>
      </c>
    </row>
    <row r="2086" spans="1:3" x14ac:dyDescent="0.25">
      <c r="A2086" t="s">
        <v>8994</v>
      </c>
      <c r="B2086" t="s">
        <v>11</v>
      </c>
      <c r="C2086">
        <v>1</v>
      </c>
    </row>
    <row r="2087" spans="1:3" x14ac:dyDescent="0.25">
      <c r="A2087" t="s">
        <v>9004</v>
      </c>
      <c r="B2087" t="s">
        <v>11</v>
      </c>
      <c r="C2087">
        <v>1</v>
      </c>
    </row>
    <row r="2088" spans="1:3" x14ac:dyDescent="0.25">
      <c r="A2088" t="s">
        <v>9014</v>
      </c>
      <c r="B2088" t="s">
        <v>11</v>
      </c>
      <c r="C2088">
        <v>1</v>
      </c>
    </row>
    <row r="2089" spans="1:3" x14ac:dyDescent="0.25">
      <c r="A2089" t="s">
        <v>9046</v>
      </c>
      <c r="B2089" t="s">
        <v>11</v>
      </c>
      <c r="C2089">
        <v>1</v>
      </c>
    </row>
    <row r="2090" spans="1:3" x14ac:dyDescent="0.25">
      <c r="A2090" t="s">
        <v>125</v>
      </c>
      <c r="B2090" t="s">
        <v>11</v>
      </c>
      <c r="C2090">
        <v>1</v>
      </c>
    </row>
    <row r="2091" spans="1:3" x14ac:dyDescent="0.25">
      <c r="A2091" t="s">
        <v>113</v>
      </c>
      <c r="B2091" t="s">
        <v>11</v>
      </c>
      <c r="C2091">
        <v>1</v>
      </c>
    </row>
    <row r="2092" spans="1:3" x14ac:dyDescent="0.25">
      <c r="A2092" t="s">
        <v>119</v>
      </c>
      <c r="B2092" t="s">
        <v>11</v>
      </c>
      <c r="C2092">
        <v>1</v>
      </c>
    </row>
    <row r="2093" spans="1:3" x14ac:dyDescent="0.25">
      <c r="A2093" t="s">
        <v>121</v>
      </c>
      <c r="B2093" t="s">
        <v>11</v>
      </c>
      <c r="C2093">
        <v>1</v>
      </c>
    </row>
    <row r="2094" spans="1:3" x14ac:dyDescent="0.25">
      <c r="A2094" t="s">
        <v>123</v>
      </c>
      <c r="B2094" t="s">
        <v>11</v>
      </c>
      <c r="C2094">
        <v>1</v>
      </c>
    </row>
    <row r="2095" spans="1:3" x14ac:dyDescent="0.25">
      <c r="A2095" t="s">
        <v>117</v>
      </c>
      <c r="B2095" t="s">
        <v>11</v>
      </c>
      <c r="C2095">
        <v>1</v>
      </c>
    </row>
    <row r="2096" spans="1:3" x14ac:dyDescent="0.25">
      <c r="A2096" t="s">
        <v>115</v>
      </c>
      <c r="B2096" t="s">
        <v>11</v>
      </c>
      <c r="C2096">
        <v>1</v>
      </c>
    </row>
    <row r="2097" spans="1:3" x14ac:dyDescent="0.25">
      <c r="A2097" t="s">
        <v>9289</v>
      </c>
      <c r="B2097" t="s">
        <v>11</v>
      </c>
      <c r="C2097">
        <v>1</v>
      </c>
    </row>
    <row r="2098" spans="1:3" x14ac:dyDescent="0.25">
      <c r="A2098" t="s">
        <v>9302</v>
      </c>
      <c r="B2098" t="s">
        <v>11</v>
      </c>
      <c r="C2098">
        <v>1</v>
      </c>
    </row>
    <row r="2099" spans="1:3" x14ac:dyDescent="0.25">
      <c r="A2099" t="s">
        <v>9318</v>
      </c>
      <c r="B2099" t="s">
        <v>11</v>
      </c>
      <c r="C2099">
        <v>1</v>
      </c>
    </row>
    <row r="2100" spans="1:3" x14ac:dyDescent="0.25">
      <c r="A2100" t="s">
        <v>76</v>
      </c>
      <c r="B2100" t="s">
        <v>11</v>
      </c>
      <c r="C2100">
        <v>1</v>
      </c>
    </row>
    <row r="2101" spans="1:3" x14ac:dyDescent="0.25">
      <c r="A2101" t="s">
        <v>72</v>
      </c>
      <c r="B2101" t="s">
        <v>11</v>
      </c>
      <c r="C2101">
        <v>1</v>
      </c>
    </row>
    <row r="2102" spans="1:3" x14ac:dyDescent="0.25">
      <c r="A2102" t="s">
        <v>78</v>
      </c>
      <c r="B2102" t="s">
        <v>11</v>
      </c>
      <c r="C2102">
        <v>1</v>
      </c>
    </row>
    <row r="2103" spans="1:3" x14ac:dyDescent="0.25">
      <c r="A2103" t="s">
        <v>70</v>
      </c>
      <c r="B2103" t="s">
        <v>11</v>
      </c>
      <c r="C2103">
        <v>1</v>
      </c>
    </row>
    <row r="2104" spans="1:3" x14ac:dyDescent="0.25">
      <c r="A2104" t="s">
        <v>80</v>
      </c>
      <c r="B2104" t="s">
        <v>11</v>
      </c>
      <c r="C2104">
        <v>1</v>
      </c>
    </row>
    <row r="2105" spans="1:3" x14ac:dyDescent="0.25">
      <c r="A2105" t="s">
        <v>74</v>
      </c>
      <c r="B2105" t="s">
        <v>11</v>
      </c>
      <c r="C2105">
        <v>1</v>
      </c>
    </row>
    <row r="2106" spans="1:3" x14ac:dyDescent="0.25">
      <c r="A2106" t="s">
        <v>68</v>
      </c>
      <c r="B2106" t="s">
        <v>11</v>
      </c>
      <c r="C2106">
        <v>2</v>
      </c>
    </row>
    <row r="2107" spans="1:3" x14ac:dyDescent="0.25">
      <c r="A2107" t="s">
        <v>89</v>
      </c>
      <c r="B2107" t="s">
        <v>11</v>
      </c>
      <c r="C2107">
        <v>1</v>
      </c>
    </row>
    <row r="2108" spans="1:3" x14ac:dyDescent="0.25">
      <c r="A2108" t="s">
        <v>84</v>
      </c>
      <c r="B2108" t="s">
        <v>11</v>
      </c>
      <c r="C2108">
        <v>1</v>
      </c>
    </row>
    <row r="2109" spans="1:3" x14ac:dyDescent="0.25">
      <c r="A2109" t="s">
        <v>87</v>
      </c>
      <c r="B2109" t="s">
        <v>11</v>
      </c>
      <c r="C2109">
        <v>1</v>
      </c>
    </row>
    <row r="2110" spans="1:3" x14ac:dyDescent="0.25">
      <c r="A2110" t="s">
        <v>83</v>
      </c>
      <c r="B2110" t="s">
        <v>11</v>
      </c>
      <c r="C2110">
        <v>1</v>
      </c>
    </row>
    <row r="2111" spans="1:3" x14ac:dyDescent="0.25">
      <c r="A2111" t="s">
        <v>86</v>
      </c>
      <c r="B2111" t="s">
        <v>11</v>
      </c>
      <c r="C2111">
        <v>1</v>
      </c>
    </row>
    <row r="2112" spans="1:3" x14ac:dyDescent="0.25">
      <c r="A2112" t="s">
        <v>111</v>
      </c>
      <c r="B2112" t="s">
        <v>11</v>
      </c>
      <c r="C2112">
        <v>1</v>
      </c>
    </row>
    <row r="2113" spans="1:3" x14ac:dyDescent="0.25">
      <c r="A2113" t="s">
        <v>110</v>
      </c>
      <c r="B2113" t="s">
        <v>11</v>
      </c>
      <c r="C2113">
        <v>1</v>
      </c>
    </row>
    <row r="2114" spans="1:3" x14ac:dyDescent="0.25">
      <c r="A2114" t="s">
        <v>108</v>
      </c>
      <c r="B2114" t="s">
        <v>11</v>
      </c>
      <c r="C2114">
        <v>1</v>
      </c>
    </row>
    <row r="2115" spans="1:3" x14ac:dyDescent="0.25">
      <c r="A2115" t="s">
        <v>7788</v>
      </c>
      <c r="B2115" t="s">
        <v>7616</v>
      </c>
      <c r="C2115">
        <v>1</v>
      </c>
    </row>
    <row r="2116" spans="1:3" x14ac:dyDescent="0.25">
      <c r="A2116" t="s">
        <v>7812</v>
      </c>
      <c r="B2116" t="s">
        <v>7616</v>
      </c>
      <c r="C2116">
        <v>1</v>
      </c>
    </row>
    <row r="2117" spans="1:3" x14ac:dyDescent="0.25">
      <c r="A2117" t="s">
        <v>7828</v>
      </c>
      <c r="B2117" t="s">
        <v>7616</v>
      </c>
      <c r="C2117">
        <v>1</v>
      </c>
    </row>
    <row r="2118" spans="1:3" x14ac:dyDescent="0.25">
      <c r="A2118" t="s">
        <v>7844</v>
      </c>
      <c r="B2118" t="s">
        <v>7616</v>
      </c>
      <c r="C2118">
        <v>1</v>
      </c>
    </row>
    <row r="2119" spans="1:3" x14ac:dyDescent="0.25">
      <c r="A2119" t="s">
        <v>7851</v>
      </c>
      <c r="B2119" t="s">
        <v>7616</v>
      </c>
      <c r="C2119">
        <v>1</v>
      </c>
    </row>
    <row r="2120" spans="1:3" x14ac:dyDescent="0.25">
      <c r="A2120" t="s">
        <v>229</v>
      </c>
      <c r="B2120" t="s">
        <v>7862</v>
      </c>
      <c r="C2120">
        <v>1</v>
      </c>
    </row>
    <row r="2121" spans="1:3" x14ac:dyDescent="0.25">
      <c r="A2121" t="s">
        <v>227</v>
      </c>
      <c r="B2121" t="s">
        <v>7862</v>
      </c>
      <c r="C2121">
        <v>1</v>
      </c>
    </row>
    <row r="2122" spans="1:3" x14ac:dyDescent="0.25">
      <c r="A2122" t="s">
        <v>231</v>
      </c>
      <c r="B2122" t="s">
        <v>7862</v>
      </c>
      <c r="C2122">
        <v>1</v>
      </c>
    </row>
    <row r="2123" spans="1:3" x14ac:dyDescent="0.25">
      <c r="A2123" t="s">
        <v>225</v>
      </c>
      <c r="B2123" t="s">
        <v>7862</v>
      </c>
      <c r="C2123">
        <v>1</v>
      </c>
    </row>
    <row r="2124" spans="1:3" x14ac:dyDescent="0.25">
      <c r="A2124" t="s">
        <v>235</v>
      </c>
      <c r="B2124" t="s">
        <v>7862</v>
      </c>
      <c r="C2124">
        <v>1</v>
      </c>
    </row>
    <row r="2125" spans="1:3" x14ac:dyDescent="0.25">
      <c r="A2125" t="s">
        <v>193</v>
      </c>
      <c r="B2125" t="s">
        <v>7862</v>
      </c>
      <c r="C2125">
        <v>1</v>
      </c>
    </row>
    <row r="2126" spans="1:3" x14ac:dyDescent="0.25">
      <c r="A2126" t="s">
        <v>195</v>
      </c>
      <c r="B2126" t="s">
        <v>7862</v>
      </c>
      <c r="C2126">
        <v>1</v>
      </c>
    </row>
    <row r="2127" spans="1:3" x14ac:dyDescent="0.25">
      <c r="A2127" t="s">
        <v>191</v>
      </c>
      <c r="B2127" t="s">
        <v>7862</v>
      </c>
      <c r="C2127">
        <v>1</v>
      </c>
    </row>
    <row r="2128" spans="1:3" x14ac:dyDescent="0.25">
      <c r="A2128" t="s">
        <v>189</v>
      </c>
      <c r="B2128" t="s">
        <v>7862</v>
      </c>
      <c r="C2128">
        <v>1</v>
      </c>
    </row>
    <row r="2129" spans="1:3" x14ac:dyDescent="0.25">
      <c r="A2129" t="s">
        <v>197</v>
      </c>
      <c r="B2129" t="s">
        <v>7862</v>
      </c>
      <c r="C2129">
        <v>1</v>
      </c>
    </row>
    <row r="2130" spans="1:3" x14ac:dyDescent="0.25">
      <c r="A2130" t="s">
        <v>199</v>
      </c>
      <c r="B2130" t="s">
        <v>7862</v>
      </c>
      <c r="C2130">
        <v>1</v>
      </c>
    </row>
    <row r="2131" spans="1:3" x14ac:dyDescent="0.25">
      <c r="A2131" t="s">
        <v>198</v>
      </c>
      <c r="B2131" t="s">
        <v>7862</v>
      </c>
      <c r="C2131">
        <v>1</v>
      </c>
    </row>
    <row r="2132" spans="1:3" x14ac:dyDescent="0.25">
      <c r="A2132" t="s">
        <v>220</v>
      </c>
      <c r="B2132" t="s">
        <v>10806</v>
      </c>
      <c r="C2132">
        <v>1</v>
      </c>
    </row>
    <row r="2133" spans="1:3" x14ac:dyDescent="0.25">
      <c r="A2133" t="s">
        <v>218</v>
      </c>
      <c r="B2133" t="s">
        <v>10806</v>
      </c>
      <c r="C2133">
        <v>1</v>
      </c>
    </row>
    <row r="2134" spans="1:3" x14ac:dyDescent="0.25">
      <c r="A2134" t="s">
        <v>216</v>
      </c>
      <c r="B2134" t="s">
        <v>10806</v>
      </c>
      <c r="C2134">
        <v>1</v>
      </c>
    </row>
    <row r="2135" spans="1:3" x14ac:dyDescent="0.25">
      <c r="A2135" t="s">
        <v>211</v>
      </c>
      <c r="B2135" t="s">
        <v>10806</v>
      </c>
      <c r="C2135">
        <v>1</v>
      </c>
    </row>
    <row r="2136" spans="1:3" x14ac:dyDescent="0.25">
      <c r="A2136" t="s">
        <v>214</v>
      </c>
      <c r="B2136" t="s">
        <v>10806</v>
      </c>
      <c r="C2136">
        <v>1</v>
      </c>
    </row>
    <row r="2137" spans="1:3" x14ac:dyDescent="0.25">
      <c r="A2137" t="s">
        <v>213</v>
      </c>
      <c r="B2137" t="s">
        <v>10806</v>
      </c>
      <c r="C2137">
        <v>1</v>
      </c>
    </row>
    <row r="2138" spans="1:3" x14ac:dyDescent="0.25">
      <c r="A2138" t="s">
        <v>210</v>
      </c>
      <c r="B2138" t="s">
        <v>10806</v>
      </c>
      <c r="C2138">
        <v>1</v>
      </c>
    </row>
    <row r="2139" spans="1:3" x14ac:dyDescent="0.25">
      <c r="A2139" t="s">
        <v>208</v>
      </c>
      <c r="B2139" t="s">
        <v>10806</v>
      </c>
      <c r="C2139">
        <v>1</v>
      </c>
    </row>
    <row r="2140" spans="1:3" x14ac:dyDescent="0.25">
      <c r="A2140" t="s">
        <v>223</v>
      </c>
      <c r="B2140" t="s">
        <v>10806</v>
      </c>
      <c r="C2140">
        <v>1</v>
      </c>
    </row>
    <row r="2141" spans="1:3" x14ac:dyDescent="0.25">
      <c r="A2141" t="s">
        <v>7619</v>
      </c>
      <c r="B2141" t="s">
        <v>7616</v>
      </c>
      <c r="C2141">
        <v>1</v>
      </c>
    </row>
    <row r="2142" spans="1:3" x14ac:dyDescent="0.25">
      <c r="A2142" t="s">
        <v>7639</v>
      </c>
      <c r="B2142" t="s">
        <v>7616</v>
      </c>
      <c r="C2142">
        <v>1</v>
      </c>
    </row>
    <row r="2143" spans="1:3" x14ac:dyDescent="0.25">
      <c r="A2143" t="s">
        <v>7651</v>
      </c>
      <c r="B2143" t="s">
        <v>7616</v>
      </c>
      <c r="C2143">
        <v>1</v>
      </c>
    </row>
    <row r="2144" spans="1:3" x14ac:dyDescent="0.25">
      <c r="A2144" t="s">
        <v>7667</v>
      </c>
      <c r="B2144" t="s">
        <v>7616</v>
      </c>
      <c r="C2144">
        <v>1</v>
      </c>
    </row>
    <row r="2145" spans="1:3" x14ac:dyDescent="0.25">
      <c r="A2145" t="s">
        <v>7683</v>
      </c>
      <c r="B2145" t="s">
        <v>7616</v>
      </c>
      <c r="C2145">
        <v>1</v>
      </c>
    </row>
    <row r="2146" spans="1:3" x14ac:dyDescent="0.25">
      <c r="A2146" t="s">
        <v>7710</v>
      </c>
      <c r="B2146" t="s">
        <v>7616</v>
      </c>
      <c r="C2146">
        <v>1</v>
      </c>
    </row>
    <row r="2147" spans="1:3" x14ac:dyDescent="0.25">
      <c r="A2147" t="s">
        <v>7729</v>
      </c>
      <c r="B2147" t="s">
        <v>7616</v>
      </c>
      <c r="C2147">
        <v>1</v>
      </c>
    </row>
    <row r="2148" spans="1:3" x14ac:dyDescent="0.25">
      <c r="A2148" t="s">
        <v>7754</v>
      </c>
      <c r="B2148" t="s">
        <v>7616</v>
      </c>
      <c r="C2148">
        <v>1</v>
      </c>
    </row>
    <row r="2149" spans="1:3" x14ac:dyDescent="0.25">
      <c r="A2149" t="s">
        <v>8223</v>
      </c>
      <c r="B2149" t="s">
        <v>8182</v>
      </c>
      <c r="C2149">
        <v>1</v>
      </c>
    </row>
    <row r="2150" spans="1:3" x14ac:dyDescent="0.25">
      <c r="A2150" t="s">
        <v>8251</v>
      </c>
      <c r="B2150" t="s">
        <v>8182</v>
      </c>
      <c r="C2150">
        <v>1</v>
      </c>
    </row>
    <row r="2151" spans="1:3" x14ac:dyDescent="0.25">
      <c r="A2151" t="s">
        <v>8288</v>
      </c>
      <c r="B2151" t="s">
        <v>8182</v>
      </c>
      <c r="C2151">
        <v>1</v>
      </c>
    </row>
    <row r="2152" spans="1:3" x14ac:dyDescent="0.25">
      <c r="A2152" t="s">
        <v>8330</v>
      </c>
      <c r="B2152" t="s">
        <v>8182</v>
      </c>
      <c r="C2152">
        <v>1</v>
      </c>
    </row>
    <row r="2153" spans="1:3" x14ac:dyDescent="0.25">
      <c r="A2153" t="s">
        <v>830</v>
      </c>
      <c r="B2153" t="s">
        <v>8182</v>
      </c>
      <c r="C2153">
        <v>1</v>
      </c>
    </row>
    <row r="2154" spans="1:3" x14ac:dyDescent="0.25">
      <c r="A2154" t="s">
        <v>825</v>
      </c>
      <c r="B2154" t="s">
        <v>8182</v>
      </c>
      <c r="C2154">
        <v>1</v>
      </c>
    </row>
    <row r="2155" spans="1:3" x14ac:dyDescent="0.25">
      <c r="A2155" t="s">
        <v>826</v>
      </c>
      <c r="B2155" t="s">
        <v>8182</v>
      </c>
      <c r="C2155">
        <v>1</v>
      </c>
    </row>
    <row r="2156" spans="1:3" x14ac:dyDescent="0.25">
      <c r="A2156" t="s">
        <v>827</v>
      </c>
      <c r="B2156" t="s">
        <v>8182</v>
      </c>
      <c r="C2156">
        <v>1</v>
      </c>
    </row>
    <row r="2157" spans="1:3" x14ac:dyDescent="0.25">
      <c r="A2157" t="s">
        <v>8673</v>
      </c>
      <c r="B2157" t="s">
        <v>8182</v>
      </c>
      <c r="C2157">
        <v>1</v>
      </c>
    </row>
    <row r="2158" spans="1:3" x14ac:dyDescent="0.25">
      <c r="A2158" t="s">
        <v>8662</v>
      </c>
      <c r="B2158" t="s">
        <v>8182</v>
      </c>
      <c r="C2158">
        <v>1</v>
      </c>
    </row>
    <row r="2159" spans="1:3" x14ac:dyDescent="0.25">
      <c r="A2159" t="s">
        <v>812</v>
      </c>
      <c r="B2159" t="s">
        <v>12007</v>
      </c>
      <c r="C2159">
        <v>1</v>
      </c>
    </row>
    <row r="2160" spans="1:3" x14ac:dyDescent="0.25">
      <c r="A2160" t="s">
        <v>806</v>
      </c>
      <c r="B2160" t="s">
        <v>11145</v>
      </c>
      <c r="C2160">
        <v>1</v>
      </c>
    </row>
    <row r="2161" spans="1:3" x14ac:dyDescent="0.25">
      <c r="A2161" t="s">
        <v>733</v>
      </c>
      <c r="B2161" t="s">
        <v>10806</v>
      </c>
      <c r="C2161">
        <v>1</v>
      </c>
    </row>
    <row r="2162" spans="1:3" x14ac:dyDescent="0.25">
      <c r="A2162" t="s">
        <v>626</v>
      </c>
      <c r="B2162" t="s">
        <v>12585</v>
      </c>
      <c r="C2162">
        <v>1</v>
      </c>
    </row>
    <row r="2163" spans="1:3" x14ac:dyDescent="0.25">
      <c r="A2163" t="s">
        <v>610</v>
      </c>
      <c r="B2163" t="s">
        <v>12410</v>
      </c>
      <c r="C2163">
        <v>1</v>
      </c>
    </row>
    <row r="2164" spans="1:3" x14ac:dyDescent="0.25">
      <c r="A2164" t="s">
        <v>611</v>
      </c>
      <c r="B2164" t="s">
        <v>12585</v>
      </c>
      <c r="C2164">
        <v>1</v>
      </c>
    </row>
    <row r="2165" spans="1:3" x14ac:dyDescent="0.25">
      <c r="A2165" t="s">
        <v>613</v>
      </c>
      <c r="B2165" t="s">
        <v>12410</v>
      </c>
      <c r="C2165">
        <v>1</v>
      </c>
    </row>
    <row r="2166" spans="1:3" x14ac:dyDescent="0.25">
      <c r="A2166" t="s">
        <v>616</v>
      </c>
      <c r="B2166" t="s">
        <v>12410</v>
      </c>
      <c r="C2166">
        <v>1</v>
      </c>
    </row>
    <row r="2167" spans="1:3" x14ac:dyDescent="0.25">
      <c r="A2167" t="s">
        <v>589</v>
      </c>
      <c r="B2167" t="s">
        <v>12410</v>
      </c>
      <c r="C2167">
        <v>1</v>
      </c>
    </row>
    <row r="2168" spans="1:3" x14ac:dyDescent="0.25">
      <c r="A2168" t="s">
        <v>593</v>
      </c>
      <c r="B2168" t="s">
        <v>12585</v>
      </c>
      <c r="C2168">
        <v>1</v>
      </c>
    </row>
    <row r="2169" spans="1:3" x14ac:dyDescent="0.25">
      <c r="A2169" t="s">
        <v>628</v>
      </c>
      <c r="B2169" t="s">
        <v>12585</v>
      </c>
      <c r="C2169">
        <v>1</v>
      </c>
    </row>
    <row r="2170" spans="1:3" x14ac:dyDescent="0.25">
      <c r="A2170" t="s">
        <v>618</v>
      </c>
      <c r="B2170" t="s">
        <v>12585</v>
      </c>
      <c r="C2170">
        <v>1</v>
      </c>
    </row>
    <row r="2171" spans="1:3" x14ac:dyDescent="0.25">
      <c r="A2171" t="s">
        <v>634</v>
      </c>
      <c r="B2171" t="s">
        <v>12585</v>
      </c>
      <c r="C2171">
        <v>1</v>
      </c>
    </row>
    <row r="2172" spans="1:3" x14ac:dyDescent="0.25">
      <c r="A2172" t="s">
        <v>635</v>
      </c>
      <c r="B2172" t="s">
        <v>12585</v>
      </c>
      <c r="C2172">
        <v>1</v>
      </c>
    </row>
    <row r="2173" spans="1:3" x14ac:dyDescent="0.25">
      <c r="A2173" t="s">
        <v>970</v>
      </c>
      <c r="B2173" t="s">
        <v>7862</v>
      </c>
      <c r="C2173">
        <v>1</v>
      </c>
    </row>
    <row r="2174" spans="1:3" x14ac:dyDescent="0.25">
      <c r="A2174" t="s">
        <v>11820</v>
      </c>
      <c r="B2174" t="s">
        <v>11145</v>
      </c>
      <c r="C2174">
        <v>1</v>
      </c>
    </row>
    <row r="2175" spans="1:3" x14ac:dyDescent="0.25">
      <c r="A2175" t="s">
        <v>6049</v>
      </c>
      <c r="B2175" t="s">
        <v>3</v>
      </c>
      <c r="C2175">
        <v>1</v>
      </c>
    </row>
    <row r="2176" spans="1:3" x14ac:dyDescent="0.25">
      <c r="A2176" t="s">
        <v>6057</v>
      </c>
      <c r="B2176" t="s">
        <v>3</v>
      </c>
      <c r="C2176">
        <v>1</v>
      </c>
    </row>
    <row r="2177" spans="1:3" x14ac:dyDescent="0.25">
      <c r="A2177" t="s">
        <v>6485</v>
      </c>
      <c r="B2177" t="s">
        <v>3</v>
      </c>
      <c r="C2177">
        <v>1</v>
      </c>
    </row>
    <row r="2178" spans="1:3" x14ac:dyDescent="0.25">
      <c r="A2178" t="s">
        <v>2113</v>
      </c>
      <c r="B2178" t="s">
        <v>7616</v>
      </c>
      <c r="C2178">
        <v>1</v>
      </c>
    </row>
    <row r="2179" spans="1:3" x14ac:dyDescent="0.25">
      <c r="A2179" t="s">
        <v>2118</v>
      </c>
      <c r="B2179" t="s">
        <v>9690</v>
      </c>
      <c r="C2179">
        <v>1</v>
      </c>
    </row>
  </sheetData>
  <autoFilter ref="A1:C2214"/>
  <sortState ref="A1:C2240">
    <sortCondition ref="A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filterMode="1">
    <outlinePr summaryBelow="0"/>
    <pageSetUpPr fitToPage="1"/>
  </sheetPr>
  <dimension ref="A1:AR376"/>
  <sheetViews>
    <sheetView zoomScale="75" zoomScaleNormal="75" zoomScalePageLayoutView="75" workbookViewId="0">
      <pane xSplit="6" ySplit="5" topLeftCell="G6" activePane="bottomRight" state="frozen"/>
      <selection pane="topRight" activeCell="G1" sqref="G1"/>
      <selection pane="bottomLeft" activeCell="A6" sqref="A6"/>
      <selection pane="bottomRight" activeCell="G107" sqref="G107"/>
    </sheetView>
  </sheetViews>
  <sheetFormatPr defaultColWidth="11.42578125" defaultRowHeight="12.75" x14ac:dyDescent="0.25"/>
  <cols>
    <col min="1" max="1" width="12.140625" style="26" bestFit="1" customWidth="1"/>
    <col min="2" max="3" width="12.140625" style="7" bestFit="1" customWidth="1"/>
    <col min="4" max="4" width="13.85546875" style="7" customWidth="1"/>
    <col min="5" max="6" width="5.140625" style="1" bestFit="1" customWidth="1"/>
    <col min="7" max="24" width="65.42578125" style="1" customWidth="1"/>
    <col min="25" max="25" width="110.42578125" style="1" customWidth="1"/>
    <col min="26" max="43" width="76" style="1" customWidth="1"/>
    <col min="44" max="44" width="121.42578125" style="1" customWidth="1"/>
    <col min="45" max="16384" width="11.42578125" style="1"/>
  </cols>
  <sheetData>
    <row r="1" spans="1:44" ht="15.75" x14ac:dyDescent="0.25">
      <c r="A1" s="49" t="s">
        <v>0</v>
      </c>
      <c r="B1" s="49"/>
      <c r="C1" s="6"/>
      <c r="D1" s="11"/>
      <c r="E1" s="6"/>
      <c r="F1" s="6"/>
      <c r="G1" s="6"/>
      <c r="H1" s="6"/>
    </row>
    <row r="4" spans="1:44" ht="12.75" customHeight="1" x14ac:dyDescent="0.25">
      <c r="A4" s="50" t="s">
        <v>15</v>
      </c>
      <c r="B4" s="50"/>
      <c r="C4" s="50"/>
      <c r="D4" s="50"/>
      <c r="E4" s="50"/>
      <c r="F4" s="50"/>
      <c r="G4" s="12" t="s">
        <v>2099</v>
      </c>
      <c r="H4" s="12" t="s">
        <v>2100</v>
      </c>
      <c r="I4" s="12" t="s">
        <v>2101</v>
      </c>
      <c r="J4" s="12" t="s">
        <v>2102</v>
      </c>
      <c r="K4" s="12" t="s">
        <v>2103</v>
      </c>
      <c r="L4" s="12" t="s">
        <v>2104</v>
      </c>
      <c r="M4" s="12" t="s">
        <v>2105</v>
      </c>
      <c r="N4" s="12" t="s">
        <v>2106</v>
      </c>
      <c r="O4" s="12" t="s">
        <v>2107</v>
      </c>
      <c r="P4" s="12" t="s">
        <v>2108</v>
      </c>
      <c r="Q4" s="12" t="s">
        <v>2109</v>
      </c>
      <c r="R4" s="12" t="s">
        <v>2110</v>
      </c>
      <c r="S4" s="12" t="s">
        <v>2111</v>
      </c>
      <c r="T4" s="12" t="s">
        <v>2112</v>
      </c>
      <c r="U4" s="12" t="s">
        <v>2150</v>
      </c>
      <c r="V4" s="12" t="s">
        <v>2143</v>
      </c>
      <c r="W4" s="12" t="s">
        <v>2144</v>
      </c>
      <c r="X4" s="12" t="s">
        <v>2145</v>
      </c>
      <c r="Y4" s="2" t="s">
        <v>14</v>
      </c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 t="s">
        <v>16</v>
      </c>
    </row>
    <row r="5" spans="1:44" x14ac:dyDescent="0.25">
      <c r="A5" s="12">
        <v>0</v>
      </c>
      <c r="B5" s="3">
        <v>1</v>
      </c>
      <c r="C5" s="3">
        <v>2</v>
      </c>
      <c r="D5" s="3">
        <v>3</v>
      </c>
      <c r="E5" s="3">
        <v>4</v>
      </c>
      <c r="F5" s="3">
        <v>5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4" t="s">
        <v>2128</v>
      </c>
      <c r="Z5" s="4" t="s">
        <v>2129</v>
      </c>
      <c r="AA5" s="4" t="s">
        <v>2130</v>
      </c>
      <c r="AB5" s="4" t="s">
        <v>2131</v>
      </c>
      <c r="AC5" s="4" t="s">
        <v>2132</v>
      </c>
      <c r="AD5" s="4" t="s">
        <v>2133</v>
      </c>
      <c r="AE5" s="4" t="s">
        <v>2134</v>
      </c>
      <c r="AF5" s="4" t="s">
        <v>2135</v>
      </c>
      <c r="AG5" s="4" t="s">
        <v>2136</v>
      </c>
      <c r="AH5" s="4" t="s">
        <v>2137</v>
      </c>
      <c r="AI5" s="4" t="s">
        <v>2138</v>
      </c>
      <c r="AJ5" s="4" t="s">
        <v>2139</v>
      </c>
      <c r="AK5" s="4" t="s">
        <v>2140</v>
      </c>
      <c r="AL5" s="4" t="s">
        <v>2141</v>
      </c>
      <c r="AM5" s="4" t="s">
        <v>2142</v>
      </c>
      <c r="AN5" s="4" t="s">
        <v>2149</v>
      </c>
      <c r="AO5" s="4" t="s">
        <v>2146</v>
      </c>
      <c r="AP5" s="4" t="s">
        <v>2147</v>
      </c>
      <c r="AQ5" s="4" t="s">
        <v>2148</v>
      </c>
      <c r="AR5" s="4" t="s">
        <v>17</v>
      </c>
    </row>
    <row r="6" spans="1:44" s="22" customFormat="1" ht="15" x14ac:dyDescent="0.25">
      <c r="A6" s="23" t="s">
        <v>53</v>
      </c>
      <c r="B6" s="18"/>
      <c r="C6" s="18"/>
      <c r="D6" s="18"/>
      <c r="E6" s="18"/>
      <c r="F6" s="18"/>
      <c r="G6" s="19" t="s">
        <v>1202</v>
      </c>
      <c r="H6" s="18" t="s">
        <v>715</v>
      </c>
      <c r="I6" s="19" t="s">
        <v>2408</v>
      </c>
      <c r="J6" s="19" t="s">
        <v>1202</v>
      </c>
      <c r="K6" s="18" t="s">
        <v>1202</v>
      </c>
      <c r="L6" s="18" t="s">
        <v>1435</v>
      </c>
      <c r="M6" s="18" t="s">
        <v>1674</v>
      </c>
      <c r="N6" s="18" t="s">
        <v>1875</v>
      </c>
      <c r="O6" s="18" t="s">
        <v>2409</v>
      </c>
      <c r="P6" s="18" t="s">
        <v>2410</v>
      </c>
      <c r="Q6" s="18" t="s">
        <v>2411</v>
      </c>
      <c r="R6" s="18" t="s">
        <v>1202</v>
      </c>
      <c r="S6" s="18" t="s">
        <v>2412</v>
      </c>
      <c r="T6" s="18" t="s">
        <v>2413</v>
      </c>
      <c r="U6" s="18" t="s">
        <v>1202</v>
      </c>
      <c r="V6" s="18" t="s">
        <v>2414</v>
      </c>
      <c r="W6" s="18" t="s">
        <v>1202</v>
      </c>
      <c r="X6" s="18" t="s">
        <v>1202</v>
      </c>
      <c r="Y6" s="20" t="str">
        <f>IF(OR($A6&lt;&gt;"", $G6=""),"",CONCATENATE(";",EscStr(CONCATENATE("NavNode_",getCategoryLevelAsString($B6))),";",EscStr($J6),";",IF($B6&lt;&gt;"","""MainNavNode""",EscStr(CONCATENATE("NavNode_",getSuperCategory($B6, getCategoryLevelAsNumber($B6))))),";"))</f>
        <v/>
      </c>
      <c r="Z6" s="20" t="str">
        <f>IF(getCategoryLevelAsString($B6)="L0D_324785","",IF(G6="",CONCATENATE(";",EscStr(CONCATENATE("NavNode_",getCategoryLevelAsString($B6))),";",EscStr($J6),";"),CONCATENATE(";",EscStr(CONCATENATE("NavNode_",getCategoryLevelAsString($B6))),";",EscStr(G6),";")))</f>
        <v/>
      </c>
      <c r="AA6" s="20" t="str">
        <f>IF(getCategoryLevelAsString($B6)="L0D_324785","",IF(H6="",CONCATENATE(";",EscStr(CONCATENATE("NavNode_",getCategoryLevelAsString($B6))),";",EscStr($J6),";"),CONCATENATE(";",EscStr(CONCATENATE("NavNode_",getCategoryLevelAsString($B6))),";",EscStr(H6),";")))</f>
        <v/>
      </c>
      <c r="AB6" s="20" t="str">
        <f>IF(getCategoryLevelAsString($B6)="L0D_324785","",IF(I6="",CONCATENATE(";",EscStr(CONCATENATE("NavNode_",getCategoryLevelAsString($B6))),";",EscStr($J6),";"),CONCATENATE(";",EscStr(CONCATENATE("NavNode_",getCategoryLevelAsString($B6))),";",EscStr(I6),";")))</f>
        <v/>
      </c>
      <c r="AC6" s="20" t="str">
        <f>IF(getCategoryLevelAsString($B6)="L0D_324785","",IF(J6="",CONCATENATE(";",EscStr(CONCATENATE("NavNode_",getCategoryLevelAsString($B6))),";",EscStr($J6),";"),CONCATENATE(";",EscStr(CONCATENATE("NavNode_",getCategoryLevelAsString($B6))),";",EscStr(J6),";")))</f>
        <v/>
      </c>
      <c r="AD6" s="20" t="str">
        <f>IF(getCategoryLevelAsString($B6)="L0D_324785","",IF(K6="",CONCATENATE(";",EscStr(CONCATENATE("NavNode_",getCategoryLevelAsString($B6))),";",EscStr($J6),";"),CONCATENATE(";",EscStr(CONCATENATE("NavNode_",getCategoryLevelAsString($B6))),";",EscStr(K6),";")))</f>
        <v/>
      </c>
      <c r="AE6" s="20" t="str">
        <f>IF(getCategoryLevelAsString($B6)="L0D_324785","",IF(L6="",CONCATENATE(";",EscStr(CONCATENATE("NavNode_",getCategoryLevelAsString($B6))),";",EscStr($J6),";"),CONCATENATE(";",EscStr(CONCATENATE("NavNode_",getCategoryLevelAsString($B6))),";",EscStr(L6),";")))</f>
        <v/>
      </c>
      <c r="AF6" s="20" t="str">
        <f>IF(getCategoryLevelAsString($B6)="L0D_324785","",IF(M6="",CONCATENATE(";",EscStr(CONCATENATE("NavNode_",getCategoryLevelAsString($B6))),";",EscStr($J6),";"),CONCATENATE(";",EscStr(CONCATENATE("NavNode_",getCategoryLevelAsString($B6))),";",EscStr(M6),";")))</f>
        <v/>
      </c>
      <c r="AG6" s="20" t="str">
        <f>IF(getCategoryLevelAsString($B6)="L0D_324785","",IF(N6="",CONCATENATE(";",EscStr(CONCATENATE("NavNode_",getCategoryLevelAsString($B6))),";",EscStr($J6),";"),CONCATENATE(";",EscStr(CONCATENATE("NavNode_",getCategoryLevelAsString($B6))),";",EscStr(N6),";")))</f>
        <v/>
      </c>
      <c r="AH6" s="20" t="str">
        <f>IF(getCategoryLevelAsString($B6)="L0D_324785","",IF(O6="",CONCATENATE(";",EscStr(CONCATENATE("NavNode_",getCategoryLevelAsString($B6))),";",EscStr($J6),";"),CONCATENATE(";",EscStr(CONCATENATE("NavNode_",getCategoryLevelAsString($B6))),";",EscStr(O6),";")))</f>
        <v/>
      </c>
      <c r="AI6" s="20" t="str">
        <f>IF(getCategoryLevelAsString($B6)="L0D_324785","",IF(P6="",CONCATENATE(";",EscStr(CONCATENATE("NavNode_",getCategoryLevelAsString($B6))),";",EscStr($J6),";"),CONCATENATE(";",EscStr(CONCATENATE("NavNode_",getCategoryLevelAsString($B6))),";",EscStr(P6),";")))</f>
        <v/>
      </c>
      <c r="AJ6" s="20" t="str">
        <f>IF(getCategoryLevelAsString($B6)="L0D_324785","",IF(Q6="",CONCATENATE(";",EscStr(CONCATENATE("NavNode_",getCategoryLevelAsString($B6))),";",EscStr($J6),";"),CONCATENATE(";",EscStr(CONCATENATE("NavNode_",getCategoryLevelAsString($B6))),";",EscStr(Q6),";")))</f>
        <v/>
      </c>
      <c r="AK6" s="20" t="str">
        <f>IF(getCategoryLevelAsString($B6)="L0D_324785","",IF(R6="",CONCATENATE(";",EscStr(CONCATENATE("NavNode_",getCategoryLevelAsString($B6))),";",EscStr($J6),";"),CONCATENATE(";",EscStr(CONCATENATE("NavNode_",getCategoryLevelAsString($B6))),";",EscStr(R6),";")))</f>
        <v/>
      </c>
      <c r="AL6" s="20" t="str">
        <f>IF(getCategoryLevelAsString($B6)="L0D_324785","",IF(S6="",CONCATENATE(";",EscStr(CONCATENATE("NavNode_",getCategoryLevelAsString($B6))),";",EscStr($J6),";"),CONCATENATE(";",EscStr(CONCATENATE("NavNode_",getCategoryLevelAsString($B6))),";",EscStr(S6),";")))</f>
        <v/>
      </c>
      <c r="AM6" s="20" t="str">
        <f>IF(getCategoryLevelAsString($B6)="L0D_324785","",IF(T6="",CONCATENATE(";",EscStr(CONCATENATE("NavNode_",getCategoryLevelAsString($B6))),";",EscStr($J6),";"),CONCATENATE(";",EscStr(CONCATENATE("NavNode_",getCategoryLevelAsString($B6))),";",EscStr(T6),";")))</f>
        <v/>
      </c>
      <c r="AN6" s="20" t="str">
        <f>IF(getCategoryLevelAsString($B6)="L0D_324785","",IF(U6="",CONCATENATE(";",EscStr(CONCATENATE("NavNode_",getCategoryLevelAsString($B6))),";",EscStr($J6),";"),CONCATENATE(";",EscStr(CONCATENATE("NavNode_",getCategoryLevelAsString($B6))),";",EscStr(U6),";")))</f>
        <v/>
      </c>
      <c r="AO6" s="20" t="str">
        <f>IF(getCategoryLevelAsString($B6)="L0D_324785","",IF(V6="",CONCATENATE(";",EscStr(CONCATENATE("NavNode_",getCategoryLevelAsString($B6))),";",EscStr($J6),";"),CONCATENATE(";",EscStr(CONCATENATE("NavNode_",getCategoryLevelAsString($B6))),";",EscStr(V6),";")))</f>
        <v/>
      </c>
      <c r="AP6" s="20" t="str">
        <f>IF(getCategoryLevelAsString($B6)="L0D_324785","",IF(W6="",CONCATENATE(";",EscStr(CONCATENATE("NavNode_",getCategoryLevelAsString($B6))),";",EscStr($J6),";"),CONCATENATE(";",EscStr(CONCATENATE("NavNode_",getCategoryLevelAsString($B6))),";",EscStr(W6),";")))</f>
        <v/>
      </c>
      <c r="AQ6" s="20" t="str">
        <f>IF(getCategoryLevelAsString($B6)="L0D_324785","",IF(X6="",CONCATENATE(";",EscStr(CONCATENATE("NavNode_",getCategoryLevelAsString($B6))),";",EscStr($J6),";"),CONCATENATE(";",EscStr(CONCATENATE("NavNode_",getCategoryLevelAsString($B6))),";",EscStr(X6),";")))</f>
        <v/>
      </c>
      <c r="AR6" s="21" t="str">
        <f>IF(OR($A6&lt;&gt;"", $G6=""),"",CONCATENATE(";",EscStr(CONCATENATE("NavEntry_",getCategoryLevelAsString($B6))),";",EscStr(CONCATENATE($J6," Navigation Entry")),";",EscStr(CONCATENATE("cat-",getCategoryLevelAsString($B6))),";",EscStr(CONCATENATE("NavNode_",getCategoryLevelAsString($B6))),";"))</f>
        <v/>
      </c>
    </row>
    <row r="7" spans="1:44" s="22" customFormat="1" ht="15" x14ac:dyDescent="0.25">
      <c r="A7" s="23" t="s">
        <v>18</v>
      </c>
      <c r="C7" s="18"/>
      <c r="D7" s="18"/>
      <c r="E7" s="18"/>
      <c r="F7" s="18"/>
      <c r="G7" s="18" t="s">
        <v>360</v>
      </c>
      <c r="H7" s="18" t="s">
        <v>361</v>
      </c>
      <c r="I7" s="18" t="s">
        <v>362</v>
      </c>
      <c r="J7" s="18" t="s">
        <v>1</v>
      </c>
      <c r="K7" s="18" t="s">
        <v>1203</v>
      </c>
      <c r="L7" s="18" t="s">
        <v>1436</v>
      </c>
      <c r="M7" s="18" t="s">
        <v>1203</v>
      </c>
      <c r="N7" s="18" t="s">
        <v>1203</v>
      </c>
      <c r="O7" s="18" t="s">
        <v>2415</v>
      </c>
      <c r="P7" s="18" t="s">
        <v>2416</v>
      </c>
      <c r="Q7" s="18" t="s">
        <v>2417</v>
      </c>
      <c r="R7" s="18" t="s">
        <v>2418</v>
      </c>
      <c r="S7" s="18" t="s">
        <v>2419</v>
      </c>
      <c r="T7" s="18" t="s">
        <v>2420</v>
      </c>
      <c r="U7" s="18" t="s">
        <v>2421</v>
      </c>
      <c r="V7" s="18" t="s">
        <v>2422</v>
      </c>
      <c r="W7" s="18" t="s">
        <v>2423</v>
      </c>
      <c r="X7" s="18" t="s">
        <v>2421</v>
      </c>
      <c r="Y7" s="20" t="e">
        <f>IF(OR(#REF!&lt;&gt;"", $G7=""),"",CONCATENATE(";",EscStr(CONCATENATE("NavNode_",getCategoryLevelAsString($A7))),";",EscStr($J7),";",IF($A7&lt;&gt;"","""MainNavNode""",EscStr(CONCATENATE("NavNode_",getSuperCategory($A7, getCategoryLevelAsNumber($A7))))),";"))</f>
        <v>#REF!</v>
      </c>
      <c r="Z7" s="20" t="str">
        <f>IF(getCategoryLevelAsString($A7)="L0D_324785","",IF(G7="",CONCATENATE(";",EscStr(CONCATENATE("NavNode_",getCategoryLevelAsString($A7))),";",EscStr($J7),";"),CONCATENATE(";",EscStr(CONCATENATE("NavNode_",getCategoryLevelAsString($A7))),";",EscStr(G7),";")))</f>
        <v>;"NavNode_Active Components";"Komponenten";</v>
      </c>
      <c r="AA7" s="20" t="str">
        <f>IF(getCategoryLevelAsString($A7)="L0D_324785","",IF(H7="",CONCATENATE(";",EscStr(CONCATENATE("NavNode_",getCategoryLevelAsString($A7))),";",EscStr($J7),";"),CONCATENATE(";",EscStr(CONCATENATE("NavNode_",getCategoryLevelAsString($A7))),";",EscStr(H7),";")))</f>
        <v>;"NavNode_Active Components";"Composants";</v>
      </c>
      <c r="AB7" s="20" t="str">
        <f>IF(getCategoryLevelAsString($A7)="L0D_324785","",IF(I7="",CONCATENATE(";",EscStr(CONCATENATE("NavNode_",getCategoryLevelAsString($A7))),";",EscStr($J7),";"),CONCATENATE(";",EscStr(CONCATENATE("NavNode_",getCategoryLevelAsString($A7))),";",EscStr(I7),";")))</f>
        <v>;"NavNode_Active Components";"Componenti";</v>
      </c>
      <c r="AC7" s="20" t="str">
        <f>IF(getCategoryLevelAsString($A7)="L0D_324785","",IF(J7="",CONCATENATE(";",EscStr(CONCATENATE("NavNode_",getCategoryLevelAsString($A7))),";",EscStr($J7),";"),CONCATENATE(";",EscStr(CONCATENATE("NavNode_",getCategoryLevelAsString($A7))),";",EscStr(J7),";")))</f>
        <v>;"NavNode_Active Components";"Components";</v>
      </c>
      <c r="AD7" s="20" t="str">
        <f>IF(getCategoryLevelAsString($A7)="L0D_324785","",IF(K7="",CONCATENATE(";",EscStr(CONCATENATE("NavNode_",getCategoryLevelAsString($A7))),";",EscStr($J7),";"),CONCATENATE(";",EscStr(CONCATENATE("NavNode_",getCategoryLevelAsString($A7))),";",EscStr(K7),";")))</f>
        <v>;"NavNode_Active Components";"Komponenter";</v>
      </c>
      <c r="AE7" s="20" t="str">
        <f>IF(getCategoryLevelAsString($A7)="L0D_324785","",IF(L7="",CONCATENATE(";",EscStr(CONCATENATE("NavNode_",getCategoryLevelAsString($A7))),";",EscStr($J7),";"),CONCATENATE(";",EscStr(CONCATENATE("NavNode_",getCategoryLevelAsString($A7))),";",EscStr(L7),";")))</f>
        <v>;"NavNode_Active Components";"Komponentai";</v>
      </c>
      <c r="AF7" s="20" t="str">
        <f>IF(getCategoryLevelAsString($A7)="L0D_324785","",IF(M7="",CONCATENATE(";",EscStr(CONCATENATE("NavNode_",getCategoryLevelAsString($A7))),";",EscStr($J7),";"),CONCATENATE(";",EscStr(CONCATENATE("NavNode_",getCategoryLevelAsString($A7))),";",EscStr(M7),";")))</f>
        <v>;"NavNode_Active Components";"Komponenter";</v>
      </c>
      <c r="AG7" s="20" t="str">
        <f>IF(getCategoryLevelAsString($A7)="L0D_324785","",IF(N7="",CONCATENATE(";",EscStr(CONCATENATE("NavNode_",getCategoryLevelAsString($A7))),";",EscStr($J7),";"),CONCATENATE(";",EscStr(CONCATENATE("NavNode_",getCategoryLevelAsString($A7))),";",EscStr(N7),";")))</f>
        <v>;"NavNode_Active Components";"Komponenter";</v>
      </c>
      <c r="AH7" s="20" t="str">
        <f>IF(getCategoryLevelAsString($A7)="L0D_324785","",IF(O7="",CONCATENATE(";",EscStr(CONCATENATE("NavNode_",getCategoryLevelAsString($A7))),";",EscStr($J7),";"),CONCATENATE(";",EscStr(CONCATENATE("NavNode_",getCategoryLevelAsString($A7))),";",EscStr(O7),";")))</f>
        <v>;"NavNode_Active Components";"Komponendid";</v>
      </c>
      <c r="AI7" s="20" t="str">
        <f>IF(getCategoryLevelAsString($A7)="L0D_324785","",IF(P7="",CONCATENATE(";",EscStr(CONCATENATE("NavNode_",getCategoryLevelAsString($A7))),";",EscStr($J7),";"),CONCATENATE(";",EscStr(CONCATENATE("NavNode_",getCategoryLevelAsString($A7))),";",EscStr(P7),";")))</f>
        <v>;"NavNode_Active Components";"Komponentit";</v>
      </c>
      <c r="AJ7" s="20" t="str">
        <f>IF(getCategoryLevelAsString($A7)="L0D_324785","",IF(Q7="",CONCATENATE(";",EscStr(CONCATENATE("NavNode_",getCategoryLevelAsString($A7))),";",EscStr($J7),";"),CONCATENATE(";",EscStr(CONCATENATE("NavNode_",getCategoryLevelAsString($A7))),";",EscStr(Q7),";")))</f>
        <v>;"NavNode_Active Components";"Komponentes";</v>
      </c>
      <c r="AK7" s="20" t="str">
        <f>IF(getCategoryLevelAsString($A7)="L0D_324785","",IF(R7="",CONCATENATE(";",EscStr(CONCATENATE("NavNode_",getCategoryLevelAsString($A7))),";",EscStr($J7),";"),CONCATENATE(";",EscStr(CONCATENATE("NavNode_",getCategoryLevelAsString($A7))),";",EscStr(R7),";")))</f>
        <v>;"NavNode_Active Components";"Componenten";</v>
      </c>
      <c r="AL7" s="20" t="str">
        <f>IF(getCategoryLevelAsString($A7)="L0D_324785","",IF(S7="",CONCATENATE(";",EscStr(CONCATENATE("NavNode_",getCategoryLevelAsString($A7))),";",EscStr($J7),";"),CONCATENATE(";",EscStr(CONCATENATE("NavNode_",getCategoryLevelAsString($A7))),";",EscStr(S7),";")))</f>
        <v>;"NavNode_Active Components";"Elementy";</v>
      </c>
      <c r="AM7" s="20" t="str">
        <f>IF(getCategoryLevelAsString($A7)="L0D_324785","",IF(T7="",CONCATENATE(";",EscStr(CONCATENATE("NavNode_",getCategoryLevelAsString($A7))),";",EscStr($J7),";"),CONCATENATE(";",EscStr(CONCATENATE("NavNode_",getCategoryLevelAsString($A7))),";",EscStr(T7),";")))</f>
        <v>;"NavNode_Active Components";"Компоненты";</v>
      </c>
      <c r="AN7" s="20" t="str">
        <f>IF(getCategoryLevelAsString($A7)="L0D_324785","",IF(U7="",CONCATENATE(";",EscStr(CONCATENATE("NavNode_",getCategoryLevelAsString($A7))),";",EscStr($J7),";"),CONCATENATE(";",EscStr(CONCATENATE("NavNode_",getCategoryLevelAsString($A7))),";",EscStr(U7),";")))</f>
        <v>;"NavNode_Active Components";"Komponenty";</v>
      </c>
      <c r="AO7" s="20" t="str">
        <f>IF(getCategoryLevelAsString($A7)="L0D_324785","",IF(V7="",CONCATENATE(";",EscStr(CONCATENATE("NavNode_",getCategoryLevelAsString($A7))),";",EscStr($J7),";"),CONCATENATE(";",EscStr(CONCATENATE("NavNode_",getCategoryLevelAsString($A7))),";",EscStr(V7),";")))</f>
        <v>;"NavNode_Active Components";"Componente";</v>
      </c>
      <c r="AP7" s="20" t="str">
        <f>IF(getCategoryLevelAsString($A7)="L0D_324785","",IF(W7="",CONCATENATE(";",EscStr(CONCATENATE("NavNode_",getCategoryLevelAsString($A7))),";",EscStr($J7),";"),CONCATENATE(";",EscStr(CONCATENATE("NavNode_",getCategoryLevelAsString($A7))),";",EscStr(W7),";")))</f>
        <v>;"NavNode_Active Components";"Komponensek";</v>
      </c>
      <c r="AQ7" s="20" t="str">
        <f>IF(getCategoryLevelAsString($A7)="L0D_324785","",IF(X7="",CONCATENATE(";",EscStr(CONCATENATE("NavNode_",getCategoryLevelAsString($A7))),";",EscStr($J7),";"),CONCATENATE(";",EscStr(CONCATENATE("NavNode_",getCategoryLevelAsString($A7))),";",EscStr(X7),";")))</f>
        <v>;"NavNode_Active Components";"Komponenty";</v>
      </c>
      <c r="AR7" s="21" t="e">
        <f>IF(OR(#REF!&lt;&gt;"", $G7=""),"",CONCATENATE(";",EscStr(CONCATENATE("NavEntry_",getCategoryLevelAsString($A7))),";",EscStr(CONCATENATE($J7," Navigation Entry")),";",EscStr(CONCATENATE("cat-",getCategoryLevelAsString($A7))),";",EscStr(CONCATENATE("NavNode_",getCategoryLevelAsString($A7))),";"))</f>
        <v>#REF!</v>
      </c>
    </row>
    <row r="8" spans="1:44" s="17" customFormat="1" ht="14.25" x14ac:dyDescent="0.2">
      <c r="A8" s="24">
        <v>1</v>
      </c>
      <c r="B8" s="13" t="s">
        <v>2</v>
      </c>
      <c r="C8" s="14"/>
      <c r="E8" s="13"/>
      <c r="F8" s="13"/>
      <c r="G8" s="13" t="s">
        <v>363</v>
      </c>
      <c r="H8" s="13" t="s">
        <v>364</v>
      </c>
      <c r="I8" s="13" t="s">
        <v>365</v>
      </c>
      <c r="J8" s="13" t="s">
        <v>2</v>
      </c>
      <c r="K8" s="13" t="s">
        <v>1204</v>
      </c>
      <c r="L8" s="13" t="s">
        <v>1437</v>
      </c>
      <c r="M8" s="13" t="s">
        <v>1204</v>
      </c>
      <c r="N8" s="13" t="s">
        <v>1876</v>
      </c>
      <c r="O8" s="13" t="s">
        <v>2424</v>
      </c>
      <c r="P8" s="13" t="s">
        <v>2425</v>
      </c>
      <c r="Q8" s="13" t="s">
        <v>2426</v>
      </c>
      <c r="R8" s="13" t="s">
        <v>2427</v>
      </c>
      <c r="S8" s="13" t="s">
        <v>2428</v>
      </c>
      <c r="T8" s="13" t="s">
        <v>2429</v>
      </c>
      <c r="U8" s="13" t="s">
        <v>2430</v>
      </c>
      <c r="V8" s="13" t="s">
        <v>2431</v>
      </c>
      <c r="W8" s="13" t="s">
        <v>2432</v>
      </c>
      <c r="X8" s="13" t="s">
        <v>2430</v>
      </c>
      <c r="Y8" s="15" t="str">
        <f>IF(OR($A8&lt;&gt;"", $G8=""),"",CONCATENATE(";",EscStr(CONCATENATE("NavNode_",getCategoryLevelAsString(#REF!))),";",EscStr($J8),";",IF(#REF!&lt;&gt;"","""MainNavNode""",EscStr(CONCATENATE("NavNode_",getSuperCategory(#REF!, getCategoryLevelAsNumber(#REF!))))),";"))</f>
        <v/>
      </c>
      <c r="Z8" s="15" t="e">
        <f>IF(getCategoryLevelAsString(#REF!)="L0D_324785","",IF(G8="",CONCATENATE(";",EscStr(CONCATENATE("NavNode_",getCategoryLevelAsString(#REF!))),";",EscStr($J8),";"),CONCATENATE(";",EscStr(CONCATENATE("NavNode_",getCategoryLevelAsString(#REF!))),";",EscStr(G8),";")))</f>
        <v>#VALUE!</v>
      </c>
      <c r="AA8" s="15" t="e">
        <f>IF(getCategoryLevelAsString(#REF!)="L0D_324785","",IF(H8="",CONCATENATE(";",EscStr(CONCATENATE("NavNode_",getCategoryLevelAsString(#REF!))),";",EscStr($J8),";"),CONCATENATE(";",EscStr(CONCATENATE("NavNode_",getCategoryLevelAsString(#REF!))),";",EscStr(H8),";")))</f>
        <v>#VALUE!</v>
      </c>
      <c r="AB8" s="15" t="e">
        <f>IF(getCategoryLevelAsString(#REF!)="L0D_324785","",IF(I8="",CONCATENATE(";",EscStr(CONCATENATE("NavNode_",getCategoryLevelAsString(#REF!))),";",EscStr($J8),";"),CONCATENATE(";",EscStr(CONCATENATE("NavNode_",getCategoryLevelAsString(#REF!))),";",EscStr(I8),";")))</f>
        <v>#VALUE!</v>
      </c>
      <c r="AC8" s="15" t="e">
        <f>IF(getCategoryLevelAsString(#REF!)="L0D_324785","",IF(J8="",CONCATENATE(";",EscStr(CONCATENATE("NavNode_",getCategoryLevelAsString(#REF!))),";",EscStr($J8),";"),CONCATENATE(";",EscStr(CONCATENATE("NavNode_",getCategoryLevelAsString(#REF!))),";",EscStr(J8),";")))</f>
        <v>#VALUE!</v>
      </c>
      <c r="AD8" s="15" t="e">
        <f>IF(getCategoryLevelAsString(#REF!)="L0D_324785","",IF(K8="",CONCATENATE(";",EscStr(CONCATENATE("NavNode_",getCategoryLevelAsString(#REF!))),";",EscStr($J8),";"),CONCATENATE(";",EscStr(CONCATENATE("NavNode_",getCategoryLevelAsString(#REF!))),";",EscStr(K8),";")))</f>
        <v>#VALUE!</v>
      </c>
      <c r="AE8" s="15" t="e">
        <f>IF(getCategoryLevelAsString(#REF!)="L0D_324785","",IF(L8="",CONCATENATE(";",EscStr(CONCATENATE("NavNode_",getCategoryLevelAsString(#REF!))),";",EscStr($J8),";"),CONCATENATE(";",EscStr(CONCATENATE("NavNode_",getCategoryLevelAsString(#REF!))),";",EscStr(L8),";")))</f>
        <v>#VALUE!</v>
      </c>
      <c r="AF8" s="15" t="e">
        <f>IF(getCategoryLevelAsString(#REF!)="L0D_324785","",IF(M8="",CONCATENATE(";",EscStr(CONCATENATE("NavNode_",getCategoryLevelAsString(#REF!))),";",EscStr($J8),";"),CONCATENATE(";",EscStr(CONCATENATE("NavNode_",getCategoryLevelAsString(#REF!))),";",EscStr(M8),";")))</f>
        <v>#VALUE!</v>
      </c>
      <c r="AG8" s="15" t="e">
        <f>IF(getCategoryLevelAsString(#REF!)="L0D_324785","",IF(N8="",CONCATENATE(";",EscStr(CONCATENATE("NavNode_",getCategoryLevelAsString(#REF!))),";",EscStr($J8),";"),CONCATENATE(";",EscStr(CONCATENATE("NavNode_",getCategoryLevelAsString(#REF!))),";",EscStr(N8),";")))</f>
        <v>#VALUE!</v>
      </c>
      <c r="AH8" s="15" t="e">
        <f>IF(getCategoryLevelAsString(#REF!)="L0D_324785","",IF(O8="",CONCATENATE(";",EscStr(CONCATENATE("NavNode_",getCategoryLevelAsString(#REF!))),";",EscStr($J8),";"),CONCATENATE(";",EscStr(CONCATENATE("NavNode_",getCategoryLevelAsString(#REF!))),";",EscStr(O8),";")))</f>
        <v>#VALUE!</v>
      </c>
      <c r="AI8" s="15" t="e">
        <f>IF(getCategoryLevelAsString(#REF!)="L0D_324785","",IF(P8="",CONCATENATE(";",EscStr(CONCATENATE("NavNode_",getCategoryLevelAsString(#REF!))),";",EscStr($J8),";"),CONCATENATE(";",EscStr(CONCATENATE("NavNode_",getCategoryLevelAsString(#REF!))),";",EscStr(P8),";")))</f>
        <v>#VALUE!</v>
      </c>
      <c r="AJ8" s="15" t="e">
        <f>IF(getCategoryLevelAsString(#REF!)="L0D_324785","",IF(Q8="",CONCATENATE(";",EscStr(CONCATENATE("NavNode_",getCategoryLevelAsString(#REF!))),";",EscStr($J8),";"),CONCATENATE(";",EscStr(CONCATENATE("NavNode_",getCategoryLevelAsString(#REF!))),";",EscStr(Q8),";")))</f>
        <v>#VALUE!</v>
      </c>
      <c r="AK8" s="15" t="e">
        <f>IF(getCategoryLevelAsString(#REF!)="L0D_324785","",IF(R8="",CONCATENATE(";",EscStr(CONCATENATE("NavNode_",getCategoryLevelAsString(#REF!))),";",EscStr($J8),";"),CONCATENATE(";",EscStr(CONCATENATE("NavNode_",getCategoryLevelAsString(#REF!))),";",EscStr(R8),";")))</f>
        <v>#VALUE!</v>
      </c>
      <c r="AL8" s="15" t="e">
        <f>IF(getCategoryLevelAsString(#REF!)="L0D_324785","",IF(S8="",CONCATENATE(";",EscStr(CONCATENATE("NavNode_",getCategoryLevelAsString(#REF!))),";",EscStr($J8),";"),CONCATENATE(";",EscStr(CONCATENATE("NavNode_",getCategoryLevelAsString(#REF!))),";",EscStr(S8),";")))</f>
        <v>#VALUE!</v>
      </c>
      <c r="AM8" s="15" t="e">
        <f>IF(getCategoryLevelAsString(#REF!)="L0D_324785","",IF(T8="",CONCATENATE(";",EscStr(CONCATENATE("NavNode_",getCategoryLevelAsString(#REF!))),";",EscStr($J8),";"),CONCATENATE(";",EscStr(CONCATENATE("NavNode_",getCategoryLevelAsString(#REF!))),";",EscStr(T8),";")))</f>
        <v>#VALUE!</v>
      </c>
      <c r="AN8" s="15" t="e">
        <f>IF(getCategoryLevelAsString(#REF!)="L0D_324785","",IF(U8="",CONCATENATE(";",EscStr(CONCATENATE("NavNode_",getCategoryLevelAsString(#REF!))),";",EscStr($J8),";"),CONCATENATE(";",EscStr(CONCATENATE("NavNode_",getCategoryLevelAsString(#REF!))),";",EscStr(U8),";")))</f>
        <v>#VALUE!</v>
      </c>
      <c r="AO8" s="15" t="e">
        <f>IF(getCategoryLevelAsString(#REF!)="L0D_324785","",IF(V8="",CONCATENATE(";",EscStr(CONCATENATE("NavNode_",getCategoryLevelAsString(#REF!))),";",EscStr($J8),";"),CONCATENATE(";",EscStr(CONCATENATE("NavNode_",getCategoryLevelAsString(#REF!))),";",EscStr(V8),";")))</f>
        <v>#VALUE!</v>
      </c>
      <c r="AP8" s="15" t="e">
        <f>IF(getCategoryLevelAsString(#REF!)="L0D_324785","",IF(W8="",CONCATENATE(";",EscStr(CONCATENATE("NavNode_",getCategoryLevelAsString(#REF!))),";",EscStr($J8),";"),CONCATENATE(";",EscStr(CONCATENATE("NavNode_",getCategoryLevelAsString(#REF!))),";",EscStr(W8),";")))</f>
        <v>#VALUE!</v>
      </c>
      <c r="AQ8" s="15" t="e">
        <f>IF(getCategoryLevelAsString(#REF!)="L0D_324785","",IF(X8="",CONCATENATE(";",EscStr(CONCATENATE("NavNode_",getCategoryLevelAsString(#REF!))),";",EscStr($J8),";"),CONCATENATE(";",EscStr(CONCATENATE("NavNode_",getCategoryLevelAsString(#REF!))),";",EscStr(X8),";")))</f>
        <v>#VALUE!</v>
      </c>
      <c r="AR8" s="16" t="str">
        <f>IF(OR($A8&lt;&gt;"", $G8=""),"",CONCATENATE(";",EscStr(CONCATENATE("NavEntry_",getCategoryLevelAsString(#REF!))),";",EscStr(CONCATENATE($J8," Navigation Entry")),";",EscStr(CONCATENATE("cat-",getCategoryLevelAsString(#REF!))),";",EscStr(CONCATENATE("NavNode_",getCategoryLevelAsString(#REF!))),";"))</f>
        <v/>
      </c>
    </row>
    <row r="9" spans="1:44" ht="15" x14ac:dyDescent="0.25">
      <c r="A9" s="25"/>
      <c r="B9" s="5"/>
      <c r="C9" s="5" t="s">
        <v>132</v>
      </c>
      <c r="D9" s="5"/>
      <c r="E9" s="5"/>
      <c r="F9" s="5"/>
      <c r="G9" s="5" t="s">
        <v>373</v>
      </c>
      <c r="H9" s="5" t="s">
        <v>374</v>
      </c>
      <c r="I9" s="5" t="s">
        <v>375</v>
      </c>
      <c r="J9" s="5" t="s">
        <v>133</v>
      </c>
      <c r="K9" s="5" t="s">
        <v>1205</v>
      </c>
      <c r="L9" s="5" t="s">
        <v>1438</v>
      </c>
      <c r="M9" s="5" t="s">
        <v>1205</v>
      </c>
      <c r="N9" s="5" t="s">
        <v>1877</v>
      </c>
      <c r="O9" s="5" t="s">
        <v>2433</v>
      </c>
      <c r="P9" s="5" t="s">
        <v>2434</v>
      </c>
      <c r="Q9" s="5" t="s">
        <v>2435</v>
      </c>
      <c r="R9" s="5" t="s">
        <v>2436</v>
      </c>
      <c r="S9" s="5" t="s">
        <v>2437</v>
      </c>
      <c r="T9" s="5" t="s">
        <v>2438</v>
      </c>
      <c r="U9" s="5" t="s">
        <v>2439</v>
      </c>
      <c r="V9" s="5" t="s">
        <v>2440</v>
      </c>
      <c r="W9" s="5" t="s">
        <v>2441</v>
      </c>
      <c r="X9" s="5" t="s">
        <v>2439</v>
      </c>
      <c r="Y9" s="10" t="e">
        <f>IF(OR($A9&lt;&gt;"", $G9=""),"",CONCATENATE(";",EscStr(CONCATENATE("NavNode_",getCategoryLevelAsString(#REF!))),";",EscStr($J9),";",IF(#REF!&lt;&gt;"","""MainNavNode""",EscStr(CONCATENATE("NavNode_",getSuperCategory(#REF!, getCategoryLevelAsNumber(#REF!))))),";"))</f>
        <v>#VALUE!</v>
      </c>
      <c r="Z9" s="10" t="e">
        <f>IF(getCategoryLevelAsString(#REF!)="L0D_324785","",IF(G9="",CONCATENATE(";",EscStr(CONCATENATE("NavNode_",getCategoryLevelAsString(#REF!))),";",EscStr($J9),";"),CONCATENATE(";",EscStr(CONCATENATE("NavNode_",getCategoryLevelAsString(#REF!))),";",EscStr(G9),";")))</f>
        <v>#VALUE!</v>
      </c>
      <c r="AA9" s="10" t="e">
        <f>IF(getCategoryLevelAsString(#REF!)="L0D_324785","",IF(H9="",CONCATENATE(";",EscStr(CONCATENATE("NavNode_",getCategoryLevelAsString(#REF!))),";",EscStr($J9),";"),CONCATENATE(";",EscStr(CONCATENATE("NavNode_",getCategoryLevelAsString(#REF!))),";",EscStr(H9),";")))</f>
        <v>#VALUE!</v>
      </c>
      <c r="AB9" s="10" t="e">
        <f>IF(getCategoryLevelAsString(#REF!)="L0D_324785","",IF(I9="",CONCATENATE(";",EscStr(CONCATENATE("NavNode_",getCategoryLevelAsString(#REF!))),";",EscStr($J9),";"),CONCATENATE(";",EscStr(CONCATENATE("NavNode_",getCategoryLevelAsString(#REF!))),";",EscStr(I9),";")))</f>
        <v>#VALUE!</v>
      </c>
      <c r="AC9" s="10" t="e">
        <f>IF(getCategoryLevelAsString(#REF!)="L0D_324785","",IF(J9="",CONCATENATE(";",EscStr(CONCATENATE("NavNode_",getCategoryLevelAsString(#REF!))),";",EscStr($J9),";"),CONCATENATE(";",EscStr(CONCATENATE("NavNode_",getCategoryLevelAsString(#REF!))),";",EscStr(J9),";")))</f>
        <v>#VALUE!</v>
      </c>
      <c r="AD9" s="10" t="e">
        <f>IF(getCategoryLevelAsString(#REF!)="L0D_324785","",IF(K9="",CONCATENATE(";",EscStr(CONCATENATE("NavNode_",getCategoryLevelAsString(#REF!))),";",EscStr($J9),";"),CONCATENATE(";",EscStr(CONCATENATE("NavNode_",getCategoryLevelAsString(#REF!))),";",EscStr(K9),";")))</f>
        <v>#VALUE!</v>
      </c>
      <c r="AE9" s="10" t="e">
        <f>IF(getCategoryLevelAsString(#REF!)="L0D_324785","",IF(L9="",CONCATENATE(";",EscStr(CONCATENATE("NavNode_",getCategoryLevelAsString(#REF!))),";",EscStr($J9),";"),CONCATENATE(";",EscStr(CONCATENATE("NavNode_",getCategoryLevelAsString(#REF!))),";",EscStr(L9),";")))</f>
        <v>#VALUE!</v>
      </c>
      <c r="AF9" s="10" t="e">
        <f>IF(getCategoryLevelAsString(#REF!)="L0D_324785","",IF(M9="",CONCATENATE(";",EscStr(CONCATENATE("NavNode_",getCategoryLevelAsString(#REF!))),";",EscStr($J9),";"),CONCATENATE(";",EscStr(CONCATENATE("NavNode_",getCategoryLevelAsString(#REF!))),";",EscStr(M9),";")))</f>
        <v>#VALUE!</v>
      </c>
      <c r="AG9" s="10" t="e">
        <f>IF(getCategoryLevelAsString(#REF!)="L0D_324785","",IF(N9="",CONCATENATE(";",EscStr(CONCATENATE("NavNode_",getCategoryLevelAsString(#REF!))),";",EscStr($J9),";"),CONCATENATE(";",EscStr(CONCATENATE("NavNode_",getCategoryLevelAsString(#REF!))),";",EscStr(N9),";")))</f>
        <v>#VALUE!</v>
      </c>
      <c r="AH9" s="10" t="e">
        <f>IF(getCategoryLevelAsString(#REF!)="L0D_324785","",IF(O9="",CONCATENATE(";",EscStr(CONCATENATE("NavNode_",getCategoryLevelAsString(#REF!))),";",EscStr($J9),";"),CONCATENATE(";",EscStr(CONCATENATE("NavNode_",getCategoryLevelAsString(#REF!))),";",EscStr(O9),";")))</f>
        <v>#VALUE!</v>
      </c>
      <c r="AI9" s="10" t="e">
        <f>IF(getCategoryLevelAsString(#REF!)="L0D_324785","",IF(P9="",CONCATENATE(";",EscStr(CONCATENATE("NavNode_",getCategoryLevelAsString(#REF!))),";",EscStr($J9),";"),CONCATENATE(";",EscStr(CONCATENATE("NavNode_",getCategoryLevelAsString(#REF!))),";",EscStr(P9),";")))</f>
        <v>#VALUE!</v>
      </c>
      <c r="AJ9" s="10" t="e">
        <f>IF(getCategoryLevelAsString(#REF!)="L0D_324785","",IF(Q9="",CONCATENATE(";",EscStr(CONCATENATE("NavNode_",getCategoryLevelAsString(#REF!))),";",EscStr($J9),";"),CONCATENATE(";",EscStr(CONCATENATE("NavNode_",getCategoryLevelAsString(#REF!))),";",EscStr(Q9),";")))</f>
        <v>#VALUE!</v>
      </c>
      <c r="AK9" s="10" t="e">
        <f>IF(getCategoryLevelAsString(#REF!)="L0D_324785","",IF(R9="",CONCATENATE(";",EscStr(CONCATENATE("NavNode_",getCategoryLevelAsString(#REF!))),";",EscStr($J9),";"),CONCATENATE(";",EscStr(CONCATENATE("NavNode_",getCategoryLevelAsString(#REF!))),";",EscStr(R9),";")))</f>
        <v>#VALUE!</v>
      </c>
      <c r="AL9" s="10" t="e">
        <f>IF(getCategoryLevelAsString(#REF!)="L0D_324785","",IF(S9="",CONCATENATE(";",EscStr(CONCATENATE("NavNode_",getCategoryLevelAsString(#REF!))),";",EscStr($J9),";"),CONCATENATE(";",EscStr(CONCATENATE("NavNode_",getCategoryLevelAsString(#REF!))),";",EscStr(S9),";")))</f>
        <v>#VALUE!</v>
      </c>
      <c r="AM9" s="10" t="e">
        <f>IF(getCategoryLevelAsString(#REF!)="L0D_324785","",IF(T9="",CONCATENATE(";",EscStr(CONCATENATE("NavNode_",getCategoryLevelAsString(#REF!))),";",EscStr($J9),";"),CONCATENATE(";",EscStr(CONCATENATE("NavNode_",getCategoryLevelAsString(#REF!))),";",EscStr(T9),";")))</f>
        <v>#VALUE!</v>
      </c>
      <c r="AN9" s="10" t="e">
        <f>IF(getCategoryLevelAsString(#REF!)="L0D_324785","",IF(U9="",CONCATENATE(";",EscStr(CONCATENATE("NavNode_",getCategoryLevelAsString(#REF!))),";",EscStr($J9),";"),CONCATENATE(";",EscStr(CONCATENATE("NavNode_",getCategoryLevelAsString(#REF!))),";",EscStr(U9),";")))</f>
        <v>#VALUE!</v>
      </c>
      <c r="AO9" s="10" t="e">
        <f>IF(getCategoryLevelAsString(#REF!)="L0D_324785","",IF(V9="",CONCATENATE(";",EscStr(CONCATENATE("NavNode_",getCategoryLevelAsString(#REF!))),";",EscStr($J9),";"),CONCATENATE(";",EscStr(CONCATENATE("NavNode_",getCategoryLevelAsString(#REF!))),";",EscStr(V9),";")))</f>
        <v>#VALUE!</v>
      </c>
      <c r="AP9" s="10" t="e">
        <f>IF(getCategoryLevelAsString(#REF!)="L0D_324785","",IF(W9="",CONCATENATE(";",EscStr(CONCATENATE("NavNode_",getCategoryLevelAsString(#REF!))),";",EscStr($J9),";"),CONCATENATE(";",EscStr(CONCATENATE("NavNode_",getCategoryLevelAsString(#REF!))),";",EscStr(W9),";")))</f>
        <v>#VALUE!</v>
      </c>
      <c r="AQ9" s="10" t="e">
        <f>IF(getCategoryLevelAsString(#REF!)="L0D_324785","",IF(X9="",CONCATENATE(";",EscStr(CONCATENATE("NavNode_",getCategoryLevelAsString(#REF!))),";",EscStr($J9),";"),CONCATENATE(";",EscStr(CONCATENATE("NavNode_",getCategoryLevelAsString(#REF!))),";",EscStr(X9),";")))</f>
        <v>#VALUE!</v>
      </c>
      <c r="AR9" s="8" t="e">
        <f>IF(OR($A9&lt;&gt;"", $G9=""),"",CONCATENATE(";",EscStr(CONCATENATE("NavEntry_",getCategoryLevelAsString(#REF!))),";",EscStr(CONCATENATE($J9," Navigation Entry")),";",EscStr(CONCATENATE("cat-",getCategoryLevelAsString(#REF!))),";",EscStr(CONCATENATE("NavNode_",getCategoryLevelAsString(#REF!))),";"))</f>
        <v>#VALUE!</v>
      </c>
    </row>
    <row r="10" spans="1:44" ht="15" hidden="1" x14ac:dyDescent="0.25">
      <c r="A10" s="25"/>
      <c r="B10" s="5"/>
      <c r="C10" s="5"/>
      <c r="D10" s="5" t="s">
        <v>4694</v>
      </c>
      <c r="E10" s="5"/>
      <c r="F10" s="5"/>
      <c r="G10" s="5" t="s">
        <v>4696</v>
      </c>
      <c r="H10" s="5"/>
      <c r="I10" s="5"/>
      <c r="J10" s="5" t="s">
        <v>4695</v>
      </c>
      <c r="K10" s="5" t="s">
        <v>4696</v>
      </c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8"/>
    </row>
    <row r="11" spans="1:44" ht="15" hidden="1" x14ac:dyDescent="0.25">
      <c r="A11" s="25"/>
      <c r="B11" s="5"/>
      <c r="C11" s="5"/>
      <c r="D11" s="5" t="s">
        <v>4753</v>
      </c>
      <c r="E11" s="5"/>
      <c r="F11" s="5"/>
      <c r="G11" s="5" t="s">
        <v>4755</v>
      </c>
      <c r="H11" s="5"/>
      <c r="I11" s="5"/>
      <c r="J11" s="5" t="s">
        <v>4754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8"/>
    </row>
    <row r="12" spans="1:44" ht="15" hidden="1" x14ac:dyDescent="0.25">
      <c r="A12" s="25"/>
      <c r="B12" s="5"/>
      <c r="C12" s="5"/>
      <c r="D12" s="5" t="s">
        <v>4763</v>
      </c>
      <c r="E12" s="5"/>
      <c r="F12" s="5"/>
      <c r="G12" s="5" t="s">
        <v>4765</v>
      </c>
      <c r="H12" s="5"/>
      <c r="I12" s="5"/>
      <c r="J12" s="5" t="s">
        <v>4764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8"/>
    </row>
    <row r="13" spans="1:44" ht="15" hidden="1" x14ac:dyDescent="0.25">
      <c r="A13" s="25"/>
      <c r="B13" s="5"/>
      <c r="C13" s="5"/>
      <c r="D13" s="5" t="s">
        <v>4818</v>
      </c>
      <c r="E13" s="5"/>
      <c r="F13" s="5"/>
      <c r="G13" s="5" t="s">
        <v>4820</v>
      </c>
      <c r="H13" s="5"/>
      <c r="I13" s="5"/>
      <c r="J13" s="5" t="s">
        <v>4819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8"/>
    </row>
    <row r="14" spans="1:44" ht="15" hidden="1" x14ac:dyDescent="0.25">
      <c r="A14" s="25"/>
      <c r="B14" s="5"/>
      <c r="C14" s="5"/>
      <c r="D14" s="5" t="s">
        <v>4831</v>
      </c>
      <c r="E14" s="5"/>
      <c r="F14" s="5"/>
      <c r="G14" s="5" t="s">
        <v>4833</v>
      </c>
      <c r="H14" s="5"/>
      <c r="I14" s="5"/>
      <c r="J14" s="5" t="s">
        <v>4832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8"/>
    </row>
    <row r="15" spans="1:44" ht="15" x14ac:dyDescent="0.25">
      <c r="A15" s="25"/>
      <c r="B15" s="5"/>
      <c r="C15" s="5" t="s">
        <v>127</v>
      </c>
      <c r="D15" s="5"/>
      <c r="E15" s="5"/>
      <c r="F15" s="5"/>
      <c r="G15" s="5" t="s">
        <v>366</v>
      </c>
      <c r="H15" s="5" t="s">
        <v>367</v>
      </c>
      <c r="I15" s="5" t="s">
        <v>368</v>
      </c>
      <c r="J15" s="5" t="s">
        <v>128</v>
      </c>
      <c r="K15" s="5" t="s">
        <v>1206</v>
      </c>
      <c r="L15" s="5" t="s">
        <v>1439</v>
      </c>
      <c r="M15" s="5" t="s">
        <v>1675</v>
      </c>
      <c r="N15" s="5" t="s">
        <v>1878</v>
      </c>
      <c r="O15" s="5" t="s">
        <v>2442</v>
      </c>
      <c r="P15" s="5" t="s">
        <v>2443</v>
      </c>
      <c r="Q15" s="5" t="s">
        <v>2444</v>
      </c>
      <c r="R15" s="5" t="s">
        <v>2445</v>
      </c>
      <c r="S15" s="5" t="s">
        <v>2446</v>
      </c>
      <c r="T15" s="5" t="s">
        <v>2447</v>
      </c>
      <c r="U15" s="5" t="s">
        <v>2448</v>
      </c>
      <c r="V15" s="5" t="s">
        <v>2449</v>
      </c>
      <c r="W15" s="5" t="s">
        <v>2450</v>
      </c>
      <c r="X15" s="5" t="s">
        <v>2448</v>
      </c>
      <c r="Y15" s="10" t="e">
        <f>IF(OR($A15&lt;&gt;"", $G15=""),"",CONCATENATE(";",EscStr(CONCATENATE("NavNode_",getCategoryLevelAsString(#REF!))),";",EscStr($J15),";",IF(#REF!&lt;&gt;"","""MainNavNode""",EscStr(CONCATENATE("NavNode_",getSuperCategory(#REF!, getCategoryLevelAsNumber(#REF!))))),";"))</f>
        <v>#VALUE!</v>
      </c>
      <c r="Z15" s="10" t="e">
        <f>IF(getCategoryLevelAsString(#REF!)="L0D_324785","",IF(G15="",CONCATENATE(";",EscStr(CONCATENATE("NavNode_",getCategoryLevelAsString(#REF!))),";",EscStr($J15),";"),CONCATENATE(";",EscStr(CONCATENATE("NavNode_",getCategoryLevelAsString(#REF!))),";",EscStr(G15),";")))</f>
        <v>#VALUE!</v>
      </c>
      <c r="AA15" s="10" t="e">
        <f>IF(getCategoryLevelAsString(#REF!)="L0D_324785","",IF(H15="",CONCATENATE(";",EscStr(CONCATENATE("NavNode_",getCategoryLevelAsString(#REF!))),";",EscStr($J15),";"),CONCATENATE(";",EscStr(CONCATENATE("NavNode_",getCategoryLevelAsString(#REF!))),";",EscStr(H15),";")))</f>
        <v>#VALUE!</v>
      </c>
      <c r="AB15" s="10" t="e">
        <f>IF(getCategoryLevelAsString(#REF!)="L0D_324785","",IF(I15="",CONCATENATE(";",EscStr(CONCATENATE("NavNode_",getCategoryLevelAsString(#REF!))),";",EscStr($J15),";"),CONCATENATE(";",EscStr(CONCATENATE("NavNode_",getCategoryLevelAsString(#REF!))),";",EscStr(I15),";")))</f>
        <v>#VALUE!</v>
      </c>
      <c r="AC15" s="10" t="e">
        <f>IF(getCategoryLevelAsString(#REF!)="L0D_324785","",IF(J15="",CONCATENATE(";",EscStr(CONCATENATE("NavNode_",getCategoryLevelAsString(#REF!))),";",EscStr($J15),";"),CONCATENATE(";",EscStr(CONCATENATE("NavNode_",getCategoryLevelAsString(#REF!))),";",EscStr(J15),";")))</f>
        <v>#VALUE!</v>
      </c>
      <c r="AD15" s="10" t="e">
        <f>IF(getCategoryLevelAsString(#REF!)="L0D_324785","",IF(K15="",CONCATENATE(";",EscStr(CONCATENATE("NavNode_",getCategoryLevelAsString(#REF!))),";",EscStr($J15),";"),CONCATENATE(";",EscStr(CONCATENATE("NavNode_",getCategoryLevelAsString(#REF!))),";",EscStr(K15),";")))</f>
        <v>#VALUE!</v>
      </c>
      <c r="AE15" s="10" t="e">
        <f>IF(getCategoryLevelAsString(#REF!)="L0D_324785","",IF(L15="",CONCATENATE(";",EscStr(CONCATENATE("NavNode_",getCategoryLevelAsString(#REF!))),";",EscStr($J15),";"),CONCATENATE(";",EscStr(CONCATENATE("NavNode_",getCategoryLevelAsString(#REF!))),";",EscStr(L15),";")))</f>
        <v>#VALUE!</v>
      </c>
      <c r="AF15" s="10" t="e">
        <f>IF(getCategoryLevelAsString(#REF!)="L0D_324785","",IF(M15="",CONCATENATE(";",EscStr(CONCATENATE("NavNode_",getCategoryLevelAsString(#REF!))),";",EscStr($J15),";"),CONCATENATE(";",EscStr(CONCATENATE("NavNode_",getCategoryLevelAsString(#REF!))),";",EscStr(M15),";")))</f>
        <v>#VALUE!</v>
      </c>
      <c r="AG15" s="10" t="e">
        <f>IF(getCategoryLevelAsString(#REF!)="L0D_324785","",IF(N15="",CONCATENATE(";",EscStr(CONCATENATE("NavNode_",getCategoryLevelAsString(#REF!))),";",EscStr($J15),";"),CONCATENATE(";",EscStr(CONCATENATE("NavNode_",getCategoryLevelAsString(#REF!))),";",EscStr(N15),";")))</f>
        <v>#VALUE!</v>
      </c>
      <c r="AH15" s="10" t="e">
        <f>IF(getCategoryLevelAsString(#REF!)="L0D_324785","",IF(O15="",CONCATENATE(";",EscStr(CONCATENATE("NavNode_",getCategoryLevelAsString(#REF!))),";",EscStr($J15),";"),CONCATENATE(";",EscStr(CONCATENATE("NavNode_",getCategoryLevelAsString(#REF!))),";",EscStr(O15),";")))</f>
        <v>#VALUE!</v>
      </c>
      <c r="AI15" s="10" t="e">
        <f>IF(getCategoryLevelAsString(#REF!)="L0D_324785","",IF(P15="",CONCATENATE(";",EscStr(CONCATENATE("NavNode_",getCategoryLevelAsString(#REF!))),";",EscStr($J15),";"),CONCATENATE(";",EscStr(CONCATENATE("NavNode_",getCategoryLevelAsString(#REF!))),";",EscStr(P15),";")))</f>
        <v>#VALUE!</v>
      </c>
      <c r="AJ15" s="10" t="e">
        <f>IF(getCategoryLevelAsString(#REF!)="L0D_324785","",IF(Q15="",CONCATENATE(";",EscStr(CONCATENATE("NavNode_",getCategoryLevelAsString(#REF!))),";",EscStr($J15),";"),CONCATENATE(";",EscStr(CONCATENATE("NavNode_",getCategoryLevelAsString(#REF!))),";",EscStr(Q15),";")))</f>
        <v>#VALUE!</v>
      </c>
      <c r="AK15" s="10" t="e">
        <f>IF(getCategoryLevelAsString(#REF!)="L0D_324785","",IF(R15="",CONCATENATE(";",EscStr(CONCATENATE("NavNode_",getCategoryLevelAsString(#REF!))),";",EscStr($J15),";"),CONCATENATE(";",EscStr(CONCATENATE("NavNode_",getCategoryLevelAsString(#REF!))),";",EscStr(R15),";")))</f>
        <v>#VALUE!</v>
      </c>
      <c r="AL15" s="10" t="e">
        <f>IF(getCategoryLevelAsString(#REF!)="L0D_324785","",IF(S15="",CONCATENATE(";",EscStr(CONCATENATE("NavNode_",getCategoryLevelAsString(#REF!))),";",EscStr($J15),";"),CONCATENATE(";",EscStr(CONCATENATE("NavNode_",getCategoryLevelAsString(#REF!))),";",EscStr(S15),";")))</f>
        <v>#VALUE!</v>
      </c>
      <c r="AM15" s="10" t="e">
        <f>IF(getCategoryLevelAsString(#REF!)="L0D_324785","",IF(T15="",CONCATENATE(";",EscStr(CONCATENATE("NavNode_",getCategoryLevelAsString(#REF!))),";",EscStr($J15),";"),CONCATENATE(";",EscStr(CONCATENATE("NavNode_",getCategoryLevelAsString(#REF!))),";",EscStr(T15),";")))</f>
        <v>#VALUE!</v>
      </c>
      <c r="AN15" s="10" t="e">
        <f>IF(getCategoryLevelAsString(#REF!)="L0D_324785","",IF(U15="",CONCATENATE(";",EscStr(CONCATENATE("NavNode_",getCategoryLevelAsString(#REF!))),";",EscStr($J15),";"),CONCATENATE(";",EscStr(CONCATENATE("NavNode_",getCategoryLevelAsString(#REF!))),";",EscStr(U15),";")))</f>
        <v>#VALUE!</v>
      </c>
      <c r="AO15" s="10" t="e">
        <f>IF(getCategoryLevelAsString(#REF!)="L0D_324785","",IF(V15="",CONCATENATE(";",EscStr(CONCATENATE("NavNode_",getCategoryLevelAsString(#REF!))),";",EscStr($J15),";"),CONCATENATE(";",EscStr(CONCATENATE("NavNode_",getCategoryLevelAsString(#REF!))),";",EscStr(V15),";")))</f>
        <v>#VALUE!</v>
      </c>
      <c r="AP15" s="10" t="e">
        <f>IF(getCategoryLevelAsString(#REF!)="L0D_324785","",IF(W15="",CONCATENATE(";",EscStr(CONCATENATE("NavNode_",getCategoryLevelAsString(#REF!))),";",EscStr($J15),";"),CONCATENATE(";",EscStr(CONCATENATE("NavNode_",getCategoryLevelAsString(#REF!))),";",EscStr(W15),";")))</f>
        <v>#VALUE!</v>
      </c>
      <c r="AQ15" s="10" t="e">
        <f>IF(getCategoryLevelAsString(#REF!)="L0D_324785","",IF(X15="",CONCATENATE(";",EscStr(CONCATENATE("NavNode_",getCategoryLevelAsString(#REF!))),";",EscStr($J15),";"),CONCATENATE(";",EscStr(CONCATENATE("NavNode_",getCategoryLevelAsString(#REF!))),";",EscStr(X15),";")))</f>
        <v>#VALUE!</v>
      </c>
      <c r="AR15" s="8" t="e">
        <f>IF(OR($A15&lt;&gt;"", $G15=""),"",CONCATENATE(";",EscStr(CONCATENATE("NavEntry_",getCategoryLevelAsString(#REF!))),";",EscStr(CONCATENATE($J15," Navigation Entry")),";",EscStr(CONCATENATE("cat-",getCategoryLevelAsString(#REF!))),";",EscStr(CONCATENATE("NavNode_",getCategoryLevelAsString(#REF!))),";"))</f>
        <v>#VALUE!</v>
      </c>
    </row>
    <row r="16" spans="1:44" ht="15" hidden="1" x14ac:dyDescent="0.25">
      <c r="A16" s="25"/>
      <c r="B16" s="5"/>
      <c r="C16" s="5"/>
      <c r="D16" s="5" t="s">
        <v>4908</v>
      </c>
      <c r="E16" s="5"/>
      <c r="F16" s="5"/>
      <c r="G16" s="5" t="s">
        <v>4910</v>
      </c>
      <c r="H16" s="5"/>
      <c r="I16" s="5"/>
      <c r="J16" s="5" t="s">
        <v>4909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8"/>
    </row>
    <row r="17" spans="1:44" ht="15" hidden="1" x14ac:dyDescent="0.25">
      <c r="A17" s="25"/>
      <c r="B17" s="5"/>
      <c r="C17" s="5"/>
      <c r="D17" s="5" t="s">
        <v>4924</v>
      </c>
      <c r="E17" s="5"/>
      <c r="F17" s="5"/>
      <c r="G17" s="5" t="s">
        <v>4926</v>
      </c>
      <c r="H17" s="5"/>
      <c r="I17" s="5"/>
      <c r="J17" s="5" t="s">
        <v>4925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8"/>
    </row>
    <row r="18" spans="1:44" ht="15" hidden="1" x14ac:dyDescent="0.25">
      <c r="A18" s="25"/>
      <c r="B18" s="5"/>
      <c r="C18" s="5"/>
      <c r="D18" s="5" t="s">
        <v>4963</v>
      </c>
      <c r="E18" s="5"/>
      <c r="F18" s="5"/>
      <c r="G18" s="5" t="s">
        <v>4965</v>
      </c>
      <c r="H18" s="5"/>
      <c r="I18" s="5"/>
      <c r="J18" s="5" t="s">
        <v>4964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8"/>
    </row>
    <row r="19" spans="1:44" ht="15" hidden="1" x14ac:dyDescent="0.25">
      <c r="A19" s="25"/>
      <c r="B19" s="5"/>
      <c r="C19" s="5"/>
      <c r="D19" s="5" t="s">
        <v>4975</v>
      </c>
      <c r="E19" s="5"/>
      <c r="F19" s="5"/>
      <c r="G19" s="5" t="s">
        <v>4977</v>
      </c>
      <c r="H19" s="5"/>
      <c r="I19" s="5"/>
      <c r="J19" s="5" t="s">
        <v>4976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8"/>
    </row>
    <row r="20" spans="1:44" ht="15" hidden="1" x14ac:dyDescent="0.25">
      <c r="A20" s="25"/>
      <c r="B20" s="5"/>
      <c r="C20" s="5"/>
      <c r="D20" s="5" t="s">
        <v>5068</v>
      </c>
      <c r="E20" s="5"/>
      <c r="F20" s="5"/>
      <c r="G20" s="5" t="s">
        <v>5070</v>
      </c>
      <c r="H20" s="5"/>
      <c r="I20" s="5"/>
      <c r="J20" s="5" t="s">
        <v>5069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8"/>
    </row>
    <row r="21" spans="1:44" ht="15" hidden="1" x14ac:dyDescent="0.25">
      <c r="A21" s="25"/>
      <c r="B21" s="5"/>
      <c r="C21" s="5"/>
      <c r="D21" s="5" t="s">
        <v>5080</v>
      </c>
      <c r="E21" s="5"/>
      <c r="F21" s="5"/>
      <c r="G21" s="5" t="s">
        <v>5082</v>
      </c>
      <c r="H21" s="5"/>
      <c r="I21" s="5"/>
      <c r="J21" s="5" t="s">
        <v>5081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8"/>
    </row>
    <row r="22" spans="1:44" ht="15" hidden="1" x14ac:dyDescent="0.25">
      <c r="A22" s="25"/>
      <c r="B22" s="5"/>
      <c r="C22" s="5"/>
      <c r="D22" s="5" t="s">
        <v>5116</v>
      </c>
      <c r="E22" s="5"/>
      <c r="F22" s="5"/>
      <c r="G22" s="5" t="s">
        <v>5118</v>
      </c>
      <c r="H22" s="5"/>
      <c r="I22" s="5"/>
      <c r="J22" s="5" t="s">
        <v>5117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8"/>
    </row>
    <row r="23" spans="1:44" ht="15" hidden="1" x14ac:dyDescent="0.25">
      <c r="A23" s="25"/>
      <c r="B23" s="5"/>
      <c r="C23" s="5"/>
      <c r="D23" s="5" t="s">
        <v>5123</v>
      </c>
      <c r="E23" s="5"/>
      <c r="F23" s="5"/>
      <c r="G23" s="5" t="s">
        <v>5125</v>
      </c>
      <c r="H23" s="5"/>
      <c r="I23" s="5"/>
      <c r="J23" s="5" t="s">
        <v>5124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8"/>
    </row>
    <row r="24" spans="1:44" ht="15" hidden="1" x14ac:dyDescent="0.25">
      <c r="A24" s="25"/>
      <c r="B24" s="5"/>
      <c r="C24" s="5"/>
      <c r="D24" s="5" t="s">
        <v>5141</v>
      </c>
      <c r="E24" s="5"/>
      <c r="F24" s="5"/>
      <c r="G24" s="5" t="s">
        <v>5143</v>
      </c>
      <c r="H24" s="5"/>
      <c r="I24" s="5"/>
      <c r="J24" s="5" t="s">
        <v>5142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8"/>
    </row>
    <row r="25" spans="1:44" ht="15" hidden="1" x14ac:dyDescent="0.25">
      <c r="A25" s="25"/>
      <c r="B25" s="5"/>
      <c r="C25" s="5"/>
      <c r="D25" s="5" t="s">
        <v>5161</v>
      </c>
      <c r="E25" s="5"/>
      <c r="F25" s="5"/>
      <c r="G25" s="5" t="s">
        <v>5163</v>
      </c>
      <c r="H25" s="5"/>
      <c r="I25" s="5"/>
      <c r="J25" s="5" t="s">
        <v>5162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8"/>
    </row>
    <row r="26" spans="1:44" ht="15" hidden="1" x14ac:dyDescent="0.25">
      <c r="A26" s="25"/>
      <c r="B26" s="5"/>
      <c r="C26" s="5"/>
      <c r="D26" s="5" t="s">
        <v>5224</v>
      </c>
      <c r="E26" s="5"/>
      <c r="F26" s="5"/>
      <c r="G26" s="5" t="s">
        <v>5226</v>
      </c>
      <c r="H26" s="5"/>
      <c r="I26" s="5"/>
      <c r="J26" s="5" t="s">
        <v>5225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8"/>
    </row>
    <row r="27" spans="1:44" ht="15" x14ac:dyDescent="0.25">
      <c r="A27" s="25"/>
      <c r="B27" s="5"/>
      <c r="C27" s="5" t="s">
        <v>131</v>
      </c>
      <c r="D27" s="5"/>
      <c r="E27" s="5"/>
      <c r="F27" s="5"/>
      <c r="G27" s="5" t="s">
        <v>943</v>
      </c>
      <c r="H27" s="5" t="s">
        <v>739</v>
      </c>
      <c r="I27" s="5" t="s">
        <v>643</v>
      </c>
      <c r="J27" s="5" t="s">
        <v>372</v>
      </c>
      <c r="K27" s="5" t="s">
        <v>1207</v>
      </c>
      <c r="L27" s="5" t="s">
        <v>1440</v>
      </c>
      <c r="M27" s="5" t="s">
        <v>1676</v>
      </c>
      <c r="N27" s="5" t="s">
        <v>1879</v>
      </c>
      <c r="O27" s="5" t="s">
        <v>2451</v>
      </c>
      <c r="P27" s="5" t="s">
        <v>2452</v>
      </c>
      <c r="Q27" s="5" t="s">
        <v>2453</v>
      </c>
      <c r="R27" s="5" t="s">
        <v>2454</v>
      </c>
      <c r="S27" s="5" t="s">
        <v>2455</v>
      </c>
      <c r="T27" s="5" t="s">
        <v>2456</v>
      </c>
      <c r="U27" s="5" t="s">
        <v>2457</v>
      </c>
      <c r="V27" s="5" t="s">
        <v>2458</v>
      </c>
      <c r="W27" s="5" t="s">
        <v>2459</v>
      </c>
      <c r="X27" s="5" t="s">
        <v>2457</v>
      </c>
      <c r="Y27" s="10" t="e">
        <f>IF(OR($A27&lt;&gt;"", $G27=""),"",CONCATENATE(";",EscStr(CONCATENATE("NavNode_",getCategoryLevelAsString(#REF!))),";",EscStr($J27),";",IF(#REF!&lt;&gt;"","""MainNavNode""",EscStr(CONCATENATE("NavNode_",getSuperCategory(#REF!, getCategoryLevelAsNumber(#REF!))))),";"))</f>
        <v>#VALUE!</v>
      </c>
      <c r="Z27" s="10" t="e">
        <f>IF(getCategoryLevelAsString(#REF!)="L0D_324785","",IF(G27="",CONCATENATE(";",EscStr(CONCATENATE("NavNode_",getCategoryLevelAsString(#REF!))),";",EscStr($J27),";"),CONCATENATE(";",EscStr(CONCATENATE("NavNode_",getCategoryLevelAsString(#REF!))),";",EscStr(G27),";")))</f>
        <v>#VALUE!</v>
      </c>
      <c r="AA27" s="10" t="e">
        <f>IF(getCategoryLevelAsString(#REF!)="L0D_324785","",IF(H27="",CONCATENATE(";",EscStr(CONCATENATE("NavNode_",getCategoryLevelAsString(#REF!))),";",EscStr($J27),";"),CONCATENATE(";",EscStr(CONCATENATE("NavNode_",getCategoryLevelAsString(#REF!))),";",EscStr(H27),";")))</f>
        <v>#VALUE!</v>
      </c>
      <c r="AB27" s="10" t="e">
        <f>IF(getCategoryLevelAsString(#REF!)="L0D_324785","",IF(I27="",CONCATENATE(";",EscStr(CONCATENATE("NavNode_",getCategoryLevelAsString(#REF!))),";",EscStr($J27),";"),CONCATENATE(";",EscStr(CONCATENATE("NavNode_",getCategoryLevelAsString(#REF!))),";",EscStr(I27),";")))</f>
        <v>#VALUE!</v>
      </c>
      <c r="AC27" s="10" t="e">
        <f>IF(getCategoryLevelAsString(#REF!)="L0D_324785","",IF(J27="",CONCATENATE(";",EscStr(CONCATENATE("NavNode_",getCategoryLevelAsString(#REF!))),";",EscStr($J27),";"),CONCATENATE(";",EscStr(CONCATENATE("NavNode_",getCategoryLevelAsString(#REF!))),";",EscStr(J27),";")))</f>
        <v>#VALUE!</v>
      </c>
      <c r="AD27" s="10" t="e">
        <f>IF(getCategoryLevelAsString(#REF!)="L0D_324785","",IF(K27="",CONCATENATE(";",EscStr(CONCATENATE("NavNode_",getCategoryLevelAsString(#REF!))),";",EscStr($J27),";"),CONCATENATE(";",EscStr(CONCATENATE("NavNode_",getCategoryLevelAsString(#REF!))),";",EscStr(K27),";")))</f>
        <v>#VALUE!</v>
      </c>
      <c r="AE27" s="10" t="e">
        <f>IF(getCategoryLevelAsString(#REF!)="L0D_324785","",IF(L27="",CONCATENATE(";",EscStr(CONCATENATE("NavNode_",getCategoryLevelAsString(#REF!))),";",EscStr($J27),";"),CONCATENATE(";",EscStr(CONCATENATE("NavNode_",getCategoryLevelAsString(#REF!))),";",EscStr(L27),";")))</f>
        <v>#VALUE!</v>
      </c>
      <c r="AF27" s="10" t="e">
        <f>IF(getCategoryLevelAsString(#REF!)="L0D_324785","",IF(M27="",CONCATENATE(";",EscStr(CONCATENATE("NavNode_",getCategoryLevelAsString(#REF!))),";",EscStr($J27),";"),CONCATENATE(";",EscStr(CONCATENATE("NavNode_",getCategoryLevelAsString(#REF!))),";",EscStr(M27),";")))</f>
        <v>#VALUE!</v>
      </c>
      <c r="AG27" s="10" t="e">
        <f>IF(getCategoryLevelAsString(#REF!)="L0D_324785","",IF(N27="",CONCATENATE(";",EscStr(CONCATENATE("NavNode_",getCategoryLevelAsString(#REF!))),";",EscStr($J27),";"),CONCATENATE(";",EscStr(CONCATENATE("NavNode_",getCategoryLevelAsString(#REF!))),";",EscStr(N27),";")))</f>
        <v>#VALUE!</v>
      </c>
      <c r="AH27" s="10" t="e">
        <f>IF(getCategoryLevelAsString(#REF!)="L0D_324785","",IF(O27="",CONCATENATE(";",EscStr(CONCATENATE("NavNode_",getCategoryLevelAsString(#REF!))),";",EscStr($J27),";"),CONCATENATE(";",EscStr(CONCATENATE("NavNode_",getCategoryLevelAsString(#REF!))),";",EscStr(O27),";")))</f>
        <v>#VALUE!</v>
      </c>
      <c r="AI27" s="10" t="e">
        <f>IF(getCategoryLevelAsString(#REF!)="L0D_324785","",IF(P27="",CONCATENATE(";",EscStr(CONCATENATE("NavNode_",getCategoryLevelAsString(#REF!))),";",EscStr($J27),";"),CONCATENATE(";",EscStr(CONCATENATE("NavNode_",getCategoryLevelAsString(#REF!))),";",EscStr(P27),";")))</f>
        <v>#VALUE!</v>
      </c>
      <c r="AJ27" s="10" t="e">
        <f>IF(getCategoryLevelAsString(#REF!)="L0D_324785","",IF(Q27="",CONCATENATE(";",EscStr(CONCATENATE("NavNode_",getCategoryLevelAsString(#REF!))),";",EscStr($J27),";"),CONCATENATE(";",EscStr(CONCATENATE("NavNode_",getCategoryLevelAsString(#REF!))),";",EscStr(Q27),";")))</f>
        <v>#VALUE!</v>
      </c>
      <c r="AK27" s="10" t="e">
        <f>IF(getCategoryLevelAsString(#REF!)="L0D_324785","",IF(R27="",CONCATENATE(";",EscStr(CONCATENATE("NavNode_",getCategoryLevelAsString(#REF!))),";",EscStr($J27),";"),CONCATENATE(";",EscStr(CONCATENATE("NavNode_",getCategoryLevelAsString(#REF!))),";",EscStr(R27),";")))</f>
        <v>#VALUE!</v>
      </c>
      <c r="AL27" s="10" t="e">
        <f>IF(getCategoryLevelAsString(#REF!)="L0D_324785","",IF(S27="",CONCATENATE(";",EscStr(CONCATENATE("NavNode_",getCategoryLevelAsString(#REF!))),";",EscStr($J27),";"),CONCATENATE(";",EscStr(CONCATENATE("NavNode_",getCategoryLevelAsString(#REF!))),";",EscStr(S27),";")))</f>
        <v>#VALUE!</v>
      </c>
      <c r="AM27" s="10" t="e">
        <f>IF(getCategoryLevelAsString(#REF!)="L0D_324785","",IF(T27="",CONCATENATE(";",EscStr(CONCATENATE("NavNode_",getCategoryLevelAsString(#REF!))),";",EscStr($J27),";"),CONCATENATE(";",EscStr(CONCATENATE("NavNode_",getCategoryLevelAsString(#REF!))),";",EscStr(T27),";")))</f>
        <v>#VALUE!</v>
      </c>
      <c r="AN27" s="10" t="e">
        <f>IF(getCategoryLevelAsString(#REF!)="L0D_324785","",IF(U27="",CONCATENATE(";",EscStr(CONCATENATE("NavNode_",getCategoryLevelAsString(#REF!))),";",EscStr($J27),";"),CONCATENATE(";",EscStr(CONCATENATE("NavNode_",getCategoryLevelAsString(#REF!))),";",EscStr(U27),";")))</f>
        <v>#VALUE!</v>
      </c>
      <c r="AO27" s="10" t="e">
        <f>IF(getCategoryLevelAsString(#REF!)="L0D_324785","",IF(V27="",CONCATENATE(";",EscStr(CONCATENATE("NavNode_",getCategoryLevelAsString(#REF!))),";",EscStr($J27),";"),CONCATENATE(";",EscStr(CONCATENATE("NavNode_",getCategoryLevelAsString(#REF!))),";",EscStr(V27),";")))</f>
        <v>#VALUE!</v>
      </c>
      <c r="AP27" s="10" t="e">
        <f>IF(getCategoryLevelAsString(#REF!)="L0D_324785","",IF(W27="",CONCATENATE(";",EscStr(CONCATENATE("NavNode_",getCategoryLevelAsString(#REF!))),";",EscStr($J27),";"),CONCATENATE(";",EscStr(CONCATENATE("NavNode_",getCategoryLevelAsString(#REF!))),";",EscStr(W27),";")))</f>
        <v>#VALUE!</v>
      </c>
      <c r="AQ27" s="10" t="e">
        <f>IF(getCategoryLevelAsString(#REF!)="L0D_324785","",IF(X27="",CONCATENATE(";",EscStr(CONCATENATE("NavNode_",getCategoryLevelAsString(#REF!))),";",EscStr($J27),";"),CONCATENATE(";",EscStr(CONCATENATE("NavNode_",getCategoryLevelAsString(#REF!))),";",EscStr(X27),";")))</f>
        <v>#VALUE!</v>
      </c>
      <c r="AR27" s="8" t="e">
        <f>IF(OR($A27&lt;&gt;"", $G27=""),"",CONCATENATE(";",EscStr(CONCATENATE("NavEntry_",getCategoryLevelAsString(#REF!))),";",EscStr(CONCATENATE($J27," Navigation Entry")),";",EscStr(CONCATENATE("cat-",getCategoryLevelAsString(#REF!))),";",EscStr(CONCATENATE("NavNode_",getCategoryLevelAsString(#REF!))),";"))</f>
        <v>#VALUE!</v>
      </c>
    </row>
    <row r="28" spans="1:44" ht="15" hidden="1" x14ac:dyDescent="0.25">
      <c r="A28" s="25"/>
      <c r="B28" s="5"/>
      <c r="C28" s="5"/>
      <c r="D28" s="5" t="s">
        <v>5298</v>
      </c>
      <c r="E28" s="5"/>
      <c r="F28" s="5"/>
      <c r="G28" s="5" t="s">
        <v>5300</v>
      </c>
      <c r="H28" s="5"/>
      <c r="I28" s="5"/>
      <c r="J28" s="5" t="s">
        <v>5299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8"/>
    </row>
    <row r="29" spans="1:44" ht="15" hidden="1" x14ac:dyDescent="0.25">
      <c r="A29" s="25"/>
      <c r="B29" s="5"/>
      <c r="C29" s="5"/>
      <c r="D29" s="5" t="s">
        <v>5338</v>
      </c>
      <c r="E29" s="5"/>
      <c r="F29" s="5"/>
      <c r="G29" s="5" t="s">
        <v>5340</v>
      </c>
      <c r="H29" s="5"/>
      <c r="I29" s="5"/>
      <c r="J29" s="5" t="s">
        <v>5339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8"/>
    </row>
    <row r="30" spans="1:44" ht="15" hidden="1" x14ac:dyDescent="0.25">
      <c r="A30" s="25"/>
      <c r="B30" s="5"/>
      <c r="C30" s="5"/>
      <c r="D30" s="5" t="s">
        <v>5378</v>
      </c>
      <c r="E30" s="5"/>
      <c r="F30" s="5"/>
      <c r="G30" s="5" t="s">
        <v>5380</v>
      </c>
      <c r="H30" s="5"/>
      <c r="I30" s="5"/>
      <c r="J30" s="5" t="s">
        <v>5379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8"/>
    </row>
    <row r="31" spans="1:44" ht="15" hidden="1" x14ac:dyDescent="0.25">
      <c r="A31" s="25"/>
      <c r="B31" s="5"/>
      <c r="C31" s="5"/>
      <c r="D31" s="5" t="s">
        <v>5390</v>
      </c>
      <c r="E31" s="5"/>
      <c r="F31" s="5"/>
      <c r="G31" s="5" t="s">
        <v>5392</v>
      </c>
      <c r="H31" s="5"/>
      <c r="I31" s="5"/>
      <c r="J31" s="5" t="s">
        <v>5391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8"/>
    </row>
    <row r="32" spans="1:44" ht="15" hidden="1" x14ac:dyDescent="0.25">
      <c r="A32" s="25"/>
      <c r="B32" s="5"/>
      <c r="C32" s="5"/>
      <c r="D32" s="5" t="s">
        <v>5402</v>
      </c>
      <c r="E32" s="5"/>
      <c r="F32" s="5"/>
      <c r="G32" s="5" t="s">
        <v>5404</v>
      </c>
      <c r="H32" s="5"/>
      <c r="I32" s="5"/>
      <c r="J32" s="5" t="s">
        <v>5403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8"/>
    </row>
    <row r="33" spans="1:44" ht="15" x14ac:dyDescent="0.25">
      <c r="A33" s="25"/>
      <c r="B33" s="5"/>
      <c r="C33" s="5" t="s">
        <v>129</v>
      </c>
      <c r="D33" s="5"/>
      <c r="E33" s="5"/>
      <c r="F33" s="5"/>
      <c r="G33" s="5" t="s">
        <v>369</v>
      </c>
      <c r="H33" s="5" t="s">
        <v>370</v>
      </c>
      <c r="I33" s="5" t="s">
        <v>371</v>
      </c>
      <c r="J33" s="5" t="s">
        <v>130</v>
      </c>
      <c r="K33" s="5" t="s">
        <v>1209</v>
      </c>
      <c r="L33" s="5" t="s">
        <v>1443</v>
      </c>
      <c r="M33" s="5" t="s">
        <v>1679</v>
      </c>
      <c r="N33" s="5" t="s">
        <v>1881</v>
      </c>
      <c r="O33" s="5" t="s">
        <v>2475</v>
      </c>
      <c r="P33" s="5" t="s">
        <v>2476</v>
      </c>
      <c r="Q33" s="5" t="s">
        <v>2477</v>
      </c>
      <c r="R33" s="5" t="s">
        <v>2478</v>
      </c>
      <c r="S33" s="5" t="s">
        <v>2479</v>
      </c>
      <c r="T33" s="5" t="s">
        <v>2480</v>
      </c>
      <c r="U33" s="5" t="s">
        <v>2481</v>
      </c>
      <c r="V33" s="5" t="s">
        <v>2482</v>
      </c>
      <c r="W33" s="5" t="s">
        <v>2483</v>
      </c>
      <c r="X33" s="5" t="s">
        <v>2481</v>
      </c>
      <c r="Y33" s="10" t="e">
        <f>IF(OR($A33&lt;&gt;"", $G33=""),"",CONCATENATE(";",EscStr(CONCATENATE("NavNode_",getCategoryLevelAsString(#REF!))),";",EscStr($J33),";",IF(#REF!&lt;&gt;"","""MainNavNode""",EscStr(CONCATENATE("NavNode_",getSuperCategory(#REF!, getCategoryLevelAsNumber(#REF!))))),";"))</f>
        <v>#VALUE!</v>
      </c>
      <c r="Z33" s="10" t="e">
        <f>IF(getCategoryLevelAsString(#REF!)="L0D_324785","",IF(G33="",CONCATENATE(";",EscStr(CONCATENATE("NavNode_",getCategoryLevelAsString(#REF!))),";",EscStr($J33),";"),CONCATENATE(";",EscStr(CONCATENATE("NavNode_",getCategoryLevelAsString(#REF!))),";",EscStr(G33),";")))</f>
        <v>#VALUE!</v>
      </c>
      <c r="AA33" s="10" t="e">
        <f>IF(getCategoryLevelAsString(#REF!)="L0D_324785","",IF(H33="",CONCATENATE(";",EscStr(CONCATENATE("NavNode_",getCategoryLevelAsString(#REF!))),";",EscStr($J33),";"),CONCATENATE(";",EscStr(CONCATENATE("NavNode_",getCategoryLevelAsString(#REF!))),";",EscStr(H33),";")))</f>
        <v>#VALUE!</v>
      </c>
      <c r="AB33" s="10" t="e">
        <f>IF(getCategoryLevelAsString(#REF!)="L0D_324785","",IF(I33="",CONCATENATE(";",EscStr(CONCATENATE("NavNode_",getCategoryLevelAsString(#REF!))),";",EscStr($J33),";"),CONCATENATE(";",EscStr(CONCATENATE("NavNode_",getCategoryLevelAsString(#REF!))),";",EscStr(I33),";")))</f>
        <v>#VALUE!</v>
      </c>
      <c r="AC33" s="10" t="e">
        <f>IF(getCategoryLevelAsString(#REF!)="L0D_324785","",IF(J33="",CONCATENATE(";",EscStr(CONCATENATE("NavNode_",getCategoryLevelAsString(#REF!))),";",EscStr($J33),";"),CONCATENATE(";",EscStr(CONCATENATE("NavNode_",getCategoryLevelAsString(#REF!))),";",EscStr(J33),";")))</f>
        <v>#VALUE!</v>
      </c>
      <c r="AD33" s="10" t="e">
        <f>IF(getCategoryLevelAsString(#REF!)="L0D_324785","",IF(K33="",CONCATENATE(";",EscStr(CONCATENATE("NavNode_",getCategoryLevelAsString(#REF!))),";",EscStr($J33),";"),CONCATENATE(";",EscStr(CONCATENATE("NavNode_",getCategoryLevelAsString(#REF!))),";",EscStr(K33),";")))</f>
        <v>#VALUE!</v>
      </c>
      <c r="AE33" s="10" t="e">
        <f>IF(getCategoryLevelAsString(#REF!)="L0D_324785","",IF(L33="",CONCATENATE(";",EscStr(CONCATENATE("NavNode_",getCategoryLevelAsString(#REF!))),";",EscStr($J33),";"),CONCATENATE(";",EscStr(CONCATENATE("NavNode_",getCategoryLevelAsString(#REF!))),";",EscStr(L33),";")))</f>
        <v>#VALUE!</v>
      </c>
      <c r="AF33" s="10" t="e">
        <f>IF(getCategoryLevelAsString(#REF!)="L0D_324785","",IF(M33="",CONCATENATE(";",EscStr(CONCATENATE("NavNode_",getCategoryLevelAsString(#REF!))),";",EscStr($J33),";"),CONCATENATE(";",EscStr(CONCATENATE("NavNode_",getCategoryLevelAsString(#REF!))),";",EscStr(M33),";")))</f>
        <v>#VALUE!</v>
      </c>
      <c r="AG33" s="10" t="e">
        <f>IF(getCategoryLevelAsString(#REF!)="L0D_324785","",IF(N33="",CONCATENATE(";",EscStr(CONCATENATE("NavNode_",getCategoryLevelAsString(#REF!))),";",EscStr($J33),";"),CONCATENATE(";",EscStr(CONCATENATE("NavNode_",getCategoryLevelAsString(#REF!))),";",EscStr(N33),";")))</f>
        <v>#VALUE!</v>
      </c>
      <c r="AH33" s="10" t="e">
        <f>IF(getCategoryLevelAsString(#REF!)="L0D_324785","",IF(O33="",CONCATENATE(";",EscStr(CONCATENATE("NavNode_",getCategoryLevelAsString(#REF!))),";",EscStr($J33),";"),CONCATENATE(";",EscStr(CONCATENATE("NavNode_",getCategoryLevelAsString(#REF!))),";",EscStr(O33),";")))</f>
        <v>#VALUE!</v>
      </c>
      <c r="AI33" s="10" t="e">
        <f>IF(getCategoryLevelAsString(#REF!)="L0D_324785","",IF(P33="",CONCATENATE(";",EscStr(CONCATENATE("NavNode_",getCategoryLevelAsString(#REF!))),";",EscStr($J33),";"),CONCATENATE(";",EscStr(CONCATENATE("NavNode_",getCategoryLevelAsString(#REF!))),";",EscStr(P33),";")))</f>
        <v>#VALUE!</v>
      </c>
      <c r="AJ33" s="10" t="e">
        <f>IF(getCategoryLevelAsString(#REF!)="L0D_324785","",IF(Q33="",CONCATENATE(";",EscStr(CONCATENATE("NavNode_",getCategoryLevelAsString(#REF!))),";",EscStr($J33),";"),CONCATENATE(";",EscStr(CONCATENATE("NavNode_",getCategoryLevelAsString(#REF!))),";",EscStr(Q33),";")))</f>
        <v>#VALUE!</v>
      </c>
      <c r="AK33" s="10" t="e">
        <f>IF(getCategoryLevelAsString(#REF!)="L0D_324785","",IF(R33="",CONCATENATE(";",EscStr(CONCATENATE("NavNode_",getCategoryLevelAsString(#REF!))),";",EscStr($J33),";"),CONCATENATE(";",EscStr(CONCATENATE("NavNode_",getCategoryLevelAsString(#REF!))),";",EscStr(R33),";")))</f>
        <v>#VALUE!</v>
      </c>
      <c r="AL33" s="10" t="e">
        <f>IF(getCategoryLevelAsString(#REF!)="L0D_324785","",IF(S33="",CONCATENATE(";",EscStr(CONCATENATE("NavNode_",getCategoryLevelAsString(#REF!))),";",EscStr($J33),";"),CONCATENATE(";",EscStr(CONCATENATE("NavNode_",getCategoryLevelAsString(#REF!))),";",EscStr(S33),";")))</f>
        <v>#VALUE!</v>
      </c>
      <c r="AM33" s="10" t="e">
        <f>IF(getCategoryLevelAsString(#REF!)="L0D_324785","",IF(T33="",CONCATENATE(";",EscStr(CONCATENATE("NavNode_",getCategoryLevelAsString(#REF!))),";",EscStr($J33),";"),CONCATENATE(";",EscStr(CONCATENATE("NavNode_",getCategoryLevelAsString(#REF!))),";",EscStr(T33),";")))</f>
        <v>#VALUE!</v>
      </c>
      <c r="AN33" s="10" t="e">
        <f>IF(getCategoryLevelAsString(#REF!)="L0D_324785","",IF(U33="",CONCATENATE(";",EscStr(CONCATENATE("NavNode_",getCategoryLevelAsString(#REF!))),";",EscStr($J33),";"),CONCATENATE(";",EscStr(CONCATENATE("NavNode_",getCategoryLevelAsString(#REF!))),";",EscStr(U33),";")))</f>
        <v>#VALUE!</v>
      </c>
      <c r="AO33" s="10" t="e">
        <f>IF(getCategoryLevelAsString(#REF!)="L0D_324785","",IF(V33="",CONCATENATE(";",EscStr(CONCATENATE("NavNode_",getCategoryLevelAsString(#REF!))),";",EscStr($J33),";"),CONCATENATE(";",EscStr(CONCATENATE("NavNode_",getCategoryLevelAsString(#REF!))),";",EscStr(V33),";")))</f>
        <v>#VALUE!</v>
      </c>
      <c r="AP33" s="10" t="e">
        <f>IF(getCategoryLevelAsString(#REF!)="L0D_324785","",IF(W33="",CONCATENATE(";",EscStr(CONCATENATE("NavNode_",getCategoryLevelAsString(#REF!))),";",EscStr($J33),";"),CONCATENATE(";",EscStr(CONCATENATE("NavNode_",getCategoryLevelAsString(#REF!))),";",EscStr(W33),";")))</f>
        <v>#VALUE!</v>
      </c>
      <c r="AQ33" s="10" t="e">
        <f>IF(getCategoryLevelAsString(#REF!)="L0D_324785","",IF(X33="",CONCATENATE(";",EscStr(CONCATENATE("NavNode_",getCategoryLevelAsString(#REF!))),";",EscStr($J33),";"),CONCATENATE(";",EscStr(CONCATENATE("NavNode_",getCategoryLevelAsString(#REF!))),";",EscStr(X33),";")))</f>
        <v>#VALUE!</v>
      </c>
      <c r="AR33" s="8" t="e">
        <f>IF(OR($A33&lt;&gt;"", $G33=""),"",CONCATENATE(";",EscStr(CONCATENATE("NavEntry_",getCategoryLevelAsString(#REF!))),";",EscStr(CONCATENATE($J33," Navigation Entry")),";",EscStr(CONCATENATE("cat-",getCategoryLevelAsString(#REF!))),";",EscStr(CONCATENATE("NavNode_",getCategoryLevelAsString(#REF!))),";"))</f>
        <v>#VALUE!</v>
      </c>
    </row>
    <row r="34" spans="1:44" ht="15" hidden="1" x14ac:dyDescent="0.25">
      <c r="A34" s="25"/>
      <c r="B34" s="5"/>
      <c r="C34" s="5"/>
      <c r="D34" s="5" t="s">
        <v>5495</v>
      </c>
      <c r="E34" s="5"/>
      <c r="F34" s="5"/>
      <c r="G34" s="5" t="s">
        <v>5497</v>
      </c>
      <c r="H34" s="5"/>
      <c r="I34" s="5"/>
      <c r="J34" s="5" t="s">
        <v>5496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8"/>
    </row>
    <row r="35" spans="1:44" ht="15" hidden="1" x14ac:dyDescent="0.25">
      <c r="A35" s="25"/>
      <c r="B35" s="5"/>
      <c r="C35" s="5"/>
      <c r="D35" s="5" t="s">
        <v>5520</v>
      </c>
      <c r="E35" s="5"/>
      <c r="F35" s="5"/>
      <c r="G35" s="5" t="s">
        <v>5522</v>
      </c>
      <c r="H35" s="5"/>
      <c r="I35" s="5"/>
      <c r="J35" s="5" t="s">
        <v>5521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8"/>
    </row>
    <row r="36" spans="1:44" ht="15" hidden="1" x14ac:dyDescent="0.25">
      <c r="A36" s="25"/>
      <c r="B36" s="5"/>
      <c r="C36" s="5"/>
      <c r="D36" s="5" t="s">
        <v>5533</v>
      </c>
      <c r="E36" s="5"/>
      <c r="F36" s="5"/>
      <c r="G36" s="5" t="s">
        <v>5535</v>
      </c>
      <c r="H36" s="5"/>
      <c r="I36" s="5"/>
      <c r="J36" s="5" t="s">
        <v>5534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8"/>
    </row>
    <row r="37" spans="1:44" ht="15" hidden="1" x14ac:dyDescent="0.25">
      <c r="A37" s="25"/>
      <c r="B37" s="5"/>
      <c r="C37" s="5"/>
      <c r="D37" s="5" t="s">
        <v>5553</v>
      </c>
      <c r="E37" s="5"/>
      <c r="F37" s="5"/>
      <c r="G37" s="5" t="s">
        <v>5555</v>
      </c>
      <c r="H37" s="5"/>
      <c r="I37" s="5"/>
      <c r="J37" s="5" t="s">
        <v>5554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8"/>
    </row>
    <row r="38" spans="1:44" ht="15" hidden="1" x14ac:dyDescent="0.25">
      <c r="A38" s="25"/>
      <c r="B38" s="5"/>
      <c r="C38" s="5"/>
      <c r="D38" s="5" t="s">
        <v>5563</v>
      </c>
      <c r="E38" s="5"/>
      <c r="F38" s="5"/>
      <c r="G38" s="5" t="s">
        <v>5565</v>
      </c>
      <c r="H38" s="5"/>
      <c r="I38" s="5"/>
      <c r="J38" s="5" t="s">
        <v>5564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8"/>
    </row>
    <row r="39" spans="1:44" ht="15" x14ac:dyDescent="0.25">
      <c r="A39" s="25"/>
      <c r="B39" s="5"/>
      <c r="C39" s="5" t="s">
        <v>134</v>
      </c>
      <c r="D39" s="5"/>
      <c r="E39" s="5"/>
      <c r="F39" s="5"/>
      <c r="G39" s="5" t="s">
        <v>376</v>
      </c>
      <c r="H39" s="5" t="s">
        <v>377</v>
      </c>
      <c r="I39" s="5" t="s">
        <v>378</v>
      </c>
      <c r="J39" s="5" t="s">
        <v>135</v>
      </c>
      <c r="K39" s="5" t="s">
        <v>376</v>
      </c>
      <c r="L39" s="5" t="s">
        <v>1441</v>
      </c>
      <c r="M39" s="5" t="s">
        <v>1677</v>
      </c>
      <c r="N39" s="5" t="s">
        <v>376</v>
      </c>
      <c r="O39" s="5" t="s">
        <v>2460</v>
      </c>
      <c r="P39" s="5" t="s">
        <v>2461</v>
      </c>
      <c r="Q39" s="5" t="s">
        <v>1441</v>
      </c>
      <c r="R39" s="5" t="s">
        <v>2462</v>
      </c>
      <c r="S39" s="5" t="s">
        <v>1441</v>
      </c>
      <c r="T39" s="5" t="s">
        <v>2463</v>
      </c>
      <c r="U39" s="5" t="s">
        <v>1441</v>
      </c>
      <c r="V39" s="5" t="s">
        <v>2464</v>
      </c>
      <c r="W39" s="5" t="s">
        <v>2465</v>
      </c>
      <c r="X39" s="5" t="s">
        <v>1441</v>
      </c>
      <c r="Y39" s="10" t="e">
        <f>IF(OR($A39&lt;&gt;"", $G39=""),"",CONCATENATE(";",EscStr(CONCATENATE("NavNode_",getCategoryLevelAsString(#REF!))),";",EscStr($J39),";",IF(#REF!&lt;&gt;"","""MainNavNode""",EscStr(CONCATENATE("NavNode_",getSuperCategory(#REF!, getCategoryLevelAsNumber(#REF!))))),";"))</f>
        <v>#VALUE!</v>
      </c>
      <c r="Z39" s="10" t="e">
        <f>IF(getCategoryLevelAsString(#REF!)="L0D_324785","",IF(G39="",CONCATENATE(";",EscStr(CONCATENATE("NavNode_",getCategoryLevelAsString(#REF!))),";",EscStr($J39),";"),CONCATENATE(";",EscStr(CONCATENATE("NavNode_",getCategoryLevelAsString(#REF!))),";",EscStr(G39),";")))</f>
        <v>#VALUE!</v>
      </c>
      <c r="AA39" s="10" t="e">
        <f>IF(getCategoryLevelAsString(#REF!)="L0D_324785","",IF(H39="",CONCATENATE(";",EscStr(CONCATENATE("NavNode_",getCategoryLevelAsString(#REF!))),";",EscStr($J39),";"),CONCATENATE(";",EscStr(CONCATENATE("NavNode_",getCategoryLevelAsString(#REF!))),";",EscStr(H39),";")))</f>
        <v>#VALUE!</v>
      </c>
      <c r="AB39" s="10" t="e">
        <f>IF(getCategoryLevelAsString(#REF!)="L0D_324785","",IF(I39="",CONCATENATE(";",EscStr(CONCATENATE("NavNode_",getCategoryLevelAsString(#REF!))),";",EscStr($J39),";"),CONCATENATE(";",EscStr(CONCATENATE("NavNode_",getCategoryLevelAsString(#REF!))),";",EscStr(I39),";")))</f>
        <v>#VALUE!</v>
      </c>
      <c r="AC39" s="10" t="e">
        <f>IF(getCategoryLevelAsString(#REF!)="L0D_324785","",IF(J39="",CONCATENATE(";",EscStr(CONCATENATE("NavNode_",getCategoryLevelAsString(#REF!))),";",EscStr($J39),";"),CONCATENATE(";",EscStr(CONCATENATE("NavNode_",getCategoryLevelAsString(#REF!))),";",EscStr(J39),";")))</f>
        <v>#VALUE!</v>
      </c>
      <c r="AD39" s="10" t="e">
        <f>IF(getCategoryLevelAsString(#REF!)="L0D_324785","",IF(K39="",CONCATENATE(";",EscStr(CONCATENATE("NavNode_",getCategoryLevelAsString(#REF!))),";",EscStr($J39),";"),CONCATENATE(";",EscStr(CONCATENATE("NavNode_",getCategoryLevelAsString(#REF!))),";",EscStr(K39),";")))</f>
        <v>#VALUE!</v>
      </c>
      <c r="AE39" s="10" t="e">
        <f>IF(getCategoryLevelAsString(#REF!)="L0D_324785","",IF(L39="",CONCATENATE(";",EscStr(CONCATENATE("NavNode_",getCategoryLevelAsString(#REF!))),";",EscStr($J39),";"),CONCATENATE(";",EscStr(CONCATENATE("NavNode_",getCategoryLevelAsString(#REF!))),";",EscStr(L39),";")))</f>
        <v>#VALUE!</v>
      </c>
      <c r="AF39" s="10" t="e">
        <f>IF(getCategoryLevelAsString(#REF!)="L0D_324785","",IF(M39="",CONCATENATE(";",EscStr(CONCATENATE("NavNode_",getCategoryLevelAsString(#REF!))),";",EscStr($J39),";"),CONCATENATE(";",EscStr(CONCATENATE("NavNode_",getCategoryLevelAsString(#REF!))),";",EscStr(M39),";")))</f>
        <v>#VALUE!</v>
      </c>
      <c r="AG39" s="10" t="e">
        <f>IF(getCategoryLevelAsString(#REF!)="L0D_324785","",IF(N39="",CONCATENATE(";",EscStr(CONCATENATE("NavNode_",getCategoryLevelAsString(#REF!))),";",EscStr($J39),";"),CONCATENATE(";",EscStr(CONCATENATE("NavNode_",getCategoryLevelAsString(#REF!))),";",EscStr(N39),";")))</f>
        <v>#VALUE!</v>
      </c>
      <c r="AH39" s="10" t="e">
        <f>IF(getCategoryLevelAsString(#REF!)="L0D_324785","",IF(O39="",CONCATENATE(";",EscStr(CONCATENATE("NavNode_",getCategoryLevelAsString(#REF!))),";",EscStr($J39),";"),CONCATENATE(";",EscStr(CONCATENATE("NavNode_",getCategoryLevelAsString(#REF!))),";",EscStr(O39),";")))</f>
        <v>#VALUE!</v>
      </c>
      <c r="AI39" s="10" t="e">
        <f>IF(getCategoryLevelAsString(#REF!)="L0D_324785","",IF(P39="",CONCATENATE(";",EscStr(CONCATENATE("NavNode_",getCategoryLevelAsString(#REF!))),";",EscStr($J39),";"),CONCATENATE(";",EscStr(CONCATENATE("NavNode_",getCategoryLevelAsString(#REF!))),";",EscStr(P39),";")))</f>
        <v>#VALUE!</v>
      </c>
      <c r="AJ39" s="10" t="e">
        <f>IF(getCategoryLevelAsString(#REF!)="L0D_324785","",IF(Q39="",CONCATENATE(";",EscStr(CONCATENATE("NavNode_",getCategoryLevelAsString(#REF!))),";",EscStr($J39),";"),CONCATENATE(";",EscStr(CONCATENATE("NavNode_",getCategoryLevelAsString(#REF!))),";",EscStr(Q39),";")))</f>
        <v>#VALUE!</v>
      </c>
      <c r="AK39" s="10" t="e">
        <f>IF(getCategoryLevelAsString(#REF!)="L0D_324785","",IF(R39="",CONCATENATE(";",EscStr(CONCATENATE("NavNode_",getCategoryLevelAsString(#REF!))),";",EscStr($J39),";"),CONCATENATE(";",EscStr(CONCATENATE("NavNode_",getCategoryLevelAsString(#REF!))),";",EscStr(R39),";")))</f>
        <v>#VALUE!</v>
      </c>
      <c r="AL39" s="10" t="e">
        <f>IF(getCategoryLevelAsString(#REF!)="L0D_324785","",IF(S39="",CONCATENATE(";",EscStr(CONCATENATE("NavNode_",getCategoryLevelAsString(#REF!))),";",EscStr($J39),";"),CONCATENATE(";",EscStr(CONCATENATE("NavNode_",getCategoryLevelAsString(#REF!))),";",EscStr(S39),";")))</f>
        <v>#VALUE!</v>
      </c>
      <c r="AM39" s="10" t="e">
        <f>IF(getCategoryLevelAsString(#REF!)="L0D_324785","",IF(T39="",CONCATENATE(";",EscStr(CONCATENATE("NavNode_",getCategoryLevelAsString(#REF!))),";",EscStr($J39),";"),CONCATENATE(";",EscStr(CONCATENATE("NavNode_",getCategoryLevelAsString(#REF!))),";",EscStr(T39),";")))</f>
        <v>#VALUE!</v>
      </c>
      <c r="AN39" s="10" t="e">
        <f>IF(getCategoryLevelAsString(#REF!)="L0D_324785","",IF(U39="",CONCATENATE(";",EscStr(CONCATENATE("NavNode_",getCategoryLevelAsString(#REF!))),";",EscStr($J39),";"),CONCATENATE(";",EscStr(CONCATENATE("NavNode_",getCategoryLevelAsString(#REF!))),";",EscStr(U39),";")))</f>
        <v>#VALUE!</v>
      </c>
      <c r="AO39" s="10" t="e">
        <f>IF(getCategoryLevelAsString(#REF!)="L0D_324785","",IF(V39="",CONCATENATE(";",EscStr(CONCATENATE("NavNode_",getCategoryLevelAsString(#REF!))),";",EscStr($J39),";"),CONCATENATE(";",EscStr(CONCATENATE("NavNode_",getCategoryLevelAsString(#REF!))),";",EscStr(V39),";")))</f>
        <v>#VALUE!</v>
      </c>
      <c r="AP39" s="10" t="e">
        <f>IF(getCategoryLevelAsString(#REF!)="L0D_324785","",IF(W39="",CONCATENATE(";",EscStr(CONCATENATE("NavNode_",getCategoryLevelAsString(#REF!))),";",EscStr($J39),";"),CONCATENATE(";",EscStr(CONCATENATE("NavNode_",getCategoryLevelAsString(#REF!))),";",EscStr(W39),";")))</f>
        <v>#VALUE!</v>
      </c>
      <c r="AQ39" s="10" t="e">
        <f>IF(getCategoryLevelAsString(#REF!)="L0D_324785","",IF(X39="",CONCATENATE(";",EscStr(CONCATENATE("NavNode_",getCategoryLevelAsString(#REF!))),";",EscStr($J39),";"),CONCATENATE(";",EscStr(CONCATENATE("NavNode_",getCategoryLevelAsString(#REF!))),";",EscStr(X39),";")))</f>
        <v>#VALUE!</v>
      </c>
      <c r="AR39" s="8" t="e">
        <f>IF(OR($A39&lt;&gt;"", $G39=""),"",CONCATENATE(";",EscStr(CONCATENATE("NavEntry_",getCategoryLevelAsString(#REF!))),";",EscStr(CONCATENATE($J39," Navigation Entry")),";",EscStr(CONCATENATE("cat-",getCategoryLevelAsString(#REF!))),";",EscStr(CONCATENATE("NavNode_",getCategoryLevelAsString(#REF!))),";"))</f>
        <v>#VALUE!</v>
      </c>
    </row>
    <row r="40" spans="1:44" ht="15" hidden="1" x14ac:dyDescent="0.25">
      <c r="A40" s="25"/>
      <c r="B40" s="5"/>
      <c r="C40" s="5"/>
      <c r="D40" s="5" t="s">
        <v>5609</v>
      </c>
      <c r="E40" s="5"/>
      <c r="F40" s="5"/>
      <c r="G40" s="5" t="s">
        <v>5610</v>
      </c>
      <c r="H40" s="5"/>
      <c r="I40" s="5"/>
      <c r="J40" s="5" t="s">
        <v>5610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8"/>
    </row>
    <row r="41" spans="1:44" ht="15" hidden="1" x14ac:dyDescent="0.25">
      <c r="A41" s="25"/>
      <c r="B41" s="5"/>
      <c r="C41" s="5"/>
      <c r="D41" s="5" t="s">
        <v>5670</v>
      </c>
      <c r="E41" s="5"/>
      <c r="F41" s="5"/>
      <c r="G41" s="5" t="s">
        <v>5672</v>
      </c>
      <c r="H41" s="5"/>
      <c r="I41" s="5"/>
      <c r="J41" s="5" t="s">
        <v>5671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8"/>
    </row>
    <row r="42" spans="1:44" ht="15" hidden="1" x14ac:dyDescent="0.25">
      <c r="A42" s="25"/>
      <c r="B42" s="5"/>
      <c r="C42" s="5"/>
      <c r="D42" s="5" t="s">
        <v>5693</v>
      </c>
      <c r="E42" s="5"/>
      <c r="F42" s="5"/>
      <c r="G42" s="5" t="s">
        <v>5695</v>
      </c>
      <c r="H42" s="5"/>
      <c r="I42" s="5"/>
      <c r="J42" s="5" t="s">
        <v>5694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8"/>
    </row>
    <row r="43" spans="1:44" ht="15" hidden="1" x14ac:dyDescent="0.25">
      <c r="A43" s="25"/>
      <c r="B43" s="5"/>
      <c r="C43" s="5"/>
      <c r="D43" s="5" t="s">
        <v>5705</v>
      </c>
      <c r="E43" s="5"/>
      <c r="F43" s="5"/>
      <c r="G43" s="5" t="s">
        <v>5707</v>
      </c>
      <c r="H43" s="5"/>
      <c r="I43" s="5"/>
      <c r="J43" s="5" t="s">
        <v>5706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8"/>
    </row>
    <row r="44" spans="1:44" ht="15" hidden="1" x14ac:dyDescent="0.25">
      <c r="A44" s="25"/>
      <c r="B44" s="5"/>
      <c r="C44" s="5"/>
      <c r="D44" s="5" t="s">
        <v>5725</v>
      </c>
      <c r="E44" s="5"/>
      <c r="F44" s="5"/>
      <c r="G44" s="5" t="s">
        <v>5727</v>
      </c>
      <c r="H44" s="5"/>
      <c r="I44" s="5"/>
      <c r="J44" s="5" t="s">
        <v>5726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8"/>
    </row>
    <row r="45" spans="1:44" ht="15" hidden="1" x14ac:dyDescent="0.25">
      <c r="A45" s="25"/>
      <c r="B45" s="5"/>
      <c r="C45" s="5"/>
      <c r="D45" s="5" t="s">
        <v>5756</v>
      </c>
      <c r="E45" s="5"/>
      <c r="F45" s="5"/>
      <c r="G45" s="5" t="s">
        <v>5758</v>
      </c>
      <c r="H45" s="5"/>
      <c r="I45" s="5"/>
      <c r="J45" s="5" t="s">
        <v>5757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8"/>
    </row>
    <row r="46" spans="1:44" ht="15" hidden="1" x14ac:dyDescent="0.25">
      <c r="A46" s="25"/>
      <c r="B46" s="5"/>
      <c r="C46" s="5"/>
      <c r="D46" s="5" t="s">
        <v>5770</v>
      </c>
      <c r="E46" s="5"/>
      <c r="F46" s="5"/>
      <c r="G46" s="5" t="s">
        <v>5772</v>
      </c>
      <c r="H46" s="5"/>
      <c r="I46" s="5"/>
      <c r="J46" s="5" t="s">
        <v>5771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8"/>
    </row>
    <row r="47" spans="1:44" ht="15" hidden="1" x14ac:dyDescent="0.25">
      <c r="A47" s="25"/>
      <c r="B47" s="5"/>
      <c r="C47" s="5"/>
      <c r="D47" s="5" t="s">
        <v>5784</v>
      </c>
      <c r="E47" s="5"/>
      <c r="F47" s="5"/>
      <c r="G47" s="5" t="s">
        <v>5786</v>
      </c>
      <c r="H47" s="5"/>
      <c r="I47" s="5"/>
      <c r="J47" s="5" t="s">
        <v>5785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8"/>
    </row>
    <row r="48" spans="1:44" ht="15" hidden="1" x14ac:dyDescent="0.25">
      <c r="A48" s="25"/>
      <c r="B48" s="5"/>
      <c r="C48" s="5"/>
      <c r="D48" s="5" t="s">
        <v>5793</v>
      </c>
      <c r="E48" s="5"/>
      <c r="F48" s="5"/>
      <c r="G48" s="5" t="s">
        <v>5795</v>
      </c>
      <c r="H48" s="5"/>
      <c r="I48" s="5"/>
      <c r="J48" s="5" t="s">
        <v>5794</v>
      </c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8"/>
    </row>
    <row r="49" spans="1:44" ht="15" hidden="1" x14ac:dyDescent="0.25">
      <c r="A49" s="25"/>
      <c r="B49" s="5"/>
      <c r="C49" s="5"/>
      <c r="D49" s="5" t="s">
        <v>5812</v>
      </c>
      <c r="E49" s="5"/>
      <c r="F49" s="5"/>
      <c r="G49" s="5" t="s">
        <v>5814</v>
      </c>
      <c r="H49" s="5"/>
      <c r="I49" s="5"/>
      <c r="J49" s="5" t="s">
        <v>5813</v>
      </c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8"/>
    </row>
    <row r="50" spans="1:44" ht="15" hidden="1" x14ac:dyDescent="0.25">
      <c r="A50" s="25"/>
      <c r="B50" s="5"/>
      <c r="C50" s="5"/>
      <c r="D50" s="5" t="s">
        <v>5825</v>
      </c>
      <c r="E50" s="5"/>
      <c r="F50" s="5"/>
      <c r="G50" s="5" t="s">
        <v>5827</v>
      </c>
      <c r="H50" s="5"/>
      <c r="I50" s="5"/>
      <c r="J50" s="5" t="s">
        <v>5826</v>
      </c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8"/>
    </row>
    <row r="51" spans="1:44" ht="15" hidden="1" x14ac:dyDescent="0.25">
      <c r="A51" s="25"/>
      <c r="B51" s="5"/>
      <c r="C51" s="5"/>
      <c r="D51" s="5" t="s">
        <v>5852</v>
      </c>
      <c r="E51" s="5"/>
      <c r="F51" s="5"/>
      <c r="G51" s="5" t="s">
        <v>4984</v>
      </c>
      <c r="H51" s="5"/>
      <c r="I51" s="5"/>
      <c r="J51" s="5" t="s">
        <v>4983</v>
      </c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8"/>
    </row>
    <row r="52" spans="1:44" ht="15" hidden="1" x14ac:dyDescent="0.25">
      <c r="A52" s="25"/>
      <c r="B52" s="5"/>
      <c r="C52" s="5"/>
      <c r="D52" s="5" t="s">
        <v>5910</v>
      </c>
      <c r="E52" s="5"/>
      <c r="F52" s="5"/>
      <c r="G52" s="5" t="s">
        <v>5912</v>
      </c>
      <c r="H52" s="5"/>
      <c r="I52" s="5"/>
      <c r="J52" s="5" t="s">
        <v>5911</v>
      </c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8"/>
    </row>
    <row r="53" spans="1:44" ht="15" hidden="1" x14ac:dyDescent="0.25">
      <c r="A53" s="25"/>
      <c r="B53" s="5"/>
      <c r="C53" s="5"/>
      <c r="D53" s="5" t="s">
        <v>5948</v>
      </c>
      <c r="E53" s="5"/>
      <c r="F53" s="5"/>
      <c r="G53" s="5" t="s">
        <v>5950</v>
      </c>
      <c r="H53" s="5"/>
      <c r="I53" s="5"/>
      <c r="J53" s="5" t="s">
        <v>5949</v>
      </c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8"/>
    </row>
    <row r="54" spans="1:44" ht="15" hidden="1" x14ac:dyDescent="0.25">
      <c r="A54" s="25"/>
      <c r="B54" s="5"/>
      <c r="C54" s="5"/>
      <c r="D54" s="5" t="s">
        <v>5961</v>
      </c>
      <c r="E54" s="5"/>
      <c r="F54" s="5"/>
      <c r="G54" s="5" t="s">
        <v>5962</v>
      </c>
      <c r="H54" s="5"/>
      <c r="I54" s="5"/>
      <c r="J54" s="5" t="s">
        <v>5962</v>
      </c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8"/>
    </row>
    <row r="55" spans="1:44" ht="15" hidden="1" x14ac:dyDescent="0.25">
      <c r="A55" s="25"/>
      <c r="B55" s="5"/>
      <c r="C55" s="5"/>
      <c r="D55" s="5" t="s">
        <v>5983</v>
      </c>
      <c r="E55" s="5"/>
      <c r="F55" s="5"/>
      <c r="G55" s="5" t="s">
        <v>5985</v>
      </c>
      <c r="H55" s="5"/>
      <c r="I55" s="5"/>
      <c r="J55" s="5" t="s">
        <v>5984</v>
      </c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8"/>
    </row>
    <row r="56" spans="1:44" ht="15" x14ac:dyDescent="0.25">
      <c r="A56" s="25"/>
      <c r="B56" s="5"/>
      <c r="C56" s="5" t="s">
        <v>740</v>
      </c>
      <c r="D56" s="5"/>
      <c r="E56" s="5"/>
      <c r="F56" s="5"/>
      <c r="G56" s="5" t="s">
        <v>982</v>
      </c>
      <c r="H56" s="5" t="s">
        <v>1084</v>
      </c>
      <c r="I56" s="5" t="s">
        <v>1143</v>
      </c>
      <c r="J56" s="5" t="s">
        <v>846</v>
      </c>
      <c r="K56" s="5" t="s">
        <v>1208</v>
      </c>
      <c r="L56" s="5" t="s">
        <v>1442</v>
      </c>
      <c r="M56" s="5" t="s">
        <v>1678</v>
      </c>
      <c r="N56" s="5" t="s">
        <v>1880</v>
      </c>
      <c r="O56" s="5" t="s">
        <v>2466</v>
      </c>
      <c r="P56" s="5" t="s">
        <v>2467</v>
      </c>
      <c r="Q56" s="5" t="s">
        <v>2468</v>
      </c>
      <c r="R56" s="5" t="s">
        <v>2469</v>
      </c>
      <c r="S56" s="5" t="s">
        <v>2470</v>
      </c>
      <c r="T56" s="5" t="s">
        <v>2471</v>
      </c>
      <c r="U56" s="5" t="s">
        <v>2472</v>
      </c>
      <c r="V56" s="5" t="s">
        <v>2473</v>
      </c>
      <c r="W56" s="5" t="s">
        <v>2474</v>
      </c>
      <c r="X56" s="5" t="s">
        <v>2472</v>
      </c>
      <c r="Y56" s="10" t="e">
        <f>IF(OR($A56&lt;&gt;"", $G56=""),"",CONCATENATE(";",EscStr(CONCATENATE("NavNode_",getCategoryLevelAsString(#REF!))),";",EscStr($J56),";",IF(#REF!&lt;&gt;"","""MainNavNode""",EscStr(CONCATENATE("NavNode_",getSuperCategory(#REF!, getCategoryLevelAsNumber(#REF!))))),";"))</f>
        <v>#VALUE!</v>
      </c>
      <c r="Z56" s="10" t="e">
        <f>IF(getCategoryLevelAsString(#REF!)="L0D_324785","",IF(G56="",CONCATENATE(";",EscStr(CONCATENATE("NavNode_",getCategoryLevelAsString(#REF!))),";",EscStr($J56),";"),CONCATENATE(";",EscStr(CONCATENATE("NavNode_",getCategoryLevelAsString(#REF!))),";",EscStr(G56),";")))</f>
        <v>#VALUE!</v>
      </c>
      <c r="AA56" s="10" t="e">
        <f>IF(getCategoryLevelAsString(#REF!)="L0D_324785","",IF(H56="",CONCATENATE(";",EscStr(CONCATENATE("NavNode_",getCategoryLevelAsString(#REF!))),";",EscStr($J56),";"),CONCATENATE(";",EscStr(CONCATENATE("NavNode_",getCategoryLevelAsString(#REF!))),";",EscStr(H56),";")))</f>
        <v>#VALUE!</v>
      </c>
      <c r="AB56" s="10" t="e">
        <f>IF(getCategoryLevelAsString(#REF!)="L0D_324785","",IF(I56="",CONCATENATE(";",EscStr(CONCATENATE("NavNode_",getCategoryLevelAsString(#REF!))),";",EscStr($J56),";"),CONCATENATE(";",EscStr(CONCATENATE("NavNode_",getCategoryLevelAsString(#REF!))),";",EscStr(I56),";")))</f>
        <v>#VALUE!</v>
      </c>
      <c r="AC56" s="10" t="e">
        <f>IF(getCategoryLevelAsString(#REF!)="L0D_324785","",IF(J56="",CONCATENATE(";",EscStr(CONCATENATE("NavNode_",getCategoryLevelAsString(#REF!))),";",EscStr($J56),";"),CONCATENATE(";",EscStr(CONCATENATE("NavNode_",getCategoryLevelAsString(#REF!))),";",EscStr(J56),";")))</f>
        <v>#VALUE!</v>
      </c>
      <c r="AD56" s="10" t="e">
        <f>IF(getCategoryLevelAsString(#REF!)="L0D_324785","",IF(K56="",CONCATENATE(";",EscStr(CONCATENATE("NavNode_",getCategoryLevelAsString(#REF!))),";",EscStr($J56),";"),CONCATENATE(";",EscStr(CONCATENATE("NavNode_",getCategoryLevelAsString(#REF!))),";",EscStr(K56),";")))</f>
        <v>#VALUE!</v>
      </c>
      <c r="AE56" s="10" t="e">
        <f>IF(getCategoryLevelAsString(#REF!)="L0D_324785","",IF(L56="",CONCATENATE(";",EscStr(CONCATENATE("NavNode_",getCategoryLevelAsString(#REF!))),";",EscStr($J56),";"),CONCATENATE(";",EscStr(CONCATENATE("NavNode_",getCategoryLevelAsString(#REF!))),";",EscStr(L56),";")))</f>
        <v>#VALUE!</v>
      </c>
      <c r="AF56" s="10" t="e">
        <f>IF(getCategoryLevelAsString(#REF!)="L0D_324785","",IF(M56="",CONCATENATE(";",EscStr(CONCATENATE("NavNode_",getCategoryLevelAsString(#REF!))),";",EscStr($J56),";"),CONCATENATE(";",EscStr(CONCATENATE("NavNode_",getCategoryLevelAsString(#REF!))),";",EscStr(M56),";")))</f>
        <v>#VALUE!</v>
      </c>
      <c r="AG56" s="10" t="e">
        <f>IF(getCategoryLevelAsString(#REF!)="L0D_324785","",IF(N56="",CONCATENATE(";",EscStr(CONCATENATE("NavNode_",getCategoryLevelAsString(#REF!))),";",EscStr($J56),";"),CONCATENATE(";",EscStr(CONCATENATE("NavNode_",getCategoryLevelAsString(#REF!))),";",EscStr(N56),";")))</f>
        <v>#VALUE!</v>
      </c>
      <c r="AH56" s="10" t="e">
        <f>IF(getCategoryLevelAsString(#REF!)="L0D_324785","",IF(O56="",CONCATENATE(";",EscStr(CONCATENATE("NavNode_",getCategoryLevelAsString(#REF!))),";",EscStr($J56),";"),CONCATENATE(";",EscStr(CONCATENATE("NavNode_",getCategoryLevelAsString(#REF!))),";",EscStr(O56),";")))</f>
        <v>#VALUE!</v>
      </c>
      <c r="AI56" s="10" t="e">
        <f>IF(getCategoryLevelAsString(#REF!)="L0D_324785","",IF(P56="",CONCATENATE(";",EscStr(CONCATENATE("NavNode_",getCategoryLevelAsString(#REF!))),";",EscStr($J56),";"),CONCATENATE(";",EscStr(CONCATENATE("NavNode_",getCategoryLevelAsString(#REF!))),";",EscStr(P56),";")))</f>
        <v>#VALUE!</v>
      </c>
      <c r="AJ56" s="10" t="e">
        <f>IF(getCategoryLevelAsString(#REF!)="L0D_324785","",IF(Q56="",CONCATENATE(";",EscStr(CONCATENATE("NavNode_",getCategoryLevelAsString(#REF!))),";",EscStr($J56),";"),CONCATENATE(";",EscStr(CONCATENATE("NavNode_",getCategoryLevelAsString(#REF!))),";",EscStr(Q56),";")))</f>
        <v>#VALUE!</v>
      </c>
      <c r="AK56" s="10" t="e">
        <f>IF(getCategoryLevelAsString(#REF!)="L0D_324785","",IF(R56="",CONCATENATE(";",EscStr(CONCATENATE("NavNode_",getCategoryLevelAsString(#REF!))),";",EscStr($J56),";"),CONCATENATE(";",EscStr(CONCATENATE("NavNode_",getCategoryLevelAsString(#REF!))),";",EscStr(R56),";")))</f>
        <v>#VALUE!</v>
      </c>
      <c r="AL56" s="10" t="e">
        <f>IF(getCategoryLevelAsString(#REF!)="L0D_324785","",IF(S56="",CONCATENATE(";",EscStr(CONCATENATE("NavNode_",getCategoryLevelAsString(#REF!))),";",EscStr($J56),";"),CONCATENATE(";",EscStr(CONCATENATE("NavNode_",getCategoryLevelAsString(#REF!))),";",EscStr(S56),";")))</f>
        <v>#VALUE!</v>
      </c>
      <c r="AM56" s="10" t="e">
        <f>IF(getCategoryLevelAsString(#REF!)="L0D_324785","",IF(T56="",CONCATENATE(";",EscStr(CONCATENATE("NavNode_",getCategoryLevelAsString(#REF!))),";",EscStr($J56),";"),CONCATENATE(";",EscStr(CONCATENATE("NavNode_",getCategoryLevelAsString(#REF!))),";",EscStr(T56),";")))</f>
        <v>#VALUE!</v>
      </c>
      <c r="AN56" s="10" t="e">
        <f>IF(getCategoryLevelAsString(#REF!)="L0D_324785","",IF(U56="",CONCATENATE(";",EscStr(CONCATENATE("NavNode_",getCategoryLevelAsString(#REF!))),";",EscStr($J56),";"),CONCATENATE(";",EscStr(CONCATENATE("NavNode_",getCategoryLevelAsString(#REF!))),";",EscStr(U56),";")))</f>
        <v>#VALUE!</v>
      </c>
      <c r="AO56" s="10" t="e">
        <f>IF(getCategoryLevelAsString(#REF!)="L0D_324785","",IF(V56="",CONCATENATE(";",EscStr(CONCATENATE("NavNode_",getCategoryLevelAsString(#REF!))),";",EscStr($J56),";"),CONCATENATE(";",EscStr(CONCATENATE("NavNode_",getCategoryLevelAsString(#REF!))),";",EscStr(V56),";")))</f>
        <v>#VALUE!</v>
      </c>
      <c r="AP56" s="10" t="e">
        <f>IF(getCategoryLevelAsString(#REF!)="L0D_324785","",IF(W56="",CONCATENATE(";",EscStr(CONCATENATE("NavNode_",getCategoryLevelAsString(#REF!))),";",EscStr($J56),";"),CONCATENATE(";",EscStr(CONCATENATE("NavNode_",getCategoryLevelAsString(#REF!))),";",EscStr(W56),";")))</f>
        <v>#VALUE!</v>
      </c>
      <c r="AQ56" s="10" t="e">
        <f>IF(getCategoryLevelAsString(#REF!)="L0D_324785","",IF(X56="",CONCATENATE(";",EscStr(CONCATENATE("NavNode_",getCategoryLevelAsString(#REF!))),";",EscStr($J56),";"),CONCATENATE(";",EscStr(CONCATENATE("NavNode_",getCategoryLevelAsString(#REF!))),";",EscStr(X56),";")))</f>
        <v>#VALUE!</v>
      </c>
      <c r="AR56" s="8" t="e">
        <f>IF(OR($A56&lt;&gt;"", $G56=""),"",CONCATENATE(";",EscStr(CONCATENATE("NavEntry_",getCategoryLevelAsString(#REF!))),";",EscStr(CONCATENATE($J56," Navigation Entry")),";",EscStr(CONCATENATE("cat-",getCategoryLevelAsString(#REF!))),";",EscStr(CONCATENATE("NavNode_",getCategoryLevelAsString(#REF!))),";"))</f>
        <v>#VALUE!</v>
      </c>
    </row>
    <row r="57" spans="1:44" s="17" customFormat="1" ht="14.25" x14ac:dyDescent="0.2">
      <c r="A57" s="24">
        <v>2</v>
      </c>
      <c r="B57" s="13" t="s">
        <v>3</v>
      </c>
      <c r="C57" s="14"/>
      <c r="E57" s="13"/>
      <c r="F57" s="13"/>
      <c r="G57" s="13" t="s">
        <v>432</v>
      </c>
      <c r="H57" s="13" t="s">
        <v>433</v>
      </c>
      <c r="I57" s="13" t="s">
        <v>434</v>
      </c>
      <c r="J57" s="13" t="s">
        <v>3</v>
      </c>
      <c r="K57" s="13" t="s">
        <v>1210</v>
      </c>
      <c r="L57" s="13" t="s">
        <v>1444</v>
      </c>
      <c r="M57" s="13" t="s">
        <v>1210</v>
      </c>
      <c r="N57" s="13" t="s">
        <v>1882</v>
      </c>
      <c r="O57" s="13" t="s">
        <v>2484</v>
      </c>
      <c r="P57" s="13" t="s">
        <v>2485</v>
      </c>
      <c r="Q57" s="13" t="s">
        <v>2486</v>
      </c>
      <c r="R57" s="13" t="s">
        <v>2487</v>
      </c>
      <c r="S57" s="13" t="s">
        <v>2488</v>
      </c>
      <c r="T57" s="13" t="s">
        <v>2489</v>
      </c>
      <c r="U57" s="13" t="s">
        <v>2490</v>
      </c>
      <c r="V57" s="13" t="s">
        <v>2491</v>
      </c>
      <c r="W57" s="13" t="s">
        <v>2492</v>
      </c>
      <c r="X57" s="13" t="s">
        <v>2490</v>
      </c>
      <c r="Y57" s="15" t="str">
        <f>IF(OR($A57&lt;&gt;"", $G57=""),"",CONCATENATE(";",EscStr(CONCATENATE("NavNode_",getCategoryLevelAsString(#REF!))),";",EscStr($J57),";",IF(#REF!&lt;&gt;"","""MainNavNode""",EscStr(CONCATENATE("NavNode_",getSuperCategory(#REF!, getCategoryLevelAsNumber(#REF!))))),";"))</f>
        <v/>
      </c>
      <c r="Z57" s="15" t="e">
        <f>IF(getCategoryLevelAsString(#REF!)="L0D_324785","",IF(G57="",CONCATENATE(";",EscStr(CONCATENATE("NavNode_",getCategoryLevelAsString(#REF!))),";",EscStr($J57),";"),CONCATENATE(";",EscStr(CONCATENATE("NavNode_",getCategoryLevelAsString(#REF!))),";",EscStr(G57),";")))</f>
        <v>#VALUE!</v>
      </c>
      <c r="AA57" s="15" t="e">
        <f>IF(getCategoryLevelAsString(#REF!)="L0D_324785","",IF(H57="",CONCATENATE(";",EscStr(CONCATENATE("NavNode_",getCategoryLevelAsString(#REF!))),";",EscStr($J57),";"),CONCATENATE(";",EscStr(CONCATENATE("NavNode_",getCategoryLevelAsString(#REF!))),";",EscStr(H57),";")))</f>
        <v>#VALUE!</v>
      </c>
      <c r="AB57" s="15" t="e">
        <f>IF(getCategoryLevelAsString(#REF!)="L0D_324785","",IF(I57="",CONCATENATE(";",EscStr(CONCATENATE("NavNode_",getCategoryLevelAsString(#REF!))),";",EscStr($J57),";"),CONCATENATE(";",EscStr(CONCATENATE("NavNode_",getCategoryLevelAsString(#REF!))),";",EscStr(I57),";")))</f>
        <v>#VALUE!</v>
      </c>
      <c r="AC57" s="15" t="e">
        <f>IF(getCategoryLevelAsString(#REF!)="L0D_324785","",IF(J57="",CONCATENATE(";",EscStr(CONCATENATE("NavNode_",getCategoryLevelAsString(#REF!))),";",EscStr($J57),";"),CONCATENATE(";",EscStr(CONCATENATE("NavNode_",getCategoryLevelAsString(#REF!))),";",EscStr(J57),";")))</f>
        <v>#VALUE!</v>
      </c>
      <c r="AD57" s="15" t="e">
        <f>IF(getCategoryLevelAsString(#REF!)="L0D_324785","",IF(K57="",CONCATENATE(";",EscStr(CONCATENATE("NavNode_",getCategoryLevelAsString(#REF!))),";",EscStr($J57),";"),CONCATENATE(";",EscStr(CONCATENATE("NavNode_",getCategoryLevelAsString(#REF!))),";",EscStr(K57),";")))</f>
        <v>#VALUE!</v>
      </c>
      <c r="AE57" s="15" t="e">
        <f>IF(getCategoryLevelAsString(#REF!)="L0D_324785","",IF(L57="",CONCATENATE(";",EscStr(CONCATENATE("NavNode_",getCategoryLevelAsString(#REF!))),";",EscStr($J57),";"),CONCATENATE(";",EscStr(CONCATENATE("NavNode_",getCategoryLevelAsString(#REF!))),";",EscStr(L57),";")))</f>
        <v>#VALUE!</v>
      </c>
      <c r="AF57" s="15" t="e">
        <f>IF(getCategoryLevelAsString(#REF!)="L0D_324785","",IF(M57="",CONCATENATE(";",EscStr(CONCATENATE("NavNode_",getCategoryLevelAsString(#REF!))),";",EscStr($J57),";"),CONCATENATE(";",EscStr(CONCATENATE("NavNode_",getCategoryLevelAsString(#REF!))),";",EscStr(M57),";")))</f>
        <v>#VALUE!</v>
      </c>
      <c r="AG57" s="15" t="e">
        <f>IF(getCategoryLevelAsString(#REF!)="L0D_324785","",IF(N57="",CONCATENATE(";",EscStr(CONCATENATE("NavNode_",getCategoryLevelAsString(#REF!))),";",EscStr($J57),";"),CONCATENATE(";",EscStr(CONCATENATE("NavNode_",getCategoryLevelAsString(#REF!))),";",EscStr(N57),";")))</f>
        <v>#VALUE!</v>
      </c>
      <c r="AH57" s="15" t="e">
        <f>IF(getCategoryLevelAsString(#REF!)="L0D_324785","",IF(O57="",CONCATENATE(";",EscStr(CONCATENATE("NavNode_",getCategoryLevelAsString(#REF!))),";",EscStr($J57),";"),CONCATENATE(";",EscStr(CONCATENATE("NavNode_",getCategoryLevelAsString(#REF!))),";",EscStr(O57),";")))</f>
        <v>#VALUE!</v>
      </c>
      <c r="AI57" s="15" t="e">
        <f>IF(getCategoryLevelAsString(#REF!)="L0D_324785","",IF(P57="",CONCATENATE(";",EscStr(CONCATENATE("NavNode_",getCategoryLevelAsString(#REF!))),";",EscStr($J57),";"),CONCATENATE(";",EscStr(CONCATENATE("NavNode_",getCategoryLevelAsString(#REF!))),";",EscStr(P57),";")))</f>
        <v>#VALUE!</v>
      </c>
      <c r="AJ57" s="15" t="e">
        <f>IF(getCategoryLevelAsString(#REF!)="L0D_324785","",IF(Q57="",CONCATENATE(";",EscStr(CONCATENATE("NavNode_",getCategoryLevelAsString(#REF!))),";",EscStr($J57),";"),CONCATENATE(";",EscStr(CONCATENATE("NavNode_",getCategoryLevelAsString(#REF!))),";",EscStr(Q57),";")))</f>
        <v>#VALUE!</v>
      </c>
      <c r="AK57" s="15" t="e">
        <f>IF(getCategoryLevelAsString(#REF!)="L0D_324785","",IF(R57="",CONCATENATE(";",EscStr(CONCATENATE("NavNode_",getCategoryLevelAsString(#REF!))),";",EscStr($J57),";"),CONCATENATE(";",EscStr(CONCATENATE("NavNode_",getCategoryLevelAsString(#REF!))),";",EscStr(R57),";")))</f>
        <v>#VALUE!</v>
      </c>
      <c r="AL57" s="15" t="e">
        <f>IF(getCategoryLevelAsString(#REF!)="L0D_324785","",IF(S57="",CONCATENATE(";",EscStr(CONCATENATE("NavNode_",getCategoryLevelAsString(#REF!))),";",EscStr($J57),";"),CONCATENATE(";",EscStr(CONCATENATE("NavNode_",getCategoryLevelAsString(#REF!))),";",EscStr(S57),";")))</f>
        <v>#VALUE!</v>
      </c>
      <c r="AM57" s="15" t="e">
        <f>IF(getCategoryLevelAsString(#REF!)="L0D_324785","",IF(T57="",CONCATENATE(";",EscStr(CONCATENATE("NavNode_",getCategoryLevelAsString(#REF!))),";",EscStr($J57),";"),CONCATENATE(";",EscStr(CONCATENATE("NavNode_",getCategoryLevelAsString(#REF!))),";",EscStr(T57),";")))</f>
        <v>#VALUE!</v>
      </c>
      <c r="AN57" s="15" t="e">
        <f>IF(getCategoryLevelAsString(#REF!)="L0D_324785","",IF(U57="",CONCATENATE(";",EscStr(CONCATENATE("NavNode_",getCategoryLevelAsString(#REF!))),";",EscStr($J57),";"),CONCATENATE(";",EscStr(CONCATENATE("NavNode_",getCategoryLevelAsString(#REF!))),";",EscStr(U57),";")))</f>
        <v>#VALUE!</v>
      </c>
      <c r="AO57" s="15" t="e">
        <f>IF(getCategoryLevelAsString(#REF!)="L0D_324785","",IF(V57="",CONCATENATE(";",EscStr(CONCATENATE("NavNode_",getCategoryLevelAsString(#REF!))),";",EscStr($J57),";"),CONCATENATE(";",EscStr(CONCATENATE("NavNode_",getCategoryLevelAsString(#REF!))),";",EscStr(V57),";")))</f>
        <v>#VALUE!</v>
      </c>
      <c r="AP57" s="15" t="e">
        <f>IF(getCategoryLevelAsString(#REF!)="L0D_324785","",IF(W57="",CONCATENATE(";",EscStr(CONCATENATE("NavNode_",getCategoryLevelAsString(#REF!))),";",EscStr($J57),";"),CONCATENATE(";",EscStr(CONCATENATE("NavNode_",getCategoryLevelAsString(#REF!))),";",EscStr(W57),";")))</f>
        <v>#VALUE!</v>
      </c>
      <c r="AQ57" s="15" t="e">
        <f>IF(getCategoryLevelAsString(#REF!)="L0D_324785","",IF(X57="",CONCATENATE(";",EscStr(CONCATENATE("NavNode_",getCategoryLevelAsString(#REF!))),";",EscStr($J57),";"),CONCATENATE(";",EscStr(CONCATENATE("NavNode_",getCategoryLevelAsString(#REF!))),";",EscStr(X57),";")))</f>
        <v>#VALUE!</v>
      </c>
      <c r="AR57" s="16" t="str">
        <f>IF(OR($A57&lt;&gt;"", $G57=""),"",CONCATENATE(";",EscStr(CONCATENATE("NavEntry_",getCategoryLevelAsString(#REF!))),";",EscStr(CONCATENATE($J57," Navigation Entry")),";",EscStr(CONCATENATE("cat-",getCategoryLevelAsString(#REF!))),";",EscStr(CONCATENATE("NavNode_",getCategoryLevelAsString(#REF!))),";"))</f>
        <v/>
      </c>
    </row>
    <row r="58" spans="1:44" ht="15" x14ac:dyDescent="0.25">
      <c r="A58" s="25"/>
      <c r="B58" s="5"/>
      <c r="C58" s="5" t="s">
        <v>741</v>
      </c>
      <c r="D58" s="5"/>
      <c r="E58" s="5"/>
      <c r="F58" s="5"/>
      <c r="G58" s="5" t="s">
        <v>983</v>
      </c>
      <c r="H58" s="5" t="s">
        <v>1085</v>
      </c>
      <c r="I58" s="5" t="s">
        <v>1144</v>
      </c>
      <c r="J58" s="5" t="s">
        <v>841</v>
      </c>
      <c r="K58" s="5" t="s">
        <v>1211</v>
      </c>
      <c r="L58" s="5" t="s">
        <v>1445</v>
      </c>
      <c r="M58" s="5" t="s">
        <v>1211</v>
      </c>
      <c r="N58" s="5" t="s">
        <v>1211</v>
      </c>
      <c r="O58" s="5" t="s">
        <v>2493</v>
      </c>
      <c r="P58" s="5" t="s">
        <v>2494</v>
      </c>
      <c r="Q58" s="5" t="s">
        <v>2495</v>
      </c>
      <c r="R58" s="5" t="s">
        <v>2496</v>
      </c>
      <c r="S58" s="5" t="s">
        <v>2497</v>
      </c>
      <c r="T58" s="5" t="s">
        <v>2498</v>
      </c>
      <c r="U58" s="5" t="s">
        <v>2499</v>
      </c>
      <c r="V58" s="5" t="s">
        <v>1144</v>
      </c>
      <c r="W58" s="5" t="s">
        <v>2500</v>
      </c>
      <c r="X58" s="5" t="s">
        <v>2499</v>
      </c>
      <c r="Y58" s="10" t="e">
        <f>IF(OR($A58&lt;&gt;"", $G58=""),"",CONCATENATE(";",EscStr(CONCATENATE("NavNode_",getCategoryLevelAsString(#REF!))),";",EscStr($J58),";",IF(#REF!&lt;&gt;"","""MainNavNode""",EscStr(CONCATENATE("NavNode_",getSuperCategory(#REF!, getCategoryLevelAsNumber(#REF!))))),";"))</f>
        <v>#VALUE!</v>
      </c>
      <c r="Z58" s="10" t="e">
        <f>IF(getCategoryLevelAsString(#REF!)="L0D_324785","",IF(G58="",CONCATENATE(";",EscStr(CONCATENATE("NavNode_",getCategoryLevelAsString(#REF!))),";",EscStr($J58),";"),CONCATENATE(";",EscStr(CONCATENATE("NavNode_",getCategoryLevelAsString(#REF!))),";",EscStr(G58),";")))</f>
        <v>#VALUE!</v>
      </c>
      <c r="AA58" s="10" t="e">
        <f>IF(getCategoryLevelAsString(#REF!)="L0D_324785","",IF(H58="",CONCATENATE(";",EscStr(CONCATENATE("NavNode_",getCategoryLevelAsString(#REF!))),";",EscStr($J58),";"),CONCATENATE(";",EscStr(CONCATENATE("NavNode_",getCategoryLevelAsString(#REF!))),";",EscStr(H58),";")))</f>
        <v>#VALUE!</v>
      </c>
      <c r="AB58" s="10" t="e">
        <f>IF(getCategoryLevelAsString(#REF!)="L0D_324785","",IF(I58="",CONCATENATE(";",EscStr(CONCATENATE("NavNode_",getCategoryLevelAsString(#REF!))),";",EscStr($J58),";"),CONCATENATE(";",EscStr(CONCATENATE("NavNode_",getCategoryLevelAsString(#REF!))),";",EscStr(I58),";")))</f>
        <v>#VALUE!</v>
      </c>
      <c r="AC58" s="10" t="e">
        <f>IF(getCategoryLevelAsString(#REF!)="L0D_324785","",IF(J58="",CONCATENATE(";",EscStr(CONCATENATE("NavNode_",getCategoryLevelAsString(#REF!))),";",EscStr($J58),";"),CONCATENATE(";",EscStr(CONCATENATE("NavNode_",getCategoryLevelAsString(#REF!))),";",EscStr(J58),";")))</f>
        <v>#VALUE!</v>
      </c>
      <c r="AD58" s="10" t="e">
        <f>IF(getCategoryLevelAsString(#REF!)="L0D_324785","",IF(K58="",CONCATENATE(";",EscStr(CONCATENATE("NavNode_",getCategoryLevelAsString(#REF!))),";",EscStr($J58),";"),CONCATENATE(";",EscStr(CONCATENATE("NavNode_",getCategoryLevelAsString(#REF!))),";",EscStr(K58),";")))</f>
        <v>#VALUE!</v>
      </c>
      <c r="AE58" s="10" t="e">
        <f>IF(getCategoryLevelAsString(#REF!)="L0D_324785","",IF(L58="",CONCATENATE(";",EscStr(CONCATENATE("NavNode_",getCategoryLevelAsString(#REF!))),";",EscStr($J58),";"),CONCATENATE(";",EscStr(CONCATENATE("NavNode_",getCategoryLevelAsString(#REF!))),";",EscStr(L58),";")))</f>
        <v>#VALUE!</v>
      </c>
      <c r="AF58" s="10" t="e">
        <f>IF(getCategoryLevelAsString(#REF!)="L0D_324785","",IF(M58="",CONCATENATE(";",EscStr(CONCATENATE("NavNode_",getCategoryLevelAsString(#REF!))),";",EscStr($J58),";"),CONCATENATE(";",EscStr(CONCATENATE("NavNode_",getCategoryLevelAsString(#REF!))),";",EscStr(M58),";")))</f>
        <v>#VALUE!</v>
      </c>
      <c r="AG58" s="10" t="e">
        <f>IF(getCategoryLevelAsString(#REF!)="L0D_324785","",IF(N58="",CONCATENATE(";",EscStr(CONCATENATE("NavNode_",getCategoryLevelAsString(#REF!))),";",EscStr($J58),";"),CONCATENATE(";",EscStr(CONCATENATE("NavNode_",getCategoryLevelAsString(#REF!))),";",EscStr(N58),";")))</f>
        <v>#VALUE!</v>
      </c>
      <c r="AH58" s="10" t="e">
        <f>IF(getCategoryLevelAsString(#REF!)="L0D_324785","",IF(O58="",CONCATENATE(";",EscStr(CONCATENATE("NavNode_",getCategoryLevelAsString(#REF!))),";",EscStr($J58),";"),CONCATENATE(";",EscStr(CONCATENATE("NavNode_",getCategoryLevelAsString(#REF!))),";",EscStr(O58),";")))</f>
        <v>#VALUE!</v>
      </c>
      <c r="AI58" s="10" t="e">
        <f>IF(getCategoryLevelAsString(#REF!)="L0D_324785","",IF(P58="",CONCATENATE(";",EscStr(CONCATENATE("NavNode_",getCategoryLevelAsString(#REF!))),";",EscStr($J58),";"),CONCATENATE(";",EscStr(CONCATENATE("NavNode_",getCategoryLevelAsString(#REF!))),";",EscStr(P58),";")))</f>
        <v>#VALUE!</v>
      </c>
      <c r="AJ58" s="10" t="e">
        <f>IF(getCategoryLevelAsString(#REF!)="L0D_324785","",IF(Q58="",CONCATENATE(";",EscStr(CONCATENATE("NavNode_",getCategoryLevelAsString(#REF!))),";",EscStr($J58),";"),CONCATENATE(";",EscStr(CONCATENATE("NavNode_",getCategoryLevelAsString(#REF!))),";",EscStr(Q58),";")))</f>
        <v>#VALUE!</v>
      </c>
      <c r="AK58" s="10" t="e">
        <f>IF(getCategoryLevelAsString(#REF!)="L0D_324785","",IF(R58="",CONCATENATE(";",EscStr(CONCATENATE("NavNode_",getCategoryLevelAsString(#REF!))),";",EscStr($J58),";"),CONCATENATE(";",EscStr(CONCATENATE("NavNode_",getCategoryLevelAsString(#REF!))),";",EscStr(R58),";")))</f>
        <v>#VALUE!</v>
      </c>
      <c r="AL58" s="10" t="e">
        <f>IF(getCategoryLevelAsString(#REF!)="L0D_324785","",IF(S58="",CONCATENATE(";",EscStr(CONCATENATE("NavNode_",getCategoryLevelAsString(#REF!))),";",EscStr($J58),";"),CONCATENATE(";",EscStr(CONCATENATE("NavNode_",getCategoryLevelAsString(#REF!))),";",EscStr(S58),";")))</f>
        <v>#VALUE!</v>
      </c>
      <c r="AM58" s="10" t="e">
        <f>IF(getCategoryLevelAsString(#REF!)="L0D_324785","",IF(T58="",CONCATENATE(";",EscStr(CONCATENATE("NavNode_",getCategoryLevelAsString(#REF!))),";",EscStr($J58),";"),CONCATENATE(";",EscStr(CONCATENATE("NavNode_",getCategoryLevelAsString(#REF!))),";",EscStr(T58),";")))</f>
        <v>#VALUE!</v>
      </c>
      <c r="AN58" s="10" t="e">
        <f>IF(getCategoryLevelAsString(#REF!)="L0D_324785","",IF(U58="",CONCATENATE(";",EscStr(CONCATENATE("NavNode_",getCategoryLevelAsString(#REF!))),";",EscStr($J58),";"),CONCATENATE(";",EscStr(CONCATENATE("NavNode_",getCategoryLevelAsString(#REF!))),";",EscStr(U58),";")))</f>
        <v>#VALUE!</v>
      </c>
      <c r="AO58" s="10" t="e">
        <f>IF(getCategoryLevelAsString(#REF!)="L0D_324785","",IF(V58="",CONCATENATE(";",EscStr(CONCATENATE("NavNode_",getCategoryLevelAsString(#REF!))),";",EscStr($J58),";"),CONCATENATE(";",EscStr(CONCATENATE("NavNode_",getCategoryLevelAsString(#REF!))),";",EscStr(V58),";")))</f>
        <v>#VALUE!</v>
      </c>
      <c r="AP58" s="10" t="e">
        <f>IF(getCategoryLevelAsString(#REF!)="L0D_324785","",IF(W58="",CONCATENATE(";",EscStr(CONCATENATE("NavNode_",getCategoryLevelAsString(#REF!))),";",EscStr($J58),";"),CONCATENATE(";",EscStr(CONCATENATE("NavNode_",getCategoryLevelAsString(#REF!))),";",EscStr(W58),";")))</f>
        <v>#VALUE!</v>
      </c>
      <c r="AQ58" s="10" t="e">
        <f>IF(getCategoryLevelAsString(#REF!)="L0D_324785","",IF(X58="",CONCATENATE(";",EscStr(CONCATENATE("NavNode_",getCategoryLevelAsString(#REF!))),";",EscStr($J58),";"),CONCATENATE(";",EscStr(CONCATENATE("NavNode_",getCategoryLevelAsString(#REF!))),";",EscStr(X58),";")))</f>
        <v>#VALUE!</v>
      </c>
      <c r="AR58" s="8" t="e">
        <f>IF(OR($A58&lt;&gt;"", $G58=""),"",CONCATENATE(";",EscStr(CONCATENATE("NavEntry_",getCategoryLevelAsString(#REF!))),";",EscStr(CONCATENATE($J58," Navigation Entry")),";",EscStr(CONCATENATE("cat-",getCategoryLevelAsString(#REF!))),";",EscStr(CONCATENATE("NavNode_",getCategoryLevelAsString(#REF!))),";"))</f>
        <v>#VALUE!</v>
      </c>
    </row>
    <row r="59" spans="1:44" ht="15" hidden="1" x14ac:dyDescent="0.25">
      <c r="A59" s="25"/>
      <c r="B59" s="5"/>
      <c r="C59" s="5"/>
      <c r="D59" s="5" t="s">
        <v>6014</v>
      </c>
      <c r="E59" s="5"/>
      <c r="F59" s="5"/>
      <c r="G59" s="5" t="s">
        <v>6016</v>
      </c>
      <c r="H59" s="5"/>
      <c r="I59" s="5"/>
      <c r="J59" s="5" t="s">
        <v>6015</v>
      </c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8"/>
    </row>
    <row r="60" spans="1:44" ht="15" hidden="1" x14ac:dyDescent="0.25">
      <c r="A60" s="25"/>
      <c r="B60" s="5"/>
      <c r="C60" s="5"/>
      <c r="D60" s="5" t="s">
        <v>6049</v>
      </c>
      <c r="E60" s="5"/>
      <c r="F60" s="5"/>
      <c r="G60" s="5" t="s">
        <v>6051</v>
      </c>
      <c r="H60" s="5"/>
      <c r="I60" s="5"/>
      <c r="J60" s="5" t="s">
        <v>6050</v>
      </c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8"/>
    </row>
    <row r="61" spans="1:44" ht="15" hidden="1" x14ac:dyDescent="0.25">
      <c r="A61" s="25"/>
      <c r="B61" s="5"/>
      <c r="C61" s="5"/>
      <c r="D61" s="5" t="s">
        <v>6057</v>
      </c>
      <c r="E61" s="5"/>
      <c r="F61" s="5"/>
      <c r="G61" s="5" t="s">
        <v>6059</v>
      </c>
      <c r="H61" s="5"/>
      <c r="I61" s="5"/>
      <c r="J61" s="5" t="s">
        <v>6058</v>
      </c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8"/>
    </row>
    <row r="62" spans="1:44" ht="15" hidden="1" x14ac:dyDescent="0.25">
      <c r="A62" s="25"/>
      <c r="B62" s="5"/>
      <c r="C62" s="5"/>
      <c r="D62" s="5" t="s">
        <v>6076</v>
      </c>
      <c r="E62" s="5"/>
      <c r="F62" s="5"/>
      <c r="G62" s="5" t="s">
        <v>6078</v>
      </c>
      <c r="H62" s="5"/>
      <c r="I62" s="5"/>
      <c r="J62" s="5" t="s">
        <v>6077</v>
      </c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8"/>
    </row>
    <row r="63" spans="1:44" ht="15" hidden="1" x14ac:dyDescent="0.25">
      <c r="A63" s="25"/>
      <c r="B63" s="5"/>
      <c r="C63" s="5"/>
      <c r="D63" s="5" t="s">
        <v>6105</v>
      </c>
      <c r="E63" s="5"/>
      <c r="F63" s="5"/>
      <c r="G63" s="5" t="s">
        <v>6107</v>
      </c>
      <c r="H63" s="5"/>
      <c r="I63" s="5"/>
      <c r="J63" s="5" t="s">
        <v>6106</v>
      </c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8"/>
    </row>
    <row r="64" spans="1:44" ht="15" hidden="1" x14ac:dyDescent="0.25">
      <c r="A64" s="25"/>
      <c r="B64" s="5"/>
      <c r="C64" s="5"/>
      <c r="D64" s="5" t="s">
        <v>6138</v>
      </c>
      <c r="E64" s="5"/>
      <c r="F64" s="5"/>
      <c r="G64" s="5" t="s">
        <v>6140</v>
      </c>
      <c r="H64" s="5"/>
      <c r="I64" s="5"/>
      <c r="J64" s="5" t="s">
        <v>6139</v>
      </c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8"/>
    </row>
    <row r="65" spans="1:44" ht="15" hidden="1" x14ac:dyDescent="0.25">
      <c r="A65" s="25"/>
      <c r="B65" s="5"/>
      <c r="C65" s="5"/>
      <c r="D65" s="5" t="s">
        <v>6166</v>
      </c>
      <c r="E65" s="5"/>
      <c r="F65" s="5"/>
      <c r="G65" s="5" t="s">
        <v>6168</v>
      </c>
      <c r="H65" s="5"/>
      <c r="I65" s="5"/>
      <c r="J65" s="5" t="s">
        <v>6167</v>
      </c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8"/>
    </row>
    <row r="66" spans="1:44" ht="15" hidden="1" x14ac:dyDescent="0.25">
      <c r="A66" s="25"/>
      <c r="B66" s="5"/>
      <c r="C66" s="5"/>
      <c r="D66" s="5" t="s">
        <v>6199</v>
      </c>
      <c r="E66" s="5"/>
      <c r="F66" s="5"/>
      <c r="G66" s="5" t="s">
        <v>6201</v>
      </c>
      <c r="H66" s="5"/>
      <c r="I66" s="5"/>
      <c r="J66" s="5" t="s">
        <v>6200</v>
      </c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8"/>
    </row>
    <row r="67" spans="1:44" ht="15" x14ac:dyDescent="0.25">
      <c r="A67" s="25"/>
      <c r="B67" s="5"/>
      <c r="C67" s="5" t="s">
        <v>742</v>
      </c>
      <c r="D67" s="5"/>
      <c r="E67" s="5"/>
      <c r="F67" s="5"/>
      <c r="G67" s="5" t="s">
        <v>984</v>
      </c>
      <c r="H67" s="5" t="s">
        <v>1086</v>
      </c>
      <c r="I67" s="5" t="s">
        <v>1145</v>
      </c>
      <c r="J67" s="5" t="s">
        <v>842</v>
      </c>
      <c r="K67" s="5" t="s">
        <v>1212</v>
      </c>
      <c r="L67" s="5" t="s">
        <v>1446</v>
      </c>
      <c r="M67" s="5" t="s">
        <v>1680</v>
      </c>
      <c r="N67" s="5" t="s">
        <v>1883</v>
      </c>
      <c r="O67" s="5" t="s">
        <v>2501</v>
      </c>
      <c r="P67" s="5" t="s">
        <v>2502</v>
      </c>
      <c r="Q67" s="5" t="s">
        <v>2503</v>
      </c>
      <c r="R67" s="5" t="s">
        <v>2504</v>
      </c>
      <c r="S67" s="5" t="s">
        <v>2505</v>
      </c>
      <c r="T67" s="5" t="s">
        <v>2506</v>
      </c>
      <c r="U67" s="5" t="s">
        <v>2507</v>
      </c>
      <c r="V67" s="5" t="s">
        <v>2503</v>
      </c>
      <c r="W67" s="5" t="s">
        <v>2508</v>
      </c>
      <c r="X67" s="5" t="s">
        <v>2507</v>
      </c>
      <c r="Y67" s="10" t="e">
        <f>IF(OR($A67&lt;&gt;"", $G67=""),"",CONCATENATE(";",EscStr(CONCATENATE("NavNode_",getCategoryLevelAsString(#REF!))),";",EscStr($J67),";",IF(#REF!&lt;&gt;"","""MainNavNode""",EscStr(CONCATENATE("NavNode_",getSuperCategory(#REF!, getCategoryLevelAsNumber(#REF!))))),";"))</f>
        <v>#VALUE!</v>
      </c>
      <c r="Z67" s="10" t="e">
        <f>IF(getCategoryLevelAsString(#REF!)="L0D_324785","",IF(G67="",CONCATENATE(";",EscStr(CONCATENATE("NavNode_",getCategoryLevelAsString(#REF!))),";",EscStr($J67),";"),CONCATENATE(";",EscStr(CONCATENATE("NavNode_",getCategoryLevelAsString(#REF!))),";",EscStr(G67),";")))</f>
        <v>#VALUE!</v>
      </c>
      <c r="AA67" s="10" t="e">
        <f>IF(getCategoryLevelAsString(#REF!)="L0D_324785","",IF(H67="",CONCATENATE(";",EscStr(CONCATENATE("NavNode_",getCategoryLevelAsString(#REF!))),";",EscStr($J67),";"),CONCATENATE(";",EscStr(CONCATENATE("NavNode_",getCategoryLevelAsString(#REF!))),";",EscStr(H67),";")))</f>
        <v>#VALUE!</v>
      </c>
      <c r="AB67" s="10" t="e">
        <f>IF(getCategoryLevelAsString(#REF!)="L0D_324785","",IF(I67="",CONCATENATE(";",EscStr(CONCATENATE("NavNode_",getCategoryLevelAsString(#REF!))),";",EscStr($J67),";"),CONCATENATE(";",EscStr(CONCATENATE("NavNode_",getCategoryLevelAsString(#REF!))),";",EscStr(I67),";")))</f>
        <v>#VALUE!</v>
      </c>
      <c r="AC67" s="10" t="e">
        <f>IF(getCategoryLevelAsString(#REF!)="L0D_324785","",IF(J67="",CONCATENATE(";",EscStr(CONCATENATE("NavNode_",getCategoryLevelAsString(#REF!))),";",EscStr($J67),";"),CONCATENATE(";",EscStr(CONCATENATE("NavNode_",getCategoryLevelAsString(#REF!))),";",EscStr(J67),";")))</f>
        <v>#VALUE!</v>
      </c>
      <c r="AD67" s="10" t="e">
        <f>IF(getCategoryLevelAsString(#REF!)="L0D_324785","",IF(K67="",CONCATENATE(";",EscStr(CONCATENATE("NavNode_",getCategoryLevelAsString(#REF!))),";",EscStr($J67),";"),CONCATENATE(";",EscStr(CONCATENATE("NavNode_",getCategoryLevelAsString(#REF!))),";",EscStr(K67),";")))</f>
        <v>#VALUE!</v>
      </c>
      <c r="AE67" s="10" t="e">
        <f>IF(getCategoryLevelAsString(#REF!)="L0D_324785","",IF(L67="",CONCATENATE(";",EscStr(CONCATENATE("NavNode_",getCategoryLevelAsString(#REF!))),";",EscStr($J67),";"),CONCATENATE(";",EscStr(CONCATENATE("NavNode_",getCategoryLevelAsString(#REF!))),";",EscStr(L67),";")))</f>
        <v>#VALUE!</v>
      </c>
      <c r="AF67" s="10" t="e">
        <f>IF(getCategoryLevelAsString(#REF!)="L0D_324785","",IF(M67="",CONCATENATE(";",EscStr(CONCATENATE("NavNode_",getCategoryLevelAsString(#REF!))),";",EscStr($J67),";"),CONCATENATE(";",EscStr(CONCATENATE("NavNode_",getCategoryLevelAsString(#REF!))),";",EscStr(M67),";")))</f>
        <v>#VALUE!</v>
      </c>
      <c r="AG67" s="10" t="e">
        <f>IF(getCategoryLevelAsString(#REF!)="L0D_324785","",IF(N67="",CONCATENATE(";",EscStr(CONCATENATE("NavNode_",getCategoryLevelAsString(#REF!))),";",EscStr($J67),";"),CONCATENATE(";",EscStr(CONCATENATE("NavNode_",getCategoryLevelAsString(#REF!))),";",EscStr(N67),";")))</f>
        <v>#VALUE!</v>
      </c>
      <c r="AH67" s="10" t="e">
        <f>IF(getCategoryLevelAsString(#REF!)="L0D_324785","",IF(O67="",CONCATENATE(";",EscStr(CONCATENATE("NavNode_",getCategoryLevelAsString(#REF!))),";",EscStr($J67),";"),CONCATENATE(";",EscStr(CONCATENATE("NavNode_",getCategoryLevelAsString(#REF!))),";",EscStr(O67),";")))</f>
        <v>#VALUE!</v>
      </c>
      <c r="AI67" s="10" t="e">
        <f>IF(getCategoryLevelAsString(#REF!)="L0D_324785","",IF(P67="",CONCATENATE(";",EscStr(CONCATENATE("NavNode_",getCategoryLevelAsString(#REF!))),";",EscStr($J67),";"),CONCATENATE(";",EscStr(CONCATENATE("NavNode_",getCategoryLevelAsString(#REF!))),";",EscStr(P67),";")))</f>
        <v>#VALUE!</v>
      </c>
      <c r="AJ67" s="10" t="e">
        <f>IF(getCategoryLevelAsString(#REF!)="L0D_324785","",IF(Q67="",CONCATENATE(";",EscStr(CONCATENATE("NavNode_",getCategoryLevelAsString(#REF!))),";",EscStr($J67),";"),CONCATENATE(";",EscStr(CONCATENATE("NavNode_",getCategoryLevelAsString(#REF!))),";",EscStr(Q67),";")))</f>
        <v>#VALUE!</v>
      </c>
      <c r="AK67" s="10" t="e">
        <f>IF(getCategoryLevelAsString(#REF!)="L0D_324785","",IF(R67="",CONCATENATE(";",EscStr(CONCATENATE("NavNode_",getCategoryLevelAsString(#REF!))),";",EscStr($J67),";"),CONCATENATE(";",EscStr(CONCATENATE("NavNode_",getCategoryLevelAsString(#REF!))),";",EscStr(R67),";")))</f>
        <v>#VALUE!</v>
      </c>
      <c r="AL67" s="10" t="e">
        <f>IF(getCategoryLevelAsString(#REF!)="L0D_324785","",IF(S67="",CONCATENATE(";",EscStr(CONCATENATE("NavNode_",getCategoryLevelAsString(#REF!))),";",EscStr($J67),";"),CONCATENATE(";",EscStr(CONCATENATE("NavNode_",getCategoryLevelAsString(#REF!))),";",EscStr(S67),";")))</f>
        <v>#VALUE!</v>
      </c>
      <c r="AM67" s="10" t="e">
        <f>IF(getCategoryLevelAsString(#REF!)="L0D_324785","",IF(T67="",CONCATENATE(";",EscStr(CONCATENATE("NavNode_",getCategoryLevelAsString(#REF!))),";",EscStr($J67),";"),CONCATENATE(";",EscStr(CONCATENATE("NavNode_",getCategoryLevelAsString(#REF!))),";",EscStr(T67),";")))</f>
        <v>#VALUE!</v>
      </c>
      <c r="AN67" s="10" t="e">
        <f>IF(getCategoryLevelAsString(#REF!)="L0D_324785","",IF(U67="",CONCATENATE(";",EscStr(CONCATENATE("NavNode_",getCategoryLevelAsString(#REF!))),";",EscStr($J67),";"),CONCATENATE(";",EscStr(CONCATENATE("NavNode_",getCategoryLevelAsString(#REF!))),";",EscStr(U67),";")))</f>
        <v>#VALUE!</v>
      </c>
      <c r="AO67" s="10" t="e">
        <f>IF(getCategoryLevelAsString(#REF!)="L0D_324785","",IF(V67="",CONCATENATE(";",EscStr(CONCATENATE("NavNode_",getCategoryLevelAsString(#REF!))),";",EscStr($J67),";"),CONCATENATE(";",EscStr(CONCATENATE("NavNode_",getCategoryLevelAsString(#REF!))),";",EscStr(V67),";")))</f>
        <v>#VALUE!</v>
      </c>
      <c r="AP67" s="10" t="e">
        <f>IF(getCategoryLevelAsString(#REF!)="L0D_324785","",IF(W67="",CONCATENATE(";",EscStr(CONCATENATE("NavNode_",getCategoryLevelAsString(#REF!))),";",EscStr($J67),";"),CONCATENATE(";",EscStr(CONCATENATE("NavNode_",getCategoryLevelAsString(#REF!))),";",EscStr(W67),";")))</f>
        <v>#VALUE!</v>
      </c>
      <c r="AQ67" s="10" t="e">
        <f>IF(getCategoryLevelAsString(#REF!)="L0D_324785","",IF(X67="",CONCATENATE(";",EscStr(CONCATENATE("NavNode_",getCategoryLevelAsString(#REF!))),";",EscStr($J67),";"),CONCATENATE(";",EscStr(CONCATENATE("NavNode_",getCategoryLevelAsString(#REF!))),";",EscStr(X67),";")))</f>
        <v>#VALUE!</v>
      </c>
      <c r="AR67" s="8" t="e">
        <f>IF(OR($A67&lt;&gt;"", $G67=""),"",CONCATENATE(";",EscStr(CONCATENATE("NavEntry_",getCategoryLevelAsString(#REF!))),";",EscStr(CONCATENATE($J67," Navigation Entry")),";",EscStr(CONCATENATE("cat-",getCategoryLevelAsString(#REF!))),";",EscStr(CONCATENATE("NavNode_",getCategoryLevelAsString(#REF!))),";"))</f>
        <v>#VALUE!</v>
      </c>
    </row>
    <row r="68" spans="1:44" ht="15" hidden="1" x14ac:dyDescent="0.25">
      <c r="A68" s="25"/>
      <c r="B68" s="5"/>
      <c r="C68" s="5"/>
      <c r="D68" s="5" t="s">
        <v>6229</v>
      </c>
      <c r="E68" s="5"/>
      <c r="F68" s="5"/>
      <c r="G68" s="5" t="s">
        <v>6231</v>
      </c>
      <c r="H68" s="5"/>
      <c r="I68" s="5"/>
      <c r="J68" s="5" t="s">
        <v>6230</v>
      </c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8"/>
    </row>
    <row r="69" spans="1:44" ht="15" hidden="1" x14ac:dyDescent="0.25">
      <c r="A69" s="25"/>
      <c r="B69" s="5"/>
      <c r="C69" s="5"/>
      <c r="D69" s="5" t="s">
        <v>6257</v>
      </c>
      <c r="E69" s="5"/>
      <c r="F69" s="5"/>
      <c r="G69" s="5" t="s">
        <v>6259</v>
      </c>
      <c r="H69" s="5"/>
      <c r="I69" s="5"/>
      <c r="J69" s="5" t="s">
        <v>6258</v>
      </c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8"/>
    </row>
    <row r="70" spans="1:44" ht="15" hidden="1" x14ac:dyDescent="0.25">
      <c r="A70" s="25"/>
      <c r="B70" s="5"/>
      <c r="C70" s="5"/>
      <c r="D70" s="5" t="s">
        <v>6274</v>
      </c>
      <c r="E70" s="5"/>
      <c r="F70" s="5"/>
      <c r="G70" s="5" t="s">
        <v>6276</v>
      </c>
      <c r="H70" s="5"/>
      <c r="I70" s="5"/>
      <c r="J70" s="5" t="s">
        <v>6275</v>
      </c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8"/>
    </row>
    <row r="71" spans="1:44" ht="15" hidden="1" x14ac:dyDescent="0.25">
      <c r="A71" s="25"/>
      <c r="B71" s="5"/>
      <c r="C71" s="5"/>
      <c r="D71" s="5" t="s">
        <v>6297</v>
      </c>
      <c r="E71" s="5"/>
      <c r="F71" s="5"/>
      <c r="G71" s="5" t="s">
        <v>6299</v>
      </c>
      <c r="H71" s="5"/>
      <c r="I71" s="5"/>
      <c r="J71" s="5" t="s">
        <v>6298</v>
      </c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8"/>
    </row>
    <row r="72" spans="1:44" ht="15" hidden="1" x14ac:dyDescent="0.25">
      <c r="A72" s="25"/>
      <c r="B72" s="5"/>
      <c r="C72" s="5"/>
      <c r="D72" s="5" t="s">
        <v>6323</v>
      </c>
      <c r="E72" s="5"/>
      <c r="F72" s="5"/>
      <c r="G72" s="5" t="s">
        <v>6325</v>
      </c>
      <c r="H72" s="5"/>
      <c r="I72" s="5"/>
      <c r="J72" s="5" t="s">
        <v>6324</v>
      </c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8"/>
    </row>
    <row r="73" spans="1:44" ht="15" hidden="1" x14ac:dyDescent="0.25">
      <c r="A73" s="25"/>
      <c r="B73" s="5"/>
      <c r="C73" s="5"/>
      <c r="D73" s="5" t="s">
        <v>6337</v>
      </c>
      <c r="E73" s="5"/>
      <c r="F73" s="5"/>
      <c r="G73" s="5" t="s">
        <v>6339</v>
      </c>
      <c r="H73" s="5"/>
      <c r="I73" s="5"/>
      <c r="J73" s="5" t="s">
        <v>6338</v>
      </c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8"/>
    </row>
    <row r="74" spans="1:44" ht="15" hidden="1" x14ac:dyDescent="0.25">
      <c r="A74" s="25"/>
      <c r="B74" s="5"/>
      <c r="C74" s="5"/>
      <c r="D74" s="5" t="s">
        <v>6371</v>
      </c>
      <c r="E74" s="5"/>
      <c r="F74" s="5"/>
      <c r="G74" s="5" t="s">
        <v>6373</v>
      </c>
      <c r="H74" s="5"/>
      <c r="I74" s="5"/>
      <c r="J74" s="5" t="s">
        <v>6372</v>
      </c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8"/>
    </row>
    <row r="75" spans="1:44" ht="15" hidden="1" x14ac:dyDescent="0.25">
      <c r="A75" s="25"/>
      <c r="B75" s="5"/>
      <c r="C75" s="5"/>
      <c r="D75" s="5" t="s">
        <v>6390</v>
      </c>
      <c r="E75" s="5"/>
      <c r="F75" s="5"/>
      <c r="G75" s="5" t="s">
        <v>6392</v>
      </c>
      <c r="H75" s="5"/>
      <c r="I75" s="5"/>
      <c r="J75" s="5" t="s">
        <v>6391</v>
      </c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8"/>
    </row>
    <row r="76" spans="1:44" ht="15" hidden="1" x14ac:dyDescent="0.25">
      <c r="A76" s="25"/>
      <c r="B76" s="5"/>
      <c r="C76" s="5"/>
      <c r="D76" s="5" t="s">
        <v>6428</v>
      </c>
      <c r="E76" s="5"/>
      <c r="F76" s="5"/>
      <c r="G76" s="5" t="s">
        <v>6430</v>
      </c>
      <c r="H76" s="5"/>
      <c r="I76" s="5"/>
      <c r="J76" s="5" t="s">
        <v>6429</v>
      </c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8"/>
    </row>
    <row r="77" spans="1:44" ht="15" hidden="1" x14ac:dyDescent="0.25">
      <c r="A77" s="25"/>
      <c r="B77" s="5"/>
      <c r="C77" s="5"/>
      <c r="D77" s="5" t="s">
        <v>6485</v>
      </c>
      <c r="E77" s="5"/>
      <c r="F77" s="5"/>
      <c r="G77" s="5" t="s">
        <v>6487</v>
      </c>
      <c r="H77" s="5"/>
      <c r="I77" s="5"/>
      <c r="J77" s="5" t="s">
        <v>6486</v>
      </c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8"/>
    </row>
    <row r="78" spans="1:44" ht="15" x14ac:dyDescent="0.25">
      <c r="A78" s="25"/>
      <c r="B78" s="5"/>
      <c r="C78" s="5" t="s">
        <v>743</v>
      </c>
      <c r="D78" s="5"/>
      <c r="E78" s="5"/>
      <c r="F78" s="5"/>
      <c r="G78" s="5" t="s">
        <v>985</v>
      </c>
      <c r="H78" s="5" t="s">
        <v>1087</v>
      </c>
      <c r="I78" s="5" t="s">
        <v>1146</v>
      </c>
      <c r="J78" s="5" t="s">
        <v>843</v>
      </c>
      <c r="K78" s="5" t="s">
        <v>1213</v>
      </c>
      <c r="L78" s="5" t="s">
        <v>1447</v>
      </c>
      <c r="M78" s="5" t="s">
        <v>1681</v>
      </c>
      <c r="N78" s="5" t="s">
        <v>1884</v>
      </c>
      <c r="O78" s="5" t="s">
        <v>2509</v>
      </c>
      <c r="P78" s="5" t="s">
        <v>2510</v>
      </c>
      <c r="Q78" s="5" t="s">
        <v>2511</v>
      </c>
      <c r="R78" s="5" t="s">
        <v>2512</v>
      </c>
      <c r="S78" s="5" t="s">
        <v>2513</v>
      </c>
      <c r="T78" s="5" t="s">
        <v>2514</v>
      </c>
      <c r="U78" s="5" t="s">
        <v>2515</v>
      </c>
      <c r="V78" s="5" t="s">
        <v>2516</v>
      </c>
      <c r="W78" s="5" t="s">
        <v>2517</v>
      </c>
      <c r="X78" s="5" t="s">
        <v>2515</v>
      </c>
      <c r="Y78" s="10" t="e">
        <f>IF(OR($A78&lt;&gt;"", $G78=""),"",CONCATENATE(";",EscStr(CONCATENATE("NavNode_",getCategoryLevelAsString(#REF!))),";",EscStr($J78),";",IF(#REF!&lt;&gt;"","""MainNavNode""",EscStr(CONCATENATE("NavNode_",getSuperCategory(#REF!, getCategoryLevelAsNumber(#REF!))))),";"))</f>
        <v>#VALUE!</v>
      </c>
      <c r="Z78" s="10" t="e">
        <f>IF(getCategoryLevelAsString(#REF!)="L0D_324785","",IF(G78="",CONCATENATE(";",EscStr(CONCATENATE("NavNode_",getCategoryLevelAsString(#REF!))),";",EscStr($J78),";"),CONCATENATE(";",EscStr(CONCATENATE("NavNode_",getCategoryLevelAsString(#REF!))),";",EscStr(G78),";")))</f>
        <v>#VALUE!</v>
      </c>
      <c r="AA78" s="10" t="e">
        <f>IF(getCategoryLevelAsString(#REF!)="L0D_324785","",IF(H78="",CONCATENATE(";",EscStr(CONCATENATE("NavNode_",getCategoryLevelAsString(#REF!))),";",EscStr($J78),";"),CONCATENATE(";",EscStr(CONCATENATE("NavNode_",getCategoryLevelAsString(#REF!))),";",EscStr(H78),";")))</f>
        <v>#VALUE!</v>
      </c>
      <c r="AB78" s="10" t="e">
        <f>IF(getCategoryLevelAsString(#REF!)="L0D_324785","",IF(I78="",CONCATENATE(";",EscStr(CONCATENATE("NavNode_",getCategoryLevelAsString(#REF!))),";",EscStr($J78),";"),CONCATENATE(";",EscStr(CONCATENATE("NavNode_",getCategoryLevelAsString(#REF!))),";",EscStr(I78),";")))</f>
        <v>#VALUE!</v>
      </c>
      <c r="AC78" s="10" t="e">
        <f>IF(getCategoryLevelAsString(#REF!)="L0D_324785","",IF(J78="",CONCATENATE(";",EscStr(CONCATENATE("NavNode_",getCategoryLevelAsString(#REF!))),";",EscStr($J78),";"),CONCATENATE(";",EscStr(CONCATENATE("NavNode_",getCategoryLevelAsString(#REF!))),";",EscStr(J78),";")))</f>
        <v>#VALUE!</v>
      </c>
      <c r="AD78" s="10" t="e">
        <f>IF(getCategoryLevelAsString(#REF!)="L0D_324785","",IF(K78="",CONCATENATE(";",EscStr(CONCATENATE("NavNode_",getCategoryLevelAsString(#REF!))),";",EscStr($J78),";"),CONCATENATE(";",EscStr(CONCATENATE("NavNode_",getCategoryLevelAsString(#REF!))),";",EscStr(K78),";")))</f>
        <v>#VALUE!</v>
      </c>
      <c r="AE78" s="10" t="e">
        <f>IF(getCategoryLevelAsString(#REF!)="L0D_324785","",IF(L78="",CONCATENATE(";",EscStr(CONCATENATE("NavNode_",getCategoryLevelAsString(#REF!))),";",EscStr($J78),";"),CONCATENATE(";",EscStr(CONCATENATE("NavNode_",getCategoryLevelAsString(#REF!))),";",EscStr(L78),";")))</f>
        <v>#VALUE!</v>
      </c>
      <c r="AF78" s="10" t="e">
        <f>IF(getCategoryLevelAsString(#REF!)="L0D_324785","",IF(M78="",CONCATENATE(";",EscStr(CONCATENATE("NavNode_",getCategoryLevelAsString(#REF!))),";",EscStr($J78),";"),CONCATENATE(";",EscStr(CONCATENATE("NavNode_",getCategoryLevelAsString(#REF!))),";",EscStr(M78),";")))</f>
        <v>#VALUE!</v>
      </c>
      <c r="AG78" s="10" t="e">
        <f>IF(getCategoryLevelAsString(#REF!)="L0D_324785","",IF(N78="",CONCATENATE(";",EscStr(CONCATENATE("NavNode_",getCategoryLevelAsString(#REF!))),";",EscStr($J78),";"),CONCATENATE(";",EscStr(CONCATENATE("NavNode_",getCategoryLevelAsString(#REF!))),";",EscStr(N78),";")))</f>
        <v>#VALUE!</v>
      </c>
      <c r="AH78" s="10" t="e">
        <f>IF(getCategoryLevelAsString(#REF!)="L0D_324785","",IF(O78="",CONCATENATE(";",EscStr(CONCATENATE("NavNode_",getCategoryLevelAsString(#REF!))),";",EscStr($J78),";"),CONCATENATE(";",EscStr(CONCATENATE("NavNode_",getCategoryLevelAsString(#REF!))),";",EscStr(O78),";")))</f>
        <v>#VALUE!</v>
      </c>
      <c r="AI78" s="10" t="e">
        <f>IF(getCategoryLevelAsString(#REF!)="L0D_324785","",IF(P78="",CONCATENATE(";",EscStr(CONCATENATE("NavNode_",getCategoryLevelAsString(#REF!))),";",EscStr($J78),";"),CONCATENATE(";",EscStr(CONCATENATE("NavNode_",getCategoryLevelAsString(#REF!))),";",EscStr(P78),";")))</f>
        <v>#VALUE!</v>
      </c>
      <c r="AJ78" s="10" t="e">
        <f>IF(getCategoryLevelAsString(#REF!)="L0D_324785","",IF(Q78="",CONCATENATE(";",EscStr(CONCATENATE("NavNode_",getCategoryLevelAsString(#REF!))),";",EscStr($J78),";"),CONCATENATE(";",EscStr(CONCATENATE("NavNode_",getCategoryLevelAsString(#REF!))),";",EscStr(Q78),";")))</f>
        <v>#VALUE!</v>
      </c>
      <c r="AK78" s="10" t="e">
        <f>IF(getCategoryLevelAsString(#REF!)="L0D_324785","",IF(R78="",CONCATENATE(";",EscStr(CONCATENATE("NavNode_",getCategoryLevelAsString(#REF!))),";",EscStr($J78),";"),CONCATENATE(";",EscStr(CONCATENATE("NavNode_",getCategoryLevelAsString(#REF!))),";",EscStr(R78),";")))</f>
        <v>#VALUE!</v>
      </c>
      <c r="AL78" s="10" t="e">
        <f>IF(getCategoryLevelAsString(#REF!)="L0D_324785","",IF(S78="",CONCATENATE(";",EscStr(CONCATENATE("NavNode_",getCategoryLevelAsString(#REF!))),";",EscStr($J78),";"),CONCATENATE(";",EscStr(CONCATENATE("NavNode_",getCategoryLevelAsString(#REF!))),";",EscStr(S78),";")))</f>
        <v>#VALUE!</v>
      </c>
      <c r="AM78" s="10" t="e">
        <f>IF(getCategoryLevelAsString(#REF!)="L0D_324785","",IF(T78="",CONCATENATE(";",EscStr(CONCATENATE("NavNode_",getCategoryLevelAsString(#REF!))),";",EscStr($J78),";"),CONCATENATE(";",EscStr(CONCATENATE("NavNode_",getCategoryLevelAsString(#REF!))),";",EscStr(T78),";")))</f>
        <v>#VALUE!</v>
      </c>
      <c r="AN78" s="10" t="e">
        <f>IF(getCategoryLevelAsString(#REF!)="L0D_324785","",IF(U78="",CONCATENATE(";",EscStr(CONCATENATE("NavNode_",getCategoryLevelAsString(#REF!))),";",EscStr($J78),";"),CONCATENATE(";",EscStr(CONCATENATE("NavNode_",getCategoryLevelAsString(#REF!))),";",EscStr(U78),";")))</f>
        <v>#VALUE!</v>
      </c>
      <c r="AO78" s="10" t="e">
        <f>IF(getCategoryLevelAsString(#REF!)="L0D_324785","",IF(V78="",CONCATENATE(";",EscStr(CONCATENATE("NavNode_",getCategoryLevelAsString(#REF!))),";",EscStr($J78),";"),CONCATENATE(";",EscStr(CONCATENATE("NavNode_",getCategoryLevelAsString(#REF!))),";",EscStr(V78),";")))</f>
        <v>#VALUE!</v>
      </c>
      <c r="AP78" s="10" t="e">
        <f>IF(getCategoryLevelAsString(#REF!)="L0D_324785","",IF(W78="",CONCATENATE(";",EscStr(CONCATENATE("NavNode_",getCategoryLevelAsString(#REF!))),";",EscStr($J78),";"),CONCATENATE(";",EscStr(CONCATENATE("NavNode_",getCategoryLevelAsString(#REF!))),";",EscStr(W78),";")))</f>
        <v>#VALUE!</v>
      </c>
      <c r="AQ78" s="10" t="e">
        <f>IF(getCategoryLevelAsString(#REF!)="L0D_324785","",IF(X78="",CONCATENATE(";",EscStr(CONCATENATE("NavNode_",getCategoryLevelAsString(#REF!))),";",EscStr($J78),";"),CONCATENATE(";",EscStr(CONCATENATE("NavNode_",getCategoryLevelAsString(#REF!))),";",EscStr(X78),";")))</f>
        <v>#VALUE!</v>
      </c>
      <c r="AR78" s="8" t="e">
        <f>IF(OR($A78&lt;&gt;"", $G78=""),"",CONCATENATE(";",EscStr(CONCATENATE("NavEntry_",getCategoryLevelAsString(#REF!))),";",EscStr(CONCATENATE($J78," Navigation Entry")),";",EscStr(CONCATENATE("cat-",getCategoryLevelAsString(#REF!))),";",EscStr(CONCATENATE("NavNode_",getCategoryLevelAsString(#REF!))),";"))</f>
        <v>#VALUE!</v>
      </c>
    </row>
    <row r="79" spans="1:44" ht="15" x14ac:dyDescent="0.25">
      <c r="A79" s="25"/>
      <c r="B79" s="5"/>
      <c r="C79" s="5"/>
      <c r="D79" s="5" t="s">
        <v>6493</v>
      </c>
      <c r="E79" s="5"/>
      <c r="F79" s="5"/>
      <c r="G79" s="5" t="s">
        <v>6495</v>
      </c>
      <c r="H79" s="5" t="s">
        <v>13507</v>
      </c>
      <c r="I79" s="5" t="s">
        <v>13508</v>
      </c>
      <c r="J79" s="5" t="s">
        <v>6494</v>
      </c>
      <c r="K79" s="5" t="s">
        <v>13509</v>
      </c>
      <c r="L79" s="5" t="s">
        <v>13510</v>
      </c>
      <c r="M79" s="5" t="s">
        <v>13511</v>
      </c>
      <c r="N79" s="5" t="s">
        <v>13512</v>
      </c>
      <c r="O79" s="5" t="s">
        <v>13513</v>
      </c>
      <c r="P79" s="5" t="s">
        <v>13514</v>
      </c>
      <c r="Q79" s="5" t="s">
        <v>13515</v>
      </c>
      <c r="R79" s="5" t="s">
        <v>6494</v>
      </c>
      <c r="S79" s="5" t="s">
        <v>13516</v>
      </c>
      <c r="T79" s="5" t="s">
        <v>13517</v>
      </c>
      <c r="U79" s="5" t="s">
        <v>13518</v>
      </c>
      <c r="V79" s="5" t="s">
        <v>13509</v>
      </c>
      <c r="W79" s="5" t="s">
        <v>13519</v>
      </c>
      <c r="X79" s="5" t="s">
        <v>13518</v>
      </c>
      <c r="Y79" s="10" t="e">
        <f>IF(OR($A79&lt;&gt;"", $G79=""),"",CONCATENATE(";",EscStr(CONCATENATE("NavNode_",getCategoryLevelAsString(#REF!))),";",EscStr($J79),";",IF(#REF!&lt;&gt;"","""MainNavNode""",EscStr(CONCATENATE("NavNode_",getSuperCategory(#REF!, getCategoryLevelAsNumber(#REF!))))),";"))</f>
        <v>#VALUE!</v>
      </c>
      <c r="Z79" s="10" t="e">
        <f>IF(getCategoryLevelAsString(#REF!)="L0D_324785","",IF(G79="",CONCATENATE(";",EscStr(CONCATENATE("NavNode_",getCategoryLevelAsString(#REF!))),";",EscStr($J79),";"),CONCATENATE(";",EscStr(CONCATENATE("NavNode_",getCategoryLevelAsString(#REF!))),";",EscStr(G79),";")))</f>
        <v>#VALUE!</v>
      </c>
      <c r="AA79" s="10" t="e">
        <f>IF(getCategoryLevelAsString(#REF!)="L0D_324785","",IF(H79="",CONCATENATE(";",EscStr(CONCATENATE("NavNode_",getCategoryLevelAsString(#REF!))),";",EscStr($J79),";"),CONCATENATE(";",EscStr(CONCATENATE("NavNode_",getCategoryLevelAsString(#REF!))),";",EscStr(H79),";")))</f>
        <v>#VALUE!</v>
      </c>
      <c r="AB79" s="10" t="e">
        <f>IF(getCategoryLevelAsString(#REF!)="L0D_324785","",IF(I79="",CONCATENATE(";",EscStr(CONCATENATE("NavNode_",getCategoryLevelAsString(#REF!))),";",EscStr($J79),";"),CONCATENATE(";",EscStr(CONCATENATE("NavNode_",getCategoryLevelAsString(#REF!))),";",EscStr(I79),";")))</f>
        <v>#VALUE!</v>
      </c>
      <c r="AC79" s="10" t="e">
        <f>IF(getCategoryLevelAsString(#REF!)="L0D_324785","",IF(J79="",CONCATENATE(";",EscStr(CONCATENATE("NavNode_",getCategoryLevelAsString(#REF!))),";",EscStr($J79),";"),CONCATENATE(";",EscStr(CONCATENATE("NavNode_",getCategoryLevelAsString(#REF!))),";",EscStr(J79),";")))</f>
        <v>#VALUE!</v>
      </c>
      <c r="AD79" s="10" t="e">
        <f>IF(getCategoryLevelAsString(#REF!)="L0D_324785","",IF(K79="",CONCATENATE(";",EscStr(CONCATENATE("NavNode_",getCategoryLevelAsString(#REF!))),";",EscStr($J79),";"),CONCATENATE(";",EscStr(CONCATENATE("NavNode_",getCategoryLevelAsString(#REF!))),";",EscStr(K79),";")))</f>
        <v>#VALUE!</v>
      </c>
      <c r="AE79" s="10" t="e">
        <f>IF(getCategoryLevelAsString(#REF!)="L0D_324785","",IF(L79="",CONCATENATE(";",EscStr(CONCATENATE("NavNode_",getCategoryLevelAsString(#REF!))),";",EscStr($J79),";"),CONCATENATE(";",EscStr(CONCATENATE("NavNode_",getCategoryLevelAsString(#REF!))),";",EscStr(L79),";")))</f>
        <v>#VALUE!</v>
      </c>
      <c r="AF79" s="10" t="e">
        <f>IF(getCategoryLevelAsString(#REF!)="L0D_324785","",IF(M79="",CONCATENATE(";",EscStr(CONCATENATE("NavNode_",getCategoryLevelAsString(#REF!))),";",EscStr($J79),";"),CONCATENATE(";",EscStr(CONCATENATE("NavNode_",getCategoryLevelAsString(#REF!))),";",EscStr(M79),";")))</f>
        <v>#VALUE!</v>
      </c>
      <c r="AG79" s="10" t="e">
        <f>IF(getCategoryLevelAsString(#REF!)="L0D_324785","",IF(N79="",CONCATENATE(";",EscStr(CONCATENATE("NavNode_",getCategoryLevelAsString(#REF!))),";",EscStr($J79),";"),CONCATENATE(";",EscStr(CONCATENATE("NavNode_",getCategoryLevelAsString(#REF!))),";",EscStr(N79),";")))</f>
        <v>#VALUE!</v>
      </c>
      <c r="AH79" s="10" t="e">
        <f>IF(getCategoryLevelAsString(#REF!)="L0D_324785","",IF(O79="",CONCATENATE(";",EscStr(CONCATENATE("NavNode_",getCategoryLevelAsString(#REF!))),";",EscStr($J79),";"),CONCATENATE(";",EscStr(CONCATENATE("NavNode_",getCategoryLevelAsString(#REF!))),";",EscStr(O79),";")))</f>
        <v>#VALUE!</v>
      </c>
      <c r="AI79" s="10" t="e">
        <f>IF(getCategoryLevelAsString(#REF!)="L0D_324785","",IF(P79="",CONCATENATE(";",EscStr(CONCATENATE("NavNode_",getCategoryLevelAsString(#REF!))),";",EscStr($J79),";"),CONCATENATE(";",EscStr(CONCATENATE("NavNode_",getCategoryLevelAsString(#REF!))),";",EscStr(P79),";")))</f>
        <v>#VALUE!</v>
      </c>
      <c r="AJ79" s="10" t="e">
        <f>IF(getCategoryLevelAsString(#REF!)="L0D_324785","",IF(Q79="",CONCATENATE(";",EscStr(CONCATENATE("NavNode_",getCategoryLevelAsString(#REF!))),";",EscStr($J79),";"),CONCATENATE(";",EscStr(CONCATENATE("NavNode_",getCategoryLevelAsString(#REF!))),";",EscStr(Q79),";")))</f>
        <v>#VALUE!</v>
      </c>
      <c r="AK79" s="10" t="e">
        <f>IF(getCategoryLevelAsString(#REF!)="L0D_324785","",IF(R79="",CONCATENATE(";",EscStr(CONCATENATE("NavNode_",getCategoryLevelAsString(#REF!))),";",EscStr($J79),";"),CONCATENATE(";",EscStr(CONCATENATE("NavNode_",getCategoryLevelAsString(#REF!))),";",EscStr(R79),";")))</f>
        <v>#VALUE!</v>
      </c>
      <c r="AL79" s="10" t="e">
        <f>IF(getCategoryLevelAsString(#REF!)="L0D_324785","",IF(S79="",CONCATENATE(";",EscStr(CONCATENATE("NavNode_",getCategoryLevelAsString(#REF!))),";",EscStr($J79),";"),CONCATENATE(";",EscStr(CONCATENATE("NavNode_",getCategoryLevelAsString(#REF!))),";",EscStr(S79),";")))</f>
        <v>#VALUE!</v>
      </c>
      <c r="AM79" s="10" t="e">
        <f>IF(getCategoryLevelAsString(#REF!)="L0D_324785","",IF(T79="",CONCATENATE(";",EscStr(CONCATENATE("NavNode_",getCategoryLevelAsString(#REF!))),";",EscStr($J79),";"),CONCATENATE(";",EscStr(CONCATENATE("NavNode_",getCategoryLevelAsString(#REF!))),";",EscStr(T79),";")))</f>
        <v>#VALUE!</v>
      </c>
      <c r="AN79" s="10" t="e">
        <f>IF(getCategoryLevelAsString(#REF!)="L0D_324785","",IF(U79="",CONCATENATE(";",EscStr(CONCATENATE("NavNode_",getCategoryLevelAsString(#REF!))),";",EscStr($J79),";"),CONCATENATE(";",EscStr(CONCATENATE("NavNode_",getCategoryLevelAsString(#REF!))),";",EscStr(U79),";")))</f>
        <v>#VALUE!</v>
      </c>
      <c r="AO79" s="10" t="e">
        <f>IF(getCategoryLevelAsString(#REF!)="L0D_324785","",IF(V79="",CONCATENATE(";",EscStr(CONCATENATE("NavNode_",getCategoryLevelAsString(#REF!))),";",EscStr($J79),";"),CONCATENATE(";",EscStr(CONCATENATE("NavNode_",getCategoryLevelAsString(#REF!))),";",EscStr(V79),";")))</f>
        <v>#VALUE!</v>
      </c>
      <c r="AP79" s="10" t="e">
        <f>IF(getCategoryLevelAsString(#REF!)="L0D_324785","",IF(W79="",CONCATENATE(";",EscStr(CONCATENATE("NavNode_",getCategoryLevelAsString(#REF!))),";",EscStr($J79),";"),CONCATENATE(";",EscStr(CONCATENATE("NavNode_",getCategoryLevelAsString(#REF!))),";",EscStr(W79),";")))</f>
        <v>#VALUE!</v>
      </c>
      <c r="AQ79" s="10" t="e">
        <f>IF(getCategoryLevelAsString(#REF!)="L0D_324785","",IF(X79="",CONCATENATE(";",EscStr(CONCATENATE("NavNode_",getCategoryLevelAsString(#REF!))),";",EscStr($J79),";"),CONCATENATE(";",EscStr(CONCATENATE("NavNode_",getCategoryLevelAsString(#REF!))),";",EscStr(X79),";")))</f>
        <v>#VALUE!</v>
      </c>
      <c r="AR79" s="8" t="e">
        <f>IF(OR($A79&lt;&gt;"", $G79=""),"",CONCATENATE(";",EscStr(CONCATENATE("NavEntry_",getCategoryLevelAsString(#REF!))),";",EscStr(CONCATENATE($J79," Navigation Entry")),";",EscStr(CONCATENATE("cat-",getCategoryLevelAsString(#REF!))),";",EscStr(CONCATENATE("NavNode_",getCategoryLevelAsString(#REF!))),";"))</f>
        <v>#VALUE!</v>
      </c>
    </row>
    <row r="80" spans="1:44" ht="15" x14ac:dyDescent="0.25">
      <c r="A80" s="25"/>
      <c r="B80" s="5"/>
      <c r="C80" s="5"/>
      <c r="D80" s="5" t="s">
        <v>6545</v>
      </c>
      <c r="E80" s="5"/>
      <c r="F80" s="5"/>
      <c r="G80" s="5" t="s">
        <v>13520</v>
      </c>
      <c r="H80" s="5" t="s">
        <v>13521</v>
      </c>
      <c r="I80" s="5" t="s">
        <v>13520</v>
      </c>
      <c r="J80" s="5" t="s">
        <v>13522</v>
      </c>
      <c r="K80" s="5" t="s">
        <v>13523</v>
      </c>
      <c r="L80" s="5" t="s">
        <v>13524</v>
      </c>
      <c r="M80" s="5" t="s">
        <v>13523</v>
      </c>
      <c r="N80" s="5" t="s">
        <v>13525</v>
      </c>
      <c r="O80" s="5" t="s">
        <v>13526</v>
      </c>
      <c r="P80" s="5" t="s">
        <v>13527</v>
      </c>
      <c r="Q80" s="5" t="s">
        <v>13528</v>
      </c>
      <c r="R80" s="5" t="s">
        <v>13521</v>
      </c>
      <c r="S80" s="5" t="s">
        <v>13529</v>
      </c>
      <c r="T80" s="5" t="s">
        <v>13530</v>
      </c>
      <c r="U80" s="5" t="s">
        <v>13531</v>
      </c>
      <c r="V80" s="5" t="s">
        <v>13532</v>
      </c>
      <c r="W80" s="5" t="s">
        <v>13520</v>
      </c>
      <c r="X80" s="5" t="s">
        <v>13531</v>
      </c>
      <c r="Y80" s="10" t="e">
        <f>IF(OR($A80&lt;&gt;"", $G80=""),"",CONCATENATE(";",EscStr(CONCATENATE("NavNode_",getCategoryLevelAsString(#REF!))),";",EscStr($J80),";",IF(#REF!&lt;&gt;"","""MainNavNode""",EscStr(CONCATENATE("NavNode_",getSuperCategory(#REF!, getCategoryLevelAsNumber(#REF!))))),";"))</f>
        <v>#VALUE!</v>
      </c>
      <c r="Z80" s="10" t="e">
        <f>IF(getCategoryLevelAsString(#REF!)="L0D_324785","",IF(G80="",CONCATENATE(";",EscStr(CONCATENATE("NavNode_",getCategoryLevelAsString(#REF!))),";",EscStr($J80),";"),CONCATENATE(";",EscStr(CONCATENATE("NavNode_",getCategoryLevelAsString(#REF!))),";",EscStr(G80),";")))</f>
        <v>#VALUE!</v>
      </c>
      <c r="AA80" s="10" t="e">
        <f>IF(getCategoryLevelAsString(#REF!)="L0D_324785","",IF(H80="",CONCATENATE(";",EscStr(CONCATENATE("NavNode_",getCategoryLevelAsString(#REF!))),";",EscStr($J80),";"),CONCATENATE(";",EscStr(CONCATENATE("NavNode_",getCategoryLevelAsString(#REF!))),";",EscStr(H80),";")))</f>
        <v>#VALUE!</v>
      </c>
      <c r="AB80" s="10" t="e">
        <f>IF(getCategoryLevelAsString(#REF!)="L0D_324785","",IF(I80="",CONCATENATE(";",EscStr(CONCATENATE("NavNode_",getCategoryLevelAsString(#REF!))),";",EscStr($J80),";"),CONCATENATE(";",EscStr(CONCATENATE("NavNode_",getCategoryLevelAsString(#REF!))),";",EscStr(I80),";")))</f>
        <v>#VALUE!</v>
      </c>
      <c r="AC80" s="10" t="e">
        <f>IF(getCategoryLevelAsString(#REF!)="L0D_324785","",IF(J80="",CONCATENATE(";",EscStr(CONCATENATE("NavNode_",getCategoryLevelAsString(#REF!))),";",EscStr($J80),";"),CONCATENATE(";",EscStr(CONCATENATE("NavNode_",getCategoryLevelAsString(#REF!))),";",EscStr(J80),";")))</f>
        <v>#VALUE!</v>
      </c>
      <c r="AD80" s="10" t="e">
        <f>IF(getCategoryLevelAsString(#REF!)="L0D_324785","",IF(K80="",CONCATENATE(";",EscStr(CONCATENATE("NavNode_",getCategoryLevelAsString(#REF!))),";",EscStr($J80),";"),CONCATENATE(";",EscStr(CONCATENATE("NavNode_",getCategoryLevelAsString(#REF!))),";",EscStr(K80),";")))</f>
        <v>#VALUE!</v>
      </c>
      <c r="AE80" s="10" t="e">
        <f>IF(getCategoryLevelAsString(#REF!)="L0D_324785","",IF(L80="",CONCATENATE(";",EscStr(CONCATENATE("NavNode_",getCategoryLevelAsString(#REF!))),";",EscStr($J80),";"),CONCATENATE(";",EscStr(CONCATENATE("NavNode_",getCategoryLevelAsString(#REF!))),";",EscStr(L80),";")))</f>
        <v>#VALUE!</v>
      </c>
      <c r="AF80" s="10" t="e">
        <f>IF(getCategoryLevelAsString(#REF!)="L0D_324785","",IF(M80="",CONCATENATE(";",EscStr(CONCATENATE("NavNode_",getCategoryLevelAsString(#REF!))),";",EscStr($J80),";"),CONCATENATE(";",EscStr(CONCATENATE("NavNode_",getCategoryLevelAsString(#REF!))),";",EscStr(M80),";")))</f>
        <v>#VALUE!</v>
      </c>
      <c r="AG80" s="10" t="e">
        <f>IF(getCategoryLevelAsString(#REF!)="L0D_324785","",IF(N80="",CONCATENATE(";",EscStr(CONCATENATE("NavNode_",getCategoryLevelAsString(#REF!))),";",EscStr($J80),";"),CONCATENATE(";",EscStr(CONCATENATE("NavNode_",getCategoryLevelAsString(#REF!))),";",EscStr(N80),";")))</f>
        <v>#VALUE!</v>
      </c>
      <c r="AH80" s="10" t="e">
        <f>IF(getCategoryLevelAsString(#REF!)="L0D_324785","",IF(O80="",CONCATENATE(";",EscStr(CONCATENATE("NavNode_",getCategoryLevelAsString(#REF!))),";",EscStr($J80),";"),CONCATENATE(";",EscStr(CONCATENATE("NavNode_",getCategoryLevelAsString(#REF!))),";",EscStr(O80),";")))</f>
        <v>#VALUE!</v>
      </c>
      <c r="AI80" s="10" t="e">
        <f>IF(getCategoryLevelAsString(#REF!)="L0D_324785","",IF(P80="",CONCATENATE(";",EscStr(CONCATENATE("NavNode_",getCategoryLevelAsString(#REF!))),";",EscStr($J80),";"),CONCATENATE(";",EscStr(CONCATENATE("NavNode_",getCategoryLevelAsString(#REF!))),";",EscStr(P80),";")))</f>
        <v>#VALUE!</v>
      </c>
      <c r="AJ80" s="10" t="e">
        <f>IF(getCategoryLevelAsString(#REF!)="L0D_324785","",IF(Q80="",CONCATENATE(";",EscStr(CONCATENATE("NavNode_",getCategoryLevelAsString(#REF!))),";",EscStr($J80),";"),CONCATENATE(";",EscStr(CONCATENATE("NavNode_",getCategoryLevelAsString(#REF!))),";",EscStr(Q80),";")))</f>
        <v>#VALUE!</v>
      </c>
      <c r="AK80" s="10" t="e">
        <f>IF(getCategoryLevelAsString(#REF!)="L0D_324785","",IF(R80="",CONCATENATE(";",EscStr(CONCATENATE("NavNode_",getCategoryLevelAsString(#REF!))),";",EscStr($J80),";"),CONCATENATE(";",EscStr(CONCATENATE("NavNode_",getCategoryLevelAsString(#REF!))),";",EscStr(R80),";")))</f>
        <v>#VALUE!</v>
      </c>
      <c r="AL80" s="10" t="e">
        <f>IF(getCategoryLevelAsString(#REF!)="L0D_324785","",IF(S80="",CONCATENATE(";",EscStr(CONCATENATE("NavNode_",getCategoryLevelAsString(#REF!))),";",EscStr($J80),";"),CONCATENATE(";",EscStr(CONCATENATE("NavNode_",getCategoryLevelAsString(#REF!))),";",EscStr(S80),";")))</f>
        <v>#VALUE!</v>
      </c>
      <c r="AM80" s="10" t="e">
        <f>IF(getCategoryLevelAsString(#REF!)="L0D_324785","",IF(T80="",CONCATENATE(";",EscStr(CONCATENATE("NavNode_",getCategoryLevelAsString(#REF!))),";",EscStr($J80),";"),CONCATENATE(";",EscStr(CONCATENATE("NavNode_",getCategoryLevelAsString(#REF!))),";",EscStr(T80),";")))</f>
        <v>#VALUE!</v>
      </c>
      <c r="AN80" s="10" t="e">
        <f>IF(getCategoryLevelAsString(#REF!)="L0D_324785","",IF(U80="",CONCATENATE(";",EscStr(CONCATENATE("NavNode_",getCategoryLevelAsString(#REF!))),";",EscStr($J80),";"),CONCATENATE(";",EscStr(CONCATENATE("NavNode_",getCategoryLevelAsString(#REF!))),";",EscStr(U80),";")))</f>
        <v>#VALUE!</v>
      </c>
      <c r="AO80" s="10" t="e">
        <f>IF(getCategoryLevelAsString(#REF!)="L0D_324785","",IF(V80="",CONCATENATE(";",EscStr(CONCATENATE("NavNode_",getCategoryLevelAsString(#REF!))),";",EscStr($J80),";"),CONCATENATE(";",EscStr(CONCATENATE("NavNode_",getCategoryLevelAsString(#REF!))),";",EscStr(V80),";")))</f>
        <v>#VALUE!</v>
      </c>
      <c r="AP80" s="10" t="e">
        <f>IF(getCategoryLevelAsString(#REF!)="L0D_324785","",IF(W80="",CONCATENATE(";",EscStr(CONCATENATE("NavNode_",getCategoryLevelAsString(#REF!))),";",EscStr($J80),";"),CONCATENATE(";",EscStr(CONCATENATE("NavNode_",getCategoryLevelAsString(#REF!))),";",EscStr(W80),";")))</f>
        <v>#VALUE!</v>
      </c>
      <c r="AQ80" s="10" t="e">
        <f>IF(getCategoryLevelAsString(#REF!)="L0D_324785","",IF(X80="",CONCATENATE(";",EscStr(CONCATENATE("NavNode_",getCategoryLevelAsString(#REF!))),";",EscStr($J80),";"),CONCATENATE(";",EscStr(CONCATENATE("NavNode_",getCategoryLevelAsString(#REF!))),";",EscStr(X80),";")))</f>
        <v>#VALUE!</v>
      </c>
      <c r="AR80" s="8" t="e">
        <f>IF(OR($A80&lt;&gt;"", $G80=""),"",CONCATENATE(";",EscStr(CONCATENATE("NavEntry_",getCategoryLevelAsString(#REF!))),";",EscStr(CONCATENATE($J80," Navigation Entry")),";",EscStr(CONCATENATE("cat-",getCategoryLevelAsString(#REF!))),";",EscStr(CONCATENATE("NavNode_",getCategoryLevelAsString(#REF!))),";"))</f>
        <v>#VALUE!</v>
      </c>
    </row>
    <row r="81" spans="1:44" ht="15" x14ac:dyDescent="0.25">
      <c r="A81" s="25"/>
      <c r="B81" s="5"/>
      <c r="C81" s="5" t="s">
        <v>744</v>
      </c>
      <c r="D81" s="5"/>
      <c r="E81" s="5"/>
      <c r="F81" s="5"/>
      <c r="G81" s="5" t="s">
        <v>2518</v>
      </c>
      <c r="H81" s="5" t="s">
        <v>1088</v>
      </c>
      <c r="I81" s="5" t="s">
        <v>1147</v>
      </c>
      <c r="J81" s="5" t="s">
        <v>844</v>
      </c>
      <c r="K81" s="5" t="s">
        <v>1214</v>
      </c>
      <c r="L81" s="5" t="s">
        <v>1448</v>
      </c>
      <c r="M81" s="5" t="s">
        <v>1682</v>
      </c>
      <c r="N81" s="5" t="s">
        <v>1885</v>
      </c>
      <c r="O81" s="5" t="s">
        <v>2519</v>
      </c>
      <c r="P81" s="5" t="s">
        <v>2520</v>
      </c>
      <c r="Q81" s="5" t="s">
        <v>2521</v>
      </c>
      <c r="R81" s="5" t="s">
        <v>2522</v>
      </c>
      <c r="S81" s="5" t="s">
        <v>2523</v>
      </c>
      <c r="T81" s="5" t="s">
        <v>2524</v>
      </c>
      <c r="U81" s="5" t="s">
        <v>2525</v>
      </c>
      <c r="V81" s="5" t="s">
        <v>2526</v>
      </c>
      <c r="W81" s="5" t="s">
        <v>2527</v>
      </c>
      <c r="X81" s="5" t="s">
        <v>2525</v>
      </c>
      <c r="Y81" s="10" t="e">
        <f>IF(OR($A81&lt;&gt;"", $G81=""),"",CONCATENATE(";",EscStr(CONCATENATE("NavNode_",getCategoryLevelAsString(#REF!))),";",EscStr($J81),";",IF(#REF!&lt;&gt;"","""MainNavNode""",EscStr(CONCATENATE("NavNode_",getSuperCategory(#REF!, getCategoryLevelAsNumber(#REF!))))),";"))</f>
        <v>#VALUE!</v>
      </c>
      <c r="Z81" s="10" t="e">
        <f>IF(getCategoryLevelAsString(#REF!)="L0D_324785","",IF(G81="",CONCATENATE(";",EscStr(CONCATENATE("NavNode_",getCategoryLevelAsString(#REF!))),";",EscStr($J81),";"),CONCATENATE(";",EscStr(CONCATENATE("NavNode_",getCategoryLevelAsString(#REF!))),";",EscStr(G81),";")))</f>
        <v>#VALUE!</v>
      </c>
      <c r="AA81" s="10" t="e">
        <f>IF(getCategoryLevelAsString(#REF!)="L0D_324785","",IF(H81="",CONCATENATE(";",EscStr(CONCATENATE("NavNode_",getCategoryLevelAsString(#REF!))),";",EscStr($J81),";"),CONCATENATE(";",EscStr(CONCATENATE("NavNode_",getCategoryLevelAsString(#REF!))),";",EscStr(H81),";")))</f>
        <v>#VALUE!</v>
      </c>
      <c r="AB81" s="10" t="e">
        <f>IF(getCategoryLevelAsString(#REF!)="L0D_324785","",IF(I81="",CONCATENATE(";",EscStr(CONCATENATE("NavNode_",getCategoryLevelAsString(#REF!))),";",EscStr($J81),";"),CONCATENATE(";",EscStr(CONCATENATE("NavNode_",getCategoryLevelAsString(#REF!))),";",EscStr(I81),";")))</f>
        <v>#VALUE!</v>
      </c>
      <c r="AC81" s="10" t="e">
        <f>IF(getCategoryLevelAsString(#REF!)="L0D_324785","",IF(J81="",CONCATENATE(";",EscStr(CONCATENATE("NavNode_",getCategoryLevelAsString(#REF!))),";",EscStr($J81),";"),CONCATENATE(";",EscStr(CONCATENATE("NavNode_",getCategoryLevelAsString(#REF!))),";",EscStr(J81),";")))</f>
        <v>#VALUE!</v>
      </c>
      <c r="AD81" s="10" t="e">
        <f>IF(getCategoryLevelAsString(#REF!)="L0D_324785","",IF(K81="",CONCATENATE(";",EscStr(CONCATENATE("NavNode_",getCategoryLevelAsString(#REF!))),";",EscStr($J81),";"),CONCATENATE(";",EscStr(CONCATENATE("NavNode_",getCategoryLevelAsString(#REF!))),";",EscStr(K81),";")))</f>
        <v>#VALUE!</v>
      </c>
      <c r="AE81" s="10" t="e">
        <f>IF(getCategoryLevelAsString(#REF!)="L0D_324785","",IF(L81="",CONCATENATE(";",EscStr(CONCATENATE("NavNode_",getCategoryLevelAsString(#REF!))),";",EscStr($J81),";"),CONCATENATE(";",EscStr(CONCATENATE("NavNode_",getCategoryLevelAsString(#REF!))),";",EscStr(L81),";")))</f>
        <v>#VALUE!</v>
      </c>
      <c r="AF81" s="10" t="e">
        <f>IF(getCategoryLevelAsString(#REF!)="L0D_324785","",IF(M81="",CONCATENATE(";",EscStr(CONCATENATE("NavNode_",getCategoryLevelAsString(#REF!))),";",EscStr($J81),";"),CONCATENATE(";",EscStr(CONCATENATE("NavNode_",getCategoryLevelAsString(#REF!))),";",EscStr(M81),";")))</f>
        <v>#VALUE!</v>
      </c>
      <c r="AG81" s="10" t="e">
        <f>IF(getCategoryLevelAsString(#REF!)="L0D_324785","",IF(N81="",CONCATENATE(";",EscStr(CONCATENATE("NavNode_",getCategoryLevelAsString(#REF!))),";",EscStr($J81),";"),CONCATENATE(";",EscStr(CONCATENATE("NavNode_",getCategoryLevelAsString(#REF!))),";",EscStr(N81),";")))</f>
        <v>#VALUE!</v>
      </c>
      <c r="AH81" s="10" t="e">
        <f>IF(getCategoryLevelAsString(#REF!)="L0D_324785","",IF(O81="",CONCATENATE(";",EscStr(CONCATENATE("NavNode_",getCategoryLevelAsString(#REF!))),";",EscStr($J81),";"),CONCATENATE(";",EscStr(CONCATENATE("NavNode_",getCategoryLevelAsString(#REF!))),";",EscStr(O81),";")))</f>
        <v>#VALUE!</v>
      </c>
      <c r="AI81" s="10" t="e">
        <f>IF(getCategoryLevelAsString(#REF!)="L0D_324785","",IF(P81="",CONCATENATE(";",EscStr(CONCATENATE("NavNode_",getCategoryLevelAsString(#REF!))),";",EscStr($J81),";"),CONCATENATE(";",EscStr(CONCATENATE("NavNode_",getCategoryLevelAsString(#REF!))),";",EscStr(P81),";")))</f>
        <v>#VALUE!</v>
      </c>
      <c r="AJ81" s="10" t="e">
        <f>IF(getCategoryLevelAsString(#REF!)="L0D_324785","",IF(Q81="",CONCATENATE(";",EscStr(CONCATENATE("NavNode_",getCategoryLevelAsString(#REF!))),";",EscStr($J81),";"),CONCATENATE(";",EscStr(CONCATENATE("NavNode_",getCategoryLevelAsString(#REF!))),";",EscStr(Q81),";")))</f>
        <v>#VALUE!</v>
      </c>
      <c r="AK81" s="10" t="e">
        <f>IF(getCategoryLevelAsString(#REF!)="L0D_324785","",IF(R81="",CONCATENATE(";",EscStr(CONCATENATE("NavNode_",getCategoryLevelAsString(#REF!))),";",EscStr($J81),";"),CONCATENATE(";",EscStr(CONCATENATE("NavNode_",getCategoryLevelAsString(#REF!))),";",EscStr(R81),";")))</f>
        <v>#VALUE!</v>
      </c>
      <c r="AL81" s="10" t="e">
        <f>IF(getCategoryLevelAsString(#REF!)="L0D_324785","",IF(S81="",CONCATENATE(";",EscStr(CONCATENATE("NavNode_",getCategoryLevelAsString(#REF!))),";",EscStr($J81),";"),CONCATENATE(";",EscStr(CONCATENATE("NavNode_",getCategoryLevelAsString(#REF!))),";",EscStr(S81),";")))</f>
        <v>#VALUE!</v>
      </c>
      <c r="AM81" s="10" t="e">
        <f>IF(getCategoryLevelAsString(#REF!)="L0D_324785","",IF(T81="",CONCATENATE(";",EscStr(CONCATENATE("NavNode_",getCategoryLevelAsString(#REF!))),";",EscStr($J81),";"),CONCATENATE(";",EscStr(CONCATENATE("NavNode_",getCategoryLevelAsString(#REF!))),";",EscStr(T81),";")))</f>
        <v>#VALUE!</v>
      </c>
      <c r="AN81" s="10" t="e">
        <f>IF(getCategoryLevelAsString(#REF!)="L0D_324785","",IF(U81="",CONCATENATE(";",EscStr(CONCATENATE("NavNode_",getCategoryLevelAsString(#REF!))),";",EscStr($J81),";"),CONCATENATE(";",EscStr(CONCATENATE("NavNode_",getCategoryLevelAsString(#REF!))),";",EscStr(U81),";")))</f>
        <v>#VALUE!</v>
      </c>
      <c r="AO81" s="10" t="e">
        <f>IF(getCategoryLevelAsString(#REF!)="L0D_324785","",IF(V81="",CONCATENATE(";",EscStr(CONCATENATE("NavNode_",getCategoryLevelAsString(#REF!))),";",EscStr($J81),";"),CONCATENATE(";",EscStr(CONCATENATE("NavNode_",getCategoryLevelAsString(#REF!))),";",EscStr(V81),";")))</f>
        <v>#VALUE!</v>
      </c>
      <c r="AP81" s="10" t="e">
        <f>IF(getCategoryLevelAsString(#REF!)="L0D_324785","",IF(W81="",CONCATENATE(";",EscStr(CONCATENATE("NavNode_",getCategoryLevelAsString(#REF!))),";",EscStr($J81),";"),CONCATENATE(";",EscStr(CONCATENATE("NavNode_",getCategoryLevelAsString(#REF!))),";",EscStr(W81),";")))</f>
        <v>#VALUE!</v>
      </c>
      <c r="AQ81" s="10" t="e">
        <f>IF(getCategoryLevelAsString(#REF!)="L0D_324785","",IF(X81="",CONCATENATE(";",EscStr(CONCATENATE("NavNode_",getCategoryLevelAsString(#REF!))),";",EscStr($J81),";"),CONCATENATE(";",EscStr(CONCATENATE("NavNode_",getCategoryLevelAsString(#REF!))),";",EscStr(X81),";")))</f>
        <v>#VALUE!</v>
      </c>
      <c r="AR81" s="8" t="e">
        <f>IF(OR($A81&lt;&gt;"", $G81=""),"",CONCATENATE(";",EscStr(CONCATENATE("NavEntry_",getCategoryLevelAsString(#REF!))),";",EscStr(CONCATENATE($J81," Navigation Entry")),";",EscStr(CONCATENATE("cat-",getCategoryLevelAsString(#REF!))),";",EscStr(CONCATENATE("NavNode_",getCategoryLevelAsString(#REF!))),";"))</f>
        <v>#VALUE!</v>
      </c>
    </row>
    <row r="82" spans="1:44" ht="15" hidden="1" x14ac:dyDescent="0.25">
      <c r="A82" s="25"/>
      <c r="B82" s="5"/>
      <c r="C82" s="5"/>
      <c r="D82" s="5" t="s">
        <v>6592</v>
      </c>
      <c r="E82" s="5"/>
      <c r="F82" s="5"/>
      <c r="G82" s="5" t="s">
        <v>6594</v>
      </c>
      <c r="H82" s="5"/>
      <c r="I82" s="5"/>
      <c r="J82" s="5" t="s">
        <v>6593</v>
      </c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8"/>
    </row>
    <row r="83" spans="1:44" ht="15" hidden="1" x14ac:dyDescent="0.25">
      <c r="A83" s="25"/>
      <c r="B83" s="5"/>
      <c r="C83" s="5"/>
      <c r="D83" s="5" t="s">
        <v>6659</v>
      </c>
      <c r="E83" s="5"/>
      <c r="F83" s="5"/>
      <c r="G83" s="5" t="s">
        <v>6661</v>
      </c>
      <c r="H83" s="5"/>
      <c r="I83" s="5"/>
      <c r="J83" s="5" t="s">
        <v>6660</v>
      </c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8"/>
    </row>
    <row r="84" spans="1:44" ht="15" hidden="1" x14ac:dyDescent="0.25">
      <c r="A84" s="25"/>
      <c r="B84" s="5"/>
      <c r="C84" s="5"/>
      <c r="D84" s="5" t="s">
        <v>6699</v>
      </c>
      <c r="E84" s="5"/>
      <c r="F84" s="5"/>
      <c r="G84" s="5" t="s">
        <v>6701</v>
      </c>
      <c r="H84" s="5"/>
      <c r="I84" s="5"/>
      <c r="J84" s="5" t="s">
        <v>6700</v>
      </c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8"/>
    </row>
    <row r="85" spans="1:44" ht="15" hidden="1" x14ac:dyDescent="0.25">
      <c r="A85" s="25"/>
      <c r="B85" s="5"/>
      <c r="C85" s="5"/>
      <c r="D85" s="5" t="s">
        <v>6710</v>
      </c>
      <c r="E85" s="5"/>
      <c r="F85" s="5"/>
      <c r="G85" s="5" t="s">
        <v>6712</v>
      </c>
      <c r="H85" s="5"/>
      <c r="I85" s="5"/>
      <c r="J85" s="5" t="s">
        <v>6711</v>
      </c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8"/>
    </row>
    <row r="86" spans="1:44" ht="15" hidden="1" x14ac:dyDescent="0.25">
      <c r="A86" s="25"/>
      <c r="B86" s="5"/>
      <c r="C86" s="5"/>
      <c r="D86" s="5" t="s">
        <v>6739</v>
      </c>
      <c r="E86" s="5"/>
      <c r="F86" s="5"/>
      <c r="G86" s="5" t="s">
        <v>6741</v>
      </c>
      <c r="H86" s="5"/>
      <c r="I86" s="5"/>
      <c r="J86" s="5" t="s">
        <v>6740</v>
      </c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8"/>
    </row>
    <row r="87" spans="1:44" ht="15" x14ac:dyDescent="0.25">
      <c r="A87" s="25"/>
      <c r="B87" s="5"/>
      <c r="C87" s="5" t="s">
        <v>745</v>
      </c>
      <c r="D87" s="5"/>
      <c r="E87" s="5"/>
      <c r="F87" s="5"/>
      <c r="G87" s="5" t="s">
        <v>986</v>
      </c>
      <c r="H87" s="5" t="s">
        <v>1089</v>
      </c>
      <c r="I87" s="5" t="s">
        <v>1148</v>
      </c>
      <c r="J87" s="5" t="s">
        <v>845</v>
      </c>
      <c r="K87" s="5" t="s">
        <v>1215</v>
      </c>
      <c r="L87" s="5" t="s">
        <v>1449</v>
      </c>
      <c r="M87" s="5" t="s">
        <v>1683</v>
      </c>
      <c r="N87" s="5" t="s">
        <v>1886</v>
      </c>
      <c r="O87" s="5" t="s">
        <v>2528</v>
      </c>
      <c r="P87" s="5" t="s">
        <v>2529</v>
      </c>
      <c r="Q87" s="5" t="s">
        <v>2530</v>
      </c>
      <c r="R87" s="5" t="s">
        <v>2531</v>
      </c>
      <c r="S87" s="5" t="s">
        <v>2532</v>
      </c>
      <c r="T87" s="5" t="s">
        <v>2533</v>
      </c>
      <c r="U87" s="5" t="s">
        <v>2534</v>
      </c>
      <c r="V87" s="5" t="s">
        <v>2535</v>
      </c>
      <c r="W87" s="5" t="s">
        <v>2536</v>
      </c>
      <c r="X87" s="5" t="s">
        <v>2534</v>
      </c>
      <c r="Y87" s="10" t="e">
        <f>IF(OR($A87&lt;&gt;"", $G87=""),"",CONCATENATE(";",EscStr(CONCATENATE("NavNode_",getCategoryLevelAsString(#REF!))),";",EscStr($J87),";",IF(#REF!&lt;&gt;"","""MainNavNode""",EscStr(CONCATENATE("NavNode_",getSuperCategory(#REF!, getCategoryLevelAsNumber(#REF!))))),";"))</f>
        <v>#VALUE!</v>
      </c>
      <c r="Z87" s="10" t="e">
        <f>IF(getCategoryLevelAsString(#REF!)="L0D_324785","",IF(G87="",CONCATENATE(";",EscStr(CONCATENATE("NavNode_",getCategoryLevelAsString(#REF!))),";",EscStr($J87),";"),CONCATENATE(";",EscStr(CONCATENATE("NavNode_",getCategoryLevelAsString(#REF!))),";",EscStr(G87),";")))</f>
        <v>#VALUE!</v>
      </c>
      <c r="AA87" s="10" t="e">
        <f>IF(getCategoryLevelAsString(#REF!)="L0D_324785","",IF(H87="",CONCATENATE(";",EscStr(CONCATENATE("NavNode_",getCategoryLevelAsString(#REF!))),";",EscStr($J87),";"),CONCATENATE(";",EscStr(CONCATENATE("NavNode_",getCategoryLevelAsString(#REF!))),";",EscStr(H87),";")))</f>
        <v>#VALUE!</v>
      </c>
      <c r="AB87" s="10" t="e">
        <f>IF(getCategoryLevelAsString(#REF!)="L0D_324785","",IF(I87="",CONCATENATE(";",EscStr(CONCATENATE("NavNode_",getCategoryLevelAsString(#REF!))),";",EscStr($J87),";"),CONCATENATE(";",EscStr(CONCATENATE("NavNode_",getCategoryLevelAsString(#REF!))),";",EscStr(I87),";")))</f>
        <v>#VALUE!</v>
      </c>
      <c r="AC87" s="10" t="e">
        <f>IF(getCategoryLevelAsString(#REF!)="L0D_324785","",IF(J87="",CONCATENATE(";",EscStr(CONCATENATE("NavNode_",getCategoryLevelAsString(#REF!))),";",EscStr($J87),";"),CONCATENATE(";",EscStr(CONCATENATE("NavNode_",getCategoryLevelAsString(#REF!))),";",EscStr(J87),";")))</f>
        <v>#VALUE!</v>
      </c>
      <c r="AD87" s="10" t="e">
        <f>IF(getCategoryLevelAsString(#REF!)="L0D_324785","",IF(K87="",CONCATENATE(";",EscStr(CONCATENATE("NavNode_",getCategoryLevelAsString(#REF!))),";",EscStr($J87),";"),CONCATENATE(";",EscStr(CONCATENATE("NavNode_",getCategoryLevelAsString(#REF!))),";",EscStr(K87),";")))</f>
        <v>#VALUE!</v>
      </c>
      <c r="AE87" s="10" t="e">
        <f>IF(getCategoryLevelAsString(#REF!)="L0D_324785","",IF(L87="",CONCATENATE(";",EscStr(CONCATENATE("NavNode_",getCategoryLevelAsString(#REF!))),";",EscStr($J87),";"),CONCATENATE(";",EscStr(CONCATENATE("NavNode_",getCategoryLevelAsString(#REF!))),";",EscStr(L87),";")))</f>
        <v>#VALUE!</v>
      </c>
      <c r="AF87" s="10" t="e">
        <f>IF(getCategoryLevelAsString(#REF!)="L0D_324785","",IF(M87="",CONCATENATE(";",EscStr(CONCATENATE("NavNode_",getCategoryLevelAsString(#REF!))),";",EscStr($J87),";"),CONCATENATE(";",EscStr(CONCATENATE("NavNode_",getCategoryLevelAsString(#REF!))),";",EscStr(M87),";")))</f>
        <v>#VALUE!</v>
      </c>
      <c r="AG87" s="10" t="e">
        <f>IF(getCategoryLevelAsString(#REF!)="L0D_324785","",IF(N87="",CONCATENATE(";",EscStr(CONCATENATE("NavNode_",getCategoryLevelAsString(#REF!))),";",EscStr($J87),";"),CONCATENATE(";",EscStr(CONCATENATE("NavNode_",getCategoryLevelAsString(#REF!))),";",EscStr(N87),";")))</f>
        <v>#VALUE!</v>
      </c>
      <c r="AH87" s="10" t="e">
        <f>IF(getCategoryLevelAsString(#REF!)="L0D_324785","",IF(O87="",CONCATENATE(";",EscStr(CONCATENATE("NavNode_",getCategoryLevelAsString(#REF!))),";",EscStr($J87),";"),CONCATENATE(";",EscStr(CONCATENATE("NavNode_",getCategoryLevelAsString(#REF!))),";",EscStr(O87),";")))</f>
        <v>#VALUE!</v>
      </c>
      <c r="AI87" s="10" t="e">
        <f>IF(getCategoryLevelAsString(#REF!)="L0D_324785","",IF(P87="",CONCATENATE(";",EscStr(CONCATENATE("NavNode_",getCategoryLevelAsString(#REF!))),";",EscStr($J87),";"),CONCATENATE(";",EscStr(CONCATENATE("NavNode_",getCategoryLevelAsString(#REF!))),";",EscStr(P87),";")))</f>
        <v>#VALUE!</v>
      </c>
      <c r="AJ87" s="10" t="e">
        <f>IF(getCategoryLevelAsString(#REF!)="L0D_324785","",IF(Q87="",CONCATENATE(";",EscStr(CONCATENATE("NavNode_",getCategoryLevelAsString(#REF!))),";",EscStr($J87),";"),CONCATENATE(";",EscStr(CONCATENATE("NavNode_",getCategoryLevelAsString(#REF!))),";",EscStr(Q87),";")))</f>
        <v>#VALUE!</v>
      </c>
      <c r="AK87" s="10" t="e">
        <f>IF(getCategoryLevelAsString(#REF!)="L0D_324785","",IF(R87="",CONCATENATE(";",EscStr(CONCATENATE("NavNode_",getCategoryLevelAsString(#REF!))),";",EscStr($J87),";"),CONCATENATE(";",EscStr(CONCATENATE("NavNode_",getCategoryLevelAsString(#REF!))),";",EscStr(R87),";")))</f>
        <v>#VALUE!</v>
      </c>
      <c r="AL87" s="10" t="e">
        <f>IF(getCategoryLevelAsString(#REF!)="L0D_324785","",IF(S87="",CONCATENATE(";",EscStr(CONCATENATE("NavNode_",getCategoryLevelAsString(#REF!))),";",EscStr($J87),";"),CONCATENATE(";",EscStr(CONCATENATE("NavNode_",getCategoryLevelAsString(#REF!))),";",EscStr(S87),";")))</f>
        <v>#VALUE!</v>
      </c>
      <c r="AM87" s="10" t="e">
        <f>IF(getCategoryLevelAsString(#REF!)="L0D_324785","",IF(T87="",CONCATENATE(";",EscStr(CONCATENATE("NavNode_",getCategoryLevelAsString(#REF!))),";",EscStr($J87),";"),CONCATENATE(";",EscStr(CONCATENATE("NavNode_",getCategoryLevelAsString(#REF!))),";",EscStr(T87),";")))</f>
        <v>#VALUE!</v>
      </c>
      <c r="AN87" s="10" t="e">
        <f>IF(getCategoryLevelAsString(#REF!)="L0D_324785","",IF(U87="",CONCATENATE(";",EscStr(CONCATENATE("NavNode_",getCategoryLevelAsString(#REF!))),";",EscStr($J87),";"),CONCATENATE(";",EscStr(CONCATENATE("NavNode_",getCategoryLevelAsString(#REF!))),";",EscStr(U87),";")))</f>
        <v>#VALUE!</v>
      </c>
      <c r="AO87" s="10" t="e">
        <f>IF(getCategoryLevelAsString(#REF!)="L0D_324785","",IF(V87="",CONCATENATE(";",EscStr(CONCATENATE("NavNode_",getCategoryLevelAsString(#REF!))),";",EscStr($J87),";"),CONCATENATE(";",EscStr(CONCATENATE("NavNode_",getCategoryLevelAsString(#REF!))),";",EscStr(V87),";")))</f>
        <v>#VALUE!</v>
      </c>
      <c r="AP87" s="10" t="e">
        <f>IF(getCategoryLevelAsString(#REF!)="L0D_324785","",IF(W87="",CONCATENATE(";",EscStr(CONCATENATE("NavNode_",getCategoryLevelAsString(#REF!))),";",EscStr($J87),";"),CONCATENATE(";",EscStr(CONCATENATE("NavNode_",getCategoryLevelAsString(#REF!))),";",EscStr(W87),";")))</f>
        <v>#VALUE!</v>
      </c>
      <c r="AQ87" s="10" t="e">
        <f>IF(getCategoryLevelAsString(#REF!)="L0D_324785","",IF(X87="",CONCATENATE(";",EscStr(CONCATENATE("NavNode_",getCategoryLevelAsString(#REF!))),";",EscStr($J87),";"),CONCATENATE(";",EscStr(CONCATENATE("NavNode_",getCategoryLevelAsString(#REF!))),";",EscStr(X87),";")))</f>
        <v>#VALUE!</v>
      </c>
      <c r="AR87" s="8" t="e">
        <f>IF(OR($A87&lt;&gt;"", $G87=""),"",CONCATENATE(";",EscStr(CONCATENATE("NavEntry_",getCategoryLevelAsString(#REF!))),";",EscStr(CONCATENATE($J87," Navigation Entry")),";",EscStr(CONCATENATE("cat-",getCategoryLevelAsString(#REF!))),";",EscStr(CONCATENATE("NavNode_",getCategoryLevelAsString(#REF!))),";"))</f>
        <v>#VALUE!</v>
      </c>
    </row>
    <row r="88" spans="1:44" ht="15" hidden="1" x14ac:dyDescent="0.25">
      <c r="A88" s="25"/>
      <c r="B88" s="5"/>
      <c r="C88" s="5"/>
      <c r="D88" s="5" t="s">
        <v>6782</v>
      </c>
      <c r="E88" s="5"/>
      <c r="F88" s="5"/>
      <c r="G88" s="5" t="s">
        <v>6784</v>
      </c>
      <c r="H88" s="5"/>
      <c r="I88" s="5"/>
      <c r="J88" s="5" t="s">
        <v>6783</v>
      </c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8"/>
    </row>
    <row r="89" spans="1:44" ht="15" hidden="1" x14ac:dyDescent="0.25">
      <c r="A89" s="25"/>
      <c r="B89" s="5"/>
      <c r="C89" s="5"/>
      <c r="D89" s="5" t="s">
        <v>6837</v>
      </c>
      <c r="E89" s="5"/>
      <c r="F89" s="5"/>
      <c r="G89" s="5" t="s">
        <v>6839</v>
      </c>
      <c r="H89" s="5"/>
      <c r="I89" s="5"/>
      <c r="J89" s="5" t="s">
        <v>6838</v>
      </c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8"/>
    </row>
    <row r="90" spans="1:44" ht="15" hidden="1" x14ac:dyDescent="0.25">
      <c r="A90" s="25"/>
      <c r="B90" s="5"/>
      <c r="C90" s="5"/>
      <c r="D90" s="5" t="s">
        <v>6879</v>
      </c>
      <c r="E90" s="5"/>
      <c r="F90" s="5"/>
      <c r="G90" s="5" t="s">
        <v>6881</v>
      </c>
      <c r="H90" s="5"/>
      <c r="I90" s="5"/>
      <c r="J90" s="5" t="s">
        <v>6880</v>
      </c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8"/>
    </row>
    <row r="91" spans="1:44" ht="15" hidden="1" x14ac:dyDescent="0.25">
      <c r="A91" s="25"/>
      <c r="B91" s="5"/>
      <c r="C91" s="5"/>
      <c r="D91" s="5" t="s">
        <v>6921</v>
      </c>
      <c r="E91" s="5"/>
      <c r="F91" s="5"/>
      <c r="G91" s="5" t="s">
        <v>6923</v>
      </c>
      <c r="H91" s="5"/>
      <c r="I91" s="5"/>
      <c r="J91" s="5" t="s">
        <v>6922</v>
      </c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8"/>
    </row>
    <row r="92" spans="1:44" ht="15" hidden="1" x14ac:dyDescent="0.25">
      <c r="A92" s="25"/>
      <c r="B92" s="5"/>
      <c r="C92" s="5"/>
      <c r="D92" s="5" t="s">
        <v>6935</v>
      </c>
      <c r="E92" s="5"/>
      <c r="F92" s="5"/>
      <c r="G92" s="5" t="s">
        <v>6937</v>
      </c>
      <c r="H92" s="5"/>
      <c r="I92" s="5"/>
      <c r="J92" s="5" t="s">
        <v>6936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8"/>
    </row>
    <row r="93" spans="1:44" ht="15" hidden="1" x14ac:dyDescent="0.25">
      <c r="A93" s="25"/>
      <c r="B93" s="5"/>
      <c r="C93" s="5"/>
      <c r="D93" s="5" t="s">
        <v>6953</v>
      </c>
      <c r="E93" s="5"/>
      <c r="F93" s="5"/>
      <c r="G93" s="5" t="s">
        <v>6955</v>
      </c>
      <c r="H93" s="5"/>
      <c r="I93" s="5"/>
      <c r="J93" s="5" t="s">
        <v>6954</v>
      </c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8"/>
    </row>
    <row r="94" spans="1:44" ht="15" hidden="1" x14ac:dyDescent="0.25">
      <c r="A94" s="25"/>
      <c r="B94" s="5"/>
      <c r="C94" s="5"/>
      <c r="D94" s="5" t="s">
        <v>6972</v>
      </c>
      <c r="E94" s="5"/>
      <c r="F94" s="5"/>
      <c r="G94" s="5" t="s">
        <v>6974</v>
      </c>
      <c r="H94" s="5"/>
      <c r="I94" s="5"/>
      <c r="J94" s="5" t="s">
        <v>6973</v>
      </c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8"/>
    </row>
    <row r="95" spans="1:44" ht="15" x14ac:dyDescent="0.25">
      <c r="A95" s="25"/>
      <c r="B95" s="5"/>
      <c r="C95" s="5" t="s">
        <v>969</v>
      </c>
      <c r="D95" s="5"/>
      <c r="E95" s="5"/>
      <c r="F95" s="5"/>
      <c r="G95" s="5" t="s">
        <v>987</v>
      </c>
      <c r="H95" s="5" t="s">
        <v>1090</v>
      </c>
      <c r="I95" s="5" t="s">
        <v>1149</v>
      </c>
      <c r="J95" s="5" t="s">
        <v>1182</v>
      </c>
      <c r="K95" s="5" t="s">
        <v>1216</v>
      </c>
      <c r="L95" s="5" t="s">
        <v>1450</v>
      </c>
      <c r="M95" s="5" t="s">
        <v>1216</v>
      </c>
      <c r="N95" s="5" t="s">
        <v>1216</v>
      </c>
      <c r="O95" s="5" t="s">
        <v>2537</v>
      </c>
      <c r="P95" s="5" t="s">
        <v>2538</v>
      </c>
      <c r="Q95" s="5" t="s">
        <v>2539</v>
      </c>
      <c r="R95" s="5" t="s">
        <v>1090</v>
      </c>
      <c r="S95" s="5" t="s">
        <v>2540</v>
      </c>
      <c r="T95" s="5" t="s">
        <v>2541</v>
      </c>
      <c r="U95" s="5" t="s">
        <v>2542</v>
      </c>
      <c r="V95" s="5" t="s">
        <v>2543</v>
      </c>
      <c r="W95" s="5" t="s">
        <v>2544</v>
      </c>
      <c r="X95" s="5" t="s">
        <v>2542</v>
      </c>
      <c r="Y95" s="10" t="e">
        <f>IF(OR($A95&lt;&gt;"", $G95=""),"",CONCATENATE(";",EscStr(CONCATENATE("NavNode_",getCategoryLevelAsString(#REF!))),";",EscStr($J95),";",IF(#REF!&lt;&gt;"","""MainNavNode""",EscStr(CONCATENATE("NavNode_",getSuperCategory(#REF!, getCategoryLevelAsNumber(#REF!))))),";"))</f>
        <v>#VALUE!</v>
      </c>
      <c r="Z95" s="10" t="e">
        <f>IF(getCategoryLevelAsString(#REF!)="L0D_324785","",IF(G95="",CONCATENATE(";",EscStr(CONCATENATE("NavNode_",getCategoryLevelAsString(#REF!))),";",EscStr($J95),";"),CONCATENATE(";",EscStr(CONCATENATE("NavNode_",getCategoryLevelAsString(#REF!))),";",EscStr(G95),";")))</f>
        <v>#VALUE!</v>
      </c>
      <c r="AA95" s="10" t="e">
        <f>IF(getCategoryLevelAsString(#REF!)="L0D_324785","",IF(H95="",CONCATENATE(";",EscStr(CONCATENATE("NavNode_",getCategoryLevelAsString(#REF!))),";",EscStr($J95),";"),CONCATENATE(";",EscStr(CONCATENATE("NavNode_",getCategoryLevelAsString(#REF!))),";",EscStr(H95),";")))</f>
        <v>#VALUE!</v>
      </c>
      <c r="AB95" s="10" t="e">
        <f>IF(getCategoryLevelAsString(#REF!)="L0D_324785","",IF(I95="",CONCATENATE(";",EscStr(CONCATENATE("NavNode_",getCategoryLevelAsString(#REF!))),";",EscStr($J95),";"),CONCATENATE(";",EscStr(CONCATENATE("NavNode_",getCategoryLevelAsString(#REF!))),";",EscStr(I95),";")))</f>
        <v>#VALUE!</v>
      </c>
      <c r="AC95" s="10" t="e">
        <f>IF(getCategoryLevelAsString(#REF!)="L0D_324785","",IF(J95="",CONCATENATE(";",EscStr(CONCATENATE("NavNode_",getCategoryLevelAsString(#REF!))),";",EscStr($J95),";"),CONCATENATE(";",EscStr(CONCATENATE("NavNode_",getCategoryLevelAsString(#REF!))),";",EscStr(J95),";")))</f>
        <v>#VALUE!</v>
      </c>
      <c r="AD95" s="10" t="e">
        <f>IF(getCategoryLevelAsString(#REF!)="L0D_324785","",IF(K95="",CONCATENATE(";",EscStr(CONCATENATE("NavNode_",getCategoryLevelAsString(#REF!))),";",EscStr($J95),";"),CONCATENATE(";",EscStr(CONCATENATE("NavNode_",getCategoryLevelAsString(#REF!))),";",EscStr(K95),";")))</f>
        <v>#VALUE!</v>
      </c>
      <c r="AE95" s="10" t="e">
        <f>IF(getCategoryLevelAsString(#REF!)="L0D_324785","",IF(L95="",CONCATENATE(";",EscStr(CONCATENATE("NavNode_",getCategoryLevelAsString(#REF!))),";",EscStr($J95),";"),CONCATENATE(";",EscStr(CONCATENATE("NavNode_",getCategoryLevelAsString(#REF!))),";",EscStr(L95),";")))</f>
        <v>#VALUE!</v>
      </c>
      <c r="AF95" s="10" t="e">
        <f>IF(getCategoryLevelAsString(#REF!)="L0D_324785","",IF(M95="",CONCATENATE(";",EscStr(CONCATENATE("NavNode_",getCategoryLevelAsString(#REF!))),";",EscStr($J95),";"),CONCATENATE(";",EscStr(CONCATENATE("NavNode_",getCategoryLevelAsString(#REF!))),";",EscStr(M95),";")))</f>
        <v>#VALUE!</v>
      </c>
      <c r="AG95" s="10" t="e">
        <f>IF(getCategoryLevelAsString(#REF!)="L0D_324785","",IF(N95="",CONCATENATE(";",EscStr(CONCATENATE("NavNode_",getCategoryLevelAsString(#REF!))),";",EscStr($J95),";"),CONCATENATE(";",EscStr(CONCATENATE("NavNode_",getCategoryLevelAsString(#REF!))),";",EscStr(N95),";")))</f>
        <v>#VALUE!</v>
      </c>
      <c r="AH95" s="10" t="e">
        <f>IF(getCategoryLevelAsString(#REF!)="L0D_324785","",IF(O95="",CONCATENATE(";",EscStr(CONCATENATE("NavNode_",getCategoryLevelAsString(#REF!))),";",EscStr($J95),";"),CONCATENATE(";",EscStr(CONCATENATE("NavNode_",getCategoryLevelAsString(#REF!))),";",EscStr(O95),";")))</f>
        <v>#VALUE!</v>
      </c>
      <c r="AI95" s="10" t="e">
        <f>IF(getCategoryLevelAsString(#REF!)="L0D_324785","",IF(P95="",CONCATENATE(";",EscStr(CONCATENATE("NavNode_",getCategoryLevelAsString(#REF!))),";",EscStr($J95),";"),CONCATENATE(";",EscStr(CONCATENATE("NavNode_",getCategoryLevelAsString(#REF!))),";",EscStr(P95),";")))</f>
        <v>#VALUE!</v>
      </c>
      <c r="AJ95" s="10" t="e">
        <f>IF(getCategoryLevelAsString(#REF!)="L0D_324785","",IF(Q95="",CONCATENATE(";",EscStr(CONCATENATE("NavNode_",getCategoryLevelAsString(#REF!))),";",EscStr($J95),";"),CONCATENATE(";",EscStr(CONCATENATE("NavNode_",getCategoryLevelAsString(#REF!))),";",EscStr(Q95),";")))</f>
        <v>#VALUE!</v>
      </c>
      <c r="AK95" s="10" t="e">
        <f>IF(getCategoryLevelAsString(#REF!)="L0D_324785","",IF(R95="",CONCATENATE(";",EscStr(CONCATENATE("NavNode_",getCategoryLevelAsString(#REF!))),";",EscStr($J95),";"),CONCATENATE(";",EscStr(CONCATENATE("NavNode_",getCategoryLevelAsString(#REF!))),";",EscStr(R95),";")))</f>
        <v>#VALUE!</v>
      </c>
      <c r="AL95" s="10" t="e">
        <f>IF(getCategoryLevelAsString(#REF!)="L0D_324785","",IF(S95="",CONCATENATE(";",EscStr(CONCATENATE("NavNode_",getCategoryLevelAsString(#REF!))),";",EscStr($J95),";"),CONCATENATE(";",EscStr(CONCATENATE("NavNode_",getCategoryLevelAsString(#REF!))),";",EscStr(S95),";")))</f>
        <v>#VALUE!</v>
      </c>
      <c r="AM95" s="10" t="e">
        <f>IF(getCategoryLevelAsString(#REF!)="L0D_324785","",IF(T95="",CONCATENATE(";",EscStr(CONCATENATE("NavNode_",getCategoryLevelAsString(#REF!))),";",EscStr($J95),";"),CONCATENATE(";",EscStr(CONCATENATE("NavNode_",getCategoryLevelAsString(#REF!))),";",EscStr(T95),";")))</f>
        <v>#VALUE!</v>
      </c>
      <c r="AN95" s="10" t="e">
        <f>IF(getCategoryLevelAsString(#REF!)="L0D_324785","",IF(U95="",CONCATENATE(";",EscStr(CONCATENATE("NavNode_",getCategoryLevelAsString(#REF!))),";",EscStr($J95),";"),CONCATENATE(";",EscStr(CONCATENATE("NavNode_",getCategoryLevelAsString(#REF!))),";",EscStr(U95),";")))</f>
        <v>#VALUE!</v>
      </c>
      <c r="AO95" s="10" t="e">
        <f>IF(getCategoryLevelAsString(#REF!)="L0D_324785","",IF(V95="",CONCATENATE(";",EscStr(CONCATENATE("NavNode_",getCategoryLevelAsString(#REF!))),";",EscStr($J95),";"),CONCATENATE(";",EscStr(CONCATENATE("NavNode_",getCategoryLevelAsString(#REF!))),";",EscStr(V95),";")))</f>
        <v>#VALUE!</v>
      </c>
      <c r="AP95" s="10" t="e">
        <f>IF(getCategoryLevelAsString(#REF!)="L0D_324785","",IF(W95="",CONCATENATE(";",EscStr(CONCATENATE("NavNode_",getCategoryLevelAsString(#REF!))),";",EscStr($J95),";"),CONCATENATE(";",EscStr(CONCATENATE("NavNode_",getCategoryLevelAsString(#REF!))),";",EscStr(W95),";")))</f>
        <v>#VALUE!</v>
      </c>
      <c r="AQ95" s="10" t="e">
        <f>IF(getCategoryLevelAsString(#REF!)="L0D_324785","",IF(X95="",CONCATENATE(";",EscStr(CONCATENATE("NavNode_",getCategoryLevelAsString(#REF!))),";",EscStr($J95),";"),CONCATENATE(";",EscStr(CONCATENATE("NavNode_",getCategoryLevelAsString(#REF!))),";",EscStr(X95),";")))</f>
        <v>#VALUE!</v>
      </c>
      <c r="AR95" s="8" t="e">
        <f>IF(OR($A95&lt;&gt;"", $G95=""),"",CONCATENATE(";",EscStr(CONCATENATE("NavEntry_",getCategoryLevelAsString(#REF!))),";",EscStr(CONCATENATE($J95," Navigation Entry")),";",EscStr(CONCATENATE("cat-",getCategoryLevelAsString(#REF!))),";",EscStr(CONCATENATE("NavNode_",getCategoryLevelAsString(#REF!))),";"))</f>
        <v>#VALUE!</v>
      </c>
    </row>
    <row r="96" spans="1:44" s="17" customFormat="1" ht="14.25" x14ac:dyDescent="0.2">
      <c r="A96" s="24">
        <v>3</v>
      </c>
      <c r="B96" s="13" t="s">
        <v>7008</v>
      </c>
      <c r="C96" s="14"/>
      <c r="E96" s="13"/>
      <c r="F96" s="13"/>
      <c r="G96" s="13" t="s">
        <v>360</v>
      </c>
      <c r="H96" s="13" t="s">
        <v>361</v>
      </c>
      <c r="I96" s="13" t="s">
        <v>362</v>
      </c>
      <c r="J96" s="13" t="s">
        <v>7008</v>
      </c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6"/>
    </row>
    <row r="97" spans="1:44" ht="15" x14ac:dyDescent="0.25">
      <c r="A97" s="25"/>
      <c r="B97" s="5"/>
      <c r="C97" s="5" t="s">
        <v>22</v>
      </c>
      <c r="D97" s="5"/>
      <c r="E97" s="5"/>
      <c r="F97" s="5"/>
      <c r="G97" s="5" t="s">
        <v>397</v>
      </c>
      <c r="H97" s="5" t="s">
        <v>398</v>
      </c>
      <c r="I97" s="5" t="s">
        <v>399</v>
      </c>
      <c r="J97" s="5" t="s">
        <v>5</v>
      </c>
      <c r="K97" s="5" t="s">
        <v>1220</v>
      </c>
      <c r="L97" s="5" t="s">
        <v>1453</v>
      </c>
      <c r="M97" s="5" t="s">
        <v>1686</v>
      </c>
      <c r="N97" s="5" t="s">
        <v>1889</v>
      </c>
      <c r="O97" s="5" t="s">
        <v>2566</v>
      </c>
      <c r="P97" s="5" t="s">
        <v>2567</v>
      </c>
      <c r="Q97" s="5" t="s">
        <v>2568</v>
      </c>
      <c r="R97" s="5" t="s">
        <v>2569</v>
      </c>
      <c r="S97" s="5" t="s">
        <v>2570</v>
      </c>
      <c r="T97" s="5" t="s">
        <v>2571</v>
      </c>
      <c r="U97" s="5" t="s">
        <v>2572</v>
      </c>
      <c r="V97" s="5" t="s">
        <v>2573</v>
      </c>
      <c r="W97" s="5" t="s">
        <v>2574</v>
      </c>
      <c r="X97" s="5" t="s">
        <v>2572</v>
      </c>
      <c r="Y97" s="10" t="e">
        <f>IF(OR($A97&lt;&gt;"", $G97=""),"",CONCATENATE(";",EscStr(CONCATENATE("NavNode_",getCategoryLevelAsString(#REF!))),";",EscStr($J97),";",IF(#REF!&lt;&gt;"","""MainNavNode""",EscStr(CONCATENATE("NavNode_",getSuperCategory(#REF!, getCategoryLevelAsNumber(#REF!))))),";"))</f>
        <v>#VALUE!</v>
      </c>
      <c r="Z97" s="10" t="e">
        <f>IF(getCategoryLevelAsString(#REF!)="L0D_324785","",IF(G97="",CONCATENATE(";",EscStr(CONCATENATE("NavNode_",getCategoryLevelAsString(#REF!))),";",EscStr($J97),";"),CONCATENATE(";",EscStr(CONCATENATE("NavNode_",getCategoryLevelAsString(#REF!))),";",EscStr(G97),";")))</f>
        <v>#VALUE!</v>
      </c>
      <c r="AA97" s="10" t="e">
        <f>IF(getCategoryLevelAsString(#REF!)="L0D_324785","",IF(H97="",CONCATENATE(";",EscStr(CONCATENATE("NavNode_",getCategoryLevelAsString(#REF!))),";",EscStr($J97),";"),CONCATENATE(";",EscStr(CONCATENATE("NavNode_",getCategoryLevelAsString(#REF!))),";",EscStr(H97),";")))</f>
        <v>#VALUE!</v>
      </c>
      <c r="AB97" s="10" t="e">
        <f>IF(getCategoryLevelAsString(#REF!)="L0D_324785","",IF(I97="",CONCATENATE(";",EscStr(CONCATENATE("NavNode_",getCategoryLevelAsString(#REF!))),";",EscStr($J97),";"),CONCATENATE(";",EscStr(CONCATENATE("NavNode_",getCategoryLevelAsString(#REF!))),";",EscStr(I97),";")))</f>
        <v>#VALUE!</v>
      </c>
      <c r="AC97" s="10" t="e">
        <f>IF(getCategoryLevelAsString(#REF!)="L0D_324785","",IF(J97="",CONCATENATE(";",EscStr(CONCATENATE("NavNode_",getCategoryLevelAsString(#REF!))),";",EscStr($J97),";"),CONCATENATE(";",EscStr(CONCATENATE("NavNode_",getCategoryLevelAsString(#REF!))),";",EscStr(J97),";")))</f>
        <v>#VALUE!</v>
      </c>
      <c r="AD97" s="10" t="e">
        <f>IF(getCategoryLevelAsString(#REF!)="L0D_324785","",IF(K97="",CONCATENATE(";",EscStr(CONCATENATE("NavNode_",getCategoryLevelAsString(#REF!))),";",EscStr($J97),";"),CONCATENATE(";",EscStr(CONCATENATE("NavNode_",getCategoryLevelAsString(#REF!))),";",EscStr(K97),";")))</f>
        <v>#VALUE!</v>
      </c>
      <c r="AE97" s="10" t="e">
        <f>IF(getCategoryLevelAsString(#REF!)="L0D_324785","",IF(L97="",CONCATENATE(";",EscStr(CONCATENATE("NavNode_",getCategoryLevelAsString(#REF!))),";",EscStr($J97),";"),CONCATENATE(";",EscStr(CONCATENATE("NavNode_",getCategoryLevelAsString(#REF!))),";",EscStr(L97),";")))</f>
        <v>#VALUE!</v>
      </c>
      <c r="AF97" s="10" t="e">
        <f>IF(getCategoryLevelAsString(#REF!)="L0D_324785","",IF(M97="",CONCATENATE(";",EscStr(CONCATENATE("NavNode_",getCategoryLevelAsString(#REF!))),";",EscStr($J97),";"),CONCATENATE(";",EscStr(CONCATENATE("NavNode_",getCategoryLevelAsString(#REF!))),";",EscStr(M97),";")))</f>
        <v>#VALUE!</v>
      </c>
      <c r="AG97" s="10" t="e">
        <f>IF(getCategoryLevelAsString(#REF!)="L0D_324785","",IF(N97="",CONCATENATE(";",EscStr(CONCATENATE("NavNode_",getCategoryLevelAsString(#REF!))),";",EscStr($J97),";"),CONCATENATE(";",EscStr(CONCATENATE("NavNode_",getCategoryLevelAsString(#REF!))),";",EscStr(N97),";")))</f>
        <v>#VALUE!</v>
      </c>
      <c r="AH97" s="10" t="e">
        <f>IF(getCategoryLevelAsString(#REF!)="L0D_324785","",IF(O97="",CONCATENATE(";",EscStr(CONCATENATE("NavNode_",getCategoryLevelAsString(#REF!))),";",EscStr($J97),";"),CONCATENATE(";",EscStr(CONCATENATE("NavNode_",getCategoryLevelAsString(#REF!))),";",EscStr(O97),";")))</f>
        <v>#VALUE!</v>
      </c>
      <c r="AI97" s="10" t="e">
        <f>IF(getCategoryLevelAsString(#REF!)="L0D_324785","",IF(P97="",CONCATENATE(";",EscStr(CONCATENATE("NavNode_",getCategoryLevelAsString(#REF!))),";",EscStr($J97),";"),CONCATENATE(";",EscStr(CONCATENATE("NavNode_",getCategoryLevelAsString(#REF!))),";",EscStr(P97),";")))</f>
        <v>#VALUE!</v>
      </c>
      <c r="AJ97" s="10" t="e">
        <f>IF(getCategoryLevelAsString(#REF!)="L0D_324785","",IF(Q97="",CONCATENATE(";",EscStr(CONCATENATE("NavNode_",getCategoryLevelAsString(#REF!))),";",EscStr($J97),";"),CONCATENATE(";",EscStr(CONCATENATE("NavNode_",getCategoryLevelAsString(#REF!))),";",EscStr(Q97),";")))</f>
        <v>#VALUE!</v>
      </c>
      <c r="AK97" s="10" t="e">
        <f>IF(getCategoryLevelAsString(#REF!)="L0D_324785","",IF(R97="",CONCATENATE(";",EscStr(CONCATENATE("NavNode_",getCategoryLevelAsString(#REF!))),";",EscStr($J97),";"),CONCATENATE(";",EscStr(CONCATENATE("NavNode_",getCategoryLevelAsString(#REF!))),";",EscStr(R97),";")))</f>
        <v>#VALUE!</v>
      </c>
      <c r="AL97" s="10" t="e">
        <f>IF(getCategoryLevelAsString(#REF!)="L0D_324785","",IF(S97="",CONCATENATE(";",EscStr(CONCATENATE("NavNode_",getCategoryLevelAsString(#REF!))),";",EscStr($J97),";"),CONCATENATE(";",EscStr(CONCATENATE("NavNode_",getCategoryLevelAsString(#REF!))),";",EscStr(S97),";")))</f>
        <v>#VALUE!</v>
      </c>
      <c r="AM97" s="10" t="e">
        <f>IF(getCategoryLevelAsString(#REF!)="L0D_324785","",IF(T97="",CONCATENATE(";",EscStr(CONCATENATE("NavNode_",getCategoryLevelAsString(#REF!))),";",EscStr($J97),";"),CONCATENATE(";",EscStr(CONCATENATE("NavNode_",getCategoryLevelAsString(#REF!))),";",EscStr(T97),";")))</f>
        <v>#VALUE!</v>
      </c>
      <c r="AN97" s="10" t="e">
        <f>IF(getCategoryLevelAsString(#REF!)="L0D_324785","",IF(U97="",CONCATENATE(";",EscStr(CONCATENATE("NavNode_",getCategoryLevelAsString(#REF!))),";",EscStr($J97),";"),CONCATENATE(";",EscStr(CONCATENATE("NavNode_",getCategoryLevelAsString(#REF!))),";",EscStr(U97),";")))</f>
        <v>#VALUE!</v>
      </c>
      <c r="AO97" s="10" t="e">
        <f>IF(getCategoryLevelAsString(#REF!)="L0D_324785","",IF(V97="",CONCATENATE(";",EscStr(CONCATENATE("NavNode_",getCategoryLevelAsString(#REF!))),";",EscStr($J97),";"),CONCATENATE(";",EscStr(CONCATENATE("NavNode_",getCategoryLevelAsString(#REF!))),";",EscStr(V97),";")))</f>
        <v>#VALUE!</v>
      </c>
      <c r="AP97" s="10" t="e">
        <f>IF(getCategoryLevelAsString(#REF!)="L0D_324785","",IF(W97="",CONCATENATE(";",EscStr(CONCATENATE("NavNode_",getCategoryLevelAsString(#REF!))),";",EscStr($J97),";"),CONCATENATE(";",EscStr(CONCATENATE("NavNode_",getCategoryLevelAsString(#REF!))),";",EscStr(W97),";")))</f>
        <v>#VALUE!</v>
      </c>
      <c r="AQ97" s="10" t="e">
        <f>IF(getCategoryLevelAsString(#REF!)="L0D_324785","",IF(X97="",CONCATENATE(";",EscStr(CONCATENATE("NavNode_",getCategoryLevelAsString(#REF!))),";",EscStr($J97),";"),CONCATENATE(";",EscStr(CONCATENATE("NavNode_",getCategoryLevelAsString(#REF!))),";",EscStr(X97),";")))</f>
        <v>#VALUE!</v>
      </c>
      <c r="AR97" s="8" t="e">
        <f>IF(OR($A97&lt;&gt;"", $G97=""),"",CONCATENATE(";",EscStr(CONCATENATE("NavEntry_",getCategoryLevelAsString(#REF!))),";",EscStr(CONCATENATE($J97," Navigation Entry")),";",EscStr(CONCATENATE("cat-",getCategoryLevelAsString(#REF!))),";",EscStr(CONCATENATE("NavNode_",getCategoryLevelAsString(#REF!))),";"))</f>
        <v>#VALUE!</v>
      </c>
    </row>
    <row r="98" spans="1:44" ht="15" x14ac:dyDescent="0.25">
      <c r="A98" s="25"/>
      <c r="B98" s="5"/>
      <c r="C98" s="5"/>
      <c r="D98" s="5" t="s">
        <v>155</v>
      </c>
      <c r="E98" s="5"/>
      <c r="F98" s="5"/>
      <c r="G98" s="5" t="s">
        <v>406</v>
      </c>
      <c r="H98" s="5" t="s">
        <v>407</v>
      </c>
      <c r="I98" s="5" t="s">
        <v>408</v>
      </c>
      <c r="J98" s="5" t="s">
        <v>156</v>
      </c>
      <c r="K98" s="5" t="s">
        <v>1221</v>
      </c>
      <c r="L98" s="5" t="s">
        <v>1454</v>
      </c>
      <c r="M98" s="5" t="s">
        <v>1687</v>
      </c>
      <c r="N98" s="5" t="s">
        <v>1890</v>
      </c>
      <c r="O98" s="5" t="s">
        <v>2575</v>
      </c>
      <c r="P98" s="5" t="s">
        <v>2576</v>
      </c>
      <c r="Q98" s="5" t="s">
        <v>2577</v>
      </c>
      <c r="R98" s="5" t="s">
        <v>2578</v>
      </c>
      <c r="S98" s="5" t="s">
        <v>2579</v>
      </c>
      <c r="T98" s="5" t="s">
        <v>2580</v>
      </c>
      <c r="U98" s="5" t="s">
        <v>2581</v>
      </c>
      <c r="V98" s="5" t="s">
        <v>2582</v>
      </c>
      <c r="W98" s="5" t="s">
        <v>2583</v>
      </c>
      <c r="X98" s="5" t="s">
        <v>2581</v>
      </c>
      <c r="Y98" s="10" t="e">
        <f>IF(OR($A98&lt;&gt;"", $G98=""),"",CONCATENATE(";",EscStr(CONCATENATE("NavNode_",getCategoryLevelAsString(#REF!))),";",EscStr($J98),";",IF(#REF!&lt;&gt;"","""MainNavNode""",EscStr(CONCATENATE("NavNode_",getSuperCategory(#REF!, getCategoryLevelAsNumber(#REF!))))),";"))</f>
        <v>#VALUE!</v>
      </c>
      <c r="Z98" s="10" t="e">
        <f>IF(getCategoryLevelAsString(#REF!)="L0D_324785","",IF(G98="",CONCATENATE(";",EscStr(CONCATENATE("NavNode_",getCategoryLevelAsString(#REF!))),";",EscStr($J98),";"),CONCATENATE(";",EscStr(CONCATENATE("NavNode_",getCategoryLevelAsString(#REF!))),";",EscStr(G98),";")))</f>
        <v>#VALUE!</v>
      </c>
      <c r="AA98" s="10" t="e">
        <f>IF(getCategoryLevelAsString(#REF!)="L0D_324785","",IF(H98="",CONCATENATE(";",EscStr(CONCATENATE("NavNode_",getCategoryLevelAsString(#REF!))),";",EscStr($J98),";"),CONCATENATE(";",EscStr(CONCATENATE("NavNode_",getCategoryLevelAsString(#REF!))),";",EscStr(H98),";")))</f>
        <v>#VALUE!</v>
      </c>
      <c r="AB98" s="10" t="e">
        <f>IF(getCategoryLevelAsString(#REF!)="L0D_324785","",IF(I98="",CONCATENATE(";",EscStr(CONCATENATE("NavNode_",getCategoryLevelAsString(#REF!))),";",EscStr($J98),";"),CONCATENATE(";",EscStr(CONCATENATE("NavNode_",getCategoryLevelAsString(#REF!))),";",EscStr(I98),";")))</f>
        <v>#VALUE!</v>
      </c>
      <c r="AC98" s="10" t="e">
        <f>IF(getCategoryLevelAsString(#REF!)="L0D_324785","",IF(J98="",CONCATENATE(";",EscStr(CONCATENATE("NavNode_",getCategoryLevelAsString(#REF!))),";",EscStr($J98),";"),CONCATENATE(";",EscStr(CONCATENATE("NavNode_",getCategoryLevelAsString(#REF!))),";",EscStr(J98),";")))</f>
        <v>#VALUE!</v>
      </c>
      <c r="AD98" s="10" t="e">
        <f>IF(getCategoryLevelAsString(#REF!)="L0D_324785","",IF(K98="",CONCATENATE(";",EscStr(CONCATENATE("NavNode_",getCategoryLevelAsString(#REF!))),";",EscStr($J98),";"),CONCATENATE(";",EscStr(CONCATENATE("NavNode_",getCategoryLevelAsString(#REF!))),";",EscStr(K98),";")))</f>
        <v>#VALUE!</v>
      </c>
      <c r="AE98" s="10" t="e">
        <f>IF(getCategoryLevelAsString(#REF!)="L0D_324785","",IF(L98="",CONCATENATE(";",EscStr(CONCATENATE("NavNode_",getCategoryLevelAsString(#REF!))),";",EscStr($J98),";"),CONCATENATE(";",EscStr(CONCATENATE("NavNode_",getCategoryLevelAsString(#REF!))),";",EscStr(L98),";")))</f>
        <v>#VALUE!</v>
      </c>
      <c r="AF98" s="10" t="e">
        <f>IF(getCategoryLevelAsString(#REF!)="L0D_324785","",IF(M98="",CONCATENATE(";",EscStr(CONCATENATE("NavNode_",getCategoryLevelAsString(#REF!))),";",EscStr($J98),";"),CONCATENATE(";",EscStr(CONCATENATE("NavNode_",getCategoryLevelAsString(#REF!))),";",EscStr(M98),";")))</f>
        <v>#VALUE!</v>
      </c>
      <c r="AG98" s="10" t="e">
        <f>IF(getCategoryLevelAsString(#REF!)="L0D_324785","",IF(N98="",CONCATENATE(";",EscStr(CONCATENATE("NavNode_",getCategoryLevelAsString(#REF!))),";",EscStr($J98),";"),CONCATENATE(";",EscStr(CONCATENATE("NavNode_",getCategoryLevelAsString(#REF!))),";",EscStr(N98),";")))</f>
        <v>#VALUE!</v>
      </c>
      <c r="AH98" s="10" t="e">
        <f>IF(getCategoryLevelAsString(#REF!)="L0D_324785","",IF(O98="",CONCATENATE(";",EscStr(CONCATENATE("NavNode_",getCategoryLevelAsString(#REF!))),";",EscStr($J98),";"),CONCATENATE(";",EscStr(CONCATENATE("NavNode_",getCategoryLevelAsString(#REF!))),";",EscStr(O98),";")))</f>
        <v>#VALUE!</v>
      </c>
      <c r="AI98" s="10" t="e">
        <f>IF(getCategoryLevelAsString(#REF!)="L0D_324785","",IF(P98="",CONCATENATE(";",EscStr(CONCATENATE("NavNode_",getCategoryLevelAsString(#REF!))),";",EscStr($J98),";"),CONCATENATE(";",EscStr(CONCATENATE("NavNode_",getCategoryLevelAsString(#REF!))),";",EscStr(P98),";")))</f>
        <v>#VALUE!</v>
      </c>
      <c r="AJ98" s="10" t="e">
        <f>IF(getCategoryLevelAsString(#REF!)="L0D_324785","",IF(Q98="",CONCATENATE(";",EscStr(CONCATENATE("NavNode_",getCategoryLevelAsString(#REF!))),";",EscStr($J98),";"),CONCATENATE(";",EscStr(CONCATENATE("NavNode_",getCategoryLevelAsString(#REF!))),";",EscStr(Q98),";")))</f>
        <v>#VALUE!</v>
      </c>
      <c r="AK98" s="10" t="e">
        <f>IF(getCategoryLevelAsString(#REF!)="L0D_324785","",IF(R98="",CONCATENATE(";",EscStr(CONCATENATE("NavNode_",getCategoryLevelAsString(#REF!))),";",EscStr($J98),";"),CONCATENATE(";",EscStr(CONCATENATE("NavNode_",getCategoryLevelAsString(#REF!))),";",EscStr(R98),";")))</f>
        <v>#VALUE!</v>
      </c>
      <c r="AL98" s="10" t="e">
        <f>IF(getCategoryLevelAsString(#REF!)="L0D_324785","",IF(S98="",CONCATENATE(";",EscStr(CONCATENATE("NavNode_",getCategoryLevelAsString(#REF!))),";",EscStr($J98),";"),CONCATENATE(";",EscStr(CONCATENATE("NavNode_",getCategoryLevelAsString(#REF!))),";",EscStr(S98),";")))</f>
        <v>#VALUE!</v>
      </c>
      <c r="AM98" s="10" t="e">
        <f>IF(getCategoryLevelAsString(#REF!)="L0D_324785","",IF(T98="",CONCATENATE(";",EscStr(CONCATENATE("NavNode_",getCategoryLevelAsString(#REF!))),";",EscStr($J98),";"),CONCATENATE(";",EscStr(CONCATENATE("NavNode_",getCategoryLevelAsString(#REF!))),";",EscStr(T98),";")))</f>
        <v>#VALUE!</v>
      </c>
      <c r="AN98" s="10" t="e">
        <f>IF(getCategoryLevelAsString(#REF!)="L0D_324785","",IF(U98="",CONCATENATE(";",EscStr(CONCATENATE("NavNode_",getCategoryLevelAsString(#REF!))),";",EscStr($J98),";"),CONCATENATE(";",EscStr(CONCATENATE("NavNode_",getCategoryLevelAsString(#REF!))),";",EscStr(U98),";")))</f>
        <v>#VALUE!</v>
      </c>
      <c r="AO98" s="10" t="e">
        <f>IF(getCategoryLevelAsString(#REF!)="L0D_324785","",IF(V98="",CONCATENATE(";",EscStr(CONCATENATE("NavNode_",getCategoryLevelAsString(#REF!))),";",EscStr($J98),";"),CONCATENATE(";",EscStr(CONCATENATE("NavNode_",getCategoryLevelAsString(#REF!))),";",EscStr(V98),";")))</f>
        <v>#VALUE!</v>
      </c>
      <c r="AP98" s="10" t="e">
        <f>IF(getCategoryLevelAsString(#REF!)="L0D_324785","",IF(W98="",CONCATENATE(";",EscStr(CONCATENATE("NavNode_",getCategoryLevelAsString(#REF!))),";",EscStr($J98),";"),CONCATENATE(";",EscStr(CONCATENATE("NavNode_",getCategoryLevelAsString(#REF!))),";",EscStr(W98),";")))</f>
        <v>#VALUE!</v>
      </c>
      <c r="AQ98" s="10" t="e">
        <f>IF(getCategoryLevelAsString(#REF!)="L0D_324785","",IF(X98="",CONCATENATE(";",EscStr(CONCATENATE("NavNode_",getCategoryLevelAsString(#REF!))),";",EscStr($J98),";"),CONCATENATE(";",EscStr(CONCATENATE("NavNode_",getCategoryLevelAsString(#REF!))),";",EscStr(X98),";")))</f>
        <v>#VALUE!</v>
      </c>
      <c r="AR98" s="8" t="e">
        <f>IF(OR($A98&lt;&gt;"", $G98=""),"",CONCATENATE(";",EscStr(CONCATENATE("NavEntry_",getCategoryLevelAsString(#REF!))),";",EscStr(CONCATENATE($J98," Navigation Entry")),";",EscStr(CONCATENATE("cat-",getCategoryLevelAsString(#REF!))),";",EscStr(CONCATENATE("NavNode_",getCategoryLevelAsString(#REF!))),";"))</f>
        <v>#VALUE!</v>
      </c>
    </row>
    <row r="99" spans="1:44" ht="15" x14ac:dyDescent="0.25">
      <c r="A99" s="25"/>
      <c r="B99" s="5"/>
      <c r="C99" s="5"/>
      <c r="D99" s="5" t="s">
        <v>154</v>
      </c>
      <c r="E99" s="5"/>
      <c r="F99" s="5"/>
      <c r="G99" s="5" t="s">
        <v>2584</v>
      </c>
      <c r="H99" s="5" t="s">
        <v>2585</v>
      </c>
      <c r="I99" s="5" t="s">
        <v>2586</v>
      </c>
      <c r="J99" s="5" t="s">
        <v>2587</v>
      </c>
      <c r="K99" s="5" t="s">
        <v>2588</v>
      </c>
      <c r="L99" s="5" t="s">
        <v>1455</v>
      </c>
      <c r="M99" s="5" t="s">
        <v>1688</v>
      </c>
      <c r="N99" s="5" t="s">
        <v>1688</v>
      </c>
      <c r="O99" s="5" t="s">
        <v>2589</v>
      </c>
      <c r="P99" s="5" t="s">
        <v>2590</v>
      </c>
      <c r="Q99" s="5" t="s">
        <v>2591</v>
      </c>
      <c r="R99" s="5" t="s">
        <v>2592</v>
      </c>
      <c r="S99" s="5" t="s">
        <v>2593</v>
      </c>
      <c r="T99" s="5" t="s">
        <v>2594</v>
      </c>
      <c r="U99" s="5" t="s">
        <v>2595</v>
      </c>
      <c r="V99" s="5" t="s">
        <v>2596</v>
      </c>
      <c r="W99" s="5" t="s">
        <v>2597</v>
      </c>
      <c r="X99" s="5" t="s">
        <v>2595</v>
      </c>
      <c r="Y99" s="10" t="e">
        <f>IF(OR($A99&lt;&gt;"", $G99=""),"",CONCATENATE(";",EscStr(CONCATENATE("NavNode_",getCategoryLevelAsString(#REF!))),";",EscStr($J99),";",IF(#REF!&lt;&gt;"","""MainNavNode""",EscStr(CONCATENATE("NavNode_",getSuperCategory(#REF!, getCategoryLevelAsNumber(#REF!))))),";"))</f>
        <v>#VALUE!</v>
      </c>
      <c r="Z99" s="10" t="e">
        <f>IF(getCategoryLevelAsString(#REF!)="L0D_324785","",IF(G99="",CONCATENATE(";",EscStr(CONCATENATE("NavNode_",getCategoryLevelAsString(#REF!))),";",EscStr($J99),";"),CONCATENATE(";",EscStr(CONCATENATE("NavNode_",getCategoryLevelAsString(#REF!))),";",EscStr(G99),";")))</f>
        <v>#VALUE!</v>
      </c>
      <c r="AA99" s="10" t="e">
        <f>IF(getCategoryLevelAsString(#REF!)="L0D_324785","",IF(H99="",CONCATENATE(";",EscStr(CONCATENATE("NavNode_",getCategoryLevelAsString(#REF!))),";",EscStr($J99),";"),CONCATENATE(";",EscStr(CONCATENATE("NavNode_",getCategoryLevelAsString(#REF!))),";",EscStr(H99),";")))</f>
        <v>#VALUE!</v>
      </c>
      <c r="AB99" s="10" t="e">
        <f>IF(getCategoryLevelAsString(#REF!)="L0D_324785","",IF(I99="",CONCATENATE(";",EscStr(CONCATENATE("NavNode_",getCategoryLevelAsString(#REF!))),";",EscStr($J99),";"),CONCATENATE(";",EscStr(CONCATENATE("NavNode_",getCategoryLevelAsString(#REF!))),";",EscStr(I99),";")))</f>
        <v>#VALUE!</v>
      </c>
      <c r="AC99" s="10" t="e">
        <f>IF(getCategoryLevelAsString(#REF!)="L0D_324785","",IF(J99="",CONCATENATE(";",EscStr(CONCATENATE("NavNode_",getCategoryLevelAsString(#REF!))),";",EscStr($J99),";"),CONCATENATE(";",EscStr(CONCATENATE("NavNode_",getCategoryLevelAsString(#REF!))),";",EscStr(J99),";")))</f>
        <v>#VALUE!</v>
      </c>
      <c r="AD99" s="10" t="e">
        <f>IF(getCategoryLevelAsString(#REF!)="L0D_324785","",IF(K99="",CONCATENATE(";",EscStr(CONCATENATE("NavNode_",getCategoryLevelAsString(#REF!))),";",EscStr($J99),";"),CONCATENATE(";",EscStr(CONCATENATE("NavNode_",getCategoryLevelAsString(#REF!))),";",EscStr(K99),";")))</f>
        <v>#VALUE!</v>
      </c>
      <c r="AE99" s="10" t="e">
        <f>IF(getCategoryLevelAsString(#REF!)="L0D_324785","",IF(L99="",CONCATENATE(";",EscStr(CONCATENATE("NavNode_",getCategoryLevelAsString(#REF!))),";",EscStr($J99),";"),CONCATENATE(";",EscStr(CONCATENATE("NavNode_",getCategoryLevelAsString(#REF!))),";",EscStr(L99),";")))</f>
        <v>#VALUE!</v>
      </c>
      <c r="AF99" s="10" t="e">
        <f>IF(getCategoryLevelAsString(#REF!)="L0D_324785","",IF(M99="",CONCATENATE(";",EscStr(CONCATENATE("NavNode_",getCategoryLevelAsString(#REF!))),";",EscStr($J99),";"),CONCATENATE(";",EscStr(CONCATENATE("NavNode_",getCategoryLevelAsString(#REF!))),";",EscStr(M99),";")))</f>
        <v>#VALUE!</v>
      </c>
      <c r="AG99" s="10" t="e">
        <f>IF(getCategoryLevelAsString(#REF!)="L0D_324785","",IF(N99="",CONCATENATE(";",EscStr(CONCATENATE("NavNode_",getCategoryLevelAsString(#REF!))),";",EscStr($J99),";"),CONCATENATE(";",EscStr(CONCATENATE("NavNode_",getCategoryLevelAsString(#REF!))),";",EscStr(N99),";")))</f>
        <v>#VALUE!</v>
      </c>
      <c r="AH99" s="10" t="e">
        <f>IF(getCategoryLevelAsString(#REF!)="L0D_324785","",IF(O99="",CONCATENATE(";",EscStr(CONCATENATE("NavNode_",getCategoryLevelAsString(#REF!))),";",EscStr($J99),";"),CONCATENATE(";",EscStr(CONCATENATE("NavNode_",getCategoryLevelAsString(#REF!))),";",EscStr(O99),";")))</f>
        <v>#VALUE!</v>
      </c>
      <c r="AI99" s="10" t="e">
        <f>IF(getCategoryLevelAsString(#REF!)="L0D_324785","",IF(P99="",CONCATENATE(";",EscStr(CONCATENATE("NavNode_",getCategoryLevelAsString(#REF!))),";",EscStr($J99),";"),CONCATENATE(";",EscStr(CONCATENATE("NavNode_",getCategoryLevelAsString(#REF!))),";",EscStr(P99),";")))</f>
        <v>#VALUE!</v>
      </c>
      <c r="AJ99" s="10" t="e">
        <f>IF(getCategoryLevelAsString(#REF!)="L0D_324785","",IF(Q99="",CONCATENATE(";",EscStr(CONCATENATE("NavNode_",getCategoryLevelAsString(#REF!))),";",EscStr($J99),";"),CONCATENATE(";",EscStr(CONCATENATE("NavNode_",getCategoryLevelAsString(#REF!))),";",EscStr(Q99),";")))</f>
        <v>#VALUE!</v>
      </c>
      <c r="AK99" s="10" t="e">
        <f>IF(getCategoryLevelAsString(#REF!)="L0D_324785","",IF(R99="",CONCATENATE(";",EscStr(CONCATENATE("NavNode_",getCategoryLevelAsString(#REF!))),";",EscStr($J99),";"),CONCATENATE(";",EscStr(CONCATENATE("NavNode_",getCategoryLevelAsString(#REF!))),";",EscStr(R99),";")))</f>
        <v>#VALUE!</v>
      </c>
      <c r="AL99" s="10" t="e">
        <f>IF(getCategoryLevelAsString(#REF!)="L0D_324785","",IF(S99="",CONCATENATE(";",EscStr(CONCATENATE("NavNode_",getCategoryLevelAsString(#REF!))),";",EscStr($J99),";"),CONCATENATE(";",EscStr(CONCATENATE("NavNode_",getCategoryLevelAsString(#REF!))),";",EscStr(S99),";")))</f>
        <v>#VALUE!</v>
      </c>
      <c r="AM99" s="10" t="e">
        <f>IF(getCategoryLevelAsString(#REF!)="L0D_324785","",IF(T99="",CONCATENATE(";",EscStr(CONCATENATE("NavNode_",getCategoryLevelAsString(#REF!))),";",EscStr($J99),";"),CONCATENATE(";",EscStr(CONCATENATE("NavNode_",getCategoryLevelAsString(#REF!))),";",EscStr(T99),";")))</f>
        <v>#VALUE!</v>
      </c>
      <c r="AN99" s="10" t="e">
        <f>IF(getCategoryLevelAsString(#REF!)="L0D_324785","",IF(U99="",CONCATENATE(";",EscStr(CONCATENATE("NavNode_",getCategoryLevelAsString(#REF!))),";",EscStr($J99),";"),CONCATENATE(";",EscStr(CONCATENATE("NavNode_",getCategoryLevelAsString(#REF!))),";",EscStr(U99),";")))</f>
        <v>#VALUE!</v>
      </c>
      <c r="AO99" s="10" t="e">
        <f>IF(getCategoryLevelAsString(#REF!)="L0D_324785","",IF(V99="",CONCATENATE(";",EscStr(CONCATENATE("NavNode_",getCategoryLevelAsString(#REF!))),";",EscStr($J99),";"),CONCATENATE(";",EscStr(CONCATENATE("NavNode_",getCategoryLevelAsString(#REF!))),";",EscStr(V99),";")))</f>
        <v>#VALUE!</v>
      </c>
      <c r="AP99" s="10" t="e">
        <f>IF(getCategoryLevelAsString(#REF!)="L0D_324785","",IF(W99="",CONCATENATE(";",EscStr(CONCATENATE("NavNode_",getCategoryLevelAsString(#REF!))),";",EscStr($J99),";"),CONCATENATE(";",EscStr(CONCATENATE("NavNode_",getCategoryLevelAsString(#REF!))),";",EscStr(W99),";")))</f>
        <v>#VALUE!</v>
      </c>
      <c r="AQ99" s="10" t="e">
        <f>IF(getCategoryLevelAsString(#REF!)="L0D_324785","",IF(X99="",CONCATENATE(";",EscStr(CONCATENATE("NavNode_",getCategoryLevelAsString(#REF!))),";",EscStr($J99),";"),CONCATENATE(";",EscStr(CONCATENATE("NavNode_",getCategoryLevelAsString(#REF!))),";",EscStr(X99),";")))</f>
        <v>#VALUE!</v>
      </c>
      <c r="AR99" s="8" t="e">
        <f>IF(OR($A99&lt;&gt;"", $G99=""),"",CONCATENATE(";",EscStr(CONCATENATE("NavEntry_",getCategoryLevelAsString(#REF!))),";",EscStr(CONCATENATE($J99," Navigation Entry")),";",EscStr(CONCATENATE("cat-",getCategoryLevelAsString(#REF!))),";",EscStr(CONCATENATE("NavNode_",getCategoryLevelAsString(#REF!))),";"))</f>
        <v>#VALUE!</v>
      </c>
    </row>
    <row r="100" spans="1:44" ht="15" x14ac:dyDescent="0.25">
      <c r="A100" s="25"/>
      <c r="B100" s="5"/>
      <c r="C100" s="5"/>
      <c r="D100" s="5" t="s">
        <v>150</v>
      </c>
      <c r="E100" s="5"/>
      <c r="F100" s="5"/>
      <c r="G100" s="5" t="s">
        <v>400</v>
      </c>
      <c r="H100" s="5" t="s">
        <v>401</v>
      </c>
      <c r="I100" s="5" t="s">
        <v>402</v>
      </c>
      <c r="J100" s="5" t="s">
        <v>151</v>
      </c>
      <c r="K100" s="5" t="s">
        <v>1222</v>
      </c>
      <c r="L100" s="5" t="s">
        <v>1456</v>
      </c>
      <c r="M100" s="5" t="s">
        <v>1689</v>
      </c>
      <c r="N100" s="5" t="s">
        <v>1891</v>
      </c>
      <c r="O100" s="5" t="s">
        <v>2598</v>
      </c>
      <c r="P100" s="5" t="s">
        <v>2599</v>
      </c>
      <c r="Q100" s="5" t="s">
        <v>2600</v>
      </c>
      <c r="R100" s="5" t="s">
        <v>2601</v>
      </c>
      <c r="S100" s="5" t="s">
        <v>2602</v>
      </c>
      <c r="T100" s="5" t="s">
        <v>2603</v>
      </c>
      <c r="U100" s="5" t="s">
        <v>2604</v>
      </c>
      <c r="V100" s="5" t="s">
        <v>2605</v>
      </c>
      <c r="W100" s="5" t="s">
        <v>2606</v>
      </c>
      <c r="X100" s="5" t="s">
        <v>2604</v>
      </c>
      <c r="Y100" s="10" t="e">
        <f>IF(OR($A100&lt;&gt;"", $G100=""),"",CONCATENATE(";",EscStr(CONCATENATE("NavNode_",getCategoryLevelAsString(#REF!))),";",EscStr($J100),";",IF(#REF!&lt;&gt;"","""MainNavNode""",EscStr(CONCATENATE("NavNode_",getSuperCategory(#REF!, getCategoryLevelAsNumber(#REF!))))),";"))</f>
        <v>#VALUE!</v>
      </c>
      <c r="Z100" s="10" t="e">
        <f>IF(getCategoryLevelAsString(#REF!)="L0D_324785","",IF(G100="",CONCATENATE(";",EscStr(CONCATENATE("NavNode_",getCategoryLevelAsString(#REF!))),";",EscStr($J100),";"),CONCATENATE(";",EscStr(CONCATENATE("NavNode_",getCategoryLevelAsString(#REF!))),";",EscStr(G100),";")))</f>
        <v>#VALUE!</v>
      </c>
      <c r="AA100" s="10" t="e">
        <f>IF(getCategoryLevelAsString(#REF!)="L0D_324785","",IF(H100="",CONCATENATE(";",EscStr(CONCATENATE("NavNode_",getCategoryLevelAsString(#REF!))),";",EscStr($J100),";"),CONCATENATE(";",EscStr(CONCATENATE("NavNode_",getCategoryLevelAsString(#REF!))),";",EscStr(H100),";")))</f>
        <v>#VALUE!</v>
      </c>
      <c r="AB100" s="10" t="e">
        <f>IF(getCategoryLevelAsString(#REF!)="L0D_324785","",IF(I100="",CONCATENATE(";",EscStr(CONCATENATE("NavNode_",getCategoryLevelAsString(#REF!))),";",EscStr($J100),";"),CONCATENATE(";",EscStr(CONCATENATE("NavNode_",getCategoryLevelAsString(#REF!))),";",EscStr(I100),";")))</f>
        <v>#VALUE!</v>
      </c>
      <c r="AC100" s="10" t="e">
        <f>IF(getCategoryLevelAsString(#REF!)="L0D_324785","",IF(J100="",CONCATENATE(";",EscStr(CONCATENATE("NavNode_",getCategoryLevelAsString(#REF!))),";",EscStr($J100),";"),CONCATENATE(";",EscStr(CONCATENATE("NavNode_",getCategoryLevelAsString(#REF!))),";",EscStr(J100),";")))</f>
        <v>#VALUE!</v>
      </c>
      <c r="AD100" s="10" t="e">
        <f>IF(getCategoryLevelAsString(#REF!)="L0D_324785","",IF(K100="",CONCATENATE(";",EscStr(CONCATENATE("NavNode_",getCategoryLevelAsString(#REF!))),";",EscStr($J100),";"),CONCATENATE(";",EscStr(CONCATENATE("NavNode_",getCategoryLevelAsString(#REF!))),";",EscStr(K100),";")))</f>
        <v>#VALUE!</v>
      </c>
      <c r="AE100" s="10" t="e">
        <f>IF(getCategoryLevelAsString(#REF!)="L0D_324785","",IF(L100="",CONCATENATE(";",EscStr(CONCATENATE("NavNode_",getCategoryLevelAsString(#REF!))),";",EscStr($J100),";"),CONCATENATE(";",EscStr(CONCATENATE("NavNode_",getCategoryLevelAsString(#REF!))),";",EscStr(L100),";")))</f>
        <v>#VALUE!</v>
      </c>
      <c r="AF100" s="10" t="e">
        <f>IF(getCategoryLevelAsString(#REF!)="L0D_324785","",IF(M100="",CONCATENATE(";",EscStr(CONCATENATE("NavNode_",getCategoryLevelAsString(#REF!))),";",EscStr($J100),";"),CONCATENATE(";",EscStr(CONCATENATE("NavNode_",getCategoryLevelAsString(#REF!))),";",EscStr(M100),";")))</f>
        <v>#VALUE!</v>
      </c>
      <c r="AG100" s="10" t="e">
        <f>IF(getCategoryLevelAsString(#REF!)="L0D_324785","",IF(N100="",CONCATENATE(";",EscStr(CONCATENATE("NavNode_",getCategoryLevelAsString(#REF!))),";",EscStr($J100),";"),CONCATENATE(";",EscStr(CONCATENATE("NavNode_",getCategoryLevelAsString(#REF!))),";",EscStr(N100),";")))</f>
        <v>#VALUE!</v>
      </c>
      <c r="AH100" s="10" t="e">
        <f>IF(getCategoryLevelAsString(#REF!)="L0D_324785","",IF(O100="",CONCATENATE(";",EscStr(CONCATENATE("NavNode_",getCategoryLevelAsString(#REF!))),";",EscStr($J100),";"),CONCATENATE(";",EscStr(CONCATENATE("NavNode_",getCategoryLevelAsString(#REF!))),";",EscStr(O100),";")))</f>
        <v>#VALUE!</v>
      </c>
      <c r="AI100" s="10" t="e">
        <f>IF(getCategoryLevelAsString(#REF!)="L0D_324785","",IF(P100="",CONCATENATE(";",EscStr(CONCATENATE("NavNode_",getCategoryLevelAsString(#REF!))),";",EscStr($J100),";"),CONCATENATE(";",EscStr(CONCATENATE("NavNode_",getCategoryLevelAsString(#REF!))),";",EscStr(P100),";")))</f>
        <v>#VALUE!</v>
      </c>
      <c r="AJ100" s="10" t="e">
        <f>IF(getCategoryLevelAsString(#REF!)="L0D_324785","",IF(Q100="",CONCATENATE(";",EscStr(CONCATENATE("NavNode_",getCategoryLevelAsString(#REF!))),";",EscStr($J100),";"),CONCATENATE(";",EscStr(CONCATENATE("NavNode_",getCategoryLevelAsString(#REF!))),";",EscStr(Q100),";")))</f>
        <v>#VALUE!</v>
      </c>
      <c r="AK100" s="10" t="e">
        <f>IF(getCategoryLevelAsString(#REF!)="L0D_324785","",IF(R100="",CONCATENATE(";",EscStr(CONCATENATE("NavNode_",getCategoryLevelAsString(#REF!))),";",EscStr($J100),";"),CONCATENATE(";",EscStr(CONCATENATE("NavNode_",getCategoryLevelAsString(#REF!))),";",EscStr(R100),";")))</f>
        <v>#VALUE!</v>
      </c>
      <c r="AL100" s="10" t="e">
        <f>IF(getCategoryLevelAsString(#REF!)="L0D_324785","",IF(S100="",CONCATENATE(";",EscStr(CONCATENATE("NavNode_",getCategoryLevelAsString(#REF!))),";",EscStr($J100),";"),CONCATENATE(";",EscStr(CONCATENATE("NavNode_",getCategoryLevelAsString(#REF!))),";",EscStr(S100),";")))</f>
        <v>#VALUE!</v>
      </c>
      <c r="AM100" s="10" t="e">
        <f>IF(getCategoryLevelAsString(#REF!)="L0D_324785","",IF(T100="",CONCATENATE(";",EscStr(CONCATENATE("NavNode_",getCategoryLevelAsString(#REF!))),";",EscStr($J100),";"),CONCATENATE(";",EscStr(CONCATENATE("NavNode_",getCategoryLevelAsString(#REF!))),";",EscStr(T100),";")))</f>
        <v>#VALUE!</v>
      </c>
      <c r="AN100" s="10" t="e">
        <f>IF(getCategoryLevelAsString(#REF!)="L0D_324785","",IF(U100="",CONCATENATE(";",EscStr(CONCATENATE("NavNode_",getCategoryLevelAsString(#REF!))),";",EscStr($J100),";"),CONCATENATE(";",EscStr(CONCATENATE("NavNode_",getCategoryLevelAsString(#REF!))),";",EscStr(U100),";")))</f>
        <v>#VALUE!</v>
      </c>
      <c r="AO100" s="10" t="e">
        <f>IF(getCategoryLevelAsString(#REF!)="L0D_324785","",IF(V100="",CONCATENATE(";",EscStr(CONCATENATE("NavNode_",getCategoryLevelAsString(#REF!))),";",EscStr($J100),";"),CONCATENATE(";",EscStr(CONCATENATE("NavNode_",getCategoryLevelAsString(#REF!))),";",EscStr(V100),";")))</f>
        <v>#VALUE!</v>
      </c>
      <c r="AP100" s="10" t="e">
        <f>IF(getCategoryLevelAsString(#REF!)="L0D_324785","",IF(W100="",CONCATENATE(";",EscStr(CONCATENATE("NavNode_",getCategoryLevelAsString(#REF!))),";",EscStr($J100),";"),CONCATENATE(";",EscStr(CONCATENATE("NavNode_",getCategoryLevelAsString(#REF!))),";",EscStr(W100),";")))</f>
        <v>#VALUE!</v>
      </c>
      <c r="AQ100" s="10" t="e">
        <f>IF(getCategoryLevelAsString(#REF!)="L0D_324785","",IF(X100="",CONCATENATE(";",EscStr(CONCATENATE("NavNode_",getCategoryLevelAsString(#REF!))),";",EscStr($J100),";"),CONCATENATE(";",EscStr(CONCATENATE("NavNode_",getCategoryLevelAsString(#REF!))),";",EscStr(X100),";")))</f>
        <v>#VALUE!</v>
      </c>
      <c r="AR100" s="8" t="e">
        <f>IF(OR($A100&lt;&gt;"", $G100=""),"",CONCATENATE(";",EscStr(CONCATENATE("NavEntry_",getCategoryLevelAsString(#REF!))),";",EscStr(CONCATENATE($J100," Navigation Entry")),";",EscStr(CONCATENATE("cat-",getCategoryLevelAsString(#REF!))),";",EscStr(CONCATENATE("NavNode_",getCategoryLevelAsString(#REF!))),";"))</f>
        <v>#VALUE!</v>
      </c>
    </row>
    <row r="101" spans="1:44" ht="15" x14ac:dyDescent="0.25">
      <c r="A101" s="25"/>
      <c r="B101" s="5"/>
      <c r="C101" s="5"/>
      <c r="D101" s="5" t="s">
        <v>159</v>
      </c>
      <c r="E101" s="5"/>
      <c r="F101" s="5"/>
      <c r="G101" s="5" t="s">
        <v>412</v>
      </c>
      <c r="H101" s="5" t="s">
        <v>413</v>
      </c>
      <c r="I101" s="5" t="s">
        <v>414</v>
      </c>
      <c r="J101" s="5" t="s">
        <v>160</v>
      </c>
      <c r="K101" s="5" t="s">
        <v>1223</v>
      </c>
      <c r="L101" s="5" t="s">
        <v>1457</v>
      </c>
      <c r="M101" s="5" t="s">
        <v>1690</v>
      </c>
      <c r="N101" s="5" t="s">
        <v>1892</v>
      </c>
      <c r="O101" s="5" t="s">
        <v>2607</v>
      </c>
      <c r="P101" s="5" t="s">
        <v>2608</v>
      </c>
      <c r="Q101" s="5" t="s">
        <v>2609</v>
      </c>
      <c r="R101" s="5" t="s">
        <v>2610</v>
      </c>
      <c r="S101" s="5" t="s">
        <v>2611</v>
      </c>
      <c r="T101" s="5" t="s">
        <v>2612</v>
      </c>
      <c r="U101" s="5" t="s">
        <v>2613</v>
      </c>
      <c r="V101" s="5" t="s">
        <v>2614</v>
      </c>
      <c r="W101" s="5" t="s">
        <v>2615</v>
      </c>
      <c r="X101" s="5" t="s">
        <v>2613</v>
      </c>
      <c r="Y101" s="10" t="e">
        <f>IF(OR($A101&lt;&gt;"", $G101=""),"",CONCATENATE(";",EscStr(CONCATENATE("NavNode_",getCategoryLevelAsString(#REF!))),";",EscStr($J101),";",IF(#REF!&lt;&gt;"","""MainNavNode""",EscStr(CONCATENATE("NavNode_",getSuperCategory(#REF!, getCategoryLevelAsNumber(#REF!))))),";"))</f>
        <v>#VALUE!</v>
      </c>
      <c r="Z101" s="10" t="e">
        <f>IF(getCategoryLevelAsString(#REF!)="L0D_324785","",IF(G101="",CONCATENATE(";",EscStr(CONCATENATE("NavNode_",getCategoryLevelAsString(#REF!))),";",EscStr($J101),";"),CONCATENATE(";",EscStr(CONCATENATE("NavNode_",getCategoryLevelAsString(#REF!))),";",EscStr(G101),";")))</f>
        <v>#VALUE!</v>
      </c>
      <c r="AA101" s="10" t="e">
        <f>IF(getCategoryLevelAsString(#REF!)="L0D_324785","",IF(H101="",CONCATENATE(";",EscStr(CONCATENATE("NavNode_",getCategoryLevelAsString(#REF!))),";",EscStr($J101),";"),CONCATENATE(";",EscStr(CONCATENATE("NavNode_",getCategoryLevelAsString(#REF!))),";",EscStr(H101),";")))</f>
        <v>#VALUE!</v>
      </c>
      <c r="AB101" s="10" t="e">
        <f>IF(getCategoryLevelAsString(#REF!)="L0D_324785","",IF(I101="",CONCATENATE(";",EscStr(CONCATENATE("NavNode_",getCategoryLevelAsString(#REF!))),";",EscStr($J101),";"),CONCATENATE(";",EscStr(CONCATENATE("NavNode_",getCategoryLevelAsString(#REF!))),";",EscStr(I101),";")))</f>
        <v>#VALUE!</v>
      </c>
      <c r="AC101" s="10" t="e">
        <f>IF(getCategoryLevelAsString(#REF!)="L0D_324785","",IF(J101="",CONCATENATE(";",EscStr(CONCATENATE("NavNode_",getCategoryLevelAsString(#REF!))),";",EscStr($J101),";"),CONCATENATE(";",EscStr(CONCATENATE("NavNode_",getCategoryLevelAsString(#REF!))),";",EscStr(J101),";")))</f>
        <v>#VALUE!</v>
      </c>
      <c r="AD101" s="10" t="e">
        <f>IF(getCategoryLevelAsString(#REF!)="L0D_324785","",IF(K101="",CONCATENATE(";",EscStr(CONCATENATE("NavNode_",getCategoryLevelAsString(#REF!))),";",EscStr($J101),";"),CONCATENATE(";",EscStr(CONCATENATE("NavNode_",getCategoryLevelAsString(#REF!))),";",EscStr(K101),";")))</f>
        <v>#VALUE!</v>
      </c>
      <c r="AE101" s="10" t="e">
        <f>IF(getCategoryLevelAsString(#REF!)="L0D_324785","",IF(L101="",CONCATENATE(";",EscStr(CONCATENATE("NavNode_",getCategoryLevelAsString(#REF!))),";",EscStr($J101),";"),CONCATENATE(";",EscStr(CONCATENATE("NavNode_",getCategoryLevelAsString(#REF!))),";",EscStr(L101),";")))</f>
        <v>#VALUE!</v>
      </c>
      <c r="AF101" s="10" t="e">
        <f>IF(getCategoryLevelAsString(#REF!)="L0D_324785","",IF(M101="",CONCATENATE(";",EscStr(CONCATENATE("NavNode_",getCategoryLevelAsString(#REF!))),";",EscStr($J101),";"),CONCATENATE(";",EscStr(CONCATENATE("NavNode_",getCategoryLevelAsString(#REF!))),";",EscStr(M101),";")))</f>
        <v>#VALUE!</v>
      </c>
      <c r="AG101" s="10" t="e">
        <f>IF(getCategoryLevelAsString(#REF!)="L0D_324785","",IF(N101="",CONCATENATE(";",EscStr(CONCATENATE("NavNode_",getCategoryLevelAsString(#REF!))),";",EscStr($J101),";"),CONCATENATE(";",EscStr(CONCATENATE("NavNode_",getCategoryLevelAsString(#REF!))),";",EscStr(N101),";")))</f>
        <v>#VALUE!</v>
      </c>
      <c r="AH101" s="10" t="e">
        <f>IF(getCategoryLevelAsString(#REF!)="L0D_324785","",IF(O101="",CONCATENATE(";",EscStr(CONCATENATE("NavNode_",getCategoryLevelAsString(#REF!))),";",EscStr($J101),";"),CONCATENATE(";",EscStr(CONCATENATE("NavNode_",getCategoryLevelAsString(#REF!))),";",EscStr(O101),";")))</f>
        <v>#VALUE!</v>
      </c>
      <c r="AI101" s="10" t="e">
        <f>IF(getCategoryLevelAsString(#REF!)="L0D_324785","",IF(P101="",CONCATENATE(";",EscStr(CONCATENATE("NavNode_",getCategoryLevelAsString(#REF!))),";",EscStr($J101),";"),CONCATENATE(";",EscStr(CONCATENATE("NavNode_",getCategoryLevelAsString(#REF!))),";",EscStr(P101),";")))</f>
        <v>#VALUE!</v>
      </c>
      <c r="AJ101" s="10" t="e">
        <f>IF(getCategoryLevelAsString(#REF!)="L0D_324785","",IF(Q101="",CONCATENATE(";",EscStr(CONCATENATE("NavNode_",getCategoryLevelAsString(#REF!))),";",EscStr($J101),";"),CONCATENATE(";",EscStr(CONCATENATE("NavNode_",getCategoryLevelAsString(#REF!))),";",EscStr(Q101),";")))</f>
        <v>#VALUE!</v>
      </c>
      <c r="AK101" s="10" t="e">
        <f>IF(getCategoryLevelAsString(#REF!)="L0D_324785","",IF(R101="",CONCATENATE(";",EscStr(CONCATENATE("NavNode_",getCategoryLevelAsString(#REF!))),";",EscStr($J101),";"),CONCATENATE(";",EscStr(CONCATENATE("NavNode_",getCategoryLevelAsString(#REF!))),";",EscStr(R101),";")))</f>
        <v>#VALUE!</v>
      </c>
      <c r="AL101" s="10" t="e">
        <f>IF(getCategoryLevelAsString(#REF!)="L0D_324785","",IF(S101="",CONCATENATE(";",EscStr(CONCATENATE("NavNode_",getCategoryLevelAsString(#REF!))),";",EscStr($J101),";"),CONCATENATE(";",EscStr(CONCATENATE("NavNode_",getCategoryLevelAsString(#REF!))),";",EscStr(S101),";")))</f>
        <v>#VALUE!</v>
      </c>
      <c r="AM101" s="10" t="e">
        <f>IF(getCategoryLevelAsString(#REF!)="L0D_324785","",IF(T101="",CONCATENATE(";",EscStr(CONCATENATE("NavNode_",getCategoryLevelAsString(#REF!))),";",EscStr($J101),";"),CONCATENATE(";",EscStr(CONCATENATE("NavNode_",getCategoryLevelAsString(#REF!))),";",EscStr(T101),";")))</f>
        <v>#VALUE!</v>
      </c>
      <c r="AN101" s="10" t="e">
        <f>IF(getCategoryLevelAsString(#REF!)="L0D_324785","",IF(U101="",CONCATENATE(";",EscStr(CONCATENATE("NavNode_",getCategoryLevelAsString(#REF!))),";",EscStr($J101),";"),CONCATENATE(";",EscStr(CONCATENATE("NavNode_",getCategoryLevelAsString(#REF!))),";",EscStr(U101),";")))</f>
        <v>#VALUE!</v>
      </c>
      <c r="AO101" s="10" t="e">
        <f>IF(getCategoryLevelAsString(#REF!)="L0D_324785","",IF(V101="",CONCATENATE(";",EscStr(CONCATENATE("NavNode_",getCategoryLevelAsString(#REF!))),";",EscStr($J101),";"),CONCATENATE(";",EscStr(CONCATENATE("NavNode_",getCategoryLevelAsString(#REF!))),";",EscStr(V101),";")))</f>
        <v>#VALUE!</v>
      </c>
      <c r="AP101" s="10" t="e">
        <f>IF(getCategoryLevelAsString(#REF!)="L0D_324785","",IF(W101="",CONCATENATE(";",EscStr(CONCATENATE("NavNode_",getCategoryLevelAsString(#REF!))),";",EscStr($J101),";"),CONCATENATE(";",EscStr(CONCATENATE("NavNode_",getCategoryLevelAsString(#REF!))),";",EscStr(W101),";")))</f>
        <v>#VALUE!</v>
      </c>
      <c r="AQ101" s="10" t="e">
        <f>IF(getCategoryLevelAsString(#REF!)="L0D_324785","",IF(X101="",CONCATENATE(";",EscStr(CONCATENATE("NavNode_",getCategoryLevelAsString(#REF!))),";",EscStr($J101),";"),CONCATENATE(";",EscStr(CONCATENATE("NavNode_",getCategoryLevelAsString(#REF!))),";",EscStr(X101),";")))</f>
        <v>#VALUE!</v>
      </c>
      <c r="AR101" s="8" t="e">
        <f>IF(OR($A101&lt;&gt;"", $G101=""),"",CONCATENATE(";",EscStr(CONCATENATE("NavEntry_",getCategoryLevelAsString(#REF!))),";",EscStr(CONCATENATE($J101," Navigation Entry")),";",EscStr(CONCATENATE("cat-",getCategoryLevelAsString(#REF!))),";",EscStr(CONCATENATE("NavNode_",getCategoryLevelAsString(#REF!))),";"))</f>
        <v>#VALUE!</v>
      </c>
    </row>
    <row r="102" spans="1:44" ht="15" x14ac:dyDescent="0.25">
      <c r="A102" s="25"/>
      <c r="B102" s="5"/>
      <c r="C102" s="5"/>
      <c r="D102" s="5" t="s">
        <v>161</v>
      </c>
      <c r="E102" s="5"/>
      <c r="F102" s="5"/>
      <c r="G102" s="5" t="s">
        <v>988</v>
      </c>
      <c r="H102" s="5" t="s">
        <v>1091</v>
      </c>
      <c r="I102" s="5" t="s">
        <v>1150</v>
      </c>
      <c r="J102" s="5" t="s">
        <v>138</v>
      </c>
      <c r="K102" s="5" t="s">
        <v>1224</v>
      </c>
      <c r="L102" s="5" t="s">
        <v>1458</v>
      </c>
      <c r="M102" s="5" t="s">
        <v>1691</v>
      </c>
      <c r="N102" s="5" t="s">
        <v>1893</v>
      </c>
      <c r="O102" s="5" t="s">
        <v>2616</v>
      </c>
      <c r="P102" s="5" t="s">
        <v>2617</v>
      </c>
      <c r="Q102" s="5" t="s">
        <v>2618</v>
      </c>
      <c r="R102" s="5" t="s">
        <v>2619</v>
      </c>
      <c r="S102" s="5" t="s">
        <v>2620</v>
      </c>
      <c r="T102" s="5" t="s">
        <v>2621</v>
      </c>
      <c r="U102" s="5" t="s">
        <v>2622</v>
      </c>
      <c r="V102" s="5" t="s">
        <v>2623</v>
      </c>
      <c r="W102" s="5" t="s">
        <v>2624</v>
      </c>
      <c r="X102" s="5" t="s">
        <v>2622</v>
      </c>
      <c r="Y102" s="10" t="e">
        <f>IF(OR($A102&lt;&gt;"", $G102=""),"",CONCATENATE(";",EscStr(CONCATENATE("NavNode_",getCategoryLevelAsString(#REF!))),";",EscStr($J102),";",IF(#REF!&lt;&gt;"","""MainNavNode""",EscStr(CONCATENATE("NavNode_",getSuperCategory(#REF!, getCategoryLevelAsNumber(#REF!))))),";"))</f>
        <v>#VALUE!</v>
      </c>
      <c r="Z102" s="10" t="e">
        <f>IF(getCategoryLevelAsString(#REF!)="L0D_324785","",IF(G102="",CONCATENATE(";",EscStr(CONCATENATE("NavNode_",getCategoryLevelAsString(#REF!))),";",EscStr($J102),";"),CONCATENATE(";",EscStr(CONCATENATE("NavNode_",getCategoryLevelAsString(#REF!))),";",EscStr(G102),";")))</f>
        <v>#VALUE!</v>
      </c>
      <c r="AA102" s="10" t="e">
        <f>IF(getCategoryLevelAsString(#REF!)="L0D_324785","",IF(H102="",CONCATENATE(";",EscStr(CONCATENATE("NavNode_",getCategoryLevelAsString(#REF!))),";",EscStr($J102),";"),CONCATENATE(";",EscStr(CONCATENATE("NavNode_",getCategoryLevelAsString(#REF!))),";",EscStr(H102),";")))</f>
        <v>#VALUE!</v>
      </c>
      <c r="AB102" s="10" t="e">
        <f>IF(getCategoryLevelAsString(#REF!)="L0D_324785","",IF(I102="",CONCATENATE(";",EscStr(CONCATENATE("NavNode_",getCategoryLevelAsString(#REF!))),";",EscStr($J102),";"),CONCATENATE(";",EscStr(CONCATENATE("NavNode_",getCategoryLevelAsString(#REF!))),";",EscStr(I102),";")))</f>
        <v>#VALUE!</v>
      </c>
      <c r="AC102" s="10" t="e">
        <f>IF(getCategoryLevelAsString(#REF!)="L0D_324785","",IF(J102="",CONCATENATE(";",EscStr(CONCATENATE("NavNode_",getCategoryLevelAsString(#REF!))),";",EscStr($J102),";"),CONCATENATE(";",EscStr(CONCATENATE("NavNode_",getCategoryLevelAsString(#REF!))),";",EscStr(J102),";")))</f>
        <v>#VALUE!</v>
      </c>
      <c r="AD102" s="10" t="e">
        <f>IF(getCategoryLevelAsString(#REF!)="L0D_324785","",IF(K102="",CONCATENATE(";",EscStr(CONCATENATE("NavNode_",getCategoryLevelAsString(#REF!))),";",EscStr($J102),";"),CONCATENATE(";",EscStr(CONCATENATE("NavNode_",getCategoryLevelAsString(#REF!))),";",EscStr(K102),";")))</f>
        <v>#VALUE!</v>
      </c>
      <c r="AE102" s="10" t="e">
        <f>IF(getCategoryLevelAsString(#REF!)="L0D_324785","",IF(L102="",CONCATENATE(";",EscStr(CONCATENATE("NavNode_",getCategoryLevelAsString(#REF!))),";",EscStr($J102),";"),CONCATENATE(";",EscStr(CONCATENATE("NavNode_",getCategoryLevelAsString(#REF!))),";",EscStr(L102),";")))</f>
        <v>#VALUE!</v>
      </c>
      <c r="AF102" s="10" t="e">
        <f>IF(getCategoryLevelAsString(#REF!)="L0D_324785","",IF(M102="",CONCATENATE(";",EscStr(CONCATENATE("NavNode_",getCategoryLevelAsString(#REF!))),";",EscStr($J102),";"),CONCATENATE(";",EscStr(CONCATENATE("NavNode_",getCategoryLevelAsString(#REF!))),";",EscStr(M102),";")))</f>
        <v>#VALUE!</v>
      </c>
      <c r="AG102" s="10" t="e">
        <f>IF(getCategoryLevelAsString(#REF!)="L0D_324785","",IF(N102="",CONCATENATE(";",EscStr(CONCATENATE("NavNode_",getCategoryLevelAsString(#REF!))),";",EscStr($J102),";"),CONCATENATE(";",EscStr(CONCATENATE("NavNode_",getCategoryLevelAsString(#REF!))),";",EscStr(N102),";")))</f>
        <v>#VALUE!</v>
      </c>
      <c r="AH102" s="10" t="e">
        <f>IF(getCategoryLevelAsString(#REF!)="L0D_324785","",IF(O102="",CONCATENATE(";",EscStr(CONCATENATE("NavNode_",getCategoryLevelAsString(#REF!))),";",EscStr($J102),";"),CONCATENATE(";",EscStr(CONCATENATE("NavNode_",getCategoryLevelAsString(#REF!))),";",EscStr(O102),";")))</f>
        <v>#VALUE!</v>
      </c>
      <c r="AI102" s="10" t="e">
        <f>IF(getCategoryLevelAsString(#REF!)="L0D_324785","",IF(P102="",CONCATENATE(";",EscStr(CONCATENATE("NavNode_",getCategoryLevelAsString(#REF!))),";",EscStr($J102),";"),CONCATENATE(";",EscStr(CONCATENATE("NavNode_",getCategoryLevelAsString(#REF!))),";",EscStr(P102),";")))</f>
        <v>#VALUE!</v>
      </c>
      <c r="AJ102" s="10" t="e">
        <f>IF(getCategoryLevelAsString(#REF!)="L0D_324785","",IF(Q102="",CONCATENATE(";",EscStr(CONCATENATE("NavNode_",getCategoryLevelAsString(#REF!))),";",EscStr($J102),";"),CONCATENATE(";",EscStr(CONCATENATE("NavNode_",getCategoryLevelAsString(#REF!))),";",EscStr(Q102),";")))</f>
        <v>#VALUE!</v>
      </c>
      <c r="AK102" s="10" t="e">
        <f>IF(getCategoryLevelAsString(#REF!)="L0D_324785","",IF(R102="",CONCATENATE(";",EscStr(CONCATENATE("NavNode_",getCategoryLevelAsString(#REF!))),";",EscStr($J102),";"),CONCATENATE(";",EscStr(CONCATENATE("NavNode_",getCategoryLevelAsString(#REF!))),";",EscStr(R102),";")))</f>
        <v>#VALUE!</v>
      </c>
      <c r="AL102" s="10" t="e">
        <f>IF(getCategoryLevelAsString(#REF!)="L0D_324785","",IF(S102="",CONCATENATE(";",EscStr(CONCATENATE("NavNode_",getCategoryLevelAsString(#REF!))),";",EscStr($J102),";"),CONCATENATE(";",EscStr(CONCATENATE("NavNode_",getCategoryLevelAsString(#REF!))),";",EscStr(S102),";")))</f>
        <v>#VALUE!</v>
      </c>
      <c r="AM102" s="10" t="e">
        <f>IF(getCategoryLevelAsString(#REF!)="L0D_324785","",IF(T102="",CONCATENATE(";",EscStr(CONCATENATE("NavNode_",getCategoryLevelAsString(#REF!))),";",EscStr($J102),";"),CONCATENATE(";",EscStr(CONCATENATE("NavNode_",getCategoryLevelAsString(#REF!))),";",EscStr(T102),";")))</f>
        <v>#VALUE!</v>
      </c>
      <c r="AN102" s="10" t="e">
        <f>IF(getCategoryLevelAsString(#REF!)="L0D_324785","",IF(U102="",CONCATENATE(";",EscStr(CONCATENATE("NavNode_",getCategoryLevelAsString(#REF!))),";",EscStr($J102),";"),CONCATENATE(";",EscStr(CONCATENATE("NavNode_",getCategoryLevelAsString(#REF!))),";",EscStr(U102),";")))</f>
        <v>#VALUE!</v>
      </c>
      <c r="AO102" s="10" t="e">
        <f>IF(getCategoryLevelAsString(#REF!)="L0D_324785","",IF(V102="",CONCATENATE(";",EscStr(CONCATENATE("NavNode_",getCategoryLevelAsString(#REF!))),";",EscStr($J102),";"),CONCATENATE(";",EscStr(CONCATENATE("NavNode_",getCategoryLevelAsString(#REF!))),";",EscStr(V102),";")))</f>
        <v>#VALUE!</v>
      </c>
      <c r="AP102" s="10" t="e">
        <f>IF(getCategoryLevelAsString(#REF!)="L0D_324785","",IF(W102="",CONCATENATE(";",EscStr(CONCATENATE("NavNode_",getCategoryLevelAsString(#REF!))),";",EscStr($J102),";"),CONCATENATE(";",EscStr(CONCATENATE("NavNode_",getCategoryLevelAsString(#REF!))),";",EscStr(W102),";")))</f>
        <v>#VALUE!</v>
      </c>
      <c r="AQ102" s="10" t="e">
        <f>IF(getCategoryLevelAsString(#REF!)="L0D_324785","",IF(X102="",CONCATENATE(";",EscStr(CONCATENATE("NavNode_",getCategoryLevelAsString(#REF!))),";",EscStr($J102),";"),CONCATENATE(";",EscStr(CONCATENATE("NavNode_",getCategoryLevelAsString(#REF!))),";",EscStr(X102),";")))</f>
        <v>#VALUE!</v>
      </c>
      <c r="AR102" s="8" t="e">
        <f>IF(OR($A102&lt;&gt;"", $G102=""),"",CONCATENATE(";",EscStr(CONCATENATE("NavEntry_",getCategoryLevelAsString(#REF!))),";",EscStr(CONCATENATE($J102," Navigation Entry")),";",EscStr(CONCATENATE("cat-",getCategoryLevelAsString(#REF!))),";",EscStr(CONCATENATE("NavNode_",getCategoryLevelAsString(#REF!))),";"))</f>
        <v>#VALUE!</v>
      </c>
    </row>
    <row r="103" spans="1:44" ht="15" x14ac:dyDescent="0.25">
      <c r="A103" s="25"/>
      <c r="B103" s="5"/>
      <c r="C103" s="5"/>
      <c r="D103" s="5" t="s">
        <v>157</v>
      </c>
      <c r="E103" s="5"/>
      <c r="F103" s="5"/>
      <c r="G103" s="5" t="s">
        <v>409</v>
      </c>
      <c r="H103" s="5" t="s">
        <v>410</v>
      </c>
      <c r="I103" s="5" t="s">
        <v>411</v>
      </c>
      <c r="J103" s="5" t="s">
        <v>158</v>
      </c>
      <c r="K103" s="5" t="s">
        <v>1225</v>
      </c>
      <c r="L103" s="5" t="s">
        <v>1459</v>
      </c>
      <c r="M103" s="5" t="s">
        <v>1692</v>
      </c>
      <c r="N103" s="5" t="s">
        <v>1894</v>
      </c>
      <c r="O103" s="5" t="s">
        <v>2625</v>
      </c>
      <c r="P103" s="5" t="s">
        <v>2626</v>
      </c>
      <c r="Q103" s="5" t="s">
        <v>2627</v>
      </c>
      <c r="R103" s="5" t="s">
        <v>2610</v>
      </c>
      <c r="S103" s="5" t="s">
        <v>2628</v>
      </c>
      <c r="T103" s="5" t="s">
        <v>2629</v>
      </c>
      <c r="U103" s="5" t="s">
        <v>2630</v>
      </c>
      <c r="V103" s="5" t="s">
        <v>2573</v>
      </c>
      <c r="W103" s="5" t="s">
        <v>2631</v>
      </c>
      <c r="X103" s="5" t="s">
        <v>2630</v>
      </c>
      <c r="Y103" s="10" t="e">
        <f>IF(OR($A103&lt;&gt;"", $G103=""),"",CONCATENATE(";",EscStr(CONCATENATE("NavNode_",getCategoryLevelAsString(#REF!))),";",EscStr($J103),";",IF(#REF!&lt;&gt;"","""MainNavNode""",EscStr(CONCATENATE("NavNode_",getSuperCategory(#REF!, getCategoryLevelAsNumber(#REF!))))),";"))</f>
        <v>#VALUE!</v>
      </c>
      <c r="Z103" s="10" t="e">
        <f>IF(getCategoryLevelAsString(#REF!)="L0D_324785","",IF(G103="",CONCATENATE(";",EscStr(CONCATENATE("NavNode_",getCategoryLevelAsString(#REF!))),";",EscStr($J103),";"),CONCATENATE(";",EscStr(CONCATENATE("NavNode_",getCategoryLevelAsString(#REF!))),";",EscStr(G103),";")))</f>
        <v>#VALUE!</v>
      </c>
      <c r="AA103" s="10" t="e">
        <f>IF(getCategoryLevelAsString(#REF!)="L0D_324785","",IF(H103="",CONCATENATE(";",EscStr(CONCATENATE("NavNode_",getCategoryLevelAsString(#REF!))),";",EscStr($J103),";"),CONCATENATE(";",EscStr(CONCATENATE("NavNode_",getCategoryLevelAsString(#REF!))),";",EscStr(H103),";")))</f>
        <v>#VALUE!</v>
      </c>
      <c r="AB103" s="10" t="e">
        <f>IF(getCategoryLevelAsString(#REF!)="L0D_324785","",IF(I103="",CONCATENATE(";",EscStr(CONCATENATE("NavNode_",getCategoryLevelAsString(#REF!))),";",EscStr($J103),";"),CONCATENATE(";",EscStr(CONCATENATE("NavNode_",getCategoryLevelAsString(#REF!))),";",EscStr(I103),";")))</f>
        <v>#VALUE!</v>
      </c>
      <c r="AC103" s="10" t="e">
        <f>IF(getCategoryLevelAsString(#REF!)="L0D_324785","",IF(J103="",CONCATENATE(";",EscStr(CONCATENATE("NavNode_",getCategoryLevelAsString(#REF!))),";",EscStr($J103),";"),CONCATENATE(";",EscStr(CONCATENATE("NavNode_",getCategoryLevelAsString(#REF!))),";",EscStr(J103),";")))</f>
        <v>#VALUE!</v>
      </c>
      <c r="AD103" s="10" t="e">
        <f>IF(getCategoryLevelAsString(#REF!)="L0D_324785","",IF(K103="",CONCATENATE(";",EscStr(CONCATENATE("NavNode_",getCategoryLevelAsString(#REF!))),";",EscStr($J103),";"),CONCATENATE(";",EscStr(CONCATENATE("NavNode_",getCategoryLevelAsString(#REF!))),";",EscStr(K103),";")))</f>
        <v>#VALUE!</v>
      </c>
      <c r="AE103" s="10" t="e">
        <f>IF(getCategoryLevelAsString(#REF!)="L0D_324785","",IF(L103="",CONCATENATE(";",EscStr(CONCATENATE("NavNode_",getCategoryLevelAsString(#REF!))),";",EscStr($J103),";"),CONCATENATE(";",EscStr(CONCATENATE("NavNode_",getCategoryLevelAsString(#REF!))),";",EscStr(L103),";")))</f>
        <v>#VALUE!</v>
      </c>
      <c r="AF103" s="10" t="e">
        <f>IF(getCategoryLevelAsString(#REF!)="L0D_324785","",IF(M103="",CONCATENATE(";",EscStr(CONCATENATE("NavNode_",getCategoryLevelAsString(#REF!))),";",EscStr($J103),";"),CONCATENATE(";",EscStr(CONCATENATE("NavNode_",getCategoryLevelAsString(#REF!))),";",EscStr(M103),";")))</f>
        <v>#VALUE!</v>
      </c>
      <c r="AG103" s="10" t="e">
        <f>IF(getCategoryLevelAsString(#REF!)="L0D_324785","",IF(N103="",CONCATENATE(";",EscStr(CONCATENATE("NavNode_",getCategoryLevelAsString(#REF!))),";",EscStr($J103),";"),CONCATENATE(";",EscStr(CONCATENATE("NavNode_",getCategoryLevelAsString(#REF!))),";",EscStr(N103),";")))</f>
        <v>#VALUE!</v>
      </c>
      <c r="AH103" s="10" t="e">
        <f>IF(getCategoryLevelAsString(#REF!)="L0D_324785","",IF(O103="",CONCATENATE(";",EscStr(CONCATENATE("NavNode_",getCategoryLevelAsString(#REF!))),";",EscStr($J103),";"),CONCATENATE(";",EscStr(CONCATENATE("NavNode_",getCategoryLevelAsString(#REF!))),";",EscStr(O103),";")))</f>
        <v>#VALUE!</v>
      </c>
      <c r="AI103" s="10" t="e">
        <f>IF(getCategoryLevelAsString(#REF!)="L0D_324785","",IF(P103="",CONCATENATE(";",EscStr(CONCATENATE("NavNode_",getCategoryLevelAsString(#REF!))),";",EscStr($J103),";"),CONCATENATE(";",EscStr(CONCATENATE("NavNode_",getCategoryLevelAsString(#REF!))),";",EscStr(P103),";")))</f>
        <v>#VALUE!</v>
      </c>
      <c r="AJ103" s="10" t="e">
        <f>IF(getCategoryLevelAsString(#REF!)="L0D_324785","",IF(Q103="",CONCATENATE(";",EscStr(CONCATENATE("NavNode_",getCategoryLevelAsString(#REF!))),";",EscStr($J103),";"),CONCATENATE(";",EscStr(CONCATENATE("NavNode_",getCategoryLevelAsString(#REF!))),";",EscStr(Q103),";")))</f>
        <v>#VALUE!</v>
      </c>
      <c r="AK103" s="10" t="e">
        <f>IF(getCategoryLevelAsString(#REF!)="L0D_324785","",IF(R103="",CONCATENATE(";",EscStr(CONCATENATE("NavNode_",getCategoryLevelAsString(#REF!))),";",EscStr($J103),";"),CONCATENATE(";",EscStr(CONCATENATE("NavNode_",getCategoryLevelAsString(#REF!))),";",EscStr(R103),";")))</f>
        <v>#VALUE!</v>
      </c>
      <c r="AL103" s="10" t="e">
        <f>IF(getCategoryLevelAsString(#REF!)="L0D_324785","",IF(S103="",CONCATENATE(";",EscStr(CONCATENATE("NavNode_",getCategoryLevelAsString(#REF!))),";",EscStr($J103),";"),CONCATENATE(";",EscStr(CONCATENATE("NavNode_",getCategoryLevelAsString(#REF!))),";",EscStr(S103),";")))</f>
        <v>#VALUE!</v>
      </c>
      <c r="AM103" s="10" t="e">
        <f>IF(getCategoryLevelAsString(#REF!)="L0D_324785","",IF(T103="",CONCATENATE(";",EscStr(CONCATENATE("NavNode_",getCategoryLevelAsString(#REF!))),";",EscStr($J103),";"),CONCATENATE(";",EscStr(CONCATENATE("NavNode_",getCategoryLevelAsString(#REF!))),";",EscStr(T103),";")))</f>
        <v>#VALUE!</v>
      </c>
      <c r="AN103" s="10" t="e">
        <f>IF(getCategoryLevelAsString(#REF!)="L0D_324785","",IF(U103="",CONCATENATE(";",EscStr(CONCATENATE("NavNode_",getCategoryLevelAsString(#REF!))),";",EscStr($J103),";"),CONCATENATE(";",EscStr(CONCATENATE("NavNode_",getCategoryLevelAsString(#REF!))),";",EscStr(U103),";")))</f>
        <v>#VALUE!</v>
      </c>
      <c r="AO103" s="10" t="e">
        <f>IF(getCategoryLevelAsString(#REF!)="L0D_324785","",IF(V103="",CONCATENATE(";",EscStr(CONCATENATE("NavNode_",getCategoryLevelAsString(#REF!))),";",EscStr($J103),";"),CONCATENATE(";",EscStr(CONCATENATE("NavNode_",getCategoryLevelAsString(#REF!))),";",EscStr(V103),";")))</f>
        <v>#VALUE!</v>
      </c>
      <c r="AP103" s="10" t="e">
        <f>IF(getCategoryLevelAsString(#REF!)="L0D_324785","",IF(W103="",CONCATENATE(";",EscStr(CONCATENATE("NavNode_",getCategoryLevelAsString(#REF!))),";",EscStr($J103),";"),CONCATENATE(";",EscStr(CONCATENATE("NavNode_",getCategoryLevelAsString(#REF!))),";",EscStr(W103),";")))</f>
        <v>#VALUE!</v>
      </c>
      <c r="AQ103" s="10" t="e">
        <f>IF(getCategoryLevelAsString(#REF!)="L0D_324785","",IF(X103="",CONCATENATE(";",EscStr(CONCATENATE("NavNode_",getCategoryLevelAsString(#REF!))),";",EscStr($J103),";"),CONCATENATE(";",EscStr(CONCATENATE("NavNode_",getCategoryLevelAsString(#REF!))),";",EscStr(X103),";")))</f>
        <v>#VALUE!</v>
      </c>
      <c r="AR103" s="8" t="e">
        <f>IF(OR($A103&lt;&gt;"", $G103=""),"",CONCATENATE(";",EscStr(CONCATENATE("NavEntry_",getCategoryLevelAsString(#REF!))),";",EscStr(CONCATENATE($J103," Navigation Entry")),";",EscStr(CONCATENATE("cat-",getCategoryLevelAsString(#REF!))),";",EscStr(CONCATENATE("NavNode_",getCategoryLevelAsString(#REF!))),";"))</f>
        <v>#VALUE!</v>
      </c>
    </row>
    <row r="104" spans="1:44" ht="15" x14ac:dyDescent="0.25">
      <c r="A104" s="25"/>
      <c r="B104" s="5"/>
      <c r="C104" s="5"/>
      <c r="D104" s="5" t="s">
        <v>152</v>
      </c>
      <c r="E104" s="5"/>
      <c r="F104" s="5"/>
      <c r="G104" s="5" t="s">
        <v>403</v>
      </c>
      <c r="H104" s="5" t="s">
        <v>404</v>
      </c>
      <c r="I104" s="5" t="s">
        <v>405</v>
      </c>
      <c r="J104" s="5" t="s">
        <v>153</v>
      </c>
      <c r="K104" s="5" t="s">
        <v>1226</v>
      </c>
      <c r="L104" s="5" t="s">
        <v>1460</v>
      </c>
      <c r="M104" s="5" t="s">
        <v>1693</v>
      </c>
      <c r="N104" s="5" t="s">
        <v>1895</v>
      </c>
      <c r="O104" s="5" t="s">
        <v>2632</v>
      </c>
      <c r="P104" s="5" t="s">
        <v>2633</v>
      </c>
      <c r="Q104" s="5" t="s">
        <v>2634</v>
      </c>
      <c r="R104" s="5" t="s">
        <v>2635</v>
      </c>
      <c r="S104" s="5" t="s">
        <v>2636</v>
      </c>
      <c r="T104" s="5" t="s">
        <v>2637</v>
      </c>
      <c r="U104" s="5" t="s">
        <v>2638</v>
      </c>
      <c r="V104" s="5" t="s">
        <v>2639</v>
      </c>
      <c r="W104" s="5" t="s">
        <v>2640</v>
      </c>
      <c r="X104" s="5" t="s">
        <v>2638</v>
      </c>
      <c r="Y104" s="10" t="e">
        <f>IF(OR($A104&lt;&gt;"", $G104=""),"",CONCATENATE(";",EscStr(CONCATENATE("NavNode_",getCategoryLevelAsString(#REF!))),";",EscStr($J104),";",IF(#REF!&lt;&gt;"","""MainNavNode""",EscStr(CONCATENATE("NavNode_",getSuperCategory(#REF!, getCategoryLevelAsNumber(#REF!))))),";"))</f>
        <v>#VALUE!</v>
      </c>
      <c r="Z104" s="10" t="e">
        <f>IF(getCategoryLevelAsString(#REF!)="L0D_324785","",IF(G104="",CONCATENATE(";",EscStr(CONCATENATE("NavNode_",getCategoryLevelAsString(#REF!))),";",EscStr($J104),";"),CONCATENATE(";",EscStr(CONCATENATE("NavNode_",getCategoryLevelAsString(#REF!))),";",EscStr(G104),";")))</f>
        <v>#VALUE!</v>
      </c>
      <c r="AA104" s="10" t="e">
        <f>IF(getCategoryLevelAsString(#REF!)="L0D_324785","",IF(H104="",CONCATENATE(";",EscStr(CONCATENATE("NavNode_",getCategoryLevelAsString(#REF!))),";",EscStr($J104),";"),CONCATENATE(";",EscStr(CONCATENATE("NavNode_",getCategoryLevelAsString(#REF!))),";",EscStr(H104),";")))</f>
        <v>#VALUE!</v>
      </c>
      <c r="AB104" s="10" t="e">
        <f>IF(getCategoryLevelAsString(#REF!)="L0D_324785","",IF(I104="",CONCATENATE(";",EscStr(CONCATENATE("NavNode_",getCategoryLevelAsString(#REF!))),";",EscStr($J104),";"),CONCATENATE(";",EscStr(CONCATENATE("NavNode_",getCategoryLevelAsString(#REF!))),";",EscStr(I104),";")))</f>
        <v>#VALUE!</v>
      </c>
      <c r="AC104" s="10" t="e">
        <f>IF(getCategoryLevelAsString(#REF!)="L0D_324785","",IF(J104="",CONCATENATE(";",EscStr(CONCATENATE("NavNode_",getCategoryLevelAsString(#REF!))),";",EscStr($J104),";"),CONCATENATE(";",EscStr(CONCATENATE("NavNode_",getCategoryLevelAsString(#REF!))),";",EscStr(J104),";")))</f>
        <v>#VALUE!</v>
      </c>
      <c r="AD104" s="10" t="e">
        <f>IF(getCategoryLevelAsString(#REF!)="L0D_324785","",IF(K104="",CONCATENATE(";",EscStr(CONCATENATE("NavNode_",getCategoryLevelAsString(#REF!))),";",EscStr($J104),";"),CONCATENATE(";",EscStr(CONCATENATE("NavNode_",getCategoryLevelAsString(#REF!))),";",EscStr(K104),";")))</f>
        <v>#VALUE!</v>
      </c>
      <c r="AE104" s="10" t="e">
        <f>IF(getCategoryLevelAsString(#REF!)="L0D_324785","",IF(L104="",CONCATENATE(";",EscStr(CONCATENATE("NavNode_",getCategoryLevelAsString(#REF!))),";",EscStr($J104),";"),CONCATENATE(";",EscStr(CONCATENATE("NavNode_",getCategoryLevelAsString(#REF!))),";",EscStr(L104),";")))</f>
        <v>#VALUE!</v>
      </c>
      <c r="AF104" s="10" t="e">
        <f>IF(getCategoryLevelAsString(#REF!)="L0D_324785","",IF(M104="",CONCATENATE(";",EscStr(CONCATENATE("NavNode_",getCategoryLevelAsString(#REF!))),";",EscStr($J104),";"),CONCATENATE(";",EscStr(CONCATENATE("NavNode_",getCategoryLevelAsString(#REF!))),";",EscStr(M104),";")))</f>
        <v>#VALUE!</v>
      </c>
      <c r="AG104" s="10" t="e">
        <f>IF(getCategoryLevelAsString(#REF!)="L0D_324785","",IF(N104="",CONCATENATE(";",EscStr(CONCATENATE("NavNode_",getCategoryLevelAsString(#REF!))),";",EscStr($J104),";"),CONCATENATE(";",EscStr(CONCATENATE("NavNode_",getCategoryLevelAsString(#REF!))),";",EscStr(N104),";")))</f>
        <v>#VALUE!</v>
      </c>
      <c r="AH104" s="10" t="e">
        <f>IF(getCategoryLevelAsString(#REF!)="L0D_324785","",IF(O104="",CONCATENATE(";",EscStr(CONCATENATE("NavNode_",getCategoryLevelAsString(#REF!))),";",EscStr($J104),";"),CONCATENATE(";",EscStr(CONCATENATE("NavNode_",getCategoryLevelAsString(#REF!))),";",EscStr(O104),";")))</f>
        <v>#VALUE!</v>
      </c>
      <c r="AI104" s="10" t="e">
        <f>IF(getCategoryLevelAsString(#REF!)="L0D_324785","",IF(P104="",CONCATENATE(";",EscStr(CONCATENATE("NavNode_",getCategoryLevelAsString(#REF!))),";",EscStr($J104),";"),CONCATENATE(";",EscStr(CONCATENATE("NavNode_",getCategoryLevelAsString(#REF!))),";",EscStr(P104),";")))</f>
        <v>#VALUE!</v>
      </c>
      <c r="AJ104" s="10" t="e">
        <f>IF(getCategoryLevelAsString(#REF!)="L0D_324785","",IF(Q104="",CONCATENATE(";",EscStr(CONCATENATE("NavNode_",getCategoryLevelAsString(#REF!))),";",EscStr($J104),";"),CONCATENATE(";",EscStr(CONCATENATE("NavNode_",getCategoryLevelAsString(#REF!))),";",EscStr(Q104),";")))</f>
        <v>#VALUE!</v>
      </c>
      <c r="AK104" s="10" t="e">
        <f>IF(getCategoryLevelAsString(#REF!)="L0D_324785","",IF(R104="",CONCATENATE(";",EscStr(CONCATENATE("NavNode_",getCategoryLevelAsString(#REF!))),";",EscStr($J104),";"),CONCATENATE(";",EscStr(CONCATENATE("NavNode_",getCategoryLevelAsString(#REF!))),";",EscStr(R104),";")))</f>
        <v>#VALUE!</v>
      </c>
      <c r="AL104" s="10" t="e">
        <f>IF(getCategoryLevelAsString(#REF!)="L0D_324785","",IF(S104="",CONCATENATE(";",EscStr(CONCATENATE("NavNode_",getCategoryLevelAsString(#REF!))),";",EscStr($J104),";"),CONCATENATE(";",EscStr(CONCATENATE("NavNode_",getCategoryLevelAsString(#REF!))),";",EscStr(S104),";")))</f>
        <v>#VALUE!</v>
      </c>
      <c r="AM104" s="10" t="e">
        <f>IF(getCategoryLevelAsString(#REF!)="L0D_324785","",IF(T104="",CONCATENATE(";",EscStr(CONCATENATE("NavNode_",getCategoryLevelAsString(#REF!))),";",EscStr($J104),";"),CONCATENATE(";",EscStr(CONCATENATE("NavNode_",getCategoryLevelAsString(#REF!))),";",EscStr(T104),";")))</f>
        <v>#VALUE!</v>
      </c>
      <c r="AN104" s="10" t="e">
        <f>IF(getCategoryLevelAsString(#REF!)="L0D_324785","",IF(U104="",CONCATENATE(";",EscStr(CONCATENATE("NavNode_",getCategoryLevelAsString(#REF!))),";",EscStr($J104),";"),CONCATENATE(";",EscStr(CONCATENATE("NavNode_",getCategoryLevelAsString(#REF!))),";",EscStr(U104),";")))</f>
        <v>#VALUE!</v>
      </c>
      <c r="AO104" s="10" t="e">
        <f>IF(getCategoryLevelAsString(#REF!)="L0D_324785","",IF(V104="",CONCATENATE(";",EscStr(CONCATENATE("NavNode_",getCategoryLevelAsString(#REF!))),";",EscStr($J104),";"),CONCATENATE(";",EscStr(CONCATENATE("NavNode_",getCategoryLevelAsString(#REF!))),";",EscStr(V104),";")))</f>
        <v>#VALUE!</v>
      </c>
      <c r="AP104" s="10" t="e">
        <f>IF(getCategoryLevelAsString(#REF!)="L0D_324785","",IF(W104="",CONCATENATE(";",EscStr(CONCATENATE("NavNode_",getCategoryLevelAsString(#REF!))),";",EscStr($J104),";"),CONCATENATE(";",EscStr(CONCATENATE("NavNode_",getCategoryLevelAsString(#REF!))),";",EscStr(W104),";")))</f>
        <v>#VALUE!</v>
      </c>
      <c r="AQ104" s="10" t="e">
        <f>IF(getCategoryLevelAsString(#REF!)="L0D_324785","",IF(X104="",CONCATENATE(";",EscStr(CONCATENATE("NavNode_",getCategoryLevelAsString(#REF!))),";",EscStr($J104),";"),CONCATENATE(";",EscStr(CONCATENATE("NavNode_",getCategoryLevelAsString(#REF!))),";",EscStr(X104),";")))</f>
        <v>#VALUE!</v>
      </c>
      <c r="AR104" s="8" t="e">
        <f>IF(OR($A104&lt;&gt;"", $G104=""),"",CONCATENATE(";",EscStr(CONCATENATE("NavEntry_",getCategoryLevelAsString(#REF!))),";",EscStr(CONCATENATE($J104," Navigation Entry")),";",EscStr(CONCATENATE("cat-",getCategoryLevelAsString(#REF!))),";",EscStr(CONCATENATE("NavNode_",getCategoryLevelAsString(#REF!))),";"))</f>
        <v>#VALUE!</v>
      </c>
    </row>
    <row r="105" spans="1:44" ht="15" hidden="1" x14ac:dyDescent="0.25">
      <c r="A105" s="25"/>
      <c r="B105" s="5"/>
      <c r="C105" s="5"/>
      <c r="D105" s="5" t="s">
        <v>7356</v>
      </c>
      <c r="E105" s="5"/>
      <c r="F105" s="5"/>
      <c r="G105" s="5" t="s">
        <v>7358</v>
      </c>
      <c r="H105" s="5"/>
      <c r="I105" s="5"/>
      <c r="J105" s="5" t="s">
        <v>7357</v>
      </c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8"/>
    </row>
    <row r="106" spans="1:44" ht="15" hidden="1" x14ac:dyDescent="0.25">
      <c r="A106" s="25"/>
      <c r="B106" s="5"/>
      <c r="C106" s="5"/>
      <c r="D106" s="5" t="s">
        <v>7373</v>
      </c>
      <c r="E106" s="5"/>
      <c r="F106" s="5"/>
      <c r="G106" s="5" t="s">
        <v>7375</v>
      </c>
      <c r="H106" s="5"/>
      <c r="I106" s="5"/>
      <c r="J106" s="5" t="s">
        <v>7374</v>
      </c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8"/>
    </row>
    <row r="107" spans="1:44" ht="15" x14ac:dyDescent="0.25">
      <c r="A107" s="25"/>
      <c r="B107" s="5"/>
      <c r="C107" s="5" t="s">
        <v>23</v>
      </c>
      <c r="D107" s="5"/>
      <c r="E107" s="5"/>
      <c r="F107" s="5"/>
      <c r="G107" s="5" t="s">
        <v>435</v>
      </c>
      <c r="H107" s="5" t="s">
        <v>436</v>
      </c>
      <c r="I107" s="5" t="s">
        <v>437</v>
      </c>
      <c r="J107" s="5" t="s">
        <v>6</v>
      </c>
      <c r="K107" s="5" t="s">
        <v>1227</v>
      </c>
      <c r="L107" s="5" t="s">
        <v>1461</v>
      </c>
      <c r="M107" s="5" t="s">
        <v>1694</v>
      </c>
      <c r="N107" s="5" t="s">
        <v>1896</v>
      </c>
      <c r="O107" s="5" t="s">
        <v>2641</v>
      </c>
      <c r="P107" s="5" t="s">
        <v>2642</v>
      </c>
      <c r="Q107" s="5" t="s">
        <v>2643</v>
      </c>
      <c r="R107" s="5" t="s">
        <v>2644</v>
      </c>
      <c r="S107" s="5" t="s">
        <v>2645</v>
      </c>
      <c r="T107" s="5" t="s">
        <v>2646</v>
      </c>
      <c r="U107" s="5" t="s">
        <v>2647</v>
      </c>
      <c r="V107" s="5" t="s">
        <v>2648</v>
      </c>
      <c r="W107" s="5" t="s">
        <v>2649</v>
      </c>
      <c r="X107" s="5" t="s">
        <v>2647</v>
      </c>
      <c r="Y107" s="10" t="e">
        <f>IF(OR($A107&lt;&gt;"", $G107=""),"",CONCATENATE(";",EscStr(CONCATENATE("NavNode_",getCategoryLevelAsString(#REF!))),";",EscStr($J107),";",IF(#REF!&lt;&gt;"","""MainNavNode""",EscStr(CONCATENATE("NavNode_",getSuperCategory(#REF!, getCategoryLevelAsNumber(#REF!))))),";"))</f>
        <v>#VALUE!</v>
      </c>
      <c r="Z107" s="10" t="e">
        <f>IF(getCategoryLevelAsString(#REF!)="L0D_324785","",IF(G107="",CONCATENATE(";",EscStr(CONCATENATE("NavNode_",getCategoryLevelAsString(#REF!))),";",EscStr($J107),";"),CONCATENATE(";",EscStr(CONCATENATE("NavNode_",getCategoryLevelAsString(#REF!))),";",EscStr(G107),";")))</f>
        <v>#VALUE!</v>
      </c>
      <c r="AA107" s="10" t="e">
        <f>IF(getCategoryLevelAsString(#REF!)="L0D_324785","",IF(H107="",CONCATENATE(";",EscStr(CONCATENATE("NavNode_",getCategoryLevelAsString(#REF!))),";",EscStr($J107),";"),CONCATENATE(";",EscStr(CONCATENATE("NavNode_",getCategoryLevelAsString(#REF!))),";",EscStr(H107),";")))</f>
        <v>#VALUE!</v>
      </c>
      <c r="AB107" s="10" t="e">
        <f>IF(getCategoryLevelAsString(#REF!)="L0D_324785","",IF(I107="",CONCATENATE(";",EscStr(CONCATENATE("NavNode_",getCategoryLevelAsString(#REF!))),";",EscStr($J107),";"),CONCATENATE(";",EscStr(CONCATENATE("NavNode_",getCategoryLevelAsString(#REF!))),";",EscStr(I107),";")))</f>
        <v>#VALUE!</v>
      </c>
      <c r="AC107" s="10" t="e">
        <f>IF(getCategoryLevelAsString(#REF!)="L0D_324785","",IF(J107="",CONCATENATE(";",EscStr(CONCATENATE("NavNode_",getCategoryLevelAsString(#REF!))),";",EscStr($J107),";"),CONCATENATE(";",EscStr(CONCATENATE("NavNode_",getCategoryLevelAsString(#REF!))),";",EscStr(J107),";")))</f>
        <v>#VALUE!</v>
      </c>
      <c r="AD107" s="10" t="e">
        <f>IF(getCategoryLevelAsString(#REF!)="L0D_324785","",IF(K107="",CONCATENATE(";",EscStr(CONCATENATE("NavNode_",getCategoryLevelAsString(#REF!))),";",EscStr($J107),";"),CONCATENATE(";",EscStr(CONCATENATE("NavNode_",getCategoryLevelAsString(#REF!))),";",EscStr(K107),";")))</f>
        <v>#VALUE!</v>
      </c>
      <c r="AE107" s="10" t="e">
        <f>IF(getCategoryLevelAsString(#REF!)="L0D_324785","",IF(L107="",CONCATENATE(";",EscStr(CONCATENATE("NavNode_",getCategoryLevelAsString(#REF!))),";",EscStr($J107),";"),CONCATENATE(";",EscStr(CONCATENATE("NavNode_",getCategoryLevelAsString(#REF!))),";",EscStr(L107),";")))</f>
        <v>#VALUE!</v>
      </c>
      <c r="AF107" s="10" t="e">
        <f>IF(getCategoryLevelAsString(#REF!)="L0D_324785","",IF(M107="",CONCATENATE(";",EscStr(CONCATENATE("NavNode_",getCategoryLevelAsString(#REF!))),";",EscStr($J107),";"),CONCATENATE(";",EscStr(CONCATENATE("NavNode_",getCategoryLevelAsString(#REF!))),";",EscStr(M107),";")))</f>
        <v>#VALUE!</v>
      </c>
      <c r="AG107" s="10" t="e">
        <f>IF(getCategoryLevelAsString(#REF!)="L0D_324785","",IF(N107="",CONCATENATE(";",EscStr(CONCATENATE("NavNode_",getCategoryLevelAsString(#REF!))),";",EscStr($J107),";"),CONCATENATE(";",EscStr(CONCATENATE("NavNode_",getCategoryLevelAsString(#REF!))),";",EscStr(N107),";")))</f>
        <v>#VALUE!</v>
      </c>
      <c r="AH107" s="10" t="e">
        <f>IF(getCategoryLevelAsString(#REF!)="L0D_324785","",IF(O107="",CONCATENATE(";",EscStr(CONCATENATE("NavNode_",getCategoryLevelAsString(#REF!))),";",EscStr($J107),";"),CONCATENATE(";",EscStr(CONCATENATE("NavNode_",getCategoryLevelAsString(#REF!))),";",EscStr(O107),";")))</f>
        <v>#VALUE!</v>
      </c>
      <c r="AI107" s="10" t="e">
        <f>IF(getCategoryLevelAsString(#REF!)="L0D_324785","",IF(P107="",CONCATENATE(";",EscStr(CONCATENATE("NavNode_",getCategoryLevelAsString(#REF!))),";",EscStr($J107),";"),CONCATENATE(";",EscStr(CONCATENATE("NavNode_",getCategoryLevelAsString(#REF!))),";",EscStr(P107),";")))</f>
        <v>#VALUE!</v>
      </c>
      <c r="AJ107" s="10" t="e">
        <f>IF(getCategoryLevelAsString(#REF!)="L0D_324785","",IF(Q107="",CONCATENATE(";",EscStr(CONCATENATE("NavNode_",getCategoryLevelAsString(#REF!))),";",EscStr($J107),";"),CONCATENATE(";",EscStr(CONCATENATE("NavNode_",getCategoryLevelAsString(#REF!))),";",EscStr(Q107),";")))</f>
        <v>#VALUE!</v>
      </c>
      <c r="AK107" s="10" t="e">
        <f>IF(getCategoryLevelAsString(#REF!)="L0D_324785","",IF(R107="",CONCATENATE(";",EscStr(CONCATENATE("NavNode_",getCategoryLevelAsString(#REF!))),";",EscStr($J107),";"),CONCATENATE(";",EscStr(CONCATENATE("NavNode_",getCategoryLevelAsString(#REF!))),";",EscStr(R107),";")))</f>
        <v>#VALUE!</v>
      </c>
      <c r="AL107" s="10" t="e">
        <f>IF(getCategoryLevelAsString(#REF!)="L0D_324785","",IF(S107="",CONCATENATE(";",EscStr(CONCATENATE("NavNode_",getCategoryLevelAsString(#REF!))),";",EscStr($J107),";"),CONCATENATE(";",EscStr(CONCATENATE("NavNode_",getCategoryLevelAsString(#REF!))),";",EscStr(S107),";")))</f>
        <v>#VALUE!</v>
      </c>
      <c r="AM107" s="10" t="e">
        <f>IF(getCategoryLevelAsString(#REF!)="L0D_324785","",IF(T107="",CONCATENATE(";",EscStr(CONCATENATE("NavNode_",getCategoryLevelAsString(#REF!))),";",EscStr($J107),";"),CONCATENATE(";",EscStr(CONCATENATE("NavNode_",getCategoryLevelAsString(#REF!))),";",EscStr(T107),";")))</f>
        <v>#VALUE!</v>
      </c>
      <c r="AN107" s="10" t="e">
        <f>IF(getCategoryLevelAsString(#REF!)="L0D_324785","",IF(U107="",CONCATENATE(";",EscStr(CONCATENATE("NavNode_",getCategoryLevelAsString(#REF!))),";",EscStr($J107),";"),CONCATENATE(";",EscStr(CONCATENATE("NavNode_",getCategoryLevelAsString(#REF!))),";",EscStr(U107),";")))</f>
        <v>#VALUE!</v>
      </c>
      <c r="AO107" s="10" t="e">
        <f>IF(getCategoryLevelAsString(#REF!)="L0D_324785","",IF(V107="",CONCATENATE(";",EscStr(CONCATENATE("NavNode_",getCategoryLevelAsString(#REF!))),";",EscStr($J107),";"),CONCATENATE(";",EscStr(CONCATENATE("NavNode_",getCategoryLevelAsString(#REF!))),";",EscStr(V107),";")))</f>
        <v>#VALUE!</v>
      </c>
      <c r="AP107" s="10" t="e">
        <f>IF(getCategoryLevelAsString(#REF!)="L0D_324785","",IF(W107="",CONCATENATE(";",EscStr(CONCATENATE("NavNode_",getCategoryLevelAsString(#REF!))),";",EscStr($J107),";"),CONCATENATE(";",EscStr(CONCATENATE("NavNode_",getCategoryLevelAsString(#REF!))),";",EscStr(W107),";")))</f>
        <v>#VALUE!</v>
      </c>
      <c r="AQ107" s="10" t="e">
        <f>IF(getCategoryLevelAsString(#REF!)="L0D_324785","",IF(X107="",CONCATENATE(";",EscStr(CONCATENATE("NavNode_",getCategoryLevelAsString(#REF!))),";",EscStr($J107),";"),CONCATENATE(";",EscStr(CONCATENATE("NavNode_",getCategoryLevelAsString(#REF!))),";",EscStr(X107),";")))</f>
        <v>#VALUE!</v>
      </c>
      <c r="AR107" s="8" t="e">
        <f>IF(OR($A107&lt;&gt;"", $G107=""),"",CONCATENATE(";",EscStr(CONCATENATE("NavEntry_",getCategoryLevelAsString(#REF!))),";",EscStr(CONCATENATE($J107," Navigation Entry")),";",EscStr(CONCATENATE("cat-",getCategoryLevelAsString(#REF!))),";",EscStr(CONCATENATE("NavNode_",getCategoryLevelAsString(#REF!))),";"))</f>
        <v>#VALUE!</v>
      </c>
    </row>
    <row r="108" spans="1:44" ht="15" x14ac:dyDescent="0.25">
      <c r="A108" s="25"/>
      <c r="B108" s="5"/>
      <c r="C108" s="5"/>
      <c r="D108" s="5" t="s">
        <v>183</v>
      </c>
      <c r="E108" s="5"/>
      <c r="F108" s="5"/>
      <c r="G108" s="5" t="s">
        <v>450</v>
      </c>
      <c r="H108" s="5" t="s">
        <v>451</v>
      </c>
      <c r="I108" s="5" t="s">
        <v>452</v>
      </c>
      <c r="J108" s="5" t="s">
        <v>184</v>
      </c>
      <c r="K108" s="5" t="s">
        <v>1228</v>
      </c>
      <c r="L108" s="5" t="s">
        <v>1462</v>
      </c>
      <c r="M108" s="5" t="s">
        <v>1695</v>
      </c>
      <c r="N108" s="5" t="s">
        <v>1897</v>
      </c>
      <c r="O108" s="5" t="s">
        <v>2650</v>
      </c>
      <c r="P108" s="5" t="s">
        <v>2651</v>
      </c>
      <c r="Q108" s="5" t="s">
        <v>2652</v>
      </c>
      <c r="R108" s="5" t="s">
        <v>2653</v>
      </c>
      <c r="S108" s="5" t="s">
        <v>2654</v>
      </c>
      <c r="T108" s="5" t="s">
        <v>2655</v>
      </c>
      <c r="U108" s="5" t="s">
        <v>2656</v>
      </c>
      <c r="V108" s="5" t="s">
        <v>2657</v>
      </c>
      <c r="W108" s="5" t="s">
        <v>2658</v>
      </c>
      <c r="X108" s="5" t="s">
        <v>2656</v>
      </c>
      <c r="Y108" s="10" t="str">
        <f>IF(OR($A108&lt;&gt;"", $G108=""),"",CONCATENATE(";",EscStr(CONCATENATE("NavNode_",getCategoryLevelAsString($B108))),";",EscStr($J108),";",IF($B108&lt;&gt;"","""MainNavNode""",EscStr(CONCATENATE("NavNode_",getSuperCategory($B108, getCategoryLevelAsNumber($B108))))),";"))</f>
        <v>;"NavNode_L3D_525371";"PCB Relays";"NavNode_L2D_379528";</v>
      </c>
      <c r="Z108" s="10" t="str">
        <f>IF(getCategoryLevelAsString($B108)="L0D_324785","",IF(G108="",CONCATENATE(";",EscStr(CONCATENATE("NavNode_",getCategoryLevelAsString($B108))),";",EscStr($J108),";"),CONCATENATE(";",EscStr(CONCATENATE("NavNode_",getCategoryLevelAsString($B108))),";",EscStr(G108),";")))</f>
        <v>;"NavNode_L3D_525371";"Printrelais";</v>
      </c>
      <c r="AA108" s="10" t="str">
        <f>IF(getCategoryLevelAsString($B108)="L0D_324785","",IF(H108="",CONCATENATE(";",EscStr(CONCATENATE("NavNode_",getCategoryLevelAsString($B108))),";",EscStr($J108),";"),CONCATENATE(";",EscStr(CONCATENATE("NavNode_",getCategoryLevelAsString($B108))),";",EscStr(H108),";")))</f>
        <v>;"NavNode_L3D_525371";"Relais d'impression";</v>
      </c>
      <c r="AB108" s="10" t="str">
        <f>IF(getCategoryLevelAsString($B108)="L0D_324785","",IF(I108="",CONCATENATE(";",EscStr(CONCATENATE("NavNode_",getCategoryLevelAsString($B108))),";",EscStr($J108),";"),CONCATENATE(";",EscStr(CONCATENATE("NavNode_",getCategoryLevelAsString($B108))),";",EscStr(I108),";")))</f>
        <v>;"NavNode_L3D_525371";"Relè PCB";</v>
      </c>
      <c r="AC108" s="10" t="str">
        <f>IF(getCategoryLevelAsString($B108)="L0D_324785","",IF(J108="",CONCATENATE(";",EscStr(CONCATENATE("NavNode_",getCategoryLevelAsString($B108))),";",EscStr($J108),";"),CONCATENATE(";",EscStr(CONCATENATE("NavNode_",getCategoryLevelAsString($B108))),";",EscStr(J108),";")))</f>
        <v>;"NavNode_L3D_525371";"PCB Relays";</v>
      </c>
      <c r="AD108" s="10" t="str">
        <f>IF(getCategoryLevelAsString($B108)="L0D_324785","",IF(K108="",CONCATENATE(";",EscStr(CONCATENATE("NavNode_",getCategoryLevelAsString($B108))),";",EscStr($J108),";"),CONCATENATE(";",EscStr(CONCATENATE("NavNode_",getCategoryLevelAsString($B108))),";",EscStr(K108),";")))</f>
        <v>;"NavNode_L3D_525371";"PCB-relæer";</v>
      </c>
      <c r="AE108" s="10" t="str">
        <f>IF(getCategoryLevelAsString($B108)="L0D_324785","",IF(L108="",CONCATENATE(";",EscStr(CONCATENATE("NavNode_",getCategoryLevelAsString($B108))),";",EscStr($J108),";"),CONCATENATE(";",EscStr(CONCATENATE("NavNode_",getCategoryLevelAsString($B108))),";",EscStr(L108),";")))</f>
        <v>;"NavNode_L3D_525371";"PCB relės";</v>
      </c>
      <c r="AF108" s="10" t="str">
        <f>IF(getCategoryLevelAsString($B108)="L0D_324785","",IF(M108="",CONCATENATE(";",EscStr(CONCATENATE("NavNode_",getCategoryLevelAsString($B108))),";",EscStr($J108),";"),CONCATENATE(";",EscStr(CONCATENATE("NavNode_",getCategoryLevelAsString($B108))),";",EscStr(M108),";")))</f>
        <v>;"NavNode_L3D_525371";"PCB-reléer";</v>
      </c>
      <c r="AG108" s="10" t="str">
        <f>IF(getCategoryLevelAsString($B108)="L0D_324785","",IF(N108="",CONCATENATE(";",EscStr(CONCATENATE("NavNode_",getCategoryLevelAsString($B108))),";",EscStr($J108),";"),CONCATENATE(";",EscStr(CONCATENATE("NavNode_",getCategoryLevelAsString($B108))),";",EscStr(N108),";")))</f>
        <v>;"NavNode_L3D_525371";"Kretskortsreläer";</v>
      </c>
      <c r="AH108" s="10" t="str">
        <f>IF(getCategoryLevelAsString($B108)="L0D_324785","",IF(O108="",CONCATENATE(";",EscStr(CONCATENATE("NavNode_",getCategoryLevelAsString($B108))),";",EscStr($J108),";"),CONCATENATE(";",EscStr(CONCATENATE("NavNode_",getCategoryLevelAsString($B108))),";",EscStr(O108),";")))</f>
        <v>;"NavNode_L3D_525371";"Trükkplaadi releed";</v>
      </c>
      <c r="AI108" s="10" t="str">
        <f>IF(getCategoryLevelAsString($B108)="L0D_324785","",IF(P108="",CONCATENATE(";",EscStr(CONCATENATE("NavNode_",getCategoryLevelAsString($B108))),";",EscStr($J108),";"),CONCATENATE(";",EscStr(CONCATENATE("NavNode_",getCategoryLevelAsString($B108))),";",EscStr(P108),";")))</f>
        <v>;"NavNode_L3D_525371";"PCB releet";</v>
      </c>
      <c r="AJ108" s="10" t="str">
        <f>IF(getCategoryLevelAsString($B108)="L0D_324785","",IF(Q108="",CONCATENATE(";",EscStr(CONCATENATE("NavNode_",getCategoryLevelAsString($B108))),";",EscStr($J108),";"),CONCATENATE(";",EscStr(CONCATENATE("NavNode_",getCategoryLevelAsString($B108))),";",EscStr(Q108),";")))</f>
        <v>;"NavNode_L3D_525371";"PCB releji";</v>
      </c>
      <c r="AK108" s="10" t="str">
        <f>IF(getCategoryLevelAsString($B108)="L0D_324785","",IF(R108="",CONCATENATE(";",EscStr(CONCATENATE("NavNode_",getCategoryLevelAsString($B108))),";",EscStr($J108),";"),CONCATENATE(";",EscStr(CONCATENATE("NavNode_",getCategoryLevelAsString($B108))),";",EscStr(R108),";")))</f>
        <v>;"NavNode_L3D_525371";"PCB Relais";</v>
      </c>
      <c r="AL108" s="10" t="str">
        <f>IF(getCategoryLevelAsString($B108)="L0D_324785","",IF(S108="",CONCATENATE(";",EscStr(CONCATENATE("NavNode_",getCategoryLevelAsString($B108))),";",EscStr($J108),";"),CONCATENATE(";",EscStr(CONCATENATE("NavNode_",getCategoryLevelAsString($B108))),";",EscStr(S108),";")))</f>
        <v>;"NavNode_L3D_525371";"Przekaźniki do druku";</v>
      </c>
      <c r="AM108" s="10" t="str">
        <f>IF(getCategoryLevelAsString($B108)="L0D_324785","",IF(T108="",CONCATENATE(";",EscStr(CONCATENATE("NavNode_",getCategoryLevelAsString($B108))),";",EscStr($J108),";"),CONCATENATE(";",EscStr(CONCATENATE("NavNode_",getCategoryLevelAsString($B108))),";",EscStr(T108),";")))</f>
        <v>;"NavNode_L3D_525371";"Реле на печатную плату";</v>
      </c>
      <c r="AN108" s="10" t="str">
        <f>IF(getCategoryLevelAsString($B108)="L0D_324785","",IF(U108="",CONCATENATE(";",EscStr(CONCATENATE("NavNode_",getCategoryLevelAsString($B108))),";",EscStr($J108),";"),CONCATENATE(";",EscStr(CONCATENATE("NavNode_",getCategoryLevelAsString($B108))),";",EscStr(U108),";")))</f>
        <v>;"NavNode_L3D_525371";"Relé pro desky plošných spojů";</v>
      </c>
      <c r="AO108" s="10" t="str">
        <f>IF(getCategoryLevelAsString($B108)="L0D_324785","",IF(V108="",CONCATENATE(";",EscStr(CONCATENATE("NavNode_",getCategoryLevelAsString($B108))),";",EscStr($J108),";"),CONCATENATE(";",EscStr(CONCATENATE("NavNode_",getCategoryLevelAsString($B108))),";",EscStr(V108),";")))</f>
        <v>;"NavNode_L3D_525371";"Releu PCB";</v>
      </c>
      <c r="AP108" s="10" t="str">
        <f>IF(getCategoryLevelAsString($B108)="L0D_324785","",IF(W108="",CONCATENATE(";",EscStr(CONCATENATE("NavNode_",getCategoryLevelAsString($B108))),";",EscStr($J108),";"),CONCATENATE(";",EscStr(CONCATENATE("NavNode_",getCategoryLevelAsString($B108))),";",EscStr(W108),";")))</f>
        <v>;"NavNode_L3D_525371";"NYÁK-ba ültethető jelfogók";</v>
      </c>
      <c r="AQ108" s="10" t="str">
        <f>IF(getCategoryLevelAsString($B108)="L0D_324785","",IF(X108="",CONCATENATE(";",EscStr(CONCATENATE("NavNode_",getCategoryLevelAsString($B108))),";",EscStr($J108),";"),CONCATENATE(";",EscStr(CONCATENATE("NavNode_",getCategoryLevelAsString($B108))),";",EscStr(X108),";")))</f>
        <v>;"NavNode_L3D_525371";"Relé pro desky plošných spojů";</v>
      </c>
      <c r="AR108" s="8" t="str">
        <f>IF(OR($A108&lt;&gt;"", $G108=""),"",CONCATENATE(";",EscStr(CONCATENATE("NavEntry_",getCategoryLevelAsString($B108))),";",EscStr(CONCATENATE($J108," Navigation Entry")),";",EscStr(CONCATENATE("cat-",getCategoryLevelAsString($B108))),";",EscStr(CONCATENATE("NavNode_",getCategoryLevelAsString($B108))),";"))</f>
        <v>;"NavEntry_L3D_525371";"PCB Relays Navigation Entry";"cat-L3D_525371";"NavNode_L3D_525371";</v>
      </c>
    </row>
    <row r="109" spans="1:44" ht="15" x14ac:dyDescent="0.25">
      <c r="A109" s="25"/>
      <c r="B109" s="5"/>
      <c r="C109" s="5"/>
      <c r="D109" s="5" t="s">
        <v>175</v>
      </c>
      <c r="E109" s="5"/>
      <c r="F109" s="5"/>
      <c r="G109" s="5" t="s">
        <v>438</v>
      </c>
      <c r="H109" s="5" t="s">
        <v>439</v>
      </c>
      <c r="I109" s="5" t="s">
        <v>440</v>
      </c>
      <c r="J109" s="5" t="s">
        <v>176</v>
      </c>
      <c r="K109" s="5" t="s">
        <v>1229</v>
      </c>
      <c r="L109" s="5" t="s">
        <v>1463</v>
      </c>
      <c r="M109" s="5" t="s">
        <v>1696</v>
      </c>
      <c r="N109" s="5" t="s">
        <v>1898</v>
      </c>
      <c r="O109" s="5" t="s">
        <v>2659</v>
      </c>
      <c r="P109" s="5" t="s">
        <v>2660</v>
      </c>
      <c r="Q109" s="5" t="s">
        <v>2661</v>
      </c>
      <c r="R109" s="5" t="s">
        <v>2662</v>
      </c>
      <c r="S109" s="5" t="s">
        <v>2663</v>
      </c>
      <c r="T109" s="5" t="s">
        <v>2664</v>
      </c>
      <c r="U109" s="5" t="s">
        <v>2665</v>
      </c>
      <c r="V109" s="5" t="s">
        <v>2666</v>
      </c>
      <c r="W109" s="5" t="s">
        <v>2667</v>
      </c>
      <c r="X109" s="5" t="s">
        <v>2665</v>
      </c>
      <c r="Y109" s="10" t="str">
        <f>IF(OR($A109&lt;&gt;"", $G109=""),"",CONCATENATE(";",EscStr(CONCATENATE("NavNode_",getCategoryLevelAsString($B109))),";",EscStr($J109),";",IF($B109&lt;&gt;"","""MainNavNode""",EscStr(CONCATENATE("NavNode_",getSuperCategory($B109, getCategoryLevelAsNumber($B109))))),";"))</f>
        <v>;"NavNode_L3D_525372";"Industrial Relays";"NavNode_L2D_379528";</v>
      </c>
      <c r="Z109" s="10" t="str">
        <f>IF(getCategoryLevelAsString($B109)="L0D_324785","",IF(G109="",CONCATENATE(";",EscStr(CONCATENATE("NavNode_",getCategoryLevelAsString($B109))),";",EscStr($J109),";"),CONCATENATE(";",EscStr(CONCATENATE("NavNode_",getCategoryLevelAsString($B109))),";",EscStr(G109),";")))</f>
        <v>;"NavNode_L3D_525372";"Industrierelais";</v>
      </c>
      <c r="AA109" s="10" t="str">
        <f>IF(getCategoryLevelAsString($B109)="L0D_324785","",IF(H109="",CONCATENATE(";",EscStr(CONCATENATE("NavNode_",getCategoryLevelAsString($B109))),";",EscStr($J109),";"),CONCATENATE(";",EscStr(CONCATENATE("NavNode_",getCategoryLevelAsString($B109))),";",EscStr(H109),";")))</f>
        <v>;"NavNode_L3D_525372";"Relais industriels";</v>
      </c>
      <c r="AB109" s="10" t="str">
        <f>IF(getCategoryLevelAsString($B109)="L0D_324785","",IF(I109="",CONCATENATE(";",EscStr(CONCATENATE("NavNode_",getCategoryLevelAsString($B109))),";",EscStr($J109),";"),CONCATENATE(";",EscStr(CONCATENATE("NavNode_",getCategoryLevelAsString($B109))),";",EscStr(I109),";")))</f>
        <v>;"NavNode_L3D_525372";"Relè industriali";</v>
      </c>
      <c r="AC109" s="10" t="str">
        <f>IF(getCategoryLevelAsString($B109)="L0D_324785","",IF(J109="",CONCATENATE(";",EscStr(CONCATENATE("NavNode_",getCategoryLevelAsString($B109))),";",EscStr($J109),";"),CONCATENATE(";",EscStr(CONCATENATE("NavNode_",getCategoryLevelAsString($B109))),";",EscStr(J109),";")))</f>
        <v>;"NavNode_L3D_525372";"Industrial Relays";</v>
      </c>
      <c r="AD109" s="10" t="str">
        <f>IF(getCategoryLevelAsString($B109)="L0D_324785","",IF(K109="",CONCATENATE(";",EscStr(CONCATENATE("NavNode_",getCategoryLevelAsString($B109))),";",EscStr($J109),";"),CONCATENATE(";",EscStr(CONCATENATE("NavNode_",getCategoryLevelAsString($B109))),";",EscStr(K109),";")))</f>
        <v>;"NavNode_L3D_525372";"Industrirelæer";</v>
      </c>
      <c r="AE109" s="10" t="str">
        <f>IF(getCategoryLevelAsString($B109)="L0D_324785","",IF(L109="",CONCATENATE(";",EscStr(CONCATENATE("NavNode_",getCategoryLevelAsString($B109))),";",EscStr($J109),";"),CONCATENATE(";",EscStr(CONCATENATE("NavNode_",getCategoryLevelAsString($B109))),";",EscStr(L109),";")))</f>
        <v>;"NavNode_L3D_525372";"Pramoninės relės";</v>
      </c>
      <c r="AF109" s="10" t="str">
        <f>IF(getCategoryLevelAsString($B109)="L0D_324785","",IF(M109="",CONCATENATE(";",EscStr(CONCATENATE("NavNode_",getCategoryLevelAsString($B109))),";",EscStr($J109),";"),CONCATENATE(";",EscStr(CONCATENATE("NavNode_",getCategoryLevelAsString($B109))),";",EscStr(M109),";")))</f>
        <v>;"NavNode_L3D_525372";"Industrielle reléer";</v>
      </c>
      <c r="AG109" s="10" t="str">
        <f>IF(getCategoryLevelAsString($B109)="L0D_324785","",IF(N109="",CONCATENATE(";",EscStr(CONCATENATE("NavNode_",getCategoryLevelAsString($B109))),";",EscStr($J109),";"),CONCATENATE(";",EscStr(CONCATENATE("NavNode_",getCategoryLevelAsString($B109))),";",EscStr(N109),";")))</f>
        <v>;"NavNode_L3D_525372";"Industrireläer";</v>
      </c>
      <c r="AH109" s="10" t="str">
        <f>IF(getCategoryLevelAsString($B109)="L0D_324785","",IF(O109="",CONCATENATE(";",EscStr(CONCATENATE("NavNode_",getCategoryLevelAsString($B109))),";",EscStr($J109),";"),CONCATENATE(";",EscStr(CONCATENATE("NavNode_",getCategoryLevelAsString($B109))),";",EscStr(O109),";")))</f>
        <v>;"NavNode_L3D_525372";"Tööstuslikud releed";</v>
      </c>
      <c r="AI109" s="10" t="str">
        <f>IF(getCategoryLevelAsString($B109)="L0D_324785","",IF(P109="",CONCATENATE(";",EscStr(CONCATENATE("NavNode_",getCategoryLevelAsString($B109))),";",EscStr($J109),";"),CONCATENATE(";",EscStr(CONCATENATE("NavNode_",getCategoryLevelAsString($B109))),";",EscStr(P109),";")))</f>
        <v>;"NavNode_L3D_525372";"Industrial releet";</v>
      </c>
      <c r="AJ109" s="10" t="str">
        <f>IF(getCategoryLevelAsString($B109)="L0D_324785","",IF(Q109="",CONCATENATE(";",EscStr(CONCATENATE("NavNode_",getCategoryLevelAsString($B109))),";",EscStr($J109),";"),CONCATENATE(";",EscStr(CONCATENATE("NavNode_",getCategoryLevelAsString($B109))),";",EscStr(Q109),";")))</f>
        <v>;"NavNode_L3D_525372";"Industriālie releji";</v>
      </c>
      <c r="AK109" s="10" t="str">
        <f>IF(getCategoryLevelAsString($B109)="L0D_324785","",IF(R109="",CONCATENATE(";",EscStr(CONCATENATE("NavNode_",getCategoryLevelAsString($B109))),";",EscStr($J109),";"),CONCATENATE(";",EscStr(CONCATENATE("NavNode_",getCategoryLevelAsString($B109))),";",EscStr(R109),";")))</f>
        <v>;"NavNode_L3D_525372";"Industriele Relais";</v>
      </c>
      <c r="AL109" s="10" t="str">
        <f>IF(getCategoryLevelAsString($B109)="L0D_324785","",IF(S109="",CONCATENATE(";",EscStr(CONCATENATE("NavNode_",getCategoryLevelAsString($B109))),";",EscStr($J109),";"),CONCATENATE(";",EscStr(CONCATENATE("NavNode_",getCategoryLevelAsString($B109))),";",EscStr(S109),";")))</f>
        <v>;"NavNode_L3D_525372";"Przekaźniki przemysłowe";</v>
      </c>
      <c r="AM109" s="10" t="str">
        <f>IF(getCategoryLevelAsString($B109)="L0D_324785","",IF(T109="",CONCATENATE(";",EscStr(CONCATENATE("NavNode_",getCategoryLevelAsString($B109))),";",EscStr($J109),";"),CONCATENATE(";",EscStr(CONCATENATE("NavNode_",getCategoryLevelAsString($B109))),";",EscStr(T109),";")))</f>
        <v>;"NavNode_L3D_525372";"Промышленные реле";</v>
      </c>
      <c r="AN109" s="10" t="str">
        <f>IF(getCategoryLevelAsString($B109)="L0D_324785","",IF(U109="",CONCATENATE(";",EscStr(CONCATENATE("NavNode_",getCategoryLevelAsString($B109))),";",EscStr($J109),";"),CONCATENATE(";",EscStr(CONCATENATE("NavNode_",getCategoryLevelAsString($B109))),";",EscStr(U109),";")))</f>
        <v>;"NavNode_L3D_525372";"Průmyslová relé";</v>
      </c>
      <c r="AO109" s="10" t="str">
        <f>IF(getCategoryLevelAsString($B109)="L0D_324785","",IF(V109="",CONCATENATE(";",EscStr(CONCATENATE("NavNode_",getCategoryLevelAsString($B109))),";",EscStr($J109),";"),CONCATENATE(";",EscStr(CONCATENATE("NavNode_",getCategoryLevelAsString($B109))),";",EscStr(V109),";")))</f>
        <v>;"NavNode_L3D_525372";"Relee industriale";</v>
      </c>
      <c r="AP109" s="10" t="str">
        <f>IF(getCategoryLevelAsString($B109)="L0D_324785","",IF(W109="",CONCATENATE(";",EscStr(CONCATENATE("NavNode_",getCategoryLevelAsString($B109))),";",EscStr($J109),";"),CONCATENATE(";",EscStr(CONCATENATE("NavNode_",getCategoryLevelAsString($B109))),";",EscStr(W109),";")))</f>
        <v>;"NavNode_L3D_525372";"Ipari jelfogók";</v>
      </c>
      <c r="AQ109" s="10" t="str">
        <f>IF(getCategoryLevelAsString($B109)="L0D_324785","",IF(X109="",CONCATENATE(";",EscStr(CONCATENATE("NavNode_",getCategoryLevelAsString($B109))),";",EscStr($J109),";"),CONCATENATE(";",EscStr(CONCATENATE("NavNode_",getCategoryLevelAsString($B109))),";",EscStr(X109),";")))</f>
        <v>;"NavNode_L3D_525372";"Průmyslová relé";</v>
      </c>
      <c r="AR109" s="8" t="str">
        <f>IF(OR($A109&lt;&gt;"", $G109=""),"",CONCATENATE(";",EscStr(CONCATENATE("NavEntry_",getCategoryLevelAsString($B109))),";",EscStr(CONCATENATE($J109," Navigation Entry")),";",EscStr(CONCATENATE("cat-",getCategoryLevelAsString($B109))),";",EscStr(CONCATENATE("NavNode_",getCategoryLevelAsString($B109))),";"))</f>
        <v>;"NavEntry_L3D_525372";"Industrial Relays Navigation Entry";"cat-L3D_525372";"NavNode_L3D_525372";</v>
      </c>
    </row>
    <row r="110" spans="1:44" ht="15" x14ac:dyDescent="0.25">
      <c r="A110" s="25"/>
      <c r="B110" s="5"/>
      <c r="C110" s="5"/>
      <c r="D110" s="5" t="s">
        <v>185</v>
      </c>
      <c r="E110" s="5"/>
      <c r="F110" s="5"/>
      <c r="G110" s="5" t="s">
        <v>989</v>
      </c>
      <c r="H110" s="5" t="s">
        <v>1092</v>
      </c>
      <c r="I110" s="5" t="s">
        <v>1151</v>
      </c>
      <c r="J110" s="5" t="s">
        <v>186</v>
      </c>
      <c r="K110" s="5" t="s">
        <v>1230</v>
      </c>
      <c r="L110" s="5" t="s">
        <v>1464</v>
      </c>
      <c r="M110" s="5" t="s">
        <v>1697</v>
      </c>
      <c r="N110" s="5" t="s">
        <v>1899</v>
      </c>
      <c r="O110" s="5" t="s">
        <v>2668</v>
      </c>
      <c r="P110" s="5" t="s">
        <v>2669</v>
      </c>
      <c r="Q110" s="5" t="s">
        <v>2670</v>
      </c>
      <c r="R110" s="5" t="s">
        <v>2671</v>
      </c>
      <c r="S110" s="5" t="s">
        <v>2672</v>
      </c>
      <c r="T110" s="5" t="s">
        <v>2673</v>
      </c>
      <c r="U110" s="5" t="s">
        <v>2674</v>
      </c>
      <c r="V110" s="5" t="s">
        <v>2675</v>
      </c>
      <c r="W110" s="5" t="s">
        <v>2676</v>
      </c>
      <c r="X110" s="5" t="s">
        <v>2674</v>
      </c>
      <c r="Y110" s="10" t="str">
        <f>IF(OR($A110&lt;&gt;"", $G110=""),"",CONCATENATE(";",EscStr(CONCATENATE("NavNode_",getCategoryLevelAsString($B110))),";",EscStr($J110),";",IF($B110&lt;&gt;"","""MainNavNode""",EscStr(CONCATENATE("NavNode_",getSuperCategory($B110, getCategoryLevelAsNumber($B110))))),";"))</f>
        <v>;"NavNode_L3D_525373";"Reed Relays / Reed Contacts / Magnets";"NavNode_L2D_379528";</v>
      </c>
      <c r="Z110" s="10" t="str">
        <f>IF(getCategoryLevelAsString($B110)="L0D_324785","",IF(G110="",CONCATENATE(";",EscStr(CONCATENATE("NavNode_",getCategoryLevelAsString($B110))),";",EscStr($J110),";"),CONCATENATE(";",EscStr(CONCATENATE("NavNode_",getCategoryLevelAsString($B110))),";",EscStr(G110),";")))</f>
        <v>;"NavNode_L3D_525373";"Reed-Relais / Reedkontakte / Magnete";</v>
      </c>
      <c r="AA110" s="10" t="str">
        <f>IF(getCategoryLevelAsString($B110)="L0D_324785","",IF(H110="",CONCATENATE(";",EscStr(CONCATENATE("NavNode_",getCategoryLevelAsString($B110))),";",EscStr($J110),";"),CONCATENATE(";",EscStr(CONCATENATE("NavNode_",getCategoryLevelAsString($B110))),";",EscStr(H110),";")))</f>
        <v>;"NavNode_L3D_525373";"Relais Reed / Contacts Reed / Aimants";</v>
      </c>
      <c r="AB110" s="10" t="str">
        <f>IF(getCategoryLevelAsString($B110)="L0D_324785","",IF(I110="",CONCATENATE(";",EscStr(CONCATENATE("NavNode_",getCategoryLevelAsString($B110))),";",EscStr($J110),";"),CONCATENATE(";",EscStr(CONCATENATE("NavNode_",getCategoryLevelAsString($B110))),";",EscStr(I110),";")))</f>
        <v>;"NavNode_L3D_525373";"Relè reed / Contatti reed / Magneti";</v>
      </c>
      <c r="AC110" s="10" t="str">
        <f>IF(getCategoryLevelAsString($B110)="L0D_324785","",IF(J110="",CONCATENATE(";",EscStr(CONCATENATE("NavNode_",getCategoryLevelAsString($B110))),";",EscStr($J110),";"),CONCATENATE(";",EscStr(CONCATENATE("NavNode_",getCategoryLevelAsString($B110))),";",EscStr(J110),";")))</f>
        <v>;"NavNode_L3D_525373";"Reed Relays / Reed Contacts / Magnets";</v>
      </c>
      <c r="AD110" s="10" t="str">
        <f>IF(getCategoryLevelAsString($B110)="L0D_324785","",IF(K110="",CONCATENATE(";",EscStr(CONCATENATE("NavNode_",getCategoryLevelAsString($B110))),";",EscStr($J110),";"),CONCATENATE(";",EscStr(CONCATENATE("NavNode_",getCategoryLevelAsString($B110))),";",EscStr(K110),";")))</f>
        <v>;"NavNode_L3D_525373";"Reed-relæer/reed-kontakter/magneter";</v>
      </c>
      <c r="AE110" s="10" t="str">
        <f>IF(getCategoryLevelAsString($B110)="L0D_324785","",IF(L110="",CONCATENATE(";",EscStr(CONCATENATE("NavNode_",getCategoryLevelAsString($B110))),";",EscStr($J110),";"),CONCATENATE(";",EscStr(CONCATENATE("NavNode_",getCategoryLevelAsString($B110))),";",EscStr(L110),";")))</f>
        <v>;"NavNode_L3D_525373";"Relės su sandariaisiais kontaktais / sandarieji kontaktai / magnetai";</v>
      </c>
      <c r="AF110" s="10" t="str">
        <f>IF(getCategoryLevelAsString($B110)="L0D_324785","",IF(M110="",CONCATENATE(";",EscStr(CONCATENATE("NavNode_",getCategoryLevelAsString($B110))),";",EscStr($J110),";"),CONCATENATE(";",EscStr(CONCATENATE("NavNode_",getCategoryLevelAsString($B110))),";",EscStr(M110),";")))</f>
        <v>;"NavNode_L3D_525373";"Reedreléer/reedkontakter/magneter";</v>
      </c>
      <c r="AG110" s="10" t="str">
        <f>IF(getCategoryLevelAsString($B110)="L0D_324785","",IF(N110="",CONCATENATE(";",EscStr(CONCATENATE("NavNode_",getCategoryLevelAsString($B110))),";",EscStr($J110),";"),CONCATENATE(";",EscStr(CONCATENATE("NavNode_",getCategoryLevelAsString($B110))),";",EscStr(N110),";")))</f>
        <v>;"NavNode_L3D_525373";"Reed-reläer/Reed-kontakter/Magneter";</v>
      </c>
      <c r="AH110" s="10" t="str">
        <f>IF(getCategoryLevelAsString($B110)="L0D_324785","",IF(O110="",CONCATENATE(";",EscStr(CONCATENATE("NavNode_",getCategoryLevelAsString($B110))),";",EscStr($J110),";"),CONCATENATE(";",EscStr(CONCATENATE("NavNode_",getCategoryLevelAsString($B110))),";",EscStr(O110),";")))</f>
        <v>;"NavNode_L3D_525373";"Herkonreleed / Herkonid / Magnetid";</v>
      </c>
      <c r="AI110" s="10" t="str">
        <f>IF(getCategoryLevelAsString($B110)="L0D_324785","",IF(P110="",CONCATENATE(";",EscStr(CONCATENATE("NavNode_",getCategoryLevelAsString($B110))),";",EscStr($J110),";"),CONCATENATE(";",EscStr(CONCATENATE("NavNode_",getCategoryLevelAsString($B110))),";",EscStr(P110),";")))</f>
        <v>;"NavNode_L3D_525373";"Reed-releet/magneetit";</v>
      </c>
      <c r="AJ110" s="10" t="str">
        <f>IF(getCategoryLevelAsString($B110)="L0D_324785","",IF(Q110="",CONCATENATE(";",EscStr(CONCATENATE("NavNode_",getCategoryLevelAsString($B110))),";",EscStr($J110),";"),CONCATENATE(";",EscStr(CONCATENATE("NavNode_",getCategoryLevelAsString($B110))),";",EscStr(Q110),";")))</f>
        <v>;"NavNode_L3D_525373";"Herkonreleji / Herkoni / Magnēti";</v>
      </c>
      <c r="AK110" s="10" t="str">
        <f>IF(getCategoryLevelAsString($B110)="L0D_324785","",IF(R110="",CONCATENATE(";",EscStr(CONCATENATE("NavNode_",getCategoryLevelAsString($B110))),";",EscStr($J110),";"),CONCATENATE(";",EscStr(CONCATENATE("NavNode_",getCategoryLevelAsString($B110))),";",EscStr(R110),";")))</f>
        <v>;"NavNode_L3D_525373";"Reed relais / Reed contacten / Magneten";</v>
      </c>
      <c r="AL110" s="10" t="str">
        <f>IF(getCategoryLevelAsString($B110)="L0D_324785","",IF(S110="",CONCATENATE(";",EscStr(CONCATENATE("NavNode_",getCategoryLevelAsString($B110))),";",EscStr($J110),";"),CONCATENATE(";",EscStr(CONCATENATE("NavNode_",getCategoryLevelAsString($B110))),";",EscStr(S110),";")))</f>
        <v>;"NavNode_L3D_525373";"Przekaźniki kontaktronowe / Kontaktrony / Magnesy";</v>
      </c>
      <c r="AM110" s="10" t="str">
        <f>IF(getCategoryLevelAsString($B110)="L0D_324785","",IF(T110="",CONCATENATE(";",EscStr(CONCATENATE("NavNode_",getCategoryLevelAsString($B110))),";",EscStr($J110),";"),CONCATENATE(";",EscStr(CONCATENATE("NavNode_",getCategoryLevelAsString($B110))),";",EscStr(T110),";")))</f>
        <v>;"NavNode_L3D_525373";"Герконовые  реле / Герконовые Контакты / Магниты";</v>
      </c>
      <c r="AN110" s="10" t="str">
        <f>IF(getCategoryLevelAsString($B110)="L0D_324785","",IF(U110="",CONCATENATE(";",EscStr(CONCATENATE("NavNode_",getCategoryLevelAsString($B110))),";",EscStr($J110),";"),CONCATENATE(";",EscStr(CONCATENATE("NavNode_",getCategoryLevelAsString($B110))),";",EscStr(U110),";")))</f>
        <v>;"NavNode_L3D_525373";"Jazýčková relé / jazýčkové kontakty / magnety";</v>
      </c>
      <c r="AO110" s="10" t="str">
        <f>IF(getCategoryLevelAsString($B110)="L0D_324785","",IF(V110="",CONCATENATE(";",EscStr(CONCATENATE("NavNode_",getCategoryLevelAsString($B110))),";",EscStr($J110),";"),CONCATENATE(";",EscStr(CONCATENATE("NavNode_",getCategoryLevelAsString($B110))),";",EscStr(V110),";")))</f>
        <v>;"NavNode_L3D_525373";"Relee  / Magneţi";</v>
      </c>
      <c r="AP110" s="10" t="str">
        <f>IF(getCategoryLevelAsString($B110)="L0D_324785","",IF(W110="",CONCATENATE(";",EscStr(CONCATENATE("NavNode_",getCategoryLevelAsString($B110))),";",EscStr($J110),";"),CONCATENATE(";",EscStr(CONCATENATE("NavNode_",getCategoryLevelAsString($B110))),";",EscStr(W110),";")))</f>
        <v>;"NavNode_L3D_525373";"Reed jelfogók/ Reed érintekzők / Mágnesek";</v>
      </c>
      <c r="AQ110" s="10" t="str">
        <f>IF(getCategoryLevelAsString($B110)="L0D_324785","",IF(X110="",CONCATENATE(";",EscStr(CONCATENATE("NavNode_",getCategoryLevelAsString($B110))),";",EscStr($J110),";"),CONCATENATE(";",EscStr(CONCATENATE("NavNode_",getCategoryLevelAsString($B110))),";",EscStr(X110),";")))</f>
        <v>;"NavNode_L3D_525373";"Jazýčková relé / jazýčkové kontakty / magnety";</v>
      </c>
      <c r="AR110" s="8" t="str">
        <f>IF(OR($A110&lt;&gt;"", $G110=""),"",CONCATENATE(";",EscStr(CONCATENATE("NavEntry_",getCategoryLevelAsString($B110))),";",EscStr(CONCATENATE($J110," Navigation Entry")),";",EscStr(CONCATENATE("cat-",getCategoryLevelAsString($B110))),";",EscStr(CONCATENATE("NavNode_",getCategoryLevelAsString($B110))),";"))</f>
        <v>;"NavEntry_L3D_525373";"Reed Relays / Reed Contacts / Magnets Navigation Entry";"cat-L3D_525373";"NavNode_L3D_525373";</v>
      </c>
    </row>
    <row r="111" spans="1:44" ht="15" x14ac:dyDescent="0.25">
      <c r="A111" s="25"/>
      <c r="B111" s="5"/>
      <c r="C111" s="5"/>
      <c r="D111" s="5" t="s">
        <v>187</v>
      </c>
      <c r="E111" s="5"/>
      <c r="F111" s="5"/>
      <c r="G111" s="5" t="s">
        <v>990</v>
      </c>
      <c r="H111" s="5" t="s">
        <v>1093</v>
      </c>
      <c r="I111" s="5" t="s">
        <v>1152</v>
      </c>
      <c r="J111" s="5" t="s">
        <v>188</v>
      </c>
      <c r="K111" s="5" t="s">
        <v>1231</v>
      </c>
      <c r="L111" s="5" t="s">
        <v>1465</v>
      </c>
      <c r="M111" s="5" t="s">
        <v>1698</v>
      </c>
      <c r="N111" s="5" t="s">
        <v>1900</v>
      </c>
      <c r="O111" s="5" t="s">
        <v>2677</v>
      </c>
      <c r="P111" s="5" t="s">
        <v>2678</v>
      </c>
      <c r="Q111" s="5" t="s">
        <v>2679</v>
      </c>
      <c r="R111" s="5" t="s">
        <v>2680</v>
      </c>
      <c r="S111" s="5" t="s">
        <v>2681</v>
      </c>
      <c r="T111" s="5" t="s">
        <v>2682</v>
      </c>
      <c r="U111" s="5" t="s">
        <v>2683</v>
      </c>
      <c r="V111" s="5" t="s">
        <v>2684</v>
      </c>
      <c r="W111" s="5" t="s">
        <v>2685</v>
      </c>
      <c r="X111" s="5" t="s">
        <v>2683</v>
      </c>
      <c r="Y111" s="10" t="str">
        <f>IF(OR($A111&lt;&gt;"", $G111=""),"",CONCATENATE(";",EscStr(CONCATENATE("NavNode_",getCategoryLevelAsString($B111))),";",EscStr($J111),";",IF($B111&lt;&gt;"","""MainNavNode""",EscStr(CONCATENATE("NavNode_",getSuperCategory($B111, getCategoryLevelAsNumber($B111))))),";"))</f>
        <v>;"NavNode_L3D_525374";"Solid State Relays";"NavNode_L2D_379528";</v>
      </c>
      <c r="Z111" s="10" t="str">
        <f>IF(getCategoryLevelAsString($B111)="L0D_324785","",IF(G111="",CONCATENATE(";",EscStr(CONCATENATE("NavNode_",getCategoryLevelAsString($B111))),";",EscStr($J111),";"),CONCATENATE(";",EscStr(CONCATENATE("NavNode_",getCategoryLevelAsString($B111))),";",EscStr(G111),";")))</f>
        <v>;"NavNode_L3D_525374";"Halbleiterrelais";</v>
      </c>
      <c r="AA111" s="10" t="str">
        <f>IF(getCategoryLevelAsString($B111)="L0D_324785","",IF(H111="",CONCATENATE(";",EscStr(CONCATENATE("NavNode_",getCategoryLevelAsString($B111))),";",EscStr($J111),";"),CONCATENATE(";",EscStr(CONCATENATE("NavNode_",getCategoryLevelAsString($B111))),";",EscStr(H111),";")))</f>
        <v>;"NavNode_L3D_525374";"Relais à semi-conducteurs";</v>
      </c>
      <c r="AB111" s="10" t="str">
        <f>IF(getCategoryLevelAsString($B111)="L0D_324785","",IF(I111="",CONCATENATE(";",EscStr(CONCATENATE("NavNode_",getCategoryLevelAsString($B111))),";",EscStr($J111),";"),CONCATENATE(";",EscStr(CONCATENATE("NavNode_",getCategoryLevelAsString($B111))),";",EscStr(I111),";")))</f>
        <v>;"NavNode_L3D_525374";"Relè a stato solido";</v>
      </c>
      <c r="AC111" s="10" t="str">
        <f>IF(getCategoryLevelAsString($B111)="L0D_324785","",IF(J111="",CONCATENATE(";",EscStr(CONCATENATE("NavNode_",getCategoryLevelAsString($B111))),";",EscStr($J111),";"),CONCATENATE(";",EscStr(CONCATENATE("NavNode_",getCategoryLevelAsString($B111))),";",EscStr(J111),";")))</f>
        <v>;"NavNode_L3D_525374";"Solid State Relays";</v>
      </c>
      <c r="AD111" s="10" t="str">
        <f>IF(getCategoryLevelAsString($B111)="L0D_324785","",IF(K111="",CONCATENATE(";",EscStr(CONCATENATE("NavNode_",getCategoryLevelAsString($B111))),";",EscStr($J111),";"),CONCATENATE(";",EscStr(CONCATENATE("NavNode_",getCategoryLevelAsString($B111))),";",EscStr(K111),";")))</f>
        <v>;"NavNode_L3D_525374";"Halvlederrelæ";</v>
      </c>
      <c r="AE111" s="10" t="str">
        <f>IF(getCategoryLevelAsString($B111)="L0D_324785","",IF(L111="",CONCATENATE(";",EscStr(CONCATENATE("NavNode_",getCategoryLevelAsString($B111))),";",EscStr($J111),";"),CONCATENATE(";",EscStr(CONCATENATE("NavNode_",getCategoryLevelAsString($B111))),";",EscStr(L111),";")))</f>
        <v>;"NavNode_L3D_525374";"Bekontaktės relės";</v>
      </c>
      <c r="AF111" s="10" t="str">
        <f>IF(getCategoryLevelAsString($B111)="L0D_324785","",IF(M111="",CONCATENATE(";",EscStr(CONCATENATE("NavNode_",getCategoryLevelAsString($B111))),";",EscStr($J111),";"),CONCATENATE(";",EscStr(CONCATENATE("NavNode_",getCategoryLevelAsString($B111))),";",EscStr(M111),";")))</f>
        <v>;"NavNode_L3D_525374";"Halvlederreléer";</v>
      </c>
      <c r="AG111" s="10" t="str">
        <f>IF(getCategoryLevelAsString($B111)="L0D_324785","",IF(N111="",CONCATENATE(";",EscStr(CONCATENATE("NavNode_",getCategoryLevelAsString($B111))),";",EscStr($J111),";"),CONCATENATE(";",EscStr(CONCATENATE("NavNode_",getCategoryLevelAsString($B111))),";",EscStr(N111),";")))</f>
        <v>;"NavNode_L3D_525374";"Halvledarreläer";</v>
      </c>
      <c r="AH111" s="10" t="str">
        <f>IF(getCategoryLevelAsString($B111)="L0D_324785","",IF(O111="",CONCATENATE(";",EscStr(CONCATENATE("NavNode_",getCategoryLevelAsString($B111))),";",EscStr($J111),";"),CONCATENATE(";",EscStr(CONCATENATE("NavNode_",getCategoryLevelAsString($B111))),";",EscStr(O111),";")))</f>
        <v>;"NavNode_L3D_525374";"Pooljuhtreleed";</v>
      </c>
      <c r="AI111" s="10" t="str">
        <f>IF(getCategoryLevelAsString($B111)="L0D_324785","",IF(P111="",CONCATENATE(";",EscStr(CONCATENATE("NavNode_",getCategoryLevelAsString($B111))),";",EscStr($J111),";"),CONCATENATE(";",EscStr(CONCATENATE("NavNode_",getCategoryLevelAsString($B111))),";",EscStr(P111),";")))</f>
        <v>;"NavNode_L3D_525374";"Staattiset releet";</v>
      </c>
      <c r="AJ111" s="10" t="str">
        <f>IF(getCategoryLevelAsString($B111)="L0D_324785","",IF(Q111="",CONCATENATE(";",EscStr(CONCATENATE("NavNode_",getCategoryLevelAsString($B111))),";",EscStr($J111),";"),CONCATENATE(";",EscStr(CONCATENATE("NavNode_",getCategoryLevelAsString($B111))),";",EscStr(Q111),";")))</f>
        <v>;"NavNode_L3D_525374";"Pusvadītāju releji";</v>
      </c>
      <c r="AK111" s="10" t="str">
        <f>IF(getCategoryLevelAsString($B111)="L0D_324785","",IF(R111="",CONCATENATE(";",EscStr(CONCATENATE("NavNode_",getCategoryLevelAsString($B111))),";",EscStr($J111),";"),CONCATENATE(";",EscStr(CONCATENATE("NavNode_",getCategoryLevelAsString($B111))),";",EscStr(R111),";")))</f>
        <v>;"NavNode_L3D_525374";"Solid State Relais";</v>
      </c>
      <c r="AL111" s="10" t="str">
        <f>IF(getCategoryLevelAsString($B111)="L0D_324785","",IF(S111="",CONCATENATE(";",EscStr(CONCATENATE("NavNode_",getCategoryLevelAsString($B111))),";",EscStr($J111),";"),CONCATENATE(";",EscStr(CONCATENATE("NavNode_",getCategoryLevelAsString($B111))),";",EscStr(S111),";")))</f>
        <v>;"NavNode_L3D_525374";"Przekaźniki półprzewodnikowe";</v>
      </c>
      <c r="AM111" s="10" t="str">
        <f>IF(getCategoryLevelAsString($B111)="L0D_324785","",IF(T111="",CONCATENATE(";",EscStr(CONCATENATE("NavNode_",getCategoryLevelAsString($B111))),";",EscStr($J111),";"),CONCATENATE(";",EscStr(CONCATENATE("NavNode_",getCategoryLevelAsString($B111))),";",EscStr(T111),";")))</f>
        <v>;"NavNode_L3D_525374";"Твердотельные реле";</v>
      </c>
      <c r="AN111" s="10" t="str">
        <f>IF(getCategoryLevelAsString($B111)="L0D_324785","",IF(U111="",CONCATENATE(";",EscStr(CONCATENATE("NavNode_",getCategoryLevelAsString($B111))),";",EscStr($J111),";"),CONCATENATE(";",EscStr(CONCATENATE("NavNode_",getCategoryLevelAsString($B111))),";",EscStr(U111),";")))</f>
        <v>;"NavNode_L3D_525374";"Polovodičové relé";</v>
      </c>
      <c r="AO111" s="10" t="str">
        <f>IF(getCategoryLevelAsString($B111)="L0D_324785","",IF(V111="",CONCATENATE(";",EscStr(CONCATENATE("NavNode_",getCategoryLevelAsString($B111))),";",EscStr($J111),";"),CONCATENATE(";",EscStr(CONCATENATE("NavNode_",getCategoryLevelAsString($B111))),";",EscStr(V111),";")))</f>
        <v>;"NavNode_L3D_525374";"Relee semiconductor";</v>
      </c>
      <c r="AP111" s="10" t="str">
        <f>IF(getCategoryLevelAsString($B111)="L0D_324785","",IF(W111="",CONCATENATE(";",EscStr(CONCATENATE("NavNode_",getCategoryLevelAsString($B111))),";",EscStr($J111),";"),CONCATENATE(";",EscStr(CONCATENATE("NavNode_",getCategoryLevelAsString($B111))),";",EscStr(W111),";")))</f>
        <v>;"NavNode_L3D_525374";"Félvezető jelfogók";</v>
      </c>
      <c r="AQ111" s="10" t="str">
        <f>IF(getCategoryLevelAsString($B111)="L0D_324785","",IF(X111="",CONCATENATE(";",EscStr(CONCATENATE("NavNode_",getCategoryLevelAsString($B111))),";",EscStr($J111),";"),CONCATENATE(";",EscStr(CONCATENATE("NavNode_",getCategoryLevelAsString($B111))),";",EscStr(X111),";")))</f>
        <v>;"NavNode_L3D_525374";"Polovodičové relé";</v>
      </c>
      <c r="AR111" s="8" t="str">
        <f>IF(OR($A111&lt;&gt;"", $G111=""),"",CONCATENATE(";",EscStr(CONCATENATE("NavEntry_",getCategoryLevelAsString($B111))),";",EscStr(CONCATENATE($J111," Navigation Entry")),";",EscStr(CONCATENATE("cat-",getCategoryLevelAsString($B111))),";",EscStr(CONCATENATE("NavNode_",getCategoryLevelAsString($B111))),";"))</f>
        <v>;"NavEntry_L3D_525374";"Solid State Relays Navigation Entry";"cat-L3D_525374";"NavNode_L3D_525374";</v>
      </c>
    </row>
    <row r="112" spans="1:44" ht="15" x14ac:dyDescent="0.25">
      <c r="A112" s="25"/>
      <c r="B112" s="5"/>
      <c r="C112" s="5"/>
      <c r="D112" s="5" t="s">
        <v>177</v>
      </c>
      <c r="E112" s="5"/>
      <c r="F112" s="5"/>
      <c r="G112" s="5" t="s">
        <v>441</v>
      </c>
      <c r="H112" s="5" t="s">
        <v>442</v>
      </c>
      <c r="I112" s="5" t="s">
        <v>443</v>
      </c>
      <c r="J112" s="5" t="s">
        <v>178</v>
      </c>
      <c r="K112" s="5" t="s">
        <v>1232</v>
      </c>
      <c r="L112" s="5" t="s">
        <v>1466</v>
      </c>
      <c r="M112" s="5" t="s">
        <v>1699</v>
      </c>
      <c r="N112" s="5" t="s">
        <v>1901</v>
      </c>
      <c r="O112" s="5" t="s">
        <v>2686</v>
      </c>
      <c r="P112" s="5" t="s">
        <v>2687</v>
      </c>
      <c r="Q112" s="5" t="s">
        <v>2688</v>
      </c>
      <c r="R112" s="5" t="s">
        <v>2689</v>
      </c>
      <c r="S112" s="5" t="s">
        <v>2690</v>
      </c>
      <c r="T112" s="5" t="s">
        <v>2691</v>
      </c>
      <c r="U112" s="5" t="s">
        <v>2692</v>
      </c>
      <c r="V112" s="5" t="s">
        <v>2693</v>
      </c>
      <c r="W112" s="5" t="s">
        <v>2694</v>
      </c>
      <c r="X112" s="5" t="s">
        <v>2692</v>
      </c>
      <c r="Y112" s="10" t="str">
        <f>IF(OR($A112&lt;&gt;"", $G112=""),"",CONCATENATE(";",EscStr(CONCATENATE("NavNode_",getCategoryLevelAsString($B112))),";",EscStr($J112),";",IF($B112&lt;&gt;"","""MainNavNode""",EscStr(CONCATENATE("NavNode_",getSuperCategory($B112, getCategoryLevelAsNumber($B112))))),";"))</f>
        <v>;"NavNode_L3D_525375";"Mains Power Switches";"NavNode_L2D_379528";</v>
      </c>
      <c r="Z112" s="10" t="str">
        <f>IF(getCategoryLevelAsString($B112)="L0D_324785","",IF(G112="",CONCATENATE(";",EscStr(CONCATENATE("NavNode_",getCategoryLevelAsString($B112))),";",EscStr($J112),";"),CONCATENATE(";",EscStr(CONCATENATE("NavNode_",getCategoryLevelAsString($B112))),";",EscStr(G112),";")))</f>
        <v>;"NavNode_L3D_525375";"Geräteschalter";</v>
      </c>
      <c r="AA112" s="10" t="str">
        <f>IF(getCategoryLevelAsString($B112)="L0D_324785","",IF(H112="",CONCATENATE(";",EscStr(CONCATENATE("NavNode_",getCategoryLevelAsString($B112))),";",EscStr($J112),";"),CONCATENATE(";",EscStr(CONCATENATE("NavNode_",getCategoryLevelAsString($B112))),";",EscStr(H112),";")))</f>
        <v>;"NavNode_L3D_525375";"Interrupteurs pour appareils";</v>
      </c>
      <c r="AB112" s="10" t="str">
        <f>IF(getCategoryLevelAsString($B112)="L0D_324785","",IF(I112="",CONCATENATE(";",EscStr(CONCATENATE("NavNode_",getCategoryLevelAsString($B112))),";",EscStr($J112),";"),CONCATENATE(";",EscStr(CONCATENATE("NavNode_",getCategoryLevelAsString($B112))),";",EscStr(I112),";")))</f>
        <v>;"NavNode_L3D_525375";"Interruttori di alimentazione";</v>
      </c>
      <c r="AC112" s="10" t="str">
        <f>IF(getCategoryLevelAsString($B112)="L0D_324785","",IF(J112="",CONCATENATE(";",EscStr(CONCATENATE("NavNode_",getCategoryLevelAsString($B112))),";",EscStr($J112),";"),CONCATENATE(";",EscStr(CONCATENATE("NavNode_",getCategoryLevelAsString($B112))),";",EscStr(J112),";")))</f>
        <v>;"NavNode_L3D_525375";"Mains Power Switches";</v>
      </c>
      <c r="AD112" s="10" t="str">
        <f>IF(getCategoryLevelAsString($B112)="L0D_324785","",IF(K112="",CONCATENATE(";",EscStr(CONCATENATE("NavNode_",getCategoryLevelAsString($B112))),";",EscStr($J112),";"),CONCATENATE(";",EscStr(CONCATENATE("NavNode_",getCategoryLevelAsString($B112))),";",EscStr(K112),";")))</f>
        <v>;"NavNode_L3D_525375";"Hovedledningsafbrydere";</v>
      </c>
      <c r="AE112" s="10" t="str">
        <f>IF(getCategoryLevelAsString($B112)="L0D_324785","",IF(L112="",CONCATENATE(";",EscStr(CONCATENATE("NavNode_",getCategoryLevelAsString($B112))),";",EscStr($J112),";"),CONCATENATE(";",EscStr(CONCATENATE("NavNode_",getCategoryLevelAsString($B112))),";",EscStr(L112),";")))</f>
        <v>;"NavNode_L3D_525375";"Maitinimo jungikliai";</v>
      </c>
      <c r="AF112" s="10" t="str">
        <f>IF(getCategoryLevelAsString($B112)="L0D_324785","",IF(M112="",CONCATENATE(";",EscStr(CONCATENATE("NavNode_",getCategoryLevelAsString($B112))),";",EscStr($J112),";"),CONCATENATE(";",EscStr(CONCATENATE("NavNode_",getCategoryLevelAsString($B112))),";",EscStr(M112),";")))</f>
        <v>;"NavNode_L3D_525375";"Strømbrytere";</v>
      </c>
      <c r="AG112" s="10" t="str">
        <f>IF(getCategoryLevelAsString($B112)="L0D_324785","",IF(N112="",CONCATENATE(";",EscStr(CONCATENATE("NavNode_",getCategoryLevelAsString($B112))),";",EscStr($J112),";"),CONCATENATE(";",EscStr(CONCATENATE("NavNode_",getCategoryLevelAsString($B112))),";",EscStr(N112),";")))</f>
        <v>;"NavNode_L3D_525375";"Nätströmbrytare";</v>
      </c>
      <c r="AH112" s="10" t="str">
        <f>IF(getCategoryLevelAsString($B112)="L0D_324785","",IF(O112="",CONCATENATE(";",EscStr(CONCATENATE("NavNode_",getCategoryLevelAsString($B112))),";",EscStr($J112),";"),CONCATENATE(";",EscStr(CONCATENATE("NavNode_",getCategoryLevelAsString($B112))),";",EscStr(O112),";")))</f>
        <v>;"NavNode_L3D_525375";"Toitevõrgu lülitid";</v>
      </c>
      <c r="AI112" s="10" t="str">
        <f>IF(getCategoryLevelAsString($B112)="L0D_324785","",IF(P112="",CONCATENATE(";",EscStr(CONCATENATE("NavNode_",getCategoryLevelAsString($B112))),";",EscStr($J112),";"),CONCATENATE(";",EscStr(CONCATENATE("NavNode_",getCategoryLevelAsString($B112))),";",EscStr(P112),";")))</f>
        <v>;"NavNode_L3D_525375";"Virtakytkimet";</v>
      </c>
      <c r="AJ112" s="10" t="str">
        <f>IF(getCategoryLevelAsString($B112)="L0D_324785","",IF(Q112="",CONCATENATE(";",EscStr(CONCATENATE("NavNode_",getCategoryLevelAsString($B112))),";",EscStr($J112),";"),CONCATENATE(";",EscStr(CONCATENATE("NavNode_",getCategoryLevelAsString($B112))),";",EscStr(Q112),";")))</f>
        <v>;"NavNode_L3D_525375";"Tīkla jaudas slēdži";</v>
      </c>
      <c r="AK112" s="10" t="str">
        <f>IF(getCategoryLevelAsString($B112)="L0D_324785","",IF(R112="",CONCATENATE(";",EscStr(CONCATENATE("NavNode_",getCategoryLevelAsString($B112))),";",EscStr($J112),";"),CONCATENATE(";",EscStr(CONCATENATE("NavNode_",getCategoryLevelAsString($B112))),";",EscStr(R112),";")))</f>
        <v>;"NavNode_L3D_525375";"Netschakelaars";</v>
      </c>
      <c r="AL112" s="10" t="str">
        <f>IF(getCategoryLevelAsString($B112)="L0D_324785","",IF(S112="",CONCATENATE(";",EscStr(CONCATENATE("NavNode_",getCategoryLevelAsString($B112))),";",EscStr($J112),";"),CONCATENATE(";",EscStr(CONCATENATE("NavNode_",getCategoryLevelAsString($B112))),";",EscStr(S112),";")))</f>
        <v>;"NavNode_L3D_525375";"Wyłączniki sieciowe";</v>
      </c>
      <c r="AM112" s="10" t="str">
        <f>IF(getCategoryLevelAsString($B112)="L0D_324785","",IF(T112="",CONCATENATE(";",EscStr(CONCATENATE("NavNode_",getCategoryLevelAsString($B112))),";",EscStr($J112),";"),CONCATENATE(";",EscStr(CONCATENATE("NavNode_",getCategoryLevelAsString($B112))),";",EscStr(T112),";")))</f>
        <v>;"NavNode_L3D_525375";"Аварийные выключатели";</v>
      </c>
      <c r="AN112" s="10" t="str">
        <f>IF(getCategoryLevelAsString($B112)="L0D_324785","",IF(U112="",CONCATENATE(";",EscStr(CONCATENATE("NavNode_",getCategoryLevelAsString($B112))),";",EscStr($J112),";"),CONCATENATE(";",EscStr(CONCATENATE("NavNode_",getCategoryLevelAsString($B112))),";",EscStr(U112),";")))</f>
        <v>;"NavNode_L3D_525375";"Síťové vypínače";</v>
      </c>
      <c r="AO112" s="10" t="str">
        <f>IF(getCategoryLevelAsString($B112)="L0D_324785","",IF(V112="",CONCATENATE(";",EscStr(CONCATENATE("NavNode_",getCategoryLevelAsString($B112))),";",EscStr($J112),";"),CONCATENATE(";",EscStr(CONCATENATE("NavNode_",getCategoryLevelAsString($B112))),";",EscStr(V112),";")))</f>
        <v>;"NavNode_L3D_525375";"Dispozitive de întrerupere";</v>
      </c>
      <c r="AP112" s="10" t="str">
        <f>IF(getCategoryLevelAsString($B112)="L0D_324785","",IF(W112="",CONCATENATE(";",EscStr(CONCATENATE("NavNode_",getCategoryLevelAsString($B112))),";",EscStr($J112),";"),CONCATENATE(";",EscStr(CONCATENATE("NavNode_",getCategoryLevelAsString($B112))),";",EscStr(W112),";")))</f>
        <v>;"NavNode_L3D_525375";"Készülék kapcsolók";</v>
      </c>
      <c r="AQ112" s="10" t="str">
        <f>IF(getCategoryLevelAsString($B112)="L0D_324785","",IF(X112="",CONCATENATE(";",EscStr(CONCATENATE("NavNode_",getCategoryLevelAsString($B112))),";",EscStr($J112),";"),CONCATENATE(";",EscStr(CONCATENATE("NavNode_",getCategoryLevelAsString($B112))),";",EscStr(X112),";")))</f>
        <v>;"NavNode_L3D_525375";"Síťové vypínače";</v>
      </c>
      <c r="AR112" s="8" t="str">
        <f>IF(OR($A112&lt;&gt;"", $G112=""),"",CONCATENATE(";",EscStr(CONCATENATE("NavEntry_",getCategoryLevelAsString($B112))),";",EscStr(CONCATENATE($J112," Navigation Entry")),";",EscStr(CONCATENATE("cat-",getCategoryLevelAsString($B112))),";",EscStr(CONCATENATE("NavNode_",getCategoryLevelAsString($B112))),";"))</f>
        <v>;"NavEntry_L3D_525375";"Mains Power Switches Navigation Entry";"cat-L3D_525375";"NavNode_L3D_525375";</v>
      </c>
    </row>
    <row r="113" spans="1:44" ht="15" x14ac:dyDescent="0.25">
      <c r="A113" s="25"/>
      <c r="B113" s="5"/>
      <c r="C113" s="5"/>
      <c r="D113" s="5" t="s">
        <v>179</v>
      </c>
      <c r="E113" s="5"/>
      <c r="F113" s="5"/>
      <c r="G113" s="5" t="s">
        <v>444</v>
      </c>
      <c r="H113" s="5" t="s">
        <v>445</v>
      </c>
      <c r="I113" s="5" t="s">
        <v>446</v>
      </c>
      <c r="J113" s="5" t="s">
        <v>180</v>
      </c>
      <c r="K113" s="5" t="s">
        <v>1233</v>
      </c>
      <c r="L113" s="5" t="s">
        <v>1467</v>
      </c>
      <c r="M113" s="5" t="s">
        <v>1700</v>
      </c>
      <c r="N113" s="5" t="s">
        <v>1902</v>
      </c>
      <c r="O113" s="5" t="s">
        <v>2695</v>
      </c>
      <c r="P113" s="5" t="s">
        <v>2696</v>
      </c>
      <c r="Q113" s="5" t="s">
        <v>2697</v>
      </c>
      <c r="R113" s="5" t="s">
        <v>180</v>
      </c>
      <c r="S113" s="5" t="s">
        <v>2698</v>
      </c>
      <c r="T113" s="5" t="s">
        <v>2699</v>
      </c>
      <c r="U113" s="5" t="s">
        <v>2700</v>
      </c>
      <c r="V113" s="5" t="s">
        <v>2701</v>
      </c>
      <c r="W113" s="5" t="s">
        <v>2702</v>
      </c>
      <c r="X113" s="5" t="s">
        <v>2700</v>
      </c>
      <c r="Y113" s="10" t="str">
        <f>IF(OR($A113&lt;&gt;"", $G113=""),"",CONCATENATE(";",EscStr(CONCATENATE("NavNode_",getCategoryLevelAsString($B113))),";",EscStr($J113),";",IF($B113&lt;&gt;"","""MainNavNode""",EscStr(CONCATENATE("NavNode_",getSuperCategory($B113, getCategoryLevelAsNumber($B113))))),";"))</f>
        <v>;"NavNode_L3D_525376";"Microswitches / Snap-Action";"NavNode_L2D_379528";</v>
      </c>
      <c r="Z113" s="10" t="str">
        <f>IF(getCategoryLevelAsString($B113)="L0D_324785","",IF(G113="",CONCATENATE(";",EscStr(CONCATENATE("NavNode_",getCategoryLevelAsString($B113))),";",EscStr($J113),";"),CONCATENATE(";",EscStr(CONCATENATE("NavNode_",getCategoryLevelAsString($B113))),";",EscStr(G113),";")))</f>
        <v>;"NavNode_L3D_525376";"Mikroschalter / Schnappverriegelung";</v>
      </c>
      <c r="AA113" s="10" t="str">
        <f>IF(getCategoryLevelAsString($B113)="L0D_324785","",IF(H113="",CONCATENATE(";",EscStr(CONCATENATE("NavNode_",getCategoryLevelAsString($B113))),";",EscStr($J113),";"),CONCATENATE(";",EscStr(CONCATENATE("NavNode_",getCategoryLevelAsString($B113))),";",EscStr(H113),";")))</f>
        <v>;"NavNode_L3D_525376";"Microrupteurs / Boutons-poussoirs";</v>
      </c>
      <c r="AB113" s="10" t="str">
        <f>IF(getCategoryLevelAsString($B113)="L0D_324785","",IF(I113="",CONCATENATE(";",EscStr(CONCATENATE("NavNode_",getCategoryLevelAsString($B113))),";",EscStr($J113),";"),CONCATENATE(";",EscStr(CONCATENATE("NavNode_",getCategoryLevelAsString($B113))),";",EscStr(I113),";")))</f>
        <v>;"NavNode_L3D_525376";"Microinterruttori / A scatto";</v>
      </c>
      <c r="AC113" s="10" t="str">
        <f>IF(getCategoryLevelAsString($B113)="L0D_324785","",IF(J113="",CONCATENATE(";",EscStr(CONCATENATE("NavNode_",getCategoryLevelAsString($B113))),";",EscStr($J113),";"),CONCATENATE(";",EscStr(CONCATENATE("NavNode_",getCategoryLevelAsString($B113))),";",EscStr(J113),";")))</f>
        <v>;"NavNode_L3D_525376";"Microswitches / Snap-Action";</v>
      </c>
      <c r="AD113" s="10" t="str">
        <f>IF(getCategoryLevelAsString($B113)="L0D_324785","",IF(K113="",CONCATENATE(";",EscStr(CONCATENATE("NavNode_",getCategoryLevelAsString($B113))),";",EscStr($J113),";"),CONCATENATE(";",EscStr(CONCATENATE("NavNode_",getCategoryLevelAsString($B113))),";",EscStr(K113),";")))</f>
        <v>;"NavNode_L3D_525376";"Microafbrydere/Snap-Action";</v>
      </c>
      <c r="AE113" s="10" t="str">
        <f>IF(getCategoryLevelAsString($B113)="L0D_324785","",IF(L113="",CONCATENATE(";",EscStr(CONCATENATE("NavNode_",getCategoryLevelAsString($B113))),";",EscStr($J113),";"),CONCATENATE(";",EscStr(CONCATENATE("NavNode_",getCategoryLevelAsString($B113))),";",EscStr(L113),";")))</f>
        <v>;"NavNode_L3D_525376";"Mikrojungikliai / užsklendžiamieji jungikliai";</v>
      </c>
      <c r="AF113" s="10" t="str">
        <f>IF(getCategoryLevelAsString($B113)="L0D_324785","",IF(M113="",CONCATENATE(";",EscStr(CONCATENATE("NavNode_",getCategoryLevelAsString($B113))),";",EscStr($J113),";"),CONCATENATE(";",EscStr(CONCATENATE("NavNode_",getCategoryLevelAsString($B113))),";",EscStr(M113),";")))</f>
        <v>;"NavNode_L3D_525376";"Mikrobrytere/kippbrytere";</v>
      </c>
      <c r="AG113" s="10" t="str">
        <f>IF(getCategoryLevelAsString($B113)="L0D_324785","",IF(N113="",CONCATENATE(";",EscStr(CONCATENATE("NavNode_",getCategoryLevelAsString($B113))),";",EscStr($J113),";"),CONCATENATE(";",EscStr(CONCATENATE("NavNode_",getCategoryLevelAsString($B113))),";",EscStr(N113),";")))</f>
        <v>;"NavNode_L3D_525376";"Mikrobrytare/Snäppmekanism";</v>
      </c>
      <c r="AH113" s="10" t="str">
        <f>IF(getCategoryLevelAsString($B113)="L0D_324785","",IF(O113="",CONCATENATE(";",EscStr(CONCATENATE("NavNode_",getCategoryLevelAsString($B113))),";",EscStr($J113),";"),CONCATENATE(";",EscStr(CONCATENATE("NavNode_",getCategoryLevelAsString($B113))),";",EscStr(O113),";")))</f>
        <v>;"NavNode_L3D_525376";"Mikrolülitid /";</v>
      </c>
      <c r="AI113" s="10" t="str">
        <f>IF(getCategoryLevelAsString($B113)="L0D_324785","",IF(P113="",CONCATENATE(";",EscStr(CONCATENATE("NavNode_",getCategoryLevelAsString($B113))),";",EscStr($J113),";"),CONCATENATE(";",EscStr(CONCATENATE("NavNode_",getCategoryLevelAsString($B113))),";",EscStr(P113),";")))</f>
        <v>;"NavNode_L3D_525376";"Mikrokytkimet";</v>
      </c>
      <c r="AJ113" s="10" t="str">
        <f>IF(getCategoryLevelAsString($B113)="L0D_324785","",IF(Q113="",CONCATENATE(";",EscStr(CONCATENATE("NavNode_",getCategoryLevelAsString($B113))),";",EscStr($J113),";"),CONCATENATE(";",EscStr(CONCATENATE("NavNode_",getCategoryLevelAsString($B113))),";",EscStr(Q113),";")))</f>
        <v>;"NavNode_L3D_525376";"Mikroslēdži / Atsperslēdži";</v>
      </c>
      <c r="AK113" s="10" t="str">
        <f>IF(getCategoryLevelAsString($B113)="L0D_324785","",IF(R113="",CONCATENATE(";",EscStr(CONCATENATE("NavNode_",getCategoryLevelAsString($B113))),";",EscStr($J113),";"),CONCATENATE(";",EscStr(CONCATENATE("NavNode_",getCategoryLevelAsString($B113))),";",EscStr(R113),";")))</f>
        <v>;"NavNode_L3D_525376";"Microswitches / Snap-Action";</v>
      </c>
      <c r="AL113" s="10" t="str">
        <f>IF(getCategoryLevelAsString($B113)="L0D_324785","",IF(S113="",CONCATENATE(";",EscStr(CONCATENATE("NavNode_",getCategoryLevelAsString($B113))),";",EscStr($J113),";"),CONCATENATE(";",EscStr(CONCATENATE("NavNode_",getCategoryLevelAsString($B113))),";",EscStr(S113),";")))</f>
        <v>;"NavNode_L3D_525376";"Mikroprzełączniki";</v>
      </c>
      <c r="AM113" s="10" t="str">
        <f>IF(getCategoryLevelAsString($B113)="L0D_324785","",IF(T113="",CONCATENATE(";",EscStr(CONCATENATE("NavNode_",getCategoryLevelAsString($B113))),";",EscStr($J113),";"),CONCATENATE(";",EscStr(CONCATENATE("NavNode_",getCategoryLevelAsString($B113))),";",EscStr(T113),";")))</f>
        <v>;"NavNode_L3D_525376";"Микропереключатели / мгновенного действия";</v>
      </c>
      <c r="AN113" s="10" t="str">
        <f>IF(getCategoryLevelAsString($B113)="L0D_324785","",IF(U113="",CONCATENATE(";",EscStr(CONCATENATE("NavNode_",getCategoryLevelAsString($B113))),";",EscStr($J113),";"),CONCATENATE(";",EscStr(CONCATENATE("NavNode_",getCategoryLevelAsString($B113))),";",EscStr(U113),";")))</f>
        <v>;"NavNode_L3D_525376";"Mikrospínače";</v>
      </c>
      <c r="AO113" s="10" t="str">
        <f>IF(getCategoryLevelAsString($B113)="L0D_324785","",IF(V113="",CONCATENATE(";",EscStr(CONCATENATE("NavNode_",getCategoryLevelAsString($B113))),";",EscStr($J113),";"),CONCATENATE(";",EscStr(CONCATENATE("NavNode_",getCategoryLevelAsString($B113))),";",EscStr(V113),";")))</f>
        <v>;"NavNode_L3D_525376";"Microcomutatoare / Încuietori cu siguranţă";</v>
      </c>
      <c r="AP113" s="10" t="str">
        <f>IF(getCategoryLevelAsString($B113)="L0D_324785","",IF(W113="",CONCATENATE(";",EscStr(CONCATENATE("NavNode_",getCategoryLevelAsString($B113))),";",EscStr($J113),";"),CONCATENATE(";",EscStr(CONCATENATE("NavNode_",getCategoryLevelAsString($B113))),";",EscStr(W113),";")))</f>
        <v>;"NavNode_L3D_525376";"Mikrokapcsolók / Snap-lock rendszerek";</v>
      </c>
      <c r="AQ113" s="10" t="str">
        <f>IF(getCategoryLevelAsString($B113)="L0D_324785","",IF(X113="",CONCATENATE(";",EscStr(CONCATENATE("NavNode_",getCategoryLevelAsString($B113))),";",EscStr($J113),";"),CONCATENATE(";",EscStr(CONCATENATE("NavNode_",getCategoryLevelAsString($B113))),";",EscStr(X113),";")))</f>
        <v>;"NavNode_L3D_525376";"Mikrospínače";</v>
      </c>
      <c r="AR113" s="8" t="str">
        <f>IF(OR($A113&lt;&gt;"", $G113=""),"",CONCATENATE(";",EscStr(CONCATENATE("NavEntry_",getCategoryLevelAsString($B113))),";",EscStr(CONCATENATE($J113," Navigation Entry")),";",EscStr(CONCATENATE("cat-",getCategoryLevelAsString($B113))),";",EscStr(CONCATENATE("NavNode_",getCategoryLevelAsString($B113))),";"))</f>
        <v>;"NavEntry_L3D_525376";"Microswitches / Snap-Action Navigation Entry";"cat-L3D_525376";"NavNode_L3D_525376";</v>
      </c>
    </row>
    <row r="114" spans="1:44" ht="15" x14ac:dyDescent="0.25">
      <c r="A114" s="25"/>
      <c r="B114" s="5"/>
      <c r="C114" s="5"/>
      <c r="D114" s="5" t="s">
        <v>181</v>
      </c>
      <c r="E114" s="5"/>
      <c r="F114" s="5"/>
      <c r="G114" s="5" t="s">
        <v>447</v>
      </c>
      <c r="H114" s="5" t="s">
        <v>448</v>
      </c>
      <c r="I114" s="5" t="s">
        <v>449</v>
      </c>
      <c r="J114" s="5" t="s">
        <v>182</v>
      </c>
      <c r="K114" s="5" t="s">
        <v>1234</v>
      </c>
      <c r="L114" s="5" t="s">
        <v>1468</v>
      </c>
      <c r="M114" s="5" t="s">
        <v>1701</v>
      </c>
      <c r="N114" s="5" t="s">
        <v>1903</v>
      </c>
      <c r="O114" s="5" t="s">
        <v>2703</v>
      </c>
      <c r="P114" s="5" t="s">
        <v>2704</v>
      </c>
      <c r="Q114" s="5" t="s">
        <v>2705</v>
      </c>
      <c r="R114" s="5" t="s">
        <v>2706</v>
      </c>
      <c r="S114" s="5" t="s">
        <v>2707</v>
      </c>
      <c r="T114" s="5" t="s">
        <v>2708</v>
      </c>
      <c r="U114" s="5" t="s">
        <v>2709</v>
      </c>
      <c r="V114" s="5" t="s">
        <v>2710</v>
      </c>
      <c r="W114" s="5" t="s">
        <v>2711</v>
      </c>
      <c r="X114" s="5" t="s">
        <v>2709</v>
      </c>
      <c r="Y114" s="10" t="str">
        <f>IF(OR($A114&lt;&gt;"", $G114=""),"",CONCATENATE(";",EscStr(CONCATENATE("NavNode_",getCategoryLevelAsString($B114))),";",EscStr($J114),";",IF($B114&lt;&gt;"","""MainNavNode""",EscStr(CONCATENATE("NavNode_",getSuperCategory($B114, getCategoryLevelAsNumber($B114))))),";"))</f>
        <v>;"NavNode_L3D_525378";"Miniature Switches / PCB Switches";"NavNode_L2D_379528";</v>
      </c>
      <c r="Z114" s="10" t="str">
        <f>IF(getCategoryLevelAsString($B114)="L0D_324785","",IF(G114="",CONCATENATE(";",EscStr(CONCATENATE("NavNode_",getCategoryLevelAsString($B114))),";",EscStr($J114),";"),CONCATENATE(";",EscStr(CONCATENATE("NavNode_",getCategoryLevelAsString($B114))),";",EscStr(G114),";")))</f>
        <v>;"NavNode_L3D_525378";"Miniaturschalter / Printtasten";</v>
      </c>
      <c r="AA114" s="10" t="str">
        <f>IF(getCategoryLevelAsString($B114)="L0D_324785","",IF(H114="",CONCATENATE(";",EscStr(CONCATENATE("NavNode_",getCategoryLevelAsString($B114))),";",EscStr($J114),";"),CONCATENATE(";",EscStr(CONCATENATE("NavNode_",getCategoryLevelAsString($B114))),";",EscStr(H114),";")))</f>
        <v>;"NavNode_L3D_525378";"Interrupteurs miniatures / Touches pour circuit imprimé";</v>
      </c>
      <c r="AB114" s="10" t="str">
        <f>IF(getCategoryLevelAsString($B114)="L0D_324785","",IF(I114="",CONCATENATE(";",EscStr(CONCATENATE("NavNode_",getCategoryLevelAsString($B114))),";",EscStr($J114),";"),CONCATENATE(";",EscStr(CONCATENATE("NavNode_",getCategoryLevelAsString($B114))),";",EscStr(I114),";")))</f>
        <v>;"NavNode_L3D_525378";"Interruttori in miniatura / Interruttori per circuiti stampati";</v>
      </c>
      <c r="AC114" s="10" t="str">
        <f>IF(getCategoryLevelAsString($B114)="L0D_324785","",IF(J114="",CONCATENATE(";",EscStr(CONCATENATE("NavNode_",getCategoryLevelAsString($B114))),";",EscStr($J114),";"),CONCATENATE(";",EscStr(CONCATENATE("NavNode_",getCategoryLevelAsString($B114))),";",EscStr(J114),";")))</f>
        <v>;"NavNode_L3D_525378";"Miniature Switches / PCB Switches";</v>
      </c>
      <c r="AD114" s="10" t="str">
        <f>IF(getCategoryLevelAsString($B114)="L0D_324785","",IF(K114="",CONCATENATE(";",EscStr(CONCATENATE("NavNode_",getCategoryLevelAsString($B114))),";",EscStr($J114),";"),CONCATENATE(";",EscStr(CONCATENATE("NavNode_",getCategoryLevelAsString($B114))),";",EscStr(K114),";")))</f>
        <v>;"NavNode_L3D_525378";"Miniature-afbrydere/PCB-afbrydere";</v>
      </c>
      <c r="AE114" s="10" t="str">
        <f>IF(getCategoryLevelAsString($B114)="L0D_324785","",IF(L114="",CONCATENATE(";",EscStr(CONCATENATE("NavNode_",getCategoryLevelAsString($B114))),";",EscStr($J114),";"),CONCATENATE(";",EscStr(CONCATENATE("NavNode_",getCategoryLevelAsString($B114))),";",EscStr(L114),";")))</f>
        <v>;"NavNode_L3D_525378";"Miniatiūriniai jungikliai / PCB jungikliai";</v>
      </c>
      <c r="AF114" s="10" t="str">
        <f>IF(getCategoryLevelAsString($B114)="L0D_324785","",IF(M114="",CONCATENATE(";",EscStr(CONCATENATE("NavNode_",getCategoryLevelAsString($B114))),";",EscStr($J114),";"),CONCATENATE(";",EscStr(CONCATENATE("NavNode_",getCategoryLevelAsString($B114))),";",EscStr(M114),";")))</f>
        <v>;"NavNode_L3D_525378";"Miniatyrbrytere/kretskortbrytere";</v>
      </c>
      <c r="AG114" s="10" t="str">
        <f>IF(getCategoryLevelAsString($B114)="L0D_324785","",IF(N114="",CONCATENATE(";",EscStr(CONCATENATE("NavNode_",getCategoryLevelAsString($B114))),";",EscStr($J114),";"),CONCATENATE(";",EscStr(CONCATENATE("NavNode_",getCategoryLevelAsString($B114))),";",EscStr(N114),";")))</f>
        <v>;"NavNode_L3D_525378";"Miniatyrbrytare/Kretskortsomkopplare";</v>
      </c>
      <c r="AH114" s="10" t="str">
        <f>IF(getCategoryLevelAsString($B114)="L0D_324785","",IF(O114="",CONCATENATE(";",EscStr(CONCATENATE("NavNode_",getCategoryLevelAsString($B114))),";",EscStr($J114),";"),CONCATENATE(";",EscStr(CONCATENATE("NavNode_",getCategoryLevelAsString($B114))),";",EscStr(O114),";")))</f>
        <v>;"NavNode_L3D_525378";"Miniatuursed lülitid / Trükkplaadilülitid";</v>
      </c>
      <c r="AI114" s="10" t="str">
        <f>IF(getCategoryLevelAsString($B114)="L0D_324785","",IF(P114="",CONCATENATE(";",EscStr(CONCATENATE("NavNode_",getCategoryLevelAsString($B114))),";",EscStr($J114),";"),CONCATENATE(";",EscStr(CONCATENATE("NavNode_",getCategoryLevelAsString($B114))),";",EscStr(P114),";")))</f>
        <v>;"NavNode_L3D_525378";"Pienoiskytkimet";</v>
      </c>
      <c r="AJ114" s="10" t="str">
        <f>IF(getCategoryLevelAsString($B114)="L0D_324785","",IF(Q114="",CONCATENATE(";",EscStr(CONCATENATE("NavNode_",getCategoryLevelAsString($B114))),";",EscStr($J114),";"),CONCATENATE(";",EscStr(CONCATENATE("NavNode_",getCategoryLevelAsString($B114))),";",EscStr(Q114),";")))</f>
        <v>;"NavNode_L3D_525378";"Mikroslēdži / PCB slēdži";</v>
      </c>
      <c r="AK114" s="10" t="str">
        <f>IF(getCategoryLevelAsString($B114)="L0D_324785","",IF(R114="",CONCATENATE(";",EscStr(CONCATENATE("NavNode_",getCategoryLevelAsString($B114))),";",EscStr($J114),";"),CONCATENATE(";",EscStr(CONCATENATE("NavNode_",getCategoryLevelAsString($B114))),";",EscStr(R114),";")))</f>
        <v>;"NavNode_L3D_525378";"Miniatuur schakelaars / Print schakelaars";</v>
      </c>
      <c r="AL114" s="10" t="str">
        <f>IF(getCategoryLevelAsString($B114)="L0D_324785","",IF(S114="",CONCATENATE(";",EscStr(CONCATENATE("NavNode_",getCategoryLevelAsString($B114))),";",EscStr($J114),";"),CONCATENATE(";",EscStr(CONCATENATE("NavNode_",getCategoryLevelAsString($B114))),";",EscStr(S114),";")))</f>
        <v>;"NavNode_L3D_525378";"Przłączniki Miniaturowe / Przełączniki PCB";</v>
      </c>
      <c r="AM114" s="10" t="str">
        <f>IF(getCategoryLevelAsString($B114)="L0D_324785","",IF(T114="",CONCATENATE(";",EscStr(CONCATENATE("NavNode_",getCategoryLevelAsString($B114))),";",EscStr($J114),";"),CONCATENATE(";",EscStr(CONCATENATE("NavNode_",getCategoryLevelAsString($B114))),";",EscStr(T114),";")))</f>
        <v>;"NavNode_L3D_525378";"Миниатюрные переключатели / PCB переключатели";</v>
      </c>
      <c r="AN114" s="10" t="str">
        <f>IF(getCategoryLevelAsString($B114)="L0D_324785","",IF(U114="",CONCATENATE(";",EscStr(CONCATENATE("NavNode_",getCategoryLevelAsString($B114))),";",EscStr($J114),";"),CONCATENATE(";",EscStr(CONCATENATE("NavNode_",getCategoryLevelAsString($B114))),";",EscStr(U114),";")))</f>
        <v>;"NavNode_L3D_525378";"Miniaturní spínače / tlačítka pro desky plošných spojů";</v>
      </c>
      <c r="AO114" s="10" t="str">
        <f>IF(getCategoryLevelAsString($B114)="L0D_324785","",IF(V114="",CONCATENATE(";",EscStr(CONCATENATE("NavNode_",getCategoryLevelAsString($B114))),";",EscStr($J114),";"),CONCATENATE(";",EscStr(CONCATENATE("NavNode_",getCategoryLevelAsString($B114))),";",EscStr(V114),";")))</f>
        <v>;"NavNode_L3D_525378";"Minicomutatoare / Printtaste";</v>
      </c>
      <c r="AP114" s="10" t="str">
        <f>IF(getCategoryLevelAsString($B114)="L0D_324785","",IF(W114="",CONCATENATE(";",EscStr(CONCATENATE("NavNode_",getCategoryLevelAsString($B114))),";",EscStr($J114),";"),CONCATENATE(";",EscStr(CONCATENATE("NavNode_",getCategoryLevelAsString($B114))),";",EscStr(W114),";")))</f>
        <v>;"NavNode_L3D_525378";"Miniatűr kapcsolók / NYÁK-ba ültethető nyomógombok";</v>
      </c>
      <c r="AQ114" s="10" t="str">
        <f>IF(getCategoryLevelAsString($B114)="L0D_324785","",IF(X114="",CONCATENATE(";",EscStr(CONCATENATE("NavNode_",getCategoryLevelAsString($B114))),";",EscStr($J114),";"),CONCATENATE(";",EscStr(CONCATENATE("NavNode_",getCategoryLevelAsString($B114))),";",EscStr(X114),";")))</f>
        <v>;"NavNode_L3D_525378";"Miniaturní spínače / tlačítka pro desky plošných spojů";</v>
      </c>
      <c r="AR114" s="8" t="str">
        <f>IF(OR($A114&lt;&gt;"", $G114=""),"",CONCATENATE(";",EscStr(CONCATENATE("NavEntry_",getCategoryLevelAsString($B114))),";",EscStr(CONCATENATE($J114," Navigation Entry")),";",EscStr(CONCATENATE("cat-",getCategoryLevelAsString($B114))),";",EscStr(CONCATENATE("NavNode_",getCategoryLevelAsString($B114))),";"))</f>
        <v>;"NavEntry_L3D_525378";"Miniature Switches / PCB Switches Navigation Entry";"cat-L3D_525378";"NavNode_L3D_525378";</v>
      </c>
    </row>
    <row r="115" spans="1:44" ht="15" hidden="1" x14ac:dyDescent="0.25">
      <c r="A115" s="25"/>
      <c r="B115" s="5"/>
      <c r="C115" s="5"/>
      <c r="D115" s="5" t="s">
        <v>7466</v>
      </c>
      <c r="E115" s="5"/>
      <c r="F115" s="5"/>
      <c r="G115" s="5" t="s">
        <v>7468</v>
      </c>
      <c r="H115" s="5"/>
      <c r="I115" s="5"/>
      <c r="J115" s="5" t="s">
        <v>7467</v>
      </c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8"/>
    </row>
    <row r="116" spans="1:44" ht="15" hidden="1" x14ac:dyDescent="0.25">
      <c r="A116" s="25"/>
      <c r="B116" s="5"/>
      <c r="C116" s="5"/>
      <c r="D116" s="5" t="s">
        <v>7503</v>
      </c>
      <c r="E116" s="5"/>
      <c r="F116" s="5"/>
      <c r="G116" s="5" t="s">
        <v>7505</v>
      </c>
      <c r="H116" s="5"/>
      <c r="I116" s="5"/>
      <c r="J116" s="5" t="s">
        <v>7504</v>
      </c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8"/>
    </row>
    <row r="117" spans="1:44" ht="15" hidden="1" x14ac:dyDescent="0.25">
      <c r="A117" s="25"/>
      <c r="B117" s="5"/>
      <c r="C117" s="5"/>
      <c r="D117" s="5" t="s">
        <v>7525</v>
      </c>
      <c r="E117" s="5"/>
      <c r="F117" s="5"/>
      <c r="G117" s="5" t="s">
        <v>7527</v>
      </c>
      <c r="H117" s="5"/>
      <c r="I117" s="5"/>
      <c r="J117" s="5" t="s">
        <v>7526</v>
      </c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8"/>
    </row>
    <row r="118" spans="1:44" ht="15" hidden="1" x14ac:dyDescent="0.25">
      <c r="A118" s="25"/>
      <c r="B118" s="5"/>
      <c r="C118" s="5"/>
      <c r="D118" s="5" t="s">
        <v>7550</v>
      </c>
      <c r="E118" s="5"/>
      <c r="F118" s="5"/>
      <c r="G118" s="5" t="s">
        <v>7552</v>
      </c>
      <c r="H118" s="5"/>
      <c r="I118" s="5"/>
      <c r="J118" s="5" t="s">
        <v>7551</v>
      </c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8"/>
    </row>
    <row r="119" spans="1:44" ht="15" x14ac:dyDescent="0.25">
      <c r="A119" s="25"/>
      <c r="B119" s="5"/>
      <c r="C119" s="5" t="s">
        <v>170</v>
      </c>
      <c r="D119" s="5"/>
      <c r="E119" s="5"/>
      <c r="F119" s="5"/>
      <c r="G119" s="5" t="s">
        <v>2168</v>
      </c>
      <c r="H119" s="5" t="s">
        <v>2169</v>
      </c>
      <c r="I119" s="5" t="s">
        <v>2170</v>
      </c>
      <c r="J119" s="5" t="s">
        <v>2171</v>
      </c>
      <c r="K119" s="5" t="s">
        <v>2172</v>
      </c>
      <c r="L119" s="5" t="s">
        <v>1477</v>
      </c>
      <c r="M119" s="5" t="s">
        <v>2173</v>
      </c>
      <c r="N119" s="5" t="s">
        <v>2174</v>
      </c>
      <c r="O119" s="5" t="s">
        <v>2175</v>
      </c>
      <c r="P119" s="5" t="s">
        <v>2176</v>
      </c>
      <c r="Q119" s="5" t="s">
        <v>2177</v>
      </c>
      <c r="R119" s="5" t="s">
        <v>2178</v>
      </c>
      <c r="S119" s="5" t="s">
        <v>2179</v>
      </c>
      <c r="T119" s="5" t="s">
        <v>2180</v>
      </c>
      <c r="U119" s="5" t="s">
        <v>2181</v>
      </c>
      <c r="V119" s="5" t="s">
        <v>2182</v>
      </c>
      <c r="W119" s="5" t="s">
        <v>2183</v>
      </c>
      <c r="X119" s="5" t="s">
        <v>2181</v>
      </c>
      <c r="Y119" s="10" t="str">
        <f>IF(OR($A119&lt;&gt;"", $G119=""),"",CONCATENATE(";",EscStr(CONCATENATE("NavNode_",getCategoryLevelAsString($B119))),";",EscStr($J119),";",IF($B119&lt;&gt;"","""MainNavNode""",EscStr(CONCATENATE("NavNode_",getSuperCategory($B119, getCategoryLevelAsNumber($B119))))),";"))</f>
        <v>;"NavNode_L3D_525399";"Printed Circuit Board Layout Software";"NavNode_Electromechanical Components";</v>
      </c>
      <c r="Z119" s="10" t="str">
        <f>IF(getCategoryLevelAsString($B119)="L0D_324785","",IF(G119="",CONCATENATE(";",EscStr(CONCATENATE("NavNode_",getCategoryLevelAsString($B119))),";",EscStr($J119),";"),CONCATENATE(";",EscStr(CONCATENATE("NavNode_",getCategoryLevelAsString($B119))),";",EscStr(G119),";")))</f>
        <v>;"NavNode_L3D_525399";"Leiterplatten-Layoutsoftware";</v>
      </c>
      <c r="AA119" s="10" t="str">
        <f>IF(getCategoryLevelAsString($B119)="L0D_324785","",IF(H119="",CONCATENATE(";",EscStr(CONCATENATE("NavNode_",getCategoryLevelAsString($B119))),";",EscStr($J119),";"),CONCATENATE(";",EscStr(CONCATENATE("NavNode_",getCategoryLevelAsString($B119))),";",EscStr(H119),";")))</f>
        <v>;"NavNode_L3D_525399";"Logiciel pour layout de carte de circuit imprimé";</v>
      </c>
      <c r="AB119" s="10" t="str">
        <f>IF(getCategoryLevelAsString($B119)="L0D_324785","",IF(I119="",CONCATENATE(";",EscStr(CONCATENATE("NavNode_",getCategoryLevelAsString($B119))),";",EscStr($J119),";"),CONCATENATE(";",EscStr(CONCATENATE("NavNode_",getCategoryLevelAsString($B119))),";",EscStr(I119),";")))</f>
        <v>;"NavNode_L3D_525399";"Software schema della scheda a circuiti stampati";</v>
      </c>
      <c r="AC119" s="10" t="str">
        <f>IF(getCategoryLevelAsString($B119)="L0D_324785","",IF(J119="",CONCATENATE(";",EscStr(CONCATENATE("NavNode_",getCategoryLevelAsString($B119))),";",EscStr($J119),";"),CONCATENATE(";",EscStr(CONCATENATE("NavNode_",getCategoryLevelAsString($B119))),";",EscStr(J119),";")))</f>
        <v>;"NavNode_L3D_525399";"Printed Circuit Board Layout Software";</v>
      </c>
      <c r="AD119" s="10" t="str">
        <f>IF(getCategoryLevelAsString($B119)="L0D_324785","",IF(K119="",CONCATENATE(";",EscStr(CONCATENATE("NavNode_",getCategoryLevelAsString($B119))),";",EscStr($J119),";"),CONCATENATE(";",EscStr(CONCATENATE("NavNode_",getCategoryLevelAsString($B119))),";",EscStr(K119),";")))</f>
        <v>;"NavNode_L3D_525399";"PCB-designsoftware";</v>
      </c>
      <c r="AE119" s="10" t="str">
        <f>IF(getCategoryLevelAsString($B119)="L0D_324785","",IF(L119="",CONCATENATE(";",EscStr(CONCATENATE("NavNode_",getCategoryLevelAsString($B119))),";",EscStr($J119),";"),CONCATENATE(";",EscStr(CONCATENATE("NavNode_",getCategoryLevelAsString($B119))),";",EscStr(L119),";")))</f>
        <v>;"NavNode_L3D_525399";"PCB schemos programinė įranga";</v>
      </c>
      <c r="AF119" s="10" t="str">
        <f>IF(getCategoryLevelAsString($B119)="L0D_324785","",IF(M119="",CONCATENATE(";",EscStr(CONCATENATE("NavNode_",getCategoryLevelAsString($B119))),";",EscStr($J119),";"),CONCATENATE(";",EscStr(CONCATENATE("NavNode_",getCategoryLevelAsString($B119))),";",EscStr(M119),";")))</f>
        <v>;"NavNode_L3D_525399";"Programvare for kretskortlayout";</v>
      </c>
      <c r="AG119" s="10" t="str">
        <f>IF(getCategoryLevelAsString($B119)="L0D_324785","",IF(N119="",CONCATENATE(";",EscStr(CONCATENATE("NavNode_",getCategoryLevelAsString($B119))),";",EscStr($J119),";"),CONCATENATE(";",EscStr(CONCATENATE("NavNode_",getCategoryLevelAsString($B119))),";",EscStr(N119),";")))</f>
        <v>;"NavNode_L3D_525399";"Kretskort programvara för layout";</v>
      </c>
      <c r="AH119" s="10" t="str">
        <f>IF(getCategoryLevelAsString($B119)="L0D_324785","",IF(O119="",CONCATENATE(";",EscStr(CONCATENATE("NavNode_",getCategoryLevelAsString($B119))),";",EscStr($J119),";"),CONCATENATE(";",EscStr(CONCATENATE("NavNode_",getCategoryLevelAsString($B119))),";",EscStr(O119),";")))</f>
        <v>;"NavNode_L3D_525399";"Prinditud trükkplaadi asetuse tarkvara";</v>
      </c>
      <c r="AI119" s="10" t="str">
        <f>IF(getCategoryLevelAsString($B119)="L0D_324785","",IF(P119="",CONCATENATE(";",EscStr(CONCATENATE("NavNode_",getCategoryLevelAsString($B119))),";",EscStr($J119),";"),CONCATENATE(";",EscStr(CONCATENATE("NavNode_",getCategoryLevelAsString($B119))),";",EscStr(P119),";")))</f>
        <v>;"NavNode_L3D_525399";"Piirilevyjen suunnitteluohjelmisto";</v>
      </c>
      <c r="AJ119" s="10" t="str">
        <f>IF(getCategoryLevelAsString($B119)="L0D_324785","",IF(Q119="",CONCATENATE(";",EscStr(CONCATENATE("NavNode_",getCategoryLevelAsString($B119))),";",EscStr($J119),";"),CONCATENATE(";",EscStr(CONCATENATE("NavNode_",getCategoryLevelAsString($B119))),";",EscStr(Q119),";")))</f>
        <v>;"NavNode_L3D_525399";"Drukātās shēmas plates programmatūra";</v>
      </c>
      <c r="AK119" s="10" t="str">
        <f>IF(getCategoryLevelAsString($B119)="L0D_324785","",IF(R119="",CONCATENATE(";",EscStr(CONCATENATE("NavNode_",getCategoryLevelAsString($B119))),";",EscStr($J119),";"),CONCATENATE(";",EscStr(CONCATENATE("NavNode_",getCategoryLevelAsString($B119))),";",EscStr(R119),";")))</f>
        <v>;"NavNode_L3D_525399";"Layout-software printplaten";</v>
      </c>
      <c r="AL119" s="10" t="str">
        <f>IF(getCategoryLevelAsString($B119)="L0D_324785","",IF(S119="",CONCATENATE(";",EscStr(CONCATENATE("NavNode_",getCategoryLevelAsString($B119))),";",EscStr($J119),";"),CONCATENATE(";",EscStr(CONCATENATE("NavNode_",getCategoryLevelAsString($B119))),";",EscStr(S119),";")))</f>
        <v>;"NavNode_L3D_525399";"Oprogramowanie do tworzenia schematów PCB";</v>
      </c>
      <c r="AM119" s="10" t="str">
        <f>IF(getCategoryLevelAsString($B119)="L0D_324785","",IF(T119="",CONCATENATE(";",EscStr(CONCATENATE("NavNode_",getCategoryLevelAsString($B119))),";",EscStr($J119),";"),CONCATENATE(";",EscStr(CONCATENATE("NavNode_",getCategoryLevelAsString($B119))),";",EscStr(T119),";")))</f>
        <v>;"NavNode_L3D_525399";"ПО для компоновки печатных плат";</v>
      </c>
      <c r="AN119" s="10" t="str">
        <f>IF(getCategoryLevelAsString($B119)="L0D_324785","",IF(U119="",CONCATENATE(";",EscStr(CONCATENATE("NavNode_",getCategoryLevelAsString($B119))),";",EscStr($J119),";"),CONCATENATE(";",EscStr(CONCATENATE("NavNode_",getCategoryLevelAsString($B119))),";",EscStr(U119),";")))</f>
        <v>;"NavNode_L3D_525399";"Software pro návrhy plošných spojů";</v>
      </c>
      <c r="AO119" s="10" t="str">
        <f>IF(getCategoryLevelAsString($B119)="L0D_324785","",IF(V119="",CONCATENATE(";",EscStr(CONCATENATE("NavNode_",getCategoryLevelAsString($B119))),";",EscStr($J119),";"),CONCATENATE(";",EscStr(CONCATENATE("NavNode_",getCategoryLevelAsString($B119))),";",EscStr(V119),";")))</f>
        <v>;"NavNode_L3D_525399";"Software aşezare placă circuite imprimate";</v>
      </c>
      <c r="AP119" s="10" t="str">
        <f>IF(getCategoryLevelAsString($B119)="L0D_324785","",IF(W119="",CONCATENATE(";",EscStr(CONCATENATE("NavNode_",getCategoryLevelAsString($B119))),";",EscStr($J119),";"),CONCATENATE(";",EscStr(CONCATENATE("NavNode_",getCategoryLevelAsString($B119))),";",EscStr(W119),";")))</f>
        <v>;"NavNode_L3D_525399";"Nyomtatott áramköri kártya elrendezési szoftver";</v>
      </c>
      <c r="AQ119" s="10" t="str">
        <f>IF(getCategoryLevelAsString($B119)="L0D_324785","",IF(X119="",CONCATENATE(";",EscStr(CONCATENATE("NavNode_",getCategoryLevelAsString($B119))),";",EscStr($J119),";"),CONCATENATE(";",EscStr(CONCATENATE("NavNode_",getCategoryLevelAsString($B119))),";",EscStr(X119),";")))</f>
        <v>;"NavNode_L3D_525399";"Software pro návrhy plošných spojů";</v>
      </c>
      <c r="AR119" s="8" t="str">
        <f>IF(OR($A119&lt;&gt;"", $G119=""),"",CONCATENATE(";",EscStr(CONCATENATE("NavEntry_",getCategoryLevelAsString($B119))),";",EscStr(CONCATENATE($J119," Navigation Entry")),";",EscStr(CONCATENATE("cat-",getCategoryLevelAsString($B119))),";",EscStr(CONCATENATE("NavNode_",getCategoryLevelAsString($B119))),";"))</f>
        <v>;"NavEntry_L3D_525399";"Printed Circuit Board Layout Software Navigation Entry";"cat-L3D_525399";"NavNode_L3D_525399";</v>
      </c>
    </row>
    <row r="120" spans="1:44" ht="15" x14ac:dyDescent="0.25">
      <c r="A120" s="25"/>
      <c r="B120" s="5"/>
      <c r="C120" s="5" t="s">
        <v>173</v>
      </c>
      <c r="D120" s="5"/>
      <c r="E120" s="5"/>
      <c r="F120" s="5"/>
      <c r="G120" s="5" t="s">
        <v>993</v>
      </c>
      <c r="H120" s="5" t="s">
        <v>1095</v>
      </c>
      <c r="I120" s="5" t="s">
        <v>1154</v>
      </c>
      <c r="J120" s="5" t="s">
        <v>174</v>
      </c>
      <c r="K120" s="5" t="s">
        <v>1243</v>
      </c>
      <c r="L120" s="5" t="s">
        <v>1478</v>
      </c>
      <c r="M120" s="5" t="s">
        <v>1710</v>
      </c>
      <c r="N120" s="5" t="s">
        <v>1912</v>
      </c>
      <c r="O120" s="5" t="s">
        <v>2783</v>
      </c>
      <c r="P120" s="5" t="s">
        <v>2784</v>
      </c>
      <c r="Q120" s="5" t="s">
        <v>2785</v>
      </c>
      <c r="R120" s="5" t="s">
        <v>2786</v>
      </c>
      <c r="S120" s="5" t="s">
        <v>2787</v>
      </c>
      <c r="T120" s="5" t="s">
        <v>2788</v>
      </c>
      <c r="U120" s="5" t="s">
        <v>2789</v>
      </c>
      <c r="V120" s="5" t="s">
        <v>2790</v>
      </c>
      <c r="W120" s="5" t="s">
        <v>2791</v>
      </c>
      <c r="X120" s="5" t="s">
        <v>2789</v>
      </c>
      <c r="Y120" s="10" t="str">
        <f>IF(OR($A120&lt;&gt;"", $G120=""),"",CONCATENATE(";",EscStr(CONCATENATE("NavNode_",getCategoryLevelAsString($B120))),";",EscStr($J120),";",IF($B120&lt;&gt;"","""MainNavNode""",EscStr(CONCATENATE("NavNode_",getSuperCategory($B120, getCategoryLevelAsNumber($B120))))),";"))</f>
        <v>;"NavNode_Embedded / Wireless / Education";"Prototyping Boards / PCB Manufacturing";"NavNode_L0D_324785";</v>
      </c>
      <c r="Z120" s="10" t="str">
        <f>IF(getCategoryLevelAsString($B120)="L0D_324785","",IF(G120="",CONCATENATE(";",EscStr(CONCATENATE("NavNode_",getCategoryLevelAsString($B120))),";",EscStr($J120),";"),CONCATENATE(";",EscStr(CONCATENATE("NavNode_",getCategoryLevelAsString($B120))),";",EscStr(G120),";")))</f>
        <v>;"NavNode_Embedded / Wireless / Education";"Laborkarten / Leiterplattenfertigung";</v>
      </c>
      <c r="AA120" s="10" t="str">
        <f>IF(getCategoryLevelAsString($B120)="L0D_324785","",IF(H120="",CONCATENATE(";",EscStr(CONCATENATE("NavNode_",getCategoryLevelAsString($B120))),";",EscStr($J120),";"),CONCATENATE(";",EscStr(CONCATENATE("NavNode_",getCategoryLevelAsString($B120))),";",EscStr(H120),";")))</f>
        <v>;"NavNode_Embedded / Wireless / Education";"Cartes de laboratoire / Fabrication de circuits imprimés";</v>
      </c>
      <c r="AB120" s="10" t="str">
        <f>IF(getCategoryLevelAsString($B120)="L0D_324785","",IF(I120="",CONCATENATE(";",EscStr(CONCATENATE("NavNode_",getCategoryLevelAsString($B120))),";",EscStr($J120),";"),CONCATENATE(";",EscStr(CONCATENATE("NavNode_",getCategoryLevelAsString($B120))),";",EscStr(I120),";")))</f>
        <v>;"NavNode_Embedded / Wireless / Education";"Schede laboratorio / Produzione circuiti stampati";</v>
      </c>
      <c r="AC120" s="10" t="str">
        <f>IF(getCategoryLevelAsString($B120)="L0D_324785","",IF(J120="",CONCATENATE(";",EscStr(CONCATENATE("NavNode_",getCategoryLevelAsString($B120))),";",EscStr($J120),";"),CONCATENATE(";",EscStr(CONCATENATE("NavNode_",getCategoryLevelAsString($B120))),";",EscStr(J120),";")))</f>
        <v>;"NavNode_Embedded / Wireless / Education";"Prototyping Boards / PCB Manufacturing";</v>
      </c>
      <c r="AD120" s="10" t="str">
        <f>IF(getCategoryLevelAsString($B120)="L0D_324785","",IF(K120="",CONCATENATE(";",EscStr(CONCATENATE("NavNode_",getCategoryLevelAsString($B120))),";",EscStr($J120),";"),CONCATENATE(";",EscStr(CONCATENATE("NavNode_",getCategoryLevelAsString($B120))),";",EscStr(K120),";")))</f>
        <v>;"NavNode_Embedded / Wireless / Education";"Prototypetavler/PCB-fremstilling";</v>
      </c>
      <c r="AE120" s="10" t="str">
        <f>IF(getCategoryLevelAsString($B120)="L0D_324785","",IF(L120="",CONCATENATE(";",EscStr(CONCATENATE("NavNode_",getCategoryLevelAsString($B120))),";",EscStr($J120),";"),CONCATENATE(";",EscStr(CONCATENATE("NavNode_",getCategoryLevelAsString($B120))),";",EscStr(L120),";")))</f>
        <v>;"NavNode_Embedded / Wireless / Education";"Prototipų plokštės / PCB gamyba";</v>
      </c>
      <c r="AF120" s="10" t="str">
        <f>IF(getCategoryLevelAsString($B120)="L0D_324785","",IF(M120="",CONCATENATE(";",EscStr(CONCATENATE("NavNode_",getCategoryLevelAsString($B120))),";",EscStr($J120),";"),CONCATENATE(";",EscStr(CONCATENATE("NavNode_",getCategoryLevelAsString($B120))),";",EscStr(M120),";")))</f>
        <v>;"NavNode_Embedded / Wireless / Education";"Prototypekort/kretskortproduksjon";</v>
      </c>
      <c r="AG120" s="10" t="str">
        <f>IF(getCategoryLevelAsString($B120)="L0D_324785","",IF(N120="",CONCATENATE(";",EscStr(CONCATENATE("NavNode_",getCategoryLevelAsString($B120))),";",EscStr($J120),";"),CONCATENATE(";",EscStr(CONCATENATE("NavNode_",getCategoryLevelAsString($B120))),";",EscStr(N120),";")))</f>
        <v>;"NavNode_Embedded / Wireless / Education";"Prototypframtagningskort/Kretskortstillverkning";</v>
      </c>
      <c r="AH120" s="10" t="str">
        <f>IF(getCategoryLevelAsString($B120)="L0D_324785","",IF(O120="",CONCATENATE(";",EscStr(CONCATENATE("NavNode_",getCategoryLevelAsString($B120))),";",EscStr($J120),";"),CONCATENATE(";",EscStr(CONCATENATE("NavNode_",getCategoryLevelAsString($B120))),";",EscStr(O120),";")))</f>
        <v>;"NavNode_Embedded / Wireless / Education";"Prototüüpimisplaadid ja trükkplaatide tootmine";</v>
      </c>
      <c r="AI120" s="10" t="str">
        <f>IF(getCategoryLevelAsString($B120)="L0D_324785","",IF(P120="",CONCATENATE(";",EscStr(CONCATENATE("NavNode_",getCategoryLevelAsString($B120))),";",EscStr($J120),";"),CONCATENATE(";",EscStr(CONCATENATE("NavNode_",getCategoryLevelAsString($B120))),";",EscStr(P120),";")))</f>
        <v>;"NavNode_Embedded / Wireless / Education";"Proto-levyt";</v>
      </c>
      <c r="AJ120" s="10" t="str">
        <f>IF(getCategoryLevelAsString($B120)="L0D_324785","",IF(Q120="",CONCATENATE(";",EscStr(CONCATENATE("NavNode_",getCategoryLevelAsString($B120))),";",EscStr($J120),";"),CONCATENATE(";",EscStr(CONCATENATE("NavNode_",getCategoryLevelAsString($B120))),";",EscStr(Q120),";")))</f>
        <v>;"NavNode_Embedded / Wireless / Education";"Maketplates / PCB izgatavošana";</v>
      </c>
      <c r="AK120" s="10" t="str">
        <f>IF(getCategoryLevelAsString($B120)="L0D_324785","",IF(R120="",CONCATENATE(";",EscStr(CONCATENATE("NavNode_",getCategoryLevelAsString($B120))),";",EscStr($J120),";"),CONCATENATE(";",EscStr(CONCATENATE("NavNode_",getCategoryLevelAsString($B120))),";",EscStr(R120),";")))</f>
        <v>;"NavNode_Embedded / Wireless / Education";"Protoype borden / PCB productie";</v>
      </c>
      <c r="AL120" s="10" t="str">
        <f>IF(getCategoryLevelAsString($B120)="L0D_324785","",IF(S120="",CONCATENATE(";",EscStr(CONCATENATE("NavNode_",getCategoryLevelAsString($B120))),";",EscStr($J120),";"),CONCATENATE(";",EscStr(CONCATENATE("NavNode_",getCategoryLevelAsString($B120))),";",EscStr(S120),";")))</f>
        <v>;"NavNode_Embedded / Wireless / Education";"Płytki prototypowe  / produkcja PCB";</v>
      </c>
      <c r="AM120" s="10" t="str">
        <f>IF(getCategoryLevelAsString($B120)="L0D_324785","",IF(T120="",CONCATENATE(";",EscStr(CONCATENATE("NavNode_",getCategoryLevelAsString($B120))),";",EscStr($J120),";"),CONCATENATE(";",EscStr(CONCATENATE("NavNode_",getCategoryLevelAsString($B120))),";",EscStr(T120),";")))</f>
        <v>;"NavNode_Embedded / Wireless / Education";"Лабораторные платы / Производство печатных плат";</v>
      </c>
      <c r="AN120" s="10" t="str">
        <f>IF(getCategoryLevelAsString($B120)="L0D_324785","",IF(U120="",CONCATENATE(";",EscStr(CONCATENATE("NavNode_",getCategoryLevelAsString($B120))),";",EscStr($J120),";"),CONCATENATE(";",EscStr(CONCATENATE("NavNode_",getCategoryLevelAsString($B120))),";",EscStr(U120),";")))</f>
        <v>;"NavNode_Embedded / Wireless / Education";"Experimentální desky / výroba desek plošných spojů";</v>
      </c>
      <c r="AO120" s="10" t="str">
        <f>IF(getCategoryLevelAsString($B120)="L0D_324785","",IF(V120="",CONCATENATE(";",EscStr(CONCATENATE("NavNode_",getCategoryLevelAsString($B120))),";",EscStr($J120),";"),CONCATENATE(";",EscStr(CONCATENATE("NavNode_",getCategoryLevelAsString($B120))),";",EscStr(V120),";")))</f>
        <v>;"NavNode_Embedded / Wireless / Education";"Plăci de laborator / Fabricaţie PCB";</v>
      </c>
      <c r="AP120" s="10" t="str">
        <f>IF(getCategoryLevelAsString($B120)="L0D_324785","",IF(W120="",CONCATENATE(";",EscStr(CONCATENATE("NavNode_",getCategoryLevelAsString($B120))),";",EscStr($J120),";"),CONCATENATE(";",EscStr(CONCATENATE("NavNode_",getCategoryLevelAsString($B120))),";",EscStr(W120),";")))</f>
        <v>;"NavNode_Embedded / Wireless / Education";"Laborkártyák / Kész NYÁK-ok";</v>
      </c>
      <c r="AQ120" s="10" t="str">
        <f>IF(getCategoryLevelAsString($B120)="L0D_324785","",IF(X120="",CONCATENATE(";",EscStr(CONCATENATE("NavNode_",getCategoryLevelAsString($B120))),";",EscStr($J120),";"),CONCATENATE(";",EscStr(CONCATENATE("NavNode_",getCategoryLevelAsString($B120))),";",EscStr(X120),";")))</f>
        <v>;"NavNode_Embedded / Wireless / Education";"Experimentální desky / výroba desek plošných spojů";</v>
      </c>
      <c r="AR120" s="8" t="str">
        <f>IF(OR($A120&lt;&gt;"", $G120=""),"",CONCATENATE(";",EscStr(CONCATENATE("NavEntry_",getCategoryLevelAsString($B120))),";",EscStr(CONCATENATE($J120," Navigation Entry")),";",EscStr(CONCATENATE("cat-",getCategoryLevelAsString($B120))),";",EscStr(CONCATENATE("NavNode_",getCategoryLevelAsString($B120))),";"))</f>
        <v>;"NavEntry_Embedded / Wireless / Education";"Prototyping Boards / PCB Manufacturing Navigation Entry";"cat-Embedded / Wireless / Education";"NavNode_Embedded / Wireless / Education";</v>
      </c>
    </row>
    <row r="121" spans="1:44" s="17" customFormat="1" ht="14.25" x14ac:dyDescent="0.2">
      <c r="A121" s="24">
        <v>4</v>
      </c>
      <c r="B121" s="13" t="s">
        <v>7616</v>
      </c>
      <c r="C121" s="14"/>
      <c r="E121" s="13"/>
      <c r="F121" s="13"/>
      <c r="G121" s="13" t="s">
        <v>13533</v>
      </c>
      <c r="H121" s="13" t="s">
        <v>13533</v>
      </c>
      <c r="I121" s="13" t="s">
        <v>13533</v>
      </c>
      <c r="J121" s="13" t="s">
        <v>7616</v>
      </c>
      <c r="K121" s="13" t="s">
        <v>13533</v>
      </c>
      <c r="L121" s="13" t="s">
        <v>13533</v>
      </c>
      <c r="M121" s="13" t="s">
        <v>13533</v>
      </c>
      <c r="N121" s="13" t="s">
        <v>13533</v>
      </c>
      <c r="O121" s="13" t="s">
        <v>13533</v>
      </c>
      <c r="P121" s="13" t="s">
        <v>13533</v>
      </c>
      <c r="Q121" s="13" t="s">
        <v>13533</v>
      </c>
      <c r="R121" s="13" t="s">
        <v>13533</v>
      </c>
      <c r="S121" s="13" t="s">
        <v>13533</v>
      </c>
      <c r="T121" s="13" t="s">
        <v>13533</v>
      </c>
      <c r="U121" s="13" t="s">
        <v>13533</v>
      </c>
      <c r="V121" s="13" t="s">
        <v>13533</v>
      </c>
      <c r="W121" s="13" t="s">
        <v>13533</v>
      </c>
      <c r="X121" s="13" t="s">
        <v>13533</v>
      </c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  <c r="AO121" s="15"/>
      <c r="AP121" s="15"/>
      <c r="AQ121" s="15"/>
      <c r="AR121" s="16"/>
    </row>
    <row r="122" spans="1:44" ht="15" x14ac:dyDescent="0.25">
      <c r="A122" s="25"/>
      <c r="B122" s="5"/>
      <c r="C122" s="5" t="s">
        <v>2113</v>
      </c>
      <c r="D122" s="5"/>
      <c r="E122" s="5"/>
      <c r="F122" s="5"/>
      <c r="G122" s="5" t="s">
        <v>971</v>
      </c>
      <c r="H122" s="5" t="s">
        <v>1077</v>
      </c>
      <c r="I122" s="5" t="s">
        <v>1135</v>
      </c>
      <c r="J122" s="5" t="s">
        <v>837</v>
      </c>
      <c r="K122" s="5" t="s">
        <v>1307</v>
      </c>
      <c r="L122" s="5" t="s">
        <v>1542</v>
      </c>
      <c r="M122" s="5" t="s">
        <v>1972</v>
      </c>
      <c r="N122" s="5" t="s">
        <v>1972</v>
      </c>
      <c r="O122" s="5" t="s">
        <v>837</v>
      </c>
      <c r="P122" s="5" t="s">
        <v>3398</v>
      </c>
      <c r="Q122" s="5" t="s">
        <v>837</v>
      </c>
      <c r="R122" s="5" t="s">
        <v>837</v>
      </c>
      <c r="S122" s="5" t="s">
        <v>3399</v>
      </c>
      <c r="T122" s="5" t="s">
        <v>3400</v>
      </c>
      <c r="U122" s="5" t="s">
        <v>3401</v>
      </c>
      <c r="V122" s="5" t="s">
        <v>837</v>
      </c>
      <c r="W122" s="5" t="s">
        <v>3402</v>
      </c>
      <c r="X122" s="5" t="s">
        <v>3401</v>
      </c>
      <c r="Y122" s="10" t="e">
        <f>IF(OR($A122&lt;&gt;"", $G122=""),"",CONCATENATE(";",EscStr(CONCATENATE("NavNode_",getCategoryLevelAsString(#REF!))),";",EscStr($J122),";",IF(#REF!&lt;&gt;"","""MainNavNode""",EscStr(CONCATENATE("NavNode_",getSuperCategory(#REF!, getCategoryLevelAsNumber(#REF!))))),";"))</f>
        <v>#VALUE!</v>
      </c>
      <c r="Z122" s="10" t="e">
        <f>IF(getCategoryLevelAsString(#REF!)="L0D_324785","",IF(G122="",CONCATENATE(";",EscStr(CONCATENATE("NavNode_",getCategoryLevelAsString(#REF!))),";",EscStr($J122),";"),CONCATENATE(";",EscStr(CONCATENATE("NavNode_",getCategoryLevelAsString(#REF!))),";",EscStr(G122),";")))</f>
        <v>#VALUE!</v>
      </c>
      <c r="AA122" s="10" t="e">
        <f>IF(getCategoryLevelAsString(#REF!)="L0D_324785","",IF(H122="",CONCATENATE(";",EscStr(CONCATENATE("NavNode_",getCategoryLevelAsString(#REF!))),";",EscStr($J122),";"),CONCATENATE(";",EscStr(CONCATENATE("NavNode_",getCategoryLevelAsString(#REF!))),";",EscStr(H122),";")))</f>
        <v>#VALUE!</v>
      </c>
      <c r="AB122" s="10" t="e">
        <f>IF(getCategoryLevelAsString(#REF!)="L0D_324785","",IF(I122="",CONCATENATE(";",EscStr(CONCATENATE("NavNode_",getCategoryLevelAsString(#REF!))),";",EscStr($J122),";"),CONCATENATE(";",EscStr(CONCATENATE("NavNode_",getCategoryLevelAsString(#REF!))),";",EscStr(I122),";")))</f>
        <v>#VALUE!</v>
      </c>
      <c r="AC122" s="10" t="e">
        <f>IF(getCategoryLevelAsString(#REF!)="L0D_324785","",IF(J122="",CONCATENATE(";",EscStr(CONCATENATE("NavNode_",getCategoryLevelAsString(#REF!))),";",EscStr($J122),";"),CONCATENATE(";",EscStr(CONCATENATE("NavNode_",getCategoryLevelAsString(#REF!))),";",EscStr(J122),";")))</f>
        <v>#VALUE!</v>
      </c>
      <c r="AD122" s="10" t="e">
        <f>IF(getCategoryLevelAsString(#REF!)="L0D_324785","",IF(K122="",CONCATENATE(";",EscStr(CONCATENATE("NavNode_",getCategoryLevelAsString(#REF!))),";",EscStr($J122),";"),CONCATENATE(";",EscStr(CONCATENATE("NavNode_",getCategoryLevelAsString(#REF!))),";",EscStr(K122),";")))</f>
        <v>#VALUE!</v>
      </c>
      <c r="AE122" s="10" t="e">
        <f>IF(getCategoryLevelAsString(#REF!)="L0D_324785","",IF(L122="",CONCATENATE(";",EscStr(CONCATENATE("NavNode_",getCategoryLevelAsString(#REF!))),";",EscStr($J122),";"),CONCATENATE(";",EscStr(CONCATENATE("NavNode_",getCategoryLevelAsString(#REF!))),";",EscStr(L122),";")))</f>
        <v>#VALUE!</v>
      </c>
      <c r="AF122" s="10" t="e">
        <f>IF(getCategoryLevelAsString(#REF!)="L0D_324785","",IF(M122="",CONCATENATE(";",EscStr(CONCATENATE("NavNode_",getCategoryLevelAsString(#REF!))),";",EscStr($J122),";"),CONCATENATE(";",EscStr(CONCATENATE("NavNode_",getCategoryLevelAsString(#REF!))),";",EscStr(M122),";")))</f>
        <v>#VALUE!</v>
      </c>
      <c r="AG122" s="10" t="e">
        <f>IF(getCategoryLevelAsString(#REF!)="L0D_324785","",IF(N122="",CONCATENATE(";",EscStr(CONCATENATE("NavNode_",getCategoryLevelAsString(#REF!))),";",EscStr($J122),";"),CONCATENATE(";",EscStr(CONCATENATE("NavNode_",getCategoryLevelAsString(#REF!))),";",EscStr(N122),";")))</f>
        <v>#VALUE!</v>
      </c>
      <c r="AH122" s="10" t="e">
        <f>IF(getCategoryLevelAsString(#REF!)="L0D_324785","",IF(O122="",CONCATENATE(";",EscStr(CONCATENATE("NavNode_",getCategoryLevelAsString(#REF!))),";",EscStr($J122),";"),CONCATENATE(";",EscStr(CONCATENATE("NavNode_",getCategoryLevelAsString(#REF!))),";",EscStr(O122),";")))</f>
        <v>#VALUE!</v>
      </c>
      <c r="AI122" s="10" t="e">
        <f>IF(getCategoryLevelAsString(#REF!)="L0D_324785","",IF(P122="",CONCATENATE(";",EscStr(CONCATENATE("NavNode_",getCategoryLevelAsString(#REF!))),";",EscStr($J122),";"),CONCATENATE(";",EscStr(CONCATENATE("NavNode_",getCategoryLevelAsString(#REF!))),";",EscStr(P122),";")))</f>
        <v>#VALUE!</v>
      </c>
      <c r="AJ122" s="10" t="e">
        <f>IF(getCategoryLevelAsString(#REF!)="L0D_324785","",IF(Q122="",CONCATENATE(";",EscStr(CONCATENATE("NavNode_",getCategoryLevelAsString(#REF!))),";",EscStr($J122),";"),CONCATENATE(";",EscStr(CONCATENATE("NavNode_",getCategoryLevelAsString(#REF!))),";",EscStr(Q122),";")))</f>
        <v>#VALUE!</v>
      </c>
      <c r="AK122" s="10" t="e">
        <f>IF(getCategoryLevelAsString(#REF!)="L0D_324785","",IF(R122="",CONCATENATE(";",EscStr(CONCATENATE("NavNode_",getCategoryLevelAsString(#REF!))),";",EscStr($J122),";"),CONCATENATE(";",EscStr(CONCATENATE("NavNode_",getCategoryLevelAsString(#REF!))),";",EscStr(R122),";")))</f>
        <v>#VALUE!</v>
      </c>
      <c r="AL122" s="10" t="e">
        <f>IF(getCategoryLevelAsString(#REF!)="L0D_324785","",IF(S122="",CONCATENATE(";",EscStr(CONCATENATE("NavNode_",getCategoryLevelAsString(#REF!))),";",EscStr($J122),";"),CONCATENATE(";",EscStr(CONCATENATE("NavNode_",getCategoryLevelAsString(#REF!))),";",EscStr(S122),";")))</f>
        <v>#VALUE!</v>
      </c>
      <c r="AM122" s="10" t="e">
        <f>IF(getCategoryLevelAsString(#REF!)="L0D_324785","",IF(T122="",CONCATENATE(";",EscStr(CONCATENATE("NavNode_",getCategoryLevelAsString(#REF!))),";",EscStr($J122),";"),CONCATENATE(";",EscStr(CONCATENATE("NavNode_",getCategoryLevelAsString(#REF!))),";",EscStr(T122),";")))</f>
        <v>#VALUE!</v>
      </c>
      <c r="AN122" s="10" t="e">
        <f>IF(getCategoryLevelAsString(#REF!)="L0D_324785","",IF(U122="",CONCATENATE(";",EscStr(CONCATENATE("NavNode_",getCategoryLevelAsString(#REF!))),";",EscStr($J122),";"),CONCATENATE(";",EscStr(CONCATENATE("NavNode_",getCategoryLevelAsString(#REF!))),";",EscStr(U122),";")))</f>
        <v>#VALUE!</v>
      </c>
      <c r="AO122" s="10" t="e">
        <f>IF(getCategoryLevelAsString(#REF!)="L0D_324785","",IF(V122="",CONCATENATE(";",EscStr(CONCATENATE("NavNode_",getCategoryLevelAsString(#REF!))),";",EscStr($J122),";"),CONCATENATE(";",EscStr(CONCATENATE("NavNode_",getCategoryLevelAsString(#REF!))),";",EscStr(V122),";")))</f>
        <v>#VALUE!</v>
      </c>
      <c r="AP122" s="10" t="e">
        <f>IF(getCategoryLevelAsString(#REF!)="L0D_324785","",IF(W122="",CONCATENATE(";",EscStr(CONCATENATE("NavNode_",getCategoryLevelAsString(#REF!))),";",EscStr($J122),";"),CONCATENATE(";",EscStr(CONCATENATE("NavNode_",getCategoryLevelAsString(#REF!))),";",EscStr(W122),";")))</f>
        <v>#VALUE!</v>
      </c>
      <c r="AQ122" s="10" t="e">
        <f>IF(getCategoryLevelAsString(#REF!)="L0D_324785","",IF(X122="",CONCATENATE(";",EscStr(CONCATENATE("NavNode_",getCategoryLevelAsString(#REF!))),";",EscStr($J122),";"),CONCATENATE(";",EscStr(CONCATENATE("NavNode_",getCategoryLevelAsString(#REF!))),";",EscStr(X122),";")))</f>
        <v>#VALUE!</v>
      </c>
      <c r="AR122" s="8" t="e">
        <f>IF(OR($A122&lt;&gt;"", $G122=""),"",CONCATENATE(";",EscStr(CONCATENATE("NavEntry_",getCategoryLevelAsString(#REF!))),";",EscStr(CONCATENATE($J122," Navigation Entry")),";",EscStr(CONCATENATE("cat-",getCategoryLevelAsString(#REF!))),";",EscStr(CONCATENATE("NavNode_",getCategoryLevelAsString(#REF!))),";"))</f>
        <v>#VALUE!</v>
      </c>
    </row>
    <row r="123" spans="1:44" ht="15" hidden="1" x14ac:dyDescent="0.25">
      <c r="A123" s="25"/>
      <c r="B123" s="5"/>
      <c r="C123" s="5"/>
      <c r="D123" s="5" t="s">
        <v>7619</v>
      </c>
      <c r="E123" s="5"/>
      <c r="F123" s="5"/>
      <c r="G123" s="5" t="s">
        <v>7620</v>
      </c>
      <c r="H123" s="5"/>
      <c r="I123" s="5"/>
      <c r="J123" s="5" t="s">
        <v>7620</v>
      </c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8"/>
    </row>
    <row r="124" spans="1:44" ht="15" hidden="1" x14ac:dyDescent="0.25">
      <c r="A124" s="25"/>
      <c r="B124" s="5"/>
      <c r="C124" s="5"/>
      <c r="D124" s="5" t="s">
        <v>7639</v>
      </c>
      <c r="E124" s="5"/>
      <c r="F124" s="5"/>
      <c r="G124" s="5" t="s">
        <v>7641</v>
      </c>
      <c r="H124" s="5"/>
      <c r="I124" s="5"/>
      <c r="J124" s="5" t="s">
        <v>7640</v>
      </c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8"/>
    </row>
    <row r="125" spans="1:44" ht="15" hidden="1" x14ac:dyDescent="0.25">
      <c r="A125" s="25"/>
      <c r="B125" s="5"/>
      <c r="C125" s="5"/>
      <c r="D125" s="5" t="s">
        <v>7651</v>
      </c>
      <c r="E125" s="5"/>
      <c r="F125" s="5"/>
      <c r="G125" s="5" t="s">
        <v>7652</v>
      </c>
      <c r="H125" s="5"/>
      <c r="I125" s="5"/>
      <c r="J125" s="5" t="s">
        <v>7652</v>
      </c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8"/>
    </row>
    <row r="126" spans="1:44" ht="15" hidden="1" x14ac:dyDescent="0.25">
      <c r="A126" s="25"/>
      <c r="B126" s="5"/>
      <c r="C126" s="5"/>
      <c r="D126" s="5" t="s">
        <v>7667</v>
      </c>
      <c r="E126" s="5"/>
      <c r="F126" s="5"/>
      <c r="G126" s="5" t="s">
        <v>7668</v>
      </c>
      <c r="H126" s="5"/>
      <c r="I126" s="5"/>
      <c r="J126" s="5" t="s">
        <v>7668</v>
      </c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8"/>
    </row>
    <row r="127" spans="1:44" ht="15" hidden="1" x14ac:dyDescent="0.25">
      <c r="A127" s="25"/>
      <c r="B127" s="5"/>
      <c r="C127" s="5"/>
      <c r="D127" s="5" t="s">
        <v>7683</v>
      </c>
      <c r="E127" s="5"/>
      <c r="F127" s="5"/>
      <c r="G127" s="5" t="s">
        <v>7684</v>
      </c>
      <c r="H127" s="5"/>
      <c r="I127" s="5"/>
      <c r="J127" s="5" t="s">
        <v>7684</v>
      </c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8"/>
    </row>
    <row r="128" spans="1:44" ht="15" hidden="1" x14ac:dyDescent="0.25">
      <c r="A128" s="25"/>
      <c r="B128" s="5"/>
      <c r="C128" s="5"/>
      <c r="D128" s="5" t="s">
        <v>7710</v>
      </c>
      <c r="E128" s="5"/>
      <c r="F128" s="5"/>
      <c r="G128" s="5" t="s">
        <v>7711</v>
      </c>
      <c r="H128" s="5"/>
      <c r="I128" s="5"/>
      <c r="J128" s="5" t="s">
        <v>7711</v>
      </c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8"/>
    </row>
    <row r="129" spans="1:44" ht="15" hidden="1" x14ac:dyDescent="0.25">
      <c r="A129" s="25"/>
      <c r="B129" s="5"/>
      <c r="C129" s="5"/>
      <c r="D129" s="5" t="s">
        <v>7729</v>
      </c>
      <c r="E129" s="5"/>
      <c r="F129" s="5"/>
      <c r="G129" s="5" t="s">
        <v>7730</v>
      </c>
      <c r="H129" s="5"/>
      <c r="I129" s="5"/>
      <c r="J129" s="5" t="s">
        <v>7730</v>
      </c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8"/>
    </row>
    <row r="130" spans="1:44" ht="15" hidden="1" x14ac:dyDescent="0.25">
      <c r="A130" s="25"/>
      <c r="B130" s="5"/>
      <c r="C130" s="5" t="s">
        <v>7754</v>
      </c>
      <c r="D130" s="5"/>
      <c r="E130" s="5"/>
      <c r="F130" s="5"/>
      <c r="G130" s="5" t="s">
        <v>7756</v>
      </c>
      <c r="H130" s="5"/>
      <c r="I130" s="5"/>
      <c r="J130" s="5" t="s">
        <v>7755</v>
      </c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8"/>
    </row>
    <row r="131" spans="1:44" ht="15" hidden="1" x14ac:dyDescent="0.25">
      <c r="A131" s="25"/>
      <c r="B131" s="5"/>
      <c r="C131" s="5" t="s">
        <v>7784</v>
      </c>
      <c r="D131" s="5"/>
      <c r="E131" s="5"/>
      <c r="F131" s="5"/>
      <c r="G131" s="5" t="s">
        <v>7786</v>
      </c>
      <c r="H131" s="5"/>
      <c r="I131" s="5"/>
      <c r="J131" s="5" t="s">
        <v>7785</v>
      </c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8"/>
    </row>
    <row r="132" spans="1:44" ht="15" hidden="1" x14ac:dyDescent="0.25">
      <c r="A132" s="25"/>
      <c r="B132" s="5"/>
      <c r="C132" s="5"/>
      <c r="D132" s="5" t="s">
        <v>7788</v>
      </c>
      <c r="E132" s="5"/>
      <c r="F132" s="5"/>
      <c r="G132" s="5" t="s">
        <v>7790</v>
      </c>
      <c r="H132" s="5"/>
      <c r="I132" s="5"/>
      <c r="J132" s="5" t="s">
        <v>7789</v>
      </c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8"/>
    </row>
    <row r="133" spans="1:44" ht="15" hidden="1" x14ac:dyDescent="0.25">
      <c r="A133" s="25"/>
      <c r="B133" s="5"/>
      <c r="C133" s="5"/>
      <c r="D133" s="5" t="s">
        <v>7812</v>
      </c>
      <c r="E133" s="5"/>
      <c r="F133" s="5"/>
      <c r="G133" s="5" t="s">
        <v>7814</v>
      </c>
      <c r="H133" s="5"/>
      <c r="I133" s="5"/>
      <c r="J133" s="5" t="s">
        <v>7813</v>
      </c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8"/>
    </row>
    <row r="134" spans="1:44" ht="15" hidden="1" x14ac:dyDescent="0.25">
      <c r="A134" s="25"/>
      <c r="B134" s="5"/>
      <c r="C134" s="5"/>
      <c r="D134" s="5" t="s">
        <v>7828</v>
      </c>
      <c r="E134" s="5"/>
      <c r="F134" s="5"/>
      <c r="G134" s="5" t="s">
        <v>7830</v>
      </c>
      <c r="H134" s="5"/>
      <c r="I134" s="5"/>
      <c r="J134" s="5" t="s">
        <v>7829</v>
      </c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8"/>
    </row>
    <row r="135" spans="1:44" ht="15" hidden="1" x14ac:dyDescent="0.25">
      <c r="A135" s="25"/>
      <c r="B135" s="5"/>
      <c r="C135" s="5"/>
      <c r="D135" s="5" t="s">
        <v>7844</v>
      </c>
      <c r="E135" s="5"/>
      <c r="F135" s="5"/>
      <c r="G135" s="5" t="s">
        <v>7846</v>
      </c>
      <c r="H135" s="5"/>
      <c r="I135" s="5"/>
      <c r="J135" s="5" t="s">
        <v>7845</v>
      </c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8"/>
    </row>
    <row r="136" spans="1:44" ht="15" hidden="1" x14ac:dyDescent="0.25">
      <c r="A136" s="25"/>
      <c r="B136" s="5"/>
      <c r="C136" s="5"/>
      <c r="D136" s="5" t="s">
        <v>7851</v>
      </c>
      <c r="E136" s="5"/>
      <c r="F136" s="5"/>
      <c r="G136" s="5" t="s">
        <v>7853</v>
      </c>
      <c r="H136" s="5"/>
      <c r="I136" s="5"/>
      <c r="J136" s="5" t="s">
        <v>7852</v>
      </c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8"/>
    </row>
    <row r="137" spans="1:44" s="17" customFormat="1" ht="14.25" x14ac:dyDescent="0.2">
      <c r="A137" s="24">
        <v>5</v>
      </c>
      <c r="B137" s="13" t="s">
        <v>7862</v>
      </c>
      <c r="C137" s="14"/>
      <c r="E137" s="13"/>
      <c r="F137" s="13"/>
      <c r="G137" s="13" t="s">
        <v>10640</v>
      </c>
      <c r="H137" s="13" t="s">
        <v>13546</v>
      </c>
      <c r="I137" s="13" t="s">
        <v>13545</v>
      </c>
      <c r="J137" s="13" t="s">
        <v>8068</v>
      </c>
      <c r="K137" s="13" t="s">
        <v>13544</v>
      </c>
      <c r="L137" s="13" t="s">
        <v>13547</v>
      </c>
      <c r="M137" s="13" t="s">
        <v>13543</v>
      </c>
      <c r="N137" s="13" t="s">
        <v>13542</v>
      </c>
      <c r="O137" s="13" t="s">
        <v>13541</v>
      </c>
      <c r="P137" s="13" t="s">
        <v>13540</v>
      </c>
      <c r="Q137" s="13" t="s">
        <v>13539</v>
      </c>
      <c r="R137" s="13" t="s">
        <v>13538</v>
      </c>
      <c r="S137" s="13" t="s">
        <v>13537</v>
      </c>
      <c r="T137" s="13" t="s">
        <v>13536</v>
      </c>
      <c r="U137" s="13" t="s">
        <v>4154</v>
      </c>
      <c r="V137" s="13" t="s">
        <v>13535</v>
      </c>
      <c r="W137" s="13" t="s">
        <v>13534</v>
      </c>
      <c r="X137" s="13" t="s">
        <v>4154</v>
      </c>
      <c r="Y137" s="15" t="str">
        <f>IF(OR($A137&lt;&gt;"", $G137=""),"",CONCATENATE(";",EscStr(CONCATENATE("NavNode_",getCategoryLevelAsString($B137))),";",EscStr($J137),";",IF($B137&lt;&gt;"","""MainNavNode""",EscStr(CONCATENATE("NavNode_",getSuperCategory($B137, getCategoryLevelAsNumber($B137))))),";"))</f>
        <v/>
      </c>
      <c r="Z137" s="15" t="str">
        <f>IF(getCategoryLevelAsString($B137)="L0D_324785","",IF(G137="",CONCATENATE(";",EscStr(CONCATENATE("NavNode_",getCategoryLevelAsString($B137))),";",EscStr($J137),";"),CONCATENATE(";",EscStr(CONCATENATE("NavNode_",getCategoryLevelAsString($B137))),";",EscStr(G137),";")))</f>
        <v>;"NavNode_L2D_379647";"Netzteile";</v>
      </c>
      <c r="AA137" s="15" t="str">
        <f>IF(getCategoryLevelAsString($B137)="L0D_324785","",IF(H137="",CONCATENATE(";",EscStr(CONCATENATE("NavNode_",getCategoryLevelAsString($B137))),";",EscStr($J137),";"),CONCATENATE(";",EscStr(CONCATENATE("NavNode_",getCategoryLevelAsString($B137))),";",EscStr(H137),";")))</f>
        <v>;"NavNode_L2D_379647";"Alimentations";</v>
      </c>
      <c r="AB137" s="15" t="str">
        <f>IF(getCategoryLevelAsString($B137)="L0D_324785","",IF(I137="",CONCATENATE(";",EscStr(CONCATENATE("NavNode_",getCategoryLevelAsString($B137))),";",EscStr($J137),";"),CONCATENATE(";",EscStr(CONCATENATE("NavNode_",getCategoryLevelAsString($B137))),";",EscStr(I137),";")))</f>
        <v>;"NavNode_L2D_379647";"Alimentatori";</v>
      </c>
      <c r="AC137" s="15" t="str">
        <f>IF(getCategoryLevelAsString($B137)="L0D_324785","",IF(J137="",CONCATENATE(";",EscStr(CONCATENATE("NavNode_",getCategoryLevelAsString($B137))),";",EscStr($J137),";"),CONCATENATE(";",EscStr(CONCATENATE("NavNode_",getCategoryLevelAsString($B137))),";",EscStr(J137),";")))</f>
        <v>;"NavNode_L2D_379647";"Power Supplies";</v>
      </c>
      <c r="AD137" s="15" t="str">
        <f>IF(getCategoryLevelAsString($B137)="L0D_324785","",IF(K137="",CONCATENATE(";",EscStr(CONCATENATE("NavNode_",getCategoryLevelAsString($B137))),";",EscStr($J137),";"),CONCATENATE(";",EscStr(CONCATENATE("NavNode_",getCategoryLevelAsString($B137))),";",EscStr(K137),";")))</f>
        <v>;"NavNode_L2D_379647";"Strømforsyninger";</v>
      </c>
      <c r="AE137" s="15" t="str">
        <f>IF(getCategoryLevelAsString($B137)="L0D_324785","",IF(L137="",CONCATENATE(";",EscStr(CONCATENATE("NavNode_",getCategoryLevelAsString($B137))),";",EscStr($J137),";"),CONCATENATE(";",EscStr(CONCATENATE("NavNode_",getCategoryLevelAsString($B137))),";",EscStr(L137),";")))</f>
        <v>;"NavNode_L2D_379647";"Maitinimo šaltiniai";</v>
      </c>
      <c r="AF137" s="15" t="str">
        <f>IF(getCategoryLevelAsString($B137)="L0D_324785","",IF(M137="",CONCATENATE(";",EscStr(CONCATENATE("NavNode_",getCategoryLevelAsString($B137))),";",EscStr($J137),";"),CONCATENATE(";",EscStr(CONCATENATE("NavNode_",getCategoryLevelAsString($B137))),";",EscStr(M137),";")))</f>
        <v>;"NavNode_L2D_379647";"Strømforsyning";</v>
      </c>
      <c r="AG137" s="15" t="str">
        <f>IF(getCategoryLevelAsString($B137)="L0D_324785","",IF(N137="",CONCATENATE(";",EscStr(CONCATENATE("NavNode_",getCategoryLevelAsString($B137))),";",EscStr($J137),";"),CONCATENATE(";",EscStr(CONCATENATE("NavNode_",getCategoryLevelAsString($B137))),";",EscStr(N137),";")))</f>
        <v>;"NavNode_L2D_379647";"Strömförsörjning";</v>
      </c>
      <c r="AH137" s="15" t="str">
        <f>IF(getCategoryLevelAsString($B137)="L0D_324785","",IF(O137="",CONCATENATE(";",EscStr(CONCATENATE("NavNode_",getCategoryLevelAsString($B137))),";",EscStr($J137),";"),CONCATENATE(";",EscStr(CONCATENATE("NavNode_",getCategoryLevelAsString($B137))),";",EscStr(O137),";")))</f>
        <v>;"NavNode_L2D_379647";"Toiteplokid";</v>
      </c>
      <c r="AI137" s="15" t="str">
        <f>IF(getCategoryLevelAsString($B137)="L0D_324785","",IF(P137="",CONCATENATE(";",EscStr(CONCATENATE("NavNode_",getCategoryLevelAsString($B137))),";",EscStr($J137),";"),CONCATENATE(";",EscStr(CONCATENATE("NavNode_",getCategoryLevelAsString($B137))),";",EscStr(P137),";")))</f>
        <v>;"NavNode_L2D_379647";"Virtalähteet";</v>
      </c>
      <c r="AJ137" s="15" t="str">
        <f>IF(getCategoryLevelAsString($B137)="L0D_324785","",IF(Q137="",CONCATENATE(";",EscStr(CONCATENATE("NavNode_",getCategoryLevelAsString($B137))),";",EscStr($J137),";"),CONCATENATE(";",EscStr(CONCATENATE("NavNode_",getCategoryLevelAsString($B137))),";",EscStr(Q137),";")))</f>
        <v>;"NavNode_L2D_379647";"Barošanas bloki";</v>
      </c>
      <c r="AK137" s="15" t="str">
        <f>IF(getCategoryLevelAsString($B137)="L0D_324785","",IF(R137="",CONCATENATE(";",EscStr(CONCATENATE("NavNode_",getCategoryLevelAsString($B137))),";",EscStr($J137),";"),CONCATENATE(";",EscStr(CONCATENATE("NavNode_",getCategoryLevelAsString($B137))),";",EscStr(R137),";")))</f>
        <v>;"NavNode_L2D_379647";"Voedingen";</v>
      </c>
      <c r="AL137" s="15" t="str">
        <f>IF(getCategoryLevelAsString($B137)="L0D_324785","",IF(S137="",CONCATENATE(";",EscStr(CONCATENATE("NavNode_",getCategoryLevelAsString($B137))),";",EscStr($J137),";"),CONCATENATE(";",EscStr(CONCATENATE("NavNode_",getCategoryLevelAsString($B137))),";",EscStr(S137),";")))</f>
        <v>;"NavNode_L2D_379647";"Zasilanie";</v>
      </c>
      <c r="AM137" s="15" t="str">
        <f>IF(getCategoryLevelAsString($B137)="L0D_324785","",IF(T137="",CONCATENATE(";",EscStr(CONCATENATE("NavNode_",getCategoryLevelAsString($B137))),";",EscStr($J137),";"),CONCATENATE(";",EscStr(CONCATENATE("NavNode_",getCategoryLevelAsString($B137))),";",EscStr(T137),";")))</f>
        <v>;"NavNode_L2D_379647";"Блоки питания";</v>
      </c>
      <c r="AN137" s="15" t="str">
        <f>IF(getCategoryLevelAsString($B137)="L0D_324785","",IF(U137="",CONCATENATE(";",EscStr(CONCATENATE("NavNode_",getCategoryLevelAsString($B137))),";",EscStr($J137),";"),CONCATENATE(";",EscStr(CONCATENATE("NavNode_",getCategoryLevelAsString($B137))),";",EscStr(U137),";")))</f>
        <v>;"NavNode_L2D_379647";"Napájecí zdroje";</v>
      </c>
      <c r="AO137" s="15" t="str">
        <f>IF(getCategoryLevelAsString($B137)="L0D_324785","",IF(V137="",CONCATENATE(";",EscStr(CONCATENATE("NavNode_",getCategoryLevelAsString($B137))),";",EscStr($J137),";"),CONCATENATE(";",EscStr(CONCATENATE("NavNode_",getCategoryLevelAsString($B137))),";",EscStr(V137),";")))</f>
        <v>;"NavNode_L2D_379647";"Alimentatoare";</v>
      </c>
      <c r="AP137" s="15" t="str">
        <f>IF(getCategoryLevelAsString($B137)="L0D_324785","",IF(W137="",CONCATENATE(";",EscStr(CONCATENATE("NavNode_",getCategoryLevelAsString($B137))),";",EscStr($J137),";"),CONCATENATE(";",EscStr(CONCATENATE("NavNode_",getCategoryLevelAsString($B137))),";",EscStr(W137),";")))</f>
        <v>;"NavNode_L2D_379647";"Villanyszerelési alkatrészek";</v>
      </c>
      <c r="AQ137" s="15" t="str">
        <f>IF(getCategoryLevelAsString($B137)="L0D_324785","",IF(X137="",CONCATENATE(";",EscStr(CONCATENATE("NavNode_",getCategoryLevelAsString($B137))),";",EscStr($J137),";"),CONCATENATE(";",EscStr(CONCATENATE("NavNode_",getCategoryLevelAsString($B137))),";",EscStr(X137),";")))</f>
        <v>;"NavNode_L2D_379647";"Napájecí zdroje";</v>
      </c>
      <c r="AR137" s="16" t="str">
        <f>IF(OR($A137&lt;&gt;"", $G137=""),"",CONCATENATE(";",EscStr(CONCATENATE("NavEntry_",getCategoryLevelAsString($B137))),";",EscStr(CONCATENATE($J137," Navigation Entry")),";",EscStr(CONCATENATE("cat-",getCategoryLevelAsString($B137))),";",EscStr(CONCATENATE("NavNode_",getCategoryLevelAsString($B137))),";"))</f>
        <v/>
      </c>
    </row>
    <row r="138" spans="1:44" ht="15" x14ac:dyDescent="0.25">
      <c r="A138" s="25"/>
      <c r="B138" s="5"/>
      <c r="C138" s="5" t="s">
        <v>47</v>
      </c>
      <c r="D138" s="5"/>
      <c r="E138" s="5"/>
      <c r="F138" s="5"/>
      <c r="G138" s="5" t="s">
        <v>512</v>
      </c>
      <c r="H138" s="5" t="s">
        <v>513</v>
      </c>
      <c r="I138" s="5" t="s">
        <v>514</v>
      </c>
      <c r="J138" s="5" t="s">
        <v>12</v>
      </c>
      <c r="K138" s="5" t="s">
        <v>1339</v>
      </c>
      <c r="L138" s="5" t="s">
        <v>1574</v>
      </c>
      <c r="M138" s="5" t="s">
        <v>1787</v>
      </c>
      <c r="N138" s="5" t="s">
        <v>1787</v>
      </c>
      <c r="O138" s="5" t="s">
        <v>3805</v>
      </c>
      <c r="P138" s="5" t="s">
        <v>3806</v>
      </c>
      <c r="Q138" s="5" t="s">
        <v>3807</v>
      </c>
      <c r="R138" s="5" t="s">
        <v>512</v>
      </c>
      <c r="S138" s="5" t="s">
        <v>3808</v>
      </c>
      <c r="T138" s="5" t="s">
        <v>3809</v>
      </c>
      <c r="U138" s="5" t="s">
        <v>3810</v>
      </c>
      <c r="V138" s="5" t="s">
        <v>3811</v>
      </c>
      <c r="W138" s="5" t="s">
        <v>3812</v>
      </c>
      <c r="X138" s="5" t="s">
        <v>3810</v>
      </c>
      <c r="Y138" s="10" t="str">
        <f>IF(OR($A138&lt;&gt;"", $G138=""),"",CONCATENATE(";",EscStr(CONCATENATE("NavNode_",getCategoryLevelAsString($B138))),";",EscStr($J138),";",IF($B138&lt;&gt;"","""MainNavNode""",EscStr(CONCATENATE("NavNode_",getSuperCategory($B138, getCategoryLevelAsNumber($B138))))),";"))</f>
        <v>;"NavNode_L3D_525535";"Transformers";"NavNode_L2D_379647";</v>
      </c>
      <c r="Z138" s="10" t="str">
        <f>IF(getCategoryLevelAsString($B138)="L0D_324785","",IF(G138="",CONCATENATE(";",EscStr(CONCATENATE("NavNode_",getCategoryLevelAsString($B138))),";",EscStr($J138),";"),CONCATENATE(";",EscStr(CONCATENATE("NavNode_",getCategoryLevelAsString($B138))),";",EscStr(G138),";")))</f>
        <v>;"NavNode_L3D_525535";"Transformatoren";</v>
      </c>
      <c r="AA138" s="10" t="str">
        <f>IF(getCategoryLevelAsString($B138)="L0D_324785","",IF(H138="",CONCATENATE(";",EscStr(CONCATENATE("NavNode_",getCategoryLevelAsString($B138))),";",EscStr($J138),";"),CONCATENATE(";",EscStr(CONCATENATE("NavNode_",getCategoryLevelAsString($B138))),";",EscStr(H138),";")))</f>
        <v>;"NavNode_L3D_525535";"Transformateurs";</v>
      </c>
      <c r="AB138" s="10" t="str">
        <f>IF(getCategoryLevelAsString($B138)="L0D_324785","",IF(I138="",CONCATENATE(";",EscStr(CONCATENATE("NavNode_",getCategoryLevelAsString($B138))),";",EscStr($J138),";"),CONCATENATE(";",EscStr(CONCATENATE("NavNode_",getCategoryLevelAsString($B138))),";",EscStr(I138),";")))</f>
        <v>;"NavNode_L3D_525535";"Trasformatori";</v>
      </c>
      <c r="AC138" s="10" t="str">
        <f>IF(getCategoryLevelAsString($B138)="L0D_324785","",IF(J138="",CONCATENATE(";",EscStr(CONCATENATE("NavNode_",getCategoryLevelAsString($B138))),";",EscStr($J138),";"),CONCATENATE(";",EscStr(CONCATENATE("NavNode_",getCategoryLevelAsString($B138))),";",EscStr(J138),";")))</f>
        <v>;"NavNode_L3D_525535";"Transformers";</v>
      </c>
      <c r="AD138" s="10" t="str">
        <f>IF(getCategoryLevelAsString($B138)="L0D_324785","",IF(K138="",CONCATENATE(";",EscStr(CONCATENATE("NavNode_",getCategoryLevelAsString($B138))),";",EscStr($J138),";"),CONCATENATE(";",EscStr(CONCATENATE("NavNode_",getCategoryLevelAsString($B138))),";",EscStr(K138),";")))</f>
        <v>;"NavNode_L3D_525535";"Transformere";</v>
      </c>
      <c r="AE138" s="10" t="str">
        <f>IF(getCategoryLevelAsString($B138)="L0D_324785","",IF(L138="",CONCATENATE(";",EscStr(CONCATENATE("NavNode_",getCategoryLevelAsString($B138))),";",EscStr($J138),";"),CONCATENATE(";",EscStr(CONCATENATE("NavNode_",getCategoryLevelAsString($B138))),";",EscStr(L138),";")))</f>
        <v>;"NavNode_L3D_525535";"Transformatoriai";</v>
      </c>
      <c r="AF138" s="10" t="str">
        <f>IF(getCategoryLevelAsString($B138)="L0D_324785","",IF(M138="",CONCATENATE(";",EscStr(CONCATENATE("NavNode_",getCategoryLevelAsString($B138))),";",EscStr($J138),";"),CONCATENATE(";",EscStr(CONCATENATE("NavNode_",getCategoryLevelAsString($B138))),";",EscStr(M138),";")))</f>
        <v>;"NavNode_L3D_525535";"Transformatorer";</v>
      </c>
      <c r="AG138" s="10" t="str">
        <f>IF(getCategoryLevelAsString($B138)="L0D_324785","",IF(N138="",CONCATENATE(";",EscStr(CONCATENATE("NavNode_",getCategoryLevelAsString($B138))),";",EscStr($J138),";"),CONCATENATE(";",EscStr(CONCATENATE("NavNode_",getCategoryLevelAsString($B138))),";",EscStr(N138),";")))</f>
        <v>;"NavNode_L3D_525535";"Transformatorer";</v>
      </c>
      <c r="AH138" s="10" t="str">
        <f>IF(getCategoryLevelAsString($B138)="L0D_324785","",IF(O138="",CONCATENATE(";",EscStr(CONCATENATE("NavNode_",getCategoryLevelAsString($B138))),";",EscStr($J138),";"),CONCATENATE(";",EscStr(CONCATENATE("NavNode_",getCategoryLevelAsString($B138))),";",EscStr(O138),";")))</f>
        <v>;"NavNode_L3D_525535";"Trafod";</v>
      </c>
      <c r="AI138" s="10" t="str">
        <f>IF(getCategoryLevelAsString($B138)="L0D_324785","",IF(P138="",CONCATENATE(";",EscStr(CONCATENATE("NavNode_",getCategoryLevelAsString($B138))),";",EscStr($J138),";"),CONCATENATE(";",EscStr(CONCATENATE("NavNode_",getCategoryLevelAsString($B138))),";",EscStr(P138),";")))</f>
        <v>;"NavNode_L3D_525535";"Muuntajat";</v>
      </c>
      <c r="AJ138" s="10" t="str">
        <f>IF(getCategoryLevelAsString($B138)="L0D_324785","",IF(Q138="",CONCATENATE(";",EscStr(CONCATENATE("NavNode_",getCategoryLevelAsString($B138))),";",EscStr($J138),";"),CONCATENATE(";",EscStr(CONCATENATE("NavNode_",getCategoryLevelAsString($B138))),";",EscStr(Q138),";")))</f>
        <v>;"NavNode_L3D_525535";"Transformatori";</v>
      </c>
      <c r="AK138" s="10" t="str">
        <f>IF(getCategoryLevelAsString($B138)="L0D_324785","",IF(R138="",CONCATENATE(";",EscStr(CONCATENATE("NavNode_",getCategoryLevelAsString($B138))),";",EscStr($J138),";"),CONCATENATE(";",EscStr(CONCATENATE("NavNode_",getCategoryLevelAsString($B138))),";",EscStr(R138),";")))</f>
        <v>;"NavNode_L3D_525535";"Transformatoren";</v>
      </c>
      <c r="AL138" s="10" t="str">
        <f>IF(getCategoryLevelAsString($B138)="L0D_324785","",IF(S138="",CONCATENATE(";",EscStr(CONCATENATE("NavNode_",getCategoryLevelAsString($B138))),";",EscStr($J138),";"),CONCATENATE(";",EscStr(CONCATENATE("NavNode_",getCategoryLevelAsString($B138))),";",EscStr(S138),";")))</f>
        <v>;"NavNode_L3D_525535";"Transformatory";</v>
      </c>
      <c r="AM138" s="10" t="str">
        <f>IF(getCategoryLevelAsString($B138)="L0D_324785","",IF(T138="",CONCATENATE(";",EscStr(CONCATENATE("NavNode_",getCategoryLevelAsString($B138))),";",EscStr($J138),";"),CONCATENATE(";",EscStr(CONCATENATE("NavNode_",getCategoryLevelAsString($B138))),";",EscStr(T138),";")))</f>
        <v>;"NavNode_L3D_525535";"Трансформаторы";</v>
      </c>
      <c r="AN138" s="10" t="str">
        <f>IF(getCategoryLevelAsString($B138)="L0D_324785","",IF(U138="",CONCATENATE(";",EscStr(CONCATENATE("NavNode_",getCategoryLevelAsString($B138))),";",EscStr($J138),";"),CONCATENATE(";",EscStr(CONCATENATE("NavNode_",getCategoryLevelAsString($B138))),";",EscStr(U138),";")))</f>
        <v>;"NavNode_L3D_525535";"Transformátory";</v>
      </c>
      <c r="AO138" s="10" t="str">
        <f>IF(getCategoryLevelAsString($B138)="L0D_324785","",IF(V138="",CONCATENATE(";",EscStr(CONCATENATE("NavNode_",getCategoryLevelAsString($B138))),";",EscStr($J138),";"),CONCATENATE(";",EscStr(CONCATENATE("NavNode_",getCategoryLevelAsString($B138))),";",EscStr(V138),";")))</f>
        <v>;"NavNode_L3D_525535";"Transformatoare";</v>
      </c>
      <c r="AP138" s="10" t="str">
        <f>IF(getCategoryLevelAsString($B138)="L0D_324785","",IF(W138="",CONCATENATE(";",EscStr(CONCATENATE("NavNode_",getCategoryLevelAsString($B138))),";",EscStr($J138),";"),CONCATENATE(";",EscStr(CONCATENATE("NavNode_",getCategoryLevelAsString($B138))),";",EscStr(W138),";")))</f>
        <v>;"NavNode_L3D_525535";"Transzformátorok";</v>
      </c>
      <c r="AQ138" s="10" t="str">
        <f>IF(getCategoryLevelAsString($B138)="L0D_324785","",IF(X138="",CONCATENATE(";",EscStr(CONCATENATE("NavNode_",getCategoryLevelAsString($B138))),";",EscStr($J138),";"),CONCATENATE(";",EscStr(CONCATENATE("NavNode_",getCategoryLevelAsString($B138))),";",EscStr(X138),";")))</f>
        <v>;"NavNode_L3D_525535";"Transformátory";</v>
      </c>
      <c r="AR138" s="8" t="str">
        <f>IF(OR($A138&lt;&gt;"", $G138=""),"",CONCATENATE(";",EscStr(CONCATENATE("NavEntry_",getCategoryLevelAsString($B138))),";",EscStr(CONCATENATE($J138," Navigation Entry")),";",EscStr(CONCATENATE("cat-",getCategoryLevelAsString($B138))),";",EscStr(CONCATENATE("NavNode_",getCategoryLevelAsString($B138))),";"))</f>
        <v>;"NavEntry_L3D_525535";"Transformers Navigation Entry";"cat-L3D_525535";"NavNode_L3D_525535";</v>
      </c>
    </row>
    <row r="139" spans="1:44" ht="15" x14ac:dyDescent="0.25">
      <c r="A139" s="25"/>
      <c r="B139" s="5"/>
      <c r="C139" s="5"/>
      <c r="D139" s="5" t="s">
        <v>229</v>
      </c>
      <c r="E139" s="5"/>
      <c r="F139" s="5"/>
      <c r="G139" s="5" t="s">
        <v>521</v>
      </c>
      <c r="H139" s="5" t="s">
        <v>522</v>
      </c>
      <c r="I139" s="5" t="s">
        <v>523</v>
      </c>
      <c r="J139" s="5" t="s">
        <v>230</v>
      </c>
      <c r="K139" s="5" t="s">
        <v>1340</v>
      </c>
      <c r="L139" s="5" t="s">
        <v>1575</v>
      </c>
      <c r="M139" s="5" t="s">
        <v>1788</v>
      </c>
      <c r="N139" s="5" t="s">
        <v>1788</v>
      </c>
      <c r="O139" s="5" t="s">
        <v>3813</v>
      </c>
      <c r="P139" s="5" t="s">
        <v>3814</v>
      </c>
      <c r="Q139" s="5" t="s">
        <v>3815</v>
      </c>
      <c r="R139" s="5" t="s">
        <v>3816</v>
      </c>
      <c r="S139" s="5" t="s">
        <v>3817</v>
      </c>
      <c r="T139" s="5" t="s">
        <v>3818</v>
      </c>
      <c r="U139" s="5" t="s">
        <v>3819</v>
      </c>
      <c r="V139" s="5" t="s">
        <v>3820</v>
      </c>
      <c r="W139" s="5" t="s">
        <v>3821</v>
      </c>
      <c r="X139" s="5" t="s">
        <v>3819</v>
      </c>
      <c r="Y139" s="10" t="str">
        <f>IF(OR($A139&lt;&gt;"", $G139=""),"",CONCATENATE(";",EscStr(CONCATENATE("NavNode_",getCategoryLevelAsString($B139))),";",EscStr($J139),";",IF($B139&lt;&gt;"","""MainNavNode""",EscStr(CONCATENATE("NavNode_",getSuperCategory($B139, getCategoryLevelAsNumber($B139))))),";"))</f>
        <v>;"NavNode_L3D_525536";"PCB Transformers";"NavNode_L2D_379647";</v>
      </c>
      <c r="Z139" s="10" t="str">
        <f>IF(getCategoryLevelAsString($B139)="L0D_324785","",IF(G139="",CONCATENATE(";",EscStr(CONCATENATE("NavNode_",getCategoryLevelAsString($B139))),";",EscStr($J139),";"),CONCATENATE(";",EscStr(CONCATENATE("NavNode_",getCategoryLevelAsString($B139))),";",EscStr(G139),";")))</f>
        <v>;"NavNode_L3D_525536";"Leiterplattentransformatoren";</v>
      </c>
      <c r="AA139" s="10" t="str">
        <f>IF(getCategoryLevelAsString($B139)="L0D_324785","",IF(H139="",CONCATENATE(";",EscStr(CONCATENATE("NavNode_",getCategoryLevelAsString($B139))),";",EscStr($J139),";"),CONCATENATE(";",EscStr(CONCATENATE("NavNode_",getCategoryLevelAsString($B139))),";",EscStr(H139),";")))</f>
        <v>;"NavNode_L3D_525536";"Transformateurs pour circuits imprimés";</v>
      </c>
      <c r="AB139" s="10" t="str">
        <f>IF(getCategoryLevelAsString($B139)="L0D_324785","",IF(I139="",CONCATENATE(";",EscStr(CONCATENATE("NavNode_",getCategoryLevelAsString($B139))),";",EscStr($J139),";"),CONCATENATE(";",EscStr(CONCATENATE("NavNode_",getCategoryLevelAsString($B139))),";",EscStr(I139),";")))</f>
        <v>;"NavNode_L3D_525536";"Trasformatori per circuiti stampati";</v>
      </c>
      <c r="AC139" s="10" t="str">
        <f>IF(getCategoryLevelAsString($B139)="L0D_324785","",IF(J139="",CONCATENATE(";",EscStr(CONCATENATE("NavNode_",getCategoryLevelAsString($B139))),";",EscStr($J139),";"),CONCATENATE(";",EscStr(CONCATENATE("NavNode_",getCategoryLevelAsString($B139))),";",EscStr(J139),";")))</f>
        <v>;"NavNode_L3D_525536";"PCB Transformers";</v>
      </c>
      <c r="AD139" s="10" t="str">
        <f>IF(getCategoryLevelAsString($B139)="L0D_324785","",IF(K139="",CONCATENATE(";",EscStr(CONCATENATE("NavNode_",getCategoryLevelAsString($B139))),";",EscStr($J139),";"),CONCATENATE(";",EscStr(CONCATENATE("NavNode_",getCategoryLevelAsString($B139))),";",EscStr(K139),";")))</f>
        <v>;"NavNode_L3D_525536";"PCB-transformere";</v>
      </c>
      <c r="AE139" s="10" t="str">
        <f>IF(getCategoryLevelAsString($B139)="L0D_324785","",IF(L139="",CONCATENATE(";",EscStr(CONCATENATE("NavNode_",getCategoryLevelAsString($B139))),";",EscStr($J139),";"),CONCATENATE(";",EscStr(CONCATENATE("NavNode_",getCategoryLevelAsString($B139))),";",EscStr(L139),";")))</f>
        <v>;"NavNode_L3D_525536";"PCB transformatoriai";</v>
      </c>
      <c r="AF139" s="10" t="str">
        <f>IF(getCategoryLevelAsString($B139)="L0D_324785","",IF(M139="",CONCATENATE(";",EscStr(CONCATENATE("NavNode_",getCategoryLevelAsString($B139))),";",EscStr($J139),";"),CONCATENATE(";",EscStr(CONCATENATE("NavNode_",getCategoryLevelAsString($B139))),";",EscStr(M139),";")))</f>
        <v>;"NavNode_L3D_525536";"PCB-transformatorer";</v>
      </c>
      <c r="AG139" s="10" t="str">
        <f>IF(getCategoryLevelAsString($B139)="L0D_324785","",IF(N139="",CONCATENATE(";",EscStr(CONCATENATE("NavNode_",getCategoryLevelAsString($B139))),";",EscStr($J139),";"),CONCATENATE(";",EscStr(CONCATENATE("NavNode_",getCategoryLevelAsString($B139))),";",EscStr(N139),";")))</f>
        <v>;"NavNode_L3D_525536";"PCB-transformatorer";</v>
      </c>
      <c r="AH139" s="10" t="str">
        <f>IF(getCategoryLevelAsString($B139)="L0D_324785","",IF(O139="",CONCATENATE(";",EscStr(CONCATENATE("NavNode_",getCategoryLevelAsString($B139))),";",EscStr($J139),";"),CONCATENATE(";",EscStr(CONCATENATE("NavNode_",getCategoryLevelAsString($B139))),";",EscStr(O139),";")))</f>
        <v>;"NavNode_L3D_525536";"Trükkplaaditrafod";</v>
      </c>
      <c r="AI139" s="10" t="str">
        <f>IF(getCategoryLevelAsString($B139)="L0D_324785","",IF(P139="",CONCATENATE(";",EscStr(CONCATENATE("NavNode_",getCategoryLevelAsString($B139))),";",EscStr($J139),";"),CONCATENATE(";",EscStr(CONCATENATE("NavNode_",getCategoryLevelAsString($B139))),";",EscStr(P139),";")))</f>
        <v>;"NavNode_L3D_525536";"Piirilevymuuntajat";</v>
      </c>
      <c r="AJ139" s="10" t="str">
        <f>IF(getCategoryLevelAsString($B139)="L0D_324785","",IF(Q139="",CONCATENATE(";",EscStr(CONCATENATE("NavNode_",getCategoryLevelAsString($B139))),";",EscStr($J139),";"),CONCATENATE(";",EscStr(CONCATENATE("NavNode_",getCategoryLevelAsString($B139))),";",EscStr(Q139),";")))</f>
        <v>;"NavNode_L3D_525536";"PCB transformatori";</v>
      </c>
      <c r="AK139" s="10" t="str">
        <f>IF(getCategoryLevelAsString($B139)="L0D_324785","",IF(R139="",CONCATENATE(";",EscStr(CONCATENATE("NavNode_",getCategoryLevelAsString($B139))),";",EscStr($J139),";"),CONCATENATE(";",EscStr(CONCATENATE("NavNode_",getCategoryLevelAsString($B139))),";",EscStr(R139),";")))</f>
        <v>;"NavNode_L3D_525536";"Printtransformatoren";</v>
      </c>
      <c r="AL139" s="10" t="str">
        <f>IF(getCategoryLevelAsString($B139)="L0D_324785","",IF(S139="",CONCATENATE(";",EscStr(CONCATENATE("NavNode_",getCategoryLevelAsString($B139))),";",EscStr($J139),";"),CONCATENATE(";",EscStr(CONCATENATE("NavNode_",getCategoryLevelAsString($B139))),";",EscStr(S139),";")))</f>
        <v>;"NavNode_L3D_525536";"Transformatory PCB";</v>
      </c>
      <c r="AM139" s="10" t="str">
        <f>IF(getCategoryLevelAsString($B139)="L0D_324785","",IF(T139="",CONCATENATE(";",EscStr(CONCATENATE("NavNode_",getCategoryLevelAsString($B139))),";",EscStr($J139),";"),CONCATENATE(";",EscStr(CONCATENATE("NavNode_",getCategoryLevelAsString($B139))),";",EscStr(T139),";")))</f>
        <v>;"NavNode_L3D_525536";"PCB трансформаторы";</v>
      </c>
      <c r="AN139" s="10" t="str">
        <f>IF(getCategoryLevelAsString($B139)="L0D_324785","",IF(U139="",CONCATENATE(";",EscStr(CONCATENATE("NavNode_",getCategoryLevelAsString($B139))),";",EscStr($J139),";"),CONCATENATE(";",EscStr(CONCATENATE("NavNode_",getCategoryLevelAsString($B139))),";",EscStr(U139),";")))</f>
        <v>;"NavNode_L3D_525536";"PCB transformátory";</v>
      </c>
      <c r="AO139" s="10" t="str">
        <f>IF(getCategoryLevelAsString($B139)="L0D_324785","",IF(V139="",CONCATENATE(";",EscStr(CONCATENATE("NavNode_",getCategoryLevelAsString($B139))),";",EscStr($J139),";"),CONCATENATE(";",EscStr(CONCATENATE("NavNode_",getCategoryLevelAsString($B139))),";",EscStr(V139),";")))</f>
        <v>;"NavNode_L3D_525536";"Transformatoare de montat pe plăci";</v>
      </c>
      <c r="AP139" s="10" t="str">
        <f>IF(getCategoryLevelAsString($B139)="L0D_324785","",IF(W139="",CONCATENATE(";",EscStr(CONCATENATE("NavNode_",getCategoryLevelAsString($B139))),";",EscStr($J139),";"),CONCATENATE(";",EscStr(CONCATENATE("NavNode_",getCategoryLevelAsString($B139))),";",EscStr(W139),";")))</f>
        <v>;"NavNode_L3D_525536";"NYÁK-ba ültethető transzformátorok";</v>
      </c>
      <c r="AQ139" s="10" t="str">
        <f>IF(getCategoryLevelAsString($B139)="L0D_324785","",IF(X139="",CONCATENATE(";",EscStr(CONCATENATE("NavNode_",getCategoryLevelAsString($B139))),";",EscStr($J139),";"),CONCATENATE(";",EscStr(CONCATENATE("NavNode_",getCategoryLevelAsString($B139))),";",EscStr(X139),";")))</f>
        <v>;"NavNode_L3D_525536";"PCB transformátory";</v>
      </c>
      <c r="AR139" s="8" t="str">
        <f>IF(OR($A139&lt;&gt;"", $G139=""),"",CONCATENATE(";",EscStr(CONCATENATE("NavEntry_",getCategoryLevelAsString($B139))),";",EscStr(CONCATENATE($J139," Navigation Entry")),";",EscStr(CONCATENATE("cat-",getCategoryLevelAsString($B139))),";",EscStr(CONCATENATE("NavNode_",getCategoryLevelAsString($B139))),";"))</f>
        <v>;"NavEntry_L3D_525536";"PCB Transformers Navigation Entry";"cat-L3D_525536";"NavNode_L3D_525536";</v>
      </c>
    </row>
    <row r="140" spans="1:44" ht="15" x14ac:dyDescent="0.25">
      <c r="A140" s="25"/>
      <c r="B140" s="5"/>
      <c r="C140" s="5"/>
      <c r="D140" s="5" t="s">
        <v>233</v>
      </c>
      <c r="E140" s="5"/>
      <c r="F140" s="5"/>
      <c r="G140" s="5" t="s">
        <v>527</v>
      </c>
      <c r="H140" s="5" t="s">
        <v>528</v>
      </c>
      <c r="I140" s="5" t="s">
        <v>529</v>
      </c>
      <c r="J140" s="5" t="s">
        <v>234</v>
      </c>
      <c r="K140" s="5" t="s">
        <v>1341</v>
      </c>
      <c r="L140" s="5" t="s">
        <v>1576</v>
      </c>
      <c r="M140" s="5" t="s">
        <v>1789</v>
      </c>
      <c r="N140" s="5" t="s">
        <v>1789</v>
      </c>
      <c r="O140" s="5" t="s">
        <v>3822</v>
      </c>
      <c r="P140" s="5" t="s">
        <v>3823</v>
      </c>
      <c r="Q140" s="5" t="s">
        <v>3824</v>
      </c>
      <c r="R140" s="5" t="s">
        <v>3825</v>
      </c>
      <c r="S140" s="5" t="s">
        <v>3826</v>
      </c>
      <c r="T140" s="5" t="s">
        <v>3827</v>
      </c>
      <c r="U140" s="5" t="s">
        <v>3828</v>
      </c>
      <c r="V140" s="5" t="s">
        <v>3829</v>
      </c>
      <c r="W140" s="5" t="s">
        <v>3830</v>
      </c>
      <c r="X140" s="5" t="s">
        <v>3828</v>
      </c>
      <c r="Y140" s="10" t="str">
        <f>IF(OR($A140&lt;&gt;"", $G140=""),"",CONCATENATE(";",EscStr(CONCATENATE("NavNode_",getCategoryLevelAsString($B140))),";",EscStr($J140),";",IF($B140&lt;&gt;"","""MainNavNode""",EscStr(CONCATENATE("NavNode_",getSuperCategory($B140, getCategoryLevelAsNumber($B140))))),";"))</f>
        <v>;"NavNode_L3D_525537";"Universal Transformers";"NavNode_L2D_379647";</v>
      </c>
      <c r="Z140" s="10" t="str">
        <f>IF(getCategoryLevelAsString($B140)="L0D_324785","",IF(G140="",CONCATENATE(";",EscStr(CONCATENATE("NavNode_",getCategoryLevelAsString($B140))),";",EscStr($J140),";"),CONCATENATE(";",EscStr(CONCATENATE("NavNode_",getCategoryLevelAsString($B140))),";",EscStr(G140),";")))</f>
        <v>;"NavNode_L3D_525537";"Universaltransformatoren";</v>
      </c>
      <c r="AA140" s="10" t="str">
        <f>IF(getCategoryLevelAsString($B140)="L0D_324785","",IF(H140="",CONCATENATE(";",EscStr(CONCATENATE("NavNode_",getCategoryLevelAsString($B140))),";",EscStr($J140),";"),CONCATENATE(";",EscStr(CONCATENATE("NavNode_",getCategoryLevelAsString($B140))),";",EscStr(H140),";")))</f>
        <v>;"NavNode_L3D_525537";"Transformateurs universels";</v>
      </c>
      <c r="AB140" s="10" t="str">
        <f>IF(getCategoryLevelAsString($B140)="L0D_324785","",IF(I140="",CONCATENATE(";",EscStr(CONCATENATE("NavNode_",getCategoryLevelAsString($B140))),";",EscStr($J140),";"),CONCATENATE(";",EscStr(CONCATENATE("NavNode_",getCategoryLevelAsString($B140))),";",EscStr(I140),";")))</f>
        <v>;"NavNode_L3D_525537";"Trasformatori universali";</v>
      </c>
      <c r="AC140" s="10" t="str">
        <f>IF(getCategoryLevelAsString($B140)="L0D_324785","",IF(J140="",CONCATENATE(";",EscStr(CONCATENATE("NavNode_",getCategoryLevelAsString($B140))),";",EscStr($J140),";"),CONCATENATE(";",EscStr(CONCATENATE("NavNode_",getCategoryLevelAsString($B140))),";",EscStr(J140),";")))</f>
        <v>;"NavNode_L3D_525537";"Universal Transformers";</v>
      </c>
      <c r="AD140" s="10" t="str">
        <f>IF(getCategoryLevelAsString($B140)="L0D_324785","",IF(K140="",CONCATENATE(";",EscStr(CONCATENATE("NavNode_",getCategoryLevelAsString($B140))),";",EscStr($J140),";"),CONCATENATE(";",EscStr(CONCATENATE("NavNode_",getCategoryLevelAsString($B140))),";",EscStr(K140),";")))</f>
        <v>;"NavNode_L3D_525537";"Universaltransformere";</v>
      </c>
      <c r="AE140" s="10" t="str">
        <f>IF(getCategoryLevelAsString($B140)="L0D_324785","",IF(L140="",CONCATENATE(";",EscStr(CONCATENATE("NavNode_",getCategoryLevelAsString($B140))),";",EscStr($J140),";"),CONCATENATE(";",EscStr(CONCATENATE("NavNode_",getCategoryLevelAsString($B140))),";",EscStr(L140),";")))</f>
        <v>;"NavNode_L3D_525537";"Universalieji transformatoriai";</v>
      </c>
      <c r="AF140" s="10" t="str">
        <f>IF(getCategoryLevelAsString($B140)="L0D_324785","",IF(M140="",CONCATENATE(";",EscStr(CONCATENATE("NavNode_",getCategoryLevelAsString($B140))),";",EscStr($J140),";"),CONCATENATE(";",EscStr(CONCATENATE("NavNode_",getCategoryLevelAsString($B140))),";",EscStr(M140),";")))</f>
        <v>;"NavNode_L3D_525537";"Universaltransformatorer";</v>
      </c>
      <c r="AG140" s="10" t="str">
        <f>IF(getCategoryLevelAsString($B140)="L0D_324785","",IF(N140="",CONCATENATE(";",EscStr(CONCATENATE("NavNode_",getCategoryLevelAsString($B140))),";",EscStr($J140),";"),CONCATENATE(";",EscStr(CONCATENATE("NavNode_",getCategoryLevelAsString($B140))),";",EscStr(N140),";")))</f>
        <v>;"NavNode_L3D_525537";"Universaltransformatorer";</v>
      </c>
      <c r="AH140" s="10" t="str">
        <f>IF(getCategoryLevelAsString($B140)="L0D_324785","",IF(O140="",CONCATENATE(";",EscStr(CONCATENATE("NavNode_",getCategoryLevelAsString($B140))),";",EscStr($J140),";"),CONCATENATE(";",EscStr(CONCATENATE("NavNode_",getCategoryLevelAsString($B140))),";",EscStr(O140),";")))</f>
        <v>;"NavNode_L3D_525537";"Universaalsed trafod";</v>
      </c>
      <c r="AI140" s="10" t="str">
        <f>IF(getCategoryLevelAsString($B140)="L0D_324785","",IF(P140="",CONCATENATE(";",EscStr(CONCATENATE("NavNode_",getCategoryLevelAsString($B140))),";",EscStr($J140),";"),CONCATENATE(";",EscStr(CONCATENATE("NavNode_",getCategoryLevelAsString($B140))),";",EscStr(P140),";")))</f>
        <v>;"NavNode_L3D_525537";"Yleismuuntajat";</v>
      </c>
      <c r="AJ140" s="10" t="str">
        <f>IF(getCategoryLevelAsString($B140)="L0D_324785","",IF(Q140="",CONCATENATE(";",EscStr(CONCATENATE("NavNode_",getCategoryLevelAsString($B140))),";",EscStr($J140),";"),CONCATENATE(";",EscStr(CONCATENATE("NavNode_",getCategoryLevelAsString($B140))),";",EscStr(Q140),";")))</f>
        <v>;"NavNode_L3D_525537";"Universālie transformatori";</v>
      </c>
      <c r="AK140" s="10" t="str">
        <f>IF(getCategoryLevelAsString($B140)="L0D_324785","",IF(R140="",CONCATENATE(";",EscStr(CONCATENATE("NavNode_",getCategoryLevelAsString($B140))),";",EscStr($J140),";"),CONCATENATE(";",EscStr(CONCATENATE("NavNode_",getCategoryLevelAsString($B140))),";",EscStr(R140),";")))</f>
        <v>;"NavNode_L3D_525537";"Universele transformatoren";</v>
      </c>
      <c r="AL140" s="10" t="str">
        <f>IF(getCategoryLevelAsString($B140)="L0D_324785","",IF(S140="",CONCATENATE(";",EscStr(CONCATENATE("NavNode_",getCategoryLevelAsString($B140))),";",EscStr($J140),";"),CONCATENATE(";",EscStr(CONCATENATE("NavNode_",getCategoryLevelAsString($B140))),";",EscStr(S140),";")))</f>
        <v>;"NavNode_L3D_525537";"Transformatory uniwersalne";</v>
      </c>
      <c r="AM140" s="10" t="str">
        <f>IF(getCategoryLevelAsString($B140)="L0D_324785","",IF(T140="",CONCATENATE(";",EscStr(CONCATENATE("NavNode_",getCategoryLevelAsString($B140))),";",EscStr($J140),";"),CONCATENATE(";",EscStr(CONCATENATE("NavNode_",getCategoryLevelAsString($B140))),";",EscStr(T140),";")))</f>
        <v>;"NavNode_L3D_525537";"Универсальные  трансформаторы";</v>
      </c>
      <c r="AN140" s="10" t="str">
        <f>IF(getCategoryLevelAsString($B140)="L0D_324785","",IF(U140="",CONCATENATE(";",EscStr(CONCATENATE("NavNode_",getCategoryLevelAsString($B140))),";",EscStr($J140),";"),CONCATENATE(";",EscStr(CONCATENATE("NavNode_",getCategoryLevelAsString($B140))),";",EscStr(U140),";")))</f>
        <v>;"NavNode_L3D_525537";"Univerzální transformátory";</v>
      </c>
      <c r="AO140" s="10" t="str">
        <f>IF(getCategoryLevelAsString($B140)="L0D_324785","",IF(V140="",CONCATENATE(";",EscStr(CONCATENATE("NavNode_",getCategoryLevelAsString($B140))),";",EscStr($J140),";"),CONCATENATE(";",EscStr(CONCATENATE("NavNode_",getCategoryLevelAsString($B140))),";",EscStr(V140),";")))</f>
        <v>;"NavNode_L3D_525537";"Transformatoare universale";</v>
      </c>
      <c r="AP140" s="10" t="str">
        <f>IF(getCategoryLevelAsString($B140)="L0D_324785","",IF(W140="",CONCATENATE(";",EscStr(CONCATENATE("NavNode_",getCategoryLevelAsString($B140))),";",EscStr($J140),";"),CONCATENATE(";",EscStr(CONCATENATE("NavNode_",getCategoryLevelAsString($B140))),";",EscStr(W140),";")))</f>
        <v>;"NavNode_L3D_525537";"Univerzális transzformátorok";</v>
      </c>
      <c r="AQ140" s="10" t="str">
        <f>IF(getCategoryLevelAsString($B140)="L0D_324785","",IF(X140="",CONCATENATE(";",EscStr(CONCATENATE("NavNode_",getCategoryLevelAsString($B140))),";",EscStr($J140),";"),CONCATENATE(";",EscStr(CONCATENATE("NavNode_",getCategoryLevelAsString($B140))),";",EscStr(X140),";")))</f>
        <v>;"NavNode_L3D_525537";"Univerzální transformátory";</v>
      </c>
      <c r="AR140" s="8" t="str">
        <f>IF(OR($A140&lt;&gt;"", $G140=""),"",CONCATENATE(";",EscStr(CONCATENATE("NavEntry_",getCategoryLevelAsString($B140))),";",EscStr(CONCATENATE($J140," Navigation Entry")),";",EscStr(CONCATENATE("cat-",getCategoryLevelAsString($B140))),";",EscStr(CONCATENATE("NavNode_",getCategoryLevelAsString($B140))),";"))</f>
        <v>;"NavEntry_L3D_525537";"Universal Transformers Navigation Entry";"cat-L3D_525537";"NavNode_L3D_525537";</v>
      </c>
    </row>
    <row r="141" spans="1:44" ht="15" x14ac:dyDescent="0.25">
      <c r="A141" s="25"/>
      <c r="B141" s="5"/>
      <c r="C141" s="5"/>
      <c r="D141" s="5" t="s">
        <v>227</v>
      </c>
      <c r="E141" s="5"/>
      <c r="F141" s="5"/>
      <c r="G141" s="5" t="s">
        <v>518</v>
      </c>
      <c r="H141" s="5" t="s">
        <v>519</v>
      </c>
      <c r="I141" s="5" t="s">
        <v>520</v>
      </c>
      <c r="J141" s="5" t="s">
        <v>228</v>
      </c>
      <c r="K141" s="5" t="s">
        <v>1342</v>
      </c>
      <c r="L141" s="5" t="s">
        <v>1577</v>
      </c>
      <c r="M141" s="5" t="s">
        <v>1790</v>
      </c>
      <c r="N141" s="5" t="s">
        <v>1998</v>
      </c>
      <c r="O141" s="5" t="s">
        <v>3831</v>
      </c>
      <c r="P141" s="5" t="s">
        <v>3832</v>
      </c>
      <c r="Q141" s="5" t="s">
        <v>3833</v>
      </c>
      <c r="R141" s="5" t="s">
        <v>3834</v>
      </c>
      <c r="S141" s="5" t="s">
        <v>3835</v>
      </c>
      <c r="T141" s="5" t="s">
        <v>3836</v>
      </c>
      <c r="U141" s="5" t="s">
        <v>3837</v>
      </c>
      <c r="V141" s="5" t="s">
        <v>3838</v>
      </c>
      <c r="W141" s="5" t="s">
        <v>3839</v>
      </c>
      <c r="X141" s="5" t="s">
        <v>3837</v>
      </c>
      <c r="Y141" s="10" t="str">
        <f>IF(OR($A141&lt;&gt;"", $G141=""),"",CONCATENATE(";",EscStr(CONCATENATE("NavNode_",getCategoryLevelAsString($B141))),";",EscStr($J141),";",IF($B141&lt;&gt;"","""MainNavNode""",EscStr(CONCATENATE("NavNode_",getSuperCategory($B141, getCategoryLevelAsNumber($B141))))),";"))</f>
        <v>;"NavNode_L3D_531411";"Control Transformers";"NavNode_L2D_379647";</v>
      </c>
      <c r="Z141" s="10" t="str">
        <f>IF(getCategoryLevelAsString($B141)="L0D_324785","",IF(G141="",CONCATENATE(";",EscStr(CONCATENATE("NavNode_",getCategoryLevelAsString($B141))),";",EscStr($J141),";"),CONCATENATE(";",EscStr(CONCATENATE("NavNode_",getCategoryLevelAsString($B141))),";",EscStr(G141),";")))</f>
        <v>;"NavNode_L3D_531411";"Steuertransformator";</v>
      </c>
      <c r="AA141" s="10" t="str">
        <f>IF(getCategoryLevelAsString($B141)="L0D_324785","",IF(H141="",CONCATENATE(";",EscStr(CONCATENATE("NavNode_",getCategoryLevelAsString($B141))),";",EscStr($J141),";"),CONCATENATE(";",EscStr(CONCATENATE("NavNode_",getCategoryLevelAsString($B141))),";",EscStr(H141),";")))</f>
        <v>;"NavNode_L3D_531411";"Transformateurs de commande";</v>
      </c>
      <c r="AB141" s="10" t="str">
        <f>IF(getCategoryLevelAsString($B141)="L0D_324785","",IF(I141="",CONCATENATE(";",EscStr(CONCATENATE("NavNode_",getCategoryLevelAsString($B141))),";",EscStr($J141),";"),CONCATENATE(";",EscStr(CONCATENATE("NavNode_",getCategoryLevelAsString($B141))),";",EscStr(I141),";")))</f>
        <v>;"NavNode_L3D_531411";"Trasformatori di comando";</v>
      </c>
      <c r="AC141" s="10" t="str">
        <f>IF(getCategoryLevelAsString($B141)="L0D_324785","",IF(J141="",CONCATENATE(";",EscStr(CONCATENATE("NavNode_",getCategoryLevelAsString($B141))),";",EscStr($J141),";"),CONCATENATE(";",EscStr(CONCATENATE("NavNode_",getCategoryLevelAsString($B141))),";",EscStr(J141),";")))</f>
        <v>;"NavNode_L3D_531411";"Control Transformers";</v>
      </c>
      <c r="AD141" s="10" t="str">
        <f>IF(getCategoryLevelAsString($B141)="L0D_324785","",IF(K141="",CONCATENATE(";",EscStr(CONCATENATE("NavNode_",getCategoryLevelAsString($B141))),";",EscStr($J141),";"),CONCATENATE(";",EscStr(CONCATENATE("NavNode_",getCategoryLevelAsString($B141))),";",EscStr(K141),";")))</f>
        <v>;"NavNode_L3D_531411";"Styretransformer";</v>
      </c>
      <c r="AE141" s="10" t="str">
        <f>IF(getCategoryLevelAsString($B141)="L0D_324785","",IF(L141="",CONCATENATE(";",EscStr(CONCATENATE("NavNode_",getCategoryLevelAsString($B141))),";",EscStr($J141),";"),CONCATENATE(";",EscStr(CONCATENATE("NavNode_",getCategoryLevelAsString($B141))),";",EscStr(L141),";")))</f>
        <v>;"NavNode_L3D_531411";"Valdymo transformatoriai";</v>
      </c>
      <c r="AF141" s="10" t="str">
        <f>IF(getCategoryLevelAsString($B141)="L0D_324785","",IF(M141="",CONCATENATE(";",EscStr(CONCATENATE("NavNode_",getCategoryLevelAsString($B141))),";",EscStr($J141),";"),CONCATENATE(";",EscStr(CONCATENATE("NavNode_",getCategoryLevelAsString($B141))),";",EscStr(M141),";")))</f>
        <v>;"NavNode_L3D_531411";"Styretransformatorer";</v>
      </c>
      <c r="AG141" s="10" t="str">
        <f>IF(getCategoryLevelAsString($B141)="L0D_324785","",IF(N141="",CONCATENATE(";",EscStr(CONCATENATE("NavNode_",getCategoryLevelAsString($B141))),";",EscStr($J141),";"),CONCATENATE(";",EscStr(CONCATENATE("NavNode_",getCategoryLevelAsString($B141))),";",EscStr(N141),";")))</f>
        <v>;"NavNode_L3D_531411";"Styrtransformator";</v>
      </c>
      <c r="AH141" s="10" t="str">
        <f>IF(getCategoryLevelAsString($B141)="L0D_324785","",IF(O141="",CONCATENATE(";",EscStr(CONCATENATE("NavNode_",getCategoryLevelAsString($B141))),";",EscStr($J141),";"),CONCATENATE(";",EscStr(CONCATENATE("NavNode_",getCategoryLevelAsString($B141))),";",EscStr(O141),";")))</f>
        <v>;"NavNode_L3D_531411";"Kontrolltrafod";</v>
      </c>
      <c r="AI141" s="10" t="str">
        <f>IF(getCategoryLevelAsString($B141)="L0D_324785","",IF(P141="",CONCATENATE(";",EscStr(CONCATENATE("NavNode_",getCategoryLevelAsString($B141))),";",EscStr($J141),";"),CONCATENATE(";",EscStr(CONCATENATE("NavNode_",getCategoryLevelAsString($B141))),";",EscStr(P141),";")))</f>
        <v>;"NavNode_L3D_531411";"Ohjausmuuntajat";</v>
      </c>
      <c r="AJ141" s="10" t="str">
        <f>IF(getCategoryLevelAsString($B141)="L0D_324785","",IF(Q141="",CONCATENATE(";",EscStr(CONCATENATE("NavNode_",getCategoryLevelAsString($B141))),";",EscStr($J141),";"),CONCATENATE(";",EscStr(CONCATENATE("NavNode_",getCategoryLevelAsString($B141))),";",EscStr(Q141),";")))</f>
        <v>;"NavNode_L3D_531411";"Vadības transformatori";</v>
      </c>
      <c r="AK141" s="10" t="str">
        <f>IF(getCategoryLevelAsString($B141)="L0D_324785","",IF(R141="",CONCATENATE(";",EscStr(CONCATENATE("NavNode_",getCategoryLevelAsString($B141))),";",EscStr($J141),";"),CONCATENATE(";",EscStr(CONCATENATE("NavNode_",getCategoryLevelAsString($B141))),";",EscStr(R141),";")))</f>
        <v>;"NavNode_L3D_531411";"Stuurtransformatoren";</v>
      </c>
      <c r="AL141" s="10" t="str">
        <f>IF(getCategoryLevelAsString($B141)="L0D_324785","",IF(S141="",CONCATENATE(";",EscStr(CONCATENATE("NavNode_",getCategoryLevelAsString($B141))),";",EscStr($J141),";"),CONCATENATE(";",EscStr(CONCATENATE("NavNode_",getCategoryLevelAsString($B141))),";",EscStr(S141),";")))</f>
        <v>;"NavNode_L3D_531411";"Transformatory sterujące";</v>
      </c>
      <c r="AM141" s="10" t="str">
        <f>IF(getCategoryLevelAsString($B141)="L0D_324785","",IF(T141="",CONCATENATE(";",EscStr(CONCATENATE("NavNode_",getCategoryLevelAsString($B141))),";",EscStr($J141),";"),CONCATENATE(";",EscStr(CONCATENATE("NavNode_",getCategoryLevelAsString($B141))),";",EscStr(T141),";")))</f>
        <v>;"NavNode_L3D_531411";"Управляющие трансформаторы";</v>
      </c>
      <c r="AN141" s="10" t="str">
        <f>IF(getCategoryLevelAsString($B141)="L0D_324785","",IF(U141="",CONCATENATE(";",EscStr(CONCATENATE("NavNode_",getCategoryLevelAsString($B141))),";",EscStr($J141),";"),CONCATENATE(";",EscStr(CONCATENATE("NavNode_",getCategoryLevelAsString($B141))),";",EscStr(U141),";")))</f>
        <v>;"NavNode_L3D_531411";"Ovládací transformátory";</v>
      </c>
      <c r="AO141" s="10" t="str">
        <f>IF(getCategoryLevelAsString($B141)="L0D_324785","",IF(V141="",CONCATENATE(";",EscStr(CONCATENATE("NavNode_",getCategoryLevelAsString($B141))),";",EscStr($J141),";"),CONCATENATE(";",EscStr(CONCATENATE("NavNode_",getCategoryLevelAsString($B141))),";",EscStr(V141),";")))</f>
        <v>;"NavNode_L3D_531411";"Transformator de control";</v>
      </c>
      <c r="AP141" s="10" t="str">
        <f>IF(getCategoryLevelAsString($B141)="L0D_324785","",IF(W141="",CONCATENATE(";",EscStr(CONCATENATE("NavNode_",getCategoryLevelAsString($B141))),";",EscStr($J141),";"),CONCATENATE(";",EscStr(CONCATENATE("NavNode_",getCategoryLevelAsString($B141))),";",EscStr(W141),";")))</f>
        <v>;"NavNode_L3D_531411";"Vezérlőtranszformátor";</v>
      </c>
      <c r="AQ141" s="10" t="str">
        <f>IF(getCategoryLevelAsString($B141)="L0D_324785","",IF(X141="",CONCATENATE(";",EscStr(CONCATENATE("NavNode_",getCategoryLevelAsString($B141))),";",EscStr($J141),";"),CONCATENATE(";",EscStr(CONCATENATE("NavNode_",getCategoryLevelAsString($B141))),";",EscStr(X141),";")))</f>
        <v>;"NavNode_L3D_531411";"Ovládací transformátory";</v>
      </c>
      <c r="AR141" s="8" t="str">
        <f>IF(OR($A141&lt;&gt;"", $G141=""),"",CONCATENATE(";",EscStr(CONCATENATE("NavEntry_",getCategoryLevelAsString($B141))),";",EscStr(CONCATENATE($J141," Navigation Entry")),";",EscStr(CONCATENATE("cat-",getCategoryLevelAsString($B141))),";",EscStr(CONCATENATE("NavNode_",getCategoryLevelAsString($B141))),";"))</f>
        <v>;"NavEntry_L3D_531411";"Control Transformers Navigation Entry";"cat-L3D_531411";"NavNode_L3D_531411";</v>
      </c>
    </row>
    <row r="142" spans="1:44" ht="15" x14ac:dyDescent="0.25">
      <c r="A142" s="25"/>
      <c r="B142" s="5"/>
      <c r="C142" s="5"/>
      <c r="D142" s="5" t="s">
        <v>716</v>
      </c>
      <c r="E142" s="5"/>
      <c r="F142" s="5"/>
      <c r="G142" s="5" t="s">
        <v>1037</v>
      </c>
      <c r="H142" s="5" t="s">
        <v>1066</v>
      </c>
      <c r="I142" s="5" t="s">
        <v>1124</v>
      </c>
      <c r="J142" s="5" t="s">
        <v>904</v>
      </c>
      <c r="K142" s="5" t="s">
        <v>1343</v>
      </c>
      <c r="L142" s="5" t="s">
        <v>1578</v>
      </c>
      <c r="M142" s="5" t="s">
        <v>1791</v>
      </c>
      <c r="N142" s="5" t="s">
        <v>1999</v>
      </c>
      <c r="O142" s="5" t="s">
        <v>3840</v>
      </c>
      <c r="P142" s="5" t="s">
        <v>3841</v>
      </c>
      <c r="Q142" s="5" t="s">
        <v>3842</v>
      </c>
      <c r="R142" s="5" t="s">
        <v>1037</v>
      </c>
      <c r="S142" s="5" t="s">
        <v>3843</v>
      </c>
      <c r="T142" s="5" t="s">
        <v>3844</v>
      </c>
      <c r="U142" s="5" t="s">
        <v>3845</v>
      </c>
      <c r="V142" s="5" t="s">
        <v>3846</v>
      </c>
      <c r="W142" s="5" t="s">
        <v>3847</v>
      </c>
      <c r="X142" s="5" t="s">
        <v>3845</v>
      </c>
      <c r="Y142" s="10" t="str">
        <f>IF(OR($A142&lt;&gt;"", $G142=""),"",CONCATENATE(";",EscStr(CONCATENATE("NavNode_",getCategoryLevelAsString($B142))),";",EscStr($J142),";",IF($B142&lt;&gt;"","""MainNavNode""",EscStr(CONCATENATE("NavNode_",getSuperCategory($B142, getCategoryLevelAsNumber($B142))))),";"))</f>
        <v>;"NavNode_L3D_525538";"Toroidal core transformers";"NavNode_L2D_379647";</v>
      </c>
      <c r="Z142" s="10" t="str">
        <f>IF(getCategoryLevelAsString($B142)="L0D_324785","",IF(G142="",CONCATENATE(";",EscStr(CONCATENATE("NavNode_",getCategoryLevelAsString($B142))),";",EscStr($J142),";"),CONCATENATE(";",EscStr(CONCATENATE("NavNode_",getCategoryLevelAsString($B142))),";",EscStr(G142),";")))</f>
        <v>;"NavNode_L3D_525538";"Ringkerntransformatoren";</v>
      </c>
      <c r="AA142" s="10" t="str">
        <f>IF(getCategoryLevelAsString($B142)="L0D_324785","",IF(H142="",CONCATENATE(";",EscStr(CONCATENATE("NavNode_",getCategoryLevelAsString($B142))),";",EscStr($J142),";"),CONCATENATE(";",EscStr(CONCATENATE("NavNode_",getCategoryLevelAsString($B142))),";",EscStr(H142),";")))</f>
        <v>;"NavNode_L3D_525538";"Transformateurs à noyau torique";</v>
      </c>
      <c r="AB142" s="10" t="str">
        <f>IF(getCategoryLevelAsString($B142)="L0D_324785","",IF(I142="",CONCATENATE(";",EscStr(CONCATENATE("NavNode_",getCategoryLevelAsString($B142))),";",EscStr($J142),";"),CONCATENATE(";",EscStr(CONCATENATE("NavNode_",getCategoryLevelAsString($B142))),";",EscStr(I142),";")))</f>
        <v>;"NavNode_L3D_525538";"Trasformatori a nucleo toroidale";</v>
      </c>
      <c r="AC142" s="10" t="str">
        <f>IF(getCategoryLevelAsString($B142)="L0D_324785","",IF(J142="",CONCATENATE(";",EscStr(CONCATENATE("NavNode_",getCategoryLevelAsString($B142))),";",EscStr($J142),";"),CONCATENATE(";",EscStr(CONCATENATE("NavNode_",getCategoryLevelAsString($B142))),";",EscStr(J142),";")))</f>
        <v>;"NavNode_L3D_525538";"Toroidal core transformers";</v>
      </c>
      <c r="AD142" s="10" t="str">
        <f>IF(getCategoryLevelAsString($B142)="L0D_324785","",IF(K142="",CONCATENATE(";",EscStr(CONCATENATE("NavNode_",getCategoryLevelAsString($B142))),";",EscStr($J142),";"),CONCATENATE(";",EscStr(CONCATENATE("NavNode_",getCategoryLevelAsString($B142))),";",EscStr(K142),";")))</f>
        <v>;"NavNode_L3D_525538";"Toroidtransformere";</v>
      </c>
      <c r="AE142" s="10" t="str">
        <f>IF(getCategoryLevelAsString($B142)="L0D_324785","",IF(L142="",CONCATENATE(";",EscStr(CONCATENATE("NavNode_",getCategoryLevelAsString($B142))),";",EscStr($J142),";"),CONCATENATE(";",EscStr(CONCATENATE("NavNode_",getCategoryLevelAsString($B142))),";",EscStr(L142),";")))</f>
        <v>;"NavNode_L3D_525538";"Toroidiniai transformatoriai";</v>
      </c>
      <c r="AF142" s="10" t="str">
        <f>IF(getCategoryLevelAsString($B142)="L0D_324785","",IF(M142="",CONCATENATE(";",EscStr(CONCATENATE("NavNode_",getCategoryLevelAsString($B142))),";",EscStr($J142),";"),CONCATENATE(";",EscStr(CONCATENATE("NavNode_",getCategoryLevelAsString($B142))),";",EscStr(M142),";")))</f>
        <v>;"NavNode_L3D_525538";"Ringkjernetransformatorer";</v>
      </c>
      <c r="AG142" s="10" t="str">
        <f>IF(getCategoryLevelAsString($B142)="L0D_324785","",IF(N142="",CONCATENATE(";",EscStr(CONCATENATE("NavNode_",getCategoryLevelAsString($B142))),";",EscStr($J142),";"),CONCATENATE(";",EscStr(CONCATENATE("NavNode_",getCategoryLevelAsString($B142))),";",EscStr(N142),";")))</f>
        <v>;"NavNode_L3D_525538";"Toroidkärntransformatorer";</v>
      </c>
      <c r="AH142" s="10" t="str">
        <f>IF(getCategoryLevelAsString($B142)="L0D_324785","",IF(O142="",CONCATENATE(";",EscStr(CONCATENATE("NavNode_",getCategoryLevelAsString($B142))),";",EscStr($J142),";"),CONCATENATE(";",EscStr(CONCATENATE("NavNode_",getCategoryLevelAsString($B142))),";",EscStr(O142),";")))</f>
        <v>;"NavNode_L3D_525538";"Toroidtrafod";</v>
      </c>
      <c r="AI142" s="10" t="str">
        <f>IF(getCategoryLevelAsString($B142)="L0D_324785","",IF(P142="",CONCATENATE(";",EscStr(CONCATENATE("NavNode_",getCategoryLevelAsString($B142))),";",EscStr($J142),";"),CONCATENATE(";",EscStr(CONCATENATE("NavNode_",getCategoryLevelAsString($B142))),";",EscStr(P142),";")))</f>
        <v>;"NavNode_L3D_525538";"Rengassydänmuuntajat";</v>
      </c>
      <c r="AJ142" s="10" t="str">
        <f>IF(getCategoryLevelAsString($B142)="L0D_324785","",IF(Q142="",CONCATENATE(";",EscStr(CONCATENATE("NavNode_",getCategoryLevelAsString($B142))),";",EscStr($J142),";"),CONCATENATE(";",EscStr(CONCATENATE("NavNode_",getCategoryLevelAsString($B142))),";",EscStr(Q142),";")))</f>
        <v>;"NavNode_L3D_525538";"Toroidālie transformatori";</v>
      </c>
      <c r="AK142" s="10" t="str">
        <f>IF(getCategoryLevelAsString($B142)="L0D_324785","",IF(R142="",CONCATENATE(";",EscStr(CONCATENATE("NavNode_",getCategoryLevelAsString($B142))),";",EscStr($J142),";"),CONCATENATE(";",EscStr(CONCATENATE("NavNode_",getCategoryLevelAsString($B142))),";",EscStr(R142),";")))</f>
        <v>;"NavNode_L3D_525538";"Ringkerntransformatoren";</v>
      </c>
      <c r="AL142" s="10" t="str">
        <f>IF(getCategoryLevelAsString($B142)="L0D_324785","",IF(S142="",CONCATENATE(";",EscStr(CONCATENATE("NavNode_",getCategoryLevelAsString($B142))),";",EscStr($J142),";"),CONCATENATE(";",EscStr(CONCATENATE("NavNode_",getCategoryLevelAsString($B142))),";",EscStr(S142),";")))</f>
        <v>;"NavNode_L3D_525538";"Transformatory toroidalne";</v>
      </c>
      <c r="AM142" s="10" t="str">
        <f>IF(getCategoryLevelAsString($B142)="L0D_324785","",IF(T142="",CONCATENATE(";",EscStr(CONCATENATE("NavNode_",getCategoryLevelAsString($B142))),";",EscStr($J142),";"),CONCATENATE(";",EscStr(CONCATENATE("NavNode_",getCategoryLevelAsString($B142))),";",EscStr(T142),";")))</f>
        <v>;"NavNode_L3D_525538";"Тороидальный трансформаторы";</v>
      </c>
      <c r="AN142" s="10" t="str">
        <f>IF(getCategoryLevelAsString($B142)="L0D_324785","",IF(U142="",CONCATENATE(";",EscStr(CONCATENATE("NavNode_",getCategoryLevelAsString($B142))),";",EscStr($J142),";"),CONCATENATE(";",EscStr(CONCATENATE("NavNode_",getCategoryLevelAsString($B142))),";",EscStr(U142),";")))</f>
        <v>;"NavNode_L3D_525538";"Toroidní transformátory";</v>
      </c>
      <c r="AO142" s="10" t="str">
        <f>IF(getCategoryLevelAsString($B142)="L0D_324785","",IF(V142="",CONCATENATE(";",EscStr(CONCATENATE("NavNode_",getCategoryLevelAsString($B142))),";",EscStr($J142),";"),CONCATENATE(";",EscStr(CONCATENATE("NavNode_",getCategoryLevelAsString($B142))),";",EscStr(V142),";")))</f>
        <v>;"NavNode_L3D_525538";"Transformatoare toroidale bobinate pe bază de ferită";</v>
      </c>
      <c r="AP142" s="10" t="str">
        <f>IF(getCategoryLevelAsString($B142)="L0D_324785","",IF(W142="",CONCATENATE(";",EscStr(CONCATENATE("NavNode_",getCategoryLevelAsString($B142))),";",EscStr($J142),";"),CONCATENATE(";",EscStr(CONCATENATE("NavNode_",getCategoryLevelAsString($B142))),";",EscStr(W142),";")))</f>
        <v>;"NavNode_L3D_525538";"Gyűrűs vasmagos transzformátorok";</v>
      </c>
      <c r="AQ142" s="10" t="str">
        <f>IF(getCategoryLevelAsString($B142)="L0D_324785","",IF(X142="",CONCATENATE(";",EscStr(CONCATENATE("NavNode_",getCategoryLevelAsString($B142))),";",EscStr($J142),";"),CONCATENATE(";",EscStr(CONCATENATE("NavNode_",getCategoryLevelAsString($B142))),";",EscStr(X142),";")))</f>
        <v>;"NavNode_L3D_525538";"Toroidní transformátory";</v>
      </c>
      <c r="AR142" s="8" t="str">
        <f>IF(OR($A142&lt;&gt;"", $G142=""),"",CONCATENATE(";",EscStr(CONCATENATE("NavEntry_",getCategoryLevelAsString($B142))),";",EscStr(CONCATENATE($J142," Navigation Entry")),";",EscStr(CONCATENATE("cat-",getCategoryLevelAsString($B142))),";",EscStr(CONCATENATE("NavNode_",getCategoryLevelAsString($B142))),";"))</f>
        <v>;"NavEntry_L3D_525538";"Toroidal core transformers Navigation Entry";"cat-L3D_525538";"NavNode_L3D_525538";</v>
      </c>
    </row>
    <row r="143" spans="1:44" ht="15" x14ac:dyDescent="0.25">
      <c r="A143" s="25"/>
      <c r="B143" s="5"/>
      <c r="C143" s="5"/>
      <c r="D143" s="5" t="s">
        <v>231</v>
      </c>
      <c r="E143" s="5"/>
      <c r="F143" s="5"/>
      <c r="G143" s="5" t="s">
        <v>524</v>
      </c>
      <c r="H143" s="5" t="s">
        <v>525</v>
      </c>
      <c r="I143" s="5" t="s">
        <v>526</v>
      </c>
      <c r="J143" s="5" t="s">
        <v>232</v>
      </c>
      <c r="K143" s="5" t="s">
        <v>1344</v>
      </c>
      <c r="L143" s="5" t="s">
        <v>1579</v>
      </c>
      <c r="M143" s="5" t="s">
        <v>1792</v>
      </c>
      <c r="N143" s="5" t="s">
        <v>2000</v>
      </c>
      <c r="O143" s="5" t="s">
        <v>3848</v>
      </c>
      <c r="P143" s="5" t="s">
        <v>3151</v>
      </c>
      <c r="Q143" s="5" t="s">
        <v>3849</v>
      </c>
      <c r="R143" s="5" t="s">
        <v>3850</v>
      </c>
      <c r="S143" s="5" t="s">
        <v>3851</v>
      </c>
      <c r="T143" s="5" t="s">
        <v>3852</v>
      </c>
      <c r="U143" s="5" t="s">
        <v>3853</v>
      </c>
      <c r="V143" s="5" t="s">
        <v>3854</v>
      </c>
      <c r="W143" s="5" t="s">
        <v>3855</v>
      </c>
      <c r="X143" s="5" t="s">
        <v>3853</v>
      </c>
      <c r="Y143" s="10" t="str">
        <f>IF(OR($A143&lt;&gt;"", $G143=""),"",CONCATENATE(";",EscStr(CONCATENATE("NavNode_",getCategoryLevelAsString($B143))),";",EscStr($J143),";",IF($B143&lt;&gt;"","""MainNavNode""",EscStr(CONCATENATE("NavNode_",getSuperCategory($B143, getCategoryLevelAsNumber($B143))))),";"))</f>
        <v>;"NavNode_L3D_525539";"Safety Transformers";"NavNode_L2D_379647";</v>
      </c>
      <c r="Z143" s="10" t="str">
        <f>IF(getCategoryLevelAsString($B143)="L0D_324785","",IF(G143="",CONCATENATE(";",EscStr(CONCATENATE("NavNode_",getCategoryLevelAsString($B143))),";",EscStr($J143),";"),CONCATENATE(";",EscStr(CONCATENATE("NavNode_",getCategoryLevelAsString($B143))),";",EscStr(G143),";")))</f>
        <v>;"NavNode_L3D_525539";"Sicherheitstransformatoren";</v>
      </c>
      <c r="AA143" s="10" t="str">
        <f>IF(getCategoryLevelAsString($B143)="L0D_324785","",IF(H143="",CONCATENATE(";",EscStr(CONCATENATE("NavNode_",getCategoryLevelAsString($B143))),";",EscStr($J143),";"),CONCATENATE(";",EscStr(CONCATENATE("NavNode_",getCategoryLevelAsString($B143))),";",EscStr(H143),";")))</f>
        <v>;"NavNode_L3D_525539";"Transformateurs de sécurité";</v>
      </c>
      <c r="AB143" s="10" t="str">
        <f>IF(getCategoryLevelAsString($B143)="L0D_324785","",IF(I143="",CONCATENATE(";",EscStr(CONCATENATE("NavNode_",getCategoryLevelAsString($B143))),";",EscStr($J143),";"),CONCATENATE(";",EscStr(CONCATENATE("NavNode_",getCategoryLevelAsString($B143))),";",EscStr(I143),";")))</f>
        <v>;"NavNode_L3D_525539";"Trasformatori di sicurezza";</v>
      </c>
      <c r="AC143" s="10" t="str">
        <f>IF(getCategoryLevelAsString($B143)="L0D_324785","",IF(J143="",CONCATENATE(";",EscStr(CONCATENATE("NavNode_",getCategoryLevelAsString($B143))),";",EscStr($J143),";"),CONCATENATE(";",EscStr(CONCATENATE("NavNode_",getCategoryLevelAsString($B143))),";",EscStr(J143),";")))</f>
        <v>;"NavNode_L3D_525539";"Safety Transformers";</v>
      </c>
      <c r="AD143" s="10" t="str">
        <f>IF(getCategoryLevelAsString($B143)="L0D_324785","",IF(K143="",CONCATENATE(";",EscStr(CONCATENATE("NavNode_",getCategoryLevelAsString($B143))),";",EscStr($J143),";"),CONCATENATE(";",EscStr(CONCATENATE("NavNode_",getCategoryLevelAsString($B143))),";",EscStr(K143),";")))</f>
        <v>;"NavNode_L3D_525539";"Sikkerhedstransformere";</v>
      </c>
      <c r="AE143" s="10" t="str">
        <f>IF(getCategoryLevelAsString($B143)="L0D_324785","",IF(L143="",CONCATENATE(";",EscStr(CONCATENATE("NavNode_",getCategoryLevelAsString($B143))),";",EscStr($J143),";"),CONCATENATE(";",EscStr(CONCATENATE("NavNode_",getCategoryLevelAsString($B143))),";",EscStr(L143),";")))</f>
        <v>;"NavNode_L3D_525539";"Apsauginiai transformatoriai";</v>
      </c>
      <c r="AF143" s="10" t="str">
        <f>IF(getCategoryLevelAsString($B143)="L0D_324785","",IF(M143="",CONCATENATE(";",EscStr(CONCATENATE("NavNode_",getCategoryLevelAsString($B143))),";",EscStr($J143),";"),CONCATENATE(";",EscStr(CONCATENATE("NavNode_",getCategoryLevelAsString($B143))),";",EscStr(M143),";")))</f>
        <v>;"NavNode_L3D_525539";"Sikkerhetstransformatorer";</v>
      </c>
      <c r="AG143" s="10" t="str">
        <f>IF(getCategoryLevelAsString($B143)="L0D_324785","",IF(N143="",CONCATENATE(";",EscStr(CONCATENATE("NavNode_",getCategoryLevelAsString($B143))),";",EscStr($J143),";"),CONCATENATE(";",EscStr(CONCATENATE("NavNode_",getCategoryLevelAsString($B143))),";",EscStr(N143),";")))</f>
        <v>;"NavNode_L3D_525539";"Skyddstransformatorer";</v>
      </c>
      <c r="AH143" s="10" t="str">
        <f>IF(getCategoryLevelAsString($B143)="L0D_324785","",IF(O143="",CONCATENATE(";",EscStr(CONCATENATE("NavNode_",getCategoryLevelAsString($B143))),";",EscStr($J143),";"),CONCATENATE(";",EscStr(CONCATENATE("NavNode_",getCategoryLevelAsString($B143))),";",EscStr(O143),";")))</f>
        <v>;"NavNode_L3D_525539";"Ohutustrafod";</v>
      </c>
      <c r="AI143" s="10" t="str">
        <f>IF(getCategoryLevelAsString($B143)="L0D_324785","",IF(P143="",CONCATENATE(";",EscStr(CONCATENATE("NavNode_",getCategoryLevelAsString($B143))),";",EscStr($J143),";"),CONCATENATE(";",EscStr(CONCATENATE("NavNode_",getCategoryLevelAsString($B143))),";",EscStr(P143),";")))</f>
        <v>;"NavNode_L3D_525539";"Suojamuuntajat";</v>
      </c>
      <c r="AJ143" s="10" t="str">
        <f>IF(getCategoryLevelAsString($B143)="L0D_324785","",IF(Q143="",CONCATENATE(";",EscStr(CONCATENATE("NavNode_",getCategoryLevelAsString($B143))),";",EscStr($J143),";"),CONCATENATE(";",EscStr(CONCATENATE("NavNode_",getCategoryLevelAsString($B143))),";",EscStr(Q143),";")))</f>
        <v>;"NavNode_L3D_525539";"Drošības transformatori";</v>
      </c>
      <c r="AK143" s="10" t="str">
        <f>IF(getCategoryLevelAsString($B143)="L0D_324785","",IF(R143="",CONCATENATE(";",EscStr(CONCATENATE("NavNode_",getCategoryLevelAsString($B143))),";",EscStr($J143),";"),CONCATENATE(";",EscStr(CONCATENATE("NavNode_",getCategoryLevelAsString($B143))),";",EscStr(R143),";")))</f>
        <v>;"NavNode_L3D_525539";"Veiligheidstransformatoren";</v>
      </c>
      <c r="AL143" s="10" t="str">
        <f>IF(getCategoryLevelAsString($B143)="L0D_324785","",IF(S143="",CONCATENATE(";",EscStr(CONCATENATE("NavNode_",getCategoryLevelAsString($B143))),";",EscStr($J143),";"),CONCATENATE(";",EscStr(CONCATENATE("NavNode_",getCategoryLevelAsString($B143))),";",EscStr(S143),";")))</f>
        <v>;"NavNode_L3D_525539";"Transformatory bezpieczeństwa";</v>
      </c>
      <c r="AM143" s="10" t="str">
        <f>IF(getCategoryLevelAsString($B143)="L0D_324785","",IF(T143="",CONCATENATE(";",EscStr(CONCATENATE("NavNode_",getCategoryLevelAsString($B143))),";",EscStr($J143),";"),CONCATENATE(";",EscStr(CONCATENATE("NavNode_",getCategoryLevelAsString($B143))),";",EscStr(T143),";")))</f>
        <v>;"NavNode_L3D_525539";"Защитные Трансформаторы";</v>
      </c>
      <c r="AN143" s="10" t="str">
        <f>IF(getCategoryLevelAsString($B143)="L0D_324785","",IF(U143="",CONCATENATE(";",EscStr(CONCATENATE("NavNode_",getCategoryLevelAsString($B143))),";",EscStr($J143),";"),CONCATENATE(";",EscStr(CONCATENATE("NavNode_",getCategoryLevelAsString($B143))),";",EscStr(U143),";")))</f>
        <v>;"NavNode_L3D_525539";"Bezpečnostní transformátory";</v>
      </c>
      <c r="AO143" s="10" t="str">
        <f>IF(getCategoryLevelAsString($B143)="L0D_324785","",IF(V143="",CONCATENATE(";",EscStr(CONCATENATE("NavNode_",getCategoryLevelAsString($B143))),";",EscStr($J143),";"),CONCATENATE(";",EscStr(CONCATENATE("NavNode_",getCategoryLevelAsString($B143))),";",EscStr(V143),";")))</f>
        <v>;"NavNode_L3D_525539";"Transformatoare de siguranţă";</v>
      </c>
      <c r="AP143" s="10" t="str">
        <f>IF(getCategoryLevelAsString($B143)="L0D_324785","",IF(W143="",CONCATENATE(";",EscStr(CONCATENATE("NavNode_",getCategoryLevelAsString($B143))),";",EscStr($J143),";"),CONCATENATE(";",EscStr(CONCATENATE("NavNode_",getCategoryLevelAsString($B143))),";",EscStr(W143),";")))</f>
        <v>;"NavNode_L3D_525539";"Biztonsági transzformátorok";</v>
      </c>
      <c r="AQ143" s="10" t="str">
        <f>IF(getCategoryLevelAsString($B143)="L0D_324785","",IF(X143="",CONCATENATE(";",EscStr(CONCATENATE("NavNode_",getCategoryLevelAsString($B143))),";",EscStr($J143),";"),CONCATENATE(";",EscStr(CONCATENATE("NavNode_",getCategoryLevelAsString($B143))),";",EscStr(X143),";")))</f>
        <v>;"NavNode_L3D_525539";"Bezpečnostní transformátory";</v>
      </c>
      <c r="AR143" s="8" t="str">
        <f>IF(OR($A143&lt;&gt;"", $G143=""),"",CONCATENATE(";",EscStr(CONCATENATE("NavEntry_",getCategoryLevelAsString($B143))),";",EscStr(CONCATENATE($J143," Navigation Entry")),";",EscStr(CONCATENATE("cat-",getCategoryLevelAsString($B143))),";",EscStr(CONCATENATE("NavNode_",getCategoryLevelAsString($B143))),";"))</f>
        <v>;"NavEntry_L3D_525539";"Safety Transformers Navigation Entry";"cat-L3D_525539";"NavNode_L3D_525539";</v>
      </c>
    </row>
    <row r="144" spans="1:44" ht="15" x14ac:dyDescent="0.25">
      <c r="A144" s="25"/>
      <c r="B144" s="5"/>
      <c r="C144" s="5"/>
      <c r="D144" s="5" t="s">
        <v>225</v>
      </c>
      <c r="E144" s="5"/>
      <c r="F144" s="5"/>
      <c r="G144" s="5" t="s">
        <v>515</v>
      </c>
      <c r="H144" s="5" t="s">
        <v>516</v>
      </c>
      <c r="I144" s="5" t="s">
        <v>517</v>
      </c>
      <c r="J144" s="5" t="s">
        <v>226</v>
      </c>
      <c r="K144" s="5" t="s">
        <v>1345</v>
      </c>
      <c r="L144" s="5" t="s">
        <v>1580</v>
      </c>
      <c r="M144" s="5" t="s">
        <v>1793</v>
      </c>
      <c r="N144" s="5" t="s">
        <v>2001</v>
      </c>
      <c r="O144" s="5" t="s">
        <v>3856</v>
      </c>
      <c r="P144" s="5" t="s">
        <v>3857</v>
      </c>
      <c r="Q144" s="5" t="s">
        <v>3858</v>
      </c>
      <c r="R144" s="5" t="s">
        <v>3859</v>
      </c>
      <c r="S144" s="5" t="s">
        <v>3860</v>
      </c>
      <c r="T144" s="5" t="s">
        <v>3155</v>
      </c>
      <c r="U144" s="5" t="s">
        <v>3861</v>
      </c>
      <c r="V144" s="5" t="s">
        <v>3862</v>
      </c>
      <c r="W144" s="5" t="s">
        <v>3863</v>
      </c>
      <c r="X144" s="5" t="s">
        <v>3861</v>
      </c>
      <c r="Y144" s="10" t="str">
        <f>IF(OR($A144&lt;&gt;"", $G144=""),"",CONCATENATE(";",EscStr(CONCATENATE("NavNode_",getCategoryLevelAsString($B144))),";",EscStr($J144),";",IF($B144&lt;&gt;"","""MainNavNode""",EscStr(CONCATENATE("NavNode_",getSuperCategory($B144, getCategoryLevelAsNumber($B144))))),";"))</f>
        <v>;"NavNode_L3D_525540";"Autotransformers / Isolating Transformers";"NavNode_L2D_379647";</v>
      </c>
      <c r="Z144" s="10" t="str">
        <f>IF(getCategoryLevelAsString($B144)="L0D_324785","",IF(G144="",CONCATENATE(";",EscStr(CONCATENATE("NavNode_",getCategoryLevelAsString($B144))),";",EscStr($J144),";"),CONCATENATE(";",EscStr(CONCATENATE("NavNode_",getCategoryLevelAsString($B144))),";",EscStr(G144),";")))</f>
        <v>;"NavNode_L3D_525540";"Vorschalttransformatoren / Anpassungstransformatoren";</v>
      </c>
      <c r="AA144" s="10" t="str">
        <f>IF(getCategoryLevelAsString($B144)="L0D_324785","",IF(H144="",CONCATENATE(";",EscStr(CONCATENATE("NavNode_",getCategoryLevelAsString($B144))),";",EscStr($J144),";"),CONCATENATE(";",EscStr(CONCATENATE("NavNode_",getCategoryLevelAsString($B144))),";",EscStr(H144),";")))</f>
        <v>;"NavNode_L3D_525540";"Autotransformateurs / Transformateurs de séparation";</v>
      </c>
      <c r="AB144" s="10" t="str">
        <f>IF(getCategoryLevelAsString($B144)="L0D_324785","",IF(I144="",CONCATENATE(";",EscStr(CONCATENATE("NavNode_",getCategoryLevelAsString($B144))),";",EscStr($J144),";"),CONCATENATE(";",EscStr(CONCATENATE("NavNode_",getCategoryLevelAsString($B144))),";",EscStr(I144),";")))</f>
        <v>;"NavNode_L3D_525540";"Autotrasformatori / Trasformatori di separazione";</v>
      </c>
      <c r="AC144" s="10" t="str">
        <f>IF(getCategoryLevelAsString($B144)="L0D_324785","",IF(J144="",CONCATENATE(";",EscStr(CONCATENATE("NavNode_",getCategoryLevelAsString($B144))),";",EscStr($J144),";"),CONCATENATE(";",EscStr(CONCATENATE("NavNode_",getCategoryLevelAsString($B144))),";",EscStr(J144),";")))</f>
        <v>;"NavNode_L3D_525540";"Autotransformers / Isolating Transformers";</v>
      </c>
      <c r="AD144" s="10" t="str">
        <f>IF(getCategoryLevelAsString($B144)="L0D_324785","",IF(K144="",CONCATENATE(";",EscStr(CONCATENATE("NavNode_",getCategoryLevelAsString($B144))),";",EscStr($J144),";"),CONCATENATE(";",EscStr(CONCATENATE("NavNode_",getCategoryLevelAsString($B144))),";",EscStr(K144),";")))</f>
        <v>;"NavNode_L3D_525540";"Autotransformere/isoleringstransformere";</v>
      </c>
      <c r="AE144" s="10" t="str">
        <f>IF(getCategoryLevelAsString($B144)="L0D_324785","",IF(L144="",CONCATENATE(";",EscStr(CONCATENATE("NavNode_",getCategoryLevelAsString($B144))),";",EscStr($J144),";"),CONCATENATE(";",EscStr(CONCATENATE("NavNode_",getCategoryLevelAsString($B144))),";",EscStr(L144),";")))</f>
        <v>;"NavNode_L3D_525540";"Autotransformatoriai / izoliuojantieji transformatoriai";</v>
      </c>
      <c r="AF144" s="10" t="str">
        <f>IF(getCategoryLevelAsString($B144)="L0D_324785","",IF(M144="",CONCATENATE(";",EscStr(CONCATENATE("NavNode_",getCategoryLevelAsString($B144))),";",EscStr($J144),";"),CONCATENATE(";",EscStr(CONCATENATE("NavNode_",getCategoryLevelAsString($B144))),";",EscStr(M144),";")))</f>
        <v>;"NavNode_L3D_525540";"Autotransformatorer/isolasjonstransformatorer";</v>
      </c>
      <c r="AG144" s="10" t="str">
        <f>IF(getCategoryLevelAsString($B144)="L0D_324785","",IF(N144="",CONCATENATE(";",EscStr(CONCATENATE("NavNode_",getCategoryLevelAsString($B144))),";",EscStr($J144),";"),CONCATENATE(";",EscStr(CONCATENATE("NavNode_",getCategoryLevelAsString($B144))),";",EscStr(N144),";")))</f>
        <v>;"NavNode_L3D_525540";"Autotransformatorer/Isolerande transformatorer";</v>
      </c>
      <c r="AH144" s="10" t="str">
        <f>IF(getCategoryLevelAsString($B144)="L0D_324785","",IF(O144="",CONCATENATE(";",EscStr(CONCATENATE("NavNode_",getCategoryLevelAsString($B144))),";",EscStr($J144),";"),CONCATENATE(";",EscStr(CONCATENATE("NavNode_",getCategoryLevelAsString($B144))),";",EscStr(O144),";")))</f>
        <v>;"NavNode_L3D_525540";"Autotrafod / Eraldustrafod";</v>
      </c>
      <c r="AI144" s="10" t="str">
        <f>IF(getCategoryLevelAsString($B144)="L0D_324785","",IF(P144="",CONCATENATE(";",EscStr(CONCATENATE("NavNode_",getCategoryLevelAsString($B144))),";",EscStr($J144),";"),CONCATENATE(";",EscStr(CONCATENATE("NavNode_",getCategoryLevelAsString($B144))),";",EscStr(P144),";")))</f>
        <v>;"NavNode_L3D_525540";"Eristysmuuntajat";</v>
      </c>
      <c r="AJ144" s="10" t="str">
        <f>IF(getCategoryLevelAsString($B144)="L0D_324785","",IF(Q144="",CONCATENATE(";",EscStr(CONCATENATE("NavNode_",getCategoryLevelAsString($B144))),";",EscStr($J144),";"),CONCATENATE(";",EscStr(CONCATENATE("NavNode_",getCategoryLevelAsString($B144))),";",EscStr(Q144),";")))</f>
        <v>;"NavNode_L3D_525540";"Autotransformatori / atdalošie transformatori";</v>
      </c>
      <c r="AK144" s="10" t="str">
        <f>IF(getCategoryLevelAsString($B144)="L0D_324785","",IF(R144="",CONCATENATE(";",EscStr(CONCATENATE("NavNode_",getCategoryLevelAsString($B144))),";",EscStr($J144),";"),CONCATENATE(";",EscStr(CONCATENATE("NavNode_",getCategoryLevelAsString($B144))),";",EscStr(R144),";")))</f>
        <v>;"NavNode_L3D_525540";"Autotransformatoren / Isolatietransformatoren";</v>
      </c>
      <c r="AL144" s="10" t="str">
        <f>IF(getCategoryLevelAsString($B144)="L0D_324785","",IF(S144="",CONCATENATE(";",EscStr(CONCATENATE("NavNode_",getCategoryLevelAsString($B144))),";",EscStr($J144),";"),CONCATENATE(";",EscStr(CONCATENATE("NavNode_",getCategoryLevelAsString($B144))),";",EscStr(S144),";")))</f>
        <v>;"NavNode_L3D_525540";"Autotransformatory / Transformatory separujące";</v>
      </c>
      <c r="AM144" s="10" t="str">
        <f>IF(getCategoryLevelAsString($B144)="L0D_324785","",IF(T144="",CONCATENATE(";",EscStr(CONCATENATE("NavNode_",getCategoryLevelAsString($B144))),";",EscStr($J144),";"),CONCATENATE(";",EscStr(CONCATENATE("NavNode_",getCategoryLevelAsString($B144))),";",EscStr(T144),";")))</f>
        <v>;"NavNode_L3D_525540";"Автотрансформаторы / Разделительные трансформаторы";</v>
      </c>
      <c r="AN144" s="10" t="str">
        <f>IF(getCategoryLevelAsString($B144)="L0D_324785","",IF(U144="",CONCATENATE(";",EscStr(CONCATENATE("NavNode_",getCategoryLevelAsString($B144))),";",EscStr($J144),";"),CONCATENATE(";",EscStr(CONCATENATE("NavNode_",getCategoryLevelAsString($B144))),";",EscStr(U144),";")))</f>
        <v>;"NavNode_L3D_525540";"Autotransformatory";</v>
      </c>
      <c r="AO144" s="10" t="str">
        <f>IF(getCategoryLevelAsString($B144)="L0D_324785","",IF(V144="",CONCATENATE(";",EscStr(CONCATENATE("NavNode_",getCategoryLevelAsString($B144))),";",EscStr($J144),";"),CONCATENATE(";",EscStr(CONCATENATE("NavNode_",getCategoryLevelAsString($B144))),";",EscStr(V144),";")))</f>
        <v>;"NavNode_L3D_525540";"Transformatoare de intrare / transformatoare adaptabile";</v>
      </c>
      <c r="AP144" s="10" t="str">
        <f>IF(getCategoryLevelAsString($B144)="L0D_324785","",IF(W144="",CONCATENATE(";",EscStr(CONCATENATE("NavNode_",getCategoryLevelAsString($B144))),";",EscStr($J144),";"),CONCATENATE(";",EscStr(CONCATENATE("NavNode_",getCategoryLevelAsString($B144))),";",EscStr(W144),";")))</f>
        <v>;"NavNode_L3D_525540";"Előtét transzformátorok / Illesztő transzformátorok";</v>
      </c>
      <c r="AQ144" s="10" t="str">
        <f>IF(getCategoryLevelAsString($B144)="L0D_324785","",IF(X144="",CONCATENATE(";",EscStr(CONCATENATE("NavNode_",getCategoryLevelAsString($B144))),";",EscStr($J144),";"),CONCATENATE(";",EscStr(CONCATENATE("NavNode_",getCategoryLevelAsString($B144))),";",EscStr(X144),";")))</f>
        <v>;"NavNode_L3D_525540";"Autotransformatory";</v>
      </c>
      <c r="AR144" s="8" t="str">
        <f>IF(OR($A144&lt;&gt;"", $G144=""),"",CONCATENATE(";",EscStr(CONCATENATE("NavEntry_",getCategoryLevelAsString($B144))),";",EscStr(CONCATENATE($J144," Navigation Entry")),";",EscStr(CONCATENATE("cat-",getCategoryLevelAsString($B144))),";",EscStr(CONCATENATE("NavNode_",getCategoryLevelAsString($B144))),";"))</f>
        <v>;"NavEntry_L3D_525540";"Autotransformers / Isolating Transformers Navigation Entry";"cat-L3D_525540";"NavNode_L3D_525540";</v>
      </c>
    </row>
    <row r="145" spans="1:44" ht="15" x14ac:dyDescent="0.25">
      <c r="A145" s="25"/>
      <c r="B145" s="5"/>
      <c r="C145" s="5"/>
      <c r="D145" s="5" t="s">
        <v>235</v>
      </c>
      <c r="E145" s="5"/>
      <c r="F145" s="5"/>
      <c r="G145" s="5" t="s">
        <v>530</v>
      </c>
      <c r="H145" s="5" t="s">
        <v>481</v>
      </c>
      <c r="I145" s="5" t="s">
        <v>531</v>
      </c>
      <c r="J145" s="5" t="s">
        <v>236</v>
      </c>
      <c r="K145" s="5" t="s">
        <v>1346</v>
      </c>
      <c r="L145" s="5" t="s">
        <v>1581</v>
      </c>
      <c r="M145" s="5" t="s">
        <v>1794</v>
      </c>
      <c r="N145" s="5" t="s">
        <v>2002</v>
      </c>
      <c r="O145" s="5" t="s">
        <v>3864</v>
      </c>
      <c r="P145" s="5" t="s">
        <v>3865</v>
      </c>
      <c r="Q145" s="5" t="s">
        <v>3866</v>
      </c>
      <c r="R145" s="5" t="s">
        <v>530</v>
      </c>
      <c r="S145" s="5" t="s">
        <v>3867</v>
      </c>
      <c r="T145" s="5" t="s">
        <v>3868</v>
      </c>
      <c r="U145" s="5" t="s">
        <v>3869</v>
      </c>
      <c r="V145" s="5" t="s">
        <v>3870</v>
      </c>
      <c r="W145" s="5" t="s">
        <v>3871</v>
      </c>
      <c r="X145" s="5" t="s">
        <v>3869</v>
      </c>
      <c r="Y145" s="10" t="str">
        <f>IF(OR($A145&lt;&gt;"", $G145=""),"",CONCATENATE(";",EscStr(CONCATENATE("NavNode_",getCategoryLevelAsString($B145))),";",EscStr($J145),";",IF($B145&lt;&gt;"","""MainNavNode""",EscStr(CONCATENATE("NavNode_",getSuperCategory($B145, getCategoryLevelAsNumber($B145))))),";"))</f>
        <v>;"NavNode_L2D_379649";"Variable Transformers";"NavNode_Power Supplies / Batteries / Transformers";</v>
      </c>
      <c r="Z145" s="10" t="str">
        <f>IF(getCategoryLevelAsString($B145)="L0D_324785","",IF(G145="",CONCATENATE(";",EscStr(CONCATENATE("NavNode_",getCategoryLevelAsString($B145))),";",EscStr($J145),";"),CONCATENATE(";",EscStr(CONCATENATE("NavNode_",getCategoryLevelAsString($B145))),";",EscStr(G145),";")))</f>
        <v>;"NavNode_L2D_379649";"Regeltransformatoren";</v>
      </c>
      <c r="AA145" s="10" t="str">
        <f>IF(getCategoryLevelAsString($B145)="L0D_324785","",IF(H145="",CONCATENATE(";",EscStr(CONCATENATE("NavNode_",getCategoryLevelAsString($B145))),";",EscStr($J145),";"),CONCATENATE(";",EscStr(CONCATENATE("NavNode_",getCategoryLevelAsString($B145))),";",EscStr(H145),";")))</f>
        <v>;"NavNode_L2D_379649";"Transformateurs de réglage";</v>
      </c>
      <c r="AB145" s="10" t="str">
        <f>IF(getCategoryLevelAsString($B145)="L0D_324785","",IF(I145="",CONCATENATE(";",EscStr(CONCATENATE("NavNode_",getCategoryLevelAsString($B145))),";",EscStr($J145),";"),CONCATENATE(";",EscStr(CONCATENATE("NavNode_",getCategoryLevelAsString($B145))),";",EscStr(I145),";")))</f>
        <v>;"NavNode_L2D_379649";"Trasformatori variabili";</v>
      </c>
      <c r="AC145" s="10" t="str">
        <f>IF(getCategoryLevelAsString($B145)="L0D_324785","",IF(J145="",CONCATENATE(";",EscStr(CONCATENATE("NavNode_",getCategoryLevelAsString($B145))),";",EscStr($J145),";"),CONCATENATE(";",EscStr(CONCATENATE("NavNode_",getCategoryLevelAsString($B145))),";",EscStr(J145),";")))</f>
        <v>;"NavNode_L2D_379649";"Variable Transformers";</v>
      </c>
      <c r="AD145" s="10" t="str">
        <f>IF(getCategoryLevelAsString($B145)="L0D_324785","",IF(K145="",CONCATENATE(";",EscStr(CONCATENATE("NavNode_",getCategoryLevelAsString($B145))),";",EscStr($J145),";"),CONCATENATE(";",EscStr(CONCATENATE("NavNode_",getCategoryLevelAsString($B145))),";",EscStr(K145),";")))</f>
        <v>;"NavNode_L2D_379649";"Variable transformere";</v>
      </c>
      <c r="AE145" s="10" t="str">
        <f>IF(getCategoryLevelAsString($B145)="L0D_324785","",IF(L145="",CONCATENATE(";",EscStr(CONCATENATE("NavNode_",getCategoryLevelAsString($B145))),";",EscStr($J145),";"),CONCATENATE(";",EscStr(CONCATENATE("NavNode_",getCategoryLevelAsString($B145))),";",EscStr(L145),";")))</f>
        <v>;"NavNode_L2D_379649";"Reguliuojamieji transformatoriai";</v>
      </c>
      <c r="AF145" s="10" t="str">
        <f>IF(getCategoryLevelAsString($B145)="L0D_324785","",IF(M145="",CONCATENATE(";",EscStr(CONCATENATE("NavNode_",getCategoryLevelAsString($B145))),";",EscStr($J145),";"),CONCATENATE(";",EscStr(CONCATENATE("NavNode_",getCategoryLevelAsString($B145))),";",EscStr(M145),";")))</f>
        <v>;"NavNode_L2D_379649";"Variable transformatorer";</v>
      </c>
      <c r="AG145" s="10" t="str">
        <f>IF(getCategoryLevelAsString($B145)="L0D_324785","",IF(N145="",CONCATENATE(";",EscStr(CONCATENATE("NavNode_",getCategoryLevelAsString($B145))),";",EscStr($J145),";"),CONCATENATE(";",EscStr(CONCATENATE("NavNode_",getCategoryLevelAsString($B145))),";",EscStr(N145),";")))</f>
        <v>;"NavNode_L2D_379649";"Reglerbara transformatorer";</v>
      </c>
      <c r="AH145" s="10" t="str">
        <f>IF(getCategoryLevelAsString($B145)="L0D_324785","",IF(O145="",CONCATENATE(";",EscStr(CONCATENATE("NavNode_",getCategoryLevelAsString($B145))),";",EscStr($J145),";"),CONCATENATE(";",EscStr(CONCATENATE("NavNode_",getCategoryLevelAsString($B145))),";",EscStr(O145),";")))</f>
        <v>;"NavNode_L2D_379649";"Autotrafod";</v>
      </c>
      <c r="AI145" s="10" t="str">
        <f>IF(getCategoryLevelAsString($B145)="L0D_324785","",IF(P145="",CONCATENATE(";",EscStr(CONCATENATE("NavNode_",getCategoryLevelAsString($B145))),";",EscStr($J145),";"),CONCATENATE(";",EscStr(CONCATENATE("NavNode_",getCategoryLevelAsString($B145))),";",EscStr(P145),";")))</f>
        <v>;"NavNode_L2D_379649";"Säädettävät muuntajat";</v>
      </c>
      <c r="AJ145" s="10" t="str">
        <f>IF(getCategoryLevelAsString($B145)="L0D_324785","",IF(Q145="",CONCATENATE(";",EscStr(CONCATENATE("NavNode_",getCategoryLevelAsString($B145))),";",EscStr($J145),";"),CONCATENATE(";",EscStr(CONCATENATE("NavNode_",getCategoryLevelAsString($B145))),";",EscStr(Q145),";")))</f>
        <v>;"NavNode_L2D_379649";"Regulējami transformatori";</v>
      </c>
      <c r="AK145" s="10" t="str">
        <f>IF(getCategoryLevelAsString($B145)="L0D_324785","",IF(R145="",CONCATENATE(";",EscStr(CONCATENATE("NavNode_",getCategoryLevelAsString($B145))),";",EscStr($J145),";"),CONCATENATE(";",EscStr(CONCATENATE("NavNode_",getCategoryLevelAsString($B145))),";",EscStr(R145),";")))</f>
        <v>;"NavNode_L2D_379649";"Regeltransformatoren";</v>
      </c>
      <c r="AL145" s="10" t="str">
        <f>IF(getCategoryLevelAsString($B145)="L0D_324785","",IF(S145="",CONCATENATE(";",EscStr(CONCATENATE("NavNode_",getCategoryLevelAsString($B145))),";",EscStr($J145),";"),CONCATENATE(";",EscStr(CONCATENATE("NavNode_",getCategoryLevelAsString($B145))),";",EscStr(S145),";")))</f>
        <v>;"NavNode_L2D_379649";"Transformatory regulowane";</v>
      </c>
      <c r="AM145" s="10" t="str">
        <f>IF(getCategoryLevelAsString($B145)="L0D_324785","",IF(T145="",CONCATENATE(";",EscStr(CONCATENATE("NavNode_",getCategoryLevelAsString($B145))),";",EscStr($J145),";"),CONCATENATE(";",EscStr(CONCATENATE("NavNode_",getCategoryLevelAsString($B145))),";",EscStr(T145),";")))</f>
        <v>;"NavNode_L2D_379649";"Поворотные трансформаторы";</v>
      </c>
      <c r="AN145" s="10" t="str">
        <f>IF(getCategoryLevelAsString($B145)="L0D_324785","",IF(U145="",CONCATENATE(";",EscStr(CONCATENATE("NavNode_",getCategoryLevelAsString($B145))),";",EscStr($J145),";"),CONCATENATE(";",EscStr(CONCATENATE("NavNode_",getCategoryLevelAsString($B145))),";",EscStr(U145),";")))</f>
        <v>;"NavNode_L2D_379649";"Regulační transformátory";</v>
      </c>
      <c r="AO145" s="10" t="str">
        <f>IF(getCategoryLevelAsString($B145)="L0D_324785","",IF(V145="",CONCATENATE(";",EscStr(CONCATENATE("NavNode_",getCategoryLevelAsString($B145))),";",EscStr($J145),";"),CONCATENATE(";",EscStr(CONCATENATE("NavNode_",getCategoryLevelAsString($B145))),";",EscStr(V145),";")))</f>
        <v>;"NavNode_L2D_379649";"Transformatoare reglabile";</v>
      </c>
      <c r="AP145" s="10" t="str">
        <f>IF(getCategoryLevelAsString($B145)="L0D_324785","",IF(W145="",CONCATENATE(";",EscStr(CONCATENATE("NavNode_",getCategoryLevelAsString($B145))),";",EscStr($J145),";"),CONCATENATE(";",EscStr(CONCATENATE("NavNode_",getCategoryLevelAsString($B145))),";",EscStr(W145),";")))</f>
        <v>;"NavNode_L2D_379649";"Szabályozó transzformátorok";</v>
      </c>
      <c r="AQ145" s="10" t="str">
        <f>IF(getCategoryLevelAsString($B145)="L0D_324785","",IF(X145="",CONCATENATE(";",EscStr(CONCATENATE("NavNode_",getCategoryLevelAsString($B145))),";",EscStr($J145),";"),CONCATENATE(";",EscStr(CONCATENATE("NavNode_",getCategoryLevelAsString($B145))),";",EscStr(X145),";")))</f>
        <v>;"NavNode_L2D_379649";"Regulační transformátory";</v>
      </c>
      <c r="AR145" s="8" t="str">
        <f>IF(OR($A145&lt;&gt;"", $G145=""),"",CONCATENATE(";",EscStr(CONCATENATE("NavEntry_",getCategoryLevelAsString($B145))),";",EscStr(CONCATENATE($J145," Navigation Entry")),";",EscStr(CONCATENATE("cat-",getCategoryLevelAsString($B145))),";",EscStr(CONCATENATE("NavNode_",getCategoryLevelAsString($B145))),";"))</f>
        <v>;"NavEntry_L2D_379649";"Variable Transformers Navigation Entry";"cat-L2D_379649";"NavNode_L2D_379649";</v>
      </c>
    </row>
    <row r="146" spans="1:44" ht="15" x14ac:dyDescent="0.25">
      <c r="A146" s="25"/>
      <c r="B146" s="5"/>
      <c r="C146" s="5" t="s">
        <v>48</v>
      </c>
      <c r="D146" s="5"/>
      <c r="E146" s="5"/>
      <c r="F146" s="5"/>
      <c r="G146" s="5" t="s">
        <v>455</v>
      </c>
      <c r="H146" s="5" t="s">
        <v>456</v>
      </c>
      <c r="I146" s="5" t="s">
        <v>457</v>
      </c>
      <c r="J146" s="5" t="s">
        <v>458</v>
      </c>
      <c r="K146" s="5" t="s">
        <v>1347</v>
      </c>
      <c r="L146" s="5" t="s">
        <v>4682</v>
      </c>
      <c r="M146" s="5" t="s">
        <v>1795</v>
      </c>
      <c r="N146" s="5" t="s">
        <v>2003</v>
      </c>
      <c r="O146" s="5" t="s">
        <v>3872</v>
      </c>
      <c r="P146" s="5" t="s">
        <v>3873</v>
      </c>
      <c r="Q146" s="5" t="s">
        <v>3874</v>
      </c>
      <c r="R146" s="5" t="s">
        <v>3875</v>
      </c>
      <c r="S146" s="5" t="s">
        <v>3876</v>
      </c>
      <c r="T146" s="5" t="s">
        <v>3877</v>
      </c>
      <c r="U146" s="5" t="s">
        <v>3878</v>
      </c>
      <c r="V146" s="5" t="s">
        <v>3879</v>
      </c>
      <c r="W146" s="5" t="s">
        <v>3880</v>
      </c>
      <c r="X146" s="5" t="s">
        <v>3878</v>
      </c>
      <c r="Y146" s="10" t="str">
        <f>IF(OR($A146&lt;&gt;"", $G146=""),"",CONCATENATE(";",EscStr(CONCATENATE("NavNode_",getCategoryLevelAsString($B146))),";",EscStr($J146),";",IF($B146&lt;&gt;"","""MainNavNode""",EscStr(CONCATENATE("NavNode_",getSuperCategory($B146, getCategoryLevelAsNumber($B146))))),";"))</f>
        <v>;"NavNode_L3D_525543";"Batteries / Chargers / Renewable";"NavNode_L2D_379649";</v>
      </c>
      <c r="Z146" s="10" t="str">
        <f>IF(getCategoryLevelAsString($B146)="L0D_324785","",IF(G146="",CONCATENATE(";",EscStr(CONCATENATE("NavNode_",getCategoryLevelAsString($B146))),";",EscStr($J146),";"),CONCATENATE(";",EscStr(CONCATENATE("NavNode_",getCategoryLevelAsString($B146))),";",EscStr(G146),";")))</f>
        <v>;"NavNode_L3D_525543";"Batterien / Ladegeräte / Regenerativ";</v>
      </c>
      <c r="AA146" s="10" t="str">
        <f>IF(getCategoryLevelAsString($B146)="L0D_324785","",IF(H146="",CONCATENATE(";",EscStr(CONCATENATE("NavNode_",getCategoryLevelAsString($B146))),";",EscStr($J146),";"),CONCATENATE(";",EscStr(CONCATENATE("NavNode_",getCategoryLevelAsString($B146))),";",EscStr(H146),";")))</f>
        <v>;"NavNode_L3D_525543";"Piles / Chargeurs / Consommables";</v>
      </c>
      <c r="AB146" s="10" t="str">
        <f>IF(getCategoryLevelAsString($B146)="L0D_324785","",IF(I146="",CONCATENATE(";",EscStr(CONCATENATE("NavNode_",getCategoryLevelAsString($B146))),";",EscStr($J146),";"),CONCATENATE(";",EscStr(CONCATENATE("NavNode_",getCategoryLevelAsString($B146))),";",EscStr(I146),";")))</f>
        <v>;"NavNode_L3D_525543";"Batterie/Caricatori/Ricaricabili";</v>
      </c>
      <c r="AC146" s="10" t="str">
        <f>IF(getCategoryLevelAsString($B146)="L0D_324785","",IF(J146="",CONCATENATE(";",EscStr(CONCATENATE("NavNode_",getCategoryLevelAsString($B146))),";",EscStr($J146),";"),CONCATENATE(";",EscStr(CONCATENATE("NavNode_",getCategoryLevelAsString($B146))),";",EscStr(J146),";")))</f>
        <v>;"NavNode_L3D_525543";"Batteries / Chargers / Renewable";</v>
      </c>
      <c r="AD146" s="10" t="str">
        <f>IF(getCategoryLevelAsString($B146)="L0D_324785","",IF(K146="",CONCATENATE(";",EscStr(CONCATENATE("NavNode_",getCategoryLevelAsString($B146))),";",EscStr($J146),";"),CONCATENATE(";",EscStr(CONCATENATE("NavNode_",getCategoryLevelAsString($B146))),";",EscStr(K146),";")))</f>
        <v>;"NavNode_L3D_525543";"Batterier/opladere/vedvarende";</v>
      </c>
      <c r="AE146" s="10" t="str">
        <f>IF(getCategoryLevelAsString($B146)="L0D_324785","",IF(L146="",CONCATENATE(";",EscStr(CONCATENATE("NavNode_",getCategoryLevelAsString($B146))),";",EscStr($J146),";"),CONCATENATE(";",EscStr(CONCATENATE("NavNode_",getCategoryLevelAsString($B146))),";",EscStr(L146),";")))</f>
        <v>;"NavNode_L3D_525543";"Baterijos / įkrovikliai / atsinaujinantieji ištekliai";</v>
      </c>
      <c r="AF146" s="10" t="str">
        <f>IF(getCategoryLevelAsString($B146)="L0D_324785","",IF(M146="",CONCATENATE(";",EscStr(CONCATENATE("NavNode_",getCategoryLevelAsString($B146))),";",EscStr($J146),";"),CONCATENATE(";",EscStr(CONCATENATE("NavNode_",getCategoryLevelAsString($B146))),";",EscStr(M146),";")))</f>
        <v>;"NavNode_L3D_525543";"Batterier/ladere/fornybare";</v>
      </c>
      <c r="AG146" s="10" t="str">
        <f>IF(getCategoryLevelAsString($B146)="L0D_324785","",IF(N146="",CONCATENATE(";",EscStr(CONCATENATE("NavNode_",getCategoryLevelAsString($B146))),";",EscStr($J146),";"),CONCATENATE(";",EscStr(CONCATENATE("NavNode_",getCategoryLevelAsString($B146))),";",EscStr(N146),";")))</f>
        <v>;"NavNode_L3D_525543";"Batterier/Laddare/Förnybara";</v>
      </c>
      <c r="AH146" s="10" t="str">
        <f>IF(getCategoryLevelAsString($B146)="L0D_324785","",IF(O146="",CONCATENATE(";",EscStr(CONCATENATE("NavNode_",getCategoryLevelAsString($B146))),";",EscStr($J146),";"),CONCATENATE(";",EscStr(CONCATENATE("NavNode_",getCategoryLevelAsString($B146))),";",EscStr(O146),";")))</f>
        <v>;"NavNode_L3D_525543";"Patareid / Laadijad /";</v>
      </c>
      <c r="AI146" s="10" t="str">
        <f>IF(getCategoryLevelAsString($B146)="L0D_324785","",IF(P146="",CONCATENATE(";",EscStr(CONCATENATE("NavNode_",getCategoryLevelAsString($B146))),";",EscStr($J146),";"),CONCATENATE(";",EscStr(CONCATENATE("NavNode_",getCategoryLevelAsString($B146))),";",EscStr(P146),";")))</f>
        <v>;"NavNode_L3D_525543";"Paristot/Laturit";</v>
      </c>
      <c r="AJ146" s="10" t="str">
        <f>IF(getCategoryLevelAsString($B146)="L0D_324785","",IF(Q146="",CONCATENATE(";",EscStr(CONCATENATE("NavNode_",getCategoryLevelAsString($B146))),";",EscStr($J146),";"),CONCATENATE(";",EscStr(CONCATENATE("NavNode_",getCategoryLevelAsString($B146))),";",EscStr(Q146),";")))</f>
        <v>;"NavNode_L3D_525543";"Baterijas / Lādētāji / Atjaunojamā enerģija";</v>
      </c>
      <c r="AK146" s="10" t="str">
        <f>IF(getCategoryLevelAsString($B146)="L0D_324785","",IF(R146="",CONCATENATE(";",EscStr(CONCATENATE("NavNode_",getCategoryLevelAsString($B146))),";",EscStr($J146),";"),CONCATENATE(";",EscStr(CONCATENATE("NavNode_",getCategoryLevelAsString($B146))),";",EscStr(R146),";")))</f>
        <v>;"NavNode_L3D_525543";"Batterijen / Accus / Laders / Zon &amp; Wind energie";</v>
      </c>
      <c r="AL146" s="10" t="str">
        <f>IF(getCategoryLevelAsString($B146)="L0D_324785","",IF(S146="",CONCATENATE(";",EscStr(CONCATENATE("NavNode_",getCategoryLevelAsString($B146))),";",EscStr($J146),";"),CONCATENATE(";",EscStr(CONCATENATE("NavNode_",getCategoryLevelAsString($B146))),";",EscStr(S146),";")))</f>
        <v>;"NavNode_L3D_525543";"Baterie / Ładowarki / Źródła odnawialne";</v>
      </c>
      <c r="AM146" s="10" t="str">
        <f>IF(getCategoryLevelAsString($B146)="L0D_324785","",IF(T146="",CONCATENATE(";",EscStr(CONCATENATE("NavNode_",getCategoryLevelAsString($B146))),";",EscStr($J146),";"),CONCATENATE(";",EscStr(CONCATENATE("NavNode_",getCategoryLevelAsString($B146))),";",EscStr(T146),";")))</f>
        <v>;"NavNode_L3D_525543";"Батареи / Зарядные устройства / Возобновляемая энергия";</v>
      </c>
      <c r="AN146" s="10" t="str">
        <f>IF(getCategoryLevelAsString($B146)="L0D_324785","",IF(U146="",CONCATENATE(";",EscStr(CONCATENATE("NavNode_",getCategoryLevelAsString($B146))),";",EscStr($J146),";"),CONCATENATE(";",EscStr(CONCATENATE("NavNode_",getCategoryLevelAsString($B146))),";",EscStr(U146),";")))</f>
        <v>;"NavNode_L3D_525543";"Baterie / Nabíječky / Akumulátory";</v>
      </c>
      <c r="AO146" s="10" t="str">
        <f>IF(getCategoryLevelAsString($B146)="L0D_324785","",IF(V146="",CONCATENATE(";",EscStr(CONCATENATE("NavNode_",getCategoryLevelAsString($B146))),";",EscStr($J146),";"),CONCATENATE(";",EscStr(CONCATENATE("NavNode_",getCategoryLevelAsString($B146))),";",EscStr(V146),";")))</f>
        <v>;"NavNode_L3D_525543";"Acumulatori / incarcatoare / regenerare";</v>
      </c>
      <c r="AP146" s="10" t="str">
        <f>IF(getCategoryLevelAsString($B146)="L0D_324785","",IF(W146="",CONCATENATE(";",EscStr(CONCATENATE("NavNode_",getCategoryLevelAsString($B146))),";",EscStr($J146),";"),CONCATENATE(";",EscStr(CONCATENATE("NavNode_",getCategoryLevelAsString($B146))),";",EscStr(W146),";")))</f>
        <v>;"NavNode_L3D_525543";"Telepek / Töltők / Megújuló";</v>
      </c>
      <c r="AQ146" s="10" t="str">
        <f>IF(getCategoryLevelAsString($B146)="L0D_324785","",IF(X146="",CONCATENATE(";",EscStr(CONCATENATE("NavNode_",getCategoryLevelAsString($B146))),";",EscStr($J146),";"),CONCATENATE(";",EscStr(CONCATENATE("NavNode_",getCategoryLevelAsString($B146))),";",EscStr(X146),";")))</f>
        <v>;"NavNode_L3D_525543";"Baterie / Nabíječky / Akumulátory";</v>
      </c>
      <c r="AR146" s="8" t="str">
        <f>IF(OR($A146&lt;&gt;"", $G146=""),"",CONCATENATE(";",EscStr(CONCATENATE("NavEntry_",getCategoryLevelAsString($B146))),";",EscStr(CONCATENATE($J146," Navigation Entry")),";",EscStr(CONCATENATE("cat-",getCategoryLevelAsString($B146))),";",EscStr(CONCATENATE("NavNode_",getCategoryLevelAsString($B146))),";"))</f>
        <v>;"NavEntry_L3D_525543";"Batteries / Chargers / Renewable Navigation Entry";"cat-L3D_525543";"NavNode_L3D_525543";</v>
      </c>
    </row>
    <row r="147" spans="1:44" ht="15" x14ac:dyDescent="0.25">
      <c r="A147" s="25"/>
      <c r="B147" s="5"/>
      <c r="C147" s="5"/>
      <c r="D147" s="5" t="s">
        <v>193</v>
      </c>
      <c r="E147" s="5"/>
      <c r="F147" s="5"/>
      <c r="G147" s="5" t="s">
        <v>465</v>
      </c>
      <c r="H147" s="5" t="s">
        <v>466</v>
      </c>
      <c r="I147" s="5" t="s">
        <v>467</v>
      </c>
      <c r="J147" s="5" t="s">
        <v>194</v>
      </c>
      <c r="K147" s="5" t="s">
        <v>1348</v>
      </c>
      <c r="L147" s="5" t="s">
        <v>1582</v>
      </c>
      <c r="M147" s="5" t="s">
        <v>1348</v>
      </c>
      <c r="N147" s="5" t="s">
        <v>2004</v>
      </c>
      <c r="O147" s="5" t="s">
        <v>3881</v>
      </c>
      <c r="P147" s="5" t="s">
        <v>3882</v>
      </c>
      <c r="Q147" s="5" t="s">
        <v>3883</v>
      </c>
      <c r="R147" s="5" t="s">
        <v>3884</v>
      </c>
      <c r="S147" s="5" t="s">
        <v>3885</v>
      </c>
      <c r="T147" s="5" t="s">
        <v>3886</v>
      </c>
      <c r="U147" s="5" t="s">
        <v>3887</v>
      </c>
      <c r="V147" s="5" t="s">
        <v>3888</v>
      </c>
      <c r="W147" s="5" t="s">
        <v>3889</v>
      </c>
      <c r="X147" s="5" t="s">
        <v>3887</v>
      </c>
      <c r="Y147" s="10" t="str">
        <f>IF(OR($A147&lt;&gt;"", $G147=""),"",CONCATENATE(";",EscStr(CONCATENATE("NavNode_",getCategoryLevelAsString($B147))),";",EscStr($J147),";",IF($B147&lt;&gt;"","""MainNavNode""",EscStr(CONCATENATE("NavNode_",getSuperCategory($B147, getCategoryLevelAsNumber($B147))))),";"))</f>
        <v>;"NavNode_L3D_525544";"Primary Batteries";"NavNode_L2D_379649";</v>
      </c>
      <c r="Z147" s="10" t="str">
        <f>IF(getCategoryLevelAsString($B147)="L0D_324785","",IF(G147="",CONCATENATE(";",EscStr(CONCATENATE("NavNode_",getCategoryLevelAsString($B147))),";",EscStr($J147),";"),CONCATENATE(";",EscStr(CONCATENATE("NavNode_",getCategoryLevelAsString($B147))),";",EscStr(G147),";")))</f>
        <v>;"NavNode_L3D_525544";"Gerätebatterien";</v>
      </c>
      <c r="AA147" s="10" t="str">
        <f>IF(getCategoryLevelAsString($B147)="L0D_324785","",IF(H147="",CONCATENATE(";",EscStr(CONCATENATE("NavNode_",getCategoryLevelAsString($B147))),";",EscStr($J147),";"),CONCATENATE(";",EscStr(CONCATENATE("NavNode_",getCategoryLevelAsString($B147))),";",EscStr(H147),";")))</f>
        <v>;"NavNode_L3D_525544";"Piles";</v>
      </c>
      <c r="AB147" s="10" t="str">
        <f>IF(getCategoryLevelAsString($B147)="L0D_324785","",IF(I147="",CONCATENATE(";",EscStr(CONCATENATE("NavNode_",getCategoryLevelAsString($B147))),";",EscStr($J147),";"),CONCATENATE(";",EscStr(CONCATENATE("NavNode_",getCategoryLevelAsString($B147))),";",EscStr(I147),";")))</f>
        <v>;"NavNode_L3D_525544";"Batterie primarie";</v>
      </c>
      <c r="AC147" s="10" t="str">
        <f>IF(getCategoryLevelAsString($B147)="L0D_324785","",IF(J147="",CONCATENATE(";",EscStr(CONCATENATE("NavNode_",getCategoryLevelAsString($B147))),";",EscStr($J147),";"),CONCATENATE(";",EscStr(CONCATENATE("NavNode_",getCategoryLevelAsString($B147))),";",EscStr(J147),";")))</f>
        <v>;"NavNode_L3D_525544";"Primary Batteries";</v>
      </c>
      <c r="AD147" s="10" t="str">
        <f>IF(getCategoryLevelAsString($B147)="L0D_324785","",IF(K147="",CONCATENATE(";",EscStr(CONCATENATE("NavNode_",getCategoryLevelAsString($B147))),";",EscStr($J147),";"),CONCATENATE(";",EscStr(CONCATENATE("NavNode_",getCategoryLevelAsString($B147))),";",EscStr(K147),";")))</f>
        <v>;"NavNode_L3D_525544";"Primærbatterier";</v>
      </c>
      <c r="AE147" s="10" t="str">
        <f>IF(getCategoryLevelAsString($B147)="L0D_324785","",IF(L147="",CONCATENATE(";",EscStr(CONCATENATE("NavNode_",getCategoryLevelAsString($B147))),";",EscStr($J147),";"),CONCATENATE(";",EscStr(CONCATENATE("NavNode_",getCategoryLevelAsString($B147))),";",EscStr(L147),";")))</f>
        <v>;"NavNode_L3D_525544";"Įprastos baterijos";</v>
      </c>
      <c r="AF147" s="10" t="str">
        <f>IF(getCategoryLevelAsString($B147)="L0D_324785","",IF(M147="",CONCATENATE(";",EscStr(CONCATENATE("NavNode_",getCategoryLevelAsString($B147))),";",EscStr($J147),";"),CONCATENATE(";",EscStr(CONCATENATE("NavNode_",getCategoryLevelAsString($B147))),";",EscStr(M147),";")))</f>
        <v>;"NavNode_L3D_525544";"Primærbatterier";</v>
      </c>
      <c r="AG147" s="10" t="str">
        <f>IF(getCategoryLevelAsString($B147)="L0D_324785","",IF(N147="",CONCATENATE(";",EscStr(CONCATENATE("NavNode_",getCategoryLevelAsString($B147))),";",EscStr($J147),";"),CONCATENATE(";",EscStr(CONCATENATE("NavNode_",getCategoryLevelAsString($B147))),";",EscStr(N147),";")))</f>
        <v>;"NavNode_L3D_525544";"Primära batterier";</v>
      </c>
      <c r="AH147" s="10" t="str">
        <f>IF(getCategoryLevelAsString($B147)="L0D_324785","",IF(O147="",CONCATENATE(";",EscStr(CONCATENATE("NavNode_",getCategoryLevelAsString($B147))),";",EscStr($J147),";"),CONCATENATE(";",EscStr(CONCATENATE("NavNode_",getCategoryLevelAsString($B147))),";",EscStr(O147),";")))</f>
        <v>;"NavNode_L3D_525544";"Patareid";</v>
      </c>
      <c r="AI147" s="10" t="str">
        <f>IF(getCategoryLevelAsString($B147)="L0D_324785","",IF(P147="",CONCATENATE(";",EscStr(CONCATENATE("NavNode_",getCategoryLevelAsString($B147))),";",EscStr($J147),";"),CONCATENATE(";",EscStr(CONCATENATE("NavNode_",getCategoryLevelAsString($B147))),";",EscStr(P147),";")))</f>
        <v>;"NavNode_L3D_525544";"Laiteparistot";</v>
      </c>
      <c r="AJ147" s="10" t="str">
        <f>IF(getCategoryLevelAsString($B147)="L0D_324785","",IF(Q147="",CONCATENATE(";",EscStr(CONCATENATE("NavNode_",getCategoryLevelAsString($B147))),";",EscStr($J147),";"),CONCATENATE(";",EscStr(CONCATENATE("NavNode_",getCategoryLevelAsString($B147))),";",EscStr(Q147),";")))</f>
        <v>;"NavNode_L3D_525544";"Baterijas";</v>
      </c>
      <c r="AK147" s="10" t="str">
        <f>IF(getCategoryLevelAsString($B147)="L0D_324785","",IF(R147="",CONCATENATE(";",EscStr(CONCATENATE("NavNode_",getCategoryLevelAsString($B147))),";",EscStr($J147),";"),CONCATENATE(";",EscStr(CONCATENATE("NavNode_",getCategoryLevelAsString($B147))),";",EscStr(R147),";")))</f>
        <v>;"NavNode_L3D_525544";"Eenmalige batterijen";</v>
      </c>
      <c r="AL147" s="10" t="str">
        <f>IF(getCategoryLevelAsString($B147)="L0D_324785","",IF(S147="",CONCATENATE(";",EscStr(CONCATENATE("NavNode_",getCategoryLevelAsString($B147))),";",EscStr($J147),";"),CONCATENATE(";",EscStr(CONCATENATE("NavNode_",getCategoryLevelAsString($B147))),";",EscStr(S147),";")))</f>
        <v>;"NavNode_L3D_525544";"Baterie";</v>
      </c>
      <c r="AM147" s="10" t="str">
        <f>IF(getCategoryLevelAsString($B147)="L0D_324785","",IF(T147="",CONCATENATE(";",EscStr(CONCATENATE("NavNode_",getCategoryLevelAsString($B147))),";",EscStr($J147),";"),CONCATENATE(";",EscStr(CONCATENATE("NavNode_",getCategoryLevelAsString($B147))),";",EscStr(T147),";")))</f>
        <v>;"NavNode_L3D_525544";"Батареи";</v>
      </c>
      <c r="AN147" s="10" t="str">
        <f>IF(getCategoryLevelAsString($B147)="L0D_324785","",IF(U147="",CONCATENATE(";",EscStr(CONCATENATE("NavNode_",getCategoryLevelAsString($B147))),";",EscStr($J147),";"),CONCATENATE(";",EscStr(CONCATENATE("NavNode_",getCategoryLevelAsString($B147))),";",EscStr(U147),";")))</f>
        <v>;"NavNode_L3D_525544";"Přístrojové baterie";</v>
      </c>
      <c r="AO147" s="10" t="str">
        <f>IF(getCategoryLevelAsString($B147)="L0D_324785","",IF(V147="",CONCATENATE(";",EscStr(CONCATENATE("NavNode_",getCategoryLevelAsString($B147))),";",EscStr($J147),";"),CONCATENATE(";",EscStr(CONCATENATE("NavNode_",getCategoryLevelAsString($B147))),";",EscStr(V147),";")))</f>
        <v>;"NavNode_L3D_525544";"Baterii pentru aparate";</v>
      </c>
      <c r="AP147" s="10" t="str">
        <f>IF(getCategoryLevelAsString($B147)="L0D_324785","",IF(W147="",CONCATENATE(";",EscStr(CONCATENATE("NavNode_",getCategoryLevelAsString($B147))),";",EscStr($J147),";"),CONCATENATE(";",EscStr(CONCATENATE("NavNode_",getCategoryLevelAsString($B147))),";",EscStr(W147),";")))</f>
        <v>;"NavNode_L3D_525544";"Készülék elemek";</v>
      </c>
      <c r="AQ147" s="10" t="str">
        <f>IF(getCategoryLevelAsString($B147)="L0D_324785","",IF(X147="",CONCATENATE(";",EscStr(CONCATENATE("NavNode_",getCategoryLevelAsString($B147))),";",EscStr($J147),";"),CONCATENATE(";",EscStr(CONCATENATE("NavNode_",getCategoryLevelAsString($B147))),";",EscStr(X147),";")))</f>
        <v>;"NavNode_L3D_525544";"Přístrojové baterie";</v>
      </c>
      <c r="AR147" s="8" t="str">
        <f>IF(OR($A147&lt;&gt;"", $G147=""),"",CONCATENATE(";",EscStr(CONCATENATE("NavEntry_",getCategoryLevelAsString($B147))),";",EscStr(CONCATENATE($J147," Navigation Entry")),";",EscStr(CONCATENATE("cat-",getCategoryLevelAsString($B147))),";",EscStr(CONCATENATE("NavNode_",getCategoryLevelAsString($B147))),";"))</f>
        <v>;"NavEntry_L3D_525544";"Primary Batteries Navigation Entry";"cat-L3D_525544";"NavNode_L3D_525544";</v>
      </c>
    </row>
    <row r="148" spans="1:44" ht="15" x14ac:dyDescent="0.25">
      <c r="A148" s="25"/>
      <c r="B148" s="5"/>
      <c r="C148" s="5"/>
      <c r="D148" s="5" t="s">
        <v>195</v>
      </c>
      <c r="E148" s="5"/>
      <c r="F148" s="5"/>
      <c r="G148" s="5" t="s">
        <v>468</v>
      </c>
      <c r="H148" s="5" t="s">
        <v>469</v>
      </c>
      <c r="I148" s="5" t="s">
        <v>470</v>
      </c>
      <c r="J148" s="5" t="s">
        <v>196</v>
      </c>
      <c r="K148" s="5" t="s">
        <v>1349</v>
      </c>
      <c r="L148" s="5" t="s">
        <v>1583</v>
      </c>
      <c r="M148" s="5" t="s">
        <v>1796</v>
      </c>
      <c r="N148" s="5" t="s">
        <v>2005</v>
      </c>
      <c r="O148" s="5" t="s">
        <v>3890</v>
      </c>
      <c r="P148" s="5" t="s">
        <v>3891</v>
      </c>
      <c r="Q148" s="5" t="s">
        <v>3892</v>
      </c>
      <c r="R148" s="5" t="s">
        <v>3893</v>
      </c>
      <c r="S148" s="5" t="s">
        <v>3894</v>
      </c>
      <c r="T148" s="5" t="s">
        <v>3895</v>
      </c>
      <c r="U148" s="5" t="s">
        <v>3896</v>
      </c>
      <c r="V148" s="5" t="s">
        <v>3897</v>
      </c>
      <c r="W148" s="5" t="s">
        <v>3898</v>
      </c>
      <c r="X148" s="5" t="s">
        <v>3896</v>
      </c>
      <c r="Y148" s="10" t="str">
        <f>IF(OR($A148&lt;&gt;"", $G148=""),"",CONCATENATE(";",EscStr(CONCATENATE("NavNode_",getCategoryLevelAsString($B148))),";",EscStr($J148),";",IF($B148&lt;&gt;"","""MainNavNode""",EscStr(CONCATENATE("NavNode_",getSuperCategory($B148, getCategoryLevelAsNumber($B148))))),";"))</f>
        <v>;"NavNode_L3D_525546";"Rechargeable Batteries";"NavNode_L2D_379649";</v>
      </c>
      <c r="Z148" s="10" t="str">
        <f>IF(getCategoryLevelAsString($B148)="L0D_324785","",IF(G148="",CONCATENATE(";",EscStr(CONCATENATE("NavNode_",getCategoryLevelAsString($B148))),";",EscStr($J148),";"),CONCATENATE(";",EscStr(CONCATENATE("NavNode_",getCategoryLevelAsString($B148))),";",EscStr(G148),";")))</f>
        <v>;"NavNode_L3D_525546";"Akkus";</v>
      </c>
      <c r="AA148" s="10" t="str">
        <f>IF(getCategoryLevelAsString($B148)="L0D_324785","",IF(H148="",CONCATENATE(";",EscStr(CONCATENATE("NavNode_",getCategoryLevelAsString($B148))),";",EscStr($J148),";"),CONCATENATE(";",EscStr(CONCATENATE("NavNode_",getCategoryLevelAsString($B148))),";",EscStr(H148),";")))</f>
        <v>;"NavNode_L3D_525546";"Accumulateurs";</v>
      </c>
      <c r="AB148" s="10" t="str">
        <f>IF(getCategoryLevelAsString($B148)="L0D_324785","",IF(I148="",CONCATENATE(";",EscStr(CONCATENATE("NavNode_",getCategoryLevelAsString($B148))),";",EscStr($J148),";"),CONCATENATE(";",EscStr(CONCATENATE("NavNode_",getCategoryLevelAsString($B148))),";",EscStr(I148),";")))</f>
        <v>;"NavNode_L3D_525546";"Batterie ricaricabili";</v>
      </c>
      <c r="AC148" s="10" t="str">
        <f>IF(getCategoryLevelAsString($B148)="L0D_324785","",IF(J148="",CONCATENATE(";",EscStr(CONCATENATE("NavNode_",getCategoryLevelAsString($B148))),";",EscStr($J148),";"),CONCATENATE(";",EscStr(CONCATENATE("NavNode_",getCategoryLevelAsString($B148))),";",EscStr(J148),";")))</f>
        <v>;"NavNode_L3D_525546";"Rechargeable Batteries";</v>
      </c>
      <c r="AD148" s="10" t="str">
        <f>IF(getCategoryLevelAsString($B148)="L0D_324785","",IF(K148="",CONCATENATE(";",EscStr(CONCATENATE("NavNode_",getCategoryLevelAsString($B148))),";",EscStr($J148),";"),CONCATENATE(";",EscStr(CONCATENATE("NavNode_",getCategoryLevelAsString($B148))),";",EscStr(K148),";")))</f>
        <v>;"NavNode_L3D_525546";"Genopladelige batterier";</v>
      </c>
      <c r="AE148" s="10" t="str">
        <f>IF(getCategoryLevelAsString($B148)="L0D_324785","",IF(L148="",CONCATENATE(";",EscStr(CONCATENATE("NavNode_",getCategoryLevelAsString($B148))),";",EscStr($J148),";"),CONCATENATE(";",EscStr(CONCATENATE("NavNode_",getCategoryLevelAsString($B148))),";",EscStr(L148),";")))</f>
        <v>;"NavNode_L3D_525546";"Įkraunamos baterijos";</v>
      </c>
      <c r="AF148" s="10" t="str">
        <f>IF(getCategoryLevelAsString($B148)="L0D_324785","",IF(M148="",CONCATENATE(";",EscStr(CONCATENATE("NavNode_",getCategoryLevelAsString($B148))),";",EscStr($J148),";"),CONCATENATE(";",EscStr(CONCATENATE("NavNode_",getCategoryLevelAsString($B148))),";",EscStr(M148),";")))</f>
        <v>;"NavNode_L3D_525546";"Oppladbare batterier";</v>
      </c>
      <c r="AG148" s="10" t="str">
        <f>IF(getCategoryLevelAsString($B148)="L0D_324785","",IF(N148="",CONCATENATE(";",EscStr(CONCATENATE("NavNode_",getCategoryLevelAsString($B148))),";",EscStr($J148),";"),CONCATENATE(";",EscStr(CONCATENATE("NavNode_",getCategoryLevelAsString($B148))),";",EscStr(N148),";")))</f>
        <v>;"NavNode_L3D_525546";"Laddningsbara batterier";</v>
      </c>
      <c r="AH148" s="10" t="str">
        <f>IF(getCategoryLevelAsString($B148)="L0D_324785","",IF(O148="",CONCATENATE(";",EscStr(CONCATENATE("NavNode_",getCategoryLevelAsString($B148))),";",EscStr($J148),";"),CONCATENATE(";",EscStr(CONCATENATE("NavNode_",getCategoryLevelAsString($B148))),";",EscStr(O148),";")))</f>
        <v>;"NavNode_L3D_525546";"Akud";</v>
      </c>
      <c r="AI148" s="10" t="str">
        <f>IF(getCategoryLevelAsString($B148)="L0D_324785","",IF(P148="",CONCATENATE(";",EscStr(CONCATENATE("NavNode_",getCategoryLevelAsString($B148))),";",EscStr($J148),";"),CONCATENATE(";",EscStr(CONCATENATE("NavNode_",getCategoryLevelAsString($B148))),";",EscStr(P148),";")))</f>
        <v>;"NavNode_L3D_525546";"Ladattavat akut";</v>
      </c>
      <c r="AJ148" s="10" t="str">
        <f>IF(getCategoryLevelAsString($B148)="L0D_324785","",IF(Q148="",CONCATENATE(";",EscStr(CONCATENATE("NavNode_",getCategoryLevelAsString($B148))),";",EscStr($J148),";"),CONCATENATE(";",EscStr(CONCATENATE("NavNode_",getCategoryLevelAsString($B148))),";",EscStr(Q148),";")))</f>
        <v>;"NavNode_L3D_525546";"Akumulatori";</v>
      </c>
      <c r="AK148" s="10" t="str">
        <f>IF(getCategoryLevelAsString($B148)="L0D_324785","",IF(R148="",CONCATENATE(";",EscStr(CONCATENATE("NavNode_",getCategoryLevelAsString($B148))),";",EscStr($J148),";"),CONCATENATE(";",EscStr(CONCATENATE("NavNode_",getCategoryLevelAsString($B148))),";",EscStr(R148),";")))</f>
        <v>;"NavNode_L3D_525546";"Oplaadbare batterijen";</v>
      </c>
      <c r="AL148" s="10" t="str">
        <f>IF(getCategoryLevelAsString($B148)="L0D_324785","",IF(S148="",CONCATENATE(";",EscStr(CONCATENATE("NavNode_",getCategoryLevelAsString($B148))),";",EscStr($J148),";"),CONCATENATE(";",EscStr(CONCATENATE("NavNode_",getCategoryLevelAsString($B148))),";",EscStr(S148),";")))</f>
        <v>;"NavNode_L3D_525546";"Akumulatory";</v>
      </c>
      <c r="AM148" s="10" t="str">
        <f>IF(getCategoryLevelAsString($B148)="L0D_324785","",IF(T148="",CONCATENATE(";",EscStr(CONCATENATE("NavNode_",getCategoryLevelAsString($B148))),";",EscStr($J148),";"),CONCATENATE(";",EscStr(CONCATENATE("NavNode_",getCategoryLevelAsString($B148))),";",EscStr(T148),";")))</f>
        <v>;"NavNode_L3D_525546";"Аккумуляторы";</v>
      </c>
      <c r="AN148" s="10" t="str">
        <f>IF(getCategoryLevelAsString($B148)="L0D_324785","",IF(U148="",CONCATENATE(";",EscStr(CONCATENATE("NavNode_",getCategoryLevelAsString($B148))),";",EscStr($J148),";"),CONCATENATE(";",EscStr(CONCATENATE("NavNode_",getCategoryLevelAsString($B148))),";",EscStr(U148),";")))</f>
        <v>;"NavNode_L3D_525546";"Akumulátory";</v>
      </c>
      <c r="AO148" s="10" t="str">
        <f>IF(getCategoryLevelAsString($B148)="L0D_324785","",IF(V148="",CONCATENATE(";",EscStr(CONCATENATE("NavNode_",getCategoryLevelAsString($B148))),";",EscStr($J148),";"),CONCATENATE(";",EscStr(CONCATENATE("NavNode_",getCategoryLevelAsString($B148))),";",EscStr(V148),";")))</f>
        <v>;"NavNode_L3D_525546";"Acumulatori";</v>
      </c>
      <c r="AP148" s="10" t="str">
        <f>IF(getCategoryLevelAsString($B148)="L0D_324785","",IF(W148="",CONCATENATE(";",EscStr(CONCATENATE("NavNode_",getCategoryLevelAsString($B148))),";",EscStr($J148),";"),CONCATENATE(";",EscStr(CONCATENATE("NavNode_",getCategoryLevelAsString($B148))),";",EscStr(W148),";")))</f>
        <v>;"NavNode_L3D_525546";"Akkumlátorok";</v>
      </c>
      <c r="AQ148" s="10" t="str">
        <f>IF(getCategoryLevelAsString($B148)="L0D_324785","",IF(X148="",CONCATENATE(";",EscStr(CONCATENATE("NavNode_",getCategoryLevelAsString($B148))),";",EscStr($J148),";"),CONCATENATE(";",EscStr(CONCATENATE("NavNode_",getCategoryLevelAsString($B148))),";",EscStr(X148),";")))</f>
        <v>;"NavNode_L3D_525546";"Akumulátory";</v>
      </c>
      <c r="AR148" s="8" t="str">
        <f>IF(OR($A148&lt;&gt;"", $G148=""),"",CONCATENATE(";",EscStr(CONCATENATE("NavEntry_",getCategoryLevelAsString($B148))),";",EscStr(CONCATENATE($J148," Navigation Entry")),";",EscStr(CONCATENATE("cat-",getCategoryLevelAsString($B148))),";",EscStr(CONCATENATE("NavNode_",getCategoryLevelAsString($B148))),";"))</f>
        <v>;"NavEntry_L3D_525546";"Rechargeable Batteries Navigation Entry";"cat-L3D_525546";"NavNode_L3D_525546";</v>
      </c>
    </row>
    <row r="149" spans="1:44" ht="15" x14ac:dyDescent="0.25">
      <c r="A149" s="25"/>
      <c r="B149" s="5"/>
      <c r="C149" s="5"/>
      <c r="D149" s="5" t="s">
        <v>189</v>
      </c>
      <c r="E149" s="5"/>
      <c r="F149" s="5"/>
      <c r="G149" s="5" t="s">
        <v>459</v>
      </c>
      <c r="H149" s="5" t="s">
        <v>460</v>
      </c>
      <c r="I149" s="5" t="s">
        <v>461</v>
      </c>
      <c r="J149" s="5" t="s">
        <v>190</v>
      </c>
      <c r="K149" s="5" t="s">
        <v>1350</v>
      </c>
      <c r="L149" s="5" t="s">
        <v>1584</v>
      </c>
      <c r="M149" s="5" t="s">
        <v>1797</v>
      </c>
      <c r="N149" s="5" t="s">
        <v>2006</v>
      </c>
      <c r="O149" s="5" t="s">
        <v>3899</v>
      </c>
      <c r="P149" s="5" t="s">
        <v>3900</v>
      </c>
      <c r="Q149" s="5" t="s">
        <v>3901</v>
      </c>
      <c r="R149" s="5" t="s">
        <v>3902</v>
      </c>
      <c r="S149" s="5" t="s">
        <v>3903</v>
      </c>
      <c r="T149" s="5" t="s">
        <v>3904</v>
      </c>
      <c r="U149" s="5" t="s">
        <v>3905</v>
      </c>
      <c r="V149" s="5" t="s">
        <v>3906</v>
      </c>
      <c r="W149" s="5" t="s">
        <v>3907</v>
      </c>
      <c r="X149" s="5" t="s">
        <v>3905</v>
      </c>
      <c r="Y149" s="10" t="str">
        <f>IF(OR($A149&lt;&gt;"", $G149=""),"",CONCATENATE(";",EscStr(CONCATENATE("NavNode_",getCategoryLevelAsString($B149))),";",EscStr($J149),";",IF($B149&lt;&gt;"","""MainNavNode""",EscStr(CONCATENATE("NavNode_",getSuperCategory($B149, getCategoryLevelAsNumber($B149))))),";"))</f>
        <v>;"NavNode_L3D_525558";"Chargers";"NavNode_L2D_379649";</v>
      </c>
      <c r="Z149" s="10" t="str">
        <f>IF(getCategoryLevelAsString($B149)="L0D_324785","",IF(G149="",CONCATENATE(";",EscStr(CONCATENATE("NavNode_",getCategoryLevelAsString($B149))),";",EscStr($J149),";"),CONCATENATE(";",EscStr(CONCATENATE("NavNode_",getCategoryLevelAsString($B149))),";",EscStr(G149),";")))</f>
        <v>;"NavNode_L3D_525558";"Ladegeräte";</v>
      </c>
      <c r="AA149" s="10" t="str">
        <f>IF(getCategoryLevelAsString($B149)="L0D_324785","",IF(H149="",CONCATENATE(";",EscStr(CONCATENATE("NavNode_",getCategoryLevelAsString($B149))),";",EscStr($J149),";"),CONCATENATE(";",EscStr(CONCATENATE("NavNode_",getCategoryLevelAsString($B149))),";",EscStr(H149),";")))</f>
        <v>;"NavNode_L3D_525558";"Chargeurs";</v>
      </c>
      <c r="AB149" s="10" t="str">
        <f>IF(getCategoryLevelAsString($B149)="L0D_324785","",IF(I149="",CONCATENATE(";",EscStr(CONCATENATE("NavNode_",getCategoryLevelAsString($B149))),";",EscStr($J149),";"),CONCATENATE(";",EscStr(CONCATENATE("NavNode_",getCategoryLevelAsString($B149))),";",EscStr(I149),";")))</f>
        <v>;"NavNode_L3D_525558";"Caricatori";</v>
      </c>
      <c r="AC149" s="10" t="str">
        <f>IF(getCategoryLevelAsString($B149)="L0D_324785","",IF(J149="",CONCATENATE(";",EscStr(CONCATENATE("NavNode_",getCategoryLevelAsString($B149))),";",EscStr($J149),";"),CONCATENATE(";",EscStr(CONCATENATE("NavNode_",getCategoryLevelAsString($B149))),";",EscStr(J149),";")))</f>
        <v>;"NavNode_L3D_525558";"Chargers";</v>
      </c>
      <c r="AD149" s="10" t="str">
        <f>IF(getCategoryLevelAsString($B149)="L0D_324785","",IF(K149="",CONCATENATE(";",EscStr(CONCATENATE("NavNode_",getCategoryLevelAsString($B149))),";",EscStr($J149),";"),CONCATENATE(";",EscStr(CONCATENATE("NavNode_",getCategoryLevelAsString($B149))),";",EscStr(K149),";")))</f>
        <v>;"NavNode_L3D_525558";"Opladere";</v>
      </c>
      <c r="AE149" s="10" t="str">
        <f>IF(getCategoryLevelAsString($B149)="L0D_324785","",IF(L149="",CONCATENATE(";",EscStr(CONCATENATE("NavNode_",getCategoryLevelAsString($B149))),";",EscStr($J149),";"),CONCATENATE(";",EscStr(CONCATENATE("NavNode_",getCategoryLevelAsString($B149))),";",EscStr(L149),";")))</f>
        <v>;"NavNode_L3D_525558";"Įkrovikliai";</v>
      </c>
      <c r="AF149" s="10" t="str">
        <f>IF(getCategoryLevelAsString($B149)="L0D_324785","",IF(M149="",CONCATENATE(";",EscStr(CONCATENATE("NavNode_",getCategoryLevelAsString($B149))),";",EscStr($J149),";"),CONCATENATE(";",EscStr(CONCATENATE("NavNode_",getCategoryLevelAsString($B149))),";",EscStr(M149),";")))</f>
        <v>;"NavNode_L3D_525558";"Ladere";</v>
      </c>
      <c r="AG149" s="10" t="str">
        <f>IF(getCategoryLevelAsString($B149)="L0D_324785","",IF(N149="",CONCATENATE(";",EscStr(CONCATENATE("NavNode_",getCategoryLevelAsString($B149))),";",EscStr($J149),";"),CONCATENATE(";",EscStr(CONCATENATE("NavNode_",getCategoryLevelAsString($B149))),";",EscStr(N149),";")))</f>
        <v>;"NavNode_L3D_525558";"Laddare";</v>
      </c>
      <c r="AH149" s="10" t="str">
        <f>IF(getCategoryLevelAsString($B149)="L0D_324785","",IF(O149="",CONCATENATE(";",EscStr(CONCATENATE("NavNode_",getCategoryLevelAsString($B149))),";",EscStr($J149),";"),CONCATENATE(";",EscStr(CONCATENATE("NavNode_",getCategoryLevelAsString($B149))),";",EscStr(O149),";")))</f>
        <v>;"NavNode_L3D_525558";"Laadijad";</v>
      </c>
      <c r="AI149" s="10" t="str">
        <f>IF(getCategoryLevelAsString($B149)="L0D_324785","",IF(P149="",CONCATENATE(";",EscStr(CONCATENATE("NavNode_",getCategoryLevelAsString($B149))),";",EscStr($J149),";"),CONCATENATE(";",EscStr(CONCATENATE("NavNode_",getCategoryLevelAsString($B149))),";",EscStr(P149),";")))</f>
        <v>;"NavNode_L3D_525558";"Latauslaittet";</v>
      </c>
      <c r="AJ149" s="10" t="str">
        <f>IF(getCategoryLevelAsString($B149)="L0D_324785","",IF(Q149="",CONCATENATE(";",EscStr(CONCATENATE("NavNode_",getCategoryLevelAsString($B149))),";",EscStr($J149),";"),CONCATENATE(";",EscStr(CONCATENATE("NavNode_",getCategoryLevelAsString($B149))),";",EscStr(Q149),";")))</f>
        <v>;"NavNode_L3D_525558";"Lādētāji";</v>
      </c>
      <c r="AK149" s="10" t="str">
        <f>IF(getCategoryLevelAsString($B149)="L0D_324785","",IF(R149="",CONCATENATE(";",EscStr(CONCATENATE("NavNode_",getCategoryLevelAsString($B149))),";",EscStr($J149),";"),CONCATENATE(";",EscStr(CONCATENATE("NavNode_",getCategoryLevelAsString($B149))),";",EscStr(R149),";")))</f>
        <v>;"NavNode_L3D_525558";"Laders";</v>
      </c>
      <c r="AL149" s="10" t="str">
        <f>IF(getCategoryLevelAsString($B149)="L0D_324785","",IF(S149="",CONCATENATE(";",EscStr(CONCATENATE("NavNode_",getCategoryLevelAsString($B149))),";",EscStr($J149),";"),CONCATENATE(";",EscStr(CONCATENATE("NavNode_",getCategoryLevelAsString($B149))),";",EscStr(S149),";")))</f>
        <v>;"NavNode_L3D_525558";"Ładowarki";</v>
      </c>
      <c r="AM149" s="10" t="str">
        <f>IF(getCategoryLevelAsString($B149)="L0D_324785","",IF(T149="",CONCATENATE(";",EscStr(CONCATENATE("NavNode_",getCategoryLevelAsString($B149))),";",EscStr($J149),";"),CONCATENATE(";",EscStr(CONCATENATE("NavNode_",getCategoryLevelAsString($B149))),";",EscStr(T149),";")))</f>
        <v>;"NavNode_L3D_525558";"Зарядные устройства";</v>
      </c>
      <c r="AN149" s="10" t="str">
        <f>IF(getCategoryLevelAsString($B149)="L0D_324785","",IF(U149="",CONCATENATE(";",EscStr(CONCATENATE("NavNode_",getCategoryLevelAsString($B149))),";",EscStr($J149),";"),CONCATENATE(";",EscStr(CONCATENATE("NavNode_",getCategoryLevelAsString($B149))),";",EscStr(U149),";")))</f>
        <v>;"NavNode_L3D_525558";"Nabíječky";</v>
      </c>
      <c r="AO149" s="10" t="str">
        <f>IF(getCategoryLevelAsString($B149)="L0D_324785","",IF(V149="",CONCATENATE(";",EscStr(CONCATENATE("NavNode_",getCategoryLevelAsString($B149))),";",EscStr($J149),";"),CONCATENATE(";",EscStr(CONCATENATE("NavNode_",getCategoryLevelAsString($B149))),";",EscStr(V149),";")))</f>
        <v>;"NavNode_L3D_525558";"Încărcătoare";</v>
      </c>
      <c r="AP149" s="10" t="str">
        <f>IF(getCategoryLevelAsString($B149)="L0D_324785","",IF(W149="",CONCATENATE(";",EscStr(CONCATENATE("NavNode_",getCategoryLevelAsString($B149))),";",EscStr($J149),";"),CONCATENATE(";",EscStr(CONCATENATE("NavNode_",getCategoryLevelAsString($B149))),";",EscStr(W149),";")))</f>
        <v>;"NavNode_L3D_525558";"Töltők";</v>
      </c>
      <c r="AQ149" s="10" t="str">
        <f>IF(getCategoryLevelAsString($B149)="L0D_324785","",IF(X149="",CONCATENATE(";",EscStr(CONCATENATE("NavNode_",getCategoryLevelAsString($B149))),";",EscStr($J149),";"),CONCATENATE(";",EscStr(CONCATENATE("NavNode_",getCategoryLevelAsString($B149))),";",EscStr(X149),";")))</f>
        <v>;"NavNode_L3D_525558";"Nabíječky";</v>
      </c>
      <c r="AR149" s="8" t="str">
        <f>IF(OR($A149&lt;&gt;"", $G149=""),"",CONCATENATE(";",EscStr(CONCATENATE("NavEntry_",getCategoryLevelAsString($B149))),";",EscStr(CONCATENATE($J149," Navigation Entry")),";",EscStr(CONCATENATE("cat-",getCategoryLevelAsString($B149))),";",EscStr(CONCATENATE("NavNode_",getCategoryLevelAsString($B149))),";"))</f>
        <v>;"NavEntry_L3D_525558";"Chargers Navigation Entry";"cat-L3D_525558";"NavNode_L3D_525558";</v>
      </c>
    </row>
    <row r="150" spans="1:44" ht="15" x14ac:dyDescent="0.25">
      <c r="A150" s="25"/>
      <c r="B150" s="5"/>
      <c r="C150" s="5"/>
      <c r="D150" s="5" t="s">
        <v>203</v>
      </c>
      <c r="E150" s="5"/>
      <c r="F150" s="5"/>
      <c r="G150" s="5" t="s">
        <v>2184</v>
      </c>
      <c r="H150" s="5" t="s">
        <v>2185</v>
      </c>
      <c r="I150" s="5" t="s">
        <v>2186</v>
      </c>
      <c r="J150" s="5" t="s">
        <v>2187</v>
      </c>
      <c r="K150" s="5" t="s">
        <v>2188</v>
      </c>
      <c r="L150" s="5" t="s">
        <v>2189</v>
      </c>
      <c r="M150" s="5" t="s">
        <v>2190</v>
      </c>
      <c r="N150" s="5" t="s">
        <v>2191</v>
      </c>
      <c r="O150" s="5" t="s">
        <v>2192</v>
      </c>
      <c r="P150" s="5" t="s">
        <v>2193</v>
      </c>
      <c r="Q150" s="5" t="s">
        <v>2194</v>
      </c>
      <c r="R150" s="5" t="s">
        <v>2195</v>
      </c>
      <c r="S150" s="5" t="s">
        <v>2196</v>
      </c>
      <c r="T150" s="5" t="s">
        <v>2197</v>
      </c>
      <c r="U150" s="5" t="s">
        <v>2198</v>
      </c>
      <c r="V150" s="5" t="s">
        <v>2199</v>
      </c>
      <c r="W150" s="5" t="s">
        <v>2200</v>
      </c>
      <c r="X150" s="5" t="s">
        <v>2198</v>
      </c>
      <c r="Y150" s="10" t="str">
        <f>IF(OR($A150&lt;&gt;"", $G150=""),"",CONCATENATE(";",EscStr(CONCATENATE("NavNode_",getCategoryLevelAsString($B150))),";",EscStr($J150),";",IF($B150&lt;&gt;"","""MainNavNode""",EscStr(CONCATENATE("NavNode_",getSuperCategory($B150, getCategoryLevelAsNumber($B150))))),";"))</f>
        <v>;"NavNode_L3D_525547";"DC/AC Inverters";"NavNode_L2D_379649";</v>
      </c>
      <c r="Z150" s="10" t="str">
        <f>IF(getCategoryLevelAsString($B150)="L0D_324785","",IF(G150="",CONCATENATE(";",EscStr(CONCATENATE("NavNode_",getCategoryLevelAsString($B150))),";",EscStr($J150),";"),CONCATENATE(";",EscStr(CONCATENATE("NavNode_",getCategoryLevelAsString($B150))),";",EscStr(G150),";")))</f>
        <v>;"NavNode_L3D_525547";"AC/DC Wandler";</v>
      </c>
      <c r="AA150" s="10" t="str">
        <f>IF(getCategoryLevelAsString($B150)="L0D_324785","",IF(H150="",CONCATENATE(";",EscStr(CONCATENATE("NavNode_",getCategoryLevelAsString($B150))),";",EscStr($J150),";"),CONCATENATE(";",EscStr(CONCATENATE("NavNode_",getCategoryLevelAsString($B150))),";",EscStr(H150),";")))</f>
        <v>;"NavNode_L3D_525547";"Onduleurs c.c./c.a.";</v>
      </c>
      <c r="AB150" s="10" t="str">
        <f>IF(getCategoryLevelAsString($B150)="L0D_324785","",IF(I150="",CONCATENATE(";",EscStr(CONCATENATE("NavNode_",getCategoryLevelAsString($B150))),";",EscStr($J150),";"),CONCATENATE(";",EscStr(CONCATENATE("NavNode_",getCategoryLevelAsString($B150))),";",EscStr(I150),";")))</f>
        <v>;"NavNode_L3D_525547";"Convertitori CC/CA";</v>
      </c>
      <c r="AC150" s="10" t="str">
        <f>IF(getCategoryLevelAsString($B150)="L0D_324785","",IF(J150="",CONCATENATE(";",EscStr(CONCATENATE("NavNode_",getCategoryLevelAsString($B150))),";",EscStr($J150),";"),CONCATENATE(";",EscStr(CONCATENATE("NavNode_",getCategoryLevelAsString($B150))),";",EscStr(J150),";")))</f>
        <v>;"NavNode_L3D_525547";"DC/AC Inverters";</v>
      </c>
      <c r="AD150" s="10" t="str">
        <f>IF(getCategoryLevelAsString($B150)="L0D_324785","",IF(K150="",CONCATENATE(";",EscStr(CONCATENATE("NavNode_",getCategoryLevelAsString($B150))),";",EscStr($J150),";"),CONCATENATE(";",EscStr(CONCATENATE("NavNode_",getCategoryLevelAsString($B150))),";",EscStr(K150),";")))</f>
        <v>;"NavNode_L3D_525547";"DC/AC-vekselrettere";</v>
      </c>
      <c r="AE150" s="10" t="str">
        <f>IF(getCategoryLevelAsString($B150)="L0D_324785","",IF(L150="",CONCATENATE(";",EscStr(CONCATENATE("NavNode_",getCategoryLevelAsString($B150))),";",EscStr($J150),";"),CONCATENATE(";",EscStr(CONCATENATE("NavNode_",getCategoryLevelAsString($B150))),";",EscStr(L150),";")))</f>
        <v>;"NavNode_L3D_525547";"DC / AC įtampos keitikliai";</v>
      </c>
      <c r="AF150" s="10" t="str">
        <f>IF(getCategoryLevelAsString($B150)="L0D_324785","",IF(M150="",CONCATENATE(";",EscStr(CONCATENATE("NavNode_",getCategoryLevelAsString($B150))),";",EscStr($J150),";"),CONCATENATE(";",EscStr(CONCATENATE("NavNode_",getCategoryLevelAsString($B150))),";",EscStr(M150),";")))</f>
        <v>;"NavNode_L3D_525547";"DC/AC-invertere";</v>
      </c>
      <c r="AG150" s="10" t="str">
        <f>IF(getCategoryLevelAsString($B150)="L0D_324785","",IF(N150="",CONCATENATE(";",EscStr(CONCATENATE("NavNode_",getCategoryLevelAsString($B150))),";",EscStr($J150),";"),CONCATENATE(";",EscStr(CONCATENATE("NavNode_",getCategoryLevelAsString($B150))),";",EscStr(N150),";")))</f>
        <v>;"NavNode_L3D_525547";"DC/AC-växelriktare";</v>
      </c>
      <c r="AH150" s="10" t="str">
        <f>IF(getCategoryLevelAsString($B150)="L0D_324785","",IF(O150="",CONCATENATE(";",EscStr(CONCATENATE("NavNode_",getCategoryLevelAsString($B150))),";",EscStr($J150),";"),CONCATENATE(";",EscStr(CONCATENATE("NavNode_",getCategoryLevelAsString($B150))),";",EscStr(O150),";")))</f>
        <v>;"NavNode_L3D_525547";"Alalis-/vahelduvvoolu inverterid";</v>
      </c>
      <c r="AI150" s="10" t="str">
        <f>IF(getCategoryLevelAsString($B150)="L0D_324785","",IF(P150="",CONCATENATE(";",EscStr(CONCATENATE("NavNode_",getCategoryLevelAsString($B150))),";",EscStr($J150),";"),CONCATENATE(";",EscStr(CONCATENATE("NavNode_",getCategoryLevelAsString($B150))),";",EscStr(P150),";")))</f>
        <v>;"NavNode_L3D_525547";"DC/AC-invertterit";</v>
      </c>
      <c r="AJ150" s="10" t="str">
        <f>IF(getCategoryLevelAsString($B150)="L0D_324785","",IF(Q150="",CONCATENATE(";",EscStr(CONCATENATE("NavNode_",getCategoryLevelAsString($B150))),";",EscStr($J150),";"),CONCATENATE(";",EscStr(CONCATENATE("NavNode_",getCategoryLevelAsString($B150))),";",EscStr(Q150),";")))</f>
        <v>;"NavNode_L3D_525547";"Līdzstrāvas/maiņstrāvas invertori";</v>
      </c>
      <c r="AK150" s="10" t="str">
        <f>IF(getCategoryLevelAsString($B150)="L0D_324785","",IF(R150="",CONCATENATE(";",EscStr(CONCATENATE("NavNode_",getCategoryLevelAsString($B150))),";",EscStr($J150),";"),CONCATENATE(";",EscStr(CONCATENATE("NavNode_",getCategoryLevelAsString($B150))),";",EscStr(R150),";")))</f>
        <v>;"NavNode_L3D_525547";"DC/AC-omvormers";</v>
      </c>
      <c r="AL150" s="10" t="str">
        <f>IF(getCategoryLevelAsString($B150)="L0D_324785","",IF(S150="",CONCATENATE(";",EscStr(CONCATENATE("NavNode_",getCategoryLevelAsString($B150))),";",EscStr($J150),";"),CONCATENATE(";",EscStr(CONCATENATE("NavNode_",getCategoryLevelAsString($B150))),";",EscStr(S150),";")))</f>
        <v>;"NavNode_L3D_525547";"Falowniki DC/AC";</v>
      </c>
      <c r="AM150" s="10" t="str">
        <f>IF(getCategoryLevelAsString($B150)="L0D_324785","",IF(T150="",CONCATENATE(";",EscStr(CONCATENATE("NavNode_",getCategoryLevelAsString($B150))),";",EscStr($J150),";"),CONCATENATE(";",EscStr(CONCATENATE("NavNode_",getCategoryLevelAsString($B150))),";",EscStr(T150),";")))</f>
        <v>;"NavNode_L3D_525547";"Преобразователи постоянного тока в переменный";</v>
      </c>
      <c r="AN150" s="10" t="str">
        <f>IF(getCategoryLevelAsString($B150)="L0D_324785","",IF(U150="",CONCATENATE(";",EscStr(CONCATENATE("NavNode_",getCategoryLevelAsString($B150))),";",EscStr($J150),";"),CONCATENATE(";",EscStr(CONCATENATE("NavNode_",getCategoryLevelAsString($B150))),";",EscStr(U150),";")))</f>
        <v>;"NavNode_L3D_525547";"Měniče DC/AC";</v>
      </c>
      <c r="AO150" s="10" t="str">
        <f>IF(getCategoryLevelAsString($B150)="L0D_324785","",IF(V150="",CONCATENATE(";",EscStr(CONCATENATE("NavNode_",getCategoryLevelAsString($B150))),";",EscStr($J150),";"),CONCATENATE(";",EscStr(CONCATENATE("NavNode_",getCategoryLevelAsString($B150))),";",EscStr(V150),";")))</f>
        <v>;"NavNode_L3D_525547";"Invertoare c.c./c.a.";</v>
      </c>
      <c r="AP150" s="10" t="str">
        <f>IF(getCategoryLevelAsString($B150)="L0D_324785","",IF(W150="",CONCATENATE(";",EscStr(CONCATENATE("NavNode_",getCategoryLevelAsString($B150))),";",EscStr($J150),";"),CONCATENATE(";",EscStr(CONCATENATE("NavNode_",getCategoryLevelAsString($B150))),";",EscStr(W150),";")))</f>
        <v>;"NavNode_L3D_525547";"DC/AC inverterek";</v>
      </c>
      <c r="AQ150" s="10" t="str">
        <f>IF(getCategoryLevelAsString($B150)="L0D_324785","",IF(X150="",CONCATENATE(";",EscStr(CONCATENATE("NavNode_",getCategoryLevelAsString($B150))),";",EscStr($J150),";"),CONCATENATE(";",EscStr(CONCATENATE("NavNode_",getCategoryLevelAsString($B150))),";",EscStr(X150),";")))</f>
        <v>;"NavNode_L3D_525547";"Měniče DC/AC";</v>
      </c>
      <c r="AR150" s="8" t="str">
        <f>IF(OR($A150&lt;&gt;"", $G150=""),"",CONCATENATE(";",EscStr(CONCATENATE("NavEntry_",getCategoryLevelAsString($B150))),";",EscStr(CONCATENATE($J150," Navigation Entry")),";",EscStr(CONCATENATE("cat-",getCategoryLevelAsString($B150))),";",EscStr(CONCATENATE("NavNode_",getCategoryLevelAsString($B150))),";"))</f>
        <v>;"NavEntry_L3D_525547";"DC/AC Inverters Navigation Entry";"cat-L3D_525547";"NavNode_L3D_525547";</v>
      </c>
    </row>
    <row r="151" spans="1:44" ht="15" x14ac:dyDescent="0.25">
      <c r="A151" s="25"/>
      <c r="B151" s="5"/>
      <c r="C151" s="5"/>
      <c r="D151" s="5" t="s">
        <v>197</v>
      </c>
      <c r="E151" s="5"/>
      <c r="F151" s="5"/>
      <c r="G151" s="5" t="s">
        <v>954</v>
      </c>
      <c r="H151" s="5" t="s">
        <v>717</v>
      </c>
      <c r="I151" s="5" t="s">
        <v>699</v>
      </c>
      <c r="J151" s="5" t="s">
        <v>471</v>
      </c>
      <c r="K151" s="5" t="s">
        <v>1351</v>
      </c>
      <c r="L151" s="5" t="s">
        <v>1585</v>
      </c>
      <c r="M151" s="5" t="s">
        <v>1798</v>
      </c>
      <c r="N151" s="5" t="s">
        <v>2007</v>
      </c>
      <c r="O151" s="5" t="s">
        <v>3908</v>
      </c>
      <c r="P151" s="5" t="s">
        <v>3909</v>
      </c>
      <c r="Q151" s="5" t="s">
        <v>3910</v>
      </c>
      <c r="R151" s="5" t="s">
        <v>3911</v>
      </c>
      <c r="S151" s="5" t="s">
        <v>3912</v>
      </c>
      <c r="T151" s="5" t="s">
        <v>3913</v>
      </c>
      <c r="U151" s="5" t="s">
        <v>3914</v>
      </c>
      <c r="V151" s="5" t="s">
        <v>3915</v>
      </c>
      <c r="W151" s="5" t="s">
        <v>3916</v>
      </c>
      <c r="X151" s="5" t="s">
        <v>3914</v>
      </c>
      <c r="Y151" s="10" t="str">
        <f>IF(OR($A151&lt;&gt;"", $G151=""),"",CONCATENATE(";",EscStr(CONCATENATE("NavNode_",getCategoryLevelAsString($B151))),";",EscStr($J151),";",IF($B151&lt;&gt;"","""MainNavNode""",EscStr(CONCATENATE("NavNode_",getSuperCategory($B151, getCategoryLevelAsNumber($B151))))),";"))</f>
        <v>;"NavNode_L3D_525545";"Renewable energy";"NavNode_L2D_379649";</v>
      </c>
      <c r="Z151" s="10" t="str">
        <f>IF(getCategoryLevelAsString($B151)="L0D_324785","",IF(G151="",CONCATENATE(";",EscStr(CONCATENATE("NavNode_",getCategoryLevelAsString($B151))),";",EscStr($J151),";"),CONCATENATE(";",EscStr(CONCATENATE("NavNode_",getCategoryLevelAsString($B151))),";",EscStr(G151),";")))</f>
        <v>;"NavNode_L3D_525545";"Erneuerbare Energie";</v>
      </c>
      <c r="AA151" s="10" t="str">
        <f>IF(getCategoryLevelAsString($B151)="L0D_324785","",IF(H151="",CONCATENATE(";",EscStr(CONCATENATE("NavNode_",getCategoryLevelAsString($B151))),";",EscStr($J151),";"),CONCATENATE(";",EscStr(CONCATENATE("NavNode_",getCategoryLevelAsString($B151))),";",EscStr(H151),";")))</f>
        <v>;"NavNode_L3D_525545";"Énergie renouvelable";</v>
      </c>
      <c r="AB151" s="10" t="str">
        <f>IF(getCategoryLevelAsString($B151)="L0D_324785","",IF(I151="",CONCATENATE(";",EscStr(CONCATENATE("NavNode_",getCategoryLevelAsString($B151))),";",EscStr($J151),";"),CONCATENATE(";",EscStr(CONCATENATE("NavNode_",getCategoryLevelAsString($B151))),";",EscStr(I151),";")))</f>
        <v>;"NavNode_L3D_525545";"Energia rinnovabile";</v>
      </c>
      <c r="AC151" s="10" t="str">
        <f>IF(getCategoryLevelAsString($B151)="L0D_324785","",IF(J151="",CONCATENATE(";",EscStr(CONCATENATE("NavNode_",getCategoryLevelAsString($B151))),";",EscStr($J151),";"),CONCATENATE(";",EscStr(CONCATENATE("NavNode_",getCategoryLevelAsString($B151))),";",EscStr(J151),";")))</f>
        <v>;"NavNode_L3D_525545";"Renewable energy";</v>
      </c>
      <c r="AD151" s="10" t="str">
        <f>IF(getCategoryLevelAsString($B151)="L0D_324785","",IF(K151="",CONCATENATE(";",EscStr(CONCATENATE("NavNode_",getCategoryLevelAsString($B151))),";",EscStr($J151),";"),CONCATENATE(";",EscStr(CONCATENATE("NavNode_",getCategoryLevelAsString($B151))),";",EscStr(K151),";")))</f>
        <v>;"NavNode_L3D_525545";"Vedvarende energi";</v>
      </c>
      <c r="AE151" s="10" t="str">
        <f>IF(getCategoryLevelAsString($B151)="L0D_324785","",IF(L151="",CONCATENATE(";",EscStr(CONCATENATE("NavNode_",getCategoryLevelAsString($B151))),";",EscStr($J151),";"),CONCATENATE(";",EscStr(CONCATENATE("NavNode_",getCategoryLevelAsString($B151))),";",EscStr(L151),";")))</f>
        <v>;"NavNode_L3D_525545";"Energija iš atsinaujinančiųjų išteklių";</v>
      </c>
      <c r="AF151" s="10" t="str">
        <f>IF(getCategoryLevelAsString($B151)="L0D_324785","",IF(M151="",CONCATENATE(";",EscStr(CONCATENATE("NavNode_",getCategoryLevelAsString($B151))),";",EscStr($J151),";"),CONCATENATE(";",EscStr(CONCATENATE("NavNode_",getCategoryLevelAsString($B151))),";",EscStr(M151),";")))</f>
        <v>;"NavNode_L3D_525545";"Fornybar energi";</v>
      </c>
      <c r="AG151" s="10" t="str">
        <f>IF(getCategoryLevelAsString($B151)="L0D_324785","",IF(N151="",CONCATENATE(";",EscStr(CONCATENATE("NavNode_",getCategoryLevelAsString($B151))),";",EscStr($J151),";"),CONCATENATE(";",EscStr(CONCATENATE("NavNode_",getCategoryLevelAsString($B151))),";",EscStr(N151),";")))</f>
        <v>;"NavNode_L3D_525545";"Förnybar energi";</v>
      </c>
      <c r="AH151" s="10" t="str">
        <f>IF(getCategoryLevelAsString($B151)="L0D_324785","",IF(O151="",CONCATENATE(";",EscStr(CONCATENATE("NavNode_",getCategoryLevelAsString($B151))),";",EscStr($J151),";"),CONCATENATE(";",EscStr(CONCATENATE("NavNode_",getCategoryLevelAsString($B151))),";",EscStr(O151),";")))</f>
        <v>;"NavNode_L3D_525545";"Taastuvenergia";</v>
      </c>
      <c r="AI151" s="10" t="str">
        <f>IF(getCategoryLevelAsString($B151)="L0D_324785","",IF(P151="",CONCATENATE(";",EscStr(CONCATENATE("NavNode_",getCategoryLevelAsString($B151))),";",EscStr($J151),";"),CONCATENATE(";",EscStr(CONCATENATE("NavNode_",getCategoryLevelAsString($B151))),";",EscStr(P151),";")))</f>
        <v>;"NavNode_L3D_525545";"Usiutuva energia";</v>
      </c>
      <c r="AJ151" s="10" t="str">
        <f>IF(getCategoryLevelAsString($B151)="L0D_324785","",IF(Q151="",CONCATENATE(";",EscStr(CONCATENATE("NavNode_",getCategoryLevelAsString($B151))),";",EscStr($J151),";"),CONCATENATE(";",EscStr(CONCATENATE("NavNode_",getCategoryLevelAsString($B151))),";",EscStr(Q151),";")))</f>
        <v>;"NavNode_L3D_525545";"Atjaunojamā enerģija";</v>
      </c>
      <c r="AK151" s="10" t="str">
        <f>IF(getCategoryLevelAsString($B151)="L0D_324785","",IF(R151="",CONCATENATE(";",EscStr(CONCATENATE("NavNode_",getCategoryLevelAsString($B151))),";",EscStr($J151),";"),CONCATENATE(";",EscStr(CONCATENATE("NavNode_",getCategoryLevelAsString($B151))),";",EscStr(R151),";")))</f>
        <v>;"NavNode_L3D_525545";"Zon &amp; Wind energie";</v>
      </c>
      <c r="AL151" s="10" t="str">
        <f>IF(getCategoryLevelAsString($B151)="L0D_324785","",IF(S151="",CONCATENATE(";",EscStr(CONCATENATE("NavNode_",getCategoryLevelAsString($B151))),";",EscStr($J151),";"),CONCATENATE(";",EscStr(CONCATENATE("NavNode_",getCategoryLevelAsString($B151))),";",EscStr(S151),";")))</f>
        <v>;"NavNode_L3D_525545";"Energia odnawialna";</v>
      </c>
      <c r="AM151" s="10" t="str">
        <f>IF(getCategoryLevelAsString($B151)="L0D_324785","",IF(T151="",CONCATENATE(";",EscStr(CONCATENATE("NavNode_",getCategoryLevelAsString($B151))),";",EscStr($J151),";"),CONCATENATE(";",EscStr(CONCATENATE("NavNode_",getCategoryLevelAsString($B151))),";",EscStr(T151),";")))</f>
        <v>;"NavNode_L3D_525545";"Возобновляемые источники энергии";</v>
      </c>
      <c r="AN151" s="10" t="str">
        <f>IF(getCategoryLevelAsString($B151)="L0D_324785","",IF(U151="",CONCATENATE(";",EscStr(CONCATENATE("NavNode_",getCategoryLevelAsString($B151))),";",EscStr($J151),";"),CONCATENATE(";",EscStr(CONCATENATE("NavNode_",getCategoryLevelAsString($B151))),";",EscStr(U151),";")))</f>
        <v>;"NavNode_L3D_525545";"Obnovitelné zdroje energie";</v>
      </c>
      <c r="AO151" s="10" t="str">
        <f>IF(getCategoryLevelAsString($B151)="L0D_324785","",IF(V151="",CONCATENATE(";",EscStr(CONCATENATE("NavNode_",getCategoryLevelAsString($B151))),";",EscStr($J151),";"),CONCATENATE(";",EscStr(CONCATENATE("NavNode_",getCategoryLevelAsString($B151))),";",EscStr(V151),";")))</f>
        <v>;"NavNode_L3D_525545";"Energie Regenerabilă";</v>
      </c>
      <c r="AP151" s="10" t="str">
        <f>IF(getCategoryLevelAsString($B151)="L0D_324785","",IF(W151="",CONCATENATE(";",EscStr(CONCATENATE("NavNode_",getCategoryLevelAsString($B151))),";",EscStr($J151),";"),CONCATENATE(";",EscStr(CONCATENATE("NavNode_",getCategoryLevelAsString($B151))),";",EscStr(W151),";")))</f>
        <v>;"NavNode_L3D_525545";"Megújuló energia";</v>
      </c>
      <c r="AQ151" s="10" t="str">
        <f>IF(getCategoryLevelAsString($B151)="L0D_324785","",IF(X151="",CONCATENATE(";",EscStr(CONCATENATE("NavNode_",getCategoryLevelAsString($B151))),";",EscStr($J151),";"),CONCATENATE(";",EscStr(CONCATENATE("NavNode_",getCategoryLevelAsString($B151))),";",EscStr(X151),";")))</f>
        <v>;"NavNode_L3D_525545";"Obnovitelné zdroje energie";</v>
      </c>
      <c r="AR151" s="8" t="str">
        <f>IF(OR($A151&lt;&gt;"", $G151=""),"",CONCATENATE(";",EscStr(CONCATENATE("NavEntry_",getCategoryLevelAsString($B151))),";",EscStr(CONCATENATE($J151," Navigation Entry")),";",EscStr(CONCATENATE("cat-",getCategoryLevelAsString($B151))),";",EscStr(CONCATENATE("NavNode_",getCategoryLevelAsString($B151))),";"))</f>
        <v>;"NavEntry_L3D_525545";"Renewable energy Navigation Entry";"cat-L3D_525545";"NavNode_L3D_525545";</v>
      </c>
    </row>
    <row r="152" spans="1:44" ht="15" x14ac:dyDescent="0.25">
      <c r="A152" s="25"/>
      <c r="B152" s="5"/>
      <c r="C152" s="5"/>
      <c r="D152" s="5" t="s">
        <v>191</v>
      </c>
      <c r="E152" s="5"/>
      <c r="F152" s="5"/>
      <c r="G152" s="5" t="s">
        <v>462</v>
      </c>
      <c r="H152" s="5" t="s">
        <v>463</v>
      </c>
      <c r="I152" s="5" t="s">
        <v>464</v>
      </c>
      <c r="J152" s="5" t="s">
        <v>192</v>
      </c>
      <c r="K152" s="5" t="s">
        <v>1352</v>
      </c>
      <c r="L152" s="5" t="s">
        <v>1586</v>
      </c>
      <c r="M152" s="5" t="s">
        <v>1799</v>
      </c>
      <c r="N152" s="5" t="s">
        <v>2008</v>
      </c>
      <c r="O152" s="5" t="s">
        <v>3917</v>
      </c>
      <c r="P152" s="5" t="s">
        <v>3918</v>
      </c>
      <c r="Q152" s="5" t="s">
        <v>3919</v>
      </c>
      <c r="R152" s="5" t="s">
        <v>3920</v>
      </c>
      <c r="S152" s="5" t="s">
        <v>3921</v>
      </c>
      <c r="T152" s="5" t="s">
        <v>3922</v>
      </c>
      <c r="U152" s="5" t="s">
        <v>3923</v>
      </c>
      <c r="V152" s="5" t="s">
        <v>3924</v>
      </c>
      <c r="W152" s="5" t="s">
        <v>3925</v>
      </c>
      <c r="X152" s="5" t="s">
        <v>3923</v>
      </c>
      <c r="Y152" s="10" t="str">
        <f>IF(OR($A152&lt;&gt;"", $G152=""),"",CONCATENATE(";",EscStr(CONCATENATE("NavNode_",getCategoryLevelAsString($B152))),";",EscStr($J152),";",IF($B152&lt;&gt;"","""MainNavNode""",EscStr(CONCATENATE("NavNode_",getSuperCategory($B152, getCategoryLevelAsNumber($B152))))),";"))</f>
        <v>;"NavNode_L2D_379651";"Primary &amp; Rechargeable Battery Accessories";"NavNode_Power Supplies / Batteries / Transformers";</v>
      </c>
      <c r="Z152" s="10" t="str">
        <f>IF(getCategoryLevelAsString($B152)="L0D_324785","",IF(G152="",CONCATENATE(";",EscStr(CONCATENATE("NavNode_",getCategoryLevelAsString($B152))),";",EscStr($J152),";"),CONCATENATE(";",EscStr(CONCATENATE("NavNode_",getCategoryLevelAsString($B152))),";",EscStr(G152),";")))</f>
        <v>;"NavNode_L2D_379651";"Zubehör für Gerätebatterien &amp; Akkus";</v>
      </c>
      <c r="AA152" s="10" t="str">
        <f>IF(getCategoryLevelAsString($B152)="L0D_324785","",IF(H152="",CONCATENATE(";",EscStr(CONCATENATE("NavNode_",getCategoryLevelAsString($B152))),";",EscStr($J152),";"),CONCATENATE(";",EscStr(CONCATENATE("NavNode_",getCategoryLevelAsString($B152))),";",EscStr(H152),";")))</f>
        <v>;"NavNode_L2D_379651";"Accessoires pour piles et accumulateurs";</v>
      </c>
      <c r="AB152" s="10" t="str">
        <f>IF(getCategoryLevelAsString($B152)="L0D_324785","",IF(I152="",CONCATENATE(";",EscStr(CONCATENATE("NavNode_",getCategoryLevelAsString($B152))),";",EscStr($J152),";"),CONCATENATE(";",EscStr(CONCATENATE("NavNode_",getCategoryLevelAsString($B152))),";",EscStr(I152),";")))</f>
        <v>;"NavNode_L2D_379651";"Accessori per batterie primarie e ricaricabili";</v>
      </c>
      <c r="AC152" s="10" t="str">
        <f>IF(getCategoryLevelAsString($B152)="L0D_324785","",IF(J152="",CONCATENATE(";",EscStr(CONCATENATE("NavNode_",getCategoryLevelAsString($B152))),";",EscStr($J152),";"),CONCATENATE(";",EscStr(CONCATENATE("NavNode_",getCategoryLevelAsString($B152))),";",EscStr(J152),";")))</f>
        <v>;"NavNode_L2D_379651";"Primary &amp; Rechargeable Battery Accessories";</v>
      </c>
      <c r="AD152" s="10" t="str">
        <f>IF(getCategoryLevelAsString($B152)="L0D_324785","",IF(K152="",CONCATENATE(";",EscStr(CONCATENATE("NavNode_",getCategoryLevelAsString($B152))),";",EscStr($J152),";"),CONCATENATE(";",EscStr(CONCATENATE("NavNode_",getCategoryLevelAsString($B152))),";",EscStr(K152),";")))</f>
        <v>;"NavNode_L2D_379651";"Udstyr til primærbatterier &amp; genopladelige batterier";</v>
      </c>
      <c r="AE152" s="10" t="str">
        <f>IF(getCategoryLevelAsString($B152)="L0D_324785","",IF(L152="",CONCATENATE(";",EscStr(CONCATENATE("NavNode_",getCategoryLevelAsString($B152))),";",EscStr($J152),";"),CONCATENATE(";",EscStr(CONCATENATE("NavNode_",getCategoryLevelAsString($B152))),";",EscStr(L152),";")))</f>
        <v>;"NavNode_L2D_379651";"Įprastų ir įkraunamų baterijų priedai";</v>
      </c>
      <c r="AF152" s="10" t="str">
        <f>IF(getCategoryLevelAsString($B152)="L0D_324785","",IF(M152="",CONCATENATE(";",EscStr(CONCATENATE("NavNode_",getCategoryLevelAsString($B152))),";",EscStr($J152),";"),CONCATENATE(";",EscStr(CONCATENATE("NavNode_",getCategoryLevelAsString($B152))),";",EscStr(M152),";")))</f>
        <v>;"NavNode_L2D_379651";"Tilbehør til primærbatterier og oppladbare batterier";</v>
      </c>
      <c r="AG152" s="10" t="str">
        <f>IF(getCategoryLevelAsString($B152)="L0D_324785","",IF(N152="",CONCATENATE(";",EscStr(CONCATENATE("NavNode_",getCategoryLevelAsString($B152))),";",EscStr($J152),";"),CONCATENATE(";",EscStr(CONCATENATE("NavNode_",getCategoryLevelAsString($B152))),";",EscStr(N152),";")))</f>
        <v>;"NavNode_L2D_379651";"Tillbehör till primära och laddningsbara batterier";</v>
      </c>
      <c r="AH152" s="10" t="str">
        <f>IF(getCategoryLevelAsString($B152)="L0D_324785","",IF(O152="",CONCATENATE(";",EscStr(CONCATENATE("NavNode_",getCategoryLevelAsString($B152))),";",EscStr($J152),";"),CONCATENATE(";",EscStr(CONCATENATE("NavNode_",getCategoryLevelAsString($B152))),";",EscStr(O152),";")))</f>
        <v>;"NavNode_L2D_379651";"Patareide ja akude tarvikud";</v>
      </c>
      <c r="AI152" s="10" t="str">
        <f>IF(getCategoryLevelAsString($B152)="L0D_324785","",IF(P152="",CONCATENATE(";",EscStr(CONCATENATE("NavNode_",getCategoryLevelAsString($B152))),";",EscStr($J152),";"),CONCATENATE(";",EscStr(CONCATENATE("NavNode_",getCategoryLevelAsString($B152))),";",EscStr(P152),";")))</f>
        <v>;"NavNode_L2D_379651";"Paristotarvikkeet";</v>
      </c>
      <c r="AJ152" s="10" t="str">
        <f>IF(getCategoryLevelAsString($B152)="L0D_324785","",IF(Q152="",CONCATENATE(";",EscStr(CONCATENATE("NavNode_",getCategoryLevelAsString($B152))),";",EscStr($J152),";"),CONCATENATE(";",EscStr(CONCATENATE("NavNode_",getCategoryLevelAsString($B152))),";",EscStr(Q152),";")))</f>
        <v>;"NavNode_L2D_379651";"Bateriju un akumulatoru piederumi";</v>
      </c>
      <c r="AK152" s="10" t="str">
        <f>IF(getCategoryLevelAsString($B152)="L0D_324785","",IF(R152="",CONCATENATE(";",EscStr(CONCATENATE("NavNode_",getCategoryLevelAsString($B152))),";",EscStr($J152),";"),CONCATENATE(";",EscStr(CONCATENATE("NavNode_",getCategoryLevelAsString($B152))),";",EscStr(R152),";")))</f>
        <v>;"NavNode_L2D_379651";"Eenmalige en oplaadbare batterij accessoires";</v>
      </c>
      <c r="AL152" s="10" t="str">
        <f>IF(getCategoryLevelAsString($B152)="L0D_324785","",IF(S152="",CONCATENATE(";",EscStr(CONCATENATE("NavNode_",getCategoryLevelAsString($B152))),";",EscStr($J152),";"),CONCATENATE(";",EscStr(CONCATENATE("NavNode_",getCategoryLevelAsString($B152))),";",EscStr(S152),";")))</f>
        <v>;"NavNode_L2D_379651";"Akcesoria do baterii i akumulatorów";</v>
      </c>
      <c r="AM152" s="10" t="str">
        <f>IF(getCategoryLevelAsString($B152)="L0D_324785","",IF(T152="",CONCATENATE(";",EscStr(CONCATENATE("NavNode_",getCategoryLevelAsString($B152))),";",EscStr($J152),";"),CONCATENATE(";",EscStr(CONCATENATE("NavNode_",getCategoryLevelAsString($B152))),";",EscStr(T152),";")))</f>
        <v>;"NavNode_L2D_379651";"Аксессуары для батарей / аккумуляторов";</v>
      </c>
      <c r="AN152" s="10" t="str">
        <f>IF(getCategoryLevelAsString($B152)="L0D_324785","",IF(U152="",CONCATENATE(";",EscStr(CONCATENATE("NavNode_",getCategoryLevelAsString($B152))),";",EscStr($J152),";"),CONCATENATE(";",EscStr(CONCATENATE("NavNode_",getCategoryLevelAsString($B152))),";",EscStr(U152),";")))</f>
        <v>;"NavNode_L2D_379651";"Příslušenství pro přístrojové baterie a akumulátory";</v>
      </c>
      <c r="AO152" s="10" t="str">
        <f>IF(getCategoryLevelAsString($B152)="L0D_324785","",IF(V152="",CONCATENATE(";",EscStr(CONCATENATE("NavNode_",getCategoryLevelAsString($B152))),";",EscStr($J152),";"),CONCATENATE(";",EscStr(CONCATENATE("NavNode_",getCategoryLevelAsString($B152))),";",EscStr(V152),";")))</f>
        <v>;"NavNode_L2D_379651";"Accesorii pentru baterii &amp; acumulatori";</v>
      </c>
      <c r="AP152" s="10" t="str">
        <f>IF(getCategoryLevelAsString($B152)="L0D_324785","",IF(W152="",CONCATENATE(";",EscStr(CONCATENATE("NavNode_",getCategoryLevelAsString($B152))),";",EscStr($J152),";"),CONCATENATE(";",EscStr(CONCATENATE("NavNode_",getCategoryLevelAsString($B152))),";",EscStr(W152),";")))</f>
        <v>;"NavNode_L2D_379651";"Tartozék a készüléktelepekhez és akkukhoz";</v>
      </c>
      <c r="AQ152" s="10" t="str">
        <f>IF(getCategoryLevelAsString($B152)="L0D_324785","",IF(X152="",CONCATENATE(";",EscStr(CONCATENATE("NavNode_",getCategoryLevelAsString($B152))),";",EscStr($J152),";"),CONCATENATE(";",EscStr(CONCATENATE("NavNode_",getCategoryLevelAsString($B152))),";",EscStr(X152),";")))</f>
        <v>;"NavNode_L2D_379651";"Příslušenství pro přístrojové baterie a akumulátory";</v>
      </c>
      <c r="AR152" s="8" t="str">
        <f>IF(OR($A152&lt;&gt;"", $G152=""),"",CONCATENATE(";",EscStr(CONCATENATE("NavEntry_",getCategoryLevelAsString($B152))),";",EscStr(CONCATENATE($J152," Navigation Entry")),";",EscStr(CONCATENATE("cat-",getCategoryLevelAsString($B152))),";",EscStr(CONCATENATE("NavNode_",getCategoryLevelAsString($B152))),";"))</f>
        <v>;"NavEntry_L2D_379651";"Primary &amp; Rechargeable Battery Accessories Navigation Entry";"cat-L2D_379651";"NavNode_L2D_379651";</v>
      </c>
    </row>
    <row r="153" spans="1:44" ht="15" x14ac:dyDescent="0.25">
      <c r="A153" s="25"/>
      <c r="B153" s="5"/>
      <c r="C153" s="5" t="s">
        <v>49</v>
      </c>
      <c r="D153" s="5"/>
      <c r="E153" s="5"/>
      <c r="F153" s="5"/>
      <c r="G153" s="5" t="s">
        <v>472</v>
      </c>
      <c r="H153" s="5" t="s">
        <v>473</v>
      </c>
      <c r="I153" s="5" t="s">
        <v>474</v>
      </c>
      <c r="J153" s="5" t="s">
        <v>13</v>
      </c>
      <c r="K153" s="5" t="s">
        <v>1353</v>
      </c>
      <c r="L153" s="5" t="s">
        <v>1587</v>
      </c>
      <c r="M153" s="5" t="s">
        <v>1353</v>
      </c>
      <c r="N153" s="5" t="s">
        <v>2009</v>
      </c>
      <c r="O153" s="5" t="s">
        <v>3926</v>
      </c>
      <c r="P153" s="5" t="s">
        <v>3927</v>
      </c>
      <c r="Q153" s="5" t="s">
        <v>3928</v>
      </c>
      <c r="R153" s="5" t="s">
        <v>3929</v>
      </c>
      <c r="S153" s="5" t="s">
        <v>3930</v>
      </c>
      <c r="T153" s="5" t="s">
        <v>3931</v>
      </c>
      <c r="U153" s="5" t="s">
        <v>3932</v>
      </c>
      <c r="V153" s="5" t="s">
        <v>3933</v>
      </c>
      <c r="W153" s="5" t="s">
        <v>3934</v>
      </c>
      <c r="X153" s="5" t="s">
        <v>3932</v>
      </c>
      <c r="Y153" s="10" t="str">
        <f>IF(OR($A153&lt;&gt;"", $G153=""),"",CONCATENATE(";",EscStr(CONCATENATE("NavNode_",getCategoryLevelAsString($B153))),";",EscStr($J153),";",IF($B153&lt;&gt;"","""MainNavNode""",EscStr(CONCATENATE("NavNode_",getSuperCategory($B153, getCategoryLevelAsNumber($B153))))),";"))</f>
        <v>;"NavNode_L3D_525548";"Industrial power DC/DC, AC/DC";"NavNode_L2D_379651";</v>
      </c>
      <c r="Z153" s="10" t="str">
        <f>IF(getCategoryLevelAsString($B153)="L0D_324785","",IF(G153="",CONCATENATE(";",EscStr(CONCATENATE("NavNode_",getCategoryLevelAsString($B153))),";",EscStr($J153),";"),CONCATENATE(";",EscStr(CONCATENATE("NavNode_",getCategoryLevelAsString($B153))),";",EscStr(G153),";")))</f>
        <v>;"NavNode_L3D_525548";"Industrienetzgerät DC/DC, AC/DC";</v>
      </c>
      <c r="AA153" s="10" t="str">
        <f>IF(getCategoryLevelAsString($B153)="L0D_324785","",IF(H153="",CONCATENATE(";",EscStr(CONCATENATE("NavNode_",getCategoryLevelAsString($B153))),";",EscStr($J153),";"),CONCATENATE(";",EscStr(CONCATENATE("NavNode_",getCategoryLevelAsString($B153))),";",EscStr(H153),";")))</f>
        <v>;"NavNode_L3D_525548";"Alimentation électrique industrielle DC/DC, AC/DC";</v>
      </c>
      <c r="AB153" s="10" t="str">
        <f>IF(getCategoryLevelAsString($B153)="L0D_324785","",IF(I153="",CONCATENATE(";",EscStr(CONCATENATE("NavNode_",getCategoryLevelAsString($B153))),";",EscStr($J153),";"),CONCATENATE(";",EscStr(CONCATENATE("NavNode_",getCategoryLevelAsString($B153))),";",EscStr(I153),";")))</f>
        <v>;"NavNode_L3D_525548";"Alimentazione industriale DC/DC, AC/DC";</v>
      </c>
      <c r="AC153" s="10" t="str">
        <f>IF(getCategoryLevelAsString($B153)="L0D_324785","",IF(J153="",CONCATENATE(";",EscStr(CONCATENATE("NavNode_",getCategoryLevelAsString($B153))),";",EscStr($J153),";"),CONCATENATE(";",EscStr(CONCATENATE("NavNode_",getCategoryLevelAsString($B153))),";",EscStr(J153),";")))</f>
        <v>;"NavNode_L3D_525548";"Industrial power DC/DC, AC/DC";</v>
      </c>
      <c r="AD153" s="10" t="str">
        <f>IF(getCategoryLevelAsString($B153)="L0D_324785","",IF(K153="",CONCATENATE(";",EscStr(CONCATENATE("NavNode_",getCategoryLevelAsString($B153))),";",EscStr($J153),";"),CONCATENATE(";",EscStr(CONCATENATE("NavNode_",getCategoryLevelAsString($B153))),";",EscStr(K153),";")))</f>
        <v>;"NavNode_L3D_525548";"Industristrøm DC/DC, AC/DC";</v>
      </c>
      <c r="AE153" s="10" t="str">
        <f>IF(getCategoryLevelAsString($B153)="L0D_324785","",IF(L153="",CONCATENATE(";",EscStr(CONCATENATE("NavNode_",getCategoryLevelAsString($B153))),";",EscStr($J153),";"),CONCATENATE(";",EscStr(CONCATENATE("NavNode_",getCategoryLevelAsString($B153))),";",EscStr(L153),";")))</f>
        <v>;"NavNode_L3D_525548";"Pramoninio maitinimo DC/DC, AC/DC";</v>
      </c>
      <c r="AF153" s="10" t="str">
        <f>IF(getCategoryLevelAsString($B153)="L0D_324785","",IF(M153="",CONCATENATE(";",EscStr(CONCATENATE("NavNode_",getCategoryLevelAsString($B153))),";",EscStr($J153),";"),CONCATENATE(";",EscStr(CONCATENATE("NavNode_",getCategoryLevelAsString($B153))),";",EscStr(M153),";")))</f>
        <v>;"NavNode_L3D_525548";"Industristrøm DC/DC, AC/DC";</v>
      </c>
      <c r="AG153" s="10" t="str">
        <f>IF(getCategoryLevelAsString($B153)="L0D_324785","",IF(N153="",CONCATENATE(";",EscStr(CONCATENATE("NavNode_",getCategoryLevelAsString($B153))),";",EscStr($J153),";"),CONCATENATE(";",EscStr(CONCATENATE("NavNode_",getCategoryLevelAsString($B153))),";",EscStr(N153),";")))</f>
        <v>;"NavNode_L3D_525548";"Industriström DC/DC, AC/DC";</v>
      </c>
      <c r="AH153" s="10" t="str">
        <f>IF(getCategoryLevelAsString($B153)="L0D_324785","",IF(O153="",CONCATENATE(";",EscStr(CONCATENATE("NavNode_",getCategoryLevelAsString($B153))),";",EscStr($J153),";"),CONCATENATE(";",EscStr(CONCATENATE("NavNode_",getCategoryLevelAsString($B153))),";",EscStr(O153),";")))</f>
        <v>;"NavNode_L3D_525548";"Tööstuslikud toiteplokid DC/DC, AC/DC";</v>
      </c>
      <c r="AI153" s="10" t="str">
        <f>IF(getCategoryLevelAsString($B153)="L0D_324785","",IF(P153="",CONCATENATE(";",EscStr(CONCATENATE("NavNode_",getCategoryLevelAsString($B153))),";",EscStr($J153),";"),CONCATENATE(";",EscStr(CONCATENATE("NavNode_",getCategoryLevelAsString($B153))),";",EscStr(P153),";")))</f>
        <v>;"NavNode_L3D_525548";"Teollisuusteholähteet";</v>
      </c>
      <c r="AJ153" s="10" t="str">
        <f>IF(getCategoryLevelAsString($B153)="L0D_324785","",IF(Q153="",CONCATENATE(";",EscStr(CONCATENATE("NavNode_",getCategoryLevelAsString($B153))),";",EscStr($J153),";"),CONCATENATE(";",EscStr(CONCATENATE("NavNode_",getCategoryLevelAsString($B153))),";",EscStr(Q153),";")))</f>
        <v>;"NavNode_L3D_525548";"Industriālā barošana DC/DC, AC/DC";</v>
      </c>
      <c r="AK153" s="10" t="str">
        <f>IF(getCategoryLevelAsString($B153)="L0D_324785","",IF(R153="",CONCATENATE(";",EscStr(CONCATENATE("NavNode_",getCategoryLevelAsString($B153))),";",EscStr($J153),";"),CONCATENATE(";",EscStr(CONCATENATE("NavNode_",getCategoryLevelAsString($B153))),";",EscStr(R153),";")))</f>
        <v>;"NavNode_L3D_525548";"Industriele voedingen DC/DC, AC/DC";</v>
      </c>
      <c r="AL153" s="10" t="str">
        <f>IF(getCategoryLevelAsString($B153)="L0D_324785","",IF(S153="",CONCATENATE(";",EscStr(CONCATENATE("NavNode_",getCategoryLevelAsString($B153))),";",EscStr($J153),";"),CONCATENATE(";",EscStr(CONCATENATE("NavNode_",getCategoryLevelAsString($B153))),";",EscStr(S153),";")))</f>
        <v>;"NavNode_L3D_525548";"Przetwornice przemysłowe DC/DC, AC/DC";</v>
      </c>
      <c r="AM153" s="10" t="str">
        <f>IF(getCategoryLevelAsString($B153)="L0D_324785","",IF(T153="",CONCATENATE(";",EscStr(CONCATENATE("NavNode_",getCategoryLevelAsString($B153))),";",EscStr($J153),";"),CONCATENATE(";",EscStr(CONCATENATE("NavNode_",getCategoryLevelAsString($B153))),";",EscStr(T153),";")))</f>
        <v>;"NavNode_L3D_525548";"Промышленные источники питания DC/DC, AC/DC";</v>
      </c>
      <c r="AN153" s="10" t="str">
        <f>IF(getCategoryLevelAsString($B153)="L0D_324785","",IF(U153="",CONCATENATE(";",EscStr(CONCATENATE("NavNode_",getCategoryLevelAsString($B153))),";",EscStr($J153),";"),CONCATENATE(";",EscStr(CONCATENATE("NavNode_",getCategoryLevelAsString($B153))),";",EscStr(U153),";")))</f>
        <v>;"NavNode_L3D_525548";"Průmyslový napájecí zdroj DC / DC, AC / DC";</v>
      </c>
      <c r="AO153" s="10" t="str">
        <f>IF(getCategoryLevelAsString($B153)="L0D_324785","",IF(V153="",CONCATENATE(";",EscStr(CONCATENATE("NavNode_",getCategoryLevelAsString($B153))),";",EscStr($J153),";"),CONCATENATE(";",EscStr(CONCATENATE("NavNode_",getCategoryLevelAsString($B153))),";",EscStr(V153),";")))</f>
        <v>;"NavNode_L3D_525548";"Surse de alimentare industriale DC/DC, AC/DC";</v>
      </c>
      <c r="AP153" s="10" t="str">
        <f>IF(getCategoryLevelAsString($B153)="L0D_324785","",IF(W153="",CONCATENATE(";",EscStr(CONCATENATE("NavNode_",getCategoryLevelAsString($B153))),";",EscStr($J153),";"),CONCATENATE(";",EscStr(CONCATENATE("NavNode_",getCategoryLevelAsString($B153))),";",EscStr(W153),";")))</f>
        <v>;"NavNode_L3D_525548";"Ipari töltőkészülék DC/DC, AC/DC";</v>
      </c>
      <c r="AQ153" s="10" t="str">
        <f>IF(getCategoryLevelAsString($B153)="L0D_324785","",IF(X153="",CONCATENATE(";",EscStr(CONCATENATE("NavNode_",getCategoryLevelAsString($B153))),";",EscStr($J153),";"),CONCATENATE(";",EscStr(CONCATENATE("NavNode_",getCategoryLevelAsString($B153))),";",EscStr(X153),";")))</f>
        <v>;"NavNode_L3D_525548";"Průmyslový napájecí zdroj DC / DC, AC / DC";</v>
      </c>
      <c r="AR153" s="8" t="str">
        <f>IF(OR($A153&lt;&gt;"", $G153=""),"",CONCATENATE(";",EscStr(CONCATENATE("NavEntry_",getCategoryLevelAsString($B153))),";",EscStr(CONCATENATE($J153," Navigation Entry")),";",EscStr(CONCATENATE("cat-",getCategoryLevelAsString($B153))),";",EscStr(CONCATENATE("NavNode_",getCategoryLevelAsString($B153))),";"))</f>
        <v>;"NavEntry_L3D_525548";"Industrial power DC/DC, AC/DC Navigation Entry";"cat-L3D_525548";"NavNode_L3D_525548";</v>
      </c>
    </row>
    <row r="154" spans="1:44" ht="15" x14ac:dyDescent="0.25">
      <c r="A154" s="25"/>
      <c r="B154" s="5"/>
      <c r="C154" s="5"/>
      <c r="D154" s="5" t="s">
        <v>199</v>
      </c>
      <c r="E154" s="5"/>
      <c r="F154" s="5"/>
      <c r="G154" s="5" t="s">
        <v>956</v>
      </c>
      <c r="H154" s="5" t="s">
        <v>718</v>
      </c>
      <c r="I154" s="5" t="s">
        <v>701</v>
      </c>
      <c r="J154" s="5" t="s">
        <v>476</v>
      </c>
      <c r="K154" s="5" t="s">
        <v>1354</v>
      </c>
      <c r="L154" s="5" t="s">
        <v>1588</v>
      </c>
      <c r="M154" s="5" t="s">
        <v>1800</v>
      </c>
      <c r="N154" s="5" t="s">
        <v>2010</v>
      </c>
      <c r="O154" s="5" t="s">
        <v>3935</v>
      </c>
      <c r="P154" s="5" t="s">
        <v>3936</v>
      </c>
      <c r="Q154" s="5" t="s">
        <v>3937</v>
      </c>
      <c r="R154" s="5" t="s">
        <v>3938</v>
      </c>
      <c r="S154" s="5" t="s">
        <v>3939</v>
      </c>
      <c r="T154" s="5" t="s">
        <v>3940</v>
      </c>
      <c r="U154" s="5" t="s">
        <v>3941</v>
      </c>
      <c r="V154" s="5" t="s">
        <v>3942</v>
      </c>
      <c r="W154" s="5" t="s">
        <v>3943</v>
      </c>
      <c r="X154" s="5" t="s">
        <v>3941</v>
      </c>
      <c r="Y154" s="10" t="str">
        <f>IF(OR($A154&lt;&gt;"", $G154=""),"",CONCATENATE(";",EscStr(CONCATENATE("NavNode_",getCategoryLevelAsString($B154))),";",EscStr($J154),";",IF($B154&lt;&gt;"","""MainNavNode""",EscStr(CONCATENATE("NavNode_",getSuperCategory($B154, getCategoryLevelAsNumber($B154))))),";"))</f>
        <v>;"NavNode_L3D_525549";"DC/DC Power supplies";"NavNode_L2D_379651";</v>
      </c>
      <c r="Z154" s="10" t="str">
        <f>IF(getCategoryLevelAsString($B154)="L0D_324785","",IF(G154="",CONCATENATE(";",EscStr(CONCATENATE("NavNode_",getCategoryLevelAsString($B154))),";",EscStr($J154),";"),CONCATENATE(";",EscStr(CONCATENATE("NavNode_",getCategoryLevelAsString($B154))),";",EscStr(G154),";")))</f>
        <v>;"NavNode_L3D_525549";"DC/DC-Netzgeräte";</v>
      </c>
      <c r="AA154" s="10" t="str">
        <f>IF(getCategoryLevelAsString($B154)="L0D_324785","",IF(H154="",CONCATENATE(";",EscStr(CONCATENATE("NavNode_",getCategoryLevelAsString($B154))),";",EscStr($J154),";"),CONCATENATE(";",EscStr(CONCATENATE("NavNode_",getCategoryLevelAsString($B154))),";",EscStr(H154),";")))</f>
        <v>;"NavNode_L3D_525549";"Alimentations DC/DC";</v>
      </c>
      <c r="AB154" s="10" t="str">
        <f>IF(getCategoryLevelAsString($B154)="L0D_324785","",IF(I154="",CONCATENATE(";",EscStr(CONCATENATE("NavNode_",getCategoryLevelAsString($B154))),";",EscStr($J154),";"),CONCATENATE(";",EscStr(CONCATENATE("NavNode_",getCategoryLevelAsString($B154))),";",EscStr(I154),";")))</f>
        <v>;"NavNode_L3D_525549";"Alimentatori DC/DC";</v>
      </c>
      <c r="AC154" s="10" t="str">
        <f>IF(getCategoryLevelAsString($B154)="L0D_324785","",IF(J154="",CONCATENATE(";",EscStr(CONCATENATE("NavNode_",getCategoryLevelAsString($B154))),";",EscStr($J154),";"),CONCATENATE(";",EscStr(CONCATENATE("NavNode_",getCategoryLevelAsString($B154))),";",EscStr(J154),";")))</f>
        <v>;"NavNode_L3D_525549";"DC/DC Power supplies";</v>
      </c>
      <c r="AD154" s="10" t="str">
        <f>IF(getCategoryLevelAsString($B154)="L0D_324785","",IF(K154="",CONCATENATE(";",EscStr(CONCATENATE("NavNode_",getCategoryLevelAsString($B154))),";",EscStr($J154),";"),CONCATENATE(";",EscStr(CONCATENATE("NavNode_",getCategoryLevelAsString($B154))),";",EscStr(K154),";")))</f>
        <v>;"NavNode_L3D_525549";"AC/DC-strømforsyning";</v>
      </c>
      <c r="AE154" s="10" t="str">
        <f>IF(getCategoryLevelAsString($B154)="L0D_324785","",IF(L154="",CONCATENATE(";",EscStr(CONCATENATE("NavNode_",getCategoryLevelAsString($B154))),";",EscStr($J154),";"),CONCATENATE(";",EscStr(CONCATENATE("NavNode_",getCategoryLevelAsString($B154))),";",EscStr(L154),";")))</f>
        <v>;"NavNode_L3D_525549";"DC/DC maitinimo šaltiniai";</v>
      </c>
      <c r="AF154" s="10" t="str">
        <f>IF(getCategoryLevelAsString($B154)="L0D_324785","",IF(M154="",CONCATENATE(";",EscStr(CONCATENATE("NavNode_",getCategoryLevelAsString($B154))),";",EscStr($J154),";"),CONCATENATE(";",EscStr(CONCATENATE("NavNode_",getCategoryLevelAsString($B154))),";",EscStr(M154),";")))</f>
        <v>;"NavNode_L3D_525549";"DC/DC-strømforsyning";</v>
      </c>
      <c r="AG154" s="10" t="str">
        <f>IF(getCategoryLevelAsString($B154)="L0D_324785","",IF(N154="",CONCATENATE(";",EscStr(CONCATENATE("NavNode_",getCategoryLevelAsString($B154))),";",EscStr($J154),";"),CONCATENATE(";",EscStr(CONCATENATE("NavNode_",getCategoryLevelAsString($B154))),";",EscStr(N154),";")))</f>
        <v>;"NavNode_L3D_525549";"DC/DC-strömförsörjningar";</v>
      </c>
      <c r="AH154" s="10" t="str">
        <f>IF(getCategoryLevelAsString($B154)="L0D_324785","",IF(O154="",CONCATENATE(";",EscStr(CONCATENATE("NavNode_",getCategoryLevelAsString($B154))),";",EscStr($J154),";"),CONCATENATE(";",EscStr(CONCATENATE("NavNode_",getCategoryLevelAsString($B154))),";",EscStr(O154),";")))</f>
        <v>;"NavNode_L3D_525549";"DC/DC toiteplokid";</v>
      </c>
      <c r="AI154" s="10" t="str">
        <f>IF(getCategoryLevelAsString($B154)="L0D_324785","",IF(P154="",CONCATENATE(";",EscStr(CONCATENATE("NavNode_",getCategoryLevelAsString($B154))),";",EscStr($J154),";"),CONCATENATE(";",EscStr(CONCATENATE("NavNode_",getCategoryLevelAsString($B154))),";",EscStr(P154),";")))</f>
        <v>;"NavNode_L3D_525549";"DC/DC Virtalähteet";</v>
      </c>
      <c r="AJ154" s="10" t="str">
        <f>IF(getCategoryLevelAsString($B154)="L0D_324785","",IF(Q154="",CONCATENATE(";",EscStr(CONCATENATE("NavNode_",getCategoryLevelAsString($B154))),";",EscStr($J154),";"),CONCATENATE(";",EscStr(CONCATENATE("NavNode_",getCategoryLevelAsString($B154))),";",EscStr(Q154),";")))</f>
        <v>;"NavNode_L3D_525549";"DC/DC barošanas bloki";</v>
      </c>
      <c r="AK154" s="10" t="str">
        <f>IF(getCategoryLevelAsString($B154)="L0D_324785","",IF(R154="",CONCATENATE(";",EscStr(CONCATENATE("NavNode_",getCategoryLevelAsString($B154))),";",EscStr($J154),";"),CONCATENATE(";",EscStr(CONCATENATE("NavNode_",getCategoryLevelAsString($B154))),";",EscStr(R154),";")))</f>
        <v>;"NavNode_L3D_525549";"DC/DC voedingen";</v>
      </c>
      <c r="AL154" s="10" t="str">
        <f>IF(getCategoryLevelAsString($B154)="L0D_324785","",IF(S154="",CONCATENATE(";",EscStr(CONCATENATE("NavNode_",getCategoryLevelAsString($B154))),";",EscStr($J154),";"),CONCATENATE(";",EscStr(CONCATENATE("NavNode_",getCategoryLevelAsString($B154))),";",EscStr(S154),";")))</f>
        <v>;"NavNode_L3D_525549";"Przetwornice DC/DC";</v>
      </c>
      <c r="AM154" s="10" t="str">
        <f>IF(getCategoryLevelAsString($B154)="L0D_324785","",IF(T154="",CONCATENATE(";",EscStr(CONCATENATE("NavNode_",getCategoryLevelAsString($B154))),";",EscStr($J154),";"),CONCATENATE(";",EscStr(CONCATENATE("NavNode_",getCategoryLevelAsString($B154))),";",EscStr(T154),";")))</f>
        <v>;"NavNode_L3D_525549";"DC/DC Источники питания";</v>
      </c>
      <c r="AN154" s="10" t="str">
        <f>IF(getCategoryLevelAsString($B154)="L0D_324785","",IF(U154="",CONCATENATE(";",EscStr(CONCATENATE("NavNode_",getCategoryLevelAsString($B154))),";",EscStr($J154),";"),CONCATENATE(";",EscStr(CONCATENATE("NavNode_",getCategoryLevelAsString($B154))),";",EscStr(U154),";")))</f>
        <v>;"NavNode_L3D_525549";"DC / DC napájecí zdroje";</v>
      </c>
      <c r="AO154" s="10" t="str">
        <f>IF(getCategoryLevelAsString($B154)="L0D_324785","",IF(V154="",CONCATENATE(";",EscStr(CONCATENATE("NavNode_",getCategoryLevelAsString($B154))),";",EscStr($J154),";"),CONCATENATE(";",EscStr(CONCATENATE("NavNode_",getCategoryLevelAsString($B154))),";",EscStr(V154),";")))</f>
        <v>;"NavNode_L3D_525549";"Surse de alimentare DC/DC";</v>
      </c>
      <c r="AP154" s="10" t="str">
        <f>IF(getCategoryLevelAsString($B154)="L0D_324785","",IF(W154="",CONCATENATE(";",EscStr(CONCATENATE("NavNode_",getCategoryLevelAsString($B154))),";",EscStr($J154),";"),CONCATENATE(";",EscStr(CONCATENATE("NavNode_",getCategoryLevelAsString($B154))),";",EscStr(W154),";")))</f>
        <v>;"NavNode_L3D_525549";"DC/DC töltőkészülék";</v>
      </c>
      <c r="AQ154" s="10" t="str">
        <f>IF(getCategoryLevelAsString($B154)="L0D_324785","",IF(X154="",CONCATENATE(";",EscStr(CONCATENATE("NavNode_",getCategoryLevelAsString($B154))),";",EscStr($J154),";"),CONCATENATE(";",EscStr(CONCATENATE("NavNode_",getCategoryLevelAsString($B154))),";",EscStr(X154),";")))</f>
        <v>;"NavNode_L3D_525549";"DC / DC napájecí zdroje";</v>
      </c>
      <c r="AR154" s="8" t="str">
        <f>IF(OR($A154&lt;&gt;"", $G154=""),"",CONCATENATE(";",EscStr(CONCATENATE("NavEntry_",getCategoryLevelAsString($B154))),";",EscStr(CONCATENATE($J154," Navigation Entry")),";",EscStr(CONCATENATE("cat-",getCategoryLevelAsString($B154))),";",EscStr(CONCATENATE("NavNode_",getCategoryLevelAsString($B154))),";"))</f>
        <v>;"NavEntry_L3D_525549";"DC/DC Power supplies Navigation Entry";"cat-L3D_525549";"NavNode_L3D_525549";</v>
      </c>
    </row>
    <row r="155" spans="1:44" ht="15" x14ac:dyDescent="0.25">
      <c r="A155" s="25"/>
      <c r="B155" s="5"/>
      <c r="C155" s="5"/>
      <c r="D155" s="5" t="s">
        <v>198</v>
      </c>
      <c r="E155" s="5"/>
      <c r="F155" s="5"/>
      <c r="G155" s="5" t="s">
        <v>955</v>
      </c>
      <c r="H155" s="5" t="s">
        <v>719</v>
      </c>
      <c r="I155" s="5" t="s">
        <v>700</v>
      </c>
      <c r="J155" s="5" t="s">
        <v>475</v>
      </c>
      <c r="K155" s="5" t="s">
        <v>1354</v>
      </c>
      <c r="L155" s="5" t="s">
        <v>1589</v>
      </c>
      <c r="M155" s="5" t="s">
        <v>1354</v>
      </c>
      <c r="N155" s="5" t="s">
        <v>2011</v>
      </c>
      <c r="O155" s="5" t="s">
        <v>3944</v>
      </c>
      <c r="P155" s="5" t="s">
        <v>3945</v>
      </c>
      <c r="Q155" s="5" t="s">
        <v>3946</v>
      </c>
      <c r="R155" s="5" t="s">
        <v>3947</v>
      </c>
      <c r="S155" s="5" t="s">
        <v>3948</v>
      </c>
      <c r="T155" s="5" t="s">
        <v>3949</v>
      </c>
      <c r="U155" s="5" t="s">
        <v>3950</v>
      </c>
      <c r="V155" s="5" t="s">
        <v>3951</v>
      </c>
      <c r="W155" s="5" t="s">
        <v>3952</v>
      </c>
      <c r="X155" s="5" t="s">
        <v>3950</v>
      </c>
      <c r="Y155" s="10" t="str">
        <f>IF(OR($A155&lt;&gt;"", $G155=""),"",CONCATENATE(";",EscStr(CONCATENATE("NavNode_",getCategoryLevelAsString($B155))),";",EscStr($J155),";",IF($B155&lt;&gt;"","""MainNavNode""",EscStr(CONCATENATE("NavNode_",getSuperCategory($B155, getCategoryLevelAsNumber($B155))))),";"))</f>
        <v>;"NavNode_L3D_531368";"AC/DC Power supplies";"NavNode_L2D_379651";</v>
      </c>
      <c r="Z155" s="10" t="str">
        <f>IF(getCategoryLevelAsString($B155)="L0D_324785","",IF(G155="",CONCATENATE(";",EscStr(CONCATENATE("NavNode_",getCategoryLevelAsString($B155))),";",EscStr($J155),";"),CONCATENATE(";",EscStr(CONCATENATE("NavNode_",getCategoryLevelAsString($B155))),";",EscStr(G155),";")))</f>
        <v>;"NavNode_L3D_531368";"AC/DC-Netzgeräte";</v>
      </c>
      <c r="AA155" s="10" t="str">
        <f>IF(getCategoryLevelAsString($B155)="L0D_324785","",IF(H155="",CONCATENATE(";",EscStr(CONCATENATE("NavNode_",getCategoryLevelAsString($B155))),";",EscStr($J155),";"),CONCATENATE(";",EscStr(CONCATENATE("NavNode_",getCategoryLevelAsString($B155))),";",EscStr(H155),";")))</f>
        <v>;"NavNode_L3D_531368";"Alimentations AC/DC";</v>
      </c>
      <c r="AB155" s="10" t="str">
        <f>IF(getCategoryLevelAsString($B155)="L0D_324785","",IF(I155="",CONCATENATE(";",EscStr(CONCATENATE("NavNode_",getCategoryLevelAsString($B155))),";",EscStr($J155),";"),CONCATENATE(";",EscStr(CONCATENATE("NavNode_",getCategoryLevelAsString($B155))),";",EscStr(I155),";")))</f>
        <v>;"NavNode_L3D_531368";"Alimentatori AC/DC";</v>
      </c>
      <c r="AC155" s="10" t="str">
        <f>IF(getCategoryLevelAsString($B155)="L0D_324785","",IF(J155="",CONCATENATE(";",EscStr(CONCATENATE("NavNode_",getCategoryLevelAsString($B155))),";",EscStr($J155),";"),CONCATENATE(";",EscStr(CONCATENATE("NavNode_",getCategoryLevelAsString($B155))),";",EscStr(J155),";")))</f>
        <v>;"NavNode_L3D_531368";"AC/DC Power supplies";</v>
      </c>
      <c r="AD155" s="10" t="str">
        <f>IF(getCategoryLevelAsString($B155)="L0D_324785","",IF(K155="",CONCATENATE(";",EscStr(CONCATENATE("NavNode_",getCategoryLevelAsString($B155))),";",EscStr($J155),";"),CONCATENATE(";",EscStr(CONCATENATE("NavNode_",getCategoryLevelAsString($B155))),";",EscStr(K155),";")))</f>
        <v>;"NavNode_L3D_531368";"AC/DC-strømforsyning";</v>
      </c>
      <c r="AE155" s="10" t="str">
        <f>IF(getCategoryLevelAsString($B155)="L0D_324785","",IF(L155="",CONCATENATE(";",EscStr(CONCATENATE("NavNode_",getCategoryLevelAsString($B155))),";",EscStr($J155),";"),CONCATENATE(";",EscStr(CONCATENATE("NavNode_",getCategoryLevelAsString($B155))),";",EscStr(L155),";")))</f>
        <v>;"NavNode_L3D_531368";"AC/DC maitinimo šaltiniai";</v>
      </c>
      <c r="AF155" s="10" t="str">
        <f>IF(getCategoryLevelAsString($B155)="L0D_324785","",IF(M155="",CONCATENATE(";",EscStr(CONCATENATE("NavNode_",getCategoryLevelAsString($B155))),";",EscStr($J155),";"),CONCATENATE(";",EscStr(CONCATENATE("NavNode_",getCategoryLevelAsString($B155))),";",EscStr(M155),";")))</f>
        <v>;"NavNode_L3D_531368";"AC/DC-strømforsyning";</v>
      </c>
      <c r="AG155" s="10" t="str">
        <f>IF(getCategoryLevelAsString($B155)="L0D_324785","",IF(N155="",CONCATENATE(";",EscStr(CONCATENATE("NavNode_",getCategoryLevelAsString($B155))),";",EscStr($J155),";"),CONCATENATE(";",EscStr(CONCATENATE("NavNode_",getCategoryLevelAsString($B155))),";",EscStr(N155),";")))</f>
        <v>;"NavNode_L3D_531368";"AC/DC-strömförsörjningar";</v>
      </c>
      <c r="AH155" s="10" t="str">
        <f>IF(getCategoryLevelAsString($B155)="L0D_324785","",IF(O155="",CONCATENATE(";",EscStr(CONCATENATE("NavNode_",getCategoryLevelAsString($B155))),";",EscStr($J155),";"),CONCATENATE(";",EscStr(CONCATENATE("NavNode_",getCategoryLevelAsString($B155))),";",EscStr(O155),";")))</f>
        <v>;"NavNode_L3D_531368";"AC/DC toiteplokid";</v>
      </c>
      <c r="AI155" s="10" t="str">
        <f>IF(getCategoryLevelAsString($B155)="L0D_324785","",IF(P155="",CONCATENATE(";",EscStr(CONCATENATE("NavNode_",getCategoryLevelAsString($B155))),";",EscStr($J155),";"),CONCATENATE(";",EscStr(CONCATENATE("NavNode_",getCategoryLevelAsString($B155))),";",EscStr(P155),";")))</f>
        <v>;"NavNode_L3D_531368";"AC/DC Virtalähteet";</v>
      </c>
      <c r="AJ155" s="10" t="str">
        <f>IF(getCategoryLevelAsString($B155)="L0D_324785","",IF(Q155="",CONCATENATE(";",EscStr(CONCATENATE("NavNode_",getCategoryLevelAsString($B155))),";",EscStr($J155),";"),CONCATENATE(";",EscStr(CONCATENATE("NavNode_",getCategoryLevelAsString($B155))),";",EscStr(Q155),";")))</f>
        <v>;"NavNode_L3D_531368";"AC/DC barošanas bloki";</v>
      </c>
      <c r="AK155" s="10" t="str">
        <f>IF(getCategoryLevelAsString($B155)="L0D_324785","",IF(R155="",CONCATENATE(";",EscStr(CONCATENATE("NavNode_",getCategoryLevelAsString($B155))),";",EscStr($J155),";"),CONCATENATE(";",EscStr(CONCATENATE("NavNode_",getCategoryLevelAsString($B155))),";",EscStr(R155),";")))</f>
        <v>;"NavNode_L3D_531368";"AC/DC voedingen";</v>
      </c>
      <c r="AL155" s="10" t="str">
        <f>IF(getCategoryLevelAsString($B155)="L0D_324785","",IF(S155="",CONCATENATE(";",EscStr(CONCATENATE("NavNode_",getCategoryLevelAsString($B155))),";",EscStr($J155),";"),CONCATENATE(";",EscStr(CONCATENATE("NavNode_",getCategoryLevelAsString($B155))),";",EscStr(S155),";")))</f>
        <v>;"NavNode_L3D_531368";"Przetwornice AC/DC";</v>
      </c>
      <c r="AM155" s="10" t="str">
        <f>IF(getCategoryLevelAsString($B155)="L0D_324785","",IF(T155="",CONCATENATE(";",EscStr(CONCATENATE("NavNode_",getCategoryLevelAsString($B155))),";",EscStr($J155),";"),CONCATENATE(";",EscStr(CONCATENATE("NavNode_",getCategoryLevelAsString($B155))),";",EscStr(T155),";")))</f>
        <v>;"NavNode_L3D_531368";"AC/DC Источники питания";</v>
      </c>
      <c r="AN155" s="10" t="str">
        <f>IF(getCategoryLevelAsString($B155)="L0D_324785","",IF(U155="",CONCATENATE(";",EscStr(CONCATENATE("NavNode_",getCategoryLevelAsString($B155))),";",EscStr($J155),";"),CONCATENATE(";",EscStr(CONCATENATE("NavNode_",getCategoryLevelAsString($B155))),";",EscStr(U155),";")))</f>
        <v>;"NavNode_L3D_531368";"AC / DC napájecí zdroje";</v>
      </c>
      <c r="AO155" s="10" t="str">
        <f>IF(getCategoryLevelAsString($B155)="L0D_324785","",IF(V155="",CONCATENATE(";",EscStr(CONCATENATE("NavNode_",getCategoryLevelAsString($B155))),";",EscStr($J155),";"),CONCATENATE(";",EscStr(CONCATENATE("NavNode_",getCategoryLevelAsString($B155))),";",EscStr(V155),";")))</f>
        <v>;"NavNode_L3D_531368";"Surse de alimentare AC/DC";</v>
      </c>
      <c r="AP155" s="10" t="str">
        <f>IF(getCategoryLevelAsString($B155)="L0D_324785","",IF(W155="",CONCATENATE(";",EscStr(CONCATENATE("NavNode_",getCategoryLevelAsString($B155))),";",EscStr($J155),";"),CONCATENATE(";",EscStr(CONCATENATE("NavNode_",getCategoryLevelAsString($B155))),";",EscStr(W155),";")))</f>
        <v>;"NavNode_L3D_531368";"AC/DC töltőkészülék";</v>
      </c>
      <c r="AQ155" s="10" t="str">
        <f>IF(getCategoryLevelAsString($B155)="L0D_324785","",IF(X155="",CONCATENATE(";",EscStr(CONCATENATE("NavNode_",getCategoryLevelAsString($B155))),";",EscStr($J155),";"),CONCATENATE(";",EscStr(CONCATENATE("NavNode_",getCategoryLevelAsString($B155))),";",EscStr(X155),";")))</f>
        <v>;"NavNode_L3D_531368";"AC / DC napájecí zdroje";</v>
      </c>
      <c r="AR155" s="8" t="str">
        <f>IF(OR($A155&lt;&gt;"", $G155=""),"",CONCATENATE(";",EscStr(CONCATENATE("NavEntry_",getCategoryLevelAsString($B155))),";",EscStr(CONCATENATE($J155," Navigation Entry")),";",EscStr(CONCATENATE("cat-",getCategoryLevelAsString($B155))),";",EscStr(CONCATENATE("NavNode_",getCategoryLevelAsString($B155))),";"))</f>
        <v>;"NavEntry_L3D_531368";"AC/DC Power supplies Navigation Entry";"cat-L3D_531368";"NavNode_L3D_531368";</v>
      </c>
    </row>
    <row r="156" spans="1:44" ht="15" x14ac:dyDescent="0.25">
      <c r="A156" s="25"/>
      <c r="B156" s="5"/>
      <c r="C156" s="5"/>
      <c r="D156" s="5" t="s">
        <v>720</v>
      </c>
      <c r="E156" s="5"/>
      <c r="F156" s="5"/>
      <c r="G156" s="5" t="s">
        <v>1038</v>
      </c>
      <c r="H156" s="5" t="s">
        <v>1067</v>
      </c>
      <c r="I156" s="5" t="s">
        <v>1125</v>
      </c>
      <c r="J156" s="5" t="s">
        <v>905</v>
      </c>
      <c r="K156" s="5" t="s">
        <v>1355</v>
      </c>
      <c r="L156" s="5" t="s">
        <v>1590</v>
      </c>
      <c r="M156" s="5" t="s">
        <v>1355</v>
      </c>
      <c r="N156" s="5" t="s">
        <v>2012</v>
      </c>
      <c r="O156" s="5" t="s">
        <v>3953</v>
      </c>
      <c r="P156" s="5" t="s">
        <v>3954</v>
      </c>
      <c r="Q156" s="5" t="s">
        <v>3955</v>
      </c>
      <c r="R156" s="5" t="s">
        <v>3956</v>
      </c>
      <c r="S156" s="5" t="s">
        <v>3957</v>
      </c>
      <c r="T156" s="5" t="s">
        <v>3958</v>
      </c>
      <c r="U156" s="5" t="s">
        <v>3959</v>
      </c>
      <c r="V156" s="5" t="s">
        <v>3960</v>
      </c>
      <c r="W156" s="5" t="s">
        <v>3961</v>
      </c>
      <c r="X156" s="5" t="s">
        <v>3959</v>
      </c>
      <c r="Y156" s="10" t="str">
        <f>IF(OR($A156&lt;&gt;"", $G156=""),"",CONCATENATE(";",EscStr(CONCATENATE("NavNode_",getCategoryLevelAsString($B156))),";",EscStr($J156),";",IF($B156&lt;&gt;"","""MainNavNode""",EscStr(CONCATENATE("NavNode_",getSuperCategory($B156, getCategoryLevelAsNumber($B156))))),";"))</f>
        <v>;"NavNode_L2-3D_531369";"DC/DC Power supplies, PCB";"NavNode_L2D_379651";</v>
      </c>
      <c r="Z156" s="10" t="str">
        <f>IF(getCategoryLevelAsString($B156)="L0D_324785","",IF(G156="",CONCATENATE(";",EscStr(CONCATENATE("NavNode_",getCategoryLevelAsString($B156))),";",EscStr($J156),";"),CONCATENATE(";",EscStr(CONCATENATE("NavNode_",getCategoryLevelAsString($B156))),";",EscStr(G156),";")))</f>
        <v>;"NavNode_L2-3D_531369";"DC/DC-Netzgeräte, PCB";</v>
      </c>
      <c r="AA156" s="10" t="str">
        <f>IF(getCategoryLevelAsString($B156)="L0D_324785","",IF(H156="",CONCATENATE(";",EscStr(CONCATENATE("NavNode_",getCategoryLevelAsString($B156))),";",EscStr($J156),";"),CONCATENATE(";",EscStr(CONCATENATE("NavNode_",getCategoryLevelAsString($B156))),";",EscStr(H156),";")))</f>
        <v>;"NavNode_L2-3D_531369";"Alimentations DC/DC, circuit imprimé";</v>
      </c>
      <c r="AB156" s="10" t="str">
        <f>IF(getCategoryLevelAsString($B156)="L0D_324785","",IF(I156="",CONCATENATE(";",EscStr(CONCATENATE("NavNode_",getCategoryLevelAsString($B156))),";",EscStr($J156),";"),CONCATENATE(";",EscStr(CONCATENATE("NavNode_",getCategoryLevelAsString($B156))),";",EscStr(I156),";")))</f>
        <v>;"NavNode_L2-3D_531369";"Alimentatori DC/DC, PCB";</v>
      </c>
      <c r="AC156" s="10" t="str">
        <f>IF(getCategoryLevelAsString($B156)="L0D_324785","",IF(J156="",CONCATENATE(";",EscStr(CONCATENATE("NavNode_",getCategoryLevelAsString($B156))),";",EscStr($J156),";"),CONCATENATE(";",EscStr(CONCATENATE("NavNode_",getCategoryLevelAsString($B156))),";",EscStr(J156),";")))</f>
        <v>;"NavNode_L2-3D_531369";"DC/DC Power supplies, PCB";</v>
      </c>
      <c r="AD156" s="10" t="str">
        <f>IF(getCategoryLevelAsString($B156)="L0D_324785","",IF(K156="",CONCATENATE(";",EscStr(CONCATENATE("NavNode_",getCategoryLevelAsString($B156))),";",EscStr($J156),";"),CONCATENATE(";",EscStr(CONCATENATE("NavNode_",getCategoryLevelAsString($B156))),";",EscStr(K156),";")))</f>
        <v>;"NavNode_L2-3D_531369";"DC/DC-strømforsyning, PCB";</v>
      </c>
      <c r="AE156" s="10" t="str">
        <f>IF(getCategoryLevelAsString($B156)="L0D_324785","",IF(L156="",CONCATENATE(";",EscStr(CONCATENATE("NavNode_",getCategoryLevelAsString($B156))),";",EscStr($J156),";"),CONCATENATE(";",EscStr(CONCATENATE("NavNode_",getCategoryLevelAsString($B156))),";",EscStr(L156),";")))</f>
        <v>;"NavNode_L2-3D_531369";"DC/DC maitinimo šaltiniai, PCB";</v>
      </c>
      <c r="AF156" s="10" t="str">
        <f>IF(getCategoryLevelAsString($B156)="L0D_324785","",IF(M156="",CONCATENATE(";",EscStr(CONCATENATE("NavNode_",getCategoryLevelAsString($B156))),";",EscStr($J156),";"),CONCATENATE(";",EscStr(CONCATENATE("NavNode_",getCategoryLevelAsString($B156))),";",EscStr(M156),";")))</f>
        <v>;"NavNode_L2-3D_531369";"DC/DC-strømforsyning, PCB";</v>
      </c>
      <c r="AG156" s="10" t="str">
        <f>IF(getCategoryLevelAsString($B156)="L0D_324785","",IF(N156="",CONCATENATE(";",EscStr(CONCATENATE("NavNode_",getCategoryLevelAsString($B156))),";",EscStr($J156),";"),CONCATENATE(";",EscStr(CONCATENATE("NavNode_",getCategoryLevelAsString($B156))),";",EscStr(N156),";")))</f>
        <v>;"NavNode_L2-3D_531369";"DC/DC-strömförsörjningar, PCB";</v>
      </c>
      <c r="AH156" s="10" t="str">
        <f>IF(getCategoryLevelAsString($B156)="L0D_324785","",IF(O156="",CONCATENATE(";",EscStr(CONCATENATE("NavNode_",getCategoryLevelAsString($B156))),";",EscStr($J156),";"),CONCATENATE(";",EscStr(CONCATENATE("NavNode_",getCategoryLevelAsString($B156))),";",EscStr(O156),";")))</f>
        <v>;"NavNode_L2-3D_531369";"DC/DC toiteplokid, trükkplaadile";</v>
      </c>
      <c r="AI156" s="10" t="str">
        <f>IF(getCategoryLevelAsString($B156)="L0D_324785","",IF(P156="",CONCATENATE(";",EscStr(CONCATENATE("NavNode_",getCategoryLevelAsString($B156))),";",EscStr($J156),";"),CONCATENATE(";",EscStr(CONCATENATE("NavNode_",getCategoryLevelAsString($B156))),";",EscStr(P156),";")))</f>
        <v>;"NavNode_L2-3D_531369";"DC/DC Virtalähteet, PCB";</v>
      </c>
      <c r="AJ156" s="10" t="str">
        <f>IF(getCategoryLevelAsString($B156)="L0D_324785","",IF(Q156="",CONCATENATE(";",EscStr(CONCATENATE("NavNode_",getCategoryLevelAsString($B156))),";",EscStr($J156),";"),CONCATENATE(";",EscStr(CONCATENATE("NavNode_",getCategoryLevelAsString($B156))),";",EscStr(Q156),";")))</f>
        <v>;"NavNode_L2-3D_531369";"DC/DC barošanas bloki, PCB";</v>
      </c>
      <c r="AK156" s="10" t="str">
        <f>IF(getCategoryLevelAsString($B156)="L0D_324785","",IF(R156="",CONCATENATE(";",EscStr(CONCATENATE("NavNode_",getCategoryLevelAsString($B156))),";",EscStr($J156),";"),CONCATENATE(";",EscStr(CONCATENATE("NavNode_",getCategoryLevelAsString($B156))),";",EscStr(R156),";")))</f>
        <v>;"NavNode_L2-3D_531369";"DC/DC voedingen, PCB";</v>
      </c>
      <c r="AL156" s="10" t="str">
        <f>IF(getCategoryLevelAsString($B156)="L0D_324785","",IF(S156="",CONCATENATE(";",EscStr(CONCATENATE("NavNode_",getCategoryLevelAsString($B156))),";",EscStr($J156),";"),CONCATENATE(";",EscStr(CONCATENATE("NavNode_",getCategoryLevelAsString($B156))),";",EscStr(S156),";")))</f>
        <v>;"NavNode_L2-3D_531369";"Przetwornice DC/DC do druku";</v>
      </c>
      <c r="AM156" s="10" t="str">
        <f>IF(getCategoryLevelAsString($B156)="L0D_324785","",IF(T156="",CONCATENATE(";",EscStr(CONCATENATE("NavNode_",getCategoryLevelAsString($B156))),";",EscStr($J156),";"),CONCATENATE(";",EscStr(CONCATENATE("NavNode_",getCategoryLevelAsString($B156))),";",EscStr(T156),";")))</f>
        <v>;"NavNode_L2-3D_531369";"DC/DC Источники питания, PCB";</v>
      </c>
      <c r="AN156" s="10" t="str">
        <f>IF(getCategoryLevelAsString($B156)="L0D_324785","",IF(U156="",CONCATENATE(";",EscStr(CONCATENATE("NavNode_",getCategoryLevelAsString($B156))),";",EscStr($J156),";"),CONCATENATE(";",EscStr(CONCATENATE("NavNode_",getCategoryLevelAsString($B156))),";",EscStr(U156),";")))</f>
        <v>;"NavNode_L2-3D_531369";"DC / DC napájecí zdroje, PCB";</v>
      </c>
      <c r="AO156" s="10" t="str">
        <f>IF(getCategoryLevelAsString($B156)="L0D_324785","",IF(V156="",CONCATENATE(";",EscStr(CONCATENATE("NavNode_",getCategoryLevelAsString($B156))),";",EscStr($J156),";"),CONCATENATE(";",EscStr(CONCATENATE("NavNode_",getCategoryLevelAsString($B156))),";",EscStr(V156),";")))</f>
        <v>;"NavNode_L2-3D_531369";"Surse de alimentare DC/DC, PCB";</v>
      </c>
      <c r="AP156" s="10" t="str">
        <f>IF(getCategoryLevelAsString($B156)="L0D_324785","",IF(W156="",CONCATENATE(";",EscStr(CONCATENATE("NavNode_",getCategoryLevelAsString($B156))),";",EscStr($J156),";"),CONCATENATE(";",EscStr(CONCATENATE("NavNode_",getCategoryLevelAsString($B156))),";",EscStr(W156),";")))</f>
        <v>;"NavNode_L2-3D_531369";"DC/DC töltőkészülék, PCB";</v>
      </c>
      <c r="AQ156" s="10" t="str">
        <f>IF(getCategoryLevelAsString($B156)="L0D_324785","",IF(X156="",CONCATENATE(";",EscStr(CONCATENATE("NavNode_",getCategoryLevelAsString($B156))),";",EscStr($J156),";"),CONCATENATE(";",EscStr(CONCATENATE("NavNode_",getCategoryLevelAsString($B156))),";",EscStr(X156),";")))</f>
        <v>;"NavNode_L2-3D_531369";"DC / DC napájecí zdroje, PCB";</v>
      </c>
      <c r="AR156" s="8" t="str">
        <f>IF(OR($A156&lt;&gt;"", $G156=""),"",CONCATENATE(";",EscStr(CONCATENATE("NavEntry_",getCategoryLevelAsString($B156))),";",EscStr(CONCATENATE($J156," Navigation Entry")),";",EscStr(CONCATENATE("cat-",getCategoryLevelAsString($B156))),";",EscStr(CONCATENATE("NavNode_",getCategoryLevelAsString($B156))),";"))</f>
        <v>;"NavEntry_L2-3D_531369";"DC/DC Power supplies, PCB Navigation Entry";"cat-L2-3D_531369";"NavNode_L2-3D_531369";</v>
      </c>
    </row>
    <row r="157" spans="1:44" ht="15" x14ac:dyDescent="0.25">
      <c r="A157" s="25"/>
      <c r="B157" s="5"/>
      <c r="C157" s="5"/>
      <c r="D157" s="5" t="s">
        <v>721</v>
      </c>
      <c r="E157" s="5"/>
      <c r="F157" s="5"/>
      <c r="G157" s="5" t="s">
        <v>1039</v>
      </c>
      <c r="H157" s="5" t="s">
        <v>1068</v>
      </c>
      <c r="I157" s="5" t="s">
        <v>1126</v>
      </c>
      <c r="J157" s="5" t="s">
        <v>906</v>
      </c>
      <c r="K157" s="5" t="s">
        <v>1356</v>
      </c>
      <c r="L157" s="5" t="s">
        <v>1591</v>
      </c>
      <c r="M157" s="5" t="s">
        <v>1801</v>
      </c>
      <c r="N157" s="5" t="s">
        <v>2013</v>
      </c>
      <c r="O157" s="5" t="s">
        <v>3962</v>
      </c>
      <c r="P157" s="5" t="s">
        <v>3963</v>
      </c>
      <c r="Q157" s="5" t="s">
        <v>3964</v>
      </c>
      <c r="R157" s="5" t="s">
        <v>3965</v>
      </c>
      <c r="S157" s="5" t="s">
        <v>3966</v>
      </c>
      <c r="T157" s="5" t="s">
        <v>3967</v>
      </c>
      <c r="U157" s="5" t="s">
        <v>3968</v>
      </c>
      <c r="V157" s="5" t="s">
        <v>3969</v>
      </c>
      <c r="W157" s="5" t="s">
        <v>3970</v>
      </c>
      <c r="X157" s="5" t="s">
        <v>3968</v>
      </c>
      <c r="Y157" s="10" t="str">
        <f>IF(OR($A157&lt;&gt;"", $G157=""),"",CONCATENATE(";",EscStr(CONCATENATE("NavNode_",getCategoryLevelAsString($B157))),";",EscStr($J157),";",IF($B157&lt;&gt;"","""MainNavNode""",EscStr(CONCATENATE("NavNode_",getSuperCategory($B157, getCategoryLevelAsNumber($B157))))),";"))</f>
        <v>;"NavNode_L3D_525551";"AC/DC Power supplies, PCB";"NavNode_L2D_379651";</v>
      </c>
      <c r="Z157" s="10" t="str">
        <f>IF(getCategoryLevelAsString($B157)="L0D_324785","",IF(G157="",CONCATENATE(";",EscStr(CONCATENATE("NavNode_",getCategoryLevelAsString($B157))),";",EscStr($J157),";"),CONCATENATE(";",EscStr(CONCATENATE("NavNode_",getCategoryLevelAsString($B157))),";",EscStr(G157),";")))</f>
        <v>;"NavNode_L3D_525551";"AC/DC-Netzgeräte, PCB";</v>
      </c>
      <c r="AA157" s="10" t="str">
        <f>IF(getCategoryLevelAsString($B157)="L0D_324785","",IF(H157="",CONCATENATE(";",EscStr(CONCATENATE("NavNode_",getCategoryLevelAsString($B157))),";",EscStr($J157),";"),CONCATENATE(";",EscStr(CONCATENATE("NavNode_",getCategoryLevelAsString($B157))),";",EscStr(H157),";")))</f>
        <v>;"NavNode_L3D_525551";"Alimentations AC/DC, circuit imprimé";</v>
      </c>
      <c r="AB157" s="10" t="str">
        <f>IF(getCategoryLevelAsString($B157)="L0D_324785","",IF(I157="",CONCATENATE(";",EscStr(CONCATENATE("NavNode_",getCategoryLevelAsString($B157))),";",EscStr($J157),";"),CONCATENATE(";",EscStr(CONCATENATE("NavNode_",getCategoryLevelAsString($B157))),";",EscStr(I157),";")))</f>
        <v>;"NavNode_L3D_525551";"Alimentatori AC/DC, PCB";</v>
      </c>
      <c r="AC157" s="10" t="str">
        <f>IF(getCategoryLevelAsString($B157)="L0D_324785","",IF(J157="",CONCATENATE(";",EscStr(CONCATENATE("NavNode_",getCategoryLevelAsString($B157))),";",EscStr($J157),";"),CONCATENATE(";",EscStr(CONCATENATE("NavNode_",getCategoryLevelAsString($B157))),";",EscStr(J157),";")))</f>
        <v>;"NavNode_L3D_525551";"AC/DC Power supplies, PCB";</v>
      </c>
      <c r="AD157" s="10" t="str">
        <f>IF(getCategoryLevelAsString($B157)="L0D_324785","",IF(K157="",CONCATENATE(";",EscStr(CONCATENATE("NavNode_",getCategoryLevelAsString($B157))),";",EscStr($J157),";"),CONCATENATE(";",EscStr(CONCATENATE("NavNode_",getCategoryLevelAsString($B157))),";",EscStr(K157),";")))</f>
        <v>;"NavNode_L3D_525551";"AC/DC-strømforsyning, PCB";</v>
      </c>
      <c r="AE157" s="10" t="str">
        <f>IF(getCategoryLevelAsString($B157)="L0D_324785","",IF(L157="",CONCATENATE(";",EscStr(CONCATENATE("NavNode_",getCategoryLevelAsString($B157))),";",EscStr($J157),";"),CONCATENATE(";",EscStr(CONCATENATE("NavNode_",getCategoryLevelAsString($B157))),";",EscStr(L157),";")))</f>
        <v>;"NavNode_L3D_525551";"AC/DC maitinimo šaltiniai, PCB";</v>
      </c>
      <c r="AF157" s="10" t="str">
        <f>IF(getCategoryLevelAsString($B157)="L0D_324785","",IF(M157="",CONCATENATE(";",EscStr(CONCATENATE("NavNode_",getCategoryLevelAsString($B157))),";",EscStr($J157),";"),CONCATENATE(";",EscStr(CONCATENATE("NavNode_",getCategoryLevelAsString($B157))),";",EscStr(M157),";")))</f>
        <v>;"NavNode_L3D_525551";"AC/DC strømforsyning, PCB";</v>
      </c>
      <c r="AG157" s="10" t="str">
        <f>IF(getCategoryLevelAsString($B157)="L0D_324785","",IF(N157="",CONCATENATE(";",EscStr(CONCATENATE("NavNode_",getCategoryLevelAsString($B157))),";",EscStr($J157),";"),CONCATENATE(";",EscStr(CONCATENATE("NavNode_",getCategoryLevelAsString($B157))),";",EscStr(N157),";")))</f>
        <v>;"NavNode_L3D_525551";"AC/DC strömförsörjningar, PCB";</v>
      </c>
      <c r="AH157" s="10" t="str">
        <f>IF(getCategoryLevelAsString($B157)="L0D_324785","",IF(O157="",CONCATENATE(";",EscStr(CONCATENATE("NavNode_",getCategoryLevelAsString($B157))),";",EscStr($J157),";"),CONCATENATE(";",EscStr(CONCATENATE("NavNode_",getCategoryLevelAsString($B157))),";",EscStr(O157),";")))</f>
        <v>;"NavNode_L3D_525551";"AC/DC toiteplokid, trükkplaadile";</v>
      </c>
      <c r="AI157" s="10" t="str">
        <f>IF(getCategoryLevelAsString($B157)="L0D_324785","",IF(P157="",CONCATENATE(";",EscStr(CONCATENATE("NavNode_",getCategoryLevelAsString($B157))),";",EscStr($J157),";"),CONCATENATE(";",EscStr(CONCATENATE("NavNode_",getCategoryLevelAsString($B157))),";",EscStr(P157),";")))</f>
        <v>;"NavNode_L3D_525551";"AC/DC Virtalähteet, PCB";</v>
      </c>
      <c r="AJ157" s="10" t="str">
        <f>IF(getCategoryLevelAsString($B157)="L0D_324785","",IF(Q157="",CONCATENATE(";",EscStr(CONCATENATE("NavNode_",getCategoryLevelAsString($B157))),";",EscStr($J157),";"),CONCATENATE(";",EscStr(CONCATENATE("NavNode_",getCategoryLevelAsString($B157))),";",EscStr(Q157),";")))</f>
        <v>;"NavNode_L3D_525551";"AC/DC barošanas bloki, PCB";</v>
      </c>
      <c r="AK157" s="10" t="str">
        <f>IF(getCategoryLevelAsString($B157)="L0D_324785","",IF(R157="",CONCATENATE(";",EscStr(CONCATENATE("NavNode_",getCategoryLevelAsString($B157))),";",EscStr($J157),";"),CONCATENATE(";",EscStr(CONCATENATE("NavNode_",getCategoryLevelAsString($B157))),";",EscStr(R157),";")))</f>
        <v>;"NavNode_L3D_525551";"AC/DC voedingen, PCB";</v>
      </c>
      <c r="AL157" s="10" t="str">
        <f>IF(getCategoryLevelAsString($B157)="L0D_324785","",IF(S157="",CONCATENATE(";",EscStr(CONCATENATE("NavNode_",getCategoryLevelAsString($B157))),";",EscStr($J157),";"),CONCATENATE(";",EscStr(CONCATENATE("NavNode_",getCategoryLevelAsString($B157))),";",EscStr(S157),";")))</f>
        <v>;"NavNode_L3D_525551";"Przetwornice AC/DC do druku";</v>
      </c>
      <c r="AM157" s="10" t="str">
        <f>IF(getCategoryLevelAsString($B157)="L0D_324785","",IF(T157="",CONCATENATE(";",EscStr(CONCATENATE("NavNode_",getCategoryLevelAsString($B157))),";",EscStr($J157),";"),CONCATENATE(";",EscStr(CONCATENATE("NavNode_",getCategoryLevelAsString($B157))),";",EscStr(T157),";")))</f>
        <v>;"NavNode_L3D_525551";"AC/DC Источники питания, PCB";</v>
      </c>
      <c r="AN157" s="10" t="str">
        <f>IF(getCategoryLevelAsString($B157)="L0D_324785","",IF(U157="",CONCATENATE(";",EscStr(CONCATENATE("NavNode_",getCategoryLevelAsString($B157))),";",EscStr($J157),";"),CONCATENATE(";",EscStr(CONCATENATE("NavNode_",getCategoryLevelAsString($B157))),";",EscStr(U157),";")))</f>
        <v>;"NavNode_L3D_525551";"AC / DC napájecí zdroje, PCB";</v>
      </c>
      <c r="AO157" s="10" t="str">
        <f>IF(getCategoryLevelAsString($B157)="L0D_324785","",IF(V157="",CONCATENATE(";",EscStr(CONCATENATE("NavNode_",getCategoryLevelAsString($B157))),";",EscStr($J157),";"),CONCATENATE(";",EscStr(CONCATENATE("NavNode_",getCategoryLevelAsString($B157))),";",EscStr(V157),";")))</f>
        <v>;"NavNode_L3D_525551";"Surse de alimentare AC/DC, PCB";</v>
      </c>
      <c r="AP157" s="10" t="str">
        <f>IF(getCategoryLevelAsString($B157)="L0D_324785","",IF(W157="",CONCATENATE(";",EscStr(CONCATENATE("NavNode_",getCategoryLevelAsString($B157))),";",EscStr($J157),";"),CONCATENATE(";",EscStr(CONCATENATE("NavNode_",getCategoryLevelAsString($B157))),";",EscStr(W157),";")))</f>
        <v>;"NavNode_L3D_525551";"AC/DC töltőkészülék, PCB";</v>
      </c>
      <c r="AQ157" s="10" t="str">
        <f>IF(getCategoryLevelAsString($B157)="L0D_324785","",IF(X157="",CONCATENATE(";",EscStr(CONCATENATE("NavNode_",getCategoryLevelAsString($B157))),";",EscStr($J157),";"),CONCATENATE(";",EscStr(CONCATENATE("NavNode_",getCategoryLevelAsString($B157))),";",EscStr(X157),";")))</f>
        <v>;"NavNode_L3D_525551";"AC / DC napájecí zdroje, PCB";</v>
      </c>
      <c r="AR157" s="8" t="str">
        <f>IF(OR($A157&lt;&gt;"", $G157=""),"",CONCATENATE(";",EscStr(CONCATENATE("NavEntry_",getCategoryLevelAsString($B157))),";",EscStr(CONCATENATE($J157," Navigation Entry")),";",EscStr(CONCATENATE("cat-",getCategoryLevelAsString($B157))),";",EscStr(CONCATENATE("NavNode_",getCategoryLevelAsString($B157))),";"))</f>
        <v>;"NavEntry_L3D_525551";"AC/DC Power supplies, PCB Navigation Entry";"cat-L3D_525551";"NavNode_L3D_525551";</v>
      </c>
    </row>
    <row r="158" spans="1:44" ht="15" x14ac:dyDescent="0.25">
      <c r="A158" s="25"/>
      <c r="B158" s="5"/>
      <c r="C158" s="5"/>
      <c r="D158" s="5" t="s">
        <v>200</v>
      </c>
      <c r="E158" s="5"/>
      <c r="F158" s="5"/>
      <c r="G158" s="5" t="s">
        <v>1280</v>
      </c>
      <c r="H158" s="5" t="s">
        <v>477</v>
      </c>
      <c r="I158" s="5" t="s">
        <v>1280</v>
      </c>
      <c r="J158" s="5" t="s">
        <v>1280</v>
      </c>
      <c r="K158" s="5" t="s">
        <v>1280</v>
      </c>
      <c r="L158" s="5" t="s">
        <v>1592</v>
      </c>
      <c r="M158" s="5" t="s">
        <v>1280</v>
      </c>
      <c r="N158" s="5" t="s">
        <v>1280</v>
      </c>
      <c r="O158" s="5" t="s">
        <v>1280</v>
      </c>
      <c r="P158" s="5" t="s">
        <v>1280</v>
      </c>
      <c r="Q158" s="5" t="s">
        <v>1280</v>
      </c>
      <c r="R158" s="5" t="s">
        <v>1280</v>
      </c>
      <c r="S158" s="5" t="s">
        <v>2201</v>
      </c>
      <c r="T158" s="5" t="s">
        <v>2202</v>
      </c>
      <c r="U158" s="5" t="s">
        <v>1280</v>
      </c>
      <c r="V158" s="5" t="s">
        <v>1280</v>
      </c>
      <c r="W158" s="5" t="s">
        <v>1280</v>
      </c>
      <c r="X158" s="5" t="s">
        <v>1280</v>
      </c>
      <c r="Y158" s="10" t="str">
        <f>IF(OR($A158&lt;&gt;"", $G158=""),"",CONCATENATE(";",EscStr(CONCATENATE("NavNode_",getCategoryLevelAsString($B158))),";",EscStr($J158),";",IF($B158&lt;&gt;"","""MainNavNode""",EscStr(CONCATENATE("NavNode_",getSuperCategory($B158, getCategoryLevelAsNumber($B158))))),";"))</f>
        <v>;"NavNode_L2D_527999";"UPS";"NavNode_Power Supplies / Batteries / Transformers";</v>
      </c>
      <c r="Z158" s="10" t="str">
        <f>IF(getCategoryLevelAsString($B158)="L0D_324785","",IF(G158="",CONCATENATE(";",EscStr(CONCATENATE("NavNode_",getCategoryLevelAsString($B158))),";",EscStr($J158),";"),CONCATENATE(";",EscStr(CONCATENATE("NavNode_",getCategoryLevelAsString($B158))),";",EscStr(G158),";")))</f>
        <v>;"NavNode_L2D_527999";"UPS";</v>
      </c>
      <c r="AA158" s="10" t="str">
        <f>IF(getCategoryLevelAsString($B158)="L0D_324785","",IF(H158="",CONCATENATE(";",EscStr(CONCATENATE("NavNode_",getCategoryLevelAsString($B158))),";",EscStr($J158),";"),CONCATENATE(";",EscStr(CONCATENATE("NavNode_",getCategoryLevelAsString($B158))),";",EscStr(H158),";")))</f>
        <v>;"NavNode_L2D_527999";"Alimentation sans interruption";</v>
      </c>
      <c r="AB158" s="10" t="str">
        <f>IF(getCategoryLevelAsString($B158)="L0D_324785","",IF(I158="",CONCATENATE(";",EscStr(CONCATENATE("NavNode_",getCategoryLevelAsString($B158))),";",EscStr($J158),";"),CONCATENATE(";",EscStr(CONCATENATE("NavNode_",getCategoryLevelAsString($B158))),";",EscStr(I158),";")))</f>
        <v>;"NavNode_L2D_527999";"UPS";</v>
      </c>
      <c r="AC158" s="10" t="str">
        <f>IF(getCategoryLevelAsString($B158)="L0D_324785","",IF(J158="",CONCATENATE(";",EscStr(CONCATENATE("NavNode_",getCategoryLevelAsString($B158))),";",EscStr($J158),";"),CONCATENATE(";",EscStr(CONCATENATE("NavNode_",getCategoryLevelAsString($B158))),";",EscStr(J158),";")))</f>
        <v>;"NavNode_L2D_527999";"UPS";</v>
      </c>
      <c r="AD158" s="10" t="str">
        <f>IF(getCategoryLevelAsString($B158)="L0D_324785","",IF(K158="",CONCATENATE(";",EscStr(CONCATENATE("NavNode_",getCategoryLevelAsString($B158))),";",EscStr($J158),";"),CONCATENATE(";",EscStr(CONCATENATE("NavNode_",getCategoryLevelAsString($B158))),";",EscStr(K158),";")))</f>
        <v>;"NavNode_L2D_527999";"UPS";</v>
      </c>
      <c r="AE158" s="10" t="str">
        <f>IF(getCategoryLevelAsString($B158)="L0D_324785","",IF(L158="",CONCATENATE(";",EscStr(CONCATENATE("NavNode_",getCategoryLevelAsString($B158))),";",EscStr($J158),";"),CONCATENATE(";",EscStr(CONCATENATE("NavNode_",getCategoryLevelAsString($B158))),";",EscStr(L158),";")))</f>
        <v>;"NavNode_L2D_527999";"Nepertraukiamo maitinimo šaltiniai";</v>
      </c>
      <c r="AF158" s="10" t="str">
        <f>IF(getCategoryLevelAsString($B158)="L0D_324785","",IF(M158="",CONCATENATE(";",EscStr(CONCATENATE("NavNode_",getCategoryLevelAsString($B158))),";",EscStr($J158),";"),CONCATENATE(";",EscStr(CONCATENATE("NavNode_",getCategoryLevelAsString($B158))),";",EscStr(M158),";")))</f>
        <v>;"NavNode_L2D_527999";"UPS";</v>
      </c>
      <c r="AG158" s="10" t="str">
        <f>IF(getCategoryLevelAsString($B158)="L0D_324785","",IF(N158="",CONCATENATE(";",EscStr(CONCATENATE("NavNode_",getCategoryLevelAsString($B158))),";",EscStr($J158),";"),CONCATENATE(";",EscStr(CONCATENATE("NavNode_",getCategoryLevelAsString($B158))),";",EscStr(N158),";")))</f>
        <v>;"NavNode_L2D_527999";"UPS";</v>
      </c>
      <c r="AH158" s="10" t="str">
        <f>IF(getCategoryLevelAsString($B158)="L0D_324785","",IF(O158="",CONCATENATE(";",EscStr(CONCATENATE("NavNode_",getCategoryLevelAsString($B158))),";",EscStr($J158),";"),CONCATENATE(";",EscStr(CONCATENATE("NavNode_",getCategoryLevelAsString($B158))),";",EscStr(O158),";")))</f>
        <v>;"NavNode_L2D_527999";"UPS";</v>
      </c>
      <c r="AI158" s="10" t="str">
        <f>IF(getCategoryLevelAsString($B158)="L0D_324785","",IF(P158="",CONCATENATE(";",EscStr(CONCATENATE("NavNode_",getCategoryLevelAsString($B158))),";",EscStr($J158),";"),CONCATENATE(";",EscStr(CONCATENATE("NavNode_",getCategoryLevelAsString($B158))),";",EscStr(P158),";")))</f>
        <v>;"NavNode_L2D_527999";"UPS";</v>
      </c>
      <c r="AJ158" s="10" t="str">
        <f>IF(getCategoryLevelAsString($B158)="L0D_324785","",IF(Q158="",CONCATENATE(";",EscStr(CONCATENATE("NavNode_",getCategoryLevelAsString($B158))),";",EscStr($J158),";"),CONCATENATE(";",EscStr(CONCATENATE("NavNode_",getCategoryLevelAsString($B158))),";",EscStr(Q158),";")))</f>
        <v>;"NavNode_L2D_527999";"UPS";</v>
      </c>
      <c r="AK158" s="10" t="str">
        <f>IF(getCategoryLevelAsString($B158)="L0D_324785","",IF(R158="",CONCATENATE(";",EscStr(CONCATENATE("NavNode_",getCategoryLevelAsString($B158))),";",EscStr($J158),";"),CONCATENATE(";",EscStr(CONCATENATE("NavNode_",getCategoryLevelAsString($B158))),";",EscStr(R158),";")))</f>
        <v>;"NavNode_L2D_527999";"UPS";</v>
      </c>
      <c r="AL158" s="10" t="str">
        <f>IF(getCategoryLevelAsString($B158)="L0D_324785","",IF(S158="",CONCATENATE(";",EscStr(CONCATENATE("NavNode_",getCategoryLevelAsString($B158))),";",EscStr($J158),";"),CONCATENATE(";",EscStr(CONCATENATE("NavNode_",getCategoryLevelAsString($B158))),";",EscStr(S158),";")))</f>
        <v>;"NavNode_L2D_527999";"Zasilacze UPS";</v>
      </c>
      <c r="AM158" s="10" t="str">
        <f>IF(getCategoryLevelAsString($B158)="L0D_324785","",IF(T158="",CONCATENATE(";",EscStr(CONCATENATE("NavNode_",getCategoryLevelAsString($B158))),";",EscStr($J158),";"),CONCATENATE(";",EscStr(CONCATENATE("NavNode_",getCategoryLevelAsString($B158))),";",EscStr(T158),";")))</f>
        <v>;"NavNode_L2D_527999";"ИБП";</v>
      </c>
      <c r="AN158" s="10" t="str">
        <f>IF(getCategoryLevelAsString($B158)="L0D_324785","",IF(U158="",CONCATENATE(";",EscStr(CONCATENATE("NavNode_",getCategoryLevelAsString($B158))),";",EscStr($J158),";"),CONCATENATE(";",EscStr(CONCATENATE("NavNode_",getCategoryLevelAsString($B158))),";",EscStr(U158),";")))</f>
        <v>;"NavNode_L2D_527999";"UPS";</v>
      </c>
      <c r="AO158" s="10" t="str">
        <f>IF(getCategoryLevelAsString($B158)="L0D_324785","",IF(V158="",CONCATENATE(";",EscStr(CONCATENATE("NavNode_",getCategoryLevelAsString($B158))),";",EscStr($J158),";"),CONCATENATE(";",EscStr(CONCATENATE("NavNode_",getCategoryLevelAsString($B158))),";",EscStr(V158),";")))</f>
        <v>;"NavNode_L2D_527999";"UPS";</v>
      </c>
      <c r="AP158" s="10" t="str">
        <f>IF(getCategoryLevelAsString($B158)="L0D_324785","",IF(W158="",CONCATENATE(";",EscStr(CONCATENATE("NavNode_",getCategoryLevelAsString($B158))),";",EscStr($J158),";"),CONCATENATE(";",EscStr(CONCATENATE("NavNode_",getCategoryLevelAsString($B158))),";",EscStr(W158),";")))</f>
        <v>;"NavNode_L2D_527999";"UPS";</v>
      </c>
      <c r="AQ158" s="10" t="str">
        <f>IF(getCategoryLevelAsString($B158)="L0D_324785","",IF(X158="",CONCATENATE(";",EscStr(CONCATENATE("NavNode_",getCategoryLevelAsString($B158))),";",EscStr($J158),";"),CONCATENATE(";",EscStr(CONCATENATE("NavNode_",getCategoryLevelAsString($B158))),";",EscStr(X158),";")))</f>
        <v>;"NavNode_L2D_527999";"UPS";</v>
      </c>
      <c r="AR158" s="8" t="str">
        <f>IF(OR($A158&lt;&gt;"", $G158=""),"",CONCATENATE(";",EscStr(CONCATENATE("NavEntry_",getCategoryLevelAsString($B158))),";",EscStr(CONCATENATE($J158," Navigation Entry")),";",EscStr(CONCATENATE("cat-",getCategoryLevelAsString($B158))),";",EscStr(CONCATENATE("NavNode_",getCategoryLevelAsString($B158))),";"))</f>
        <v>;"NavEntry_L2D_527999";"UPS Navigation Entry";"cat-L2D_527999";"NavNode_L2D_527999";</v>
      </c>
    </row>
    <row r="159" spans="1:44" ht="15" x14ac:dyDescent="0.25">
      <c r="A159" s="25"/>
      <c r="B159" s="5"/>
      <c r="C159" s="5" t="s">
        <v>815</v>
      </c>
      <c r="D159" s="5"/>
      <c r="E159" s="5"/>
      <c r="F159" s="5"/>
      <c r="G159" s="5" t="s">
        <v>3133</v>
      </c>
      <c r="H159" s="5" t="s">
        <v>3134</v>
      </c>
      <c r="I159" s="5" t="s">
        <v>3135</v>
      </c>
      <c r="J159" s="5" t="s">
        <v>3136</v>
      </c>
      <c r="K159" s="5" t="s">
        <v>3137</v>
      </c>
      <c r="L159" s="5" t="s">
        <v>3138</v>
      </c>
      <c r="M159" s="5" t="s">
        <v>3139</v>
      </c>
      <c r="N159" s="5" t="s">
        <v>3140</v>
      </c>
      <c r="O159" s="5" t="s">
        <v>3141</v>
      </c>
      <c r="P159" s="5" t="s">
        <v>3142</v>
      </c>
      <c r="Q159" s="5" t="s">
        <v>3143</v>
      </c>
      <c r="R159" s="5" t="s">
        <v>3144</v>
      </c>
      <c r="S159" s="5" t="s">
        <v>3145</v>
      </c>
      <c r="T159" s="5" t="s">
        <v>3146</v>
      </c>
      <c r="U159" s="5" t="s">
        <v>3147</v>
      </c>
      <c r="V159" s="5" t="s">
        <v>3148</v>
      </c>
      <c r="W159" s="5" t="s">
        <v>3149</v>
      </c>
      <c r="X159" s="5" t="s">
        <v>3147</v>
      </c>
      <c r="Y159" s="10" t="str">
        <f>IF(OR($A159&lt;&gt;"", $G159=""),"",CONCATENATE(";",EscStr(CONCATENATE("NavNode_",getCategoryLevelAsString($B159))),";",EscStr($J159),";",IF($B159&lt;&gt;"","""MainNavNode""",EscStr(CONCATENATE("NavNode_",getSuperCategory($B159, getCategoryLevelAsNumber($B159))))),";"))</f>
        <v>;"NavNode_L3D_525554";"Laboratory Power Supplies &amp; Electronic Loads";"NavNode_L2D_527999";</v>
      </c>
      <c r="Z159" s="10" t="str">
        <f>IF(getCategoryLevelAsString($B159)="L0D_324785","",IF(G159="",CONCATENATE(";",EscStr(CONCATENATE("NavNode_",getCategoryLevelAsString($B159))),";",EscStr($J159),";"),CONCATENATE(";",EscStr(CONCATENATE("NavNode_",getCategoryLevelAsString($B159))),";",EscStr(G159),";")))</f>
        <v>;"NavNode_L3D_525554";"Labor-Netzgeräte &amp; Elektronische Lasten";</v>
      </c>
      <c r="AA159" s="10" t="str">
        <f>IF(getCategoryLevelAsString($B159)="L0D_324785","",IF(H159="",CONCATENATE(";",EscStr(CONCATENATE("NavNode_",getCategoryLevelAsString($B159))),";",EscStr($J159),";"),CONCATENATE(";",EscStr(CONCATENATE("NavNode_",getCategoryLevelAsString($B159))),";",EscStr(H159),";")))</f>
        <v>;"NavNode_L3D_525554";"Alimentations et charges électroniques de laboratoire";</v>
      </c>
      <c r="AB159" s="10" t="str">
        <f>IF(getCategoryLevelAsString($B159)="L0D_324785","",IF(I159="",CONCATENATE(";",EscStr(CONCATENATE("NavNode_",getCategoryLevelAsString($B159))),";",EscStr($J159),";"),CONCATENATE(";",EscStr(CONCATENATE("NavNode_",getCategoryLevelAsString($B159))),";",EscStr(I159),";")))</f>
        <v>;"NavNode_L3D_525554";"Alimentatori da laboratorio e carichi elettronici";</v>
      </c>
      <c r="AC159" s="10" t="str">
        <f>IF(getCategoryLevelAsString($B159)="L0D_324785","",IF(J159="",CONCATENATE(";",EscStr(CONCATENATE("NavNode_",getCategoryLevelAsString($B159))),";",EscStr($J159),";"),CONCATENATE(";",EscStr(CONCATENATE("NavNode_",getCategoryLevelAsString($B159))),";",EscStr(J159),";")))</f>
        <v>;"NavNode_L3D_525554";"Laboratory Power Supplies &amp; Electronic Loads";</v>
      </c>
      <c r="AD159" s="10" t="str">
        <f>IF(getCategoryLevelAsString($B159)="L0D_324785","",IF(K159="",CONCATENATE(";",EscStr(CONCATENATE("NavNode_",getCategoryLevelAsString($B159))),";",EscStr($J159),";"),CONCATENATE(";",EscStr(CONCATENATE("NavNode_",getCategoryLevelAsString($B159))),";",EscStr(K159),";")))</f>
        <v>;"NavNode_L3D_525554";"Laboratoriestrømforsyninger og elektroniske laster";</v>
      </c>
      <c r="AE159" s="10" t="str">
        <f>IF(getCategoryLevelAsString($B159)="L0D_324785","",IF(L159="",CONCATENATE(";",EscStr(CONCATENATE("NavNode_",getCategoryLevelAsString($B159))),";",EscStr($J159),";"),CONCATENATE(";",EscStr(CONCATENATE("NavNode_",getCategoryLevelAsString($B159))),";",EscStr(L159),";")))</f>
        <v>;"NavNode_L3D_525554";"Laboratoriniai maitinimo šaltiniai ir elektroninės apkrovos";</v>
      </c>
      <c r="AF159" s="10" t="str">
        <f>IF(getCategoryLevelAsString($B159)="L0D_324785","",IF(M159="",CONCATENATE(";",EscStr(CONCATENATE("NavNode_",getCategoryLevelAsString($B159))),";",EscStr($J159),";"),CONCATENATE(";",EscStr(CONCATENATE("NavNode_",getCategoryLevelAsString($B159))),";",EscStr(M159),";")))</f>
        <v>;"NavNode_L3D_525554";"Laboratoriestrømforsyninger og elektroniske belastninger";</v>
      </c>
      <c r="AG159" s="10" t="str">
        <f>IF(getCategoryLevelAsString($B159)="L0D_324785","",IF(N159="",CONCATENATE(";",EscStr(CONCATENATE("NavNode_",getCategoryLevelAsString($B159))),";",EscStr($J159),";"),CONCATENATE(";",EscStr(CONCATENATE("NavNode_",getCategoryLevelAsString($B159))),";",EscStr(N159),";")))</f>
        <v>;"NavNode_L3D_525554";"Laboratorienätaggregat och elektronikbelastningar";</v>
      </c>
      <c r="AH159" s="10" t="str">
        <f>IF(getCategoryLevelAsString($B159)="L0D_324785","",IF(O159="",CONCATENATE(";",EscStr(CONCATENATE("NavNode_",getCategoryLevelAsString($B159))),";",EscStr($J159),";"),CONCATENATE(";",EscStr(CONCATENATE("NavNode_",getCategoryLevelAsString($B159))),";",EscStr(O159),";")))</f>
        <v>;"NavNode_L3D_525554";"Laboratoorsed toiteplokid ja elektroonilised koormused";</v>
      </c>
      <c r="AI159" s="10" t="str">
        <f>IF(getCategoryLevelAsString($B159)="L0D_324785","",IF(P159="",CONCATENATE(";",EscStr(CONCATENATE("NavNode_",getCategoryLevelAsString($B159))),";",EscStr($J159),";"),CONCATENATE(";",EscStr(CONCATENATE("NavNode_",getCategoryLevelAsString($B159))),";",EscStr(P159),";")))</f>
        <v>;"NavNode_L3D_525554";"Laboratoriovirtalähteet &amp; elektroniset kuormat";</v>
      </c>
      <c r="AJ159" s="10" t="str">
        <f>IF(getCategoryLevelAsString($B159)="L0D_324785","",IF(Q159="",CONCATENATE(";",EscStr(CONCATENATE("NavNode_",getCategoryLevelAsString($B159))),";",EscStr($J159),";"),CONCATENATE(";",EscStr(CONCATENATE("NavNode_",getCategoryLevelAsString($B159))),";",EscStr(Q159),";")))</f>
        <v>;"NavNode_L3D_525554";"Laboratorijas barošanas bloki un elektroniskās slodzes";</v>
      </c>
      <c r="AK159" s="10" t="str">
        <f>IF(getCategoryLevelAsString($B159)="L0D_324785","",IF(R159="",CONCATENATE(";",EscStr(CONCATENATE("NavNode_",getCategoryLevelAsString($B159))),";",EscStr($J159),";"),CONCATENATE(";",EscStr(CONCATENATE("NavNode_",getCategoryLevelAsString($B159))),";",EscStr(R159),";")))</f>
        <v>;"NavNode_L3D_525554";"Laboratorium voedingen en elektronische belastingen";</v>
      </c>
      <c r="AL159" s="10" t="str">
        <f>IF(getCategoryLevelAsString($B159)="L0D_324785","",IF(S159="",CONCATENATE(";",EscStr(CONCATENATE("NavNode_",getCategoryLevelAsString($B159))),";",EscStr($J159),";"),CONCATENATE(";",EscStr(CONCATENATE("NavNode_",getCategoryLevelAsString($B159))),";",EscStr(S159),";")))</f>
        <v>;"NavNode_L3D_525554";"Zasilacze laboratoryjne i Obciążenia elektroniczne";</v>
      </c>
      <c r="AM159" s="10" t="str">
        <f>IF(getCategoryLevelAsString($B159)="L0D_324785","",IF(T159="",CONCATENATE(";",EscStr(CONCATENATE("NavNode_",getCategoryLevelAsString($B159))),";",EscStr($J159),";"),CONCATENATE(";",EscStr(CONCATENATE("NavNode_",getCategoryLevelAsString($B159))),";",EscStr(T159),";")))</f>
        <v>;"NavNode_L3D_525554";"Лабораторные блоки питания и электронные нагрузки";</v>
      </c>
      <c r="AN159" s="10" t="str">
        <f>IF(getCategoryLevelAsString($B159)="L0D_324785","",IF(U159="",CONCATENATE(";",EscStr(CONCATENATE("NavNode_",getCategoryLevelAsString($B159))),";",EscStr($J159),";"),CONCATENATE(";",EscStr(CONCATENATE("NavNode_",getCategoryLevelAsString($B159))),";",EscStr(U159),";")))</f>
        <v>;"NavNode_L3D_525554";"Laboratorní zdroje a elektronické zátěže";</v>
      </c>
      <c r="AO159" s="10" t="str">
        <f>IF(getCategoryLevelAsString($B159)="L0D_324785","",IF(V159="",CONCATENATE(";",EscStr(CONCATENATE("NavNode_",getCategoryLevelAsString($B159))),";",EscStr($J159),";"),CONCATENATE(";",EscStr(CONCATENATE("NavNode_",getCategoryLevelAsString($B159))),";",EscStr(V159),";")))</f>
        <v>;"NavNode_L3D_525554";"Surse de alimentare pentru laboratoarer &amp; sarcini electronice";</v>
      </c>
      <c r="AP159" s="10" t="str">
        <f>IF(getCategoryLevelAsString($B159)="L0D_324785","",IF(W159="",CONCATENATE(";",EscStr(CONCATENATE("NavNode_",getCategoryLevelAsString($B159))),";",EscStr($J159),";"),CONCATENATE(";",EscStr(CONCATENATE("NavNode_",getCategoryLevelAsString($B159))),";",EscStr(W159),";")))</f>
        <v>;"NavNode_L3D_525554";"Labortápegységek és elektronikus terhelések";</v>
      </c>
      <c r="AQ159" s="10" t="str">
        <f>IF(getCategoryLevelAsString($B159)="L0D_324785","",IF(X159="",CONCATENATE(";",EscStr(CONCATENATE("NavNode_",getCategoryLevelAsString($B159))),";",EscStr($J159),";"),CONCATENATE(";",EscStr(CONCATENATE("NavNode_",getCategoryLevelAsString($B159))),";",EscStr(X159),";")))</f>
        <v>;"NavNode_L3D_525554";"Laboratorní zdroje a elektronické zátěže";</v>
      </c>
      <c r="AR159" s="8" t="str">
        <f>IF(OR($A159&lt;&gt;"", $G159=""),"",CONCATENATE(";",EscStr(CONCATENATE("NavEntry_",getCategoryLevelAsString($B159))),";",EscStr(CONCATENATE($J159," Navigation Entry")),";",EscStr(CONCATENATE("cat-",getCategoryLevelAsString($B159))),";",EscStr(CONCATENATE("NavNode_",getCategoryLevelAsString($B159))),";"))</f>
        <v>;"NavEntry_L3D_525554";"Laboratory Power Supplies &amp; Electronic Loads Navigation Entry";"cat-L3D_525554";"NavNode_L3D_525554";</v>
      </c>
    </row>
    <row r="160" spans="1:44" ht="15" x14ac:dyDescent="0.25">
      <c r="A160" s="25"/>
      <c r="B160" s="5"/>
      <c r="C160" s="5"/>
      <c r="D160" s="5" t="s">
        <v>202</v>
      </c>
      <c r="E160" s="5"/>
      <c r="F160" s="5"/>
      <c r="G160" s="5" t="s">
        <v>2356</v>
      </c>
      <c r="H160" s="5" t="s">
        <v>2357</v>
      </c>
      <c r="I160" s="5" t="s">
        <v>2358</v>
      </c>
      <c r="J160" s="5" t="s">
        <v>2359</v>
      </c>
      <c r="K160" s="5" t="s">
        <v>2360</v>
      </c>
      <c r="L160" s="5" t="s">
        <v>2361</v>
      </c>
      <c r="M160" s="5" t="s">
        <v>2362</v>
      </c>
      <c r="N160" s="5" t="s">
        <v>2363</v>
      </c>
      <c r="O160" s="5" t="s">
        <v>2364</v>
      </c>
      <c r="P160" s="5" t="s">
        <v>2365</v>
      </c>
      <c r="Q160" s="5" t="s">
        <v>2366</v>
      </c>
      <c r="R160" s="5" t="s">
        <v>2367</v>
      </c>
      <c r="S160" s="5" t="s">
        <v>2368</v>
      </c>
      <c r="T160" s="5" t="s">
        <v>2369</v>
      </c>
      <c r="U160" s="5" t="s">
        <v>2370</v>
      </c>
      <c r="V160" s="5" t="s">
        <v>2371</v>
      </c>
      <c r="W160" s="5" t="s">
        <v>2372</v>
      </c>
      <c r="X160" s="5" t="s">
        <v>2370</v>
      </c>
      <c r="Y160" s="10" t="str">
        <f>IF(OR($A160&lt;&gt;"", $G160=""),"",CONCATENATE(";",EscStr(CONCATENATE("NavNode_",getCategoryLevelAsString($B160))),";",EscStr($J160),";",IF($B160&lt;&gt;"","""MainNavNode""",EscStr(CONCATENATE("NavNode_",getSuperCategory($B160, getCategoryLevelAsNumber($B160))))),";"))</f>
        <v>;"NavNode_L3D_543259";"DC Electronic Loads";"NavNode_L2D_527999";</v>
      </c>
      <c r="Z160" s="10" t="str">
        <f>IF(getCategoryLevelAsString($B160)="L0D_324785","",IF(G160="",CONCATENATE(";",EscStr(CONCATENATE("NavNode_",getCategoryLevelAsString($B160))),";",EscStr($J160),";"),CONCATENATE(";",EscStr(CONCATENATE("NavNode_",getCategoryLevelAsString($B160))),";",EscStr(G160),";")))</f>
        <v>;"NavNode_L3D_543259";"DC Lasten, elektronisch";</v>
      </c>
      <c r="AA160" s="10" t="str">
        <f>IF(getCategoryLevelAsString($B160)="L0D_324785","",IF(H160="",CONCATENATE(";",EscStr(CONCATENATE("NavNode_",getCategoryLevelAsString($B160))),";",EscStr($J160),";"),CONCATENATE(";",EscStr(CONCATENATE("NavNode_",getCategoryLevelAsString($B160))),";",EscStr(H160),";")))</f>
        <v>;"NavNode_L3D_543259";"Charges électroniques c.c.";</v>
      </c>
      <c r="AB160" s="10" t="str">
        <f>IF(getCategoryLevelAsString($B160)="L0D_324785","",IF(I160="",CONCATENATE(";",EscStr(CONCATENATE("NavNode_",getCategoryLevelAsString($B160))),";",EscStr($J160),";"),CONCATENATE(";",EscStr(CONCATENATE("NavNode_",getCategoryLevelAsString($B160))),";",EscStr(I160),";")))</f>
        <v>;"NavNode_L3D_543259";"Carichi elettronici CC";</v>
      </c>
      <c r="AC160" s="10" t="str">
        <f>IF(getCategoryLevelAsString($B160)="L0D_324785","",IF(J160="",CONCATENATE(";",EscStr(CONCATENATE("NavNode_",getCategoryLevelAsString($B160))),";",EscStr($J160),";"),CONCATENATE(";",EscStr(CONCATENATE("NavNode_",getCategoryLevelAsString($B160))),";",EscStr(J160),";")))</f>
        <v>;"NavNode_L3D_543259";"DC Electronic Loads";</v>
      </c>
      <c r="AD160" s="10" t="str">
        <f>IF(getCategoryLevelAsString($B160)="L0D_324785","",IF(K160="",CONCATENATE(";",EscStr(CONCATENATE("NavNode_",getCategoryLevelAsString($B160))),";",EscStr($J160),";"),CONCATENATE(";",EscStr(CONCATENATE("NavNode_",getCategoryLevelAsString($B160))),";",EscStr(K160),";")))</f>
        <v>;"NavNode_L3D_543259";"Elektroniske DC-laster";</v>
      </c>
      <c r="AE160" s="10" t="str">
        <f>IF(getCategoryLevelAsString($B160)="L0D_324785","",IF(L160="",CONCATENATE(";",EscStr(CONCATENATE("NavNode_",getCategoryLevelAsString($B160))),";",EscStr($J160),";"),CONCATENATE(";",EscStr(CONCATENATE("NavNode_",getCategoryLevelAsString($B160))),";",EscStr(L160),";")))</f>
        <v>;"NavNode_L3D_543259";"DC elektroninės apkrovos";</v>
      </c>
      <c r="AF160" s="10" t="str">
        <f>IF(getCategoryLevelAsString($B160)="L0D_324785","",IF(M160="",CONCATENATE(";",EscStr(CONCATENATE("NavNode_",getCategoryLevelAsString($B160))),";",EscStr($J160),";"),CONCATENATE(";",EscStr(CONCATENATE("NavNode_",getCategoryLevelAsString($B160))),";",EscStr(M160),";")))</f>
        <v>;"NavNode_L3D_543259";"Elektronisk belastning for likestrøm";</v>
      </c>
      <c r="AG160" s="10" t="str">
        <f>IF(getCategoryLevelAsString($B160)="L0D_324785","",IF(N160="",CONCATENATE(";",EscStr(CONCATENATE("NavNode_",getCategoryLevelAsString($B160))),";",EscStr($J160),";"),CONCATENATE(";",EscStr(CONCATENATE("NavNode_",getCategoryLevelAsString($B160))),";",EscStr(N160),";")))</f>
        <v>;"NavNode_L3D_543259";"DC elektronikbelastningar";</v>
      </c>
      <c r="AH160" s="10" t="str">
        <f>IF(getCategoryLevelAsString($B160)="L0D_324785","",IF(O160="",CONCATENATE(";",EscStr(CONCATENATE("NavNode_",getCategoryLevelAsString($B160))),";",EscStr($J160),";"),CONCATENATE(";",EscStr(CONCATENATE("NavNode_",getCategoryLevelAsString($B160))),";",EscStr(O160),";")))</f>
        <v>;"NavNode_L3D_543259";"Alalisvoolu elektroonilised koormused";</v>
      </c>
      <c r="AI160" s="10" t="str">
        <f>IF(getCategoryLevelAsString($B160)="L0D_324785","",IF(P160="",CONCATENATE(";",EscStr(CONCATENATE("NavNode_",getCategoryLevelAsString($B160))),";",EscStr($J160),";"),CONCATENATE(";",EscStr(CONCATENATE("NavNode_",getCategoryLevelAsString($B160))),";",EscStr(P160),";")))</f>
        <v>;"NavNode_L3D_543259";"Elektroniset DC-kuormat";</v>
      </c>
      <c r="AJ160" s="10" t="str">
        <f>IF(getCategoryLevelAsString($B160)="L0D_324785","",IF(Q160="",CONCATENATE(";",EscStr(CONCATENATE("NavNode_",getCategoryLevelAsString($B160))),";",EscStr($J160),";"),CONCATENATE(";",EscStr(CONCATENATE("NavNode_",getCategoryLevelAsString($B160))),";",EscStr(Q160),";")))</f>
        <v>;"NavNode_L3D_543259";"Līdzstrāvas elektroniskās slodzes elementi";</v>
      </c>
      <c r="AK160" s="10" t="str">
        <f>IF(getCategoryLevelAsString($B160)="L0D_324785","",IF(R160="",CONCATENATE(";",EscStr(CONCATENATE("NavNode_",getCategoryLevelAsString($B160))),";",EscStr($J160),";"),CONCATENATE(";",EscStr(CONCATENATE("NavNode_",getCategoryLevelAsString($B160))),";",EscStr(R160),";")))</f>
        <v>;"NavNode_L3D_543259";"Elektronische gelijkstroombelastingen";</v>
      </c>
      <c r="AL160" s="10" t="str">
        <f>IF(getCategoryLevelAsString($B160)="L0D_324785","",IF(S160="",CONCATENATE(";",EscStr(CONCATENATE("NavNode_",getCategoryLevelAsString($B160))),";",EscStr($J160),";"),CONCATENATE(";",EscStr(CONCATENATE("NavNode_",getCategoryLevelAsString($B160))),";",EscStr(S160),";")))</f>
        <v>;"NavNode_L3D_543259";"Obciążenia elektroniczne DC";</v>
      </c>
      <c r="AM160" s="10" t="str">
        <f>IF(getCategoryLevelAsString($B160)="L0D_324785","",IF(T160="",CONCATENATE(";",EscStr(CONCATENATE("NavNode_",getCategoryLevelAsString($B160))),";",EscStr($J160),";"),CONCATENATE(";",EscStr(CONCATENATE("NavNode_",getCategoryLevelAsString($B160))),";",EscStr(T160),";")))</f>
        <v>;"NavNode_L3D_543259";"Электронные нагрузки постоянного тока";</v>
      </c>
      <c r="AN160" s="10" t="str">
        <f>IF(getCategoryLevelAsString($B160)="L0D_324785","",IF(U160="",CONCATENATE(";",EscStr(CONCATENATE("NavNode_",getCategoryLevelAsString($B160))),";",EscStr($J160),";"),CONCATENATE(";",EscStr(CONCATENATE("NavNode_",getCategoryLevelAsString($B160))),";",EscStr(U160),";")))</f>
        <v>;"NavNode_L3D_543259";"Elektronické zátěže, DC";</v>
      </c>
      <c r="AO160" s="10" t="str">
        <f>IF(getCategoryLevelAsString($B160)="L0D_324785","",IF(V160="",CONCATENATE(";",EscStr(CONCATENATE("NavNode_",getCategoryLevelAsString($B160))),";",EscStr($J160),";"),CONCATENATE(";",EscStr(CONCATENATE("NavNode_",getCategoryLevelAsString($B160))),";",EscStr(V160),";")))</f>
        <v>;"NavNode_L3D_543259";"Sarcini electronice c.c.";</v>
      </c>
      <c r="AP160" s="10" t="str">
        <f>IF(getCategoryLevelAsString($B160)="L0D_324785","",IF(W160="",CONCATENATE(";",EscStr(CONCATENATE("NavNode_",getCategoryLevelAsString($B160))),";",EscStr($J160),";"),CONCATENATE(";",EscStr(CONCATENATE("NavNode_",getCategoryLevelAsString($B160))),";",EscStr(W160),";")))</f>
        <v>;"NavNode_L3D_543259";"DC elektronikus terhelés";</v>
      </c>
      <c r="AQ160" s="10" t="str">
        <f>IF(getCategoryLevelAsString($B160)="L0D_324785","",IF(X160="",CONCATENATE(";",EscStr(CONCATENATE("NavNode_",getCategoryLevelAsString($B160))),";",EscStr($J160),";"),CONCATENATE(";",EscStr(CONCATENATE("NavNode_",getCategoryLevelAsString($B160))),";",EscStr(X160),";")))</f>
        <v>;"NavNode_L3D_543259";"Elektronické zátěže, DC";</v>
      </c>
      <c r="AR160" s="8" t="str">
        <f>IF(OR($A160&lt;&gt;"", $G160=""),"",CONCATENATE(";",EscStr(CONCATENATE("NavEntry_",getCategoryLevelAsString($B160))),";",EscStr(CONCATENATE($J160," Navigation Entry")),";",EscStr(CONCATENATE("cat-",getCategoryLevelAsString($B160))),";",EscStr(CONCATENATE("NavNode_",getCategoryLevelAsString($B160))),";"))</f>
        <v>;"NavEntry_L3D_543259";"DC Electronic Loads Navigation Entry";"cat-L3D_543259";"NavNode_L3D_543259";</v>
      </c>
    </row>
    <row r="161" spans="1:44" ht="15" x14ac:dyDescent="0.25">
      <c r="A161" s="25"/>
      <c r="B161" s="5"/>
      <c r="C161" s="5"/>
      <c r="D161" s="5" t="s">
        <v>816</v>
      </c>
      <c r="E161" s="5"/>
      <c r="F161" s="5"/>
      <c r="G161" s="5" t="s">
        <v>478</v>
      </c>
      <c r="H161" s="5" t="s">
        <v>479</v>
      </c>
      <c r="I161" s="5" t="s">
        <v>2373</v>
      </c>
      <c r="J161" s="5" t="s">
        <v>2374</v>
      </c>
      <c r="K161" s="5" t="s">
        <v>2375</v>
      </c>
      <c r="L161" s="5" t="s">
        <v>2376</v>
      </c>
      <c r="M161" s="5" t="s">
        <v>2377</v>
      </c>
      <c r="N161" s="5" t="s">
        <v>2378</v>
      </c>
      <c r="O161" s="5" t="s">
        <v>2379</v>
      </c>
      <c r="P161" s="5" t="s">
        <v>2380</v>
      </c>
      <c r="Q161" s="5" t="s">
        <v>2381</v>
      </c>
      <c r="R161" s="5" t="s">
        <v>2382</v>
      </c>
      <c r="S161" s="5" t="s">
        <v>2383</v>
      </c>
      <c r="T161" s="5" t="s">
        <v>2384</v>
      </c>
      <c r="U161" s="5" t="s">
        <v>2385</v>
      </c>
      <c r="V161" s="5" t="s">
        <v>2386</v>
      </c>
      <c r="W161" s="5" t="s">
        <v>2387</v>
      </c>
      <c r="X161" s="5" t="s">
        <v>2385</v>
      </c>
      <c r="Y161" s="10"/>
      <c r="Z161" s="10" t="str">
        <f>IF(getCategoryLevelAsString($B161)="L0D_324785","",IF(G161="",CONCATENATE(";",EscStr(CONCATENATE("NavNode_",getCategoryLevelAsString($B161))),";",EscStr($J161),";"),CONCATENATE(";",EscStr(CONCATENATE("NavNode_",getCategoryLevelAsString($B161))),";",EscStr(G161),";")))</f>
        <v>;"NavNode_L3D_543328";"Festspannungs-Netzgeräte";</v>
      </c>
      <c r="AA161" s="10" t="str">
        <f>IF(getCategoryLevelAsString($B161)="L0D_324785","",IF(H161="",CONCATENATE(";",EscStr(CONCATENATE("NavNode_",getCategoryLevelAsString($B161))),";",EscStr($J161),";"),CONCATENATE(";",EscStr(CONCATENATE("NavNode_",getCategoryLevelAsString($B161))),";",EscStr(H161),";")))</f>
        <v>;"NavNode_L3D_543328";"Alimentations à tension fixe";</v>
      </c>
      <c r="AB161" s="10" t="str">
        <f>IF(getCategoryLevelAsString($B161)="L0D_324785","",IF(I161="",CONCATENATE(";",EscStr(CONCATENATE("NavNode_",getCategoryLevelAsString($B161))),";",EscStr($J161),";"),CONCATENATE(";",EscStr(CONCATENATE("NavNode_",getCategoryLevelAsString($B161))),";",EscStr(I161),";")))</f>
        <v>;"NavNode_L3D_543328";"Alimentazione, tensione fissa";</v>
      </c>
      <c r="AC161" s="10" t="str">
        <f>IF(getCategoryLevelAsString($B161)="L0D_324785","",IF(J161="",CONCATENATE(";",EscStr(CONCATENATE("NavNode_",getCategoryLevelAsString($B161))),";",EscStr($J161),";"),CONCATENATE(";",EscStr(CONCATENATE("NavNode_",getCategoryLevelAsString($B161))),";",EscStr(J161),";")))</f>
        <v>;"NavNode_L3D_543328";"Power Supplies, fixed-voltage";</v>
      </c>
      <c r="AD161" s="10" t="str">
        <f>IF(getCategoryLevelAsString($B161)="L0D_324785","",IF(K161="",CONCATENATE(";",EscStr(CONCATENATE("NavNode_",getCategoryLevelAsString($B161))),";",EscStr($J161),";"),CONCATENATE(";",EscStr(CONCATENATE("NavNode_",getCategoryLevelAsString($B161))),";",EscStr(K161),";")))</f>
        <v>;"NavNode_L3D_543328";"Strømforsyninger, fast spænding";</v>
      </c>
      <c r="AE161" s="10" t="str">
        <f>IF(getCategoryLevelAsString($B161)="L0D_324785","",IF(L161="",CONCATENATE(";",EscStr(CONCATENATE("NavNode_",getCategoryLevelAsString($B161))),";",EscStr($J161),";"),CONCATENATE(";",EscStr(CONCATENATE("NavNode_",getCategoryLevelAsString($B161))),";",EscStr(L161),";")))</f>
        <v>;"NavNode_L3D_543328";"Maitinimo šaltiniai, pastovios įtampos";</v>
      </c>
      <c r="AF161" s="10" t="str">
        <f>IF(getCategoryLevelAsString($B161)="L0D_324785","",IF(M161="",CONCATENATE(";",EscStr(CONCATENATE("NavNode_",getCategoryLevelAsString($B161))),";",EscStr($J161),";"),CONCATENATE(";",EscStr(CONCATENATE("NavNode_",getCategoryLevelAsString($B161))),";",EscStr(M161),";")))</f>
        <v>;"NavNode_L3D_543328";"Strømforsyninger, fast spenning";</v>
      </c>
      <c r="AG161" s="10" t="str">
        <f>IF(getCategoryLevelAsString($B161)="L0D_324785","",IF(N161="",CONCATENATE(";",EscStr(CONCATENATE("NavNode_",getCategoryLevelAsString($B161))),";",EscStr($J161),";"),CONCATENATE(";",EscStr(CONCATENATE("NavNode_",getCategoryLevelAsString($B161))),";",EscStr(N161),";")))</f>
        <v>;"NavNode_L3D_543328";"Nätaggregat, fast spänning";</v>
      </c>
      <c r="AH161" s="10" t="str">
        <f>IF(getCategoryLevelAsString($B161)="L0D_324785","",IF(O161="",CONCATENATE(";",EscStr(CONCATENATE("NavNode_",getCategoryLevelAsString($B161))),";",EscStr($J161),";"),CONCATENATE(";",EscStr(CONCATENATE("NavNode_",getCategoryLevelAsString($B161))),";",EscStr(O161),";")))</f>
        <v>;"NavNode_L3D_543328";"Toitevarustus, fikseeritud pinge";</v>
      </c>
      <c r="AI161" s="10" t="str">
        <f>IF(getCategoryLevelAsString($B161)="L0D_324785","",IF(P161="",CONCATENATE(";",EscStr(CONCATENATE("NavNode_",getCategoryLevelAsString($B161))),";",EscStr($J161),";"),CONCATENATE(";",EscStr(CONCATENATE("NavNode_",getCategoryLevelAsString($B161))),";",EscStr(P161),";")))</f>
        <v>;"NavNode_L3D_543328";"Virtalähteet, kiinteä jännite";</v>
      </c>
      <c r="AJ161" s="10" t="str">
        <f>IF(getCategoryLevelAsString($B161)="L0D_324785","",IF(Q161="",CONCATENATE(";",EscStr(CONCATENATE("NavNode_",getCategoryLevelAsString($B161))),";",EscStr($J161),";"),CONCATENATE(";",EscStr(CONCATENATE("NavNode_",getCategoryLevelAsString($B161))),";",EscStr(Q161),";")))</f>
        <v>;"NavNode_L3D_543328";"Strāvas avoti, fiksēts spriegums";</v>
      </c>
      <c r="AK161" s="10" t="str">
        <f>IF(getCategoryLevelAsString($B161)="L0D_324785","",IF(R161="",CONCATENATE(";",EscStr(CONCATENATE("NavNode_",getCategoryLevelAsString($B161))),";",EscStr($J161),";"),CONCATENATE(";",EscStr(CONCATENATE("NavNode_",getCategoryLevelAsString($B161))),";",EscStr(R161),";")))</f>
        <v>;"NavNode_L3D_543328";"Voedingen, vaste spanning";</v>
      </c>
      <c r="AL161" s="10" t="str">
        <f>IF(getCategoryLevelAsString($B161)="L0D_324785","",IF(S161="",CONCATENATE(";",EscStr(CONCATENATE("NavNode_",getCategoryLevelAsString($B161))),";",EscStr($J161),";"),CONCATENATE(";",EscStr(CONCATENATE("NavNode_",getCategoryLevelAsString($B161))),";",EscStr(S161),";")))</f>
        <v>;"NavNode_L3D_543328";"Zasilacze, napięcie stałe";</v>
      </c>
      <c r="AM161" s="10" t="str">
        <f>IF(getCategoryLevelAsString($B161)="L0D_324785","",IF(T161="",CONCATENATE(";",EscStr(CONCATENATE("NavNode_",getCategoryLevelAsString($B161))),";",EscStr($J161),";"),CONCATENATE(";",EscStr(CONCATENATE("NavNode_",getCategoryLevelAsString($B161))),";",EscStr(T161),";")))</f>
        <v>;"NavNode_L3D_543328";"Блоки питания, стабилизированное напряжение";</v>
      </c>
      <c r="AN161" s="10" t="str">
        <f>IF(getCategoryLevelAsString($B161)="L0D_324785","",IF(U161="",CONCATENATE(";",EscStr(CONCATENATE("NavNode_",getCategoryLevelAsString($B161))),";",EscStr($J161),";"),CONCATENATE(";",EscStr(CONCATENATE("NavNode_",getCategoryLevelAsString($B161))),";",EscStr(U161),";")))</f>
        <v>;"NavNode_L3D_543328";"Zdroje napájení, fixní napětí";</v>
      </c>
      <c r="AO161" s="10" t="str">
        <f>IF(getCategoryLevelAsString($B161)="L0D_324785","",IF(V161="",CONCATENATE(";",EscStr(CONCATENATE("NavNode_",getCategoryLevelAsString($B161))),";",EscStr($J161),";"),CONCATENATE(";",EscStr(CONCATENATE("NavNode_",getCategoryLevelAsString($B161))),";",EscStr(V161),";")))</f>
        <v>;"NavNode_L3D_543328";"Surse de alimentare cu tensiune fixă";</v>
      </c>
      <c r="AP161" s="10" t="str">
        <f>IF(getCategoryLevelAsString($B161)="L0D_324785","",IF(W161="",CONCATENATE(";",EscStr(CONCATENATE("NavNode_",getCategoryLevelAsString($B161))),";",EscStr($J161),";"),CONCATENATE(";",EscStr(CONCATENATE("NavNode_",getCategoryLevelAsString($B161))),";",EscStr(W161),";")))</f>
        <v>;"NavNode_L3D_543328";"Tápegységek, rögzített feszültség";</v>
      </c>
      <c r="AQ161" s="10" t="str">
        <f>IF(getCategoryLevelAsString($B161)="L0D_324785","",IF(X161="",CONCATENATE(";",EscStr(CONCATENATE("NavNode_",getCategoryLevelAsString($B161))),";",EscStr($J161),";"),CONCATENATE(";",EscStr(CONCATENATE("NavNode_",getCategoryLevelAsString($B161))),";",EscStr(X161),";")))</f>
        <v>;"NavNode_L3D_543328";"Zdroje napájení, fixní napětí";</v>
      </c>
      <c r="AR161" s="8" t="str">
        <f>IF(OR($A161&lt;&gt;"", $G161=""),"",CONCATENATE(";",EscStr(CONCATENATE("NavEntry_",getCategoryLevelAsString($B161))),";",EscStr(CONCATENATE($J161," Navigation Entry")),";",EscStr(CONCATENATE("cat-",getCategoryLevelAsString($B161))),";",EscStr(CONCATENATE("NavNode_",getCategoryLevelAsString($B161))),";"))</f>
        <v>;"NavEntry_L3D_543328";"Power Supplies, fixed-voltage Navigation Entry";"cat-L3D_543328";"NavNode_L3D_543328";</v>
      </c>
    </row>
    <row r="162" spans="1:44" ht="15" x14ac:dyDescent="0.25">
      <c r="A162" s="25"/>
      <c r="B162" s="5"/>
      <c r="C162" s="5"/>
      <c r="D162" s="5" t="s">
        <v>817</v>
      </c>
      <c r="E162" s="5"/>
      <c r="F162" s="5"/>
      <c r="G162" s="5" t="s">
        <v>480</v>
      </c>
      <c r="H162" s="5" t="s">
        <v>481</v>
      </c>
      <c r="I162" s="5" t="s">
        <v>482</v>
      </c>
      <c r="J162" s="5" t="s">
        <v>204</v>
      </c>
      <c r="K162" s="5" t="s">
        <v>1281</v>
      </c>
      <c r="L162" s="5" t="s">
        <v>1514</v>
      </c>
      <c r="M162" s="5" t="s">
        <v>1742</v>
      </c>
      <c r="N162" s="5" t="s">
        <v>1947</v>
      </c>
      <c r="O162" s="5" t="s">
        <v>3150</v>
      </c>
      <c r="P162" s="5" t="s">
        <v>3151</v>
      </c>
      <c r="Q162" s="5" t="s">
        <v>3152</v>
      </c>
      <c r="R162" s="5" t="s">
        <v>3153</v>
      </c>
      <c r="S162" s="5" t="s">
        <v>3154</v>
      </c>
      <c r="T162" s="5" t="s">
        <v>3155</v>
      </c>
      <c r="U162" s="5" t="s">
        <v>3156</v>
      </c>
      <c r="V162" s="5" t="s">
        <v>3157</v>
      </c>
      <c r="W162" s="5" t="s">
        <v>3158</v>
      </c>
      <c r="X162" s="5" t="s">
        <v>3156</v>
      </c>
      <c r="Y162" s="10" t="str">
        <f>IF(OR($A162&lt;&gt;"", $G162=""),"",CONCATENATE(";",EscStr(CONCATENATE("NavNode_",getCategoryLevelAsString($B162))),";",EscStr($J162),";",IF($B162&lt;&gt;"","""MainNavNode""",EscStr(CONCATENATE("NavNode_",getSuperCategory($B162, getCategoryLevelAsNumber($B162))))),";"))</f>
        <v>;"NavNode_L3D_557234";"Isolating Transformers";"NavNode_L2D_527999";</v>
      </c>
      <c r="Z162" s="10" t="str">
        <f>IF(getCategoryLevelAsString($B162)="L0D_324785","",IF(G162="",CONCATENATE(";",EscStr(CONCATENATE("NavNode_",getCategoryLevelAsString($B162))),";",EscStr($J162),";"),CONCATENATE(";",EscStr(CONCATENATE("NavNode_",getCategoryLevelAsString($B162))),";",EscStr(G162),";")))</f>
        <v>;"NavNode_L3D_557234";"Trenntransformatoren";</v>
      </c>
      <c r="AA162" s="10" t="str">
        <f>IF(getCategoryLevelAsString($B162)="L0D_324785","",IF(H162="",CONCATENATE(";",EscStr(CONCATENATE("NavNode_",getCategoryLevelAsString($B162))),";",EscStr($J162),";"),CONCATENATE(";",EscStr(CONCATENATE("NavNode_",getCategoryLevelAsString($B162))),";",EscStr(H162),";")))</f>
        <v>;"NavNode_L3D_557234";"Transformateurs de réglage";</v>
      </c>
      <c r="AB162" s="10" t="str">
        <f>IF(getCategoryLevelAsString($B162)="L0D_324785","",IF(I162="",CONCATENATE(";",EscStr(CONCATENATE("NavNode_",getCategoryLevelAsString($B162))),";",EscStr($J162),";"),CONCATENATE(";",EscStr(CONCATENATE("NavNode_",getCategoryLevelAsString($B162))),";",EscStr(I162),";")))</f>
        <v>;"NavNode_L3D_557234";"Trasformatori di separazione";</v>
      </c>
      <c r="AC162" s="10" t="str">
        <f>IF(getCategoryLevelAsString($B162)="L0D_324785","",IF(J162="",CONCATENATE(";",EscStr(CONCATENATE("NavNode_",getCategoryLevelAsString($B162))),";",EscStr($J162),";"),CONCATENATE(";",EscStr(CONCATENATE("NavNode_",getCategoryLevelAsString($B162))),";",EscStr(J162),";")))</f>
        <v>;"NavNode_L3D_557234";"Isolating Transformers";</v>
      </c>
      <c r="AD162" s="10" t="str">
        <f>IF(getCategoryLevelAsString($B162)="L0D_324785","",IF(K162="",CONCATENATE(";",EscStr(CONCATENATE("NavNode_",getCategoryLevelAsString($B162))),";",EscStr($J162),";"),CONCATENATE(";",EscStr(CONCATENATE("NavNode_",getCategoryLevelAsString($B162))),";",EscStr(K162),";")))</f>
        <v>;"NavNode_L3D_557234";"Isolationstransformere";</v>
      </c>
      <c r="AE162" s="10" t="str">
        <f>IF(getCategoryLevelAsString($B162)="L0D_324785","",IF(L162="",CONCATENATE(";",EscStr(CONCATENATE("NavNode_",getCategoryLevelAsString($B162))),";",EscStr($J162),";"),CONCATENATE(";",EscStr(CONCATENATE("NavNode_",getCategoryLevelAsString($B162))),";",EscStr(L162),";")))</f>
        <v>;"NavNode_L3D_557234";"Izoliuojamieji transformatoriai";</v>
      </c>
      <c r="AF162" s="10" t="str">
        <f>IF(getCategoryLevelAsString($B162)="L0D_324785","",IF(M162="",CONCATENATE(";",EscStr(CONCATENATE("NavNode_",getCategoryLevelAsString($B162))),";",EscStr($J162),";"),CONCATENATE(";",EscStr(CONCATENATE("NavNode_",getCategoryLevelAsString($B162))),";",EscStr(M162),";")))</f>
        <v>;"NavNode_L3D_557234";"Isolasjonstransformatorer";</v>
      </c>
      <c r="AG162" s="10" t="str">
        <f>IF(getCategoryLevelAsString($B162)="L0D_324785","",IF(N162="",CONCATENATE(";",EscStr(CONCATENATE("NavNode_",getCategoryLevelAsString($B162))),";",EscStr($J162),";"),CONCATENATE(";",EscStr(CONCATENATE("NavNode_",getCategoryLevelAsString($B162))),";",EscStr(N162),";")))</f>
        <v>;"NavNode_L3D_557234";"Isolationstransformatorer";</v>
      </c>
      <c r="AH162" s="10" t="str">
        <f>IF(getCategoryLevelAsString($B162)="L0D_324785","",IF(O162="",CONCATENATE(";",EscStr(CONCATENATE("NavNode_",getCategoryLevelAsString($B162))),";",EscStr($J162),";"),CONCATENATE(";",EscStr(CONCATENATE("NavNode_",getCategoryLevelAsString($B162))),";",EscStr(O162),";")))</f>
        <v>;"NavNode_L3D_557234";"Isolatsioonitrafod";</v>
      </c>
      <c r="AI162" s="10" t="str">
        <f>IF(getCategoryLevelAsString($B162)="L0D_324785","",IF(P162="",CONCATENATE(";",EscStr(CONCATENATE("NavNode_",getCategoryLevelAsString($B162))),";",EscStr($J162),";"),CONCATENATE(";",EscStr(CONCATENATE("NavNode_",getCategoryLevelAsString($B162))),";",EscStr(P162),";")))</f>
        <v>;"NavNode_L3D_557234";"Suojamuuntajat";</v>
      </c>
      <c r="AJ162" s="10" t="str">
        <f>IF(getCategoryLevelAsString($B162)="L0D_324785","",IF(Q162="",CONCATENATE(";",EscStr(CONCATENATE("NavNode_",getCategoryLevelAsString($B162))),";",EscStr($J162),";"),CONCATENATE(";",EscStr(CONCATENATE("NavNode_",getCategoryLevelAsString($B162))),";",EscStr(Q162),";")))</f>
        <v>;"NavNode_L3D_557234";"Atdalošie transformatori";</v>
      </c>
      <c r="AK162" s="10" t="str">
        <f>IF(getCategoryLevelAsString($B162)="L0D_324785","",IF(R162="",CONCATENATE(";",EscStr(CONCATENATE("NavNode_",getCategoryLevelAsString($B162))),";",EscStr($J162),";"),CONCATENATE(";",EscStr(CONCATENATE("NavNode_",getCategoryLevelAsString($B162))),";",EscStr(R162),";")))</f>
        <v>;"NavNode_L3D_557234";"Isolatietransformatoren";</v>
      </c>
      <c r="AL162" s="10" t="str">
        <f>IF(getCategoryLevelAsString($B162)="L0D_324785","",IF(S162="",CONCATENATE(";",EscStr(CONCATENATE("NavNode_",getCategoryLevelAsString($B162))),";",EscStr($J162),";"),CONCATENATE(";",EscStr(CONCATENATE("NavNode_",getCategoryLevelAsString($B162))),";",EscStr(S162),";")))</f>
        <v>;"NavNode_L3D_557234";"Transformatory separujące";</v>
      </c>
      <c r="AM162" s="10" t="str">
        <f>IF(getCategoryLevelAsString($B162)="L0D_324785","",IF(T162="",CONCATENATE(";",EscStr(CONCATENATE("NavNode_",getCategoryLevelAsString($B162))),";",EscStr($J162),";"),CONCATENATE(";",EscStr(CONCATENATE("NavNode_",getCategoryLevelAsString($B162))),";",EscStr(T162),";")))</f>
        <v>;"NavNode_L3D_557234";"Автотрансформаторы / Разделительные трансформаторы";</v>
      </c>
      <c r="AN162" s="10" t="str">
        <f>IF(getCategoryLevelAsString($B162)="L0D_324785","",IF(U162="",CONCATENATE(";",EscStr(CONCATENATE("NavNode_",getCategoryLevelAsString($B162))),";",EscStr($J162),";"),CONCATENATE(";",EscStr(CONCATENATE("NavNode_",getCategoryLevelAsString($B162))),";",EscStr(U162),";")))</f>
        <v>;"NavNode_L3D_557234";"Oddělovací transformátory";</v>
      </c>
      <c r="AO162" s="10" t="str">
        <f>IF(getCategoryLevelAsString($B162)="L0D_324785","",IF(V162="",CONCATENATE(";",EscStr(CONCATENATE("NavNode_",getCategoryLevelAsString($B162))),";",EscStr($J162),";"),CONCATENATE(";",EscStr(CONCATENATE("NavNode_",getCategoryLevelAsString($B162))),";",EscStr(V162),";")))</f>
        <v>;"NavNode_L3D_557234";"Transformatoare de izolare";</v>
      </c>
      <c r="AP162" s="10" t="str">
        <f>IF(getCategoryLevelAsString($B162)="L0D_324785","",IF(W162="",CONCATENATE(";",EscStr(CONCATENATE("NavNode_",getCategoryLevelAsString($B162))),";",EscStr($J162),";"),CONCATENATE(";",EscStr(CONCATENATE("NavNode_",getCategoryLevelAsString($B162))),";",EscStr(W162),";")))</f>
        <v>;"NavNode_L3D_557234";"Leválasztó transzformátorok";</v>
      </c>
      <c r="AQ162" s="10" t="str">
        <f>IF(getCategoryLevelAsString($B162)="L0D_324785","",IF(X162="",CONCATENATE(";",EscStr(CONCATENATE("NavNode_",getCategoryLevelAsString($B162))),";",EscStr($J162),";"),CONCATENATE(";",EscStr(CONCATENATE("NavNode_",getCategoryLevelAsString($B162))),";",EscStr(X162),";")))</f>
        <v>;"NavNode_L3D_557234";"Oddělovací transformátory";</v>
      </c>
      <c r="AR162" s="8" t="str">
        <f>IF(OR($A162&lt;&gt;"", $G162=""),"",CONCATENATE(";",EscStr(CONCATENATE("NavEntry_",getCategoryLevelAsString($B162))),";",EscStr(CONCATENATE($J162," Navigation Entry")),";",EscStr(CONCATENATE("cat-",getCategoryLevelAsString($B162))),";",EscStr(CONCATENATE("NavNode_",getCategoryLevelAsString($B162))),";"))</f>
        <v>;"NavEntry_L3D_557234";"Isolating Transformers Navigation Entry";"cat-L3D_557234";"NavNode_L3D_557234";</v>
      </c>
    </row>
    <row r="163" spans="1:44" ht="15" x14ac:dyDescent="0.25">
      <c r="A163" s="25"/>
      <c r="B163" s="5"/>
      <c r="C163" s="5"/>
      <c r="D163" s="5" t="s">
        <v>970</v>
      </c>
      <c r="E163" s="5"/>
      <c r="F163" s="5"/>
      <c r="G163" s="5" t="s">
        <v>483</v>
      </c>
      <c r="H163" s="5" t="s">
        <v>484</v>
      </c>
      <c r="I163" s="5" t="s">
        <v>485</v>
      </c>
      <c r="J163" s="5" t="s">
        <v>205</v>
      </c>
      <c r="K163" s="5" t="s">
        <v>1279</v>
      </c>
      <c r="L163" s="5" t="s">
        <v>1513</v>
      </c>
      <c r="M163" s="5" t="s">
        <v>1279</v>
      </c>
      <c r="N163" s="5" t="s">
        <v>1946</v>
      </c>
      <c r="O163" s="5" t="s">
        <v>3159</v>
      </c>
      <c r="P163" s="5" t="s">
        <v>3160</v>
      </c>
      <c r="Q163" s="5" t="s">
        <v>3161</v>
      </c>
      <c r="R163" s="5" t="s">
        <v>3162</v>
      </c>
      <c r="S163" s="5" t="s">
        <v>3163</v>
      </c>
      <c r="T163" s="5" t="s">
        <v>3164</v>
      </c>
      <c r="U163" s="5" t="s">
        <v>3165</v>
      </c>
      <c r="V163" s="5" t="s">
        <v>3166</v>
      </c>
      <c r="W163" s="5" t="s">
        <v>3167</v>
      </c>
      <c r="X163" s="5" t="s">
        <v>3165</v>
      </c>
      <c r="Y163" s="10" t="str">
        <f>IF(OR($A163&lt;&gt;"", $G163=""),"",CONCATENATE(";",EscStr(CONCATENATE("NavNode_",getCategoryLevelAsString($B163))),";",EscStr($J163),";",IF($B163&lt;&gt;"","""MainNavNode""",EscStr(CONCATENATE("NavNode_",getSuperCategory($B163, getCategoryLevelAsNumber($B163))))),";"))</f>
        <v>;"NavNode_L3D_525556";"Laboratory Power Supplies";"NavNode_L2D_527999";</v>
      </c>
      <c r="Z163" s="10" t="str">
        <f>IF(getCategoryLevelAsString($B163)="L0D_324785","",IF(G163="",CONCATENATE(";",EscStr(CONCATENATE("NavNode_",getCategoryLevelAsString($B163))),";",EscStr($J163),";"),CONCATENATE(";",EscStr(CONCATENATE("NavNode_",getCategoryLevelAsString($B163))),";",EscStr(G163),";")))</f>
        <v>;"NavNode_L3D_525556";"Labor-Netzgeräte";</v>
      </c>
      <c r="AA163" s="10" t="str">
        <f>IF(getCategoryLevelAsString($B163)="L0D_324785","",IF(H163="",CONCATENATE(";",EscStr(CONCATENATE("NavNode_",getCategoryLevelAsString($B163))),";",EscStr($J163),";"),CONCATENATE(";",EscStr(CONCATENATE("NavNode_",getCategoryLevelAsString($B163))),";",EscStr(H163),";")))</f>
        <v>;"NavNode_L3D_525556";"Alimentations de laboratoire";</v>
      </c>
      <c r="AB163" s="10" t="str">
        <f>IF(getCategoryLevelAsString($B163)="L0D_324785","",IF(I163="",CONCATENATE(";",EscStr(CONCATENATE("NavNode_",getCategoryLevelAsString($B163))),";",EscStr($J163),";"),CONCATENATE(";",EscStr(CONCATENATE("NavNode_",getCategoryLevelAsString($B163))),";",EscStr(I163),";")))</f>
        <v>;"NavNode_L3D_525556";"Alimentatori da laboratorio";</v>
      </c>
      <c r="AC163" s="10" t="str">
        <f>IF(getCategoryLevelAsString($B163)="L0D_324785","",IF(J163="",CONCATENATE(";",EscStr(CONCATENATE("NavNode_",getCategoryLevelAsString($B163))),";",EscStr($J163),";"),CONCATENATE(";",EscStr(CONCATENATE("NavNode_",getCategoryLevelAsString($B163))),";",EscStr(J163),";")))</f>
        <v>;"NavNode_L3D_525556";"Laboratory Power Supplies";</v>
      </c>
      <c r="AD163" s="10" t="str">
        <f>IF(getCategoryLevelAsString($B163)="L0D_324785","",IF(K163="",CONCATENATE(";",EscStr(CONCATENATE("NavNode_",getCategoryLevelAsString($B163))),";",EscStr($J163),";"),CONCATENATE(";",EscStr(CONCATENATE("NavNode_",getCategoryLevelAsString($B163))),";",EscStr(K163),";")))</f>
        <v>;"NavNode_L3D_525556";"Laboratoriestrømforsyning";</v>
      </c>
      <c r="AE163" s="10" t="str">
        <f>IF(getCategoryLevelAsString($B163)="L0D_324785","",IF(L163="",CONCATENATE(";",EscStr(CONCATENATE("NavNode_",getCategoryLevelAsString($B163))),";",EscStr($J163),";"),CONCATENATE(";",EscStr(CONCATENATE("NavNode_",getCategoryLevelAsString($B163))),";",EscStr(L163),";")))</f>
        <v>;"NavNode_L3D_525556";"Laboratoriniai maitinimo šaltiniai";</v>
      </c>
      <c r="AF163" s="10" t="str">
        <f>IF(getCategoryLevelAsString($B163)="L0D_324785","",IF(M163="",CONCATENATE(";",EscStr(CONCATENATE("NavNode_",getCategoryLevelAsString($B163))),";",EscStr($J163),";"),CONCATENATE(";",EscStr(CONCATENATE("NavNode_",getCategoryLevelAsString($B163))),";",EscStr(M163),";")))</f>
        <v>;"NavNode_L3D_525556";"Laboratoriestrømforsyning";</v>
      </c>
      <c r="AG163" s="10" t="str">
        <f>IF(getCategoryLevelAsString($B163)="L0D_324785","",IF(N163="",CONCATENATE(";",EscStr(CONCATENATE("NavNode_",getCategoryLevelAsString($B163))),";",EscStr($J163),";"),CONCATENATE(";",EscStr(CONCATENATE("NavNode_",getCategoryLevelAsString($B163))),";",EscStr(N163),";")))</f>
        <v>;"NavNode_L3D_525556";"Laboratorienätaggregat";</v>
      </c>
      <c r="AH163" s="10" t="str">
        <f>IF(getCategoryLevelAsString($B163)="L0D_324785","",IF(O163="",CONCATENATE(";",EscStr(CONCATENATE("NavNode_",getCategoryLevelAsString($B163))),";",EscStr($J163),";"),CONCATENATE(";",EscStr(CONCATENATE("NavNode_",getCategoryLevelAsString($B163))),";",EscStr(O163),";")))</f>
        <v>;"NavNode_L3D_525556";"Laboratoorsed toiteplokid";</v>
      </c>
      <c r="AI163" s="10" t="str">
        <f>IF(getCategoryLevelAsString($B163)="L0D_324785","",IF(P163="",CONCATENATE(";",EscStr(CONCATENATE("NavNode_",getCategoryLevelAsString($B163))),";",EscStr($J163),";"),CONCATENATE(";",EscStr(CONCATENATE("NavNode_",getCategoryLevelAsString($B163))),";",EscStr(P163),";")))</f>
        <v>;"NavNode_L3D_525556";"Labraus virtalähteet";</v>
      </c>
      <c r="AJ163" s="10" t="str">
        <f>IF(getCategoryLevelAsString($B163)="L0D_324785","",IF(Q163="",CONCATENATE(";",EscStr(CONCATENATE("NavNode_",getCategoryLevelAsString($B163))),";",EscStr($J163),";"),CONCATENATE(";",EscStr(CONCATENATE("NavNode_",getCategoryLevelAsString($B163))),";",EscStr(Q163),";")))</f>
        <v>;"NavNode_L3D_525556";"Laboratorijas barošanas bloki";</v>
      </c>
      <c r="AK163" s="10" t="str">
        <f>IF(getCategoryLevelAsString($B163)="L0D_324785","",IF(R163="",CONCATENATE(";",EscStr(CONCATENATE("NavNode_",getCategoryLevelAsString($B163))),";",EscStr($J163),";"),CONCATENATE(";",EscStr(CONCATENATE("NavNode_",getCategoryLevelAsString($B163))),";",EscStr(R163),";")))</f>
        <v>;"NavNode_L3D_525556";"Laboratorium voedingen";</v>
      </c>
      <c r="AL163" s="10" t="str">
        <f>IF(getCategoryLevelAsString($B163)="L0D_324785","",IF(S163="",CONCATENATE(";",EscStr(CONCATENATE("NavNode_",getCategoryLevelAsString($B163))),";",EscStr($J163),";"),CONCATENATE(";",EscStr(CONCATENATE("NavNode_",getCategoryLevelAsString($B163))),";",EscStr(S163),";")))</f>
        <v>;"NavNode_L3D_525556";"Zasilacze laboratoryjne";</v>
      </c>
      <c r="AM163" s="10" t="str">
        <f>IF(getCategoryLevelAsString($B163)="L0D_324785","",IF(T163="",CONCATENATE(";",EscStr(CONCATENATE("NavNode_",getCategoryLevelAsString($B163))),";",EscStr($J163),";"),CONCATENATE(";",EscStr(CONCATENATE("NavNode_",getCategoryLevelAsString($B163))),";",EscStr(T163),";")))</f>
        <v>;"NavNode_L3D_525556";"Лабораторные источники питания";</v>
      </c>
      <c r="AN163" s="10" t="str">
        <f>IF(getCategoryLevelAsString($B163)="L0D_324785","",IF(U163="",CONCATENATE(";",EscStr(CONCATENATE("NavNode_",getCategoryLevelAsString($B163))),";",EscStr($J163),";"),CONCATENATE(";",EscStr(CONCATENATE("NavNode_",getCategoryLevelAsString($B163))),";",EscStr(U163),";")))</f>
        <v>;"NavNode_L3D_525556";"Laboratorní zdroje";</v>
      </c>
      <c r="AO163" s="10" t="str">
        <f>IF(getCategoryLevelAsString($B163)="L0D_324785","",IF(V163="",CONCATENATE(";",EscStr(CONCATENATE("NavNode_",getCategoryLevelAsString($B163))),";",EscStr($J163),";"),CONCATENATE(";",EscStr(CONCATENATE("NavNode_",getCategoryLevelAsString($B163))),";",EscStr(V163),";")))</f>
        <v>;"NavNode_L3D_525556";"Surse de alimentare pentru laboratoare";</v>
      </c>
      <c r="AP163" s="10" t="str">
        <f>IF(getCategoryLevelAsString($B163)="L0D_324785","",IF(W163="",CONCATENATE(";",EscStr(CONCATENATE("NavNode_",getCategoryLevelAsString($B163))),";",EscStr($J163),";"),CONCATENATE(";",EscStr(CONCATENATE("NavNode_",getCategoryLevelAsString($B163))),";",EscStr(W163),";")))</f>
        <v>;"NavNode_L3D_525556";"Labortápegységek";</v>
      </c>
      <c r="AQ163" s="10" t="str">
        <f>IF(getCategoryLevelAsString($B163)="L0D_324785","",IF(X163="",CONCATENATE(";",EscStr(CONCATENATE("NavNode_",getCategoryLevelAsString($B163))),";",EscStr($J163),";"),CONCATENATE(";",EscStr(CONCATENATE("NavNode_",getCategoryLevelAsString($B163))),";",EscStr(X163),";")))</f>
        <v>;"NavNode_L3D_525556";"Laboratorní zdroje";</v>
      </c>
      <c r="AR163" s="8" t="str">
        <f>IF(OR($A163&lt;&gt;"", $G163=""),"",CONCATENATE(";",EscStr(CONCATENATE("NavEntry_",getCategoryLevelAsString($B163))),";",EscStr(CONCATENATE($J163," Navigation Entry")),";",EscStr(CONCATENATE("cat-",getCategoryLevelAsString($B163))),";",EscStr(CONCATENATE("NavNode_",getCategoryLevelAsString($B163))),";"))</f>
        <v>;"NavEntry_L3D_525556";"Laboratory Power Supplies Navigation Entry";"cat-L3D_525556";"NavNode_L3D_525556";</v>
      </c>
    </row>
    <row r="164" spans="1:44" ht="15" x14ac:dyDescent="0.25">
      <c r="A164" s="25"/>
      <c r="B164" s="5"/>
      <c r="C164" s="5"/>
      <c r="D164" s="5" t="s">
        <v>206</v>
      </c>
      <c r="E164" s="5"/>
      <c r="F164" s="5"/>
      <c r="G164" s="5" t="s">
        <v>2388</v>
      </c>
      <c r="H164" s="5" t="s">
        <v>2389</v>
      </c>
      <c r="I164" s="5" t="s">
        <v>2390</v>
      </c>
      <c r="J164" s="5" t="s">
        <v>2388</v>
      </c>
      <c r="K164" s="5" t="s">
        <v>2391</v>
      </c>
      <c r="L164" s="5" t="s">
        <v>2392</v>
      </c>
      <c r="M164" s="5" t="s">
        <v>2393</v>
      </c>
      <c r="N164" s="5" t="s">
        <v>2394</v>
      </c>
      <c r="O164" s="5" t="s">
        <v>2395</v>
      </c>
      <c r="P164" s="5" t="s">
        <v>2396</v>
      </c>
      <c r="Q164" s="5" t="s">
        <v>2397</v>
      </c>
      <c r="R164" s="5" t="s">
        <v>2398</v>
      </c>
      <c r="S164" s="5" t="s">
        <v>2399</v>
      </c>
      <c r="T164" s="5" t="s">
        <v>2400</v>
      </c>
      <c r="U164" s="5" t="s">
        <v>2401</v>
      </c>
      <c r="V164" s="5" t="s">
        <v>2402</v>
      </c>
      <c r="W164" s="5" t="s">
        <v>2403</v>
      </c>
      <c r="X164" s="5" t="s">
        <v>2401</v>
      </c>
      <c r="Y164" s="10" t="str">
        <f>IF(OR($A164&lt;&gt;"", $G164=""),"",CONCATENATE(";",EscStr(CONCATENATE("NavNode_",getCategoryLevelAsString($B164))),";",EscStr($J164),";",IF($B164&lt;&gt;"","""MainNavNode""",EscStr(CONCATENATE("NavNode_",getSuperCategory($B164, getCategoryLevelAsNumber($B164))))),";"))</f>
        <v>;"NavNode_Test &amp; Measurement";"SMU - Source Meters";"NavNode_L0D_324785";</v>
      </c>
      <c r="Z164" s="10" t="str">
        <f>IF(getCategoryLevelAsString($B164)="L0D_324785","",IF(G164="",CONCATENATE(";",EscStr(CONCATENATE("NavNode_",getCategoryLevelAsString($B164))),";",EscStr($J164),";"),CONCATENATE(";",EscStr(CONCATENATE("NavNode_",getCategoryLevelAsString($B164))),";",EscStr(G164),";")))</f>
        <v>;"NavNode_Test &amp; Measurement";"SMU - Source Meters";</v>
      </c>
      <c r="AA164" s="10" t="str">
        <f>IF(getCategoryLevelAsString($B164)="L0D_324785","",IF(H164="",CONCATENATE(";",EscStr(CONCATENATE("NavNode_",getCategoryLevelAsString($B164))),";",EscStr($J164),";"),CONCATENATE(";",EscStr(CONCATENATE("NavNode_",getCategoryLevelAsString($B164))),";",EscStr(H164),";")))</f>
        <v>;"NavNode_Test &amp; Measurement";"Picoampèremètres et sources de tension";</v>
      </c>
      <c r="AB164" s="10" t="str">
        <f>IF(getCategoryLevelAsString($B164)="L0D_324785","",IF(I164="",CONCATENATE(";",EscStr(CONCATENATE("NavNode_",getCategoryLevelAsString($B164))),";",EscStr($J164),";"),CONCATENATE(";",EscStr(CONCATENATE("NavNode_",getCategoryLevelAsString($B164))),";",EscStr(I164),";")))</f>
        <v>;"NavNode_Test &amp; Measurement";"SMU - Unità di alimentazione e misurazione";</v>
      </c>
      <c r="AC164" s="10" t="str">
        <f>IF(getCategoryLevelAsString($B164)="L0D_324785","",IF(J164="",CONCATENATE(";",EscStr(CONCATENATE("NavNode_",getCategoryLevelAsString($B164))),";",EscStr($J164),";"),CONCATENATE(";",EscStr(CONCATENATE("NavNode_",getCategoryLevelAsString($B164))),";",EscStr(J164),";")))</f>
        <v>;"NavNode_Test &amp; Measurement";"SMU - Source Meters";</v>
      </c>
      <c r="AD164" s="10" t="str">
        <f>IF(getCategoryLevelAsString($B164)="L0D_324785","",IF(K164="",CONCATENATE(";",EscStr(CONCATENATE("NavNode_",getCategoryLevelAsString($B164))),";",EscStr($J164),";"),CONCATENATE(";",EscStr(CONCATENATE("NavNode_",getCategoryLevelAsString($B164))),";",EscStr(K164),";")))</f>
        <v>;"NavNode_Test &amp; Measurement";"SMU - kildemålingsenheder";</v>
      </c>
      <c r="AE164" s="10" t="str">
        <f>IF(getCategoryLevelAsString($B164)="L0D_324785","",IF(L164="",CONCATENATE(";",EscStr(CONCATENATE("NavNode_",getCategoryLevelAsString($B164))),";",EscStr($J164),";"),CONCATENATE(";",EscStr(CONCATENATE("NavNode_",getCategoryLevelAsString($B164))),";",EscStr(L164),";")))</f>
        <v>;"NavNode_Test &amp; Measurement";"Maitinimo ir matavimo prietaisai";</v>
      </c>
      <c r="AF164" s="10" t="str">
        <f>IF(getCategoryLevelAsString($B164)="L0D_324785","",IF(M164="",CONCATENATE(";",EscStr(CONCATENATE("NavNode_",getCategoryLevelAsString($B164))),";",EscStr($J164),";"),CONCATENATE(";",EscStr(CONCATENATE("NavNode_",getCategoryLevelAsString($B164))),";",EscStr(M164),";")))</f>
        <v>;"NavNode_Test &amp; Measurement";"SMU – kildemålere";</v>
      </c>
      <c r="AG164" s="10" t="str">
        <f>IF(getCategoryLevelAsString($B164)="L0D_324785","",IF(N164="",CONCATENATE(";",EscStr(CONCATENATE("NavNode_",getCategoryLevelAsString($B164))),";",EscStr($J164),";"),CONCATENATE(";",EscStr(CONCATENATE("NavNode_",getCategoryLevelAsString($B164))),";",EscStr(N164),";")))</f>
        <v>;"NavNode_Test &amp; Measurement";"SMU –källmätare";</v>
      </c>
      <c r="AH164" s="10" t="str">
        <f>IF(getCategoryLevelAsString($B164)="L0D_324785","",IF(O164="",CONCATENATE(";",EscStr(CONCATENATE("NavNode_",getCategoryLevelAsString($B164))),";",EscStr($J164),";"),CONCATENATE(";",EscStr(CONCATENATE("NavNode_",getCategoryLevelAsString($B164))),";",EscStr(O164),";")))</f>
        <v>;"NavNode_Test &amp; Measurement";"SMU – allika mõõdikud";</v>
      </c>
      <c r="AI164" s="10" t="str">
        <f>IF(getCategoryLevelAsString($B164)="L0D_324785","",IF(P164="",CONCATENATE(";",EscStr(CONCATENATE("NavNode_",getCategoryLevelAsString($B164))),";",EscStr($J164),";"),CONCATENATE(";",EscStr(CONCATENATE("NavNode_",getCategoryLevelAsString($B164))),";",EscStr(P164),";")))</f>
        <v>;"NavNode_Test &amp; Measurement";"SMU – Source Meter -mittari";</v>
      </c>
      <c r="AJ164" s="10" t="str">
        <f>IF(getCategoryLevelAsString($B164)="L0D_324785","",IF(Q164="",CONCATENATE(";",EscStr(CONCATENATE("NavNode_",getCategoryLevelAsString($B164))),";",EscStr($J164),";"),CONCATENATE(";",EscStr(CONCATENATE("NavNode_",getCategoryLevelAsString($B164))),";",EscStr(Q164),";")))</f>
        <v>;"NavNode_Test &amp; Measurement";"SMU - avota mērierīces";</v>
      </c>
      <c r="AK164" s="10" t="str">
        <f>IF(getCategoryLevelAsString($B164)="L0D_324785","",IF(R164="",CONCATENATE(";",EscStr(CONCATENATE("NavNode_",getCategoryLevelAsString($B164))),";",EscStr($J164),";"),CONCATENATE(";",EscStr(CONCATENATE("NavNode_",getCategoryLevelAsString($B164))),";",EscStr(R164),";")))</f>
        <v>;"NavNode_Test &amp; Measurement";"SMU - Bronmeters";</v>
      </c>
      <c r="AL164" s="10" t="str">
        <f>IF(getCategoryLevelAsString($B164)="L0D_324785","",IF(S164="",CONCATENATE(";",EscStr(CONCATENATE("NavNode_",getCategoryLevelAsString($B164))),";",EscStr($J164),";"),CONCATENATE(";",EscStr(CONCATENATE("NavNode_",getCategoryLevelAsString($B164))),";",EscStr(S164),";")))</f>
        <v>;"NavNode_Test &amp; Measurement";"Źródła mierzące (SMU)";</v>
      </c>
      <c r="AM164" s="10" t="str">
        <f>IF(getCategoryLevelAsString($B164)="L0D_324785","",IF(T164="",CONCATENATE(";",EscStr(CONCATENATE("NavNode_",getCategoryLevelAsString($B164))),";",EscStr($J164),";"),CONCATENATE(";",EscStr(CONCATENATE("NavNode_",getCategoryLevelAsString($B164))),";",EscStr(T164),";")))</f>
        <v>;"NavNode_Test &amp; Measurement";"SMU — источники-измерители";</v>
      </c>
      <c r="AN164" s="10" t="str">
        <f>IF(getCategoryLevelAsString($B164)="L0D_324785","",IF(U164="",CONCATENATE(";",EscStr(CONCATENATE("NavNode_",getCategoryLevelAsString($B164))),";",EscStr($J164),";"),CONCATENATE(";",EscStr(CONCATENATE("NavNode_",getCategoryLevelAsString($B164))),";",EscStr(U164),";")))</f>
        <v>;"NavNode_Test &amp; Measurement";"Jednotky pro měření zdroje";</v>
      </c>
      <c r="AO164" s="10" t="str">
        <f>IF(getCategoryLevelAsString($B164)="L0D_324785","",IF(V164="",CONCATENATE(";",EscStr(CONCATENATE("NavNode_",getCategoryLevelAsString($B164))),";",EscStr($J164),";"),CONCATENATE(";",EscStr(CONCATENATE("NavNode_",getCategoryLevelAsString($B164))),";",EscStr(V164),";")))</f>
        <v>;"NavNode_Test &amp; Measurement";"SMU - Surse de măsurare";</v>
      </c>
      <c r="AP164" s="10" t="str">
        <f>IF(getCategoryLevelAsString($B164)="L0D_324785","",IF(W164="",CONCATENATE(";",EscStr(CONCATENATE("NavNode_",getCategoryLevelAsString($B164))),";",EscStr($J164),";"),CONCATENATE(";",EscStr(CONCATENATE("NavNode_",getCategoryLevelAsString($B164))),";",EscStr(W164),";")))</f>
        <v>;"NavNode_Test &amp; Measurement";"SMU – forrásmérők";</v>
      </c>
      <c r="AQ164" s="10" t="str">
        <f>IF(getCategoryLevelAsString($B164)="L0D_324785","",IF(X164="",CONCATENATE(";",EscStr(CONCATENATE("NavNode_",getCategoryLevelAsString($B164))),";",EscStr($J164),";"),CONCATENATE(";",EscStr(CONCATENATE("NavNode_",getCategoryLevelAsString($B164))),";",EscStr(X164),";")))</f>
        <v>;"NavNode_Test &amp; Measurement";"Jednotky pro měření zdroje";</v>
      </c>
      <c r="AR164" s="8" t="str">
        <f>IF(OR($A164&lt;&gt;"", $G164=""),"",CONCATENATE(";",EscStr(CONCATENATE("NavEntry_",getCategoryLevelAsString($B164))),";",EscStr(CONCATENATE($J164," Navigation Entry")),";",EscStr(CONCATENATE("cat-",getCategoryLevelAsString($B164))),";",EscStr(CONCATENATE("NavNode_",getCategoryLevelAsString($B164))),";"))</f>
        <v>;"NavEntry_Test &amp; Measurement";"SMU - Source Meters Navigation Entry";"cat-Test &amp; Measurement";"NavNode_Test &amp; Measurement";</v>
      </c>
    </row>
    <row r="165" spans="1:44" s="17" customFormat="1" ht="14.25" x14ac:dyDescent="0.2">
      <c r="A165" s="24">
        <v>6</v>
      </c>
      <c r="B165" s="13" t="s">
        <v>8182</v>
      </c>
      <c r="C165" s="14"/>
      <c r="E165" s="13"/>
      <c r="F165" s="13"/>
      <c r="G165" s="13" t="s">
        <v>532</v>
      </c>
      <c r="H165" s="13" t="s">
        <v>533</v>
      </c>
      <c r="I165" s="13" t="s">
        <v>534</v>
      </c>
      <c r="J165" s="13" t="s">
        <v>535</v>
      </c>
      <c r="K165" s="13" t="s">
        <v>1249</v>
      </c>
      <c r="L165" s="13" t="s">
        <v>1484</v>
      </c>
      <c r="M165" s="13" t="s">
        <v>2096</v>
      </c>
      <c r="N165" s="13" t="s">
        <v>2095</v>
      </c>
      <c r="O165" s="13" t="s">
        <v>2837</v>
      </c>
      <c r="P165" s="13" t="s">
        <v>2838</v>
      </c>
      <c r="Q165" s="13" t="s">
        <v>2839</v>
      </c>
      <c r="R165" s="13" t="s">
        <v>2840</v>
      </c>
      <c r="S165" s="13" t="s">
        <v>2841</v>
      </c>
      <c r="T165" s="13" t="s">
        <v>2842</v>
      </c>
      <c r="U165" s="13" t="s">
        <v>2843</v>
      </c>
      <c r="V165" s="13" t="s">
        <v>2844</v>
      </c>
      <c r="W165" s="13" t="s">
        <v>2845</v>
      </c>
      <c r="X165" s="13" t="s">
        <v>2843</v>
      </c>
      <c r="Y165" s="15" t="str">
        <f>IF(OR($A165&lt;&gt;"", $G165=""),"",CONCATENATE(";",EscStr(CONCATENATE("NavNode_",getCategoryLevelAsString($B165))),";",EscStr($J165),";",IF($B165&lt;&gt;"","""MainNavNode""",EscStr(CONCATENATE("NavNode_",getSuperCategory($B165, getCategoryLevelAsNumber($B165))))),";"))</f>
        <v/>
      </c>
      <c r="Z165" s="15" t="str">
        <f>IF(getCategoryLevelAsString($B165)="L0D_324785","",IF(G165="",CONCATENATE(";",EscStr(CONCATENATE("NavNode_",getCategoryLevelAsString($B165))),";",EscStr($J165),";"),CONCATENATE(";",EscStr(CONCATENATE("NavNode_",getCategoryLevelAsString($B165))),";",EscStr(G165),";")))</f>
        <v>;"NavNode_L2D_527998";"Werkzeuge &amp; Messtechnik";</v>
      </c>
      <c r="AA165" s="15" t="str">
        <f>IF(getCategoryLevelAsString($B165)="L0D_324785","",IF(H165="",CONCATENATE(";",EscStr(CONCATENATE("NavNode_",getCategoryLevelAsString($B165))),";",EscStr($J165),";"),CONCATENATE(";",EscStr(CONCATENATE("NavNode_",getCategoryLevelAsString($B165))),";",EscStr(H165),";")))</f>
        <v>;"NavNode_L2D_527998";"Outils et mesure";</v>
      </c>
      <c r="AB165" s="15" t="str">
        <f>IF(getCategoryLevelAsString($B165)="L0D_324785","",IF(I165="",CONCATENATE(";",EscStr(CONCATENATE("NavNode_",getCategoryLevelAsString($B165))),";",EscStr($J165),";"),CONCATENATE(";",EscStr(CONCATENATE("NavNode_",getCategoryLevelAsString($B165))),";",EscStr(I165),";")))</f>
        <v>;"NavNode_L2D_527998";"Utensili e misurazione";</v>
      </c>
      <c r="AC165" s="15" t="str">
        <f>IF(getCategoryLevelAsString($B165)="L0D_324785","",IF(J165="",CONCATENATE(";",EscStr(CONCATENATE("NavNode_",getCategoryLevelAsString($B165))),";",EscStr($J165),";"),CONCATENATE(";",EscStr(CONCATENATE("NavNode_",getCategoryLevelAsString($B165))),";",EscStr(J165),";")))</f>
        <v>;"NavNode_L2D_527998";"Tools &amp; Measurement";</v>
      </c>
      <c r="AD165" s="15" t="str">
        <f>IF(getCategoryLevelAsString($B165)="L0D_324785","",IF(K165="",CONCATENATE(";",EscStr(CONCATENATE("NavNode_",getCategoryLevelAsString($B165))),";",EscStr($J165),";"),CONCATENATE(";",EscStr(CONCATENATE("NavNode_",getCategoryLevelAsString($B165))),";",EscStr(K165),";")))</f>
        <v>;"NavNode_L2D_527998";"Værktøj &amp; måleudstyr";</v>
      </c>
      <c r="AE165" s="15" t="str">
        <f>IF(getCategoryLevelAsString($B165)="L0D_324785","",IF(L165="",CONCATENATE(";",EscStr(CONCATENATE("NavNode_",getCategoryLevelAsString($B165))),";",EscStr($J165),";"),CONCATENATE(";",EscStr(CONCATENATE("NavNode_",getCategoryLevelAsString($B165))),";",EscStr(L165),";")))</f>
        <v>;"NavNode_L2D_527998";"Įrankiai ir matavimas";</v>
      </c>
      <c r="AF165" s="15" t="str">
        <f>IF(getCategoryLevelAsString($B165)="L0D_324785","",IF(M165="",CONCATENATE(";",EscStr(CONCATENATE("NavNode_",getCategoryLevelAsString($B165))),";",EscStr($J165),";"),CONCATENATE(";",EscStr(CONCATENATE("NavNode_",getCategoryLevelAsString($B165))),";",EscStr(M165),";")))</f>
        <v>;"NavNode_L2D_527998";"Verktøy &amp; Måleteknikk";</v>
      </c>
      <c r="AG165" s="15" t="str">
        <f>IF(getCategoryLevelAsString($B165)="L0D_324785","",IF(N165="",CONCATENATE(";",EscStr(CONCATENATE("NavNode_",getCategoryLevelAsString($B165))),";",EscStr($J165),";"),CONCATENATE(";",EscStr(CONCATENATE("NavNode_",getCategoryLevelAsString($B165))),";",EscStr(N165),";")))</f>
        <v>;"NavNode_L2D_527998";"Verktyg &amp; mätteknik";</v>
      </c>
      <c r="AH165" s="15" t="str">
        <f>IF(getCategoryLevelAsString($B165)="L0D_324785","",IF(O165="",CONCATENATE(";",EscStr(CONCATENATE("NavNode_",getCategoryLevelAsString($B165))),";",EscStr($J165),";"),CONCATENATE(";",EscStr(CONCATENATE("NavNode_",getCategoryLevelAsString($B165))),";",EscStr(O165),";")))</f>
        <v>;"NavNode_L2D_527998";"Tööriistad ja mõõtevahendid";</v>
      </c>
      <c r="AI165" s="15" t="str">
        <f>IF(getCategoryLevelAsString($B165)="L0D_324785","",IF(P165="",CONCATENATE(";",EscStr(CONCATENATE("NavNode_",getCategoryLevelAsString($B165))),";",EscStr($J165),";"),CONCATENATE(";",EscStr(CONCATENATE("NavNode_",getCategoryLevelAsString($B165))),";",EscStr(P165),";")))</f>
        <v>;"NavNode_L2D_527998";"Työkalut ja mittaus";</v>
      </c>
      <c r="AJ165" s="15" t="str">
        <f>IF(getCategoryLevelAsString($B165)="L0D_324785","",IF(Q165="",CONCATENATE(";",EscStr(CONCATENATE("NavNode_",getCategoryLevelAsString($B165))),";",EscStr($J165),";"),CONCATENATE(";",EscStr(CONCATENATE("NavNode_",getCategoryLevelAsString($B165))),";",EscStr(Q165),";")))</f>
        <v>;"NavNode_L2D_527998";"Instrumenti un mēriekārtas";</v>
      </c>
      <c r="AK165" s="15" t="str">
        <f>IF(getCategoryLevelAsString($B165)="L0D_324785","",IF(R165="",CONCATENATE(";",EscStr(CONCATENATE("NavNode_",getCategoryLevelAsString($B165))),";",EscStr($J165),";"),CONCATENATE(";",EscStr(CONCATENATE("NavNode_",getCategoryLevelAsString($B165))),";",EscStr(R165),";")))</f>
        <v>;"NavNode_L2D_527998";"Gereedschap en meetinstrumenten";</v>
      </c>
      <c r="AL165" s="15" t="str">
        <f>IF(getCategoryLevelAsString($B165)="L0D_324785","",IF(S165="",CONCATENATE(";",EscStr(CONCATENATE("NavNode_",getCategoryLevelAsString($B165))),";",EscStr($J165),";"),CONCATENATE(";",EscStr(CONCATENATE("NavNode_",getCategoryLevelAsString($B165))),";",EscStr(S165),";")))</f>
        <v>;"NavNode_L2D_527998";"Narzędzia  i Pomiary";</v>
      </c>
      <c r="AM165" s="15" t="str">
        <f>IF(getCategoryLevelAsString($B165)="L0D_324785","",IF(T165="",CONCATENATE(";",EscStr(CONCATENATE("NavNode_",getCategoryLevelAsString($B165))),";",EscStr($J165),";"),CONCATENATE(";",EscStr(CONCATENATE("NavNode_",getCategoryLevelAsString($B165))),";",EscStr(T165),";")))</f>
        <v>;"NavNode_L2D_527998";"Инструменты &amp; измерителные приборы";</v>
      </c>
      <c r="AN165" s="15" t="str">
        <f>IF(getCategoryLevelAsString($B165)="L0D_324785","",IF(U165="",CONCATENATE(";",EscStr(CONCATENATE("NavNode_",getCategoryLevelAsString($B165))),";",EscStr($J165),";"),CONCATENATE(";",EscStr(CONCATENATE("NavNode_",getCategoryLevelAsString($B165))),";",EscStr(U165),";")))</f>
        <v>;"NavNode_L2D_527998";"Nástroje a meřící technika";</v>
      </c>
      <c r="AO165" s="15" t="str">
        <f>IF(getCategoryLevelAsString($B165)="L0D_324785","",IF(V165="",CONCATENATE(";",EscStr(CONCATENATE("NavNode_",getCategoryLevelAsString($B165))),";",EscStr($J165),";"),CONCATENATE(";",EscStr(CONCATENATE("NavNode_",getCategoryLevelAsString($B165))),";",EscStr(V165),";")))</f>
        <v>;"NavNode_L2D_527998";"Scule şi instrumente de măsură";</v>
      </c>
      <c r="AP165" s="15" t="str">
        <f>IF(getCategoryLevelAsString($B165)="L0D_324785","",IF(W165="",CONCATENATE(";",EscStr(CONCATENATE("NavNode_",getCategoryLevelAsString($B165))),";",EscStr($J165),";"),CONCATENATE(";",EscStr(CONCATENATE("NavNode_",getCategoryLevelAsString($B165))),";",EscStr(W165),";")))</f>
        <v>;"NavNode_L2D_527998";"Szerszám és Méréstechnika";</v>
      </c>
      <c r="AQ165" s="15" t="str">
        <f>IF(getCategoryLevelAsString($B165)="L0D_324785","",IF(X165="",CONCATENATE(";",EscStr(CONCATENATE("NavNode_",getCategoryLevelAsString($B165))),";",EscStr($J165),";"),CONCATENATE(";",EscStr(CONCATENATE("NavNode_",getCategoryLevelAsString($B165))),";",EscStr(X165),";")))</f>
        <v>;"NavNode_L2D_527998";"Nástroje a meřící technika";</v>
      </c>
      <c r="AR165" s="16" t="str">
        <f>IF(OR($A165&lt;&gt;"", $G165=""),"",CONCATENATE(";",EscStr(CONCATENATE("NavEntry_",getCategoryLevelAsString($B165))),";",EscStr(CONCATENATE($J165," Navigation Entry")),";",EscStr(CONCATENATE("cat-",getCategoryLevelAsString($B165))),";",EscStr(CONCATENATE("NavNode_",getCategoryLevelAsString($B165))),";"))</f>
        <v/>
      </c>
    </row>
    <row r="166" spans="1:44" ht="15" x14ac:dyDescent="0.25">
      <c r="A166" s="25"/>
      <c r="B166" s="5"/>
      <c r="C166" s="5" t="s">
        <v>818</v>
      </c>
      <c r="D166" s="5"/>
      <c r="E166" s="5"/>
      <c r="F166" s="5"/>
      <c r="G166" s="5" t="s">
        <v>1060</v>
      </c>
      <c r="H166" s="5" t="s">
        <v>1111</v>
      </c>
      <c r="I166" s="5" t="s">
        <v>1170</v>
      </c>
      <c r="J166" s="5" t="s">
        <v>928</v>
      </c>
      <c r="K166" s="5" t="s">
        <v>1282</v>
      </c>
      <c r="L166" s="5" t="s">
        <v>1515</v>
      </c>
      <c r="M166" s="5" t="s">
        <v>1743</v>
      </c>
      <c r="N166" s="5" t="s">
        <v>1948</v>
      </c>
      <c r="O166" s="5" t="s">
        <v>3168</v>
      </c>
      <c r="P166" s="5" t="s">
        <v>3169</v>
      </c>
      <c r="Q166" s="5" t="s">
        <v>3170</v>
      </c>
      <c r="R166" s="5" t="s">
        <v>3171</v>
      </c>
      <c r="S166" s="5" t="s">
        <v>3172</v>
      </c>
      <c r="T166" s="5" t="s">
        <v>3173</v>
      </c>
      <c r="U166" s="5" t="s">
        <v>3174</v>
      </c>
      <c r="V166" s="5" t="s">
        <v>3175</v>
      </c>
      <c r="W166" s="5" t="s">
        <v>3176</v>
      </c>
      <c r="X166" s="5" t="s">
        <v>3174</v>
      </c>
      <c r="Y166" s="10" t="str">
        <f>IF(OR($A166&lt;&gt;"", $G166=""),"",CONCATENATE(";",EscStr(CONCATENATE("NavNode_",getCategoryLevelAsString($B166))),";",EscStr($J166),";",IF($B166&lt;&gt;"","""MainNavNode""",EscStr(CONCATENATE("NavNode_",getSuperCategory($B166, getCategoryLevelAsNumber($B166))))),";"))</f>
        <v>;"NavNode_L3D_525581";"Laboratory Connectors &amp; Accessories for Measurement";"NavNode_L2D_527998";</v>
      </c>
      <c r="Z166" s="10" t="str">
        <f>IF(getCategoryLevelAsString($B166)="L0D_324785","",IF(G166="",CONCATENATE(";",EscStr(CONCATENATE("NavNode_",getCategoryLevelAsString($B166))),";",EscStr($J166),";"),CONCATENATE(";",EscStr(CONCATENATE("NavNode_",getCategoryLevelAsString($B166))),";",EscStr(G166),";")))</f>
        <v>;"NavNode_L3D_525581";"Laborsteckverbinder und Zubehör für Messarbeiten";</v>
      </c>
      <c r="AA166" s="10" t="str">
        <f>IF(getCategoryLevelAsString($B166)="L0D_324785","",IF(H166="",CONCATENATE(";",EscStr(CONCATENATE("NavNode_",getCategoryLevelAsString($B166))),";",EscStr($J166),";"),CONCATENATE(";",EscStr(CONCATENATE("NavNode_",getCategoryLevelAsString($B166))),";",EscStr(H166),";")))</f>
        <v>;"NavNode_L3D_525581";"Connecteurs et accessoires de laboratoire pour mesure";</v>
      </c>
      <c r="AB166" s="10" t="str">
        <f>IF(getCategoryLevelAsString($B166)="L0D_324785","",IF(I166="",CONCATENATE(";",EscStr(CONCATENATE("NavNode_",getCategoryLevelAsString($B166))),";",EscStr($J166),";"),CONCATENATE(";",EscStr(CONCATENATE("NavNode_",getCategoryLevelAsString($B166))),";",EscStr(I166),";")))</f>
        <v>;"NavNode_L3D_525581";"Connettori per laboratorio e accessori per misurazioni";</v>
      </c>
      <c r="AC166" s="10" t="str">
        <f>IF(getCategoryLevelAsString($B166)="L0D_324785","",IF(J166="",CONCATENATE(";",EscStr(CONCATENATE("NavNode_",getCategoryLevelAsString($B166))),";",EscStr($J166),";"),CONCATENATE(";",EscStr(CONCATENATE("NavNode_",getCategoryLevelAsString($B166))),";",EscStr(J166),";")))</f>
        <v>;"NavNode_L3D_525581";"Laboratory Connectors &amp; Accessories for Measurement";</v>
      </c>
      <c r="AD166" s="10" t="str">
        <f>IF(getCategoryLevelAsString($B166)="L0D_324785","",IF(K166="",CONCATENATE(";",EscStr(CONCATENATE("NavNode_",getCategoryLevelAsString($B166))),";",EscStr($J166),";"),CONCATENATE(";",EscStr(CONCATENATE("NavNode_",getCategoryLevelAsString($B166))),";",EscStr(K166),";")))</f>
        <v>;"NavNode_L3D_525581";"Laboratoriestik &amp; -udstyr til måling";</v>
      </c>
      <c r="AE166" s="10" t="str">
        <f>IF(getCategoryLevelAsString($B166)="L0D_324785","",IF(L166="",CONCATENATE(";",EscStr(CONCATENATE("NavNode_",getCategoryLevelAsString($B166))),";",EscStr($J166),";"),CONCATENATE(";",EscStr(CONCATENATE("NavNode_",getCategoryLevelAsString($B166))),";",EscStr(L166),";")))</f>
        <v>;"NavNode_L3D_525581";"Laboratorinės jungtys ir priedai matavimui";</v>
      </c>
      <c r="AF166" s="10" t="str">
        <f>IF(getCategoryLevelAsString($B166)="L0D_324785","",IF(M166="",CONCATENATE(";",EscStr(CONCATENATE("NavNode_",getCategoryLevelAsString($B166))),";",EscStr($J166),";"),CONCATENATE(";",EscStr(CONCATENATE("NavNode_",getCategoryLevelAsString($B166))),";",EscStr(M166),";")))</f>
        <v>;"NavNode_L3D_525581";"Laboratoriekontakter og tilbehør for måling";</v>
      </c>
      <c r="AG166" s="10" t="str">
        <f>IF(getCategoryLevelAsString($B166)="L0D_324785","",IF(N166="",CONCATENATE(";",EscStr(CONCATENATE("NavNode_",getCategoryLevelAsString($B166))),";",EscStr($J166),";"),CONCATENATE(";",EscStr(CONCATENATE("NavNode_",getCategoryLevelAsString($B166))),";",EscStr(N166),";")))</f>
        <v>;"NavNode_L3D_525581";"Laboratoriekontakter och mätningstillbehör";</v>
      </c>
      <c r="AH166" s="10" t="str">
        <f>IF(getCategoryLevelAsString($B166)="L0D_324785","",IF(O166="",CONCATENATE(";",EscStr(CONCATENATE("NavNode_",getCategoryLevelAsString($B166))),";",EscStr($J166),";"),CONCATENATE(";",EscStr(CONCATENATE("NavNode_",getCategoryLevelAsString($B166))),";",EscStr(O166),";")))</f>
        <v>;"NavNode_L3D_525581";"Laboriühendused ja mõõtetarvikud";</v>
      </c>
      <c r="AI166" s="10" t="str">
        <f>IF(getCategoryLevelAsString($B166)="L0D_324785","",IF(P166="",CONCATENATE(";",EscStr(CONCATENATE("NavNode_",getCategoryLevelAsString($B166))),";",EscStr($J166),";"),CONCATENATE(";",EscStr(CONCATENATE("NavNode_",getCategoryLevelAsString($B166))),";",EscStr(P166),";")))</f>
        <v>;"NavNode_L3D_525581";"Labrausliittimet ja tarvikkeet";</v>
      </c>
      <c r="AJ166" s="10" t="str">
        <f>IF(getCategoryLevelAsString($B166)="L0D_324785","",IF(Q166="",CONCATENATE(";",EscStr(CONCATENATE("NavNode_",getCategoryLevelAsString($B166))),";",EscStr($J166),";"),CONCATENATE(";",EscStr(CONCATENATE("NavNode_",getCategoryLevelAsString($B166))),";",EscStr(Q166),";")))</f>
        <v>;"NavNode_L3D_525581";"Laboratorijas savienotāji un mērīšanas piederumi";</v>
      </c>
      <c r="AK166" s="10" t="str">
        <f>IF(getCategoryLevelAsString($B166)="L0D_324785","",IF(R166="",CONCATENATE(";",EscStr(CONCATENATE("NavNode_",getCategoryLevelAsString($B166))),";",EscStr($J166),";"),CONCATENATE(";",EscStr(CONCATENATE("NavNode_",getCategoryLevelAsString($B166))),";",EscStr(R166),";")))</f>
        <v>;"NavNode_L3D_525581";"Banaanstekkers en meetaccessoires";</v>
      </c>
      <c r="AL166" s="10" t="str">
        <f>IF(getCategoryLevelAsString($B166)="L0D_324785","",IF(S166="",CONCATENATE(";",EscStr(CONCATENATE("NavNode_",getCategoryLevelAsString($B166))),";",EscStr($J166),";"),CONCATENATE(";",EscStr(CONCATENATE("NavNode_",getCategoryLevelAsString($B166))),";",EscStr(S166),";")))</f>
        <v>;"NavNode_L3D_525581";"Złącza laboratoryjne oraz Akcesoria pomiarowe";</v>
      </c>
      <c r="AM166" s="10" t="str">
        <f>IF(getCategoryLevelAsString($B166)="L0D_324785","",IF(T166="",CONCATENATE(";",EscStr(CONCATENATE("NavNode_",getCategoryLevelAsString($B166))),";",EscStr($J166),";"),CONCATENATE(";",EscStr(CONCATENATE("NavNode_",getCategoryLevelAsString($B166))),";",EscStr(T166),";")))</f>
        <v>;"NavNode_L3D_525581";"Лабораторные разъемы и аксессуары для измерения";</v>
      </c>
      <c r="AN166" s="10" t="str">
        <f>IF(getCategoryLevelAsString($B166)="L0D_324785","",IF(U166="",CONCATENATE(";",EscStr(CONCATENATE("NavNode_",getCategoryLevelAsString($B166))),";",EscStr($J166),";"),CONCATENATE(";",EscStr(CONCATENATE("NavNode_",getCategoryLevelAsString($B166))),";",EscStr(U166),";")))</f>
        <v>;"NavNode_L3D_525581";"Laboratorní konektory a příslušenství pro měřící práce";</v>
      </c>
      <c r="AO166" s="10" t="str">
        <f>IF(getCategoryLevelAsString($B166)="L0D_324785","",IF(V166="",CONCATENATE(";",EscStr(CONCATENATE("NavNode_",getCategoryLevelAsString($B166))),";",EscStr($J166),";"),CONCATENATE(";",EscStr(CONCATENATE("NavNode_",getCategoryLevelAsString($B166))),";",EscStr(V166),";")))</f>
        <v>;"NavNode_L3D_525581";"Cleme, cabluri şi accesorii pentru instrumentele de măsură";</v>
      </c>
      <c r="AP166" s="10" t="str">
        <f>IF(getCategoryLevelAsString($B166)="L0D_324785","",IF(W166="",CONCATENATE(";",EscStr(CONCATENATE("NavNode_",getCategoryLevelAsString($B166))),";",EscStr($J166),";"),CONCATENATE(";",EscStr(CONCATENATE("NavNode_",getCategoryLevelAsString($B166))),";",EscStr(W166),";")))</f>
        <v>;"NavNode_L3D_525581";"Laboratóriumi csatlakozók és tartozékok";</v>
      </c>
      <c r="AQ166" s="10" t="str">
        <f>IF(getCategoryLevelAsString($B166)="L0D_324785","",IF(X166="",CONCATENATE(";",EscStr(CONCATENATE("NavNode_",getCategoryLevelAsString($B166))),";",EscStr($J166),";"),CONCATENATE(";",EscStr(CONCATENATE("NavNode_",getCategoryLevelAsString($B166))),";",EscStr(X166),";")))</f>
        <v>;"NavNode_L3D_525581";"Laboratorní konektory a příslušenství pro měřící práce";</v>
      </c>
      <c r="AR166" s="8" t="str">
        <f>IF(OR($A166&lt;&gt;"", $G166=""),"",CONCATENATE(";",EscStr(CONCATENATE("NavEntry_",getCategoryLevelAsString($B166))),";",EscStr(CONCATENATE($J166," Navigation Entry")),";",EscStr(CONCATENATE("cat-",getCategoryLevelAsString($B166))),";",EscStr(CONCATENATE("NavNode_",getCategoryLevelAsString($B166))),";"))</f>
        <v>;"NavEntry_L3D_525581";"Laboratory Connectors &amp; Accessories for Measurement Navigation Entry";"cat-L3D_525581";"NavNode_L3D_525581";</v>
      </c>
    </row>
    <row r="167" spans="1:44" ht="15" x14ac:dyDescent="0.25">
      <c r="A167" s="25"/>
      <c r="B167" s="5"/>
      <c r="C167" s="5"/>
      <c r="D167" s="5" t="s">
        <v>819</v>
      </c>
      <c r="E167" s="5"/>
      <c r="F167" s="5"/>
      <c r="G167" s="5" t="s">
        <v>1061</v>
      </c>
      <c r="H167" s="5" t="s">
        <v>1112</v>
      </c>
      <c r="I167" s="5" t="s">
        <v>1171</v>
      </c>
      <c r="J167" s="5" t="s">
        <v>929</v>
      </c>
      <c r="K167" s="5" t="s">
        <v>1283</v>
      </c>
      <c r="L167" s="5" t="s">
        <v>1516</v>
      </c>
      <c r="M167" s="5" t="s">
        <v>1744</v>
      </c>
      <c r="N167" s="5" t="s">
        <v>1744</v>
      </c>
      <c r="O167" s="5" t="s">
        <v>3177</v>
      </c>
      <c r="P167" s="5" t="s">
        <v>3178</v>
      </c>
      <c r="Q167" s="5" t="s">
        <v>3179</v>
      </c>
      <c r="R167" s="5" t="s">
        <v>3180</v>
      </c>
      <c r="S167" s="5" t="s">
        <v>3181</v>
      </c>
      <c r="T167" s="5" t="s">
        <v>3182</v>
      </c>
      <c r="U167" s="5" t="s">
        <v>3183</v>
      </c>
      <c r="V167" s="5" t="s">
        <v>3184</v>
      </c>
      <c r="W167" s="5" t="s">
        <v>3185</v>
      </c>
      <c r="X167" s="5" t="s">
        <v>3183</v>
      </c>
      <c r="Y167" s="10" t="str">
        <f>IF(OR($A167&lt;&gt;"", $G167=""),"",CONCATENATE(";",EscStr(CONCATENATE("NavNode_",getCategoryLevelAsString($B167))),";",EscStr($J167),";",IF($B167&lt;&gt;"","""MainNavNode""",EscStr(CONCATENATE("NavNode_",getSuperCategory($B167, getCategoryLevelAsNumber($B167))))),";"))</f>
        <v>;"NavNode_L3D_532237";"Laboratory Connectors";"NavNode_L2D_527998";</v>
      </c>
      <c r="Z167" s="10" t="str">
        <f>IF(getCategoryLevelAsString($B167)="L0D_324785","",IF(G167="",CONCATENATE(";",EscStr(CONCATENATE("NavNode_",getCategoryLevelAsString($B167))),";",EscStr($J167),";"),CONCATENATE(";",EscStr(CONCATENATE("NavNode_",getCategoryLevelAsString($B167))),";",EscStr(G167),";")))</f>
        <v>;"NavNode_L3D_532237";"Laborsteckverbinder";</v>
      </c>
      <c r="AA167" s="10" t="str">
        <f>IF(getCategoryLevelAsString($B167)="L0D_324785","",IF(H167="",CONCATENATE(";",EscStr(CONCATENATE("NavNode_",getCategoryLevelAsString($B167))),";",EscStr($J167),";"),CONCATENATE(";",EscStr(CONCATENATE("NavNode_",getCategoryLevelAsString($B167))),";",EscStr(H167),";")))</f>
        <v>;"NavNode_L3D_532237";"Connecteurs de laboratoire";</v>
      </c>
      <c r="AB167" s="10" t="str">
        <f>IF(getCategoryLevelAsString($B167)="L0D_324785","",IF(I167="",CONCATENATE(";",EscStr(CONCATENATE("NavNode_",getCategoryLevelAsString($B167))),";",EscStr($J167),";"),CONCATENATE(";",EscStr(CONCATENATE("NavNode_",getCategoryLevelAsString($B167))),";",EscStr(I167),";")))</f>
        <v>;"NavNode_L3D_532237";"Connettori per laboratorio";</v>
      </c>
      <c r="AC167" s="10" t="str">
        <f>IF(getCategoryLevelAsString($B167)="L0D_324785","",IF(J167="",CONCATENATE(";",EscStr(CONCATENATE("NavNode_",getCategoryLevelAsString($B167))),";",EscStr($J167),";"),CONCATENATE(";",EscStr(CONCATENATE("NavNode_",getCategoryLevelAsString($B167))),";",EscStr(J167),";")))</f>
        <v>;"NavNode_L3D_532237";"Laboratory Connectors";</v>
      </c>
      <c r="AD167" s="10" t="str">
        <f>IF(getCategoryLevelAsString($B167)="L0D_324785","",IF(K167="",CONCATENATE(";",EscStr(CONCATENATE("NavNode_",getCategoryLevelAsString($B167))),";",EscStr($J167),";"),CONCATENATE(";",EscStr(CONCATENATE("NavNode_",getCategoryLevelAsString($B167))),";",EscStr(K167),";")))</f>
        <v>;"NavNode_L3D_532237";"Laboratoriestik";</v>
      </c>
      <c r="AE167" s="10" t="str">
        <f>IF(getCategoryLevelAsString($B167)="L0D_324785","",IF(L167="",CONCATENATE(";",EscStr(CONCATENATE("NavNode_",getCategoryLevelAsString($B167))),";",EscStr($J167),";"),CONCATENATE(";",EscStr(CONCATENATE("NavNode_",getCategoryLevelAsString($B167))),";",EscStr(L167),";")))</f>
        <v>;"NavNode_L3D_532237";"Laboratorinės jungtys";</v>
      </c>
      <c r="AF167" s="10" t="str">
        <f>IF(getCategoryLevelAsString($B167)="L0D_324785","",IF(M167="",CONCATENATE(";",EscStr(CONCATENATE("NavNode_",getCategoryLevelAsString($B167))),";",EscStr($J167),";"),CONCATENATE(";",EscStr(CONCATENATE("NavNode_",getCategoryLevelAsString($B167))),";",EscStr(M167),";")))</f>
        <v>;"NavNode_L3D_532237";"Laboratoriekontakter";</v>
      </c>
      <c r="AG167" s="10" t="str">
        <f>IF(getCategoryLevelAsString($B167)="L0D_324785","",IF(N167="",CONCATENATE(";",EscStr(CONCATENATE("NavNode_",getCategoryLevelAsString($B167))),";",EscStr($J167),";"),CONCATENATE(";",EscStr(CONCATENATE("NavNode_",getCategoryLevelAsString($B167))),";",EscStr(N167),";")))</f>
        <v>;"NavNode_L3D_532237";"Laboratoriekontakter";</v>
      </c>
      <c r="AH167" s="10" t="str">
        <f>IF(getCategoryLevelAsString($B167)="L0D_324785","",IF(O167="",CONCATENATE(";",EscStr(CONCATENATE("NavNode_",getCategoryLevelAsString($B167))),";",EscStr($J167),";"),CONCATENATE(";",EscStr(CONCATENATE("NavNode_",getCategoryLevelAsString($B167))),";",EscStr(O167),";")))</f>
        <v>;"NavNode_L3D_532237";"Laboriühendused";</v>
      </c>
      <c r="AI167" s="10" t="str">
        <f>IF(getCategoryLevelAsString($B167)="L0D_324785","",IF(P167="",CONCATENATE(";",EscStr(CONCATENATE("NavNode_",getCategoryLevelAsString($B167))),";",EscStr($J167),";"),CONCATENATE(";",EscStr(CONCATENATE("NavNode_",getCategoryLevelAsString($B167))),";",EscStr(P167),";")))</f>
        <v>;"NavNode_L3D_532237";"Labrausliittimet";</v>
      </c>
      <c r="AJ167" s="10" t="str">
        <f>IF(getCategoryLevelAsString($B167)="L0D_324785","",IF(Q167="",CONCATENATE(";",EscStr(CONCATENATE("NavNode_",getCategoryLevelAsString($B167))),";",EscStr($J167),";"),CONCATENATE(";",EscStr(CONCATENATE("NavNode_",getCategoryLevelAsString($B167))),";",EscStr(Q167),";")))</f>
        <v>;"NavNode_L3D_532237";"Laboratorijas savienotāji";</v>
      </c>
      <c r="AK167" s="10" t="str">
        <f>IF(getCategoryLevelAsString($B167)="L0D_324785","",IF(R167="",CONCATENATE(";",EscStr(CONCATENATE("NavNode_",getCategoryLevelAsString($B167))),";",EscStr($J167),";"),CONCATENATE(";",EscStr(CONCATENATE("NavNode_",getCategoryLevelAsString($B167))),";",EscStr(R167),";")))</f>
        <v>;"NavNode_L3D_532237";"Banaanstekkers";</v>
      </c>
      <c r="AL167" s="10" t="str">
        <f>IF(getCategoryLevelAsString($B167)="L0D_324785","",IF(S167="",CONCATENATE(";",EscStr(CONCATENATE("NavNode_",getCategoryLevelAsString($B167))),";",EscStr($J167),";"),CONCATENATE(";",EscStr(CONCATENATE("NavNode_",getCategoryLevelAsString($B167))),";",EscStr(S167),";")))</f>
        <v>;"NavNode_L3D_532237";"Złącza laboratoryjne";</v>
      </c>
      <c r="AM167" s="10" t="str">
        <f>IF(getCategoryLevelAsString($B167)="L0D_324785","",IF(T167="",CONCATENATE(";",EscStr(CONCATENATE("NavNode_",getCategoryLevelAsString($B167))),";",EscStr($J167),";"),CONCATENATE(";",EscStr(CONCATENATE("NavNode_",getCategoryLevelAsString($B167))),";",EscStr(T167),";")))</f>
        <v>;"NavNode_L3D_532237";"Лабораторные разъемы / Соединения";</v>
      </c>
      <c r="AN167" s="10" t="str">
        <f>IF(getCategoryLevelAsString($B167)="L0D_324785","",IF(U167="",CONCATENATE(";",EscStr(CONCATENATE("NavNode_",getCategoryLevelAsString($B167))),";",EscStr($J167),";"),CONCATENATE(";",EscStr(CONCATENATE("NavNode_",getCategoryLevelAsString($B167))),";",EscStr(U167),";")))</f>
        <v>;"NavNode_L3D_532237";"Laboratorní konektory";</v>
      </c>
      <c r="AO167" s="10" t="str">
        <f>IF(getCategoryLevelAsString($B167)="L0D_324785","",IF(V167="",CONCATENATE(";",EscStr(CONCATENATE("NavNode_",getCategoryLevelAsString($B167))),";",EscStr($J167),";"),CONCATENATE(";",EscStr(CONCATENATE("NavNode_",getCategoryLevelAsString($B167))),";",EscStr(V167),";")))</f>
        <v>;"NavNode_L3D_532237";"Cleme, cabluri şi accesorii pentru laborator";</v>
      </c>
      <c r="AP167" s="10" t="str">
        <f>IF(getCategoryLevelAsString($B167)="L0D_324785","",IF(W167="",CONCATENATE(";",EscStr(CONCATENATE("NavNode_",getCategoryLevelAsString($B167))),";",EscStr($J167),";"),CONCATENATE(";",EscStr(CONCATENATE("NavNode_",getCategoryLevelAsString($B167))),";",EscStr(W167),";")))</f>
        <v>;"NavNode_L3D_532237";"Laboratóriumi csatlakozók";</v>
      </c>
      <c r="AQ167" s="10" t="str">
        <f>IF(getCategoryLevelAsString($B167)="L0D_324785","",IF(X167="",CONCATENATE(";",EscStr(CONCATENATE("NavNode_",getCategoryLevelAsString($B167))),";",EscStr($J167),";"),CONCATENATE(";",EscStr(CONCATENATE("NavNode_",getCategoryLevelAsString($B167))),";",EscStr(X167),";")))</f>
        <v>;"NavNode_L3D_532237";"Laboratorní konektory";</v>
      </c>
      <c r="AR167" s="8" t="str">
        <f>IF(OR($A167&lt;&gt;"", $G167=""),"",CONCATENATE(";",EscStr(CONCATENATE("NavEntry_",getCategoryLevelAsString($B167))),";",EscStr(CONCATENATE($J167," Navigation Entry")),";",EscStr(CONCATENATE("cat-",getCategoryLevelAsString($B167))),";",EscStr(CONCATENATE("NavNode_",getCategoryLevelAsString($B167))),";"))</f>
        <v>;"NavEntry_L3D_532237";"Laboratory Connectors Navigation Entry";"cat-L3D_532237";"NavNode_L3D_532237";</v>
      </c>
    </row>
    <row r="168" spans="1:44" ht="15" x14ac:dyDescent="0.25">
      <c r="A168" s="25"/>
      <c r="B168" s="5"/>
      <c r="C168" s="5"/>
      <c r="D168" s="5" t="s">
        <v>820</v>
      </c>
      <c r="E168" s="5"/>
      <c r="F168" s="5"/>
      <c r="G168" s="5" t="s">
        <v>2326</v>
      </c>
      <c r="H168" s="5" t="s">
        <v>1113</v>
      </c>
      <c r="I168" s="5" t="s">
        <v>1172</v>
      </c>
      <c r="J168" s="5" t="s">
        <v>2327</v>
      </c>
      <c r="K168" s="5" t="s">
        <v>2328</v>
      </c>
      <c r="L168" s="5" t="s">
        <v>1517</v>
      </c>
      <c r="M168" s="5" t="s">
        <v>2329</v>
      </c>
      <c r="N168" s="5" t="s">
        <v>2330</v>
      </c>
      <c r="O168" s="5" t="s">
        <v>2331</v>
      </c>
      <c r="P168" s="5" t="s">
        <v>2332</v>
      </c>
      <c r="Q168" s="5" t="s">
        <v>2333</v>
      </c>
      <c r="R168" s="5" t="s">
        <v>2334</v>
      </c>
      <c r="S168" s="5" t="s">
        <v>2335</v>
      </c>
      <c r="T168" s="5" t="s">
        <v>2336</v>
      </c>
      <c r="U168" s="5" t="s">
        <v>2337</v>
      </c>
      <c r="V168" s="5" t="s">
        <v>2338</v>
      </c>
      <c r="W168" s="5" t="s">
        <v>2339</v>
      </c>
      <c r="X168" s="5" t="s">
        <v>2337</v>
      </c>
      <c r="Y168" s="10" t="str">
        <f>IF(OR($A168&lt;&gt;"", $G168=""),"",CONCATENATE(";",EscStr(CONCATENATE("NavNode_",getCategoryLevelAsString($B168))),";",EscStr($J168),";",IF($B168&lt;&gt;"","""MainNavNode""",EscStr(CONCATENATE("NavNode_",getSuperCategory($B168, getCategoryLevelAsNumber($B168))))),";"))</f>
        <v>;"NavNode_L3D_532239";"Spring loaded contacts";"NavNode_L2D_527998";</v>
      </c>
      <c r="Z168" s="10" t="str">
        <f>IF(getCategoryLevelAsString($B168)="L0D_324785","",IF(G168="",CONCATENATE(";",EscStr(CONCATENATE("NavNode_",getCategoryLevelAsString($B168))),";",EscStr($J168),";"),CONCATENATE(";",EscStr(CONCATENATE("NavNode_",getCategoryLevelAsString($B168))),";",EscStr(G168),";")))</f>
        <v>;"NavNode_L3D_532239";"Gefederte Kontakte";</v>
      </c>
      <c r="AA168" s="10" t="str">
        <f>IF(getCategoryLevelAsString($B168)="L0D_324785","",IF(H168="",CONCATENATE(";",EscStr(CONCATENATE("NavNode_",getCategoryLevelAsString($B168))),";",EscStr($J168),";"),CONCATENATE(";",EscStr(CONCATENATE("NavNode_",getCategoryLevelAsString($B168))),";",EscStr(H168),";")))</f>
        <v>;"NavNode_L3D_532239";"Contacts à ressort";</v>
      </c>
      <c r="AB168" s="10" t="str">
        <f>IF(getCategoryLevelAsString($B168)="L0D_324785","",IF(I168="",CONCATENATE(";",EscStr(CONCATENATE("NavNode_",getCategoryLevelAsString($B168))),";",EscStr($J168),";"),CONCATENATE(";",EscStr(CONCATENATE("NavNode_",getCategoryLevelAsString($B168))),";",EscStr(I168),";")))</f>
        <v>;"NavNode_L3D_532239";"Contatti a molla";</v>
      </c>
      <c r="AC168" s="10" t="str">
        <f>IF(getCategoryLevelAsString($B168)="L0D_324785","",IF(J168="",CONCATENATE(";",EscStr(CONCATENATE("NavNode_",getCategoryLevelAsString($B168))),";",EscStr($J168),";"),CONCATENATE(";",EscStr(CONCATENATE("NavNode_",getCategoryLevelAsString($B168))),";",EscStr(J168),";")))</f>
        <v>;"NavNode_L3D_532239";"Spring loaded contacts";</v>
      </c>
      <c r="AD168" s="10" t="str">
        <f>IF(getCategoryLevelAsString($B168)="L0D_324785","",IF(K168="",CONCATENATE(";",EscStr(CONCATENATE("NavNode_",getCategoryLevelAsString($B168))),";",EscStr($J168),";"),CONCATENATE(";",EscStr(CONCATENATE("NavNode_",getCategoryLevelAsString($B168))),";",EscStr(K168),";")))</f>
        <v>;"NavNode_L3D_532239";"Fjederbelastede kontakter";</v>
      </c>
      <c r="AE168" s="10" t="str">
        <f>IF(getCategoryLevelAsString($B168)="L0D_324785","",IF(L168="",CONCATENATE(";",EscStr(CONCATENATE("NavNode_",getCategoryLevelAsString($B168))),";",EscStr($J168),";"),CONCATENATE(";",EscStr(CONCATENATE("NavNode_",getCategoryLevelAsString($B168))),";",EscStr(L168),";")))</f>
        <v>;"NavNode_L3D_532239";"Spyruokliniai kontaktai";</v>
      </c>
      <c r="AF168" s="10" t="str">
        <f>IF(getCategoryLevelAsString($B168)="L0D_324785","",IF(M168="",CONCATENATE(";",EscStr(CONCATENATE("NavNode_",getCategoryLevelAsString($B168))),";",EscStr($J168),";"),CONCATENATE(";",EscStr(CONCATENATE("NavNode_",getCategoryLevelAsString($B168))),";",EscStr(M168),";")))</f>
        <v>;"NavNode_L3D_532239";"Fjærbelastede kontakter";</v>
      </c>
      <c r="AG168" s="10" t="str">
        <f>IF(getCategoryLevelAsString($B168)="L0D_324785","",IF(N168="",CONCATENATE(";",EscStr(CONCATENATE("NavNode_",getCategoryLevelAsString($B168))),";",EscStr($J168),";"),CONCATENATE(";",EscStr(CONCATENATE("NavNode_",getCategoryLevelAsString($B168))),";",EscStr(N168),";")))</f>
        <v>;"NavNode_L3D_532239";"Fjäderbelastade kontakter";</v>
      </c>
      <c r="AH168" s="10" t="str">
        <f>IF(getCategoryLevelAsString($B168)="L0D_324785","",IF(O168="",CONCATENATE(";",EscStr(CONCATENATE("NavNode_",getCategoryLevelAsString($B168))),";",EscStr($J168),";"),CONCATENATE(";",EscStr(CONCATENATE("NavNode_",getCategoryLevelAsString($B168))),";",EscStr(O168),";")))</f>
        <v>;"NavNode_L3D_532239";"Vedrukoormuskontaktid";</v>
      </c>
      <c r="AI168" s="10" t="str">
        <f>IF(getCategoryLevelAsString($B168)="L0D_324785","",IF(P168="",CONCATENATE(";",EscStr(CONCATENATE("NavNode_",getCategoryLevelAsString($B168))),";",EscStr($J168),";"),CONCATENATE(";",EscStr(CONCATENATE("NavNode_",getCategoryLevelAsString($B168))),";",EscStr(P168),";")))</f>
        <v>;"NavNode_L3D_532239";"Jousitetut kontaktit";</v>
      </c>
      <c r="AJ168" s="10" t="str">
        <f>IF(getCategoryLevelAsString($B168)="L0D_324785","",IF(Q168="",CONCATENATE(";",EscStr(CONCATENATE("NavNode_",getCategoryLevelAsString($B168))),";",EscStr($J168),";"),CONCATENATE(";",EscStr(CONCATENATE("NavNode_",getCategoryLevelAsString($B168))),";",EscStr(Q168),";")))</f>
        <v>;"NavNode_L3D_532239";"Atsperes kontakti";</v>
      </c>
      <c r="AK168" s="10" t="str">
        <f>IF(getCategoryLevelAsString($B168)="L0D_324785","",IF(R168="",CONCATENATE(";",EscStr(CONCATENATE("NavNode_",getCategoryLevelAsString($B168))),";",EscStr($J168),";"),CONCATENATE(";",EscStr(CONCATENATE("NavNode_",getCategoryLevelAsString($B168))),";",EscStr(R168),";")))</f>
        <v>;"NavNode_L3D_532239";"Veerbelaste contacten";</v>
      </c>
      <c r="AL168" s="10" t="str">
        <f>IF(getCategoryLevelAsString($B168)="L0D_324785","",IF(S168="",CONCATENATE(";",EscStr(CONCATENATE("NavNode_",getCategoryLevelAsString($B168))),";",EscStr($J168),";"),CONCATENATE(";",EscStr(CONCATENATE("NavNode_",getCategoryLevelAsString($B168))),";",EscStr(S168),";")))</f>
        <v>;"NavNode_L3D_532239";"Styki sprężynowe";</v>
      </c>
      <c r="AM168" s="10" t="str">
        <f>IF(getCategoryLevelAsString($B168)="L0D_324785","",IF(T168="",CONCATENATE(";",EscStr(CONCATENATE("NavNode_",getCategoryLevelAsString($B168))),";",EscStr($J168),";"),CONCATENATE(";",EscStr(CONCATENATE("NavNode_",getCategoryLevelAsString($B168))),";",EscStr(T168),";")))</f>
        <v>;"NavNode_L3D_532239";"Пружинные контакты";</v>
      </c>
      <c r="AN168" s="10" t="str">
        <f>IF(getCategoryLevelAsString($B168)="L0D_324785","",IF(U168="",CONCATENATE(";",EscStr(CONCATENATE("NavNode_",getCategoryLevelAsString($B168))),";",EscStr($J168),";"),CONCATENATE(";",EscStr(CONCATENATE("NavNode_",getCategoryLevelAsString($B168))),";",EscStr(U168),";")))</f>
        <v>;"NavNode_L3D_532239";"Pružinové kontakty";</v>
      </c>
      <c r="AO168" s="10" t="str">
        <f>IF(getCategoryLevelAsString($B168)="L0D_324785","",IF(V168="",CONCATENATE(";",EscStr(CONCATENATE("NavNode_",getCategoryLevelAsString($B168))),";",EscStr($J168),";"),CONCATENATE(";",EscStr(CONCATENATE("NavNode_",getCategoryLevelAsString($B168))),";",EscStr(V168),";")))</f>
        <v>;"NavNode_L3D_532239";"Contacte cu închidere prin resort";</v>
      </c>
      <c r="AP168" s="10" t="str">
        <f>IF(getCategoryLevelAsString($B168)="L0D_324785","",IF(W168="",CONCATENATE(";",EscStr(CONCATENATE("NavNode_",getCategoryLevelAsString($B168))),";",EscStr($J168),";"),CONCATENATE(";",EscStr(CONCATENATE("NavNode_",getCategoryLevelAsString($B168))),";",EscStr(W168),";")))</f>
        <v>;"NavNode_L3D_532239";"Rugós érintkezők";</v>
      </c>
      <c r="AQ168" s="10" t="str">
        <f>IF(getCategoryLevelAsString($B168)="L0D_324785","",IF(X168="",CONCATENATE(";",EscStr(CONCATENATE("NavNode_",getCategoryLevelAsString($B168))),";",EscStr($J168),";"),CONCATENATE(";",EscStr(CONCATENATE("NavNode_",getCategoryLevelAsString($B168))),";",EscStr(X168),";")))</f>
        <v>;"NavNode_L3D_532239";"Pružinové kontakty";</v>
      </c>
      <c r="AR168" s="8" t="str">
        <f>IF(OR($A168&lt;&gt;"", $G168=""),"",CONCATENATE(";",EscStr(CONCATENATE("NavEntry_",getCategoryLevelAsString($B168))),";",EscStr(CONCATENATE($J168," Navigation Entry")),";",EscStr(CONCATENATE("cat-",getCategoryLevelAsString($B168))),";",EscStr(CONCATENATE("NavNode_",getCategoryLevelAsString($B168))),";"))</f>
        <v>;"NavEntry_L3D_532239";"Spring loaded contacts Navigation Entry";"cat-L3D_532239";"NavNode_L3D_532239";</v>
      </c>
    </row>
    <row r="169" spans="1:44" ht="15" x14ac:dyDescent="0.25">
      <c r="A169" s="25"/>
      <c r="B169" s="5"/>
      <c r="C169" s="5"/>
      <c r="D169" s="5" t="s">
        <v>821</v>
      </c>
      <c r="E169" s="5"/>
      <c r="F169" s="5"/>
      <c r="G169" s="5" t="s">
        <v>1062</v>
      </c>
      <c r="H169" s="5" t="s">
        <v>2340</v>
      </c>
      <c r="I169" s="5" t="s">
        <v>2341</v>
      </c>
      <c r="J169" s="5" t="s">
        <v>2342</v>
      </c>
      <c r="K169" s="5" t="s">
        <v>2343</v>
      </c>
      <c r="L169" s="5" t="s">
        <v>2344</v>
      </c>
      <c r="M169" s="5" t="s">
        <v>2345</v>
      </c>
      <c r="N169" s="5" t="s">
        <v>2346</v>
      </c>
      <c r="O169" s="5" t="s">
        <v>2347</v>
      </c>
      <c r="P169" s="5" t="s">
        <v>2348</v>
      </c>
      <c r="Q169" s="5" t="s">
        <v>2349</v>
      </c>
      <c r="R169" s="5" t="s">
        <v>2350</v>
      </c>
      <c r="S169" s="5" t="s">
        <v>2351</v>
      </c>
      <c r="T169" s="5" t="s">
        <v>2352</v>
      </c>
      <c r="U169" s="5" t="s">
        <v>2353</v>
      </c>
      <c r="V169" s="5" t="s">
        <v>2354</v>
      </c>
      <c r="W169" s="5" t="s">
        <v>2355</v>
      </c>
      <c r="X169" s="5" t="s">
        <v>2353</v>
      </c>
      <c r="Y169" s="10"/>
      <c r="Z169" s="10" t="str">
        <f>IF(getCategoryLevelAsString($B169)="L0D_324785","",IF(G169="",CONCATENATE(";",EscStr(CONCATENATE("NavNode_",getCategoryLevelAsString($B169))),";",EscStr($J169),";"),CONCATENATE(";",EscStr(CONCATENATE("NavNode_",getCategoryLevelAsString($B169))),";",EscStr(G169),";")))</f>
        <v>;"NavNode_L3D_532242";"Messleitungshalter";</v>
      </c>
      <c r="AA169" s="10" t="str">
        <f>IF(getCategoryLevelAsString($B169)="L0D_324785","",IF(H169="",CONCATENATE(";",EscStr(CONCATENATE("NavNode_",getCategoryLevelAsString($B169))),";",EscStr($J169),";"),CONCATENATE(";",EscStr(CONCATENATE("NavNode_",getCategoryLevelAsString($B169))),";",EscStr(H169),";")))</f>
        <v>;"NavNode_L3D_532242";"Supports pour cordons d'essai";</v>
      </c>
      <c r="AB169" s="10" t="str">
        <f>IF(getCategoryLevelAsString($B169)="L0D_324785","",IF(I169="",CONCATENATE(";",EscStr(CONCATENATE("NavNode_",getCategoryLevelAsString($B169))),";",EscStr($J169),";"),CONCATENATE(";",EscStr(CONCATENATE("NavNode_",getCategoryLevelAsString($B169))),";",EscStr(I169),";")))</f>
        <v>;"NavNode_L3D_532242";"Supporti per puntali";</v>
      </c>
      <c r="AC169" s="10" t="str">
        <f>IF(getCategoryLevelAsString($B169)="L0D_324785","",IF(J169="",CONCATENATE(";",EscStr(CONCATENATE("NavNode_",getCategoryLevelAsString($B169))),";",EscStr($J169),";"),CONCATENATE(";",EscStr(CONCATENATE("NavNode_",getCategoryLevelAsString($B169))),";",EscStr(J169),";")))</f>
        <v>;"NavNode_L3D_532242";"Holders for Test Leads";</v>
      </c>
      <c r="AD169" s="10" t="str">
        <f>IF(getCategoryLevelAsString($B169)="L0D_324785","",IF(K169="",CONCATENATE(";",EscStr(CONCATENATE("NavNode_",getCategoryLevelAsString($B169))),";",EscStr($J169),";"),CONCATENATE(";",EscStr(CONCATENATE("NavNode_",getCategoryLevelAsString($B169))),";",EscStr(K169),";")))</f>
        <v>;"NavNode_L3D_532242";"Holdere til testledninger";</v>
      </c>
      <c r="AE169" s="10" t="str">
        <f>IF(getCategoryLevelAsString($B169)="L0D_324785","",IF(L169="",CONCATENATE(";",EscStr(CONCATENATE("NavNode_",getCategoryLevelAsString($B169))),";",EscStr($J169),";"),CONCATENATE(";",EscStr(CONCATENATE("NavNode_",getCategoryLevelAsString($B169))),";",EscStr(L169),";")))</f>
        <v>;"NavNode_L3D_532242";"Testavimo kabelių laikikliai";</v>
      </c>
      <c r="AF169" s="10" t="str">
        <f>IF(getCategoryLevelAsString($B169)="L0D_324785","",IF(M169="",CONCATENATE(";",EscStr(CONCATENATE("NavNode_",getCategoryLevelAsString($B169))),";",EscStr($J169),";"),CONCATENATE(";",EscStr(CONCATENATE("NavNode_",getCategoryLevelAsString($B169))),";",EscStr(M169),";")))</f>
        <v>;"NavNode_L3D_532242";"Holdere for testledninger";</v>
      </c>
      <c r="AG169" s="10" t="str">
        <f>IF(getCategoryLevelAsString($B169)="L0D_324785","",IF(N169="",CONCATENATE(";",EscStr(CONCATENATE("NavNode_",getCategoryLevelAsString($B169))),";",EscStr($J169),";"),CONCATENATE(";",EscStr(CONCATENATE("NavNode_",getCategoryLevelAsString($B169))),";",EscStr(N169),";")))</f>
        <v>;"NavNode_L3D_532242";"Hållare för testkablar";</v>
      </c>
      <c r="AH169" s="10" t="str">
        <f>IF(getCategoryLevelAsString($B169)="L0D_324785","",IF(O169="",CONCATENATE(";",EscStr(CONCATENATE("NavNode_",getCategoryLevelAsString($B169))),";",EscStr($J169),";"),CONCATENATE(";",EscStr(CONCATENATE("NavNode_",getCategoryLevelAsString($B169))),";",EscStr(O169),";")))</f>
        <v>;"NavNode_L3D_532242";"Testjuhtmete hoidikud";</v>
      </c>
      <c r="AI169" s="10" t="str">
        <f>IF(getCategoryLevelAsString($B169)="L0D_324785","",IF(P169="",CONCATENATE(";",EscStr(CONCATENATE("NavNode_",getCategoryLevelAsString($B169))),";",EscStr($J169),";"),CONCATENATE(";",EscStr(CONCATENATE("NavNode_",getCategoryLevelAsString($B169))),";",EscStr(P169),";")))</f>
        <v>;"NavNode_L3D_532242";"Testijohtimien pidikkeet";</v>
      </c>
      <c r="AJ169" s="10" t="str">
        <f>IF(getCategoryLevelAsString($B169)="L0D_324785","",IF(Q169="",CONCATENATE(";",EscStr(CONCATENATE("NavNode_",getCategoryLevelAsString($B169))),";",EscStr($J169),";"),CONCATENATE(";",EscStr(CONCATENATE("NavNode_",getCategoryLevelAsString($B169))),";",EscStr(Q169),";")))</f>
        <v>;"NavNode_L3D_532242";"Testēšanas zonžu turētāji";</v>
      </c>
      <c r="AK169" s="10" t="str">
        <f>IF(getCategoryLevelAsString($B169)="L0D_324785","",IF(R169="",CONCATENATE(";",EscStr(CONCATENATE("NavNode_",getCategoryLevelAsString($B169))),";",EscStr($J169),";"),CONCATENATE(";",EscStr(CONCATENATE("NavNode_",getCategoryLevelAsString($B169))),";",EscStr(R169),";")))</f>
        <v>;"NavNode_L3D_532242";"Houders voor meetsnoeren";</v>
      </c>
      <c r="AL169" s="10" t="str">
        <f>IF(getCategoryLevelAsString($B169)="L0D_324785","",IF(S169="",CONCATENATE(";",EscStr(CONCATENATE("NavNode_",getCategoryLevelAsString($B169))),";",EscStr($J169),";"),CONCATENATE(";",EscStr(CONCATENATE("NavNode_",getCategoryLevelAsString($B169))),";",EscStr(S169),";")))</f>
        <v>;"NavNode_L3D_532242";"Uchwyty do przewodów testowych";</v>
      </c>
      <c r="AM169" s="10" t="str">
        <f>IF(getCategoryLevelAsString($B169)="L0D_324785","",IF(T169="",CONCATENATE(";",EscStr(CONCATENATE("NavNode_",getCategoryLevelAsString($B169))),";",EscStr($J169),";"),CONCATENATE(";",EscStr(CONCATENATE("NavNode_",getCategoryLevelAsString($B169))),";",EscStr(T169),";")))</f>
        <v>;"NavNode_L3D_532242";"Держатели для диагностических выводов";</v>
      </c>
      <c r="AN169" s="10" t="str">
        <f>IF(getCategoryLevelAsString($B169)="L0D_324785","",IF(U169="",CONCATENATE(";",EscStr(CONCATENATE("NavNode_",getCategoryLevelAsString($B169))),";",EscStr($J169),";"),CONCATENATE(";",EscStr(CONCATENATE("NavNode_",getCategoryLevelAsString($B169))),";",EscStr(U169),";")))</f>
        <v>;"NavNode_L3D_532242";"Držáky zkoušecích kabelů";</v>
      </c>
      <c r="AO169" s="10" t="str">
        <f>IF(getCategoryLevelAsString($B169)="L0D_324785","",IF(V169="",CONCATENATE(";",EscStr(CONCATENATE("NavNode_",getCategoryLevelAsString($B169))),";",EscStr($J169),";"),CONCATENATE(";",EscStr(CONCATENATE("NavNode_",getCategoryLevelAsString($B169))),";",EscStr(V169),";")))</f>
        <v>;"NavNode_L3D_532242";"Suporţi pentru piste de testare";</v>
      </c>
      <c r="AP169" s="10" t="str">
        <f>IF(getCategoryLevelAsString($B169)="L0D_324785","",IF(W169="",CONCATENATE(";",EscStr(CONCATENATE("NavNode_",getCategoryLevelAsString($B169))),";",EscStr($J169),";"),CONCATENATE(";",EscStr(CONCATENATE("NavNode_",getCategoryLevelAsString($B169))),";",EscStr(W169),";")))</f>
        <v>;"NavNode_L3D_532242";"Mérővezeték tokok";</v>
      </c>
      <c r="AQ169" s="10" t="str">
        <f>IF(getCategoryLevelAsString($B169)="L0D_324785","",IF(X169="",CONCATENATE(";",EscStr(CONCATENATE("NavNode_",getCategoryLevelAsString($B169))),";",EscStr($J169),";"),CONCATENATE(";",EscStr(CONCATENATE("NavNode_",getCategoryLevelAsString($B169))),";",EscStr(X169),";")))</f>
        <v>;"NavNode_L3D_532242";"Držáky zkoušecích kabelů";</v>
      </c>
      <c r="AR169" s="8" t="str">
        <f>IF(OR($A169&lt;&gt;"", $G169=""),"",CONCATENATE(";",EscStr(CONCATENATE("NavEntry_",getCategoryLevelAsString($B169))),";",EscStr(CONCATENATE($J169," Navigation Entry")),";",EscStr(CONCATENATE("cat-",getCategoryLevelAsString($B169))),";",EscStr(CONCATENATE("NavNode_",getCategoryLevelAsString($B169))),";"))</f>
        <v>;"NavEntry_L3D_532242";"Holders for Test Leads Navigation Entry";"cat-L3D_532242";"NavNode_L3D_532242";</v>
      </c>
    </row>
    <row r="170" spans="1:44" ht="15" x14ac:dyDescent="0.25">
      <c r="A170" s="25"/>
      <c r="B170" s="5"/>
      <c r="C170" s="5"/>
      <c r="D170" s="5" t="s">
        <v>822</v>
      </c>
      <c r="E170" s="5"/>
      <c r="F170" s="5"/>
      <c r="G170" s="5" t="s">
        <v>1063</v>
      </c>
      <c r="H170" s="5" t="s">
        <v>1114</v>
      </c>
      <c r="I170" s="5" t="s">
        <v>1173</v>
      </c>
      <c r="J170" s="5" t="s">
        <v>930</v>
      </c>
      <c r="K170" s="5" t="s">
        <v>1284</v>
      </c>
      <c r="L170" s="5" t="s">
        <v>1518</v>
      </c>
      <c r="M170" s="5" t="s">
        <v>1745</v>
      </c>
      <c r="N170" s="5" t="s">
        <v>1949</v>
      </c>
      <c r="O170" s="5" t="s">
        <v>3186</v>
      </c>
      <c r="P170" s="5" t="s">
        <v>3187</v>
      </c>
      <c r="Q170" s="5" t="s">
        <v>3188</v>
      </c>
      <c r="R170" s="5" t="s">
        <v>3189</v>
      </c>
      <c r="S170" s="5" t="s">
        <v>3190</v>
      </c>
      <c r="T170" s="5" t="s">
        <v>3191</v>
      </c>
      <c r="U170" s="5" t="s">
        <v>3192</v>
      </c>
      <c r="V170" s="5" t="s">
        <v>3193</v>
      </c>
      <c r="W170" s="5" t="s">
        <v>3194</v>
      </c>
      <c r="X170" s="5" t="s">
        <v>3192</v>
      </c>
      <c r="Y170" s="10" t="str">
        <f>IF(OR($A170&lt;&gt;"", $G170=""),"",CONCATENATE(";",EscStr(CONCATENATE("NavNode_",getCategoryLevelAsString($B170))),";",EscStr($J170),";",IF($B170&lt;&gt;"","""MainNavNode""",EscStr(CONCATENATE("NavNode_",getSuperCategory($B170, getCategoryLevelAsNumber($B170))))),";"))</f>
        <v>;"NavNode_L2D_527482";"Test Leads &amp; Probes";"NavNode_Test &amp; Measurement";</v>
      </c>
      <c r="Z170" s="10" t="str">
        <f>IF(getCategoryLevelAsString($B170)="L0D_324785","",IF(G170="",CONCATENATE(";",EscStr(CONCATENATE("NavNode_",getCategoryLevelAsString($B170))),";",EscStr($J170),";"),CONCATENATE(";",EscStr(CONCATENATE("NavNode_",getCategoryLevelAsString($B170))),";",EscStr(G170),";")))</f>
        <v>;"NavNode_L2D_527482";"Messleitungen und Prüfspitzen";</v>
      </c>
      <c r="AA170" s="10" t="str">
        <f>IF(getCategoryLevelAsString($B170)="L0D_324785","",IF(H170="",CONCATENATE(";",EscStr(CONCATENATE("NavNode_",getCategoryLevelAsString($B170))),";",EscStr($J170),";"),CONCATENATE(";",EscStr(CONCATENATE("NavNode_",getCategoryLevelAsString($B170))),";",EscStr(H170),";")))</f>
        <v>;"NavNode_L2D_527482";"Cordons de mesure et sondes";</v>
      </c>
      <c r="AB170" s="10" t="str">
        <f>IF(getCategoryLevelAsString($B170)="L0D_324785","",IF(I170="",CONCATENATE(";",EscStr(CONCATENATE("NavNode_",getCategoryLevelAsString($B170))),";",EscStr($J170),";"),CONCATENATE(";",EscStr(CONCATENATE("NavNode_",getCategoryLevelAsString($B170))),";",EscStr(I170),";")))</f>
        <v>;"NavNode_L2D_527482";"Cavi e puntali di prova";</v>
      </c>
      <c r="AC170" s="10" t="str">
        <f>IF(getCategoryLevelAsString($B170)="L0D_324785","",IF(J170="",CONCATENATE(";",EscStr(CONCATENATE("NavNode_",getCategoryLevelAsString($B170))),";",EscStr($J170),";"),CONCATENATE(";",EscStr(CONCATENATE("NavNode_",getCategoryLevelAsString($B170))),";",EscStr(J170),";")))</f>
        <v>;"NavNode_L2D_527482";"Test Leads &amp; Probes";</v>
      </c>
      <c r="AD170" s="10" t="str">
        <f>IF(getCategoryLevelAsString($B170)="L0D_324785","",IF(K170="",CONCATENATE(";",EscStr(CONCATENATE("NavNode_",getCategoryLevelAsString($B170))),";",EscStr($J170),";"),CONCATENATE(";",EscStr(CONCATENATE("NavNode_",getCategoryLevelAsString($B170))),";",EscStr(K170),";")))</f>
        <v>;"NavNode_L2D_527482";"Prøveledninger og &amp; målesonder";</v>
      </c>
      <c r="AE170" s="10" t="str">
        <f>IF(getCategoryLevelAsString($B170)="L0D_324785","",IF(L170="",CONCATENATE(";",EscStr(CONCATENATE("NavNode_",getCategoryLevelAsString($B170))),";",EscStr($J170),";"),CONCATENATE(";",EscStr(CONCATENATE("NavNode_",getCategoryLevelAsString($B170))),";",EscStr(L170),";")))</f>
        <v>;"NavNode_L2D_527482";"Laboratorinių kabelių laikikliai ir zondai";</v>
      </c>
      <c r="AF170" s="10" t="str">
        <f>IF(getCategoryLevelAsString($B170)="L0D_324785","",IF(M170="",CONCATENATE(";",EscStr(CONCATENATE("NavNode_",getCategoryLevelAsString($B170))),";",EscStr($J170),";"),CONCATENATE(";",EscStr(CONCATENATE("NavNode_",getCategoryLevelAsString($B170))),";",EscStr(M170),";")))</f>
        <v>;"NavNode_L2D_527482";"Testledninger og sonder";</v>
      </c>
      <c r="AG170" s="10" t="str">
        <f>IF(getCategoryLevelAsString($B170)="L0D_324785","",IF(N170="",CONCATENATE(";",EscStr(CONCATENATE("NavNode_",getCategoryLevelAsString($B170))),";",EscStr($J170),";"),CONCATENATE(";",EscStr(CONCATENATE("NavNode_",getCategoryLevelAsString($B170))),";",EscStr(N170),";")))</f>
        <v>;"NavNode_L2D_527482";"Testkablar och prober";</v>
      </c>
      <c r="AH170" s="10" t="str">
        <f>IF(getCategoryLevelAsString($B170)="L0D_324785","",IF(O170="",CONCATENATE(";",EscStr(CONCATENATE("NavNode_",getCategoryLevelAsString($B170))),";",EscStr($J170),";"),CONCATENATE(";",EscStr(CONCATENATE("NavNode_",getCategoryLevelAsString($B170))),";",EscStr(O170),";")))</f>
        <v>;"NavNode_L2D_527482";"Testjuhtmed ja -otsikud";</v>
      </c>
      <c r="AI170" s="10" t="str">
        <f>IF(getCategoryLevelAsString($B170)="L0D_324785","",IF(P170="",CONCATENATE(";",EscStr(CONCATENATE("NavNode_",getCategoryLevelAsString($B170))),";",EscStr($J170),";"),CONCATENATE(";",EscStr(CONCATENATE("NavNode_",getCategoryLevelAsString($B170))),";",EscStr(P170),";")))</f>
        <v>;"NavNode_L2D_527482";"Mittajohdot ja päät";</v>
      </c>
      <c r="AJ170" s="10" t="str">
        <f>IF(getCategoryLevelAsString($B170)="L0D_324785","",IF(Q170="",CONCATENATE(";",EscStr(CONCATENATE("NavNode_",getCategoryLevelAsString($B170))),";",EscStr($J170),";"),CONCATENATE(";",EscStr(CONCATENATE("NavNode_",getCategoryLevelAsString($B170))),";",EscStr(Q170),";")))</f>
        <v>;"NavNode_L2D_527482";"Testu vadi un tausti";</v>
      </c>
      <c r="AK170" s="10" t="str">
        <f>IF(getCategoryLevelAsString($B170)="L0D_324785","",IF(R170="",CONCATENATE(";",EscStr(CONCATENATE("NavNode_",getCategoryLevelAsString($B170))),";",EscStr($J170),";"),CONCATENATE(";",EscStr(CONCATENATE("NavNode_",getCategoryLevelAsString($B170))),";",EscStr(R170),";")))</f>
        <v>;"NavNode_L2D_527482";"Meetsnoeren en meetprobes";</v>
      </c>
      <c r="AL170" s="10" t="str">
        <f>IF(getCategoryLevelAsString($B170)="L0D_324785","",IF(S170="",CONCATENATE(";",EscStr(CONCATENATE("NavNode_",getCategoryLevelAsString($B170))),";",EscStr($J170),";"),CONCATENATE(";",EscStr(CONCATENATE("NavNode_",getCategoryLevelAsString($B170))),";",EscStr(S170),";")))</f>
        <v>;"NavNode_L2D_527482";"Przewody pomiarowe i Sondy";</v>
      </c>
      <c r="AM170" s="10" t="str">
        <f>IF(getCategoryLevelAsString($B170)="L0D_324785","",IF(T170="",CONCATENATE(";",EscStr(CONCATENATE("NavNode_",getCategoryLevelAsString($B170))),";",EscStr($J170),";"),CONCATENATE(";",EscStr(CONCATENATE("NavNode_",getCategoryLevelAsString($B170))),";",EscStr(T170),";")))</f>
        <v>;"NavNode_L2D_527482";"Щупы и зонды";</v>
      </c>
      <c r="AN170" s="10" t="str">
        <f>IF(getCategoryLevelAsString($B170)="L0D_324785","",IF(U170="",CONCATENATE(";",EscStr(CONCATENATE("NavNode_",getCategoryLevelAsString($B170))),";",EscStr($J170),";"),CONCATENATE(";",EscStr(CONCATENATE("NavNode_",getCategoryLevelAsString($B170))),";",EscStr(U170),";")))</f>
        <v>;"NavNode_L2D_527482";"Měřící kabely a sondy";</v>
      </c>
      <c r="AO170" s="10" t="str">
        <f>IF(getCategoryLevelAsString($B170)="L0D_324785","",IF(V170="",CONCATENATE(";",EscStr(CONCATENATE("NavNode_",getCategoryLevelAsString($B170))),";",EscStr($J170),";"),CONCATENATE(";",EscStr(CONCATENATE("NavNode_",getCategoryLevelAsString($B170))),";",EscStr(V170),";")))</f>
        <v>;"NavNode_L2D_527482";"Cabluri pentru testere şi vârfuri pentru cabluri de testat";</v>
      </c>
      <c r="AP170" s="10" t="str">
        <f>IF(getCategoryLevelAsString($B170)="L0D_324785","",IF(W170="",CONCATENATE(";",EscStr(CONCATENATE("NavNode_",getCategoryLevelAsString($B170))),";",EscStr($J170),";"),CONCATENATE(";",EscStr(CONCATENATE("NavNode_",getCategoryLevelAsString($B170))),";",EscStr(W170),";")))</f>
        <v>;"NavNode_L2D_527482";"Mérővezetékek és vizsgálófejek";</v>
      </c>
      <c r="AQ170" s="10" t="str">
        <f>IF(getCategoryLevelAsString($B170)="L0D_324785","",IF(X170="",CONCATENATE(";",EscStr(CONCATENATE("NavNode_",getCategoryLevelAsString($B170))),";",EscStr($J170),";"),CONCATENATE(";",EscStr(CONCATENATE("NavNode_",getCategoryLevelAsString($B170))),";",EscStr(X170),";")))</f>
        <v>;"NavNode_L2D_527482";"Měřící kabely a sondy";</v>
      </c>
      <c r="AR170" s="8" t="str">
        <f>IF(OR($A170&lt;&gt;"", $G170=""),"",CONCATENATE(";",EscStr(CONCATENATE("NavEntry_",getCategoryLevelAsString($B170))),";",EscStr(CONCATENATE($J170," Navigation Entry")),";",EscStr(CONCATENATE("cat-",getCategoryLevelAsString($B170))),";",EscStr(CONCATENATE("NavNode_",getCategoryLevelAsString($B170))),";"))</f>
        <v>;"NavEntry_L2D_527482";"Test Leads &amp; Probes Navigation Entry";"cat-L2D_527482";"NavNode_L2D_527482";</v>
      </c>
    </row>
    <row r="171" spans="1:44" ht="15" x14ac:dyDescent="0.25">
      <c r="A171" s="25"/>
      <c r="B171" s="5"/>
      <c r="C171" s="5" t="s">
        <v>57</v>
      </c>
      <c r="D171" s="5"/>
      <c r="E171" s="5"/>
      <c r="F171" s="5"/>
      <c r="G171" s="5" t="s">
        <v>967</v>
      </c>
      <c r="H171" s="5" t="s">
        <v>823</v>
      </c>
      <c r="I171" s="5" t="s">
        <v>713</v>
      </c>
      <c r="J171" s="5" t="s">
        <v>579</v>
      </c>
      <c r="K171" s="5" t="s">
        <v>1285</v>
      </c>
      <c r="L171" s="5" t="s">
        <v>1519</v>
      </c>
      <c r="M171" s="5" t="s">
        <v>1285</v>
      </c>
      <c r="N171" s="5" t="s">
        <v>1950</v>
      </c>
      <c r="O171" s="5" t="s">
        <v>3195</v>
      </c>
      <c r="P171" s="5" t="s">
        <v>3196</v>
      </c>
      <c r="Q171" s="5" t="s">
        <v>3197</v>
      </c>
      <c r="R171" s="5" t="s">
        <v>3198</v>
      </c>
      <c r="S171" s="5" t="s">
        <v>3199</v>
      </c>
      <c r="T171" s="5" t="s">
        <v>3200</v>
      </c>
      <c r="U171" s="5" t="s">
        <v>3201</v>
      </c>
      <c r="V171" s="5" t="s">
        <v>3202</v>
      </c>
      <c r="W171" s="5" t="s">
        <v>3203</v>
      </c>
      <c r="X171" s="5" t="s">
        <v>3201</v>
      </c>
      <c r="Y171" s="10" t="str">
        <f>IF(OR($A171&lt;&gt;"", $G171=""),"",CONCATENATE(";",EscStr(CONCATENATE("NavNode_",getCategoryLevelAsString($B171))),";",EscStr($J171),";",IF($B171&lt;&gt;"","""MainNavNode""",EscStr(CONCATENATE("NavNode_",getSuperCategory($B171, getCategoryLevelAsNumber($B171))))),";"))</f>
        <v>;"NavNode_L2-3D_527498";"Measuring Instruments";"NavNode_L2D_527482";</v>
      </c>
      <c r="Z171" s="10" t="str">
        <f>IF(getCategoryLevelAsString($B171)="L0D_324785","",IF(G171="",CONCATENATE(";",EscStr(CONCATENATE("NavNode_",getCategoryLevelAsString($B171))),";",EscStr($J171),";"),CONCATENATE(";",EscStr(CONCATENATE("NavNode_",getCategoryLevelAsString($B171))),";",EscStr(G171),";")))</f>
        <v>;"NavNode_L2-3D_527498";"Messgeräte";</v>
      </c>
      <c r="AA171" s="10" t="str">
        <f>IF(getCategoryLevelAsString($B171)="L0D_324785","",IF(H171="",CONCATENATE(";",EscStr(CONCATENATE("NavNode_",getCategoryLevelAsString($B171))),";",EscStr($J171),";"),CONCATENATE(";",EscStr(CONCATENATE("NavNode_",getCategoryLevelAsString($B171))),";",EscStr(H171),";")))</f>
        <v>;"NavNode_L2-3D_527498";"Instruments de mesure";</v>
      </c>
      <c r="AB171" s="10" t="str">
        <f>IF(getCategoryLevelAsString($B171)="L0D_324785","",IF(I171="",CONCATENATE(";",EscStr(CONCATENATE("NavNode_",getCategoryLevelAsString($B171))),";",EscStr($J171),";"),CONCATENATE(";",EscStr(CONCATENATE("NavNode_",getCategoryLevelAsString($B171))),";",EscStr(I171),";")))</f>
        <v>;"NavNode_L2-3D_527498";"Strumenti di misura";</v>
      </c>
      <c r="AC171" s="10" t="str">
        <f>IF(getCategoryLevelAsString($B171)="L0D_324785","",IF(J171="",CONCATENATE(";",EscStr(CONCATENATE("NavNode_",getCategoryLevelAsString($B171))),";",EscStr($J171),";"),CONCATENATE(";",EscStr(CONCATENATE("NavNode_",getCategoryLevelAsString($B171))),";",EscStr(J171),";")))</f>
        <v>;"NavNode_L2-3D_527498";"Measuring Instruments";</v>
      </c>
      <c r="AD171" s="10" t="str">
        <f>IF(getCategoryLevelAsString($B171)="L0D_324785","",IF(K171="",CONCATENATE(";",EscStr(CONCATENATE("NavNode_",getCategoryLevelAsString($B171))),";",EscStr($J171),";"),CONCATENATE(";",EscStr(CONCATENATE("NavNode_",getCategoryLevelAsString($B171))),";",EscStr(K171),";")))</f>
        <v>;"NavNode_L2-3D_527498";"Måleinstrumenter";</v>
      </c>
      <c r="AE171" s="10" t="str">
        <f>IF(getCategoryLevelAsString($B171)="L0D_324785","",IF(L171="",CONCATENATE(";",EscStr(CONCATENATE("NavNode_",getCategoryLevelAsString($B171))),";",EscStr($J171),";"),CONCATENATE(";",EscStr(CONCATENATE("NavNode_",getCategoryLevelAsString($B171))),";",EscStr(L171),";")))</f>
        <v>;"NavNode_L2-3D_527498";"Matavimo prietaisai";</v>
      </c>
      <c r="AF171" s="10" t="str">
        <f>IF(getCategoryLevelAsString($B171)="L0D_324785","",IF(M171="",CONCATENATE(";",EscStr(CONCATENATE("NavNode_",getCategoryLevelAsString($B171))),";",EscStr($J171),";"),CONCATENATE(";",EscStr(CONCATENATE("NavNode_",getCategoryLevelAsString($B171))),";",EscStr(M171),";")))</f>
        <v>;"NavNode_L2-3D_527498";"Måleinstrumenter";</v>
      </c>
      <c r="AG171" s="10" t="str">
        <f>IF(getCategoryLevelAsString($B171)="L0D_324785","",IF(N171="",CONCATENATE(";",EscStr(CONCATENATE("NavNode_",getCategoryLevelAsString($B171))),";",EscStr($J171),";"),CONCATENATE(";",EscStr(CONCATENATE("NavNode_",getCategoryLevelAsString($B171))),";",EscStr(N171),";")))</f>
        <v>;"NavNode_L2-3D_527498";"Mätinstrument";</v>
      </c>
      <c r="AH171" s="10" t="str">
        <f>IF(getCategoryLevelAsString($B171)="L0D_324785","",IF(O171="",CONCATENATE(";",EscStr(CONCATENATE("NavNode_",getCategoryLevelAsString($B171))),";",EscStr($J171),";"),CONCATENATE(";",EscStr(CONCATENATE("NavNode_",getCategoryLevelAsString($B171))),";",EscStr(O171),";")))</f>
        <v>;"NavNode_L2-3D_527498";"Mõõteseadmed";</v>
      </c>
      <c r="AI171" s="10" t="str">
        <f>IF(getCategoryLevelAsString($B171)="L0D_324785","",IF(P171="",CONCATENATE(";",EscStr(CONCATENATE("NavNode_",getCategoryLevelAsString($B171))),";",EscStr($J171),";"),CONCATENATE(";",EscStr(CONCATENATE("NavNode_",getCategoryLevelAsString($B171))),";",EscStr(P171),";")))</f>
        <v>;"NavNode_L2-3D_527498";"Mittalaitteet";</v>
      </c>
      <c r="AJ171" s="10" t="str">
        <f>IF(getCategoryLevelAsString($B171)="L0D_324785","",IF(Q171="",CONCATENATE(";",EscStr(CONCATENATE("NavNode_",getCategoryLevelAsString($B171))),";",EscStr($J171),";"),CONCATENATE(";",EscStr(CONCATENATE("NavNode_",getCategoryLevelAsString($B171))),";",EscStr(Q171),";")))</f>
        <v>;"NavNode_L2-3D_527498";"Mērinstrumenti";</v>
      </c>
      <c r="AK171" s="10" t="str">
        <f>IF(getCategoryLevelAsString($B171)="L0D_324785","",IF(R171="",CONCATENATE(";",EscStr(CONCATENATE("NavNode_",getCategoryLevelAsString($B171))),";",EscStr($J171),";"),CONCATENATE(";",EscStr(CONCATENATE("NavNode_",getCategoryLevelAsString($B171))),";",EscStr(R171),";")))</f>
        <v>;"NavNode_L2-3D_527498";"Meetinstrumenten";</v>
      </c>
      <c r="AL171" s="10" t="str">
        <f>IF(getCategoryLevelAsString($B171)="L0D_324785","",IF(S171="",CONCATENATE(";",EscStr(CONCATENATE("NavNode_",getCategoryLevelAsString($B171))),";",EscStr($J171),";"),CONCATENATE(";",EscStr(CONCATENATE("NavNode_",getCategoryLevelAsString($B171))),";",EscStr(S171),";")))</f>
        <v>;"NavNode_L2-3D_527498";"Przyrządy pomiarowe";</v>
      </c>
      <c r="AM171" s="10" t="str">
        <f>IF(getCategoryLevelAsString($B171)="L0D_324785","",IF(T171="",CONCATENATE(";",EscStr(CONCATENATE("NavNode_",getCategoryLevelAsString($B171))),";",EscStr($J171),";"),CONCATENATE(";",EscStr(CONCATENATE("NavNode_",getCategoryLevelAsString($B171))),";",EscStr(T171),";")))</f>
        <v>;"NavNode_L2-3D_527498";"Измерительные приборы";</v>
      </c>
      <c r="AN171" s="10" t="str">
        <f>IF(getCategoryLevelAsString($B171)="L0D_324785","",IF(U171="",CONCATENATE(";",EscStr(CONCATENATE("NavNode_",getCategoryLevelAsString($B171))),";",EscStr($J171),";"),CONCATENATE(";",EscStr(CONCATENATE("NavNode_",getCategoryLevelAsString($B171))),";",EscStr(U171),";")))</f>
        <v>;"NavNode_L2-3D_527498";"Měřící přístroje";</v>
      </c>
      <c r="AO171" s="10" t="str">
        <f>IF(getCategoryLevelAsString($B171)="L0D_324785","",IF(V171="",CONCATENATE(";",EscStr(CONCATENATE("NavNode_",getCategoryLevelAsString($B171))),";",EscStr($J171),";"),CONCATENATE(";",EscStr(CONCATENATE("NavNode_",getCategoryLevelAsString($B171))),";",EscStr(V171),";")))</f>
        <v>;"NavNode_L2-3D_527498";"Instrumente de măsură";</v>
      </c>
      <c r="AP171" s="10" t="str">
        <f>IF(getCategoryLevelAsString($B171)="L0D_324785","",IF(W171="",CONCATENATE(";",EscStr(CONCATENATE("NavNode_",getCategoryLevelAsString($B171))),";",EscStr($J171),";"),CONCATENATE(";",EscStr(CONCATENATE("NavNode_",getCategoryLevelAsString($B171))),";",EscStr(W171),";")))</f>
        <v>;"NavNode_L2-3D_527498";"Mérőműszer";</v>
      </c>
      <c r="AQ171" s="10" t="str">
        <f>IF(getCategoryLevelAsString($B171)="L0D_324785","",IF(X171="",CONCATENATE(";",EscStr(CONCATENATE("NavNode_",getCategoryLevelAsString($B171))),";",EscStr($J171),";"),CONCATENATE(";",EscStr(CONCATENATE("NavNode_",getCategoryLevelAsString($B171))),";",EscStr(X171),";")))</f>
        <v>;"NavNode_L2-3D_527498";"Měřící přístroje";</v>
      </c>
      <c r="AR171" s="8" t="str">
        <f>IF(OR($A171&lt;&gt;"", $G171=""),"",CONCATENATE(";",EscStr(CONCATENATE("NavEntry_",getCategoryLevelAsString($B171))),";",EscStr(CONCATENATE($J171," Navigation Entry")),";",EscStr(CONCATENATE("cat-",getCategoryLevelAsString($B171))),";",EscStr(CONCATENATE("NavNode_",getCategoryLevelAsString($B171))),";"))</f>
        <v>;"NavEntry_L2-3D_527498";"Measuring Instruments Navigation Entry";"cat-L2-3D_527498";"NavNode_L2-3D_527498";</v>
      </c>
    </row>
    <row r="172" spans="1:44" ht="15" x14ac:dyDescent="0.25">
      <c r="A172" s="25"/>
      <c r="B172" s="5"/>
      <c r="C172" s="5"/>
      <c r="D172" s="5" t="s">
        <v>262</v>
      </c>
      <c r="E172" s="5"/>
      <c r="F172" s="5"/>
      <c r="G172" s="5" t="s">
        <v>968</v>
      </c>
      <c r="H172" s="5" t="s">
        <v>824</v>
      </c>
      <c r="I172" s="5" t="s">
        <v>714</v>
      </c>
      <c r="J172" s="5" t="s">
        <v>931</v>
      </c>
      <c r="K172" s="5" t="s">
        <v>1286</v>
      </c>
      <c r="L172" s="5" t="s">
        <v>1520</v>
      </c>
      <c r="M172" s="5" t="s">
        <v>1746</v>
      </c>
      <c r="N172" s="5" t="s">
        <v>1951</v>
      </c>
      <c r="O172" s="5" t="s">
        <v>3204</v>
      </c>
      <c r="P172" s="5" t="s">
        <v>3205</v>
      </c>
      <c r="Q172" s="5" t="s">
        <v>3206</v>
      </c>
      <c r="R172" s="5" t="s">
        <v>3207</v>
      </c>
      <c r="S172" s="5" t="s">
        <v>3208</v>
      </c>
      <c r="T172" s="5" t="s">
        <v>3209</v>
      </c>
      <c r="U172" s="5" t="s">
        <v>3210</v>
      </c>
      <c r="V172" s="5" t="s">
        <v>3211</v>
      </c>
      <c r="W172" s="5" t="s">
        <v>3212</v>
      </c>
      <c r="X172" s="5" t="s">
        <v>3210</v>
      </c>
      <c r="Y172" s="10" t="str">
        <f>IF(OR($A172&lt;&gt;"", $G172=""),"",CONCATENATE(";",EscStr(CONCATENATE("NavNode_",getCategoryLevelAsString($B172))),";",EscStr($J172),";",IF($B172&lt;&gt;"","""MainNavNode""",EscStr(CONCATENATE("NavNode_",getSuperCategory($B172, getCategoryLevelAsNumber($B172))))),";"))</f>
        <v>;"NavNode_L3D_525591";"Multimeters &amp; Current Clamp Meters";"NavNode_L2D_527482";</v>
      </c>
      <c r="Z172" s="10" t="str">
        <f>IF(getCategoryLevelAsString($B172)="L0D_324785","",IF(G172="",CONCATENATE(";",EscStr(CONCATENATE("NavNode_",getCategoryLevelAsString($B172))),";",EscStr($J172),";"),CONCATENATE(";",EscStr(CONCATENATE("NavNode_",getCategoryLevelAsString($B172))),";",EscStr(G172),";")))</f>
        <v>;"NavNode_L3D_525591";"Multimeter und Stromzangen";</v>
      </c>
      <c r="AA172" s="10" t="str">
        <f>IF(getCategoryLevelAsString($B172)="L0D_324785","",IF(H172="",CONCATENATE(";",EscStr(CONCATENATE("NavNode_",getCategoryLevelAsString($B172))),";",EscStr($J172),";"),CONCATENATE(";",EscStr(CONCATENATE("NavNode_",getCategoryLevelAsString($B172))),";",EscStr(H172),";")))</f>
        <v>;"NavNode_L3D_525591";"Multimètres et pinces ampèremétriques";</v>
      </c>
      <c r="AB172" s="10" t="str">
        <f>IF(getCategoryLevelAsString($B172)="L0D_324785","",IF(I172="",CONCATENATE(";",EscStr(CONCATENATE("NavNode_",getCategoryLevelAsString($B172))),";",EscStr($J172),";"),CONCATENATE(";",EscStr(CONCATENATE("NavNode_",getCategoryLevelAsString($B172))),";",EscStr(I172),";")))</f>
        <v>;"NavNode_L3D_525591";"Multimetri e pinze amperometriche";</v>
      </c>
      <c r="AC172" s="10" t="str">
        <f>IF(getCategoryLevelAsString($B172)="L0D_324785","",IF(J172="",CONCATENATE(";",EscStr(CONCATENATE("NavNode_",getCategoryLevelAsString($B172))),";",EscStr($J172),";"),CONCATENATE(";",EscStr(CONCATENATE("NavNode_",getCategoryLevelAsString($B172))),";",EscStr(J172),";")))</f>
        <v>;"NavNode_L3D_525591";"Multimeters &amp; Current Clamp Meters";</v>
      </c>
      <c r="AD172" s="10" t="str">
        <f>IF(getCategoryLevelAsString($B172)="L0D_324785","",IF(K172="",CONCATENATE(";",EscStr(CONCATENATE("NavNode_",getCategoryLevelAsString($B172))),";",EscStr($J172),";"),CONCATENATE(";",EscStr(CONCATENATE("NavNode_",getCategoryLevelAsString($B172))),";",EscStr(K172),";")))</f>
        <v>;"NavNode_L3D_525591";"Multimetre &amp; strømtangsmålere";</v>
      </c>
      <c r="AE172" s="10" t="str">
        <f>IF(getCategoryLevelAsString($B172)="L0D_324785","",IF(L172="",CONCATENATE(";",EscStr(CONCATENATE("NavNode_",getCategoryLevelAsString($B172))),";",EscStr($J172),";"),CONCATENATE(";",EscStr(CONCATENATE("NavNode_",getCategoryLevelAsString($B172))),";",EscStr(L172),";")))</f>
        <v>;"NavNode_L3D_525591";"Multimetrai ir srovės matavimo replės";</v>
      </c>
      <c r="AF172" s="10" t="str">
        <f>IF(getCategoryLevelAsString($B172)="L0D_324785","",IF(M172="",CONCATENATE(";",EscStr(CONCATENATE("NavNode_",getCategoryLevelAsString($B172))),";",EscStr($J172),";"),CONCATENATE(";",EscStr(CONCATENATE("NavNode_",getCategoryLevelAsString($B172))),";",EscStr(M172),";")))</f>
        <v>;"NavNode_L3D_525591";"Multimetre og strømtangmålere";</v>
      </c>
      <c r="AG172" s="10" t="str">
        <f>IF(getCategoryLevelAsString($B172)="L0D_324785","",IF(N172="",CONCATENATE(";",EscStr(CONCATENATE("NavNode_",getCategoryLevelAsString($B172))),";",EscStr($J172),";"),CONCATENATE(";",EscStr(CONCATENATE("NavNode_",getCategoryLevelAsString($B172))),";",EscStr(N172),";")))</f>
        <v>;"NavNode_L3D_525591";"Multimetrar och strömtänger";</v>
      </c>
      <c r="AH172" s="10" t="str">
        <f>IF(getCategoryLevelAsString($B172)="L0D_324785","",IF(O172="",CONCATENATE(";",EscStr(CONCATENATE("NavNode_",getCategoryLevelAsString($B172))),";",EscStr($J172),";"),CONCATENATE(";",EscStr(CONCATENATE("NavNode_",getCategoryLevelAsString($B172))),";",EscStr(O172),";")))</f>
        <v>;"NavNode_L3D_525591";"Multimeetrid ja ampertangid";</v>
      </c>
      <c r="AI172" s="10" t="str">
        <f>IF(getCategoryLevelAsString($B172)="L0D_324785","",IF(P172="",CONCATENATE(";",EscStr(CONCATENATE("NavNode_",getCategoryLevelAsString($B172))),";",EscStr($J172),";"),CONCATENATE(";",EscStr(CONCATENATE("NavNode_",getCategoryLevelAsString($B172))),";",EscStr(P172),";")))</f>
        <v>;"NavNode_L3D_525591";"Yleismittarit ja Virtapihdit";</v>
      </c>
      <c r="AJ172" s="10" t="str">
        <f>IF(getCategoryLevelAsString($B172)="L0D_324785","",IF(Q172="",CONCATENATE(";",EscStr(CONCATENATE("NavNode_",getCategoryLevelAsString($B172))),";",EscStr($J172),";"),CONCATENATE(";",EscStr(CONCATENATE("NavNode_",getCategoryLevelAsString($B172))),";",EscStr(Q172),";")))</f>
        <v>;"NavNode_L3D_525591";"Multimetri un dīcknaibles";</v>
      </c>
      <c r="AK172" s="10" t="str">
        <f>IF(getCategoryLevelAsString($B172)="L0D_324785","",IF(R172="",CONCATENATE(";",EscStr(CONCATENATE("NavNode_",getCategoryLevelAsString($B172))),";",EscStr($J172),";"),CONCATENATE(";",EscStr(CONCATENATE("NavNode_",getCategoryLevelAsString($B172))),";",EscStr(R172),";")))</f>
        <v>;"NavNode_L3D_525591";"Multimeters &amp; stroomtangen";</v>
      </c>
      <c r="AL172" s="10" t="str">
        <f>IF(getCategoryLevelAsString($B172)="L0D_324785","",IF(S172="",CONCATENATE(";",EscStr(CONCATENATE("NavNode_",getCategoryLevelAsString($B172))),";",EscStr($J172),";"),CONCATENATE(";",EscStr(CONCATENATE("NavNode_",getCategoryLevelAsString($B172))),";",EscStr(S172),";")))</f>
        <v>;"NavNode_L3D_525591";"Multimetry i Mierniki cęgowe";</v>
      </c>
      <c r="AM172" s="10" t="str">
        <f>IF(getCategoryLevelAsString($B172)="L0D_324785","",IF(T172="",CONCATENATE(";",EscStr(CONCATENATE("NavNode_",getCategoryLevelAsString($B172))),";",EscStr($J172),";"),CONCATENATE(";",EscStr(CONCATENATE("NavNode_",getCategoryLevelAsString($B172))),";",EscStr(T172),";")))</f>
        <v>;"NavNode_L3D_525591";"Мультиметры и зажимные измерители тока";</v>
      </c>
      <c r="AN172" s="10" t="str">
        <f>IF(getCategoryLevelAsString($B172)="L0D_324785","",IF(U172="",CONCATENATE(";",EscStr(CONCATENATE("NavNode_",getCategoryLevelAsString($B172))),";",EscStr($J172),";"),CONCATENATE(";",EscStr(CONCATENATE("NavNode_",getCategoryLevelAsString($B172))),";",EscStr(U172),";")))</f>
        <v>;"NavNode_L3D_525591";"Multimetry a proudové kleště";</v>
      </c>
      <c r="AO172" s="10" t="str">
        <f>IF(getCategoryLevelAsString($B172)="L0D_324785","",IF(V172="",CONCATENATE(";",EscStr(CONCATENATE("NavNode_",getCategoryLevelAsString($B172))),";",EscStr($J172),";"),CONCATENATE(";",EscStr(CONCATENATE("NavNode_",getCategoryLevelAsString($B172))),";",EscStr(V172),";")))</f>
        <v>;"NavNode_L3D_525591";"Multimetre şi cleme de curent";</v>
      </c>
      <c r="AP172" s="10" t="str">
        <f>IF(getCategoryLevelAsString($B172)="L0D_324785","",IF(W172="",CONCATENATE(";",EscStr(CONCATENATE("NavNode_",getCategoryLevelAsString($B172))),";",EscStr($J172),";"),CONCATENATE(";",EscStr(CONCATENATE("NavNode_",getCategoryLevelAsString($B172))),";",EscStr(W172),";")))</f>
        <v>;"NavNode_L3D_525591";"Multiméterek és lakatfogók";</v>
      </c>
      <c r="AQ172" s="10" t="str">
        <f>IF(getCategoryLevelAsString($B172)="L0D_324785","",IF(X172="",CONCATENATE(";",EscStr(CONCATENATE("NavNode_",getCategoryLevelAsString($B172))),";",EscStr($J172),";"),CONCATENATE(";",EscStr(CONCATENATE("NavNode_",getCategoryLevelAsString($B172))),";",EscStr(X172),";")))</f>
        <v>;"NavNode_L3D_525591";"Multimetry a proudové kleště";</v>
      </c>
      <c r="AR172" s="8" t="str">
        <f>IF(OR($A172&lt;&gt;"", $G172=""),"",CONCATENATE(";",EscStr(CONCATENATE("NavEntry_",getCategoryLevelAsString($B172))),";",EscStr(CONCATENATE($J172," Navigation Entry")),";",EscStr(CONCATENATE("cat-",getCategoryLevelAsString($B172))),";",EscStr(CONCATENATE("NavNode_",getCategoryLevelAsString($B172))),";"))</f>
        <v>;"NavEntry_L3D_525591";"Multimeters &amp; Current Clamp Meters Navigation Entry";"cat-L3D_525591";"NavNode_L3D_525591";</v>
      </c>
    </row>
    <row r="173" spans="1:44" ht="15" x14ac:dyDescent="0.25">
      <c r="A173" s="25"/>
      <c r="B173" s="5"/>
      <c r="C173" s="5"/>
      <c r="D173" s="5" t="s">
        <v>825</v>
      </c>
      <c r="E173" s="5"/>
      <c r="F173" s="5"/>
      <c r="G173" s="5" t="s">
        <v>1185</v>
      </c>
      <c r="H173" s="5" t="s">
        <v>1115</v>
      </c>
      <c r="I173" s="5" t="s">
        <v>1174</v>
      </c>
      <c r="J173" s="5" t="s">
        <v>932</v>
      </c>
      <c r="K173" s="5" t="s">
        <v>1287</v>
      </c>
      <c r="L173" s="5" t="s">
        <v>1521</v>
      </c>
      <c r="M173" s="5" t="s">
        <v>1287</v>
      </c>
      <c r="N173" s="5" t="s">
        <v>1952</v>
      </c>
      <c r="O173" s="5" t="s">
        <v>3213</v>
      </c>
      <c r="P173" s="5" t="s">
        <v>3214</v>
      </c>
      <c r="Q173" s="5" t="s">
        <v>3215</v>
      </c>
      <c r="R173" s="5" t="s">
        <v>3216</v>
      </c>
      <c r="S173" s="5" t="s">
        <v>3217</v>
      </c>
      <c r="T173" s="5" t="s">
        <v>3218</v>
      </c>
      <c r="U173" s="5" t="s">
        <v>3219</v>
      </c>
      <c r="V173" s="5" t="s">
        <v>3220</v>
      </c>
      <c r="W173" s="5" t="s">
        <v>3221</v>
      </c>
      <c r="X173" s="5" t="s">
        <v>3219</v>
      </c>
      <c r="Y173" s="10" t="str">
        <f>IF(OR($A173&lt;&gt;"", $G173=""),"",CONCATENATE(";",EscStr(CONCATENATE("NavNode_",getCategoryLevelAsString($B173))),";",EscStr($J173),";",IF($B173&lt;&gt;"","""MainNavNode""",EscStr(CONCATENATE("NavNode_",getSuperCategory($B173, getCategoryLevelAsNumber($B173))))),";"))</f>
        <v>;"NavNode_L3D_525592";"Electrical Testing Instruments";"NavNode_L2D_527482";</v>
      </c>
      <c r="Z173" s="10" t="str">
        <f>IF(getCategoryLevelAsString($B173)="L0D_324785","",IF(G173="",CONCATENATE(";",EscStr(CONCATENATE("NavNode_",getCategoryLevelAsString($B173))),";",EscStr($J173),";"),CONCATENATE(";",EscStr(CONCATENATE("NavNode_",getCategoryLevelAsString($B173))),";",EscStr(G173),";")))</f>
        <v>;"NavNode_L3D_525592";"Elektrische Prüfgeräte";</v>
      </c>
      <c r="AA173" s="10" t="str">
        <f>IF(getCategoryLevelAsString($B173)="L0D_324785","",IF(H173="",CONCATENATE(";",EscStr(CONCATENATE("NavNode_",getCategoryLevelAsString($B173))),";",EscStr($J173),";"),CONCATENATE(";",EscStr(CONCATENATE("NavNode_",getCategoryLevelAsString($B173))),";",EscStr(H173),";")))</f>
        <v>;"NavNode_L3D_525592";"Appareils de test électrique";</v>
      </c>
      <c r="AB173" s="10" t="str">
        <f>IF(getCategoryLevelAsString($B173)="L0D_324785","",IF(I173="",CONCATENATE(";",EscStr(CONCATENATE("NavNode_",getCategoryLevelAsString($B173))),";",EscStr($J173),";"),CONCATENATE(";",EscStr(CONCATENATE("NavNode_",getCategoryLevelAsString($B173))),";",EscStr(I173),";")))</f>
        <v>;"NavNode_L3D_525592";"Apparecchi per prove elettriche";</v>
      </c>
      <c r="AC173" s="10" t="str">
        <f>IF(getCategoryLevelAsString($B173)="L0D_324785","",IF(J173="",CONCATENATE(";",EscStr(CONCATENATE("NavNode_",getCategoryLevelAsString($B173))),";",EscStr($J173),";"),CONCATENATE(";",EscStr(CONCATENATE("NavNode_",getCategoryLevelAsString($B173))),";",EscStr(J173),";")))</f>
        <v>;"NavNode_L3D_525592";"Electrical Testing Instruments";</v>
      </c>
      <c r="AD173" s="10" t="str">
        <f>IF(getCategoryLevelAsString($B173)="L0D_324785","",IF(K173="",CONCATENATE(";",EscStr(CONCATENATE("NavNode_",getCategoryLevelAsString($B173))),";",EscStr($J173),";"),CONCATENATE(";",EscStr(CONCATENATE("NavNode_",getCategoryLevelAsString($B173))),";",EscStr(K173),";")))</f>
        <v>;"NavNode_L3D_525592";"Elektriske testinstrumenter";</v>
      </c>
      <c r="AE173" s="10" t="str">
        <f>IF(getCategoryLevelAsString($B173)="L0D_324785","",IF(L173="",CONCATENATE(";",EscStr(CONCATENATE("NavNode_",getCategoryLevelAsString($B173))),";",EscStr($J173),";"),CONCATENATE(";",EscStr(CONCATENATE("NavNode_",getCategoryLevelAsString($B173))),";",EscStr(L173),";")))</f>
        <v>;"NavNode_L3D_525592";"Elektrinio testavimo prietaisai";</v>
      </c>
      <c r="AF173" s="10" t="str">
        <f>IF(getCategoryLevelAsString($B173)="L0D_324785","",IF(M173="",CONCATENATE(";",EscStr(CONCATENATE("NavNode_",getCategoryLevelAsString($B173))),";",EscStr($J173),";"),CONCATENATE(";",EscStr(CONCATENATE("NavNode_",getCategoryLevelAsString($B173))),";",EscStr(M173),";")))</f>
        <v>;"NavNode_L3D_525592";"Elektriske testinstrumenter";</v>
      </c>
      <c r="AG173" s="10" t="str">
        <f>IF(getCategoryLevelAsString($B173)="L0D_324785","",IF(N173="",CONCATENATE(";",EscStr(CONCATENATE("NavNode_",getCategoryLevelAsString($B173))),";",EscStr($J173),";"),CONCATENATE(";",EscStr(CONCATENATE("NavNode_",getCategoryLevelAsString($B173))),";",EscStr(N173),";")))</f>
        <v>;"NavNode_L3D_525592";"Elprovningsinstrument";</v>
      </c>
      <c r="AH173" s="10" t="str">
        <f>IF(getCategoryLevelAsString($B173)="L0D_324785","",IF(O173="",CONCATENATE(";",EscStr(CONCATENATE("NavNode_",getCategoryLevelAsString($B173))),";",EscStr($J173),";"),CONCATENATE(";",EscStr(CONCATENATE("NavNode_",getCategoryLevelAsString($B173))),";",EscStr(O173),";")))</f>
        <v>;"NavNode_L3D_525592";"Elektriku testseadmed";</v>
      </c>
      <c r="AI173" s="10" t="str">
        <f>IF(getCategoryLevelAsString($B173)="L0D_324785","",IF(P173="",CONCATENATE(";",EscStr(CONCATENATE("NavNode_",getCategoryLevelAsString($B173))),";",EscStr($J173),";"),CONCATENATE(";",EscStr(CONCATENATE("NavNode_",getCategoryLevelAsString($B173))),";",EscStr(P173),";")))</f>
        <v>;"NavNode_L3D_525592";"Sähkötestausmittalaitteet";</v>
      </c>
      <c r="AJ173" s="10" t="str">
        <f>IF(getCategoryLevelAsString($B173)="L0D_324785","",IF(Q173="",CONCATENATE(";",EscStr(CONCATENATE("NavNode_",getCategoryLevelAsString($B173))),";",EscStr($J173),";"),CONCATENATE(";",EscStr(CONCATENATE("NavNode_",getCategoryLevelAsString($B173))),";",EscStr(Q173),";")))</f>
        <v>;"NavNode_L3D_525592";"Elektriķu instrumenti";</v>
      </c>
      <c r="AK173" s="10" t="str">
        <f>IF(getCategoryLevelAsString($B173)="L0D_324785","",IF(R173="",CONCATENATE(";",EscStr(CONCATENATE("NavNode_",getCategoryLevelAsString($B173))),";",EscStr($J173),";"),CONCATENATE(";",EscStr(CONCATENATE("NavNode_",getCategoryLevelAsString($B173))),";",EscStr(R173),";")))</f>
        <v>;"NavNode_L3D_525592";"Installatietesters / stroomtangen / vermogensmeters";</v>
      </c>
      <c r="AL173" s="10" t="str">
        <f>IF(getCategoryLevelAsString($B173)="L0D_324785","",IF(S173="",CONCATENATE(";",EscStr(CONCATENATE("NavNode_",getCategoryLevelAsString($B173))),";",EscStr($J173),";"),CONCATENATE(";",EscStr(CONCATENATE("NavNode_",getCategoryLevelAsString($B173))),";",EscStr(S173),";")))</f>
        <v>;"NavNode_L3D_525592";"Przyrządy pomiarowe dla elektryków";</v>
      </c>
      <c r="AM173" s="10" t="str">
        <f>IF(getCategoryLevelAsString($B173)="L0D_324785","",IF(T173="",CONCATENATE(";",EscStr(CONCATENATE("NavNode_",getCategoryLevelAsString($B173))),";",EscStr($J173),";"),CONCATENATE(";",EscStr(CONCATENATE("NavNode_",getCategoryLevelAsString($B173))),";",EscStr(T173),";")))</f>
        <v>;"NavNode_L3D_525592";"Электроизмерительные приборы";</v>
      </c>
      <c r="AN173" s="10" t="str">
        <f>IF(getCategoryLevelAsString($B173)="L0D_324785","",IF(U173="",CONCATENATE(";",EscStr(CONCATENATE("NavNode_",getCategoryLevelAsString($B173))),";",EscStr($J173),";"),CONCATENATE(";",EscStr(CONCATENATE("NavNode_",getCategoryLevelAsString($B173))),";",EscStr(U173),";")))</f>
        <v>;"NavNode_L3D_525592";"Elektrické zkoušečky";</v>
      </c>
      <c r="AO173" s="10" t="str">
        <f>IF(getCategoryLevelAsString($B173)="L0D_324785","",IF(V173="",CONCATENATE(";",EscStr(CONCATENATE("NavNode_",getCategoryLevelAsString($B173))),";",EscStr($J173),";"),CONCATENATE(";",EscStr(CONCATENATE("NavNode_",getCategoryLevelAsString($B173))),";",EscStr(V173),";")))</f>
        <v>;"NavNode_L3D_525592";"Testere pentru echipamente electrice";</v>
      </c>
      <c r="AP173" s="10" t="str">
        <f>IF(getCategoryLevelAsString($B173)="L0D_324785","",IF(W173="",CONCATENATE(";",EscStr(CONCATENATE("NavNode_",getCategoryLevelAsString($B173))),";",EscStr($J173),";"),CONCATENATE(";",EscStr(CONCATENATE("NavNode_",getCategoryLevelAsString($B173))),";",EscStr(W173),";")))</f>
        <v>;"NavNode_L3D_525592";"Elektromos vizsgáló berendezés";</v>
      </c>
      <c r="AQ173" s="10" t="str">
        <f>IF(getCategoryLevelAsString($B173)="L0D_324785","",IF(X173="",CONCATENATE(";",EscStr(CONCATENATE("NavNode_",getCategoryLevelAsString($B173))),";",EscStr($J173),";"),CONCATENATE(";",EscStr(CONCATENATE("NavNode_",getCategoryLevelAsString($B173))),";",EscStr(X173),";")))</f>
        <v>;"NavNode_L3D_525592";"Elektrické zkoušečky";</v>
      </c>
      <c r="AR173" s="8" t="str">
        <f>IF(OR($A173&lt;&gt;"", $G173=""),"",CONCATENATE(";",EscStr(CONCATENATE("NavEntry_",getCategoryLevelAsString($B173))),";",EscStr(CONCATENATE($J173," Navigation Entry")),";",EscStr(CONCATENATE("cat-",getCategoryLevelAsString($B173))),";",EscStr(CONCATENATE("NavNode_",getCategoryLevelAsString($B173))),";"))</f>
        <v>;"NavEntry_L3D_525592";"Electrical Testing Instruments Navigation Entry";"cat-L3D_525592";"NavNode_L3D_525592";</v>
      </c>
    </row>
    <row r="174" spans="1:44" ht="15" x14ac:dyDescent="0.25">
      <c r="A174" s="25"/>
      <c r="B174" s="5"/>
      <c r="C174" s="5"/>
      <c r="D174" s="5" t="s">
        <v>826</v>
      </c>
      <c r="E174" s="5"/>
      <c r="F174" s="5"/>
      <c r="G174" s="5" t="s">
        <v>1186</v>
      </c>
      <c r="H174" s="5" t="s">
        <v>1116</v>
      </c>
      <c r="I174" s="5" t="s">
        <v>1175</v>
      </c>
      <c r="J174" s="5" t="s">
        <v>933</v>
      </c>
      <c r="K174" s="5" t="s">
        <v>1288</v>
      </c>
      <c r="L174" s="5" t="s">
        <v>1522</v>
      </c>
      <c r="M174" s="5" t="s">
        <v>1747</v>
      </c>
      <c r="N174" s="5" t="s">
        <v>1953</v>
      </c>
      <c r="O174" s="5" t="s">
        <v>3222</v>
      </c>
      <c r="P174" s="5" t="s">
        <v>3223</v>
      </c>
      <c r="Q174" s="5" t="s">
        <v>3224</v>
      </c>
      <c r="R174" s="5" t="s">
        <v>3225</v>
      </c>
      <c r="S174" s="5" t="s">
        <v>3226</v>
      </c>
      <c r="T174" s="5" t="s">
        <v>3227</v>
      </c>
      <c r="U174" s="5" t="s">
        <v>3228</v>
      </c>
      <c r="V174" s="5" t="s">
        <v>3229</v>
      </c>
      <c r="W174" s="5" t="s">
        <v>3230</v>
      </c>
      <c r="X174" s="5" t="s">
        <v>3228</v>
      </c>
      <c r="Y174" s="10" t="str">
        <f>IF(OR($A174&lt;&gt;"", $G174=""),"",CONCATENATE(";",EscStr(CONCATENATE("NavNode_",getCategoryLevelAsString($B174))),";",EscStr($J174),";",IF($B174&lt;&gt;"","""MainNavNode""",EscStr(CONCATENATE("NavNode_",getSuperCategory($B174, getCategoryLevelAsNumber($B174))))),";"))</f>
        <v>;"NavNode_L3D_525593";"Installation Testers";"NavNode_L2D_527482";</v>
      </c>
      <c r="Z174" s="10" t="str">
        <f>IF(getCategoryLevelAsString($B174)="L0D_324785","",IF(G174="",CONCATENATE(";",EscStr(CONCATENATE("NavNode_",getCategoryLevelAsString($B174))),";",EscStr($J174),";"),CONCATENATE(";",EscStr(CONCATENATE("NavNode_",getCategoryLevelAsString($B174))),";",EscStr(G174),";")))</f>
        <v>;"NavNode_L3D_525593";"Installationsprüfgeräte";</v>
      </c>
      <c r="AA174" s="10" t="str">
        <f>IF(getCategoryLevelAsString($B174)="L0D_324785","",IF(H174="",CONCATENATE(";",EscStr(CONCATENATE("NavNode_",getCategoryLevelAsString($B174))),";",EscStr($J174),";"),CONCATENATE(";",EscStr(CONCATENATE("NavNode_",getCategoryLevelAsString($B174))),";",EscStr(H174),";")))</f>
        <v>;"NavNode_L3D_525593";"Testeurs d'installation";</v>
      </c>
      <c r="AB174" s="10" t="str">
        <f>IF(getCategoryLevelAsString($B174)="L0D_324785","",IF(I174="",CONCATENATE(";",EscStr(CONCATENATE("NavNode_",getCategoryLevelAsString($B174))),";",EscStr($J174),";"),CONCATENATE(";",EscStr(CONCATENATE("NavNode_",getCategoryLevelAsString($B174))),";",EscStr(I174),";")))</f>
        <v>;"NavNode_L3D_525593";"Apparecchi di prova per installazioni";</v>
      </c>
      <c r="AC174" s="10" t="str">
        <f>IF(getCategoryLevelAsString($B174)="L0D_324785","",IF(J174="",CONCATENATE(";",EscStr(CONCATENATE("NavNode_",getCategoryLevelAsString($B174))),";",EscStr($J174),";"),CONCATENATE(";",EscStr(CONCATENATE("NavNode_",getCategoryLevelAsString($B174))),";",EscStr(J174),";")))</f>
        <v>;"NavNode_L3D_525593";"Installation Testers";</v>
      </c>
      <c r="AD174" s="10" t="str">
        <f>IF(getCategoryLevelAsString($B174)="L0D_324785","",IF(K174="",CONCATENATE(";",EscStr(CONCATENATE("NavNode_",getCategoryLevelAsString($B174))),";",EscStr($J174),";"),CONCATENATE(";",EscStr(CONCATENATE("NavNode_",getCategoryLevelAsString($B174))),";",EscStr(K174),";")))</f>
        <v>;"NavNode_L3D_525593";"Installationstestinstrumenter";</v>
      </c>
      <c r="AE174" s="10" t="str">
        <f>IF(getCategoryLevelAsString($B174)="L0D_324785","",IF(L174="",CONCATENATE(";",EscStr(CONCATENATE("NavNode_",getCategoryLevelAsString($B174))),";",EscStr($J174),";"),CONCATENATE(";",EscStr(CONCATENATE("NavNode_",getCategoryLevelAsString($B174))),";",EscStr(L174),";")))</f>
        <v>;"NavNode_L3D_525593";"Instaliacijų testeriai";</v>
      </c>
      <c r="AF174" s="10" t="str">
        <f>IF(getCategoryLevelAsString($B174)="L0D_324785","",IF(M174="",CONCATENATE(";",EscStr(CONCATENATE("NavNode_",getCategoryLevelAsString($B174))),";",EscStr($J174),";"),CONCATENATE(";",EscStr(CONCATENATE("NavNode_",getCategoryLevelAsString($B174))),";",EscStr(M174),";")))</f>
        <v>;"NavNode_L3D_525593";"Installasjonstestere";</v>
      </c>
      <c r="AG174" s="10" t="str">
        <f>IF(getCategoryLevelAsString($B174)="L0D_324785","",IF(N174="",CONCATENATE(";",EscStr(CONCATENATE("NavNode_",getCategoryLevelAsString($B174))),";",EscStr($J174),";"),CONCATENATE(";",EscStr(CONCATENATE("NavNode_",getCategoryLevelAsString($B174))),";",EscStr(N174),";")))</f>
        <v>;"NavNode_L3D_525593";"Installationstestare";</v>
      </c>
      <c r="AH174" s="10" t="str">
        <f>IF(getCategoryLevelAsString($B174)="L0D_324785","",IF(O174="",CONCATENATE(";",EscStr(CONCATENATE("NavNode_",getCategoryLevelAsString($B174))),";",EscStr($J174),";"),CONCATENATE(";",EscStr(CONCATENATE("NavNode_",getCategoryLevelAsString($B174))),";",EscStr(O174),";")))</f>
        <v>;"NavNode_L3D_525593";"Installatsioonitestrid";</v>
      </c>
      <c r="AI174" s="10" t="str">
        <f>IF(getCategoryLevelAsString($B174)="L0D_324785","",IF(P174="",CONCATENATE(";",EscStr(CONCATENATE("NavNode_",getCategoryLevelAsString($B174))),";",EscStr($J174),";"),CONCATENATE(";",EscStr(CONCATENATE("NavNode_",getCategoryLevelAsString($B174))),";",EscStr(P174),";")))</f>
        <v>;"NavNode_L3D_525593";"Asennustesterit";</v>
      </c>
      <c r="AJ174" s="10" t="str">
        <f>IF(getCategoryLevelAsString($B174)="L0D_324785","",IF(Q174="",CONCATENATE(";",EscStr(CONCATENATE("NavNode_",getCategoryLevelAsString($B174))),";",EscStr($J174),";"),CONCATENATE(";",EscStr(CONCATENATE("NavNode_",getCategoryLevelAsString($B174))),";",EscStr(Q174),";")))</f>
        <v>;"NavNode_L3D_525593";"Instalācijas testeri";</v>
      </c>
      <c r="AK174" s="10" t="str">
        <f>IF(getCategoryLevelAsString($B174)="L0D_324785","",IF(R174="",CONCATENATE(";",EscStr(CONCATENATE("NavNode_",getCategoryLevelAsString($B174))),";",EscStr($J174),";"),CONCATENATE(";",EscStr(CONCATENATE("NavNode_",getCategoryLevelAsString($B174))),";",EscStr(R174),";")))</f>
        <v>;"NavNode_L3D_525593";"Installatietesters";</v>
      </c>
      <c r="AL174" s="10" t="str">
        <f>IF(getCategoryLevelAsString($B174)="L0D_324785","",IF(S174="",CONCATENATE(";",EscStr(CONCATENATE("NavNode_",getCategoryLevelAsString($B174))),";",EscStr($J174),";"),CONCATENATE(";",EscStr(CONCATENATE("NavNode_",getCategoryLevelAsString($B174))),";",EscStr(S174),";")))</f>
        <v>;"NavNode_L3D_525593";"Testery instalacji";</v>
      </c>
      <c r="AM174" s="10" t="str">
        <f>IF(getCategoryLevelAsString($B174)="L0D_324785","",IF(T174="",CONCATENATE(";",EscStr(CONCATENATE("NavNode_",getCategoryLevelAsString($B174))),";",EscStr($J174),";"),CONCATENATE(";",EscStr(CONCATENATE("NavNode_",getCategoryLevelAsString($B174))),";",EscStr(T174),";")))</f>
        <v>;"NavNode_L3D_525593";"Инсталляционные тестеры";</v>
      </c>
      <c r="AN174" s="10" t="str">
        <f>IF(getCategoryLevelAsString($B174)="L0D_324785","",IF(U174="",CONCATENATE(";",EscStr(CONCATENATE("NavNode_",getCategoryLevelAsString($B174))),";",EscStr($J174),";"),CONCATENATE(";",EscStr(CONCATENATE("NavNode_",getCategoryLevelAsString($B174))),";",EscStr(U174),";")))</f>
        <v>;"NavNode_L3D_525593";"Zkoušečky elektroinstalací";</v>
      </c>
      <c r="AO174" s="10" t="str">
        <f>IF(getCategoryLevelAsString($B174)="L0D_324785","",IF(V174="",CONCATENATE(";",EscStr(CONCATENATE("NavNode_",getCategoryLevelAsString($B174))),";",EscStr($J174),";"),CONCATENATE(";",EscStr(CONCATENATE("NavNode_",getCategoryLevelAsString($B174))),";",EscStr(V174),";")))</f>
        <v>;"NavNode_L3D_525593";"Testere pentru instalaţii";</v>
      </c>
      <c r="AP174" s="10" t="str">
        <f>IF(getCategoryLevelAsString($B174)="L0D_324785","",IF(W174="",CONCATENATE(";",EscStr(CONCATENATE("NavNode_",getCategoryLevelAsString($B174))),";",EscStr($J174),";"),CONCATENATE(";",EscStr(CONCATENATE("NavNode_",getCategoryLevelAsString($B174))),";",EscStr(W174),";")))</f>
        <v>;"NavNode_L3D_525593";"Szerelésvizsgáló készülék";</v>
      </c>
      <c r="AQ174" s="10" t="str">
        <f>IF(getCategoryLevelAsString($B174)="L0D_324785","",IF(X174="",CONCATENATE(";",EscStr(CONCATENATE("NavNode_",getCategoryLevelAsString($B174))),";",EscStr($J174),";"),CONCATENATE(";",EscStr(CONCATENATE("NavNode_",getCategoryLevelAsString($B174))),";",EscStr(X174),";")))</f>
        <v>;"NavNode_L3D_525593";"Zkoušečky elektroinstalací";</v>
      </c>
      <c r="AR174" s="8" t="str">
        <f>IF(OR($A174&lt;&gt;"", $G174=""),"",CONCATENATE(";",EscStr(CONCATENATE("NavEntry_",getCategoryLevelAsString($B174))),";",EscStr(CONCATENATE($J174," Navigation Entry")),";",EscStr(CONCATENATE("cat-",getCategoryLevelAsString($B174))),";",EscStr(CONCATENATE("NavNode_",getCategoryLevelAsString($B174))),";"))</f>
        <v>;"NavEntry_L3D_525593";"Installation Testers Navigation Entry";"cat-L3D_525593";"NavNode_L3D_525593";</v>
      </c>
    </row>
    <row r="175" spans="1:44" ht="15" x14ac:dyDescent="0.25">
      <c r="A175" s="25"/>
      <c r="B175" s="5"/>
      <c r="C175" s="5"/>
      <c r="D175" s="5" t="s">
        <v>827</v>
      </c>
      <c r="E175" s="5"/>
      <c r="F175" s="5"/>
      <c r="G175" s="5" t="s">
        <v>1187</v>
      </c>
      <c r="H175" s="5" t="s">
        <v>1117</v>
      </c>
      <c r="I175" s="5" t="s">
        <v>1176</v>
      </c>
      <c r="J175" s="5" t="s">
        <v>934</v>
      </c>
      <c r="K175" s="5" t="s">
        <v>1289</v>
      </c>
      <c r="L175" s="5" t="s">
        <v>1523</v>
      </c>
      <c r="M175" s="5" t="s">
        <v>1289</v>
      </c>
      <c r="N175" s="5" t="s">
        <v>1954</v>
      </c>
      <c r="O175" s="5" t="s">
        <v>3231</v>
      </c>
      <c r="P175" s="5" t="s">
        <v>3232</v>
      </c>
      <c r="Q175" s="5" t="s">
        <v>3233</v>
      </c>
      <c r="R175" s="5" t="s">
        <v>3234</v>
      </c>
      <c r="S175" s="5" t="s">
        <v>3235</v>
      </c>
      <c r="T175" s="5" t="s">
        <v>3236</v>
      </c>
      <c r="U175" s="5" t="s">
        <v>3237</v>
      </c>
      <c r="V175" s="5" t="s">
        <v>3238</v>
      </c>
      <c r="W175" s="5" t="s">
        <v>3239</v>
      </c>
      <c r="X175" s="5" t="s">
        <v>3237</v>
      </c>
      <c r="Y175" s="10" t="str">
        <f>IF(OR($A175&lt;&gt;"", $G175=""),"",CONCATENATE(";",EscStr(CONCATENATE("NavNode_",getCategoryLevelAsString($B175))),";",EscStr($J175),";",IF($B175&lt;&gt;"","""MainNavNode""",EscStr(CONCATENATE("NavNode_",getSuperCategory($B175, getCategoryLevelAsNumber($B175))))),";"))</f>
        <v>;"NavNode_L3D_525586";"Power Test Instruments";"NavNode_L2D_527482";</v>
      </c>
      <c r="Z175" s="10" t="str">
        <f>IF(getCategoryLevelAsString($B175)="L0D_324785","",IF(G175="",CONCATENATE(";",EscStr(CONCATENATE("NavNode_",getCategoryLevelAsString($B175))),";",EscStr($J175),";"),CONCATENATE(";",EscStr(CONCATENATE("NavNode_",getCategoryLevelAsString($B175))),";",EscStr(G175),";")))</f>
        <v>;"NavNode_L3D_525586";"Leistungsmessgeräte";</v>
      </c>
      <c r="AA175" s="10" t="str">
        <f>IF(getCategoryLevelAsString($B175)="L0D_324785","",IF(H175="",CONCATENATE(";",EscStr(CONCATENATE("NavNode_",getCategoryLevelAsString($B175))),";",EscStr($J175),";"),CONCATENATE(";",EscStr(CONCATENATE("NavNode_",getCategoryLevelAsString($B175))),";",EscStr(H175),";")))</f>
        <v>;"NavNode_L3D_525586";"Instruments de test d'alimentation";</v>
      </c>
      <c r="AB175" s="10" t="str">
        <f>IF(getCategoryLevelAsString($B175)="L0D_324785","",IF(I175="",CONCATENATE(";",EscStr(CONCATENATE("NavNode_",getCategoryLevelAsString($B175))),";",EscStr($J175),";"),CONCATENATE(";",EscStr(CONCATENATE("NavNode_",getCategoryLevelAsString($B175))),";",EscStr(I175),";")))</f>
        <v>;"NavNode_L3D_525586";"Strumenti di prova della potenza";</v>
      </c>
      <c r="AC175" s="10" t="str">
        <f>IF(getCategoryLevelAsString($B175)="L0D_324785","",IF(J175="",CONCATENATE(";",EscStr(CONCATENATE("NavNode_",getCategoryLevelAsString($B175))),";",EscStr($J175),";"),CONCATENATE(";",EscStr(CONCATENATE("NavNode_",getCategoryLevelAsString($B175))),";",EscStr(J175),";")))</f>
        <v>;"NavNode_L3D_525586";"Power Test Instruments";</v>
      </c>
      <c r="AD175" s="10" t="str">
        <f>IF(getCategoryLevelAsString($B175)="L0D_324785","",IF(K175="",CONCATENATE(";",EscStr(CONCATENATE("NavNode_",getCategoryLevelAsString($B175))),";",EscStr($J175),";"),CONCATENATE(";",EscStr(CONCATENATE("NavNode_",getCategoryLevelAsString($B175))),";",EscStr(K175),";")))</f>
        <v>;"NavNode_L3D_525586";"Strømtestinstrumenter";</v>
      </c>
      <c r="AE175" s="10" t="str">
        <f>IF(getCategoryLevelAsString($B175)="L0D_324785","",IF(L175="",CONCATENATE(";",EscStr(CONCATENATE("NavNode_",getCategoryLevelAsString($B175))),";",EscStr($J175),";"),CONCATENATE(";",EscStr(CONCATENATE("NavNode_",getCategoryLevelAsString($B175))),";",EscStr(L175),";")))</f>
        <v>;"NavNode_L3D_525586";"Elektrinio testavimo įrankiai";</v>
      </c>
      <c r="AF175" s="10" t="str">
        <f>IF(getCategoryLevelAsString($B175)="L0D_324785","",IF(M175="",CONCATENATE(";",EscStr(CONCATENATE("NavNode_",getCategoryLevelAsString($B175))),";",EscStr($J175),";"),CONCATENATE(";",EscStr(CONCATENATE("NavNode_",getCategoryLevelAsString($B175))),";",EscStr(M175),";")))</f>
        <v>;"NavNode_L3D_525586";"Strømtestinstrumenter";</v>
      </c>
      <c r="AG175" s="10" t="str">
        <f>IF(getCategoryLevelAsString($B175)="L0D_324785","",IF(N175="",CONCATENATE(";",EscStr(CONCATENATE("NavNode_",getCategoryLevelAsString($B175))),";",EscStr($J175),";"),CONCATENATE(";",EscStr(CONCATENATE("NavNode_",getCategoryLevelAsString($B175))),";",EscStr(N175),";")))</f>
        <v>;"NavNode_L3D_525586";"Strömtestinstrument";</v>
      </c>
      <c r="AH175" s="10" t="str">
        <f>IF(getCategoryLevelAsString($B175)="L0D_324785","",IF(O175="",CONCATENATE(";",EscStr(CONCATENATE("NavNode_",getCategoryLevelAsString($B175))),";",EscStr($J175),";"),CONCATENATE(";",EscStr(CONCATENATE("NavNode_",getCategoryLevelAsString($B175))),";",EscStr(O175),";")))</f>
        <v>;"NavNode_L3D_525586";"Energiatarbe mööteriistad";</v>
      </c>
      <c r="AI175" s="10" t="str">
        <f>IF(getCategoryLevelAsString($B175)="L0D_324785","",IF(P175="",CONCATENATE(";",EscStr(CONCATENATE("NavNode_",getCategoryLevelAsString($B175))),";",EscStr($J175),";"),CONCATENATE(";",EscStr(CONCATENATE("NavNode_",getCategoryLevelAsString($B175))),";",EscStr(P175),";")))</f>
        <v>;"NavNode_L3D_525586";"Sähkönsyöttötesterit";</v>
      </c>
      <c r="AJ175" s="10" t="str">
        <f>IF(getCategoryLevelAsString($B175)="L0D_324785","",IF(Q175="",CONCATENATE(";",EscStr(CONCATENATE("NavNode_",getCategoryLevelAsString($B175))),";",EscStr($J175),";"),CONCATENATE(";",EscStr(CONCATENATE("NavNode_",getCategoryLevelAsString($B175))),";",EscStr(Q175),";")))</f>
        <v>;"NavNode_L3D_525586";"Jaudas testa instrumenti";</v>
      </c>
      <c r="AK175" s="10" t="str">
        <f>IF(getCategoryLevelAsString($B175)="L0D_324785","",IF(R175="",CONCATENATE(";",EscStr(CONCATENATE("NavNode_",getCategoryLevelAsString($B175))),";",EscStr($J175),";"),CONCATENATE(";",EscStr(CONCATENATE("NavNode_",getCategoryLevelAsString($B175))),";",EscStr(R175),";")))</f>
        <v>;"NavNode_L3D_525586";"Vermogensmeters";</v>
      </c>
      <c r="AL175" s="10" t="str">
        <f>IF(getCategoryLevelAsString($B175)="L0D_324785","",IF(S175="",CONCATENATE(";",EscStr(CONCATENATE("NavNode_",getCategoryLevelAsString($B175))),";",EscStr($J175),";"),CONCATENATE(";",EscStr(CONCATENATE("NavNode_",getCategoryLevelAsString($B175))),";",EscStr(S175),";")))</f>
        <v>;"NavNode_L3D_525586";"Mierniki mocy";</v>
      </c>
      <c r="AM175" s="10" t="str">
        <f>IF(getCategoryLevelAsString($B175)="L0D_324785","",IF(T175="",CONCATENATE(";",EscStr(CONCATENATE("NavNode_",getCategoryLevelAsString($B175))),";",EscStr($J175),";"),CONCATENATE(";",EscStr(CONCATENATE("NavNode_",getCategoryLevelAsString($B175))),";",EscStr(T175),";")))</f>
        <v>;"NavNode_L3D_525586";"Силовые измерительные приборы";</v>
      </c>
      <c r="AN175" s="10" t="str">
        <f>IF(getCategoryLevelAsString($B175)="L0D_324785","",IF(U175="",CONCATENATE(";",EscStr(CONCATENATE("NavNode_",getCategoryLevelAsString($B175))),";",EscStr($J175),";"),CONCATENATE(";",EscStr(CONCATENATE("NavNode_",getCategoryLevelAsString($B175))),";",EscStr(U175),";")))</f>
        <v>;"NavNode_L3D_525586";"Wattmetry";</v>
      </c>
      <c r="AO175" s="10" t="str">
        <f>IF(getCategoryLevelAsString($B175)="L0D_324785","",IF(V175="",CONCATENATE(";",EscStr(CONCATENATE("NavNode_",getCategoryLevelAsString($B175))),";",EscStr($J175),";"),CONCATENATE(";",EscStr(CONCATENATE("NavNode_",getCategoryLevelAsString($B175))),";",EscStr(V175),";")))</f>
        <v>;"NavNode_L3D_525586";"Instrumente de performanţă";</v>
      </c>
      <c r="AP175" s="10" t="str">
        <f>IF(getCategoryLevelAsString($B175)="L0D_324785","",IF(W175="",CONCATENATE(";",EscStr(CONCATENATE("NavNode_",getCategoryLevelAsString($B175))),";",EscStr($J175),";"),CONCATENATE(";",EscStr(CONCATENATE("NavNode_",getCategoryLevelAsString($B175))),";",EscStr(W175),";")))</f>
        <v>;"NavNode_L3D_525586";"Teljesítménymérő";</v>
      </c>
      <c r="AQ175" s="10" t="str">
        <f>IF(getCategoryLevelAsString($B175)="L0D_324785","",IF(X175="",CONCATENATE(";",EscStr(CONCATENATE("NavNode_",getCategoryLevelAsString($B175))),";",EscStr($J175),";"),CONCATENATE(";",EscStr(CONCATENATE("NavNode_",getCategoryLevelAsString($B175))),";",EscStr(X175),";")))</f>
        <v>;"NavNode_L3D_525586";"Wattmetry";</v>
      </c>
      <c r="AR175" s="8" t="str">
        <f>IF(OR($A175&lt;&gt;"", $G175=""),"",CONCATENATE(";",EscStr(CONCATENATE("NavEntry_",getCategoryLevelAsString($B175))),";",EscStr(CONCATENATE($J175," Navigation Entry")),";",EscStr(CONCATENATE("cat-",getCategoryLevelAsString($B175))),";",EscStr(CONCATENATE("NavNode_",getCategoryLevelAsString($B175))),";"))</f>
        <v>;"NavEntry_L3D_525586";"Power Test Instruments Navigation Entry";"cat-L3D_525586";"NavNode_L3D_525586";</v>
      </c>
    </row>
    <row r="176" spans="1:44" ht="15" x14ac:dyDescent="0.25">
      <c r="A176" s="25"/>
      <c r="B176" s="5"/>
      <c r="C176" s="5"/>
      <c r="D176" s="5" t="s">
        <v>828</v>
      </c>
      <c r="E176" s="5"/>
      <c r="F176" s="5"/>
      <c r="G176" s="5" t="s">
        <v>1188</v>
      </c>
      <c r="H176" s="5" t="s">
        <v>580</v>
      </c>
      <c r="I176" s="5" t="s">
        <v>1177</v>
      </c>
      <c r="J176" s="5" t="s">
        <v>580</v>
      </c>
      <c r="K176" s="5" t="s">
        <v>1290</v>
      </c>
      <c r="L176" s="5" t="s">
        <v>1524</v>
      </c>
      <c r="M176" s="5" t="s">
        <v>1290</v>
      </c>
      <c r="N176" s="5" t="s">
        <v>1955</v>
      </c>
      <c r="O176" s="5" t="s">
        <v>3240</v>
      </c>
      <c r="P176" s="5" t="s">
        <v>3241</v>
      </c>
      <c r="Q176" s="5" t="s">
        <v>3242</v>
      </c>
      <c r="R176" s="5" t="s">
        <v>3243</v>
      </c>
      <c r="S176" s="5" t="s">
        <v>3244</v>
      </c>
      <c r="T176" s="5" t="s">
        <v>3245</v>
      </c>
      <c r="U176" s="5" t="s">
        <v>3246</v>
      </c>
      <c r="V176" s="5" t="s">
        <v>3247</v>
      </c>
      <c r="W176" s="5" t="s">
        <v>3248</v>
      </c>
      <c r="X176" s="5" t="s">
        <v>3246</v>
      </c>
      <c r="Y176" s="10" t="str">
        <f>IF(OR($A176&lt;&gt;"", $G176=""),"",CONCATENATE(";",EscStr(CONCATENATE("NavNode_",getCategoryLevelAsString($B176))),";",EscStr($J176),";",IF($B176&lt;&gt;"","""MainNavNode""",EscStr(CONCATENATE("NavNode_",getSuperCategory($B176, getCategoryLevelAsNumber($B176))))),";"))</f>
        <v>;"NavNode_L3D_525587";"Oscilloscopes";"NavNode_L2D_527482";</v>
      </c>
      <c r="Z176" s="10" t="str">
        <f>IF(getCategoryLevelAsString($B176)="L0D_324785","",IF(G176="",CONCATENATE(";",EscStr(CONCATENATE("NavNode_",getCategoryLevelAsString($B176))),";",EscStr($J176),";"),CONCATENATE(";",EscStr(CONCATENATE("NavNode_",getCategoryLevelAsString($B176))),";",EscStr(G176),";")))</f>
        <v>;"NavNode_L3D_525587";"Oszilloskope";</v>
      </c>
      <c r="AA176" s="10" t="str">
        <f>IF(getCategoryLevelAsString($B176)="L0D_324785","",IF(H176="",CONCATENATE(";",EscStr(CONCATENATE("NavNode_",getCategoryLevelAsString($B176))),";",EscStr($J176),";"),CONCATENATE(";",EscStr(CONCATENATE("NavNode_",getCategoryLevelAsString($B176))),";",EscStr(H176),";")))</f>
        <v>;"NavNode_L3D_525587";"Oscilloscopes";</v>
      </c>
      <c r="AB176" s="10" t="str">
        <f>IF(getCategoryLevelAsString($B176)="L0D_324785","",IF(I176="",CONCATENATE(";",EscStr(CONCATENATE("NavNode_",getCategoryLevelAsString($B176))),";",EscStr($J176),";"),CONCATENATE(";",EscStr(CONCATENATE("NavNode_",getCategoryLevelAsString($B176))),";",EscStr(I176),";")))</f>
        <v>;"NavNode_L3D_525587";"Oscilloscopi";</v>
      </c>
      <c r="AC176" s="10" t="str">
        <f>IF(getCategoryLevelAsString($B176)="L0D_324785","",IF(J176="",CONCATENATE(";",EscStr(CONCATENATE("NavNode_",getCategoryLevelAsString($B176))),";",EscStr($J176),";"),CONCATENATE(";",EscStr(CONCATENATE("NavNode_",getCategoryLevelAsString($B176))),";",EscStr(J176),";")))</f>
        <v>;"NavNode_L3D_525587";"Oscilloscopes";</v>
      </c>
      <c r="AD176" s="10" t="str">
        <f>IF(getCategoryLevelAsString($B176)="L0D_324785","",IF(K176="",CONCATENATE(";",EscStr(CONCATENATE("NavNode_",getCategoryLevelAsString($B176))),";",EscStr($J176),";"),CONCATENATE(";",EscStr(CONCATENATE("NavNode_",getCategoryLevelAsString($B176))),";",EscStr(K176),";")))</f>
        <v>;"NavNode_L3D_525587";"Oscilloskoper";</v>
      </c>
      <c r="AE176" s="10" t="str">
        <f>IF(getCategoryLevelAsString($B176)="L0D_324785","",IF(L176="",CONCATENATE(";",EscStr(CONCATENATE("NavNode_",getCategoryLevelAsString($B176))),";",EscStr($J176),";"),CONCATENATE(";",EscStr(CONCATENATE("NavNode_",getCategoryLevelAsString($B176))),";",EscStr(L176),";")))</f>
        <v>;"NavNode_L3D_525587";"Osciloskopai";</v>
      </c>
      <c r="AF176" s="10" t="str">
        <f>IF(getCategoryLevelAsString($B176)="L0D_324785","",IF(M176="",CONCATENATE(";",EscStr(CONCATENATE("NavNode_",getCategoryLevelAsString($B176))),";",EscStr($J176),";"),CONCATENATE(";",EscStr(CONCATENATE("NavNode_",getCategoryLevelAsString($B176))),";",EscStr(M176),";")))</f>
        <v>;"NavNode_L3D_525587";"Oscilloskoper";</v>
      </c>
      <c r="AG176" s="10" t="str">
        <f>IF(getCategoryLevelAsString($B176)="L0D_324785","",IF(N176="",CONCATENATE(";",EscStr(CONCATENATE("NavNode_",getCategoryLevelAsString($B176))),";",EscStr($J176),";"),CONCATENATE(";",EscStr(CONCATENATE("NavNode_",getCategoryLevelAsString($B176))),";",EscStr(N176),";")))</f>
        <v>;"NavNode_L3D_525587";"Oscilloskop";</v>
      </c>
      <c r="AH176" s="10" t="str">
        <f>IF(getCategoryLevelAsString($B176)="L0D_324785","",IF(O176="",CONCATENATE(";",EscStr(CONCATENATE("NavNode_",getCategoryLevelAsString($B176))),";",EscStr($J176),";"),CONCATENATE(";",EscStr(CONCATENATE("NavNode_",getCategoryLevelAsString($B176))),";",EscStr(O176),";")))</f>
        <v>;"NavNode_L3D_525587";"Ostsilloskoobid";</v>
      </c>
      <c r="AI176" s="10" t="str">
        <f>IF(getCategoryLevelAsString($B176)="L0D_324785","",IF(P176="",CONCATENATE(";",EscStr(CONCATENATE("NavNode_",getCategoryLevelAsString($B176))),";",EscStr($J176),";"),CONCATENATE(";",EscStr(CONCATENATE("NavNode_",getCategoryLevelAsString($B176))),";",EscStr(P176),";")))</f>
        <v>;"NavNode_L3D_525587";"Oskilloskoopit";</v>
      </c>
      <c r="AJ176" s="10" t="str">
        <f>IF(getCategoryLevelAsString($B176)="L0D_324785","",IF(Q176="",CONCATENATE(";",EscStr(CONCATENATE("NavNode_",getCategoryLevelAsString($B176))),";",EscStr($J176),";"),CONCATENATE(";",EscStr(CONCATENATE("NavNode_",getCategoryLevelAsString($B176))),";",EscStr(Q176),";")))</f>
        <v>;"NavNode_L3D_525587";"Osciloskopi";</v>
      </c>
      <c r="AK176" s="10" t="str">
        <f>IF(getCategoryLevelAsString($B176)="L0D_324785","",IF(R176="",CONCATENATE(";",EscStr(CONCATENATE("NavNode_",getCategoryLevelAsString($B176))),";",EscStr($J176),";"),CONCATENATE(";",EscStr(CONCATENATE("NavNode_",getCategoryLevelAsString($B176))),";",EscStr(R176),";")))</f>
        <v>;"NavNode_L3D_525587";"Oscilloscopen";</v>
      </c>
      <c r="AL176" s="10" t="str">
        <f>IF(getCategoryLevelAsString($B176)="L0D_324785","",IF(S176="",CONCATENATE(";",EscStr(CONCATENATE("NavNode_",getCategoryLevelAsString($B176))),";",EscStr($J176),";"),CONCATENATE(";",EscStr(CONCATENATE("NavNode_",getCategoryLevelAsString($B176))),";",EscStr(S176),";")))</f>
        <v>;"NavNode_L3D_525587";"Oscyloskopy";</v>
      </c>
      <c r="AM176" s="10" t="str">
        <f>IF(getCategoryLevelAsString($B176)="L0D_324785","",IF(T176="",CONCATENATE(";",EscStr(CONCATENATE("NavNode_",getCategoryLevelAsString($B176))),";",EscStr($J176),";"),CONCATENATE(";",EscStr(CONCATENATE("NavNode_",getCategoryLevelAsString($B176))),";",EscStr(T176),";")))</f>
        <v>;"NavNode_L3D_525587";"Осциллографы";</v>
      </c>
      <c r="AN176" s="10" t="str">
        <f>IF(getCategoryLevelAsString($B176)="L0D_324785","",IF(U176="",CONCATENATE(";",EscStr(CONCATENATE("NavNode_",getCategoryLevelAsString($B176))),";",EscStr($J176),";"),CONCATENATE(";",EscStr(CONCATENATE("NavNode_",getCategoryLevelAsString($B176))),";",EscStr(U176),";")))</f>
        <v>;"NavNode_L3D_525587";"Osciloskopy";</v>
      </c>
      <c r="AO176" s="10" t="str">
        <f>IF(getCategoryLevelAsString($B176)="L0D_324785","",IF(V176="",CONCATENATE(";",EscStr(CONCATENATE("NavNode_",getCategoryLevelAsString($B176))),";",EscStr($J176),";"),CONCATENATE(";",EscStr(CONCATENATE("NavNode_",getCategoryLevelAsString($B176))),";",EscStr(V176),";")))</f>
        <v>;"NavNode_L3D_525587";"Osciloscoape";</v>
      </c>
      <c r="AP176" s="10" t="str">
        <f>IF(getCategoryLevelAsString($B176)="L0D_324785","",IF(W176="",CONCATENATE(";",EscStr(CONCATENATE("NavNode_",getCategoryLevelAsString($B176))),";",EscStr($J176),";"),CONCATENATE(";",EscStr(CONCATENATE("NavNode_",getCategoryLevelAsString($B176))),";",EscStr(W176),";")))</f>
        <v>;"NavNode_L3D_525587";"Oszcilloszkóp";</v>
      </c>
      <c r="AQ176" s="10" t="str">
        <f>IF(getCategoryLevelAsString($B176)="L0D_324785","",IF(X176="",CONCATENATE(";",EscStr(CONCATENATE("NavNode_",getCategoryLevelAsString($B176))),";",EscStr($J176),";"),CONCATENATE(";",EscStr(CONCATENATE("NavNode_",getCategoryLevelAsString($B176))),";",EscStr(X176),";")))</f>
        <v>;"NavNode_L3D_525587";"Osciloskopy";</v>
      </c>
      <c r="AR176" s="8" t="str">
        <f>IF(OR($A176&lt;&gt;"", $G176=""),"",CONCATENATE(";",EscStr(CONCATENATE("NavEntry_",getCategoryLevelAsString($B176))),";",EscStr(CONCATENATE($J176," Navigation Entry")),";",EscStr(CONCATENATE("cat-",getCategoryLevelAsString($B176))),";",EscStr(CONCATENATE("NavNode_",getCategoryLevelAsString($B176))),";"))</f>
        <v>;"NavEntry_L3D_525587";"Oscilloscopes Navigation Entry";"cat-L3D_525587";"NavNode_L3D_525587";</v>
      </c>
    </row>
    <row r="177" spans="1:44" ht="15" x14ac:dyDescent="0.25">
      <c r="A177" s="25"/>
      <c r="B177" s="5"/>
      <c r="C177" s="5"/>
      <c r="D177" s="5" t="s">
        <v>829</v>
      </c>
      <c r="E177" s="5"/>
      <c r="F177" s="5"/>
      <c r="G177" s="5" t="s">
        <v>1189</v>
      </c>
      <c r="H177" s="5" t="s">
        <v>1118</v>
      </c>
      <c r="I177" s="5" t="s">
        <v>1178</v>
      </c>
      <c r="J177" s="5" t="s">
        <v>935</v>
      </c>
      <c r="K177" s="5" t="s">
        <v>1291</v>
      </c>
      <c r="L177" s="5" t="s">
        <v>1525</v>
      </c>
      <c r="M177" s="5" t="s">
        <v>1748</v>
      </c>
      <c r="N177" s="5" t="s">
        <v>1956</v>
      </c>
      <c r="O177" s="5" t="s">
        <v>3249</v>
      </c>
      <c r="P177" s="5" t="s">
        <v>3250</v>
      </c>
      <c r="Q177" s="5" t="s">
        <v>3251</v>
      </c>
      <c r="R177" s="5" t="s">
        <v>935</v>
      </c>
      <c r="S177" s="5" t="s">
        <v>3252</v>
      </c>
      <c r="T177" s="5" t="s">
        <v>3253</v>
      </c>
      <c r="U177" s="5" t="s">
        <v>3254</v>
      </c>
      <c r="V177" s="5" t="s">
        <v>3255</v>
      </c>
      <c r="W177" s="5" t="s">
        <v>3256</v>
      </c>
      <c r="X177" s="5" t="s">
        <v>3254</v>
      </c>
      <c r="Y177" s="10" t="str">
        <f>IF(OR($A177&lt;&gt;"", $G177=""),"",CONCATENATE(";",EscStr(CONCATENATE("NavNode_",getCategoryLevelAsString($B177))),";",EscStr($J177),";",IF($B177&lt;&gt;"","""MainNavNode""",EscStr(CONCATENATE("NavNode_",getSuperCategory($B177, getCategoryLevelAsNumber($B177))))),";"))</f>
        <v>;"NavNode_L3D_525588";"Spectrum &amp; Logic Analysers";"NavNode_L2D_527482";</v>
      </c>
      <c r="Z177" s="10" t="str">
        <f>IF(getCategoryLevelAsString($B177)="L0D_324785","",IF(G177="",CONCATENATE(";",EscStr(CONCATENATE("NavNode_",getCategoryLevelAsString($B177))),";",EscStr($J177),";"),CONCATENATE(";",EscStr(CONCATENATE("NavNode_",getCategoryLevelAsString($B177))),";",EscStr(G177),";")))</f>
        <v>;"NavNode_L3D_525588";"Spektrum-Analyser";</v>
      </c>
      <c r="AA177" s="10" t="str">
        <f>IF(getCategoryLevelAsString($B177)="L0D_324785","",IF(H177="",CONCATENATE(";",EscStr(CONCATENATE("NavNode_",getCategoryLevelAsString($B177))),";",EscStr($J177),";"),CONCATENATE(";",EscStr(CONCATENATE("NavNode_",getCategoryLevelAsString($B177))),";",EscStr(H177),";")))</f>
        <v>;"NavNode_L3D_525588";"Analyseurs de spectre et de logique";</v>
      </c>
      <c r="AB177" s="10" t="str">
        <f>IF(getCategoryLevelAsString($B177)="L0D_324785","",IF(I177="",CONCATENATE(";",EscStr(CONCATENATE("NavNode_",getCategoryLevelAsString($B177))),";",EscStr($J177),";"),CONCATENATE(";",EscStr(CONCATENATE("NavNode_",getCategoryLevelAsString($B177))),";",EscStr(I177),";")))</f>
        <v>;"NavNode_L3D_525588";"Analizzatori di spettro e logici";</v>
      </c>
      <c r="AC177" s="10" t="str">
        <f>IF(getCategoryLevelAsString($B177)="L0D_324785","",IF(J177="",CONCATENATE(";",EscStr(CONCATENATE("NavNode_",getCategoryLevelAsString($B177))),";",EscStr($J177),";"),CONCATENATE(";",EscStr(CONCATENATE("NavNode_",getCategoryLevelAsString($B177))),";",EscStr(J177),";")))</f>
        <v>;"NavNode_L3D_525588";"Spectrum &amp; Logic Analysers";</v>
      </c>
      <c r="AD177" s="10" t="str">
        <f>IF(getCategoryLevelAsString($B177)="L0D_324785","",IF(K177="",CONCATENATE(";",EscStr(CONCATENATE("NavNode_",getCategoryLevelAsString($B177))),";",EscStr($J177),";"),CONCATENATE(";",EscStr(CONCATENATE("NavNode_",getCategoryLevelAsString($B177))),";",EscStr(K177),";")))</f>
        <v>;"NavNode_L3D_525588";"Spektrumanalyseenheder &amp; logiske analyseenheder";</v>
      </c>
      <c r="AE177" s="10" t="str">
        <f>IF(getCategoryLevelAsString($B177)="L0D_324785","",IF(L177="",CONCATENATE(";",EscStr(CONCATENATE("NavNode_",getCategoryLevelAsString($B177))),";",EscStr($J177),";"),CONCATENATE(";",EscStr(CONCATENATE("NavNode_",getCategoryLevelAsString($B177))),";",EscStr(L177),";")))</f>
        <v>;"NavNode_L3D_525588";"Spektro ir loginiai analizatoriai";</v>
      </c>
      <c r="AF177" s="10" t="str">
        <f>IF(getCategoryLevelAsString($B177)="L0D_324785","",IF(M177="",CONCATENATE(";",EscStr(CONCATENATE("NavNode_",getCategoryLevelAsString($B177))),";",EscStr($J177),";"),CONCATENATE(";",EscStr(CONCATENATE("NavNode_",getCategoryLevelAsString($B177))),";",EscStr(M177),";")))</f>
        <v>;"NavNode_L3D_525588";"Spektral- og logikkanalysatorer";</v>
      </c>
      <c r="AG177" s="10" t="str">
        <f>IF(getCategoryLevelAsString($B177)="L0D_324785","",IF(N177="",CONCATENATE(";",EscStr(CONCATENATE("NavNode_",getCategoryLevelAsString($B177))),";",EscStr($J177),";"),CONCATENATE(";",EscStr(CONCATENATE("NavNode_",getCategoryLevelAsString($B177))),";",EscStr(N177),";")))</f>
        <v>;"NavNode_L3D_525588";"Spektrum- och logikanalysatorer";</v>
      </c>
      <c r="AH177" s="10" t="str">
        <f>IF(getCategoryLevelAsString($B177)="L0D_324785","",IF(O177="",CONCATENATE(";",EscStr(CONCATENATE("NavNode_",getCategoryLevelAsString($B177))),";",EscStr($J177),";"),CONCATENATE(";",EscStr(CONCATENATE("NavNode_",getCategoryLevelAsString($B177))),";",EscStr(O177),";")))</f>
        <v>;"NavNode_L3D_525588";"Spektri ja loogika analüsaatorid";</v>
      </c>
      <c r="AI177" s="10" t="str">
        <f>IF(getCategoryLevelAsString($B177)="L0D_324785","",IF(P177="",CONCATENATE(";",EscStr(CONCATENATE("NavNode_",getCategoryLevelAsString($B177))),";",EscStr($J177),";"),CONCATENATE(";",EscStr(CONCATENATE("NavNode_",getCategoryLevelAsString($B177))),";",EscStr(P177),";")))</f>
        <v>;"NavNode_L3D_525588";"Spektri ja Logiikkaanalysaattorit";</v>
      </c>
      <c r="AJ177" s="10" t="str">
        <f>IF(getCategoryLevelAsString($B177)="L0D_324785","",IF(Q177="",CONCATENATE(";",EscStr(CONCATENATE("NavNode_",getCategoryLevelAsString($B177))),";",EscStr($J177),";"),CONCATENATE(";",EscStr(CONCATENATE("NavNode_",getCategoryLevelAsString($B177))),";",EscStr(Q177),";")))</f>
        <v>;"NavNode_L3D_525588";"Spektra un loģikas analizatori";</v>
      </c>
      <c r="AK177" s="10" t="str">
        <f>IF(getCategoryLevelAsString($B177)="L0D_324785","",IF(R177="",CONCATENATE(";",EscStr(CONCATENATE("NavNode_",getCategoryLevelAsString($B177))),";",EscStr($J177),";"),CONCATENATE(";",EscStr(CONCATENATE("NavNode_",getCategoryLevelAsString($B177))),";",EscStr(R177),";")))</f>
        <v>;"NavNode_L3D_525588";"Spectrum &amp; Logic Analysers";</v>
      </c>
      <c r="AL177" s="10" t="str">
        <f>IF(getCategoryLevelAsString($B177)="L0D_324785","",IF(S177="",CONCATENATE(";",EscStr(CONCATENATE("NavNode_",getCategoryLevelAsString($B177))),";",EscStr($J177),";"),CONCATENATE(";",EscStr(CONCATENATE("NavNode_",getCategoryLevelAsString($B177))),";",EscStr(S177),";")))</f>
        <v>;"NavNode_L3D_525588";"Analizatory widma i logiczne";</v>
      </c>
      <c r="AM177" s="10" t="str">
        <f>IF(getCategoryLevelAsString($B177)="L0D_324785","",IF(T177="",CONCATENATE(";",EscStr(CONCATENATE("NavNode_",getCategoryLevelAsString($B177))),";",EscStr($J177),";"),CONCATENATE(";",EscStr(CONCATENATE("NavNode_",getCategoryLevelAsString($B177))),";",EscStr(T177),";")))</f>
        <v>;"NavNode_L3D_525588";"Спектральные и логические анализаторы";</v>
      </c>
      <c r="AN177" s="10" t="str">
        <f>IF(getCategoryLevelAsString($B177)="L0D_324785","",IF(U177="",CONCATENATE(";",EscStr(CONCATENATE("NavNode_",getCategoryLevelAsString($B177))),";",EscStr($J177),";"),CONCATENATE(";",EscStr(CONCATENATE("NavNode_",getCategoryLevelAsString($B177))),";",EscStr(U177),";")))</f>
        <v>;"NavNode_L3D_525588";"Spektrální analyzátor";</v>
      </c>
      <c r="AO177" s="10" t="str">
        <f>IF(getCategoryLevelAsString($B177)="L0D_324785","",IF(V177="",CONCATENATE(";",EscStr(CONCATENATE("NavNode_",getCategoryLevelAsString($B177))),";",EscStr($J177),";"),CONCATENATE(";",EscStr(CONCATENATE("NavNode_",getCategoryLevelAsString($B177))),";",EscStr(V177),";")))</f>
        <v>;"NavNode_L3D_525588";"Analizor de spectru";</v>
      </c>
      <c r="AP177" s="10" t="str">
        <f>IF(getCategoryLevelAsString($B177)="L0D_324785","",IF(W177="",CONCATENATE(";",EscStr(CONCATENATE("NavNode_",getCategoryLevelAsString($B177))),";",EscStr($J177),";"),CONCATENATE(";",EscStr(CONCATENATE("NavNode_",getCategoryLevelAsString($B177))),";",EscStr(W177),";")))</f>
        <v>;"NavNode_L3D_525588";"Spektrum-analizátor";</v>
      </c>
      <c r="AQ177" s="10" t="str">
        <f>IF(getCategoryLevelAsString($B177)="L0D_324785","",IF(X177="",CONCATENATE(";",EscStr(CONCATENATE("NavNode_",getCategoryLevelAsString($B177))),";",EscStr($J177),";"),CONCATENATE(";",EscStr(CONCATENATE("NavNode_",getCategoryLevelAsString($B177))),";",EscStr(X177),";")))</f>
        <v>;"NavNode_L3D_525588";"Spektrální analyzátor";</v>
      </c>
      <c r="AR177" s="8" t="str">
        <f>IF(OR($A177&lt;&gt;"", $G177=""),"",CONCATENATE(";",EscStr(CONCATENATE("NavEntry_",getCategoryLevelAsString($B177))),";",EscStr(CONCATENATE($J177," Navigation Entry")),";",EscStr(CONCATENATE("cat-",getCategoryLevelAsString($B177))),";",EscStr(CONCATENATE("NavNode_",getCategoryLevelAsString($B177))),";"))</f>
        <v>;"NavEntry_L3D_525588";"Spectrum &amp; Logic Analysers Navigation Entry";"cat-L3D_525588";"NavNode_L3D_525588";</v>
      </c>
    </row>
    <row r="178" spans="1:44" ht="15" x14ac:dyDescent="0.25">
      <c r="A178" s="25"/>
      <c r="B178" s="5"/>
      <c r="C178" s="5"/>
      <c r="D178" s="5" t="s">
        <v>830</v>
      </c>
      <c r="E178" s="5"/>
      <c r="F178" s="5"/>
      <c r="G178" s="5" t="s">
        <v>1190</v>
      </c>
      <c r="H178" s="5" t="s">
        <v>1119</v>
      </c>
      <c r="I178" s="5" t="s">
        <v>1179</v>
      </c>
      <c r="J178" s="5" t="s">
        <v>936</v>
      </c>
      <c r="K178" s="5" t="s">
        <v>1292</v>
      </c>
      <c r="L178" s="5" t="s">
        <v>1526</v>
      </c>
      <c r="M178" s="5" t="s">
        <v>1749</v>
      </c>
      <c r="N178" s="5" t="s">
        <v>1957</v>
      </c>
      <c r="O178" s="5" t="s">
        <v>3257</v>
      </c>
      <c r="P178" s="5" t="s">
        <v>3258</v>
      </c>
      <c r="Q178" s="5" t="s">
        <v>3259</v>
      </c>
      <c r="R178" s="5" t="s">
        <v>3260</v>
      </c>
      <c r="S178" s="5" t="s">
        <v>3261</v>
      </c>
      <c r="T178" s="5" t="s">
        <v>3262</v>
      </c>
      <c r="U178" s="5" t="s">
        <v>3263</v>
      </c>
      <c r="V178" s="5" t="s">
        <v>3264</v>
      </c>
      <c r="W178" s="5" t="s">
        <v>3265</v>
      </c>
      <c r="X178" s="5" t="s">
        <v>3263</v>
      </c>
      <c r="Y178" s="10" t="str">
        <f>IF(OR($A178&lt;&gt;"", $G178=""),"",CONCATENATE(";",EscStr(CONCATENATE("NavNode_",getCategoryLevelAsString($B178))),";",EscStr($J178),";",IF($B178&lt;&gt;"","""MainNavNode""",EscStr(CONCATENATE("NavNode_",getSuperCategory($B178, getCategoryLevelAsNumber($B178))))),";"))</f>
        <v>;"NavNode_L2D_527997";"Function Generators &amp; Frequency Counters";"NavNode_Test &amp; Measurement";</v>
      </c>
      <c r="Z178" s="10" t="str">
        <f>IF(getCategoryLevelAsString($B178)="L0D_324785","",IF(G178="",CONCATENATE(";",EscStr(CONCATENATE("NavNode_",getCategoryLevelAsString($B178))),";",EscStr($J178),";"),CONCATENATE(";",EscStr(CONCATENATE("NavNode_",getCategoryLevelAsString($B178))),";",EscStr(G178),";")))</f>
        <v>;"NavNode_L2D_527997";"Funktionsgeneratoren und Frequenzzähler";</v>
      </c>
      <c r="AA178" s="10" t="str">
        <f>IF(getCategoryLevelAsString($B178)="L0D_324785","",IF(H178="",CONCATENATE(";",EscStr(CONCATENATE("NavNode_",getCategoryLevelAsString($B178))),";",EscStr($J178),";"),CONCATENATE(";",EscStr(CONCATENATE("NavNode_",getCategoryLevelAsString($B178))),";",EscStr(H178),";")))</f>
        <v>;"NavNode_L2D_527997";"Générateurs de fonction et fréquencemètres";</v>
      </c>
      <c r="AB178" s="10" t="str">
        <f>IF(getCategoryLevelAsString($B178)="L0D_324785","",IF(I178="",CONCATENATE(";",EscStr(CONCATENATE("NavNode_",getCategoryLevelAsString($B178))),";",EscStr($J178),";"),CONCATENATE(";",EscStr(CONCATENATE("NavNode_",getCategoryLevelAsString($B178))),";",EscStr(I178),";")))</f>
        <v>;"NavNode_L2D_527997";"Generatori di funzioni e frequenzimetri";</v>
      </c>
      <c r="AC178" s="10" t="str">
        <f>IF(getCategoryLevelAsString($B178)="L0D_324785","",IF(J178="",CONCATENATE(";",EscStr(CONCATENATE("NavNode_",getCategoryLevelAsString($B178))),";",EscStr($J178),";"),CONCATENATE(";",EscStr(CONCATENATE("NavNode_",getCategoryLevelAsString($B178))),";",EscStr(J178),";")))</f>
        <v>;"NavNode_L2D_527997";"Function Generators &amp; Frequency Counters";</v>
      </c>
      <c r="AD178" s="10" t="str">
        <f>IF(getCategoryLevelAsString($B178)="L0D_324785","",IF(K178="",CONCATENATE(";",EscStr(CONCATENATE("NavNode_",getCategoryLevelAsString($B178))),";",EscStr($J178),";"),CONCATENATE(";",EscStr(CONCATENATE("NavNode_",getCategoryLevelAsString($B178))),";",EscStr(K178),";")))</f>
        <v>;"NavNode_L2D_527997";"Funktionsgeneratorer &amp; frekvenstællere";</v>
      </c>
      <c r="AE178" s="10" t="str">
        <f>IF(getCategoryLevelAsString($B178)="L0D_324785","",IF(L178="",CONCATENATE(";",EscStr(CONCATENATE("NavNode_",getCategoryLevelAsString($B178))),";",EscStr($J178),";"),CONCATENATE(";",EscStr(CONCATENATE("NavNode_",getCategoryLevelAsString($B178))),";",EscStr(L178),";")))</f>
        <v>;"NavNode_L2D_527997";"Funkciniai generatoriai ir dažnio skaitikliai";</v>
      </c>
      <c r="AF178" s="10" t="str">
        <f>IF(getCategoryLevelAsString($B178)="L0D_324785","",IF(M178="",CONCATENATE(";",EscStr(CONCATENATE("NavNode_",getCategoryLevelAsString($B178))),";",EscStr($J178),";"),CONCATENATE(";",EscStr(CONCATENATE("NavNode_",getCategoryLevelAsString($B178))),";",EscStr(M178),";")))</f>
        <v>;"NavNode_L2D_527997";"Funksjonsgeneratorer og frekvenstellere";</v>
      </c>
      <c r="AG178" s="10" t="str">
        <f>IF(getCategoryLevelAsString($B178)="L0D_324785","",IF(N178="",CONCATENATE(";",EscStr(CONCATENATE("NavNode_",getCategoryLevelAsString($B178))),";",EscStr($J178),";"),CONCATENATE(";",EscStr(CONCATENATE("NavNode_",getCategoryLevelAsString($B178))),";",EscStr(N178),";")))</f>
        <v>;"NavNode_L2D_527997";"Funktionsgeneratorer och frekvensräknare";</v>
      </c>
      <c r="AH178" s="10" t="str">
        <f>IF(getCategoryLevelAsString($B178)="L0D_324785","",IF(O178="",CONCATENATE(";",EscStr(CONCATENATE("NavNode_",getCategoryLevelAsString($B178))),";",EscStr($J178),";"),CONCATENATE(";",EscStr(CONCATENATE("NavNode_",getCategoryLevelAsString($B178))),";",EscStr(O178),";")))</f>
        <v>;"NavNode_L2D_527997";"Funktsiooni generaatorid ja sagedusmõõtjad";</v>
      </c>
      <c r="AI178" s="10" t="str">
        <f>IF(getCategoryLevelAsString($B178)="L0D_324785","",IF(P178="",CONCATENATE(";",EscStr(CONCATENATE("NavNode_",getCategoryLevelAsString($B178))),";",EscStr($J178),";"),CONCATENATE(";",EscStr(CONCATENATE("NavNode_",getCategoryLevelAsString($B178))),";",EscStr(P178),";")))</f>
        <v>;"NavNode_L2D_527997";"Funktiogeneraattorit ja taajuuslaskimet";</v>
      </c>
      <c r="AJ178" s="10" t="str">
        <f>IF(getCategoryLevelAsString($B178)="L0D_324785","",IF(Q178="",CONCATENATE(";",EscStr(CONCATENATE("NavNode_",getCategoryLevelAsString($B178))),";",EscStr($J178),";"),CONCATENATE(";",EscStr(CONCATENATE("NavNode_",getCategoryLevelAsString($B178))),";",EscStr(Q178),";")))</f>
        <v>;"NavNode_L2D_527997";"Funkciju ģeneratori un frekvenču skaitītāji";</v>
      </c>
      <c r="AK178" s="10" t="str">
        <f>IF(getCategoryLevelAsString($B178)="L0D_324785","",IF(R178="",CONCATENATE(";",EscStr(CONCATENATE("NavNode_",getCategoryLevelAsString($B178))),";",EscStr($J178),";"),CONCATENATE(";",EscStr(CONCATENATE("NavNode_",getCategoryLevelAsString($B178))),";",EscStr(R178),";")))</f>
        <v>;"NavNode_L2D_527997";"Function Generatoren en frequentietellers";</v>
      </c>
      <c r="AL178" s="10" t="str">
        <f>IF(getCategoryLevelAsString($B178)="L0D_324785","",IF(S178="",CONCATENATE(";",EscStr(CONCATENATE("NavNode_",getCategoryLevelAsString($B178))),";",EscStr($J178),";"),CONCATENATE(";",EscStr(CONCATENATE("NavNode_",getCategoryLevelAsString($B178))),";",EscStr(S178),";")))</f>
        <v>;"NavNode_L2D_527997";"Generatory funkcji i Liczniki częstotliwości";</v>
      </c>
      <c r="AM178" s="10" t="str">
        <f>IF(getCategoryLevelAsString($B178)="L0D_324785","",IF(T178="",CONCATENATE(";",EscStr(CONCATENATE("NavNode_",getCategoryLevelAsString($B178))),";",EscStr($J178),";"),CONCATENATE(";",EscStr(CONCATENATE("NavNode_",getCategoryLevelAsString($B178))),";",EscStr(T178),";")))</f>
        <v>;"NavNode_L2D_527997";"Генераторы функций и Частотомеры";</v>
      </c>
      <c r="AN178" s="10" t="str">
        <f>IF(getCategoryLevelAsString($B178)="L0D_324785","",IF(U178="",CONCATENATE(";",EscStr(CONCATENATE("NavNode_",getCategoryLevelAsString($B178))),";",EscStr($J178),";"),CONCATENATE(";",EscStr(CONCATENATE("NavNode_",getCategoryLevelAsString($B178))),";",EscStr(U178),";")))</f>
        <v>;"NavNode_L2D_527997";"Generátory funkci a frekvenční čítače";</v>
      </c>
      <c r="AO178" s="10" t="str">
        <f>IF(getCategoryLevelAsString($B178)="L0D_324785","",IF(V178="",CONCATENATE(";",EscStr(CONCATENATE("NavNode_",getCategoryLevelAsString($B178))),";",EscStr($J178),";"),CONCATENATE(";",EscStr(CONCATENATE("NavNode_",getCategoryLevelAsString($B178))),";",EscStr(V178),";")))</f>
        <v>;"NavNode_L2D_527997";"Generatoare de funcţii şi contor de frecvenţa";</v>
      </c>
      <c r="AP178" s="10" t="str">
        <f>IF(getCategoryLevelAsString($B178)="L0D_324785","",IF(W178="",CONCATENATE(";",EscStr(CONCATENATE("NavNode_",getCategoryLevelAsString($B178))),";",EscStr($J178),";"),CONCATENATE(";",EscStr(CONCATENATE("NavNode_",getCategoryLevelAsString($B178))),";",EscStr(W178),";")))</f>
        <v>;"NavNode_L2D_527997";"Funkciógenerátorok és frekvenciaszámlálók";</v>
      </c>
      <c r="AQ178" s="10" t="str">
        <f>IF(getCategoryLevelAsString($B178)="L0D_324785","",IF(X178="",CONCATENATE(";",EscStr(CONCATENATE("NavNode_",getCategoryLevelAsString($B178))),";",EscStr($J178),";"),CONCATENATE(";",EscStr(CONCATENATE("NavNode_",getCategoryLevelAsString($B178))),";",EscStr(X178),";")))</f>
        <v>;"NavNode_L2D_527997";"Generátory funkci a frekvenční čítače";</v>
      </c>
      <c r="AR178" s="8" t="str">
        <f>IF(OR($A178&lt;&gt;"", $G178=""),"",CONCATENATE(";",EscStr(CONCATENATE("NavEntry_",getCategoryLevelAsString($B178))),";",EscStr(CONCATENATE($J178," Navigation Entry")),";",EscStr(CONCATENATE("cat-",getCategoryLevelAsString($B178))),";",EscStr(CONCATENATE("NavNode_",getCategoryLevelAsString($B178))),";"))</f>
        <v>;"NavEntry_L2D_527997";"Function Generators &amp; Frequency Counters Navigation Entry";"cat-L2D_527997";"NavNode_L2D_527997";</v>
      </c>
    </row>
    <row r="179" spans="1:44" ht="15" x14ac:dyDescent="0.25">
      <c r="A179" s="25"/>
      <c r="B179" s="5"/>
      <c r="C179" s="5" t="s">
        <v>831</v>
      </c>
      <c r="D179" s="5"/>
      <c r="E179" s="5"/>
      <c r="F179" s="5"/>
      <c r="G179" s="5" t="s">
        <v>1064</v>
      </c>
      <c r="H179" s="5" t="s">
        <v>1120</v>
      </c>
      <c r="I179" s="5" t="s">
        <v>1180</v>
      </c>
      <c r="J179" s="5" t="s">
        <v>263</v>
      </c>
      <c r="K179" s="5" t="s">
        <v>1293</v>
      </c>
      <c r="L179" s="5" t="s">
        <v>1527</v>
      </c>
      <c r="M179" s="5" t="s">
        <v>1750</v>
      </c>
      <c r="N179" s="5" t="s">
        <v>1958</v>
      </c>
      <c r="O179" s="5" t="s">
        <v>3266</v>
      </c>
      <c r="P179" s="5" t="s">
        <v>3267</v>
      </c>
      <c r="Q179" s="5" t="s">
        <v>3268</v>
      </c>
      <c r="R179" s="5" t="s">
        <v>3269</v>
      </c>
      <c r="S179" s="5" t="s">
        <v>3270</v>
      </c>
      <c r="T179" s="5" t="s">
        <v>3271</v>
      </c>
      <c r="U179" s="5" t="s">
        <v>3272</v>
      </c>
      <c r="V179" s="5" t="s">
        <v>3273</v>
      </c>
      <c r="W179" s="5" t="s">
        <v>3274</v>
      </c>
      <c r="X179" s="5" t="s">
        <v>3272</v>
      </c>
      <c r="Y179" s="10" t="str">
        <f>IF(OR($A179&lt;&gt;"", $G179=""),"",CONCATENATE(";",EscStr(CONCATENATE("NavNode_",getCategoryLevelAsString($B179))),";",EscStr($J179),";",IF($B179&lt;&gt;"","""MainNavNode""",EscStr(CONCATENATE("NavNode_",getSuperCategory($B179, getCategoryLevelAsNumber($B179))))),";"))</f>
        <v>;"NavNode_L3D_532322";"Panel Meters";"NavNode_L2D_527997";</v>
      </c>
      <c r="Z179" s="10" t="str">
        <f>IF(getCategoryLevelAsString($B179)="L0D_324785","",IF(G179="",CONCATENATE(";",EscStr(CONCATENATE("NavNode_",getCategoryLevelAsString($B179))),";",EscStr($J179),";"),CONCATENATE(";",EscStr(CONCATENATE("NavNode_",getCategoryLevelAsString($B179))),";",EscStr(G179),";")))</f>
        <v>;"NavNode_L3D_532322";"Einbaumessgeräte";</v>
      </c>
      <c r="AA179" s="10" t="str">
        <f>IF(getCategoryLevelAsString($B179)="L0D_324785","",IF(H179="",CONCATENATE(";",EscStr(CONCATENATE("NavNode_",getCategoryLevelAsString($B179))),";",EscStr($J179),";"),CONCATENATE(";",EscStr(CONCATENATE("NavNode_",getCategoryLevelAsString($B179))),";",EscStr(H179),";")))</f>
        <v>;"NavNode_L3D_532322";"Appareils de mesure encastrables";</v>
      </c>
      <c r="AB179" s="10" t="str">
        <f>IF(getCategoryLevelAsString($B179)="L0D_324785","",IF(I179="",CONCATENATE(";",EscStr(CONCATENATE("NavNode_",getCategoryLevelAsString($B179))),";",EscStr($J179),";"),CONCATENATE(";",EscStr(CONCATENATE("NavNode_",getCategoryLevelAsString($B179))),";",EscStr(I179),";")))</f>
        <v>;"NavNode_L3D_532322";"Strumenti da incasso";</v>
      </c>
      <c r="AC179" s="10" t="str">
        <f>IF(getCategoryLevelAsString($B179)="L0D_324785","",IF(J179="",CONCATENATE(";",EscStr(CONCATENATE("NavNode_",getCategoryLevelAsString($B179))),";",EscStr($J179),";"),CONCATENATE(";",EscStr(CONCATENATE("NavNode_",getCategoryLevelAsString($B179))),";",EscStr(J179),";")))</f>
        <v>;"NavNode_L3D_532322";"Panel Meters";</v>
      </c>
      <c r="AD179" s="10" t="str">
        <f>IF(getCategoryLevelAsString($B179)="L0D_324785","",IF(K179="",CONCATENATE(";",EscStr(CONCATENATE("NavNode_",getCategoryLevelAsString($B179))),";",EscStr($J179),";"),CONCATENATE(";",EscStr(CONCATENATE("NavNode_",getCategoryLevelAsString($B179))),";",EscStr(K179),";")))</f>
        <v>;"NavNode_L3D_532322";"Visningsenheder";</v>
      </c>
      <c r="AE179" s="10" t="str">
        <f>IF(getCategoryLevelAsString($B179)="L0D_324785","",IF(L179="",CONCATENATE(";",EscStr(CONCATENATE("NavNode_",getCategoryLevelAsString($B179))),";",EscStr($J179),";"),CONCATENATE(";",EscStr(CONCATENATE("NavNode_",getCategoryLevelAsString($B179))),";",EscStr(L179),";")))</f>
        <v>;"NavNode_L3D_532322";"Skydelių matuokliai";</v>
      </c>
      <c r="AF179" s="10" t="str">
        <f>IF(getCategoryLevelAsString($B179)="L0D_324785","",IF(M179="",CONCATENATE(";",EscStr(CONCATENATE("NavNode_",getCategoryLevelAsString($B179))),";",EscStr($J179),";"),CONCATENATE(";",EscStr(CONCATENATE("NavNode_",getCategoryLevelAsString($B179))),";",EscStr(M179),";")))</f>
        <v>;"NavNode_L3D_532322";"Panelinstrumenter";</v>
      </c>
      <c r="AG179" s="10" t="str">
        <f>IF(getCategoryLevelAsString($B179)="L0D_324785","",IF(N179="",CONCATENATE(";",EscStr(CONCATENATE("NavNode_",getCategoryLevelAsString($B179))),";",EscStr($J179),";"),CONCATENATE(";",EscStr(CONCATENATE("NavNode_",getCategoryLevelAsString($B179))),";",EscStr(N179),";")))</f>
        <v>;"NavNode_L3D_532322";"Panelmätare";</v>
      </c>
      <c r="AH179" s="10" t="str">
        <f>IF(getCategoryLevelAsString($B179)="L0D_324785","",IF(O179="",CONCATENATE(";",EscStr(CONCATENATE("NavNode_",getCategoryLevelAsString($B179))),";",EscStr($J179),";"),CONCATENATE(";",EscStr(CONCATENATE("NavNode_",getCategoryLevelAsString($B179))),";",EscStr(O179),";")))</f>
        <v>;"NavNode_L3D_532322";"Paneelmeetrid";</v>
      </c>
      <c r="AI179" s="10" t="str">
        <f>IF(getCategoryLevelAsString($B179)="L0D_324785","",IF(P179="",CONCATENATE(";",EscStr(CONCATENATE("NavNode_",getCategoryLevelAsString($B179))),";",EscStr($J179),";"),CONCATENATE(";",EscStr(CONCATENATE("NavNode_",getCategoryLevelAsString($B179))),";",EscStr(P179),";")))</f>
        <v>;"NavNode_L3D_532322";"Paneelimittarit";</v>
      </c>
      <c r="AJ179" s="10" t="str">
        <f>IF(getCategoryLevelAsString($B179)="L0D_324785","",IF(Q179="",CONCATENATE(";",EscStr(CONCATENATE("NavNode_",getCategoryLevelAsString($B179))),";",EscStr($J179),";"),CONCATENATE(";",EscStr(CONCATENATE("NavNode_",getCategoryLevelAsString($B179))),";",EscStr(Q179),";")))</f>
        <v>;"NavNode_L3D_532322";"Panelmetri";</v>
      </c>
      <c r="AK179" s="10" t="str">
        <f>IF(getCategoryLevelAsString($B179)="L0D_324785","",IF(R179="",CONCATENATE(";",EscStr(CONCATENATE("NavNode_",getCategoryLevelAsString($B179))),";",EscStr($J179),";"),CONCATENATE(";",EscStr(CONCATENATE("NavNode_",getCategoryLevelAsString($B179))),";",EscStr(R179),";")))</f>
        <v>;"NavNode_L3D_532322";"Paneelmeters";</v>
      </c>
      <c r="AL179" s="10" t="str">
        <f>IF(getCategoryLevelAsString($B179)="L0D_324785","",IF(S179="",CONCATENATE(";",EscStr(CONCATENATE("NavNode_",getCategoryLevelAsString($B179))),";",EscStr($J179),";"),CONCATENATE(";",EscStr(CONCATENATE("NavNode_",getCategoryLevelAsString($B179))),";",EscStr(S179),";")))</f>
        <v>;"NavNode_L3D_532322";"Mierniki tablicowe";</v>
      </c>
      <c r="AM179" s="10" t="str">
        <f>IF(getCategoryLevelAsString($B179)="L0D_324785","",IF(T179="",CONCATENATE(";",EscStr(CONCATENATE("NavNode_",getCategoryLevelAsString($B179))),";",EscStr($J179),";"),CONCATENATE(";",EscStr(CONCATENATE("NavNode_",getCategoryLevelAsString($B179))),";",EscStr(T179),";")))</f>
        <v>;"NavNode_L3D_532322";"Панельные измерители";</v>
      </c>
      <c r="AN179" s="10" t="str">
        <f>IF(getCategoryLevelAsString($B179)="L0D_324785","",IF(U179="",CONCATENATE(";",EscStr(CONCATENATE("NavNode_",getCategoryLevelAsString($B179))),";",EscStr($J179),";"),CONCATENATE(";",EscStr(CONCATENATE("NavNode_",getCategoryLevelAsString($B179))),";",EscStr(U179),";")))</f>
        <v>;"NavNode_L3D_532322";"Panelové přístroje";</v>
      </c>
      <c r="AO179" s="10" t="str">
        <f>IF(getCategoryLevelAsString($B179)="L0D_324785","",IF(V179="",CONCATENATE(";",EscStr(CONCATENATE("NavNode_",getCategoryLevelAsString($B179))),";",EscStr($J179),";"),CONCATENATE(";",EscStr(CONCATENATE("NavNode_",getCategoryLevelAsString($B179))),";",EscStr(V179),";")))</f>
        <v>;"NavNode_L3D_532322";"Aparate de măsură pentru panouri de comandă";</v>
      </c>
      <c r="AP179" s="10" t="str">
        <f>IF(getCategoryLevelAsString($B179)="L0D_324785","",IF(W179="",CONCATENATE(";",EscStr(CONCATENATE("NavNode_",getCategoryLevelAsString($B179))),";",EscStr($J179),";"),CONCATENATE(";",EscStr(CONCATENATE("NavNode_",getCategoryLevelAsString($B179))),";",EscStr(W179),";")))</f>
        <v>;"NavNode_L3D_532322";"Beépíthető műszer";</v>
      </c>
      <c r="AQ179" s="10" t="str">
        <f>IF(getCategoryLevelAsString($B179)="L0D_324785","",IF(X179="",CONCATENATE(";",EscStr(CONCATENATE("NavNode_",getCategoryLevelAsString($B179))),";",EscStr($J179),";"),CONCATENATE(";",EscStr(CONCATENATE("NavNode_",getCategoryLevelAsString($B179))),";",EscStr(X179),";")))</f>
        <v>;"NavNode_L3D_532322";"Panelové přístroje";</v>
      </c>
      <c r="AR179" s="8" t="str">
        <f>IF(OR($A179&lt;&gt;"", $G179=""),"",CONCATENATE(";",EscStr(CONCATENATE("NavEntry_",getCategoryLevelAsString($B179))),";",EscStr(CONCATENATE($J179," Navigation Entry")),";",EscStr(CONCATENATE("cat-",getCategoryLevelAsString($B179))),";",EscStr(CONCATENATE("NavNode_",getCategoryLevelAsString($B179))),";"))</f>
        <v>;"NavEntry_L3D_532322";"Panel Meters Navigation Entry";"cat-L3D_532322";"NavNode_L3D_532322";</v>
      </c>
    </row>
    <row r="180" spans="1:44" ht="15" x14ac:dyDescent="0.25">
      <c r="A180" s="25"/>
      <c r="B180" s="5"/>
      <c r="C180" s="5"/>
      <c r="D180" s="5" t="s">
        <v>832</v>
      </c>
      <c r="E180" s="5"/>
      <c r="F180" s="5"/>
      <c r="G180" s="5" t="s">
        <v>2296</v>
      </c>
      <c r="H180" s="5" t="s">
        <v>1121</v>
      </c>
      <c r="I180" s="5" t="s">
        <v>2297</v>
      </c>
      <c r="J180" s="5" t="s">
        <v>2298</v>
      </c>
      <c r="K180" s="5" t="s">
        <v>2299</v>
      </c>
      <c r="L180" s="5" t="s">
        <v>2300</v>
      </c>
      <c r="M180" s="5" t="s">
        <v>2299</v>
      </c>
      <c r="N180" s="5" t="s">
        <v>2301</v>
      </c>
      <c r="O180" s="5" t="s">
        <v>2302</v>
      </c>
      <c r="P180" s="5" t="s">
        <v>2303</v>
      </c>
      <c r="Q180" s="5" t="s">
        <v>2304</v>
      </c>
      <c r="R180" s="5" t="s">
        <v>2305</v>
      </c>
      <c r="S180" s="5" t="s">
        <v>2306</v>
      </c>
      <c r="T180" s="5" t="s">
        <v>2307</v>
      </c>
      <c r="U180" s="5" t="s">
        <v>2308</v>
      </c>
      <c r="V180" s="5" t="s">
        <v>2309</v>
      </c>
      <c r="W180" s="5" t="s">
        <v>2310</v>
      </c>
      <c r="X180" s="5" t="s">
        <v>2308</v>
      </c>
      <c r="Y180" s="10" t="str">
        <f>IF(OR($A180&lt;&gt;"", $G180=""),"",CONCATENATE(";",EscStr(CONCATENATE("NavNode_",getCategoryLevelAsString($B180))),";",EscStr($J180),";",IF($B180&lt;&gt;"","""MainNavNode""",EscStr(CONCATENATE("NavNode_",getSuperCategory($B180, getCategoryLevelAsNumber($B180))))),";"))</f>
        <v>;"NavNode_L3D_532324";"Panel Meters, Analogue";"NavNode_L2D_527997";</v>
      </c>
      <c r="Z180" s="10" t="str">
        <f>IF(getCategoryLevelAsString($B180)="L0D_324785","",IF(G180="",CONCATENATE(";",EscStr(CONCATENATE("NavNode_",getCategoryLevelAsString($B180))),";",EscStr($J180),";"),CONCATENATE(";",EscStr(CONCATENATE("NavNode_",getCategoryLevelAsString($B180))),";",EscStr(G180),";")))</f>
        <v>;"NavNode_L3D_532324";"Anzeigeinstrumente, analog";</v>
      </c>
      <c r="AA180" s="10" t="str">
        <f>IF(getCategoryLevelAsString($B180)="L0D_324785","",IF(H180="",CONCATENATE(";",EscStr(CONCATENATE("NavNode_",getCategoryLevelAsString($B180))),";",EscStr($J180),";"),CONCATENATE(";",EscStr(CONCATENATE("NavNode_",getCategoryLevelAsString($B180))),";",EscStr(H180),";")))</f>
        <v>;"NavNode_L3D_532324";"Instruments d'affichage analogiques";</v>
      </c>
      <c r="AB180" s="10" t="str">
        <f>IF(getCategoryLevelAsString($B180)="L0D_324785","",IF(I180="",CONCATENATE(";",EscStr(CONCATENATE("NavNode_",getCategoryLevelAsString($B180))),";",EscStr($J180),";"),CONCATENATE(";",EscStr(CONCATENATE("NavNode_",getCategoryLevelAsString($B180))),";",EscStr(I180),";")))</f>
        <v>;"NavNode_L3D_532324";"Indicatori analogici";</v>
      </c>
      <c r="AC180" s="10" t="str">
        <f>IF(getCategoryLevelAsString($B180)="L0D_324785","",IF(J180="",CONCATENATE(";",EscStr(CONCATENATE("NavNode_",getCategoryLevelAsString($B180))),";",EscStr($J180),";"),CONCATENATE(";",EscStr(CONCATENATE("NavNode_",getCategoryLevelAsString($B180))),";",EscStr(J180),";")))</f>
        <v>;"NavNode_L3D_532324";"Panel Meters, Analogue";</v>
      </c>
      <c r="AD180" s="10" t="str">
        <f>IF(getCategoryLevelAsString($B180)="L0D_324785","",IF(K180="",CONCATENATE(";",EscStr(CONCATENATE("NavNode_",getCategoryLevelAsString($B180))),";",EscStr($J180),";"),CONCATENATE(";",EscStr(CONCATENATE("NavNode_",getCategoryLevelAsString($B180))),";",EscStr(K180),";")))</f>
        <v>;"NavNode_L3D_532324";"Panelinstrumenter, analoge";</v>
      </c>
      <c r="AE180" s="10" t="str">
        <f>IF(getCategoryLevelAsString($B180)="L0D_324785","",IF(L180="",CONCATENATE(";",EscStr(CONCATENATE("NavNode_",getCategoryLevelAsString($B180))),";",EscStr($J180),";"),CONCATENATE(";",EscStr(CONCATENATE("NavNode_",getCategoryLevelAsString($B180))),";",EscStr(L180),";")))</f>
        <v>;"NavNode_L3D_532324";"Analoginiai matuokliai";</v>
      </c>
      <c r="AF180" s="10" t="str">
        <f>IF(getCategoryLevelAsString($B180)="L0D_324785","",IF(M180="",CONCATENATE(";",EscStr(CONCATENATE("NavNode_",getCategoryLevelAsString($B180))),";",EscStr($J180),";"),CONCATENATE(";",EscStr(CONCATENATE("NavNode_",getCategoryLevelAsString($B180))),";",EscStr(M180),";")))</f>
        <v>;"NavNode_L3D_532324";"Panelinstrumenter, analoge";</v>
      </c>
      <c r="AG180" s="10" t="str">
        <f>IF(getCategoryLevelAsString($B180)="L0D_324785","",IF(N180="",CONCATENATE(";",EscStr(CONCATENATE("NavNode_",getCategoryLevelAsString($B180))),";",EscStr($J180),";"),CONCATENATE(";",EscStr(CONCATENATE("NavNode_",getCategoryLevelAsString($B180))),";",EscStr(N180),";")))</f>
        <v>;"NavNode_L3D_532324";"Panelmätare, analoga";</v>
      </c>
      <c r="AH180" s="10" t="str">
        <f>IF(getCategoryLevelAsString($B180)="L0D_324785","",IF(O180="",CONCATENATE(";",EscStr(CONCATENATE("NavNode_",getCategoryLevelAsString($B180))),";",EscStr($J180),";"),CONCATENATE(";",EscStr(CONCATENATE("NavNode_",getCategoryLevelAsString($B180))),";",EscStr(O180),";")))</f>
        <v>;"NavNode_L3D_532324";"Paneeli mõõdikud, analoogne";</v>
      </c>
      <c r="AI180" s="10" t="str">
        <f>IF(getCategoryLevelAsString($B180)="L0D_324785","",IF(P180="",CONCATENATE(";",EscStr(CONCATENATE("NavNode_",getCategoryLevelAsString($B180))),";",EscStr($J180),";"),CONCATENATE(";",EscStr(CONCATENATE("NavNode_",getCategoryLevelAsString($B180))),";",EscStr(P180),";")))</f>
        <v>;"NavNode_L3D_532324";"Paneelimittarit, analogiset";</v>
      </c>
      <c r="AJ180" s="10" t="str">
        <f>IF(getCategoryLevelAsString($B180)="L0D_324785","",IF(Q180="",CONCATENATE(";",EscStr(CONCATENATE("NavNode_",getCategoryLevelAsString($B180))),";",EscStr($J180),";"),CONCATENATE(";",EscStr(CONCATENATE("NavNode_",getCategoryLevelAsString($B180))),";",EscStr(Q180),";")))</f>
        <v>;"NavNode_L3D_532324";"Galvanometri, analogi";</v>
      </c>
      <c r="AK180" s="10" t="str">
        <f>IF(getCategoryLevelAsString($B180)="L0D_324785","",IF(R180="",CONCATENATE(";",EscStr(CONCATENATE("NavNode_",getCategoryLevelAsString($B180))),";",EscStr($J180),";"),CONCATENATE(";",EscStr(CONCATENATE("NavNode_",getCategoryLevelAsString($B180))),";",EscStr(R180),";")))</f>
        <v>;"NavNode_L3D_532324";"Paneelmeters, analoog";</v>
      </c>
      <c r="AL180" s="10" t="str">
        <f>IF(getCategoryLevelAsString($B180)="L0D_324785","",IF(S180="",CONCATENATE(";",EscStr(CONCATENATE("NavNode_",getCategoryLevelAsString($B180))),";",EscStr($J180),";"),CONCATENATE(";",EscStr(CONCATENATE("NavNode_",getCategoryLevelAsString($B180))),";",EscStr(S180),";")))</f>
        <v>;"NavNode_L3D_532324";"Mierniki panelowe, analogowe";</v>
      </c>
      <c r="AM180" s="10" t="str">
        <f>IF(getCategoryLevelAsString($B180)="L0D_324785","",IF(T180="",CONCATENATE(";",EscStr(CONCATENATE("NavNode_",getCategoryLevelAsString($B180))),";",EscStr($J180),";"),CONCATENATE(";",EscStr(CONCATENATE("NavNode_",getCategoryLevelAsString($B180))),";",EscStr(T180),";")))</f>
        <v>;"NavNode_L3D_532324";"Измерительные приборы с индикаторными панелями, аналоговые";</v>
      </c>
      <c r="AN180" s="10" t="str">
        <f>IF(getCategoryLevelAsString($B180)="L0D_324785","",IF(U180="",CONCATENATE(";",EscStr(CONCATENATE("NavNode_",getCategoryLevelAsString($B180))),";",EscStr($J180),";"),CONCATENATE(";",EscStr(CONCATENATE("NavNode_",getCategoryLevelAsString($B180))),";",EscStr(U180),";")))</f>
        <v>;"NavNode_L3D_532324";"Panelové měřicí přístroje, analogové";</v>
      </c>
      <c r="AO180" s="10" t="str">
        <f>IF(getCategoryLevelAsString($B180)="L0D_324785","",IF(V180="",CONCATENATE(";",EscStr(CONCATENATE("NavNode_",getCategoryLevelAsString($B180))),";",EscStr($J180),";"),CONCATENATE(";",EscStr(CONCATENATE("NavNode_",getCategoryLevelAsString($B180))),";",EscStr(V180),";")))</f>
        <v>;"NavNode_L3D_532324";"Aparate de măsurat panouri, analogice";</v>
      </c>
      <c r="AP180" s="10" t="str">
        <f>IF(getCategoryLevelAsString($B180)="L0D_324785","",IF(W180="",CONCATENATE(";",EscStr(CONCATENATE("NavNode_",getCategoryLevelAsString($B180))),";",EscStr($J180),";"),CONCATENATE(";",EscStr(CONCATENATE("NavNode_",getCategoryLevelAsString($B180))),";",EscStr(W180),";")))</f>
        <v>;"NavNode_L3D_532324";"Panelmérők, analóg";</v>
      </c>
      <c r="AQ180" s="10" t="str">
        <f>IF(getCategoryLevelAsString($B180)="L0D_324785","",IF(X180="",CONCATENATE(";",EscStr(CONCATENATE("NavNode_",getCategoryLevelAsString($B180))),";",EscStr($J180),";"),CONCATENATE(";",EscStr(CONCATENATE("NavNode_",getCategoryLevelAsString($B180))),";",EscStr(X180),";")))</f>
        <v>;"NavNode_L3D_532324";"Panelové měřicí přístroje, analogové";</v>
      </c>
      <c r="AR180" s="8" t="str">
        <f>IF(OR($A180&lt;&gt;"", $G180=""),"",CONCATENATE(";",EscStr(CONCATENATE("NavEntry_",getCategoryLevelAsString($B180))),";",EscStr(CONCATENATE($J180," Navigation Entry")),";",EscStr(CONCATENATE("cat-",getCategoryLevelAsString($B180))),";",EscStr(CONCATENATE("NavNode_",getCategoryLevelAsString($B180))),";"))</f>
        <v>;"NavEntry_L3D_532324";"Panel Meters, Analogue Navigation Entry";"cat-L3D_532324";"NavNode_L3D_532324";</v>
      </c>
    </row>
    <row r="181" spans="1:44" ht="15" x14ac:dyDescent="0.25">
      <c r="A181" s="25"/>
      <c r="B181" s="5"/>
      <c r="C181" s="5"/>
      <c r="D181" s="5" t="s">
        <v>833</v>
      </c>
      <c r="E181" s="5"/>
      <c r="F181" s="5"/>
      <c r="G181" s="5" t="s">
        <v>2311</v>
      </c>
      <c r="H181" s="5" t="s">
        <v>1122</v>
      </c>
      <c r="I181" s="5" t="s">
        <v>2312</v>
      </c>
      <c r="J181" s="5" t="s">
        <v>2313</v>
      </c>
      <c r="K181" s="5" t="s">
        <v>2314</v>
      </c>
      <c r="L181" s="5" t="s">
        <v>2315</v>
      </c>
      <c r="M181" s="5" t="s">
        <v>2314</v>
      </c>
      <c r="N181" s="5" t="s">
        <v>2316</v>
      </c>
      <c r="O181" s="5" t="s">
        <v>2317</v>
      </c>
      <c r="P181" s="5" t="s">
        <v>2318</v>
      </c>
      <c r="Q181" s="5" t="s">
        <v>2319</v>
      </c>
      <c r="R181" s="5" t="s">
        <v>2320</v>
      </c>
      <c r="S181" s="5" t="s">
        <v>2321</v>
      </c>
      <c r="T181" s="5" t="s">
        <v>2322</v>
      </c>
      <c r="U181" s="5" t="s">
        <v>2323</v>
      </c>
      <c r="V181" s="5" t="s">
        <v>2324</v>
      </c>
      <c r="W181" s="5" t="s">
        <v>2325</v>
      </c>
      <c r="X181" s="5" t="s">
        <v>2323</v>
      </c>
      <c r="Y181" s="10" t="str">
        <f>IF(OR($A181&lt;&gt;"", $G181=""),"",CONCATENATE(";",EscStr(CONCATENATE("NavNode_",getCategoryLevelAsString($B181))),";",EscStr($J181),";",IF($B181&lt;&gt;"","""MainNavNode""",EscStr(CONCATENATE("NavNode_",getSuperCategory($B181, getCategoryLevelAsNumber($B181))))),";"))</f>
        <v>;"NavNode_L3D_532326";"Panel Meters, Digital";"NavNode_L2D_527997";</v>
      </c>
      <c r="Z181" s="10" t="str">
        <f>IF(getCategoryLevelAsString($B181)="L0D_324785","",IF(G181="",CONCATENATE(";",EscStr(CONCATENATE("NavNode_",getCategoryLevelAsString($B181))),";",EscStr($J181),";"),CONCATENATE(";",EscStr(CONCATENATE("NavNode_",getCategoryLevelAsString($B181))),";",EscStr(G181),";")))</f>
        <v>;"NavNode_L3D_532326";"Anzeigeinstrumente, digitale";</v>
      </c>
      <c r="AA181" s="10" t="str">
        <f>IF(getCategoryLevelAsString($B181)="L0D_324785","",IF(H181="",CONCATENATE(";",EscStr(CONCATENATE("NavNode_",getCategoryLevelAsString($B181))),";",EscStr($J181),";"),CONCATENATE(";",EscStr(CONCATENATE("NavNode_",getCategoryLevelAsString($B181))),";",EscStr(H181),";")))</f>
        <v>;"NavNode_L3D_532326";"Instruments d'affichage numériques";</v>
      </c>
      <c r="AB181" s="10" t="str">
        <f>IF(getCategoryLevelAsString($B181)="L0D_324785","",IF(I181="",CONCATENATE(";",EscStr(CONCATENATE("NavNode_",getCategoryLevelAsString($B181))),";",EscStr($J181),";"),CONCATENATE(";",EscStr(CONCATENATE("NavNode_",getCategoryLevelAsString($B181))),";",EscStr(I181),";")))</f>
        <v>;"NavNode_L3D_532326";"Indicatori digitali";</v>
      </c>
      <c r="AC181" s="10" t="str">
        <f>IF(getCategoryLevelAsString($B181)="L0D_324785","",IF(J181="",CONCATENATE(";",EscStr(CONCATENATE("NavNode_",getCategoryLevelAsString($B181))),";",EscStr($J181),";"),CONCATENATE(";",EscStr(CONCATENATE("NavNode_",getCategoryLevelAsString($B181))),";",EscStr(J181),";")))</f>
        <v>;"NavNode_L3D_532326";"Panel Meters, Digital";</v>
      </c>
      <c r="AD181" s="10" t="str">
        <f>IF(getCategoryLevelAsString($B181)="L0D_324785","",IF(K181="",CONCATENATE(";",EscStr(CONCATENATE("NavNode_",getCategoryLevelAsString($B181))),";",EscStr($J181),";"),CONCATENATE(";",EscStr(CONCATENATE("NavNode_",getCategoryLevelAsString($B181))),";",EscStr(K181),";")))</f>
        <v>;"NavNode_L3D_532326";"Panelinstrumenter, digitale";</v>
      </c>
      <c r="AE181" s="10" t="str">
        <f>IF(getCategoryLevelAsString($B181)="L0D_324785","",IF(L181="",CONCATENATE(";",EscStr(CONCATENATE("NavNode_",getCategoryLevelAsString($B181))),";",EscStr($J181),";"),CONCATENATE(";",EscStr(CONCATENATE("NavNode_",getCategoryLevelAsString($B181))),";",EscStr(L181),";")))</f>
        <v>;"NavNode_L3D_532326";"Skaitmeniniai matuokliai";</v>
      </c>
      <c r="AF181" s="10" t="str">
        <f>IF(getCategoryLevelAsString($B181)="L0D_324785","",IF(M181="",CONCATENATE(";",EscStr(CONCATENATE("NavNode_",getCategoryLevelAsString($B181))),";",EscStr($J181),";"),CONCATENATE(";",EscStr(CONCATENATE("NavNode_",getCategoryLevelAsString($B181))),";",EscStr(M181),";")))</f>
        <v>;"NavNode_L3D_532326";"Panelinstrumenter, digitale";</v>
      </c>
      <c r="AG181" s="10" t="str">
        <f>IF(getCategoryLevelAsString($B181)="L0D_324785","",IF(N181="",CONCATENATE(";",EscStr(CONCATENATE("NavNode_",getCategoryLevelAsString($B181))),";",EscStr($J181),";"),CONCATENATE(";",EscStr(CONCATENATE("NavNode_",getCategoryLevelAsString($B181))),";",EscStr(N181),";")))</f>
        <v>;"NavNode_L3D_532326";"Panelmätare, digitala";</v>
      </c>
      <c r="AH181" s="10" t="str">
        <f>IF(getCategoryLevelAsString($B181)="L0D_324785","",IF(O181="",CONCATENATE(";",EscStr(CONCATENATE("NavNode_",getCategoryLevelAsString($B181))),";",EscStr($J181),";"),CONCATENATE(";",EscStr(CONCATENATE("NavNode_",getCategoryLevelAsString($B181))),";",EscStr(O181),";")))</f>
        <v>;"NavNode_L3D_532326";"Paneeli mõõdikud, digitaalne";</v>
      </c>
      <c r="AI181" s="10" t="str">
        <f>IF(getCategoryLevelAsString($B181)="L0D_324785","",IF(P181="",CONCATENATE(";",EscStr(CONCATENATE("NavNode_",getCategoryLevelAsString($B181))),";",EscStr($J181),";"),CONCATENATE(";",EscStr(CONCATENATE("NavNode_",getCategoryLevelAsString($B181))),";",EscStr(P181),";")))</f>
        <v>;"NavNode_L3D_532326";"Paneelimittarit, digitaaliset";</v>
      </c>
      <c r="AJ181" s="10" t="str">
        <f>IF(getCategoryLevelAsString($B181)="L0D_324785","",IF(Q181="",CONCATENATE(";",EscStr(CONCATENATE("NavNode_",getCategoryLevelAsString($B181))),";",EscStr($J181),";"),CONCATENATE(";",EscStr(CONCATENATE("NavNode_",getCategoryLevelAsString($B181))),";",EscStr(Q181),";")))</f>
        <v>;"NavNode_L3D_532326";"Galvanometri, digitāli";</v>
      </c>
      <c r="AK181" s="10" t="str">
        <f>IF(getCategoryLevelAsString($B181)="L0D_324785","",IF(R181="",CONCATENATE(";",EscStr(CONCATENATE("NavNode_",getCategoryLevelAsString($B181))),";",EscStr($J181),";"),CONCATENATE(";",EscStr(CONCATENATE("NavNode_",getCategoryLevelAsString($B181))),";",EscStr(R181),";")))</f>
        <v>;"NavNode_L3D_532326";"Paneelmeters, digitaal";</v>
      </c>
      <c r="AL181" s="10" t="str">
        <f>IF(getCategoryLevelAsString($B181)="L0D_324785","",IF(S181="",CONCATENATE(";",EscStr(CONCATENATE("NavNode_",getCategoryLevelAsString($B181))),";",EscStr($J181),";"),CONCATENATE(";",EscStr(CONCATENATE("NavNode_",getCategoryLevelAsString($B181))),";",EscStr(S181),";")))</f>
        <v>;"NavNode_L3D_532326";"Mierniki panelowe, cyfrowe";</v>
      </c>
      <c r="AM181" s="10" t="str">
        <f>IF(getCategoryLevelAsString($B181)="L0D_324785","",IF(T181="",CONCATENATE(";",EscStr(CONCATENATE("NavNode_",getCategoryLevelAsString($B181))),";",EscStr($J181),";"),CONCATENATE(";",EscStr(CONCATENATE("NavNode_",getCategoryLevelAsString($B181))),";",EscStr(T181),";")))</f>
        <v>;"NavNode_L3D_532326";"Измерительные приборы с индикаторными панелями, цифровые";</v>
      </c>
      <c r="AN181" s="10" t="str">
        <f>IF(getCategoryLevelAsString($B181)="L0D_324785","",IF(U181="",CONCATENATE(";",EscStr(CONCATENATE("NavNode_",getCategoryLevelAsString($B181))),";",EscStr($J181),";"),CONCATENATE(";",EscStr(CONCATENATE("NavNode_",getCategoryLevelAsString($B181))),";",EscStr(U181),";")))</f>
        <v>;"NavNode_L3D_532326";"Panelové měřicí přístroje, digitální";</v>
      </c>
      <c r="AO181" s="10" t="str">
        <f>IF(getCategoryLevelAsString($B181)="L0D_324785","",IF(V181="",CONCATENATE(";",EscStr(CONCATENATE("NavNode_",getCategoryLevelAsString($B181))),";",EscStr($J181),";"),CONCATENATE(";",EscStr(CONCATENATE("NavNode_",getCategoryLevelAsString($B181))),";",EscStr(V181),";")))</f>
        <v>;"NavNode_L3D_532326";"Aparate de măsurat panouri, digitale";</v>
      </c>
      <c r="AP181" s="10" t="str">
        <f>IF(getCategoryLevelAsString($B181)="L0D_324785","",IF(W181="",CONCATENATE(";",EscStr(CONCATENATE("NavNode_",getCategoryLevelAsString($B181))),";",EscStr($J181),";"),CONCATENATE(";",EscStr(CONCATENATE("NavNode_",getCategoryLevelAsString($B181))),";",EscStr(W181),";")))</f>
        <v>;"NavNode_L3D_532326";"Panelmérők, digitális";</v>
      </c>
      <c r="AQ181" s="10" t="str">
        <f>IF(getCategoryLevelAsString($B181)="L0D_324785","",IF(X181="",CONCATENATE(";",EscStr(CONCATENATE("NavNode_",getCategoryLevelAsString($B181))),";",EscStr($J181),";"),CONCATENATE(";",EscStr(CONCATENATE("NavNode_",getCategoryLevelAsString($B181))),";",EscStr(X181),";")))</f>
        <v>;"NavNode_L3D_532326";"Panelové měřicí přístroje, digitální";</v>
      </c>
      <c r="AR181" s="8" t="str">
        <f>IF(OR($A181&lt;&gt;"", $G181=""),"",CONCATENATE(";",EscStr(CONCATENATE("NavEntry_",getCategoryLevelAsString($B181))),";",EscStr(CONCATENATE($J181," Navigation Entry")),";",EscStr(CONCATENATE("cat-",getCategoryLevelAsString($B181))),";",EscStr(CONCATENATE("NavNode_",getCategoryLevelAsString($B181))),";"))</f>
        <v>;"NavEntry_L3D_532326";"Panel Meters, Digital Navigation Entry";"cat-L3D_532326";"NavNode_L3D_532326";</v>
      </c>
    </row>
    <row r="182" spans="1:44" ht="15" x14ac:dyDescent="0.25">
      <c r="A182" s="25"/>
      <c r="B182" s="5"/>
      <c r="C182" s="5"/>
      <c r="D182" s="5" t="s">
        <v>834</v>
      </c>
      <c r="E182" s="5"/>
      <c r="F182" s="5"/>
      <c r="G182" s="5" t="s">
        <v>1065</v>
      </c>
      <c r="H182" s="5" t="s">
        <v>1123</v>
      </c>
      <c r="I182" s="5" t="s">
        <v>1181</v>
      </c>
      <c r="J182" s="5" t="s">
        <v>937</v>
      </c>
      <c r="K182" s="5" t="s">
        <v>1294</v>
      </c>
      <c r="L182" s="5" t="s">
        <v>1528</v>
      </c>
      <c r="M182" s="5" t="s">
        <v>1751</v>
      </c>
      <c r="N182" s="5" t="s">
        <v>1959</v>
      </c>
      <c r="O182" s="5" t="s">
        <v>3275</v>
      </c>
      <c r="P182" s="5" t="s">
        <v>3276</v>
      </c>
      <c r="Q182" s="5" t="s">
        <v>3277</v>
      </c>
      <c r="R182" s="5" t="s">
        <v>3278</v>
      </c>
      <c r="S182" s="5" t="s">
        <v>3279</v>
      </c>
      <c r="T182" s="5" t="s">
        <v>3280</v>
      </c>
      <c r="U182" s="5" t="s">
        <v>3281</v>
      </c>
      <c r="V182" s="5" t="s">
        <v>3282</v>
      </c>
      <c r="W182" s="5" t="s">
        <v>3283</v>
      </c>
      <c r="X182" s="5" t="s">
        <v>3281</v>
      </c>
      <c r="Y182" s="10" t="str">
        <f>IF(OR($A182&lt;&gt;"", $G182=""),"",CONCATENATE(";",EscStr(CONCATENATE("NavNode_",getCategoryLevelAsString($B182))),";",EscStr($J182),";",IF($B182&lt;&gt;"","""MainNavNode""",EscStr(CONCATENATE("NavNode_",getSuperCategory($B182, getCategoryLevelAsNumber($B182))))),";"))</f>
        <v>;"NavNode_Automation";"Shunt resistors &amp; Converters";"NavNode_L0D_324785";</v>
      </c>
      <c r="Z182" s="10" t="str">
        <f>IF(getCategoryLevelAsString($B182)="L0D_324785","",IF(G182="",CONCATENATE(";",EscStr(CONCATENATE("NavNode_",getCategoryLevelAsString($B182))),";",EscStr($J182),";"),CONCATENATE(";",EscStr(CONCATENATE("NavNode_",getCategoryLevelAsString($B182))),";",EscStr(G182),";")))</f>
        <v>;"NavNode_Automation";"Shunt Widerstände und Wandler";</v>
      </c>
      <c r="AA182" s="10" t="str">
        <f>IF(getCategoryLevelAsString($B182)="L0D_324785","",IF(H182="",CONCATENATE(";",EscStr(CONCATENATE("NavNode_",getCategoryLevelAsString($B182))),";",EscStr($J182),";"),CONCATENATE(";",EscStr(CONCATENATE("NavNode_",getCategoryLevelAsString($B182))),";",EscStr(H182),";")))</f>
        <v>;"NavNode_Automation";"Résistances Shunt et convertisseurs";</v>
      </c>
      <c r="AB182" s="10" t="str">
        <f>IF(getCategoryLevelAsString($B182)="L0D_324785","",IF(I182="",CONCATENATE(";",EscStr(CONCATENATE("NavNode_",getCategoryLevelAsString($B182))),";",EscStr($J182),";"),CONCATENATE(";",EscStr(CONCATENATE("NavNode_",getCategoryLevelAsString($B182))),";",EscStr(I182),";")))</f>
        <v>;"NavNode_Automation";"Resistenze shunt e convertitori";</v>
      </c>
      <c r="AC182" s="10" t="str">
        <f>IF(getCategoryLevelAsString($B182)="L0D_324785","",IF(J182="",CONCATENATE(";",EscStr(CONCATENATE("NavNode_",getCategoryLevelAsString($B182))),";",EscStr($J182),";"),CONCATENATE(";",EscStr(CONCATENATE("NavNode_",getCategoryLevelAsString($B182))),";",EscStr(J182),";")))</f>
        <v>;"NavNode_Automation";"Shunt resistors &amp; Converters";</v>
      </c>
      <c r="AD182" s="10" t="str">
        <f>IF(getCategoryLevelAsString($B182)="L0D_324785","",IF(K182="",CONCATENATE(";",EscStr(CONCATENATE("NavNode_",getCategoryLevelAsString($B182))),";",EscStr($J182),";"),CONCATENATE(";",EscStr(CONCATENATE("NavNode_",getCategoryLevelAsString($B182))),";",EscStr(K182),";")))</f>
        <v>;"NavNode_Automation";"Shunt-modstande &amp; omformere";</v>
      </c>
      <c r="AE182" s="10" t="str">
        <f>IF(getCategoryLevelAsString($B182)="L0D_324785","",IF(L182="",CONCATENATE(";",EscStr(CONCATENATE("NavNode_",getCategoryLevelAsString($B182))),";",EscStr($J182),";"),CONCATENATE(";",EscStr(CONCATENATE("NavNode_",getCategoryLevelAsString($B182))),";",EscStr(L182),";")))</f>
        <v>;"NavNode_Automation";"Šuntų rezistoriai ir keitikliai";</v>
      </c>
      <c r="AF182" s="10" t="str">
        <f>IF(getCategoryLevelAsString($B182)="L0D_324785","",IF(M182="",CONCATENATE(";",EscStr(CONCATENATE("NavNode_",getCategoryLevelAsString($B182))),";",EscStr($J182),";"),CONCATENATE(";",EscStr(CONCATENATE("NavNode_",getCategoryLevelAsString($B182))),";",EscStr(M182),";")))</f>
        <v>;"NavNode_Automation";"Shuntmotstander og omformere";</v>
      </c>
      <c r="AG182" s="10" t="str">
        <f>IF(getCategoryLevelAsString($B182)="L0D_324785","",IF(N182="",CONCATENATE(";",EscStr(CONCATENATE("NavNode_",getCategoryLevelAsString($B182))),";",EscStr($J182),";"),CONCATENATE(";",EscStr(CONCATENATE("NavNode_",getCategoryLevelAsString($B182))),";",EscStr(N182),";")))</f>
        <v>;"NavNode_Automation";"Shuntmotstånd och omvandlare";</v>
      </c>
      <c r="AH182" s="10" t="str">
        <f>IF(getCategoryLevelAsString($B182)="L0D_324785","",IF(O182="",CONCATENATE(";",EscStr(CONCATENATE("NavNode_",getCategoryLevelAsString($B182))),";",EscStr($J182),";"),CONCATENATE(";",EscStr(CONCATENATE("NavNode_",getCategoryLevelAsString($B182))),";",EscStr(O182),";")))</f>
        <v>;"NavNode_Automation";"Šundid ja voolutrafod";</v>
      </c>
      <c r="AI182" s="10" t="str">
        <f>IF(getCategoryLevelAsString($B182)="L0D_324785","",IF(P182="",CONCATENATE(";",EscStr(CONCATENATE("NavNode_",getCategoryLevelAsString($B182))),";",EscStr($J182),";"),CONCATENATE(";",EscStr(CONCATENATE("NavNode_",getCategoryLevelAsString($B182))),";",EscStr(P182),";")))</f>
        <v>;"NavNode_Automation";"Shuntit ja muuntimet";</v>
      </c>
      <c r="AJ182" s="10" t="str">
        <f>IF(getCategoryLevelAsString($B182)="L0D_324785","",IF(Q182="",CONCATENATE(";",EscStr(CONCATENATE("NavNode_",getCategoryLevelAsString($B182))),";",EscStr($J182),";"),CONCATENATE(";",EscStr(CONCATENATE("NavNode_",getCategoryLevelAsString($B182))),";",EscStr(Q182),";")))</f>
        <v>;"NavNode_Automation";"Šuntu rezistori un pārveidotāji";</v>
      </c>
      <c r="AK182" s="10" t="str">
        <f>IF(getCategoryLevelAsString($B182)="L0D_324785","",IF(R182="",CONCATENATE(";",EscStr(CONCATENATE("NavNode_",getCategoryLevelAsString($B182))),";",EscStr($J182),";"),CONCATENATE(";",EscStr(CONCATENATE("NavNode_",getCategoryLevelAsString($B182))),";",EscStr(R182),";")))</f>
        <v>;"NavNode_Automation";"Shunt weerstanden en omvormers";</v>
      </c>
      <c r="AL182" s="10" t="str">
        <f>IF(getCategoryLevelAsString($B182)="L0D_324785","",IF(S182="",CONCATENATE(";",EscStr(CONCATENATE("NavNode_",getCategoryLevelAsString($B182))),";",EscStr($J182),";"),CONCATENATE(";",EscStr(CONCATENATE("NavNode_",getCategoryLevelAsString($B182))),";",EscStr(S182),";")))</f>
        <v>;"NavNode_Automation";"Rezystory bocznikowe i Przekładniki";</v>
      </c>
      <c r="AM182" s="10" t="str">
        <f>IF(getCategoryLevelAsString($B182)="L0D_324785","",IF(T182="",CONCATENATE(";",EscStr(CONCATENATE("NavNode_",getCategoryLevelAsString($B182))),";",EscStr($J182),";"),CONCATENATE(";",EscStr(CONCATENATE("NavNode_",getCategoryLevelAsString($B182))),";",EscStr(T182),";")))</f>
        <v>;"NavNode_Automation";"Шунтирующие резисторы &amp; Преобразователи";</v>
      </c>
      <c r="AN182" s="10" t="str">
        <f>IF(getCategoryLevelAsString($B182)="L0D_324785","",IF(U182="",CONCATENATE(";",EscStr(CONCATENATE("NavNode_",getCategoryLevelAsString($B182))),";",EscStr($J182),";"),CONCATENATE(";",EscStr(CONCATENATE("NavNode_",getCategoryLevelAsString($B182))),";",EscStr(U182),";")))</f>
        <v>;"NavNode_Automation";"Odporové bočníky a měniče";</v>
      </c>
      <c r="AO182" s="10" t="str">
        <f>IF(getCategoryLevelAsString($B182)="L0D_324785","",IF(V182="",CONCATENATE(";",EscStr(CONCATENATE("NavNode_",getCategoryLevelAsString($B182))),";",EscStr($J182),";"),CONCATENATE(";",EscStr(CONCATENATE("NavNode_",getCategoryLevelAsString($B182))),";",EscStr(V182),";")))</f>
        <v>;"NavNode_Automation";"Rezistenţe şunt şi transformatoare";</v>
      </c>
      <c r="AP182" s="10" t="str">
        <f>IF(getCategoryLevelAsString($B182)="L0D_324785","",IF(W182="",CONCATENATE(";",EscStr(CONCATENATE("NavNode_",getCategoryLevelAsString($B182))),";",EscStr($J182),";"),CONCATENATE(";",EscStr(CONCATENATE("NavNode_",getCategoryLevelAsString($B182))),";",EscStr(W182),";")))</f>
        <v>;"NavNode_Automation";"Sönt ellenállások és átalakítók";</v>
      </c>
      <c r="AQ182" s="10" t="str">
        <f>IF(getCategoryLevelAsString($B182)="L0D_324785","",IF(X182="",CONCATENATE(";",EscStr(CONCATENATE("NavNode_",getCategoryLevelAsString($B182))),";",EscStr($J182),";"),CONCATENATE(";",EscStr(CONCATENATE("NavNode_",getCategoryLevelAsString($B182))),";",EscStr(X182),";")))</f>
        <v>;"NavNode_Automation";"Odporové bočníky a měniče";</v>
      </c>
      <c r="AR182" s="8" t="str">
        <f>IF(OR($A182&lt;&gt;"", $G182=""),"",CONCATENATE(";",EscStr(CONCATENATE("NavEntry_",getCategoryLevelAsString($B182))),";",EscStr(CONCATENATE($J182," Navigation Entry")),";",EscStr(CONCATENATE("cat-",getCategoryLevelAsString($B182))),";",EscStr(CONCATENATE("NavNode_",getCategoryLevelAsString($B182))),";"))</f>
        <v>;"NavEntry_Automation";"Shunt resistors &amp; Converters Navigation Entry";"cat-Automation";"NavNode_Automation";</v>
      </c>
    </row>
    <row r="183" spans="1:44" s="17" customFormat="1" ht="14.25" x14ac:dyDescent="0.2">
      <c r="A183" s="24">
        <v>7</v>
      </c>
      <c r="B183" s="13" t="s">
        <v>11</v>
      </c>
      <c r="C183" s="14"/>
      <c r="E183" s="13"/>
      <c r="F183" s="13"/>
      <c r="G183" s="13" t="s">
        <v>11</v>
      </c>
      <c r="H183" s="13" t="s">
        <v>264</v>
      </c>
      <c r="I183" s="13" t="s">
        <v>265</v>
      </c>
      <c r="J183" s="13" t="s">
        <v>11</v>
      </c>
      <c r="K183" s="13" t="s">
        <v>11</v>
      </c>
      <c r="L183" s="13" t="s">
        <v>1529</v>
      </c>
      <c r="M183" s="13" t="s">
        <v>1752</v>
      </c>
      <c r="N183" s="13" t="s">
        <v>1295</v>
      </c>
      <c r="O183" s="13" t="s">
        <v>3284</v>
      </c>
      <c r="P183" s="13" t="s">
        <v>3285</v>
      </c>
      <c r="Q183" s="13" t="s">
        <v>3286</v>
      </c>
      <c r="R183" s="13" t="s">
        <v>1295</v>
      </c>
      <c r="S183" s="13" t="s">
        <v>3287</v>
      </c>
      <c r="T183" s="13" t="s">
        <v>3288</v>
      </c>
      <c r="U183" s="13" t="s">
        <v>3289</v>
      </c>
      <c r="V183" s="13" t="s">
        <v>3290</v>
      </c>
      <c r="W183" s="13" t="s">
        <v>3291</v>
      </c>
      <c r="X183" s="13" t="s">
        <v>3289</v>
      </c>
      <c r="Y183" s="15" t="str">
        <f>IF(OR($A183&lt;&gt;"", $G183=""),"",CONCATENATE(";",EscStr(CONCATENATE("NavNode_",getCategoryLevelAsString($B183))),";",EscStr($J183),";",IF($B183&lt;&gt;"","""MainNavNode""",EscStr(CONCATENATE("NavNode_",getSuperCategory($B183, getCategoryLevelAsNumber($B183))))),";"))</f>
        <v/>
      </c>
      <c r="Z183" s="15" t="str">
        <f>IF(getCategoryLevelAsString($B183)="L0D_324785","",IF(G183="",CONCATENATE(";",EscStr(CONCATENATE("NavNode_",getCategoryLevelAsString($B183))),";",EscStr($J183),";"),CONCATENATE(";",EscStr(CONCATENATE("NavNode_",getCategoryLevelAsString($B183))),";",EscStr(G183),";")))</f>
        <v>;"NavNode_L2D_379610";"Automation";</v>
      </c>
      <c r="AA183" s="15" t="str">
        <f>IF(getCategoryLevelAsString($B183)="L0D_324785","",IF(H183="",CONCATENATE(";",EscStr(CONCATENATE("NavNode_",getCategoryLevelAsString($B183))),";",EscStr($J183),";"),CONCATENATE(";",EscStr(CONCATENATE("NavNode_",getCategoryLevelAsString($B183))),";",EscStr(H183),";")))</f>
        <v>;"NavNode_L2D_379610";"Automatisation";</v>
      </c>
      <c r="AB183" s="15" t="str">
        <f>IF(getCategoryLevelAsString($B183)="L0D_324785","",IF(I183="",CONCATENATE(";",EscStr(CONCATENATE("NavNode_",getCategoryLevelAsString($B183))),";",EscStr($J183),";"),CONCATENATE(";",EscStr(CONCATENATE("NavNode_",getCategoryLevelAsString($B183))),";",EscStr(I183),";")))</f>
        <v>;"NavNode_L2D_379610";"Automazione";</v>
      </c>
      <c r="AC183" s="15" t="str">
        <f>IF(getCategoryLevelAsString($B183)="L0D_324785","",IF(J183="",CONCATENATE(";",EscStr(CONCATENATE("NavNode_",getCategoryLevelAsString($B183))),";",EscStr($J183),";"),CONCATENATE(";",EscStr(CONCATENATE("NavNode_",getCategoryLevelAsString($B183))),";",EscStr(J183),";")))</f>
        <v>;"NavNode_L2D_379610";"Automation";</v>
      </c>
      <c r="AD183" s="15" t="str">
        <f>IF(getCategoryLevelAsString($B183)="L0D_324785","",IF(K183="",CONCATENATE(";",EscStr(CONCATENATE("NavNode_",getCategoryLevelAsString($B183))),";",EscStr($J183),";"),CONCATENATE(";",EscStr(CONCATENATE("NavNode_",getCategoryLevelAsString($B183))),";",EscStr(K183),";")))</f>
        <v>;"NavNode_L2D_379610";"Automation";</v>
      </c>
      <c r="AE183" s="15" t="str">
        <f>IF(getCategoryLevelAsString($B183)="L0D_324785","",IF(L183="",CONCATENATE(";",EscStr(CONCATENATE("NavNode_",getCategoryLevelAsString($B183))),";",EscStr($J183),";"),CONCATENATE(";",EscStr(CONCATENATE("NavNode_",getCategoryLevelAsString($B183))),";",EscStr(L183),";")))</f>
        <v>;"NavNode_L2D_379610";"Automatika";</v>
      </c>
      <c r="AF183" s="15" t="str">
        <f>IF(getCategoryLevelAsString($B183)="L0D_324785","",IF(M183="",CONCATENATE(";",EscStr(CONCATENATE("NavNode_",getCategoryLevelAsString($B183))),";",EscStr($J183),";"),CONCATENATE(";",EscStr(CONCATENATE("NavNode_",getCategoryLevelAsString($B183))),";",EscStr(M183),";")))</f>
        <v>;"NavNode_L2D_379610";"Automasjon";</v>
      </c>
      <c r="AG183" s="15" t="str">
        <f>IF(getCategoryLevelAsString($B183)="L0D_324785","",IF(N183="",CONCATENATE(";",EscStr(CONCATENATE("NavNode_",getCategoryLevelAsString($B183))),";",EscStr($J183),";"),CONCATENATE(";",EscStr(CONCATENATE("NavNode_",getCategoryLevelAsString($B183))),";",EscStr(N183),";")))</f>
        <v>;"NavNode_L2D_379610";"Automatisering";</v>
      </c>
      <c r="AH183" s="15" t="str">
        <f>IF(getCategoryLevelAsString($B183)="L0D_324785","",IF(O183="",CONCATENATE(";",EscStr(CONCATENATE("NavNode_",getCategoryLevelAsString($B183))),";",EscStr($J183),";"),CONCATENATE(";",EscStr(CONCATENATE("NavNode_",getCategoryLevelAsString($B183))),";",EscStr(O183),";")))</f>
        <v>;"NavNode_L2D_379610";"Automaatika";</v>
      </c>
      <c r="AI183" s="15" t="str">
        <f>IF(getCategoryLevelAsString($B183)="L0D_324785","",IF(P183="",CONCATENATE(";",EscStr(CONCATENATE("NavNode_",getCategoryLevelAsString($B183))),";",EscStr($J183),";"),CONCATENATE(";",EscStr(CONCATENATE("NavNode_",getCategoryLevelAsString($B183))),";",EscStr(P183),";")))</f>
        <v>;"NavNode_L2D_379610";"Automaatio";</v>
      </c>
      <c r="AJ183" s="15" t="str">
        <f>IF(getCategoryLevelAsString($B183)="L0D_324785","",IF(Q183="",CONCATENATE(";",EscStr(CONCATENATE("NavNode_",getCategoryLevelAsString($B183))),";",EscStr($J183),";"),CONCATENATE(";",EscStr(CONCATENATE("NavNode_",getCategoryLevelAsString($B183))),";",EscStr(Q183),";")))</f>
        <v>;"NavNode_L2D_379610";"Automātika";</v>
      </c>
      <c r="AK183" s="15" t="str">
        <f>IF(getCategoryLevelAsString($B183)="L0D_324785","",IF(R183="",CONCATENATE(";",EscStr(CONCATENATE("NavNode_",getCategoryLevelAsString($B183))),";",EscStr($J183),";"),CONCATENATE(";",EscStr(CONCATENATE("NavNode_",getCategoryLevelAsString($B183))),";",EscStr(R183),";")))</f>
        <v>;"NavNode_L2D_379610";"Automatisering";</v>
      </c>
      <c r="AL183" s="15" t="str">
        <f>IF(getCategoryLevelAsString($B183)="L0D_324785","",IF(S183="",CONCATENATE(";",EscStr(CONCATENATE("NavNode_",getCategoryLevelAsString($B183))),";",EscStr($J183),";"),CONCATENATE(";",EscStr(CONCATENATE("NavNode_",getCategoryLevelAsString($B183))),";",EscStr(S183),";")))</f>
        <v>;"NavNode_L2D_379610";"Automatyka";</v>
      </c>
      <c r="AM183" s="15" t="str">
        <f>IF(getCategoryLevelAsString($B183)="L0D_324785","",IF(T183="",CONCATENATE(";",EscStr(CONCATENATE("NavNode_",getCategoryLevelAsString($B183))),";",EscStr($J183),";"),CONCATENATE(";",EscStr(CONCATENATE("NavNode_",getCategoryLevelAsString($B183))),";",EscStr(T183),";")))</f>
        <v>;"NavNode_L2D_379610";"Автоматизация";</v>
      </c>
      <c r="AN183" s="15" t="str">
        <f>IF(getCategoryLevelAsString($B183)="L0D_324785","",IF(U183="",CONCATENATE(";",EscStr(CONCATENATE("NavNode_",getCategoryLevelAsString($B183))),";",EscStr($J183),";"),CONCATENATE(";",EscStr(CONCATENATE("NavNode_",getCategoryLevelAsString($B183))),";",EscStr(U183),";")))</f>
        <v>;"NavNode_L2D_379610";"Automatizace";</v>
      </c>
      <c r="AO183" s="15" t="str">
        <f>IF(getCategoryLevelAsString($B183)="L0D_324785","",IF(V183="",CONCATENATE(";",EscStr(CONCATENATE("NavNode_",getCategoryLevelAsString($B183))),";",EscStr($J183),";"),CONCATENATE(";",EscStr(CONCATENATE("NavNode_",getCategoryLevelAsString($B183))),";",EscStr(V183),";")))</f>
        <v>;"NavNode_L2D_379610";"Automatizare";</v>
      </c>
      <c r="AP183" s="15" t="str">
        <f>IF(getCategoryLevelAsString($B183)="L0D_324785","",IF(W183="",CONCATENATE(";",EscStr(CONCATENATE("NavNode_",getCategoryLevelAsString($B183))),";",EscStr($J183),";"),CONCATENATE(";",EscStr(CONCATENATE("NavNode_",getCategoryLevelAsString($B183))),";",EscStr(W183),";")))</f>
        <v>;"NavNode_L2D_379610";"Automatizálás";</v>
      </c>
      <c r="AQ183" s="15" t="str">
        <f>IF(getCategoryLevelAsString($B183)="L0D_324785","",IF(X183="",CONCATENATE(";",EscStr(CONCATENATE("NavNode_",getCategoryLevelAsString($B183))),";",EscStr($J183),";"),CONCATENATE(";",EscStr(CONCATENATE("NavNode_",getCategoryLevelAsString($B183))),";",EscStr(X183),";")))</f>
        <v>;"NavNode_L2D_379610";"Automatizace";</v>
      </c>
      <c r="AR183" s="16" t="str">
        <f>IF(OR($A183&lt;&gt;"", $G183=""),"",CONCATENATE(";",EscStr(CONCATENATE("NavEntry_",getCategoryLevelAsString($B183))),";",EscStr(CONCATENATE($J183," Navigation Entry")),";",EscStr(CONCATENATE("cat-",getCategoryLevelAsString($B183))),";",EscStr(CONCATENATE("NavNode_",getCategoryLevelAsString($B183))),";"))</f>
        <v/>
      </c>
    </row>
    <row r="184" spans="1:44" ht="15" x14ac:dyDescent="0.25">
      <c r="A184" s="25"/>
      <c r="B184" s="5"/>
      <c r="C184" s="5" t="s">
        <v>32</v>
      </c>
      <c r="D184" s="5"/>
      <c r="E184" s="5"/>
      <c r="F184" s="5"/>
      <c r="G184" s="5" t="s">
        <v>313</v>
      </c>
      <c r="H184" s="5" t="s">
        <v>314</v>
      </c>
      <c r="I184" s="5" t="s">
        <v>315</v>
      </c>
      <c r="J184" s="5" t="s">
        <v>33</v>
      </c>
      <c r="K184" s="5" t="s">
        <v>1296</v>
      </c>
      <c r="L184" s="5" t="s">
        <v>1530</v>
      </c>
      <c r="M184" s="5" t="s">
        <v>1753</v>
      </c>
      <c r="N184" s="5" t="s">
        <v>1960</v>
      </c>
      <c r="O184" s="5" t="s">
        <v>3292</v>
      </c>
      <c r="P184" s="5" t="s">
        <v>3293</v>
      </c>
      <c r="Q184" s="5" t="s">
        <v>3294</v>
      </c>
      <c r="R184" s="5" t="s">
        <v>3295</v>
      </c>
      <c r="S184" s="5" t="s">
        <v>3296</v>
      </c>
      <c r="T184" s="5" t="s">
        <v>3297</v>
      </c>
      <c r="U184" s="5" t="s">
        <v>3298</v>
      </c>
      <c r="V184" s="5" t="s">
        <v>3299</v>
      </c>
      <c r="W184" s="5" t="s">
        <v>3300</v>
      </c>
      <c r="X184" s="5" t="s">
        <v>3298</v>
      </c>
      <c r="Y184" s="10" t="str">
        <f>IF(OR($A184&lt;&gt;"", $G184=""),"",CONCATENATE(";",EscStr(CONCATENATE("NavNode_",getCategoryLevelAsString($B184))),";",EscStr($J184),";",IF($B184&lt;&gt;"","""MainNavNode""",EscStr(CONCATENATE("NavNode_",getSuperCategory($B184, getCategoryLevelAsNumber($B184))))),";"))</f>
        <v>;"NavNode_L3D_525470";"Process Displays / Regulators / PLC / HMI";"NavNode_L2D_379610";</v>
      </c>
      <c r="Z184" s="10" t="str">
        <f>IF(getCategoryLevelAsString($B184)="L0D_324785","",IF(G184="",CONCATENATE(";",EscStr(CONCATENATE("NavNode_",getCategoryLevelAsString($B184))),";",EscStr($J184),";"),CONCATENATE(";",EscStr(CONCATENATE("NavNode_",getCategoryLevelAsString($B184))),";",EscStr(G184),";")))</f>
        <v>;"NavNode_L3D_525470";"Prozessanzeigen / Regler / SPS / HMI";</v>
      </c>
      <c r="AA184" s="10" t="str">
        <f>IF(getCategoryLevelAsString($B184)="L0D_324785","",IF(H184="",CONCATENATE(";",EscStr(CONCATENATE("NavNode_",getCategoryLevelAsString($B184))),";",EscStr($J184),";"),CONCATENATE(";",EscStr(CONCATENATE("NavNode_",getCategoryLevelAsString($B184))),";",EscStr(H184),";")))</f>
        <v>;"NavNode_L3D_525470";"Affichage de processus / Régulateurs / API / HMI";</v>
      </c>
      <c r="AB184" s="10" t="str">
        <f>IF(getCategoryLevelAsString($B184)="L0D_324785","",IF(I184="",CONCATENATE(";",EscStr(CONCATENATE("NavNode_",getCategoryLevelAsString($B184))),";",EscStr($J184),";"),CONCATENATE(";",EscStr(CONCATENATE("NavNode_",getCategoryLevelAsString($B184))),";",EscStr(I184),";")))</f>
        <v>;"NavNode_L3D_525470";"Indicatori di processo / Regolatori / PLC / HMI";</v>
      </c>
      <c r="AC184" s="10" t="str">
        <f>IF(getCategoryLevelAsString($B184)="L0D_324785","",IF(J184="",CONCATENATE(";",EscStr(CONCATENATE("NavNode_",getCategoryLevelAsString($B184))),";",EscStr($J184),";"),CONCATENATE(";",EscStr(CONCATENATE("NavNode_",getCategoryLevelAsString($B184))),";",EscStr(J184),";")))</f>
        <v>;"NavNode_L3D_525470";"Process Displays / Regulators / PLC / HMI";</v>
      </c>
      <c r="AD184" s="10" t="str">
        <f>IF(getCategoryLevelAsString($B184)="L0D_324785","",IF(K184="",CONCATENATE(";",EscStr(CONCATENATE("NavNode_",getCategoryLevelAsString($B184))),";",EscStr($J184),";"),CONCATENATE(";",EscStr(CONCATENATE("NavNode_",getCategoryLevelAsString($B184))),";",EscStr(K184),";")))</f>
        <v>;"NavNode_L3D_525470";"Procesdisplay/regulatorer/PLC/HMI";</v>
      </c>
      <c r="AE184" s="10" t="str">
        <f>IF(getCategoryLevelAsString($B184)="L0D_324785","",IF(L184="",CONCATENATE(";",EscStr(CONCATENATE("NavNode_",getCategoryLevelAsString($B184))),";",EscStr($J184),";"),CONCATENATE(";",EscStr(CONCATENATE("NavNode_",getCategoryLevelAsString($B184))),";",EscStr(L184),";")))</f>
        <v>;"NavNode_L3D_525470";"Procesų ekranai / reguliatoriai / PLC / HMI";</v>
      </c>
      <c r="AF184" s="10" t="str">
        <f>IF(getCategoryLevelAsString($B184)="L0D_324785","",IF(M184="",CONCATENATE(";",EscStr(CONCATENATE("NavNode_",getCategoryLevelAsString($B184))),";",EscStr($J184),";"),CONCATENATE(";",EscStr(CONCATENATE("NavNode_",getCategoryLevelAsString($B184))),";",EscStr(M184),";")))</f>
        <v>;"NavNode_L3D_525470";"Prosessdisplayer/regulatorer/PLC/HMI";</v>
      </c>
      <c r="AG184" s="10" t="str">
        <f>IF(getCategoryLevelAsString($B184)="L0D_324785","",IF(N184="",CONCATENATE(";",EscStr(CONCATENATE("NavNode_",getCategoryLevelAsString($B184))),";",EscStr($J184),";"),CONCATENATE(";",EscStr(CONCATENATE("NavNode_",getCategoryLevelAsString($B184))),";",EscStr(N184),";")))</f>
        <v>;"NavNode_L3D_525470";"Processkärmar/Regulatorer/PLC/HMI";</v>
      </c>
      <c r="AH184" s="10" t="str">
        <f>IF(getCategoryLevelAsString($B184)="L0D_324785","",IF(O184="",CONCATENATE(";",EscStr(CONCATENATE("NavNode_",getCategoryLevelAsString($B184))),";",EscStr($J184),";"),CONCATENATE(";",EscStr(CONCATENATE("NavNode_",getCategoryLevelAsString($B184))),";",EscStr(O184),";")))</f>
        <v>;"NavNode_L3D_525470";"Moodulekraanid / Regulaatorid / PLC / HMI";</v>
      </c>
      <c r="AI184" s="10" t="str">
        <f>IF(getCategoryLevelAsString($B184)="L0D_324785","",IF(P184="",CONCATENATE(";",EscStr(CONCATENATE("NavNode_",getCategoryLevelAsString($B184))),";",EscStr($J184),";"),CONCATENATE(";",EscStr(CONCATENATE("NavNode_",getCategoryLevelAsString($B184))),";",EscStr(P184),";")))</f>
        <v>;"NavNode_L3D_525470";"Prosessinäytöt/regulaattorit";</v>
      </c>
      <c r="AJ184" s="10" t="str">
        <f>IF(getCategoryLevelAsString($B184)="L0D_324785","",IF(Q184="",CONCATENATE(";",EscStr(CONCATENATE("NavNode_",getCategoryLevelAsString($B184))),";",EscStr($J184),";"),CONCATENATE(";",EscStr(CONCATENATE("NavNode_",getCategoryLevelAsString($B184))),";",EscStr(Q184),";")))</f>
        <v>;"NavNode_L3D_525470";"Procesu displeji / Regulatori / PLC / Cilvēka-mašīnas interfeisi";</v>
      </c>
      <c r="AK184" s="10" t="str">
        <f>IF(getCategoryLevelAsString($B184)="L0D_324785","",IF(R184="",CONCATENATE(";",EscStr(CONCATENATE("NavNode_",getCategoryLevelAsString($B184))),";",EscStr($J184),";"),CONCATENATE(";",EscStr(CONCATENATE("NavNode_",getCategoryLevelAsString($B184))),";",EscStr(R184),";")))</f>
        <v>;"NavNode_L3D_525470";"Procesdisplays / procesregelaars / PLCs / HMI";</v>
      </c>
      <c r="AL184" s="10" t="str">
        <f>IF(getCategoryLevelAsString($B184)="L0D_324785","",IF(S184="",CONCATENATE(";",EscStr(CONCATENATE("NavNode_",getCategoryLevelAsString($B184))),";",EscStr($J184),";"),CONCATENATE(";",EscStr(CONCATENATE("NavNode_",getCategoryLevelAsString($B184))),";",EscStr(S184),";")))</f>
        <v>;"NavNode_L3D_525470";"Wskaźniki procesów / Regulatory / PLC / HMI";</v>
      </c>
      <c r="AM184" s="10" t="str">
        <f>IF(getCategoryLevelAsString($B184)="L0D_324785","",IF(T184="",CONCATENATE(";",EscStr(CONCATENATE("NavNode_",getCategoryLevelAsString($B184))),";",EscStr($J184),";"),CONCATENATE(";",EscStr(CONCATENATE("NavNode_",getCategoryLevelAsString($B184))),";",EscStr(T184),";")))</f>
        <v>;"NavNode_L3D_525470";"Дисплеи процессов / Регуляторы / PLC / HMI";</v>
      </c>
      <c r="AN184" s="10" t="str">
        <f>IF(getCategoryLevelAsString($B184)="L0D_324785","",IF(U184="",CONCATENATE(";",EscStr(CONCATENATE("NavNode_",getCategoryLevelAsString($B184))),";",EscStr($J184),";"),CONCATENATE(";",EscStr(CONCATENATE("NavNode_",getCategoryLevelAsString($B184))),";",EscStr(U184),";")))</f>
        <v>;"NavNode_L3D_525470";"Procesní ukazatele / Ovladače / PLC / HMI";</v>
      </c>
      <c r="AO184" s="10" t="str">
        <f>IF(getCategoryLevelAsString($B184)="L0D_324785","",IF(V184="",CONCATENATE(";",EscStr(CONCATENATE("NavNode_",getCategoryLevelAsString($B184))),";",EscStr($J184),";"),CONCATENATE(";",EscStr(CONCATENATE("NavNode_",getCategoryLevelAsString($B184))),";",EscStr(V184),";")))</f>
        <v>;"NavNode_L3D_525470";"Afişoare de proces / controler / PLC / HMI";</v>
      </c>
      <c r="AP184" s="10" t="str">
        <f>IF(getCategoryLevelAsString($B184)="L0D_324785","",IF(W184="",CONCATENATE(";",EscStr(CONCATENATE("NavNode_",getCategoryLevelAsString($B184))),";",EscStr($J184),";"),CONCATENATE(";",EscStr(CONCATENATE("NavNode_",getCategoryLevelAsString($B184))),";",EscStr(W184),";")))</f>
        <v>;"NavNode_L3D_525470";"Folyamatkijelzők / Szabályozók / SPS / HMI";</v>
      </c>
      <c r="AQ184" s="10" t="str">
        <f>IF(getCategoryLevelAsString($B184)="L0D_324785","",IF(X184="",CONCATENATE(";",EscStr(CONCATENATE("NavNode_",getCategoryLevelAsString($B184))),";",EscStr($J184),";"),CONCATENATE(";",EscStr(CONCATENATE("NavNode_",getCategoryLevelAsString($B184))),";",EscStr(X184),";")))</f>
        <v>;"NavNode_L3D_525470";"Procesní ukazatele / Ovladače / PLC / HMI";</v>
      </c>
      <c r="AR184" s="8" t="str">
        <f>IF(OR($A184&lt;&gt;"", $G184=""),"",CONCATENATE(";",EscStr(CONCATENATE("NavEntry_",getCategoryLevelAsString($B184))),";",EscStr(CONCATENATE($J184," Navigation Entry")),";",EscStr(CONCATENATE("cat-",getCategoryLevelAsString($B184))),";",EscStr(CONCATENATE("NavNode_",getCategoryLevelAsString($B184))),";"))</f>
        <v>;"NavEntry_L3D_525470";"Process Displays / Regulators / PLC / HMI Navigation Entry";"cat-L3D_525470";"NavNode_L3D_525470";</v>
      </c>
    </row>
    <row r="185" spans="1:44" ht="15" x14ac:dyDescent="0.25">
      <c r="A185" s="25"/>
      <c r="B185" s="5"/>
      <c r="C185" s="5"/>
      <c r="D185" s="5" t="s">
        <v>93</v>
      </c>
      <c r="E185" s="5"/>
      <c r="F185" s="5"/>
      <c r="G185" s="5" t="s">
        <v>318</v>
      </c>
      <c r="H185" s="5" t="s">
        <v>319</v>
      </c>
      <c r="I185" s="5" t="s">
        <v>320</v>
      </c>
      <c r="J185" s="5" t="s">
        <v>94</v>
      </c>
      <c r="K185" s="5" t="s">
        <v>1297</v>
      </c>
      <c r="L185" s="5" t="s">
        <v>1531</v>
      </c>
      <c r="M185" s="5" t="s">
        <v>1297</v>
      </c>
      <c r="N185" s="5" t="s">
        <v>1961</v>
      </c>
      <c r="O185" s="5" t="s">
        <v>3301</v>
      </c>
      <c r="P185" s="5" t="s">
        <v>3302</v>
      </c>
      <c r="Q185" s="5" t="s">
        <v>3303</v>
      </c>
      <c r="R185" s="5" t="s">
        <v>3304</v>
      </c>
      <c r="S185" s="5" t="s">
        <v>3305</v>
      </c>
      <c r="T185" s="5" t="s">
        <v>3306</v>
      </c>
      <c r="U185" s="5" t="s">
        <v>3307</v>
      </c>
      <c r="V185" s="5" t="s">
        <v>3308</v>
      </c>
      <c r="W185" s="5" t="s">
        <v>3309</v>
      </c>
      <c r="X185" s="5" t="s">
        <v>3307</v>
      </c>
      <c r="Y185" s="10" t="str">
        <f>IF(OR($A185&lt;&gt;"", $G185=""),"",CONCATENATE(";",EscStr(CONCATENATE("NavNode_",getCategoryLevelAsString($B185))),";",EscStr($J185),";",IF($B185&lt;&gt;"","""MainNavNode""",EscStr(CONCATENATE("NavNode_",getSuperCategory($B185, getCategoryLevelAsNumber($B185))))),";"))</f>
        <v>;"NavNode_L3D_525471";"PLC Systems";"NavNode_L2D_379610";</v>
      </c>
      <c r="Z185" s="10" t="str">
        <f>IF(getCategoryLevelAsString($B185)="L0D_324785","",IF(G185="",CONCATENATE(";",EscStr(CONCATENATE("NavNode_",getCategoryLevelAsString($B185))),";",EscStr($J185),";"),CONCATENATE(";",EscStr(CONCATENATE("NavNode_",getCategoryLevelAsString($B185))),";",EscStr(G185),";")))</f>
        <v>;"NavNode_L3D_525471";"Steuerungen";</v>
      </c>
      <c r="AA185" s="10" t="str">
        <f>IF(getCategoryLevelAsString($B185)="L0D_324785","",IF(H185="",CONCATENATE(";",EscStr(CONCATENATE("NavNode_",getCategoryLevelAsString($B185))),";",EscStr($J185),";"),CONCATENATE(";",EscStr(CONCATENATE("NavNode_",getCategoryLevelAsString($B185))),";",EscStr(H185),";")))</f>
        <v>;"NavNode_L3D_525471";"Commandes";</v>
      </c>
      <c r="AB185" s="10" t="str">
        <f>IF(getCategoryLevelAsString($B185)="L0D_324785","",IF(I185="",CONCATENATE(";",EscStr(CONCATENATE("NavNode_",getCategoryLevelAsString($B185))),";",EscStr($J185),";"),CONCATENATE(";",EscStr(CONCATENATE("NavNode_",getCategoryLevelAsString($B185))),";",EscStr(I185),";")))</f>
        <v>;"NavNode_L3D_525471";"Comandi";</v>
      </c>
      <c r="AC185" s="10" t="str">
        <f>IF(getCategoryLevelAsString($B185)="L0D_324785","",IF(J185="",CONCATENATE(";",EscStr(CONCATENATE("NavNode_",getCategoryLevelAsString($B185))),";",EscStr($J185),";"),CONCATENATE(";",EscStr(CONCATENATE("NavNode_",getCategoryLevelAsString($B185))),";",EscStr(J185),";")))</f>
        <v>;"NavNode_L3D_525471";"PLC Systems";</v>
      </c>
      <c r="AD185" s="10" t="str">
        <f>IF(getCategoryLevelAsString($B185)="L0D_324785","",IF(K185="",CONCATENATE(";",EscStr(CONCATENATE("NavNode_",getCategoryLevelAsString($B185))),";",EscStr($J185),";"),CONCATENATE(";",EscStr(CONCATENATE("NavNode_",getCategoryLevelAsString($B185))),";",EscStr(K185),";")))</f>
        <v>;"NavNode_L3D_525471";"PLC-systemer";</v>
      </c>
      <c r="AE185" s="10" t="str">
        <f>IF(getCategoryLevelAsString($B185)="L0D_324785","",IF(L185="",CONCATENATE(";",EscStr(CONCATENATE("NavNode_",getCategoryLevelAsString($B185))),";",EscStr($J185),";"),CONCATENATE(";",EscStr(CONCATENATE("NavNode_",getCategoryLevelAsString($B185))),";",EscStr(L185),";")))</f>
        <v>;"NavNode_L3D_525471";"PLC sistemos";</v>
      </c>
      <c r="AF185" s="10" t="str">
        <f>IF(getCategoryLevelAsString($B185)="L0D_324785","",IF(M185="",CONCATENATE(";",EscStr(CONCATENATE("NavNode_",getCategoryLevelAsString($B185))),";",EscStr($J185),";"),CONCATENATE(";",EscStr(CONCATENATE("NavNode_",getCategoryLevelAsString($B185))),";",EscStr(M185),";")))</f>
        <v>;"NavNode_L3D_525471";"PLC-systemer";</v>
      </c>
      <c r="AG185" s="10" t="str">
        <f>IF(getCategoryLevelAsString($B185)="L0D_324785","",IF(N185="",CONCATENATE(";",EscStr(CONCATENATE("NavNode_",getCategoryLevelAsString($B185))),";",EscStr($J185),";"),CONCATENATE(";",EscStr(CONCATENATE("NavNode_",getCategoryLevelAsString($B185))),";",EscStr(N185),";")))</f>
        <v>;"NavNode_L3D_525471";"PLC-system";</v>
      </c>
      <c r="AH185" s="10" t="str">
        <f>IF(getCategoryLevelAsString($B185)="L0D_324785","",IF(O185="",CONCATENATE(";",EscStr(CONCATENATE("NavNode_",getCategoryLevelAsString($B185))),";",EscStr($J185),";"),CONCATENATE(";",EscStr(CONCATENATE("NavNode_",getCategoryLevelAsString($B185))),";",EscStr(O185),";")))</f>
        <v>;"NavNode_L3D_525471";"PLC süsteemid";</v>
      </c>
      <c r="AI185" s="10" t="str">
        <f>IF(getCategoryLevelAsString($B185)="L0D_324785","",IF(P185="",CONCATENATE(";",EscStr(CONCATENATE("NavNode_",getCategoryLevelAsString($B185))),";",EscStr($J185),";"),CONCATENATE(";",EscStr(CONCATENATE("NavNode_",getCategoryLevelAsString($B185))),";",EscStr(P185),";")))</f>
        <v>;"NavNode_L3D_525471";"Ohjelmoitavat logiikat";</v>
      </c>
      <c r="AJ185" s="10" t="str">
        <f>IF(getCategoryLevelAsString($B185)="L0D_324785","",IF(Q185="",CONCATENATE(";",EscStr(CONCATENATE("NavNode_",getCategoryLevelAsString($B185))),";",EscStr($J185),";"),CONCATENATE(";",EscStr(CONCATENATE("NavNode_",getCategoryLevelAsString($B185))),";",EscStr(Q185),";")))</f>
        <v>;"NavNode_L3D_525471";"PLC sistēmas";</v>
      </c>
      <c r="AK185" s="10" t="str">
        <f>IF(getCategoryLevelAsString($B185)="L0D_324785","",IF(R185="",CONCATENATE(";",EscStr(CONCATENATE("NavNode_",getCategoryLevelAsString($B185))),";",EscStr($J185),";"),CONCATENATE(";",EscStr(CONCATENATE("NavNode_",getCategoryLevelAsString($B185))),";",EscStr(R185),";")))</f>
        <v>;"NavNode_L3D_525471";"PLC Systemen";</v>
      </c>
      <c r="AL185" s="10" t="str">
        <f>IF(getCategoryLevelAsString($B185)="L0D_324785","",IF(S185="",CONCATENATE(";",EscStr(CONCATENATE("NavNode_",getCategoryLevelAsString($B185))),";",EscStr($J185),";"),CONCATENATE(";",EscStr(CONCATENATE("NavNode_",getCategoryLevelAsString($B185))),";",EscStr(S185),";")))</f>
        <v>;"NavNode_L3D_525471";"Systemy PLC";</v>
      </c>
      <c r="AM185" s="10" t="str">
        <f>IF(getCategoryLevelAsString($B185)="L0D_324785","",IF(T185="",CONCATENATE(";",EscStr(CONCATENATE("NavNode_",getCategoryLevelAsString($B185))),";",EscStr($J185),";"),CONCATENATE(";",EscStr(CONCATENATE("NavNode_",getCategoryLevelAsString($B185))),";",EscStr(T185),";")))</f>
        <v>;"NavNode_L3D_525471";"PLC Системы";</v>
      </c>
      <c r="AN185" s="10" t="str">
        <f>IF(getCategoryLevelAsString($B185)="L0D_324785","",IF(U185="",CONCATENATE(";",EscStr(CONCATENATE("NavNode_",getCategoryLevelAsString($B185))),";",EscStr($J185),";"),CONCATENATE(";",EscStr(CONCATENATE("NavNode_",getCategoryLevelAsString($B185))),";",EscStr(U185),";")))</f>
        <v>;"NavNode_L3D_525471";"Ovládání";</v>
      </c>
      <c r="AO185" s="10" t="str">
        <f>IF(getCategoryLevelAsString($B185)="L0D_324785","",IF(V185="",CONCATENATE(";",EscStr(CONCATENATE("NavNode_",getCategoryLevelAsString($B185))),";",EscStr($J185),";"),CONCATENATE(";",EscStr(CONCATENATE("NavNode_",getCategoryLevelAsString($B185))),";",EscStr(V185),";")))</f>
        <v>;"NavNode_L3D_525471";"Controloare / Regloare";</v>
      </c>
      <c r="AP185" s="10" t="str">
        <f>IF(getCategoryLevelAsString($B185)="L0D_324785","",IF(W185="",CONCATENATE(";",EscStr(CONCATENATE("NavNode_",getCategoryLevelAsString($B185))),";",EscStr($J185),";"),CONCATENATE(";",EscStr(CONCATENATE("NavNode_",getCategoryLevelAsString($B185))),";",EscStr(W185),";")))</f>
        <v>;"NavNode_L3D_525471";"Vezérlők";</v>
      </c>
      <c r="AQ185" s="10" t="str">
        <f>IF(getCategoryLevelAsString($B185)="L0D_324785","",IF(X185="",CONCATENATE(";",EscStr(CONCATENATE("NavNode_",getCategoryLevelAsString($B185))),";",EscStr($J185),";"),CONCATENATE(";",EscStr(CONCATENATE("NavNode_",getCategoryLevelAsString($B185))),";",EscStr(X185),";")))</f>
        <v>;"NavNode_L3D_525471";"Ovládání";</v>
      </c>
      <c r="AR185" s="8" t="str">
        <f>IF(OR($A185&lt;&gt;"", $G185=""),"",CONCATENATE(";",EscStr(CONCATENATE("NavEntry_",getCategoryLevelAsString($B185))),";",EscStr(CONCATENATE($J185," Navigation Entry")),";",EscStr(CONCATENATE("cat-",getCategoryLevelAsString($B185))),";",EscStr(CONCATENATE("NavNode_",getCategoryLevelAsString($B185))),";"))</f>
        <v>;"NavEntry_L3D_525471";"PLC Systems Navigation Entry";"cat-L3D_525471";"NavNode_L3D_525471";</v>
      </c>
    </row>
    <row r="186" spans="1:44" ht="15" x14ac:dyDescent="0.25">
      <c r="A186" s="25"/>
      <c r="B186" s="5"/>
      <c r="C186" s="5"/>
      <c r="D186" s="5" t="s">
        <v>91</v>
      </c>
      <c r="E186" s="5"/>
      <c r="F186" s="5"/>
      <c r="G186" s="5" t="s">
        <v>92</v>
      </c>
      <c r="H186" s="5" t="s">
        <v>316</v>
      </c>
      <c r="I186" s="5" t="s">
        <v>317</v>
      </c>
      <c r="J186" s="5" t="s">
        <v>92</v>
      </c>
      <c r="K186" s="5" t="s">
        <v>1298</v>
      </c>
      <c r="L186" s="5" t="s">
        <v>1532</v>
      </c>
      <c r="M186" s="5" t="s">
        <v>1754</v>
      </c>
      <c r="N186" s="5" t="s">
        <v>1962</v>
      </c>
      <c r="O186" s="5" t="s">
        <v>3310</v>
      </c>
      <c r="P186" s="5" t="s">
        <v>3311</v>
      </c>
      <c r="Q186" s="5" t="s">
        <v>3312</v>
      </c>
      <c r="R186" s="5" t="s">
        <v>3313</v>
      </c>
      <c r="S186" s="5" t="s">
        <v>3314</v>
      </c>
      <c r="T186" s="5" t="s">
        <v>3315</v>
      </c>
      <c r="U186" s="5" t="s">
        <v>3316</v>
      </c>
      <c r="V186" s="5" t="s">
        <v>3317</v>
      </c>
      <c r="W186" s="5" t="s">
        <v>92</v>
      </c>
      <c r="X186" s="5" t="s">
        <v>3316</v>
      </c>
      <c r="Y186" s="10" t="str">
        <f>IF(OR($A186&lt;&gt;"", $G186=""),"",CONCATENATE(";",EscStr(CONCATENATE("NavNode_",getCategoryLevelAsString($B186))),";",EscStr($J186),";",IF($B186&lt;&gt;"","""MainNavNode""",EscStr(CONCATENATE("NavNode_",getSuperCategory($B186, getCategoryLevelAsNumber($B186))))),";"))</f>
        <v>;"NavNode_L3D_525469";"Human Machine Interfaces";"NavNode_L2D_379610";</v>
      </c>
      <c r="Z186" s="10" t="str">
        <f>IF(getCategoryLevelAsString($B186)="L0D_324785","",IF(G186="",CONCATENATE(";",EscStr(CONCATENATE("NavNode_",getCategoryLevelAsString($B186))),";",EscStr($J186),";"),CONCATENATE(";",EscStr(CONCATENATE("NavNode_",getCategoryLevelAsString($B186))),";",EscStr(G186),";")))</f>
        <v>;"NavNode_L3D_525469";"Human Machine Interfaces";</v>
      </c>
      <c r="AA186" s="10" t="str">
        <f>IF(getCategoryLevelAsString($B186)="L0D_324785","",IF(H186="",CONCATENATE(";",EscStr(CONCATENATE("NavNode_",getCategoryLevelAsString($B186))),";",EscStr($J186),";"),CONCATENATE(";",EscStr(CONCATENATE("NavNode_",getCategoryLevelAsString($B186))),";",EscStr(H186),";")))</f>
        <v>;"NavNode_L3D_525469";"Interfaces homme-machine";</v>
      </c>
      <c r="AB186" s="10" t="str">
        <f>IF(getCategoryLevelAsString($B186)="L0D_324785","",IF(I186="",CONCATENATE(";",EscStr(CONCATENATE("NavNode_",getCategoryLevelAsString($B186))),";",EscStr($J186),";"),CONCATENATE(";",EscStr(CONCATENATE("NavNode_",getCategoryLevelAsString($B186))),";",EscStr(I186),";")))</f>
        <v>;"NavNode_L3D_525469";"Interfacce uomo-macchina";</v>
      </c>
      <c r="AC186" s="10" t="str">
        <f>IF(getCategoryLevelAsString($B186)="L0D_324785","",IF(J186="",CONCATENATE(";",EscStr(CONCATENATE("NavNode_",getCategoryLevelAsString($B186))),";",EscStr($J186),";"),CONCATENATE(";",EscStr(CONCATENATE("NavNode_",getCategoryLevelAsString($B186))),";",EscStr(J186),";")))</f>
        <v>;"NavNode_L3D_525469";"Human Machine Interfaces";</v>
      </c>
      <c r="AD186" s="10" t="str">
        <f>IF(getCategoryLevelAsString($B186)="L0D_324785","",IF(K186="",CONCATENATE(";",EscStr(CONCATENATE("NavNode_",getCategoryLevelAsString($B186))),";",EscStr($J186),";"),CONCATENATE(";",EscStr(CONCATENATE("NavNode_",getCategoryLevelAsString($B186))),";",EscStr(K186),";")))</f>
        <v>;"NavNode_L3D_525469";"Menneske-maskine-interface";</v>
      </c>
      <c r="AE186" s="10" t="str">
        <f>IF(getCategoryLevelAsString($B186)="L0D_324785","",IF(L186="",CONCATENATE(";",EscStr(CONCATENATE("NavNode_",getCategoryLevelAsString($B186))),";",EscStr($J186),";"),CONCATENATE(";",EscStr(CONCATENATE("NavNode_",getCategoryLevelAsString($B186))),";",EscStr(L186),";")))</f>
        <v>;"NavNode_L3D_525469";"Žmogaus-mašinos sąsajos";</v>
      </c>
      <c r="AF186" s="10" t="str">
        <f>IF(getCategoryLevelAsString($B186)="L0D_324785","",IF(M186="",CONCATENATE(";",EscStr(CONCATENATE("NavNode_",getCategoryLevelAsString($B186))),";",EscStr($J186),";"),CONCATENATE(";",EscStr(CONCATENATE("NavNode_",getCategoryLevelAsString($B186))),";",EscStr(M186),";")))</f>
        <v>;"NavNode_L3D_525469";"Brukergrensesnitt";</v>
      </c>
      <c r="AG186" s="10" t="str">
        <f>IF(getCategoryLevelAsString($B186)="L0D_324785","",IF(N186="",CONCATENATE(";",EscStr(CONCATENATE("NavNode_",getCategoryLevelAsString($B186))),";",EscStr($J186),";"),CONCATENATE(";",EscStr(CONCATENATE("NavNode_",getCategoryLevelAsString($B186))),";",EscStr(N186),";")))</f>
        <v>;"NavNode_L3D_525469";"Människa-maskingränssnitt";</v>
      </c>
      <c r="AH186" s="10" t="str">
        <f>IF(getCategoryLevelAsString($B186)="L0D_324785","",IF(O186="",CONCATENATE(";",EscStr(CONCATENATE("NavNode_",getCategoryLevelAsString($B186))),";",EscStr($J186),";"),CONCATENATE(";",EscStr(CONCATENATE("NavNode_",getCategoryLevelAsString($B186))),";",EscStr(O186),";")))</f>
        <v>;"NavNode_L3D_525469";"Inimene-masin liides";</v>
      </c>
      <c r="AI186" s="10" t="str">
        <f>IF(getCategoryLevelAsString($B186)="L0D_324785","",IF(P186="",CONCATENATE(";",EscStr(CONCATENATE("NavNode_",getCategoryLevelAsString($B186))),";",EscStr($J186),";"),CONCATENATE(";",EscStr(CONCATENATE("NavNode_",getCategoryLevelAsString($B186))),";",EscStr(P186),";")))</f>
        <v>;"NavNode_L3D_525469";"Ihmisrajapinnat";</v>
      </c>
      <c r="AJ186" s="10" t="str">
        <f>IF(getCategoryLevelAsString($B186)="L0D_324785","",IF(Q186="",CONCATENATE(";",EscStr(CONCATENATE("NavNode_",getCategoryLevelAsString($B186))),";",EscStr($J186),";"),CONCATENATE(";",EscStr(CONCATENATE("NavNode_",getCategoryLevelAsString($B186))),";",EscStr(Q186),";")))</f>
        <v>;"NavNode_L3D_525469";"Cilvēka-mašīnas interfeisi";</v>
      </c>
      <c r="AK186" s="10" t="str">
        <f>IF(getCategoryLevelAsString($B186)="L0D_324785","",IF(R186="",CONCATENATE(";",EscStr(CONCATENATE("NavNode_",getCategoryLevelAsString($B186))),";",EscStr($J186),";"),CONCATENATE(";",EscStr(CONCATENATE("NavNode_",getCategoryLevelAsString($B186))),";",EscStr(R186),";")))</f>
        <v>;"NavNode_L3D_525469";"Human machine interfaces";</v>
      </c>
      <c r="AL186" s="10" t="str">
        <f>IF(getCategoryLevelAsString($B186)="L0D_324785","",IF(S186="",CONCATENATE(";",EscStr(CONCATENATE("NavNode_",getCategoryLevelAsString($B186))),";",EscStr($J186),";"),CONCATENATE(";",EscStr(CONCATENATE("NavNode_",getCategoryLevelAsString($B186))),";",EscStr(S186),";")))</f>
        <v>;"NavNode_L3D_525469";"Interfejsy użytkownika";</v>
      </c>
      <c r="AM186" s="10" t="str">
        <f>IF(getCategoryLevelAsString($B186)="L0D_324785","",IF(T186="",CONCATENATE(";",EscStr(CONCATENATE("NavNode_",getCategoryLevelAsString($B186))),";",EscStr($J186),";"),CONCATENATE(";",EscStr(CONCATENATE("NavNode_",getCategoryLevelAsString($B186))),";",EscStr(T186),";")))</f>
        <v>;"NavNode_L3D_525469";"Человеко-машинные интерфейсы";</v>
      </c>
      <c r="AN186" s="10" t="str">
        <f>IF(getCategoryLevelAsString($B186)="L0D_324785","",IF(U186="",CONCATENATE(";",EscStr(CONCATENATE("NavNode_",getCategoryLevelAsString($B186))),";",EscStr($J186),";"),CONCATENATE(";",EscStr(CONCATENATE("NavNode_",getCategoryLevelAsString($B186))),";",EscStr(U186),";")))</f>
        <v>;"NavNode_L3D_525469";"HMI";</v>
      </c>
      <c r="AO186" s="10" t="str">
        <f>IF(getCategoryLevelAsString($B186)="L0D_324785","",IF(V186="",CONCATENATE(";",EscStr(CONCATENATE("NavNode_",getCategoryLevelAsString($B186))),";",EscStr($J186),";"),CONCATENATE(";",EscStr(CONCATENATE("NavNode_",getCategoryLevelAsString($B186))),";",EscStr(V186),";")))</f>
        <v>;"NavNode_L3D_525469";"Interfeaţă om-maşină";</v>
      </c>
      <c r="AP186" s="10" t="str">
        <f>IF(getCategoryLevelAsString($B186)="L0D_324785","",IF(W186="",CONCATENATE(";",EscStr(CONCATENATE("NavNode_",getCategoryLevelAsString($B186))),";",EscStr($J186),";"),CONCATENATE(";",EscStr(CONCATENATE("NavNode_",getCategoryLevelAsString($B186))),";",EscStr(W186),";")))</f>
        <v>;"NavNode_L3D_525469";"Human Machine Interfaces";</v>
      </c>
      <c r="AQ186" s="10" t="str">
        <f>IF(getCategoryLevelAsString($B186)="L0D_324785","",IF(X186="",CONCATENATE(";",EscStr(CONCATENATE("NavNode_",getCategoryLevelAsString($B186))),";",EscStr($J186),";"),CONCATENATE(";",EscStr(CONCATENATE("NavNode_",getCategoryLevelAsString($B186))),";",EscStr(X186),";")))</f>
        <v>;"NavNode_L3D_525469";"HMI";</v>
      </c>
      <c r="AR186" s="8" t="str">
        <f>IF(OR($A186&lt;&gt;"", $G186=""),"",CONCATENATE(";",EscStr(CONCATENATE("NavEntry_",getCategoryLevelAsString($B186))),";",EscStr(CONCATENATE($J186," Navigation Entry")),";",EscStr(CONCATENATE("cat-",getCategoryLevelAsString($B186))),";",EscStr(CONCATENATE("NavNode_",getCategoryLevelAsString($B186))),";"))</f>
        <v>;"NavEntry_L3D_525469";"Human Machine Interfaces Navigation Entry";"cat-L3D_525469";"NavNode_L3D_525469";</v>
      </c>
    </row>
    <row r="187" spans="1:44" ht="15" x14ac:dyDescent="0.25">
      <c r="A187" s="25"/>
      <c r="B187" s="5"/>
      <c r="C187" s="5"/>
      <c r="D187" s="5" t="s">
        <v>95</v>
      </c>
      <c r="E187" s="5"/>
      <c r="F187" s="5"/>
      <c r="G187" s="5" t="s">
        <v>942</v>
      </c>
      <c r="H187" s="5" t="s">
        <v>321</v>
      </c>
      <c r="I187" s="5" t="s">
        <v>322</v>
      </c>
      <c r="J187" s="5" t="s">
        <v>96</v>
      </c>
      <c r="K187" s="5" t="s">
        <v>1299</v>
      </c>
      <c r="L187" s="5" t="s">
        <v>1533</v>
      </c>
      <c r="M187" s="5" t="s">
        <v>1755</v>
      </c>
      <c r="N187" s="5" t="s">
        <v>1963</v>
      </c>
      <c r="O187" s="5" t="s">
        <v>3318</v>
      </c>
      <c r="P187" s="5" t="s">
        <v>3319</v>
      </c>
      <c r="Q187" s="5" t="s">
        <v>3320</v>
      </c>
      <c r="R187" s="5" t="s">
        <v>3321</v>
      </c>
      <c r="S187" s="5" t="s">
        <v>3322</v>
      </c>
      <c r="T187" s="5" t="s">
        <v>3323</v>
      </c>
      <c r="U187" s="5" t="s">
        <v>3324</v>
      </c>
      <c r="V187" s="5" t="s">
        <v>3325</v>
      </c>
      <c r="W187" s="5" t="s">
        <v>3326</v>
      </c>
      <c r="X187" s="5" t="s">
        <v>3324</v>
      </c>
      <c r="Y187" s="10" t="str">
        <f>IF(OR($A187&lt;&gt;"", $G187=""),"",CONCATENATE(";",EscStr(CONCATENATE("NavNode_",getCategoryLevelAsString($B187))),";",EscStr($J187),";",IF($B187&lt;&gt;"","""MainNavNode""",EscStr(CONCATENATE("NavNode_",getSuperCategory($B187, getCategoryLevelAsNumber($B187))))),";"))</f>
        <v>;"NavNode_L3D_525468";"Process Controllers";"NavNode_L2D_379610";</v>
      </c>
      <c r="Z187" s="10" t="str">
        <f>IF(getCategoryLevelAsString($B187)="L0D_324785","",IF(G187="",CONCATENATE(";",EscStr(CONCATENATE("NavNode_",getCategoryLevelAsString($B187))),";",EscStr($J187),";"),CONCATENATE(";",EscStr(CONCATENATE("NavNode_",getCategoryLevelAsString($B187))),";",EscStr(G187),";")))</f>
        <v>;"NavNode_L3D_525468";"Prozessregler";</v>
      </c>
      <c r="AA187" s="10" t="str">
        <f>IF(getCategoryLevelAsString($B187)="L0D_324785","",IF(H187="",CONCATENATE(";",EscStr(CONCATENATE("NavNode_",getCategoryLevelAsString($B187))),";",EscStr($J187),";"),CONCATENATE(";",EscStr(CONCATENATE("NavNode_",getCategoryLevelAsString($B187))),";",EscStr(H187),";")))</f>
        <v>;"NavNode_L3D_525468";"Régulateurs de processus";</v>
      </c>
      <c r="AB187" s="10" t="str">
        <f>IF(getCategoryLevelAsString($B187)="L0D_324785","",IF(I187="",CONCATENATE(";",EscStr(CONCATENATE("NavNode_",getCategoryLevelAsString($B187))),";",EscStr($J187),";"),CONCATENATE(";",EscStr(CONCATENATE("NavNode_",getCategoryLevelAsString($B187))),";",EscStr(I187),";")))</f>
        <v>;"NavNode_L3D_525468";"Controller di processo";</v>
      </c>
      <c r="AC187" s="10" t="str">
        <f>IF(getCategoryLevelAsString($B187)="L0D_324785","",IF(J187="",CONCATENATE(";",EscStr(CONCATENATE("NavNode_",getCategoryLevelAsString($B187))),";",EscStr($J187),";"),CONCATENATE(";",EscStr(CONCATENATE("NavNode_",getCategoryLevelAsString($B187))),";",EscStr(J187),";")))</f>
        <v>;"NavNode_L3D_525468";"Process Controllers";</v>
      </c>
      <c r="AD187" s="10" t="str">
        <f>IF(getCategoryLevelAsString($B187)="L0D_324785","",IF(K187="",CONCATENATE(";",EscStr(CONCATENATE("NavNode_",getCategoryLevelAsString($B187))),";",EscStr($J187),";"),CONCATENATE(";",EscStr(CONCATENATE("NavNode_",getCategoryLevelAsString($B187))),";",EscStr(K187),";")))</f>
        <v>;"NavNode_L3D_525468";"Procescontrollere";</v>
      </c>
      <c r="AE187" s="10" t="str">
        <f>IF(getCategoryLevelAsString($B187)="L0D_324785","",IF(L187="",CONCATENATE(";",EscStr(CONCATENATE("NavNode_",getCategoryLevelAsString($B187))),";",EscStr($J187),";"),CONCATENATE(";",EscStr(CONCATENATE("NavNode_",getCategoryLevelAsString($B187))),";",EscStr(L187),";")))</f>
        <v>;"NavNode_L3D_525468";"Procesų reguliatoriai";</v>
      </c>
      <c r="AF187" s="10" t="str">
        <f>IF(getCategoryLevelAsString($B187)="L0D_324785","",IF(M187="",CONCATENATE(";",EscStr(CONCATENATE("NavNode_",getCategoryLevelAsString($B187))),";",EscStr($J187),";"),CONCATENATE(";",EscStr(CONCATENATE("NavNode_",getCategoryLevelAsString($B187))),";",EscStr(M187),";")))</f>
        <v>;"NavNode_L3D_525468";"Prosesstyringsenheter";</v>
      </c>
      <c r="AG187" s="10" t="str">
        <f>IF(getCategoryLevelAsString($B187)="L0D_324785","",IF(N187="",CONCATENATE(";",EscStr(CONCATENATE("NavNode_",getCategoryLevelAsString($B187))),";",EscStr($J187),";"),CONCATENATE(";",EscStr(CONCATENATE("NavNode_",getCategoryLevelAsString($B187))),";",EscStr(N187),";")))</f>
        <v>;"NavNode_L3D_525468";"Processtyrenheter";</v>
      </c>
      <c r="AH187" s="10" t="str">
        <f>IF(getCategoryLevelAsString($B187)="L0D_324785","",IF(O187="",CONCATENATE(";",EscStr(CONCATENATE("NavNode_",getCategoryLevelAsString($B187))),";",EscStr($J187),";"),CONCATENATE(";",EscStr(CONCATENATE("NavNode_",getCategoryLevelAsString($B187))),";",EscStr(O187),";")))</f>
        <v>;"NavNode_L3D_525468";"Protsessi kontrollerid";</v>
      </c>
      <c r="AI187" s="10" t="str">
        <f>IF(getCategoryLevelAsString($B187)="L0D_324785","",IF(P187="",CONCATENATE(";",EscStr(CONCATENATE("NavNode_",getCategoryLevelAsString($B187))),";",EscStr($J187),";"),CONCATENATE(";",EscStr(CONCATENATE("NavNode_",getCategoryLevelAsString($B187))),";",EscStr(P187),";")))</f>
        <v>;"NavNode_L3D_525468";"Prosessiohjaimet";</v>
      </c>
      <c r="AJ187" s="10" t="str">
        <f>IF(getCategoryLevelAsString($B187)="L0D_324785","",IF(Q187="",CONCATENATE(";",EscStr(CONCATENATE("NavNode_",getCategoryLevelAsString($B187))),";",EscStr($J187),";"),CONCATENATE(";",EscStr(CONCATENATE("NavNode_",getCategoryLevelAsString($B187))),";",EscStr(Q187),";")))</f>
        <v>;"NavNode_L3D_525468";"Procesu kontrolieri";</v>
      </c>
      <c r="AK187" s="10" t="str">
        <f>IF(getCategoryLevelAsString($B187)="L0D_324785","",IF(R187="",CONCATENATE(";",EscStr(CONCATENATE("NavNode_",getCategoryLevelAsString($B187))),";",EscStr($J187),";"),CONCATENATE(";",EscStr(CONCATENATE("NavNode_",getCategoryLevelAsString($B187))),";",EscStr(R187),";")))</f>
        <v>;"NavNode_L3D_525468";"Procesregelaars";</v>
      </c>
      <c r="AL187" s="10" t="str">
        <f>IF(getCategoryLevelAsString($B187)="L0D_324785","",IF(S187="",CONCATENATE(";",EscStr(CONCATENATE("NavNode_",getCategoryLevelAsString($B187))),";",EscStr($J187),";"),CONCATENATE(";",EscStr(CONCATENATE("NavNode_",getCategoryLevelAsString($B187))),";",EscStr(S187),";")))</f>
        <v>;"NavNode_L3D_525468";"Regulatory procesów";</v>
      </c>
      <c r="AM187" s="10" t="str">
        <f>IF(getCategoryLevelAsString($B187)="L0D_324785","",IF(T187="",CONCATENATE(";",EscStr(CONCATENATE("NavNode_",getCategoryLevelAsString($B187))),";",EscStr($J187),";"),CONCATENATE(";",EscStr(CONCATENATE("NavNode_",getCategoryLevelAsString($B187))),";",EscStr(T187),";")))</f>
        <v>;"NavNode_L3D_525468";"Контроллер процессов";</v>
      </c>
      <c r="AN187" s="10" t="str">
        <f>IF(getCategoryLevelAsString($B187)="L0D_324785","",IF(U187="",CONCATENATE(";",EscStr(CONCATENATE("NavNode_",getCategoryLevelAsString($B187))),";",EscStr($J187),";"),CONCATENATE(";",EscStr(CONCATENATE("NavNode_",getCategoryLevelAsString($B187))),";",EscStr(U187),";")))</f>
        <v>;"NavNode_L3D_525468";"Procesní regulátor";</v>
      </c>
      <c r="AO187" s="10" t="str">
        <f>IF(getCategoryLevelAsString($B187)="L0D_324785","",IF(V187="",CONCATENATE(";",EscStr(CONCATENATE("NavNode_",getCategoryLevelAsString($B187))),";",EscStr($J187),";"),CONCATENATE(";",EscStr(CONCATENATE("NavNode_",getCategoryLevelAsString($B187))),";",EscStr(V187),";")))</f>
        <v>;"NavNode_L3D_525468";"Regloare de proces";</v>
      </c>
      <c r="AP187" s="10" t="str">
        <f>IF(getCategoryLevelAsString($B187)="L0D_324785","",IF(W187="",CONCATENATE(";",EscStr(CONCATENATE("NavNode_",getCategoryLevelAsString($B187))),";",EscStr($J187),";"),CONCATENATE(";",EscStr(CONCATENATE("NavNode_",getCategoryLevelAsString($B187))),";",EscStr(W187),";")))</f>
        <v>;"NavNode_L3D_525468";"Folyamatszabályozók";</v>
      </c>
      <c r="AQ187" s="10" t="str">
        <f>IF(getCategoryLevelAsString($B187)="L0D_324785","",IF(X187="",CONCATENATE(";",EscStr(CONCATENATE("NavNode_",getCategoryLevelAsString($B187))),";",EscStr($J187),";"),CONCATENATE(";",EscStr(CONCATENATE("NavNode_",getCategoryLevelAsString($B187))),";",EscStr(X187),";")))</f>
        <v>;"NavNode_L3D_525468";"Procesní regulátor";</v>
      </c>
      <c r="AR187" s="8" t="str">
        <f>IF(OR($A187&lt;&gt;"", $G187=""),"",CONCATENATE(";",EscStr(CONCATENATE("NavEntry_",getCategoryLevelAsString($B187))),";",EscStr(CONCATENATE($J187," Navigation Entry")),";",EscStr(CONCATENATE("cat-",getCategoryLevelAsString($B187))),";",EscStr(CONCATENATE("NavNode_",getCategoryLevelAsString($B187))),";"))</f>
        <v>;"NavEntry_L3D_525468";"Process Controllers Navigation Entry";"cat-L3D_525468";"NavNode_L3D_525468";</v>
      </c>
    </row>
    <row r="188" spans="1:44" ht="15" x14ac:dyDescent="0.25">
      <c r="A188" s="25"/>
      <c r="B188" s="5"/>
      <c r="C188" s="5"/>
      <c r="D188" s="5" t="s">
        <v>97</v>
      </c>
      <c r="E188" s="5"/>
      <c r="F188" s="5"/>
      <c r="G188" s="5" t="s">
        <v>323</v>
      </c>
      <c r="H188" s="5" t="s">
        <v>324</v>
      </c>
      <c r="I188" s="5" t="s">
        <v>325</v>
      </c>
      <c r="J188" s="5" t="s">
        <v>98</v>
      </c>
      <c r="K188" s="5" t="s">
        <v>1300</v>
      </c>
      <c r="L188" s="5" t="s">
        <v>1534</v>
      </c>
      <c r="M188" s="5" t="s">
        <v>1756</v>
      </c>
      <c r="N188" s="5" t="s">
        <v>1964</v>
      </c>
      <c r="O188" s="5" t="s">
        <v>3327</v>
      </c>
      <c r="P188" s="5" t="s">
        <v>3328</v>
      </c>
      <c r="Q188" s="5" t="s">
        <v>3329</v>
      </c>
      <c r="R188" s="5" t="s">
        <v>1300</v>
      </c>
      <c r="S188" s="5" t="s">
        <v>3330</v>
      </c>
      <c r="T188" s="5" t="s">
        <v>3331</v>
      </c>
      <c r="U188" s="5" t="s">
        <v>3332</v>
      </c>
      <c r="V188" s="5" t="s">
        <v>3333</v>
      </c>
      <c r="W188" s="5" t="s">
        <v>3334</v>
      </c>
      <c r="X188" s="5" t="s">
        <v>3332</v>
      </c>
      <c r="Y188" s="10" t="str">
        <f>IF(OR($A188&lt;&gt;"", $G188=""),"",CONCATENATE(";",EscStr(CONCATENATE("NavNode_",getCategoryLevelAsString($B188))),";",EscStr($J188),";",IF($B188&lt;&gt;"","""MainNavNode""",EscStr(CONCATENATE("NavNode_",getSuperCategory($B188, getCategoryLevelAsNumber($B188))))),";"))</f>
        <v>;"NavNode_L2D_379611";"Process Displays";"NavNode_Automation";</v>
      </c>
      <c r="Z188" s="10" t="str">
        <f>IF(getCategoryLevelAsString($B188)="L0D_324785","",IF(G188="",CONCATENATE(";",EscStr(CONCATENATE("NavNode_",getCategoryLevelAsString($B188))),";",EscStr($J188),";"),CONCATENATE(";",EscStr(CONCATENATE("NavNode_",getCategoryLevelAsString($B188))),";",EscStr(G188),";")))</f>
        <v>;"NavNode_L2D_379611";"Prozessanzeigen";</v>
      </c>
      <c r="AA188" s="10" t="str">
        <f>IF(getCategoryLevelAsString($B188)="L0D_324785","",IF(H188="",CONCATENATE(";",EscStr(CONCATENATE("NavNode_",getCategoryLevelAsString($B188))),";",EscStr($J188),";"),CONCATENATE(";",EscStr(CONCATENATE("NavNode_",getCategoryLevelAsString($B188))),";",EscStr(H188),";")))</f>
        <v>;"NavNode_L2D_379611";"Affichage de processus";</v>
      </c>
      <c r="AB188" s="10" t="str">
        <f>IF(getCategoryLevelAsString($B188)="L0D_324785","",IF(I188="",CONCATENATE(";",EscStr(CONCATENATE("NavNode_",getCategoryLevelAsString($B188))),";",EscStr($J188),";"),CONCATENATE(";",EscStr(CONCATENATE("NavNode_",getCategoryLevelAsString($B188))),";",EscStr(I188),";")))</f>
        <v>;"NavNode_L2D_379611";"Indicatori di processo";</v>
      </c>
      <c r="AC188" s="10" t="str">
        <f>IF(getCategoryLevelAsString($B188)="L0D_324785","",IF(J188="",CONCATENATE(";",EscStr(CONCATENATE("NavNode_",getCategoryLevelAsString($B188))),";",EscStr($J188),";"),CONCATENATE(";",EscStr(CONCATENATE("NavNode_",getCategoryLevelAsString($B188))),";",EscStr(J188),";")))</f>
        <v>;"NavNode_L2D_379611";"Process Displays";</v>
      </c>
      <c r="AD188" s="10" t="str">
        <f>IF(getCategoryLevelAsString($B188)="L0D_324785","",IF(K188="",CONCATENATE(";",EscStr(CONCATENATE("NavNode_",getCategoryLevelAsString($B188))),";",EscStr($J188),";"),CONCATENATE(";",EscStr(CONCATENATE("NavNode_",getCategoryLevelAsString($B188))),";",EscStr(K188),";")))</f>
        <v>;"NavNode_L2D_379611";"Procesdisplays";</v>
      </c>
      <c r="AE188" s="10" t="str">
        <f>IF(getCategoryLevelAsString($B188)="L0D_324785","",IF(L188="",CONCATENATE(";",EscStr(CONCATENATE("NavNode_",getCategoryLevelAsString($B188))),";",EscStr($J188),";"),CONCATENATE(";",EscStr(CONCATENATE("NavNode_",getCategoryLevelAsString($B188))),";",EscStr(L188),";")))</f>
        <v>;"NavNode_L2D_379611";"Procesų ekranai";</v>
      </c>
      <c r="AF188" s="10" t="str">
        <f>IF(getCategoryLevelAsString($B188)="L0D_324785","",IF(M188="",CONCATENATE(";",EscStr(CONCATENATE("NavNode_",getCategoryLevelAsString($B188))),";",EscStr($J188),";"),CONCATENATE(";",EscStr(CONCATENATE("NavNode_",getCategoryLevelAsString($B188))),";",EscStr(M188),";")))</f>
        <v>;"NavNode_L2D_379611";"Prosessdisplayer";</v>
      </c>
      <c r="AG188" s="10" t="str">
        <f>IF(getCategoryLevelAsString($B188)="L0D_324785","",IF(N188="",CONCATENATE(";",EscStr(CONCATENATE("NavNode_",getCategoryLevelAsString($B188))),";",EscStr($J188),";"),CONCATENATE(";",EscStr(CONCATENATE("NavNode_",getCategoryLevelAsString($B188))),";",EscStr(N188),";")))</f>
        <v>;"NavNode_L2D_379611";"Processkärmar";</v>
      </c>
      <c r="AH188" s="10" t="str">
        <f>IF(getCategoryLevelAsString($B188)="L0D_324785","",IF(O188="",CONCATENATE(";",EscStr(CONCATENATE("NavNode_",getCategoryLevelAsString($B188))),";",EscStr($J188),";"),CONCATENATE(";",EscStr(CONCATENATE("NavNode_",getCategoryLevelAsString($B188))),";",EscStr(O188),";")))</f>
        <v>;"NavNode_L2D_379611";"Protsessi ekraanid";</v>
      </c>
      <c r="AI188" s="10" t="str">
        <f>IF(getCategoryLevelAsString($B188)="L0D_324785","",IF(P188="",CONCATENATE(";",EscStr(CONCATENATE("NavNode_",getCategoryLevelAsString($B188))),";",EscStr($J188),";"),CONCATENATE(";",EscStr(CONCATENATE("NavNode_",getCategoryLevelAsString($B188))),";",EscStr(P188),";")))</f>
        <v>;"NavNode_L2D_379611";"Prosessinäytöt";</v>
      </c>
      <c r="AJ188" s="10" t="str">
        <f>IF(getCategoryLevelAsString($B188)="L0D_324785","",IF(Q188="",CONCATENATE(";",EscStr(CONCATENATE("NavNode_",getCategoryLevelAsString($B188))),";",EscStr($J188),";"),CONCATENATE(";",EscStr(CONCATENATE("NavNode_",getCategoryLevelAsString($B188))),";",EscStr(Q188),";")))</f>
        <v>;"NavNode_L2D_379611";"Procesu displeji";</v>
      </c>
      <c r="AK188" s="10" t="str">
        <f>IF(getCategoryLevelAsString($B188)="L0D_324785","",IF(R188="",CONCATENATE(";",EscStr(CONCATENATE("NavNode_",getCategoryLevelAsString($B188))),";",EscStr($J188),";"),CONCATENATE(";",EscStr(CONCATENATE("NavNode_",getCategoryLevelAsString($B188))),";",EscStr(R188),";")))</f>
        <v>;"NavNode_L2D_379611";"Procesdisplays";</v>
      </c>
      <c r="AL188" s="10" t="str">
        <f>IF(getCategoryLevelAsString($B188)="L0D_324785","",IF(S188="",CONCATENATE(";",EscStr(CONCATENATE("NavNode_",getCategoryLevelAsString($B188))),";",EscStr($J188),";"),CONCATENATE(";",EscStr(CONCATENATE("NavNode_",getCategoryLevelAsString($B188))),";",EscStr(S188),";")))</f>
        <v>;"NavNode_L2D_379611";"Wskaźniki procesów";</v>
      </c>
      <c r="AM188" s="10" t="str">
        <f>IF(getCategoryLevelAsString($B188)="L0D_324785","",IF(T188="",CONCATENATE(";",EscStr(CONCATENATE("NavNode_",getCategoryLevelAsString($B188))),";",EscStr($J188),";"),CONCATENATE(";",EscStr(CONCATENATE("NavNode_",getCategoryLevelAsString($B188))),";",EscStr(T188),";")))</f>
        <v>;"NavNode_L2D_379611";"Дисплеи процессов";</v>
      </c>
      <c r="AN188" s="10" t="str">
        <f>IF(getCategoryLevelAsString($B188)="L0D_324785","",IF(U188="",CONCATENATE(";",EscStr(CONCATENATE("NavNode_",getCategoryLevelAsString($B188))),";",EscStr($J188),";"),CONCATENATE(";",EscStr(CONCATENATE("NavNode_",getCategoryLevelAsString($B188))),";",EscStr(U188),";")))</f>
        <v>;"NavNode_L2D_379611";"Procesní ukazatele";</v>
      </c>
      <c r="AO188" s="10" t="str">
        <f>IF(getCategoryLevelAsString($B188)="L0D_324785","",IF(V188="",CONCATENATE(";",EscStr(CONCATENATE("NavNode_",getCategoryLevelAsString($B188))),";",EscStr($J188),";"),CONCATENATE(";",EscStr(CONCATENATE("NavNode_",getCategoryLevelAsString($B188))),";",EscStr(V188),";")))</f>
        <v>;"NavNode_L2D_379611";"Afişarea procesului";</v>
      </c>
      <c r="AP188" s="10" t="str">
        <f>IF(getCategoryLevelAsString($B188)="L0D_324785","",IF(W188="",CONCATENATE(";",EscStr(CONCATENATE("NavNode_",getCategoryLevelAsString($B188))),";",EscStr($J188),";"),CONCATENATE(";",EscStr(CONCATENATE("NavNode_",getCategoryLevelAsString($B188))),";",EscStr(W188),";")))</f>
        <v>;"NavNode_L2D_379611";"Folyamatkijelzők";</v>
      </c>
      <c r="AQ188" s="10" t="str">
        <f>IF(getCategoryLevelAsString($B188)="L0D_324785","",IF(X188="",CONCATENATE(";",EscStr(CONCATENATE("NavNode_",getCategoryLevelAsString($B188))),";",EscStr($J188),";"),CONCATENATE(";",EscStr(CONCATENATE("NavNode_",getCategoryLevelAsString($B188))),";",EscStr(X188),";")))</f>
        <v>;"NavNode_L2D_379611";"Procesní ukazatele";</v>
      </c>
      <c r="AR188" s="8" t="str">
        <f>IF(OR($A188&lt;&gt;"", $G188=""),"",CONCATENATE(";",EscStr(CONCATENATE("NavEntry_",getCategoryLevelAsString($B188))),";",EscStr(CONCATENATE($J188," Navigation Entry")),";",EscStr(CONCATENATE("cat-",getCategoryLevelAsString($B188))),";",EscStr(CONCATENATE("NavNode_",getCategoryLevelAsString($B188))),";"))</f>
        <v>;"NavEntry_L2D_379611";"Process Displays Navigation Entry";"cat-L2D_379611";"NavNode_L2D_379611";</v>
      </c>
    </row>
    <row r="189" spans="1:44" ht="15" x14ac:dyDescent="0.25">
      <c r="A189" s="25"/>
      <c r="B189" s="5"/>
      <c r="C189" s="5" t="s">
        <v>34</v>
      </c>
      <c r="D189" s="5"/>
      <c r="E189" s="5"/>
      <c r="F189" s="5"/>
      <c r="G189" s="5" t="s">
        <v>266</v>
      </c>
      <c r="H189" s="5" t="s">
        <v>267</v>
      </c>
      <c r="I189" s="5" t="s">
        <v>268</v>
      </c>
      <c r="J189" s="5" t="s">
        <v>35</v>
      </c>
      <c r="K189" s="5" t="s">
        <v>1301</v>
      </c>
      <c r="L189" s="5" t="s">
        <v>1535</v>
      </c>
      <c r="M189" s="5" t="s">
        <v>1757</v>
      </c>
      <c r="N189" s="5" t="s">
        <v>1965</v>
      </c>
      <c r="O189" s="5" t="s">
        <v>3335</v>
      </c>
      <c r="P189" s="5" t="s">
        <v>3336</v>
      </c>
      <c r="Q189" s="5" t="s">
        <v>3337</v>
      </c>
      <c r="R189" s="5" t="s">
        <v>3338</v>
      </c>
      <c r="S189" s="5" t="s">
        <v>3339</v>
      </c>
      <c r="T189" s="5" t="s">
        <v>3340</v>
      </c>
      <c r="U189" s="5" t="s">
        <v>3341</v>
      </c>
      <c r="V189" s="5" t="s">
        <v>3342</v>
      </c>
      <c r="W189" s="5" t="s">
        <v>3343</v>
      </c>
      <c r="X189" s="5" t="s">
        <v>3341</v>
      </c>
      <c r="Y189" s="10" t="str">
        <f>IF(OR($A189&lt;&gt;"", $G189=""),"",CONCATENATE(";",EscStr(CONCATENATE("NavNode_",getCategoryLevelAsString($B189))),";",EscStr($J189),";",IF($B189&lt;&gt;"","""MainNavNode""",EscStr(CONCATENATE("NavNode_",getSuperCategory($B189, getCategoryLevelAsNumber($B189))))),";"))</f>
        <v>;"NavNode_L3D_525472";"Industrial Communication";"NavNode_L2D_379611";</v>
      </c>
      <c r="Z189" s="10" t="str">
        <f>IF(getCategoryLevelAsString($B189)="L0D_324785","",IF(G189="",CONCATENATE(";",EscStr(CONCATENATE("NavNode_",getCategoryLevelAsString($B189))),";",EscStr($J189),";"),CONCATENATE(";",EscStr(CONCATENATE("NavNode_",getCategoryLevelAsString($B189))),";",EscStr(G189),";")))</f>
        <v>;"NavNode_L3D_525472";"Industrielle Kommunikation";</v>
      </c>
      <c r="AA189" s="10" t="str">
        <f>IF(getCategoryLevelAsString($B189)="L0D_324785","",IF(H189="",CONCATENATE(";",EscStr(CONCATENATE("NavNode_",getCategoryLevelAsString($B189))),";",EscStr($J189),";"),CONCATENATE(";",EscStr(CONCATENATE("NavNode_",getCategoryLevelAsString($B189))),";",EscStr(H189),";")))</f>
        <v>;"NavNode_L3D_525472";"Communication industrielle";</v>
      </c>
      <c r="AB189" s="10" t="str">
        <f>IF(getCategoryLevelAsString($B189)="L0D_324785","",IF(I189="",CONCATENATE(";",EscStr(CONCATENATE("NavNode_",getCategoryLevelAsString($B189))),";",EscStr($J189),";"),CONCATENATE(";",EscStr(CONCATENATE("NavNode_",getCategoryLevelAsString($B189))),";",EscStr(I189),";")))</f>
        <v>;"NavNode_L3D_525472";"Comunicazione industriale";</v>
      </c>
      <c r="AC189" s="10" t="str">
        <f>IF(getCategoryLevelAsString($B189)="L0D_324785","",IF(J189="",CONCATENATE(";",EscStr(CONCATENATE("NavNode_",getCategoryLevelAsString($B189))),";",EscStr($J189),";"),CONCATENATE(";",EscStr(CONCATENATE("NavNode_",getCategoryLevelAsString($B189))),";",EscStr(J189),";")))</f>
        <v>;"NavNode_L3D_525472";"Industrial Communication";</v>
      </c>
      <c r="AD189" s="10" t="str">
        <f>IF(getCategoryLevelAsString($B189)="L0D_324785","",IF(K189="",CONCATENATE(";",EscStr(CONCATENATE("NavNode_",getCategoryLevelAsString($B189))),";",EscStr($J189),";"),CONCATENATE(";",EscStr(CONCATENATE("NavNode_",getCategoryLevelAsString($B189))),";",EscStr(K189),";")))</f>
        <v>;"NavNode_L3D_525472";"Industriel kommunikation";</v>
      </c>
      <c r="AE189" s="10" t="str">
        <f>IF(getCategoryLevelAsString($B189)="L0D_324785","",IF(L189="",CONCATENATE(";",EscStr(CONCATENATE("NavNode_",getCategoryLevelAsString($B189))),";",EscStr($J189),";"),CONCATENATE(";",EscStr(CONCATENATE("NavNode_",getCategoryLevelAsString($B189))),";",EscStr(L189),";")))</f>
        <v>;"NavNode_L3D_525472";"Pramoninis ryšys";</v>
      </c>
      <c r="AF189" s="10" t="str">
        <f>IF(getCategoryLevelAsString($B189)="L0D_324785","",IF(M189="",CONCATENATE(";",EscStr(CONCATENATE("NavNode_",getCategoryLevelAsString($B189))),";",EscStr($J189),";"),CONCATENATE(";",EscStr(CONCATENATE("NavNode_",getCategoryLevelAsString($B189))),";",EscStr(M189),";")))</f>
        <v>;"NavNode_L3D_525472";"Industriell kommunikasjon";</v>
      </c>
      <c r="AG189" s="10" t="str">
        <f>IF(getCategoryLevelAsString($B189)="L0D_324785","",IF(N189="",CONCATENATE(";",EscStr(CONCATENATE("NavNode_",getCategoryLevelAsString($B189))),";",EscStr($J189),";"),CONCATENATE(";",EscStr(CONCATENATE("NavNode_",getCategoryLevelAsString($B189))),";",EscStr(N189),";")))</f>
        <v>;"NavNode_L3D_525472";"Industrikommunikation";</v>
      </c>
      <c r="AH189" s="10" t="str">
        <f>IF(getCategoryLevelAsString($B189)="L0D_324785","",IF(O189="",CONCATENATE(";",EscStr(CONCATENATE("NavNode_",getCategoryLevelAsString($B189))),";",EscStr($J189),";"),CONCATENATE(";",EscStr(CONCATENATE("NavNode_",getCategoryLevelAsString($B189))),";",EscStr(O189),";")))</f>
        <v>;"NavNode_L3D_525472";"Tööstuslik andmeside";</v>
      </c>
      <c r="AI189" s="10" t="str">
        <f>IF(getCategoryLevelAsString($B189)="L0D_324785","",IF(P189="",CONCATENATE(";",EscStr(CONCATENATE("NavNode_",getCategoryLevelAsString($B189))),";",EscStr($J189),";"),CONCATENATE(";",EscStr(CONCATENATE("NavNode_",getCategoryLevelAsString($B189))),";",EscStr(P189),";")))</f>
        <v>;"NavNode_L3D_525472";"Teollisuusliikenne";</v>
      </c>
      <c r="AJ189" s="10" t="str">
        <f>IF(getCategoryLevelAsString($B189)="L0D_324785","",IF(Q189="",CONCATENATE(";",EscStr(CONCATENATE("NavNode_",getCategoryLevelAsString($B189))),";",EscStr($J189),";"),CONCATENATE(";",EscStr(CONCATENATE("NavNode_",getCategoryLevelAsString($B189))),";",EscStr(Q189),";")))</f>
        <v>;"NavNode_L3D_525472";"Industriālā komunikācija";</v>
      </c>
      <c r="AK189" s="10" t="str">
        <f>IF(getCategoryLevelAsString($B189)="L0D_324785","",IF(R189="",CONCATENATE(";",EscStr(CONCATENATE("NavNode_",getCategoryLevelAsString($B189))),";",EscStr($J189),";"),CONCATENATE(";",EscStr(CONCATENATE("NavNode_",getCategoryLevelAsString($B189))),";",EscStr(R189),";")))</f>
        <v>;"NavNode_L3D_525472";"Industriele communicatie";</v>
      </c>
      <c r="AL189" s="10" t="str">
        <f>IF(getCategoryLevelAsString($B189)="L0D_324785","",IF(S189="",CONCATENATE(";",EscStr(CONCATENATE("NavNode_",getCategoryLevelAsString($B189))),";",EscStr($J189),";"),CONCATENATE(";",EscStr(CONCATENATE("NavNode_",getCategoryLevelAsString($B189))),";",EscStr(S189),";")))</f>
        <v>;"NavNode_L3D_525472";"Magistrale przemysłowe";</v>
      </c>
      <c r="AM189" s="10" t="str">
        <f>IF(getCategoryLevelAsString($B189)="L0D_324785","",IF(T189="",CONCATENATE(";",EscStr(CONCATENATE("NavNode_",getCategoryLevelAsString($B189))),";",EscStr($J189),";"),CONCATENATE(";",EscStr(CONCATENATE("NavNode_",getCategoryLevelAsString($B189))),";",EscStr(T189),";")))</f>
        <v>;"NavNode_L3D_525472";"Промышленная связь";</v>
      </c>
      <c r="AN189" s="10" t="str">
        <f>IF(getCategoryLevelAsString($B189)="L0D_324785","",IF(U189="",CONCATENATE(";",EscStr(CONCATENATE("NavNode_",getCategoryLevelAsString($B189))),";",EscStr($J189),";"),CONCATENATE(";",EscStr(CONCATENATE("NavNode_",getCategoryLevelAsString($B189))),";",EscStr(U189),";")))</f>
        <v>;"NavNode_L3D_525472";"Průmyslová komunikace";</v>
      </c>
      <c r="AO189" s="10" t="str">
        <f>IF(getCategoryLevelAsString($B189)="L0D_324785","",IF(V189="",CONCATENATE(";",EscStr(CONCATENATE("NavNode_",getCategoryLevelAsString($B189))),";",EscStr($J189),";"),CONCATENATE(";",EscStr(CONCATENATE("NavNode_",getCategoryLevelAsString($B189))),";",EscStr(V189),";")))</f>
        <v>;"NavNode_L3D_525472";"Comunicatie industrială";</v>
      </c>
      <c r="AP189" s="10" t="str">
        <f>IF(getCategoryLevelAsString($B189)="L0D_324785","",IF(W189="",CONCATENATE(";",EscStr(CONCATENATE("NavNode_",getCategoryLevelAsString($B189))),";",EscStr($J189),";"),CONCATENATE(";",EscStr(CONCATENATE("NavNode_",getCategoryLevelAsString($B189))),";",EscStr(W189),";")))</f>
        <v>;"NavNode_L3D_525472";"Ipari kommunikáció";</v>
      </c>
      <c r="AQ189" s="10" t="str">
        <f>IF(getCategoryLevelAsString($B189)="L0D_324785","",IF(X189="",CONCATENATE(";",EscStr(CONCATENATE("NavNode_",getCategoryLevelAsString($B189))),";",EscStr($J189),";"),CONCATENATE(";",EscStr(CONCATENATE("NavNode_",getCategoryLevelAsString($B189))),";",EscStr(X189),";")))</f>
        <v>;"NavNode_L3D_525472";"Průmyslová komunikace";</v>
      </c>
      <c r="AR189" s="8" t="str">
        <f>IF(OR($A189&lt;&gt;"", $G189=""),"",CONCATENATE(";",EscStr(CONCATENATE("NavEntry_",getCategoryLevelAsString($B189))),";",EscStr(CONCATENATE($J189," Navigation Entry")),";",EscStr(CONCATENATE("cat-",getCategoryLevelAsString($B189))),";",EscStr(CONCATENATE("NavNode_",getCategoryLevelAsString($B189))),";"))</f>
        <v>;"NavEntry_L3D_525472";"Industrial Communication Navigation Entry";"cat-L3D_525472";"NavNode_L3D_525472";</v>
      </c>
    </row>
    <row r="190" spans="1:44" ht="15" x14ac:dyDescent="0.25">
      <c r="A190" s="25"/>
      <c r="B190" s="5"/>
      <c r="C190" s="5"/>
      <c r="D190" s="5" t="s">
        <v>60</v>
      </c>
      <c r="E190" s="5"/>
      <c r="F190" s="5"/>
      <c r="G190" s="5" t="s">
        <v>938</v>
      </c>
      <c r="H190" s="5" t="s">
        <v>737</v>
      </c>
      <c r="I190" s="5" t="s">
        <v>641</v>
      </c>
      <c r="J190" s="5" t="s">
        <v>835</v>
      </c>
      <c r="K190" s="5" t="s">
        <v>1302</v>
      </c>
      <c r="L190" s="5" t="s">
        <v>1536</v>
      </c>
      <c r="M190" s="5" t="s">
        <v>1758</v>
      </c>
      <c r="N190" s="5" t="s">
        <v>1966</v>
      </c>
      <c r="O190" s="5" t="s">
        <v>3344</v>
      </c>
      <c r="P190" s="5" t="s">
        <v>3345</v>
      </c>
      <c r="Q190" s="5" t="s">
        <v>3346</v>
      </c>
      <c r="R190" s="5" t="s">
        <v>3347</v>
      </c>
      <c r="S190" s="5" t="s">
        <v>3348</v>
      </c>
      <c r="T190" s="5" t="s">
        <v>3349</v>
      </c>
      <c r="U190" s="5" t="s">
        <v>3350</v>
      </c>
      <c r="V190" s="5" t="s">
        <v>3351</v>
      </c>
      <c r="W190" s="5" t="s">
        <v>3352</v>
      </c>
      <c r="X190" s="5" t="s">
        <v>3350</v>
      </c>
      <c r="Y190" s="10" t="str">
        <f>IF(OR($A190&lt;&gt;"", $G190=""),"",CONCATENATE(";",EscStr(CONCATENATE("NavNode_",getCategoryLevelAsString($B190))),";",EscStr($J190),";",IF($B190&lt;&gt;"","""MainNavNode""",EscStr(CONCATENATE("NavNode_",getSuperCategory($B190, getCategoryLevelAsNumber($B190))))),";"))</f>
        <v>;"NavNode_L3D_525474";"I/O Modules and Interface Relays";"NavNode_L2D_379611";</v>
      </c>
      <c r="Z190" s="10" t="str">
        <f>IF(getCategoryLevelAsString($B190)="L0D_324785","",IF(G190="",CONCATENATE(";",EscStr(CONCATENATE("NavNode_",getCategoryLevelAsString($B190))),";",EscStr($J190),";"),CONCATENATE(";",EscStr(CONCATENATE("NavNode_",getCategoryLevelAsString($B190))),";",EscStr(G190),";")))</f>
        <v>;"NavNode_L3D_525474";"E/A-Module und Schnittstellenrelais";</v>
      </c>
      <c r="AA190" s="10" t="str">
        <f>IF(getCategoryLevelAsString($B190)="L0D_324785","",IF(H190="",CONCATENATE(";",EscStr(CONCATENATE("NavNode_",getCategoryLevelAsString($B190))),";",EscStr($J190),";"),CONCATENATE(";",EscStr(CONCATENATE("NavNode_",getCategoryLevelAsString($B190))),";",EscStr(H190),";")))</f>
        <v>;"NavNode_L3D_525474";"Modules I/O et relais d'interface";</v>
      </c>
      <c r="AB190" s="10" t="str">
        <f>IF(getCategoryLevelAsString($B190)="L0D_324785","",IF(I190="",CONCATENATE(";",EscStr(CONCATENATE("NavNode_",getCategoryLevelAsString($B190))),";",EscStr($J190),";"),CONCATENATE(";",EscStr(CONCATENATE("NavNode_",getCategoryLevelAsString($B190))),";",EscStr(I190),";")))</f>
        <v>;"NavNode_L3D_525474";"Moduli di entrata/uscita e relè interfaccia";</v>
      </c>
      <c r="AC190" s="10" t="str">
        <f>IF(getCategoryLevelAsString($B190)="L0D_324785","",IF(J190="",CONCATENATE(";",EscStr(CONCATENATE("NavNode_",getCategoryLevelAsString($B190))),";",EscStr($J190),";"),CONCATENATE(";",EscStr(CONCATENATE("NavNode_",getCategoryLevelAsString($B190))),";",EscStr(J190),";")))</f>
        <v>;"NavNode_L3D_525474";"I/O Modules and Interface Relays";</v>
      </c>
      <c r="AD190" s="10" t="str">
        <f>IF(getCategoryLevelAsString($B190)="L0D_324785","",IF(K190="",CONCATENATE(";",EscStr(CONCATENATE("NavNode_",getCategoryLevelAsString($B190))),";",EscStr($J190),";"),CONCATENATE(";",EscStr(CONCATENATE("NavNode_",getCategoryLevelAsString($B190))),";",EscStr(K190),";")))</f>
        <v>;"NavNode_L3D_525474";"I/O-moduler og interface-relæer";</v>
      </c>
      <c r="AE190" s="10" t="str">
        <f>IF(getCategoryLevelAsString($B190)="L0D_324785","",IF(L190="",CONCATENATE(";",EscStr(CONCATENATE("NavNode_",getCategoryLevelAsString($B190))),";",EscStr($J190),";"),CONCATENATE(";",EscStr(CONCATENATE("NavNode_",getCategoryLevelAsString($B190))),";",EscStr(L190),";")))</f>
        <v>;"NavNode_L3D_525474";"I/O moduliai ir sąsajos relės";</v>
      </c>
      <c r="AF190" s="10" t="str">
        <f>IF(getCategoryLevelAsString($B190)="L0D_324785","",IF(M190="",CONCATENATE(";",EscStr(CONCATENATE("NavNode_",getCategoryLevelAsString($B190))),";",EscStr($J190),";"),CONCATENATE(";",EscStr(CONCATENATE("NavNode_",getCategoryLevelAsString($B190))),";",EscStr(M190),";")))</f>
        <v>;"NavNode_L3D_525474";"I/U-moduler og grensesnittreléer";</v>
      </c>
      <c r="AG190" s="10" t="str">
        <f>IF(getCategoryLevelAsString($B190)="L0D_324785","",IF(N190="",CONCATENATE(";",EscStr(CONCATENATE("NavNode_",getCategoryLevelAsString($B190))),";",EscStr($J190),";"),CONCATENATE(";",EscStr(CONCATENATE("NavNode_",getCategoryLevelAsString($B190))),";",EscStr(N190),";")))</f>
        <v>;"NavNode_L3D_525474";"I/O-moduler och gränssnittsreläer";</v>
      </c>
      <c r="AH190" s="10" t="str">
        <f>IF(getCategoryLevelAsString($B190)="L0D_324785","",IF(O190="",CONCATENATE(";",EscStr(CONCATENATE("NavNode_",getCategoryLevelAsString($B190))),";",EscStr($J190),";"),CONCATENATE(";",EscStr(CONCATENATE("NavNode_",getCategoryLevelAsString($B190))),";",EscStr(O190),";")))</f>
        <v>;"NavNode_L3D_525474";"I/O moodulid ja DIN-liistu releed";</v>
      </c>
      <c r="AI190" s="10" t="str">
        <f>IF(getCategoryLevelAsString($B190)="L0D_324785","",IF(P190="",CONCATENATE(";",EscStr(CONCATENATE("NavNode_",getCategoryLevelAsString($B190))),";",EscStr($J190),";"),CONCATENATE(";",EscStr(CONCATENATE("NavNode_",getCategoryLevelAsString($B190))),";",EscStr(P190),";")))</f>
        <v>;"NavNode_L3D_525474";"I/O moduulit ja releet";</v>
      </c>
      <c r="AJ190" s="10" t="str">
        <f>IF(getCategoryLevelAsString($B190)="L0D_324785","",IF(Q190="",CONCATENATE(";",EscStr(CONCATENATE("NavNode_",getCategoryLevelAsString($B190))),";",EscStr($J190),";"),CONCATENATE(";",EscStr(CONCATENATE("NavNode_",getCategoryLevelAsString($B190))),";",EscStr(Q190),";")))</f>
        <v>;"NavNode_L3D_525474";"I/O moduļi un interfeisa releji";</v>
      </c>
      <c r="AK190" s="10" t="str">
        <f>IF(getCategoryLevelAsString($B190)="L0D_324785","",IF(R190="",CONCATENATE(";",EscStr(CONCATENATE("NavNode_",getCategoryLevelAsString($B190))),";",EscStr($J190),";"),CONCATENATE(";",EscStr(CONCATENATE("NavNode_",getCategoryLevelAsString($B190))),";",EscStr(R190),";")))</f>
        <v>;"NavNode_L3D_525474";"I/O modules en interface relais";</v>
      </c>
      <c r="AL190" s="10" t="str">
        <f>IF(getCategoryLevelAsString($B190)="L0D_324785","",IF(S190="",CONCATENATE(";",EscStr(CONCATENATE("NavNode_",getCategoryLevelAsString($B190))),";",EscStr($J190),";"),CONCATENATE(";",EscStr(CONCATENATE("NavNode_",getCategoryLevelAsString($B190))),";",EscStr(S190),";")))</f>
        <v>;"NavNode_L3D_525474";"Moduły we/wy i Moduły interfejsowe";</v>
      </c>
      <c r="AM190" s="10" t="str">
        <f>IF(getCategoryLevelAsString($B190)="L0D_324785","",IF(T190="",CONCATENATE(";",EscStr(CONCATENATE("NavNode_",getCategoryLevelAsString($B190))),";",EscStr($J190),";"),CONCATENATE(";",EscStr(CONCATENATE("NavNode_",getCategoryLevelAsString($B190))),";",EscStr(T190),";")))</f>
        <v>;"NavNode_L3D_525474";"I/O модули и переключающие реле";</v>
      </c>
      <c r="AN190" s="10" t="str">
        <f>IF(getCategoryLevelAsString($B190)="L0D_324785","",IF(U190="",CONCATENATE(";",EscStr(CONCATENATE("NavNode_",getCategoryLevelAsString($B190))),";",EscStr($J190),";"),CONCATENATE(";",EscStr(CONCATENATE("NavNode_",getCategoryLevelAsString($B190))),";",EscStr(U190),";")))</f>
        <v>;"NavNode_L3D_525474";"I / O moduly a relé rozhraní";</v>
      </c>
      <c r="AO190" s="10" t="str">
        <f>IF(getCategoryLevelAsString($B190)="L0D_324785","",IF(V190="",CONCATENATE(";",EscStr(CONCATENATE("NavNode_",getCategoryLevelAsString($B190))),";",EscStr($J190),";"),CONCATENATE(";",EscStr(CONCATENATE("NavNode_",getCategoryLevelAsString($B190))),";",EscStr(V190),";")))</f>
        <v>;"NavNode_L3D_525474";"Modulele E/A şi relee de interfaţă";</v>
      </c>
      <c r="AP190" s="10" t="str">
        <f>IF(getCategoryLevelAsString($B190)="L0D_324785","",IF(W190="",CONCATENATE(";",EscStr(CONCATENATE("NavNode_",getCategoryLevelAsString($B190))),";",EscStr($J190),";"),CONCATENATE(";",EscStr(CONCATENATE("NavNode_",getCategoryLevelAsString($B190))),";",EscStr(W190),";")))</f>
        <v>;"NavNode_L3D_525474";"E/A-Modul és interfész relé";</v>
      </c>
      <c r="AQ190" s="10" t="str">
        <f>IF(getCategoryLevelAsString($B190)="L0D_324785","",IF(X190="",CONCATENATE(";",EscStr(CONCATENATE("NavNode_",getCategoryLevelAsString($B190))),";",EscStr($J190),";"),CONCATENATE(";",EscStr(CONCATENATE("NavNode_",getCategoryLevelAsString($B190))),";",EscStr(X190),";")))</f>
        <v>;"NavNode_L3D_525474";"I / O moduly a relé rozhraní";</v>
      </c>
      <c r="AR190" s="8" t="str">
        <f>IF(OR($A190&lt;&gt;"", $G190=""),"",CONCATENATE(";",EscStr(CONCATENATE("NavEntry_",getCategoryLevelAsString($B190))),";",EscStr(CONCATENATE($J190," Navigation Entry")),";",EscStr(CONCATENATE("cat-",getCategoryLevelAsString($B190))),";",EscStr(CONCATENATE("NavNode_",getCategoryLevelAsString($B190))),";"))</f>
        <v>;"NavEntry_L3D_525474";"I/O Modules and Interface Relays Navigation Entry";"cat-L3D_525474";"NavNode_L3D_525474";</v>
      </c>
    </row>
    <row r="191" spans="1:44" ht="15" x14ac:dyDescent="0.25">
      <c r="A191" s="25"/>
      <c r="B191" s="5"/>
      <c r="C191" s="5"/>
      <c r="D191" s="5" t="s">
        <v>63</v>
      </c>
      <c r="E191" s="5"/>
      <c r="F191" s="5"/>
      <c r="G191" s="5" t="s">
        <v>272</v>
      </c>
      <c r="H191" s="5" t="s">
        <v>273</v>
      </c>
      <c r="I191" s="5" t="s">
        <v>274</v>
      </c>
      <c r="J191" s="5" t="s">
        <v>64</v>
      </c>
      <c r="K191" s="5" t="s">
        <v>2094</v>
      </c>
      <c r="L191" s="5" t="s">
        <v>1537</v>
      </c>
      <c r="M191" s="5" t="s">
        <v>1759</v>
      </c>
      <c r="N191" s="5" t="s">
        <v>1967</v>
      </c>
      <c r="O191" s="5" t="s">
        <v>3353</v>
      </c>
      <c r="P191" s="5" t="s">
        <v>3354</v>
      </c>
      <c r="Q191" s="5" t="s">
        <v>3355</v>
      </c>
      <c r="R191" s="5" t="s">
        <v>3356</v>
      </c>
      <c r="S191" s="5" t="s">
        <v>3357</v>
      </c>
      <c r="T191" s="5" t="s">
        <v>3358</v>
      </c>
      <c r="U191" s="5" t="s">
        <v>3359</v>
      </c>
      <c r="V191" s="5" t="s">
        <v>3360</v>
      </c>
      <c r="W191" s="5" t="s">
        <v>3361</v>
      </c>
      <c r="X191" s="5" t="s">
        <v>3359</v>
      </c>
      <c r="Y191" s="10" t="str">
        <f>IF(OR($A191&lt;&gt;"", $G191=""),"",CONCATENATE(";",EscStr(CONCATENATE("NavNode_",getCategoryLevelAsString($B191))),";",EscStr($J191),";",IF($B191&lt;&gt;"","""MainNavNode""",EscStr(CONCATENATE("NavNode_",getSuperCategory($B191, getCategoryLevelAsNumber($B191))))),";"))</f>
        <v>;"NavNode_L3D_525473";"Interface Converters";"NavNode_L2D_379611";</v>
      </c>
      <c r="Z191" s="10" t="str">
        <f>IF(getCategoryLevelAsString($B191)="L0D_324785","",IF(G191="",CONCATENATE(";",EscStr(CONCATENATE("NavNode_",getCategoryLevelAsString($B191))),";",EscStr($J191),";"),CONCATENATE(";",EscStr(CONCATENATE("NavNode_",getCategoryLevelAsString($B191))),";",EscStr(G191),";")))</f>
        <v>;"NavNode_L3D_525473";"Schnittstellenwandler";</v>
      </c>
      <c r="AA191" s="10" t="str">
        <f>IF(getCategoryLevelAsString($B191)="L0D_324785","",IF(H191="",CONCATENATE(";",EscStr(CONCATENATE("NavNode_",getCategoryLevelAsString($B191))),";",EscStr($J191),";"),CONCATENATE(";",EscStr(CONCATENATE("NavNode_",getCategoryLevelAsString($B191))),";",EscStr(H191),";")))</f>
        <v>;"NavNode_L3D_525473";"Convertisseur d'interfaces";</v>
      </c>
      <c r="AB191" s="10" t="str">
        <f>IF(getCategoryLevelAsString($B191)="L0D_324785","",IF(I191="",CONCATENATE(";",EscStr(CONCATENATE("NavNode_",getCategoryLevelAsString($B191))),";",EscStr($J191),";"),CONCATENATE(";",EscStr(CONCATENATE("NavNode_",getCategoryLevelAsString($B191))),";",EscStr(I191),";")))</f>
        <v>;"NavNode_L3D_525473";"Convertitori di interfaccia";</v>
      </c>
      <c r="AC191" s="10" t="str">
        <f>IF(getCategoryLevelAsString($B191)="L0D_324785","",IF(J191="",CONCATENATE(";",EscStr(CONCATENATE("NavNode_",getCategoryLevelAsString($B191))),";",EscStr($J191),";"),CONCATENATE(";",EscStr(CONCATENATE("NavNode_",getCategoryLevelAsString($B191))),";",EscStr(J191),";")))</f>
        <v>;"NavNode_L3D_525473";"Interface Converters";</v>
      </c>
      <c r="AD191" s="10" t="str">
        <f>IF(getCategoryLevelAsString($B191)="L0D_324785","",IF(K191="",CONCATENATE(";",EscStr(CONCATENATE("NavNode_",getCategoryLevelAsString($B191))),";",EscStr($J191),";"),CONCATENATE(";",EscStr(CONCATENATE("NavNode_",getCategoryLevelAsString($B191))),";",EscStr(K191),";")))</f>
        <v>;"NavNode_L3D_525473";"Interface converter";</v>
      </c>
      <c r="AE191" s="10" t="str">
        <f>IF(getCategoryLevelAsString($B191)="L0D_324785","",IF(L191="",CONCATENATE(";",EscStr(CONCATENATE("NavNode_",getCategoryLevelAsString($B191))),";",EscStr($J191),";"),CONCATENATE(";",EscStr(CONCATENATE("NavNode_",getCategoryLevelAsString($B191))),";",EscStr(L191),";")))</f>
        <v>;"NavNode_L3D_525473";"Sąsajų keitikliai";</v>
      </c>
      <c r="AF191" s="10" t="str">
        <f>IF(getCategoryLevelAsString($B191)="L0D_324785","",IF(M191="",CONCATENATE(";",EscStr(CONCATENATE("NavNode_",getCategoryLevelAsString($B191))),";",EscStr($J191),";"),CONCATENATE(";",EscStr(CONCATENATE("NavNode_",getCategoryLevelAsString($B191))),";",EscStr(M191),";")))</f>
        <v>;"NavNode_L3D_525473";"Grensesnittomformere";</v>
      </c>
      <c r="AG191" s="10" t="str">
        <f>IF(getCategoryLevelAsString($B191)="L0D_324785","",IF(N191="",CONCATENATE(";",EscStr(CONCATENATE("NavNode_",getCategoryLevelAsString($B191))),";",EscStr($J191),";"),CONCATENATE(";",EscStr(CONCATENATE("NavNode_",getCategoryLevelAsString($B191))),";",EscStr(N191),";")))</f>
        <v>;"NavNode_L3D_525473";"Gränssnittsomvandlare";</v>
      </c>
      <c r="AH191" s="10" t="str">
        <f>IF(getCategoryLevelAsString($B191)="L0D_324785","",IF(O191="",CONCATENATE(";",EscStr(CONCATENATE("NavNode_",getCategoryLevelAsString($B191))),";",EscStr($J191),";"),CONCATENATE(";",EscStr(CONCATENATE("NavNode_",getCategoryLevelAsString($B191))),";",EscStr(O191),";")))</f>
        <v>;"NavNode_L3D_525473";"Liidese muundurid";</v>
      </c>
      <c r="AI191" s="10" t="str">
        <f>IF(getCategoryLevelAsString($B191)="L0D_324785","",IF(P191="",CONCATENATE(";",EscStr(CONCATENATE("NavNode_",getCategoryLevelAsString($B191))),";",EscStr($J191),";"),CONCATENATE(";",EscStr(CONCATENATE("NavNode_",getCategoryLevelAsString($B191))),";",EscStr(P191),";")))</f>
        <v>;"NavNode_L3D_525473";"Liitäntämuunnos";</v>
      </c>
      <c r="AJ191" s="10" t="str">
        <f>IF(getCategoryLevelAsString($B191)="L0D_324785","",IF(Q191="",CONCATENATE(";",EscStr(CONCATENATE("NavNode_",getCategoryLevelAsString($B191))),";",EscStr($J191),";"),CONCATENATE(";",EscStr(CONCATENATE("NavNode_",getCategoryLevelAsString($B191))),";",EscStr(Q191),";")))</f>
        <v>;"NavNode_L3D_525473";"Interfeisa pārveidotāji";</v>
      </c>
      <c r="AK191" s="10" t="str">
        <f>IF(getCategoryLevelAsString($B191)="L0D_324785","",IF(R191="",CONCATENATE(";",EscStr(CONCATENATE("NavNode_",getCategoryLevelAsString($B191))),";",EscStr($J191),";"),CONCATENATE(";",EscStr(CONCATENATE("NavNode_",getCategoryLevelAsString($B191))),";",EscStr(R191),";")))</f>
        <v>;"NavNode_L3D_525473";"Interface converters";</v>
      </c>
      <c r="AL191" s="10" t="str">
        <f>IF(getCategoryLevelAsString($B191)="L0D_324785","",IF(S191="",CONCATENATE(";",EscStr(CONCATENATE("NavNode_",getCategoryLevelAsString($B191))),";",EscStr($J191),";"),CONCATENATE(";",EscStr(CONCATENATE("NavNode_",getCategoryLevelAsString($B191))),";",EscStr(S191),";")))</f>
        <v>;"NavNode_L3D_525473";"Przetworniki interfejsu";</v>
      </c>
      <c r="AM191" s="10" t="str">
        <f>IF(getCategoryLevelAsString($B191)="L0D_324785","",IF(T191="",CONCATENATE(";",EscStr(CONCATENATE("NavNode_",getCategoryLevelAsString($B191))),";",EscStr($J191),";"),CONCATENATE(";",EscStr(CONCATENATE("NavNode_",getCategoryLevelAsString($B191))),";",EscStr(T191),";")))</f>
        <v>;"NavNode_L3D_525473";"Преобразователи интерфейсов";</v>
      </c>
      <c r="AN191" s="10" t="str">
        <f>IF(getCategoryLevelAsString($B191)="L0D_324785","",IF(U191="",CONCATENATE(";",EscStr(CONCATENATE("NavNode_",getCategoryLevelAsString($B191))),";",EscStr($J191),";"),CONCATENATE(";",EscStr(CONCATENATE("NavNode_",getCategoryLevelAsString($B191))),";",EscStr(U191),";")))</f>
        <v>;"NavNode_L3D_525473";"Převodník rozhraní";</v>
      </c>
      <c r="AO191" s="10" t="str">
        <f>IF(getCategoryLevelAsString($B191)="L0D_324785","",IF(V191="",CONCATENATE(";",EscStr(CONCATENATE("NavNode_",getCategoryLevelAsString($B191))),";",EscStr($J191),";"),CONCATENATE(";",EscStr(CONCATENATE("NavNode_",getCategoryLevelAsString($B191))),";",EscStr(V191),";")))</f>
        <v>;"NavNode_L3D_525473";"Convertor de interfaţă";</v>
      </c>
      <c r="AP191" s="10" t="str">
        <f>IF(getCategoryLevelAsString($B191)="L0D_324785","",IF(W191="",CONCATENATE(";",EscStr(CONCATENATE("NavNode_",getCategoryLevelAsString($B191))),";",EscStr($J191),";"),CONCATENATE(";",EscStr(CONCATENATE("NavNode_",getCategoryLevelAsString($B191))),";",EscStr(W191),";")))</f>
        <v>;"NavNode_L3D_525473";"Interfész átalakító";</v>
      </c>
      <c r="AQ191" s="10" t="str">
        <f>IF(getCategoryLevelAsString($B191)="L0D_324785","",IF(X191="",CONCATENATE(";",EscStr(CONCATENATE("NavNode_",getCategoryLevelAsString($B191))),";",EscStr($J191),";"),CONCATENATE(";",EscStr(CONCATENATE("NavNode_",getCategoryLevelAsString($B191))),";",EscStr(X191),";")))</f>
        <v>;"NavNode_L3D_525473";"Převodník rozhraní";</v>
      </c>
      <c r="AR191" s="8" t="str">
        <f>IF(OR($A191&lt;&gt;"", $G191=""),"",CONCATENATE(";",EscStr(CONCATENATE("NavEntry_",getCategoryLevelAsString($B191))),";",EscStr(CONCATENATE($J191," Navigation Entry")),";",EscStr(CONCATENATE("cat-",getCategoryLevelAsString($B191))),";",EscStr(CONCATENATE("NavNode_",getCategoryLevelAsString($B191))),";"))</f>
        <v>;"NavEntry_L3D_525473";"Interface Converters Navigation Entry";"cat-L3D_525473";"NavNode_L3D_525473";</v>
      </c>
    </row>
    <row r="192" spans="1:44" ht="15" x14ac:dyDescent="0.25">
      <c r="A192" s="25"/>
      <c r="B192" s="5"/>
      <c r="C192" s="5"/>
      <c r="D192" s="5" t="s">
        <v>65</v>
      </c>
      <c r="E192" s="5"/>
      <c r="F192" s="5"/>
      <c r="G192" s="5" t="s">
        <v>275</v>
      </c>
      <c r="H192" s="5" t="s">
        <v>276</v>
      </c>
      <c r="I192" s="5" t="s">
        <v>277</v>
      </c>
      <c r="J192" s="5" t="s">
        <v>836</v>
      </c>
      <c r="K192" s="5" t="s">
        <v>1303</v>
      </c>
      <c r="L192" s="5" t="s">
        <v>1538</v>
      </c>
      <c r="M192" s="5" t="s">
        <v>1760</v>
      </c>
      <c r="N192" s="5" t="s">
        <v>1968</v>
      </c>
      <c r="O192" s="5" t="s">
        <v>3362</v>
      </c>
      <c r="P192" s="5" t="s">
        <v>3363</v>
      </c>
      <c r="Q192" s="5" t="s">
        <v>3364</v>
      </c>
      <c r="R192" s="5" t="s">
        <v>3365</v>
      </c>
      <c r="S192" s="5" t="s">
        <v>3366</v>
      </c>
      <c r="T192" s="5" t="s">
        <v>3367</v>
      </c>
      <c r="U192" s="5" t="s">
        <v>3368</v>
      </c>
      <c r="V192" s="5" t="s">
        <v>3369</v>
      </c>
      <c r="W192" s="5" t="s">
        <v>3370</v>
      </c>
      <c r="X192" s="5" t="s">
        <v>3368</v>
      </c>
      <c r="Y192" s="10" t="str">
        <f>IF(OR($A192&lt;&gt;"", $G192=""),"",CONCATENATE(";",EscStr(CONCATENATE("NavNode_",getCategoryLevelAsString($B192))),";",EscStr($J192),";",IF($B192&lt;&gt;"","""MainNavNode""",EscStr(CONCATENATE("NavNode_",getSuperCategory($B192, getCategoryLevelAsNumber($B192))))),";"))</f>
        <v>;"NavNode_L3D_525476";"Measuring Transducers and Signal Converters";"NavNode_L2D_379611";</v>
      </c>
      <c r="Z192" s="10" t="str">
        <f>IF(getCategoryLevelAsString($B192)="L0D_324785","",IF(G192="",CONCATENATE(";",EscStr(CONCATENATE("NavNode_",getCategoryLevelAsString($B192))),";",EscStr($J192),";"),CONCATENATE(";",EscStr(CONCATENATE("NavNode_",getCategoryLevelAsString($B192))),";",EscStr(G192),";")))</f>
        <v>;"NavNode_L3D_525476";"Messumformer und Signalwandler";</v>
      </c>
      <c r="AA192" s="10" t="str">
        <f>IF(getCategoryLevelAsString($B192)="L0D_324785","",IF(H192="",CONCATENATE(";",EscStr(CONCATENATE("NavNode_",getCategoryLevelAsString($B192))),";",EscStr($J192),";"),CONCATENATE(";",EscStr(CONCATENATE("NavNode_",getCategoryLevelAsString($B192))),";",EscStr(H192),";")))</f>
        <v>;"NavNode_L3D_525476";"Transducteurs de mesure et convertisseurs de signaux";</v>
      </c>
      <c r="AB192" s="10" t="str">
        <f>IF(getCategoryLevelAsString($B192)="L0D_324785","",IF(I192="",CONCATENATE(";",EscStr(CONCATENATE("NavNode_",getCategoryLevelAsString($B192))),";",EscStr($J192),";"),CONCATENATE(";",EscStr(CONCATENATE("NavNode_",getCategoryLevelAsString($B192))),";",EscStr(I192),";")))</f>
        <v>;"NavNode_L3D_525476";"Convertitori di misura e convertitori di segnale";</v>
      </c>
      <c r="AC192" s="10" t="str">
        <f>IF(getCategoryLevelAsString($B192)="L0D_324785","",IF(J192="",CONCATENATE(";",EscStr(CONCATENATE("NavNode_",getCategoryLevelAsString($B192))),";",EscStr($J192),";"),CONCATENATE(";",EscStr(CONCATENATE("NavNode_",getCategoryLevelAsString($B192))),";",EscStr(J192),";")))</f>
        <v>;"NavNode_L3D_525476";"Measuring Transducers and Signal Converters";</v>
      </c>
      <c r="AD192" s="10" t="str">
        <f>IF(getCategoryLevelAsString($B192)="L0D_324785","",IF(K192="",CONCATENATE(";",EscStr(CONCATENATE("NavNode_",getCategoryLevelAsString($B192))),";",EscStr($J192),";"),CONCATENATE(";",EscStr(CONCATENATE("NavNode_",getCategoryLevelAsString($B192))),";",EscStr(K192),";")))</f>
        <v>;"NavNode_L3D_525476";"Måleværdi- og signalomformere";</v>
      </c>
      <c r="AE192" s="10" t="str">
        <f>IF(getCategoryLevelAsString($B192)="L0D_324785","",IF(L192="",CONCATENATE(";",EscStr(CONCATENATE("NavNode_",getCategoryLevelAsString($B192))),";",EscStr($J192),";"),CONCATENATE(";",EscStr(CONCATENATE("NavNode_",getCategoryLevelAsString($B192))),";",EscStr(L192),";")))</f>
        <v>;"NavNode_L3D_525476";"Matavimo ir signalų keitikliai";</v>
      </c>
      <c r="AF192" s="10" t="str">
        <f>IF(getCategoryLevelAsString($B192)="L0D_324785","",IF(M192="",CONCATENATE(";",EscStr(CONCATENATE("NavNode_",getCategoryLevelAsString($B192))),";",EscStr($J192),";"),CONCATENATE(";",EscStr(CONCATENATE("NavNode_",getCategoryLevelAsString($B192))),";",EscStr(M192),";")))</f>
        <v>;"NavNode_L3D_525476";"Målegivere og signalomformere";</v>
      </c>
      <c r="AG192" s="10" t="str">
        <f>IF(getCategoryLevelAsString($B192)="L0D_324785","",IF(N192="",CONCATENATE(";",EscStr(CONCATENATE("NavNode_",getCategoryLevelAsString($B192))),";",EscStr($J192),";"),CONCATENATE(";",EscStr(CONCATENATE("NavNode_",getCategoryLevelAsString($B192))),";",EscStr(N192),";")))</f>
        <v>;"NavNode_L3D_525476";"Mät- och signalomvandlare";</v>
      </c>
      <c r="AH192" s="10" t="str">
        <f>IF(getCategoryLevelAsString($B192)="L0D_324785","",IF(O192="",CONCATENATE(";",EscStr(CONCATENATE("NavNode_",getCategoryLevelAsString($B192))),";",EscStr($J192),";"),CONCATENATE(";",EscStr(CONCATENATE("NavNode_",getCategoryLevelAsString($B192))),";",EscStr(O192),";")))</f>
        <v>;"NavNode_L3D_525476";"Mõõtemuundurid ja signaalimuundurid";</v>
      </c>
      <c r="AI192" s="10" t="str">
        <f>IF(getCategoryLevelAsString($B192)="L0D_324785","",IF(P192="",CONCATENATE(";",EscStr(CONCATENATE("NavNode_",getCategoryLevelAsString($B192))),";",EscStr($J192),";"),CONCATENATE(";",EscStr(CONCATENATE("NavNode_",getCategoryLevelAsString($B192))),";",EscStr(P192),";")))</f>
        <v>;"NavNode_L3D_525476";"Signaalimuuntimet";</v>
      </c>
      <c r="AJ192" s="10" t="str">
        <f>IF(getCategoryLevelAsString($B192)="L0D_324785","",IF(Q192="",CONCATENATE(";",EscStr(CONCATENATE("NavNode_",getCategoryLevelAsString($B192))),";",EscStr($J192),";"),CONCATENATE(";",EscStr(CONCATENATE("NavNode_",getCategoryLevelAsString($B192))),";",EscStr(Q192),";")))</f>
        <v>;"NavNode_L3D_525476";"Mērīšanas pārveidotāji un signālu pārveidotāji";</v>
      </c>
      <c r="AK192" s="10" t="str">
        <f>IF(getCategoryLevelAsString($B192)="L0D_324785","",IF(R192="",CONCATENATE(";",EscStr(CONCATENATE("NavNode_",getCategoryLevelAsString($B192))),";",EscStr($J192),";"),CONCATENATE(";",EscStr(CONCATENATE("NavNode_",getCategoryLevelAsString($B192))),";",EscStr(R192),";")))</f>
        <v>;"NavNode_L3D_525476";"Meet transducers and signaalomvormers";</v>
      </c>
      <c r="AL192" s="10" t="str">
        <f>IF(getCategoryLevelAsString($B192)="L0D_324785","",IF(S192="",CONCATENATE(";",EscStr(CONCATENATE("NavNode_",getCategoryLevelAsString($B192))),";",EscStr($J192),";"),CONCATENATE(";",EscStr(CONCATENATE("NavNode_",getCategoryLevelAsString($B192))),";",EscStr(S192),";")))</f>
        <v>;"NavNode_L3D_525476";"Przetworniki pomiarowe i Przetworniki sygnałów";</v>
      </c>
      <c r="AM192" s="10" t="str">
        <f>IF(getCategoryLevelAsString($B192)="L0D_324785","",IF(T192="",CONCATENATE(";",EscStr(CONCATENATE("NavNode_",getCategoryLevelAsString($B192))),";",EscStr($J192),";"),CONCATENATE(";",EscStr(CONCATENATE("NavNode_",getCategoryLevelAsString($B192))),";",EscStr(T192),";")))</f>
        <v>;"NavNode_L3D_525476";"Измерительные датчики и преобразователи сигналов";</v>
      </c>
      <c r="AN192" s="10" t="str">
        <f>IF(getCategoryLevelAsString($B192)="L0D_324785","",IF(U192="",CONCATENATE(";",EscStr(CONCATENATE("NavNode_",getCategoryLevelAsString($B192))),";",EscStr($J192),";"),CONCATENATE(";",EscStr(CONCATENATE("NavNode_",getCategoryLevelAsString($B192))),";",EscStr(U192),";")))</f>
        <v>;"NavNode_L3D_525476";"Měřicí převodník a převodník signálu";</v>
      </c>
      <c r="AO192" s="10" t="str">
        <f>IF(getCategoryLevelAsString($B192)="L0D_324785","",IF(V192="",CONCATENATE(";",EscStr(CONCATENATE("NavNode_",getCategoryLevelAsString($B192))),";",EscStr($J192),";"),CONCATENATE(";",EscStr(CONCATENATE("NavNode_",getCategoryLevelAsString($B192))),";",EscStr(V192),";")))</f>
        <v>;"NavNode_L3D_525476";"Traductor şi semnal converter";</v>
      </c>
      <c r="AP192" s="10" t="str">
        <f>IF(getCategoryLevelAsString($B192)="L0D_324785","",IF(W192="",CONCATENATE(";",EscStr(CONCATENATE("NavNode_",getCategoryLevelAsString($B192))),";",EscStr($J192),";"),CONCATENATE(";",EscStr(CONCATENATE("NavNode_",getCategoryLevelAsString($B192))),";",EscStr(W192),";")))</f>
        <v>;"NavNode_L3D_525476";"Mérőátalakítók és jelátalakítók";</v>
      </c>
      <c r="AQ192" s="10" t="str">
        <f>IF(getCategoryLevelAsString($B192)="L0D_324785","",IF(X192="",CONCATENATE(";",EscStr(CONCATENATE("NavNode_",getCategoryLevelAsString($B192))),";",EscStr($J192),";"),CONCATENATE(";",EscStr(CONCATENATE("NavNode_",getCategoryLevelAsString($B192))),";",EscStr(X192),";")))</f>
        <v>;"NavNode_L3D_525476";"Měřicí převodník a převodník signálu";</v>
      </c>
      <c r="AR192" s="8" t="str">
        <f>IF(OR($A192&lt;&gt;"", $G192=""),"",CONCATENATE(";",EscStr(CONCATENATE("NavEntry_",getCategoryLevelAsString($B192))),";",EscStr(CONCATENATE($J192," Navigation Entry")),";",EscStr(CONCATENATE("cat-",getCategoryLevelAsString($B192))),";",EscStr(CONCATENATE("NavNode_",getCategoryLevelAsString($B192))),";"))</f>
        <v>;"NavEntry_L3D_525476";"Measuring Transducers and Signal Converters Navigation Entry";"cat-L3D_525476";"NavNode_L3D_525476";</v>
      </c>
    </row>
    <row r="193" spans="1:44" ht="15" x14ac:dyDescent="0.25">
      <c r="A193" s="25"/>
      <c r="B193" s="5"/>
      <c r="C193" s="5"/>
      <c r="D193" s="5" t="s">
        <v>58</v>
      </c>
      <c r="E193" s="5"/>
      <c r="F193" s="5"/>
      <c r="G193" s="5" t="s">
        <v>269</v>
      </c>
      <c r="H193" s="5" t="s">
        <v>270</v>
      </c>
      <c r="I193" s="5" t="s">
        <v>271</v>
      </c>
      <c r="J193" s="5" t="s">
        <v>59</v>
      </c>
      <c r="K193" s="5" t="s">
        <v>1304</v>
      </c>
      <c r="L193" s="5" t="s">
        <v>1539</v>
      </c>
      <c r="M193" s="5" t="s">
        <v>1761</v>
      </c>
      <c r="N193" s="5" t="s">
        <v>1969</v>
      </c>
      <c r="O193" s="5" t="s">
        <v>3371</v>
      </c>
      <c r="P193" s="5" t="s">
        <v>3372</v>
      </c>
      <c r="Q193" s="5" t="s">
        <v>3373</v>
      </c>
      <c r="R193" s="5" t="s">
        <v>3374</v>
      </c>
      <c r="S193" s="5" t="s">
        <v>3375</v>
      </c>
      <c r="T193" s="5" t="s">
        <v>3376</v>
      </c>
      <c r="U193" s="5" t="s">
        <v>3377</v>
      </c>
      <c r="V193" s="5" t="s">
        <v>3378</v>
      </c>
      <c r="W193" s="5" t="s">
        <v>3379</v>
      </c>
      <c r="X193" s="5" t="s">
        <v>3377</v>
      </c>
      <c r="Y193" s="10" t="str">
        <f>IF(OR($A193&lt;&gt;"", $G193=""),"",CONCATENATE(";",EscStr(CONCATENATE("NavNode_",getCategoryLevelAsString($B193))),";",EscStr($J193),";",IF($B193&lt;&gt;"","""MainNavNode""",EscStr(CONCATENATE("NavNode_",getSuperCategory($B193, getCategoryLevelAsNumber($B193))))),";"))</f>
        <v>;"NavNode_L3D_525475";"Actuator Sensor Interface";"NavNode_L2D_379611";</v>
      </c>
      <c r="Z193" s="10" t="str">
        <f>IF(getCategoryLevelAsString($B193)="L0D_324785","",IF(G193="",CONCATENATE(";",EscStr(CONCATENATE("NavNode_",getCategoryLevelAsString($B193))),";",EscStr($J193),";"),CONCATENATE(";",EscStr(CONCATENATE("NavNode_",getCategoryLevelAsString($B193))),";",EscStr(G193),";")))</f>
        <v>;"NavNode_L3D_525475";"Aktor-Sensor-Schnittstelle";</v>
      </c>
      <c r="AA193" s="10" t="str">
        <f>IF(getCategoryLevelAsString($B193)="L0D_324785","",IF(H193="",CONCATENATE(";",EscStr(CONCATENATE("NavNode_",getCategoryLevelAsString($B193))),";",EscStr($J193),";"),CONCATENATE(";",EscStr(CONCATENATE("NavNode_",getCategoryLevelAsString($B193))),";",EscStr(H193),";")))</f>
        <v>;"NavNode_L3D_525475";"Interface capteur-actionneur";</v>
      </c>
      <c r="AB193" s="10" t="str">
        <f>IF(getCategoryLevelAsString($B193)="L0D_324785","",IF(I193="",CONCATENATE(";",EscStr(CONCATENATE("NavNode_",getCategoryLevelAsString($B193))),";",EscStr($J193),";"),CONCATENATE(";",EscStr(CONCATENATE("NavNode_",getCategoryLevelAsString($B193))),";",EscStr(I193),";")))</f>
        <v>;"NavNode_L3D_525475";"Interfaccia attuatore sensore";</v>
      </c>
      <c r="AC193" s="10" t="str">
        <f>IF(getCategoryLevelAsString($B193)="L0D_324785","",IF(J193="",CONCATENATE(";",EscStr(CONCATENATE("NavNode_",getCategoryLevelAsString($B193))),";",EscStr($J193),";"),CONCATENATE(";",EscStr(CONCATENATE("NavNode_",getCategoryLevelAsString($B193))),";",EscStr(J193),";")))</f>
        <v>;"NavNode_L3D_525475";"Actuator Sensor Interface";</v>
      </c>
      <c r="AD193" s="10" t="str">
        <f>IF(getCategoryLevelAsString($B193)="L0D_324785","",IF(K193="",CONCATENATE(";",EscStr(CONCATENATE("NavNode_",getCategoryLevelAsString($B193))),";",EscStr($J193),";"),CONCATENATE(";",EscStr(CONCATENATE("NavNode_",getCategoryLevelAsString($B193))),";",EscStr(K193),";")))</f>
        <v>;"NavNode_L3D_525475";"Aktuator-sensor-interface";</v>
      </c>
      <c r="AE193" s="10" t="str">
        <f>IF(getCategoryLevelAsString($B193)="L0D_324785","",IF(L193="",CONCATENATE(";",EscStr(CONCATENATE("NavNode_",getCategoryLevelAsString($B193))),";",EscStr($J193),";"),CONCATENATE(";",EscStr(CONCATENATE("NavNode_",getCategoryLevelAsString($B193))),";",EscStr(L193),";")))</f>
        <v>;"NavNode_L3D_525475";"Vykdiklių jutiklių sąsajos";</v>
      </c>
      <c r="AF193" s="10" t="str">
        <f>IF(getCategoryLevelAsString($B193)="L0D_324785","",IF(M193="",CONCATENATE(";",EscStr(CONCATENATE("NavNode_",getCategoryLevelAsString($B193))),";",EscStr($J193),";"),CONCATENATE(";",EscStr(CONCATENATE("NavNode_",getCategoryLevelAsString($B193))),";",EscStr(M193),";")))</f>
        <v>;"NavNode_L3D_525475";"Aktuatorsensor-grensesnitt";</v>
      </c>
      <c r="AG193" s="10" t="str">
        <f>IF(getCategoryLevelAsString($B193)="L0D_324785","",IF(N193="",CONCATENATE(";",EscStr(CONCATENATE("NavNode_",getCategoryLevelAsString($B193))),";",EscStr($J193),";"),CONCATENATE(";",EscStr(CONCATENATE("NavNode_",getCategoryLevelAsString($B193))),";",EscStr(N193),";")))</f>
        <v>;"NavNode_L3D_525475";"Manöverdonsgivargränssnitt";</v>
      </c>
      <c r="AH193" s="10" t="str">
        <f>IF(getCategoryLevelAsString($B193)="L0D_324785","",IF(O193="",CONCATENATE(";",EscStr(CONCATENATE("NavNode_",getCategoryLevelAsString($B193))),";",EscStr($J193),";"),CONCATENATE(";",EscStr(CONCATENATE("NavNode_",getCategoryLevelAsString($B193))),";",EscStr(O193),";")))</f>
        <v>;"NavNode_L3D_525475";"Täituri andurliides";</v>
      </c>
      <c r="AI193" s="10" t="str">
        <f>IF(getCategoryLevelAsString($B193)="L0D_324785","",IF(P193="",CONCATENATE(";",EscStr(CONCATENATE("NavNode_",getCategoryLevelAsString($B193))),";",EscStr($J193),";"),CONCATENATE(";",EscStr(CONCATENATE("NavNode_",getCategoryLevelAsString($B193))),";",EscStr(P193),";")))</f>
        <v>;"NavNode_L3D_525475";"Muunnosanturi liitäntä";</v>
      </c>
      <c r="AJ193" s="10" t="str">
        <f>IF(getCategoryLevelAsString($B193)="L0D_324785","",IF(Q193="",CONCATENATE(";",EscStr(CONCATENATE("NavNode_",getCategoryLevelAsString($B193))),";",EscStr($J193),";"),CONCATENATE(";",EscStr(CONCATENATE("NavNode_",getCategoryLevelAsString($B193))),";",EscStr(Q193),";")))</f>
        <v>;"NavNode_L3D_525475";"Piedziņas sensoru interfeiss";</v>
      </c>
      <c r="AK193" s="10" t="str">
        <f>IF(getCategoryLevelAsString($B193)="L0D_324785","",IF(R193="",CONCATENATE(";",EscStr(CONCATENATE("NavNode_",getCategoryLevelAsString($B193))),";",EscStr($J193),";"),CONCATENATE(";",EscStr(CONCATENATE("NavNode_",getCategoryLevelAsString($B193))),";",EscStr(R193),";")))</f>
        <v>;"NavNode_L3D_525475";"Actuator sensor interface";</v>
      </c>
      <c r="AL193" s="10" t="str">
        <f>IF(getCategoryLevelAsString($B193)="L0D_324785","",IF(S193="",CONCATENATE(";",EscStr(CONCATENATE("NavNode_",getCategoryLevelAsString($B193))),";",EscStr($J193),";"),CONCATENATE(";",EscStr(CONCATENATE("NavNode_",getCategoryLevelAsString($B193))),";",EscStr(S193),";")))</f>
        <v>;"NavNode_L3D_525475";"Interfejsy czujnik-element wykonawczy";</v>
      </c>
      <c r="AM193" s="10" t="str">
        <f>IF(getCategoryLevelAsString($B193)="L0D_324785","",IF(T193="",CONCATENATE(";",EscStr(CONCATENATE("NavNode_",getCategoryLevelAsString($B193))),";",EscStr($J193),";"),CONCATENATE(";",EscStr(CONCATENATE("NavNode_",getCategoryLevelAsString($B193))),";",EscStr(T193),";")))</f>
        <v>;"NavNode_L3D_525475";"Интерфейсы для датчиков";</v>
      </c>
      <c r="AN193" s="10" t="str">
        <f>IF(getCategoryLevelAsString($B193)="L0D_324785","",IF(U193="",CONCATENATE(";",EscStr(CONCATENATE("NavNode_",getCategoryLevelAsString($B193))),";",EscStr($J193),";"),CONCATENATE(";",EscStr(CONCATENATE("NavNode_",getCategoryLevelAsString($B193))),";",EscStr(U193),";")))</f>
        <v>;"NavNode_L3D_525475";"Rozhraní snímače aktivátoru";</v>
      </c>
      <c r="AO193" s="10" t="str">
        <f>IF(getCategoryLevelAsString($B193)="L0D_324785","",IF(V193="",CONCATENATE(";",EscStr(CONCATENATE("NavNode_",getCategoryLevelAsString($B193))),";",EscStr($J193),";"),CONCATENATE(";",EscStr(CONCATENATE("NavNode_",getCategoryLevelAsString($B193))),";",EscStr(V193),";")))</f>
        <v>;"NavNode_L3D_525475";"Interfaţă senzori de acţionare";</v>
      </c>
      <c r="AP193" s="10" t="str">
        <f>IF(getCategoryLevelAsString($B193)="L0D_324785","",IF(W193="",CONCATENATE(";",EscStr(CONCATENATE("NavNode_",getCategoryLevelAsString($B193))),";",EscStr($J193),";"),CONCATENATE(";",EscStr(CONCATENATE("NavNode_",getCategoryLevelAsString($B193))),";",EscStr(W193),";")))</f>
        <v>;"NavNode_L3D_525475";"Aktuátor-érzékelő-interfész";</v>
      </c>
      <c r="AQ193" s="10" t="str">
        <f>IF(getCategoryLevelAsString($B193)="L0D_324785","",IF(X193="",CONCATENATE(";",EscStr(CONCATENATE("NavNode_",getCategoryLevelAsString($B193))),";",EscStr($J193),";"),CONCATENATE(";",EscStr(CONCATENATE("NavNode_",getCategoryLevelAsString($B193))),";",EscStr(X193),";")))</f>
        <v>;"NavNode_L3D_525475";"Rozhraní snímače aktivátoru";</v>
      </c>
      <c r="AR193" s="8" t="str">
        <f>IF(OR($A193&lt;&gt;"", $G193=""),"",CONCATENATE(";",EscStr(CONCATENATE("NavEntry_",getCategoryLevelAsString($B193))),";",EscStr(CONCATENATE($J193," Navigation Entry")),";",EscStr(CONCATENATE("cat-",getCategoryLevelAsString($B193))),";",EscStr(CONCATENATE("NavNode_",getCategoryLevelAsString($B193))),";"))</f>
        <v>;"NavEntry_L3D_525475";"Actuator Sensor Interface Navigation Entry";"cat-L3D_525475";"NavNode_L3D_525475";</v>
      </c>
    </row>
    <row r="194" spans="1:44" ht="15" x14ac:dyDescent="0.25">
      <c r="A194" s="25"/>
      <c r="B194" s="5"/>
      <c r="C194" s="5"/>
      <c r="D194" s="5" t="s">
        <v>61</v>
      </c>
      <c r="E194" s="5"/>
      <c r="F194" s="5"/>
      <c r="G194" s="5" t="s">
        <v>62</v>
      </c>
      <c r="H194" s="5" t="s">
        <v>62</v>
      </c>
      <c r="I194" s="5" t="s">
        <v>62</v>
      </c>
      <c r="J194" s="5" t="s">
        <v>62</v>
      </c>
      <c r="K194" s="5" t="s">
        <v>1305</v>
      </c>
      <c r="L194" s="5" t="s">
        <v>1540</v>
      </c>
      <c r="M194" s="5" t="s">
        <v>1305</v>
      </c>
      <c r="N194" s="5" t="s">
        <v>1970</v>
      </c>
      <c r="O194" s="5" t="s">
        <v>3380</v>
      </c>
      <c r="P194" s="5" t="s">
        <v>3381</v>
      </c>
      <c r="Q194" s="5" t="s">
        <v>3382</v>
      </c>
      <c r="R194" s="5" t="s">
        <v>3383</v>
      </c>
      <c r="S194" s="5" t="s">
        <v>3384</v>
      </c>
      <c r="T194" s="5" t="s">
        <v>3385</v>
      </c>
      <c r="U194" s="5" t="s">
        <v>3386</v>
      </c>
      <c r="V194" s="5" t="s">
        <v>3387</v>
      </c>
      <c r="W194" s="5" t="s">
        <v>3388</v>
      </c>
      <c r="X194" s="5" t="s">
        <v>3386</v>
      </c>
      <c r="Y194" s="10" t="str">
        <f>IF(OR($A194&lt;&gt;"", $G194=""),"",CONCATENATE(";",EscStr(CONCATENATE("NavNode_",getCategoryLevelAsString($B194))),";",EscStr($J194),";",IF($B194&lt;&gt;"","""MainNavNode""",EscStr(CONCATENATE("NavNode_",getSuperCategory($B194, getCategoryLevelAsNumber($B194))))),";"))</f>
        <v>;"NavNode_L3D_525477";"Industrial Ethernet";"NavNode_L2D_379611";</v>
      </c>
      <c r="Z194" s="10" t="str">
        <f>IF(getCategoryLevelAsString($B194)="L0D_324785","",IF(G194="",CONCATENATE(";",EscStr(CONCATENATE("NavNode_",getCategoryLevelAsString($B194))),";",EscStr($J194),";"),CONCATENATE(";",EscStr(CONCATENATE("NavNode_",getCategoryLevelAsString($B194))),";",EscStr(G194),";")))</f>
        <v>;"NavNode_L3D_525477";"Industrial Ethernet";</v>
      </c>
      <c r="AA194" s="10" t="str">
        <f>IF(getCategoryLevelAsString($B194)="L0D_324785","",IF(H194="",CONCATENATE(";",EscStr(CONCATENATE("NavNode_",getCategoryLevelAsString($B194))),";",EscStr($J194),";"),CONCATENATE(";",EscStr(CONCATENATE("NavNode_",getCategoryLevelAsString($B194))),";",EscStr(H194),";")))</f>
        <v>;"NavNode_L3D_525477";"Industrial Ethernet";</v>
      </c>
      <c r="AB194" s="10" t="str">
        <f>IF(getCategoryLevelAsString($B194)="L0D_324785","",IF(I194="",CONCATENATE(";",EscStr(CONCATENATE("NavNode_",getCategoryLevelAsString($B194))),";",EscStr($J194),";"),CONCATENATE(";",EscStr(CONCATENATE("NavNode_",getCategoryLevelAsString($B194))),";",EscStr(I194),";")))</f>
        <v>;"NavNode_L3D_525477";"Industrial Ethernet";</v>
      </c>
      <c r="AC194" s="10" t="str">
        <f>IF(getCategoryLevelAsString($B194)="L0D_324785","",IF(J194="",CONCATENATE(";",EscStr(CONCATENATE("NavNode_",getCategoryLevelAsString($B194))),";",EscStr($J194),";"),CONCATENATE(";",EscStr(CONCATENATE("NavNode_",getCategoryLevelAsString($B194))),";",EscStr(J194),";")))</f>
        <v>;"NavNode_L3D_525477";"Industrial Ethernet";</v>
      </c>
      <c r="AD194" s="10" t="str">
        <f>IF(getCategoryLevelAsString($B194)="L0D_324785","",IF(K194="",CONCATENATE(";",EscStr(CONCATENATE("NavNode_",getCategoryLevelAsString($B194))),";",EscStr($J194),";"),CONCATENATE(";",EscStr(CONCATENATE("NavNode_",getCategoryLevelAsString($B194))),";",EscStr(K194),";")))</f>
        <v>;"NavNode_L3D_525477";"Industrielt Ethernet";</v>
      </c>
      <c r="AE194" s="10" t="str">
        <f>IF(getCategoryLevelAsString($B194)="L0D_324785","",IF(L194="",CONCATENATE(";",EscStr(CONCATENATE("NavNode_",getCategoryLevelAsString($B194))),";",EscStr($J194),";"),CONCATENATE(";",EscStr(CONCATENATE("NavNode_",getCategoryLevelAsString($B194))),";",EscStr(L194),";")))</f>
        <v>;"NavNode_L3D_525477";"Pramoninis eternetas";</v>
      </c>
      <c r="AF194" s="10" t="str">
        <f>IF(getCategoryLevelAsString($B194)="L0D_324785","",IF(M194="",CONCATENATE(";",EscStr(CONCATENATE("NavNode_",getCategoryLevelAsString($B194))),";",EscStr($J194),";"),CONCATENATE(";",EscStr(CONCATENATE("NavNode_",getCategoryLevelAsString($B194))),";",EscStr(M194),";")))</f>
        <v>;"NavNode_L3D_525477";"Industrielt Ethernet";</v>
      </c>
      <c r="AG194" s="10" t="str">
        <f>IF(getCategoryLevelAsString($B194)="L0D_324785","",IF(N194="",CONCATENATE(";",EscStr(CONCATENATE("NavNode_",getCategoryLevelAsString($B194))),";",EscStr($J194),";"),CONCATENATE(";",EscStr(CONCATENATE("NavNode_",getCategoryLevelAsString($B194))),";",EscStr(N194),";")))</f>
        <v>;"NavNode_L3D_525477";"Industriellt Ethernet";</v>
      </c>
      <c r="AH194" s="10" t="str">
        <f>IF(getCategoryLevelAsString($B194)="L0D_324785","",IF(O194="",CONCATENATE(";",EscStr(CONCATENATE("NavNode_",getCategoryLevelAsString($B194))),";",EscStr($J194),";"),CONCATENATE(";",EscStr(CONCATENATE("NavNode_",getCategoryLevelAsString($B194))),";",EscStr(O194),";")))</f>
        <v>;"NavNode_L3D_525477";"Tööstuslik andmeedastusvõrk";</v>
      </c>
      <c r="AI194" s="10" t="str">
        <f>IF(getCategoryLevelAsString($B194)="L0D_324785","",IF(P194="",CONCATENATE(";",EscStr(CONCATENATE("NavNode_",getCategoryLevelAsString($B194))),";",EscStr($J194),";"),CONCATENATE(";",EscStr(CONCATENATE("NavNode_",getCategoryLevelAsString($B194))),";",EscStr(P194),";")))</f>
        <v>;"NavNode_L3D_525477";"Teollisuus Ethernet";</v>
      </c>
      <c r="AJ194" s="10" t="str">
        <f>IF(getCategoryLevelAsString($B194)="L0D_324785","",IF(Q194="",CONCATENATE(";",EscStr(CONCATENATE("NavNode_",getCategoryLevelAsString($B194))),";",EscStr($J194),";"),CONCATENATE(";",EscStr(CONCATENATE("NavNode_",getCategoryLevelAsString($B194))),";",EscStr(Q194),";")))</f>
        <v>;"NavNode_L3D_525477";"Industriālais Ethernet";</v>
      </c>
      <c r="AK194" s="10" t="str">
        <f>IF(getCategoryLevelAsString($B194)="L0D_324785","",IF(R194="",CONCATENATE(";",EscStr(CONCATENATE("NavNode_",getCategoryLevelAsString($B194))),";",EscStr($J194),";"),CONCATENATE(";",EscStr(CONCATENATE("NavNode_",getCategoryLevelAsString($B194))),";",EscStr(R194),";")))</f>
        <v>;"NavNode_L3D_525477";"Industrieel ethernet";</v>
      </c>
      <c r="AL194" s="10" t="str">
        <f>IF(getCategoryLevelAsString($B194)="L0D_324785","",IF(S194="",CONCATENATE(";",EscStr(CONCATENATE("NavNode_",getCategoryLevelAsString($B194))),";",EscStr($J194),";"),CONCATENATE(";",EscStr(CONCATENATE("NavNode_",getCategoryLevelAsString($B194))),";",EscStr(S194),";")))</f>
        <v>;"NavNode_L3D_525477";"Ethernet przemysłowy";</v>
      </c>
      <c r="AM194" s="10" t="str">
        <f>IF(getCategoryLevelAsString($B194)="L0D_324785","",IF(T194="",CONCATENATE(";",EscStr(CONCATENATE("NavNode_",getCategoryLevelAsString($B194))),";",EscStr($J194),";"),CONCATENATE(";",EscStr(CONCATENATE("NavNode_",getCategoryLevelAsString($B194))),";",EscStr(T194),";")))</f>
        <v>;"NavNode_L3D_525477";"Промышленный Ethernet";</v>
      </c>
      <c r="AN194" s="10" t="str">
        <f>IF(getCategoryLevelAsString($B194)="L0D_324785","",IF(U194="",CONCATENATE(";",EscStr(CONCATENATE("NavNode_",getCategoryLevelAsString($B194))),";",EscStr($J194),";"),CONCATENATE(";",EscStr(CONCATENATE("NavNode_",getCategoryLevelAsString($B194))),";",EscStr(U194),";")))</f>
        <v>;"NavNode_L3D_525477";"Průmyslový Ethernet";</v>
      </c>
      <c r="AO194" s="10" t="str">
        <f>IF(getCategoryLevelAsString($B194)="L0D_324785","",IF(V194="",CONCATENATE(";",EscStr(CONCATENATE("NavNode_",getCategoryLevelAsString($B194))),";",EscStr($J194),";"),CONCATENATE(";",EscStr(CONCATENATE("NavNode_",getCategoryLevelAsString($B194))),";",EscStr(V194),";")))</f>
        <v>;"NavNode_L3D_525477";"Ethernet industrial";</v>
      </c>
      <c r="AP194" s="10" t="str">
        <f>IF(getCategoryLevelAsString($B194)="L0D_324785","",IF(W194="",CONCATENATE(";",EscStr(CONCATENATE("NavNode_",getCategoryLevelAsString($B194))),";",EscStr($J194),";"),CONCATENATE(";",EscStr(CONCATENATE("NavNode_",getCategoryLevelAsString($B194))),";",EscStr(W194),";")))</f>
        <v>;"NavNode_L3D_525477";"Ipari Ethernet";</v>
      </c>
      <c r="AQ194" s="10" t="str">
        <f>IF(getCategoryLevelAsString($B194)="L0D_324785","",IF(X194="",CONCATENATE(";",EscStr(CONCATENATE("NavNode_",getCategoryLevelAsString($B194))),";",EscStr($J194),";"),CONCATENATE(";",EscStr(CONCATENATE("NavNode_",getCategoryLevelAsString($B194))),";",EscStr(X194),";")))</f>
        <v>;"NavNode_L3D_525477";"Průmyslový Ethernet";</v>
      </c>
      <c r="AR194" s="8" t="str">
        <f>IF(OR($A194&lt;&gt;"", $G194=""),"",CONCATENATE(";",EscStr(CONCATENATE("NavEntry_",getCategoryLevelAsString($B194))),";",EscStr(CONCATENATE($J194," Navigation Entry")),";",EscStr(CONCATENATE("cat-",getCategoryLevelAsString($B194))),";",EscStr(CONCATENATE("NavNode_",getCategoryLevelAsString($B194))),";"))</f>
        <v>;"NavEntry_L3D_525477";"Industrial Ethernet Navigation Entry";"cat-L3D_525477";"NavNode_L3D_525477";</v>
      </c>
    </row>
    <row r="195" spans="1:44" ht="15" x14ac:dyDescent="0.25">
      <c r="A195" s="25"/>
      <c r="B195" s="5"/>
      <c r="C195" s="5"/>
      <c r="D195" s="5" t="s">
        <v>66</v>
      </c>
      <c r="E195" s="5"/>
      <c r="F195" s="5"/>
      <c r="G195" s="5" t="s">
        <v>278</v>
      </c>
      <c r="H195" s="5" t="s">
        <v>279</v>
      </c>
      <c r="I195" s="5" t="s">
        <v>280</v>
      </c>
      <c r="J195" s="5" t="s">
        <v>67</v>
      </c>
      <c r="K195" s="5" t="s">
        <v>1306</v>
      </c>
      <c r="L195" s="5" t="s">
        <v>1541</v>
      </c>
      <c r="M195" s="5" t="s">
        <v>1762</v>
      </c>
      <c r="N195" s="5" t="s">
        <v>1971</v>
      </c>
      <c r="O195" s="5" t="s">
        <v>3389</v>
      </c>
      <c r="P195" s="5" t="s">
        <v>3390</v>
      </c>
      <c r="Q195" s="5" t="s">
        <v>3391</v>
      </c>
      <c r="R195" s="5" t="s">
        <v>3392</v>
      </c>
      <c r="S195" s="5" t="s">
        <v>3393</v>
      </c>
      <c r="T195" s="5" t="s">
        <v>3394</v>
      </c>
      <c r="U195" s="5" t="s">
        <v>3395</v>
      </c>
      <c r="V195" s="5" t="s">
        <v>3396</v>
      </c>
      <c r="W195" s="5" t="s">
        <v>3397</v>
      </c>
      <c r="X195" s="5" t="s">
        <v>3395</v>
      </c>
      <c r="Y195" s="10" t="str">
        <f>IF(OR($A195&lt;&gt;"", $G195=""),"",CONCATENATE(";",EscStr(CONCATENATE("NavNode_",getCategoryLevelAsString($B195))),";",EscStr($J195),";",IF($B195&lt;&gt;"","""MainNavNode""",EscStr(CONCATENATE("NavNode_",getSuperCategory($B195, getCategoryLevelAsNumber($B195))))),";"))</f>
        <v>;"NavNode_L2D_379612";"Remote Data Transmission";"NavNode_Automation";</v>
      </c>
      <c r="Z195" s="10" t="str">
        <f>IF(getCategoryLevelAsString($B195)="L0D_324785","",IF(G195="",CONCATENATE(";",EscStr(CONCATENATE("NavNode_",getCategoryLevelAsString($B195))),";",EscStr($J195),";"),CONCATENATE(";",EscStr(CONCATENATE("NavNode_",getCategoryLevelAsString($B195))),";",EscStr(G195),";")))</f>
        <v>;"NavNode_L2D_379612";"Datenfernübertragung";</v>
      </c>
      <c r="AA195" s="10" t="str">
        <f>IF(getCategoryLevelAsString($B195)="L0D_324785","",IF(H195="",CONCATENATE(";",EscStr(CONCATENATE("NavNode_",getCategoryLevelAsString($B195))),";",EscStr($J195),";"),CONCATENATE(";",EscStr(CONCATENATE("NavNode_",getCategoryLevelAsString($B195))),";",EscStr(H195),";")))</f>
        <v>;"NavNode_L2D_379612";"Transmission des données à distance";</v>
      </c>
      <c r="AB195" s="10" t="str">
        <f>IF(getCategoryLevelAsString($B195)="L0D_324785","",IF(I195="",CONCATENATE(";",EscStr(CONCATENATE("NavNode_",getCategoryLevelAsString($B195))),";",EscStr($J195),";"),CONCATENATE(";",EscStr(CONCATENATE("NavNode_",getCategoryLevelAsString($B195))),";",EscStr(I195),";")))</f>
        <v>;"NavNode_L2D_379612";"Trasmissione dati remota";</v>
      </c>
      <c r="AC195" s="10" t="str">
        <f>IF(getCategoryLevelAsString($B195)="L0D_324785","",IF(J195="",CONCATENATE(";",EscStr(CONCATENATE("NavNode_",getCategoryLevelAsString($B195))),";",EscStr($J195),";"),CONCATENATE(";",EscStr(CONCATENATE("NavNode_",getCategoryLevelAsString($B195))),";",EscStr(J195),";")))</f>
        <v>;"NavNode_L2D_379612";"Remote Data Transmission";</v>
      </c>
      <c r="AD195" s="10" t="str">
        <f>IF(getCategoryLevelAsString($B195)="L0D_324785","",IF(K195="",CONCATENATE(";",EscStr(CONCATENATE("NavNode_",getCategoryLevelAsString($B195))),";",EscStr($J195),";"),CONCATENATE(";",EscStr(CONCATENATE("NavNode_",getCategoryLevelAsString($B195))),";",EscStr(K195),";")))</f>
        <v>;"NavNode_L2D_379612";"Fjernoverførsel af data";</v>
      </c>
      <c r="AE195" s="10" t="str">
        <f>IF(getCategoryLevelAsString($B195)="L0D_324785","",IF(L195="",CONCATENATE(";",EscStr(CONCATENATE("NavNode_",getCategoryLevelAsString($B195))),";",EscStr($J195),";"),CONCATENATE(";",EscStr(CONCATENATE("NavNode_",getCategoryLevelAsString($B195))),";",EscStr(L195),";")))</f>
        <v>;"NavNode_L2D_379612";"Nuotolinis duomenų perdavimas";</v>
      </c>
      <c r="AF195" s="10" t="str">
        <f>IF(getCategoryLevelAsString($B195)="L0D_324785","",IF(M195="",CONCATENATE(";",EscStr(CONCATENATE("NavNode_",getCategoryLevelAsString($B195))),";",EscStr($J195),";"),CONCATENATE(";",EscStr(CONCATENATE("NavNode_",getCategoryLevelAsString($B195))),";",EscStr(M195),";")))</f>
        <v>;"NavNode_L2D_379612";"Fjerndataoverføring";</v>
      </c>
      <c r="AG195" s="10" t="str">
        <f>IF(getCategoryLevelAsString($B195)="L0D_324785","",IF(N195="",CONCATENATE(";",EscStr(CONCATENATE("NavNode_",getCategoryLevelAsString($B195))),";",EscStr($J195),";"),CONCATENATE(";",EscStr(CONCATENATE("NavNode_",getCategoryLevelAsString($B195))),";",EscStr(N195),";")))</f>
        <v>;"NavNode_L2D_379612";"Fjärrdataöverföring";</v>
      </c>
      <c r="AH195" s="10" t="str">
        <f>IF(getCategoryLevelAsString($B195)="L0D_324785","",IF(O195="",CONCATENATE(";",EscStr(CONCATENATE("NavNode_",getCategoryLevelAsString($B195))),";",EscStr($J195),";"),CONCATENATE(";",EscStr(CONCATENATE("NavNode_",getCategoryLevelAsString($B195))),";",EscStr(O195),";")))</f>
        <v>;"NavNode_L2D_379612";"Andmete kaugedastus";</v>
      </c>
      <c r="AI195" s="10" t="str">
        <f>IF(getCategoryLevelAsString($B195)="L0D_324785","",IF(P195="",CONCATENATE(";",EscStr(CONCATENATE("NavNode_",getCategoryLevelAsString($B195))),";",EscStr($J195),";"),CONCATENATE(";",EscStr(CONCATENATE("NavNode_",getCategoryLevelAsString($B195))),";",EscStr(P195),";")))</f>
        <v>;"NavNode_L2D_379612";"Kaukodatasiirto";</v>
      </c>
      <c r="AJ195" s="10" t="str">
        <f>IF(getCategoryLevelAsString($B195)="L0D_324785","",IF(Q195="",CONCATENATE(";",EscStr(CONCATENATE("NavNode_",getCategoryLevelAsString($B195))),";",EscStr($J195),";"),CONCATENATE(";",EscStr(CONCATENATE("NavNode_",getCategoryLevelAsString($B195))),";",EscStr(Q195),";")))</f>
        <v>;"NavNode_L2D_379612";"Attālināta datu pārraide";</v>
      </c>
      <c r="AK195" s="10" t="str">
        <f>IF(getCategoryLevelAsString($B195)="L0D_324785","",IF(R195="",CONCATENATE(";",EscStr(CONCATENATE("NavNode_",getCategoryLevelAsString($B195))),";",EscStr($J195),";"),CONCATENATE(";",EscStr(CONCATENATE("NavNode_",getCategoryLevelAsString($B195))),";",EscStr(R195),";")))</f>
        <v>;"NavNode_L2D_379612";"Remote datatransmissie";</v>
      </c>
      <c r="AL195" s="10" t="str">
        <f>IF(getCategoryLevelAsString($B195)="L0D_324785","",IF(S195="",CONCATENATE(";",EscStr(CONCATENATE("NavNode_",getCategoryLevelAsString($B195))),";",EscStr($J195),";"),CONCATENATE(";",EscStr(CONCATENATE("NavNode_",getCategoryLevelAsString($B195))),";",EscStr(S195),";")))</f>
        <v>;"NavNode_L2D_379612";"Systemy transmisji bezprzewodowej";</v>
      </c>
      <c r="AM195" s="10" t="str">
        <f>IF(getCategoryLevelAsString($B195)="L0D_324785","",IF(T195="",CONCATENATE(";",EscStr(CONCATENATE("NavNode_",getCategoryLevelAsString($B195))),";",EscStr($J195),";"),CONCATENATE(";",EscStr(CONCATENATE("NavNode_",getCategoryLevelAsString($B195))),";",EscStr(T195),";")))</f>
        <v>;"NavNode_L2D_379612";"Дистанционной передача данных";</v>
      </c>
      <c r="AN195" s="10" t="str">
        <f>IF(getCategoryLevelAsString($B195)="L0D_324785","",IF(U195="",CONCATENATE(";",EscStr(CONCATENATE("NavNode_",getCategoryLevelAsString($B195))),";",EscStr($J195),";"),CONCATENATE(";",EscStr(CONCATENATE("NavNode_",getCategoryLevelAsString($B195))),";",EscStr(U195),";")))</f>
        <v>;"NavNode_L2D_379612";"Dálkový přenos dat";</v>
      </c>
      <c r="AO195" s="10" t="str">
        <f>IF(getCategoryLevelAsString($B195)="L0D_324785","",IF(V195="",CONCATENATE(";",EscStr(CONCATENATE("NavNode_",getCategoryLevelAsString($B195))),";",EscStr($J195),";"),CONCATENATE(";",EscStr(CONCATENATE("NavNode_",getCategoryLevelAsString($B195))),";",EscStr(V195),";")))</f>
        <v>;"NavNode_L2D_379612";"Transmisia de date la distanţă";</v>
      </c>
      <c r="AP195" s="10" t="str">
        <f>IF(getCategoryLevelAsString($B195)="L0D_324785","",IF(W195="",CONCATENATE(";",EscStr(CONCATENATE("NavNode_",getCategoryLevelAsString($B195))),";",EscStr($J195),";"),CONCATENATE(";",EscStr(CONCATENATE("NavNode_",getCategoryLevelAsString($B195))),";",EscStr(W195),";")))</f>
        <v>;"NavNode_L2D_379612";"Adatátvitel";</v>
      </c>
      <c r="AQ195" s="10" t="str">
        <f>IF(getCategoryLevelAsString($B195)="L0D_324785","",IF(X195="",CONCATENATE(";",EscStr(CONCATENATE("NavNode_",getCategoryLevelAsString($B195))),";",EscStr($J195),";"),CONCATENATE(";",EscStr(CONCATENATE("NavNode_",getCategoryLevelAsString($B195))),";",EscStr(X195),";")))</f>
        <v>;"NavNode_L2D_379612";"Dálkový přenos dat";</v>
      </c>
      <c r="AR195" s="8" t="str">
        <f>IF(OR($A195&lt;&gt;"", $G195=""),"",CONCATENATE(";",EscStr(CONCATENATE("NavEntry_",getCategoryLevelAsString($B195))),";",EscStr(CONCATENATE($J195," Navigation Entry")),";",EscStr(CONCATENATE("cat-",getCategoryLevelAsString($B195))),";",EscStr(CONCATENATE("NavNode_",getCategoryLevelAsString($B195))),";"))</f>
        <v>;"NavEntry_L2D_379612";"Remote Data Transmission Navigation Entry";"cat-L2D_379612";"NavNode_L2D_379612";</v>
      </c>
    </row>
    <row r="196" spans="1:44" ht="15" x14ac:dyDescent="0.25">
      <c r="A196" s="25"/>
      <c r="B196" s="5"/>
      <c r="C196" s="5" t="s">
        <v>36</v>
      </c>
      <c r="D196" s="5"/>
      <c r="E196" s="5"/>
      <c r="F196" s="5"/>
      <c r="G196" s="5" t="s">
        <v>326</v>
      </c>
      <c r="H196" s="5" t="s">
        <v>327</v>
      </c>
      <c r="I196" s="5" t="s">
        <v>328</v>
      </c>
      <c r="J196" s="5" t="s">
        <v>37</v>
      </c>
      <c r="K196" s="5" t="s">
        <v>1308</v>
      </c>
      <c r="L196" s="5" t="s">
        <v>1543</v>
      </c>
      <c r="M196" s="5" t="s">
        <v>1308</v>
      </c>
      <c r="N196" s="5" t="s">
        <v>1973</v>
      </c>
      <c r="O196" s="5" t="s">
        <v>3403</v>
      </c>
      <c r="P196" s="5" t="s">
        <v>3404</v>
      </c>
      <c r="Q196" s="5" t="s">
        <v>328</v>
      </c>
      <c r="R196" s="5" t="s">
        <v>326</v>
      </c>
      <c r="S196" s="5" t="s">
        <v>3405</v>
      </c>
      <c r="T196" s="5" t="s">
        <v>3406</v>
      </c>
      <c r="U196" s="5" t="s">
        <v>3407</v>
      </c>
      <c r="V196" s="5" t="s">
        <v>3408</v>
      </c>
      <c r="W196" s="5" t="s">
        <v>3409</v>
      </c>
      <c r="X196" s="5" t="s">
        <v>3407</v>
      </c>
      <c r="Y196" s="10" t="str">
        <f>IF(OR($A196&lt;&gt;"", $G196=""),"",CONCATENATE(";",EscStr(CONCATENATE("NavNode_",getCategoryLevelAsString($B196))),";",EscStr($J196),";",IF($B196&lt;&gt;"","""MainNavNode""",EscStr(CONCATENATE("NavNode_",getSuperCategory($B196, getCategoryLevelAsNumber($B196))))),";"))</f>
        <v>;"NavNode_L3D_525478";"Sensors";"NavNode_L2D_379612";</v>
      </c>
      <c r="Z196" s="10" t="str">
        <f>IF(getCategoryLevelAsString($B196)="L0D_324785","",IF(G196="",CONCATENATE(";",EscStr(CONCATENATE("NavNode_",getCategoryLevelAsString($B196))),";",EscStr($J196),";"),CONCATENATE(";",EscStr(CONCATENATE("NavNode_",getCategoryLevelAsString($B196))),";",EscStr(G196),";")))</f>
        <v>;"NavNode_L3D_525478";"Sensoren";</v>
      </c>
      <c r="AA196" s="10" t="str">
        <f>IF(getCategoryLevelAsString($B196)="L0D_324785","",IF(H196="",CONCATENATE(";",EscStr(CONCATENATE("NavNode_",getCategoryLevelAsString($B196))),";",EscStr($J196),";"),CONCATENATE(";",EscStr(CONCATENATE("NavNode_",getCategoryLevelAsString($B196))),";",EscStr(H196),";")))</f>
        <v>;"NavNode_L3D_525478";"Capteurs";</v>
      </c>
      <c r="AB196" s="10" t="str">
        <f>IF(getCategoryLevelAsString($B196)="L0D_324785","",IF(I196="",CONCATENATE(";",EscStr(CONCATENATE("NavNode_",getCategoryLevelAsString($B196))),";",EscStr($J196),";"),CONCATENATE(";",EscStr(CONCATENATE("NavNode_",getCategoryLevelAsString($B196))),";",EscStr(I196),";")))</f>
        <v>;"NavNode_L3D_525478";"Sensori";</v>
      </c>
      <c r="AC196" s="10" t="str">
        <f>IF(getCategoryLevelAsString($B196)="L0D_324785","",IF(J196="",CONCATENATE(";",EscStr(CONCATENATE("NavNode_",getCategoryLevelAsString($B196))),";",EscStr($J196),";"),CONCATENATE(";",EscStr(CONCATENATE("NavNode_",getCategoryLevelAsString($B196))),";",EscStr(J196),";")))</f>
        <v>;"NavNode_L3D_525478";"Sensors";</v>
      </c>
      <c r="AD196" s="10" t="str">
        <f>IF(getCategoryLevelAsString($B196)="L0D_324785","",IF(K196="",CONCATENATE(";",EscStr(CONCATENATE("NavNode_",getCategoryLevelAsString($B196))),";",EscStr($J196),";"),CONCATENATE(";",EscStr(CONCATENATE("NavNode_",getCategoryLevelAsString($B196))),";",EscStr(K196),";")))</f>
        <v>;"NavNode_L3D_525478";"Sensorer";</v>
      </c>
      <c r="AE196" s="10" t="str">
        <f>IF(getCategoryLevelAsString($B196)="L0D_324785","",IF(L196="",CONCATENATE(";",EscStr(CONCATENATE("NavNode_",getCategoryLevelAsString($B196))),";",EscStr($J196),";"),CONCATENATE(";",EscStr(CONCATENATE("NavNode_",getCategoryLevelAsString($B196))),";",EscStr(L196),";")))</f>
        <v>;"NavNode_L3D_525478";"Jutikliai";</v>
      </c>
      <c r="AF196" s="10" t="str">
        <f>IF(getCategoryLevelAsString($B196)="L0D_324785","",IF(M196="",CONCATENATE(";",EscStr(CONCATENATE("NavNode_",getCategoryLevelAsString($B196))),";",EscStr($J196),";"),CONCATENATE(";",EscStr(CONCATENATE("NavNode_",getCategoryLevelAsString($B196))),";",EscStr(M196),";")))</f>
        <v>;"NavNode_L3D_525478";"Sensorer";</v>
      </c>
      <c r="AG196" s="10" t="str">
        <f>IF(getCategoryLevelAsString($B196)="L0D_324785","",IF(N196="",CONCATENATE(";",EscStr(CONCATENATE("NavNode_",getCategoryLevelAsString($B196))),";",EscStr($J196),";"),CONCATENATE(";",EscStr(CONCATENATE("NavNode_",getCategoryLevelAsString($B196))),";",EscStr(N196),";")))</f>
        <v>;"NavNode_L3D_525478";"Givare";</v>
      </c>
      <c r="AH196" s="10" t="str">
        <f>IF(getCategoryLevelAsString($B196)="L0D_324785","",IF(O196="",CONCATENATE(";",EscStr(CONCATENATE("NavNode_",getCategoryLevelAsString($B196))),";",EscStr($J196),";"),CONCATENATE(";",EscStr(CONCATENATE("NavNode_",getCategoryLevelAsString($B196))),";",EscStr(O196),";")))</f>
        <v>;"NavNode_L3D_525478";"Andurid";</v>
      </c>
      <c r="AI196" s="10" t="str">
        <f>IF(getCategoryLevelAsString($B196)="L0D_324785","",IF(P196="",CONCATENATE(";",EscStr(CONCATENATE("NavNode_",getCategoryLevelAsString($B196))),";",EscStr($J196),";"),CONCATENATE(";",EscStr(CONCATENATE("NavNode_",getCategoryLevelAsString($B196))),";",EscStr(P196),";")))</f>
        <v>;"NavNode_L3D_525478";"anturit";</v>
      </c>
      <c r="AJ196" s="10" t="str">
        <f>IF(getCategoryLevelAsString($B196)="L0D_324785","",IF(Q196="",CONCATENATE(";",EscStr(CONCATENATE("NavNode_",getCategoryLevelAsString($B196))),";",EscStr($J196),";"),CONCATENATE(";",EscStr(CONCATENATE("NavNode_",getCategoryLevelAsString($B196))),";",EscStr(Q196),";")))</f>
        <v>;"NavNode_L3D_525478";"Sensori";</v>
      </c>
      <c r="AK196" s="10" t="str">
        <f>IF(getCategoryLevelAsString($B196)="L0D_324785","",IF(R196="",CONCATENATE(";",EscStr(CONCATENATE("NavNode_",getCategoryLevelAsString($B196))),";",EscStr($J196),";"),CONCATENATE(";",EscStr(CONCATENATE("NavNode_",getCategoryLevelAsString($B196))),";",EscStr(R196),";")))</f>
        <v>;"NavNode_L3D_525478";"Sensoren";</v>
      </c>
      <c r="AL196" s="10" t="str">
        <f>IF(getCategoryLevelAsString($B196)="L0D_324785","",IF(S196="",CONCATENATE(";",EscStr(CONCATENATE("NavNode_",getCategoryLevelAsString($B196))),";",EscStr($J196),";"),CONCATENATE(";",EscStr(CONCATENATE("NavNode_",getCategoryLevelAsString($B196))),";",EscStr(S196),";")))</f>
        <v>;"NavNode_L3D_525478";"Czujniki";</v>
      </c>
      <c r="AM196" s="10" t="str">
        <f>IF(getCategoryLevelAsString($B196)="L0D_324785","",IF(T196="",CONCATENATE(";",EscStr(CONCATENATE("NavNode_",getCategoryLevelAsString($B196))),";",EscStr($J196),";"),CONCATENATE(";",EscStr(CONCATENATE("NavNode_",getCategoryLevelAsString($B196))),";",EscStr(T196),";")))</f>
        <v>;"NavNode_L3D_525478";"Датчики";</v>
      </c>
      <c r="AN196" s="10" t="str">
        <f>IF(getCategoryLevelAsString($B196)="L0D_324785","",IF(U196="",CONCATENATE(";",EscStr(CONCATENATE("NavNode_",getCategoryLevelAsString($B196))),";",EscStr($J196),";"),CONCATENATE(";",EscStr(CONCATENATE("NavNode_",getCategoryLevelAsString($B196))),";",EscStr(U196),";")))</f>
        <v>;"NavNode_L3D_525478";"Snímače";</v>
      </c>
      <c r="AO196" s="10" t="str">
        <f>IF(getCategoryLevelAsString($B196)="L0D_324785","",IF(V196="",CONCATENATE(";",EscStr(CONCATENATE("NavNode_",getCategoryLevelAsString($B196))),";",EscStr($J196),";"),CONCATENATE(";",EscStr(CONCATENATE("NavNode_",getCategoryLevelAsString($B196))),";",EscStr(V196),";")))</f>
        <v>;"NavNode_L3D_525478";"Senzori";</v>
      </c>
      <c r="AP196" s="10" t="str">
        <f>IF(getCategoryLevelAsString($B196)="L0D_324785","",IF(W196="",CONCATENATE(";",EscStr(CONCATENATE("NavNode_",getCategoryLevelAsString($B196))),";",EscStr($J196),";"),CONCATENATE(";",EscStr(CONCATENATE("NavNode_",getCategoryLevelAsString($B196))),";",EscStr(W196),";")))</f>
        <v>;"NavNode_L3D_525478";"Érzékelők";</v>
      </c>
      <c r="AQ196" s="10" t="str">
        <f>IF(getCategoryLevelAsString($B196)="L0D_324785","",IF(X196="",CONCATENATE(";",EscStr(CONCATENATE("NavNode_",getCategoryLevelAsString($B196))),";",EscStr($J196),";"),CONCATENATE(";",EscStr(CONCATENATE("NavNode_",getCategoryLevelAsString($B196))),";",EscStr(X196),";")))</f>
        <v>;"NavNode_L3D_525478";"Snímače";</v>
      </c>
      <c r="AR196" s="8" t="str">
        <f>IF(OR($A196&lt;&gt;"", $G196=""),"",CONCATENATE(";",EscStr(CONCATENATE("NavEntry_",getCategoryLevelAsString($B196))),";",EscStr(CONCATENATE($J196," Navigation Entry")),";",EscStr(CONCATENATE("cat-",getCategoryLevelAsString($B196))),";",EscStr(CONCATENATE("NavNode_",getCategoryLevelAsString($B196))),";"))</f>
        <v>;"NavEntry_L3D_525478";"Sensors Navigation Entry";"cat-L3D_525478";"NavNode_L3D_525478";</v>
      </c>
    </row>
    <row r="197" spans="1:44" ht="15" x14ac:dyDescent="0.25">
      <c r="A197" s="25"/>
      <c r="B197" s="5"/>
      <c r="C197" s="5"/>
      <c r="D197" s="5" t="s">
        <v>100</v>
      </c>
      <c r="E197" s="5"/>
      <c r="F197" s="5"/>
      <c r="G197" s="5" t="s">
        <v>972</v>
      </c>
      <c r="H197" s="5" t="s">
        <v>3410</v>
      </c>
      <c r="I197" s="5" t="s">
        <v>3411</v>
      </c>
      <c r="J197" s="5" t="s">
        <v>3412</v>
      </c>
      <c r="K197" s="5" t="s">
        <v>3413</v>
      </c>
      <c r="L197" s="5" t="s">
        <v>3414</v>
      </c>
      <c r="M197" s="5" t="s">
        <v>3413</v>
      </c>
      <c r="N197" s="5" t="s">
        <v>3415</v>
      </c>
      <c r="O197" s="5" t="s">
        <v>3416</v>
      </c>
      <c r="P197" s="5" t="s">
        <v>3417</v>
      </c>
      <c r="Q197" s="5" t="s">
        <v>3418</v>
      </c>
      <c r="R197" s="5" t="s">
        <v>3419</v>
      </c>
      <c r="S197" s="5" t="s">
        <v>3420</v>
      </c>
      <c r="T197" s="5" t="s">
        <v>3421</v>
      </c>
      <c r="U197" s="5" t="s">
        <v>3422</v>
      </c>
      <c r="V197" s="5" t="s">
        <v>3423</v>
      </c>
      <c r="W197" s="5" t="s">
        <v>3424</v>
      </c>
      <c r="X197" s="5" t="s">
        <v>3425</v>
      </c>
      <c r="Y197" s="10" t="str">
        <f>IF(OR($A197&lt;&gt;"", $G197=""),"",CONCATENATE(";",EscStr(CONCATENATE("NavNode_",getCategoryLevelAsString($B197))),";",EscStr($J197),";",IF($B197&lt;&gt;"","""MainNavNode""",EscStr(CONCATENATE("NavNode_",getSuperCategory($B197, getCategoryLevelAsNumber($B197))))),";"))</f>
        <v>;"NavNode_L3D_525479";"Inductive Sensors";"NavNode_L2D_379612";</v>
      </c>
      <c r="Z197" s="10" t="str">
        <f>IF(getCategoryLevelAsString($B197)="L0D_324785","",IF(G197="",CONCATENATE(";",EscStr(CONCATENATE("NavNode_",getCategoryLevelAsString($B197))),";",EscStr($J197),";"),CONCATENATE(";",EscStr(CONCATENATE("NavNode_",getCategoryLevelAsString($B197))),";",EscStr(G197),";")))</f>
        <v>;"NavNode_L3D_525479";"Induktive Sensoren";</v>
      </c>
      <c r="AA197" s="10" t="str">
        <f>IF(getCategoryLevelAsString($B197)="L0D_324785","",IF(H197="",CONCATENATE(";",EscStr(CONCATENATE("NavNode_",getCategoryLevelAsString($B197))),";",EscStr($J197),";"),CONCATENATE(";",EscStr(CONCATENATE("NavNode_",getCategoryLevelAsString($B197))),";",EscStr(H197),";")))</f>
        <v>;"NavNode_L3D_525479";"Capteurs inductifs";</v>
      </c>
      <c r="AB197" s="10" t="str">
        <f>IF(getCategoryLevelAsString($B197)="L0D_324785","",IF(I197="",CONCATENATE(";",EscStr(CONCATENATE("NavNode_",getCategoryLevelAsString($B197))),";",EscStr($J197),";"),CONCATENATE(";",EscStr(CONCATENATE("NavNode_",getCategoryLevelAsString($B197))),";",EscStr(I197),";")))</f>
        <v>;"NavNode_L3D_525479";"Sensori induttivi";</v>
      </c>
      <c r="AC197" s="10" t="str">
        <f>IF(getCategoryLevelAsString($B197)="L0D_324785","",IF(J197="",CONCATENATE(";",EscStr(CONCATENATE("NavNode_",getCategoryLevelAsString($B197))),";",EscStr($J197),";"),CONCATENATE(";",EscStr(CONCATENATE("NavNode_",getCategoryLevelAsString($B197))),";",EscStr(J197),";")))</f>
        <v>;"NavNode_L3D_525479";"Inductive Sensors";</v>
      </c>
      <c r="AD197" s="10" t="str">
        <f>IF(getCategoryLevelAsString($B197)="L0D_324785","",IF(K197="",CONCATENATE(";",EscStr(CONCATENATE("NavNode_",getCategoryLevelAsString($B197))),";",EscStr($J197),";"),CONCATENATE(";",EscStr(CONCATENATE("NavNode_",getCategoryLevelAsString($B197))),";",EscStr(K197),";")))</f>
        <v>;"NavNode_L3D_525479";"Induktive sensorer";</v>
      </c>
      <c r="AE197" s="10" t="str">
        <f>IF(getCategoryLevelAsString($B197)="L0D_324785","",IF(L197="",CONCATENATE(";",EscStr(CONCATENATE("NavNode_",getCategoryLevelAsString($B197))),";",EscStr($J197),";"),CONCATENATE(";",EscStr(CONCATENATE("NavNode_",getCategoryLevelAsString($B197))),";",EscStr(L197),";")))</f>
        <v>;"NavNode_L3D_525479";"Indukciniai jutikliai";</v>
      </c>
      <c r="AF197" s="10" t="str">
        <f>IF(getCategoryLevelAsString($B197)="L0D_324785","",IF(M197="",CONCATENATE(";",EscStr(CONCATENATE("NavNode_",getCategoryLevelAsString($B197))),";",EscStr($J197),";"),CONCATENATE(";",EscStr(CONCATENATE("NavNode_",getCategoryLevelAsString($B197))),";",EscStr(M197),";")))</f>
        <v>;"NavNode_L3D_525479";"Induktive sensorer";</v>
      </c>
      <c r="AG197" s="10" t="str">
        <f>IF(getCategoryLevelAsString($B197)="L0D_324785","",IF(N197="",CONCATENATE(";",EscStr(CONCATENATE("NavNode_",getCategoryLevelAsString($B197))),";",EscStr($J197),";"),CONCATENATE(";",EscStr(CONCATENATE("NavNode_",getCategoryLevelAsString($B197))),";",EscStr(N197),";")))</f>
        <v>;"NavNode_L3D_525479";"Induktiva givare";</v>
      </c>
      <c r="AH197" s="10" t="str">
        <f>IF(getCategoryLevelAsString($B197)="L0D_324785","",IF(O197="",CONCATENATE(";",EscStr(CONCATENATE("NavNode_",getCategoryLevelAsString($B197))),";",EscStr($J197),";"),CONCATENATE(";",EscStr(CONCATENATE("NavNode_",getCategoryLevelAsString($B197))),";",EscStr(O197),";")))</f>
        <v>;"NavNode_L3D_525479";"Induktiivandurid";</v>
      </c>
      <c r="AI197" s="10" t="str">
        <f>IF(getCategoryLevelAsString($B197)="L0D_324785","",IF(P197="",CONCATENATE(";",EscStr(CONCATENATE("NavNode_",getCategoryLevelAsString($B197))),";",EscStr($J197),";"),CONCATENATE(";",EscStr(CONCATENATE("NavNode_",getCategoryLevelAsString($B197))),";",EscStr(P197),";")))</f>
        <v>;"NavNode_L3D_525479";"Induktiiviset anturit";</v>
      </c>
      <c r="AJ197" s="10" t="str">
        <f>IF(getCategoryLevelAsString($B197)="L0D_324785","",IF(Q197="",CONCATENATE(";",EscStr(CONCATENATE("NavNode_",getCategoryLevelAsString($B197))),";",EscStr($J197),";"),CONCATENATE(";",EscStr(CONCATENATE("NavNode_",getCategoryLevelAsString($B197))),";",EscStr(Q197),";")))</f>
        <v>;"NavNode_L3D_525479";"Indukcijas sensori";</v>
      </c>
      <c r="AK197" s="10" t="str">
        <f>IF(getCategoryLevelAsString($B197)="L0D_324785","",IF(R197="",CONCATENATE(";",EscStr(CONCATENATE("NavNode_",getCategoryLevelAsString($B197))),";",EscStr($J197),";"),CONCATENATE(";",EscStr(CONCATENATE("NavNode_",getCategoryLevelAsString($B197))),";",EscStr(R197),";")))</f>
        <v>;"NavNode_L3D_525479";"Inductieve sensoren";</v>
      </c>
      <c r="AL197" s="10" t="str">
        <f>IF(getCategoryLevelAsString($B197)="L0D_324785","",IF(S197="",CONCATENATE(";",EscStr(CONCATENATE("NavNode_",getCategoryLevelAsString($B197))),";",EscStr($J197),";"),CONCATENATE(";",EscStr(CONCATENATE("NavNode_",getCategoryLevelAsString($B197))),";",EscStr(S197),";")))</f>
        <v>;"NavNode_L3D_525479";"Czujniki indukcyjne";</v>
      </c>
      <c r="AM197" s="10" t="str">
        <f>IF(getCategoryLevelAsString($B197)="L0D_324785","",IF(T197="",CONCATENATE(";",EscStr(CONCATENATE("NavNode_",getCategoryLevelAsString($B197))),";",EscStr($J197),";"),CONCATENATE(";",EscStr(CONCATENATE("NavNode_",getCategoryLevelAsString($B197))),";",EscStr(T197),";")))</f>
        <v>;"NavNode_L3D_525479";"Индуктивные датчики";</v>
      </c>
      <c r="AN197" s="10" t="str">
        <f>IF(getCategoryLevelAsString($B197)="L0D_324785","",IF(U197="",CONCATENATE(";",EscStr(CONCATENATE("NavNode_",getCategoryLevelAsString($B197))),";",EscStr($J197),";"),CONCATENATE(";",EscStr(CONCATENATE("NavNode_",getCategoryLevelAsString($B197))),";",EscStr(U197),";")))</f>
        <v>;"NavNode_L3D_525479";"Indukční snímače";</v>
      </c>
      <c r="AO197" s="10" t="str">
        <f>IF(getCategoryLevelAsString($B197)="L0D_324785","",IF(V197="",CONCATENATE(";",EscStr(CONCATENATE("NavNode_",getCategoryLevelAsString($B197))),";",EscStr($J197),";"),CONCATENATE(";",EscStr(CONCATENATE("NavNode_",getCategoryLevelAsString($B197))),";",EscStr(V197),";")))</f>
        <v>;"NavNode_L3D_525479";"Senzori inductivi";</v>
      </c>
      <c r="AP197" s="10" t="str">
        <f>IF(getCategoryLevelAsString($B197)="L0D_324785","",IF(W197="",CONCATENATE(";",EscStr(CONCATENATE("NavNode_",getCategoryLevelAsString($B197))),";",EscStr($J197),";"),CONCATENATE(";",EscStr(CONCATENATE("NavNode_",getCategoryLevelAsString($B197))),";",EscStr(W197),";")))</f>
        <v>;"NavNode_L3D_525479";"Induktív érzékelők";</v>
      </c>
      <c r="AQ197" s="10" t="str">
        <f>IF(getCategoryLevelAsString($B197)="L0D_324785","",IF(X197="",CONCATENATE(";",EscStr(CONCATENATE("NavNode_",getCategoryLevelAsString($B197))),";",EscStr($J197),";"),CONCATENATE(";",EscStr(CONCATENATE("NavNode_",getCategoryLevelAsString($B197))),";",EscStr(X197),";")))</f>
        <v>;"NavNode_L3D_525479";"Indukčné senzory";</v>
      </c>
      <c r="AR197" s="8" t="str">
        <f>IF(OR($A197&lt;&gt;"", $G197=""),"",CONCATENATE(";",EscStr(CONCATENATE("NavEntry_",getCategoryLevelAsString($B197))),";",EscStr(CONCATENATE($J197," Navigation Entry")),";",EscStr(CONCATENATE("cat-",getCategoryLevelAsString($B197))),";",EscStr(CONCATENATE("NavNode_",getCategoryLevelAsString($B197))),";"))</f>
        <v>;"NavEntry_L3D_525479";"Inductive Sensors Navigation Entry";"cat-L3D_525479";"NavNode_L3D_525479";</v>
      </c>
    </row>
    <row r="198" spans="1:44" ht="15" x14ac:dyDescent="0.25">
      <c r="A198" s="25"/>
      <c r="B198" s="5"/>
      <c r="C198" s="5"/>
      <c r="D198" s="5" t="s">
        <v>99</v>
      </c>
      <c r="E198" s="5"/>
      <c r="F198" s="5"/>
      <c r="G198" s="5" t="s">
        <v>329</v>
      </c>
      <c r="H198" s="5" t="s">
        <v>3426</v>
      </c>
      <c r="I198" s="5" t="s">
        <v>3427</v>
      </c>
      <c r="J198" s="5" t="s">
        <v>3428</v>
      </c>
      <c r="K198" s="5" t="s">
        <v>3429</v>
      </c>
      <c r="L198" s="5" t="s">
        <v>3430</v>
      </c>
      <c r="M198" s="5" t="s">
        <v>3431</v>
      </c>
      <c r="N198" s="5" t="s">
        <v>3432</v>
      </c>
      <c r="O198" s="5" t="s">
        <v>3433</v>
      </c>
      <c r="P198" s="5" t="s">
        <v>3434</v>
      </c>
      <c r="Q198" s="5" t="s">
        <v>3435</v>
      </c>
      <c r="R198" s="5" t="s">
        <v>3436</v>
      </c>
      <c r="S198" s="5" t="s">
        <v>3437</v>
      </c>
      <c r="T198" s="5" t="s">
        <v>3438</v>
      </c>
      <c r="U198" s="5" t="s">
        <v>3439</v>
      </c>
      <c r="V198" s="5" t="s">
        <v>3440</v>
      </c>
      <c r="W198" s="5" t="s">
        <v>3441</v>
      </c>
      <c r="X198" s="5" t="s">
        <v>3442</v>
      </c>
      <c r="Y198" s="10" t="str">
        <f>IF(OR($A198&lt;&gt;"", $G198=""),"",CONCATENATE(";",EscStr(CONCATENATE("NavNode_",getCategoryLevelAsString($B198))),";",EscStr($J198),";",IF($B198&lt;&gt;"","""MainNavNode""",EscStr(CONCATENATE("NavNode_",getSuperCategory($B198, getCategoryLevelAsNumber($B198))))),";"))</f>
        <v>;"NavNode_L3D_525480";"Capacitive Sensors";"NavNode_L2D_379612";</v>
      </c>
      <c r="Z198" s="10" t="str">
        <f>IF(getCategoryLevelAsString($B198)="L0D_324785","",IF(G198="",CONCATENATE(";",EscStr(CONCATENATE("NavNode_",getCategoryLevelAsString($B198))),";",EscStr($J198),";"),CONCATENATE(";",EscStr(CONCATENATE("NavNode_",getCategoryLevelAsString($B198))),";",EscStr(G198),";")))</f>
        <v>;"NavNode_L3D_525480";"Kapazitive Sensoren";</v>
      </c>
      <c r="AA198" s="10" t="str">
        <f>IF(getCategoryLevelAsString($B198)="L0D_324785","",IF(H198="",CONCATENATE(";",EscStr(CONCATENATE("NavNode_",getCategoryLevelAsString($B198))),";",EscStr($J198),";"),CONCATENATE(";",EscStr(CONCATENATE("NavNode_",getCategoryLevelAsString($B198))),";",EscStr(H198),";")))</f>
        <v>;"NavNode_L3D_525480";"Capteurs capacitifs";</v>
      </c>
      <c r="AB198" s="10" t="str">
        <f>IF(getCategoryLevelAsString($B198)="L0D_324785","",IF(I198="",CONCATENATE(";",EscStr(CONCATENATE("NavNode_",getCategoryLevelAsString($B198))),";",EscStr($J198),";"),CONCATENATE(";",EscStr(CONCATENATE("NavNode_",getCategoryLevelAsString($B198))),";",EscStr(I198),";")))</f>
        <v>;"NavNode_L3D_525480";"Sensori capacitivi";</v>
      </c>
      <c r="AC198" s="10" t="str">
        <f>IF(getCategoryLevelAsString($B198)="L0D_324785","",IF(J198="",CONCATENATE(";",EscStr(CONCATENATE("NavNode_",getCategoryLevelAsString($B198))),";",EscStr($J198),";"),CONCATENATE(";",EscStr(CONCATENATE("NavNode_",getCategoryLevelAsString($B198))),";",EscStr(J198),";")))</f>
        <v>;"NavNode_L3D_525480";"Capacitive Sensors";</v>
      </c>
      <c r="AD198" s="10" t="str">
        <f>IF(getCategoryLevelAsString($B198)="L0D_324785","",IF(K198="",CONCATENATE(";",EscStr(CONCATENATE("NavNode_",getCategoryLevelAsString($B198))),";",EscStr($J198),";"),CONCATENATE(";",EscStr(CONCATENATE("NavNode_",getCategoryLevelAsString($B198))),";",EscStr(K198),";")))</f>
        <v>;"NavNode_L3D_525480";"Kapacitetssensorer";</v>
      </c>
      <c r="AE198" s="10" t="str">
        <f>IF(getCategoryLevelAsString($B198)="L0D_324785","",IF(L198="",CONCATENATE(";",EscStr(CONCATENATE("NavNode_",getCategoryLevelAsString($B198))),";",EscStr($J198),";"),CONCATENATE(";",EscStr(CONCATENATE("NavNode_",getCategoryLevelAsString($B198))),";",EscStr(L198),";")))</f>
        <v>;"NavNode_L3D_525480";"Talpiniai jutikliai";</v>
      </c>
      <c r="AF198" s="10" t="str">
        <f>IF(getCategoryLevelAsString($B198)="L0D_324785","",IF(M198="",CONCATENATE(";",EscStr(CONCATENATE("NavNode_",getCategoryLevelAsString($B198))),";",EscStr($J198),";"),CONCATENATE(";",EscStr(CONCATENATE("NavNode_",getCategoryLevelAsString($B198))),";",EscStr(M198),";")))</f>
        <v>;"NavNode_L3D_525480";"Kapasitive sensorer";</v>
      </c>
      <c r="AG198" s="10" t="str">
        <f>IF(getCategoryLevelAsString($B198)="L0D_324785","",IF(N198="",CONCATENATE(";",EscStr(CONCATENATE("NavNode_",getCategoryLevelAsString($B198))),";",EscStr($J198),";"),CONCATENATE(";",EscStr(CONCATENATE("NavNode_",getCategoryLevelAsString($B198))),";",EscStr(N198),";")))</f>
        <v>;"NavNode_L3D_525480";"Kapacitiva givare";</v>
      </c>
      <c r="AH198" s="10" t="str">
        <f>IF(getCategoryLevelAsString($B198)="L0D_324785","",IF(O198="",CONCATENATE(";",EscStr(CONCATENATE("NavNode_",getCategoryLevelAsString($B198))),";",EscStr($J198),";"),CONCATENATE(";",EscStr(CONCATENATE("NavNode_",getCategoryLevelAsString($B198))),";",EscStr(O198),";")))</f>
        <v>;"NavNode_L3D_525480";"Mahtuvuslikud andurid";</v>
      </c>
      <c r="AI198" s="10" t="str">
        <f>IF(getCategoryLevelAsString($B198)="L0D_324785","",IF(P198="",CONCATENATE(";",EscStr(CONCATENATE("NavNode_",getCategoryLevelAsString($B198))),";",EscStr($J198),";"),CONCATENATE(";",EscStr(CONCATENATE("NavNode_",getCategoryLevelAsString($B198))),";",EscStr(P198),";")))</f>
        <v>;"NavNode_L3D_525480";"Kapasitiiviset anturit";</v>
      </c>
      <c r="AJ198" s="10" t="str">
        <f>IF(getCategoryLevelAsString($B198)="L0D_324785","",IF(Q198="",CONCATENATE(";",EscStr(CONCATENATE("NavNode_",getCategoryLevelAsString($B198))),";",EscStr($J198),";"),CONCATENATE(";",EscStr(CONCATENATE("NavNode_",getCategoryLevelAsString($B198))),";",EscStr(Q198),";")))</f>
        <v>;"NavNode_L3D_525480";"Kapacitīvie sensori";</v>
      </c>
      <c r="AK198" s="10" t="str">
        <f>IF(getCategoryLevelAsString($B198)="L0D_324785","",IF(R198="",CONCATENATE(";",EscStr(CONCATENATE("NavNode_",getCategoryLevelAsString($B198))),";",EscStr($J198),";"),CONCATENATE(";",EscStr(CONCATENATE("NavNode_",getCategoryLevelAsString($B198))),";",EscStr(R198),";")))</f>
        <v>;"NavNode_L3D_525480";"Capacitieve sensoren";</v>
      </c>
      <c r="AL198" s="10" t="str">
        <f>IF(getCategoryLevelAsString($B198)="L0D_324785","",IF(S198="",CONCATENATE(";",EscStr(CONCATENATE("NavNode_",getCategoryLevelAsString($B198))),";",EscStr($J198),";"),CONCATENATE(";",EscStr(CONCATENATE("NavNode_",getCategoryLevelAsString($B198))),";",EscStr(S198),";")))</f>
        <v>;"NavNode_L3D_525480";"Czujniki pojemnościowe";</v>
      </c>
      <c r="AM198" s="10" t="str">
        <f>IF(getCategoryLevelAsString($B198)="L0D_324785","",IF(T198="",CONCATENATE(";",EscStr(CONCATENATE("NavNode_",getCategoryLevelAsString($B198))),";",EscStr($J198),";"),CONCATENATE(";",EscStr(CONCATENATE("NavNode_",getCategoryLevelAsString($B198))),";",EscStr(T198),";")))</f>
        <v>;"NavNode_L3D_525480";"Емкостные датчики";</v>
      </c>
      <c r="AN198" s="10" t="str">
        <f>IF(getCategoryLevelAsString($B198)="L0D_324785","",IF(U198="",CONCATENATE(";",EscStr(CONCATENATE("NavNode_",getCategoryLevelAsString($B198))),";",EscStr($J198),";"),CONCATENATE(";",EscStr(CONCATENATE("NavNode_",getCategoryLevelAsString($B198))),";",EscStr(U198),";")))</f>
        <v>;"NavNode_L3D_525480";"Kapacitní snímače";</v>
      </c>
      <c r="AO198" s="10" t="str">
        <f>IF(getCategoryLevelAsString($B198)="L0D_324785","",IF(V198="",CONCATENATE(";",EscStr(CONCATENATE("NavNode_",getCategoryLevelAsString($B198))),";",EscStr($J198),";"),CONCATENATE(";",EscStr(CONCATENATE("NavNode_",getCategoryLevelAsString($B198))),";",EscStr(V198),";")))</f>
        <v>;"NavNode_L3D_525480";"Senzori capacitivi";</v>
      </c>
      <c r="AP198" s="10" t="str">
        <f>IF(getCategoryLevelAsString($B198)="L0D_324785","",IF(W198="",CONCATENATE(";",EscStr(CONCATENATE("NavNode_",getCategoryLevelAsString($B198))),";",EscStr($J198),";"),CONCATENATE(";",EscStr(CONCATENATE("NavNode_",getCategoryLevelAsString($B198))),";",EscStr(W198),";")))</f>
        <v>;"NavNode_L3D_525480";"Kapacitív érzékelők";</v>
      </c>
      <c r="AQ198" s="10" t="str">
        <f>IF(getCategoryLevelAsString($B198)="L0D_324785","",IF(X198="",CONCATENATE(";",EscStr(CONCATENATE("NavNode_",getCategoryLevelAsString($B198))),";",EscStr($J198),";"),CONCATENATE(";",EscStr(CONCATENATE("NavNode_",getCategoryLevelAsString($B198))),";",EscStr(X198),";")))</f>
        <v>;"NavNode_L3D_525480";"Kapacitné senzory";</v>
      </c>
      <c r="AR198" s="8" t="str">
        <f>IF(OR($A198&lt;&gt;"", $G198=""),"",CONCATENATE(";",EscStr(CONCATENATE("NavEntry_",getCategoryLevelAsString($B198))),";",EscStr(CONCATENATE($J198," Navigation Entry")),";",EscStr(CONCATENATE("cat-",getCategoryLevelAsString($B198))),";",EscStr(CONCATENATE("NavNode_",getCategoryLevelAsString($B198))),";"))</f>
        <v>;"NavEntry_L3D_525480";"Capacitive Sensors Navigation Entry";"cat-L3D_525480";"NavNode_L3D_525480";</v>
      </c>
    </row>
    <row r="199" spans="1:44" ht="15" x14ac:dyDescent="0.25">
      <c r="A199" s="25"/>
      <c r="B199" s="5"/>
      <c r="C199" s="5"/>
      <c r="D199" s="5" t="s">
        <v>107</v>
      </c>
      <c r="E199" s="5"/>
      <c r="F199" s="5"/>
      <c r="G199" s="5" t="s">
        <v>973</v>
      </c>
      <c r="H199" s="5" t="s">
        <v>3443</v>
      </c>
      <c r="I199" s="5" t="s">
        <v>3444</v>
      </c>
      <c r="J199" s="5" t="s">
        <v>3445</v>
      </c>
      <c r="K199" s="5" t="s">
        <v>3446</v>
      </c>
      <c r="L199" s="5" t="s">
        <v>3447</v>
      </c>
      <c r="M199" s="5" t="s">
        <v>3448</v>
      </c>
      <c r="N199" s="5" t="s">
        <v>3449</v>
      </c>
      <c r="O199" s="5" t="s">
        <v>3450</v>
      </c>
      <c r="P199" s="5" t="s">
        <v>3451</v>
      </c>
      <c r="Q199" s="5" t="s">
        <v>3452</v>
      </c>
      <c r="R199" s="5" t="s">
        <v>3453</v>
      </c>
      <c r="S199" s="5" t="s">
        <v>3454</v>
      </c>
      <c r="T199" s="5" t="s">
        <v>3455</v>
      </c>
      <c r="U199" s="5" t="s">
        <v>3456</v>
      </c>
      <c r="V199" s="5" t="s">
        <v>3457</v>
      </c>
      <c r="W199" s="5" t="s">
        <v>3458</v>
      </c>
      <c r="X199" s="5" t="s">
        <v>3459</v>
      </c>
      <c r="Y199" s="10" t="str">
        <f>IF(OR($A199&lt;&gt;"", $G199=""),"",CONCATENATE(";",EscStr(CONCATENATE("NavNode_",getCategoryLevelAsString($B199))),";",EscStr($J199),";",IF($B199&lt;&gt;"","""MainNavNode""",EscStr(CONCATENATE("NavNode_",getSuperCategory($B199, getCategoryLevelAsNumber($B199))))),";"))</f>
        <v>;"NavNode_L3D_525481";"Ultrasonic Sensors";"NavNode_L2D_379612";</v>
      </c>
      <c r="Z199" s="10" t="str">
        <f>IF(getCategoryLevelAsString($B199)="L0D_324785","",IF(G199="",CONCATENATE(";",EscStr(CONCATENATE("NavNode_",getCategoryLevelAsString($B199))),";",EscStr($J199),";"),CONCATENATE(";",EscStr(CONCATENATE("NavNode_",getCategoryLevelAsString($B199))),";",EscStr(G199),";")))</f>
        <v>;"NavNode_L3D_525481";"Ultraschallsensoren";</v>
      </c>
      <c r="AA199" s="10" t="str">
        <f>IF(getCategoryLevelAsString($B199)="L0D_324785","",IF(H199="",CONCATENATE(";",EscStr(CONCATENATE("NavNode_",getCategoryLevelAsString($B199))),";",EscStr($J199),";"),CONCATENATE(";",EscStr(CONCATENATE("NavNode_",getCategoryLevelAsString($B199))),";",EscStr(H199),";")))</f>
        <v>;"NavNode_L3D_525481";"Capteurs à ultrasons";</v>
      </c>
      <c r="AB199" s="10" t="str">
        <f>IF(getCategoryLevelAsString($B199)="L0D_324785","",IF(I199="",CONCATENATE(";",EscStr(CONCATENATE("NavNode_",getCategoryLevelAsString($B199))),";",EscStr($J199),";"),CONCATENATE(";",EscStr(CONCATENATE("NavNode_",getCategoryLevelAsString($B199))),";",EscStr(I199),";")))</f>
        <v>;"NavNode_L3D_525481";"Sensori a ultrasuoni";</v>
      </c>
      <c r="AC199" s="10" t="str">
        <f>IF(getCategoryLevelAsString($B199)="L0D_324785","",IF(J199="",CONCATENATE(";",EscStr(CONCATENATE("NavNode_",getCategoryLevelAsString($B199))),";",EscStr($J199),";"),CONCATENATE(";",EscStr(CONCATENATE("NavNode_",getCategoryLevelAsString($B199))),";",EscStr(J199),";")))</f>
        <v>;"NavNode_L3D_525481";"Ultrasonic Sensors";</v>
      </c>
      <c r="AD199" s="10" t="str">
        <f>IF(getCategoryLevelAsString($B199)="L0D_324785","",IF(K199="",CONCATENATE(";",EscStr(CONCATENATE("NavNode_",getCategoryLevelAsString($B199))),";",EscStr($J199),";"),CONCATENATE(";",EscStr(CONCATENATE("NavNode_",getCategoryLevelAsString($B199))),";",EscStr(K199),";")))</f>
        <v>;"NavNode_L3D_525481";"Ultralydssensorer";</v>
      </c>
      <c r="AE199" s="10" t="str">
        <f>IF(getCategoryLevelAsString($B199)="L0D_324785","",IF(L199="",CONCATENATE(";",EscStr(CONCATENATE("NavNode_",getCategoryLevelAsString($B199))),";",EscStr($J199),";"),CONCATENATE(";",EscStr(CONCATENATE("NavNode_",getCategoryLevelAsString($B199))),";",EscStr(L199),";")))</f>
        <v>;"NavNode_L3D_525481";"Ultragarsiniai jutikliai";</v>
      </c>
      <c r="AF199" s="10" t="str">
        <f>IF(getCategoryLevelAsString($B199)="L0D_324785","",IF(M199="",CONCATENATE(";",EscStr(CONCATENATE("NavNode_",getCategoryLevelAsString($B199))),";",EscStr($J199),";"),CONCATENATE(";",EscStr(CONCATENATE("NavNode_",getCategoryLevelAsString($B199))),";",EscStr(M199),";")))</f>
        <v>;"NavNode_L3D_525481";"Ultrasoniske sensorer";</v>
      </c>
      <c r="AG199" s="10" t="str">
        <f>IF(getCategoryLevelAsString($B199)="L0D_324785","",IF(N199="",CONCATENATE(";",EscStr(CONCATENATE("NavNode_",getCategoryLevelAsString($B199))),";",EscStr($J199),";"),CONCATENATE(";",EscStr(CONCATENATE("NavNode_",getCategoryLevelAsString($B199))),";",EscStr(N199),";")))</f>
        <v>;"NavNode_L3D_525481";"Ultraljudsgivare";</v>
      </c>
      <c r="AH199" s="10" t="str">
        <f>IF(getCategoryLevelAsString($B199)="L0D_324785","",IF(O199="",CONCATENATE(";",EscStr(CONCATENATE("NavNode_",getCategoryLevelAsString($B199))),";",EscStr($J199),";"),CONCATENATE(";",EscStr(CONCATENATE("NavNode_",getCategoryLevelAsString($B199))),";",EscStr(O199),";")))</f>
        <v>;"NavNode_L3D_525481";"Ultraheliandurid";</v>
      </c>
      <c r="AI199" s="10" t="str">
        <f>IF(getCategoryLevelAsString($B199)="L0D_324785","",IF(P199="",CONCATENATE(";",EscStr(CONCATENATE("NavNode_",getCategoryLevelAsString($B199))),";",EscStr($J199),";"),CONCATENATE(";",EscStr(CONCATENATE("NavNode_",getCategoryLevelAsString($B199))),";",EscStr(P199),";")))</f>
        <v>;"NavNode_L3D_525481";"Ultraäänianturit";</v>
      </c>
      <c r="AJ199" s="10" t="str">
        <f>IF(getCategoryLevelAsString($B199)="L0D_324785","",IF(Q199="",CONCATENATE(";",EscStr(CONCATENATE("NavNode_",getCategoryLevelAsString($B199))),";",EscStr($J199),";"),CONCATENATE(";",EscStr(CONCATENATE("NavNode_",getCategoryLevelAsString($B199))),";",EscStr(Q199),";")))</f>
        <v>;"NavNode_L3D_525481";"Ultraskaņas sensori";</v>
      </c>
      <c r="AK199" s="10" t="str">
        <f>IF(getCategoryLevelAsString($B199)="L0D_324785","",IF(R199="",CONCATENATE(";",EscStr(CONCATENATE("NavNode_",getCategoryLevelAsString($B199))),";",EscStr($J199),";"),CONCATENATE(";",EscStr(CONCATENATE("NavNode_",getCategoryLevelAsString($B199))),";",EscStr(R199),";")))</f>
        <v>;"NavNode_L3D_525481";"Ultrasoonsensoren";</v>
      </c>
      <c r="AL199" s="10" t="str">
        <f>IF(getCategoryLevelAsString($B199)="L0D_324785","",IF(S199="",CONCATENATE(";",EscStr(CONCATENATE("NavNode_",getCategoryLevelAsString($B199))),";",EscStr($J199),";"),CONCATENATE(";",EscStr(CONCATENATE("NavNode_",getCategoryLevelAsString($B199))),";",EscStr(S199),";")))</f>
        <v>;"NavNode_L3D_525481";"Czujniki ultradźwiękowe";</v>
      </c>
      <c r="AM199" s="10" t="str">
        <f>IF(getCategoryLevelAsString($B199)="L0D_324785","",IF(T199="",CONCATENATE(";",EscStr(CONCATENATE("NavNode_",getCategoryLevelAsString($B199))),";",EscStr($J199),";"),CONCATENATE(";",EscStr(CONCATENATE("NavNode_",getCategoryLevelAsString($B199))),";",EscStr(T199),";")))</f>
        <v>;"NavNode_L3D_525481";"Ультразвуковые датчики";</v>
      </c>
      <c r="AN199" s="10" t="str">
        <f>IF(getCategoryLevelAsString($B199)="L0D_324785","",IF(U199="",CONCATENATE(";",EscStr(CONCATENATE("NavNode_",getCategoryLevelAsString($B199))),";",EscStr($J199),";"),CONCATENATE(";",EscStr(CONCATENATE("NavNode_",getCategoryLevelAsString($B199))),";",EscStr(U199),";")))</f>
        <v>;"NavNode_L3D_525481";"Ultrazvukové snímače";</v>
      </c>
      <c r="AO199" s="10" t="str">
        <f>IF(getCategoryLevelAsString($B199)="L0D_324785","",IF(V199="",CONCATENATE(";",EscStr(CONCATENATE("NavNode_",getCategoryLevelAsString($B199))),";",EscStr($J199),";"),CONCATENATE(";",EscStr(CONCATENATE("NavNode_",getCategoryLevelAsString($B199))),";",EscStr(V199),";")))</f>
        <v>;"NavNode_L3D_525481";"Senzori ultrasonici";</v>
      </c>
      <c r="AP199" s="10" t="str">
        <f>IF(getCategoryLevelAsString($B199)="L0D_324785","",IF(W199="",CONCATENATE(";",EscStr(CONCATENATE("NavNode_",getCategoryLevelAsString($B199))),";",EscStr($J199),";"),CONCATENATE(";",EscStr(CONCATENATE("NavNode_",getCategoryLevelAsString($B199))),";",EscStr(W199),";")))</f>
        <v>;"NavNode_L3D_525481";"Ultrahangos érzékelők";</v>
      </c>
      <c r="AQ199" s="10" t="str">
        <f>IF(getCategoryLevelAsString($B199)="L0D_324785","",IF(X199="",CONCATENATE(";",EscStr(CONCATENATE("NavNode_",getCategoryLevelAsString($B199))),";",EscStr($J199),";"),CONCATENATE(";",EscStr(CONCATENATE("NavNode_",getCategoryLevelAsString($B199))),";",EscStr(X199),";")))</f>
        <v>;"NavNode_L3D_525481";"Ultrazvukové senzory";</v>
      </c>
      <c r="AR199" s="8" t="str">
        <f>IF(OR($A199&lt;&gt;"", $G199=""),"",CONCATENATE(";",EscStr(CONCATENATE("NavEntry_",getCategoryLevelAsString($B199))),";",EscStr(CONCATENATE($J199," Navigation Entry")),";",EscStr(CONCATENATE("cat-",getCategoryLevelAsString($B199))),";",EscStr(CONCATENATE("NavNode_",getCategoryLevelAsString($B199))),";"))</f>
        <v>;"NavEntry_L3D_525481";"Ultrasonic Sensors Navigation Entry";"cat-L3D_525481";"NavNode_L3D_525481";</v>
      </c>
    </row>
    <row r="200" spans="1:44" ht="15" x14ac:dyDescent="0.25">
      <c r="A200" s="25"/>
      <c r="B200" s="5"/>
      <c r="C200" s="5"/>
      <c r="D200" s="5" t="s">
        <v>101</v>
      </c>
      <c r="E200" s="5"/>
      <c r="F200" s="5"/>
      <c r="G200" s="5" t="s">
        <v>974</v>
      </c>
      <c r="H200" s="5" t="s">
        <v>1078</v>
      </c>
      <c r="I200" s="5" t="s">
        <v>1136</v>
      </c>
      <c r="J200" s="5" t="s">
        <v>102</v>
      </c>
      <c r="K200" s="5" t="s">
        <v>1309</v>
      </c>
      <c r="L200" s="5" t="s">
        <v>1544</v>
      </c>
      <c r="M200" s="5" t="s">
        <v>1309</v>
      </c>
      <c r="N200" s="5" t="s">
        <v>1974</v>
      </c>
      <c r="O200" s="5" t="s">
        <v>3460</v>
      </c>
      <c r="P200" s="5" t="s">
        <v>3461</v>
      </c>
      <c r="Q200" s="5" t="s">
        <v>3462</v>
      </c>
      <c r="R200" s="5" t="s">
        <v>3463</v>
      </c>
      <c r="S200" s="5" t="s">
        <v>3464</v>
      </c>
      <c r="T200" s="5" t="s">
        <v>3465</v>
      </c>
      <c r="U200" s="5" t="s">
        <v>3466</v>
      </c>
      <c r="V200" s="5" t="s">
        <v>3467</v>
      </c>
      <c r="W200" s="5" t="s">
        <v>3468</v>
      </c>
      <c r="X200" s="5" t="s">
        <v>3466</v>
      </c>
      <c r="Y200" s="10" t="str">
        <f>IF(OR($A200&lt;&gt;"", $G200=""),"",CONCATENATE(";",EscStr(CONCATENATE("NavNode_",getCategoryLevelAsString($B200))),";",EscStr($J200),";",IF($B200&lt;&gt;"","""MainNavNode""",EscStr(CONCATENATE("NavNode_",getSuperCategory($B200, getCategoryLevelAsNumber($B200))))),";"))</f>
        <v>;"NavNode_L3D_525483";"Optical Sensors";"NavNode_L2D_379612";</v>
      </c>
      <c r="Z200" s="10" t="str">
        <f>IF(getCategoryLevelAsString($B200)="L0D_324785","",IF(G200="",CONCATENATE(";",EscStr(CONCATENATE("NavNode_",getCategoryLevelAsString($B200))),";",EscStr($J200),";"),CONCATENATE(";",EscStr(CONCATENATE("NavNode_",getCategoryLevelAsString($B200))),";",EscStr(G200),";")))</f>
        <v>;"NavNode_L3D_525483";"Optische Sensoren";</v>
      </c>
      <c r="AA200" s="10" t="str">
        <f>IF(getCategoryLevelAsString($B200)="L0D_324785","",IF(H200="",CONCATENATE(";",EscStr(CONCATENATE("NavNode_",getCategoryLevelAsString($B200))),";",EscStr($J200),";"),CONCATENATE(";",EscStr(CONCATENATE("NavNode_",getCategoryLevelAsString($B200))),";",EscStr(H200),";")))</f>
        <v>;"NavNode_L3D_525483";"Capteurs optiques";</v>
      </c>
      <c r="AB200" s="10" t="str">
        <f>IF(getCategoryLevelAsString($B200)="L0D_324785","",IF(I200="",CONCATENATE(";",EscStr(CONCATENATE("NavNode_",getCategoryLevelAsString($B200))),";",EscStr($J200),";"),CONCATENATE(";",EscStr(CONCATENATE("NavNode_",getCategoryLevelAsString($B200))),";",EscStr(I200),";")))</f>
        <v>;"NavNode_L3D_525483";"Sensori ottici";</v>
      </c>
      <c r="AC200" s="10" t="str">
        <f>IF(getCategoryLevelAsString($B200)="L0D_324785","",IF(J200="",CONCATENATE(";",EscStr(CONCATENATE("NavNode_",getCategoryLevelAsString($B200))),";",EscStr($J200),";"),CONCATENATE(";",EscStr(CONCATENATE("NavNode_",getCategoryLevelAsString($B200))),";",EscStr(J200),";")))</f>
        <v>;"NavNode_L3D_525483";"Optical Sensors";</v>
      </c>
      <c r="AD200" s="10" t="str">
        <f>IF(getCategoryLevelAsString($B200)="L0D_324785","",IF(K200="",CONCATENATE(";",EscStr(CONCATENATE("NavNode_",getCategoryLevelAsString($B200))),";",EscStr($J200),";"),CONCATENATE(";",EscStr(CONCATENATE("NavNode_",getCategoryLevelAsString($B200))),";",EscStr(K200),";")))</f>
        <v>;"NavNode_L3D_525483";"Optiske sensorer";</v>
      </c>
      <c r="AE200" s="10" t="str">
        <f>IF(getCategoryLevelAsString($B200)="L0D_324785","",IF(L200="",CONCATENATE(";",EscStr(CONCATENATE("NavNode_",getCategoryLevelAsString($B200))),";",EscStr($J200),";"),CONCATENATE(";",EscStr(CONCATENATE("NavNode_",getCategoryLevelAsString($B200))),";",EscStr(L200),";")))</f>
        <v>;"NavNode_L3D_525483";"Optiniai jutikliai";</v>
      </c>
      <c r="AF200" s="10" t="str">
        <f>IF(getCategoryLevelAsString($B200)="L0D_324785","",IF(M200="",CONCATENATE(";",EscStr(CONCATENATE("NavNode_",getCategoryLevelAsString($B200))),";",EscStr($J200),";"),CONCATENATE(";",EscStr(CONCATENATE("NavNode_",getCategoryLevelAsString($B200))),";",EscStr(M200),";")))</f>
        <v>;"NavNode_L3D_525483";"Optiske sensorer";</v>
      </c>
      <c r="AG200" s="10" t="str">
        <f>IF(getCategoryLevelAsString($B200)="L0D_324785","",IF(N200="",CONCATENATE(";",EscStr(CONCATENATE("NavNode_",getCategoryLevelAsString($B200))),";",EscStr($J200),";"),CONCATENATE(";",EscStr(CONCATENATE("NavNode_",getCategoryLevelAsString($B200))),";",EscStr(N200),";")))</f>
        <v>;"NavNode_L3D_525483";"Optiska givare";</v>
      </c>
      <c r="AH200" s="10" t="str">
        <f>IF(getCategoryLevelAsString($B200)="L0D_324785","",IF(O200="",CONCATENATE(";",EscStr(CONCATENATE("NavNode_",getCategoryLevelAsString($B200))),";",EscStr($J200),";"),CONCATENATE(";",EscStr(CONCATENATE("NavNode_",getCategoryLevelAsString($B200))),";",EscStr(O200),";")))</f>
        <v>;"NavNode_L3D_525483";"Optilised andurid";</v>
      </c>
      <c r="AI200" s="10" t="str">
        <f>IF(getCategoryLevelAsString($B200)="L0D_324785","",IF(P200="",CONCATENATE(";",EscStr(CONCATENATE("NavNode_",getCategoryLevelAsString($B200))),";",EscStr($J200),";"),CONCATENATE(";",EscStr(CONCATENATE("NavNode_",getCategoryLevelAsString($B200))),";",EscStr(P200),";")))</f>
        <v>;"NavNode_L3D_525483";"Optiset anturit";</v>
      </c>
      <c r="AJ200" s="10" t="str">
        <f>IF(getCategoryLevelAsString($B200)="L0D_324785","",IF(Q200="",CONCATENATE(";",EscStr(CONCATENATE("NavNode_",getCategoryLevelAsString($B200))),";",EscStr($J200),";"),CONCATENATE(";",EscStr(CONCATENATE("NavNode_",getCategoryLevelAsString($B200))),";",EscStr(Q200),";")))</f>
        <v>;"NavNode_L3D_525483";"Optiskie sensori";</v>
      </c>
      <c r="AK200" s="10" t="str">
        <f>IF(getCategoryLevelAsString($B200)="L0D_324785","",IF(R200="",CONCATENATE(";",EscStr(CONCATENATE("NavNode_",getCategoryLevelAsString($B200))),";",EscStr($J200),";"),CONCATENATE(";",EscStr(CONCATENATE("NavNode_",getCategoryLevelAsString($B200))),";",EscStr(R200),";")))</f>
        <v>;"NavNode_L3D_525483";"Optische sensoren";</v>
      </c>
      <c r="AL200" s="10" t="str">
        <f>IF(getCategoryLevelAsString($B200)="L0D_324785","",IF(S200="",CONCATENATE(";",EscStr(CONCATENATE("NavNode_",getCategoryLevelAsString($B200))),";",EscStr($J200),";"),CONCATENATE(";",EscStr(CONCATENATE("NavNode_",getCategoryLevelAsString($B200))),";",EscStr(S200),";")))</f>
        <v>;"NavNode_L3D_525483";"Czujniki optyczne";</v>
      </c>
      <c r="AM200" s="10" t="str">
        <f>IF(getCategoryLevelAsString($B200)="L0D_324785","",IF(T200="",CONCATENATE(";",EscStr(CONCATENATE("NavNode_",getCategoryLevelAsString($B200))),";",EscStr($J200),";"),CONCATENATE(";",EscStr(CONCATENATE("NavNode_",getCategoryLevelAsString($B200))),";",EscStr(T200),";")))</f>
        <v>;"NavNode_L3D_525483";"Оптические датчики";</v>
      </c>
      <c r="AN200" s="10" t="str">
        <f>IF(getCategoryLevelAsString($B200)="L0D_324785","",IF(U200="",CONCATENATE(";",EscStr(CONCATENATE("NavNode_",getCategoryLevelAsString($B200))),";",EscStr($J200),";"),CONCATENATE(";",EscStr(CONCATENATE("NavNode_",getCategoryLevelAsString($B200))),";",EscStr(U200),";")))</f>
        <v>;"NavNode_L3D_525483";"Optické snímače";</v>
      </c>
      <c r="AO200" s="10" t="str">
        <f>IF(getCategoryLevelAsString($B200)="L0D_324785","",IF(V200="",CONCATENATE(";",EscStr(CONCATENATE("NavNode_",getCategoryLevelAsString($B200))),";",EscStr($J200),";"),CONCATENATE(";",EscStr(CONCATENATE("NavNode_",getCategoryLevelAsString($B200))),";",EscStr(V200),";")))</f>
        <v>;"NavNode_L3D_525483";"Senzori optici";</v>
      </c>
      <c r="AP200" s="10" t="str">
        <f>IF(getCategoryLevelAsString($B200)="L0D_324785","",IF(W200="",CONCATENATE(";",EscStr(CONCATENATE("NavNode_",getCategoryLevelAsString($B200))),";",EscStr($J200),";"),CONCATENATE(";",EscStr(CONCATENATE("NavNode_",getCategoryLevelAsString($B200))),";",EscStr(W200),";")))</f>
        <v>;"NavNode_L3D_525483";"Optikai érzékelők";</v>
      </c>
      <c r="AQ200" s="10" t="str">
        <f>IF(getCategoryLevelAsString($B200)="L0D_324785","",IF(X200="",CONCATENATE(";",EscStr(CONCATENATE("NavNode_",getCategoryLevelAsString($B200))),";",EscStr($J200),";"),CONCATENATE(";",EscStr(CONCATENATE("NavNode_",getCategoryLevelAsString($B200))),";",EscStr(X200),";")))</f>
        <v>;"NavNode_L3D_525483";"Optické snímače";</v>
      </c>
      <c r="AR200" s="8" t="str">
        <f>IF(OR($A200&lt;&gt;"", $G200=""),"",CONCATENATE(";",EscStr(CONCATENATE("NavEntry_",getCategoryLevelAsString($B200))),";",EscStr(CONCATENATE($J200," Navigation Entry")),";",EscStr(CONCATENATE("cat-",getCategoryLevelAsString($B200))),";",EscStr(CONCATENATE("NavNode_",getCategoryLevelAsString($B200))),";"))</f>
        <v>;"NavEntry_L3D_525483";"Optical Sensors Navigation Entry";"cat-L3D_525483";"NavNode_L3D_525483";</v>
      </c>
    </row>
    <row r="201" spans="1:44" ht="15" x14ac:dyDescent="0.25">
      <c r="A201" s="25"/>
      <c r="B201" s="5"/>
      <c r="C201" s="5"/>
      <c r="D201" s="5" t="s">
        <v>104</v>
      </c>
      <c r="E201" s="5"/>
      <c r="F201" s="5"/>
      <c r="G201" s="5" t="s">
        <v>975</v>
      </c>
      <c r="H201" s="5" t="s">
        <v>1079</v>
      </c>
      <c r="I201" s="5" t="s">
        <v>1137</v>
      </c>
      <c r="J201" s="5" t="s">
        <v>838</v>
      </c>
      <c r="K201" s="5" t="s">
        <v>1310</v>
      </c>
      <c r="L201" s="5" t="s">
        <v>1545</v>
      </c>
      <c r="M201" s="5" t="s">
        <v>1310</v>
      </c>
      <c r="N201" s="5" t="s">
        <v>1975</v>
      </c>
      <c r="O201" s="5" t="s">
        <v>3469</v>
      </c>
      <c r="P201" s="5" t="s">
        <v>3470</v>
      </c>
      <c r="Q201" s="5" t="s">
        <v>3471</v>
      </c>
      <c r="R201" s="5" t="s">
        <v>3472</v>
      </c>
      <c r="S201" s="5" t="s">
        <v>3473</v>
      </c>
      <c r="T201" s="5" t="s">
        <v>3474</v>
      </c>
      <c r="U201" s="5" t="s">
        <v>3475</v>
      </c>
      <c r="V201" s="5" t="s">
        <v>3476</v>
      </c>
      <c r="W201" s="5" t="s">
        <v>3477</v>
      </c>
      <c r="X201" s="5" t="s">
        <v>3475</v>
      </c>
      <c r="Y201" s="10" t="str">
        <f>IF(OR($A201&lt;&gt;"", $G201=""),"",CONCATENATE(";",EscStr(CONCATENATE("NavNode_",getCategoryLevelAsString($B201))),";",EscStr($J201),";",IF($B201&lt;&gt;"","""MainNavNode""",EscStr(CONCATENATE("NavNode_",getSuperCategory($B201, getCategoryLevelAsNumber($B201))))),";"))</f>
        <v>;"NavNode_L3D_525485";"Reed / Hall Sensors";"NavNode_L2D_379612";</v>
      </c>
      <c r="Z201" s="10" t="str">
        <f>IF(getCategoryLevelAsString($B201)="L0D_324785","",IF(G201="",CONCATENATE(";",EscStr(CONCATENATE("NavNode_",getCategoryLevelAsString($B201))),";",EscStr($J201),";"),CONCATENATE(";",EscStr(CONCATENATE("NavNode_",getCategoryLevelAsString($B201))),";",EscStr(G201),";")))</f>
        <v>;"NavNode_L3D_525485";"Reed- / Hall-Sensoren";</v>
      </c>
      <c r="AA201" s="10" t="str">
        <f>IF(getCategoryLevelAsString($B201)="L0D_324785","",IF(H201="",CONCATENATE(";",EscStr(CONCATENATE("NavNode_",getCategoryLevelAsString($B201))),";",EscStr($J201),";"),CONCATENATE(";",EscStr(CONCATENATE("NavNode_",getCategoryLevelAsString($B201))),";",EscStr(H201),";")))</f>
        <v>;"NavNode_L3D_525485";"Capteurs Reed/Hall";</v>
      </c>
      <c r="AB201" s="10" t="str">
        <f>IF(getCategoryLevelAsString($B201)="L0D_324785","",IF(I201="",CONCATENATE(";",EscStr(CONCATENATE("NavNode_",getCategoryLevelAsString($B201))),";",EscStr($J201),";"),CONCATENATE(";",EscStr(CONCATENATE("NavNode_",getCategoryLevelAsString($B201))),";",EscStr(I201),";")))</f>
        <v>;"NavNode_L3D_525485";"Sensori reed/Hall";</v>
      </c>
      <c r="AC201" s="10" t="str">
        <f>IF(getCategoryLevelAsString($B201)="L0D_324785","",IF(J201="",CONCATENATE(";",EscStr(CONCATENATE("NavNode_",getCategoryLevelAsString($B201))),";",EscStr($J201),";"),CONCATENATE(";",EscStr(CONCATENATE("NavNode_",getCategoryLevelAsString($B201))),";",EscStr(J201),";")))</f>
        <v>;"NavNode_L3D_525485";"Reed / Hall Sensors";</v>
      </c>
      <c r="AD201" s="10" t="str">
        <f>IF(getCategoryLevelAsString($B201)="L0D_324785","",IF(K201="",CONCATENATE(";",EscStr(CONCATENATE("NavNode_",getCategoryLevelAsString($B201))),";",EscStr($J201),";"),CONCATENATE(";",EscStr(CONCATENATE("NavNode_",getCategoryLevelAsString($B201))),";",EscStr(K201),";")))</f>
        <v>;"NavNode_L3D_525485";"Reed-/hall-sensorer";</v>
      </c>
      <c r="AE201" s="10" t="str">
        <f>IF(getCategoryLevelAsString($B201)="L0D_324785","",IF(L201="",CONCATENATE(";",EscStr(CONCATENATE("NavNode_",getCategoryLevelAsString($B201))),";",EscStr($J201),";"),CONCATENATE(";",EscStr(CONCATENATE("NavNode_",getCategoryLevelAsString($B201))),";",EscStr(L201),";")))</f>
        <v>;"NavNode_L3D_525485";"Sandariųjų kontaktų / Holo jutikliai";</v>
      </c>
      <c r="AF201" s="10" t="str">
        <f>IF(getCategoryLevelAsString($B201)="L0D_324785","",IF(M201="",CONCATENATE(";",EscStr(CONCATENATE("NavNode_",getCategoryLevelAsString($B201))),";",EscStr($J201),";"),CONCATENATE(";",EscStr(CONCATENATE("NavNode_",getCategoryLevelAsString($B201))),";",EscStr(M201),";")))</f>
        <v>;"NavNode_L3D_525485";"Reed-/hall-sensorer";</v>
      </c>
      <c r="AG201" s="10" t="str">
        <f>IF(getCategoryLevelAsString($B201)="L0D_324785","",IF(N201="",CONCATENATE(";",EscStr(CONCATENATE("NavNode_",getCategoryLevelAsString($B201))),";",EscStr($J201),";"),CONCATENATE(";",EscStr(CONCATENATE("NavNode_",getCategoryLevelAsString($B201))),";",EscStr(N201),";")))</f>
        <v>;"NavNode_L3D_525485";"Reed-/Hall-givare";</v>
      </c>
      <c r="AH201" s="10" t="str">
        <f>IF(getCategoryLevelAsString($B201)="L0D_324785","",IF(O201="",CONCATENATE(";",EscStr(CONCATENATE("NavNode_",getCategoryLevelAsString($B201))),";",EscStr($J201),";"),CONCATENATE(";",EscStr(CONCATENATE("NavNode_",getCategoryLevelAsString($B201))),";",EscStr(O201),";")))</f>
        <v>;"NavNode_L3D_525485";"Herkonid / Halli andurid";</v>
      </c>
      <c r="AI201" s="10" t="str">
        <f>IF(getCategoryLevelAsString($B201)="L0D_324785","",IF(P201="",CONCATENATE(";",EscStr(CONCATENATE("NavNode_",getCategoryLevelAsString($B201))),";",EscStr($J201),";"),CONCATENATE(";",EscStr(CONCATENATE("NavNode_",getCategoryLevelAsString($B201))),";",EscStr(P201),";")))</f>
        <v>;"NavNode_L3D_525485";"Reed / Hall anturit";</v>
      </c>
      <c r="AJ201" s="10" t="str">
        <f>IF(getCategoryLevelAsString($B201)="L0D_324785","",IF(Q201="",CONCATENATE(";",EscStr(CONCATENATE("NavNode_",getCategoryLevelAsString($B201))),";",EscStr($J201),";"),CONCATENATE(";",EscStr(CONCATENATE("NavNode_",getCategoryLevelAsString($B201))),";",EscStr(Q201),";")))</f>
        <v>;"NavNode_L3D_525485";"Herkoni / Holla devēji";</v>
      </c>
      <c r="AK201" s="10" t="str">
        <f>IF(getCategoryLevelAsString($B201)="L0D_324785","",IF(R201="",CONCATENATE(";",EscStr(CONCATENATE("NavNode_",getCategoryLevelAsString($B201))),";",EscStr($J201),";"),CONCATENATE(";",EscStr(CONCATENATE("NavNode_",getCategoryLevelAsString($B201))),";",EscStr(R201),";")))</f>
        <v>;"NavNode_L3D_525485";"Reed en Hall Sensoren";</v>
      </c>
      <c r="AL201" s="10" t="str">
        <f>IF(getCategoryLevelAsString($B201)="L0D_324785","",IF(S201="",CONCATENATE(";",EscStr(CONCATENATE("NavNode_",getCategoryLevelAsString($B201))),";",EscStr($J201),";"),CONCATENATE(";",EscStr(CONCATENATE("NavNode_",getCategoryLevelAsString($B201))),";",EscStr(S201),";")))</f>
        <v>;"NavNode_L3D_525485";"Czujniki kontaktronowe / Halla";</v>
      </c>
      <c r="AM201" s="10" t="str">
        <f>IF(getCategoryLevelAsString($B201)="L0D_324785","",IF(T201="",CONCATENATE(";",EscStr(CONCATENATE("NavNode_",getCategoryLevelAsString($B201))),";",EscStr($J201),";"),CONCATENATE(";",EscStr(CONCATENATE("NavNode_",getCategoryLevelAsString($B201))),";",EscStr(T201),";")))</f>
        <v>;"NavNode_L3D_525485";"Датчики Холла / Герконы";</v>
      </c>
      <c r="AN201" s="10" t="str">
        <f>IF(getCategoryLevelAsString($B201)="L0D_324785","",IF(U201="",CONCATENATE(";",EscStr(CONCATENATE("NavNode_",getCategoryLevelAsString($B201))),";",EscStr($J201),";"),CONCATENATE(";",EscStr(CONCATENATE("NavNode_",getCategoryLevelAsString($B201))),";",EscStr(U201),";")))</f>
        <v>;"NavNode_L3D_525485";"Reed / Hall snímače";</v>
      </c>
      <c r="AO201" s="10" t="str">
        <f>IF(getCategoryLevelAsString($B201)="L0D_324785","",IF(V201="",CONCATENATE(";",EscStr(CONCATENATE("NavNode_",getCategoryLevelAsString($B201))),";",EscStr($J201),";"),CONCATENATE(";",EscStr(CONCATENATE("NavNode_",getCategoryLevelAsString($B201))),";",EscStr(V201),";")))</f>
        <v>;"NavNode_L3D_525485";"Reed - / Hall senzori";</v>
      </c>
      <c r="AP201" s="10" t="str">
        <f>IF(getCategoryLevelAsString($B201)="L0D_324785","",IF(W201="",CONCATENATE(";",EscStr(CONCATENATE("NavNode_",getCategoryLevelAsString($B201))),";",EscStr($J201),";"),CONCATENATE(";",EscStr(CONCATENATE("NavNode_",getCategoryLevelAsString($B201))),";",EscStr(W201),";")))</f>
        <v>;"NavNode_L3D_525485";"Reed- / Hall-érzékelők";</v>
      </c>
      <c r="AQ201" s="10" t="str">
        <f>IF(getCategoryLevelAsString($B201)="L0D_324785","",IF(X201="",CONCATENATE(";",EscStr(CONCATENATE("NavNode_",getCategoryLevelAsString($B201))),";",EscStr($J201),";"),CONCATENATE(";",EscStr(CONCATENATE("NavNode_",getCategoryLevelAsString($B201))),";",EscStr(X201),";")))</f>
        <v>;"NavNode_L3D_525485";"Reed / Hall snímače";</v>
      </c>
      <c r="AR201" s="8" t="str">
        <f>IF(OR($A201&lt;&gt;"", $G201=""),"",CONCATENATE(";",EscStr(CONCATENATE("NavEntry_",getCategoryLevelAsString($B201))),";",EscStr(CONCATENATE($J201," Navigation Entry")),";",EscStr(CONCATENATE("cat-",getCategoryLevelAsString($B201))),";",EscStr(CONCATENATE("NavNode_",getCategoryLevelAsString($B201))),";"))</f>
        <v>;"NavEntry_L3D_525485";"Reed / Hall Sensors Navigation Entry";"cat-L3D_525485";"NavNode_L3D_525485";</v>
      </c>
    </row>
    <row r="202" spans="1:44" ht="15" x14ac:dyDescent="0.25">
      <c r="A202" s="25"/>
      <c r="B202" s="5"/>
      <c r="C202" s="5"/>
      <c r="D202" s="5" t="s">
        <v>103</v>
      </c>
      <c r="E202" s="5"/>
      <c r="F202" s="5"/>
      <c r="G202" s="5" t="s">
        <v>976</v>
      </c>
      <c r="H202" s="5" t="s">
        <v>1080</v>
      </c>
      <c r="I202" s="5" t="s">
        <v>1138</v>
      </c>
      <c r="J202" s="5" t="s">
        <v>839</v>
      </c>
      <c r="K202" s="5" t="s">
        <v>1311</v>
      </c>
      <c r="L202" s="5" t="s">
        <v>1546</v>
      </c>
      <c r="M202" s="5" t="s">
        <v>1763</v>
      </c>
      <c r="N202" s="5" t="s">
        <v>1976</v>
      </c>
      <c r="O202" s="5" t="s">
        <v>3478</v>
      </c>
      <c r="P202" s="5" t="s">
        <v>3479</v>
      </c>
      <c r="Q202" s="5" t="s">
        <v>3480</v>
      </c>
      <c r="R202" s="5" t="s">
        <v>3481</v>
      </c>
      <c r="S202" s="5" t="s">
        <v>3482</v>
      </c>
      <c r="T202" s="5" t="s">
        <v>3483</v>
      </c>
      <c r="U202" s="5" t="s">
        <v>3484</v>
      </c>
      <c r="V202" s="5" t="s">
        <v>3485</v>
      </c>
      <c r="W202" s="5" t="s">
        <v>3486</v>
      </c>
      <c r="X202" s="5" t="s">
        <v>3484</v>
      </c>
      <c r="Y202" s="10" t="str">
        <f>IF(OR($A202&lt;&gt;"", $G202=""),"",CONCATENATE(";",EscStr(CONCATENATE("NavNode_",getCategoryLevelAsString($B202))),";",EscStr($J202),";",IF($B202&lt;&gt;"","""MainNavNode""",EscStr(CONCATENATE("NavNode_",getSuperCategory($B202, getCategoryLevelAsNumber($B202))))),";"))</f>
        <v>;"NavNode_L3D_525486";"Position / Angle Sensors";"NavNode_L2D_379612";</v>
      </c>
      <c r="Z202" s="10" t="str">
        <f>IF(getCategoryLevelAsString($B202)="L0D_324785","",IF(G202="",CONCATENATE(";",EscStr(CONCATENATE("NavNode_",getCategoryLevelAsString($B202))),";",EscStr($J202),";"),CONCATENATE(";",EscStr(CONCATENATE("NavNode_",getCategoryLevelAsString($B202))),";",EscStr(G202),";")))</f>
        <v>;"NavNode_L3D_525486";"Weg- / Winkelaufnehmer";</v>
      </c>
      <c r="AA202" s="10" t="str">
        <f>IF(getCategoryLevelAsString($B202)="L0D_324785","",IF(H202="",CONCATENATE(";",EscStr(CONCATENATE("NavNode_",getCategoryLevelAsString($B202))),";",EscStr($J202),";"),CONCATENATE(";",EscStr(CONCATENATE("NavNode_",getCategoryLevelAsString($B202))),";",EscStr(H202),";")))</f>
        <v>;"NavNode_L3D_525486";"Capteurs de position/d'angle";</v>
      </c>
      <c r="AB202" s="10" t="str">
        <f>IF(getCategoryLevelAsString($B202)="L0D_324785","",IF(I202="",CONCATENATE(";",EscStr(CONCATENATE("NavNode_",getCategoryLevelAsString($B202))),";",EscStr($J202),";"),CONCATENATE(";",EscStr(CONCATENATE("NavNode_",getCategoryLevelAsString($B202))),";",EscStr(I202),";")))</f>
        <v>;"NavNode_L3D_525486";"Sensori di posizione/angolazione";</v>
      </c>
      <c r="AC202" s="10" t="str">
        <f>IF(getCategoryLevelAsString($B202)="L0D_324785","",IF(J202="",CONCATENATE(";",EscStr(CONCATENATE("NavNode_",getCategoryLevelAsString($B202))),";",EscStr($J202),";"),CONCATENATE(";",EscStr(CONCATENATE("NavNode_",getCategoryLevelAsString($B202))),";",EscStr(J202),";")))</f>
        <v>;"NavNode_L3D_525486";"Position / Angle Sensors";</v>
      </c>
      <c r="AD202" s="10" t="str">
        <f>IF(getCategoryLevelAsString($B202)="L0D_324785","",IF(K202="",CONCATENATE(";",EscStr(CONCATENATE("NavNode_",getCategoryLevelAsString($B202))),";",EscStr($J202),";"),CONCATENATE(";",EscStr(CONCATENATE("NavNode_",getCategoryLevelAsString($B202))),";",EscStr(K202),";")))</f>
        <v>;"NavNode_L3D_525486";"Positons-/vinkelsensorer";</v>
      </c>
      <c r="AE202" s="10" t="str">
        <f>IF(getCategoryLevelAsString($B202)="L0D_324785","",IF(L202="",CONCATENATE(";",EscStr(CONCATENATE("NavNode_",getCategoryLevelAsString($B202))),";",EscStr($J202),";"),CONCATENATE(";",EscStr(CONCATENATE("NavNode_",getCategoryLevelAsString($B202))),";",EscStr(L202),";")))</f>
        <v>;"NavNode_L3D_525486";"Padėties / kampo jutikliai";</v>
      </c>
      <c r="AF202" s="10" t="str">
        <f>IF(getCategoryLevelAsString($B202)="L0D_324785","",IF(M202="",CONCATENATE(";",EscStr(CONCATENATE("NavNode_",getCategoryLevelAsString($B202))),";",EscStr($J202),";"),CONCATENATE(";",EscStr(CONCATENATE("NavNode_",getCategoryLevelAsString($B202))),";",EscStr(M202),";")))</f>
        <v>;"NavNode_L3D_525486";"Posisjon /vinkelsensorer";</v>
      </c>
      <c r="AG202" s="10" t="str">
        <f>IF(getCategoryLevelAsString($B202)="L0D_324785","",IF(N202="",CONCATENATE(";",EscStr(CONCATENATE("NavNode_",getCategoryLevelAsString($B202))),";",EscStr($J202),";"),CONCATENATE(";",EscStr(CONCATENATE("NavNode_",getCategoryLevelAsString($B202))),";",EscStr(N202),";")))</f>
        <v>;"NavNode_L3D_525486";"Positions-/Vinkelgivare";</v>
      </c>
      <c r="AH202" s="10" t="str">
        <f>IF(getCategoryLevelAsString($B202)="L0D_324785","",IF(O202="",CONCATENATE(";",EscStr(CONCATENATE("NavNode_",getCategoryLevelAsString($B202))),";",EscStr($J202),";"),CONCATENATE(";",EscStr(CONCATENATE("NavNode_",getCategoryLevelAsString($B202))),";",EscStr(O202),";")))</f>
        <v>;"NavNode_L3D_525486";"Asendi- / Nurgaandurid";</v>
      </c>
      <c r="AI202" s="10" t="str">
        <f>IF(getCategoryLevelAsString($B202)="L0D_324785","",IF(P202="",CONCATENATE(";",EscStr(CONCATENATE("NavNode_",getCategoryLevelAsString($B202))),";",EscStr($J202),";"),CONCATENATE(";",EscStr(CONCATENATE("NavNode_",getCategoryLevelAsString($B202))),";",EscStr(P202),";")))</f>
        <v>;"NavNode_L3D_525486";"Asento/Kulmaanturit";</v>
      </c>
      <c r="AJ202" s="10" t="str">
        <f>IF(getCategoryLevelAsString($B202)="L0D_324785","",IF(Q202="",CONCATENATE(";",EscStr(CONCATENATE("NavNode_",getCategoryLevelAsString($B202))),";",EscStr($J202),";"),CONCATENATE(";",EscStr(CONCATENATE("NavNode_",getCategoryLevelAsString($B202))),";",EscStr(Q202),";")))</f>
        <v>;"NavNode_L3D_525486";"Stāvokļa / leņķa sensori";</v>
      </c>
      <c r="AK202" s="10" t="str">
        <f>IF(getCategoryLevelAsString($B202)="L0D_324785","",IF(R202="",CONCATENATE(";",EscStr(CONCATENATE("NavNode_",getCategoryLevelAsString($B202))),";",EscStr($J202),";"),CONCATENATE(";",EscStr(CONCATENATE("NavNode_",getCategoryLevelAsString($B202))),";",EscStr(R202),";")))</f>
        <v>;"NavNode_L3D_525486";"Verplaatsing en hoek sensoren";</v>
      </c>
      <c r="AL202" s="10" t="str">
        <f>IF(getCategoryLevelAsString($B202)="L0D_324785","",IF(S202="",CONCATENATE(";",EscStr(CONCATENATE("NavNode_",getCategoryLevelAsString($B202))),";",EscStr($J202),";"),CONCATENATE(";",EscStr(CONCATENATE("NavNode_",getCategoryLevelAsString($B202))),";",EscStr(S202),";")))</f>
        <v>;"NavNode_L3D_525486";"Czujniki pozycji / kąta";</v>
      </c>
      <c r="AM202" s="10" t="str">
        <f>IF(getCategoryLevelAsString($B202)="L0D_324785","",IF(T202="",CONCATENATE(";",EscStr(CONCATENATE("NavNode_",getCategoryLevelAsString($B202))),";",EscStr($J202),";"),CONCATENATE(";",EscStr(CONCATENATE("NavNode_",getCategoryLevelAsString($B202))),";",EscStr(T202),";")))</f>
        <v>;"NavNode_L3D_525486";"Датчики Положения/ Угловые";</v>
      </c>
      <c r="AN202" s="10" t="str">
        <f>IF(getCategoryLevelAsString($B202)="L0D_324785","",IF(U202="",CONCATENATE(";",EscStr(CONCATENATE("NavNode_",getCategoryLevelAsString($B202))),";",EscStr($J202),";"),CONCATENATE(";",EscStr(CONCATENATE("NavNode_",getCategoryLevelAsString($B202))),";",EscStr(U202),";")))</f>
        <v>;"NavNode_L3D_525486";"Snímače pojezdu";</v>
      </c>
      <c r="AO202" s="10" t="str">
        <f>IF(getCategoryLevelAsString($B202)="L0D_324785","",IF(V202="",CONCATENATE(";",EscStr(CONCATENATE("NavNode_",getCategoryLevelAsString($B202))),";",EscStr($J202),";"),CONCATENATE(";",EscStr(CONCATENATE("NavNode_",getCategoryLevelAsString($B202))),";",EscStr(V202),";")))</f>
        <v>;"NavNode_L3D_525486";"Calea / unghi traductor";</v>
      </c>
      <c r="AP202" s="10" t="str">
        <f>IF(getCategoryLevelAsString($B202)="L0D_324785","",IF(W202="",CONCATENATE(";",EscStr(CONCATENATE("NavNode_",getCategoryLevelAsString($B202))),";",EscStr($J202),";"),CONCATENATE(";",EscStr(CONCATENATE("NavNode_",getCategoryLevelAsString($B202))),";",EscStr(W202),";")))</f>
        <v>;"NavNode_L3D_525486";"Úthossz- / Szögelfordulás-mérők";</v>
      </c>
      <c r="AQ202" s="10" t="str">
        <f>IF(getCategoryLevelAsString($B202)="L0D_324785","",IF(X202="",CONCATENATE(";",EscStr(CONCATENATE("NavNode_",getCategoryLevelAsString($B202))),";",EscStr($J202),";"),CONCATENATE(";",EscStr(CONCATENATE("NavNode_",getCategoryLevelAsString($B202))),";",EscStr(X202),";")))</f>
        <v>;"NavNode_L3D_525486";"Snímače pojezdu";</v>
      </c>
      <c r="AR202" s="8" t="str">
        <f>IF(OR($A202&lt;&gt;"", $G202=""),"",CONCATENATE(";",EscStr(CONCATENATE("NavEntry_",getCategoryLevelAsString($B202))),";",EscStr(CONCATENATE($J202," Navigation Entry")),";",EscStr(CONCATENATE("cat-",getCategoryLevelAsString($B202))),";",EscStr(CONCATENATE("NavNode_",getCategoryLevelAsString($B202))),";"))</f>
        <v>;"NavEntry_L3D_525486";"Position / Angle Sensors Navigation Entry";"cat-L3D_525486";"NavNode_L3D_525486";</v>
      </c>
    </row>
    <row r="203" spans="1:44" ht="15" x14ac:dyDescent="0.25">
      <c r="A203" s="25"/>
      <c r="B203" s="5"/>
      <c r="C203" s="5"/>
      <c r="D203" s="5" t="s">
        <v>105</v>
      </c>
      <c r="E203" s="5"/>
      <c r="F203" s="5"/>
      <c r="G203" s="5" t="s">
        <v>977</v>
      </c>
      <c r="H203" s="5" t="s">
        <v>1081</v>
      </c>
      <c r="I203" s="5" t="s">
        <v>1139</v>
      </c>
      <c r="J203" s="5" t="s">
        <v>106</v>
      </c>
      <c r="K203" s="5" t="s">
        <v>1312</v>
      </c>
      <c r="L203" s="5" t="s">
        <v>1547</v>
      </c>
      <c r="M203" s="5" t="s">
        <v>1764</v>
      </c>
      <c r="N203" s="5" t="s">
        <v>1977</v>
      </c>
      <c r="O203" s="5" t="s">
        <v>3487</v>
      </c>
      <c r="P203" s="5" t="s">
        <v>3488</v>
      </c>
      <c r="Q203" s="5" t="s">
        <v>3489</v>
      </c>
      <c r="R203" s="5" t="s">
        <v>3490</v>
      </c>
      <c r="S203" s="5" t="s">
        <v>3491</v>
      </c>
      <c r="T203" s="5" t="s">
        <v>3492</v>
      </c>
      <c r="U203" s="5" t="s">
        <v>3493</v>
      </c>
      <c r="V203" s="5" t="s">
        <v>3494</v>
      </c>
      <c r="W203" s="5" t="s">
        <v>3495</v>
      </c>
      <c r="X203" s="5" t="s">
        <v>3493</v>
      </c>
      <c r="Y203" s="10" t="str">
        <f>IF(OR($A203&lt;&gt;"", $G203=""),"",CONCATENATE(";",EscStr(CONCATENATE("NavNode_",getCategoryLevelAsString($B203))),";",EscStr($J203),";",IF($B203&lt;&gt;"","""MainNavNode""",EscStr(CONCATENATE("NavNode_",getSuperCategory($B203, getCategoryLevelAsNumber($B203))))),";"))</f>
        <v>;"NavNode_L2D_379613";"Rotary Encoders";"NavNode_Automation";</v>
      </c>
      <c r="Z203" s="10" t="str">
        <f>IF(getCategoryLevelAsString($B203)="L0D_324785","",IF(G203="",CONCATENATE(";",EscStr(CONCATENATE("NavNode_",getCategoryLevelAsString($B203))),";",EscStr($J203),";"),CONCATENATE(";",EscStr(CONCATENATE("NavNode_",getCategoryLevelAsString($B203))),";",EscStr(G203),";")))</f>
        <v>;"NavNode_L2D_379613";"Drehgeber";</v>
      </c>
      <c r="AA203" s="10" t="str">
        <f>IF(getCategoryLevelAsString($B203)="L0D_324785","",IF(H203="",CONCATENATE(";",EscStr(CONCATENATE("NavNode_",getCategoryLevelAsString($B203))),";",EscStr($J203),";"),CONCATENATE(";",EscStr(CONCATENATE("NavNode_",getCategoryLevelAsString($B203))),";",EscStr(H203),";")))</f>
        <v>;"NavNode_L2D_379613";"Codeurs incrémentaux";</v>
      </c>
      <c r="AB203" s="10" t="str">
        <f>IF(getCategoryLevelAsString($B203)="L0D_324785","",IF(I203="",CONCATENATE(";",EscStr(CONCATENATE("NavNode_",getCategoryLevelAsString($B203))),";",EscStr($J203),";"),CONCATENATE(";",EscStr(CONCATENATE("NavNode_",getCategoryLevelAsString($B203))),";",EscStr(I203),";")))</f>
        <v>;"NavNode_L2D_379613";"Trasduttori di posizione angolare";</v>
      </c>
      <c r="AC203" s="10" t="str">
        <f>IF(getCategoryLevelAsString($B203)="L0D_324785","",IF(J203="",CONCATENATE(";",EscStr(CONCATENATE("NavNode_",getCategoryLevelAsString($B203))),";",EscStr($J203),";"),CONCATENATE(";",EscStr(CONCATENATE("NavNode_",getCategoryLevelAsString($B203))),";",EscStr(J203),";")))</f>
        <v>;"NavNode_L2D_379613";"Rotary Encoders";</v>
      </c>
      <c r="AD203" s="10" t="str">
        <f>IF(getCategoryLevelAsString($B203)="L0D_324785","",IF(K203="",CONCATENATE(";",EscStr(CONCATENATE("NavNode_",getCategoryLevelAsString($B203))),";",EscStr($J203),";"),CONCATENATE(";",EscStr(CONCATENATE("NavNode_",getCategoryLevelAsString($B203))),";",EscStr(K203),";")))</f>
        <v>;"NavNode_L2D_379613";"Drejeencodere";</v>
      </c>
      <c r="AE203" s="10" t="str">
        <f>IF(getCategoryLevelAsString($B203)="L0D_324785","",IF(L203="",CONCATENATE(";",EscStr(CONCATENATE("NavNode_",getCategoryLevelAsString($B203))),";",EscStr($J203),";"),CONCATENATE(";",EscStr(CONCATENATE("NavNode_",getCategoryLevelAsString($B203))),";",EscStr(L203),";")))</f>
        <v>;"NavNode_L2D_379613";"Rotaciniai kodavimo įrenginiai";</v>
      </c>
      <c r="AF203" s="10" t="str">
        <f>IF(getCategoryLevelAsString($B203)="L0D_324785","",IF(M203="",CONCATENATE(";",EscStr(CONCATENATE("NavNode_",getCategoryLevelAsString($B203))),";",EscStr($J203),";"),CONCATENATE(";",EscStr(CONCATENATE("NavNode_",getCategoryLevelAsString($B203))),";",EscStr(M203),";")))</f>
        <v>;"NavNode_L2D_379613";"Rotasjonsgivere";</v>
      </c>
      <c r="AG203" s="10" t="str">
        <f>IF(getCategoryLevelAsString($B203)="L0D_324785","",IF(N203="",CONCATENATE(";",EscStr(CONCATENATE("NavNode_",getCategoryLevelAsString($B203))),";",EscStr($J203),";"),CONCATENATE(";",EscStr(CONCATENATE("NavNode_",getCategoryLevelAsString($B203))),";",EscStr(N203),";")))</f>
        <v>;"NavNode_L2D_379613";"Roterande pulsgivare";</v>
      </c>
      <c r="AH203" s="10" t="str">
        <f>IF(getCategoryLevelAsString($B203)="L0D_324785","",IF(O203="",CONCATENATE(";",EscStr(CONCATENATE("NavNode_",getCategoryLevelAsString($B203))),";",EscStr($J203),";"),CONCATENATE(";",EscStr(CONCATENATE("NavNode_",getCategoryLevelAsString($B203))),";",EscStr(O203),";")))</f>
        <v>;"NavNode_L2D_379613";"Pöörlevad enkoodrid";</v>
      </c>
      <c r="AI203" s="10" t="str">
        <f>IF(getCategoryLevelAsString($B203)="L0D_324785","",IF(P203="",CONCATENATE(";",EscStr(CONCATENATE("NavNode_",getCategoryLevelAsString($B203))),";",EscStr($J203),";"),CONCATENATE(";",EscStr(CONCATENATE("NavNode_",getCategoryLevelAsString($B203))),";",EscStr(P203),";")))</f>
        <v>;"NavNode_L2D_379613";"Kiertoanturit";</v>
      </c>
      <c r="AJ203" s="10" t="str">
        <f>IF(getCategoryLevelAsString($B203)="L0D_324785","",IF(Q203="",CONCATENATE(";",EscStr(CONCATENATE("NavNode_",getCategoryLevelAsString($B203))),";",EscStr($J203),";"),CONCATENATE(";",EscStr(CONCATENATE("NavNode_",getCategoryLevelAsString($B203))),";",EscStr(Q203),";")))</f>
        <v>;"NavNode_L2D_379613";"Rotācijas devēji";</v>
      </c>
      <c r="AK203" s="10" t="str">
        <f>IF(getCategoryLevelAsString($B203)="L0D_324785","",IF(R203="",CONCATENATE(";",EscStr(CONCATENATE("NavNode_",getCategoryLevelAsString($B203))),";",EscStr($J203),";"),CONCATENATE(";",EscStr(CONCATENATE("NavNode_",getCategoryLevelAsString($B203))),";",EscStr(R203),";")))</f>
        <v>;"NavNode_L2D_379613";"Rotatie encoders";</v>
      </c>
      <c r="AL203" s="10" t="str">
        <f>IF(getCategoryLevelAsString($B203)="L0D_324785","",IF(S203="",CONCATENATE(";",EscStr(CONCATENATE("NavNode_",getCategoryLevelAsString($B203))),";",EscStr($J203),";"),CONCATENATE(";",EscStr(CONCATENATE("NavNode_",getCategoryLevelAsString($B203))),";",EscStr(S203),";")))</f>
        <v>;"NavNode_L2D_379613";"Enkodery";</v>
      </c>
      <c r="AM203" s="10" t="str">
        <f>IF(getCategoryLevelAsString($B203)="L0D_324785","",IF(T203="",CONCATENATE(";",EscStr(CONCATENATE("NavNode_",getCategoryLevelAsString($B203))),";",EscStr($J203),";"),CONCATENATE(";",EscStr(CONCATENATE("NavNode_",getCategoryLevelAsString($B203))),";",EscStr(T203),";")))</f>
        <v>;"NavNode_L2D_379613";"Датчики вращения";</v>
      </c>
      <c r="AN203" s="10" t="str">
        <f>IF(getCategoryLevelAsString($B203)="L0D_324785","",IF(U203="",CONCATENATE(";",EscStr(CONCATENATE("NavNode_",getCategoryLevelAsString($B203))),";",EscStr($J203),";"),CONCATENATE(";",EscStr(CONCATENATE("NavNode_",getCategoryLevelAsString($B203))),";",EscStr(U203),";")))</f>
        <v>;"NavNode_L2D_379613";"Enkodéry";</v>
      </c>
      <c r="AO203" s="10" t="str">
        <f>IF(getCategoryLevelAsString($B203)="L0D_324785","",IF(V203="",CONCATENATE(";",EscStr(CONCATENATE("NavNode_",getCategoryLevelAsString($B203))),";",EscStr($J203),";"),CONCATENATE(";",EscStr(CONCATENATE("NavNode_",getCategoryLevelAsString($B203))),";",EscStr(V203),";")))</f>
        <v>;"NavNode_L2D_379613";"Codificator rotativ";</v>
      </c>
      <c r="AP203" s="10" t="str">
        <f>IF(getCategoryLevelAsString($B203)="L0D_324785","",IF(W203="",CONCATENATE(";",EscStr(CONCATENATE("NavNode_",getCategoryLevelAsString($B203))),";",EscStr($J203),";"),CONCATENATE(";",EscStr(CONCATENATE("NavNode_",getCategoryLevelAsString($B203))),";",EscStr(W203),";")))</f>
        <v>;"NavNode_L2D_379613";"Forgásjeladó";</v>
      </c>
      <c r="AQ203" s="10" t="str">
        <f>IF(getCategoryLevelAsString($B203)="L0D_324785","",IF(X203="",CONCATENATE(";",EscStr(CONCATENATE("NavNode_",getCategoryLevelAsString($B203))),";",EscStr($J203),";"),CONCATENATE(";",EscStr(CONCATENATE("NavNode_",getCategoryLevelAsString($B203))),";",EscStr(X203),";")))</f>
        <v>;"NavNode_L2D_379613";"Enkodéry";</v>
      </c>
      <c r="AR203" s="8" t="str">
        <f>IF(OR($A203&lt;&gt;"", $G203=""),"",CONCATENATE(";",EscStr(CONCATENATE("NavEntry_",getCategoryLevelAsString($B203))),";",EscStr(CONCATENATE($J203," Navigation Entry")),";",EscStr(CONCATENATE("cat-",getCategoryLevelAsString($B203))),";",EscStr(CONCATENATE("NavNode_",getCategoryLevelAsString($B203))),";"))</f>
        <v>;"NavEntry_L2D_379613";"Rotary Encoders Navigation Entry";"cat-L2D_379613";"NavNode_L2D_379613";</v>
      </c>
    </row>
    <row r="204" spans="1:44" ht="15" x14ac:dyDescent="0.25">
      <c r="A204" s="25"/>
      <c r="B204" s="5"/>
      <c r="C204" s="5" t="s">
        <v>38</v>
      </c>
      <c r="D204" s="5"/>
      <c r="E204" s="5"/>
      <c r="F204" s="5"/>
      <c r="G204" s="5" t="s">
        <v>342</v>
      </c>
      <c r="H204" s="5" t="s">
        <v>343</v>
      </c>
      <c r="I204" s="5" t="s">
        <v>344</v>
      </c>
      <c r="J204" s="5" t="s">
        <v>39</v>
      </c>
      <c r="K204" s="5" t="s">
        <v>1313</v>
      </c>
      <c r="L204" s="5" t="s">
        <v>1548</v>
      </c>
      <c r="M204" s="5" t="s">
        <v>1765</v>
      </c>
      <c r="N204" s="5" t="s">
        <v>1978</v>
      </c>
      <c r="O204" s="5" t="s">
        <v>3496</v>
      </c>
      <c r="P204" s="5" t="s">
        <v>3497</v>
      </c>
      <c r="Q204" s="5" t="s">
        <v>3498</v>
      </c>
      <c r="R204" s="5" t="s">
        <v>3499</v>
      </c>
      <c r="S204" s="5" t="s">
        <v>3500</v>
      </c>
      <c r="T204" s="5" t="s">
        <v>3501</v>
      </c>
      <c r="U204" s="5" t="s">
        <v>3502</v>
      </c>
      <c r="V204" s="5" t="s">
        <v>3503</v>
      </c>
      <c r="W204" s="5" t="s">
        <v>3504</v>
      </c>
      <c r="X204" s="5" t="s">
        <v>3502</v>
      </c>
      <c r="Y204" s="10" t="str">
        <f>IF(OR($A204&lt;&gt;"", $G204=""),"",CONCATENATE(";",EscStr(CONCATENATE("NavNode_",getCategoryLevelAsString($B204))),";",EscStr($J204),";",IF($B204&lt;&gt;"","""MainNavNode""",EscStr(CONCATENATE("NavNode_",getSuperCategory($B204, getCategoryLevelAsNumber($B204))))),";"))</f>
        <v>;"NavNode_L3D_525501";"Switching / Metering &amp; Counting / Monitoring / Command / Signalling Devices";"NavNode_L2D_379613";</v>
      </c>
      <c r="Z204" s="10" t="str">
        <f>IF(getCategoryLevelAsString($B204)="L0D_324785","",IF(G204="",CONCATENATE(";",EscStr(CONCATENATE("NavNode_",getCategoryLevelAsString($B204))),";",EscStr($J204),";"),CONCATENATE(";",EscStr(CONCATENATE("NavNode_",getCategoryLevelAsString($B204))),";",EscStr(G204),";")))</f>
        <v>;"NavNode_L3D_525501";"Schalt- / Mess- und Zähl- / Überwachungs- / Befehls- / Meldegeräte";</v>
      </c>
      <c r="AA204" s="10" t="str">
        <f>IF(getCategoryLevelAsString($B204)="L0D_324785","",IF(H204="",CONCATENATE(";",EscStr(CONCATENATE("NavNode_",getCategoryLevelAsString($B204))),";",EscStr($J204),";"),CONCATENATE(";",EscStr(CONCATENATE("NavNode_",getCategoryLevelAsString($B204))),";",EscStr(H204),";")))</f>
        <v>;"NavNode_L3D_525501";"Commutation / Mesure et comptage / Surveillance / Commande / Appareils de signalisation";</v>
      </c>
      <c r="AB204" s="10" t="str">
        <f>IF(getCategoryLevelAsString($B204)="L0D_324785","",IF(I204="",CONCATENATE(";",EscStr(CONCATENATE("NavNode_",getCategoryLevelAsString($B204))),";",EscStr($J204),";"),CONCATENATE(";",EscStr(CONCATENATE("NavNode_",getCategoryLevelAsString($B204))),";",EscStr(I204),";")))</f>
        <v>;"NavNode_L3D_525501";"Dispositivi di commutazione / misurazione e conteggio / monitoraggio / comando / segnalazione";</v>
      </c>
      <c r="AC204" s="10" t="str">
        <f>IF(getCategoryLevelAsString($B204)="L0D_324785","",IF(J204="",CONCATENATE(";",EscStr(CONCATENATE("NavNode_",getCategoryLevelAsString($B204))),";",EscStr($J204),";"),CONCATENATE(";",EscStr(CONCATENATE("NavNode_",getCategoryLevelAsString($B204))),";",EscStr(J204),";")))</f>
        <v>;"NavNode_L3D_525501";"Switching / Metering &amp; Counting / Monitoring / Command / Signalling Devices";</v>
      </c>
      <c r="AD204" s="10" t="str">
        <f>IF(getCategoryLevelAsString($B204)="L0D_324785","",IF(K204="",CONCATENATE(";",EscStr(CONCATENATE("NavNode_",getCategoryLevelAsString($B204))),";",EscStr($J204),";"),CONCATENATE(";",EscStr(CONCATENATE("NavNode_",getCategoryLevelAsString($B204))),";",EscStr(K204),";")))</f>
        <v>;"NavNode_L3D_525501";"Afbryder-/måle- &amp; tælle-/overvågnings-/kommando-/signalenheder";</v>
      </c>
      <c r="AE204" s="10" t="str">
        <f>IF(getCategoryLevelAsString($B204)="L0D_324785","",IF(L204="",CONCATENATE(";",EscStr(CONCATENATE("NavNode_",getCategoryLevelAsString($B204))),";",EscStr($J204),";"),CONCATENATE(";",EscStr(CONCATENATE("NavNode_",getCategoryLevelAsString($B204))),";",EscStr(L204),";")))</f>
        <v>;"NavNode_L3D_525501";"Įjungimo / matavimo ir skaičiavimo / stebėjimo / komandų / signalų siuntimo prietaisai";</v>
      </c>
      <c r="AF204" s="10" t="str">
        <f>IF(getCategoryLevelAsString($B204)="L0D_324785","",IF(M204="",CONCATENATE(";",EscStr(CONCATENATE("NavNode_",getCategoryLevelAsString($B204))),";",EscStr($J204),";"),CONCATENATE(";",EscStr(CONCATENATE("NavNode_",getCategoryLevelAsString($B204))),";",EscStr(M204),";")))</f>
        <v>;"NavNode_L3D_525501";"Bryter- / måle- og telle- / overvåknings- / kommando- / signalenheter";</v>
      </c>
      <c r="AG204" s="10" t="str">
        <f>IF(getCategoryLevelAsString($B204)="L0D_324785","",IF(N204="",CONCATENATE(";",EscStr(CONCATENATE("NavNode_",getCategoryLevelAsString($B204))),";",EscStr($J204),";"),CONCATENATE(";",EscStr(CONCATENATE("NavNode_",getCategoryLevelAsString($B204))),";",EscStr(N204),";")))</f>
        <v>;"NavNode_L3D_525501";"Enheter för växling/mätning och räkning/övervakning/styrning/signalering";</v>
      </c>
      <c r="AH204" s="10" t="str">
        <f>IF(getCategoryLevelAsString($B204)="L0D_324785","",IF(O204="",CONCATENATE(";",EscStr(CONCATENATE("NavNode_",getCategoryLevelAsString($B204))),";",EscStr($J204),";"),CONCATENATE(";",EscStr(CONCATENATE("NavNode_",getCategoryLevelAsString($B204))),";",EscStr(O204),";")))</f>
        <v>;"NavNode_L3D_525501";"Lülitid / Arvestid / Seireseadmed / Juhtseadmed / Indikaatorid";</v>
      </c>
      <c r="AI204" s="10" t="str">
        <f>IF(getCategoryLevelAsString($B204)="L0D_324785","",IF(P204="",CONCATENATE(";",EscStr(CONCATENATE("NavNode_",getCategoryLevelAsString($B204))),";",EscStr($J204),";"),CONCATENATE(";",EscStr(CONCATENATE("NavNode_",getCategoryLevelAsString($B204))),";",EscStr(P204),";")))</f>
        <v>;"NavNode_L3D_525501";"Kytkentä- / annostelu- &amp; laskenta- / seuranta- / komento- / merkinantolaitteet";</v>
      </c>
      <c r="AJ204" s="10" t="str">
        <f>IF(getCategoryLevelAsString($B204)="L0D_324785","",IF(Q204="",CONCATENATE(";",EscStr(CONCATENATE("NavNode_",getCategoryLevelAsString($B204))),";",EscStr($J204),";"),CONCATENATE(";",EscStr(CONCATENATE("NavNode_",getCategoryLevelAsString($B204))),";",EscStr(Q204),";")))</f>
        <v>;"NavNode_L3D_525501";"Komutācijas / Mērīšanas un uzskaites / Uzraudzības /  Vadības / Indikācijas ierīces";</v>
      </c>
      <c r="AK204" s="10" t="str">
        <f>IF(getCategoryLevelAsString($B204)="L0D_324785","",IF(R204="",CONCATENATE(";",EscStr(CONCATENATE("NavNode_",getCategoryLevelAsString($B204))),";",EscStr($J204),";"),CONCATENATE(";",EscStr(CONCATENATE("NavNode_",getCategoryLevelAsString($B204))),";",EscStr(R204),";")))</f>
        <v>;"NavNode_L3D_525501";"Schakelen / meten en tellen / uitlezen / besturen / signaleren";</v>
      </c>
      <c r="AL204" s="10" t="str">
        <f>IF(getCategoryLevelAsString($B204)="L0D_324785","",IF(S204="",CONCATENATE(";",EscStr(CONCATENATE("NavNode_",getCategoryLevelAsString($B204))),";",EscStr($J204),";"),CONCATENATE(";",EscStr(CONCATENATE("NavNode_",getCategoryLevelAsString($B204))),";",EscStr(S204),";")))</f>
        <v>;"NavNode_L3D_525501";"Przełączanie / Pomiary i zliczanie / Monitorowanie /Sterowanie / Urządzenia sygnalizujące";</v>
      </c>
      <c r="AM204" s="10" t="str">
        <f>IF(getCategoryLevelAsString($B204)="L0D_324785","",IF(T204="",CONCATENATE(";",EscStr(CONCATENATE("NavNode_",getCategoryLevelAsString($B204))),";",EscStr($J204),";"),CONCATENATE(";",EscStr(CONCATENATE("NavNode_",getCategoryLevelAsString($B204))),";",EscStr(T204),";")))</f>
        <v>;"NavNode_L3D_525501";"Переключение / Измерительные &amp; Контроль / Мониторинг / Команда / Сигнальные устройства";</v>
      </c>
      <c r="AN204" s="10" t="str">
        <f>IF(getCategoryLevelAsString($B204)="L0D_324785","",IF(U204="",CONCATENATE(";",EscStr(CONCATENATE("NavNode_",getCategoryLevelAsString($B204))),";",EscStr($J204),";"),CONCATENATE(";",EscStr(CONCATENATE("NavNode_",getCategoryLevelAsString($B204))),";",EscStr(U204),";")))</f>
        <v>;"NavNode_L3D_525501";"Spínací / Měřicí a počítací / Monitorováncí / Příkazové / Signalizační přístroje";</v>
      </c>
      <c r="AO204" s="10" t="str">
        <f>IF(getCategoryLevelAsString($B204)="L0D_324785","",IF(V204="",CONCATENATE(";",EscStr(CONCATENATE("NavNode_",getCategoryLevelAsString($B204))),";",EscStr($J204),";"),CONCATENATE(";",EscStr(CONCATENATE("NavNode_",getCategoryLevelAsString($B204))),";",EscStr(V204),";")))</f>
        <v>;"NavNode_L3D_525501";"Comutare / de măsurare şi numărătoare / monitorizare / comanda / semnalizare";</v>
      </c>
      <c r="AP204" s="10" t="str">
        <f>IF(getCategoryLevelAsString($B204)="L0D_324785","",IF(W204="",CONCATENATE(";",EscStr(CONCATENATE("NavNode_",getCategoryLevelAsString($B204))),";",EscStr($J204),";"),CONCATENATE(";",EscStr(CONCATENATE("NavNode_",getCategoryLevelAsString($B204))),";",EscStr(W204),";")))</f>
        <v>;"NavNode_L3D_525501";"Kapcsoló- / Mérő- és számláló- / Felügyeleti- / Parancsbeviteli- / Jelzőeszközök";</v>
      </c>
      <c r="AQ204" s="10" t="str">
        <f>IF(getCategoryLevelAsString($B204)="L0D_324785","",IF(X204="",CONCATENATE(";",EscStr(CONCATENATE("NavNode_",getCategoryLevelAsString($B204))),";",EscStr($J204),";"),CONCATENATE(";",EscStr(CONCATENATE("NavNode_",getCategoryLevelAsString($B204))),";",EscStr(X204),";")))</f>
        <v>;"NavNode_L3D_525501";"Spínací / Měřicí a počítací / Monitorováncí / Příkazové / Signalizační přístroje";</v>
      </c>
      <c r="AR204" s="8" t="str">
        <f>IF(OR($A204&lt;&gt;"", $G204=""),"",CONCATENATE(";",EscStr(CONCATENATE("NavEntry_",getCategoryLevelAsString($B204))),";",EscStr(CONCATENATE($J204," Navigation Entry")),";",EscStr(CONCATENATE("cat-",getCategoryLevelAsString($B204))),";",EscStr(CONCATENATE("NavNode_",getCategoryLevelAsString($B204))),";"))</f>
        <v>;"NavEntry_L3D_525501";"Switching / Metering &amp; Counting / Monitoring / Command / Signalling Devices Navigation Entry";"cat-L3D_525501";"NavNode_L3D_525501";</v>
      </c>
    </row>
    <row r="205" spans="1:44" ht="15" x14ac:dyDescent="0.25">
      <c r="A205" s="25"/>
      <c r="B205" s="5"/>
      <c r="C205" s="5"/>
      <c r="D205" s="5" t="s">
        <v>125</v>
      </c>
      <c r="E205" s="5"/>
      <c r="F205" s="5"/>
      <c r="G205" s="5" t="s">
        <v>978</v>
      </c>
      <c r="H205" s="5" t="s">
        <v>1082</v>
      </c>
      <c r="I205" s="5" t="s">
        <v>1140</v>
      </c>
      <c r="J205" s="5" t="s">
        <v>126</v>
      </c>
      <c r="K205" s="5" t="s">
        <v>1314</v>
      </c>
      <c r="L205" s="5" t="s">
        <v>1549</v>
      </c>
      <c r="M205" s="5" t="s">
        <v>1766</v>
      </c>
      <c r="N205" s="5" t="s">
        <v>1979</v>
      </c>
      <c r="O205" s="5" t="s">
        <v>3505</v>
      </c>
      <c r="P205" s="5" t="s">
        <v>3506</v>
      </c>
      <c r="Q205" s="5" t="s">
        <v>3507</v>
      </c>
      <c r="R205" s="5" t="s">
        <v>3508</v>
      </c>
      <c r="S205" s="5" t="s">
        <v>3509</v>
      </c>
      <c r="T205" s="5" t="s">
        <v>3510</v>
      </c>
      <c r="U205" s="5" t="s">
        <v>3511</v>
      </c>
      <c r="V205" s="5" t="s">
        <v>3512</v>
      </c>
      <c r="W205" s="5" t="s">
        <v>3513</v>
      </c>
      <c r="X205" s="5" t="s">
        <v>3511</v>
      </c>
      <c r="Y205" s="10" t="str">
        <f>IF(OR($A205&lt;&gt;"", $G205=""),"",CONCATENATE(";",EscStr(CONCATENATE("NavNode_",getCategoryLevelAsString($B205))),";",EscStr($J205),";",IF($B205&lt;&gt;"","""MainNavNode""",EscStr(CONCATENATE("NavNode_",getSuperCategory($B205, getCategoryLevelAsNumber($B205))))),";"))</f>
        <v>;"NavNode_L3D_525502";"Time Lag Relays";"NavNode_L2D_379613";</v>
      </c>
      <c r="Z205" s="10" t="str">
        <f>IF(getCategoryLevelAsString($B205)="L0D_324785","",IF(G205="",CONCATENATE(";",EscStr(CONCATENATE("NavNode_",getCategoryLevelAsString($B205))),";",EscStr($J205),";"),CONCATENATE(";",EscStr(CONCATENATE("NavNode_",getCategoryLevelAsString($B205))),";",EscStr(G205),";")))</f>
        <v>;"NavNode_L3D_525502";"Zeitrelais";</v>
      </c>
      <c r="AA205" s="10" t="str">
        <f>IF(getCategoryLevelAsString($B205)="L0D_324785","",IF(H205="",CONCATENATE(";",EscStr(CONCATENATE("NavNode_",getCategoryLevelAsString($B205))),";",EscStr($J205),";"),CONCATENATE(";",EscStr(CONCATENATE("NavNode_",getCategoryLevelAsString($B205))),";",EscStr(H205),";")))</f>
        <v>;"NavNode_L3D_525502";"Relais temporisés";</v>
      </c>
      <c r="AB205" s="10" t="str">
        <f>IF(getCategoryLevelAsString($B205)="L0D_324785","",IF(I205="",CONCATENATE(";",EscStr(CONCATENATE("NavNode_",getCategoryLevelAsString($B205))),";",EscStr($J205),";"),CONCATENATE(";",EscStr(CONCATENATE("NavNode_",getCategoryLevelAsString($B205))),";",EscStr(I205),";")))</f>
        <v>;"NavNode_L3D_525502";"Relè a tempo";</v>
      </c>
      <c r="AC205" s="10" t="str">
        <f>IF(getCategoryLevelAsString($B205)="L0D_324785","",IF(J205="",CONCATENATE(";",EscStr(CONCATENATE("NavNode_",getCategoryLevelAsString($B205))),";",EscStr($J205),";"),CONCATENATE(";",EscStr(CONCATENATE("NavNode_",getCategoryLevelAsString($B205))),";",EscStr(J205),";")))</f>
        <v>;"NavNode_L3D_525502";"Time Lag Relays";</v>
      </c>
      <c r="AD205" s="10" t="str">
        <f>IF(getCategoryLevelAsString($B205)="L0D_324785","",IF(K205="",CONCATENATE(";",EscStr(CONCATENATE("NavNode_",getCategoryLevelAsString($B205))),";",EscStr($J205),";"),CONCATENATE(";",EscStr(CONCATENATE("NavNode_",getCategoryLevelAsString($B205))),";",EscStr(K205),";")))</f>
        <v>;"NavNode_L3D_525502";"Tidsrelæer";</v>
      </c>
      <c r="AE205" s="10" t="str">
        <f>IF(getCategoryLevelAsString($B205)="L0D_324785","",IF(L205="",CONCATENATE(";",EscStr(CONCATENATE("NavNode_",getCategoryLevelAsString($B205))),";",EscStr($J205),";"),CONCATENATE(";",EscStr(CONCATENATE("NavNode_",getCategoryLevelAsString($B205))),";",EscStr(L205),";")))</f>
        <v>;"NavNode_L3D_525502";"Laiko uždelsimo relės";</v>
      </c>
      <c r="AF205" s="10" t="str">
        <f>IF(getCategoryLevelAsString($B205)="L0D_324785","",IF(M205="",CONCATENATE(";",EscStr(CONCATENATE("NavNode_",getCategoryLevelAsString($B205))),";",EscStr($J205),";"),CONCATENATE(";",EscStr(CONCATENATE("NavNode_",getCategoryLevelAsString($B205))),";",EscStr(M205),";")))</f>
        <v>;"NavNode_L3D_525502";"Tidsreléer";</v>
      </c>
      <c r="AG205" s="10" t="str">
        <f>IF(getCategoryLevelAsString($B205)="L0D_324785","",IF(N205="",CONCATENATE(";",EscStr(CONCATENATE("NavNode_",getCategoryLevelAsString($B205))),";",EscStr($J205),";"),CONCATENATE(";",EscStr(CONCATENATE("NavNode_",getCategoryLevelAsString($B205))),";",EscStr(N205),";")))</f>
        <v>;"NavNode_L3D_525502";"Tidsfördröjningsreläer";</v>
      </c>
      <c r="AH205" s="10" t="str">
        <f>IF(getCategoryLevelAsString($B205)="L0D_324785","",IF(O205="",CONCATENATE(";",EscStr(CONCATENATE("NavNode_",getCategoryLevelAsString($B205))),";",EscStr($J205),";"),CONCATENATE(";",EscStr(CONCATENATE("NavNode_",getCategoryLevelAsString($B205))),";",EscStr(O205),";")))</f>
        <v>;"NavNode_L3D_525502";"Viitereleed";</v>
      </c>
      <c r="AI205" s="10" t="str">
        <f>IF(getCategoryLevelAsString($B205)="L0D_324785","",IF(P205="",CONCATENATE(";",EscStr(CONCATENATE("NavNode_",getCategoryLevelAsString($B205))),";",EscStr($J205),";"),CONCATENATE(";",EscStr(CONCATENATE("NavNode_",getCategoryLevelAsString($B205))),";",EscStr(P205),";")))</f>
        <v>;"NavNode_L3D_525502";"Viivereleet";</v>
      </c>
      <c r="AJ205" s="10" t="str">
        <f>IF(getCategoryLevelAsString($B205)="L0D_324785","",IF(Q205="",CONCATENATE(";",EscStr(CONCATENATE("NavNode_",getCategoryLevelAsString($B205))),";",EscStr($J205),";"),CONCATENATE(";",EscStr(CONCATENATE("NavNode_",getCategoryLevelAsString($B205))),";",EscStr(Q205),";")))</f>
        <v>;"NavNode_L3D_525502";"Laika releji";</v>
      </c>
      <c r="AK205" s="10" t="str">
        <f>IF(getCategoryLevelAsString($B205)="L0D_324785","",IF(R205="",CONCATENATE(";",EscStr(CONCATENATE("NavNode_",getCategoryLevelAsString($B205))),";",EscStr($J205),";"),CONCATENATE(";",EscStr(CONCATENATE("NavNode_",getCategoryLevelAsString($B205))),";",EscStr(R205),";")))</f>
        <v>;"NavNode_L3D_525502";"Vertragingsrelais";</v>
      </c>
      <c r="AL205" s="10" t="str">
        <f>IF(getCategoryLevelAsString($B205)="L0D_324785","",IF(S205="",CONCATENATE(";",EscStr(CONCATENATE("NavNode_",getCategoryLevelAsString($B205))),";",EscStr($J205),";"),CONCATENATE(";",EscStr(CONCATENATE("NavNode_",getCategoryLevelAsString($B205))),";",EscStr(S205),";")))</f>
        <v>;"NavNode_L3D_525502";"Przekaźniki czasowe";</v>
      </c>
      <c r="AM205" s="10" t="str">
        <f>IF(getCategoryLevelAsString($B205)="L0D_324785","",IF(T205="",CONCATENATE(";",EscStr(CONCATENATE("NavNode_",getCategoryLevelAsString($B205))),";",EscStr($J205),";"),CONCATENATE(";",EscStr(CONCATENATE("NavNode_",getCategoryLevelAsString($B205))),";",EscStr(T205),";")))</f>
        <v>;"NavNode_L3D_525502";"Реле задержки времени";</v>
      </c>
      <c r="AN205" s="10" t="str">
        <f>IF(getCategoryLevelAsString($B205)="L0D_324785","",IF(U205="",CONCATENATE(";",EscStr(CONCATENATE("NavNode_",getCategoryLevelAsString($B205))),";",EscStr($J205),";"),CONCATENATE(";",EscStr(CONCATENATE("NavNode_",getCategoryLevelAsString($B205))),";",EscStr(U205),";")))</f>
        <v>;"NavNode_L3D_525502";"Časové relé";</v>
      </c>
      <c r="AO205" s="10" t="str">
        <f>IF(getCategoryLevelAsString($B205)="L0D_324785","",IF(V205="",CONCATENATE(";",EscStr(CONCATENATE("NavNode_",getCategoryLevelAsString($B205))),";",EscStr($J205),";"),CONCATENATE(";",EscStr(CONCATENATE("NavNode_",getCategoryLevelAsString($B205))),";",EscStr(V205),";")))</f>
        <v>;"NavNode_L3D_525502";"Releu de timp";</v>
      </c>
      <c r="AP205" s="10" t="str">
        <f>IF(getCategoryLevelAsString($B205)="L0D_324785","",IF(W205="",CONCATENATE(";",EscStr(CONCATENATE("NavNode_",getCategoryLevelAsString($B205))),";",EscStr($J205),";"),CONCATENATE(";",EscStr(CONCATENATE("NavNode_",getCategoryLevelAsString($B205))),";",EscStr(W205),";")))</f>
        <v>;"NavNode_L3D_525502";"Időrelék";</v>
      </c>
      <c r="AQ205" s="10" t="str">
        <f>IF(getCategoryLevelAsString($B205)="L0D_324785","",IF(X205="",CONCATENATE(";",EscStr(CONCATENATE("NavNode_",getCategoryLevelAsString($B205))),";",EscStr($J205),";"),CONCATENATE(";",EscStr(CONCATENATE("NavNode_",getCategoryLevelAsString($B205))),";",EscStr(X205),";")))</f>
        <v>;"NavNode_L3D_525502";"Časové relé";</v>
      </c>
      <c r="AR205" s="8" t="str">
        <f>IF(OR($A205&lt;&gt;"", $G205=""),"",CONCATENATE(";",EscStr(CONCATENATE("NavEntry_",getCategoryLevelAsString($B205))),";",EscStr(CONCATENATE($J205," Navigation Entry")),";",EscStr(CONCATENATE("cat-",getCategoryLevelAsString($B205))),";",EscStr(CONCATENATE("NavNode_",getCategoryLevelAsString($B205))),";"))</f>
        <v>;"NavEntry_L3D_525502";"Time Lag Relays Navigation Entry";"cat-L3D_525502";"NavNode_L3D_525502";</v>
      </c>
    </row>
    <row r="206" spans="1:44" ht="15" x14ac:dyDescent="0.25">
      <c r="A206" s="25"/>
      <c r="B206" s="5"/>
      <c r="C206" s="5"/>
      <c r="D206" s="5" t="s">
        <v>113</v>
      </c>
      <c r="E206" s="5"/>
      <c r="F206" s="5"/>
      <c r="G206" s="5" t="s">
        <v>345</v>
      </c>
      <c r="H206" s="5" t="s">
        <v>346</v>
      </c>
      <c r="I206" s="5" t="s">
        <v>347</v>
      </c>
      <c r="J206" s="5" t="s">
        <v>114</v>
      </c>
      <c r="K206" s="5" t="s">
        <v>1315</v>
      </c>
      <c r="L206" s="5" t="s">
        <v>1550</v>
      </c>
      <c r="M206" s="5" t="s">
        <v>1767</v>
      </c>
      <c r="N206" s="5" t="s">
        <v>1980</v>
      </c>
      <c r="O206" s="5" t="s">
        <v>3514</v>
      </c>
      <c r="P206" s="5" t="s">
        <v>3515</v>
      </c>
      <c r="Q206" s="5" t="s">
        <v>3516</v>
      </c>
      <c r="R206" s="5" t="s">
        <v>3517</v>
      </c>
      <c r="S206" s="5" t="s">
        <v>3518</v>
      </c>
      <c r="T206" s="5" t="s">
        <v>3519</v>
      </c>
      <c r="U206" s="5" t="s">
        <v>3520</v>
      </c>
      <c r="V206" s="5" t="s">
        <v>3521</v>
      </c>
      <c r="W206" s="5" t="s">
        <v>3522</v>
      </c>
      <c r="X206" s="5" t="s">
        <v>3520</v>
      </c>
      <c r="Y206" s="10" t="str">
        <f>IF(OR($A206&lt;&gt;"", $G206=""),"",CONCATENATE(";",EscStr(CONCATENATE("NavNode_",getCategoryLevelAsString($B206))),";",EscStr($J206),";",IF($B206&lt;&gt;"","""MainNavNode""",EscStr(CONCATENATE("NavNode_",getSuperCategory($B206, getCategoryLevelAsNumber($B206))))),";"))</f>
        <v>;"NavNode_L3D_525503";"Clock Relays";"NavNode_L2D_379613";</v>
      </c>
      <c r="Z206" s="10" t="str">
        <f>IF(getCategoryLevelAsString($B206)="L0D_324785","",IF(G206="",CONCATENATE(";",EscStr(CONCATENATE("NavNode_",getCategoryLevelAsString($B206))),";",EscStr($J206),";"),CONCATENATE(";",EscStr(CONCATENATE("NavNode_",getCategoryLevelAsString($B206))),";",EscStr(G206),";")))</f>
        <v>;"NavNode_L3D_525503";"Schaltuhren";</v>
      </c>
      <c r="AA206" s="10" t="str">
        <f>IF(getCategoryLevelAsString($B206)="L0D_324785","",IF(H206="",CONCATENATE(";",EscStr(CONCATENATE("NavNode_",getCategoryLevelAsString($B206))),";",EscStr($J206),";"),CONCATENATE(";",EscStr(CONCATENATE("NavNode_",getCategoryLevelAsString($B206))),";",EscStr(H206),";")))</f>
        <v>;"NavNode_L3D_525503";"Minuteries";</v>
      </c>
      <c r="AB206" s="10" t="str">
        <f>IF(getCategoryLevelAsString($B206)="L0D_324785","",IF(I206="",CONCATENATE(";",EscStr(CONCATENATE("NavNode_",getCategoryLevelAsString($B206))),";",EscStr($J206),";"),CONCATENATE(";",EscStr(CONCATENATE("NavNode_",getCategoryLevelAsString($B206))),";",EscStr(I206),";")))</f>
        <v>;"NavNode_L3D_525503";"Temporizzatori";</v>
      </c>
      <c r="AC206" s="10" t="str">
        <f>IF(getCategoryLevelAsString($B206)="L0D_324785","",IF(J206="",CONCATENATE(";",EscStr(CONCATENATE("NavNode_",getCategoryLevelAsString($B206))),";",EscStr($J206),";"),CONCATENATE(";",EscStr(CONCATENATE("NavNode_",getCategoryLevelAsString($B206))),";",EscStr(J206),";")))</f>
        <v>;"NavNode_L3D_525503";"Clock Relays";</v>
      </c>
      <c r="AD206" s="10" t="str">
        <f>IF(getCategoryLevelAsString($B206)="L0D_324785","",IF(K206="",CONCATENATE(";",EscStr(CONCATENATE("NavNode_",getCategoryLevelAsString($B206))),";",EscStr($J206),";"),CONCATENATE(";",EscStr(CONCATENATE("NavNode_",getCategoryLevelAsString($B206))),";",EscStr(K206),";")))</f>
        <v>;"NavNode_L3D_525503";"Kontakture";</v>
      </c>
      <c r="AE206" s="10" t="str">
        <f>IF(getCategoryLevelAsString($B206)="L0D_324785","",IF(L206="",CONCATENATE(";",EscStr(CONCATENATE("NavNode_",getCategoryLevelAsString($B206))),";",EscStr($J206),";"),CONCATENATE(";",EscStr(CONCATENATE("NavNode_",getCategoryLevelAsString($B206))),";",EscStr(L206),";")))</f>
        <v>;"NavNode_L3D_525503";"Laikrodžių relės";</v>
      </c>
      <c r="AF206" s="10" t="str">
        <f>IF(getCategoryLevelAsString($B206)="L0D_324785","",IF(M206="",CONCATENATE(";",EscStr(CONCATENATE("NavNode_",getCategoryLevelAsString($B206))),";",EscStr($J206),";"),CONCATENATE(";",EscStr(CONCATENATE("NavNode_",getCategoryLevelAsString($B206))),";",EscStr(M206),";")))</f>
        <v>;"NavNode_L3D_525503";"Koblingsur";</v>
      </c>
      <c r="AG206" s="10" t="str">
        <f>IF(getCategoryLevelAsString($B206)="L0D_324785","",IF(N206="",CONCATENATE(";",EscStr(CONCATENATE("NavNode_",getCategoryLevelAsString($B206))),";",EscStr($J206),";"),CONCATENATE(";",EscStr(CONCATENATE("NavNode_",getCategoryLevelAsString($B206))),";",EscStr(N206),";")))</f>
        <v>;"NavNode_L3D_525503";"Klockreläer";</v>
      </c>
      <c r="AH206" s="10" t="str">
        <f>IF(getCategoryLevelAsString($B206)="L0D_324785","",IF(O206="",CONCATENATE(";",EscStr(CONCATENATE("NavNode_",getCategoryLevelAsString($B206))),";",EscStr($J206),";"),CONCATENATE(";",EscStr(CONCATENATE("NavNode_",getCategoryLevelAsString($B206))),";",EscStr(O206),";")))</f>
        <v>;"NavNode_L3D_525503";"Aegreleed";</v>
      </c>
      <c r="AI206" s="10" t="str">
        <f>IF(getCategoryLevelAsString($B206)="L0D_324785","",IF(P206="",CONCATENATE(";",EscStr(CONCATENATE("NavNode_",getCategoryLevelAsString($B206))),";",EscStr($J206),";"),CONCATENATE(";",EscStr(CONCATENATE("NavNode_",getCategoryLevelAsString($B206))),";",EscStr(P206),";")))</f>
        <v>;"NavNode_L3D_525503";"Kelloreleet";</v>
      </c>
      <c r="AJ206" s="10" t="str">
        <f>IF(getCategoryLevelAsString($B206)="L0D_324785","",IF(Q206="",CONCATENATE(";",EscStr(CONCATENATE("NavNode_",getCategoryLevelAsString($B206))),";",EscStr($J206),";"),CONCATENATE(";",EscStr(CONCATENATE("NavNode_",getCategoryLevelAsString($B206))),";",EscStr(Q206),";")))</f>
        <v>;"NavNode_L3D_525503";"Pulksteņa releji";</v>
      </c>
      <c r="AK206" s="10" t="str">
        <f>IF(getCategoryLevelAsString($B206)="L0D_324785","",IF(R206="",CONCATENATE(";",EscStr(CONCATENATE("NavNode_",getCategoryLevelAsString($B206))),";",EscStr($J206),";"),CONCATENATE(";",EscStr(CONCATENATE("NavNode_",getCategoryLevelAsString($B206))),";",EscStr(R206),";")))</f>
        <v>;"NavNode_L3D_525503";"Schakelklokken";</v>
      </c>
      <c r="AL206" s="10" t="str">
        <f>IF(getCategoryLevelAsString($B206)="L0D_324785","",IF(S206="",CONCATENATE(";",EscStr(CONCATENATE("NavNode_",getCategoryLevelAsString($B206))),";",EscStr($J206),";"),CONCATENATE(";",EscStr(CONCATENATE("NavNode_",getCategoryLevelAsString($B206))),";",EscStr(S206),";")))</f>
        <v>;"NavNode_L3D_525503";"Zegary sterujące";</v>
      </c>
      <c r="AM206" s="10" t="str">
        <f>IF(getCategoryLevelAsString($B206)="L0D_324785","",IF(T206="",CONCATENATE(";",EscStr(CONCATENATE("NavNode_",getCategoryLevelAsString($B206))),";",EscStr($J206),";"),CONCATENATE(";",EscStr(CONCATENATE("NavNode_",getCategoryLevelAsString($B206))),";",EscStr(T206),";")))</f>
        <v>;"NavNode_L3D_525503";"Реле времени";</v>
      </c>
      <c r="AN206" s="10" t="str">
        <f>IF(getCategoryLevelAsString($B206)="L0D_324785","",IF(U206="",CONCATENATE(";",EscStr(CONCATENATE("NavNode_",getCategoryLevelAsString($B206))),";",EscStr($J206),";"),CONCATENATE(";",EscStr(CONCATENATE("NavNode_",getCategoryLevelAsString($B206))),";",EscStr(U206),";")))</f>
        <v>;"NavNode_L3D_525503";"Časovač";</v>
      </c>
      <c r="AO206" s="10" t="str">
        <f>IF(getCategoryLevelAsString($B206)="L0D_324785","",IF(V206="",CONCATENATE(";",EscStr(CONCATENATE("NavNode_",getCategoryLevelAsString($B206))),";",EscStr($J206),";"),CONCATENATE(";",EscStr(CONCATENATE("NavNode_",getCategoryLevelAsString($B206))),";",EscStr(V206),";")))</f>
        <v>;"NavNode_L3D_525503";"Comutatoare de timp";</v>
      </c>
      <c r="AP206" s="10" t="str">
        <f>IF(getCategoryLevelAsString($B206)="L0D_324785","",IF(W206="",CONCATENATE(";",EscStr(CONCATENATE("NavNode_",getCategoryLevelAsString($B206))),";",EscStr($J206),";"),CONCATENATE(";",EscStr(CONCATENATE("NavNode_",getCategoryLevelAsString($B206))),";",EscStr(W206),";")))</f>
        <v>;"NavNode_L3D_525503";"Kapcsolóórák";</v>
      </c>
      <c r="AQ206" s="10" t="str">
        <f>IF(getCategoryLevelAsString($B206)="L0D_324785","",IF(X206="",CONCATENATE(";",EscStr(CONCATENATE("NavNode_",getCategoryLevelAsString($B206))),";",EscStr($J206),";"),CONCATENATE(";",EscStr(CONCATENATE("NavNode_",getCategoryLevelAsString($B206))),";",EscStr(X206),";")))</f>
        <v>;"NavNode_L3D_525503";"Časovač";</v>
      </c>
      <c r="AR206" s="8" t="str">
        <f>IF(OR($A206&lt;&gt;"", $G206=""),"",CONCATENATE(";",EscStr(CONCATENATE("NavEntry_",getCategoryLevelAsString($B206))),";",EscStr(CONCATENATE($J206," Navigation Entry")),";",EscStr(CONCATENATE("cat-",getCategoryLevelAsString($B206))),";",EscStr(CONCATENATE("NavNode_",getCategoryLevelAsString($B206))),";"))</f>
        <v>;"NavEntry_L3D_525503";"Clock Relays Navigation Entry";"cat-L3D_525503";"NavNode_L3D_525503";</v>
      </c>
    </row>
    <row r="207" spans="1:44" ht="15" x14ac:dyDescent="0.25">
      <c r="A207" s="25"/>
      <c r="B207" s="5"/>
      <c r="C207" s="5"/>
      <c r="D207" s="5" t="s">
        <v>119</v>
      </c>
      <c r="E207" s="5"/>
      <c r="F207" s="5"/>
      <c r="G207" s="5" t="s">
        <v>354</v>
      </c>
      <c r="H207" s="5" t="s">
        <v>355</v>
      </c>
      <c r="I207" s="5" t="s">
        <v>356</v>
      </c>
      <c r="J207" s="5" t="s">
        <v>120</v>
      </c>
      <c r="K207" s="5" t="s">
        <v>1316</v>
      </c>
      <c r="L207" s="5" t="s">
        <v>1551</v>
      </c>
      <c r="M207" s="5" t="s">
        <v>1768</v>
      </c>
      <c r="N207" s="5" t="s">
        <v>1981</v>
      </c>
      <c r="O207" s="5" t="s">
        <v>3523</v>
      </c>
      <c r="P207" s="5" t="s">
        <v>3524</v>
      </c>
      <c r="Q207" s="5" t="s">
        <v>3525</v>
      </c>
      <c r="R207" s="5" t="s">
        <v>120</v>
      </c>
      <c r="S207" s="5" t="s">
        <v>3526</v>
      </c>
      <c r="T207" s="5" t="s">
        <v>3527</v>
      </c>
      <c r="U207" s="5" t="s">
        <v>3528</v>
      </c>
      <c r="V207" s="5" t="s">
        <v>3529</v>
      </c>
      <c r="W207" s="5" t="s">
        <v>3530</v>
      </c>
      <c r="X207" s="5" t="s">
        <v>3528</v>
      </c>
      <c r="Y207" s="10" t="str">
        <f>IF(OR($A207&lt;&gt;"", $G207=""),"",CONCATENATE(";",EscStr(CONCATENATE("NavNode_",getCategoryLevelAsString($B207))),";",EscStr($J207),";",IF($B207&lt;&gt;"","""MainNavNode""",EscStr(CONCATENATE("NavNode_",getSuperCategory($B207, getCategoryLevelAsNumber($B207))))),";"))</f>
        <v>;"NavNode_L3D_525504";"Meters";"NavNode_L2D_379613";</v>
      </c>
      <c r="Z207" s="10" t="str">
        <f>IF(getCategoryLevelAsString($B207)="L0D_324785","",IF(G207="",CONCATENATE(";",EscStr(CONCATENATE("NavNode_",getCategoryLevelAsString($B207))),";",EscStr($J207),";"),CONCATENATE(";",EscStr(CONCATENATE("NavNode_",getCategoryLevelAsString($B207))),";",EscStr(G207),";")))</f>
        <v>;"NavNode_L3D_525504";"Zähler";</v>
      </c>
      <c r="AA207" s="10" t="str">
        <f>IF(getCategoryLevelAsString($B207)="L0D_324785","",IF(H207="",CONCATENATE(";",EscStr(CONCATENATE("NavNode_",getCategoryLevelAsString($B207))),";",EscStr($J207),";"),CONCATENATE(";",EscStr(CONCATENATE("NavNode_",getCategoryLevelAsString($B207))),";",EscStr(H207),";")))</f>
        <v>;"NavNode_L3D_525504";"Compteurs";</v>
      </c>
      <c r="AB207" s="10" t="str">
        <f>IF(getCategoryLevelAsString($B207)="L0D_324785","",IF(I207="",CONCATENATE(";",EscStr(CONCATENATE("NavNode_",getCategoryLevelAsString($B207))),";",EscStr($J207),";"),CONCATENATE(";",EscStr(CONCATENATE("NavNode_",getCategoryLevelAsString($B207))),";",EscStr(I207),";")))</f>
        <v>;"NavNode_L3D_525504";"Contatori";</v>
      </c>
      <c r="AC207" s="10" t="str">
        <f>IF(getCategoryLevelAsString($B207)="L0D_324785","",IF(J207="",CONCATENATE(";",EscStr(CONCATENATE("NavNode_",getCategoryLevelAsString($B207))),";",EscStr($J207),";"),CONCATENATE(";",EscStr(CONCATENATE("NavNode_",getCategoryLevelAsString($B207))),";",EscStr(J207),";")))</f>
        <v>;"NavNode_L3D_525504";"Meters";</v>
      </c>
      <c r="AD207" s="10" t="str">
        <f>IF(getCategoryLevelAsString($B207)="L0D_324785","",IF(K207="",CONCATENATE(";",EscStr(CONCATENATE("NavNode_",getCategoryLevelAsString($B207))),";",EscStr($J207),";"),CONCATENATE(";",EscStr(CONCATENATE("NavNode_",getCategoryLevelAsString($B207))),";",EscStr(K207),";")))</f>
        <v>;"NavNode_L3D_525504";"Målere";</v>
      </c>
      <c r="AE207" s="10" t="str">
        <f>IF(getCategoryLevelAsString($B207)="L0D_324785","",IF(L207="",CONCATENATE(";",EscStr(CONCATENATE("NavNode_",getCategoryLevelAsString($B207))),";",EscStr($J207),";"),CONCATENATE(";",EscStr(CONCATENATE("NavNode_",getCategoryLevelAsString($B207))),";",EscStr(L207),";")))</f>
        <v>;"NavNode_L3D_525504";"Matuokliai";</v>
      </c>
      <c r="AF207" s="10" t="str">
        <f>IF(getCategoryLevelAsString($B207)="L0D_324785","",IF(M207="",CONCATENATE(";",EscStr(CONCATENATE("NavNode_",getCategoryLevelAsString($B207))),";",EscStr($J207),";"),CONCATENATE(";",EscStr(CONCATENATE("NavNode_",getCategoryLevelAsString($B207))),";",EscStr(M207),";")))</f>
        <v>;"NavNode_L3D_525504";"Instrumenter";</v>
      </c>
      <c r="AG207" s="10" t="str">
        <f>IF(getCategoryLevelAsString($B207)="L0D_324785","",IF(N207="",CONCATENATE(";",EscStr(CONCATENATE("NavNode_",getCategoryLevelAsString($B207))),";",EscStr($J207),";"),CONCATENATE(";",EscStr(CONCATENATE("NavNode_",getCategoryLevelAsString($B207))),";",EscStr(N207),";")))</f>
        <v>;"NavNode_L3D_525504";"Mätare";</v>
      </c>
      <c r="AH207" s="10" t="str">
        <f>IF(getCategoryLevelAsString($B207)="L0D_324785","",IF(O207="",CONCATENATE(";",EscStr(CONCATENATE("NavNode_",getCategoryLevelAsString($B207))),";",EscStr($J207),";"),CONCATENATE(";",EscStr(CONCATENATE("NavNode_",getCategoryLevelAsString($B207))),";",EscStr(O207),";")))</f>
        <v>;"NavNode_L3D_525504";"Arvestid";</v>
      </c>
      <c r="AI207" s="10" t="str">
        <f>IF(getCategoryLevelAsString($B207)="L0D_324785","",IF(P207="",CONCATENATE(";",EscStr(CONCATENATE("NavNode_",getCategoryLevelAsString($B207))),";",EscStr($J207),";"),CONCATENATE(";",EscStr(CONCATENATE("NavNode_",getCategoryLevelAsString($B207))),";",EscStr(P207),";")))</f>
        <v>;"NavNode_L3D_525504";"Mittarit";</v>
      </c>
      <c r="AJ207" s="10" t="str">
        <f>IF(getCategoryLevelAsString($B207)="L0D_324785","",IF(Q207="",CONCATENATE(";",EscStr(CONCATENATE("NavNode_",getCategoryLevelAsString($B207))),";",EscStr($J207),";"),CONCATENATE(";",EscStr(CONCATENATE("NavNode_",getCategoryLevelAsString($B207))),";",EscStr(Q207),";")))</f>
        <v>;"NavNode_L3D_525504";"Mērītāji";</v>
      </c>
      <c r="AK207" s="10" t="str">
        <f>IF(getCategoryLevelAsString($B207)="L0D_324785","",IF(R207="",CONCATENATE(";",EscStr(CONCATENATE("NavNode_",getCategoryLevelAsString($B207))),";",EscStr($J207),";"),CONCATENATE(";",EscStr(CONCATENATE("NavNode_",getCategoryLevelAsString($B207))),";",EscStr(R207),";")))</f>
        <v>;"NavNode_L3D_525504";"Meters";</v>
      </c>
      <c r="AL207" s="10" t="str">
        <f>IF(getCategoryLevelAsString($B207)="L0D_324785","",IF(S207="",CONCATENATE(";",EscStr(CONCATENATE("NavNode_",getCategoryLevelAsString($B207))),";",EscStr($J207),";"),CONCATENATE(";",EscStr(CONCATENATE("NavNode_",getCategoryLevelAsString($B207))),";",EscStr(S207),";")))</f>
        <v>;"NavNode_L3D_525504";"Liczniki";</v>
      </c>
      <c r="AM207" s="10" t="str">
        <f>IF(getCategoryLevelAsString($B207)="L0D_324785","",IF(T207="",CONCATENATE(";",EscStr(CONCATENATE("NavNode_",getCategoryLevelAsString($B207))),";",EscStr($J207),";"),CONCATENATE(";",EscStr(CONCATENATE("NavNode_",getCategoryLevelAsString($B207))),";",EscStr(T207),";")))</f>
        <v>;"NavNode_L3D_525504";"Измерители";</v>
      </c>
      <c r="AN207" s="10" t="str">
        <f>IF(getCategoryLevelAsString($B207)="L0D_324785","",IF(U207="",CONCATENATE(";",EscStr(CONCATENATE("NavNode_",getCategoryLevelAsString($B207))),";",EscStr($J207),";"),CONCATENATE(";",EscStr(CONCATENATE("NavNode_",getCategoryLevelAsString($B207))),";",EscStr(U207),";")))</f>
        <v>;"NavNode_L3D_525504";"Počítadlo";</v>
      </c>
      <c r="AO207" s="10" t="str">
        <f>IF(getCategoryLevelAsString($B207)="L0D_324785","",IF(V207="",CONCATENATE(";",EscStr(CONCATENATE("NavNode_",getCategoryLevelAsString($B207))),";",EscStr($J207),";"),CONCATENATE(";",EscStr(CONCATENATE("NavNode_",getCategoryLevelAsString($B207))),";",EscStr(V207),";")))</f>
        <v>;"NavNode_L3D_525504";"Contoare";</v>
      </c>
      <c r="AP207" s="10" t="str">
        <f>IF(getCategoryLevelAsString($B207)="L0D_324785","",IF(W207="",CONCATENATE(";",EscStr(CONCATENATE("NavNode_",getCategoryLevelAsString($B207))),";",EscStr($J207),";"),CONCATENATE(";",EscStr(CONCATENATE("NavNode_",getCategoryLevelAsString($B207))),";",EscStr(W207),";")))</f>
        <v>;"NavNode_L3D_525504";"Számlálók";</v>
      </c>
      <c r="AQ207" s="10" t="str">
        <f>IF(getCategoryLevelAsString($B207)="L0D_324785","",IF(X207="",CONCATENATE(";",EscStr(CONCATENATE("NavNode_",getCategoryLevelAsString($B207))),";",EscStr($J207),";"),CONCATENATE(";",EscStr(CONCATENATE("NavNode_",getCategoryLevelAsString($B207))),";",EscStr(X207),";")))</f>
        <v>;"NavNode_L3D_525504";"Počítadlo";</v>
      </c>
      <c r="AR207" s="8" t="str">
        <f>IF(OR($A207&lt;&gt;"", $G207=""),"",CONCATENATE(";",EscStr(CONCATENATE("NavEntry_",getCategoryLevelAsString($B207))),";",EscStr(CONCATENATE($J207," Navigation Entry")),";",EscStr(CONCATENATE("cat-",getCategoryLevelAsString($B207))),";",EscStr(CONCATENATE("NavNode_",getCategoryLevelAsString($B207))),";"))</f>
        <v>;"NavEntry_L3D_525504";"Meters Navigation Entry";"cat-L3D_525504";"NavNode_L3D_525504";</v>
      </c>
    </row>
    <row r="208" spans="1:44" ht="15" x14ac:dyDescent="0.25">
      <c r="A208" s="25"/>
      <c r="B208" s="5"/>
      <c r="C208" s="5"/>
      <c r="D208" s="5" t="s">
        <v>121</v>
      </c>
      <c r="E208" s="5"/>
      <c r="F208" s="5"/>
      <c r="G208" s="5" t="s">
        <v>357</v>
      </c>
      <c r="H208" s="5" t="s">
        <v>358</v>
      </c>
      <c r="I208" s="5" t="s">
        <v>359</v>
      </c>
      <c r="J208" s="5" t="s">
        <v>122</v>
      </c>
      <c r="K208" s="5" t="s">
        <v>1317</v>
      </c>
      <c r="L208" s="5" t="s">
        <v>1552</v>
      </c>
      <c r="M208" s="5" t="s">
        <v>1769</v>
      </c>
      <c r="N208" s="5" t="s">
        <v>1982</v>
      </c>
      <c r="O208" s="5" t="s">
        <v>3531</v>
      </c>
      <c r="P208" s="5" t="s">
        <v>3532</v>
      </c>
      <c r="Q208" s="5" t="s">
        <v>3533</v>
      </c>
      <c r="R208" s="5" t="s">
        <v>3534</v>
      </c>
      <c r="S208" s="5" t="s">
        <v>3535</v>
      </c>
      <c r="T208" s="5" t="s">
        <v>3536</v>
      </c>
      <c r="U208" s="5" t="s">
        <v>3537</v>
      </c>
      <c r="V208" s="5" t="s">
        <v>3538</v>
      </c>
      <c r="W208" s="5" t="s">
        <v>3539</v>
      </c>
      <c r="X208" s="5" t="s">
        <v>3537</v>
      </c>
      <c r="Y208" s="10" t="str">
        <f>IF(OR($A208&lt;&gt;"", $G208=""),"",CONCATENATE(";",EscStr(CONCATENATE("NavNode_",getCategoryLevelAsString($B208))),";",EscStr($J208),";",IF($B208&lt;&gt;"","""MainNavNode""",EscStr(CONCATENATE("NavNode_",getSuperCategory($B208, getCategoryLevelAsNumber($B208))))),";"))</f>
        <v>;"NavNode_L3D_525505";"Monitoring Relays / Modules";"NavNode_L2D_379613";</v>
      </c>
      <c r="Z208" s="10" t="str">
        <f>IF(getCategoryLevelAsString($B208)="L0D_324785","",IF(G208="",CONCATENATE(";",EscStr(CONCATENATE("NavNode_",getCategoryLevelAsString($B208))),";",EscStr($J208),";"),CONCATENATE(";",EscStr(CONCATENATE("NavNode_",getCategoryLevelAsString($B208))),";",EscStr(G208),";")))</f>
        <v>;"NavNode_L3D_525505";"Überwachungsrelais / -module";</v>
      </c>
      <c r="AA208" s="10" t="str">
        <f>IF(getCategoryLevelAsString($B208)="L0D_324785","",IF(H208="",CONCATENATE(";",EscStr(CONCATENATE("NavNode_",getCategoryLevelAsString($B208))),";",EscStr($J208),";"),CONCATENATE(";",EscStr(CONCATENATE("NavNode_",getCategoryLevelAsString($B208))),";",EscStr(H208),";")))</f>
        <v>;"NavNode_L3D_525505";"Relais et modules de surveillance";</v>
      </c>
      <c r="AB208" s="10" t="str">
        <f>IF(getCategoryLevelAsString($B208)="L0D_324785","",IF(I208="",CONCATENATE(";",EscStr(CONCATENATE("NavNode_",getCategoryLevelAsString($B208))),";",EscStr($J208),";"),CONCATENATE(";",EscStr(CONCATENATE("NavNode_",getCategoryLevelAsString($B208))),";",EscStr(I208),";")))</f>
        <v>;"NavNode_L3D_525505";"Moduli / relè di sorveglianza";</v>
      </c>
      <c r="AC208" s="10" t="str">
        <f>IF(getCategoryLevelAsString($B208)="L0D_324785","",IF(J208="",CONCATENATE(";",EscStr(CONCATENATE("NavNode_",getCategoryLevelAsString($B208))),";",EscStr($J208),";"),CONCATENATE(";",EscStr(CONCATENATE("NavNode_",getCategoryLevelAsString($B208))),";",EscStr(J208),";")))</f>
        <v>;"NavNode_L3D_525505";"Monitoring Relays / Modules";</v>
      </c>
      <c r="AD208" s="10" t="str">
        <f>IF(getCategoryLevelAsString($B208)="L0D_324785","",IF(K208="",CONCATENATE(";",EscStr(CONCATENATE("NavNode_",getCategoryLevelAsString($B208))),";",EscStr($J208),";"),CONCATENATE(";",EscStr(CONCATENATE("NavNode_",getCategoryLevelAsString($B208))),";",EscStr(K208),";")))</f>
        <v>;"NavNode_L3D_525505";"Overvågningsrelæer/-moduler";</v>
      </c>
      <c r="AE208" s="10" t="str">
        <f>IF(getCategoryLevelAsString($B208)="L0D_324785","",IF(L208="",CONCATENATE(";",EscStr(CONCATENATE("NavNode_",getCategoryLevelAsString($B208))),";",EscStr($J208),";"),CONCATENATE(";",EscStr(CONCATENATE("NavNode_",getCategoryLevelAsString($B208))),";",EscStr(L208),";")))</f>
        <v>;"NavNode_L3D_525505";"Stebėjimo relės / moduliai";</v>
      </c>
      <c r="AF208" s="10" t="str">
        <f>IF(getCategoryLevelAsString($B208)="L0D_324785","",IF(M208="",CONCATENATE(";",EscStr(CONCATENATE("NavNode_",getCategoryLevelAsString($B208))),";",EscStr($J208),";"),CONCATENATE(";",EscStr(CONCATENATE("NavNode_",getCategoryLevelAsString($B208))),";",EscStr(M208),";")))</f>
        <v>;"NavNode_L3D_525505";"Overvåkingsreléer/-moduler";</v>
      </c>
      <c r="AG208" s="10" t="str">
        <f>IF(getCategoryLevelAsString($B208)="L0D_324785","",IF(N208="",CONCATENATE(";",EscStr(CONCATENATE("NavNode_",getCategoryLevelAsString($B208))),";",EscStr($J208),";"),CONCATENATE(";",EscStr(CONCATENATE("NavNode_",getCategoryLevelAsString($B208))),";",EscStr(N208),";")))</f>
        <v>;"NavNode_L3D_525505";"Övervakningsreläer/-moduler";</v>
      </c>
      <c r="AH208" s="10" t="str">
        <f>IF(getCategoryLevelAsString($B208)="L0D_324785","",IF(O208="",CONCATENATE(";",EscStr(CONCATENATE("NavNode_",getCategoryLevelAsString($B208))),";",EscStr($J208),";"),CONCATENATE(";",EscStr(CONCATENATE("NavNode_",getCategoryLevelAsString($B208))),";",EscStr(O208),";")))</f>
        <v>;"NavNode_L3D_525505";"Seirereleed /Moodulid";</v>
      </c>
      <c r="AI208" s="10" t="str">
        <f>IF(getCategoryLevelAsString($B208)="L0D_324785","",IF(P208="",CONCATENATE(";",EscStr(CONCATENATE("NavNode_",getCategoryLevelAsString($B208))),";",EscStr($J208),";"),CONCATENATE(";",EscStr(CONCATENATE("NavNode_",getCategoryLevelAsString($B208))),";",EscStr(P208),";")))</f>
        <v>;"NavNode_L3D_525505";"Monitorointireleet";</v>
      </c>
      <c r="AJ208" s="10" t="str">
        <f>IF(getCategoryLevelAsString($B208)="L0D_324785","",IF(Q208="",CONCATENATE(";",EscStr(CONCATENATE("NavNode_",getCategoryLevelAsString($B208))),";",EscStr($J208),";"),CONCATENATE(";",EscStr(CONCATENATE("NavNode_",getCategoryLevelAsString($B208))),";",EscStr(Q208),";")))</f>
        <v>;"NavNode_L3D_525505";"Uzraudzības releji / moduļi";</v>
      </c>
      <c r="AK208" s="10" t="str">
        <f>IF(getCategoryLevelAsString($B208)="L0D_324785","",IF(R208="",CONCATENATE(";",EscStr(CONCATENATE("NavNode_",getCategoryLevelAsString($B208))),";",EscStr($J208),";"),CONCATENATE(";",EscStr(CONCATENATE("NavNode_",getCategoryLevelAsString($B208))),";",EscStr(R208),";")))</f>
        <v>;"NavNode_L3D_525505";"Bewakingsrelais / Bewakingsmodules";</v>
      </c>
      <c r="AL208" s="10" t="str">
        <f>IF(getCategoryLevelAsString($B208)="L0D_324785","",IF(S208="",CONCATENATE(";",EscStr(CONCATENATE("NavNode_",getCategoryLevelAsString($B208))),";",EscStr($J208),";"),CONCATENATE(";",EscStr(CONCATENATE("NavNode_",getCategoryLevelAsString($B208))),";",EscStr(S208),";")))</f>
        <v>;"NavNode_L3D_525505";"Przekaźniki nadzoru / Moduły";</v>
      </c>
      <c r="AM208" s="10" t="str">
        <f>IF(getCategoryLevelAsString($B208)="L0D_324785","",IF(T208="",CONCATENATE(";",EscStr(CONCATENATE("NavNode_",getCategoryLevelAsString($B208))),";",EscStr($J208),";"),CONCATENATE(";",EscStr(CONCATENATE("NavNode_",getCategoryLevelAsString($B208))),";",EscStr(T208),";")))</f>
        <v>;"NavNode_L3D_525505";"Реле контроля / Модули";</v>
      </c>
      <c r="AN208" s="10" t="str">
        <f>IF(getCategoryLevelAsString($B208)="L0D_324785","",IF(U208="",CONCATENATE(";",EscStr(CONCATENATE("NavNode_",getCategoryLevelAsString($B208))),";",EscStr($J208),";"),CONCATENATE(";",EscStr(CONCATENATE("NavNode_",getCategoryLevelAsString($B208))),";",EscStr(U208),";")))</f>
        <v>;"NavNode_L3D_525505";"Monitorovací relé / moduly";</v>
      </c>
      <c r="AO208" s="10" t="str">
        <f>IF(getCategoryLevelAsString($B208)="L0D_324785","",IF(V208="",CONCATENATE(";",EscStr(CONCATENATE("NavNode_",getCategoryLevelAsString($B208))),";",EscStr($J208),";"),CONCATENATE(";",EscStr(CONCATENATE("NavNode_",getCategoryLevelAsString($B208))),";",EscStr(V208),";")))</f>
        <v>;"NavNode_L3D_525505";"Relee de monitorizare / module";</v>
      </c>
      <c r="AP208" s="10" t="str">
        <f>IF(getCategoryLevelAsString($B208)="L0D_324785","",IF(W208="",CONCATENATE(";",EscStr(CONCATENATE("NavNode_",getCategoryLevelAsString($B208))),";",EscStr($J208),";"),CONCATENATE(";",EscStr(CONCATENATE("NavNode_",getCategoryLevelAsString($B208))),";",EscStr(W208),";")))</f>
        <v>;"NavNode_L3D_525505";"Felügyeletirelék / -modulok";</v>
      </c>
      <c r="AQ208" s="10" t="str">
        <f>IF(getCategoryLevelAsString($B208)="L0D_324785","",IF(X208="",CONCATENATE(";",EscStr(CONCATENATE("NavNode_",getCategoryLevelAsString($B208))),";",EscStr($J208),";"),CONCATENATE(";",EscStr(CONCATENATE("NavNode_",getCategoryLevelAsString($B208))),";",EscStr(X208),";")))</f>
        <v>;"NavNode_L3D_525505";"Monitorovací relé / moduly";</v>
      </c>
      <c r="AR208" s="8" t="str">
        <f>IF(OR($A208&lt;&gt;"", $G208=""),"",CONCATENATE(";",EscStr(CONCATENATE("NavEntry_",getCategoryLevelAsString($B208))),";",EscStr(CONCATENATE($J208," Navigation Entry")),";",EscStr(CONCATENATE("cat-",getCategoryLevelAsString($B208))),";",EscStr(CONCATENATE("NavNode_",getCategoryLevelAsString($B208))),";"))</f>
        <v>;"NavEntry_L3D_525505";"Monitoring Relays / Modules Navigation Entry";"cat-L3D_525505";"NavNode_L3D_525505";</v>
      </c>
    </row>
    <row r="209" spans="1:44" ht="15" x14ac:dyDescent="0.25">
      <c r="A209" s="25"/>
      <c r="B209" s="5"/>
      <c r="C209" s="5"/>
      <c r="D209" s="5" t="s">
        <v>123</v>
      </c>
      <c r="E209" s="5"/>
      <c r="F209" s="5"/>
      <c r="G209" s="5" t="s">
        <v>979</v>
      </c>
      <c r="H209" s="5" t="s">
        <v>1083</v>
      </c>
      <c r="I209" s="5" t="s">
        <v>1141</v>
      </c>
      <c r="J209" s="5" t="s">
        <v>124</v>
      </c>
      <c r="K209" s="5" t="s">
        <v>1318</v>
      </c>
      <c r="L209" s="5" t="s">
        <v>1553</v>
      </c>
      <c r="M209" s="5" t="s">
        <v>1770</v>
      </c>
      <c r="N209" s="5" t="s">
        <v>1983</v>
      </c>
      <c r="O209" s="5" t="s">
        <v>3540</v>
      </c>
      <c r="P209" s="5" t="s">
        <v>3541</v>
      </c>
      <c r="Q209" s="5" t="s">
        <v>3542</v>
      </c>
      <c r="R209" s="5" t="s">
        <v>3543</v>
      </c>
      <c r="S209" s="5" t="s">
        <v>3544</v>
      </c>
      <c r="T209" s="5" t="s">
        <v>3545</v>
      </c>
      <c r="U209" s="5" t="s">
        <v>3546</v>
      </c>
      <c r="V209" s="5" t="s">
        <v>3547</v>
      </c>
      <c r="W209" s="5" t="s">
        <v>3548</v>
      </c>
      <c r="X209" s="5" t="s">
        <v>3546</v>
      </c>
      <c r="Y209" s="10" t="str">
        <f>IF(OR($A209&lt;&gt;"", $G209=""),"",CONCATENATE(";",EscStr(CONCATENATE("NavNode_",getCategoryLevelAsString($B209))),";",EscStr($J209),";",IF($B209&lt;&gt;"","""MainNavNode""",EscStr(CONCATENATE("NavNode_",getSuperCategory($B209, getCategoryLevelAsNumber($B209))))),";"))</f>
        <v>;"NavNode_L3D_525506";"Safety Components";"NavNode_L2D_379613";</v>
      </c>
      <c r="Z209" s="10" t="str">
        <f>IF(getCategoryLevelAsString($B209)="L0D_324785","",IF(G209="",CONCATENATE(";",EscStr(CONCATENATE("NavNode_",getCategoryLevelAsString($B209))),";",EscStr($J209),";"),CONCATENATE(";",EscStr(CONCATENATE("NavNode_",getCategoryLevelAsString($B209))),";",EscStr(G209),";")))</f>
        <v>;"NavNode_L3D_525506";"Sicherheitskomponenten";</v>
      </c>
      <c r="AA209" s="10" t="str">
        <f>IF(getCategoryLevelAsString($B209)="L0D_324785","",IF(H209="",CONCATENATE(";",EscStr(CONCATENATE("NavNode_",getCategoryLevelAsString($B209))),";",EscStr($J209),";"),CONCATENATE(";",EscStr(CONCATENATE("NavNode_",getCategoryLevelAsString($B209))),";",EscStr(H209),";")))</f>
        <v>;"NavNode_L3D_525506";"Composants pour la sécurité";</v>
      </c>
      <c r="AB209" s="10" t="str">
        <f>IF(getCategoryLevelAsString($B209)="L0D_324785","",IF(I209="",CONCATENATE(";",EscStr(CONCATENATE("NavNode_",getCategoryLevelAsString($B209))),";",EscStr($J209),";"),CONCATENATE(";",EscStr(CONCATENATE("NavNode_",getCategoryLevelAsString($B209))),";",EscStr(I209),";")))</f>
        <v>;"NavNode_L3D_525506";"Componenti di sicurezza";</v>
      </c>
      <c r="AC209" s="10" t="str">
        <f>IF(getCategoryLevelAsString($B209)="L0D_324785","",IF(J209="",CONCATENATE(";",EscStr(CONCATENATE("NavNode_",getCategoryLevelAsString($B209))),";",EscStr($J209),";"),CONCATENATE(";",EscStr(CONCATENATE("NavNode_",getCategoryLevelAsString($B209))),";",EscStr(J209),";")))</f>
        <v>;"NavNode_L3D_525506";"Safety Components";</v>
      </c>
      <c r="AD209" s="10" t="str">
        <f>IF(getCategoryLevelAsString($B209)="L0D_324785","",IF(K209="",CONCATENATE(";",EscStr(CONCATENATE("NavNode_",getCategoryLevelAsString($B209))),";",EscStr($J209),";"),CONCATENATE(";",EscStr(CONCATENATE("NavNode_",getCategoryLevelAsString($B209))),";",EscStr(K209),";")))</f>
        <v>;"NavNode_L3D_525506";"Sikkerhedskomponenter";</v>
      </c>
      <c r="AE209" s="10" t="str">
        <f>IF(getCategoryLevelAsString($B209)="L0D_324785","",IF(L209="",CONCATENATE(";",EscStr(CONCATENATE("NavNode_",getCategoryLevelAsString($B209))),";",EscStr($J209),";"),CONCATENATE(";",EscStr(CONCATENATE("NavNode_",getCategoryLevelAsString($B209))),";",EscStr(L209),";")))</f>
        <v>;"NavNode_L3D_525506";"Saugos komponentai";</v>
      </c>
      <c r="AF209" s="10" t="str">
        <f>IF(getCategoryLevelAsString($B209)="L0D_324785","",IF(M209="",CONCATENATE(";",EscStr(CONCATENATE("NavNode_",getCategoryLevelAsString($B209))),";",EscStr($J209),";"),CONCATENATE(";",EscStr(CONCATENATE("NavNode_",getCategoryLevelAsString($B209))),";",EscStr(M209),";")))</f>
        <v>;"NavNode_L3D_525506";"Sikkerhetskomponenter";</v>
      </c>
      <c r="AG209" s="10" t="str">
        <f>IF(getCategoryLevelAsString($B209)="L0D_324785","",IF(N209="",CONCATENATE(";",EscStr(CONCATENATE("NavNode_",getCategoryLevelAsString($B209))),";",EscStr($J209),";"),CONCATENATE(";",EscStr(CONCATENATE("NavNode_",getCategoryLevelAsString($B209))),";",EscStr(N209),";")))</f>
        <v>;"NavNode_L3D_525506";"Säkerhetskomponenter";</v>
      </c>
      <c r="AH209" s="10" t="str">
        <f>IF(getCategoryLevelAsString($B209)="L0D_324785","",IF(O209="",CONCATENATE(";",EscStr(CONCATENATE("NavNode_",getCategoryLevelAsString($B209))),";",EscStr($J209),";"),CONCATENATE(";",EscStr(CONCATENATE("NavNode_",getCategoryLevelAsString($B209))),";",EscStr(O209),";")))</f>
        <v>;"NavNode_L3D_525506";"Ohutuskomponendid";</v>
      </c>
      <c r="AI209" s="10" t="str">
        <f>IF(getCategoryLevelAsString($B209)="L0D_324785","",IF(P209="",CONCATENATE(";",EscStr(CONCATENATE("NavNode_",getCategoryLevelAsString($B209))),";",EscStr($J209),";"),CONCATENATE(";",EscStr(CONCATENATE("NavNode_",getCategoryLevelAsString($B209))),";",EscStr(P209),";")))</f>
        <v>;"NavNode_L3D_525506";"Turvakomponentit";</v>
      </c>
      <c r="AJ209" s="10" t="str">
        <f>IF(getCategoryLevelAsString($B209)="L0D_324785","",IF(Q209="",CONCATENATE(";",EscStr(CONCATENATE("NavNode_",getCategoryLevelAsString($B209))),";",EscStr($J209),";"),CONCATENATE(";",EscStr(CONCATENATE("NavNode_",getCategoryLevelAsString($B209))),";",EscStr(Q209),";")))</f>
        <v>;"NavNode_L3D_525506";"Drošības komponentes";</v>
      </c>
      <c r="AK209" s="10" t="str">
        <f>IF(getCategoryLevelAsString($B209)="L0D_324785","",IF(R209="",CONCATENATE(";",EscStr(CONCATENATE("NavNode_",getCategoryLevelAsString($B209))),";",EscStr($J209),";"),CONCATENATE(";",EscStr(CONCATENATE("NavNode_",getCategoryLevelAsString($B209))),";",EscStr(R209),";")))</f>
        <v>;"NavNode_L3D_525506";"Veiligheisproducten";</v>
      </c>
      <c r="AL209" s="10" t="str">
        <f>IF(getCategoryLevelAsString($B209)="L0D_324785","",IF(S209="",CONCATENATE(";",EscStr(CONCATENATE("NavNode_",getCategoryLevelAsString($B209))),";",EscStr($J209),";"),CONCATENATE(";",EscStr(CONCATENATE("NavNode_",getCategoryLevelAsString($B209))),";",EscStr(S209),";")))</f>
        <v>;"NavNode_L3D_525506";"Elementy bezpieczeństwa";</v>
      </c>
      <c r="AM209" s="10" t="str">
        <f>IF(getCategoryLevelAsString($B209)="L0D_324785","",IF(T209="",CONCATENATE(";",EscStr(CONCATENATE("NavNode_",getCategoryLevelAsString($B209))),";",EscStr($J209),";"),CONCATENATE(";",EscStr(CONCATENATE("NavNode_",getCategoryLevelAsString($B209))),";",EscStr(T209),";")))</f>
        <v>;"NavNode_L3D_525506";"Компоненты безопасности";</v>
      </c>
      <c r="AN209" s="10" t="str">
        <f>IF(getCategoryLevelAsString($B209)="L0D_324785","",IF(U209="",CONCATENATE(";",EscStr(CONCATENATE("NavNode_",getCategoryLevelAsString($B209))),";",EscStr($J209),";"),CONCATENATE(";",EscStr(CONCATENATE("NavNode_",getCategoryLevelAsString($B209))),";",EscStr(U209),";")))</f>
        <v>;"NavNode_L3D_525506";"Bezpečnostní prvky";</v>
      </c>
      <c r="AO209" s="10" t="str">
        <f>IF(getCategoryLevelAsString($B209)="L0D_324785","",IF(V209="",CONCATENATE(";",EscStr(CONCATENATE("NavNode_",getCategoryLevelAsString($B209))),";",EscStr($J209),";"),CONCATENATE(";",EscStr(CONCATENATE("NavNode_",getCategoryLevelAsString($B209))),";",EscStr(V209),";")))</f>
        <v>;"NavNode_L3D_525506";"Componente de securitate";</v>
      </c>
      <c r="AP209" s="10" t="str">
        <f>IF(getCategoryLevelAsString($B209)="L0D_324785","",IF(W209="",CONCATENATE(";",EscStr(CONCATENATE("NavNode_",getCategoryLevelAsString($B209))),";",EscStr($J209),";"),CONCATENATE(";",EscStr(CONCATENATE("NavNode_",getCategoryLevelAsString($B209))),";",EscStr(W209),";")))</f>
        <v>;"NavNode_L3D_525506";"Biztonsági alkatrészek";</v>
      </c>
      <c r="AQ209" s="10" t="str">
        <f>IF(getCategoryLevelAsString($B209)="L0D_324785","",IF(X209="",CONCATENATE(";",EscStr(CONCATENATE("NavNode_",getCategoryLevelAsString($B209))),";",EscStr($J209),";"),CONCATENATE(";",EscStr(CONCATENATE("NavNode_",getCategoryLevelAsString($B209))),";",EscStr(X209),";")))</f>
        <v>;"NavNode_L3D_525506";"Bezpečnostní prvky";</v>
      </c>
      <c r="AR209" s="8" t="str">
        <f>IF(OR($A209&lt;&gt;"", $G209=""),"",CONCATENATE(";",EscStr(CONCATENATE("NavEntry_",getCategoryLevelAsString($B209))),";",EscStr(CONCATENATE($J209," Navigation Entry")),";",EscStr(CONCATENATE("cat-",getCategoryLevelAsString($B209))),";",EscStr(CONCATENATE("NavNode_",getCategoryLevelAsString($B209))),";"))</f>
        <v>;"NavEntry_L3D_525506";"Safety Components Navigation Entry";"cat-L3D_525506";"NavNode_L3D_525506";</v>
      </c>
    </row>
    <row r="210" spans="1:44" ht="15" x14ac:dyDescent="0.25">
      <c r="A210" s="25"/>
      <c r="B210" s="5"/>
      <c r="C210" s="5"/>
      <c r="D210" s="5" t="s">
        <v>117</v>
      </c>
      <c r="E210" s="5"/>
      <c r="F210" s="5"/>
      <c r="G210" s="5" t="s">
        <v>351</v>
      </c>
      <c r="H210" s="5" t="s">
        <v>352</v>
      </c>
      <c r="I210" s="5" t="s">
        <v>353</v>
      </c>
      <c r="J210" s="5" t="s">
        <v>118</v>
      </c>
      <c r="K210" s="5" t="s">
        <v>1319</v>
      </c>
      <c r="L210" s="5" t="s">
        <v>1554</v>
      </c>
      <c r="M210" s="5" t="s">
        <v>1771</v>
      </c>
      <c r="N210" s="5" t="s">
        <v>1984</v>
      </c>
      <c r="O210" s="5" t="s">
        <v>3549</v>
      </c>
      <c r="P210" s="5" t="s">
        <v>3550</v>
      </c>
      <c r="Q210" s="5" t="s">
        <v>3551</v>
      </c>
      <c r="R210" s="5" t="s">
        <v>3552</v>
      </c>
      <c r="S210" s="5" t="s">
        <v>3553</v>
      </c>
      <c r="T210" s="5" t="s">
        <v>3554</v>
      </c>
      <c r="U210" s="5" t="s">
        <v>3555</v>
      </c>
      <c r="V210" s="5" t="s">
        <v>3556</v>
      </c>
      <c r="W210" s="5" t="s">
        <v>3557</v>
      </c>
      <c r="X210" s="5" t="s">
        <v>3555</v>
      </c>
      <c r="Y210" s="10" t="str">
        <f>IF(OR($A210&lt;&gt;"", $G210=""),"",CONCATENATE(";",EscStr(CONCATENATE("NavNode_",getCategoryLevelAsString($B210))),";",EscStr($J210),";",IF($B210&lt;&gt;"","""MainNavNode""",EscStr(CONCATENATE("NavNode_",getSuperCategory($B210, getCategoryLevelAsNumber($B210))))),";"))</f>
        <v>;"NavNode_L3D_525507";"Limit Switches";"NavNode_L2D_379613";</v>
      </c>
      <c r="Z210" s="10" t="str">
        <f>IF(getCategoryLevelAsString($B210)="L0D_324785","",IF(G210="",CONCATENATE(";",EscStr(CONCATENATE("NavNode_",getCategoryLevelAsString($B210))),";",EscStr($J210),";"),CONCATENATE(";",EscStr(CONCATENATE("NavNode_",getCategoryLevelAsString($B210))),";",EscStr(G210),";")))</f>
        <v>;"NavNode_L3D_525507";"Positionsschalter";</v>
      </c>
      <c r="AA210" s="10" t="str">
        <f>IF(getCategoryLevelAsString($B210)="L0D_324785","",IF(H210="",CONCATENATE(";",EscStr(CONCATENATE("NavNode_",getCategoryLevelAsString($B210))),";",EscStr($J210),";"),CONCATENATE(";",EscStr(CONCATENATE("NavNode_",getCategoryLevelAsString($B210))),";",EscStr(H210),";")))</f>
        <v>;"NavNode_L3D_525507";"Interrupteur de position";</v>
      </c>
      <c r="AB210" s="10" t="str">
        <f>IF(getCategoryLevelAsString($B210)="L0D_324785","",IF(I210="",CONCATENATE(";",EscStr(CONCATENATE("NavNode_",getCategoryLevelAsString($B210))),";",EscStr($J210),";"),CONCATENATE(";",EscStr(CONCATENATE("NavNode_",getCategoryLevelAsString($B210))),";",EscStr(I210),";")))</f>
        <v>;"NavNode_L3D_525507";"Interruttori di finecorsa";</v>
      </c>
      <c r="AC210" s="10" t="str">
        <f>IF(getCategoryLevelAsString($B210)="L0D_324785","",IF(J210="",CONCATENATE(";",EscStr(CONCATENATE("NavNode_",getCategoryLevelAsString($B210))),";",EscStr($J210),";"),CONCATENATE(";",EscStr(CONCATENATE("NavNode_",getCategoryLevelAsString($B210))),";",EscStr(J210),";")))</f>
        <v>;"NavNode_L3D_525507";"Limit Switches";</v>
      </c>
      <c r="AD210" s="10" t="str">
        <f>IF(getCategoryLevelAsString($B210)="L0D_324785","",IF(K210="",CONCATENATE(";",EscStr(CONCATENATE("NavNode_",getCategoryLevelAsString($B210))),";",EscStr($J210),";"),CONCATENATE(";",EscStr(CONCATENATE("NavNode_",getCategoryLevelAsString($B210))),";",EscStr(K210),";")))</f>
        <v>;"NavNode_L3D_525507";"Grænseafbrydere";</v>
      </c>
      <c r="AE210" s="10" t="str">
        <f>IF(getCategoryLevelAsString($B210)="L0D_324785","",IF(L210="",CONCATENATE(";",EscStr(CONCATENATE("NavNode_",getCategoryLevelAsString($B210))),";",EscStr($J210),";"),CONCATENATE(";",EscStr(CONCATENATE("NavNode_",getCategoryLevelAsString($B210))),";",EscStr(L210),";")))</f>
        <v>;"NavNode_L3D_525507";"Ribiniai jungikliai";</v>
      </c>
      <c r="AF210" s="10" t="str">
        <f>IF(getCategoryLevelAsString($B210)="L0D_324785","",IF(M210="",CONCATENATE(";",EscStr(CONCATENATE("NavNode_",getCategoryLevelAsString($B210))),";",EscStr($J210),";"),CONCATENATE(";",EscStr(CONCATENATE("NavNode_",getCategoryLevelAsString($B210))),";",EscStr(M210),";")))</f>
        <v>;"NavNode_L3D_525507";"Grensebrytere";</v>
      </c>
      <c r="AG210" s="10" t="str">
        <f>IF(getCategoryLevelAsString($B210)="L0D_324785","",IF(N210="",CONCATENATE(";",EscStr(CONCATENATE("NavNode_",getCategoryLevelAsString($B210))),";",EscStr($J210),";"),CONCATENATE(";",EscStr(CONCATENATE("NavNode_",getCategoryLevelAsString($B210))),";",EscStr(N210),";")))</f>
        <v>;"NavNode_L3D_525507";"Gränslägesbrytare";</v>
      </c>
      <c r="AH210" s="10" t="str">
        <f>IF(getCategoryLevelAsString($B210)="L0D_324785","",IF(O210="",CONCATENATE(";",EscStr(CONCATENATE("NavNode_",getCategoryLevelAsString($B210))),";",EscStr($J210),";"),CONCATENATE(";",EscStr(CONCATENATE("NavNode_",getCategoryLevelAsString($B210))),";",EscStr(O210),";")))</f>
        <v>;"NavNode_L3D_525507";"Lõpulülitid";</v>
      </c>
      <c r="AI210" s="10" t="str">
        <f>IF(getCategoryLevelAsString($B210)="L0D_324785","",IF(P210="",CONCATENATE(";",EscStr(CONCATENATE("NavNode_",getCategoryLevelAsString($B210))),";",EscStr($J210),";"),CONCATENATE(";",EscStr(CONCATENATE("NavNode_",getCategoryLevelAsString($B210))),";",EscStr(P210),";")))</f>
        <v>;"NavNode_L3D_525507";"Rajakytkimet";</v>
      </c>
      <c r="AJ210" s="10" t="str">
        <f>IF(getCategoryLevelAsString($B210)="L0D_324785","",IF(Q210="",CONCATENATE(";",EscStr(CONCATENATE("NavNode_",getCategoryLevelAsString($B210))),";",EscStr($J210),";"),CONCATENATE(";",EscStr(CONCATENATE("NavNode_",getCategoryLevelAsString($B210))),";",EscStr(Q210),";")))</f>
        <v>;"NavNode_L3D_525507";"Līmeņa slēdži";</v>
      </c>
      <c r="AK210" s="10" t="str">
        <f>IF(getCategoryLevelAsString($B210)="L0D_324785","",IF(R210="",CONCATENATE(";",EscStr(CONCATENATE("NavNode_",getCategoryLevelAsString($B210))),";",EscStr($J210),";"),CONCATENATE(";",EscStr(CONCATENATE("NavNode_",getCategoryLevelAsString($B210))),";",EscStr(R210),";")))</f>
        <v>;"NavNode_L3D_525507";"Eindschakelaars";</v>
      </c>
      <c r="AL210" s="10" t="str">
        <f>IF(getCategoryLevelAsString($B210)="L0D_324785","",IF(S210="",CONCATENATE(";",EscStr(CONCATENATE("NavNode_",getCategoryLevelAsString($B210))),";",EscStr($J210),";"),CONCATENATE(";",EscStr(CONCATENATE("NavNode_",getCategoryLevelAsString($B210))),";",EscStr(S210),";")))</f>
        <v>;"NavNode_L3D_525507";"Przełączniki krańcowe";</v>
      </c>
      <c r="AM210" s="10" t="str">
        <f>IF(getCategoryLevelAsString($B210)="L0D_324785","",IF(T210="",CONCATENATE(";",EscStr(CONCATENATE("NavNode_",getCategoryLevelAsString($B210))),";",EscStr($J210),";"),CONCATENATE(";",EscStr(CONCATENATE("NavNode_",getCategoryLevelAsString($B210))),";",EscStr(T210),";")))</f>
        <v>;"NavNode_L3D_525507";"Концевые выключатели";</v>
      </c>
      <c r="AN210" s="10" t="str">
        <f>IF(getCategoryLevelAsString($B210)="L0D_324785","",IF(U210="",CONCATENATE(";",EscStr(CONCATENATE("NavNode_",getCategoryLevelAsString($B210))),";",EscStr($J210),";"),CONCATENATE(";",EscStr(CONCATENATE("NavNode_",getCategoryLevelAsString($B210))),";",EscStr(U210),";")))</f>
        <v>;"NavNode_L3D_525507";"Polohový spínač";</v>
      </c>
      <c r="AO210" s="10" t="str">
        <f>IF(getCategoryLevelAsString($B210)="L0D_324785","",IF(V210="",CONCATENATE(";",EscStr(CONCATENATE("NavNode_",getCategoryLevelAsString($B210))),";",EscStr($J210),";"),CONCATENATE(";",EscStr(CONCATENATE("NavNode_",getCategoryLevelAsString($B210))),";",EscStr(V210),";")))</f>
        <v>;"NavNode_L3D_525507";"Limitatoare";</v>
      </c>
      <c r="AP210" s="10" t="str">
        <f>IF(getCategoryLevelAsString($B210)="L0D_324785","",IF(W210="",CONCATENATE(";",EscStr(CONCATENATE("NavNode_",getCategoryLevelAsString($B210))),";",EscStr($J210),";"),CONCATENATE(";",EscStr(CONCATENATE("NavNode_",getCategoryLevelAsString($B210))),";",EscStr(W210),";")))</f>
        <v>;"NavNode_L3D_525507";"Helyzetkapcsolók";</v>
      </c>
      <c r="AQ210" s="10" t="str">
        <f>IF(getCategoryLevelAsString($B210)="L0D_324785","",IF(X210="",CONCATENATE(";",EscStr(CONCATENATE("NavNode_",getCategoryLevelAsString($B210))),";",EscStr($J210),";"),CONCATENATE(";",EscStr(CONCATENATE("NavNode_",getCategoryLevelAsString($B210))),";",EscStr(X210),";")))</f>
        <v>;"NavNode_L3D_525507";"Polohový spínač";</v>
      </c>
      <c r="AR210" s="8" t="str">
        <f>IF(OR($A210&lt;&gt;"", $G210=""),"",CONCATENATE(";",EscStr(CONCATENATE("NavEntry_",getCategoryLevelAsString($B210))),";",EscStr(CONCATENATE($J210," Navigation Entry")),";",EscStr(CONCATENATE("cat-",getCategoryLevelAsString($B210))),";",EscStr(CONCATENATE("NavNode_",getCategoryLevelAsString($B210))),";"))</f>
        <v>;"NavEntry_L3D_525507";"Limit Switches Navigation Entry";"cat-L3D_525507";"NavNode_L3D_525507";</v>
      </c>
    </row>
    <row r="211" spans="1:44" ht="15" x14ac:dyDescent="0.25">
      <c r="A211" s="25"/>
      <c r="B211" s="5"/>
      <c r="C211" s="5"/>
      <c r="D211" s="5" t="s">
        <v>115</v>
      </c>
      <c r="E211" s="5"/>
      <c r="F211" s="5"/>
      <c r="G211" s="5" t="s">
        <v>348</v>
      </c>
      <c r="H211" s="5" t="s">
        <v>349</v>
      </c>
      <c r="I211" s="5" t="s">
        <v>350</v>
      </c>
      <c r="J211" s="5" t="s">
        <v>116</v>
      </c>
      <c r="K211" s="5" t="s">
        <v>1320</v>
      </c>
      <c r="L211" s="5" t="s">
        <v>1555</v>
      </c>
      <c r="M211" s="5" t="s">
        <v>1772</v>
      </c>
      <c r="N211" s="5" t="s">
        <v>1985</v>
      </c>
      <c r="O211" s="5" t="s">
        <v>3558</v>
      </c>
      <c r="P211" s="5" t="s">
        <v>3559</v>
      </c>
      <c r="Q211" s="5" t="s">
        <v>3560</v>
      </c>
      <c r="R211" s="5" t="s">
        <v>3561</v>
      </c>
      <c r="S211" s="5" t="s">
        <v>3562</v>
      </c>
      <c r="T211" s="5" t="s">
        <v>3563</v>
      </c>
      <c r="U211" s="5" t="s">
        <v>3564</v>
      </c>
      <c r="V211" s="5" t="s">
        <v>3565</v>
      </c>
      <c r="W211" s="5" t="s">
        <v>3566</v>
      </c>
      <c r="X211" s="5" t="s">
        <v>3564</v>
      </c>
      <c r="Y211" s="10" t="str">
        <f>IF(OR($A211&lt;&gt;"", $G211=""),"",CONCATENATE(";",EscStr(CONCATENATE("NavNode_",getCategoryLevelAsString($B211))),";",EscStr($J211),";",IF($B211&lt;&gt;"","""MainNavNode""",EscStr(CONCATENATE("NavNode_",getSuperCategory($B211, getCategoryLevelAsNumber($B211))))),";"))</f>
        <v>;"NavNode_L2D_379617";"Control Switches and Signalling Devices 22 mm";"NavNode_Automation";</v>
      </c>
      <c r="Z211" s="10" t="str">
        <f>IF(getCategoryLevelAsString($B211)="L0D_324785","",IF(G211="",CONCATENATE(";",EscStr(CONCATENATE("NavNode_",getCategoryLevelAsString($B211))),";",EscStr($J211),";"),CONCATENATE(";",EscStr(CONCATENATE("NavNode_",getCategoryLevelAsString($B211))),";",EscStr(G211),";")))</f>
        <v>;"NavNode_L2D_379617";"Befehls- und Meldegeräte 22 mm";</v>
      </c>
      <c r="AA211" s="10" t="str">
        <f>IF(getCategoryLevelAsString($B211)="L0D_324785","",IF(H211="",CONCATENATE(";",EscStr(CONCATENATE("NavNode_",getCategoryLevelAsString($B211))),";",EscStr($J211),";"),CONCATENATE(";",EscStr(CONCATENATE("NavNode_",getCategoryLevelAsString($B211))),";",EscStr(H211),";")))</f>
        <v>;"NavNode_L2D_379617";"Appareils de commande";</v>
      </c>
      <c r="AB211" s="10" t="str">
        <f>IF(getCategoryLevelAsString($B211)="L0D_324785","",IF(I211="",CONCATENATE(";",EscStr(CONCATENATE("NavNode_",getCategoryLevelAsString($B211))),";",EscStr($J211),";"),CONCATENATE(";",EscStr(CONCATENATE("NavNode_",getCategoryLevelAsString($B211))),";",EscStr(I211),";")))</f>
        <v>;"NavNode_L2D_379617";"Interruttori di controllo e dispositivi di segnalazione da 22 mm";</v>
      </c>
      <c r="AC211" s="10" t="str">
        <f>IF(getCategoryLevelAsString($B211)="L0D_324785","",IF(J211="",CONCATENATE(";",EscStr(CONCATENATE("NavNode_",getCategoryLevelAsString($B211))),";",EscStr($J211),";"),CONCATENATE(";",EscStr(CONCATENATE("NavNode_",getCategoryLevelAsString($B211))),";",EscStr(J211),";")))</f>
        <v>;"NavNode_L2D_379617";"Control Switches and Signalling Devices 22 mm";</v>
      </c>
      <c r="AD211" s="10" t="str">
        <f>IF(getCategoryLevelAsString($B211)="L0D_324785","",IF(K211="",CONCATENATE(";",EscStr(CONCATENATE("NavNode_",getCategoryLevelAsString($B211))),";",EscStr($J211),";"),CONCATENATE(";",EscStr(CONCATENATE("NavNode_",getCategoryLevelAsString($B211))),";",EscStr(K211),";")))</f>
        <v>;"NavNode_L2D_379617";"Styreafbrydere- og indikatorapparater 22 mm";</v>
      </c>
      <c r="AE211" s="10" t="str">
        <f>IF(getCategoryLevelAsString($B211)="L0D_324785","",IF(L211="",CONCATENATE(";",EscStr(CONCATENATE("NavNode_",getCategoryLevelAsString($B211))),";",EscStr($J211),";"),CONCATENATE(";",EscStr(CONCATENATE("NavNode_",getCategoryLevelAsString($B211))),";",EscStr(L211),";")))</f>
        <v>;"NavNode_L2D_379617";"Valdymo jungikliai ir signalizavimo prietaisai 22 mm";</v>
      </c>
      <c r="AF211" s="10" t="str">
        <f>IF(getCategoryLevelAsString($B211)="L0D_324785","",IF(M211="",CONCATENATE(";",EscStr(CONCATENATE("NavNode_",getCategoryLevelAsString($B211))),";",EscStr($J211),";"),CONCATENATE(";",EscStr(CONCATENATE("NavNode_",getCategoryLevelAsString($B211))),";",EscStr(M211),";")))</f>
        <v>;"NavNode_L2D_379617";"Styrebrytere og signalenheter 22 mm";</v>
      </c>
      <c r="AG211" s="10" t="str">
        <f>IF(getCategoryLevelAsString($B211)="L0D_324785","",IF(N211="",CONCATENATE(";",EscStr(CONCATENATE("NavNode_",getCategoryLevelAsString($B211))),";",EscStr($J211),";"),CONCATENATE(";",EscStr(CONCATENATE("NavNode_",getCategoryLevelAsString($B211))),";",EscStr(N211),";")))</f>
        <v>;"NavNode_L2D_379617";"Styrströmställare och signalenheter 22 mm";</v>
      </c>
      <c r="AH211" s="10" t="str">
        <f>IF(getCategoryLevelAsString($B211)="L0D_324785","",IF(O211="",CONCATENATE(";",EscStr(CONCATENATE("NavNode_",getCategoryLevelAsString($B211))),";",EscStr($J211),";"),CONCATENATE(";",EscStr(CONCATENATE("NavNode_",getCategoryLevelAsString($B211))),";",EscStr(O211),";")))</f>
        <v>;"NavNode_L2D_379617";"Juhtlülitid ja indikaatorid 22mm";</v>
      </c>
      <c r="AI211" s="10" t="str">
        <f>IF(getCategoryLevelAsString($B211)="L0D_324785","",IF(P211="",CONCATENATE(";",EscStr(CONCATENATE("NavNode_",getCategoryLevelAsString($B211))),";",EscStr($J211),";"),CONCATENATE(";",EscStr(CONCATENATE("NavNode_",getCategoryLevelAsString($B211))),";",EscStr(P211),";")))</f>
        <v>;"NavNode_L2D_379617";"Ohjauskytkimet 22mm";</v>
      </c>
      <c r="AJ211" s="10" t="str">
        <f>IF(getCategoryLevelAsString($B211)="L0D_324785","",IF(Q211="",CONCATENATE(";",EscStr(CONCATENATE("NavNode_",getCategoryLevelAsString($B211))),";",EscStr($J211),";"),CONCATENATE(";",EscStr(CONCATENATE("NavNode_",getCategoryLevelAsString($B211))),";",EscStr(Q211),";")))</f>
        <v>;"NavNode_L2D_379617";"Kontrolslēdži un signālierīces 22 mm";</v>
      </c>
      <c r="AK211" s="10" t="str">
        <f>IF(getCategoryLevelAsString($B211)="L0D_324785","",IF(R211="",CONCATENATE(";",EscStr(CONCATENATE("NavNode_",getCategoryLevelAsString($B211))),";",EscStr($J211),";"),CONCATENATE(";",EscStr(CONCATENATE("NavNode_",getCategoryLevelAsString($B211))),";",EscStr(R211),";")))</f>
        <v>;"NavNode_L2D_379617";"Schakelaars en signalering voor besturingen (22mm serie)";</v>
      </c>
      <c r="AL211" s="10" t="str">
        <f>IF(getCategoryLevelAsString($B211)="L0D_324785","",IF(S211="",CONCATENATE(";",EscStr(CONCATENATE("NavNode_",getCategoryLevelAsString($B211))),";",EscStr($J211),";"),CONCATENATE(";",EscStr(CONCATENATE("NavNode_",getCategoryLevelAsString($B211))),";",EscStr(S211),";")))</f>
        <v>;"NavNode_L2D_379617";"Aparatura sterująca i sygnalizacyjna 22 mm";</v>
      </c>
      <c r="AM211" s="10" t="str">
        <f>IF(getCategoryLevelAsString($B211)="L0D_324785","",IF(T211="",CONCATENATE(";",EscStr(CONCATENATE("NavNode_",getCategoryLevelAsString($B211))),";",EscStr($J211),";"),CONCATENATE(";",EscStr(CONCATENATE("NavNode_",getCategoryLevelAsString($B211))),";",EscStr(T211),";")))</f>
        <v>;"NavNode_L2D_379617";"Переключатели управления и сигнальные устройства 22 мм";</v>
      </c>
      <c r="AN211" s="10" t="str">
        <f>IF(getCategoryLevelAsString($B211)="L0D_324785","",IF(U211="",CONCATENATE(";",EscStr(CONCATENATE("NavNode_",getCategoryLevelAsString($B211))),";",EscStr($J211),";"),CONCATENATE(";",EscStr(CONCATENATE("NavNode_",getCategoryLevelAsString($B211))),";",EscStr(U211),";")))</f>
        <v>;"NavNode_L2D_379617";"Ovládací a signalizační přístroje 22mm";</v>
      </c>
      <c r="AO211" s="10" t="str">
        <f>IF(getCategoryLevelAsString($B211)="L0D_324785","",IF(V211="",CONCATENATE(";",EscStr(CONCATENATE("NavNode_",getCategoryLevelAsString($B211))),";",EscStr($J211),";"),CONCATENATE(";",EscStr(CONCATENATE("NavNode_",getCategoryLevelAsString($B211))),";",EscStr(V211),";")))</f>
        <v>;"NavNode_L2D_379617";"Comanda si semnalizatoare 22 mm";</v>
      </c>
      <c r="AP211" s="10" t="str">
        <f>IF(getCategoryLevelAsString($B211)="L0D_324785","",IF(W211="",CONCATENATE(";",EscStr(CONCATENATE("NavNode_",getCategoryLevelAsString($B211))),";",EscStr($J211),";"),CONCATENATE(";",EscStr(CONCATENATE("NavNode_",getCategoryLevelAsString($B211))),";",EscStr(W211),";")))</f>
        <v>;"NavNode_L2D_379617";"Parancsbeviteli- és jelzőeszközök 22 mm";</v>
      </c>
      <c r="AQ211" s="10" t="str">
        <f>IF(getCategoryLevelAsString($B211)="L0D_324785","",IF(X211="",CONCATENATE(";",EscStr(CONCATENATE("NavNode_",getCategoryLevelAsString($B211))),";",EscStr($J211),";"),CONCATENATE(";",EscStr(CONCATENATE("NavNode_",getCategoryLevelAsString($B211))),";",EscStr(X211),";")))</f>
        <v>;"NavNode_L2D_379617";"Ovládací a signalizační přístroje 22mm";</v>
      </c>
      <c r="AR211" s="8" t="str">
        <f>IF(OR($A211&lt;&gt;"", $G211=""),"",CONCATENATE(";",EscStr(CONCATENATE("NavEntry_",getCategoryLevelAsString($B211))),";",EscStr(CONCATENATE($J211," Navigation Entry")),";",EscStr(CONCATENATE("cat-",getCategoryLevelAsString($B211))),";",EscStr(CONCATENATE("NavNode_",getCategoryLevelAsString($B211))),";"))</f>
        <v>;"NavEntry_L2D_379617";"Control Switches and Signalling Devices 22 mm Navigation Entry";"cat-L2D_379617";"NavNode_L2D_379617";</v>
      </c>
    </row>
    <row r="212" spans="1:44" ht="15" x14ac:dyDescent="0.25">
      <c r="A212" s="25"/>
      <c r="B212" s="5"/>
      <c r="C212" s="5" t="s">
        <v>40</v>
      </c>
      <c r="D212" s="5"/>
      <c r="E212" s="5"/>
      <c r="F212" s="5"/>
      <c r="G212" s="5" t="s">
        <v>281</v>
      </c>
      <c r="H212" s="5" t="s">
        <v>282</v>
      </c>
      <c r="I212" s="5" t="s">
        <v>283</v>
      </c>
      <c r="J212" s="5" t="s">
        <v>41</v>
      </c>
      <c r="K212" s="5" t="s">
        <v>1321</v>
      </c>
      <c r="L212" s="5" t="s">
        <v>1556</v>
      </c>
      <c r="M212" s="5" t="s">
        <v>1773</v>
      </c>
      <c r="N212" s="5" t="s">
        <v>1986</v>
      </c>
      <c r="O212" s="5" t="s">
        <v>3567</v>
      </c>
      <c r="P212" s="5" t="s">
        <v>3568</v>
      </c>
      <c r="Q212" s="5" t="s">
        <v>3569</v>
      </c>
      <c r="R212" s="5" t="s">
        <v>3570</v>
      </c>
      <c r="S212" s="5" t="s">
        <v>3571</v>
      </c>
      <c r="T212" s="5" t="s">
        <v>3572</v>
      </c>
      <c r="U212" s="5" t="s">
        <v>3573</v>
      </c>
      <c r="V212" s="5" t="s">
        <v>3574</v>
      </c>
      <c r="W212" s="5" t="s">
        <v>3575</v>
      </c>
      <c r="X212" s="5" t="s">
        <v>3573</v>
      </c>
      <c r="Y212" s="10" t="str">
        <f>IF(OR($A212&lt;&gt;"", $G212=""),"",CONCATENATE(";",EscStr(CONCATENATE("NavNode_",getCategoryLevelAsString($B212))),";",EscStr($J212),";",IF($B212&lt;&gt;"","""MainNavNode""",EscStr(CONCATENATE("NavNode_",getSuperCategory($B212, getCategoryLevelAsNumber($B212))))),";"))</f>
        <v>;"NavNode_L3D_525511";"Motors / Controllers / Actuators";"NavNode_L2D_379617";</v>
      </c>
      <c r="Z212" s="10" t="str">
        <f>IF(getCategoryLevelAsString($B212)="L0D_324785","",IF(G212="",CONCATENATE(";",EscStr(CONCATENATE("NavNode_",getCategoryLevelAsString($B212))),";",EscStr($J212),";"),CONCATENATE(";",EscStr(CONCATENATE("NavNode_",getCategoryLevelAsString($B212))),";",EscStr(G212),";")))</f>
        <v>;"NavNode_L3D_525511";"Antriebstechnik";</v>
      </c>
      <c r="AA212" s="10" t="str">
        <f>IF(getCategoryLevelAsString($B212)="L0D_324785","",IF(H212="",CONCATENATE(";",EscStr(CONCATENATE("NavNode_",getCategoryLevelAsString($B212))),";",EscStr($J212),";"),CONCATENATE(";",EscStr(CONCATENATE("NavNode_",getCategoryLevelAsString($B212))),";",EscStr(H212),";")))</f>
        <v>;"NavNode_L3D_525511";"Moteurs / Contrôleurs / Actionneurs";</v>
      </c>
      <c r="AB212" s="10" t="str">
        <f>IF(getCategoryLevelAsString($B212)="L0D_324785","",IF(I212="",CONCATENATE(";",EscStr(CONCATENATE("NavNode_",getCategoryLevelAsString($B212))),";",EscStr($J212),";"),CONCATENATE(";",EscStr(CONCATENATE("NavNode_",getCategoryLevelAsString($B212))),";",EscStr(I212),";")))</f>
        <v>;"NavNode_L3D_525511";"Motori / Controller / Attuatori";</v>
      </c>
      <c r="AC212" s="10" t="str">
        <f>IF(getCategoryLevelAsString($B212)="L0D_324785","",IF(J212="",CONCATENATE(";",EscStr(CONCATENATE("NavNode_",getCategoryLevelAsString($B212))),";",EscStr($J212),";"),CONCATENATE(";",EscStr(CONCATENATE("NavNode_",getCategoryLevelAsString($B212))),";",EscStr(J212),";")))</f>
        <v>;"NavNode_L3D_525511";"Motors / Controllers / Actuators";</v>
      </c>
      <c r="AD212" s="10" t="str">
        <f>IF(getCategoryLevelAsString($B212)="L0D_324785","",IF(K212="",CONCATENATE(";",EscStr(CONCATENATE("NavNode_",getCategoryLevelAsString($B212))),";",EscStr($J212),";"),CONCATENATE(";",EscStr(CONCATENATE("NavNode_",getCategoryLevelAsString($B212))),";",EscStr(K212),";")))</f>
        <v>;"NavNode_L3D_525511";"Motorer/controllere/aktuatorer";</v>
      </c>
      <c r="AE212" s="10" t="str">
        <f>IF(getCategoryLevelAsString($B212)="L0D_324785","",IF(L212="",CONCATENATE(";",EscStr(CONCATENATE("NavNode_",getCategoryLevelAsString($B212))),";",EscStr($J212),";"),CONCATENATE(";",EscStr(CONCATENATE("NavNode_",getCategoryLevelAsString($B212))),";",EscStr(L212),";")))</f>
        <v>;"NavNode_L3D_525511";"Varikliai / valdikliai / pavaros";</v>
      </c>
      <c r="AF212" s="10" t="str">
        <f>IF(getCategoryLevelAsString($B212)="L0D_324785","",IF(M212="",CONCATENATE(";",EscStr(CONCATENATE("NavNode_",getCategoryLevelAsString($B212))),";",EscStr($J212),";"),CONCATENATE(";",EscStr(CONCATENATE("NavNode_",getCategoryLevelAsString($B212))),";",EscStr(M212),";")))</f>
        <v>;"NavNode_L3D_525511";"Motorer/styreenheter/aktuatorer";</v>
      </c>
      <c r="AG212" s="10" t="str">
        <f>IF(getCategoryLevelAsString($B212)="L0D_324785","",IF(N212="",CONCATENATE(";",EscStr(CONCATENATE("NavNode_",getCategoryLevelAsString($B212))),";",EscStr($J212),";"),CONCATENATE(";",EscStr(CONCATENATE("NavNode_",getCategoryLevelAsString($B212))),";",EscStr(N212),";")))</f>
        <v>;"NavNode_L3D_525511";"Motorer/Styrenheter/Manöverdon";</v>
      </c>
      <c r="AH212" s="10" t="str">
        <f>IF(getCategoryLevelAsString($B212)="L0D_324785","",IF(O212="",CONCATENATE(";",EscStr(CONCATENATE("NavNode_",getCategoryLevelAsString($B212))),";",EscStr($J212),";"),CONCATENATE(";",EscStr(CONCATENATE("NavNode_",getCategoryLevelAsString($B212))),";",EscStr(O212),";")))</f>
        <v>;"NavNode_L3D_525511";"Mootorid / Kontrollerid / Täiturid";</v>
      </c>
      <c r="AI212" s="10" t="str">
        <f>IF(getCategoryLevelAsString($B212)="L0D_324785","",IF(P212="",CONCATENATE(";",EscStr(CONCATENATE("NavNode_",getCategoryLevelAsString($B212))),";",EscStr($J212),";"),CONCATENATE(";",EscStr(CONCATENATE("NavNode_",getCategoryLevelAsString($B212))),";",EscStr(P212),";")))</f>
        <v>;"NavNode_L3D_525511";"Moottorit/ ohjaimet";</v>
      </c>
      <c r="AJ212" s="10" t="str">
        <f>IF(getCategoryLevelAsString($B212)="L0D_324785","",IF(Q212="",CONCATENATE(";",EscStr(CONCATENATE("NavNode_",getCategoryLevelAsString($B212))),";",EscStr($J212),";"),CONCATENATE(";",EscStr(CONCATENATE("NavNode_",getCategoryLevelAsString($B212))),";",EscStr(Q212),";")))</f>
        <v>;"NavNode_L3D_525511";"Motori / Kontrolieri / Izpildmehānismi";</v>
      </c>
      <c r="AK212" s="10" t="str">
        <f>IF(getCategoryLevelAsString($B212)="L0D_324785","",IF(R212="",CONCATENATE(";",EscStr(CONCATENATE("NavNode_",getCategoryLevelAsString($B212))),";",EscStr($J212),";"),CONCATENATE(";",EscStr(CONCATENATE("NavNode_",getCategoryLevelAsString($B212))),";",EscStr(R212),";")))</f>
        <v>;"NavNode_L3D_525511";"Motoren / Besturingen / Actuatoren";</v>
      </c>
      <c r="AL212" s="10" t="str">
        <f>IF(getCategoryLevelAsString($B212)="L0D_324785","",IF(S212="",CONCATENATE(";",EscStr(CONCATENATE("NavNode_",getCategoryLevelAsString($B212))),";",EscStr($J212),";"),CONCATENATE(";",EscStr(CONCATENATE("NavNode_",getCategoryLevelAsString($B212))),";",EscStr(S212),";")))</f>
        <v>;"NavNode_L3D_525511";"Silniki / Sterowniki / Siłowniki";</v>
      </c>
      <c r="AM212" s="10" t="str">
        <f>IF(getCategoryLevelAsString($B212)="L0D_324785","",IF(T212="",CONCATENATE(";",EscStr(CONCATENATE("NavNode_",getCategoryLevelAsString($B212))),";",EscStr($J212),";"),CONCATENATE(";",EscStr(CONCATENATE("NavNode_",getCategoryLevelAsString($B212))),";",EscStr(T212),";")))</f>
        <v>;"NavNode_L3D_525511";"Двигатели / Контроллеры / Приводы";</v>
      </c>
      <c r="AN212" s="10" t="str">
        <f>IF(getCategoryLevelAsString($B212)="L0D_324785","",IF(U212="",CONCATENATE(";",EscStr(CONCATENATE("NavNode_",getCategoryLevelAsString($B212))),";",EscStr($J212),";"),CONCATENATE(";",EscStr(CONCATENATE("NavNode_",getCategoryLevelAsString($B212))),";",EscStr(U212),";")))</f>
        <v>;"NavNode_L3D_525511";"Technika pohonů";</v>
      </c>
      <c r="AO212" s="10" t="str">
        <f>IF(getCategoryLevelAsString($B212)="L0D_324785","",IF(V212="",CONCATENATE(";",EscStr(CONCATENATE("NavNode_",getCategoryLevelAsString($B212))),";",EscStr($J212),";"),CONCATENATE(";",EscStr(CONCATENATE("NavNode_",getCategoryLevelAsString($B212))),";",EscStr(V212),";")))</f>
        <v>;"NavNode_L3D_525511";"Tehnologii de acţionare";</v>
      </c>
      <c r="AP212" s="10" t="str">
        <f>IF(getCategoryLevelAsString($B212)="L0D_324785","",IF(W212="",CONCATENATE(";",EscStr(CONCATENATE("NavNode_",getCategoryLevelAsString($B212))),";",EscStr($J212),";"),CONCATENATE(";",EscStr(CONCATENATE("NavNode_",getCategoryLevelAsString($B212))),";",EscStr(W212),";")))</f>
        <v>;"NavNode_L3D_525511";"Meghajtástechnika";</v>
      </c>
      <c r="AQ212" s="10" t="str">
        <f>IF(getCategoryLevelAsString($B212)="L0D_324785","",IF(X212="",CONCATENATE(";",EscStr(CONCATENATE("NavNode_",getCategoryLevelAsString($B212))),";",EscStr($J212),";"),CONCATENATE(";",EscStr(CONCATENATE("NavNode_",getCategoryLevelAsString($B212))),";",EscStr(X212),";")))</f>
        <v>;"NavNode_L3D_525511";"Technika pohonů";</v>
      </c>
      <c r="AR212" s="8" t="str">
        <f>IF(OR($A212&lt;&gt;"", $G212=""),"",CONCATENATE(";",EscStr(CONCATENATE("NavEntry_",getCategoryLevelAsString($B212))),";",EscStr(CONCATENATE($J212," Navigation Entry")),";",EscStr(CONCATENATE("cat-",getCategoryLevelAsString($B212))),";",EscStr(CONCATENATE("NavNode_",getCategoryLevelAsString($B212))),";"))</f>
        <v>;"NavEntry_L3D_525511";"Motors / Controllers / Actuators Navigation Entry";"cat-L3D_525511";"NavNode_L3D_525511";</v>
      </c>
    </row>
    <row r="213" spans="1:44" ht="15" x14ac:dyDescent="0.25">
      <c r="A213" s="25"/>
      <c r="B213" s="5"/>
      <c r="C213" s="5"/>
      <c r="D213" s="5" t="s">
        <v>76</v>
      </c>
      <c r="E213" s="5"/>
      <c r="F213" s="5"/>
      <c r="G213" s="5" t="s">
        <v>980</v>
      </c>
      <c r="H213" s="5" t="s">
        <v>295</v>
      </c>
      <c r="I213" s="5" t="s">
        <v>296</v>
      </c>
      <c r="J213" s="5" t="s">
        <v>77</v>
      </c>
      <c r="K213" s="5" t="s">
        <v>1322</v>
      </c>
      <c r="L213" s="5" t="s">
        <v>1557</v>
      </c>
      <c r="M213" s="5" t="s">
        <v>1774</v>
      </c>
      <c r="N213" s="5" t="s">
        <v>1987</v>
      </c>
      <c r="O213" s="5" t="s">
        <v>3576</v>
      </c>
      <c r="P213" s="5" t="s">
        <v>3577</v>
      </c>
      <c r="Q213" s="5" t="s">
        <v>3578</v>
      </c>
      <c r="R213" s="5" t="s">
        <v>3579</v>
      </c>
      <c r="S213" s="5" t="s">
        <v>3580</v>
      </c>
      <c r="T213" s="5" t="s">
        <v>3581</v>
      </c>
      <c r="U213" s="5" t="s">
        <v>3582</v>
      </c>
      <c r="V213" s="5" t="s">
        <v>3583</v>
      </c>
      <c r="W213" s="5" t="s">
        <v>3584</v>
      </c>
      <c r="X213" s="5" t="s">
        <v>3582</v>
      </c>
      <c r="Y213" s="10" t="str">
        <f>IF(OR($A213&lt;&gt;"", $G213=""),"",CONCATENATE(";",EscStr(CONCATENATE("NavNode_",getCategoryLevelAsString($B213))),";",EscStr($J213),";",IF($B213&lt;&gt;"","""MainNavNode""",EscStr(CONCATENATE("NavNode_",getSuperCategory($B213, getCategoryLevelAsNumber($B213))))),";"))</f>
        <v>;"NavNode_L3D_525512";"Motor Controllers";"NavNode_L2D_379617";</v>
      </c>
      <c r="Z213" s="10" t="str">
        <f>IF(getCategoryLevelAsString($B213)="L0D_324785","",IF(G213="",CONCATENATE(";",EscStr(CONCATENATE("NavNode_",getCategoryLevelAsString($B213))),";",EscStr($J213),";"),CONCATENATE(";",EscStr(CONCATENATE("NavNode_",getCategoryLevelAsString($B213))),";",EscStr(G213),";")))</f>
        <v>;"NavNode_L3D_525512";"Motorsteuerungen";</v>
      </c>
      <c r="AA213" s="10" t="str">
        <f>IF(getCategoryLevelAsString($B213)="L0D_324785","",IF(H213="",CONCATENATE(";",EscStr(CONCATENATE("NavNode_",getCategoryLevelAsString($B213))),";",EscStr($J213),";"),CONCATENATE(";",EscStr(CONCATENATE("NavNode_",getCategoryLevelAsString($B213))),";",EscStr(H213),";")))</f>
        <v>;"NavNode_L3D_525512";"Commandes de moteur";</v>
      </c>
      <c r="AB213" s="10" t="str">
        <f>IF(getCategoryLevelAsString($B213)="L0D_324785","",IF(I213="",CONCATENATE(";",EscStr(CONCATENATE("NavNode_",getCategoryLevelAsString($B213))),";",EscStr($J213),";"),CONCATENATE(";",EscStr(CONCATENATE("NavNode_",getCategoryLevelAsString($B213))),";",EscStr(I213),";")))</f>
        <v>;"NavNode_L3D_525512";"Controller per motori";</v>
      </c>
      <c r="AC213" s="10" t="str">
        <f>IF(getCategoryLevelAsString($B213)="L0D_324785","",IF(J213="",CONCATENATE(";",EscStr(CONCATENATE("NavNode_",getCategoryLevelAsString($B213))),";",EscStr($J213),";"),CONCATENATE(";",EscStr(CONCATENATE("NavNode_",getCategoryLevelAsString($B213))),";",EscStr(J213),";")))</f>
        <v>;"NavNode_L3D_525512";"Motor Controllers";</v>
      </c>
      <c r="AD213" s="10" t="str">
        <f>IF(getCategoryLevelAsString($B213)="L0D_324785","",IF(K213="",CONCATENATE(";",EscStr(CONCATENATE("NavNode_",getCategoryLevelAsString($B213))),";",EscStr($J213),";"),CONCATENATE(";",EscStr(CONCATENATE("NavNode_",getCategoryLevelAsString($B213))),";",EscStr(K213),";")))</f>
        <v>;"NavNode_L3D_525512";"Motorcontrollere";</v>
      </c>
      <c r="AE213" s="10" t="str">
        <f>IF(getCategoryLevelAsString($B213)="L0D_324785","",IF(L213="",CONCATENATE(";",EscStr(CONCATENATE("NavNode_",getCategoryLevelAsString($B213))),";",EscStr($J213),";"),CONCATENATE(";",EscStr(CONCATENATE("NavNode_",getCategoryLevelAsString($B213))),";",EscStr(L213),";")))</f>
        <v>;"NavNode_L3D_525512";"Variklių valdikliai";</v>
      </c>
      <c r="AF213" s="10" t="str">
        <f>IF(getCategoryLevelAsString($B213)="L0D_324785","",IF(M213="",CONCATENATE(";",EscStr(CONCATENATE("NavNode_",getCategoryLevelAsString($B213))),";",EscStr($J213),";"),CONCATENATE(";",EscStr(CONCATENATE("NavNode_",getCategoryLevelAsString($B213))),";",EscStr(M213),";")))</f>
        <v>;"NavNode_L3D_525512";"Motorstyringer";</v>
      </c>
      <c r="AG213" s="10" t="str">
        <f>IF(getCategoryLevelAsString($B213)="L0D_324785","",IF(N213="",CONCATENATE(";",EscStr(CONCATENATE("NavNode_",getCategoryLevelAsString($B213))),";",EscStr($J213),";"),CONCATENATE(";",EscStr(CONCATENATE("NavNode_",getCategoryLevelAsString($B213))),";",EscStr(N213),";")))</f>
        <v>;"NavNode_L3D_525512";"Motorstyrning";</v>
      </c>
      <c r="AH213" s="10" t="str">
        <f>IF(getCategoryLevelAsString($B213)="L0D_324785","",IF(O213="",CONCATENATE(";",EscStr(CONCATENATE("NavNode_",getCategoryLevelAsString($B213))),";",EscStr($J213),";"),CONCATENATE(";",EscStr(CONCATENATE("NavNode_",getCategoryLevelAsString($B213))),";",EscStr(O213),";")))</f>
        <v>;"NavNode_L3D_525512";"Mootori kontrollerid";</v>
      </c>
      <c r="AI213" s="10" t="str">
        <f>IF(getCategoryLevelAsString($B213)="L0D_324785","",IF(P213="",CONCATENATE(";",EscStr(CONCATENATE("NavNode_",getCategoryLevelAsString($B213))),";",EscStr($J213),";"),CONCATENATE(";",EscStr(CONCATENATE("NavNode_",getCategoryLevelAsString($B213))),";",EscStr(P213),";")))</f>
        <v>;"NavNode_L3D_525512";"Moottoriohjaimet";</v>
      </c>
      <c r="AJ213" s="10" t="str">
        <f>IF(getCategoryLevelAsString($B213)="L0D_324785","",IF(Q213="",CONCATENATE(";",EscStr(CONCATENATE("NavNode_",getCategoryLevelAsString($B213))),";",EscStr($J213),";"),CONCATENATE(";",EscStr(CONCATENATE("NavNode_",getCategoryLevelAsString($B213))),";",EscStr(Q213),";")))</f>
        <v>;"NavNode_L3D_525512";"Motoru kontrolieri";</v>
      </c>
      <c r="AK213" s="10" t="str">
        <f>IF(getCategoryLevelAsString($B213)="L0D_324785","",IF(R213="",CONCATENATE(";",EscStr(CONCATENATE("NavNode_",getCategoryLevelAsString($B213))),";",EscStr($J213),";"),CONCATENATE(";",EscStr(CONCATENATE("NavNode_",getCategoryLevelAsString($B213))),";",EscStr(R213),";")))</f>
        <v>;"NavNode_L3D_525512";"Motorbesturingen";</v>
      </c>
      <c r="AL213" s="10" t="str">
        <f>IF(getCategoryLevelAsString($B213)="L0D_324785","",IF(S213="",CONCATENATE(";",EscStr(CONCATENATE("NavNode_",getCategoryLevelAsString($B213))),";",EscStr($J213),";"),CONCATENATE(";",EscStr(CONCATENATE("NavNode_",getCategoryLevelAsString($B213))),";",EscStr(S213),";")))</f>
        <v>;"NavNode_L3D_525512";"Sterowanie silników";</v>
      </c>
      <c r="AM213" s="10" t="str">
        <f>IF(getCategoryLevelAsString($B213)="L0D_324785","",IF(T213="",CONCATENATE(";",EscStr(CONCATENATE("NavNode_",getCategoryLevelAsString($B213))),";",EscStr($J213),";"),CONCATENATE(";",EscStr(CONCATENATE("NavNode_",getCategoryLevelAsString($B213))),";",EscStr(T213),";")))</f>
        <v>;"NavNode_L3D_525512";"Управление двигателями";</v>
      </c>
      <c r="AN213" s="10" t="str">
        <f>IF(getCategoryLevelAsString($B213)="L0D_324785","",IF(U213="",CONCATENATE(";",EscStr(CONCATENATE("NavNode_",getCategoryLevelAsString($B213))),";",EscStr($J213),";"),CONCATENATE(";",EscStr(CONCATENATE("NavNode_",getCategoryLevelAsString($B213))),";",EscStr(U213),";")))</f>
        <v>;"NavNode_L3D_525512";"Ovladanie motorů";</v>
      </c>
      <c r="AO213" s="10" t="str">
        <f>IF(getCategoryLevelAsString($B213)="L0D_324785","",IF(V213="",CONCATENATE(";",EscStr(CONCATENATE("NavNode_",getCategoryLevelAsString($B213))),";",EscStr($J213),";"),CONCATENATE(";",EscStr(CONCATENATE("NavNode_",getCategoryLevelAsString($B213))),";",EscStr(V213),";")))</f>
        <v>;"NavNode_L3D_525512";"Motoare de comandă";</v>
      </c>
      <c r="AP213" s="10" t="str">
        <f>IF(getCategoryLevelAsString($B213)="L0D_324785","",IF(W213="",CONCATENATE(";",EscStr(CONCATENATE("NavNode_",getCategoryLevelAsString($B213))),";",EscStr($J213),";"),CONCATENATE(";",EscStr(CONCATENATE("NavNode_",getCategoryLevelAsString($B213))),";",EscStr(W213),";")))</f>
        <v>;"NavNode_L3D_525512";"Motorvezérlések";</v>
      </c>
      <c r="AQ213" s="10" t="str">
        <f>IF(getCategoryLevelAsString($B213)="L0D_324785","",IF(X213="",CONCATENATE(";",EscStr(CONCATENATE("NavNode_",getCategoryLevelAsString($B213))),";",EscStr($J213),";"),CONCATENATE(";",EscStr(CONCATENATE("NavNode_",getCategoryLevelAsString($B213))),";",EscStr(X213),";")))</f>
        <v>;"NavNode_L3D_525512";"Ovladanie motorů";</v>
      </c>
      <c r="AR213" s="8" t="str">
        <f>IF(OR($A213&lt;&gt;"", $G213=""),"",CONCATENATE(";",EscStr(CONCATENATE("NavEntry_",getCategoryLevelAsString($B213))),";",EscStr(CONCATENATE($J213," Navigation Entry")),";",EscStr(CONCATENATE("cat-",getCategoryLevelAsString($B213))),";",EscStr(CONCATENATE("NavNode_",getCategoryLevelAsString($B213))),";"))</f>
        <v>;"NavEntry_L3D_525512";"Motor Controllers Navigation Entry";"cat-L3D_525512";"NavNode_L3D_525512";</v>
      </c>
    </row>
    <row r="214" spans="1:44" ht="15" x14ac:dyDescent="0.25">
      <c r="A214" s="25"/>
      <c r="B214" s="5"/>
      <c r="C214" s="5"/>
      <c r="D214" s="5" t="s">
        <v>72</v>
      </c>
      <c r="E214" s="5"/>
      <c r="F214" s="5"/>
      <c r="G214" s="5" t="s">
        <v>289</v>
      </c>
      <c r="H214" s="5" t="s">
        <v>290</v>
      </c>
      <c r="I214" s="5" t="s">
        <v>291</v>
      </c>
      <c r="J214" s="5" t="s">
        <v>73</v>
      </c>
      <c r="K214" s="5" t="s">
        <v>1323</v>
      </c>
      <c r="L214" s="5" t="s">
        <v>1558</v>
      </c>
      <c r="M214" s="5" t="s">
        <v>1775</v>
      </c>
      <c r="N214" s="5" t="s">
        <v>1988</v>
      </c>
      <c r="O214" s="5" t="s">
        <v>3585</v>
      </c>
      <c r="P214" s="5" t="s">
        <v>3586</v>
      </c>
      <c r="Q214" s="5" t="s">
        <v>3587</v>
      </c>
      <c r="R214" s="5" t="s">
        <v>3588</v>
      </c>
      <c r="S214" s="5" t="s">
        <v>3589</v>
      </c>
      <c r="T214" s="5" t="s">
        <v>3590</v>
      </c>
      <c r="U214" s="5" t="s">
        <v>3591</v>
      </c>
      <c r="V214" s="5" t="s">
        <v>3592</v>
      </c>
      <c r="W214" s="5" t="s">
        <v>3593</v>
      </c>
      <c r="X214" s="5" t="s">
        <v>3591</v>
      </c>
      <c r="Y214" s="10" t="str">
        <f>IF(OR($A214&lt;&gt;"", $G214=""),"",CONCATENATE(";",EscStr(CONCATENATE("NavNode_",getCategoryLevelAsString($B214))),";",EscStr($J214),";",IF($B214&lt;&gt;"","""MainNavNode""",EscStr(CONCATENATE("NavNode_",getSuperCategory($B214, getCategoryLevelAsNumber($B214))))),";"))</f>
        <v>;"NavNode_L3D_525513";"Direct Current Motors";"NavNode_L2D_379617";</v>
      </c>
      <c r="Z214" s="10" t="str">
        <f>IF(getCategoryLevelAsString($B214)="L0D_324785","",IF(G214="",CONCATENATE(";",EscStr(CONCATENATE("NavNode_",getCategoryLevelAsString($B214))),";",EscStr($J214),";"),CONCATENATE(";",EscStr(CONCATENATE("NavNode_",getCategoryLevelAsString($B214))),";",EscStr(G214),";")))</f>
        <v>;"NavNode_L3D_525513";"Gleichstrommotoren";</v>
      </c>
      <c r="AA214" s="10" t="str">
        <f>IF(getCategoryLevelAsString($B214)="L0D_324785","",IF(H214="",CONCATENATE(";",EscStr(CONCATENATE("NavNode_",getCategoryLevelAsString($B214))),";",EscStr($J214),";"),CONCATENATE(";",EscStr(CONCATENATE("NavNode_",getCategoryLevelAsString($B214))),";",EscStr(H214),";")))</f>
        <v>;"NavNode_L3D_525513";"Moteurs à courant continu";</v>
      </c>
      <c r="AB214" s="10" t="str">
        <f>IF(getCategoryLevelAsString($B214)="L0D_324785","",IF(I214="",CONCATENATE(";",EscStr(CONCATENATE("NavNode_",getCategoryLevelAsString($B214))),";",EscStr($J214),";"),CONCATENATE(";",EscStr(CONCATENATE("NavNode_",getCategoryLevelAsString($B214))),";",EscStr(I214),";")))</f>
        <v>;"NavNode_L3D_525513";"Motori a corrente continua";</v>
      </c>
      <c r="AC214" s="10" t="str">
        <f>IF(getCategoryLevelAsString($B214)="L0D_324785","",IF(J214="",CONCATENATE(";",EscStr(CONCATENATE("NavNode_",getCategoryLevelAsString($B214))),";",EscStr($J214),";"),CONCATENATE(";",EscStr(CONCATENATE("NavNode_",getCategoryLevelAsString($B214))),";",EscStr(J214),";")))</f>
        <v>;"NavNode_L3D_525513";"Direct Current Motors";</v>
      </c>
      <c r="AD214" s="10" t="str">
        <f>IF(getCategoryLevelAsString($B214)="L0D_324785","",IF(K214="",CONCATENATE(";",EscStr(CONCATENATE("NavNode_",getCategoryLevelAsString($B214))),";",EscStr($J214),";"),CONCATENATE(";",EscStr(CONCATENATE("NavNode_",getCategoryLevelAsString($B214))),";",EscStr(K214),";")))</f>
        <v>;"NavNode_L3D_525513";"Jævnstrømsmotorer";</v>
      </c>
      <c r="AE214" s="10" t="str">
        <f>IF(getCategoryLevelAsString($B214)="L0D_324785","",IF(L214="",CONCATENATE(";",EscStr(CONCATENATE("NavNode_",getCategoryLevelAsString($B214))),";",EscStr($J214),";"),CONCATENATE(";",EscStr(CONCATENATE("NavNode_",getCategoryLevelAsString($B214))),";",EscStr(L214),";")))</f>
        <v>;"NavNode_L3D_525513";"Tiesioginės srovės varikliai";</v>
      </c>
      <c r="AF214" s="10" t="str">
        <f>IF(getCategoryLevelAsString($B214)="L0D_324785","",IF(M214="",CONCATENATE(";",EscStr(CONCATENATE("NavNode_",getCategoryLevelAsString($B214))),";",EscStr($J214),";"),CONCATENATE(";",EscStr(CONCATENATE("NavNode_",getCategoryLevelAsString($B214))),";",EscStr(M214),";")))</f>
        <v>;"NavNode_L3D_525513";"Likestrømsmotorer";</v>
      </c>
      <c r="AG214" s="10" t="str">
        <f>IF(getCategoryLevelAsString($B214)="L0D_324785","",IF(N214="",CONCATENATE(";",EscStr(CONCATENATE("NavNode_",getCategoryLevelAsString($B214))),";",EscStr($J214),";"),CONCATENATE(";",EscStr(CONCATENATE("NavNode_",getCategoryLevelAsString($B214))),";",EscStr(N214),";")))</f>
        <v>;"NavNode_L3D_525513";"Likströmsmotorer";</v>
      </c>
      <c r="AH214" s="10" t="str">
        <f>IF(getCategoryLevelAsString($B214)="L0D_324785","",IF(O214="",CONCATENATE(";",EscStr(CONCATENATE("NavNode_",getCategoryLevelAsString($B214))),";",EscStr($J214),";"),CONCATENATE(";",EscStr(CONCATENATE("NavNode_",getCategoryLevelAsString($B214))),";",EscStr(O214),";")))</f>
        <v>;"NavNode_L3D_525513";"Alalisvoolumootorid";</v>
      </c>
      <c r="AI214" s="10" t="str">
        <f>IF(getCategoryLevelAsString($B214)="L0D_324785","",IF(P214="",CONCATENATE(";",EscStr(CONCATENATE("NavNode_",getCategoryLevelAsString($B214))),";",EscStr($J214),";"),CONCATENATE(";",EscStr(CONCATENATE("NavNode_",getCategoryLevelAsString($B214))),";",EscStr(P214),";")))</f>
        <v>;"NavNode_L3D_525513";"DC-virtamoottorit";</v>
      </c>
      <c r="AJ214" s="10" t="str">
        <f>IF(getCategoryLevelAsString($B214)="L0D_324785","",IF(Q214="",CONCATENATE(";",EscStr(CONCATENATE("NavNode_",getCategoryLevelAsString($B214))),";",EscStr($J214),";"),CONCATENATE(";",EscStr(CONCATENATE("NavNode_",getCategoryLevelAsString($B214))),";",EscStr(Q214),";")))</f>
        <v>;"NavNode_L3D_525513";"Līdzstrāvas motori";</v>
      </c>
      <c r="AK214" s="10" t="str">
        <f>IF(getCategoryLevelAsString($B214)="L0D_324785","",IF(R214="",CONCATENATE(";",EscStr(CONCATENATE("NavNode_",getCategoryLevelAsString($B214))),";",EscStr($J214),";"),CONCATENATE(";",EscStr(CONCATENATE("NavNode_",getCategoryLevelAsString($B214))),";",EscStr(R214),";")))</f>
        <v>;"NavNode_L3D_525513";"Gelijkstroommotoren";</v>
      </c>
      <c r="AL214" s="10" t="str">
        <f>IF(getCategoryLevelAsString($B214)="L0D_324785","",IF(S214="",CONCATENATE(";",EscStr(CONCATENATE("NavNode_",getCategoryLevelAsString($B214))),";",EscStr($J214),";"),CONCATENATE(";",EscStr(CONCATENATE("NavNode_",getCategoryLevelAsString($B214))),";",EscStr(S214),";")))</f>
        <v>;"NavNode_L3D_525513";"Silniki prądu stałego";</v>
      </c>
      <c r="AM214" s="10" t="str">
        <f>IF(getCategoryLevelAsString($B214)="L0D_324785","",IF(T214="",CONCATENATE(";",EscStr(CONCATENATE("NavNode_",getCategoryLevelAsString($B214))),";",EscStr($J214),";"),CONCATENATE(";",EscStr(CONCATENATE("NavNode_",getCategoryLevelAsString($B214))),";",EscStr(T214),";")))</f>
        <v>;"NavNode_L3D_525513";"Двигатели постоянного тока";</v>
      </c>
      <c r="AN214" s="10" t="str">
        <f>IF(getCategoryLevelAsString($B214)="L0D_324785","",IF(U214="",CONCATENATE(";",EscStr(CONCATENATE("NavNode_",getCategoryLevelAsString($B214))),";",EscStr($J214),";"),CONCATENATE(";",EscStr(CONCATENATE("NavNode_",getCategoryLevelAsString($B214))),";",EscStr(U214),";")))</f>
        <v>;"NavNode_L3D_525513";"Stejnosměrné motory";</v>
      </c>
      <c r="AO214" s="10" t="str">
        <f>IF(getCategoryLevelAsString($B214)="L0D_324785","",IF(V214="",CONCATENATE(";",EscStr(CONCATENATE("NavNode_",getCategoryLevelAsString($B214))),";",EscStr($J214),";"),CONCATENATE(";",EscStr(CONCATENATE("NavNode_",getCategoryLevelAsString($B214))),";",EscStr(V214),";")))</f>
        <v>;"NavNode_L3D_525513";"Motoare de curent continu";</v>
      </c>
      <c r="AP214" s="10" t="str">
        <f>IF(getCategoryLevelAsString($B214)="L0D_324785","",IF(W214="",CONCATENATE(";",EscStr(CONCATENATE("NavNode_",getCategoryLevelAsString($B214))),";",EscStr($J214),";"),CONCATENATE(";",EscStr(CONCATENATE("NavNode_",getCategoryLevelAsString($B214))),";",EscStr(W214),";")))</f>
        <v>;"NavNode_L3D_525513";"Egyenáramú motorok";</v>
      </c>
      <c r="AQ214" s="10" t="str">
        <f>IF(getCategoryLevelAsString($B214)="L0D_324785","",IF(X214="",CONCATENATE(";",EscStr(CONCATENATE("NavNode_",getCategoryLevelAsString($B214))),";",EscStr($J214),";"),CONCATENATE(";",EscStr(CONCATENATE("NavNode_",getCategoryLevelAsString($B214))),";",EscStr(X214),";")))</f>
        <v>;"NavNode_L3D_525513";"Stejnosměrné motory";</v>
      </c>
      <c r="AR214" s="8" t="str">
        <f>IF(OR($A214&lt;&gt;"", $G214=""),"",CONCATENATE(";",EscStr(CONCATENATE("NavEntry_",getCategoryLevelAsString($B214))),";",EscStr(CONCATENATE($J214," Navigation Entry")),";",EscStr(CONCATENATE("cat-",getCategoryLevelAsString($B214))),";",EscStr(CONCATENATE("NavNode_",getCategoryLevelAsString($B214))),";"))</f>
        <v>;"NavEntry_L3D_525513";"Direct Current Motors Navigation Entry";"cat-L3D_525513";"NavNode_L3D_525513";</v>
      </c>
    </row>
    <row r="215" spans="1:44" ht="15" x14ac:dyDescent="0.25">
      <c r="A215" s="25"/>
      <c r="B215" s="5"/>
      <c r="C215" s="5"/>
      <c r="D215" s="5" t="s">
        <v>78</v>
      </c>
      <c r="E215" s="5"/>
      <c r="F215" s="5"/>
      <c r="G215" s="5" t="s">
        <v>297</v>
      </c>
      <c r="H215" s="5" t="s">
        <v>298</v>
      </c>
      <c r="I215" s="5" t="s">
        <v>299</v>
      </c>
      <c r="J215" s="5" t="s">
        <v>79</v>
      </c>
      <c r="K215" s="5" t="s">
        <v>1324</v>
      </c>
      <c r="L215" s="5" t="s">
        <v>1559</v>
      </c>
      <c r="M215" s="5" t="s">
        <v>1776</v>
      </c>
      <c r="N215" s="5" t="s">
        <v>1989</v>
      </c>
      <c r="O215" s="5" t="s">
        <v>3594</v>
      </c>
      <c r="P215" s="5" t="s">
        <v>3595</v>
      </c>
      <c r="Q215" s="5" t="s">
        <v>3596</v>
      </c>
      <c r="R215" s="5" t="s">
        <v>3597</v>
      </c>
      <c r="S215" s="5" t="s">
        <v>3598</v>
      </c>
      <c r="T215" s="5" t="s">
        <v>3599</v>
      </c>
      <c r="U215" s="5" t="s">
        <v>3600</v>
      </c>
      <c r="V215" s="5" t="s">
        <v>3601</v>
      </c>
      <c r="W215" s="5" t="s">
        <v>3602</v>
      </c>
      <c r="X215" s="5" t="s">
        <v>3600</v>
      </c>
      <c r="Y215" s="10" t="str">
        <f>IF(OR($A215&lt;&gt;"", $G215=""),"",CONCATENATE(";",EscStr(CONCATENATE("NavNode_",getCategoryLevelAsString($B215))),";",EscStr($J215),";",IF($B215&lt;&gt;"","""MainNavNode""",EscStr(CONCATENATE("NavNode_",getSuperCategory($B215, getCategoryLevelAsNumber($B215))))),";"))</f>
        <v>;"NavNode_L3D_525514";"Stepper Motors and Servo Drives";"NavNode_L2D_379617";</v>
      </c>
      <c r="Z215" s="10" t="str">
        <f>IF(getCategoryLevelAsString($B215)="L0D_324785","",IF(G215="",CONCATENATE(";",EscStr(CONCATENATE("NavNode_",getCategoryLevelAsString($B215))),";",EscStr($J215),";"),CONCATENATE(";",EscStr(CONCATENATE("NavNode_",getCategoryLevelAsString($B215))),";",EscStr(G215),";")))</f>
        <v>;"NavNode_L3D_525514";"Schrittmotoren und Servoantriebe";</v>
      </c>
      <c r="AA215" s="10" t="str">
        <f>IF(getCategoryLevelAsString($B215)="L0D_324785","",IF(H215="",CONCATENATE(";",EscStr(CONCATENATE("NavNode_",getCategoryLevelAsString($B215))),";",EscStr($J215),";"),CONCATENATE(";",EscStr(CONCATENATE("NavNode_",getCategoryLevelAsString($B215))),";",EscStr(H215),";")))</f>
        <v>;"NavNode_L3D_525514";"Moteurs pas à pas et Servocommandes";</v>
      </c>
      <c r="AB215" s="10" t="str">
        <f>IF(getCategoryLevelAsString($B215)="L0D_324785","",IF(I215="",CONCATENATE(";",EscStr(CONCATENATE("NavNode_",getCategoryLevelAsString($B215))),";",EscStr($J215),";"),CONCATENATE(";",EscStr(CONCATENATE("NavNode_",getCategoryLevelAsString($B215))),";",EscStr(I215),";")))</f>
        <v>;"NavNode_L3D_525514";"Motori passo-passo e servoazionamenti";</v>
      </c>
      <c r="AC215" s="10" t="str">
        <f>IF(getCategoryLevelAsString($B215)="L0D_324785","",IF(J215="",CONCATENATE(";",EscStr(CONCATENATE("NavNode_",getCategoryLevelAsString($B215))),";",EscStr($J215),";"),CONCATENATE(";",EscStr(CONCATENATE("NavNode_",getCategoryLevelAsString($B215))),";",EscStr(J215),";")))</f>
        <v>;"NavNode_L3D_525514";"Stepper Motors and Servo Drives";</v>
      </c>
      <c r="AD215" s="10" t="str">
        <f>IF(getCategoryLevelAsString($B215)="L0D_324785","",IF(K215="",CONCATENATE(";",EscStr(CONCATENATE("NavNode_",getCategoryLevelAsString($B215))),";",EscStr($J215),";"),CONCATENATE(";",EscStr(CONCATENATE("NavNode_",getCategoryLevelAsString($B215))),";",EscStr(K215),";")))</f>
        <v>;"NavNode_L3D_525514";"Stepmotorer og servodrev";</v>
      </c>
      <c r="AE215" s="10" t="str">
        <f>IF(getCategoryLevelAsString($B215)="L0D_324785","",IF(L215="",CONCATENATE(";",EscStr(CONCATENATE("NavNode_",getCategoryLevelAsString($B215))),";",EscStr($J215),";"),CONCATENATE(";",EscStr(CONCATENATE("NavNode_",getCategoryLevelAsString($B215))),";",EscStr(L215),";")))</f>
        <v>;"NavNode_L3D_525514";"Žingsniniai varikliai ir vykdomosios pavaros";</v>
      </c>
      <c r="AF215" s="10" t="str">
        <f>IF(getCategoryLevelAsString($B215)="L0D_324785","",IF(M215="",CONCATENATE(";",EscStr(CONCATENATE("NavNode_",getCategoryLevelAsString($B215))),";",EscStr($J215),";"),CONCATENATE(";",EscStr(CONCATENATE("NavNode_",getCategoryLevelAsString($B215))),";",EscStr(M215),";")))</f>
        <v>;"NavNode_L3D_525514";"Trinnmotorer og servomotorer";</v>
      </c>
      <c r="AG215" s="10" t="str">
        <f>IF(getCategoryLevelAsString($B215)="L0D_324785","",IF(N215="",CONCATENATE(";",EscStr(CONCATENATE("NavNode_",getCategoryLevelAsString($B215))),";",EscStr($J215),";"),CONCATENATE(";",EscStr(CONCATENATE("NavNode_",getCategoryLevelAsString($B215))),";",EscStr(N215),";")))</f>
        <v>;"NavNode_L3D_525514";"Stegmotorer och servodrivenheter";</v>
      </c>
      <c r="AH215" s="10" t="str">
        <f>IF(getCategoryLevelAsString($B215)="L0D_324785","",IF(O215="",CONCATENATE(";",EscStr(CONCATENATE("NavNode_",getCategoryLevelAsString($B215))),";",EscStr($J215),";"),CONCATENATE(";",EscStr(CONCATENATE("NavNode_",getCategoryLevelAsString($B215))),";",EscStr(O215),";")))</f>
        <v>;"NavNode_L3D_525514";"Sammmootorid ja servoajamid";</v>
      </c>
      <c r="AI215" s="10" t="str">
        <f>IF(getCategoryLevelAsString($B215)="L0D_324785","",IF(P215="",CONCATENATE(";",EscStr(CONCATENATE("NavNode_",getCategoryLevelAsString($B215))),";",EscStr($J215),";"),CONCATENATE(";",EscStr(CONCATENATE("NavNode_",getCategoryLevelAsString($B215))),";",EscStr(P215),";")))</f>
        <v>;"NavNode_L3D_525514";"Askelmoottorit";</v>
      </c>
      <c r="AJ215" s="10" t="str">
        <f>IF(getCategoryLevelAsString($B215)="L0D_324785","",IF(Q215="",CONCATENATE(";",EscStr(CONCATENATE("NavNode_",getCategoryLevelAsString($B215))),";",EscStr($J215),";"),CONCATENATE(";",EscStr(CONCATENATE("NavNode_",getCategoryLevelAsString($B215))),";",EscStr(Q215),";")))</f>
        <v>;"NavNode_L3D_525514";"Soļu dzinēji un servodzinēji";</v>
      </c>
      <c r="AK215" s="10" t="str">
        <f>IF(getCategoryLevelAsString($B215)="L0D_324785","",IF(R215="",CONCATENATE(";",EscStr(CONCATENATE("NavNode_",getCategoryLevelAsString($B215))),";",EscStr($J215),";"),CONCATENATE(";",EscStr(CONCATENATE("NavNode_",getCategoryLevelAsString($B215))),";",EscStr(R215),";")))</f>
        <v>;"NavNode_L3D_525514";"Servo en stappenmotoren";</v>
      </c>
      <c r="AL215" s="10" t="str">
        <f>IF(getCategoryLevelAsString($B215)="L0D_324785","",IF(S215="",CONCATENATE(";",EscStr(CONCATENATE("NavNode_",getCategoryLevelAsString($B215))),";",EscStr($J215),";"),CONCATENATE(";",EscStr(CONCATENATE("NavNode_",getCategoryLevelAsString($B215))),";",EscStr(S215),";")))</f>
        <v>;"NavNode_L3D_525514";"Silniki krokowe i Napędy serwo";</v>
      </c>
      <c r="AM215" s="10" t="str">
        <f>IF(getCategoryLevelAsString($B215)="L0D_324785","",IF(T215="",CONCATENATE(";",EscStr(CONCATENATE("NavNode_",getCategoryLevelAsString($B215))),";",EscStr($J215),";"),CONCATENATE(";",EscStr(CONCATENATE("NavNode_",getCategoryLevelAsString($B215))),";",EscStr(T215),";")))</f>
        <v>;"NavNode_L3D_525514";"Шаговых двигателей и Сервоприводы";</v>
      </c>
      <c r="AN215" s="10" t="str">
        <f>IF(getCategoryLevelAsString($B215)="L0D_324785","",IF(U215="",CONCATENATE(";",EscStr(CONCATENATE("NavNode_",getCategoryLevelAsString($B215))),";",EscStr($J215),";"),CONCATENATE(";",EscStr(CONCATENATE("NavNode_",getCategoryLevelAsString($B215))),";",EscStr(U215),";")))</f>
        <v>;"NavNode_L3D_525514";"Krokové motory a servopohony";</v>
      </c>
      <c r="AO215" s="10" t="str">
        <f>IF(getCategoryLevelAsString($B215)="L0D_324785","",IF(V215="",CONCATENATE(";",EscStr(CONCATENATE("NavNode_",getCategoryLevelAsString($B215))),";",EscStr($J215),";"),CONCATENATE(";",EscStr(CONCATENATE("NavNode_",getCategoryLevelAsString($B215))),";",EscStr(V215),";")))</f>
        <v>;"NavNode_L3D_525514";"Motoare cu pas şi servo Drive";</v>
      </c>
      <c r="AP215" s="10" t="str">
        <f>IF(getCategoryLevelAsString($B215)="L0D_324785","",IF(W215="",CONCATENATE(";",EscStr(CONCATENATE("NavNode_",getCategoryLevelAsString($B215))),";",EscStr($J215),";"),CONCATENATE(";",EscStr(CONCATENATE("NavNode_",getCategoryLevelAsString($B215))),";",EscStr(W215),";")))</f>
        <v>;"NavNode_L3D_525514";"Léptetőmotorok és szervohajtások";</v>
      </c>
      <c r="AQ215" s="10" t="str">
        <f>IF(getCategoryLevelAsString($B215)="L0D_324785","",IF(X215="",CONCATENATE(";",EscStr(CONCATENATE("NavNode_",getCategoryLevelAsString($B215))),";",EscStr($J215),";"),CONCATENATE(";",EscStr(CONCATENATE("NavNode_",getCategoryLevelAsString($B215))),";",EscStr(X215),";")))</f>
        <v>;"NavNode_L3D_525514";"Krokové motory a servopohony";</v>
      </c>
      <c r="AR215" s="8" t="str">
        <f>IF(OR($A215&lt;&gt;"", $G215=""),"",CONCATENATE(";",EscStr(CONCATENATE("NavEntry_",getCategoryLevelAsString($B215))),";",EscStr(CONCATENATE($J215," Navigation Entry")),";",EscStr(CONCATENATE("cat-",getCategoryLevelAsString($B215))),";",EscStr(CONCATENATE("NavNode_",getCategoryLevelAsString($B215))),";"))</f>
        <v>;"NavEntry_L3D_525514";"Stepper Motors and Servo Drives Navigation Entry";"cat-L3D_525514";"NavNode_L3D_525514";</v>
      </c>
    </row>
    <row r="216" spans="1:44" ht="15" x14ac:dyDescent="0.25">
      <c r="A216" s="25"/>
      <c r="B216" s="5"/>
      <c r="C216" s="5"/>
      <c r="D216" s="5" t="s">
        <v>70</v>
      </c>
      <c r="E216" s="5"/>
      <c r="F216" s="5"/>
      <c r="G216" s="5" t="s">
        <v>286</v>
      </c>
      <c r="H216" s="5" t="s">
        <v>287</v>
      </c>
      <c r="I216" s="5" t="s">
        <v>288</v>
      </c>
      <c r="J216" s="5" t="s">
        <v>71</v>
      </c>
      <c r="K216" s="5" t="s">
        <v>1325</v>
      </c>
      <c r="L216" s="5" t="s">
        <v>1560</v>
      </c>
      <c r="M216" s="5" t="s">
        <v>1777</v>
      </c>
      <c r="N216" s="5" t="s">
        <v>1990</v>
      </c>
      <c r="O216" s="5" t="s">
        <v>3603</v>
      </c>
      <c r="P216" s="5" t="s">
        <v>3604</v>
      </c>
      <c r="Q216" s="5" t="s">
        <v>3605</v>
      </c>
      <c r="R216" s="5" t="s">
        <v>3606</v>
      </c>
      <c r="S216" s="5" t="s">
        <v>3607</v>
      </c>
      <c r="T216" s="5" t="s">
        <v>3608</v>
      </c>
      <c r="U216" s="5" t="s">
        <v>3609</v>
      </c>
      <c r="V216" s="5" t="s">
        <v>3610</v>
      </c>
      <c r="W216" s="5" t="s">
        <v>3611</v>
      </c>
      <c r="X216" s="5" t="s">
        <v>3609</v>
      </c>
      <c r="Y216" s="10" t="str">
        <f>IF(OR($A216&lt;&gt;"", $G216=""),"",CONCATENATE(";",EscStr(CONCATENATE("NavNode_",getCategoryLevelAsString($B216))),";",EscStr($J216),";",IF($B216&lt;&gt;"","""MainNavNode""",EscStr(CONCATENATE("NavNode_",getSuperCategory($B216, getCategoryLevelAsNumber($B216))))),";"))</f>
        <v>;"NavNode_L3D_525515";"Alternating Current and Three-phase Motors";"NavNode_L2D_379617";</v>
      </c>
      <c r="Z216" s="10" t="str">
        <f>IF(getCategoryLevelAsString($B216)="L0D_324785","",IF(G216="",CONCATENATE(";",EscStr(CONCATENATE("NavNode_",getCategoryLevelAsString($B216))),";",EscStr($J216),";"),CONCATENATE(";",EscStr(CONCATENATE("NavNode_",getCategoryLevelAsString($B216))),";",EscStr(G216),";")))</f>
        <v>;"NavNode_L3D_525515";"Wechselstrom- und Drehstrommotoren";</v>
      </c>
      <c r="AA216" s="10" t="str">
        <f>IF(getCategoryLevelAsString($B216)="L0D_324785","",IF(H216="",CONCATENATE(";",EscStr(CONCATENATE("NavNode_",getCategoryLevelAsString($B216))),";",EscStr($J216),";"),CONCATENATE(";",EscStr(CONCATENATE("NavNode_",getCategoryLevelAsString($B216))),";",EscStr(H216),";")))</f>
        <v>;"NavNode_L3D_525515";"Courant alternatif et moteurs à courant triphasé";</v>
      </c>
      <c r="AB216" s="10" t="str">
        <f>IF(getCategoryLevelAsString($B216)="L0D_324785","",IF(I216="",CONCATENATE(";",EscStr(CONCATENATE("NavNode_",getCategoryLevelAsString($B216))),";",EscStr($J216),";"),CONCATENATE(";",EscStr(CONCATENATE("NavNode_",getCategoryLevelAsString($B216))),";",EscStr(I216),";")))</f>
        <v>;"NavNode_L3D_525515";"Motori a corrente alternata e trifase";</v>
      </c>
      <c r="AC216" s="10" t="str">
        <f>IF(getCategoryLevelAsString($B216)="L0D_324785","",IF(J216="",CONCATENATE(";",EscStr(CONCATENATE("NavNode_",getCategoryLevelAsString($B216))),";",EscStr($J216),";"),CONCATENATE(";",EscStr(CONCATENATE("NavNode_",getCategoryLevelAsString($B216))),";",EscStr(J216),";")))</f>
        <v>;"NavNode_L3D_525515";"Alternating Current and Three-phase Motors";</v>
      </c>
      <c r="AD216" s="10" t="str">
        <f>IF(getCategoryLevelAsString($B216)="L0D_324785","",IF(K216="",CONCATENATE(";",EscStr(CONCATENATE("NavNode_",getCategoryLevelAsString($B216))),";",EscStr($J216),";"),CONCATENATE(";",EscStr(CONCATENATE("NavNode_",getCategoryLevelAsString($B216))),";",EscStr(K216),";")))</f>
        <v>;"NavNode_L3D_525515";"Vekselstrøms- og trefase-motorer";</v>
      </c>
      <c r="AE216" s="10" t="str">
        <f>IF(getCategoryLevelAsString($B216)="L0D_324785","",IF(L216="",CONCATENATE(";",EscStr(CONCATENATE("NavNode_",getCategoryLevelAsString($B216))),";",EscStr($J216),";"),CONCATENATE(";",EscStr(CONCATENATE("NavNode_",getCategoryLevelAsString($B216))),";",EscStr(L216),";")))</f>
        <v>;"NavNode_L3D_525515";"Kintamosios srovės ir trifaziai varikliai";</v>
      </c>
      <c r="AF216" s="10" t="str">
        <f>IF(getCategoryLevelAsString($B216)="L0D_324785","",IF(M216="",CONCATENATE(";",EscStr(CONCATENATE("NavNode_",getCategoryLevelAsString($B216))),";",EscStr($J216),";"),CONCATENATE(";",EscStr(CONCATENATE("NavNode_",getCategoryLevelAsString($B216))),";",EscStr(M216),";")))</f>
        <v>;"NavNode_L3D_525515";"Vekselstrøm og trefasemotorer";</v>
      </c>
      <c r="AG216" s="10" t="str">
        <f>IF(getCategoryLevelAsString($B216)="L0D_324785","",IF(N216="",CONCATENATE(";",EscStr(CONCATENATE("NavNode_",getCategoryLevelAsString($B216))),";",EscStr($J216),";"),CONCATENATE(";",EscStr(CONCATENATE("NavNode_",getCategoryLevelAsString($B216))),";",EscStr(N216),";")))</f>
        <v>;"NavNode_L3D_525515";"Växelströms- och trefasmotorer";</v>
      </c>
      <c r="AH216" s="10" t="str">
        <f>IF(getCategoryLevelAsString($B216)="L0D_324785","",IF(O216="",CONCATENATE(";",EscStr(CONCATENATE("NavNode_",getCategoryLevelAsString($B216))),";",EscStr($J216),";"),CONCATENATE(";",EscStr(CONCATENATE("NavNode_",getCategoryLevelAsString($B216))),";",EscStr(O216),";")))</f>
        <v>;"NavNode_L3D_525515";"Vahelduvvoolu ja kolmefaasilised mootorid";</v>
      </c>
      <c r="AI216" s="10" t="str">
        <f>IF(getCategoryLevelAsString($B216)="L0D_324785","",IF(P216="",CONCATENATE(";",EscStr(CONCATENATE("NavNode_",getCategoryLevelAsString($B216))),";",EscStr($J216),";"),CONCATENATE(";",EscStr(CONCATENATE("NavNode_",getCategoryLevelAsString($B216))),";",EscStr(P216),";")))</f>
        <v>;"NavNode_L3D_525515";"AC-virtamoottorit";</v>
      </c>
      <c r="AJ216" s="10" t="str">
        <f>IF(getCategoryLevelAsString($B216)="L0D_324785","",IF(Q216="",CONCATENATE(";",EscStr(CONCATENATE("NavNode_",getCategoryLevelAsString($B216))),";",EscStr($J216),";"),CONCATENATE(";",EscStr(CONCATENATE("NavNode_",getCategoryLevelAsString($B216))),";",EscStr(Q216),";")))</f>
        <v>;"NavNode_L3D_525515";"Maiņstrāvas un trīsfāzu motori";</v>
      </c>
      <c r="AK216" s="10" t="str">
        <f>IF(getCategoryLevelAsString($B216)="L0D_324785","",IF(R216="",CONCATENATE(";",EscStr(CONCATENATE("NavNode_",getCategoryLevelAsString($B216))),";",EscStr($J216),";"),CONCATENATE(";",EscStr(CONCATENATE("NavNode_",getCategoryLevelAsString($B216))),";",EscStr(R216),";")))</f>
        <v>;"NavNode_L3D_525515";"Driefasen en wisselstroommotoren";</v>
      </c>
      <c r="AL216" s="10" t="str">
        <f>IF(getCategoryLevelAsString($B216)="L0D_324785","",IF(S216="",CONCATENATE(";",EscStr(CONCATENATE("NavNode_",getCategoryLevelAsString($B216))),";",EscStr($J216),";"),CONCATENATE(";",EscStr(CONCATENATE("NavNode_",getCategoryLevelAsString($B216))),";",EscStr(S216),";")))</f>
        <v>;"NavNode_L3D_525515";"Silniki prądu przemiennego i trójfazowe";</v>
      </c>
      <c r="AM216" s="10" t="str">
        <f>IF(getCategoryLevelAsString($B216)="L0D_324785","",IF(T216="",CONCATENATE(";",EscStr(CONCATENATE("NavNode_",getCategoryLevelAsString($B216))),";",EscStr($J216),";"),CONCATENATE(";",EscStr(CONCATENATE("NavNode_",getCategoryLevelAsString($B216))),";",EscStr(T216),";")))</f>
        <v>;"NavNode_L3D_525515";"Двигатели переменного тока и Трехфазные двигатели";</v>
      </c>
      <c r="AN216" s="10" t="str">
        <f>IF(getCategoryLevelAsString($B216)="L0D_324785","",IF(U216="",CONCATENATE(";",EscStr(CONCATENATE("NavNode_",getCategoryLevelAsString($B216))),";",EscStr($J216),";"),CONCATENATE(";",EscStr(CONCATENATE("NavNode_",getCategoryLevelAsString($B216))),";",EscStr(U216),";")))</f>
        <v>;"NavNode_L3D_525515";"Striedavé a trojfázové motory";</v>
      </c>
      <c r="AO216" s="10" t="str">
        <f>IF(getCategoryLevelAsString($B216)="L0D_324785","",IF(V216="",CONCATENATE(";",EscStr(CONCATENATE("NavNode_",getCategoryLevelAsString($B216))),";",EscStr($J216),";"),CONCATENATE(";",EscStr(CONCATENATE("NavNode_",getCategoryLevelAsString($B216))),";",EscStr(V216),";")))</f>
        <v>;"NavNode_L3D_525515";"Tensiune AC și motoare AC";</v>
      </c>
      <c r="AP216" s="10" t="str">
        <f>IF(getCategoryLevelAsString($B216)="L0D_324785","",IF(W216="",CONCATENATE(";",EscStr(CONCATENATE("NavNode_",getCategoryLevelAsString($B216))),";",EscStr($J216),";"),CONCATENATE(";",EscStr(CONCATENATE("NavNode_",getCategoryLevelAsString($B216))),";",EscStr(W216),";")))</f>
        <v>;"NavNode_L3D_525515";"Váltakozó- és háromfázisú motorok";</v>
      </c>
      <c r="AQ216" s="10" t="str">
        <f>IF(getCategoryLevelAsString($B216)="L0D_324785","",IF(X216="",CONCATENATE(";",EscStr(CONCATENATE("NavNode_",getCategoryLevelAsString($B216))),";",EscStr($J216),";"),CONCATENATE(";",EscStr(CONCATENATE("NavNode_",getCategoryLevelAsString($B216))),";",EscStr(X216),";")))</f>
        <v>;"NavNode_L3D_525515";"Striedavé a trojfázové motory";</v>
      </c>
      <c r="AR216" s="8" t="str">
        <f>IF(OR($A216&lt;&gt;"", $G216=""),"",CONCATENATE(";",EscStr(CONCATENATE("NavEntry_",getCategoryLevelAsString($B216))),";",EscStr(CONCATENATE($J216," Navigation Entry")),";",EscStr(CONCATENATE("cat-",getCategoryLevelAsString($B216))),";",EscStr(CONCATENATE("NavNode_",getCategoryLevelAsString($B216))),";"))</f>
        <v>;"NavEntry_L3D_525515";"Alternating Current and Three-phase Motors Navigation Entry";"cat-L3D_525515";"NavNode_L3D_525515";</v>
      </c>
    </row>
    <row r="217" spans="1:44" ht="15" x14ac:dyDescent="0.25">
      <c r="A217" s="25"/>
      <c r="B217" s="5"/>
      <c r="C217" s="5"/>
      <c r="D217" s="5" t="s">
        <v>80</v>
      </c>
      <c r="E217" s="5"/>
      <c r="F217" s="5"/>
      <c r="G217" s="5" t="s">
        <v>981</v>
      </c>
      <c r="H217" s="5" t="s">
        <v>81</v>
      </c>
      <c r="I217" s="5" t="s">
        <v>1142</v>
      </c>
      <c r="J217" s="5" t="s">
        <v>81</v>
      </c>
      <c r="K217" s="5" t="s">
        <v>1326</v>
      </c>
      <c r="L217" s="5" t="s">
        <v>1561</v>
      </c>
      <c r="M217" s="5" t="s">
        <v>1778</v>
      </c>
      <c r="N217" s="5" t="s">
        <v>1326</v>
      </c>
      <c r="O217" s="5" t="s">
        <v>3612</v>
      </c>
      <c r="P217" s="5" t="s">
        <v>3613</v>
      </c>
      <c r="Q217" s="5" t="s">
        <v>3614</v>
      </c>
      <c r="R217" s="5" t="s">
        <v>3615</v>
      </c>
      <c r="S217" s="5" t="s">
        <v>3616</v>
      </c>
      <c r="T217" s="5" t="s">
        <v>3617</v>
      </c>
      <c r="U217" s="5" t="s">
        <v>3618</v>
      </c>
      <c r="V217" s="5" t="s">
        <v>3619</v>
      </c>
      <c r="W217" s="5" t="s">
        <v>3620</v>
      </c>
      <c r="X217" s="5" t="s">
        <v>3618</v>
      </c>
      <c r="Y217" s="10" t="str">
        <f>IF(OR($A217&lt;&gt;"", $G217=""),"",CONCATENATE(";",EscStr(CONCATENATE("NavNode_",getCategoryLevelAsString($B217))),";",EscStr($J217),";",IF($B217&lt;&gt;"","""MainNavNode""",EscStr(CONCATENATE("NavNode_",getSuperCategory($B217, getCategoryLevelAsNumber($B217))))),";"))</f>
        <v>;"NavNode_L3D_525516";"Transmissions";"NavNode_L2D_379617";</v>
      </c>
      <c r="Z217" s="10" t="str">
        <f>IF(getCategoryLevelAsString($B217)="L0D_324785","",IF(G217="",CONCATENATE(";",EscStr(CONCATENATE("NavNode_",getCategoryLevelAsString($B217))),";",EscStr($J217),";"),CONCATENATE(";",EscStr(CONCATENATE("NavNode_",getCategoryLevelAsString($B217))),";",EscStr(G217),";")))</f>
        <v>;"NavNode_L3D_525516";"Getriebe";</v>
      </c>
      <c r="AA217" s="10" t="str">
        <f>IF(getCategoryLevelAsString($B217)="L0D_324785","",IF(H217="",CONCATENATE(";",EscStr(CONCATENATE("NavNode_",getCategoryLevelAsString($B217))),";",EscStr($J217),";"),CONCATENATE(";",EscStr(CONCATENATE("NavNode_",getCategoryLevelAsString($B217))),";",EscStr(H217),";")))</f>
        <v>;"NavNode_L3D_525516";"Transmissions";</v>
      </c>
      <c r="AB217" s="10" t="str">
        <f>IF(getCategoryLevelAsString($B217)="L0D_324785","",IF(I217="",CONCATENATE(";",EscStr(CONCATENATE("NavNode_",getCategoryLevelAsString($B217))),";",EscStr($J217),";"),CONCATENATE(";",EscStr(CONCATENATE("NavNode_",getCategoryLevelAsString($B217))),";",EscStr(I217),";")))</f>
        <v>;"NavNode_L3D_525516";"Trasmissioni";</v>
      </c>
      <c r="AC217" s="10" t="str">
        <f>IF(getCategoryLevelAsString($B217)="L0D_324785","",IF(J217="",CONCATENATE(";",EscStr(CONCATENATE("NavNode_",getCategoryLevelAsString($B217))),";",EscStr($J217),";"),CONCATENATE(";",EscStr(CONCATENATE("NavNode_",getCategoryLevelAsString($B217))),";",EscStr(J217),";")))</f>
        <v>;"NavNode_L3D_525516";"Transmissions";</v>
      </c>
      <c r="AD217" s="10" t="str">
        <f>IF(getCategoryLevelAsString($B217)="L0D_324785","",IF(K217="",CONCATENATE(";",EscStr(CONCATENATE("NavNode_",getCategoryLevelAsString($B217))),";",EscStr($J217),";"),CONCATENATE(";",EscStr(CONCATENATE("NavNode_",getCategoryLevelAsString($B217))),";",EscStr(K217),";")))</f>
        <v>;"NavNode_L3D_525516";"Transmissioner";</v>
      </c>
      <c r="AE217" s="10" t="str">
        <f>IF(getCategoryLevelAsString($B217)="L0D_324785","",IF(L217="",CONCATENATE(";",EscStr(CONCATENATE("NavNode_",getCategoryLevelAsString($B217))),";",EscStr($J217),";"),CONCATENATE(";",EscStr(CONCATENATE("NavNode_",getCategoryLevelAsString($B217))),";",EscStr(L217),";")))</f>
        <v>;"NavNode_L3D_525516";"Perdavimo komponentai";</v>
      </c>
      <c r="AF217" s="10" t="str">
        <f>IF(getCategoryLevelAsString($B217)="L0D_324785","",IF(M217="",CONCATENATE(";",EscStr(CONCATENATE("NavNode_",getCategoryLevelAsString($B217))),";",EscStr($J217),";"),CONCATENATE(";",EscStr(CONCATENATE("NavNode_",getCategoryLevelAsString($B217))),";",EscStr(M217),";")))</f>
        <v>;"NavNode_L3D_525516";"Overføringer";</v>
      </c>
      <c r="AG217" s="10" t="str">
        <f>IF(getCategoryLevelAsString($B217)="L0D_324785","",IF(N217="",CONCATENATE(";",EscStr(CONCATENATE("NavNode_",getCategoryLevelAsString($B217))),";",EscStr($J217),";"),CONCATENATE(";",EscStr(CONCATENATE("NavNode_",getCategoryLevelAsString($B217))),";",EscStr(N217),";")))</f>
        <v>;"NavNode_L3D_525516";"Transmissioner";</v>
      </c>
      <c r="AH217" s="10" t="str">
        <f>IF(getCategoryLevelAsString($B217)="L0D_324785","",IF(O217="",CONCATENATE(";",EscStr(CONCATENATE("NavNode_",getCategoryLevelAsString($B217))),";",EscStr($J217),";"),CONCATENATE(";",EscStr(CONCATENATE("NavNode_",getCategoryLevelAsString($B217))),";",EscStr(O217),";")))</f>
        <v>;"NavNode_L3D_525516";"Jõuülekanded";</v>
      </c>
      <c r="AI217" s="10" t="str">
        <f>IF(getCategoryLevelAsString($B217)="L0D_324785","",IF(P217="",CONCATENATE(";",EscStr(CONCATENATE("NavNode_",getCategoryLevelAsString($B217))),";",EscStr($J217),";"),CONCATENATE(";",EscStr(CONCATENATE("NavNode_",getCategoryLevelAsString($B217))),";",EscStr(P217),";")))</f>
        <v>;"NavNode_L3D_525516";"Vaihteet";</v>
      </c>
      <c r="AJ217" s="10" t="str">
        <f>IF(getCategoryLevelAsString($B217)="L0D_324785","",IF(Q217="",CONCATENATE(";",EscStr(CONCATENATE("NavNode_",getCategoryLevelAsString($B217))),";",EscStr($J217),";"),CONCATENATE(";",EscStr(CONCATENATE("NavNode_",getCategoryLevelAsString($B217))),";",EscStr(Q217),";")))</f>
        <v>;"NavNode_L3D_525516";"Transmisijas";</v>
      </c>
      <c r="AK217" s="10" t="str">
        <f>IF(getCategoryLevelAsString($B217)="L0D_324785","",IF(R217="",CONCATENATE(";",EscStr(CONCATENATE("NavNode_",getCategoryLevelAsString($B217))),";",EscStr($J217),";"),CONCATENATE(";",EscStr(CONCATENATE("NavNode_",getCategoryLevelAsString($B217))),";",EscStr(R217),";")))</f>
        <v>;"NavNode_L3D_525516";"Overbrengingen";</v>
      </c>
      <c r="AL217" s="10" t="str">
        <f>IF(getCategoryLevelAsString($B217)="L0D_324785","",IF(S217="",CONCATENATE(";",EscStr(CONCATENATE("NavNode_",getCategoryLevelAsString($B217))),";",EscStr($J217),";"),CONCATENATE(";",EscStr(CONCATENATE("NavNode_",getCategoryLevelAsString($B217))),";",EscStr(S217),";")))</f>
        <v>;"NavNode_L3D_525516";"Napędy";</v>
      </c>
      <c r="AM217" s="10" t="str">
        <f>IF(getCategoryLevelAsString($B217)="L0D_324785","",IF(T217="",CONCATENATE(";",EscStr(CONCATENATE("NavNode_",getCategoryLevelAsString($B217))),";",EscStr($J217),";"),CONCATENATE(";",EscStr(CONCATENATE("NavNode_",getCategoryLevelAsString($B217))),";",EscStr(T217),";")))</f>
        <v>;"NavNode_L3D_525516";"Трансмиссии";</v>
      </c>
      <c r="AN217" s="10" t="str">
        <f>IF(getCategoryLevelAsString($B217)="L0D_324785","",IF(U217="",CONCATENATE(";",EscStr(CONCATENATE("NavNode_",getCategoryLevelAsString($B217))),";",EscStr($J217),";"),CONCATENATE(";",EscStr(CONCATENATE("NavNode_",getCategoryLevelAsString($B217))),";",EscStr(U217),";")))</f>
        <v>;"NavNode_L3D_525516";"Převodovka";</v>
      </c>
      <c r="AO217" s="10" t="str">
        <f>IF(getCategoryLevelAsString($B217)="L0D_324785","",IF(V217="",CONCATENATE(";",EscStr(CONCATENATE("NavNode_",getCategoryLevelAsString($B217))),";",EscStr($J217),";"),CONCATENATE(";",EscStr(CONCATENATE("NavNode_",getCategoryLevelAsString($B217))),";",EscStr(V217),";")))</f>
        <v>;"NavNode_L3D_525516";"Aparate de acţionare";</v>
      </c>
      <c r="AP217" s="10" t="str">
        <f>IF(getCategoryLevelAsString($B217)="L0D_324785","",IF(W217="",CONCATENATE(";",EscStr(CONCATENATE("NavNode_",getCategoryLevelAsString($B217))),";",EscStr($J217),";"),CONCATENATE(";",EscStr(CONCATENATE("NavNode_",getCategoryLevelAsString($B217))),";",EscStr(W217),";")))</f>
        <v>;"NavNode_L3D_525516";"Hajtómű";</v>
      </c>
      <c r="AQ217" s="10" t="str">
        <f>IF(getCategoryLevelAsString($B217)="L0D_324785","",IF(X217="",CONCATENATE(";",EscStr(CONCATENATE("NavNode_",getCategoryLevelAsString($B217))),";",EscStr($J217),";"),CONCATENATE(";",EscStr(CONCATENATE("NavNode_",getCategoryLevelAsString($B217))),";",EscStr(X217),";")))</f>
        <v>;"NavNode_L3D_525516";"Převodovka";</v>
      </c>
      <c r="AR217" s="8" t="str">
        <f>IF(OR($A217&lt;&gt;"", $G217=""),"",CONCATENATE(";",EscStr(CONCATENATE("NavEntry_",getCategoryLevelAsString($B217))),";",EscStr(CONCATENATE($J217," Navigation Entry")),";",EscStr(CONCATENATE("cat-",getCategoryLevelAsString($B217))),";",EscStr(CONCATENATE("NavNode_",getCategoryLevelAsString($B217))),";"))</f>
        <v>;"NavEntry_L3D_525516";"Transmissions Navigation Entry";"cat-L3D_525516";"NavNode_L3D_525516";</v>
      </c>
    </row>
    <row r="218" spans="1:44" ht="15" x14ac:dyDescent="0.25">
      <c r="A218" s="25"/>
      <c r="B218" s="5"/>
      <c r="C218" s="5"/>
      <c r="D218" s="5" t="s">
        <v>74</v>
      </c>
      <c r="E218" s="5"/>
      <c r="F218" s="5"/>
      <c r="G218" s="5" t="s">
        <v>292</v>
      </c>
      <c r="H218" s="5" t="s">
        <v>293</v>
      </c>
      <c r="I218" s="5" t="s">
        <v>294</v>
      </c>
      <c r="J218" s="5" t="s">
        <v>75</v>
      </c>
      <c r="K218" s="5" t="s">
        <v>1327</v>
      </c>
      <c r="L218" s="5" t="s">
        <v>1562</v>
      </c>
      <c r="M218" s="5" t="s">
        <v>1327</v>
      </c>
      <c r="N218" s="5" t="s">
        <v>1991</v>
      </c>
      <c r="O218" s="5" t="s">
        <v>3621</v>
      </c>
      <c r="P218" s="5" t="s">
        <v>3622</v>
      </c>
      <c r="Q218" s="5" t="s">
        <v>3623</v>
      </c>
      <c r="R218" s="5" t="s">
        <v>3624</v>
      </c>
      <c r="S218" s="5" t="s">
        <v>3625</v>
      </c>
      <c r="T218" s="5" t="s">
        <v>3626</v>
      </c>
      <c r="U218" s="5" t="s">
        <v>3627</v>
      </c>
      <c r="V218" s="5" t="s">
        <v>3628</v>
      </c>
      <c r="W218" s="5" t="s">
        <v>3629</v>
      </c>
      <c r="X218" s="5" t="s">
        <v>3627</v>
      </c>
      <c r="Y218" s="10" t="str">
        <f>IF(OR($A218&lt;&gt;"", $G218=""),"",CONCATENATE(";",EscStr(CONCATENATE("NavNode_",getCategoryLevelAsString($B218))),";",EscStr($J218),";",IF($B218&lt;&gt;"","""MainNavNode""",EscStr(CONCATENATE("NavNode_",getSuperCategory($B218, getCategoryLevelAsNumber($B218))))),";"))</f>
        <v>;"NavNode_L3D_525517";"Linear Drives";"NavNode_L2D_379617";</v>
      </c>
      <c r="Z218" s="10" t="str">
        <f>IF(getCategoryLevelAsString($B218)="L0D_324785","",IF(G218="",CONCATENATE(";",EscStr(CONCATENATE("NavNode_",getCategoryLevelAsString($B218))),";",EscStr($J218),";"),CONCATENATE(";",EscStr(CONCATENATE("NavNode_",getCategoryLevelAsString($B218))),";",EscStr(G218),";")))</f>
        <v>;"NavNode_L3D_525517";"Linearantriebe";</v>
      </c>
      <c r="AA218" s="10" t="str">
        <f>IF(getCategoryLevelAsString($B218)="L0D_324785","",IF(H218="",CONCATENATE(";",EscStr(CONCATENATE("NavNode_",getCategoryLevelAsString($B218))),";",EscStr($J218),";"),CONCATENATE(";",EscStr(CONCATENATE("NavNode_",getCategoryLevelAsString($B218))),";",EscStr(H218),";")))</f>
        <v>;"NavNode_L3D_525517";"Entraînements linéaires";</v>
      </c>
      <c r="AB218" s="10" t="str">
        <f>IF(getCategoryLevelAsString($B218)="L0D_324785","",IF(I218="",CONCATENATE(";",EscStr(CONCATENATE("NavNode_",getCategoryLevelAsString($B218))),";",EscStr($J218),";"),CONCATENATE(";",EscStr(CONCATENATE("NavNode_",getCategoryLevelAsString($B218))),";",EscStr(I218),";")))</f>
        <v>;"NavNode_L3D_525517";"Azionamenti lineari";</v>
      </c>
      <c r="AC218" s="10" t="str">
        <f>IF(getCategoryLevelAsString($B218)="L0D_324785","",IF(J218="",CONCATENATE(";",EscStr(CONCATENATE("NavNode_",getCategoryLevelAsString($B218))),";",EscStr($J218),";"),CONCATENATE(";",EscStr(CONCATENATE("NavNode_",getCategoryLevelAsString($B218))),";",EscStr(J218),";")))</f>
        <v>;"NavNode_L3D_525517";"Linear Drives";</v>
      </c>
      <c r="AD218" s="10" t="str">
        <f>IF(getCategoryLevelAsString($B218)="L0D_324785","",IF(K218="",CONCATENATE(";",EscStr(CONCATENATE("NavNode_",getCategoryLevelAsString($B218))),";",EscStr($J218),";"),CONCATENATE(";",EscStr(CONCATENATE("NavNode_",getCategoryLevelAsString($B218))),";",EscStr(K218),";")))</f>
        <v>;"NavNode_L3D_525517";"Lineære drev";</v>
      </c>
      <c r="AE218" s="10" t="str">
        <f>IF(getCategoryLevelAsString($B218)="L0D_324785","",IF(L218="",CONCATENATE(";",EscStr(CONCATENATE("NavNode_",getCategoryLevelAsString($B218))),";",EscStr($J218),";"),CONCATENATE(";",EscStr(CONCATENATE("NavNode_",getCategoryLevelAsString($B218))),";",EscStr(L218),";")))</f>
        <v>;"NavNode_L3D_525517";"Linijinės pavaros";</v>
      </c>
      <c r="AF218" s="10" t="str">
        <f>IF(getCategoryLevelAsString($B218)="L0D_324785","",IF(M218="",CONCATENATE(";",EscStr(CONCATENATE("NavNode_",getCategoryLevelAsString($B218))),";",EscStr($J218),";"),CONCATENATE(";",EscStr(CONCATENATE("NavNode_",getCategoryLevelAsString($B218))),";",EscStr(M218),";")))</f>
        <v>;"NavNode_L3D_525517";"Lineære drev";</v>
      </c>
      <c r="AG218" s="10" t="str">
        <f>IF(getCategoryLevelAsString($B218)="L0D_324785","",IF(N218="",CONCATENATE(";",EscStr(CONCATENATE("NavNode_",getCategoryLevelAsString($B218))),";",EscStr($J218),";"),CONCATENATE(";",EscStr(CONCATENATE("NavNode_",getCategoryLevelAsString($B218))),";",EscStr(N218),";")))</f>
        <v>;"NavNode_L3D_525517";"Linjära drivenheter";</v>
      </c>
      <c r="AH218" s="10" t="str">
        <f>IF(getCategoryLevelAsString($B218)="L0D_324785","",IF(O218="",CONCATENATE(";",EscStr(CONCATENATE("NavNode_",getCategoryLevelAsString($B218))),";",EscStr($J218),";"),CONCATENATE(";",EscStr(CONCATENATE("NavNode_",getCategoryLevelAsString($B218))),";",EscStr(O218),";")))</f>
        <v>;"NavNode_L3D_525517";"Lineaarajamid";</v>
      </c>
      <c r="AI218" s="10" t="str">
        <f>IF(getCategoryLevelAsString($B218)="L0D_324785","",IF(P218="",CONCATENATE(";",EscStr(CONCATENATE("NavNode_",getCategoryLevelAsString($B218))),";",EscStr($J218),";"),CONCATENATE(";",EscStr(CONCATENATE("NavNode_",getCategoryLevelAsString($B218))),";",EscStr(P218),";")))</f>
        <v>;"NavNode_L3D_525517";"Lineaariset asemat";</v>
      </c>
      <c r="AJ218" s="10" t="str">
        <f>IF(getCategoryLevelAsString($B218)="L0D_324785","",IF(Q218="",CONCATENATE(";",EscStr(CONCATENATE("NavNode_",getCategoryLevelAsString($B218))),";",EscStr($J218),";"),CONCATENATE(";",EscStr(CONCATENATE("NavNode_",getCategoryLevelAsString($B218))),";",EscStr(Q218),";")))</f>
        <v>;"NavNode_L3D_525517";"Lineārie dzinēji";</v>
      </c>
      <c r="AK218" s="10" t="str">
        <f>IF(getCategoryLevelAsString($B218)="L0D_324785","",IF(R218="",CONCATENATE(";",EscStr(CONCATENATE("NavNode_",getCategoryLevelAsString($B218))),";",EscStr($J218),";"),CONCATENATE(";",EscStr(CONCATENATE("NavNode_",getCategoryLevelAsString($B218))),";",EscStr(R218),";")))</f>
        <v>;"NavNode_L3D_525517";"Lineaire motoren";</v>
      </c>
      <c r="AL218" s="10" t="str">
        <f>IF(getCategoryLevelAsString($B218)="L0D_324785","",IF(S218="",CONCATENATE(";",EscStr(CONCATENATE("NavNode_",getCategoryLevelAsString($B218))),";",EscStr($J218),";"),CONCATENATE(";",EscStr(CONCATENATE("NavNode_",getCategoryLevelAsString($B218))),";",EscStr(S218),";")))</f>
        <v>;"NavNode_L3D_525517";"Silniki liniowe";</v>
      </c>
      <c r="AM218" s="10" t="str">
        <f>IF(getCategoryLevelAsString($B218)="L0D_324785","",IF(T218="",CONCATENATE(";",EscStr(CONCATENATE("NavNode_",getCategoryLevelAsString($B218))),";",EscStr($J218),";"),CONCATENATE(";",EscStr(CONCATENATE("NavNode_",getCategoryLevelAsString($B218))),";",EscStr(T218),";")))</f>
        <v>;"NavNode_L3D_525517";"Линейные приводы";</v>
      </c>
      <c r="AN218" s="10" t="str">
        <f>IF(getCategoryLevelAsString($B218)="L0D_324785","",IF(U218="",CONCATENATE(";",EscStr(CONCATENATE("NavNode_",getCategoryLevelAsString($B218))),";",EscStr($J218),";"),CONCATENATE(";",EscStr(CONCATENATE("NavNode_",getCategoryLevelAsString($B218))),";",EscStr(U218),";")))</f>
        <v>;"NavNode_L3D_525517";"Lineární pohony";</v>
      </c>
      <c r="AO218" s="10" t="str">
        <f>IF(getCategoryLevelAsString($B218)="L0D_324785","",IF(V218="",CONCATENATE(";",EscStr(CONCATENATE("NavNode_",getCategoryLevelAsString($B218))),";",EscStr($J218),";"),CONCATENATE(";",EscStr(CONCATENATE("NavNode_",getCategoryLevelAsString($B218))),";",EscStr(V218),";")))</f>
        <v>;"NavNode_L3D_525517";"Aparate acţionări liniare";</v>
      </c>
      <c r="AP218" s="10" t="str">
        <f>IF(getCategoryLevelAsString($B218)="L0D_324785","",IF(W218="",CONCATENATE(";",EscStr(CONCATENATE("NavNode_",getCategoryLevelAsString($B218))),";",EscStr($J218),";"),CONCATENATE(";",EscStr(CONCATENATE("NavNode_",getCategoryLevelAsString($B218))),";",EscStr(W218),";")))</f>
        <v>;"NavNode_L3D_525517";"Lineáris hajtások";</v>
      </c>
      <c r="AQ218" s="10" t="str">
        <f>IF(getCategoryLevelAsString($B218)="L0D_324785","",IF(X218="",CONCATENATE(";",EscStr(CONCATENATE("NavNode_",getCategoryLevelAsString($B218))),";",EscStr($J218),";"),CONCATENATE(";",EscStr(CONCATENATE("NavNode_",getCategoryLevelAsString($B218))),";",EscStr(X218),";")))</f>
        <v>;"NavNode_L3D_525517";"Lineární pohony";</v>
      </c>
      <c r="AR218" s="8" t="str">
        <f>IF(OR($A218&lt;&gt;"", $G218=""),"",CONCATENATE(";",EscStr(CONCATENATE("NavEntry_",getCategoryLevelAsString($B218))),";",EscStr(CONCATENATE($J218," Navigation Entry")),";",EscStr(CONCATENATE("cat-",getCategoryLevelAsString($B218))),";",EscStr(CONCATENATE("NavNode_",getCategoryLevelAsString($B218))),";"))</f>
        <v>;"NavEntry_L3D_525517";"Linear Drives Navigation Entry";"cat-L3D_525517";"NavNode_L3D_525517";</v>
      </c>
    </row>
    <row r="219" spans="1:44" ht="15" x14ac:dyDescent="0.25">
      <c r="A219" s="25"/>
      <c r="B219" s="5"/>
      <c r="C219" s="5"/>
      <c r="D219" s="5" t="s">
        <v>68</v>
      </c>
      <c r="E219" s="5"/>
      <c r="F219" s="5"/>
      <c r="G219" s="5" t="s">
        <v>939</v>
      </c>
      <c r="H219" s="5" t="s">
        <v>284</v>
      </c>
      <c r="I219" s="5" t="s">
        <v>285</v>
      </c>
      <c r="J219" s="5" t="s">
        <v>69</v>
      </c>
      <c r="K219" s="5" t="s">
        <v>1328</v>
      </c>
      <c r="L219" s="5" t="s">
        <v>1563</v>
      </c>
      <c r="M219" s="5" t="s">
        <v>1328</v>
      </c>
      <c r="N219" s="5" t="s">
        <v>1992</v>
      </c>
      <c r="O219" s="5" t="s">
        <v>3630</v>
      </c>
      <c r="P219" s="5" t="s">
        <v>3631</v>
      </c>
      <c r="Q219" s="5" t="s">
        <v>3632</v>
      </c>
      <c r="R219" s="5" t="s">
        <v>69</v>
      </c>
      <c r="S219" s="5" t="s">
        <v>3633</v>
      </c>
      <c r="T219" s="5" t="s">
        <v>3634</v>
      </c>
      <c r="U219" s="5" t="s">
        <v>3635</v>
      </c>
      <c r="V219" s="5" t="s">
        <v>3636</v>
      </c>
      <c r="W219" s="5" t="s">
        <v>3637</v>
      </c>
      <c r="X219" s="5" t="s">
        <v>3635</v>
      </c>
      <c r="Y219" s="10" t="str">
        <f>IF(OR($A219&lt;&gt;"", $G219=""),"",CONCATENATE(";",EscStr(CONCATENATE("NavNode_",getCategoryLevelAsString($B219))),";",EscStr($J219),";",IF($B219&lt;&gt;"","""MainNavNode""",EscStr(CONCATENATE("NavNode_",getSuperCategory($B219, getCategoryLevelAsNumber($B219))))),";"))</f>
        <v>;"NavNode_L2D_379622";"Actuators";"NavNode_Automation";</v>
      </c>
      <c r="Z219" s="10" t="str">
        <f>IF(getCategoryLevelAsString($B219)="L0D_324785","",IF(G219="",CONCATENATE(";",EscStr(CONCATENATE("NavNode_",getCategoryLevelAsString($B219))),";",EscStr($J219),";"),CONCATENATE(";",EscStr(CONCATENATE("NavNode_",getCategoryLevelAsString($B219))),";",EscStr(G219),";")))</f>
        <v>;"NavNode_L2D_379622";"Aktoren";</v>
      </c>
      <c r="AA219" s="10" t="str">
        <f>IF(getCategoryLevelAsString($B219)="L0D_324785","",IF(H219="",CONCATENATE(";",EscStr(CONCATENATE("NavNode_",getCategoryLevelAsString($B219))),";",EscStr($J219),";"),CONCATENATE(";",EscStr(CONCATENATE("NavNode_",getCategoryLevelAsString($B219))),";",EscStr(H219),";")))</f>
        <v>;"NavNode_L2D_379622";"Actionneurs";</v>
      </c>
      <c r="AB219" s="10" t="str">
        <f>IF(getCategoryLevelAsString($B219)="L0D_324785","",IF(I219="",CONCATENATE(";",EscStr(CONCATENATE("NavNode_",getCategoryLevelAsString($B219))),";",EscStr($J219),";"),CONCATENATE(";",EscStr(CONCATENATE("NavNode_",getCategoryLevelAsString($B219))),";",EscStr(I219),";")))</f>
        <v>;"NavNode_L2D_379622";"Attuatori";</v>
      </c>
      <c r="AC219" s="10" t="str">
        <f>IF(getCategoryLevelAsString($B219)="L0D_324785","",IF(J219="",CONCATENATE(";",EscStr(CONCATENATE("NavNode_",getCategoryLevelAsString($B219))),";",EscStr($J219),";"),CONCATENATE(";",EscStr(CONCATENATE("NavNode_",getCategoryLevelAsString($B219))),";",EscStr(J219),";")))</f>
        <v>;"NavNode_L2D_379622";"Actuators";</v>
      </c>
      <c r="AD219" s="10" t="str">
        <f>IF(getCategoryLevelAsString($B219)="L0D_324785","",IF(K219="",CONCATENATE(";",EscStr(CONCATENATE("NavNode_",getCategoryLevelAsString($B219))),";",EscStr($J219),";"),CONCATENATE(";",EscStr(CONCATENATE("NavNode_",getCategoryLevelAsString($B219))),";",EscStr(K219),";")))</f>
        <v>;"NavNode_L2D_379622";"Aktuatorer";</v>
      </c>
      <c r="AE219" s="10" t="str">
        <f>IF(getCategoryLevelAsString($B219)="L0D_324785","",IF(L219="",CONCATENATE(";",EscStr(CONCATENATE("NavNode_",getCategoryLevelAsString($B219))),";",EscStr($J219),";"),CONCATENATE(";",EscStr(CONCATENATE("NavNode_",getCategoryLevelAsString($B219))),";",EscStr(L219),";")))</f>
        <v>;"NavNode_L2D_379622";"Aktuatoriai";</v>
      </c>
      <c r="AF219" s="10" t="str">
        <f>IF(getCategoryLevelAsString($B219)="L0D_324785","",IF(M219="",CONCATENATE(";",EscStr(CONCATENATE("NavNode_",getCategoryLevelAsString($B219))),";",EscStr($J219),";"),CONCATENATE(";",EscStr(CONCATENATE("NavNode_",getCategoryLevelAsString($B219))),";",EscStr(M219),";")))</f>
        <v>;"NavNode_L2D_379622";"Aktuatorer";</v>
      </c>
      <c r="AG219" s="10" t="str">
        <f>IF(getCategoryLevelAsString($B219)="L0D_324785","",IF(N219="",CONCATENATE(";",EscStr(CONCATENATE("NavNode_",getCategoryLevelAsString($B219))),";",EscStr($J219),";"),CONCATENATE(";",EscStr(CONCATENATE("NavNode_",getCategoryLevelAsString($B219))),";",EscStr(N219),";")))</f>
        <v>;"NavNode_L2D_379622";"Manöverdon";</v>
      </c>
      <c r="AH219" s="10" t="str">
        <f>IF(getCategoryLevelAsString($B219)="L0D_324785","",IF(O219="",CONCATENATE(";",EscStr(CONCATENATE("NavNode_",getCategoryLevelAsString($B219))),";",EscStr($J219),";"),CONCATENATE(";",EscStr(CONCATENATE("NavNode_",getCategoryLevelAsString($B219))),";",EscStr(O219),";")))</f>
        <v>;"NavNode_L2D_379622";"Täiturid";</v>
      </c>
      <c r="AI219" s="10" t="str">
        <f>IF(getCategoryLevelAsString($B219)="L0D_324785","",IF(P219="",CONCATENATE(";",EscStr(CONCATENATE("NavNode_",getCategoryLevelAsString($B219))),";",EscStr($J219),";"),CONCATENATE(";",EscStr(CONCATENATE("NavNode_",getCategoryLevelAsString($B219))),";",EscStr(P219),";")))</f>
        <v>;"NavNode_L2D_379622";"Sovittimet";</v>
      </c>
      <c r="AJ219" s="10" t="str">
        <f>IF(getCategoryLevelAsString($B219)="L0D_324785","",IF(Q219="",CONCATENATE(";",EscStr(CONCATENATE("NavNode_",getCategoryLevelAsString($B219))),";",EscStr($J219),";"),CONCATENATE(";",EscStr(CONCATENATE("NavNode_",getCategoryLevelAsString($B219))),";",EscStr(Q219),";")))</f>
        <v>;"NavNode_L2D_379622";"Aktuatori";</v>
      </c>
      <c r="AK219" s="10" t="str">
        <f>IF(getCategoryLevelAsString($B219)="L0D_324785","",IF(R219="",CONCATENATE(";",EscStr(CONCATENATE("NavNode_",getCategoryLevelAsString($B219))),";",EscStr($J219),";"),CONCATENATE(";",EscStr(CONCATENATE("NavNode_",getCategoryLevelAsString($B219))),";",EscStr(R219),";")))</f>
        <v>;"NavNode_L2D_379622";"Actuators";</v>
      </c>
      <c r="AL219" s="10" t="str">
        <f>IF(getCategoryLevelAsString($B219)="L0D_324785","",IF(S219="",CONCATENATE(";",EscStr(CONCATENATE("NavNode_",getCategoryLevelAsString($B219))),";",EscStr($J219),";"),CONCATENATE(";",EscStr(CONCATENATE("NavNode_",getCategoryLevelAsString($B219))),";",EscStr(S219),";")))</f>
        <v>;"NavNode_L2D_379622";"Siłowniki";</v>
      </c>
      <c r="AM219" s="10" t="str">
        <f>IF(getCategoryLevelAsString($B219)="L0D_324785","",IF(T219="",CONCATENATE(";",EscStr(CONCATENATE("NavNode_",getCategoryLevelAsString($B219))),";",EscStr($J219),";"),CONCATENATE(";",EscStr(CONCATENATE("NavNode_",getCategoryLevelAsString($B219))),";",EscStr(T219),";")))</f>
        <v>;"NavNode_L2D_379622";"Приводы";</v>
      </c>
      <c r="AN219" s="10" t="str">
        <f>IF(getCategoryLevelAsString($B219)="L0D_324785","",IF(U219="",CONCATENATE(";",EscStr(CONCATENATE("NavNode_",getCategoryLevelAsString($B219))),";",EscStr($J219),";"),CONCATENATE(";",EscStr(CONCATENATE("NavNode_",getCategoryLevelAsString($B219))),";",EscStr(U219),";")))</f>
        <v>;"NavNode_L2D_379622";"Akční členy";</v>
      </c>
      <c r="AO219" s="10" t="str">
        <f>IF(getCategoryLevelAsString($B219)="L0D_324785","",IF(V219="",CONCATENATE(";",EscStr(CONCATENATE("NavNode_",getCategoryLevelAsString($B219))),";",EscStr($J219),";"),CONCATENATE(";",EscStr(CONCATENATE("NavNode_",getCategoryLevelAsString($B219))),";",EscStr(V219),";")))</f>
        <v>;"NavNode_L2D_379622";"Elemente de acționare";</v>
      </c>
      <c r="AP219" s="10" t="str">
        <f>IF(getCategoryLevelAsString($B219)="L0D_324785","",IF(W219="",CONCATENATE(";",EscStr(CONCATENATE("NavNode_",getCategoryLevelAsString($B219))),";",EscStr($J219),";"),CONCATENATE(";",EscStr(CONCATENATE("NavNode_",getCategoryLevelAsString($B219))),";",EscStr(W219),";")))</f>
        <v>;"NavNode_L2D_379622";"Aktuátorok";</v>
      </c>
      <c r="AQ219" s="10" t="str">
        <f>IF(getCategoryLevelAsString($B219)="L0D_324785","",IF(X219="",CONCATENATE(";",EscStr(CONCATENATE("NavNode_",getCategoryLevelAsString($B219))),";",EscStr($J219),";"),CONCATENATE(";",EscStr(CONCATENATE("NavNode_",getCategoryLevelAsString($B219))),";",EscStr(X219),";")))</f>
        <v>;"NavNode_L2D_379622";"Akční členy";</v>
      </c>
      <c r="AR219" s="8" t="str">
        <f>IF(OR($A219&lt;&gt;"", $G219=""),"",CONCATENATE(";",EscStr(CONCATENATE("NavEntry_",getCategoryLevelAsString($B219))),";",EscStr(CONCATENATE($J219," Navigation Entry")),";",EscStr(CONCATENATE("cat-",getCategoryLevelAsString($B219))),";",EscStr(CONCATENATE("NavNode_",getCategoryLevelAsString($B219))),";"))</f>
        <v>;"NavEntry_L2D_379622";"Actuators Navigation Entry";"cat-L2D_379622";"NavNode_L2D_379622";</v>
      </c>
    </row>
    <row r="220" spans="1:44" ht="15" x14ac:dyDescent="0.25">
      <c r="A220" s="25"/>
      <c r="B220" s="5"/>
      <c r="C220" s="5" t="s">
        <v>42</v>
      </c>
      <c r="D220" s="5"/>
      <c r="E220" s="5"/>
      <c r="F220" s="5"/>
      <c r="G220" s="5" t="s">
        <v>300</v>
      </c>
      <c r="H220" s="5" t="s">
        <v>301</v>
      </c>
      <c r="I220" s="5" t="s">
        <v>302</v>
      </c>
      <c r="J220" s="5" t="s">
        <v>43</v>
      </c>
      <c r="K220" s="5" t="s">
        <v>1329</v>
      </c>
      <c r="L220" s="5" t="s">
        <v>1564</v>
      </c>
      <c r="M220" s="5" t="s">
        <v>1779</v>
      </c>
      <c r="N220" s="5" t="s">
        <v>300</v>
      </c>
      <c r="O220" s="5" t="s">
        <v>3638</v>
      </c>
      <c r="P220" s="5" t="s">
        <v>3639</v>
      </c>
      <c r="Q220" s="5" t="s">
        <v>3640</v>
      </c>
      <c r="R220" s="5" t="s">
        <v>3641</v>
      </c>
      <c r="S220" s="5" t="s">
        <v>3642</v>
      </c>
      <c r="T220" s="5" t="s">
        <v>3643</v>
      </c>
      <c r="U220" s="5" t="s">
        <v>3644</v>
      </c>
      <c r="V220" s="5" t="s">
        <v>3645</v>
      </c>
      <c r="W220" s="5" t="s">
        <v>1564</v>
      </c>
      <c r="X220" s="5" t="s">
        <v>3644</v>
      </c>
      <c r="Y220" s="10" t="str">
        <f>IF(OR($A220&lt;&gt;"", $G220=""),"",CONCATENATE(";",EscStr(CONCATENATE("NavNode_",getCategoryLevelAsString($B220))),";",EscStr($J220),";",IF($B220&lt;&gt;"","""MainNavNode""",EscStr(CONCATENATE("NavNode_",getSuperCategory($B220, getCategoryLevelAsNumber($B220))))),";"))</f>
        <v>;"NavNode_L3D_525519";"Pneumatics";"NavNode_L2D_379622";</v>
      </c>
      <c r="Z220" s="10" t="str">
        <f>IF(getCategoryLevelAsString($B220)="L0D_324785","",IF(G220="",CONCATENATE(";",EscStr(CONCATENATE("NavNode_",getCategoryLevelAsString($B220))),";",EscStr($J220),";"),CONCATENATE(";",EscStr(CONCATENATE("NavNode_",getCategoryLevelAsString($B220))),";",EscStr(G220),";")))</f>
        <v>;"NavNode_L3D_525519";"Pneumatik";</v>
      </c>
      <c r="AA220" s="10" t="str">
        <f>IF(getCategoryLevelAsString($B220)="L0D_324785","",IF(H220="",CONCATENATE(";",EscStr(CONCATENATE("NavNode_",getCategoryLevelAsString($B220))),";",EscStr($J220),";"),CONCATENATE(";",EscStr(CONCATENATE("NavNode_",getCategoryLevelAsString($B220))),";",EscStr(H220),";")))</f>
        <v>;"NavNode_L3D_525519";"Pneumatiques";</v>
      </c>
      <c r="AB220" s="10" t="str">
        <f>IF(getCategoryLevelAsString($B220)="L0D_324785","",IF(I220="",CONCATENATE(";",EscStr(CONCATENATE("NavNode_",getCategoryLevelAsString($B220))),";",EscStr($J220),";"),CONCATENATE(";",EscStr(CONCATENATE("NavNode_",getCategoryLevelAsString($B220))),";",EscStr(I220),";")))</f>
        <v>;"NavNode_L3D_525519";"Pneumatica";</v>
      </c>
      <c r="AC220" s="10" t="str">
        <f>IF(getCategoryLevelAsString($B220)="L0D_324785","",IF(J220="",CONCATENATE(";",EscStr(CONCATENATE("NavNode_",getCategoryLevelAsString($B220))),";",EscStr($J220),";"),CONCATENATE(";",EscStr(CONCATENATE("NavNode_",getCategoryLevelAsString($B220))),";",EscStr(J220),";")))</f>
        <v>;"NavNode_L3D_525519";"Pneumatics";</v>
      </c>
      <c r="AD220" s="10" t="str">
        <f>IF(getCategoryLevelAsString($B220)="L0D_324785","",IF(K220="",CONCATENATE(";",EscStr(CONCATENATE("NavNode_",getCategoryLevelAsString($B220))),";",EscStr($J220),";"),CONCATENATE(";",EscStr(CONCATENATE("NavNode_",getCategoryLevelAsString($B220))),";",EscStr(K220),";")))</f>
        <v>;"NavNode_L3D_525519";"Pneumatiske enheder";</v>
      </c>
      <c r="AE220" s="10" t="str">
        <f>IF(getCategoryLevelAsString($B220)="L0D_324785","",IF(L220="",CONCATENATE(";",EscStr(CONCATENATE("NavNode_",getCategoryLevelAsString($B220))),";",EscStr($J220),";"),CONCATENATE(";",EscStr(CONCATENATE("NavNode_",getCategoryLevelAsString($B220))),";",EscStr(L220),";")))</f>
        <v>;"NavNode_L3D_525519";"Pneumatika";</v>
      </c>
      <c r="AF220" s="10" t="str">
        <f>IF(getCategoryLevelAsString($B220)="L0D_324785","",IF(M220="",CONCATENATE(";",EscStr(CONCATENATE("NavNode_",getCategoryLevelAsString($B220))),";",EscStr($J220),";"),CONCATENATE(";",EscStr(CONCATENATE("NavNode_",getCategoryLevelAsString($B220))),";",EscStr(M220),";")))</f>
        <v>;"NavNode_L3D_525519";"Trykkluft";</v>
      </c>
      <c r="AG220" s="10" t="str">
        <f>IF(getCategoryLevelAsString($B220)="L0D_324785","",IF(N220="",CONCATENATE(";",EscStr(CONCATENATE("NavNode_",getCategoryLevelAsString($B220))),";",EscStr($J220),";"),CONCATENATE(";",EscStr(CONCATENATE("NavNode_",getCategoryLevelAsString($B220))),";",EscStr(N220),";")))</f>
        <v>;"NavNode_L3D_525519";"Pneumatik";</v>
      </c>
      <c r="AH220" s="10" t="str">
        <f>IF(getCategoryLevelAsString($B220)="L0D_324785","",IF(O220="",CONCATENATE(";",EscStr(CONCATENATE("NavNode_",getCategoryLevelAsString($B220))),";",EscStr($J220),";"),CONCATENATE(";",EscStr(CONCATENATE("NavNode_",getCategoryLevelAsString($B220))),";",EscStr(O220),";")))</f>
        <v>;"NavNode_L3D_525519";"Pneumaatika";</v>
      </c>
      <c r="AI220" s="10" t="str">
        <f>IF(getCategoryLevelAsString($B220)="L0D_324785","",IF(P220="",CONCATENATE(";",EscStr(CONCATENATE("NavNode_",getCategoryLevelAsString($B220))),";",EscStr($J220),";"),CONCATENATE(";",EscStr(CONCATENATE("NavNode_",getCategoryLevelAsString($B220))),";",EscStr(P220),";")))</f>
        <v>;"NavNode_L3D_525519";"Paineilma";</v>
      </c>
      <c r="AJ220" s="10" t="str">
        <f>IF(getCategoryLevelAsString($B220)="L0D_324785","",IF(Q220="",CONCATENATE(";",EscStr(CONCATENATE("NavNode_",getCategoryLevelAsString($B220))),";",EscStr($J220),";"),CONCATENATE(";",EscStr(CONCATENATE("NavNode_",getCategoryLevelAsString($B220))),";",EscStr(Q220),";")))</f>
        <v>;"NavNode_L3D_525519";"Pneimatiskās ierīces";</v>
      </c>
      <c r="AK220" s="10" t="str">
        <f>IF(getCategoryLevelAsString($B220)="L0D_324785","",IF(R220="",CONCATENATE(";",EscStr(CONCATENATE("NavNode_",getCategoryLevelAsString($B220))),";",EscStr($J220),";"),CONCATENATE(";",EscStr(CONCATENATE("NavNode_",getCategoryLevelAsString($B220))),";",EscStr(R220),";")))</f>
        <v>;"NavNode_L3D_525519";"Pneumatiek";</v>
      </c>
      <c r="AL220" s="10" t="str">
        <f>IF(getCategoryLevelAsString($B220)="L0D_324785","",IF(S220="",CONCATENATE(";",EscStr(CONCATENATE("NavNode_",getCategoryLevelAsString($B220))),";",EscStr($J220),";"),CONCATENATE(";",EscStr(CONCATENATE("NavNode_",getCategoryLevelAsString($B220))),";",EscStr(S220),";")))</f>
        <v>;"NavNode_L3D_525519";"Pneumatyka";</v>
      </c>
      <c r="AM220" s="10" t="str">
        <f>IF(getCategoryLevelAsString($B220)="L0D_324785","",IF(T220="",CONCATENATE(";",EscStr(CONCATENATE("NavNode_",getCategoryLevelAsString($B220))),";",EscStr($J220),";"),CONCATENATE(";",EscStr(CONCATENATE("NavNode_",getCategoryLevelAsString($B220))),";",EscStr(T220),";")))</f>
        <v>;"NavNode_L3D_525519";"Пневматика";</v>
      </c>
      <c r="AN220" s="10" t="str">
        <f>IF(getCategoryLevelAsString($B220)="L0D_324785","",IF(U220="",CONCATENATE(";",EscStr(CONCATENATE("NavNode_",getCategoryLevelAsString($B220))),";",EscStr($J220),";"),CONCATENATE(";",EscStr(CONCATENATE("NavNode_",getCategoryLevelAsString($B220))),";",EscStr(U220),";")))</f>
        <v>;"NavNode_L3D_525519";"Pneumatické prvky";</v>
      </c>
      <c r="AO220" s="10" t="str">
        <f>IF(getCategoryLevelAsString($B220)="L0D_324785","",IF(V220="",CONCATENATE(";",EscStr(CONCATENATE("NavNode_",getCategoryLevelAsString($B220))),";",EscStr($J220),";"),CONCATENATE(";",EscStr(CONCATENATE("NavNode_",getCategoryLevelAsString($B220))),";",EscStr(V220),";")))</f>
        <v>;"NavNode_L3D_525519";"Pneumatice";</v>
      </c>
      <c r="AP220" s="10" t="str">
        <f>IF(getCategoryLevelAsString($B220)="L0D_324785","",IF(W220="",CONCATENATE(";",EscStr(CONCATENATE("NavNode_",getCategoryLevelAsString($B220))),";",EscStr($J220),";"),CONCATENATE(";",EscStr(CONCATENATE("NavNode_",getCategoryLevelAsString($B220))),";",EscStr(W220),";")))</f>
        <v>;"NavNode_L3D_525519";"Pneumatika";</v>
      </c>
      <c r="AQ220" s="10" t="str">
        <f>IF(getCategoryLevelAsString($B220)="L0D_324785","",IF(X220="",CONCATENATE(";",EscStr(CONCATENATE("NavNode_",getCategoryLevelAsString($B220))),";",EscStr($J220),";"),CONCATENATE(";",EscStr(CONCATENATE("NavNode_",getCategoryLevelAsString($B220))),";",EscStr(X220),";")))</f>
        <v>;"NavNode_L3D_525519";"Pneumatické prvky";</v>
      </c>
      <c r="AR220" s="8" t="str">
        <f>IF(OR($A220&lt;&gt;"", $G220=""),"",CONCATENATE(";",EscStr(CONCATENATE("NavEntry_",getCategoryLevelAsString($B220))),";",EscStr(CONCATENATE($J220," Navigation Entry")),";",EscStr(CONCATENATE("cat-",getCategoryLevelAsString($B220))),";",EscStr(CONCATENATE("NavNode_",getCategoryLevelAsString($B220))),";"))</f>
        <v>;"NavEntry_L3D_525519";"Pneumatics Navigation Entry";"cat-L3D_525519";"NavNode_L3D_525519";</v>
      </c>
    </row>
    <row r="221" spans="1:44" ht="15" x14ac:dyDescent="0.25">
      <c r="A221" s="25"/>
      <c r="B221" s="5"/>
      <c r="C221" s="5"/>
      <c r="D221" s="5" t="s">
        <v>89</v>
      </c>
      <c r="E221" s="5"/>
      <c r="F221" s="5"/>
      <c r="G221" s="5" t="s">
        <v>310</v>
      </c>
      <c r="H221" s="5" t="s">
        <v>311</v>
      </c>
      <c r="I221" s="5" t="s">
        <v>312</v>
      </c>
      <c r="J221" s="5" t="s">
        <v>90</v>
      </c>
      <c r="K221" s="5" t="s">
        <v>1330</v>
      </c>
      <c r="L221" s="5" t="s">
        <v>1565</v>
      </c>
      <c r="M221" s="5" t="s">
        <v>1330</v>
      </c>
      <c r="N221" s="5" t="s">
        <v>1330</v>
      </c>
      <c r="O221" s="5" t="s">
        <v>3646</v>
      </c>
      <c r="P221" s="5" t="s">
        <v>3647</v>
      </c>
      <c r="Q221" s="5" t="s">
        <v>3648</v>
      </c>
      <c r="R221" s="5" t="s">
        <v>3649</v>
      </c>
      <c r="S221" s="5" t="s">
        <v>3650</v>
      </c>
      <c r="T221" s="5" t="s">
        <v>3651</v>
      </c>
      <c r="U221" s="5" t="s">
        <v>3652</v>
      </c>
      <c r="V221" s="5" t="s">
        <v>3653</v>
      </c>
      <c r="W221" s="5" t="s">
        <v>3654</v>
      </c>
      <c r="X221" s="5" t="s">
        <v>3652</v>
      </c>
      <c r="Y221" s="10" t="str">
        <f>IF(OR($A221&lt;&gt;"", $G221=""),"",CONCATENATE(";",EscStr(CONCATENATE("NavNode_",getCategoryLevelAsString($B221))),";",EscStr($J221),";",IF($B221&lt;&gt;"","""MainNavNode""",EscStr(CONCATENATE("NavNode_",getSuperCategory($B221, getCategoryLevelAsNumber($B221))))),";"))</f>
        <v>;"NavNode_L3D_525520";"Valves";"NavNode_L2D_379622";</v>
      </c>
      <c r="Z221" s="10" t="str">
        <f>IF(getCategoryLevelAsString($B221)="L0D_324785","",IF(G221="",CONCATENATE(";",EscStr(CONCATENATE("NavNode_",getCategoryLevelAsString($B221))),";",EscStr($J221),";"),CONCATENATE(";",EscStr(CONCATENATE("NavNode_",getCategoryLevelAsString($B221))),";",EscStr(G221),";")))</f>
        <v>;"NavNode_L3D_525520";"Ventile";</v>
      </c>
      <c r="AA221" s="10" t="str">
        <f>IF(getCategoryLevelAsString($B221)="L0D_324785","",IF(H221="",CONCATENATE(";",EscStr(CONCATENATE("NavNode_",getCategoryLevelAsString($B221))),";",EscStr($J221),";"),CONCATENATE(";",EscStr(CONCATENATE("NavNode_",getCategoryLevelAsString($B221))),";",EscStr(H221),";")))</f>
        <v>;"NavNode_L3D_525520";"Vannes";</v>
      </c>
      <c r="AB221" s="10" t="str">
        <f>IF(getCategoryLevelAsString($B221)="L0D_324785","",IF(I221="",CONCATENATE(";",EscStr(CONCATENATE("NavNode_",getCategoryLevelAsString($B221))),";",EscStr($J221),";"),CONCATENATE(";",EscStr(CONCATENATE("NavNode_",getCategoryLevelAsString($B221))),";",EscStr(I221),";")))</f>
        <v>;"NavNode_L3D_525520";"Valvole";</v>
      </c>
      <c r="AC221" s="10" t="str">
        <f>IF(getCategoryLevelAsString($B221)="L0D_324785","",IF(J221="",CONCATENATE(";",EscStr(CONCATENATE("NavNode_",getCategoryLevelAsString($B221))),";",EscStr($J221),";"),CONCATENATE(";",EscStr(CONCATENATE("NavNode_",getCategoryLevelAsString($B221))),";",EscStr(J221),";")))</f>
        <v>;"NavNode_L3D_525520";"Valves";</v>
      </c>
      <c r="AD221" s="10" t="str">
        <f>IF(getCategoryLevelAsString($B221)="L0D_324785","",IF(K221="",CONCATENATE(";",EscStr(CONCATENATE("NavNode_",getCategoryLevelAsString($B221))),";",EscStr($J221),";"),CONCATENATE(";",EscStr(CONCATENATE("NavNode_",getCategoryLevelAsString($B221))),";",EscStr(K221),";")))</f>
        <v>;"NavNode_L3D_525520";"Ventiler";</v>
      </c>
      <c r="AE221" s="10" t="str">
        <f>IF(getCategoryLevelAsString($B221)="L0D_324785","",IF(L221="",CONCATENATE(";",EscStr(CONCATENATE("NavNode_",getCategoryLevelAsString($B221))),";",EscStr($J221),";"),CONCATENATE(";",EscStr(CONCATENATE("NavNode_",getCategoryLevelAsString($B221))),";",EscStr(L221),";")))</f>
        <v>;"NavNode_L3D_525520";"Vožtuvai";</v>
      </c>
      <c r="AF221" s="10" t="str">
        <f>IF(getCategoryLevelAsString($B221)="L0D_324785","",IF(M221="",CONCATENATE(";",EscStr(CONCATENATE("NavNode_",getCategoryLevelAsString($B221))),";",EscStr($J221),";"),CONCATENATE(";",EscStr(CONCATENATE("NavNode_",getCategoryLevelAsString($B221))),";",EscStr(M221),";")))</f>
        <v>;"NavNode_L3D_525520";"Ventiler";</v>
      </c>
      <c r="AG221" s="10" t="str">
        <f>IF(getCategoryLevelAsString($B221)="L0D_324785","",IF(N221="",CONCATENATE(";",EscStr(CONCATENATE("NavNode_",getCategoryLevelAsString($B221))),";",EscStr($J221),";"),CONCATENATE(";",EscStr(CONCATENATE("NavNode_",getCategoryLevelAsString($B221))),";",EscStr(N221),";")))</f>
        <v>;"NavNode_L3D_525520";"Ventiler";</v>
      </c>
      <c r="AH221" s="10" t="str">
        <f>IF(getCategoryLevelAsString($B221)="L0D_324785","",IF(O221="",CONCATENATE(";",EscStr(CONCATENATE("NavNode_",getCategoryLevelAsString($B221))),";",EscStr($J221),";"),CONCATENATE(";",EscStr(CONCATENATE("NavNode_",getCategoryLevelAsString($B221))),";",EscStr(O221),";")))</f>
        <v>;"NavNode_L3D_525520";"Ventiilid";</v>
      </c>
      <c r="AI221" s="10" t="str">
        <f>IF(getCategoryLevelAsString($B221)="L0D_324785","",IF(P221="",CONCATENATE(";",EscStr(CONCATENATE("NavNode_",getCategoryLevelAsString($B221))),";",EscStr($J221),";"),CONCATENATE(";",EscStr(CONCATENATE("NavNode_",getCategoryLevelAsString($B221))),";",EscStr(P221),";")))</f>
        <v>;"NavNode_L3D_525520";"Venttiilit";</v>
      </c>
      <c r="AJ221" s="10" t="str">
        <f>IF(getCategoryLevelAsString($B221)="L0D_324785","",IF(Q221="",CONCATENATE(";",EscStr(CONCATENATE("NavNode_",getCategoryLevelAsString($B221))),";",EscStr($J221),";"),CONCATENATE(";",EscStr(CONCATENATE("NavNode_",getCategoryLevelAsString($B221))),";",EscStr(Q221),";")))</f>
        <v>;"NavNode_L3D_525520";"Vārsti";</v>
      </c>
      <c r="AK221" s="10" t="str">
        <f>IF(getCategoryLevelAsString($B221)="L0D_324785","",IF(R221="",CONCATENATE(";",EscStr(CONCATENATE("NavNode_",getCategoryLevelAsString($B221))),";",EscStr($J221),";"),CONCATENATE(";",EscStr(CONCATENATE("NavNode_",getCategoryLevelAsString($B221))),";",EscStr(R221),";")))</f>
        <v>;"NavNode_L3D_525520";"Kleppen";</v>
      </c>
      <c r="AL221" s="10" t="str">
        <f>IF(getCategoryLevelAsString($B221)="L0D_324785","",IF(S221="",CONCATENATE(";",EscStr(CONCATENATE("NavNode_",getCategoryLevelAsString($B221))),";",EscStr($J221),";"),CONCATENATE(";",EscStr(CONCATENATE("NavNode_",getCategoryLevelAsString($B221))),";",EscStr(S221),";")))</f>
        <v>;"NavNode_L3D_525520";"Zawory";</v>
      </c>
      <c r="AM221" s="10" t="str">
        <f>IF(getCategoryLevelAsString($B221)="L0D_324785","",IF(T221="",CONCATENATE(";",EscStr(CONCATENATE("NavNode_",getCategoryLevelAsString($B221))),";",EscStr($J221),";"),CONCATENATE(";",EscStr(CONCATENATE("NavNode_",getCategoryLevelAsString($B221))),";",EscStr(T221),";")))</f>
        <v>;"NavNode_L3D_525520";"Арматура";</v>
      </c>
      <c r="AN221" s="10" t="str">
        <f>IF(getCategoryLevelAsString($B221)="L0D_324785","",IF(U221="",CONCATENATE(";",EscStr(CONCATENATE("NavNode_",getCategoryLevelAsString($B221))),";",EscStr($J221),";"),CONCATENATE(";",EscStr(CONCATENATE("NavNode_",getCategoryLevelAsString($B221))),";",EscStr(U221),";")))</f>
        <v>;"NavNode_L3D_525520";"Ventily";</v>
      </c>
      <c r="AO221" s="10" t="str">
        <f>IF(getCategoryLevelAsString($B221)="L0D_324785","",IF(V221="",CONCATENATE(";",EscStr(CONCATENATE("NavNode_",getCategoryLevelAsString($B221))),";",EscStr($J221),";"),CONCATENATE(";",EscStr(CONCATENATE("NavNode_",getCategoryLevelAsString($B221))),";",EscStr(V221),";")))</f>
        <v>;"NavNode_L3D_525520";"Supape";</v>
      </c>
      <c r="AP221" s="10" t="str">
        <f>IF(getCategoryLevelAsString($B221)="L0D_324785","",IF(W221="",CONCATENATE(";",EscStr(CONCATENATE("NavNode_",getCategoryLevelAsString($B221))),";",EscStr($J221),";"),CONCATENATE(";",EscStr(CONCATENATE("NavNode_",getCategoryLevelAsString($B221))),";",EscStr(W221),";")))</f>
        <v>;"NavNode_L3D_525520";"Szelep";</v>
      </c>
      <c r="AQ221" s="10" t="str">
        <f>IF(getCategoryLevelAsString($B221)="L0D_324785","",IF(X221="",CONCATENATE(";",EscStr(CONCATENATE("NavNode_",getCategoryLevelAsString($B221))),";",EscStr($J221),";"),CONCATENATE(";",EscStr(CONCATENATE("NavNode_",getCategoryLevelAsString($B221))),";",EscStr(X221),";")))</f>
        <v>;"NavNode_L3D_525520";"Ventily";</v>
      </c>
      <c r="AR221" s="8" t="str">
        <f>IF(OR($A221&lt;&gt;"", $G221=""),"",CONCATENATE(";",EscStr(CONCATENATE("NavEntry_",getCategoryLevelAsString($B221))),";",EscStr(CONCATENATE($J221," Navigation Entry")),";",EscStr(CONCATENATE("cat-",getCategoryLevelAsString($B221))),";",EscStr(CONCATENATE("NavNode_",getCategoryLevelAsString($B221))),";"))</f>
        <v>;"NavEntry_L3D_525520";"Valves Navigation Entry";"cat-L3D_525520";"NavNode_L3D_525520";</v>
      </c>
    </row>
    <row r="222" spans="1:44" ht="15" x14ac:dyDescent="0.25">
      <c r="A222" s="25"/>
      <c r="B222" s="5"/>
      <c r="C222" s="5"/>
      <c r="D222" s="5" t="s">
        <v>82</v>
      </c>
      <c r="E222" s="5"/>
      <c r="F222" s="5"/>
      <c r="G222" s="5" t="s">
        <v>940</v>
      </c>
      <c r="H222" s="5" t="s">
        <v>284</v>
      </c>
      <c r="I222" s="5" t="s">
        <v>285</v>
      </c>
      <c r="J222" s="5" t="s">
        <v>69</v>
      </c>
      <c r="K222" s="5" t="s">
        <v>1328</v>
      </c>
      <c r="L222" s="5" t="s">
        <v>1563</v>
      </c>
      <c r="M222" s="5" t="s">
        <v>1328</v>
      </c>
      <c r="N222" s="5" t="s">
        <v>1992</v>
      </c>
      <c r="O222" s="5" t="s">
        <v>3630</v>
      </c>
      <c r="P222" s="5" t="s">
        <v>3631</v>
      </c>
      <c r="Q222" s="5" t="s">
        <v>3632</v>
      </c>
      <c r="R222" s="5" t="s">
        <v>3655</v>
      </c>
      <c r="S222" s="5" t="s">
        <v>3633</v>
      </c>
      <c r="T222" s="5" t="s">
        <v>3634</v>
      </c>
      <c r="U222" s="5" t="s">
        <v>3656</v>
      </c>
      <c r="V222" s="5" t="s">
        <v>3657</v>
      </c>
      <c r="W222" s="5" t="s">
        <v>3658</v>
      </c>
      <c r="X222" s="5" t="s">
        <v>3656</v>
      </c>
      <c r="Y222" s="10" t="str">
        <f>IF(OR($A222&lt;&gt;"", $G222=""),"",CONCATENATE(";",EscStr(CONCATENATE("NavNode_",getCategoryLevelAsString($B222))),";",EscStr($J222),";",IF($B222&lt;&gt;"","""MainNavNode""",EscStr(CONCATENATE("NavNode_",getSuperCategory($B222, getCategoryLevelAsNumber($B222))))),";"))</f>
        <v>;"NavNode_L3D_525521";"Actuators";"NavNode_L2D_379622";</v>
      </c>
      <c r="Z222" s="10" t="str">
        <f>IF(getCategoryLevelAsString($B222)="L0D_324785","",IF(G222="",CONCATENATE(";",EscStr(CONCATENATE("NavNode_",getCategoryLevelAsString($B222))),";",EscStr($J222),";"),CONCATENATE(";",EscStr(CONCATENATE("NavNode_",getCategoryLevelAsString($B222))),";",EscStr(G222),";")))</f>
        <v>;"NavNode_L3D_525521";"Antriebe";</v>
      </c>
      <c r="AA222" s="10" t="str">
        <f>IF(getCategoryLevelAsString($B222)="L0D_324785","",IF(H222="",CONCATENATE(";",EscStr(CONCATENATE("NavNode_",getCategoryLevelAsString($B222))),";",EscStr($J222),";"),CONCATENATE(";",EscStr(CONCATENATE("NavNode_",getCategoryLevelAsString($B222))),";",EscStr(H222),";")))</f>
        <v>;"NavNode_L3D_525521";"Actionneurs";</v>
      </c>
      <c r="AB222" s="10" t="str">
        <f>IF(getCategoryLevelAsString($B222)="L0D_324785","",IF(I222="",CONCATENATE(";",EscStr(CONCATENATE("NavNode_",getCategoryLevelAsString($B222))),";",EscStr($J222),";"),CONCATENATE(";",EscStr(CONCATENATE("NavNode_",getCategoryLevelAsString($B222))),";",EscStr(I222),";")))</f>
        <v>;"NavNode_L3D_525521";"Attuatori";</v>
      </c>
      <c r="AC222" s="10" t="str">
        <f>IF(getCategoryLevelAsString($B222)="L0D_324785","",IF(J222="",CONCATENATE(";",EscStr(CONCATENATE("NavNode_",getCategoryLevelAsString($B222))),";",EscStr($J222),";"),CONCATENATE(";",EscStr(CONCATENATE("NavNode_",getCategoryLevelAsString($B222))),";",EscStr(J222),";")))</f>
        <v>;"NavNode_L3D_525521";"Actuators";</v>
      </c>
      <c r="AD222" s="10" t="str">
        <f>IF(getCategoryLevelAsString($B222)="L0D_324785","",IF(K222="",CONCATENATE(";",EscStr(CONCATENATE("NavNode_",getCategoryLevelAsString($B222))),";",EscStr($J222),";"),CONCATENATE(";",EscStr(CONCATENATE("NavNode_",getCategoryLevelAsString($B222))),";",EscStr(K222),";")))</f>
        <v>;"NavNode_L3D_525521";"Aktuatorer";</v>
      </c>
      <c r="AE222" s="10" t="str">
        <f>IF(getCategoryLevelAsString($B222)="L0D_324785","",IF(L222="",CONCATENATE(";",EscStr(CONCATENATE("NavNode_",getCategoryLevelAsString($B222))),";",EscStr($J222),";"),CONCATENATE(";",EscStr(CONCATENATE("NavNode_",getCategoryLevelAsString($B222))),";",EscStr(L222),";")))</f>
        <v>;"NavNode_L3D_525521";"Aktuatoriai";</v>
      </c>
      <c r="AF222" s="10" t="str">
        <f>IF(getCategoryLevelAsString($B222)="L0D_324785","",IF(M222="",CONCATENATE(";",EscStr(CONCATENATE("NavNode_",getCategoryLevelAsString($B222))),";",EscStr($J222),";"),CONCATENATE(";",EscStr(CONCATENATE("NavNode_",getCategoryLevelAsString($B222))),";",EscStr(M222),";")))</f>
        <v>;"NavNode_L3D_525521";"Aktuatorer";</v>
      </c>
      <c r="AG222" s="10" t="str">
        <f>IF(getCategoryLevelAsString($B222)="L0D_324785","",IF(N222="",CONCATENATE(";",EscStr(CONCATENATE("NavNode_",getCategoryLevelAsString($B222))),";",EscStr($J222),";"),CONCATENATE(";",EscStr(CONCATENATE("NavNode_",getCategoryLevelAsString($B222))),";",EscStr(N222),";")))</f>
        <v>;"NavNode_L3D_525521";"Manöverdon";</v>
      </c>
      <c r="AH222" s="10" t="str">
        <f>IF(getCategoryLevelAsString($B222)="L0D_324785","",IF(O222="",CONCATENATE(";",EscStr(CONCATENATE("NavNode_",getCategoryLevelAsString($B222))),";",EscStr($J222),";"),CONCATENATE(";",EscStr(CONCATENATE("NavNode_",getCategoryLevelAsString($B222))),";",EscStr(O222),";")))</f>
        <v>;"NavNode_L3D_525521";"Täiturid";</v>
      </c>
      <c r="AI222" s="10" t="str">
        <f>IF(getCategoryLevelAsString($B222)="L0D_324785","",IF(P222="",CONCATENATE(";",EscStr(CONCATENATE("NavNode_",getCategoryLevelAsString($B222))),";",EscStr($J222),";"),CONCATENATE(";",EscStr(CONCATENATE("NavNode_",getCategoryLevelAsString($B222))),";",EscStr(P222),";")))</f>
        <v>;"NavNode_L3D_525521";"Sovittimet";</v>
      </c>
      <c r="AJ222" s="10" t="str">
        <f>IF(getCategoryLevelAsString($B222)="L0D_324785","",IF(Q222="",CONCATENATE(";",EscStr(CONCATENATE("NavNode_",getCategoryLevelAsString($B222))),";",EscStr($J222),";"),CONCATENATE(";",EscStr(CONCATENATE("NavNode_",getCategoryLevelAsString($B222))),";",EscStr(Q222),";")))</f>
        <v>;"NavNode_L3D_525521";"Aktuatori";</v>
      </c>
      <c r="AK222" s="10" t="str">
        <f>IF(getCategoryLevelAsString($B222)="L0D_324785","",IF(R222="",CONCATENATE(";",EscStr(CONCATENATE("NavNode_",getCategoryLevelAsString($B222))),";",EscStr($J222),";"),CONCATENATE(";",EscStr(CONCATENATE("NavNode_",getCategoryLevelAsString($B222))),";",EscStr(R222),";")))</f>
        <v>;"NavNode_L3D_525521";"Actuatoren";</v>
      </c>
      <c r="AL222" s="10" t="str">
        <f>IF(getCategoryLevelAsString($B222)="L0D_324785","",IF(S222="",CONCATENATE(";",EscStr(CONCATENATE("NavNode_",getCategoryLevelAsString($B222))),";",EscStr($J222),";"),CONCATENATE(";",EscStr(CONCATENATE("NavNode_",getCategoryLevelAsString($B222))),";",EscStr(S222),";")))</f>
        <v>;"NavNode_L3D_525521";"Siłowniki";</v>
      </c>
      <c r="AM222" s="10" t="str">
        <f>IF(getCategoryLevelAsString($B222)="L0D_324785","",IF(T222="",CONCATENATE(";",EscStr(CONCATENATE("NavNode_",getCategoryLevelAsString($B222))),";",EscStr($J222),";"),CONCATENATE(";",EscStr(CONCATENATE("NavNode_",getCategoryLevelAsString($B222))),";",EscStr(T222),";")))</f>
        <v>;"NavNode_L3D_525521";"Приводы";</v>
      </c>
      <c r="AN222" s="10" t="str">
        <f>IF(getCategoryLevelAsString($B222)="L0D_324785","",IF(U222="",CONCATENATE(";",EscStr(CONCATENATE("NavNode_",getCategoryLevelAsString($B222))),";",EscStr($J222),";"),CONCATENATE(";",EscStr(CONCATENATE("NavNode_",getCategoryLevelAsString($B222))),";",EscStr(U222),";")))</f>
        <v>;"NavNode_L3D_525521";"Pohony";</v>
      </c>
      <c r="AO222" s="10" t="str">
        <f>IF(getCategoryLevelAsString($B222)="L0D_324785","",IF(V222="",CONCATENATE(";",EscStr(CONCATENATE("NavNode_",getCategoryLevelAsString($B222))),";",EscStr($J222),";"),CONCATENATE(";",EscStr(CONCATENATE("NavNode_",getCategoryLevelAsString($B222))),";",EscStr(V222),";")))</f>
        <v>;"NavNode_L3D_525521";"Drive-urile";</v>
      </c>
      <c r="AP222" s="10" t="str">
        <f>IF(getCategoryLevelAsString($B222)="L0D_324785","",IF(W222="",CONCATENATE(";",EscStr(CONCATENATE("NavNode_",getCategoryLevelAsString($B222))),";",EscStr($J222),";"),CONCATENATE(";",EscStr(CONCATENATE("NavNode_",getCategoryLevelAsString($B222))),";",EscStr(W222),";")))</f>
        <v>;"NavNode_L3D_525521";"Meghajtás";</v>
      </c>
      <c r="AQ222" s="10" t="str">
        <f>IF(getCategoryLevelAsString($B222)="L0D_324785","",IF(X222="",CONCATENATE(";",EscStr(CONCATENATE("NavNode_",getCategoryLevelAsString($B222))),";",EscStr($J222),";"),CONCATENATE(";",EscStr(CONCATENATE("NavNode_",getCategoryLevelAsString($B222))),";",EscStr(X222),";")))</f>
        <v>;"NavNode_L3D_525521";"Pohony";</v>
      </c>
      <c r="AR222" s="8" t="str">
        <f>IF(OR($A222&lt;&gt;"", $G222=""),"",CONCATENATE(";",EscStr(CONCATENATE("NavEntry_",getCategoryLevelAsString($B222))),";",EscStr(CONCATENATE($J222," Navigation Entry")),";",EscStr(CONCATENATE("cat-",getCategoryLevelAsString($B222))),";",EscStr(CONCATENATE("NavNode_",getCategoryLevelAsString($B222))),";"))</f>
        <v>;"NavEntry_L3D_525521";"Actuators Navigation Entry";"cat-L3D_525521";"NavNode_L3D_525521";</v>
      </c>
    </row>
    <row r="223" spans="1:44" ht="15" x14ac:dyDescent="0.25">
      <c r="A223" s="25"/>
      <c r="B223" s="5"/>
      <c r="C223" s="5"/>
      <c r="D223" s="5" t="s">
        <v>84</v>
      </c>
      <c r="E223" s="5"/>
      <c r="F223" s="5"/>
      <c r="G223" s="5" t="s">
        <v>303</v>
      </c>
      <c r="H223" s="5" t="s">
        <v>304</v>
      </c>
      <c r="I223" s="5" t="s">
        <v>305</v>
      </c>
      <c r="J223" s="5" t="s">
        <v>85</v>
      </c>
      <c r="K223" s="5" t="s">
        <v>1331</v>
      </c>
      <c r="L223" s="5" t="s">
        <v>1566</v>
      </c>
      <c r="M223" s="5" t="s">
        <v>1780</v>
      </c>
      <c r="N223" s="5" t="s">
        <v>1993</v>
      </c>
      <c r="O223" s="5" t="s">
        <v>3659</v>
      </c>
      <c r="P223" s="5" t="s">
        <v>3631</v>
      </c>
      <c r="Q223" s="5" t="s">
        <v>3660</v>
      </c>
      <c r="R223" s="5" t="s">
        <v>3661</v>
      </c>
      <c r="S223" s="5" t="s">
        <v>3662</v>
      </c>
      <c r="T223" s="5" t="s">
        <v>3663</v>
      </c>
      <c r="U223" s="5" t="s">
        <v>3664</v>
      </c>
      <c r="V223" s="5" t="s">
        <v>3665</v>
      </c>
      <c r="W223" s="5" t="s">
        <v>3666</v>
      </c>
      <c r="X223" s="5" t="s">
        <v>3664</v>
      </c>
      <c r="Y223" s="10" t="str">
        <f>IF(OR($A223&lt;&gt;"", $G223=""),"",CONCATENATE(";",EscStr(CONCATENATE("NavNode_",getCategoryLevelAsString($B223))),";",EscStr($J223),";",IF($B223&lt;&gt;"","""MainNavNode""",EscStr(CONCATENATE("NavNode_",getSuperCategory($B223, getCategoryLevelAsNumber($B223))))),";"))</f>
        <v>;"NavNode_L3D_525522";"Fittings / Check Valves";"NavNode_L2D_379622";</v>
      </c>
      <c r="Z223" s="10" t="str">
        <f>IF(getCategoryLevelAsString($B223)="L0D_324785","",IF(G223="",CONCATENATE(";",EscStr(CONCATENATE("NavNode_",getCategoryLevelAsString($B223))),";",EscStr($J223),";"),CONCATENATE(";",EscStr(CONCATENATE("NavNode_",getCategoryLevelAsString($B223))),";",EscStr(G223),";")))</f>
        <v>;"NavNode_L3D_525522";"Steckverbinder / Sperrventile";</v>
      </c>
      <c r="AA223" s="10" t="str">
        <f>IF(getCategoryLevelAsString($B223)="L0D_324785","",IF(H223="",CONCATENATE(";",EscStr(CONCATENATE("NavNode_",getCategoryLevelAsString($B223))),";",EscStr($J223),";"),CONCATENATE(";",EscStr(CONCATENATE("NavNode_",getCategoryLevelAsString($B223))),";",EscStr(H223),";")))</f>
        <v>;"NavNode_L3D_525522";"Raccords / Clapets antiretour";</v>
      </c>
      <c r="AB223" s="10" t="str">
        <f>IF(getCategoryLevelAsString($B223)="L0D_324785","",IF(I223="",CONCATENATE(";",EscStr(CONCATENATE("NavNode_",getCategoryLevelAsString($B223))),";",EscStr($J223),";"),CONCATENATE(";",EscStr(CONCATENATE("NavNode_",getCategoryLevelAsString($B223))),";",EscStr(I223),";")))</f>
        <v>;"NavNode_L3D_525522";"Raccordi / Valvole di ritegno";</v>
      </c>
      <c r="AC223" s="10" t="str">
        <f>IF(getCategoryLevelAsString($B223)="L0D_324785","",IF(J223="",CONCATENATE(";",EscStr(CONCATENATE("NavNode_",getCategoryLevelAsString($B223))),";",EscStr($J223),";"),CONCATENATE(";",EscStr(CONCATENATE("NavNode_",getCategoryLevelAsString($B223))),";",EscStr(J223),";")))</f>
        <v>;"NavNode_L3D_525522";"Fittings / Check Valves";</v>
      </c>
      <c r="AD223" s="10" t="str">
        <f>IF(getCategoryLevelAsString($B223)="L0D_324785","",IF(K223="",CONCATENATE(";",EscStr(CONCATENATE("NavNode_",getCategoryLevelAsString($B223))),";",EscStr($J223),";"),CONCATENATE(";",EscStr(CONCATENATE("NavNode_",getCategoryLevelAsString($B223))),";",EscStr(K223),";")))</f>
        <v>;"NavNode_L3D_525522";"Beslag/styreventiler";</v>
      </c>
      <c r="AE223" s="10" t="str">
        <f>IF(getCategoryLevelAsString($B223)="L0D_324785","",IF(L223="",CONCATENATE(";",EscStr(CONCATENATE("NavNode_",getCategoryLevelAsString($B223))),";",EscStr($J223),";"),CONCATENATE(";",EscStr(CONCATENATE("NavNode_",getCategoryLevelAsString($B223))),";",EscStr(L223),";")))</f>
        <v>;"NavNode_L3D_525522";"Įvorės / tikrinimo vožtuvai";</v>
      </c>
      <c r="AF223" s="10" t="str">
        <f>IF(getCategoryLevelAsString($B223)="L0D_324785","",IF(M223="",CONCATENATE(";",EscStr(CONCATENATE("NavNode_",getCategoryLevelAsString($B223))),";",EscStr($J223),";"),CONCATENATE(";",EscStr(CONCATENATE("NavNode_",getCategoryLevelAsString($B223))),";",EscStr(M223),";")))</f>
        <v>;"NavNode_L3D_525522";"Fester/tilbakeslagsventiler";</v>
      </c>
      <c r="AG223" s="10" t="str">
        <f>IF(getCategoryLevelAsString($B223)="L0D_324785","",IF(N223="",CONCATENATE(";",EscStr(CONCATENATE("NavNode_",getCategoryLevelAsString($B223))),";",EscStr($J223),";"),CONCATENATE(";",EscStr(CONCATENATE("NavNode_",getCategoryLevelAsString($B223))),";",EscStr(N223),";")))</f>
        <v>;"NavNode_L3D_525522";"Armaturer/backventiler";</v>
      </c>
      <c r="AH223" s="10" t="str">
        <f>IF(getCategoryLevelAsString($B223)="L0D_324785","",IF(O223="",CONCATENATE(";",EscStr(CONCATENATE("NavNode_",getCategoryLevelAsString($B223))),";",EscStr($J223),";"),CONCATENATE(";",EscStr(CONCATENATE("NavNode_",getCategoryLevelAsString($B223))),";",EscStr(O223),";")))</f>
        <v>;"NavNode_L3D_525522";"Ühendusdetailid / Kontrollventiilid";</v>
      </c>
      <c r="AI223" s="10" t="str">
        <f>IF(getCategoryLevelAsString($B223)="L0D_324785","",IF(P223="",CONCATENATE(";",EscStr(CONCATENATE("NavNode_",getCategoryLevelAsString($B223))),";",EscStr($J223),";"),CONCATENATE(";",EscStr(CONCATENATE("NavNode_",getCategoryLevelAsString($B223))),";",EscStr(P223),";")))</f>
        <v>;"NavNode_L3D_525522";"Sovittimet";</v>
      </c>
      <c r="AJ223" s="10" t="str">
        <f>IF(getCategoryLevelAsString($B223)="L0D_324785","",IF(Q223="",CONCATENATE(";",EscStr(CONCATENATE("NavNode_",getCategoryLevelAsString($B223))),";",EscStr($J223),";"),CONCATENATE(";",EscStr(CONCATENATE("NavNode_",getCategoryLevelAsString($B223))),";",EscStr(Q223),";")))</f>
        <v>;"NavNode_L3D_525522";"Uzgaļi / Pretvārsti";</v>
      </c>
      <c r="AK223" s="10" t="str">
        <f>IF(getCategoryLevelAsString($B223)="L0D_324785","",IF(R223="",CONCATENATE(";",EscStr(CONCATENATE("NavNode_",getCategoryLevelAsString($B223))),";",EscStr($J223),";"),CONCATENATE(";",EscStr(CONCATENATE("NavNode_",getCategoryLevelAsString($B223))),";",EscStr(R223),";")))</f>
        <v>;"NavNode_L3D_525522";"Koppelingen / Afsluiters";</v>
      </c>
      <c r="AL223" s="10" t="str">
        <f>IF(getCategoryLevelAsString($B223)="L0D_324785","",IF(S223="",CONCATENATE(";",EscStr(CONCATENATE("NavNode_",getCategoryLevelAsString($B223))),";",EscStr($J223),";"),CONCATENATE(";",EscStr(CONCATENATE("NavNode_",getCategoryLevelAsString($B223))),";",EscStr(S223),";")))</f>
        <v>;"NavNode_L3D_525522";"Złączki i Akcesoria do zaworów";</v>
      </c>
      <c r="AM223" s="10" t="str">
        <f>IF(getCategoryLevelAsString($B223)="L0D_324785","",IF(T223="",CONCATENATE(";",EscStr(CONCATENATE("NavNode_",getCategoryLevelAsString($B223))),";",EscStr($J223),";"),CONCATENATE(";",EscStr(CONCATENATE("NavNode_",getCategoryLevelAsString($B223))),";",EscStr(T223),";")))</f>
        <v>;"NavNode_L3D_525522";"Фитинги / Контрольные клапаны";</v>
      </c>
      <c r="AN223" s="10" t="str">
        <f>IF(getCategoryLevelAsString($B223)="L0D_324785","",IF(U223="",CONCATENATE(";",EscStr(CONCATENATE("NavNode_",getCategoryLevelAsString($B223))),";",EscStr($J223),";"),CONCATENATE(";",EscStr(CONCATENATE("NavNode_",getCategoryLevelAsString($B223))),";",EscStr(U223),";")))</f>
        <v>;"NavNode_L3D_525522";"Konektory / zpětné ventily";</v>
      </c>
      <c r="AO223" s="10" t="str">
        <f>IF(getCategoryLevelAsString($B223)="L0D_324785","",IF(V223="",CONCATENATE(";",EscStr(CONCATENATE("NavNode_",getCategoryLevelAsString($B223))),";",EscStr($J223),";"),CONCATENATE(";",EscStr(CONCATENATE("NavNode_",getCategoryLevelAsString($B223))),";",EscStr(V223),";")))</f>
        <v>;"NavNode_L3D_525522";"Conector / supape";</v>
      </c>
      <c r="AP223" s="10" t="str">
        <f>IF(getCategoryLevelAsString($B223)="L0D_324785","",IF(W223="",CONCATENATE(";",EscStr(CONCATENATE("NavNode_",getCategoryLevelAsString($B223))),";",EscStr($J223),";"),CONCATENATE(";",EscStr(CONCATENATE("NavNode_",getCategoryLevelAsString($B223))),";",EscStr(W223),";")))</f>
        <v>;"NavNode_L3D_525522";"Konnektor / Elzárószelep";</v>
      </c>
      <c r="AQ223" s="10" t="str">
        <f>IF(getCategoryLevelAsString($B223)="L0D_324785","",IF(X223="",CONCATENATE(";",EscStr(CONCATENATE("NavNode_",getCategoryLevelAsString($B223))),";",EscStr($J223),";"),CONCATENATE(";",EscStr(CONCATENATE("NavNode_",getCategoryLevelAsString($B223))),";",EscStr(X223),";")))</f>
        <v>;"NavNode_L3D_525522";"Konektory / zpětné ventily";</v>
      </c>
      <c r="AR223" s="8" t="str">
        <f>IF(OR($A223&lt;&gt;"", $G223=""),"",CONCATENATE(";",EscStr(CONCATENATE("NavEntry_",getCategoryLevelAsString($B223))),";",EscStr(CONCATENATE($J223," Navigation Entry")),";",EscStr(CONCATENATE("cat-",getCategoryLevelAsString($B223))),";",EscStr(CONCATENATE("NavNode_",getCategoryLevelAsString($B223))),";"))</f>
        <v>;"NavEntry_L3D_525522";"Fittings / Check Valves Navigation Entry";"cat-L3D_525522";"NavNode_L3D_525522";</v>
      </c>
    </row>
    <row r="224" spans="1:44" ht="15" x14ac:dyDescent="0.25">
      <c r="A224" s="25"/>
      <c r="B224" s="5"/>
      <c r="C224" s="5"/>
      <c r="D224" s="5" t="s">
        <v>87</v>
      </c>
      <c r="E224" s="5"/>
      <c r="F224" s="5"/>
      <c r="G224" s="5" t="s">
        <v>307</v>
      </c>
      <c r="H224" s="5" t="s">
        <v>308</v>
      </c>
      <c r="I224" s="5" t="s">
        <v>309</v>
      </c>
      <c r="J224" s="5" t="s">
        <v>88</v>
      </c>
      <c r="K224" s="5" t="s">
        <v>1332</v>
      </c>
      <c r="L224" s="5" t="s">
        <v>1567</v>
      </c>
      <c r="M224" s="5" t="s">
        <v>1781</v>
      </c>
      <c r="N224" s="5" t="s">
        <v>1332</v>
      </c>
      <c r="O224" s="5" t="s">
        <v>3667</v>
      </c>
      <c r="P224" s="5" t="s">
        <v>3668</v>
      </c>
      <c r="Q224" s="5" t="s">
        <v>3669</v>
      </c>
      <c r="R224" s="5" t="s">
        <v>3670</v>
      </c>
      <c r="S224" s="5" t="s">
        <v>3671</v>
      </c>
      <c r="T224" s="5" t="s">
        <v>3672</v>
      </c>
      <c r="U224" s="5" t="s">
        <v>3673</v>
      </c>
      <c r="V224" s="5" t="s">
        <v>3674</v>
      </c>
      <c r="W224" s="5" t="s">
        <v>3675</v>
      </c>
      <c r="X224" s="5" t="s">
        <v>3673</v>
      </c>
      <c r="Y224" s="10" t="str">
        <f>IF(OR($A224&lt;&gt;"", $G224=""),"",CONCATENATE(";",EscStr(CONCATENATE("NavNode_",getCategoryLevelAsString($B224))),";",EscStr($J224),";",IF($B224&lt;&gt;"","""MainNavNode""",EscStr(CONCATENATE("NavNode_",getSuperCategory($B224, getCategoryLevelAsNumber($B224))))),";"))</f>
        <v>;"NavNode_L3D_525523";"Vacuum Technology";"NavNode_L2D_379622";</v>
      </c>
      <c r="Z224" s="10" t="str">
        <f>IF(getCategoryLevelAsString($B224)="L0D_324785","",IF(G224="",CONCATENATE(";",EscStr(CONCATENATE("NavNode_",getCategoryLevelAsString($B224))),";",EscStr($J224),";"),CONCATENATE(";",EscStr(CONCATENATE("NavNode_",getCategoryLevelAsString($B224))),";",EscStr(G224),";")))</f>
        <v>;"NavNode_L3D_525523";"Vakuumtechnik";</v>
      </c>
      <c r="AA224" s="10" t="str">
        <f>IF(getCategoryLevelAsString($B224)="L0D_324785","",IF(H224="",CONCATENATE(";",EscStr(CONCATENATE("NavNode_",getCategoryLevelAsString($B224))),";",EscStr($J224),";"),CONCATENATE(";",EscStr(CONCATENATE("NavNode_",getCategoryLevelAsString($B224))),";",EscStr(H224),";")))</f>
        <v>;"NavNode_L3D_525523";"Technique du vide";</v>
      </c>
      <c r="AB224" s="10" t="str">
        <f>IF(getCategoryLevelAsString($B224)="L0D_324785","",IF(I224="",CONCATENATE(";",EscStr(CONCATENATE("NavNode_",getCategoryLevelAsString($B224))),";",EscStr($J224),";"),CONCATENATE(";",EscStr(CONCATENATE("NavNode_",getCategoryLevelAsString($B224))),";",EscStr(I224),";")))</f>
        <v>;"NavNode_L3D_525523";"Tecnologia del vuoto";</v>
      </c>
      <c r="AC224" s="10" t="str">
        <f>IF(getCategoryLevelAsString($B224)="L0D_324785","",IF(J224="",CONCATENATE(";",EscStr(CONCATENATE("NavNode_",getCategoryLevelAsString($B224))),";",EscStr($J224),";"),CONCATENATE(";",EscStr(CONCATENATE("NavNode_",getCategoryLevelAsString($B224))),";",EscStr(J224),";")))</f>
        <v>;"NavNode_L3D_525523";"Vacuum Technology";</v>
      </c>
      <c r="AD224" s="10" t="str">
        <f>IF(getCategoryLevelAsString($B224)="L0D_324785","",IF(K224="",CONCATENATE(";",EscStr(CONCATENATE("NavNode_",getCategoryLevelAsString($B224))),";",EscStr($J224),";"),CONCATENATE(";",EscStr(CONCATENATE("NavNode_",getCategoryLevelAsString($B224))),";",EscStr(K224),";")))</f>
        <v>;"NavNode_L3D_525523";"Vakuumteknik";</v>
      </c>
      <c r="AE224" s="10" t="str">
        <f>IF(getCategoryLevelAsString($B224)="L0D_324785","",IF(L224="",CONCATENATE(";",EscStr(CONCATENATE("NavNode_",getCategoryLevelAsString($B224))),";",EscStr($J224),";"),CONCATENATE(";",EscStr(CONCATENATE("NavNode_",getCategoryLevelAsString($B224))),";",EscStr(L224),";")))</f>
        <v>;"NavNode_L3D_525523";"Vakuuminė technologija";</v>
      </c>
      <c r="AF224" s="10" t="str">
        <f>IF(getCategoryLevelAsString($B224)="L0D_324785","",IF(M224="",CONCATENATE(";",EscStr(CONCATENATE("NavNode_",getCategoryLevelAsString($B224))),";",EscStr($J224),";"),CONCATENATE(";",EscStr(CONCATENATE("NavNode_",getCategoryLevelAsString($B224))),";",EscStr(M224),";")))</f>
        <v>;"NavNode_L3D_525523";"Vakuumteknologi";</v>
      </c>
      <c r="AG224" s="10" t="str">
        <f>IF(getCategoryLevelAsString($B224)="L0D_324785","",IF(N224="",CONCATENATE(";",EscStr(CONCATENATE("NavNode_",getCategoryLevelAsString($B224))),";",EscStr($J224),";"),CONCATENATE(";",EscStr(CONCATENATE("NavNode_",getCategoryLevelAsString($B224))),";",EscStr(N224),";")))</f>
        <v>;"NavNode_L3D_525523";"Vakuumteknik";</v>
      </c>
      <c r="AH224" s="10" t="str">
        <f>IF(getCategoryLevelAsString($B224)="L0D_324785","",IF(O224="",CONCATENATE(";",EscStr(CONCATENATE("NavNode_",getCategoryLevelAsString($B224))),";",EscStr($J224),";"),CONCATENATE(";",EscStr(CONCATENATE("NavNode_",getCategoryLevelAsString($B224))),";",EscStr(O224),";")))</f>
        <v>;"NavNode_L3D_525523";"Vaakumtehnoloogia";</v>
      </c>
      <c r="AI224" s="10" t="str">
        <f>IF(getCategoryLevelAsString($B224)="L0D_324785","",IF(P224="",CONCATENATE(";",EscStr(CONCATENATE("NavNode_",getCategoryLevelAsString($B224))),";",EscStr($J224),";"),CONCATENATE(";",EscStr(CONCATENATE("NavNode_",getCategoryLevelAsString($B224))),";",EscStr(P224),";")))</f>
        <v>;"NavNode_L3D_525523";"Vakumitekniikka";</v>
      </c>
      <c r="AJ224" s="10" t="str">
        <f>IF(getCategoryLevelAsString($B224)="L0D_324785","",IF(Q224="",CONCATENATE(";",EscStr(CONCATENATE("NavNode_",getCategoryLevelAsString($B224))),";",EscStr($J224),";"),CONCATENATE(";",EscStr(CONCATENATE("NavNode_",getCategoryLevelAsString($B224))),";",EscStr(Q224),";")))</f>
        <v>;"NavNode_L3D_525523";"Vakuuma tehnoloģijas";</v>
      </c>
      <c r="AK224" s="10" t="str">
        <f>IF(getCategoryLevelAsString($B224)="L0D_324785","",IF(R224="",CONCATENATE(";",EscStr(CONCATENATE("NavNode_",getCategoryLevelAsString($B224))),";",EscStr($J224),";"),CONCATENATE(";",EscStr(CONCATENATE("NavNode_",getCategoryLevelAsString($B224))),";",EscStr(R224),";")))</f>
        <v>;"NavNode_L3D_525523";"Vacuum techniek";</v>
      </c>
      <c r="AL224" s="10" t="str">
        <f>IF(getCategoryLevelAsString($B224)="L0D_324785","",IF(S224="",CONCATENATE(";",EscStr(CONCATENATE("NavNode_",getCategoryLevelAsString($B224))),";",EscStr($J224),";"),CONCATENATE(";",EscStr(CONCATENATE("NavNode_",getCategoryLevelAsString($B224))),";",EscStr(S224),";")))</f>
        <v>;"NavNode_L3D_525523";"Technika próżniowa";</v>
      </c>
      <c r="AM224" s="10" t="str">
        <f>IF(getCategoryLevelAsString($B224)="L0D_324785","",IF(T224="",CONCATENATE(";",EscStr(CONCATENATE("NavNode_",getCategoryLevelAsString($B224))),";",EscStr($J224),";"),CONCATENATE(";",EscStr(CONCATENATE("NavNode_",getCategoryLevelAsString($B224))),";",EscStr(T224),";")))</f>
        <v>;"NavNode_L3D_525523";"Вакуумная техника";</v>
      </c>
      <c r="AN224" s="10" t="str">
        <f>IF(getCategoryLevelAsString($B224)="L0D_324785","",IF(U224="",CONCATENATE(";",EscStr(CONCATENATE("NavNode_",getCategoryLevelAsString($B224))),";",EscStr($J224),";"),CONCATENATE(";",EscStr(CONCATENATE("NavNode_",getCategoryLevelAsString($B224))),";",EscStr(U224),";")))</f>
        <v>;"NavNode_L3D_525523";"Vákuová technika";</v>
      </c>
      <c r="AO224" s="10" t="str">
        <f>IF(getCategoryLevelAsString($B224)="L0D_324785","",IF(V224="",CONCATENATE(";",EscStr(CONCATENATE("NavNode_",getCategoryLevelAsString($B224))),";",EscStr($J224),";"),CONCATENATE(";",EscStr(CONCATENATE("NavNode_",getCategoryLevelAsString($B224))),";",EscStr(V224),";")))</f>
        <v>;"NavNode_L3D_525523";"Tehnologie de vacuum";</v>
      </c>
      <c r="AP224" s="10" t="str">
        <f>IF(getCategoryLevelAsString($B224)="L0D_324785","",IF(W224="",CONCATENATE(";",EscStr(CONCATENATE("NavNode_",getCategoryLevelAsString($B224))),";",EscStr($J224),";"),CONCATENATE(";",EscStr(CONCATENATE("NavNode_",getCategoryLevelAsString($B224))),";",EscStr(W224),";")))</f>
        <v>;"NavNode_L3D_525523";"Vákumtechnika";</v>
      </c>
      <c r="AQ224" s="10" t="str">
        <f>IF(getCategoryLevelAsString($B224)="L0D_324785","",IF(X224="",CONCATENATE(";",EscStr(CONCATENATE("NavNode_",getCategoryLevelAsString($B224))),";",EscStr($J224),";"),CONCATENATE(";",EscStr(CONCATENATE("NavNode_",getCategoryLevelAsString($B224))),";",EscStr(X224),";")))</f>
        <v>;"NavNode_L3D_525523";"Vákuová technika";</v>
      </c>
      <c r="AR224" s="8" t="str">
        <f>IF(OR($A224&lt;&gt;"", $G224=""),"",CONCATENATE(";",EscStr(CONCATENATE("NavEntry_",getCategoryLevelAsString($B224))),";",EscStr(CONCATENATE($J224," Navigation Entry")),";",EscStr(CONCATENATE("cat-",getCategoryLevelAsString($B224))),";",EscStr(CONCATENATE("NavNode_",getCategoryLevelAsString($B224))),";"))</f>
        <v>;"NavEntry_L3D_525523";"Vacuum Technology Navigation Entry";"cat-L3D_525523";"NavNode_L3D_525523";</v>
      </c>
    </row>
    <row r="225" spans="1:44" ht="15" x14ac:dyDescent="0.25">
      <c r="A225" s="25"/>
      <c r="B225" s="5"/>
      <c r="C225" s="5"/>
      <c r="D225" s="5" t="s">
        <v>83</v>
      </c>
      <c r="E225" s="5"/>
      <c r="F225" s="5"/>
      <c r="G225" s="5" t="s">
        <v>941</v>
      </c>
      <c r="H225" s="5" t="s">
        <v>738</v>
      </c>
      <c r="I225" s="5" t="s">
        <v>642</v>
      </c>
      <c r="J225" s="5" t="s">
        <v>840</v>
      </c>
      <c r="K225" s="5" t="s">
        <v>1333</v>
      </c>
      <c r="L225" s="5" t="s">
        <v>1568</v>
      </c>
      <c r="M225" s="5" t="s">
        <v>1782</v>
      </c>
      <c r="N225" s="5" t="s">
        <v>1333</v>
      </c>
      <c r="O225" s="5" t="s">
        <v>3676</v>
      </c>
      <c r="P225" s="5" t="s">
        <v>3677</v>
      </c>
      <c r="Q225" s="5" t="s">
        <v>3678</v>
      </c>
      <c r="R225" s="5" t="s">
        <v>3679</v>
      </c>
      <c r="S225" s="5" t="s">
        <v>3680</v>
      </c>
      <c r="T225" s="5" t="s">
        <v>3681</v>
      </c>
      <c r="U225" s="5" t="s">
        <v>3682</v>
      </c>
      <c r="V225" s="5" t="s">
        <v>3683</v>
      </c>
      <c r="W225" s="5" t="s">
        <v>3684</v>
      </c>
      <c r="X225" s="5" t="s">
        <v>3682</v>
      </c>
      <c r="Y225" s="10" t="str">
        <f>IF(OR($A225&lt;&gt;"", $G225=""),"",CONCATENATE(";",EscStr(CONCATENATE("NavNode_",getCategoryLevelAsString($B225))),";",EscStr($J225),";",IF($B225&lt;&gt;"","""MainNavNode""",EscStr(CONCATENATE("NavNode_",getSuperCategory($B225, getCategoryLevelAsNumber($B225))))),";"))</f>
        <v>;"NavNode_L3D_525525";"Air Treatment System";"NavNode_L2D_379622";</v>
      </c>
      <c r="Z225" s="10" t="str">
        <f>IF(getCategoryLevelAsString($B225)="L0D_324785","",IF(G225="",CONCATENATE(";",EscStr(CONCATENATE("NavNode_",getCategoryLevelAsString($B225))),";",EscStr($J225),";"),CONCATENATE(";",EscStr(CONCATENATE("NavNode_",getCategoryLevelAsString($B225))),";",EscStr(G225),";")))</f>
        <v>;"NavNode_L3D_525525";"Luftaufbereitung";</v>
      </c>
      <c r="AA225" s="10" t="str">
        <f>IF(getCategoryLevelAsString($B225)="L0D_324785","",IF(H225="",CONCATENATE(";",EscStr(CONCATENATE("NavNode_",getCategoryLevelAsString($B225))),";",EscStr($J225),";"),CONCATENATE(";",EscStr(CONCATENATE("NavNode_",getCategoryLevelAsString($B225))),";",EscStr(H225),";")))</f>
        <v>;"NavNode_L3D_525525";"Système de traitement de l'air";</v>
      </c>
      <c r="AB225" s="10" t="str">
        <f>IF(getCategoryLevelAsString($B225)="L0D_324785","",IF(I225="",CONCATENATE(";",EscStr(CONCATENATE("NavNode_",getCategoryLevelAsString($B225))),";",EscStr($J225),";"),CONCATENATE(";",EscStr(CONCATENATE("NavNode_",getCategoryLevelAsString($B225))),";",EscStr(I225),";")))</f>
        <v>;"NavNode_L3D_525525";"Sistema di trattamento aria";</v>
      </c>
      <c r="AC225" s="10" t="str">
        <f>IF(getCategoryLevelAsString($B225)="L0D_324785","",IF(J225="",CONCATENATE(";",EscStr(CONCATENATE("NavNode_",getCategoryLevelAsString($B225))),";",EscStr($J225),";"),CONCATENATE(";",EscStr(CONCATENATE("NavNode_",getCategoryLevelAsString($B225))),";",EscStr(J225),";")))</f>
        <v>;"NavNode_L3D_525525";"Air Treatment System";</v>
      </c>
      <c r="AD225" s="10" t="str">
        <f>IF(getCategoryLevelAsString($B225)="L0D_324785","",IF(K225="",CONCATENATE(";",EscStr(CONCATENATE("NavNode_",getCategoryLevelAsString($B225))),";",EscStr($J225),";"),CONCATENATE(";",EscStr(CONCATENATE("NavNode_",getCategoryLevelAsString($B225))),";",EscStr(K225),";")))</f>
        <v>;"NavNode_L3D_525525";"Luftbehandlingssystem";</v>
      </c>
      <c r="AE225" s="10" t="str">
        <f>IF(getCategoryLevelAsString($B225)="L0D_324785","",IF(L225="",CONCATENATE(";",EscStr(CONCATENATE("NavNode_",getCategoryLevelAsString($B225))),";",EscStr($J225),";"),CONCATENATE(";",EscStr(CONCATENATE("NavNode_",getCategoryLevelAsString($B225))),";",EscStr(L225),";")))</f>
        <v>;"NavNode_L3D_525525";"Oro apdorojimo sistema";</v>
      </c>
      <c r="AF225" s="10" t="str">
        <f>IF(getCategoryLevelAsString($B225)="L0D_324785","",IF(M225="",CONCATENATE(";",EscStr(CONCATENATE("NavNode_",getCategoryLevelAsString($B225))),";",EscStr($J225),";"),CONCATENATE(";",EscStr(CONCATENATE("NavNode_",getCategoryLevelAsString($B225))),";",EscStr(M225),";")))</f>
        <v>;"NavNode_L3D_525525";"Luftbehandlingssystemer";</v>
      </c>
      <c r="AG225" s="10" t="str">
        <f>IF(getCategoryLevelAsString($B225)="L0D_324785","",IF(N225="",CONCATENATE(";",EscStr(CONCATENATE("NavNode_",getCategoryLevelAsString($B225))),";",EscStr($J225),";"),CONCATENATE(";",EscStr(CONCATENATE("NavNode_",getCategoryLevelAsString($B225))),";",EscStr(N225),";")))</f>
        <v>;"NavNode_L3D_525525";"Luftbehandlingssystem";</v>
      </c>
      <c r="AH225" s="10" t="str">
        <f>IF(getCategoryLevelAsString($B225)="L0D_324785","",IF(O225="",CONCATENATE(";",EscStr(CONCATENATE("NavNode_",getCategoryLevelAsString($B225))),";",EscStr($J225),";"),CONCATENATE(";",EscStr(CONCATENATE("NavNode_",getCategoryLevelAsString($B225))),";",EscStr(O225),";")))</f>
        <v>;"NavNode_L3D_525525";"Õhukäitlussüsteemid";</v>
      </c>
      <c r="AI225" s="10" t="str">
        <f>IF(getCategoryLevelAsString($B225)="L0D_324785","",IF(P225="",CONCATENATE(";",EscStr(CONCATENATE("NavNode_",getCategoryLevelAsString($B225))),";",EscStr($J225),";"),CONCATENATE(";",EscStr(CONCATENATE("NavNode_",getCategoryLevelAsString($B225))),";",EscStr(P225),";")))</f>
        <v>;"NavNode_L3D_525525";"Ilmankäsittelyjärjestelmät";</v>
      </c>
      <c r="AJ225" s="10" t="str">
        <f>IF(getCategoryLevelAsString($B225)="L0D_324785","",IF(Q225="",CONCATENATE(";",EscStr(CONCATENATE("NavNode_",getCategoryLevelAsString($B225))),";",EscStr($J225),";"),CONCATENATE(";",EscStr(CONCATENATE("NavNode_",getCategoryLevelAsString($B225))),";",EscStr(Q225),";")))</f>
        <v>;"NavNode_L3D_525525";"Gaisa apstrāde";</v>
      </c>
      <c r="AK225" s="10" t="str">
        <f>IF(getCategoryLevelAsString($B225)="L0D_324785","",IF(R225="",CONCATENATE(";",EscStr(CONCATENATE("NavNode_",getCategoryLevelAsString($B225))),";",EscStr($J225),";"),CONCATENATE(";",EscStr(CONCATENATE("NavNode_",getCategoryLevelAsString($B225))),";",EscStr(R225),";")))</f>
        <v>;"NavNode_L3D_525525";"Luchtbehandeling";</v>
      </c>
      <c r="AL225" s="10" t="str">
        <f>IF(getCategoryLevelAsString($B225)="L0D_324785","",IF(S225="",CONCATENATE(";",EscStr(CONCATENATE("NavNode_",getCategoryLevelAsString($B225))),";",EscStr($J225),";"),CONCATENATE(";",EscStr(CONCATENATE("NavNode_",getCategoryLevelAsString($B225))),";",EscStr(S225),";")))</f>
        <v>;"NavNode_L3D_525525";"Systemy jakości powietrza";</v>
      </c>
      <c r="AM225" s="10" t="str">
        <f>IF(getCategoryLevelAsString($B225)="L0D_324785","",IF(T225="",CONCATENATE(";",EscStr(CONCATENATE("NavNode_",getCategoryLevelAsString($B225))),";",EscStr($J225),";"),CONCATENATE(";",EscStr(CONCATENATE("NavNode_",getCategoryLevelAsString($B225))),";",EscStr(T225),";")))</f>
        <v>;"NavNode_L3D_525525";"Система очистки воздуха";</v>
      </c>
      <c r="AN225" s="10" t="str">
        <f>IF(getCategoryLevelAsString($B225)="L0D_324785","",IF(U225="",CONCATENATE(";",EscStr(CONCATENATE("NavNode_",getCategoryLevelAsString($B225))),";",EscStr($J225),";"),CONCATENATE(";",EscStr(CONCATENATE("NavNode_",getCategoryLevelAsString($B225))),";",EscStr(U225),";")))</f>
        <v>;"NavNode_L3D_525525";"Klimatizace";</v>
      </c>
      <c r="AO225" s="10" t="str">
        <f>IF(getCategoryLevelAsString($B225)="L0D_324785","",IF(V225="",CONCATENATE(";",EscStr(CONCATENATE("NavNode_",getCategoryLevelAsString($B225))),";",EscStr($J225),";"),CONCATENATE(";",EscStr(CONCATENATE("NavNode_",getCategoryLevelAsString($B225))),";",EscStr(V225),";")))</f>
        <v>;"NavNode_L3D_525525";"Preparare aer";</v>
      </c>
      <c r="AP225" s="10" t="str">
        <f>IF(getCategoryLevelAsString($B225)="L0D_324785","",IF(W225="",CONCATENATE(";",EscStr(CONCATENATE("NavNode_",getCategoryLevelAsString($B225))),";",EscStr($J225),";"),CONCATENATE(";",EscStr(CONCATENATE("NavNode_",getCategoryLevelAsString($B225))),";",EscStr(W225),";")))</f>
        <v>;"NavNode_L3D_525525";"Levegő-előkészítés";</v>
      </c>
      <c r="AQ225" s="10" t="str">
        <f>IF(getCategoryLevelAsString($B225)="L0D_324785","",IF(X225="",CONCATENATE(";",EscStr(CONCATENATE("NavNode_",getCategoryLevelAsString($B225))),";",EscStr($J225),";"),CONCATENATE(";",EscStr(CONCATENATE("NavNode_",getCategoryLevelAsString($B225))),";",EscStr(X225),";")))</f>
        <v>;"NavNode_L3D_525525";"Klimatizace";</v>
      </c>
      <c r="AR225" s="8" t="str">
        <f>IF(OR($A225&lt;&gt;"", $G225=""),"",CONCATENATE(";",EscStr(CONCATENATE("NavEntry_",getCategoryLevelAsString($B225))),";",EscStr(CONCATENATE($J225," Navigation Entry")),";",EscStr(CONCATENATE("cat-",getCategoryLevelAsString($B225))),";",EscStr(CONCATENATE("NavNode_",getCategoryLevelAsString($B225))),";"))</f>
        <v>;"NavEntry_L3D_525525";"Air Treatment System Navigation Entry";"cat-L3D_525525";"NavNode_L3D_525525";</v>
      </c>
    </row>
    <row r="226" spans="1:44" ht="15" x14ac:dyDescent="0.25">
      <c r="A226" s="25"/>
      <c r="B226" s="5"/>
      <c r="C226" s="5"/>
      <c r="D226" s="5" t="s">
        <v>86</v>
      </c>
      <c r="E226" s="5"/>
      <c r="F226" s="5"/>
      <c r="G226" s="5" t="s">
        <v>2404</v>
      </c>
      <c r="H226" s="5" t="s">
        <v>2406</v>
      </c>
      <c r="I226" s="5" t="s">
        <v>2407</v>
      </c>
      <c r="J226" s="5" t="s">
        <v>2405</v>
      </c>
      <c r="K226" s="5" t="s">
        <v>1334</v>
      </c>
      <c r="L226" s="5" t="s">
        <v>1569</v>
      </c>
      <c r="M226" s="5" t="s">
        <v>1783</v>
      </c>
      <c r="N226" s="5" t="s">
        <v>1994</v>
      </c>
      <c r="O226" s="5" t="s">
        <v>3685</v>
      </c>
      <c r="P226" s="5" t="s">
        <v>3686</v>
      </c>
      <c r="Q226" s="5" t="s">
        <v>3687</v>
      </c>
      <c r="R226" s="5" t="s">
        <v>3688</v>
      </c>
      <c r="S226" s="5" t="s">
        <v>3689</v>
      </c>
      <c r="T226" s="5" t="s">
        <v>3690</v>
      </c>
      <c r="U226" s="5" t="s">
        <v>3691</v>
      </c>
      <c r="V226" s="5" t="s">
        <v>3692</v>
      </c>
      <c r="W226" s="5" t="s">
        <v>3693</v>
      </c>
      <c r="X226" s="5" t="s">
        <v>3691</v>
      </c>
      <c r="Y226" s="10" t="str">
        <f>IF(OR($A226&lt;&gt;"", $G226=""),"",CONCATENATE(";",EscStr(CONCATENATE("NavNode_",getCategoryLevelAsString($B226))),";",EscStr($J226),";",IF($B226&lt;&gt;"","""MainNavNode""",EscStr(CONCATENATE("NavNode_",getSuperCategory($B226, getCategoryLevelAsNumber($B226))))),";"))</f>
        <v>;"NavNode_L2D_379624";"Position Sensors for Pneumatics";"NavNode_Automation";</v>
      </c>
      <c r="Z226" s="10" t="str">
        <f>IF(getCategoryLevelAsString($B226)="L0D_324785","",IF(G226="",CONCATENATE(";",EscStr(CONCATENATE("NavNode_",getCategoryLevelAsString($B226))),";",EscStr($J226),";"),CONCATENATE(";",EscStr(CONCATENATE("NavNode_",getCategoryLevelAsString($B226))),";",EscStr(G226),";")))</f>
        <v>;"NavNode_L2D_379624";"Positionssensoren für Pneumatik";</v>
      </c>
      <c r="AA226" s="10" t="e">
        <f>IF(getCategoryLevelAsString($B226)="L0D_324785","",IF(#REF!="",CONCATENATE(";",EscStr(CONCATENATE("NavNode_",getCategoryLevelAsString($B226))),";",EscStr($J226),";"),CONCATENATE(";",EscStr(CONCATENATE("NavNode_",getCategoryLevelAsString($B226))),";",EscStr(#REF!),";")))</f>
        <v>#REF!</v>
      </c>
      <c r="AB226" s="10" t="str">
        <f>IF(getCategoryLevelAsString($B226)="L0D_324785","",IF(H226="",CONCATENATE(";",EscStr(CONCATENATE("NavNode_",getCategoryLevelAsString($B226))),";",EscStr($J226),";"),CONCATENATE(";",EscStr(CONCATENATE("NavNode_",getCategoryLevelAsString($B226))),";",EscStr(H226),";")))</f>
        <v>;"NavNode_L2D_379624";"Détecteurs de position pour pneumatique";</v>
      </c>
      <c r="AC226" s="10" t="str">
        <f>IF(getCategoryLevelAsString($B226)="L0D_324785","",IF(J226="",CONCATENATE(";",EscStr(CONCATENATE("NavNode_",getCategoryLevelAsString($B226))),";",EscStr($J226),";"),CONCATENATE(";",EscStr(CONCATENATE("NavNode_",getCategoryLevelAsString($B226))),";",EscStr(J226),";")))</f>
        <v>;"NavNode_L2D_379624";"Position Sensors for Pneumatics";</v>
      </c>
      <c r="AD226" s="10" t="str">
        <f>IF(getCategoryLevelAsString($B226)="L0D_324785","",IF(K226="",CONCATENATE(";",EscStr(CONCATENATE("NavNode_",getCategoryLevelAsString($B226))),";",EscStr($J226),";"),CONCATENATE(";",EscStr(CONCATENATE("NavNode_",getCategoryLevelAsString($B226))),";",EscStr(K226),";")))</f>
        <v>;"NavNode_L2D_379624";"Positionssensorer til pneumatiske enheder";</v>
      </c>
      <c r="AE226" s="10" t="str">
        <f>IF(getCategoryLevelAsString($B226)="L0D_324785","",IF(L226="",CONCATENATE(";",EscStr(CONCATENATE("NavNode_",getCategoryLevelAsString($B226))),";",EscStr($J226),";"),CONCATENATE(";",EscStr(CONCATENATE("NavNode_",getCategoryLevelAsString($B226))),";",EscStr(L226),";")))</f>
        <v>;"NavNode_L2D_379624";"Pneumatiniai padėties jutikliai";</v>
      </c>
      <c r="AF226" s="10" t="str">
        <f>IF(getCategoryLevelAsString($B226)="L0D_324785","",IF(M226="",CONCATENATE(";",EscStr(CONCATENATE("NavNode_",getCategoryLevelAsString($B226))),";",EscStr($J226),";"),CONCATENATE(";",EscStr(CONCATENATE("NavNode_",getCategoryLevelAsString($B226))),";",EscStr(M226),";")))</f>
        <v>;"NavNode_L2D_379624";"Posisjonssensorer for trykkluft";</v>
      </c>
      <c r="AG226" s="10" t="str">
        <f>IF(getCategoryLevelAsString($B226)="L0D_324785","",IF(N226="",CONCATENATE(";",EscStr(CONCATENATE("NavNode_",getCategoryLevelAsString($B226))),";",EscStr($J226),";"),CONCATENATE(";",EscStr(CONCATENATE("NavNode_",getCategoryLevelAsString($B226))),";",EscStr(N226),";")))</f>
        <v>;"NavNode_L2D_379624";"Lägesgivare för pneumatik";</v>
      </c>
      <c r="AH226" s="10" t="str">
        <f>IF(getCategoryLevelAsString($B226)="L0D_324785","",IF(O226="",CONCATENATE(";",EscStr(CONCATENATE("NavNode_",getCategoryLevelAsString($B226))),";",EscStr($J226),";"),CONCATENATE(";",EscStr(CONCATENATE("NavNode_",getCategoryLevelAsString($B226))),";",EscStr(O226),";")))</f>
        <v>;"NavNode_L2D_379624";"Asendiandurid";</v>
      </c>
      <c r="AI226" s="10" t="str">
        <f>IF(getCategoryLevelAsString($B226)="L0D_324785","",IF(P226="",CONCATENATE(";",EscStr(CONCATENATE("NavNode_",getCategoryLevelAsString($B226))),";",EscStr($J226),";"),CONCATENATE(";",EscStr(CONCATENATE("NavNode_",getCategoryLevelAsString($B226))),";",EscStr(P226),";")))</f>
        <v>;"NavNode_L2D_379624";"Asentoanturit paineilma";</v>
      </c>
      <c r="AJ226" s="10" t="str">
        <f>IF(getCategoryLevelAsString($B226)="L0D_324785","",IF(Q226="",CONCATENATE(";",EscStr(CONCATENATE("NavNode_",getCategoryLevelAsString($B226))),";",EscStr($J226),";"),CONCATENATE(";",EscStr(CONCATENATE("NavNode_",getCategoryLevelAsString($B226))),";",EscStr(Q226),";")))</f>
        <v>;"NavNode_L2D_379624";"Pneimatiskie pozīcijas sensori";</v>
      </c>
      <c r="AK226" s="10" t="str">
        <f>IF(getCategoryLevelAsString($B226)="L0D_324785","",IF(R226="",CONCATENATE(";",EscStr(CONCATENATE("NavNode_",getCategoryLevelAsString($B226))),";",EscStr($J226),";"),CONCATENATE(";",EscStr(CONCATENATE("NavNode_",getCategoryLevelAsString($B226))),";",EscStr(R226),";")))</f>
        <v>;"NavNode_L2D_379624";"Positie sensoren";</v>
      </c>
      <c r="AL226" s="10" t="str">
        <f>IF(getCategoryLevelAsString($B226)="L0D_324785","",IF(S226="",CONCATENATE(";",EscStr(CONCATENATE("NavNode_",getCategoryLevelAsString($B226))),";",EscStr($J226),";"),CONCATENATE(";",EscStr(CONCATENATE("NavNode_",getCategoryLevelAsString($B226))),";",EscStr(S226),";")))</f>
        <v>;"NavNode_L2D_379624";"Czujniki położenia do pneumatyki";</v>
      </c>
      <c r="AM226" s="10" t="str">
        <f>IF(getCategoryLevelAsString($B226)="L0D_324785","",IF(T226="",CONCATENATE(";",EscStr(CONCATENATE("NavNode_",getCategoryLevelAsString($B226))),";",EscStr($J226),";"),CONCATENATE(";",EscStr(CONCATENATE("NavNode_",getCategoryLevelAsString($B226))),";",EscStr(T226),";")))</f>
        <v>;"NavNode_L2D_379624";"Позиционные датчики для пневматическогооборудования";</v>
      </c>
      <c r="AN226" s="10" t="str">
        <f>IF(getCategoryLevelAsString($B226)="L0D_324785","",IF(U226="",CONCATENATE(";",EscStr(CONCATENATE("NavNode_",getCategoryLevelAsString($B226))),";",EscStr($J226),";"),CONCATENATE(";",EscStr(CONCATENATE("NavNode_",getCategoryLevelAsString($B226))),";",EscStr(U226),";")))</f>
        <v>;"NavNode_L2D_379624";"Snímače polohy pro pneumatiky";</v>
      </c>
      <c r="AO226" s="10" t="str">
        <f>IF(getCategoryLevelAsString($B226)="L0D_324785","",IF(V226="",CONCATENATE(";",EscStr(CONCATENATE("NavNode_",getCategoryLevelAsString($B226))),";",EscStr($J226),";"),CONCATENATE(";",EscStr(CONCATENATE("NavNode_",getCategoryLevelAsString($B226))),";",EscStr(V226),";")))</f>
        <v>;"NavNode_L2D_379624";"Senzori de poziţie pentru pneumatice";</v>
      </c>
      <c r="AP226" s="10" t="str">
        <f>IF(getCategoryLevelAsString($B226)="L0D_324785","",IF(W226="",CONCATENATE(";",EscStr(CONCATENATE("NavNode_",getCategoryLevelAsString($B226))),";",EscStr($J226),";"),CONCATENATE(";",EscStr(CONCATENATE("NavNode_",getCategoryLevelAsString($B226))),";",EscStr(W226),";")))</f>
        <v>;"NavNode_L2D_379624";"Helyzetkapcsolók a Pneumatikához";</v>
      </c>
      <c r="AQ226" s="10" t="str">
        <f>IF(getCategoryLevelAsString($B226)="L0D_324785","",IF(X226="",CONCATENATE(";",EscStr(CONCATENATE("NavNode_",getCategoryLevelAsString($B226))),";",EscStr($J226),";"),CONCATENATE(";",EscStr(CONCATENATE("NavNode_",getCategoryLevelAsString($B226))),";",EscStr(X226),";")))</f>
        <v>;"NavNode_L2D_379624";"Snímače polohy pro pneumatiky";</v>
      </c>
      <c r="AR226" s="8" t="str">
        <f>IF(OR($A226&lt;&gt;"", $G226=""),"",CONCATENATE(";",EscStr(CONCATENATE("NavEntry_",getCategoryLevelAsString($B226))),";",EscStr(CONCATENATE($J226," Navigation Entry")),";",EscStr(CONCATENATE("cat-",getCategoryLevelAsString($B226))),";",EscStr(CONCATENATE("NavNode_",getCategoryLevelAsString($B226))),";"))</f>
        <v>;"NavEntry_L2D_379624";"Position Sensors for Pneumatics Navigation Entry";"cat-L2D_379624";"NavNode_L2D_379624";</v>
      </c>
    </row>
    <row r="227" spans="1:44" ht="15" x14ac:dyDescent="0.25">
      <c r="A227" s="25"/>
      <c r="B227" s="5"/>
      <c r="C227" s="5" t="s">
        <v>44</v>
      </c>
      <c r="D227" s="5"/>
      <c r="E227" s="5"/>
      <c r="F227" s="5"/>
      <c r="G227" s="5" t="s">
        <v>306</v>
      </c>
      <c r="H227" s="5" t="s">
        <v>330</v>
      </c>
      <c r="I227" s="5" t="s">
        <v>331</v>
      </c>
      <c r="J227" s="5" t="s">
        <v>45</v>
      </c>
      <c r="K227" s="5" t="s">
        <v>1335</v>
      </c>
      <c r="L227" s="5" t="s">
        <v>1570</v>
      </c>
      <c r="M227" s="5" t="s">
        <v>1335</v>
      </c>
      <c r="N227" s="5" t="s">
        <v>1335</v>
      </c>
      <c r="O227" s="5" t="s">
        <v>3694</v>
      </c>
      <c r="P227" s="5" t="s">
        <v>3695</v>
      </c>
      <c r="Q227" s="5" t="s">
        <v>3696</v>
      </c>
      <c r="R227" s="5" t="s">
        <v>3697</v>
      </c>
      <c r="S227" s="5" t="s">
        <v>3698</v>
      </c>
      <c r="T227" s="5" t="s">
        <v>3699</v>
      </c>
      <c r="U227" s="5" t="s">
        <v>3700</v>
      </c>
      <c r="V227" s="5" t="s">
        <v>3701</v>
      </c>
      <c r="W227" s="5" t="s">
        <v>3702</v>
      </c>
      <c r="X227" s="5" t="s">
        <v>3700</v>
      </c>
      <c r="Y227" s="10" t="str">
        <f>IF(OR($A227&lt;&gt;"", $G227=""),"",CONCATENATE(";",EscStr(CONCATENATE("NavNode_",getCategoryLevelAsString($B227))),";",EscStr($J227),";",IF($B227&lt;&gt;"","""MainNavNode""",EscStr(CONCATENATE("NavNode_",getSuperCategory($B227, getCategoryLevelAsNumber($B227))))),";"))</f>
        <v>;"NavNode_L3D_525526";"Signals";"NavNode_L2D_379624";</v>
      </c>
      <c r="Z227" s="10" t="str">
        <f>IF(getCategoryLevelAsString($B227)="L0D_324785","",IF(G227="",CONCATENATE(";",EscStr(CONCATENATE("NavNode_",getCategoryLevelAsString($B227))),";",EscStr($J227),";"),CONCATENATE(";",EscStr(CONCATENATE("NavNode_",getCategoryLevelAsString($B227))),";",EscStr(G227),";")))</f>
        <v>;"NavNode_L3D_525526";"Signalgeber";</v>
      </c>
      <c r="AA227" s="10" t="str">
        <f>IF(getCategoryLevelAsString($B227)="L0D_324785","",IF(H227="",CONCATENATE(";",EscStr(CONCATENATE("NavNode_",getCategoryLevelAsString($B227))),";",EscStr($J227),";"),CONCATENATE(";",EscStr(CONCATENATE("NavNode_",getCategoryLevelAsString($B227))),";",EscStr(H227),";")))</f>
        <v>;"NavNode_L3D_525526";"Signaux";</v>
      </c>
      <c r="AB227" s="10" t="str">
        <f>IF(getCategoryLevelAsString($B227)="L0D_324785","",IF(I227="",CONCATENATE(";",EscStr(CONCATENATE("NavNode_",getCategoryLevelAsString($B227))),";",EscStr($J227),";"),CONCATENATE(";",EscStr(CONCATENATE("NavNode_",getCategoryLevelAsString($B227))),";",EscStr(I227),";")))</f>
        <v>;"NavNode_L3D_525526";"Segnali";</v>
      </c>
      <c r="AC227" s="10" t="str">
        <f>IF(getCategoryLevelAsString($B227)="L0D_324785","",IF(J227="",CONCATENATE(";",EscStr(CONCATENATE("NavNode_",getCategoryLevelAsString($B227))),";",EscStr($J227),";"),CONCATENATE(";",EscStr(CONCATENATE("NavNode_",getCategoryLevelAsString($B227))),";",EscStr(J227),";")))</f>
        <v>;"NavNode_L3D_525526";"Signals";</v>
      </c>
      <c r="AD227" s="10" t="str">
        <f>IF(getCategoryLevelAsString($B227)="L0D_324785","",IF(K227="",CONCATENATE(";",EscStr(CONCATENATE("NavNode_",getCategoryLevelAsString($B227))),";",EscStr($J227),";"),CONCATENATE(";",EscStr(CONCATENATE("NavNode_",getCategoryLevelAsString($B227))),";",EscStr(K227),";")))</f>
        <v>;"NavNode_L3D_525526";"Signaler";</v>
      </c>
      <c r="AE227" s="10" t="str">
        <f>IF(getCategoryLevelAsString($B227)="L0D_324785","",IF(L227="",CONCATENATE(";",EscStr(CONCATENATE("NavNode_",getCategoryLevelAsString($B227))),";",EscStr($J227),";"),CONCATENATE(";",EscStr(CONCATENATE("NavNode_",getCategoryLevelAsString($B227))),";",EscStr(L227),";")))</f>
        <v>;"NavNode_L3D_525526";"Signalai";</v>
      </c>
      <c r="AF227" s="10" t="str">
        <f>IF(getCategoryLevelAsString($B227)="L0D_324785","",IF(M227="",CONCATENATE(";",EscStr(CONCATENATE("NavNode_",getCategoryLevelAsString($B227))),";",EscStr($J227),";"),CONCATENATE(";",EscStr(CONCATENATE("NavNode_",getCategoryLevelAsString($B227))),";",EscStr(M227),";")))</f>
        <v>;"NavNode_L3D_525526";"Signaler";</v>
      </c>
      <c r="AG227" s="10" t="str">
        <f>IF(getCategoryLevelAsString($B227)="L0D_324785","",IF(N227="",CONCATENATE(";",EscStr(CONCATENATE("NavNode_",getCategoryLevelAsString($B227))),";",EscStr($J227),";"),CONCATENATE(";",EscStr(CONCATENATE("NavNode_",getCategoryLevelAsString($B227))),";",EscStr(N227),";")))</f>
        <v>;"NavNode_L3D_525526";"Signaler";</v>
      </c>
      <c r="AH227" s="10" t="str">
        <f>IF(getCategoryLevelAsString($B227)="L0D_324785","",IF(O227="",CONCATENATE(";",EscStr(CONCATENATE("NavNode_",getCategoryLevelAsString($B227))),";",EscStr($J227),";"),CONCATENATE(";",EscStr(CONCATENATE("NavNode_",getCategoryLevelAsString($B227))),";",EscStr(O227),";")))</f>
        <v>;"NavNode_L3D_525526";"Signaaliseadmed";</v>
      </c>
      <c r="AI227" s="10" t="str">
        <f>IF(getCategoryLevelAsString($B227)="L0D_324785","",IF(P227="",CONCATENATE(";",EscStr(CONCATENATE("NavNode_",getCategoryLevelAsString($B227))),";",EscStr($J227),";"),CONCATENATE(";",EscStr(CONCATENATE("NavNode_",getCategoryLevelAsString($B227))),";",EscStr(P227),";")))</f>
        <v>;"NavNode_L3D_525526";"Merkinantolaitteet";</v>
      </c>
      <c r="AJ227" s="10" t="str">
        <f>IF(getCategoryLevelAsString($B227)="L0D_324785","",IF(Q227="",CONCATENATE(";",EscStr(CONCATENATE("NavNode_",getCategoryLevelAsString($B227))),";",EscStr($J227),";"),CONCATENATE(";",EscStr(CONCATENATE("NavNode_",getCategoryLevelAsString($B227))),";",EscStr(Q227),";")))</f>
        <v>;"NavNode_L3D_525526";"Signālu ģeneratori";</v>
      </c>
      <c r="AK227" s="10" t="str">
        <f>IF(getCategoryLevelAsString($B227)="L0D_324785","",IF(R227="",CONCATENATE(";",EscStr(CONCATENATE("NavNode_",getCategoryLevelAsString($B227))),";",EscStr($J227),";"),CONCATENATE(";",EscStr(CONCATENATE("NavNode_",getCategoryLevelAsString($B227))),";",EscStr(R227),";")))</f>
        <v>;"NavNode_L3D_525526";"Signalering";</v>
      </c>
      <c r="AL227" s="10" t="str">
        <f>IF(getCategoryLevelAsString($B227)="L0D_324785","",IF(S227="",CONCATENATE(";",EscStr(CONCATENATE("NavNode_",getCategoryLevelAsString($B227))),";",EscStr($J227),";"),CONCATENATE(";",EscStr(CONCATENATE("NavNode_",getCategoryLevelAsString($B227))),";",EscStr(S227),";")))</f>
        <v>;"NavNode_L3D_525526";"Sygnalizatory";</v>
      </c>
      <c r="AM227" s="10" t="str">
        <f>IF(getCategoryLevelAsString($B227)="L0D_324785","",IF(T227="",CONCATENATE(";",EscStr(CONCATENATE("NavNode_",getCategoryLevelAsString($B227))),";",EscStr($J227),";"),CONCATENATE(";",EscStr(CONCATENATE("NavNode_",getCategoryLevelAsString($B227))),";",EscStr(T227),";")))</f>
        <v>;"NavNode_L3D_525526";"Сигналы";</v>
      </c>
      <c r="AN227" s="10" t="str">
        <f>IF(getCategoryLevelAsString($B227)="L0D_324785","",IF(U227="",CONCATENATE(";",EscStr(CONCATENATE("NavNode_",getCategoryLevelAsString($B227))),";",EscStr($J227),";"),CONCATENATE(";",EscStr(CONCATENATE("NavNode_",getCategoryLevelAsString($B227))),";",EscStr(U227),";")))</f>
        <v>;"NavNode_L3D_525526";"Signalizační přístroje";</v>
      </c>
      <c r="AO227" s="10" t="str">
        <f>IF(getCategoryLevelAsString($B227)="L0D_324785","",IF(V227="",CONCATENATE(";",EscStr(CONCATENATE("NavNode_",getCategoryLevelAsString($B227))),";",EscStr($J227),";"),CONCATENATE(";",EscStr(CONCATENATE("NavNode_",getCategoryLevelAsString($B227))),";",EscStr(V227),";")))</f>
        <v>;"NavNode_L3D_525526";"Emiţător de semnal";</v>
      </c>
      <c r="AP227" s="10" t="str">
        <f>IF(getCategoryLevelAsString($B227)="L0D_324785","",IF(W227="",CONCATENATE(";",EscStr(CONCATENATE("NavNode_",getCategoryLevelAsString($B227))),";",EscStr($J227),";"),CONCATENATE(";",EscStr(CONCATENATE("NavNode_",getCategoryLevelAsString($B227))),";",EscStr(W227),";")))</f>
        <v>;"NavNode_L3D_525526";"Jeladó";</v>
      </c>
      <c r="AQ227" s="10" t="str">
        <f>IF(getCategoryLevelAsString($B227)="L0D_324785","",IF(X227="",CONCATENATE(";",EscStr(CONCATENATE("NavNode_",getCategoryLevelAsString($B227))),";",EscStr($J227),";"),CONCATENATE(";",EscStr(CONCATENATE("NavNode_",getCategoryLevelAsString($B227))),";",EscStr(X227),";")))</f>
        <v>;"NavNode_L3D_525526";"Signalizační přístroje";</v>
      </c>
      <c r="AR227" s="8" t="str">
        <f>IF(OR($A227&lt;&gt;"", $G227=""),"",CONCATENATE(";",EscStr(CONCATENATE("NavEntry_",getCategoryLevelAsString($B227))),";",EscStr(CONCATENATE($J227," Navigation Entry")),";",EscStr(CONCATENATE("cat-",getCategoryLevelAsString($B227))),";",EscStr(CONCATENATE("NavNode_",getCategoryLevelAsString($B227))),";"))</f>
        <v>;"NavEntry_L3D_525526";"Signals Navigation Entry";"cat-L3D_525526";"NavNode_L3D_525526";</v>
      </c>
    </row>
    <row r="228" spans="1:44" ht="15" x14ac:dyDescent="0.25">
      <c r="A228" s="25"/>
      <c r="B228" s="5"/>
      <c r="C228" s="5"/>
      <c r="D228" s="5" t="s">
        <v>111</v>
      </c>
      <c r="E228" s="5"/>
      <c r="F228" s="5"/>
      <c r="G228" s="5" t="s">
        <v>339</v>
      </c>
      <c r="H228" s="5" t="s">
        <v>340</v>
      </c>
      <c r="I228" s="5" t="s">
        <v>341</v>
      </c>
      <c r="J228" s="5" t="s">
        <v>112</v>
      </c>
      <c r="K228" s="5" t="s">
        <v>1336</v>
      </c>
      <c r="L228" s="5" t="s">
        <v>1571</v>
      </c>
      <c r="M228" s="5" t="s">
        <v>1784</v>
      </c>
      <c r="N228" s="5" t="s">
        <v>1995</v>
      </c>
      <c r="O228" s="5" t="s">
        <v>3703</v>
      </c>
      <c r="P228" s="5" t="s">
        <v>3704</v>
      </c>
      <c r="Q228" s="5" t="s">
        <v>3705</v>
      </c>
      <c r="R228" s="5" t="s">
        <v>3706</v>
      </c>
      <c r="S228" s="5" t="s">
        <v>3707</v>
      </c>
      <c r="T228" s="5" t="s">
        <v>3708</v>
      </c>
      <c r="U228" s="5" t="s">
        <v>3709</v>
      </c>
      <c r="V228" s="5" t="s">
        <v>3710</v>
      </c>
      <c r="W228" s="5" t="s">
        <v>3711</v>
      </c>
      <c r="X228" s="5" t="s">
        <v>3709</v>
      </c>
      <c r="Y228" s="10" t="str">
        <f>IF(OR($A228&lt;&gt;"", $G228=""),"",CONCATENATE(";",EscStr(CONCATENATE("NavNode_",getCategoryLevelAsString($B228))),";",EscStr($J228),";",IF($B228&lt;&gt;"","""MainNavNode""",EscStr(CONCATENATE("NavNode_",getSuperCategory($B228, getCategoryLevelAsNumber($B228))))),";"))</f>
        <v>;"NavNode_L3D_525527";"Optical Signal Generators";"NavNode_L2D_379624";</v>
      </c>
      <c r="Z228" s="10" t="str">
        <f>IF(getCategoryLevelAsString($B228)="L0D_324785","",IF(G228="",CONCATENATE(";",EscStr(CONCATENATE("NavNode_",getCategoryLevelAsString($B228))),";",EscStr($J228),";"),CONCATENATE(";",EscStr(CONCATENATE("NavNode_",getCategoryLevelAsString($B228))),";",EscStr(G228),";")))</f>
        <v>;"NavNode_L3D_525527";"Optische Signalgeber";</v>
      </c>
      <c r="AA228" s="10" t="str">
        <f>IF(getCategoryLevelAsString($B228)="L0D_324785","",IF(H228="",CONCATENATE(";",EscStr(CONCATENATE("NavNode_",getCategoryLevelAsString($B228))),";",EscStr($J228),";"),CONCATENATE(";",EscStr(CONCATENATE("NavNode_",getCategoryLevelAsString($B228))),";",EscStr(H228),";")))</f>
        <v>;"NavNode_L3D_525527";"Transmetteurs de signaux optique";</v>
      </c>
      <c r="AB228" s="10" t="str">
        <f>IF(getCategoryLevelAsString($B228)="L0D_324785","",IF(I228="",CONCATENATE(";",EscStr(CONCATENATE("NavNode_",getCategoryLevelAsString($B228))),";",EscStr($J228),";"),CONCATENATE(";",EscStr(CONCATENATE("NavNode_",getCategoryLevelAsString($B228))),";",EscStr(I228),";")))</f>
        <v>;"NavNode_L3D_525527";"Generatori di segnali ottici";</v>
      </c>
      <c r="AC228" s="10" t="str">
        <f>IF(getCategoryLevelAsString($B228)="L0D_324785","",IF(J228="",CONCATENATE(";",EscStr(CONCATENATE("NavNode_",getCategoryLevelAsString($B228))),";",EscStr($J228),";"),CONCATENATE(";",EscStr(CONCATENATE("NavNode_",getCategoryLevelAsString($B228))),";",EscStr(J228),";")))</f>
        <v>;"NavNode_L3D_525527";"Optical Signal Generators";</v>
      </c>
      <c r="AD228" s="10" t="str">
        <f>IF(getCategoryLevelAsString($B228)="L0D_324785","",IF(K228="",CONCATENATE(";",EscStr(CONCATENATE("NavNode_",getCategoryLevelAsString($B228))),";",EscStr($J228),";"),CONCATENATE(";",EscStr(CONCATENATE("NavNode_",getCategoryLevelAsString($B228))),";",EscStr(K228),";")))</f>
        <v>;"NavNode_L3D_525527";"Optiske signalgeneratorer";</v>
      </c>
      <c r="AE228" s="10" t="str">
        <f>IF(getCategoryLevelAsString($B228)="L0D_324785","",IF(L228="",CONCATENATE(";",EscStr(CONCATENATE("NavNode_",getCategoryLevelAsString($B228))),";",EscStr($J228),";"),CONCATENATE(";",EscStr(CONCATENATE("NavNode_",getCategoryLevelAsString($B228))),";",EscStr(L228),";")))</f>
        <v>;"NavNode_L3D_525527";"Optinių signalų generatoriai";</v>
      </c>
      <c r="AF228" s="10" t="str">
        <f>IF(getCategoryLevelAsString($B228)="L0D_324785","",IF(M228="",CONCATENATE(";",EscStr(CONCATENATE("NavNode_",getCategoryLevelAsString($B228))),";",EscStr($J228),";"),CONCATENATE(";",EscStr(CONCATENATE("NavNode_",getCategoryLevelAsString($B228))),";",EscStr(M228),";")))</f>
        <v>;"NavNode_L3D_525527";"Generatorer for optiske signaler";</v>
      </c>
      <c r="AG228" s="10" t="str">
        <f>IF(getCategoryLevelAsString($B228)="L0D_324785","",IF(N228="",CONCATENATE(";",EscStr(CONCATENATE("NavNode_",getCategoryLevelAsString($B228))),";",EscStr($J228),";"),CONCATENATE(";",EscStr(CONCATENATE("NavNode_",getCategoryLevelAsString($B228))),";",EscStr(N228),";")))</f>
        <v>;"NavNode_L3D_525527";"Optiska signalgeneratorer";</v>
      </c>
      <c r="AH228" s="10" t="str">
        <f>IF(getCategoryLevelAsString($B228)="L0D_324785","",IF(O228="",CONCATENATE(";",EscStr(CONCATENATE("NavNode_",getCategoryLevelAsString($B228))),";",EscStr($J228),";"),CONCATENATE(";",EscStr(CONCATENATE("NavNode_",getCategoryLevelAsString($B228))),";",EscStr(O228),";")))</f>
        <v>;"NavNode_L3D_525527";"Optilise signaali generaatorid";</v>
      </c>
      <c r="AI228" s="10" t="str">
        <f>IF(getCategoryLevelAsString($B228)="L0D_324785","",IF(P228="",CONCATENATE(";",EscStr(CONCATENATE("NavNode_",getCategoryLevelAsString($B228))),";",EscStr($J228),";"),CONCATENATE(";",EscStr(CONCATENATE("NavNode_",getCategoryLevelAsString($B228))),";",EscStr(P228),";")))</f>
        <v>;"NavNode_L3D_525527";"Optinen merkinanto";</v>
      </c>
      <c r="AJ228" s="10" t="str">
        <f>IF(getCategoryLevelAsString($B228)="L0D_324785","",IF(Q228="",CONCATENATE(";",EscStr(CONCATENATE("NavNode_",getCategoryLevelAsString($B228))),";",EscStr($J228),";"),CONCATENATE(";",EscStr(CONCATENATE("NavNode_",getCategoryLevelAsString($B228))),";",EscStr(Q228),";")))</f>
        <v>;"NavNode_L3D_525527";"Optisko signālu ģeneratori";</v>
      </c>
      <c r="AK228" s="10" t="str">
        <f>IF(getCategoryLevelAsString($B228)="L0D_324785","",IF(R228="",CONCATENATE(";",EscStr(CONCATENATE("NavNode_",getCategoryLevelAsString($B228))),";",EscStr($J228),";"),CONCATENATE(";",EscStr(CONCATENATE("NavNode_",getCategoryLevelAsString($B228))),";",EscStr(R228),";")))</f>
        <v>;"NavNode_L3D_525527";"Signalering, optisch";</v>
      </c>
      <c r="AL228" s="10" t="str">
        <f>IF(getCategoryLevelAsString($B228)="L0D_324785","",IF(S228="",CONCATENATE(";",EscStr(CONCATENATE("NavNode_",getCategoryLevelAsString($B228))),";",EscStr($J228),";"),CONCATENATE(";",EscStr(CONCATENATE("NavNode_",getCategoryLevelAsString($B228))),";",EscStr(S228),";")))</f>
        <v>;"NavNode_L3D_525527";"Sygnalizatory optyczne";</v>
      </c>
      <c r="AM228" s="10" t="str">
        <f>IF(getCategoryLevelAsString($B228)="L0D_324785","",IF(T228="",CONCATENATE(";",EscStr(CONCATENATE("NavNode_",getCategoryLevelAsString($B228))),";",EscStr($J228),";"),CONCATENATE(";",EscStr(CONCATENATE("NavNode_",getCategoryLevelAsString($B228))),";",EscStr(T228),";")))</f>
        <v>;"NavNode_L3D_525527";"Генераторы оптического сигнала";</v>
      </c>
      <c r="AN228" s="10" t="str">
        <f>IF(getCategoryLevelAsString($B228)="L0D_324785","",IF(U228="",CONCATENATE(";",EscStr(CONCATENATE("NavNode_",getCategoryLevelAsString($B228))),";",EscStr($J228),";"),CONCATENATE(";",EscStr(CONCATENATE("NavNode_",getCategoryLevelAsString($B228))),";",EscStr(U228),";")))</f>
        <v>;"NavNode_L3D_525527";"Optické signalizační přístroje";</v>
      </c>
      <c r="AO228" s="10" t="str">
        <f>IF(getCategoryLevelAsString($B228)="L0D_324785","",IF(V228="",CONCATENATE(";",EscStr(CONCATENATE("NavNode_",getCategoryLevelAsString($B228))),";",EscStr($J228),";"),CONCATENATE(";",EscStr(CONCATENATE("NavNode_",getCategoryLevelAsString($B228))),";",EscStr(V228),";")))</f>
        <v>;"NavNode_L3D_525527";"Dispozitive de semnalizare optic";</v>
      </c>
      <c r="AP228" s="10" t="str">
        <f>IF(getCategoryLevelAsString($B228)="L0D_324785","",IF(W228="",CONCATENATE(";",EscStr(CONCATENATE("NavNode_",getCategoryLevelAsString($B228))),";",EscStr($J228),";"),CONCATENATE(";",EscStr(CONCATENATE("NavNode_",getCategoryLevelAsString($B228))),";",EscStr(W228),";")))</f>
        <v>;"NavNode_L3D_525527";"Optikai jeladó";</v>
      </c>
      <c r="AQ228" s="10" t="str">
        <f>IF(getCategoryLevelAsString($B228)="L0D_324785","",IF(X228="",CONCATENATE(";",EscStr(CONCATENATE("NavNode_",getCategoryLevelAsString($B228))),";",EscStr($J228),";"),CONCATENATE(";",EscStr(CONCATENATE("NavNode_",getCategoryLevelAsString($B228))),";",EscStr(X228),";")))</f>
        <v>;"NavNode_L3D_525527";"Optické signalizační přístroje";</v>
      </c>
      <c r="AR228" s="8" t="str">
        <f>IF(OR($A228&lt;&gt;"", $G228=""),"",CONCATENATE(";",EscStr(CONCATENATE("NavEntry_",getCategoryLevelAsString($B228))),";",EscStr(CONCATENATE($J228," Navigation Entry")),";",EscStr(CONCATENATE("cat-",getCategoryLevelAsString($B228))),";",EscStr(CONCATENATE("NavNode_",getCategoryLevelAsString($B228))),";"))</f>
        <v>;"NavEntry_L3D_525527";"Optical Signal Generators Navigation Entry";"cat-L3D_525527";"NavNode_L3D_525527";</v>
      </c>
    </row>
    <row r="229" spans="1:44" ht="15" x14ac:dyDescent="0.25">
      <c r="A229" s="25"/>
      <c r="B229" s="5"/>
      <c r="C229" s="5"/>
      <c r="D229" s="5" t="s">
        <v>110</v>
      </c>
      <c r="E229" s="5"/>
      <c r="F229" s="5"/>
      <c r="G229" s="5" t="s">
        <v>335</v>
      </c>
      <c r="H229" s="5" t="s">
        <v>336</v>
      </c>
      <c r="I229" s="5" t="s">
        <v>337</v>
      </c>
      <c r="J229" s="5" t="s">
        <v>338</v>
      </c>
      <c r="K229" s="5" t="s">
        <v>1337</v>
      </c>
      <c r="L229" s="5" t="s">
        <v>1572</v>
      </c>
      <c r="M229" s="5" t="s">
        <v>1785</v>
      </c>
      <c r="N229" s="5" t="s">
        <v>1996</v>
      </c>
      <c r="O229" s="5" t="s">
        <v>3712</v>
      </c>
      <c r="P229" s="5" t="s">
        <v>3713</v>
      </c>
      <c r="Q229" s="5" t="s">
        <v>3714</v>
      </c>
      <c r="R229" s="5" t="s">
        <v>3715</v>
      </c>
      <c r="S229" s="5" t="s">
        <v>3716</v>
      </c>
      <c r="T229" s="5" t="s">
        <v>3717</v>
      </c>
      <c r="U229" s="5" t="s">
        <v>3718</v>
      </c>
      <c r="V229" s="5" t="s">
        <v>3719</v>
      </c>
      <c r="W229" s="5" t="s">
        <v>3720</v>
      </c>
      <c r="X229" s="5" t="s">
        <v>3718</v>
      </c>
      <c r="Y229" s="10" t="str">
        <f>IF(OR($A229&lt;&gt;"", $G229=""),"",CONCATENATE(";",EscStr(CONCATENATE("NavNode_",getCategoryLevelAsString($B229))),";",EscStr($J229),";",IF($B229&lt;&gt;"","""MainNavNode""",EscStr(CONCATENATE("NavNode_",getSuperCategory($B229, getCategoryLevelAsNumber($B229))))),";"))</f>
        <v>;"NavNode_L3D_525528";"Optical / Acoustic Signal Generators";"NavNode_L2D_379624";</v>
      </c>
      <c r="Z229" s="10" t="str">
        <f>IF(getCategoryLevelAsString($B229)="L0D_324785","",IF(G229="",CONCATENATE(";",EscStr(CONCATENATE("NavNode_",getCategoryLevelAsString($B229))),";",EscStr($J229),";"),CONCATENATE(";",EscStr(CONCATENATE("NavNode_",getCategoryLevelAsString($B229))),";",EscStr(G229),";")))</f>
        <v>;"NavNode_L3D_525528";"Optisch-akustische Signalgeber";</v>
      </c>
      <c r="AA229" s="10" t="str">
        <f>IF(getCategoryLevelAsString($B229)="L0D_324785","",IF(H229="",CONCATENATE(";",EscStr(CONCATENATE("NavNode_",getCategoryLevelAsString($B229))),";",EscStr($J229),";"),CONCATENATE(";",EscStr(CONCATENATE("NavNode_",getCategoryLevelAsString($B229))),";",EscStr(H229),";")))</f>
        <v>;"NavNode_L3D_525528";"Appareils de signalisation opto-acoustique";</v>
      </c>
      <c r="AB229" s="10" t="str">
        <f>IF(getCategoryLevelAsString($B229)="L0D_324785","",IF(I229="",CONCATENATE(";",EscStr(CONCATENATE("NavNode_",getCategoryLevelAsString($B229))),";",EscStr($J229),";"),CONCATENATE(";",EscStr(CONCATENATE("NavNode_",getCategoryLevelAsString($B229))),";",EscStr(I229),";")))</f>
        <v>;"NavNode_L3D_525528";"Generatori di segnali ottici/acustici";</v>
      </c>
      <c r="AC229" s="10" t="str">
        <f>IF(getCategoryLevelAsString($B229)="L0D_324785","",IF(J229="",CONCATENATE(";",EscStr(CONCATENATE("NavNode_",getCategoryLevelAsString($B229))),";",EscStr($J229),";"),CONCATENATE(";",EscStr(CONCATENATE("NavNode_",getCategoryLevelAsString($B229))),";",EscStr(J229),";")))</f>
        <v>;"NavNode_L3D_525528";"Optical / Acoustic Signal Generators";</v>
      </c>
      <c r="AD229" s="10" t="str">
        <f>IF(getCategoryLevelAsString($B229)="L0D_324785","",IF(K229="",CONCATENATE(";",EscStr(CONCATENATE("NavNode_",getCategoryLevelAsString($B229))),";",EscStr($J229),";"),CONCATENATE(";",EscStr(CONCATENATE("NavNode_",getCategoryLevelAsString($B229))),";",EscStr(K229),";")))</f>
        <v>;"NavNode_L3D_525528";"Optiske/akustiske signalgeneratorer";</v>
      </c>
      <c r="AE229" s="10" t="str">
        <f>IF(getCategoryLevelAsString($B229)="L0D_324785","",IF(L229="",CONCATENATE(";",EscStr(CONCATENATE("NavNode_",getCategoryLevelAsString($B229))),";",EscStr($J229),";"),CONCATENATE(";",EscStr(CONCATENATE("NavNode_",getCategoryLevelAsString($B229))),";",EscStr(L229),";")))</f>
        <v>;"NavNode_L3D_525528";"Optinių / akustinių signalų generatoriai";</v>
      </c>
      <c r="AF229" s="10" t="str">
        <f>IF(getCategoryLevelAsString($B229)="L0D_324785","",IF(M229="",CONCATENATE(";",EscStr(CONCATENATE("NavNode_",getCategoryLevelAsString($B229))),";",EscStr($J229),";"),CONCATENATE(";",EscStr(CONCATENATE("NavNode_",getCategoryLevelAsString($B229))),";",EscStr(M229),";")))</f>
        <v>;"NavNode_L3D_525528";"Generatorer for optiske/akustiske signaler";</v>
      </c>
      <c r="AG229" s="10" t="str">
        <f>IF(getCategoryLevelAsString($B229)="L0D_324785","",IF(N229="",CONCATENATE(";",EscStr(CONCATENATE("NavNode_",getCategoryLevelAsString($B229))),";",EscStr($J229),";"),CONCATENATE(";",EscStr(CONCATENATE("NavNode_",getCategoryLevelAsString($B229))),";",EscStr(N229),";")))</f>
        <v>;"NavNode_L3D_525528";"Optiska/akustiska signalgeneratorer";</v>
      </c>
      <c r="AH229" s="10" t="str">
        <f>IF(getCategoryLevelAsString($B229)="L0D_324785","",IF(O229="",CONCATENATE(";",EscStr(CONCATENATE("NavNode_",getCategoryLevelAsString($B229))),";",EscStr($J229),";"),CONCATENATE(";",EscStr(CONCATENATE("NavNode_",getCategoryLevelAsString($B229))),";",EscStr(O229),";")))</f>
        <v>;"NavNode_L3D_525528";"Optilise- / Akustilise signaali generaatorid";</v>
      </c>
      <c r="AI229" s="10" t="str">
        <f>IF(getCategoryLevelAsString($B229)="L0D_324785","",IF(P229="",CONCATENATE(";",EscStr(CONCATENATE("NavNode_",getCategoryLevelAsString($B229))),";",EscStr($J229),";"),CONCATENATE(";",EscStr(CONCATENATE("NavNode_",getCategoryLevelAsString($B229))),";",EscStr(P229),";")))</f>
        <v>;"NavNode_L3D_525528";"Optinen/akustinen merkinanto";</v>
      </c>
      <c r="AJ229" s="10" t="str">
        <f>IF(getCategoryLevelAsString($B229)="L0D_324785","",IF(Q229="",CONCATENATE(";",EscStr(CONCATENATE("NavNode_",getCategoryLevelAsString($B229))),";",EscStr($J229),";"),CONCATENATE(";",EscStr(CONCATENATE("NavNode_",getCategoryLevelAsString($B229))),";",EscStr(Q229),";")))</f>
        <v>;"NavNode_L3D_525528";"Optisko / akustisko signālu ģeneratori";</v>
      </c>
      <c r="AK229" s="10" t="str">
        <f>IF(getCategoryLevelAsString($B229)="L0D_324785","",IF(R229="",CONCATENATE(";",EscStr(CONCATENATE("NavNode_",getCategoryLevelAsString($B229))),";",EscStr($J229),";"),CONCATENATE(";",EscStr(CONCATENATE("NavNode_",getCategoryLevelAsString($B229))),";",EscStr(R229),";")))</f>
        <v>;"NavNode_L3D_525528";"Signalering, optisch / akoestisch";</v>
      </c>
      <c r="AL229" s="10" t="str">
        <f>IF(getCategoryLevelAsString($B229)="L0D_324785","",IF(S229="",CONCATENATE(";",EscStr(CONCATENATE("NavNode_",getCategoryLevelAsString($B229))),";",EscStr($J229),";"),CONCATENATE(";",EscStr(CONCATENATE("NavNode_",getCategoryLevelAsString($B229))),";",EscStr(S229),";")))</f>
        <v>;"NavNode_L3D_525528";"Sygnalizatory optyczne / akustyczne";</v>
      </c>
      <c r="AM229" s="10" t="str">
        <f>IF(getCategoryLevelAsString($B229)="L0D_324785","",IF(T229="",CONCATENATE(";",EscStr(CONCATENATE("NavNode_",getCategoryLevelAsString($B229))),";",EscStr($J229),";"),CONCATENATE(";",EscStr(CONCATENATE("NavNode_",getCategoryLevelAsString($B229))),";",EscStr(T229),";")))</f>
        <v>;"NavNode_L3D_525528";"Генераторы оптических / акустических сигналов";</v>
      </c>
      <c r="AN229" s="10" t="str">
        <f>IF(getCategoryLevelAsString($B229)="L0D_324785","",IF(U229="",CONCATENATE(";",EscStr(CONCATENATE("NavNode_",getCategoryLevelAsString($B229))),";",EscStr($J229),";"),CONCATENATE(";",EscStr(CONCATENATE("NavNode_",getCategoryLevelAsString($B229))),";",EscStr(U229),";")))</f>
        <v>;"NavNode_L3D_525528";"Opticko -akustický vysílač signálu";</v>
      </c>
      <c r="AO229" s="10" t="str">
        <f>IF(getCategoryLevelAsString($B229)="L0D_324785","",IF(V229="",CONCATENATE(";",EscStr(CONCATENATE("NavNode_",getCategoryLevelAsString($B229))),";",EscStr($J229),";"),CONCATENATE(";",EscStr(CONCATENATE("NavNode_",getCategoryLevelAsString($B229))),";",EscStr(V229),";")))</f>
        <v>;"NavNode_L3D_525528";"Dispozitive de semnalizare optic şi acustic";</v>
      </c>
      <c r="AP229" s="10" t="str">
        <f>IF(getCategoryLevelAsString($B229)="L0D_324785","",IF(W229="",CONCATENATE(";",EscStr(CONCATENATE("NavNode_",getCategoryLevelAsString($B229))),";",EscStr($J229),";"),CONCATENATE(";",EscStr(CONCATENATE("NavNode_",getCategoryLevelAsString($B229))),";",EscStr(W229),";")))</f>
        <v>;"NavNode_L3D_525528";"Optikai-akusztikus jeladó";</v>
      </c>
      <c r="AQ229" s="10" t="str">
        <f>IF(getCategoryLevelAsString($B229)="L0D_324785","",IF(X229="",CONCATENATE(";",EscStr(CONCATENATE("NavNode_",getCategoryLevelAsString($B229))),";",EscStr($J229),";"),CONCATENATE(";",EscStr(CONCATENATE("NavNode_",getCategoryLevelAsString($B229))),";",EscStr(X229),";")))</f>
        <v>;"NavNode_L3D_525528";"Opticko -akustický vysílač signálu";</v>
      </c>
      <c r="AR229" s="8" t="str">
        <f>IF(OR($A229&lt;&gt;"", $G229=""),"",CONCATENATE(";",EscStr(CONCATENATE("NavEntry_",getCategoryLevelAsString($B229))),";",EscStr(CONCATENATE($J229," Navigation Entry")),";",EscStr(CONCATENATE("cat-",getCategoryLevelAsString($B229))),";",EscStr(CONCATENATE("NavNode_",getCategoryLevelAsString($B229))),";"))</f>
        <v>;"NavEntry_L3D_525528";"Optical / Acoustic Signal Generators Navigation Entry";"cat-L3D_525528";"NavNode_L3D_525528";</v>
      </c>
    </row>
    <row r="230" spans="1:44" ht="15" x14ac:dyDescent="0.25">
      <c r="A230" s="25"/>
      <c r="B230" s="5"/>
      <c r="C230" s="5"/>
      <c r="D230" s="5" t="s">
        <v>108</v>
      </c>
      <c r="E230" s="5"/>
      <c r="F230" s="5"/>
      <c r="G230" s="5" t="s">
        <v>332</v>
      </c>
      <c r="H230" s="5" t="s">
        <v>333</v>
      </c>
      <c r="I230" s="5" t="s">
        <v>334</v>
      </c>
      <c r="J230" s="5" t="s">
        <v>109</v>
      </c>
      <c r="K230" s="5" t="s">
        <v>1338</v>
      </c>
      <c r="L230" s="5" t="s">
        <v>1573</v>
      </c>
      <c r="M230" s="5" t="s">
        <v>1786</v>
      </c>
      <c r="N230" s="5" t="s">
        <v>1997</v>
      </c>
      <c r="O230" s="5" t="s">
        <v>3721</v>
      </c>
      <c r="P230" s="5" t="s">
        <v>3722</v>
      </c>
      <c r="Q230" s="5" t="s">
        <v>3723</v>
      </c>
      <c r="R230" s="5" t="s">
        <v>109</v>
      </c>
      <c r="S230" s="5" t="s">
        <v>3724</v>
      </c>
      <c r="T230" s="5" t="s">
        <v>3725</v>
      </c>
      <c r="U230" s="5" t="s">
        <v>3726</v>
      </c>
      <c r="V230" s="5" t="s">
        <v>3727</v>
      </c>
      <c r="W230" s="5" t="s">
        <v>3728</v>
      </c>
      <c r="X230" s="5" t="s">
        <v>3726</v>
      </c>
      <c r="Y230" s="10" t="str">
        <f>IF(OR($A230&lt;&gt;"", $G230=""),"",CONCATENATE(";",EscStr(CONCATENATE("NavNode_",getCategoryLevelAsString($B230))),";",EscStr($J230),";",IF($B230&lt;&gt;"","""MainNavNode""",EscStr(CONCATENATE("NavNode_",getSuperCategory($B230, getCategoryLevelAsNumber($B230))))),";"))</f>
        <v>;"NavNode_L3D_657085";"Acoustic Signal Generators";"NavNode_Automation";</v>
      </c>
      <c r="Z230" s="10" t="str">
        <f>IF(getCategoryLevelAsString($B230)="L0D_324785","",IF(G230="",CONCATENATE(";",EscStr(CONCATENATE("NavNode_",getCategoryLevelAsString($B230))),";",EscStr($J230),";"),CONCATENATE(";",EscStr(CONCATENATE("NavNode_",getCategoryLevelAsString($B230))),";",EscStr(G230),";")))</f>
        <v>;"NavNode_L3D_657085";"Akustische Signalgeber";</v>
      </c>
      <c r="AA230" s="10" t="str">
        <f>IF(getCategoryLevelAsString($B230)="L0D_324785","",IF(H230="",CONCATENATE(";",EscStr(CONCATENATE("NavNode_",getCategoryLevelAsString($B230))),";",EscStr($J230),";"),CONCATENATE(";",EscStr(CONCATENATE("NavNode_",getCategoryLevelAsString($B230))),";",EscStr(H230),";")))</f>
        <v>;"NavNode_L3D_657085";"Appareils de signalisation acoustique";</v>
      </c>
      <c r="AB230" s="10" t="str">
        <f>IF(getCategoryLevelAsString($B230)="L0D_324785","",IF(I230="",CONCATENATE(";",EscStr(CONCATENATE("NavNode_",getCategoryLevelAsString($B230))),";",EscStr($J230),";"),CONCATENATE(";",EscStr(CONCATENATE("NavNode_",getCategoryLevelAsString($B230))),";",EscStr(I230),";")))</f>
        <v>;"NavNode_L3D_657085";"Generatori di segnali acustici";</v>
      </c>
      <c r="AC230" s="10" t="str">
        <f>IF(getCategoryLevelAsString($B230)="L0D_324785","",IF(J230="",CONCATENATE(";",EscStr(CONCATENATE("NavNode_",getCategoryLevelAsString($B230))),";",EscStr($J230),";"),CONCATENATE(";",EscStr(CONCATENATE("NavNode_",getCategoryLevelAsString($B230))),";",EscStr(J230),";")))</f>
        <v>;"NavNode_L3D_657085";"Acoustic Signal Generators";</v>
      </c>
      <c r="AD230" s="10" t="str">
        <f>IF(getCategoryLevelAsString($B230)="L0D_324785","",IF(K230="",CONCATENATE(";",EscStr(CONCATENATE("NavNode_",getCategoryLevelAsString($B230))),";",EscStr($J230),";"),CONCATENATE(";",EscStr(CONCATENATE("NavNode_",getCategoryLevelAsString($B230))),";",EscStr(K230),";")))</f>
        <v>;"NavNode_L3D_657085";"Akustisge signalgeneratorer";</v>
      </c>
      <c r="AE230" s="10" t="str">
        <f>IF(getCategoryLevelAsString($B230)="L0D_324785","",IF(L230="",CONCATENATE(";",EscStr(CONCATENATE("NavNode_",getCategoryLevelAsString($B230))),";",EscStr($J230),";"),CONCATENATE(";",EscStr(CONCATENATE("NavNode_",getCategoryLevelAsString($B230))),";",EscStr(L230),";")))</f>
        <v>;"NavNode_L3D_657085";"Akustinių signalų generatoriai";</v>
      </c>
      <c r="AF230" s="10" t="str">
        <f>IF(getCategoryLevelAsString($B230)="L0D_324785","",IF(M230="",CONCATENATE(";",EscStr(CONCATENATE("NavNode_",getCategoryLevelAsString($B230))),";",EscStr($J230),";"),CONCATENATE(";",EscStr(CONCATENATE("NavNode_",getCategoryLevelAsString($B230))),";",EscStr(M230),";")))</f>
        <v>;"NavNode_L3D_657085";"Generatorer for akustiske signaler";</v>
      </c>
      <c r="AG230" s="10" t="str">
        <f>IF(getCategoryLevelAsString($B230)="L0D_324785","",IF(N230="",CONCATENATE(";",EscStr(CONCATENATE("NavNode_",getCategoryLevelAsString($B230))),";",EscStr($J230),";"),CONCATENATE(";",EscStr(CONCATENATE("NavNode_",getCategoryLevelAsString($B230))),";",EscStr(N230),";")))</f>
        <v>;"NavNode_L3D_657085";"Akustiska signalgeneratorer";</v>
      </c>
      <c r="AH230" s="10" t="str">
        <f>IF(getCategoryLevelAsString($B230)="L0D_324785","",IF(O230="",CONCATENATE(";",EscStr(CONCATENATE("NavNode_",getCategoryLevelAsString($B230))),";",EscStr($J230),";"),CONCATENATE(";",EscStr(CONCATENATE("NavNode_",getCategoryLevelAsString($B230))),";",EscStr(O230),";")))</f>
        <v>;"NavNode_L3D_657085";"Akustilise signaali generaatorid";</v>
      </c>
      <c r="AI230" s="10" t="str">
        <f>IF(getCategoryLevelAsString($B230)="L0D_324785","",IF(P230="",CONCATENATE(";",EscStr(CONCATENATE("NavNode_",getCategoryLevelAsString($B230))),";",EscStr($J230),";"),CONCATENATE(";",EscStr(CONCATENATE("NavNode_",getCategoryLevelAsString($B230))),";",EscStr(P230),";")))</f>
        <v>;"NavNode_L3D_657085";"Akustinen merkinanto";</v>
      </c>
      <c r="AJ230" s="10" t="str">
        <f>IF(getCategoryLevelAsString($B230)="L0D_324785","",IF(Q230="",CONCATENATE(";",EscStr(CONCATENATE("NavNode_",getCategoryLevelAsString($B230))),";",EscStr($J230),";"),CONCATENATE(";",EscStr(CONCATENATE("NavNode_",getCategoryLevelAsString($B230))),";",EscStr(Q230),";")))</f>
        <v>;"NavNode_L3D_657085";"Akustisko signālu ģeneratori";</v>
      </c>
      <c r="AK230" s="10" t="str">
        <f>IF(getCategoryLevelAsString($B230)="L0D_324785","",IF(R230="",CONCATENATE(";",EscStr(CONCATENATE("NavNode_",getCategoryLevelAsString($B230))),";",EscStr($J230),";"),CONCATENATE(";",EscStr(CONCATENATE("NavNode_",getCategoryLevelAsString($B230))),";",EscStr(R230),";")))</f>
        <v>;"NavNode_L3D_657085";"Acoustic Signal Generators";</v>
      </c>
      <c r="AL230" s="10" t="str">
        <f>IF(getCategoryLevelAsString($B230)="L0D_324785","",IF(S230="",CONCATENATE(";",EscStr(CONCATENATE("NavNode_",getCategoryLevelAsString($B230))),";",EscStr($J230),";"),CONCATENATE(";",EscStr(CONCATENATE("NavNode_",getCategoryLevelAsString($B230))),";",EscStr(S230),";")))</f>
        <v>;"NavNode_L3D_657085";"Sygnalizatory akustyczne";</v>
      </c>
      <c r="AM230" s="10" t="str">
        <f>IF(getCategoryLevelAsString($B230)="L0D_324785","",IF(T230="",CONCATENATE(";",EscStr(CONCATENATE("NavNode_",getCategoryLevelAsString($B230))),";",EscStr($J230),";"),CONCATENATE(";",EscStr(CONCATENATE("NavNode_",getCategoryLevelAsString($B230))),";",EscStr(T230),";")))</f>
        <v>;"NavNode_L3D_657085";"Генераторы акустических сигналов";</v>
      </c>
      <c r="AN230" s="10" t="str">
        <f>IF(getCategoryLevelAsString($B230)="L0D_324785","",IF(U230="",CONCATENATE(";",EscStr(CONCATENATE("NavNode_",getCategoryLevelAsString($B230))),";",EscStr($J230),";"),CONCATENATE(";",EscStr(CONCATENATE("NavNode_",getCategoryLevelAsString($B230))),";",EscStr(U230),";")))</f>
        <v>;"NavNode_L3D_657085";"Sirény";</v>
      </c>
      <c r="AO230" s="10" t="str">
        <f>IF(getCategoryLevelAsString($B230)="L0D_324785","",IF(V230="",CONCATENATE(";",EscStr(CONCATENATE("NavNode_",getCategoryLevelAsString($B230))),";",EscStr($J230),";"),CONCATENATE(";",EscStr(CONCATENATE("NavNode_",getCategoryLevelAsString($B230))),";",EscStr(V230),";")))</f>
        <v>;"NavNode_L3D_657085";"Dispozitive de semnalizare acustic";</v>
      </c>
      <c r="AP230" s="10" t="str">
        <f>IF(getCategoryLevelAsString($B230)="L0D_324785","",IF(W230="",CONCATENATE(";",EscStr(CONCATENATE("NavNode_",getCategoryLevelAsString($B230))),";",EscStr($J230),";"),CONCATENATE(";",EscStr(CONCATENATE("NavNode_",getCategoryLevelAsString($B230))),";",EscStr(W230),";")))</f>
        <v>;"NavNode_L3D_657085";"Akusztikus jeladó";</v>
      </c>
      <c r="AQ230" s="10" t="str">
        <f>IF(getCategoryLevelAsString($B230)="L0D_324785","",IF(X230="",CONCATENATE(";",EscStr(CONCATENATE("NavNode_",getCategoryLevelAsString($B230))),";",EscStr($J230),";"),CONCATENATE(";",EscStr(CONCATENATE("NavNode_",getCategoryLevelAsString($B230))),";",EscStr(X230),";")))</f>
        <v>;"NavNode_L3D_657085";"Sirény";</v>
      </c>
      <c r="AR230" s="8" t="str">
        <f>IF(OR($A230&lt;&gt;"", $G230=""),"",CONCATENATE(";",EscStr(CONCATENATE("NavEntry_",getCategoryLevelAsString($B230))),";",EscStr(CONCATENATE($J230," Navigation Entry")),";",EscStr(CONCATENATE("cat-",getCategoryLevelAsString($B230))),";",EscStr(CONCATENATE("NavNode_",getCategoryLevelAsString($B230))),";"))</f>
        <v>;"NavEntry_L3D_657085";"Acoustic Signal Generators Navigation Entry";"cat-L3D_657085";"NavNode_L3D_657085";</v>
      </c>
    </row>
    <row r="231" spans="1:44" ht="15" x14ac:dyDescent="0.25">
      <c r="A231" s="25"/>
      <c r="B231" s="5"/>
      <c r="C231" s="5" t="s">
        <v>2116</v>
      </c>
      <c r="D231" s="5"/>
      <c r="E231" s="5"/>
      <c r="F231" s="5"/>
      <c r="G231" s="5" t="s">
        <v>2120</v>
      </c>
      <c r="H231" s="5" t="s">
        <v>3744</v>
      </c>
      <c r="I231" s="5" t="s">
        <v>3745</v>
      </c>
      <c r="J231" s="5" t="s">
        <v>2125</v>
      </c>
      <c r="K231" s="5" t="s">
        <v>3746</v>
      </c>
      <c r="L231" s="5" t="s">
        <v>3747</v>
      </c>
      <c r="M231" s="5" t="s">
        <v>3748</v>
      </c>
      <c r="N231" s="5" t="s">
        <v>3749</v>
      </c>
      <c r="O231" s="5" t="s">
        <v>3750</v>
      </c>
      <c r="P231" s="5" t="s">
        <v>3751</v>
      </c>
      <c r="Q231" s="5" t="s">
        <v>3752</v>
      </c>
      <c r="R231" s="5" t="s">
        <v>3753</v>
      </c>
      <c r="S231" s="5" t="s">
        <v>3754</v>
      </c>
      <c r="T231" s="5" t="s">
        <v>3755</v>
      </c>
      <c r="U231" s="5" t="s">
        <v>3756</v>
      </c>
      <c r="V231" s="5" t="s">
        <v>3757</v>
      </c>
      <c r="W231" s="5" t="s">
        <v>3758</v>
      </c>
      <c r="X231" s="5" t="s">
        <v>3756</v>
      </c>
      <c r="Y231" s="10" t="str">
        <f>IF(OR($A231&lt;&gt;"", $G231=""),"",CONCATENATE(";",EscStr(CONCATENATE("NavNode_",getCategoryLevelAsString($B231))),";",EscStr($J231),";",IF($B231&lt;&gt;"","""MainNavNode""",EscStr(CONCATENATE("NavNode_",getSuperCategory($B231, getCategoryLevelAsNumber($B231))))),";"))</f>
        <v>;"NavNode_Electrical Engineering / Cables";"Building Automation";"NavNode_L0D_324785";</v>
      </c>
      <c r="Z231" s="10" t="str">
        <f>IF(getCategoryLevelAsString($B231)="L0D_324785","",IF(G231="",CONCATENATE(";",EscStr(CONCATENATE("NavNode_",getCategoryLevelAsString($B231))),";",EscStr($J231),";"),CONCATENATE(";",EscStr(CONCATENATE("NavNode_",getCategoryLevelAsString($B231))),";",EscStr(G231),";")))</f>
        <v>;"NavNode_Electrical Engineering / Cables";"Gebäudeautomation";</v>
      </c>
      <c r="AA231" s="10" t="str">
        <f>IF(getCategoryLevelAsString($B231)="L0D_324785","",IF(H231="",CONCATENATE(";",EscStr(CONCATENATE("NavNode_",getCategoryLevelAsString($B231))),";",EscStr($J231),";"),CONCATENATE(";",EscStr(CONCATENATE("NavNode_",getCategoryLevelAsString($B231))),";",EscStr(H231),";")))</f>
        <v>;"NavNode_Electrical Engineering / Cables";"Automatisation de la construction";</v>
      </c>
      <c r="AB231" s="10" t="str">
        <f>IF(getCategoryLevelAsString($B231)="L0D_324785","",IF(I231="",CONCATENATE(";",EscStr(CONCATENATE("NavNode_",getCategoryLevelAsString($B231))),";",EscStr($J231),";"),CONCATENATE(";",EscStr(CONCATENATE("NavNode_",getCategoryLevelAsString($B231))),";",EscStr(I231),";")))</f>
        <v>;"NavNode_Electrical Engineering / Cables";"Automazione per gli edifici";</v>
      </c>
      <c r="AC231" s="10" t="str">
        <f>IF(getCategoryLevelAsString($B231)="L0D_324785","",IF(J231="",CONCATENATE(";",EscStr(CONCATENATE("NavNode_",getCategoryLevelAsString($B231))),";",EscStr($J231),";"),CONCATENATE(";",EscStr(CONCATENATE("NavNode_",getCategoryLevelAsString($B231))),";",EscStr(J231),";")))</f>
        <v>;"NavNode_Electrical Engineering / Cables";"Building Automation";</v>
      </c>
      <c r="AD231" s="10" t="str">
        <f>IF(getCategoryLevelAsString($B231)="L0D_324785","",IF(K231="",CONCATENATE(";",EscStr(CONCATENATE("NavNode_",getCategoryLevelAsString($B231))),";",EscStr($J231),";"),CONCATENATE(";",EscStr(CONCATENATE("NavNode_",getCategoryLevelAsString($B231))),";",EscStr(K231),";")))</f>
        <v>;"NavNode_Electrical Engineering / Cables";"Bygningsautomatik";</v>
      </c>
      <c r="AE231" s="10" t="str">
        <f>IF(getCategoryLevelAsString($B231)="L0D_324785","",IF(L231="",CONCATENATE(";",EscStr(CONCATENATE("NavNode_",getCategoryLevelAsString($B231))),";",EscStr($J231),";"),CONCATENATE(";",EscStr(CONCATENATE("NavNode_",getCategoryLevelAsString($B231))),";",EscStr(L231),";")))</f>
        <v>;"NavNode_Electrical Engineering / Cables";"Pastatų automatika";</v>
      </c>
      <c r="AF231" s="10" t="str">
        <f>IF(getCategoryLevelAsString($B231)="L0D_324785","",IF(M231="",CONCATENATE(";",EscStr(CONCATENATE("NavNode_",getCategoryLevelAsString($B231))),";",EscStr($J231),";"),CONCATENATE(";",EscStr(CONCATENATE("NavNode_",getCategoryLevelAsString($B231))),";",EscStr(M231),";")))</f>
        <v>;"NavNode_Electrical Engineering / Cables";"Bygningsautomatisering";</v>
      </c>
      <c r="AG231" s="10" t="str">
        <f>IF(getCategoryLevelAsString($B231)="L0D_324785","",IF(N231="",CONCATENATE(";",EscStr(CONCATENATE("NavNode_",getCategoryLevelAsString($B231))),";",EscStr($J231),";"),CONCATENATE(";",EscStr(CONCATENATE("NavNode_",getCategoryLevelAsString($B231))),";",EscStr(N231),";")))</f>
        <v>;"NavNode_Electrical Engineering / Cables";"Byggautomation";</v>
      </c>
      <c r="AH231" s="10" t="str">
        <f>IF(getCategoryLevelAsString($B231)="L0D_324785","",IF(O231="",CONCATENATE(";",EscStr(CONCATENATE("NavNode_",getCategoryLevelAsString($B231))),";",EscStr($J231),";"),CONCATENATE(";",EscStr(CONCATENATE("NavNode_",getCategoryLevelAsString($B231))),";",EscStr(O231),";")))</f>
        <v>;"NavNode_Electrical Engineering / Cables";"Automaatika loomine";</v>
      </c>
      <c r="AI231" s="10" t="str">
        <f>IF(getCategoryLevelAsString($B231)="L0D_324785","",IF(P231="",CONCATENATE(";",EscStr(CONCATENATE("NavNode_",getCategoryLevelAsString($B231))),";",EscStr($J231),";"),CONCATENATE(";",EscStr(CONCATENATE("NavNode_",getCategoryLevelAsString($B231))),";",EscStr(P231),";")))</f>
        <v>;"NavNode_Electrical Engineering / Cables";"Rakennusautomaatio";</v>
      </c>
      <c r="AJ231" s="10" t="str">
        <f>IF(getCategoryLevelAsString($B231)="L0D_324785","",IF(Q231="",CONCATENATE(";",EscStr(CONCATENATE("NavNode_",getCategoryLevelAsString($B231))),";",EscStr($J231),";"),CONCATENATE(";",EscStr(CONCATENATE("NavNode_",getCategoryLevelAsString($B231))),";",EscStr(Q231),";")))</f>
        <v>;"NavNode_Electrical Engineering / Cables";"Būvniecības automatizācija";</v>
      </c>
      <c r="AK231" s="10" t="str">
        <f>IF(getCategoryLevelAsString($B231)="L0D_324785","",IF(R231="",CONCATENATE(";",EscStr(CONCATENATE("NavNode_",getCategoryLevelAsString($B231))),";",EscStr($J231),";"),CONCATENATE(";",EscStr(CONCATENATE("NavNode_",getCategoryLevelAsString($B231))),";",EscStr(R231),";")))</f>
        <v>;"NavNode_Electrical Engineering / Cables";"Gebouwautomatisering";</v>
      </c>
      <c r="AL231" s="10" t="str">
        <f>IF(getCategoryLevelAsString($B231)="L0D_324785","",IF(S231="",CONCATENATE(";",EscStr(CONCATENATE("NavNode_",getCategoryLevelAsString($B231))),";",EscStr($J231),";"),CONCATENATE(";",EscStr(CONCATENATE("NavNode_",getCategoryLevelAsString($B231))),";",EscStr(S231),";")))</f>
        <v>;"NavNode_Electrical Engineering / Cables";"Systemy automatyki budynków";</v>
      </c>
      <c r="AM231" s="10" t="str">
        <f>IF(getCategoryLevelAsString($B231)="L0D_324785","",IF(T231="",CONCATENATE(";",EscStr(CONCATENATE("NavNode_",getCategoryLevelAsString($B231))),";",EscStr($J231),";"),CONCATENATE(";",EscStr(CONCATENATE("NavNode_",getCategoryLevelAsString($B231))),";",EscStr(T231),";")))</f>
        <v>;"NavNode_Electrical Engineering / Cables";"Строительная автоматизация";</v>
      </c>
      <c r="AN231" s="10" t="str">
        <f>IF(getCategoryLevelAsString($B231)="L0D_324785","",IF(U231="",CONCATENATE(";",EscStr(CONCATENATE("NavNode_",getCategoryLevelAsString($B231))),";",EscStr($J231),";"),CONCATENATE(";",EscStr(CONCATENATE("NavNode_",getCategoryLevelAsString($B231))),";",EscStr(U231),";")))</f>
        <v>;"NavNode_Electrical Engineering / Cables";"Stavební automatizace";</v>
      </c>
      <c r="AO231" s="10" t="str">
        <f>IF(getCategoryLevelAsString($B231)="L0D_324785","",IF(V231="",CONCATENATE(";",EscStr(CONCATENATE("NavNode_",getCategoryLevelAsString($B231))),";",EscStr($J231),";"),CONCATENATE(";",EscStr(CONCATENATE("NavNode_",getCategoryLevelAsString($B231))),";",EscStr(V231),";")))</f>
        <v>;"NavNode_Electrical Engineering / Cables";"Sisteme de automatizare clădiri";</v>
      </c>
      <c r="AP231" s="10" t="str">
        <f>IF(getCategoryLevelAsString($B231)="L0D_324785","",IF(W231="",CONCATENATE(";",EscStr(CONCATENATE("NavNode_",getCategoryLevelAsString($B231))),";",EscStr($J231),";"),CONCATENATE(";",EscStr(CONCATENATE("NavNode_",getCategoryLevelAsString($B231))),";",EscStr(W231),";")))</f>
        <v>;"NavNode_Electrical Engineering / Cables";"Épületautomatizálás";</v>
      </c>
      <c r="AQ231" s="10" t="str">
        <f>IF(getCategoryLevelAsString($B231)="L0D_324785","",IF(X231="",CONCATENATE(";",EscStr(CONCATENATE("NavNode_",getCategoryLevelAsString($B231))),";",EscStr($J231),";"),CONCATENATE(";",EscStr(CONCATENATE("NavNode_",getCategoryLevelAsString($B231))),";",EscStr(X231),";")))</f>
        <v>;"NavNode_Electrical Engineering / Cables";"Stavební automatizace";</v>
      </c>
      <c r="AR231" s="8" t="str">
        <f>IF(OR($A231&lt;&gt;"", $G231=""),"",CONCATENATE(";",EscStr(CONCATENATE("NavEntry_",getCategoryLevelAsString($B231))),";",EscStr(CONCATENATE($J231," Navigation Entry")),";",EscStr(CONCATENATE("cat-",getCategoryLevelAsString($B231))),";",EscStr(CONCATENATE("NavNode_",getCategoryLevelAsString($B231))),";"))</f>
        <v>;"NavEntry_Electrical Engineering / Cables";"Building Automation Navigation Entry";"cat-Electrical Engineering / Cables";"NavNode_Electrical Engineering / Cables";</v>
      </c>
    </row>
    <row r="232" spans="1:44" s="17" customFormat="1" ht="14.25" x14ac:dyDescent="0.2">
      <c r="A232" s="24">
        <v>8</v>
      </c>
      <c r="B232" s="13" t="s">
        <v>9690</v>
      </c>
      <c r="C232" s="14"/>
      <c r="E232" s="13"/>
      <c r="F232" s="13"/>
      <c r="G232" s="13" t="s">
        <v>13533</v>
      </c>
      <c r="H232" s="13" t="s">
        <v>13533</v>
      </c>
      <c r="I232" s="13" t="s">
        <v>13533</v>
      </c>
      <c r="J232" s="13" t="s">
        <v>9690</v>
      </c>
      <c r="K232" s="13" t="s">
        <v>13533</v>
      </c>
      <c r="L232" s="13" t="s">
        <v>13533</v>
      </c>
      <c r="M232" s="13" t="s">
        <v>13533</v>
      </c>
      <c r="N232" s="13" t="s">
        <v>13533</v>
      </c>
      <c r="O232" s="13" t="s">
        <v>13533</v>
      </c>
      <c r="P232" s="13" t="s">
        <v>13533</v>
      </c>
      <c r="Q232" s="13" t="s">
        <v>13533</v>
      </c>
      <c r="R232" s="13" t="s">
        <v>13533</v>
      </c>
      <c r="S232" s="13" t="s">
        <v>13533</v>
      </c>
      <c r="T232" s="13" t="s">
        <v>13533</v>
      </c>
      <c r="U232" s="13" t="s">
        <v>13533</v>
      </c>
      <c r="V232" s="13" t="s">
        <v>13533</v>
      </c>
      <c r="W232" s="13" t="s">
        <v>13533</v>
      </c>
      <c r="X232" s="13" t="s">
        <v>13533</v>
      </c>
      <c r="Y232" s="15"/>
      <c r="Z232" s="15"/>
      <c r="AA232" s="15"/>
      <c r="AB232" s="15"/>
      <c r="AC232" s="15"/>
      <c r="AD232" s="15"/>
      <c r="AE232" s="15"/>
      <c r="AF232" s="15"/>
      <c r="AG232" s="15"/>
      <c r="AH232" s="15"/>
      <c r="AI232" s="15"/>
      <c r="AJ232" s="15"/>
      <c r="AK232" s="15"/>
      <c r="AL232" s="15"/>
      <c r="AM232" s="15"/>
      <c r="AN232" s="15"/>
      <c r="AO232" s="15"/>
      <c r="AP232" s="15"/>
      <c r="AQ232" s="15"/>
      <c r="AR232" s="16"/>
    </row>
    <row r="233" spans="1:44" ht="15" x14ac:dyDescent="0.25">
      <c r="A233" s="25"/>
      <c r="B233" s="5"/>
      <c r="C233" s="5" t="s">
        <v>21</v>
      </c>
      <c r="D233" s="5"/>
      <c r="E233" s="5"/>
      <c r="F233" s="5"/>
      <c r="G233" s="5" t="s">
        <v>391</v>
      </c>
      <c r="H233" s="5" t="s">
        <v>392</v>
      </c>
      <c r="I233" s="5" t="s">
        <v>393</v>
      </c>
      <c r="J233" s="5" t="s">
        <v>4</v>
      </c>
      <c r="K233" s="5" t="s">
        <v>1217</v>
      </c>
      <c r="L233" s="5" t="s">
        <v>1451</v>
      </c>
      <c r="M233" s="5" t="s">
        <v>1684</v>
      </c>
      <c r="N233" s="5" t="s">
        <v>1887</v>
      </c>
      <c r="O233" s="5" t="s">
        <v>2545</v>
      </c>
      <c r="P233" s="5" t="s">
        <v>2546</v>
      </c>
      <c r="Q233" s="5" t="s">
        <v>2547</v>
      </c>
      <c r="R233" s="5" t="s">
        <v>2548</v>
      </c>
      <c r="S233" s="5" t="s">
        <v>2549</v>
      </c>
      <c r="T233" s="5" t="s">
        <v>2550</v>
      </c>
      <c r="U233" s="5" t="s">
        <v>2551</v>
      </c>
      <c r="V233" s="5" t="s">
        <v>2552</v>
      </c>
      <c r="W233" s="5" t="s">
        <v>2553</v>
      </c>
      <c r="X233" s="5" t="s">
        <v>2551</v>
      </c>
      <c r="Y233" s="10" t="e">
        <f>IF(OR($A233&lt;&gt;"", $G233=""),"",CONCATENATE(";",EscStr(CONCATENATE("NavNode_",getCategoryLevelAsString(#REF!))),";",EscStr($J233),";",IF(#REF!&lt;&gt;"","""MainNavNode""",EscStr(CONCATENATE("NavNode_",getSuperCategory(#REF!, getCategoryLevelAsNumber(#REF!))))),";"))</f>
        <v>#VALUE!</v>
      </c>
      <c r="Z233" s="10" t="e">
        <f>IF(getCategoryLevelAsString(#REF!)="L0D_324785","",IF(G233="",CONCATENATE(";",EscStr(CONCATENATE("NavNode_",getCategoryLevelAsString(#REF!))),";",EscStr($J233),";"),CONCATENATE(";",EscStr(CONCATENATE("NavNode_",getCategoryLevelAsString(#REF!))),";",EscStr(G233),";")))</f>
        <v>#VALUE!</v>
      </c>
      <c r="AA233" s="10" t="e">
        <f>IF(getCategoryLevelAsString(#REF!)="L0D_324785","",IF(H233="",CONCATENATE(";",EscStr(CONCATENATE("NavNode_",getCategoryLevelAsString(#REF!))),";",EscStr($J233),";"),CONCATENATE(";",EscStr(CONCATENATE("NavNode_",getCategoryLevelAsString(#REF!))),";",EscStr(H233),";")))</f>
        <v>#VALUE!</v>
      </c>
      <c r="AB233" s="10" t="e">
        <f>IF(getCategoryLevelAsString(#REF!)="L0D_324785","",IF(I233="",CONCATENATE(";",EscStr(CONCATENATE("NavNode_",getCategoryLevelAsString(#REF!))),";",EscStr($J233),";"),CONCATENATE(";",EscStr(CONCATENATE("NavNode_",getCategoryLevelAsString(#REF!))),";",EscStr(I233),";")))</f>
        <v>#VALUE!</v>
      </c>
      <c r="AC233" s="10" t="e">
        <f>IF(getCategoryLevelAsString(#REF!)="L0D_324785","",IF(J233="",CONCATENATE(";",EscStr(CONCATENATE("NavNode_",getCategoryLevelAsString(#REF!))),";",EscStr($J233),";"),CONCATENATE(";",EscStr(CONCATENATE("NavNode_",getCategoryLevelAsString(#REF!))),";",EscStr(J233),";")))</f>
        <v>#VALUE!</v>
      </c>
      <c r="AD233" s="10" t="e">
        <f>IF(getCategoryLevelAsString(#REF!)="L0D_324785","",IF(K233="",CONCATENATE(";",EscStr(CONCATENATE("NavNode_",getCategoryLevelAsString(#REF!))),";",EscStr($J233),";"),CONCATENATE(";",EscStr(CONCATENATE("NavNode_",getCategoryLevelAsString(#REF!))),";",EscStr(K233),";")))</f>
        <v>#VALUE!</v>
      </c>
      <c r="AE233" s="10" t="e">
        <f>IF(getCategoryLevelAsString(#REF!)="L0D_324785","",IF(L233="",CONCATENATE(";",EscStr(CONCATENATE("NavNode_",getCategoryLevelAsString(#REF!))),";",EscStr($J233),";"),CONCATENATE(";",EscStr(CONCATENATE("NavNode_",getCategoryLevelAsString(#REF!))),";",EscStr(L233),";")))</f>
        <v>#VALUE!</v>
      </c>
      <c r="AF233" s="10" t="e">
        <f>IF(getCategoryLevelAsString(#REF!)="L0D_324785","",IF(M233="",CONCATENATE(";",EscStr(CONCATENATE("NavNode_",getCategoryLevelAsString(#REF!))),";",EscStr($J233),";"),CONCATENATE(";",EscStr(CONCATENATE("NavNode_",getCategoryLevelAsString(#REF!))),";",EscStr(M233),";")))</f>
        <v>#VALUE!</v>
      </c>
      <c r="AG233" s="10" t="e">
        <f>IF(getCategoryLevelAsString(#REF!)="L0D_324785","",IF(N233="",CONCATENATE(";",EscStr(CONCATENATE("NavNode_",getCategoryLevelAsString(#REF!))),";",EscStr($J233),";"),CONCATENATE(";",EscStr(CONCATENATE("NavNode_",getCategoryLevelAsString(#REF!))),";",EscStr(N233),";")))</f>
        <v>#VALUE!</v>
      </c>
      <c r="AH233" s="10" t="e">
        <f>IF(getCategoryLevelAsString(#REF!)="L0D_324785","",IF(O233="",CONCATENATE(";",EscStr(CONCATENATE("NavNode_",getCategoryLevelAsString(#REF!))),";",EscStr($J233),";"),CONCATENATE(";",EscStr(CONCATENATE("NavNode_",getCategoryLevelAsString(#REF!))),";",EscStr(O233),";")))</f>
        <v>#VALUE!</v>
      </c>
      <c r="AI233" s="10" t="e">
        <f>IF(getCategoryLevelAsString(#REF!)="L0D_324785","",IF(P233="",CONCATENATE(";",EscStr(CONCATENATE("NavNode_",getCategoryLevelAsString(#REF!))),";",EscStr($J233),";"),CONCATENATE(";",EscStr(CONCATENATE("NavNode_",getCategoryLevelAsString(#REF!))),";",EscStr(P233),";")))</f>
        <v>#VALUE!</v>
      </c>
      <c r="AJ233" s="10" t="e">
        <f>IF(getCategoryLevelAsString(#REF!)="L0D_324785","",IF(Q233="",CONCATENATE(";",EscStr(CONCATENATE("NavNode_",getCategoryLevelAsString(#REF!))),";",EscStr($J233),";"),CONCATENATE(";",EscStr(CONCATENATE("NavNode_",getCategoryLevelAsString(#REF!))),";",EscStr(Q233),";")))</f>
        <v>#VALUE!</v>
      </c>
      <c r="AK233" s="10" t="e">
        <f>IF(getCategoryLevelAsString(#REF!)="L0D_324785","",IF(R233="",CONCATENATE(";",EscStr(CONCATENATE("NavNode_",getCategoryLevelAsString(#REF!))),";",EscStr($J233),";"),CONCATENATE(";",EscStr(CONCATENATE("NavNode_",getCategoryLevelAsString(#REF!))),";",EscStr(R233),";")))</f>
        <v>#VALUE!</v>
      </c>
      <c r="AL233" s="10" t="e">
        <f>IF(getCategoryLevelAsString(#REF!)="L0D_324785","",IF(S233="",CONCATENATE(";",EscStr(CONCATENATE("NavNode_",getCategoryLevelAsString(#REF!))),";",EscStr($J233),";"),CONCATENATE(";",EscStr(CONCATENATE("NavNode_",getCategoryLevelAsString(#REF!))),";",EscStr(S233),";")))</f>
        <v>#VALUE!</v>
      </c>
      <c r="AM233" s="10" t="e">
        <f>IF(getCategoryLevelAsString(#REF!)="L0D_324785","",IF(T233="",CONCATENATE(";",EscStr(CONCATENATE("NavNode_",getCategoryLevelAsString(#REF!))),";",EscStr($J233),";"),CONCATENATE(";",EscStr(CONCATENATE("NavNode_",getCategoryLevelAsString(#REF!))),";",EscStr(T233),";")))</f>
        <v>#VALUE!</v>
      </c>
      <c r="AN233" s="10" t="e">
        <f>IF(getCategoryLevelAsString(#REF!)="L0D_324785","",IF(U233="",CONCATENATE(";",EscStr(CONCATENATE("NavNode_",getCategoryLevelAsString(#REF!))),";",EscStr($J233),";"),CONCATENATE(";",EscStr(CONCATENATE("NavNode_",getCategoryLevelAsString(#REF!))),";",EscStr(U233),";")))</f>
        <v>#VALUE!</v>
      </c>
      <c r="AO233" s="10" t="e">
        <f>IF(getCategoryLevelAsString(#REF!)="L0D_324785","",IF(V233="",CONCATENATE(";",EscStr(CONCATENATE("NavNode_",getCategoryLevelAsString(#REF!))),";",EscStr($J233),";"),CONCATENATE(";",EscStr(CONCATENATE("NavNode_",getCategoryLevelAsString(#REF!))),";",EscStr(V233),";")))</f>
        <v>#VALUE!</v>
      </c>
      <c r="AP233" s="10" t="e">
        <f>IF(getCategoryLevelAsString(#REF!)="L0D_324785","",IF(W233="",CONCATENATE(";",EscStr(CONCATENATE("NavNode_",getCategoryLevelAsString(#REF!))),";",EscStr($J233),";"),CONCATENATE(";",EscStr(CONCATENATE("NavNode_",getCategoryLevelAsString(#REF!))),";",EscStr(W233),";")))</f>
        <v>#VALUE!</v>
      </c>
      <c r="AQ233" s="10" t="e">
        <f>IF(getCategoryLevelAsString(#REF!)="L0D_324785","",IF(X233="",CONCATENATE(";",EscStr(CONCATENATE("NavNode_",getCategoryLevelAsString(#REF!))),";",EscStr($J233),";"),CONCATENATE(";",EscStr(CONCATENATE("NavNode_",getCategoryLevelAsString(#REF!))),";",EscStr(X233),";")))</f>
        <v>#VALUE!</v>
      </c>
      <c r="AR233" s="8" t="e">
        <f>IF(OR($A233&lt;&gt;"", $G233=""),"",CONCATENATE(";",EscStr(CONCATENATE("NavEntry_",getCategoryLevelAsString(#REF!))),";",EscStr(CONCATENATE($J233," Navigation Entry")),";",EscStr(CONCATENATE("cat-",getCategoryLevelAsString(#REF!))),";",EscStr(CONCATENATE("NavNode_",getCategoryLevelAsString(#REF!))),";"))</f>
        <v>#VALUE!</v>
      </c>
    </row>
    <row r="234" spans="1:44" ht="15" x14ac:dyDescent="0.25">
      <c r="A234" s="25"/>
      <c r="B234" s="5"/>
      <c r="C234" s="5"/>
      <c r="D234" s="5" t="s">
        <v>746</v>
      </c>
      <c r="E234" s="5"/>
      <c r="F234" s="5"/>
      <c r="G234" s="5" t="s">
        <v>986</v>
      </c>
      <c r="H234" s="5" t="s">
        <v>1089</v>
      </c>
      <c r="I234" s="5" t="s">
        <v>1148</v>
      </c>
      <c r="J234" s="5" t="s">
        <v>845</v>
      </c>
      <c r="K234" s="5" t="s">
        <v>1218</v>
      </c>
      <c r="L234" s="5" t="s">
        <v>1449</v>
      </c>
      <c r="M234" s="5" t="s">
        <v>1683</v>
      </c>
      <c r="N234" s="5" t="s">
        <v>1886</v>
      </c>
      <c r="O234" s="5" t="s">
        <v>2528</v>
      </c>
      <c r="P234" s="5" t="s">
        <v>2554</v>
      </c>
      <c r="Q234" s="5" t="s">
        <v>2530</v>
      </c>
      <c r="R234" s="5" t="s">
        <v>2531</v>
      </c>
      <c r="S234" s="5" t="s">
        <v>2555</v>
      </c>
      <c r="T234" s="5" t="s">
        <v>2556</v>
      </c>
      <c r="U234" s="5" t="s">
        <v>2534</v>
      </c>
      <c r="V234" s="5" t="s">
        <v>2535</v>
      </c>
      <c r="W234" s="5" t="s">
        <v>2536</v>
      </c>
      <c r="X234" s="5" t="s">
        <v>2534</v>
      </c>
      <c r="Y234" s="10" t="e">
        <f>IF(OR($A234&lt;&gt;"", $G234=""),"",CONCATENATE(";",EscStr(CONCATENATE("NavNode_",getCategoryLevelAsString(#REF!))),";",EscStr($J234),";",IF(#REF!&lt;&gt;"","""MainNavNode""",EscStr(CONCATENATE("NavNode_",getSuperCategory(#REF!, getCategoryLevelAsNumber(#REF!))))),";"))</f>
        <v>#VALUE!</v>
      </c>
      <c r="Z234" s="10" t="e">
        <f>IF(getCategoryLevelAsString(#REF!)="L0D_324785","",IF(G234="",CONCATENATE(";",EscStr(CONCATENATE("NavNode_",getCategoryLevelAsString(#REF!))),";",EscStr($J234),";"),CONCATENATE(";",EscStr(CONCATENATE("NavNode_",getCategoryLevelAsString(#REF!))),";",EscStr(G234),";")))</f>
        <v>#VALUE!</v>
      </c>
      <c r="AA234" s="10" t="e">
        <f>IF(getCategoryLevelAsString(#REF!)="L0D_324785","",IF(H234="",CONCATENATE(";",EscStr(CONCATENATE("NavNode_",getCategoryLevelAsString(#REF!))),";",EscStr($J234),";"),CONCATENATE(";",EscStr(CONCATENATE("NavNode_",getCategoryLevelAsString(#REF!))),";",EscStr(H234),";")))</f>
        <v>#VALUE!</v>
      </c>
      <c r="AB234" s="10" t="e">
        <f>IF(getCategoryLevelAsString(#REF!)="L0D_324785","",IF(I234="",CONCATENATE(";",EscStr(CONCATENATE("NavNode_",getCategoryLevelAsString(#REF!))),";",EscStr($J234),";"),CONCATENATE(";",EscStr(CONCATENATE("NavNode_",getCategoryLevelAsString(#REF!))),";",EscStr(I234),";")))</f>
        <v>#VALUE!</v>
      </c>
      <c r="AC234" s="10" t="e">
        <f>IF(getCategoryLevelAsString(#REF!)="L0D_324785","",IF(J234="",CONCATENATE(";",EscStr(CONCATENATE("NavNode_",getCategoryLevelAsString(#REF!))),";",EscStr($J234),";"),CONCATENATE(";",EscStr(CONCATENATE("NavNode_",getCategoryLevelAsString(#REF!))),";",EscStr(J234),";")))</f>
        <v>#VALUE!</v>
      </c>
      <c r="AD234" s="10" t="e">
        <f>IF(getCategoryLevelAsString(#REF!)="L0D_324785","",IF(K234="",CONCATENATE(";",EscStr(CONCATENATE("NavNode_",getCategoryLevelAsString(#REF!))),";",EscStr($J234),";"),CONCATENATE(";",EscStr(CONCATENATE("NavNode_",getCategoryLevelAsString(#REF!))),";",EscStr(K234),";")))</f>
        <v>#VALUE!</v>
      </c>
      <c r="AE234" s="10" t="e">
        <f>IF(getCategoryLevelAsString(#REF!)="L0D_324785","",IF(L234="",CONCATENATE(";",EscStr(CONCATENATE("NavNode_",getCategoryLevelAsString(#REF!))),";",EscStr($J234),";"),CONCATENATE(";",EscStr(CONCATENATE("NavNode_",getCategoryLevelAsString(#REF!))),";",EscStr(L234),";")))</f>
        <v>#VALUE!</v>
      </c>
      <c r="AF234" s="10" t="e">
        <f>IF(getCategoryLevelAsString(#REF!)="L0D_324785","",IF(M234="",CONCATENATE(";",EscStr(CONCATENATE("NavNode_",getCategoryLevelAsString(#REF!))),";",EscStr($J234),";"),CONCATENATE(";",EscStr(CONCATENATE("NavNode_",getCategoryLevelAsString(#REF!))),";",EscStr(M234),";")))</f>
        <v>#VALUE!</v>
      </c>
      <c r="AG234" s="10" t="e">
        <f>IF(getCategoryLevelAsString(#REF!)="L0D_324785","",IF(N234="",CONCATENATE(";",EscStr(CONCATENATE("NavNode_",getCategoryLevelAsString(#REF!))),";",EscStr($J234),";"),CONCATENATE(";",EscStr(CONCATENATE("NavNode_",getCategoryLevelAsString(#REF!))),";",EscStr(N234),";")))</f>
        <v>#VALUE!</v>
      </c>
      <c r="AH234" s="10" t="e">
        <f>IF(getCategoryLevelAsString(#REF!)="L0D_324785","",IF(O234="",CONCATENATE(";",EscStr(CONCATENATE("NavNode_",getCategoryLevelAsString(#REF!))),";",EscStr($J234),";"),CONCATENATE(";",EscStr(CONCATENATE("NavNode_",getCategoryLevelAsString(#REF!))),";",EscStr(O234),";")))</f>
        <v>#VALUE!</v>
      </c>
      <c r="AI234" s="10" t="e">
        <f>IF(getCategoryLevelAsString(#REF!)="L0D_324785","",IF(P234="",CONCATENATE(";",EscStr(CONCATENATE("NavNode_",getCategoryLevelAsString(#REF!))),";",EscStr($J234),";"),CONCATENATE(";",EscStr(CONCATENATE("NavNode_",getCategoryLevelAsString(#REF!))),";",EscStr(P234),";")))</f>
        <v>#VALUE!</v>
      </c>
      <c r="AJ234" s="10" t="e">
        <f>IF(getCategoryLevelAsString(#REF!)="L0D_324785","",IF(Q234="",CONCATENATE(";",EscStr(CONCATENATE("NavNode_",getCategoryLevelAsString(#REF!))),";",EscStr($J234),";"),CONCATENATE(";",EscStr(CONCATENATE("NavNode_",getCategoryLevelAsString(#REF!))),";",EscStr(Q234),";")))</f>
        <v>#VALUE!</v>
      </c>
      <c r="AK234" s="10" t="e">
        <f>IF(getCategoryLevelAsString(#REF!)="L0D_324785","",IF(R234="",CONCATENATE(";",EscStr(CONCATENATE("NavNode_",getCategoryLevelAsString(#REF!))),";",EscStr($J234),";"),CONCATENATE(";",EscStr(CONCATENATE("NavNode_",getCategoryLevelAsString(#REF!))),";",EscStr(R234),";")))</f>
        <v>#VALUE!</v>
      </c>
      <c r="AL234" s="10" t="e">
        <f>IF(getCategoryLevelAsString(#REF!)="L0D_324785","",IF(S234="",CONCATENATE(";",EscStr(CONCATENATE("NavNode_",getCategoryLevelAsString(#REF!))),";",EscStr($J234),";"),CONCATENATE(";",EscStr(CONCATENATE("NavNode_",getCategoryLevelAsString(#REF!))),";",EscStr(S234),";")))</f>
        <v>#VALUE!</v>
      </c>
      <c r="AM234" s="10" t="e">
        <f>IF(getCategoryLevelAsString(#REF!)="L0D_324785","",IF(T234="",CONCATENATE(";",EscStr(CONCATENATE("NavNode_",getCategoryLevelAsString(#REF!))),";",EscStr($J234),";"),CONCATENATE(";",EscStr(CONCATENATE("NavNode_",getCategoryLevelAsString(#REF!))),";",EscStr(T234),";")))</f>
        <v>#VALUE!</v>
      </c>
      <c r="AN234" s="10" t="e">
        <f>IF(getCategoryLevelAsString(#REF!)="L0D_324785","",IF(U234="",CONCATENATE(";",EscStr(CONCATENATE("NavNode_",getCategoryLevelAsString(#REF!))),";",EscStr($J234),";"),CONCATENATE(";",EscStr(CONCATENATE("NavNode_",getCategoryLevelAsString(#REF!))),";",EscStr(U234),";")))</f>
        <v>#VALUE!</v>
      </c>
      <c r="AO234" s="10" t="e">
        <f>IF(getCategoryLevelAsString(#REF!)="L0D_324785","",IF(V234="",CONCATENATE(";",EscStr(CONCATENATE("NavNode_",getCategoryLevelAsString(#REF!))),";",EscStr($J234),";"),CONCATENATE(";",EscStr(CONCATENATE("NavNode_",getCategoryLevelAsString(#REF!))),";",EscStr(V234),";")))</f>
        <v>#VALUE!</v>
      </c>
      <c r="AP234" s="10" t="e">
        <f>IF(getCategoryLevelAsString(#REF!)="L0D_324785","",IF(W234="",CONCATENATE(";",EscStr(CONCATENATE("NavNode_",getCategoryLevelAsString(#REF!))),";",EscStr($J234),";"),CONCATENATE(";",EscStr(CONCATENATE("NavNode_",getCategoryLevelAsString(#REF!))),";",EscStr(W234),";")))</f>
        <v>#VALUE!</v>
      </c>
      <c r="AQ234" s="10" t="e">
        <f>IF(getCategoryLevelAsString(#REF!)="L0D_324785","",IF(X234="",CONCATENATE(";",EscStr(CONCATENATE("NavNode_",getCategoryLevelAsString(#REF!))),";",EscStr($J234),";"),CONCATENATE(";",EscStr(CONCATENATE("NavNode_",getCategoryLevelAsString(#REF!))),";",EscStr(X234),";")))</f>
        <v>#VALUE!</v>
      </c>
      <c r="AR234" s="8" t="e">
        <f>IF(OR($A234&lt;&gt;"", $G234=""),"",CONCATENATE(";",EscStr(CONCATENATE("NavEntry_",getCategoryLevelAsString(#REF!))),";",EscStr(CONCATENATE($J234," Navigation Entry")),";",EscStr(CONCATENATE("cat-",getCategoryLevelAsString(#REF!))),";",EscStr(CONCATENATE("NavNode_",getCategoryLevelAsString(#REF!))),";"))</f>
        <v>#VALUE!</v>
      </c>
    </row>
    <row r="235" spans="1:44" ht="15" x14ac:dyDescent="0.25">
      <c r="A235" s="25"/>
      <c r="B235" s="5"/>
      <c r="C235" s="5"/>
      <c r="D235" s="5" t="s">
        <v>148</v>
      </c>
      <c r="E235" s="5"/>
      <c r="F235" s="5"/>
      <c r="G235" s="5" t="s">
        <v>394</v>
      </c>
      <c r="H235" s="5" t="s">
        <v>395</v>
      </c>
      <c r="I235" s="5" t="s">
        <v>396</v>
      </c>
      <c r="J235" s="5" t="s">
        <v>149</v>
      </c>
      <c r="K235" s="5" t="s">
        <v>1219</v>
      </c>
      <c r="L235" s="5" t="s">
        <v>1452</v>
      </c>
      <c r="M235" s="5" t="s">
        <v>1685</v>
      </c>
      <c r="N235" s="5" t="s">
        <v>1888</v>
      </c>
      <c r="O235" s="5" t="s">
        <v>2557</v>
      </c>
      <c r="P235" s="5" t="s">
        <v>2558</v>
      </c>
      <c r="Q235" s="5" t="s">
        <v>2559</v>
      </c>
      <c r="R235" s="5" t="s">
        <v>2560</v>
      </c>
      <c r="S235" s="5" t="s">
        <v>2561</v>
      </c>
      <c r="T235" s="5" t="s">
        <v>2562</v>
      </c>
      <c r="U235" s="5" t="s">
        <v>2563</v>
      </c>
      <c r="V235" s="5" t="s">
        <v>2564</v>
      </c>
      <c r="W235" s="5" t="s">
        <v>2565</v>
      </c>
      <c r="X235" s="5" t="s">
        <v>2563</v>
      </c>
      <c r="Y235" s="10" t="e">
        <f>IF(OR($A235&lt;&gt;"", $G235=""),"",CONCATENATE(";",EscStr(CONCATENATE("NavNode_",getCategoryLevelAsString(#REF!))),";",EscStr($J235),";",IF(#REF!&lt;&gt;"","""MainNavNode""",EscStr(CONCATENATE("NavNode_",getSuperCategory(#REF!, getCategoryLevelAsNumber(#REF!))))),";"))</f>
        <v>#VALUE!</v>
      </c>
      <c r="Z235" s="10" t="e">
        <f>IF(getCategoryLevelAsString(#REF!)="L0D_324785","",IF(G235="",CONCATENATE(";",EscStr(CONCATENATE("NavNode_",getCategoryLevelAsString(#REF!))),";",EscStr($J235),";"),CONCATENATE(";",EscStr(CONCATENATE("NavNode_",getCategoryLevelAsString(#REF!))),";",EscStr(G235),";")))</f>
        <v>#VALUE!</v>
      </c>
      <c r="AA235" s="10" t="e">
        <f>IF(getCategoryLevelAsString(#REF!)="L0D_324785","",IF(H235="",CONCATENATE(";",EscStr(CONCATENATE("NavNode_",getCategoryLevelAsString(#REF!))),";",EscStr($J235),";"),CONCATENATE(";",EscStr(CONCATENATE("NavNode_",getCategoryLevelAsString(#REF!))),";",EscStr(H235),";")))</f>
        <v>#VALUE!</v>
      </c>
      <c r="AB235" s="10" t="e">
        <f>IF(getCategoryLevelAsString(#REF!)="L0D_324785","",IF(I235="",CONCATENATE(";",EscStr(CONCATENATE("NavNode_",getCategoryLevelAsString(#REF!))),";",EscStr($J235),";"),CONCATENATE(";",EscStr(CONCATENATE("NavNode_",getCategoryLevelAsString(#REF!))),";",EscStr(I235),";")))</f>
        <v>#VALUE!</v>
      </c>
      <c r="AC235" s="10" t="e">
        <f>IF(getCategoryLevelAsString(#REF!)="L0D_324785","",IF(J235="",CONCATENATE(";",EscStr(CONCATENATE("NavNode_",getCategoryLevelAsString(#REF!))),";",EscStr($J235),";"),CONCATENATE(";",EscStr(CONCATENATE("NavNode_",getCategoryLevelAsString(#REF!))),";",EscStr(J235),";")))</f>
        <v>#VALUE!</v>
      </c>
      <c r="AD235" s="10" t="e">
        <f>IF(getCategoryLevelAsString(#REF!)="L0D_324785","",IF(K235="",CONCATENATE(";",EscStr(CONCATENATE("NavNode_",getCategoryLevelAsString(#REF!))),";",EscStr($J235),";"),CONCATENATE(";",EscStr(CONCATENATE("NavNode_",getCategoryLevelAsString(#REF!))),";",EscStr(K235),";")))</f>
        <v>#VALUE!</v>
      </c>
      <c r="AE235" s="10" t="e">
        <f>IF(getCategoryLevelAsString(#REF!)="L0D_324785","",IF(L235="",CONCATENATE(";",EscStr(CONCATENATE("NavNode_",getCategoryLevelAsString(#REF!))),";",EscStr($J235),";"),CONCATENATE(";",EscStr(CONCATENATE("NavNode_",getCategoryLevelAsString(#REF!))),";",EscStr(L235),";")))</f>
        <v>#VALUE!</v>
      </c>
      <c r="AF235" s="10" t="e">
        <f>IF(getCategoryLevelAsString(#REF!)="L0D_324785","",IF(M235="",CONCATENATE(";",EscStr(CONCATENATE("NavNode_",getCategoryLevelAsString(#REF!))),";",EscStr($J235),";"),CONCATENATE(";",EscStr(CONCATENATE("NavNode_",getCategoryLevelAsString(#REF!))),";",EscStr(M235),";")))</f>
        <v>#VALUE!</v>
      </c>
      <c r="AG235" s="10" t="e">
        <f>IF(getCategoryLevelAsString(#REF!)="L0D_324785","",IF(N235="",CONCATENATE(";",EscStr(CONCATENATE("NavNode_",getCategoryLevelAsString(#REF!))),";",EscStr($J235),";"),CONCATENATE(";",EscStr(CONCATENATE("NavNode_",getCategoryLevelAsString(#REF!))),";",EscStr(N235),";")))</f>
        <v>#VALUE!</v>
      </c>
      <c r="AH235" s="10" t="e">
        <f>IF(getCategoryLevelAsString(#REF!)="L0D_324785","",IF(O235="",CONCATENATE(";",EscStr(CONCATENATE("NavNode_",getCategoryLevelAsString(#REF!))),";",EscStr($J235),";"),CONCATENATE(";",EscStr(CONCATENATE("NavNode_",getCategoryLevelAsString(#REF!))),";",EscStr(O235),";")))</f>
        <v>#VALUE!</v>
      </c>
      <c r="AI235" s="10" t="e">
        <f>IF(getCategoryLevelAsString(#REF!)="L0D_324785","",IF(P235="",CONCATENATE(";",EscStr(CONCATENATE("NavNode_",getCategoryLevelAsString(#REF!))),";",EscStr($J235),";"),CONCATENATE(";",EscStr(CONCATENATE("NavNode_",getCategoryLevelAsString(#REF!))),";",EscStr(P235),";")))</f>
        <v>#VALUE!</v>
      </c>
      <c r="AJ235" s="10" t="e">
        <f>IF(getCategoryLevelAsString(#REF!)="L0D_324785","",IF(Q235="",CONCATENATE(";",EscStr(CONCATENATE("NavNode_",getCategoryLevelAsString(#REF!))),";",EscStr($J235),";"),CONCATENATE(";",EscStr(CONCATENATE("NavNode_",getCategoryLevelAsString(#REF!))),";",EscStr(Q235),";")))</f>
        <v>#VALUE!</v>
      </c>
      <c r="AK235" s="10" t="e">
        <f>IF(getCategoryLevelAsString(#REF!)="L0D_324785","",IF(R235="",CONCATENATE(";",EscStr(CONCATENATE("NavNode_",getCategoryLevelAsString(#REF!))),";",EscStr($J235),";"),CONCATENATE(";",EscStr(CONCATENATE("NavNode_",getCategoryLevelAsString(#REF!))),";",EscStr(R235),";")))</f>
        <v>#VALUE!</v>
      </c>
      <c r="AL235" s="10" t="e">
        <f>IF(getCategoryLevelAsString(#REF!)="L0D_324785","",IF(S235="",CONCATENATE(";",EscStr(CONCATENATE("NavNode_",getCategoryLevelAsString(#REF!))),";",EscStr($J235),";"),CONCATENATE(";",EscStr(CONCATENATE("NavNode_",getCategoryLevelAsString(#REF!))),";",EscStr(S235),";")))</f>
        <v>#VALUE!</v>
      </c>
      <c r="AM235" s="10" t="e">
        <f>IF(getCategoryLevelAsString(#REF!)="L0D_324785","",IF(T235="",CONCATENATE(";",EscStr(CONCATENATE("NavNode_",getCategoryLevelAsString(#REF!))),";",EscStr($J235),";"),CONCATENATE(";",EscStr(CONCATENATE("NavNode_",getCategoryLevelAsString(#REF!))),";",EscStr(T235),";")))</f>
        <v>#VALUE!</v>
      </c>
      <c r="AN235" s="10" t="e">
        <f>IF(getCategoryLevelAsString(#REF!)="L0D_324785","",IF(U235="",CONCATENATE(";",EscStr(CONCATENATE("NavNode_",getCategoryLevelAsString(#REF!))),";",EscStr($J235),";"),CONCATENATE(";",EscStr(CONCATENATE("NavNode_",getCategoryLevelAsString(#REF!))),";",EscStr(U235),";")))</f>
        <v>#VALUE!</v>
      </c>
      <c r="AO235" s="10" t="e">
        <f>IF(getCategoryLevelAsString(#REF!)="L0D_324785","",IF(V235="",CONCATENATE(";",EscStr(CONCATENATE("NavNode_",getCategoryLevelAsString(#REF!))),";",EscStr($J235),";"),CONCATENATE(";",EscStr(CONCATENATE("NavNode_",getCategoryLevelAsString(#REF!))),";",EscStr(V235),";")))</f>
        <v>#VALUE!</v>
      </c>
      <c r="AP235" s="10" t="e">
        <f>IF(getCategoryLevelAsString(#REF!)="L0D_324785","",IF(W235="",CONCATENATE(";",EscStr(CONCATENATE("NavNode_",getCategoryLevelAsString(#REF!))),";",EscStr($J235),";"),CONCATENATE(";",EscStr(CONCATENATE("NavNode_",getCategoryLevelAsString(#REF!))),";",EscStr(W235),";")))</f>
        <v>#VALUE!</v>
      </c>
      <c r="AQ235" s="10" t="e">
        <f>IF(getCategoryLevelAsString(#REF!)="L0D_324785","",IF(X235="",CONCATENATE(";",EscStr(CONCATENATE("NavNode_",getCategoryLevelAsString(#REF!))),";",EscStr($J235),";"),CONCATENATE(";",EscStr(CONCATENATE("NavNode_",getCategoryLevelAsString(#REF!))),";",EscStr(X235),";")))</f>
        <v>#VALUE!</v>
      </c>
      <c r="AR235" s="8" t="e">
        <f>IF(OR($A235&lt;&gt;"", $G235=""),"",CONCATENATE(";",EscStr(CONCATENATE("NavEntry_",getCategoryLevelAsString(#REF!))),";",EscStr(CONCATENATE($J235," Navigation Entry")),";",EscStr(CONCATENATE("cat-",getCategoryLevelAsString(#REF!))),";",EscStr(CONCATENATE("NavNode_",getCategoryLevelAsString(#REF!))),";"))</f>
        <v>#VALUE!</v>
      </c>
    </row>
    <row r="236" spans="1:44" ht="15" x14ac:dyDescent="0.25">
      <c r="A236" s="25"/>
      <c r="B236" s="5"/>
      <c r="C236" s="5" t="s">
        <v>25</v>
      </c>
      <c r="D236" s="5"/>
      <c r="E236" s="5"/>
      <c r="F236" s="5"/>
      <c r="G236" s="5" t="s">
        <v>415</v>
      </c>
      <c r="H236" s="5" t="s">
        <v>416</v>
      </c>
      <c r="I236" s="5" t="s">
        <v>417</v>
      </c>
      <c r="J236" s="5" t="s">
        <v>55</v>
      </c>
      <c r="K236" s="5" t="s">
        <v>1242</v>
      </c>
      <c r="L236" s="5" t="s">
        <v>1476</v>
      </c>
      <c r="M236" s="5" t="s">
        <v>1709</v>
      </c>
      <c r="N236" s="5" t="s">
        <v>1911</v>
      </c>
      <c r="O236" s="5" t="s">
        <v>2774</v>
      </c>
      <c r="P236" s="5" t="s">
        <v>2775</v>
      </c>
      <c r="Q236" s="5" t="s">
        <v>2776</v>
      </c>
      <c r="R236" s="5" t="s">
        <v>2777</v>
      </c>
      <c r="S236" s="5" t="s">
        <v>2778</v>
      </c>
      <c r="T236" s="5" t="s">
        <v>2779</v>
      </c>
      <c r="U236" s="5" t="s">
        <v>2780</v>
      </c>
      <c r="V236" s="5" t="s">
        <v>2781</v>
      </c>
      <c r="W236" s="5" t="s">
        <v>2782</v>
      </c>
      <c r="X236" s="5" t="s">
        <v>2780</v>
      </c>
      <c r="Y236" s="10" t="str">
        <f>IF(OR($A236&lt;&gt;"", $G236=""),"",CONCATENATE(";",EscStr(CONCATENATE("NavNode_",getCategoryLevelAsString($B236))),";",EscStr($J236),";",IF($B236&lt;&gt;"","""MainNavNode""",EscStr(CONCATENATE("NavNode_",getSuperCategory($B236, getCategoryLevelAsNumber($B236))))),";"))</f>
        <v>;"NavNode_L3D_525400";"Enclosures / Fans / PCB Boards";"NavNode_L2D_379531";</v>
      </c>
      <c r="Z236" s="10" t="str">
        <f>IF(getCategoryLevelAsString($B236)="L0D_324785","",IF(G236="",CONCATENATE(";",EscStr(CONCATENATE("NavNode_",getCategoryLevelAsString($B236))),";",EscStr($J236),";"),CONCATENATE(";",EscStr(CONCATENATE("NavNode_",getCategoryLevelAsString($B236))),";",EscStr(G236),";")))</f>
        <v>;"NavNode_L3D_525400";"Gehäuse / Lüfter / Leiterplatten";</v>
      </c>
      <c r="AA236" s="10" t="str">
        <f>IF(getCategoryLevelAsString($B236)="L0D_324785","",IF(H236="",CONCATENATE(";",EscStr(CONCATENATE("NavNode_",getCategoryLevelAsString($B236))),";",EscStr($J236),";"),CONCATENATE(";",EscStr(CONCATENATE("NavNode_",getCategoryLevelAsString($B236))),";",EscStr(H236),";")))</f>
        <v>;"NavNode_L3D_525400";"Boîtiers / Ventilateurs / Circuits imprimés";</v>
      </c>
      <c r="AB236" s="10" t="str">
        <f>IF(getCategoryLevelAsString($B236)="L0D_324785","",IF(I236="",CONCATENATE(";",EscStr(CONCATENATE("NavNode_",getCategoryLevelAsString($B236))),";",EscStr($J236),";"),CONCATENATE(";",EscStr(CONCATENATE("NavNode_",getCategoryLevelAsString($B236))),";",EscStr(I236),";")))</f>
        <v>;"NavNode_L3D_525400";"Contenitori / Ventole / Schede a circuiti stampati";</v>
      </c>
      <c r="AC236" s="10" t="str">
        <f>IF(getCategoryLevelAsString($B236)="L0D_324785","",IF(J236="",CONCATENATE(";",EscStr(CONCATENATE("NavNode_",getCategoryLevelAsString($B236))),";",EscStr($J236),";"),CONCATENATE(";",EscStr(CONCATENATE("NavNode_",getCategoryLevelAsString($B236))),";",EscStr(J236),";")))</f>
        <v>;"NavNode_L3D_525400";"Enclosures / Fans / PCB Boards";</v>
      </c>
      <c r="AD236" s="10" t="str">
        <f>IF(getCategoryLevelAsString($B236)="L0D_324785","",IF(K236="",CONCATENATE(";",EscStr(CONCATENATE("NavNode_",getCategoryLevelAsString($B236))),";",EscStr($J236),";"),CONCATENATE(";",EscStr(CONCATENATE("NavNode_",getCategoryLevelAsString($B236))),";",EscStr(K236),";")))</f>
        <v>;"NavNode_L3D_525400";"Kabinetter/ventilatorer/PCB-tavler";</v>
      </c>
      <c r="AE236" s="10" t="str">
        <f>IF(getCategoryLevelAsString($B236)="L0D_324785","",IF(L236="",CONCATENATE(";",EscStr(CONCATENATE("NavNode_",getCategoryLevelAsString($B236))),";",EscStr($J236),";"),CONCATENATE(";",EscStr(CONCATENATE("NavNode_",getCategoryLevelAsString($B236))),";",EscStr(L236),";")))</f>
        <v>;"NavNode_L3D_525400";"Gaubtai / ventiliatoriai / PCB plokštės";</v>
      </c>
      <c r="AF236" s="10" t="str">
        <f>IF(getCategoryLevelAsString($B236)="L0D_324785","",IF(M236="",CONCATENATE(";",EscStr(CONCATENATE("NavNode_",getCategoryLevelAsString($B236))),";",EscStr($J236),";"),CONCATENATE(";",EscStr(CONCATENATE("NavNode_",getCategoryLevelAsString($B236))),";",EscStr(M236),";")))</f>
        <v>;"NavNode_L3D_525400";"Kapsler/vifter/kretskort";</v>
      </c>
      <c r="AG236" s="10" t="str">
        <f>IF(getCategoryLevelAsString($B236)="L0D_324785","",IF(N236="",CONCATENATE(";",EscStr(CONCATENATE("NavNode_",getCategoryLevelAsString($B236))),";",EscStr($J236),";"),CONCATENATE(";",EscStr(CONCATENATE("NavNode_",getCategoryLevelAsString($B236))),";",EscStr(N236),";")))</f>
        <v>;"NavNode_L3D_525400";"Skåp/Fläktar/Kretskort";</v>
      </c>
      <c r="AH236" s="10" t="str">
        <f>IF(getCategoryLevelAsString($B236)="L0D_324785","",IF(O236="",CONCATENATE(";",EscStr(CONCATENATE("NavNode_",getCategoryLevelAsString($B236))),";",EscStr($J236),";"),CONCATENATE(";",EscStr(CONCATENATE("NavNode_",getCategoryLevelAsString($B236))),";",EscStr(O236),";")))</f>
        <v>;"NavNode_L3D_525400";"Kaitseümbrised / Ventilaatorid / Trükkplaadid";</v>
      </c>
      <c r="AI236" s="10" t="str">
        <f>IF(getCategoryLevelAsString($B236)="L0D_324785","",IF(P236="",CONCATENATE(";",EscStr(CONCATENATE("NavNode_",getCategoryLevelAsString($B236))),";",EscStr($J236),";"),CONCATENATE(";",EscStr(CONCATENATE("NavNode_",getCategoryLevelAsString($B236))),";",EscStr(P236),";")))</f>
        <v>;"NavNode_L3D_525400";"Kotelot/ tuulettimet/piirilevyt";</v>
      </c>
      <c r="AJ236" s="10" t="str">
        <f>IF(getCategoryLevelAsString($B236)="L0D_324785","",IF(Q236="",CONCATENATE(";",EscStr(CONCATENATE("NavNode_",getCategoryLevelAsString($B236))),";",EscStr($J236),";"),CONCATENATE(";",EscStr(CONCATENATE("NavNode_",getCategoryLevelAsString($B236))),";",EscStr(Q236),";")))</f>
        <v>;"NavNode_L3D_525400";"Korpusi / Ventilatori / PCB plates";</v>
      </c>
      <c r="AK236" s="10" t="str">
        <f>IF(getCategoryLevelAsString($B236)="L0D_324785","",IF(R236="",CONCATENATE(";",EscStr(CONCATENATE("NavNode_",getCategoryLevelAsString($B236))),";",EscStr($J236),";"),CONCATENATE(";",EscStr(CONCATENATE("NavNode_",getCategoryLevelAsString($B236))),";",EscStr(R236),";")))</f>
        <v>;"NavNode_L3D_525400";"Behuizingen / Ventialtoren / Printkaarten";</v>
      </c>
      <c r="AL236" s="10" t="str">
        <f>IF(getCategoryLevelAsString($B236)="L0D_324785","",IF(S236="",CONCATENATE(";",EscStr(CONCATENATE("NavNode_",getCategoryLevelAsString($B236))),";",EscStr($J236),";"),CONCATENATE(";",EscStr(CONCATENATE("NavNode_",getCategoryLevelAsString($B236))),";",EscStr(S236),";")))</f>
        <v>;"NavNode_L3D_525400";"Obudowy / Wentylatory / Płytki PCB";</v>
      </c>
      <c r="AM236" s="10" t="str">
        <f>IF(getCategoryLevelAsString($B236)="L0D_324785","",IF(T236="",CONCATENATE(";",EscStr(CONCATENATE("NavNode_",getCategoryLevelAsString($B236))),";",EscStr($J236),";"),CONCATENATE(";",EscStr(CONCATENATE("NavNode_",getCategoryLevelAsString($B236))),";",EscStr(T236),";")))</f>
        <v>;"NavNode_L3D_525400";"Корпуса / Вентиляторы / Печатные платы";</v>
      </c>
      <c r="AN236" s="10" t="str">
        <f>IF(getCategoryLevelAsString($B236)="L0D_324785","",IF(U236="",CONCATENATE(";",EscStr(CONCATENATE("NavNode_",getCategoryLevelAsString($B236))),";",EscStr($J236),";"),CONCATENATE(";",EscStr(CONCATENATE("NavNode_",getCategoryLevelAsString($B236))),";",EscStr(U236),";")))</f>
        <v>;"NavNode_L3D_525400";"Pouzdra / ventilátory / desky plošných spojů";</v>
      </c>
      <c r="AO236" s="10" t="str">
        <f>IF(getCategoryLevelAsString($B236)="L0D_324785","",IF(V236="",CONCATENATE(";",EscStr(CONCATENATE("NavNode_",getCategoryLevelAsString($B236))),";",EscStr($J236),";"),CONCATENATE(";",EscStr(CONCATENATE("NavNode_",getCategoryLevelAsString($B236))),";",EscStr(V236),";")))</f>
        <v>;"NavNode_L3D_525400";"Carcase / Ventilatoare / Plăci de circuit";</v>
      </c>
      <c r="AP236" s="10" t="str">
        <f>IF(getCategoryLevelAsString($B236)="L0D_324785","",IF(W236="",CONCATENATE(";",EscStr(CONCATENATE("NavNode_",getCategoryLevelAsString($B236))),";",EscStr($J236),";"),CONCATENATE(";",EscStr(CONCATENATE("NavNode_",getCategoryLevelAsString($B236))),";",EscStr(W236),";")))</f>
        <v>;"NavNode_L3D_525400";"Házak / Ventillátorok / NYÁK lapok";</v>
      </c>
      <c r="AQ236" s="10" t="str">
        <f>IF(getCategoryLevelAsString($B236)="L0D_324785","",IF(X236="",CONCATENATE(";",EscStr(CONCATENATE("NavNode_",getCategoryLevelAsString($B236))),";",EscStr($J236),";"),CONCATENATE(";",EscStr(CONCATENATE("NavNode_",getCategoryLevelAsString($B236))),";",EscStr(X236),";")))</f>
        <v>;"NavNode_L3D_525400";"Pouzdra / ventilátory / desky plošných spojů";</v>
      </c>
      <c r="AR236" s="8" t="str">
        <f>IF(OR($A236&lt;&gt;"", $G236=""),"",CONCATENATE(";",EscStr(CONCATENATE("NavEntry_",getCategoryLevelAsString($B236))),";",EscStr(CONCATENATE($J236," Navigation Entry")),";",EscStr(CONCATENATE("cat-",getCategoryLevelAsString($B236))),";",EscStr(CONCATENATE("NavNode_",getCategoryLevelAsString($B236))),";"))</f>
        <v>;"NavEntry_L3D_525400";"Enclosures / Fans / PCB Boards Navigation Entry";"cat-L3D_525400";"NavNode_L3D_525400";</v>
      </c>
    </row>
    <row r="237" spans="1:44" ht="15" x14ac:dyDescent="0.25">
      <c r="A237" s="25"/>
      <c r="B237" s="5"/>
      <c r="C237" s="5"/>
      <c r="D237" s="5" t="s">
        <v>166</v>
      </c>
      <c r="E237" s="5"/>
      <c r="F237" s="5"/>
      <c r="G237" s="5" t="s">
        <v>423</v>
      </c>
      <c r="H237" s="5" t="s">
        <v>424</v>
      </c>
      <c r="I237" s="5" t="s">
        <v>425</v>
      </c>
      <c r="J237" s="5" t="s">
        <v>167</v>
      </c>
      <c r="K237" s="5" t="s">
        <v>1244</v>
      </c>
      <c r="L237" s="5" t="s">
        <v>1479</v>
      </c>
      <c r="M237" s="5" t="s">
        <v>1711</v>
      </c>
      <c r="N237" s="5" t="s">
        <v>1913</v>
      </c>
      <c r="O237" s="5" t="s">
        <v>2792</v>
      </c>
      <c r="P237" s="5" t="s">
        <v>2793</v>
      </c>
      <c r="Q237" s="5" t="s">
        <v>2794</v>
      </c>
      <c r="R237" s="5" t="s">
        <v>2795</v>
      </c>
      <c r="S237" s="5" t="s">
        <v>2796</v>
      </c>
      <c r="T237" s="5" t="s">
        <v>2797</v>
      </c>
      <c r="U237" s="5" t="s">
        <v>2798</v>
      </c>
      <c r="V237" s="5" t="s">
        <v>2799</v>
      </c>
      <c r="W237" s="5" t="s">
        <v>2800</v>
      </c>
      <c r="X237" s="5" t="s">
        <v>2798</v>
      </c>
      <c r="Y237" s="10" t="str">
        <f>IF(OR($A237&lt;&gt;"", $G237=""),"",CONCATENATE(";",EscStr(CONCATENATE("NavNode_",getCategoryLevelAsString($B237))),";",EscStr($J237),";",IF($B237&lt;&gt;"","""MainNavNode""",EscStr(CONCATENATE("NavNode_",getSuperCategory($B237, getCategoryLevelAsNumber($B237))))),";"))</f>
        <v>;"NavNode_L3D_525401";"Enclosure Accessories";"NavNode_L2D_379531";</v>
      </c>
      <c r="Z237" s="10" t="str">
        <f>IF(getCategoryLevelAsString($B237)="L0D_324785","",IF(G237="",CONCATENATE(";",EscStr(CONCATENATE("NavNode_",getCategoryLevelAsString($B237))),";",EscStr($J237),";"),CONCATENATE(";",EscStr(CONCATENATE("NavNode_",getCategoryLevelAsString($B237))),";",EscStr(G237),";")))</f>
        <v>;"NavNode_L3D_525401";"Gehäusezubehör";</v>
      </c>
      <c r="AA237" s="10" t="str">
        <f>IF(getCategoryLevelAsString($B237)="L0D_324785","",IF(H237="",CONCATENATE(";",EscStr(CONCATENATE("NavNode_",getCategoryLevelAsString($B237))),";",EscStr($J237),";"),CONCATENATE(";",EscStr(CONCATENATE("NavNode_",getCategoryLevelAsString($B237))),";",EscStr(H237),";")))</f>
        <v>;"NavNode_L3D_525401";"Accessoires pour boîtiers";</v>
      </c>
      <c r="AB237" s="10" t="str">
        <f>IF(getCategoryLevelAsString($B237)="L0D_324785","",IF(I237="",CONCATENATE(";",EscStr(CONCATENATE("NavNode_",getCategoryLevelAsString($B237))),";",EscStr($J237),";"),CONCATENATE(";",EscStr(CONCATENATE("NavNode_",getCategoryLevelAsString($B237))),";",EscStr(I237),";")))</f>
        <v>;"NavNode_L3D_525401";"Accessori per contenitori";</v>
      </c>
      <c r="AC237" s="10" t="str">
        <f>IF(getCategoryLevelAsString($B237)="L0D_324785","",IF(J237="",CONCATENATE(";",EscStr(CONCATENATE("NavNode_",getCategoryLevelAsString($B237))),";",EscStr($J237),";"),CONCATENATE(";",EscStr(CONCATENATE("NavNode_",getCategoryLevelAsString($B237))),";",EscStr(J237),";")))</f>
        <v>;"NavNode_L3D_525401";"Enclosure Accessories";</v>
      </c>
      <c r="AD237" s="10" t="str">
        <f>IF(getCategoryLevelAsString($B237)="L0D_324785","",IF(K237="",CONCATENATE(";",EscStr(CONCATENATE("NavNode_",getCategoryLevelAsString($B237))),";",EscStr($J237),";"),CONCATENATE(";",EscStr(CONCATENATE("NavNode_",getCategoryLevelAsString($B237))),";",EscStr(K237),";")))</f>
        <v>;"NavNode_L3D_525401";"Kabinettilbehør";</v>
      </c>
      <c r="AE237" s="10" t="str">
        <f>IF(getCategoryLevelAsString($B237)="L0D_324785","",IF(L237="",CONCATENATE(";",EscStr(CONCATENATE("NavNode_",getCategoryLevelAsString($B237))),";",EscStr($J237),";"),CONCATENATE(";",EscStr(CONCATENATE("NavNode_",getCategoryLevelAsString($B237))),";",EscStr(L237),";")))</f>
        <v>;"NavNode_L3D_525401";"Gaubtų priedai";</v>
      </c>
      <c r="AF237" s="10" t="str">
        <f>IF(getCategoryLevelAsString($B237)="L0D_324785","",IF(M237="",CONCATENATE(";",EscStr(CONCATENATE("NavNode_",getCategoryLevelAsString($B237))),";",EscStr($J237),";"),CONCATENATE(";",EscStr(CONCATENATE("NavNode_",getCategoryLevelAsString($B237))),";",EscStr(M237),";")))</f>
        <v>;"NavNode_L3D_525401";"Kapseltilbehør";</v>
      </c>
      <c r="AG237" s="10" t="str">
        <f>IF(getCategoryLevelAsString($B237)="L0D_324785","",IF(N237="",CONCATENATE(";",EscStr(CONCATENATE("NavNode_",getCategoryLevelAsString($B237))),";",EscStr($J237),";"),CONCATENATE(";",EscStr(CONCATENATE("NavNode_",getCategoryLevelAsString($B237))),";",EscStr(N237),";")))</f>
        <v>;"NavNode_L3D_525401";"Skåptillbehör";</v>
      </c>
      <c r="AH237" s="10" t="str">
        <f>IF(getCategoryLevelAsString($B237)="L0D_324785","",IF(O237="",CONCATENATE(";",EscStr(CONCATENATE("NavNode_",getCategoryLevelAsString($B237))),";",EscStr($J237),";"),CONCATENATE(";",EscStr(CONCATENATE("NavNode_",getCategoryLevelAsString($B237))),";",EscStr(O237),";")))</f>
        <v>;"NavNode_L3D_525401";"Kaitseümbriste tarvikud";</v>
      </c>
      <c r="AI237" s="10" t="str">
        <f>IF(getCategoryLevelAsString($B237)="L0D_324785","",IF(P237="",CONCATENATE(";",EscStr(CONCATENATE("NavNode_",getCategoryLevelAsString($B237))),";",EscStr($J237),";"),CONCATENATE(";",EscStr(CONCATENATE("NavNode_",getCategoryLevelAsString($B237))),";",EscStr(P237),";")))</f>
        <v>;"NavNode_L3D_525401";"Kotelotarvikkeet";</v>
      </c>
      <c r="AJ237" s="10" t="str">
        <f>IF(getCategoryLevelAsString($B237)="L0D_324785","",IF(Q237="",CONCATENATE(";",EscStr(CONCATENATE("NavNode_",getCategoryLevelAsString($B237))),";",EscStr($J237),";"),CONCATENATE(";",EscStr(CONCATENATE("NavNode_",getCategoryLevelAsString($B237))),";",EscStr(Q237),";")))</f>
        <v>;"NavNode_L3D_525401";"Korpusu piederumi";</v>
      </c>
      <c r="AK237" s="10" t="str">
        <f>IF(getCategoryLevelAsString($B237)="L0D_324785","",IF(R237="",CONCATENATE(";",EscStr(CONCATENATE("NavNode_",getCategoryLevelAsString($B237))),";",EscStr($J237),";"),CONCATENATE(";",EscStr(CONCATENATE("NavNode_",getCategoryLevelAsString($B237))),";",EscStr(R237),";")))</f>
        <v>;"NavNode_L3D_525401";"Behuizing accessoires";</v>
      </c>
      <c r="AL237" s="10" t="str">
        <f>IF(getCategoryLevelAsString($B237)="L0D_324785","",IF(S237="",CONCATENATE(";",EscStr(CONCATENATE("NavNode_",getCategoryLevelAsString($B237))),";",EscStr($J237),";"),CONCATENATE(";",EscStr(CONCATENATE("NavNode_",getCategoryLevelAsString($B237))),";",EscStr(S237),";")))</f>
        <v>;"NavNode_L3D_525401";"Akcesoria do obudów";</v>
      </c>
      <c r="AM237" s="10" t="str">
        <f>IF(getCategoryLevelAsString($B237)="L0D_324785","",IF(T237="",CONCATENATE(";",EscStr(CONCATENATE("NavNode_",getCategoryLevelAsString($B237))),";",EscStr($J237),";"),CONCATENATE(";",EscStr(CONCATENATE("NavNode_",getCategoryLevelAsString($B237))),";",EscStr(T237),";")))</f>
        <v>;"NavNode_L3D_525401";"Аксессуары для корпусов";</v>
      </c>
      <c r="AN237" s="10" t="str">
        <f>IF(getCategoryLevelAsString($B237)="L0D_324785","",IF(U237="",CONCATENATE(";",EscStr(CONCATENATE("NavNode_",getCategoryLevelAsString($B237))),";",EscStr($J237),";"),CONCATENATE(";",EscStr(CONCATENATE("NavNode_",getCategoryLevelAsString($B237))),";",EscStr(U237),";")))</f>
        <v>;"NavNode_L3D_525401";"Skříně – příslušenství";</v>
      </c>
      <c r="AO237" s="10" t="str">
        <f>IF(getCategoryLevelAsString($B237)="L0D_324785","",IF(V237="",CONCATENATE(";",EscStr(CONCATENATE("NavNode_",getCategoryLevelAsString($B237))),";",EscStr($J237),";"),CONCATENATE(";",EscStr(CONCATENATE("NavNode_",getCategoryLevelAsString($B237))),";",EscStr(V237),";")))</f>
        <v>;"NavNode_L3D_525401";"Accesorii pentru carcase";</v>
      </c>
      <c r="AP237" s="10" t="str">
        <f>IF(getCategoryLevelAsString($B237)="L0D_324785","",IF(W237="",CONCATENATE(";",EscStr(CONCATENATE("NavNode_",getCategoryLevelAsString($B237))),";",EscStr($J237),";"),CONCATENATE(";",EscStr(CONCATENATE("NavNode_",getCategoryLevelAsString($B237))),";",EscStr(W237),";")))</f>
        <v>;"NavNode_L3D_525401";"Ház tartozékok";</v>
      </c>
      <c r="AQ237" s="10" t="str">
        <f>IF(getCategoryLevelAsString($B237)="L0D_324785","",IF(X237="",CONCATENATE(";",EscStr(CONCATENATE("NavNode_",getCategoryLevelAsString($B237))),";",EscStr($J237),";"),CONCATENATE(";",EscStr(CONCATENATE("NavNode_",getCategoryLevelAsString($B237))),";",EscStr(X237),";")))</f>
        <v>;"NavNode_L3D_525401";"Skříně – příslušenství";</v>
      </c>
      <c r="AR237" s="8" t="str">
        <f>IF(OR($A237&lt;&gt;"", $G237=""),"",CONCATENATE(";",EscStr(CONCATENATE("NavEntry_",getCategoryLevelAsString($B237))),";",EscStr(CONCATENATE($J237," Navigation Entry")),";",EscStr(CONCATENATE("cat-",getCategoryLevelAsString($B237))),";",EscStr(CONCATENATE("NavNode_",getCategoryLevelAsString($B237))),";"))</f>
        <v>;"NavEntry_L3D_525401";"Enclosure Accessories Navigation Entry";"cat-L3D_525401";"NavNode_L3D_525401";</v>
      </c>
    </row>
    <row r="238" spans="1:44" ht="15" x14ac:dyDescent="0.25">
      <c r="A238" s="25"/>
      <c r="B238" s="5"/>
      <c r="C238" s="5"/>
      <c r="D238" s="5" t="s">
        <v>162</v>
      </c>
      <c r="E238" s="5"/>
      <c r="F238" s="5"/>
      <c r="G238" s="5" t="s">
        <v>1192</v>
      </c>
      <c r="H238" s="5" t="s">
        <v>418</v>
      </c>
      <c r="I238" s="5" t="s">
        <v>419</v>
      </c>
      <c r="J238" s="5" t="s">
        <v>163</v>
      </c>
      <c r="K238" s="5" t="s">
        <v>1245</v>
      </c>
      <c r="L238" s="5" t="s">
        <v>1480</v>
      </c>
      <c r="M238" s="5" t="s">
        <v>1712</v>
      </c>
      <c r="N238" s="5" t="s">
        <v>1914</v>
      </c>
      <c r="O238" s="5" t="s">
        <v>2801</v>
      </c>
      <c r="P238" s="5" t="s">
        <v>2802</v>
      </c>
      <c r="Q238" s="5" t="s">
        <v>2803</v>
      </c>
      <c r="R238" s="5" t="s">
        <v>2804</v>
      </c>
      <c r="S238" s="5" t="s">
        <v>2805</v>
      </c>
      <c r="T238" s="5" t="s">
        <v>2806</v>
      </c>
      <c r="U238" s="5" t="s">
        <v>2807</v>
      </c>
      <c r="V238" s="5" t="s">
        <v>2808</v>
      </c>
      <c r="W238" s="5" t="s">
        <v>2809</v>
      </c>
      <c r="X238" s="5" t="s">
        <v>2807</v>
      </c>
      <c r="Y238" s="10" t="str">
        <f>IF(OR($A238&lt;&gt;"", $G238=""),"",CONCATENATE(";",EscStr(CONCATENATE("NavNode_",getCategoryLevelAsString($B238))),";",EscStr($J238),";",IF($B238&lt;&gt;"","""MainNavNode""",EscStr(CONCATENATE("NavNode_",getSuperCategory($B238, getCategoryLevelAsNumber($B238))))),";"))</f>
        <v>;"NavNode_L3D_525402";"19'' Enclosures";"NavNode_L2D_379531";</v>
      </c>
      <c r="Z238" s="10" t="str">
        <f>IF(getCategoryLevelAsString($B238)="L0D_324785","",IF(G238="",CONCATENATE(";",EscStr(CONCATENATE("NavNode_",getCategoryLevelAsString($B238))),";",EscStr($J238),";"),CONCATENATE(";",EscStr(CONCATENATE("NavNode_",getCategoryLevelAsString($B238))),";",EscStr(G238),";")))</f>
        <v>;"NavNode_L3D_525402";"19''- Anlagen";</v>
      </c>
      <c r="AA238" s="10" t="str">
        <f>IF(getCategoryLevelAsString($B238)="L0D_324785","",IF(H238="",CONCATENATE(";",EscStr(CONCATENATE("NavNode_",getCategoryLevelAsString($B238))),";",EscStr($J238),";"),CONCATENATE(";",EscStr(CONCATENATE("NavNode_",getCategoryLevelAsString($B238))),";",EscStr(H238),";")))</f>
        <v>;"NavNode_L3D_525402";"Boîtiers 19''";</v>
      </c>
      <c r="AB238" s="10" t="str">
        <f>IF(getCategoryLevelAsString($B238)="L0D_324785","",IF(I238="",CONCATENATE(";",EscStr(CONCATENATE("NavNode_",getCategoryLevelAsString($B238))),";",EscStr($J238),";"),CONCATENATE(";",EscStr(CONCATENATE("NavNode_",getCategoryLevelAsString($B238))),";",EscStr(I238),";")))</f>
        <v>;"NavNode_L3D_525402";"Contenitori da 19''";</v>
      </c>
      <c r="AC238" s="10" t="str">
        <f>IF(getCategoryLevelAsString($B238)="L0D_324785","",IF(J238="",CONCATENATE(";",EscStr(CONCATENATE("NavNode_",getCategoryLevelAsString($B238))),";",EscStr($J238),";"),CONCATENATE(";",EscStr(CONCATENATE("NavNode_",getCategoryLevelAsString($B238))),";",EscStr(J238),";")))</f>
        <v>;"NavNode_L3D_525402";"19'' Enclosures";</v>
      </c>
      <c r="AD238" s="10" t="str">
        <f>IF(getCategoryLevelAsString($B238)="L0D_324785","",IF(K238="",CONCATENATE(";",EscStr(CONCATENATE("NavNode_",getCategoryLevelAsString($B238))),";",EscStr($J238),";"),CONCATENATE(";",EscStr(CONCATENATE("NavNode_",getCategoryLevelAsString($B238))),";",EscStr(K238),";")))</f>
        <v>;"NavNode_L3D_525402";"19'' kabinet";</v>
      </c>
      <c r="AE238" s="10" t="str">
        <f>IF(getCategoryLevelAsString($B238)="L0D_324785","",IF(L238="",CONCATENATE(";",EscStr(CONCATENATE("NavNode_",getCategoryLevelAsString($B238))),";",EscStr($J238),";"),CONCATENATE(";",EscStr(CONCATENATE("NavNode_",getCategoryLevelAsString($B238))),";",EscStr(L238),";")))</f>
        <v>;"NavNode_L3D_525402";"19'' gaubtai";</v>
      </c>
      <c r="AF238" s="10" t="str">
        <f>IF(getCategoryLevelAsString($B238)="L0D_324785","",IF(M238="",CONCATENATE(";",EscStr(CONCATENATE("NavNode_",getCategoryLevelAsString($B238))),";",EscStr($J238),";"),CONCATENATE(";",EscStr(CONCATENATE("NavNode_",getCategoryLevelAsString($B238))),";",EscStr(M238),";")))</f>
        <v>;"NavNode_L3D_525402";"19"" kapsler";</v>
      </c>
      <c r="AG238" s="10" t="str">
        <f>IF(getCategoryLevelAsString($B238)="L0D_324785","",IF(N238="",CONCATENATE(";",EscStr(CONCATENATE("NavNode_",getCategoryLevelAsString($B238))),";",EscStr($J238),";"),CONCATENATE(";",EscStr(CONCATENATE("NavNode_",getCategoryLevelAsString($B238))),";",EscStr(N238),";")))</f>
        <v>;"NavNode_L3D_525402";"19-tumsskåp";</v>
      </c>
      <c r="AH238" s="10" t="str">
        <f>IF(getCategoryLevelAsString($B238)="L0D_324785","",IF(O238="",CONCATENATE(";",EscStr(CONCATENATE("NavNode_",getCategoryLevelAsString($B238))),";",EscStr($J238),";"),CONCATENATE(";",EscStr(CONCATENATE("NavNode_",getCategoryLevelAsString($B238))),";",EscStr(O238),";")))</f>
        <v>;"NavNode_L3D_525402";"19'' seadmekapid";</v>
      </c>
      <c r="AI238" s="10" t="str">
        <f>IF(getCategoryLevelAsString($B238)="L0D_324785","",IF(P238="",CONCATENATE(";",EscStr(CONCATENATE("NavNode_",getCategoryLevelAsString($B238))),";",EscStr($J238),";"),CONCATENATE(";",EscStr(CONCATENATE("NavNode_",getCategoryLevelAsString($B238))),";",EscStr(P238),";")))</f>
        <v>;"NavNode_L3D_525402";"19'' Kotelot";</v>
      </c>
      <c r="AJ238" s="10" t="str">
        <f>IF(getCategoryLevelAsString($B238)="L0D_324785","",IF(Q238="",CONCATENATE(";",EscStr(CONCATENATE("NavNode_",getCategoryLevelAsString($B238))),";",EscStr($J238),";"),CONCATENATE(";",EscStr(CONCATENATE("NavNode_",getCategoryLevelAsString($B238))),";",EscStr(Q238),";")))</f>
        <v>;"NavNode_L3D_525402";"19-collu korpusi";</v>
      </c>
      <c r="AK238" s="10" t="str">
        <f>IF(getCategoryLevelAsString($B238)="L0D_324785","",IF(R238="",CONCATENATE(";",EscStr(CONCATENATE("NavNode_",getCategoryLevelAsString($B238))),";",EscStr($J238),";"),CONCATENATE(";",EscStr(CONCATENATE("NavNode_",getCategoryLevelAsString($B238))),";",EscStr(R238),";")))</f>
        <v>;"NavNode_L3D_525402";"19"" behuizingen";</v>
      </c>
      <c r="AL238" s="10" t="str">
        <f>IF(getCategoryLevelAsString($B238)="L0D_324785","",IF(S238="",CONCATENATE(";",EscStr(CONCATENATE("NavNode_",getCategoryLevelAsString($B238))),";",EscStr($J238),";"),CONCATENATE(";",EscStr(CONCATENATE("NavNode_",getCategoryLevelAsString($B238))),";",EscStr(S238),";")))</f>
        <v>;"NavNode_L3D_525402";"Obudowy 19""";</v>
      </c>
      <c r="AM238" s="10" t="str">
        <f>IF(getCategoryLevelAsString($B238)="L0D_324785","",IF(T238="",CONCATENATE(";",EscStr(CONCATENATE("NavNode_",getCategoryLevelAsString($B238))),";",EscStr($J238),";"),CONCATENATE(";",EscStr(CONCATENATE("NavNode_",getCategoryLevelAsString($B238))),";",EscStr(T238),";")))</f>
        <v>;"NavNode_L3D_525402";"19'' шкафы";</v>
      </c>
      <c r="AN238" s="10" t="str">
        <f>IF(getCategoryLevelAsString($B238)="L0D_324785","",IF(U238="",CONCATENATE(";",EscStr(CONCATENATE("NavNode_",getCategoryLevelAsString($B238))),";",EscStr($J238),";"),CONCATENATE(";",EscStr(CONCATENATE("NavNode_",getCategoryLevelAsString($B238))),";",EscStr(U238),";")))</f>
        <v>;"NavNode_L3D_525402";"19"" skříně";</v>
      </c>
      <c r="AO238" s="10" t="str">
        <f>IF(getCategoryLevelAsString($B238)="L0D_324785","",IF(V238="",CONCATENATE(";",EscStr(CONCATENATE("NavNode_",getCategoryLevelAsString($B238))),";",EscStr($J238),";"),CONCATENATE(";",EscStr(CONCATENATE("NavNode_",getCategoryLevelAsString($B238))),";",EscStr(V238),";")))</f>
        <v>;"NavNode_L3D_525402";"19 ""- echipamente";</v>
      </c>
      <c r="AP238" s="10" t="str">
        <f>IF(getCategoryLevelAsString($B238)="L0D_324785","",IF(W238="",CONCATENATE(";",EscStr(CONCATENATE("NavNode_",getCategoryLevelAsString($B238))),";",EscStr($J238),";"),CONCATENATE(";",EscStr(CONCATENATE("NavNode_",getCategoryLevelAsString($B238))),";",EscStr(W238),";")))</f>
        <v>;"NavNode_L3D_525402";"19'' egységek";</v>
      </c>
      <c r="AQ238" s="10" t="str">
        <f>IF(getCategoryLevelAsString($B238)="L0D_324785","",IF(X238="",CONCATENATE(";",EscStr(CONCATENATE("NavNode_",getCategoryLevelAsString($B238))),";",EscStr($J238),";"),CONCATENATE(";",EscStr(CONCATENATE("NavNode_",getCategoryLevelAsString($B238))),";",EscStr(X238),";")))</f>
        <v>;"NavNode_L3D_525402";"19"" skříně";</v>
      </c>
      <c r="AR238" s="8" t="str">
        <f>IF(OR($A238&lt;&gt;"", $G238=""),"",CONCATENATE(";",EscStr(CONCATENATE("NavEntry_",getCategoryLevelAsString($B238))),";",EscStr(CONCATENATE($J238," Navigation Entry")),";",EscStr(CONCATENATE("cat-",getCategoryLevelAsString($B238))),";",EscStr(CONCATENATE("NavNode_",getCategoryLevelAsString($B238))),";"))</f>
        <v>;"NavEntry_L3D_525402";"19'' Enclosures Navigation Entry";"cat-L3D_525402";"NavNode_L3D_525402";</v>
      </c>
    </row>
    <row r="239" spans="1:44" ht="15" x14ac:dyDescent="0.25">
      <c r="A239" s="25"/>
      <c r="B239" s="5"/>
      <c r="C239" s="5"/>
      <c r="D239" s="5" t="s">
        <v>171</v>
      </c>
      <c r="E239" s="5"/>
      <c r="F239" s="5"/>
      <c r="G239" s="5" t="s">
        <v>429</v>
      </c>
      <c r="H239" s="5" t="s">
        <v>430</v>
      </c>
      <c r="I239" s="5" t="s">
        <v>431</v>
      </c>
      <c r="J239" s="5" t="s">
        <v>172</v>
      </c>
      <c r="K239" s="5" t="s">
        <v>1246</v>
      </c>
      <c r="L239" s="5" t="s">
        <v>1481</v>
      </c>
      <c r="M239" s="5" t="s">
        <v>1713</v>
      </c>
      <c r="N239" s="5" t="s">
        <v>1915</v>
      </c>
      <c r="O239" s="5" t="s">
        <v>2810</v>
      </c>
      <c r="P239" s="5" t="s">
        <v>2811</v>
      </c>
      <c r="Q239" s="5" t="s">
        <v>2812</v>
      </c>
      <c r="R239" s="5" t="s">
        <v>2813</v>
      </c>
      <c r="S239" s="5" t="s">
        <v>2814</v>
      </c>
      <c r="T239" s="5" t="s">
        <v>2815</v>
      </c>
      <c r="U239" s="5" t="s">
        <v>2816</v>
      </c>
      <c r="V239" s="5" t="s">
        <v>2817</v>
      </c>
      <c r="W239" s="5" t="s">
        <v>2818</v>
      </c>
      <c r="X239" s="5" t="s">
        <v>2816</v>
      </c>
      <c r="Y239" s="10" t="str">
        <f>IF(OR($A239&lt;&gt;"", $G239=""),"",CONCATENATE(";",EscStr(CONCATENATE("NavNode_",getCategoryLevelAsString($B239))),";",EscStr($J239),";",IF($B239&lt;&gt;"","""MainNavNode""",EscStr(CONCATENATE("NavNode_",getSuperCategory($B239, getCategoryLevelAsNumber($B239))))),";"))</f>
        <v>;"NavNode_L3D_525403";"Plastic / Metal Enclosures";"NavNode_L2D_379531";</v>
      </c>
      <c r="Z239" s="10" t="str">
        <f>IF(getCategoryLevelAsString($B239)="L0D_324785","",IF(G239="",CONCATENATE(";",EscStr(CONCATENATE("NavNode_",getCategoryLevelAsString($B239))),";",EscStr($J239),";"),CONCATENATE(";",EscStr(CONCATENATE("NavNode_",getCategoryLevelAsString($B239))),";",EscStr(G239),";")))</f>
        <v>;"NavNode_L3D_525403";"Kunststoff- / Metallgehäuse";</v>
      </c>
      <c r="AA239" s="10" t="str">
        <f>IF(getCategoryLevelAsString($B239)="L0D_324785","",IF(H239="",CONCATENATE(";",EscStr(CONCATENATE("NavNode_",getCategoryLevelAsString($B239))),";",EscStr($J239),";"),CONCATENATE(";",EscStr(CONCATENATE("NavNode_",getCategoryLevelAsString($B239))),";",EscStr(H239),";")))</f>
        <v>;"NavNode_L3D_525403";"Boîtiers plastiques / métalliques";</v>
      </c>
      <c r="AB239" s="10" t="str">
        <f>IF(getCategoryLevelAsString($B239)="L0D_324785","",IF(I239="",CONCATENATE(";",EscStr(CONCATENATE("NavNode_",getCategoryLevelAsString($B239))),";",EscStr($J239),";"),CONCATENATE(";",EscStr(CONCATENATE("NavNode_",getCategoryLevelAsString($B239))),";",EscStr(I239),";")))</f>
        <v>;"NavNode_L3D_525403";"Contenitori in plastica / metallo";</v>
      </c>
      <c r="AC239" s="10" t="str">
        <f>IF(getCategoryLevelAsString($B239)="L0D_324785","",IF(J239="",CONCATENATE(";",EscStr(CONCATENATE("NavNode_",getCategoryLevelAsString($B239))),";",EscStr($J239),";"),CONCATENATE(";",EscStr(CONCATENATE("NavNode_",getCategoryLevelAsString($B239))),";",EscStr(J239),";")))</f>
        <v>;"NavNode_L3D_525403";"Plastic / Metal Enclosures";</v>
      </c>
      <c r="AD239" s="10" t="str">
        <f>IF(getCategoryLevelAsString($B239)="L0D_324785","",IF(K239="",CONCATENATE(";",EscStr(CONCATENATE("NavNode_",getCategoryLevelAsString($B239))),";",EscStr($J239),";"),CONCATENATE(";",EscStr(CONCATENATE("NavNode_",getCategoryLevelAsString($B239))),";",EscStr(K239),";")))</f>
        <v>;"NavNode_L3D_525403";"Plast-/metalkabinetter";</v>
      </c>
      <c r="AE239" s="10" t="str">
        <f>IF(getCategoryLevelAsString($B239)="L0D_324785","",IF(L239="",CONCATENATE(";",EscStr(CONCATENATE("NavNode_",getCategoryLevelAsString($B239))),";",EscStr($J239),";"),CONCATENATE(";",EscStr(CONCATENATE("NavNode_",getCategoryLevelAsString($B239))),";",EscStr(L239),";")))</f>
        <v>;"NavNode_L3D_525403";"Plastiko / metalo gaubtai";</v>
      </c>
      <c r="AF239" s="10" t="str">
        <f>IF(getCategoryLevelAsString($B239)="L0D_324785","",IF(M239="",CONCATENATE(";",EscStr(CONCATENATE("NavNode_",getCategoryLevelAsString($B239))),";",EscStr($J239),";"),CONCATENATE(";",EscStr(CONCATENATE("NavNode_",getCategoryLevelAsString($B239))),";",EscStr(M239),";")))</f>
        <v>;"NavNode_L3D_525403";"Plast-/metallkabinetter";</v>
      </c>
      <c r="AG239" s="10" t="str">
        <f>IF(getCategoryLevelAsString($B239)="L0D_324785","",IF(N239="",CONCATENATE(";",EscStr(CONCATENATE("NavNode_",getCategoryLevelAsString($B239))),";",EscStr($J239),";"),CONCATENATE(";",EscStr(CONCATENATE("NavNode_",getCategoryLevelAsString($B239))),";",EscStr(N239),";")))</f>
        <v>;"NavNode_L3D_525403";"Plast-/Metallskåp";</v>
      </c>
      <c r="AH239" s="10" t="str">
        <f>IF(getCategoryLevelAsString($B239)="L0D_324785","",IF(O239="",CONCATENATE(";",EscStr(CONCATENATE("NavNode_",getCategoryLevelAsString($B239))),";",EscStr($J239),";"),CONCATENATE(";",EscStr(CONCATENATE("NavNode_",getCategoryLevelAsString($B239))),";",EscStr(O239),";")))</f>
        <v>;"NavNode_L3D_525403";"Plastist ja metallist kaitseümbrised";</v>
      </c>
      <c r="AI239" s="10" t="str">
        <f>IF(getCategoryLevelAsString($B239)="L0D_324785","",IF(P239="",CONCATENATE(";",EscStr(CONCATENATE("NavNode_",getCategoryLevelAsString($B239))),";",EscStr($J239),";"),CONCATENATE(";",EscStr(CONCATENATE("NavNode_",getCategoryLevelAsString($B239))),";",EscStr(P239),";")))</f>
        <v>;"NavNode_L3D_525403";"Muovi/metallikotelot";</v>
      </c>
      <c r="AJ239" s="10" t="str">
        <f>IF(getCategoryLevelAsString($B239)="L0D_324785","",IF(Q239="",CONCATENATE(";",EscStr(CONCATENATE("NavNode_",getCategoryLevelAsString($B239))),";",EscStr($J239),";"),CONCATENATE(";",EscStr(CONCATENATE("NavNode_",getCategoryLevelAsString($B239))),";",EscStr(Q239),";")))</f>
        <v>;"NavNode_L3D_525403";"Plastmasas / metāla korpusi";</v>
      </c>
      <c r="AK239" s="10" t="str">
        <f>IF(getCategoryLevelAsString($B239)="L0D_324785","",IF(R239="",CONCATENATE(";",EscStr(CONCATENATE("NavNode_",getCategoryLevelAsString($B239))),";",EscStr($J239),";"),CONCATENATE(";",EscStr(CONCATENATE("NavNode_",getCategoryLevelAsString($B239))),";",EscStr(R239),";")))</f>
        <v>;"NavNode_L3D_525403";"Kunststof / metalen behuizingen";</v>
      </c>
      <c r="AL239" s="10" t="str">
        <f>IF(getCategoryLevelAsString($B239)="L0D_324785","",IF(S239="",CONCATENATE(";",EscStr(CONCATENATE("NavNode_",getCategoryLevelAsString($B239))),";",EscStr($J239),";"),CONCATENATE(";",EscStr(CONCATENATE("NavNode_",getCategoryLevelAsString($B239))),";",EscStr(S239),";")))</f>
        <v>;"NavNode_L3D_525403";"Obudowy Plastikowe / Metalowe";</v>
      </c>
      <c r="AM239" s="10" t="str">
        <f>IF(getCategoryLevelAsString($B239)="L0D_324785","",IF(T239="",CONCATENATE(";",EscStr(CONCATENATE("NavNode_",getCategoryLevelAsString($B239))),";",EscStr($J239),";"),CONCATENATE(";",EscStr(CONCATENATE("NavNode_",getCategoryLevelAsString($B239))),";",EscStr(T239),";")))</f>
        <v>;"NavNode_L3D_525403";"Пластиковые / металлические корпуса";</v>
      </c>
      <c r="AN239" s="10" t="str">
        <f>IF(getCategoryLevelAsString($B239)="L0D_324785","",IF(U239="",CONCATENATE(";",EscStr(CONCATENATE("NavNode_",getCategoryLevelAsString($B239))),";",EscStr($J239),";"),CONCATENATE(";",EscStr(CONCATENATE("NavNode_",getCategoryLevelAsString($B239))),";",EscStr(U239),";")))</f>
        <v>;"NavNode_L3D_525403";"Plastová / kovová pouzdra";</v>
      </c>
      <c r="AO239" s="10" t="str">
        <f>IF(getCategoryLevelAsString($B239)="L0D_324785","",IF(V239="",CONCATENATE(";",EscStr(CONCATENATE("NavNode_",getCategoryLevelAsString($B239))),";",EscStr($J239),";"),CONCATENATE(";",EscStr(CONCATENATE("NavNode_",getCategoryLevelAsString($B239))),";",EscStr(V239),";")))</f>
        <v>;"NavNode_L3D_525403";"Carcase din plastic / metal";</v>
      </c>
      <c r="AP239" s="10" t="str">
        <f>IF(getCategoryLevelAsString($B239)="L0D_324785","",IF(W239="",CONCATENATE(";",EscStr(CONCATENATE("NavNode_",getCategoryLevelAsString($B239))),";",EscStr($J239),";"),CONCATENATE(";",EscStr(CONCATENATE("NavNode_",getCategoryLevelAsString($B239))),";",EscStr(W239),";")))</f>
        <v>;"NavNode_L3D_525403";"Műanyag- / Fémházak";</v>
      </c>
      <c r="AQ239" s="10" t="str">
        <f>IF(getCategoryLevelAsString($B239)="L0D_324785","",IF(X239="",CONCATENATE(";",EscStr(CONCATENATE("NavNode_",getCategoryLevelAsString($B239))),";",EscStr($J239),";"),CONCATENATE(";",EscStr(CONCATENATE("NavNode_",getCategoryLevelAsString($B239))),";",EscStr(X239),";")))</f>
        <v>;"NavNode_L3D_525403";"Plastová / kovová pouzdra";</v>
      </c>
      <c r="AR239" s="8" t="str">
        <f>IF(OR($A239&lt;&gt;"", $G239=""),"",CONCATENATE(";",EscStr(CONCATENATE("NavEntry_",getCategoryLevelAsString($B239))),";",EscStr(CONCATENATE($J239," Navigation Entry")),";",EscStr(CONCATENATE("cat-",getCategoryLevelAsString($B239))),";",EscStr(CONCATENATE("NavNode_",getCategoryLevelAsString($B239))),";"))</f>
        <v>;"NavEntry_L3D_525403";"Plastic / Metal Enclosures Navigation Entry";"cat-L3D_525403";"NavNode_L3D_525403";</v>
      </c>
    </row>
    <row r="240" spans="1:44" ht="15" x14ac:dyDescent="0.25">
      <c r="A240" s="25"/>
      <c r="B240" s="5"/>
      <c r="C240" s="5"/>
      <c r="D240" s="5" t="s">
        <v>168</v>
      </c>
      <c r="E240" s="5"/>
      <c r="F240" s="5"/>
      <c r="G240" s="5" t="s">
        <v>426</v>
      </c>
      <c r="H240" s="5" t="s">
        <v>427</v>
      </c>
      <c r="I240" s="5" t="s">
        <v>428</v>
      </c>
      <c r="J240" s="5" t="s">
        <v>169</v>
      </c>
      <c r="K240" s="5" t="s">
        <v>1247</v>
      </c>
      <c r="L240" s="5" t="s">
        <v>1482</v>
      </c>
      <c r="M240" s="5" t="s">
        <v>1714</v>
      </c>
      <c r="N240" s="5" t="s">
        <v>1916</v>
      </c>
      <c r="O240" s="5" t="s">
        <v>2819</v>
      </c>
      <c r="P240" s="5" t="s">
        <v>2820</v>
      </c>
      <c r="Q240" s="5" t="s">
        <v>2821</v>
      </c>
      <c r="R240" s="5" t="s">
        <v>2822</v>
      </c>
      <c r="S240" s="5" t="s">
        <v>2823</v>
      </c>
      <c r="T240" s="5" t="s">
        <v>2824</v>
      </c>
      <c r="U240" s="5" t="s">
        <v>2825</v>
      </c>
      <c r="V240" s="5" t="s">
        <v>2826</v>
      </c>
      <c r="W240" s="5" t="s">
        <v>2827</v>
      </c>
      <c r="X240" s="5" t="s">
        <v>2825</v>
      </c>
      <c r="Y240" s="10" t="str">
        <f>IF(OR($A240&lt;&gt;"", $G240=""),"",CONCATENATE(";",EscStr(CONCATENATE("NavNode_",getCategoryLevelAsString($B240))),";",EscStr($J240),";",IF($B240&lt;&gt;"","""MainNavNode""",EscStr(CONCATENATE("NavNode_",getSuperCategory($B240, getCategoryLevelAsNumber($B240))))),";"))</f>
        <v>;"NavNode_L3D_525404";"Fans";"NavNode_L2D_379531";</v>
      </c>
      <c r="Z240" s="10" t="str">
        <f>IF(getCategoryLevelAsString($B240)="L0D_324785","",IF(G240="",CONCATENATE(";",EscStr(CONCATENATE("NavNode_",getCategoryLevelAsString($B240))),";",EscStr($J240),";"),CONCATENATE(";",EscStr(CONCATENATE("NavNode_",getCategoryLevelAsString($B240))),";",EscStr(G240),";")))</f>
        <v>;"NavNode_L3D_525404";"Lüfter";</v>
      </c>
      <c r="AA240" s="10" t="str">
        <f>IF(getCategoryLevelAsString($B240)="L0D_324785","",IF(H240="",CONCATENATE(";",EscStr(CONCATENATE("NavNode_",getCategoryLevelAsString($B240))),";",EscStr($J240),";"),CONCATENATE(";",EscStr(CONCATENATE("NavNode_",getCategoryLevelAsString($B240))),";",EscStr(H240),";")))</f>
        <v>;"NavNode_L3D_525404";"Ventilateurs";</v>
      </c>
      <c r="AB240" s="10" t="str">
        <f>IF(getCategoryLevelAsString($B240)="L0D_324785","",IF(I240="",CONCATENATE(";",EscStr(CONCATENATE("NavNode_",getCategoryLevelAsString($B240))),";",EscStr($J240),";"),CONCATENATE(";",EscStr(CONCATENATE("NavNode_",getCategoryLevelAsString($B240))),";",EscStr(I240),";")))</f>
        <v>;"NavNode_L3D_525404";"Ventole";</v>
      </c>
      <c r="AC240" s="10" t="str">
        <f>IF(getCategoryLevelAsString($B240)="L0D_324785","",IF(J240="",CONCATENATE(";",EscStr(CONCATENATE("NavNode_",getCategoryLevelAsString($B240))),";",EscStr($J240),";"),CONCATENATE(";",EscStr(CONCATENATE("NavNode_",getCategoryLevelAsString($B240))),";",EscStr(J240),";")))</f>
        <v>;"NavNode_L3D_525404";"Fans";</v>
      </c>
      <c r="AD240" s="10" t="str">
        <f>IF(getCategoryLevelAsString($B240)="L0D_324785","",IF(K240="",CONCATENATE(";",EscStr(CONCATENATE("NavNode_",getCategoryLevelAsString($B240))),";",EscStr($J240),";"),CONCATENATE(";",EscStr(CONCATENATE("NavNode_",getCategoryLevelAsString($B240))),";",EscStr(K240),";")))</f>
        <v>;"NavNode_L3D_525404";"Ventilatorer";</v>
      </c>
      <c r="AE240" s="10" t="str">
        <f>IF(getCategoryLevelAsString($B240)="L0D_324785","",IF(L240="",CONCATENATE(";",EscStr(CONCATENATE("NavNode_",getCategoryLevelAsString($B240))),";",EscStr($J240),";"),CONCATENATE(";",EscStr(CONCATENATE("NavNode_",getCategoryLevelAsString($B240))),";",EscStr(L240),";")))</f>
        <v>;"NavNode_L3D_525404";"Ventiliatoriai";</v>
      </c>
      <c r="AF240" s="10" t="str">
        <f>IF(getCategoryLevelAsString($B240)="L0D_324785","",IF(M240="",CONCATENATE(";",EscStr(CONCATENATE("NavNode_",getCategoryLevelAsString($B240))),";",EscStr($J240),";"),CONCATENATE(";",EscStr(CONCATENATE("NavNode_",getCategoryLevelAsString($B240))),";",EscStr(M240),";")))</f>
        <v>;"NavNode_L3D_525404";"Vifter";</v>
      </c>
      <c r="AG240" s="10" t="str">
        <f>IF(getCategoryLevelAsString($B240)="L0D_324785","",IF(N240="",CONCATENATE(";",EscStr(CONCATENATE("NavNode_",getCategoryLevelAsString($B240))),";",EscStr($J240),";"),CONCATENATE(";",EscStr(CONCATENATE("NavNode_",getCategoryLevelAsString($B240))),";",EscStr(N240),";")))</f>
        <v>;"NavNode_L3D_525404";"Fläktar";</v>
      </c>
      <c r="AH240" s="10" t="str">
        <f>IF(getCategoryLevelAsString($B240)="L0D_324785","",IF(O240="",CONCATENATE(";",EscStr(CONCATENATE("NavNode_",getCategoryLevelAsString($B240))),";",EscStr($J240),";"),CONCATENATE(";",EscStr(CONCATENATE("NavNode_",getCategoryLevelAsString($B240))),";",EscStr(O240),";")))</f>
        <v>;"NavNode_L3D_525404";"Ventilaatorid";</v>
      </c>
      <c r="AI240" s="10" t="str">
        <f>IF(getCategoryLevelAsString($B240)="L0D_324785","",IF(P240="",CONCATENATE(";",EscStr(CONCATENATE("NavNode_",getCategoryLevelAsString($B240))),";",EscStr($J240),";"),CONCATENATE(";",EscStr(CONCATENATE("NavNode_",getCategoryLevelAsString($B240))),";",EscStr(P240),";")))</f>
        <v>;"NavNode_L3D_525404";"Tuulettimet";</v>
      </c>
      <c r="AJ240" s="10" t="str">
        <f>IF(getCategoryLevelAsString($B240)="L0D_324785","",IF(Q240="",CONCATENATE(";",EscStr(CONCATENATE("NavNode_",getCategoryLevelAsString($B240))),";",EscStr($J240),";"),CONCATENATE(";",EscStr(CONCATENATE("NavNode_",getCategoryLevelAsString($B240))),";",EscStr(Q240),";")))</f>
        <v>;"NavNode_L3D_525404";"Ventilatori";</v>
      </c>
      <c r="AK240" s="10" t="str">
        <f>IF(getCategoryLevelAsString($B240)="L0D_324785","",IF(R240="",CONCATENATE(";",EscStr(CONCATENATE("NavNode_",getCategoryLevelAsString($B240))),";",EscStr($J240),";"),CONCATENATE(";",EscStr(CONCATENATE("NavNode_",getCategoryLevelAsString($B240))),";",EscStr(R240),";")))</f>
        <v>;"NavNode_L3D_525404";"Ventilatoren";</v>
      </c>
      <c r="AL240" s="10" t="str">
        <f>IF(getCategoryLevelAsString($B240)="L0D_324785","",IF(S240="",CONCATENATE(";",EscStr(CONCATENATE("NavNode_",getCategoryLevelAsString($B240))),";",EscStr($J240),";"),CONCATENATE(";",EscStr(CONCATENATE("NavNode_",getCategoryLevelAsString($B240))),";",EscStr(S240),";")))</f>
        <v>;"NavNode_L3D_525404";"Wentylatory";</v>
      </c>
      <c r="AM240" s="10" t="str">
        <f>IF(getCategoryLevelAsString($B240)="L0D_324785","",IF(T240="",CONCATENATE(";",EscStr(CONCATENATE("NavNode_",getCategoryLevelAsString($B240))),";",EscStr($J240),";"),CONCATENATE(";",EscStr(CONCATENATE("NavNode_",getCategoryLevelAsString($B240))),";",EscStr(T240),";")))</f>
        <v>;"NavNode_L3D_525404";"Вентиляторы";</v>
      </c>
      <c r="AN240" s="10" t="str">
        <f>IF(getCategoryLevelAsString($B240)="L0D_324785","",IF(U240="",CONCATENATE(";",EscStr(CONCATENATE("NavNode_",getCategoryLevelAsString($B240))),";",EscStr($J240),";"),CONCATENATE(";",EscStr(CONCATENATE("NavNode_",getCategoryLevelAsString($B240))),";",EscStr(U240),";")))</f>
        <v>;"NavNode_L3D_525404";"Ventilátory";</v>
      </c>
      <c r="AO240" s="10" t="str">
        <f>IF(getCategoryLevelAsString($B240)="L0D_324785","",IF(V240="",CONCATENATE(";",EscStr(CONCATENATE("NavNode_",getCategoryLevelAsString($B240))),";",EscStr($J240),";"),CONCATENATE(";",EscStr(CONCATENATE("NavNode_",getCategoryLevelAsString($B240))),";",EscStr(V240),";")))</f>
        <v>;"NavNode_L3D_525404";"Ventilatoare";</v>
      </c>
      <c r="AP240" s="10" t="str">
        <f>IF(getCategoryLevelAsString($B240)="L0D_324785","",IF(W240="",CONCATENATE(";",EscStr(CONCATENATE("NavNode_",getCategoryLevelAsString($B240))),";",EscStr($J240),";"),CONCATENATE(";",EscStr(CONCATENATE("NavNode_",getCategoryLevelAsString($B240))),";",EscStr(W240),";")))</f>
        <v>;"NavNode_L3D_525404";"Ventillátorok";</v>
      </c>
      <c r="AQ240" s="10" t="str">
        <f>IF(getCategoryLevelAsString($B240)="L0D_324785","",IF(X240="",CONCATENATE(";",EscStr(CONCATENATE("NavNode_",getCategoryLevelAsString($B240))),";",EscStr($J240),";"),CONCATENATE(";",EscStr(CONCATENATE("NavNode_",getCategoryLevelAsString($B240))),";",EscStr(X240),";")))</f>
        <v>;"NavNode_L3D_525404";"Ventilátory";</v>
      </c>
      <c r="AR240" s="8" t="str">
        <f>IF(OR($A240&lt;&gt;"", $G240=""),"",CONCATENATE(";",EscStr(CONCATENATE("NavEntry_",getCategoryLevelAsString($B240))),";",EscStr(CONCATENATE($J240," Navigation Entry")),";",EscStr(CONCATENATE("cat-",getCategoryLevelAsString($B240))),";",EscStr(CONCATENATE("NavNode_",getCategoryLevelAsString($B240))),";"))</f>
        <v>;"NavEntry_L3D_525404";"Fans Navigation Entry";"cat-L3D_525404";"NavNode_L3D_525404";</v>
      </c>
    </row>
    <row r="241" spans="1:44" ht="15" x14ac:dyDescent="0.25">
      <c r="A241" s="25"/>
      <c r="B241" s="5"/>
      <c r="C241" s="5"/>
      <c r="D241" s="5" t="s">
        <v>164</v>
      </c>
      <c r="E241" s="5"/>
      <c r="F241" s="5"/>
      <c r="G241" s="5" t="s">
        <v>420</v>
      </c>
      <c r="H241" s="5" t="s">
        <v>421</v>
      </c>
      <c r="I241" s="5" t="s">
        <v>422</v>
      </c>
      <c r="J241" s="5" t="s">
        <v>165</v>
      </c>
      <c r="K241" s="5" t="s">
        <v>1248</v>
      </c>
      <c r="L241" s="5" t="s">
        <v>1483</v>
      </c>
      <c r="M241" s="5" t="s">
        <v>1715</v>
      </c>
      <c r="N241" s="5" t="s">
        <v>1917</v>
      </c>
      <c r="O241" s="5" t="s">
        <v>2828</v>
      </c>
      <c r="P241" s="5" t="s">
        <v>2829</v>
      </c>
      <c r="Q241" s="5" t="s">
        <v>2830</v>
      </c>
      <c r="R241" s="5" t="s">
        <v>2831</v>
      </c>
      <c r="S241" s="5" t="s">
        <v>2832</v>
      </c>
      <c r="T241" s="5" t="s">
        <v>2833</v>
      </c>
      <c r="U241" s="5" t="s">
        <v>2834</v>
      </c>
      <c r="V241" s="5" t="s">
        <v>2835</v>
      </c>
      <c r="W241" s="5" t="s">
        <v>2836</v>
      </c>
      <c r="X241" s="5" t="s">
        <v>2834</v>
      </c>
      <c r="Y241" s="10" t="str">
        <f>IF(OR($A241&lt;&gt;"", $G241=""),"",CONCATENATE(";",EscStr(CONCATENATE("NavNode_",getCategoryLevelAsString($B241))),";",EscStr($J241),";",IF($B241&lt;&gt;"","""MainNavNode""",EscStr(CONCATENATE("NavNode_",getSuperCategory($B241, getCategoryLevelAsNumber($B241))))),";"))</f>
        <v>;"NavNode_L2D_379529";"Accessories for Blowers";"NavNode_Electrical Engineering / Cables";</v>
      </c>
      <c r="Z241" s="10" t="str">
        <f>IF(getCategoryLevelAsString($B241)="L0D_324785","",IF(G241="",CONCATENATE(";",EscStr(CONCATENATE("NavNode_",getCategoryLevelAsString($B241))),";",EscStr($J241),";"),CONCATENATE(";",EscStr(CONCATENATE("NavNode_",getCategoryLevelAsString($B241))),";",EscStr(G241),";")))</f>
        <v>;"NavNode_L2D_379529";"Lüfterzubehör";</v>
      </c>
      <c r="AA241" s="10" t="str">
        <f>IF(getCategoryLevelAsString($B241)="L0D_324785","",IF(H241="",CONCATENATE(";",EscStr(CONCATENATE("NavNode_",getCategoryLevelAsString($B241))),";",EscStr($J241),";"),CONCATENATE(";",EscStr(CONCATENATE("NavNode_",getCategoryLevelAsString($B241))),";",EscStr(H241),";")))</f>
        <v>;"NavNode_L2D_379529";"Accessoires pour ventilateurs";</v>
      </c>
      <c r="AB241" s="10" t="str">
        <f>IF(getCategoryLevelAsString($B241)="L0D_324785","",IF(I241="",CONCATENATE(";",EscStr(CONCATENATE("NavNode_",getCategoryLevelAsString($B241))),";",EscStr($J241),";"),CONCATENATE(";",EscStr(CONCATENATE("NavNode_",getCategoryLevelAsString($B241))),";",EscStr(I241),";")))</f>
        <v>;"NavNode_L2D_379529";"Accessori per aeratori";</v>
      </c>
      <c r="AC241" s="10" t="str">
        <f>IF(getCategoryLevelAsString($B241)="L0D_324785","",IF(J241="",CONCATENATE(";",EscStr(CONCATENATE("NavNode_",getCategoryLevelAsString($B241))),";",EscStr($J241),";"),CONCATENATE(";",EscStr(CONCATENATE("NavNode_",getCategoryLevelAsString($B241))),";",EscStr(J241),";")))</f>
        <v>;"NavNode_L2D_379529";"Accessories for Blowers";</v>
      </c>
      <c r="AD241" s="10" t="str">
        <f>IF(getCategoryLevelAsString($B241)="L0D_324785","",IF(K241="",CONCATENATE(";",EscStr(CONCATENATE("NavNode_",getCategoryLevelAsString($B241))),";",EscStr($J241),";"),CONCATENATE(";",EscStr(CONCATENATE("NavNode_",getCategoryLevelAsString($B241))),";",EscStr(K241),";")))</f>
        <v>;"NavNode_L2D_379529";"Tilbehør til blæsere";</v>
      </c>
      <c r="AE241" s="10" t="str">
        <f>IF(getCategoryLevelAsString($B241)="L0D_324785","",IF(L241="",CONCATENATE(";",EscStr(CONCATENATE("NavNode_",getCategoryLevelAsString($B241))),";",EscStr($J241),";"),CONCATENATE(";",EscStr(CONCATENATE("NavNode_",getCategoryLevelAsString($B241))),";",EscStr(L241),";")))</f>
        <v>;"NavNode_L2D_379529";"Ventiliatorių priedai";</v>
      </c>
      <c r="AF241" s="10" t="str">
        <f>IF(getCategoryLevelAsString($B241)="L0D_324785","",IF(M241="",CONCATENATE(";",EscStr(CONCATENATE("NavNode_",getCategoryLevelAsString($B241))),";",EscStr($J241),";"),CONCATENATE(";",EscStr(CONCATENATE("NavNode_",getCategoryLevelAsString($B241))),";",EscStr(M241),";")))</f>
        <v>;"NavNode_L2D_379529";"Tilbehør for vifter";</v>
      </c>
      <c r="AG241" s="10" t="str">
        <f>IF(getCategoryLevelAsString($B241)="L0D_324785","",IF(N241="",CONCATENATE(";",EscStr(CONCATENATE("NavNode_",getCategoryLevelAsString($B241))),";",EscStr($J241),";"),CONCATENATE(";",EscStr(CONCATENATE("NavNode_",getCategoryLevelAsString($B241))),";",EscStr(N241),";")))</f>
        <v>;"NavNode_L2D_379529";"Tillbehör för blåsare";</v>
      </c>
      <c r="AH241" s="10" t="str">
        <f>IF(getCategoryLevelAsString($B241)="L0D_324785","",IF(O241="",CONCATENATE(";",EscStr(CONCATENATE("NavNode_",getCategoryLevelAsString($B241))),";",EscStr($J241),";"),CONCATENATE(";",EscStr(CONCATENATE("NavNode_",getCategoryLevelAsString($B241))),";",EscStr(O241),";")))</f>
        <v>;"NavNode_L2D_379529";"Ventilaatorite lisatarvikud";</v>
      </c>
      <c r="AI241" s="10" t="str">
        <f>IF(getCategoryLevelAsString($B241)="L0D_324785","",IF(P241="",CONCATENATE(";",EscStr(CONCATENATE("NavNode_",getCategoryLevelAsString($B241))),";",EscStr($J241),";"),CONCATENATE(";",EscStr(CONCATENATE("NavNode_",getCategoryLevelAsString($B241))),";",EscStr(P241),";")))</f>
        <v>;"NavNode_L2D_379529";"Tuulettimien tarvikkeet";</v>
      </c>
      <c r="AJ241" s="10" t="str">
        <f>IF(getCategoryLevelAsString($B241)="L0D_324785","",IF(Q241="",CONCATENATE(";",EscStr(CONCATENATE("NavNode_",getCategoryLevelAsString($B241))),";",EscStr($J241),";"),CONCATENATE(";",EscStr(CONCATENATE("NavNode_",getCategoryLevelAsString($B241))),";",EscStr(Q241),";")))</f>
        <v>;"NavNode_L2D_379529";"Ventilatoru piederumi";</v>
      </c>
      <c r="AK241" s="10" t="str">
        <f>IF(getCategoryLevelAsString($B241)="L0D_324785","",IF(R241="",CONCATENATE(";",EscStr(CONCATENATE("NavNode_",getCategoryLevelAsString($B241))),";",EscStr($J241),";"),CONCATENATE(";",EscStr(CONCATENATE("NavNode_",getCategoryLevelAsString($B241))),";",EscStr(R241),";")))</f>
        <v>;"NavNode_L2D_379529";"Accessoires voor ventilatoren";</v>
      </c>
      <c r="AL241" s="10" t="str">
        <f>IF(getCategoryLevelAsString($B241)="L0D_324785","",IF(S241="",CONCATENATE(";",EscStr(CONCATENATE("NavNode_",getCategoryLevelAsString($B241))),";",EscStr($J241),";"),CONCATENATE(";",EscStr(CONCATENATE("NavNode_",getCategoryLevelAsString($B241))),";",EscStr(S241),";")))</f>
        <v>;"NavNode_L2D_379529";"Akcesoria do wentylatorów";</v>
      </c>
      <c r="AM241" s="10" t="str">
        <f>IF(getCategoryLevelAsString($B241)="L0D_324785","",IF(T241="",CONCATENATE(";",EscStr(CONCATENATE("NavNode_",getCategoryLevelAsString($B241))),";",EscStr($J241),";"),CONCATENATE(";",EscStr(CONCATENATE("NavNode_",getCategoryLevelAsString($B241))),";",EscStr(T241),";")))</f>
        <v>;"NavNode_L2D_379529";"Аксессуары для Воздуходувки";</v>
      </c>
      <c r="AN241" s="10" t="str">
        <f>IF(getCategoryLevelAsString($B241)="L0D_324785","",IF(U241="",CONCATENATE(";",EscStr(CONCATENATE("NavNode_",getCategoryLevelAsString($B241))),";",EscStr($J241),";"),CONCATENATE(";",EscStr(CONCATENATE("NavNode_",getCategoryLevelAsString($B241))),";",EscStr(U241),";")))</f>
        <v>;"NavNode_L2D_379529";"Příslušenství pro ventilátory";</v>
      </c>
      <c r="AO241" s="10" t="str">
        <f>IF(getCategoryLevelAsString($B241)="L0D_324785","",IF(V241="",CONCATENATE(";",EscStr(CONCATENATE("NavNode_",getCategoryLevelAsString($B241))),";",EscStr($J241),";"),CONCATENATE(";",EscStr(CONCATENATE("NavNode_",getCategoryLevelAsString($B241))),";",EscStr(V241),";")))</f>
        <v>;"NavNode_L2D_379529";"Accesorii pentru ventilatoare";</v>
      </c>
      <c r="AP241" s="10" t="str">
        <f>IF(getCategoryLevelAsString($B241)="L0D_324785","",IF(W241="",CONCATENATE(";",EscStr(CONCATENATE("NavNode_",getCategoryLevelAsString($B241))),";",EscStr($J241),";"),CONCATENATE(";",EscStr(CONCATENATE("NavNode_",getCategoryLevelAsString($B241))),";",EscStr(W241),";")))</f>
        <v>;"NavNode_L2D_379529";"Ventilátor tartozékok";</v>
      </c>
      <c r="AQ241" s="10" t="str">
        <f>IF(getCategoryLevelAsString($B241)="L0D_324785","",IF(X241="",CONCATENATE(";",EscStr(CONCATENATE("NavNode_",getCategoryLevelAsString($B241))),";",EscStr($J241),";"),CONCATENATE(";",EscStr(CONCATENATE("NavNode_",getCategoryLevelAsString($B241))),";",EscStr(X241),";")))</f>
        <v>;"NavNode_L2D_379529";"Příslušenství pro ventilátory";</v>
      </c>
      <c r="AR241" s="8" t="str">
        <f>IF(OR($A241&lt;&gt;"", $G241=""),"",CONCATENATE(";",EscStr(CONCATENATE("NavEntry_",getCategoryLevelAsString($B241))),";",EscStr(CONCATENATE($J241," Navigation Entry")),";",EscStr(CONCATENATE("cat-",getCategoryLevelAsString($B241))),";",EscStr(CONCATENATE("NavNode_",getCategoryLevelAsString($B241))),";"))</f>
        <v>;"NavEntry_L2D_379529";"Accessories for Blowers Navigation Entry";"cat-L2D_379529";"NavNode_L2D_379529";</v>
      </c>
    </row>
    <row r="242" spans="1:44" ht="15" x14ac:dyDescent="0.25">
      <c r="A242" s="25"/>
      <c r="B242" s="5"/>
      <c r="C242" s="5" t="s">
        <v>24</v>
      </c>
      <c r="D242" s="5"/>
      <c r="E242" s="5"/>
      <c r="F242" s="5"/>
      <c r="G242" s="5" t="s">
        <v>2712</v>
      </c>
      <c r="H242" s="5" t="s">
        <v>379</v>
      </c>
      <c r="I242" s="5" t="s">
        <v>380</v>
      </c>
      <c r="J242" s="5" t="s">
        <v>7</v>
      </c>
      <c r="K242" s="5" t="s">
        <v>1235</v>
      </c>
      <c r="L242" s="5" t="s">
        <v>1469</v>
      </c>
      <c r="M242" s="5" t="s">
        <v>1702</v>
      </c>
      <c r="N242" s="5" t="s">
        <v>1904</v>
      </c>
      <c r="O242" s="5" t="s">
        <v>2713</v>
      </c>
      <c r="P242" s="5" t="s">
        <v>2714</v>
      </c>
      <c r="Q242" s="5" t="s">
        <v>2715</v>
      </c>
      <c r="R242" s="5" t="s">
        <v>2716</v>
      </c>
      <c r="S242" s="5" t="s">
        <v>2717</v>
      </c>
      <c r="T242" s="5" t="s">
        <v>2718</v>
      </c>
      <c r="U242" s="5" t="s">
        <v>2719</v>
      </c>
      <c r="V242" s="5" t="s">
        <v>2720</v>
      </c>
      <c r="W242" s="5" t="s">
        <v>2721</v>
      </c>
      <c r="X242" s="5" t="s">
        <v>2719</v>
      </c>
      <c r="Y242" s="10" t="str">
        <f>IF(OR($A242&lt;&gt;"", $G242=""),"",CONCATENATE(";",EscStr(CONCATENATE("NavNode_",getCategoryLevelAsString($B242))),";",EscStr($J242),";",IF($B242&lt;&gt;"","""MainNavNode""",EscStr(CONCATENATE("NavNode_",getSuperCategory($B242, getCategoryLevelAsNumber($B242))))),";"))</f>
        <v>;"NavNode_L3D_525382";"Cables &amp; Installation Materials";"NavNode_L2D_379529";</v>
      </c>
      <c r="Z242" s="10" t="str">
        <f>IF(getCategoryLevelAsString($B242)="L0D_324785","",IF(G242="",CONCATENATE(";",EscStr(CONCATENATE("NavNode_",getCategoryLevelAsString($B242))),";",EscStr($J242),";"),CONCATENATE(";",EscStr(CONCATENATE("NavNode_",getCategoryLevelAsString($B242))),";",EscStr(G242),";")))</f>
        <v>;"NavNode_L3D_525382";"Kabel &amp; Installationsmaterial";</v>
      </c>
      <c r="AA242" s="10" t="str">
        <f>IF(getCategoryLevelAsString($B242)="L0D_324785","",IF(H242="",CONCATENATE(";",EscStr(CONCATENATE("NavNode_",getCategoryLevelAsString($B242))),";",EscStr($J242),";"),CONCATENATE(";",EscStr(CONCATENATE("NavNode_",getCategoryLevelAsString($B242))),";",EscStr(H242),";")))</f>
        <v>;"NavNode_L3D_525382";"Câbles et matériel d'installation";</v>
      </c>
      <c r="AB242" s="10" t="str">
        <f>IF(getCategoryLevelAsString($B242)="L0D_324785","",IF(I242="",CONCATENATE(";",EscStr(CONCATENATE("NavNode_",getCategoryLevelAsString($B242))),";",EscStr($J242),";"),CONCATENATE(";",EscStr(CONCATENATE("NavNode_",getCategoryLevelAsString($B242))),";",EscStr(I242),";")))</f>
        <v>;"NavNode_L3D_525382";"Cavi e materiali per assemblaggio";</v>
      </c>
      <c r="AC242" s="10" t="str">
        <f>IF(getCategoryLevelAsString($B242)="L0D_324785","",IF(J242="",CONCATENATE(";",EscStr(CONCATENATE("NavNode_",getCategoryLevelAsString($B242))),";",EscStr($J242),";"),CONCATENATE(";",EscStr(CONCATENATE("NavNode_",getCategoryLevelAsString($B242))),";",EscStr(J242),";")))</f>
        <v>;"NavNode_L3D_525382";"Cables &amp; Installation Materials";</v>
      </c>
      <c r="AD242" s="10" t="str">
        <f>IF(getCategoryLevelAsString($B242)="L0D_324785","",IF(K242="",CONCATENATE(";",EscStr(CONCATENATE("NavNode_",getCategoryLevelAsString($B242))),";",EscStr($J242),";"),CONCATENATE(";",EscStr(CONCATENATE("NavNode_",getCategoryLevelAsString($B242))),";",EscStr(K242),";")))</f>
        <v>;"NavNode_L3D_525382";"Kabler &amp; installationsmaterialer";</v>
      </c>
      <c r="AE242" s="10" t="str">
        <f>IF(getCategoryLevelAsString($B242)="L0D_324785","",IF(L242="",CONCATENATE(";",EscStr(CONCATENATE("NavNode_",getCategoryLevelAsString($B242))),";",EscStr($J242),";"),CONCATENATE(";",EscStr(CONCATENATE("NavNode_",getCategoryLevelAsString($B242))),";",EscStr(L242),";")))</f>
        <v>;"NavNode_L3D_525382";"Kabeliai ir instaliavimo medžiagos";</v>
      </c>
      <c r="AF242" s="10" t="str">
        <f>IF(getCategoryLevelAsString($B242)="L0D_324785","",IF(M242="",CONCATENATE(";",EscStr(CONCATENATE("NavNode_",getCategoryLevelAsString($B242))),";",EscStr($J242),";"),CONCATENATE(";",EscStr(CONCATENATE("NavNode_",getCategoryLevelAsString($B242))),";",EscStr(M242),";")))</f>
        <v>;"NavNode_L3D_525382";"Kabler og installasjonsmateriell";</v>
      </c>
      <c r="AG242" s="10" t="str">
        <f>IF(getCategoryLevelAsString($B242)="L0D_324785","",IF(N242="",CONCATENATE(";",EscStr(CONCATENATE("NavNode_",getCategoryLevelAsString($B242))),";",EscStr($J242),";"),CONCATENATE(";",EscStr(CONCATENATE("NavNode_",getCategoryLevelAsString($B242))),";",EscStr(N242),";")))</f>
        <v>;"NavNode_L3D_525382";"Kablar och installationsmaterial";</v>
      </c>
      <c r="AH242" s="10" t="str">
        <f>IF(getCategoryLevelAsString($B242)="L0D_324785","",IF(O242="",CONCATENATE(";",EscStr(CONCATENATE("NavNode_",getCategoryLevelAsString($B242))),";",EscStr($J242),";"),CONCATENATE(";",EscStr(CONCATENATE("NavNode_",getCategoryLevelAsString($B242))),";",EscStr(O242),";")))</f>
        <v>;"NavNode_L3D_525382";"Kaablid ja installatsioonimaterjalid";</v>
      </c>
      <c r="AI242" s="10" t="str">
        <f>IF(getCategoryLevelAsString($B242)="L0D_324785","",IF(P242="",CONCATENATE(";",EscStr(CONCATENATE("NavNode_",getCategoryLevelAsString($B242))),";",EscStr($J242),";"),CONCATENATE(";",EscStr(CONCATENATE("NavNode_",getCategoryLevelAsString($B242))),";",EscStr(P242),";")))</f>
        <v>;"NavNode_L3D_525382";"Johdot ja asennustarvikkeet";</v>
      </c>
      <c r="AJ242" s="10" t="str">
        <f>IF(getCategoryLevelAsString($B242)="L0D_324785","",IF(Q242="",CONCATENATE(";",EscStr(CONCATENATE("NavNode_",getCategoryLevelAsString($B242))),";",EscStr($J242),";"),CONCATENATE(";",EscStr(CONCATENATE("NavNode_",getCategoryLevelAsString($B242))),";",EscStr(Q242),";")))</f>
        <v>;"NavNode_L3D_525382";"Kabeļi un instalācijas materiāli";</v>
      </c>
      <c r="AK242" s="10" t="str">
        <f>IF(getCategoryLevelAsString($B242)="L0D_324785","",IF(R242="",CONCATENATE(";",EscStr(CONCATENATE("NavNode_",getCategoryLevelAsString($B242))),";",EscStr($J242),";"),CONCATENATE(";",EscStr(CONCATENATE("NavNode_",getCategoryLevelAsString($B242))),";",EscStr(R242),";")))</f>
        <v>;"NavNode_L3D_525382";"Kabels &amp; Installatiemateriaal";</v>
      </c>
      <c r="AL242" s="10" t="str">
        <f>IF(getCategoryLevelAsString($B242)="L0D_324785","",IF(S242="",CONCATENATE(";",EscStr(CONCATENATE("NavNode_",getCategoryLevelAsString($B242))),";",EscStr($J242),";"),CONCATENATE(";",EscStr(CONCATENATE("NavNode_",getCategoryLevelAsString($B242))),";",EscStr(S242),";")))</f>
        <v>;"NavNode_L3D_525382";"Kable i Materiały instalacyjne";</v>
      </c>
      <c r="AM242" s="10" t="str">
        <f>IF(getCategoryLevelAsString($B242)="L0D_324785","",IF(T242="",CONCATENATE(";",EscStr(CONCATENATE("NavNode_",getCategoryLevelAsString($B242))),";",EscStr($J242),";"),CONCATENATE(";",EscStr(CONCATENATE("NavNode_",getCategoryLevelAsString($B242))),";",EscStr(T242),";")))</f>
        <v>;"NavNode_L3D_525382";"Кабели &amp; Материалы для установки";</v>
      </c>
      <c r="AN242" s="10" t="str">
        <f>IF(getCategoryLevelAsString($B242)="L0D_324785","",IF(U242="",CONCATENATE(";",EscStr(CONCATENATE("NavNode_",getCategoryLevelAsString($B242))),";",EscStr($J242),";"),CONCATENATE(";",EscStr(CONCATENATE("NavNode_",getCategoryLevelAsString($B242))),";",EscStr(U242),";")))</f>
        <v>;"NavNode_L3D_525382";"Kabely a Instalační materiál";</v>
      </c>
      <c r="AO242" s="10" t="str">
        <f>IF(getCategoryLevelAsString($B242)="L0D_324785","",IF(V242="",CONCATENATE(";",EscStr(CONCATENATE("NavNode_",getCategoryLevelAsString($B242))),";",EscStr($J242),";"),CONCATENATE(";",EscStr(CONCATENATE("NavNode_",getCategoryLevelAsString($B242))),";",EscStr(V242),";")))</f>
        <v>;"NavNode_L3D_525382";"Cabluri şi materiale de instalare";</v>
      </c>
      <c r="AP242" s="10" t="str">
        <f>IF(getCategoryLevelAsString($B242)="L0D_324785","",IF(W242="",CONCATENATE(";",EscStr(CONCATENATE("NavNode_",getCategoryLevelAsString($B242))),";",EscStr($J242),";"),CONCATENATE(";",EscStr(CONCATENATE("NavNode_",getCategoryLevelAsString($B242))),";",EscStr(W242),";")))</f>
        <v>;"NavNode_L3D_525382";"Kábelek és szerelési anyagok";</v>
      </c>
      <c r="AQ242" s="10" t="str">
        <f>IF(getCategoryLevelAsString($B242)="L0D_324785","",IF(X242="",CONCATENATE(";",EscStr(CONCATENATE("NavNode_",getCategoryLevelAsString($B242))),";",EscStr($J242),";"),CONCATENATE(";",EscStr(CONCATENATE("NavNode_",getCategoryLevelAsString($B242))),";",EscStr(X242),";")))</f>
        <v>;"NavNode_L3D_525382";"Kabely a Instalační materiál";</v>
      </c>
      <c r="AR242" s="8" t="str">
        <f>IF(OR($A242&lt;&gt;"", $G242=""),"",CONCATENATE(";",EscStr(CONCATENATE("NavEntry_",getCategoryLevelAsString($B242))),";",EscStr(CONCATENATE($J242," Navigation Entry")),";",EscStr(CONCATENATE("cat-",getCategoryLevelAsString($B242))),";",EscStr(CONCATENATE("NavNode_",getCategoryLevelAsString($B242))),";"))</f>
        <v>;"NavEntry_L3D_525382";"Cables &amp; Installation Materials Navigation Entry";"cat-L3D_525382";"NavNode_L3D_525382";</v>
      </c>
    </row>
    <row r="243" spans="1:44" ht="15" x14ac:dyDescent="0.25">
      <c r="A243" s="25"/>
      <c r="B243" s="5"/>
      <c r="C243" s="5"/>
      <c r="D243" s="5" t="s">
        <v>144</v>
      </c>
      <c r="E243" s="5"/>
      <c r="F243" s="5"/>
      <c r="G243" s="5" t="s">
        <v>385</v>
      </c>
      <c r="H243" s="5" t="s">
        <v>386</v>
      </c>
      <c r="I243" s="5" t="s">
        <v>387</v>
      </c>
      <c r="J243" s="5" t="s">
        <v>145</v>
      </c>
      <c r="K243" s="5" t="s">
        <v>1236</v>
      </c>
      <c r="L243" s="5" t="s">
        <v>1470</v>
      </c>
      <c r="M243" s="5" t="s">
        <v>1703</v>
      </c>
      <c r="N243" s="5" t="s">
        <v>1905</v>
      </c>
      <c r="O243" s="5" t="s">
        <v>2722</v>
      </c>
      <c r="P243" s="5" t="s">
        <v>2723</v>
      </c>
      <c r="Q243" s="5" t="s">
        <v>2724</v>
      </c>
      <c r="R243" s="5" t="s">
        <v>2725</v>
      </c>
      <c r="S243" s="5" t="s">
        <v>2726</v>
      </c>
      <c r="T243" s="5" t="s">
        <v>2727</v>
      </c>
      <c r="U243" s="5" t="s">
        <v>2728</v>
      </c>
      <c r="V243" s="5" t="s">
        <v>2729</v>
      </c>
      <c r="W243" s="5" t="s">
        <v>2730</v>
      </c>
      <c r="X243" s="5" t="s">
        <v>2728</v>
      </c>
      <c r="Y243" s="10" t="str">
        <f>IF(OR($A243&lt;&gt;"", $G243=""),"",CONCATENATE(";",EscStr(CONCATENATE("NavNode_",getCategoryLevelAsString($B243))),";",EscStr($J243),";",IF($B243&lt;&gt;"","""MainNavNode""",EscStr(CONCATENATE("NavNode_",getSuperCategory($B243, getCategoryLevelAsNumber($B243))))),";"))</f>
        <v>;"NavNode_L3D_525396";"Equipment Wires";"NavNode_L2D_379529";</v>
      </c>
      <c r="Z243" s="10" t="str">
        <f>IF(getCategoryLevelAsString($B243)="L0D_324785","",IF(G243="",CONCATENATE(";",EscStr(CONCATENATE("NavNode_",getCategoryLevelAsString($B243))),";",EscStr($J243),";"),CONCATENATE(";",EscStr(CONCATENATE("NavNode_",getCategoryLevelAsString($B243))),";",EscStr(G243),";")))</f>
        <v>;"NavNode_L3D_525396";"Geräteleitungen";</v>
      </c>
      <c r="AA243" s="10" t="str">
        <f>IF(getCategoryLevelAsString($B243)="L0D_324785","",IF(H243="",CONCATENATE(";",EscStr(CONCATENATE("NavNode_",getCategoryLevelAsString($B243))),";",EscStr($J243),";"),CONCATENATE(";",EscStr(CONCATENATE("NavNode_",getCategoryLevelAsString($B243))),";",EscStr(H243),";")))</f>
        <v>;"NavNode_L3D_525396";"Câbles pour appareils";</v>
      </c>
      <c r="AB243" s="10" t="str">
        <f>IF(getCategoryLevelAsString($B243)="L0D_324785","",IF(I243="",CONCATENATE(";",EscStr(CONCATENATE("NavNode_",getCategoryLevelAsString($B243))),";",EscStr($J243),";"),CONCATENATE(";",EscStr(CONCATENATE("NavNode_",getCategoryLevelAsString($B243))),";",EscStr(I243),";")))</f>
        <v>;"NavNode_L3D_525396";"Fili per apparecchi";</v>
      </c>
      <c r="AC243" s="10" t="str">
        <f>IF(getCategoryLevelAsString($B243)="L0D_324785","",IF(J243="",CONCATENATE(";",EscStr(CONCATENATE("NavNode_",getCategoryLevelAsString($B243))),";",EscStr($J243),";"),CONCATENATE(";",EscStr(CONCATENATE("NavNode_",getCategoryLevelAsString($B243))),";",EscStr(J243),";")))</f>
        <v>;"NavNode_L3D_525396";"Equipment Wires";</v>
      </c>
      <c r="AD243" s="10" t="str">
        <f>IF(getCategoryLevelAsString($B243)="L0D_324785","",IF(K243="",CONCATENATE(";",EscStr(CONCATENATE("NavNode_",getCategoryLevelAsString($B243))),";",EscStr($J243),";"),CONCATENATE(";",EscStr(CONCATENATE("NavNode_",getCategoryLevelAsString($B243))),";",EscStr(K243),";")))</f>
        <v>;"NavNode_L3D_525396";"Ledningsudstyr";</v>
      </c>
      <c r="AE243" s="10" t="str">
        <f>IF(getCategoryLevelAsString($B243)="L0D_324785","",IF(L243="",CONCATENATE(";",EscStr(CONCATENATE("NavNode_",getCategoryLevelAsString($B243))),";",EscStr($J243),";"),CONCATENATE(";",EscStr(CONCATENATE("NavNode_",getCategoryLevelAsString($B243))),";",EscStr(L243),";")))</f>
        <v>;"NavNode_L3D_525396";"Įrangos laidai";</v>
      </c>
      <c r="AF243" s="10" t="str">
        <f>IF(getCategoryLevelAsString($B243)="L0D_324785","",IF(M243="",CONCATENATE(";",EscStr(CONCATENATE("NavNode_",getCategoryLevelAsString($B243))),";",EscStr($J243),";"),CONCATENATE(";",EscStr(CONCATENATE("NavNode_",getCategoryLevelAsString($B243))),";",EscStr(M243),";")))</f>
        <v>;"NavNode_L3D_525396";"Utstyrskabler";</v>
      </c>
      <c r="AG243" s="10" t="str">
        <f>IF(getCategoryLevelAsString($B243)="L0D_324785","",IF(N243="",CONCATENATE(";",EscStr(CONCATENATE("NavNode_",getCategoryLevelAsString($B243))),";",EscStr($J243),";"),CONCATENATE(";",EscStr(CONCATENATE("NavNode_",getCategoryLevelAsString($B243))),";",EscStr(N243),";")))</f>
        <v>;"NavNode_L3D_525396";"Utrustningsledare";</v>
      </c>
      <c r="AH243" s="10" t="str">
        <f>IF(getCategoryLevelAsString($B243)="L0D_324785","",IF(O243="",CONCATENATE(";",EscStr(CONCATENATE("NavNode_",getCategoryLevelAsString($B243))),";",EscStr($J243),";"),CONCATENATE(";",EscStr(CONCATENATE("NavNode_",getCategoryLevelAsString($B243))),";",EscStr(O243),";")))</f>
        <v>;"NavNode_L3D_525396";"Seadmete juhtmed";</v>
      </c>
      <c r="AI243" s="10" t="str">
        <f>IF(getCategoryLevelAsString($B243)="L0D_324785","",IF(P243="",CONCATENATE(";",EscStr(CONCATENATE("NavNode_",getCategoryLevelAsString($B243))),";",EscStr($J243),";"),CONCATENATE(";",EscStr(CONCATENATE("NavNode_",getCategoryLevelAsString($B243))),";",EscStr(P243),";")))</f>
        <v>;"NavNode_L3D_525396";"Laitejohdot";</v>
      </c>
      <c r="AJ243" s="10" t="str">
        <f>IF(getCategoryLevelAsString($B243)="L0D_324785","",IF(Q243="",CONCATENATE(";",EscStr(CONCATENATE("NavNode_",getCategoryLevelAsString($B243))),";",EscStr($J243),";"),CONCATENATE(";",EscStr(CONCATENATE("NavNode_",getCategoryLevelAsString($B243))),";",EscStr(Q243),";")))</f>
        <v>;"NavNode_L3D_525396";"Iekārtu vadi";</v>
      </c>
      <c r="AK243" s="10" t="str">
        <f>IF(getCategoryLevelAsString($B243)="L0D_324785","",IF(R243="",CONCATENATE(";",EscStr(CONCATENATE("NavNode_",getCategoryLevelAsString($B243))),";",EscStr($J243),";"),CONCATENATE(";",EscStr(CONCATENATE("NavNode_",getCategoryLevelAsString($B243))),";",EscStr(R243),";")))</f>
        <v>;"NavNode_L3D_525396";"Draad";</v>
      </c>
      <c r="AL243" s="10" t="str">
        <f>IF(getCategoryLevelAsString($B243)="L0D_324785","",IF(S243="",CONCATENATE(";",EscStr(CONCATENATE("NavNode_",getCategoryLevelAsString($B243))),";",EscStr($J243),";"),CONCATENATE(";",EscStr(CONCATENATE("NavNode_",getCategoryLevelAsString($B243))),";",EscStr(S243),";")))</f>
        <v>;"NavNode_L3D_525396";"Przewody połączeniowe";</v>
      </c>
      <c r="AM243" s="10" t="str">
        <f>IF(getCategoryLevelAsString($B243)="L0D_324785","",IF(T243="",CONCATENATE(";",EscStr(CONCATENATE("NavNode_",getCategoryLevelAsString($B243))),";",EscStr($J243),";"),CONCATENATE(";",EscStr(CONCATENATE("NavNode_",getCategoryLevelAsString($B243))),";",EscStr(T243),";")))</f>
        <v>;"NavNode_L3D_525396";"Монтажные провода";</v>
      </c>
      <c r="AN243" s="10" t="str">
        <f>IF(getCategoryLevelAsString($B243)="L0D_324785","",IF(U243="",CONCATENATE(";",EscStr(CONCATENATE("NavNode_",getCategoryLevelAsString($B243))),";",EscStr($J243),";"),CONCATENATE(";",EscStr(CONCATENATE("NavNode_",getCategoryLevelAsString($B243))),";",EscStr(U243),";")))</f>
        <v>;"NavNode_L3D_525396";"Napájecí kabely";</v>
      </c>
      <c r="AO243" s="10" t="str">
        <f>IF(getCategoryLevelAsString($B243)="L0D_324785","",IF(V243="",CONCATENATE(";",EscStr(CONCATENATE("NavNode_",getCategoryLevelAsString($B243))),";",EscStr($J243),";"),CONCATENATE(";",EscStr(CONCATENATE("NavNode_",getCategoryLevelAsString($B243))),";",EscStr(V243),";")))</f>
        <v>;"NavNode_L3D_525396";"Cabluri de circuit";</v>
      </c>
      <c r="AP243" s="10" t="str">
        <f>IF(getCategoryLevelAsString($B243)="L0D_324785","",IF(W243="",CONCATENATE(";",EscStr(CONCATENATE("NavNode_",getCategoryLevelAsString($B243))),";",EscStr($J243),";"),CONCATENATE(";",EscStr(CONCATENATE("NavNode_",getCategoryLevelAsString($B243))),";",EscStr(W243),";")))</f>
        <v>;"NavNode_L3D_525396";"Készülékkábelek";</v>
      </c>
      <c r="AQ243" s="10" t="str">
        <f>IF(getCategoryLevelAsString($B243)="L0D_324785","",IF(X243="",CONCATENATE(";",EscStr(CONCATENATE("NavNode_",getCategoryLevelAsString($B243))),";",EscStr($J243),";"),CONCATENATE(";",EscStr(CONCATENATE("NavNode_",getCategoryLevelAsString($B243))),";",EscStr(X243),";")))</f>
        <v>;"NavNode_L3D_525396";"Napájecí kabely";</v>
      </c>
      <c r="AR243" s="8" t="str">
        <f>IF(OR($A243&lt;&gt;"", $G243=""),"",CONCATENATE(";",EscStr(CONCATENATE("NavEntry_",getCategoryLevelAsString($B243))),";",EscStr(CONCATENATE($J243," Navigation Entry")),";",EscStr(CONCATENATE("cat-",getCategoryLevelAsString($B243))),";",EscStr(CONCATENATE("NavNode_",getCategoryLevelAsString($B243))),";"))</f>
        <v>;"NavEntry_L3D_525396";"Equipment Wires Navigation Entry";"cat-L3D_525396";"NavNode_L3D_525396";</v>
      </c>
    </row>
    <row r="244" spans="1:44" ht="15" x14ac:dyDescent="0.25">
      <c r="A244" s="25"/>
      <c r="B244" s="5"/>
      <c r="C244" s="5"/>
      <c r="D244" s="5" t="s">
        <v>136</v>
      </c>
      <c r="E244" s="5"/>
      <c r="F244" s="5"/>
      <c r="G244" s="5" t="s">
        <v>1191</v>
      </c>
      <c r="H244" s="5" t="s">
        <v>1196</v>
      </c>
      <c r="I244" s="5" t="s">
        <v>1198</v>
      </c>
      <c r="J244" s="5" t="s">
        <v>137</v>
      </c>
      <c r="K244" s="5" t="s">
        <v>1237</v>
      </c>
      <c r="L244" s="5" t="s">
        <v>1471</v>
      </c>
      <c r="M244" s="5" t="s">
        <v>1704</v>
      </c>
      <c r="N244" s="5" t="s">
        <v>1906</v>
      </c>
      <c r="O244" s="5" t="s">
        <v>2731</v>
      </c>
      <c r="P244" s="5" t="s">
        <v>2732</v>
      </c>
      <c r="Q244" s="5" t="s">
        <v>2733</v>
      </c>
      <c r="R244" s="5" t="s">
        <v>2734</v>
      </c>
      <c r="S244" s="5" t="s">
        <v>2735</v>
      </c>
      <c r="T244" s="5" t="s">
        <v>2736</v>
      </c>
      <c r="U244" s="5" t="s">
        <v>2737</v>
      </c>
      <c r="V244" s="5" t="s">
        <v>2738</v>
      </c>
      <c r="W244" s="5" t="s">
        <v>2739</v>
      </c>
      <c r="X244" s="5" t="s">
        <v>2737</v>
      </c>
      <c r="Y244" s="10" t="str">
        <f>IF(OR($A244&lt;&gt;"", $G244=""),"",CONCATENATE(";",EscStr(CONCATENATE("NavNode_",getCategoryLevelAsString($B244))),";",EscStr($J244),";",IF($B244&lt;&gt;"","""MainNavNode""",EscStr(CONCATENATE("NavNode_",getSuperCategory($B244, getCategoryLevelAsNumber($B244))))),";"))</f>
        <v>;"NavNode_L3D_706185";"Lighting Controls / Switches";"NavNode_L2D_379529";</v>
      </c>
      <c r="Z244" s="10" t="str">
        <f>IF(getCategoryLevelAsString($B244)="L0D_324785","",IF(G244="",CONCATENATE(";",EscStr(CONCATENATE("NavNode_",getCategoryLevelAsString($B244))),";",EscStr($J244),";"),CONCATENATE(";",EscStr(CONCATENATE("NavNode_",getCategoryLevelAsString($B244))),";",EscStr(G244),";")))</f>
        <v>;"NavNode_L3D_706185";"Lichtsteuergeräte / Schalter";</v>
      </c>
      <c r="AA244" s="10" t="str">
        <f>IF(getCategoryLevelAsString($B244)="L0D_324785","",IF(H244="",CONCATENATE(";",EscStr(CONCATENATE("NavNode_",getCategoryLevelAsString($B244))),";",EscStr($J244),";"),CONCATENATE(";",EscStr(CONCATENATE("NavNode_",getCategoryLevelAsString($B244))),";",EscStr(H244),";")))</f>
        <v>;"NavNode_L3D_706185";"Commutateurs de contrôle de la lumière";</v>
      </c>
      <c r="AB244" s="10" t="str">
        <f>IF(getCategoryLevelAsString($B244)="L0D_324785","",IF(I244="",CONCATENATE(";",EscStr(CONCATENATE("NavNode_",getCategoryLevelAsString($B244))),";",EscStr($J244),";"),CONCATENATE(";",EscStr(CONCATENATE("NavNode_",getCategoryLevelAsString($B244))),";",EscStr(I244),";")))</f>
        <v>;"NavNode_L3D_706185";"Comandi per illuminazione / Interruttori";</v>
      </c>
      <c r="AC244" s="10" t="str">
        <f>IF(getCategoryLevelAsString($B244)="L0D_324785","",IF(J244="",CONCATENATE(";",EscStr(CONCATENATE("NavNode_",getCategoryLevelAsString($B244))),";",EscStr($J244),";"),CONCATENATE(";",EscStr(CONCATENATE("NavNode_",getCategoryLevelAsString($B244))),";",EscStr(J244),";")))</f>
        <v>;"NavNode_L3D_706185";"Lighting Controls / Switches";</v>
      </c>
      <c r="AD244" s="10" t="str">
        <f>IF(getCategoryLevelAsString($B244)="L0D_324785","",IF(K244="",CONCATENATE(";",EscStr(CONCATENATE("NavNode_",getCategoryLevelAsString($B244))),";",EscStr($J244),";"),CONCATENATE(";",EscStr(CONCATENATE("NavNode_",getCategoryLevelAsString($B244))),";",EscStr(K244),";")))</f>
        <v>;"NavNode_L3D_706185";"Lysstyringsenheder/afbrydere";</v>
      </c>
      <c r="AE244" s="10" t="str">
        <f>IF(getCategoryLevelAsString($B244)="L0D_324785","",IF(L244="",CONCATENATE(";",EscStr(CONCATENATE("NavNode_",getCategoryLevelAsString($B244))),";",EscStr($J244),";"),CONCATENATE(";",EscStr(CONCATENATE("NavNode_",getCategoryLevelAsString($B244))),";",EscStr(L244),";")))</f>
        <v>;"NavNode_L3D_706185";"Apšvietimo valdikliai / jungikliai";</v>
      </c>
      <c r="AF244" s="10" t="str">
        <f>IF(getCategoryLevelAsString($B244)="L0D_324785","",IF(M244="",CONCATENATE(";",EscStr(CONCATENATE("NavNode_",getCategoryLevelAsString($B244))),";",EscStr($J244),";"),CONCATENATE(";",EscStr(CONCATENATE("NavNode_",getCategoryLevelAsString($B244))),";",EscStr(M244),";")))</f>
        <v>;"NavNode_L3D_706185";"Lyskontroller/-brytere";</v>
      </c>
      <c r="AG244" s="10" t="str">
        <f>IF(getCategoryLevelAsString($B244)="L0D_324785","",IF(N244="",CONCATENATE(";",EscStr(CONCATENATE("NavNode_",getCategoryLevelAsString($B244))),";",EscStr($J244),";"),CONCATENATE(";",EscStr(CONCATENATE("NavNode_",getCategoryLevelAsString($B244))),";",EscStr(N244),";")))</f>
        <v>;"NavNode_L3D_706185";"Belysningsreglage/Brytare";</v>
      </c>
      <c r="AH244" s="10" t="str">
        <f>IF(getCategoryLevelAsString($B244)="L0D_324785","",IF(O244="",CONCATENATE(";",EscStr(CONCATENATE("NavNode_",getCategoryLevelAsString($B244))),";",EscStr($J244),";"),CONCATENATE(";",EscStr(CONCATENATE("NavNode_",getCategoryLevelAsString($B244))),";",EscStr(O244),";")))</f>
        <v>;"NavNode_L3D_706185";"Valgustuse juhtimine / Lülitid";</v>
      </c>
      <c r="AI244" s="10" t="str">
        <f>IF(getCategoryLevelAsString($B244)="L0D_324785","",IF(P244="",CONCATENATE(";",EscStr(CONCATENATE("NavNode_",getCategoryLevelAsString($B244))),";",EscStr($J244),";"),CONCATENATE(";",EscStr(CONCATENATE("NavNode_",getCategoryLevelAsString($B244))),";",EscStr(P244),";")))</f>
        <v>;"NavNode_L3D_706185";"Valaistusohjaimet";</v>
      </c>
      <c r="AJ244" s="10" t="str">
        <f>IF(getCategoryLevelAsString($B244)="L0D_324785","",IF(Q244="",CONCATENATE(";",EscStr(CONCATENATE("NavNode_",getCategoryLevelAsString($B244))),";",EscStr($J244),";"),CONCATENATE(";",EscStr(CONCATENATE("NavNode_",getCategoryLevelAsString($B244))),";",EscStr(Q244),";")))</f>
        <v>;"NavNode_L3D_706185";"Apgaismojuma vadība / slēdži";</v>
      </c>
      <c r="AK244" s="10" t="str">
        <f>IF(getCategoryLevelAsString($B244)="L0D_324785","",IF(R244="",CONCATENATE(";",EscStr(CONCATENATE("NavNode_",getCategoryLevelAsString($B244))),";",EscStr($J244),";"),CONCATENATE(";",EscStr(CONCATENATE("NavNode_",getCategoryLevelAsString($B244))),";",EscStr(R244),";")))</f>
        <v>;"NavNode_L3D_706185";"Lighting Controls / Schakelaars";</v>
      </c>
      <c r="AL244" s="10" t="str">
        <f>IF(getCategoryLevelAsString($B244)="L0D_324785","",IF(S244="",CONCATENATE(";",EscStr(CONCATENATE("NavNode_",getCategoryLevelAsString($B244))),";",EscStr($J244),";"),CONCATENATE(";",EscStr(CONCATENATE("NavNode_",getCategoryLevelAsString($B244))),";",EscStr(S244),";")))</f>
        <v>;"NavNode_L3D_706185";"Sterowania oświetleniem / Wyłączniki";</v>
      </c>
      <c r="AM244" s="10" t="str">
        <f>IF(getCategoryLevelAsString($B244)="L0D_324785","",IF(T244="",CONCATENATE(";",EscStr(CONCATENATE("NavNode_",getCategoryLevelAsString($B244))),";",EscStr($J244),";"),CONCATENATE(";",EscStr(CONCATENATE("NavNode_",getCategoryLevelAsString($B244))),";",EscStr(T244),";")))</f>
        <v>;"NavNode_L3D_706185";"Регуляторы освещения / Коммутаторы";</v>
      </c>
      <c r="AN244" s="10" t="str">
        <f>IF(getCategoryLevelAsString($B244)="L0D_324785","",IF(U244="",CONCATENATE(";",EscStr(CONCATENATE("NavNode_",getCategoryLevelAsString($B244))),";",EscStr($J244),";"),CONCATENATE(";",EscStr(CONCATENATE("NavNode_",getCategoryLevelAsString($B244))),";",EscStr(U244),";")))</f>
        <v>;"NavNode_L3D_706185";"Regulace světla / spínače";</v>
      </c>
      <c r="AO244" s="10" t="str">
        <f>IF(getCategoryLevelAsString($B244)="L0D_324785","",IF(V244="",CONCATENATE(";",EscStr(CONCATENATE("NavNode_",getCategoryLevelAsString($B244))),";",EscStr($J244),";"),CONCATENATE(";",EscStr(CONCATENATE("NavNode_",getCategoryLevelAsString($B244))),";",EscStr(V244),";")))</f>
        <v>;"NavNode_L3D_706185";"Temporizatoare de lumină / Comutatoare";</v>
      </c>
      <c r="AP244" s="10" t="str">
        <f>IF(getCategoryLevelAsString($B244)="L0D_324785","",IF(W244="",CONCATENATE(";",EscStr(CONCATENATE("NavNode_",getCategoryLevelAsString($B244))),";",EscStr($J244),";"),CONCATENATE(";",EscStr(CONCATENATE("NavNode_",getCategoryLevelAsString($B244))),";",EscStr(W244),";")))</f>
        <v>;"NavNode_L3D_706185";"Világításvezérlők / Kapcsolók";</v>
      </c>
      <c r="AQ244" s="10" t="str">
        <f>IF(getCategoryLevelAsString($B244)="L0D_324785","",IF(X244="",CONCATENATE(";",EscStr(CONCATENATE("NavNode_",getCategoryLevelAsString($B244))),";",EscStr($J244),";"),CONCATENATE(";",EscStr(CONCATENATE("NavNode_",getCategoryLevelAsString($B244))),";",EscStr(X244),";")))</f>
        <v>;"NavNode_L3D_706185";"Regulace světla / spínače";</v>
      </c>
      <c r="AR244" s="8" t="str">
        <f>IF(OR($A244&lt;&gt;"", $G244=""),"",CONCATENATE(";",EscStr(CONCATENATE("NavEntry_",getCategoryLevelAsString($B244))),";",EscStr(CONCATENATE($J244," Navigation Entry")),";",EscStr(CONCATENATE("cat-",getCategoryLevelAsString($B244))),";",EscStr(CONCATENATE("NavNode_",getCategoryLevelAsString($B244))),";"))</f>
        <v>;"NavEntry_L3D_706185";"Lighting Controls / Switches Navigation Entry";"cat-L3D_706185";"NavNode_L3D_706185";</v>
      </c>
    </row>
    <row r="245" spans="1:44" ht="15" x14ac:dyDescent="0.25">
      <c r="A245" s="25"/>
      <c r="B245" s="5"/>
      <c r="C245" s="5"/>
      <c r="D245" s="5" t="s">
        <v>4683</v>
      </c>
      <c r="E245" s="5"/>
      <c r="F245" s="5"/>
      <c r="G245" s="5" t="s">
        <v>4684</v>
      </c>
      <c r="H245" s="5" t="s">
        <v>4684</v>
      </c>
      <c r="I245" s="5" t="s">
        <v>4684</v>
      </c>
      <c r="J245" s="5" t="s">
        <v>4684</v>
      </c>
      <c r="K245" s="5" t="s">
        <v>4684</v>
      </c>
      <c r="L245" s="5" t="s">
        <v>4684</v>
      </c>
      <c r="M245" s="5" t="s">
        <v>4684</v>
      </c>
      <c r="N245" s="5" t="s">
        <v>4684</v>
      </c>
      <c r="O245" s="5" t="s">
        <v>4684</v>
      </c>
      <c r="P245" s="5" t="s">
        <v>4684</v>
      </c>
      <c r="Q245" s="5" t="s">
        <v>4684</v>
      </c>
      <c r="R245" s="5" t="s">
        <v>4684</v>
      </c>
      <c r="S245" s="5" t="s">
        <v>4684</v>
      </c>
      <c r="T245" s="5" t="s">
        <v>4684</v>
      </c>
      <c r="U245" s="5" t="s">
        <v>4684</v>
      </c>
      <c r="V245" s="5" t="s">
        <v>4684</v>
      </c>
      <c r="W245" s="5" t="s">
        <v>4684</v>
      </c>
      <c r="X245" s="5" t="s">
        <v>4684</v>
      </c>
      <c r="Y245" s="10" t="str">
        <f>IF(OR($A245&lt;&gt;"", $G245=""),"",CONCATENATE(";",EscStr(CONCATENATE("NavNode_",getCategoryLevelAsString($B245))),";",EscStr($J245),";",IF($B245&lt;&gt;"","""MainNavNode""",EscStr(CONCATENATE("NavNode_",getSuperCategory($B245, getCategoryLevelAsNumber($B245))))),";"))</f>
        <v>;"NavNode_L3D_525383";"E-Mobility";"NavNode_L2D_379529";</v>
      </c>
      <c r="Z245" s="10"/>
      <c r="AA245" s="10"/>
      <c r="AB245" s="10"/>
      <c r="AC245" s="10"/>
      <c r="AD245" s="10"/>
      <c r="AE245" s="10"/>
      <c r="AF245" s="10"/>
      <c r="AG245" s="10"/>
      <c r="AH245" s="10"/>
      <c r="AI245" s="10"/>
      <c r="AJ245" s="10"/>
      <c r="AK245" s="10"/>
      <c r="AL245" s="10"/>
      <c r="AM245" s="10"/>
      <c r="AN245" s="10"/>
      <c r="AO245" s="10"/>
      <c r="AP245" s="10"/>
      <c r="AQ245" s="10"/>
      <c r="AR245" s="8"/>
    </row>
    <row r="246" spans="1:44" ht="15" x14ac:dyDescent="0.25">
      <c r="A246" s="25"/>
      <c r="B246" s="5"/>
      <c r="C246" s="5"/>
      <c r="D246" s="5" t="s">
        <v>146</v>
      </c>
      <c r="E246" s="5"/>
      <c r="F246" s="5"/>
      <c r="G246" s="5" t="s">
        <v>388</v>
      </c>
      <c r="H246" s="5" t="s">
        <v>389</v>
      </c>
      <c r="I246" s="5" t="s">
        <v>390</v>
      </c>
      <c r="J246" s="5" t="s">
        <v>147</v>
      </c>
      <c r="K246" s="5" t="s">
        <v>1238</v>
      </c>
      <c r="L246" s="5" t="s">
        <v>1472</v>
      </c>
      <c r="M246" s="5" t="s">
        <v>1705</v>
      </c>
      <c r="N246" s="5" t="s">
        <v>1907</v>
      </c>
      <c r="O246" s="5" t="s">
        <v>2740</v>
      </c>
      <c r="P246" s="5" t="s">
        <v>2741</v>
      </c>
      <c r="Q246" s="5" t="s">
        <v>2742</v>
      </c>
      <c r="R246" s="5" t="s">
        <v>2743</v>
      </c>
      <c r="S246" s="5" t="s">
        <v>2744</v>
      </c>
      <c r="T246" s="5" t="s">
        <v>2745</v>
      </c>
      <c r="U246" s="5" t="s">
        <v>2746</v>
      </c>
      <c r="V246" s="5" t="s">
        <v>2747</v>
      </c>
      <c r="W246" s="5" t="s">
        <v>2748</v>
      </c>
      <c r="X246" s="5" t="s">
        <v>2746</v>
      </c>
      <c r="Y246" s="10" t="str">
        <f>IF(OR($A246&lt;&gt;"", $G246=""),"",CONCATENATE(";",EscStr(CONCATENATE("NavNode_",getCategoryLevelAsString($B246))),";",EscStr($J246),";",IF($B246&lt;&gt;"","""MainNavNode""",EscStr(CONCATENATE("NavNode_",getSuperCategory($B246, getCategoryLevelAsNumber($B246))))),";"))</f>
        <v>;"NavNode_L3D_525384";"Network Cables / Control Cables / Data Cables / Optical Fibre Cables";"NavNode_L2D_379529";</v>
      </c>
      <c r="Z246" s="10" t="str">
        <f>IF(getCategoryLevelAsString($B246)="L0D_324785","",IF(G246="",CONCATENATE(";",EscStr(CONCATENATE("NavNode_",getCategoryLevelAsString($B246))),";",EscStr($J246),";"),CONCATENATE(";",EscStr(CONCATENATE("NavNode_",getCategoryLevelAsString($B246))),";",EscStr(G246),";")))</f>
        <v>;"NavNode_L3D_525384";"Netzwerkkabel / Steuerkabel / Datenkabel / LWL-Kabel";</v>
      </c>
      <c r="AA246" s="10" t="str">
        <f>IF(getCategoryLevelAsString($B246)="L0D_324785","",IF(H246="",CONCATENATE(";",EscStr(CONCATENATE("NavNode_",getCategoryLevelAsString($B246))),";",EscStr($J246),";"),CONCATENATE(";",EscStr(CONCATENATE("NavNode_",getCategoryLevelAsString($B246))),";",EscStr(H246),";")))</f>
        <v>;"NavNode_L3D_525384";"Câbles réseau / Câbles de contrôle / Câbles de données / Câbles en fibres optiques";</v>
      </c>
      <c r="AB246" s="10" t="str">
        <f>IF(getCategoryLevelAsString($B246)="L0D_324785","",IF(I246="",CONCATENATE(";",EscStr(CONCATENATE("NavNode_",getCategoryLevelAsString($B246))),";",EscStr($J246),";"),CONCATENATE(";",EscStr(CONCATENATE("NavNode_",getCategoryLevelAsString($B246))),";",EscStr(I246),";")))</f>
        <v>;"NavNode_L3D_525384";"Cavi di rete / Cavi di comando / Cavi dati / Cavi a fibre ottiche";</v>
      </c>
      <c r="AC246" s="10" t="str">
        <f>IF(getCategoryLevelAsString($B246)="L0D_324785","",IF(J246="",CONCATENATE(";",EscStr(CONCATENATE("NavNode_",getCategoryLevelAsString($B246))),";",EscStr($J246),";"),CONCATENATE(";",EscStr(CONCATENATE("NavNode_",getCategoryLevelAsString($B246))),";",EscStr(J246),";")))</f>
        <v>;"NavNode_L3D_525384";"Network Cables / Control Cables / Data Cables / Optical Fibre Cables";</v>
      </c>
      <c r="AD246" s="10" t="str">
        <f>IF(getCategoryLevelAsString($B246)="L0D_324785","",IF(K246="",CONCATENATE(";",EscStr(CONCATENATE("NavNode_",getCategoryLevelAsString($B246))),";",EscStr($J246),";"),CONCATENATE(";",EscStr(CONCATENATE("NavNode_",getCategoryLevelAsString($B246))),";",EscStr(K246),";")))</f>
        <v>;"NavNode_L3D_525384";"Netværkskabler/styrekabler/datakabler/optiske fiberkabler";</v>
      </c>
      <c r="AE246" s="10" t="str">
        <f>IF(getCategoryLevelAsString($B246)="L0D_324785","",IF(L246="",CONCATENATE(";",EscStr(CONCATENATE("NavNode_",getCategoryLevelAsString($B246))),";",EscStr($J246),";"),CONCATENATE(";",EscStr(CONCATENATE("NavNode_",getCategoryLevelAsString($B246))),";",EscStr(L246),";")))</f>
        <v>;"NavNode_L3D_525384";"Tinklo kabeliai / valdymo kabeliai / duomenų kabeliai / skaidulinės optikos kabeliai";</v>
      </c>
      <c r="AF246" s="10" t="str">
        <f>IF(getCategoryLevelAsString($B246)="L0D_324785","",IF(M246="",CONCATENATE(";",EscStr(CONCATENATE("NavNode_",getCategoryLevelAsString($B246))),";",EscStr($J246),";"),CONCATENATE(";",EscStr(CONCATENATE("NavNode_",getCategoryLevelAsString($B246))),";",EscStr(M246),";")))</f>
        <v>;"NavNode_L3D_525384";"Nettverkskabler / kontrollkabler / datakabler / fiberoptiske kabler";</v>
      </c>
      <c r="AG246" s="10" t="str">
        <f>IF(getCategoryLevelAsString($B246)="L0D_324785","",IF(N246="",CONCATENATE(";",EscStr(CONCATENATE("NavNode_",getCategoryLevelAsString($B246))),";",EscStr($J246),";"),CONCATENATE(";",EscStr(CONCATENATE("NavNode_",getCategoryLevelAsString($B246))),";",EscStr(N246),";")))</f>
        <v>;"NavNode_L3D_525384";"Nätverkskablar/Styrkablar/Datakablar/Optofiberkablar";</v>
      </c>
      <c r="AH246" s="10" t="str">
        <f>IF(getCategoryLevelAsString($B246)="L0D_324785","",IF(O246="",CONCATENATE(";",EscStr(CONCATENATE("NavNode_",getCategoryLevelAsString($B246))),";",EscStr($J246),";"),CONCATENATE(";",EscStr(CONCATENATE("NavNode_",getCategoryLevelAsString($B246))),";",EscStr(O246),";")))</f>
        <v>;"NavNode_L3D_525384";"Sidevõrgu kaablid / Juhtkaablid / Andmekaablid / Optilised kaablid";</v>
      </c>
      <c r="AI246" s="10" t="str">
        <f>IF(getCategoryLevelAsString($B246)="L0D_324785","",IF(P246="",CONCATENATE(";",EscStr(CONCATENATE("NavNode_",getCategoryLevelAsString($B246))),";",EscStr($J246),";"),CONCATENATE(";",EscStr(CONCATENATE("NavNode_",getCategoryLevelAsString($B246))),";",EscStr(P246),";")))</f>
        <v>;"NavNode_L3D_525384";"Lähiverkkokaapelit";</v>
      </c>
      <c r="AJ246" s="10" t="str">
        <f>IF(getCategoryLevelAsString($B246)="L0D_324785","",IF(Q246="",CONCATENATE(";",EscStr(CONCATENATE("NavNode_",getCategoryLevelAsString($B246))),";",EscStr($J246),";"),CONCATENATE(";",EscStr(CONCATENATE("NavNode_",getCategoryLevelAsString($B246))),";",EscStr(Q246),";")))</f>
        <v>;"NavNode_L3D_525384";"Tīkla kabeļi / Vadības kabeļi / Datu kabeļi / Optiskie kabeļi";</v>
      </c>
      <c r="AK246" s="10" t="str">
        <f>IF(getCategoryLevelAsString($B246)="L0D_324785","",IF(R246="",CONCATENATE(";",EscStr(CONCATENATE("NavNode_",getCategoryLevelAsString($B246))),";",EscStr($J246),";"),CONCATENATE(";",EscStr(CONCATENATE("NavNode_",getCategoryLevelAsString($B246))),";",EscStr(R246),";")))</f>
        <v>;"NavNode_L3D_525384";"Netwerkkabels / Stuurstroomkabels / Glasvezelkabels";</v>
      </c>
      <c r="AL246" s="10" t="str">
        <f>IF(getCategoryLevelAsString($B246)="L0D_324785","",IF(S246="",CONCATENATE(";",EscStr(CONCATENATE("NavNode_",getCategoryLevelAsString($B246))),";",EscStr($J246),";"),CONCATENATE(";",EscStr(CONCATENATE("NavNode_",getCategoryLevelAsString($B246))),";",EscStr(S246),";")))</f>
        <v>;"NavNode_L3D_525384";"Kable sieciowe / Kable sterujące /  Kable do transmisji danych / Światłowody";</v>
      </c>
      <c r="AM246" s="10" t="str">
        <f>IF(getCategoryLevelAsString($B246)="L0D_324785","",IF(T246="",CONCATENATE(";",EscStr(CONCATENATE("NavNode_",getCategoryLevelAsString($B246))),";",EscStr($J246),";"),CONCATENATE(";",EscStr(CONCATENATE("NavNode_",getCategoryLevelAsString($B246))),";",EscStr(T246),";")))</f>
        <v>;"NavNode_L3D_525384";"Сетевые кабели / Кабели управления / Кабели данных / Оптические кабели";</v>
      </c>
      <c r="AN246" s="10" t="str">
        <f>IF(getCategoryLevelAsString($B246)="L0D_324785","",IF(U246="",CONCATENATE(";",EscStr(CONCATENATE("NavNode_",getCategoryLevelAsString($B246))),";",EscStr($J246),";"),CONCATENATE(";",EscStr(CONCATENATE("NavNode_",getCategoryLevelAsString($B246))),";",EscStr(U246),";")))</f>
        <v>;"NavNode_L3D_525384";"Síťové kabely / ovládací kabely / Datové kabely / kabely z optických vláken";</v>
      </c>
      <c r="AO246" s="10" t="str">
        <f>IF(getCategoryLevelAsString($B246)="L0D_324785","",IF(V246="",CONCATENATE(";",EscStr(CONCATENATE("NavNode_",getCategoryLevelAsString($B246))),";",EscStr($J246),";"),CONCATENATE(";",EscStr(CONCATENATE("NavNode_",getCategoryLevelAsString($B246))),";",EscStr(V246),";")))</f>
        <v>;"NavNode_L3D_525384";"Cabluri de retea / Cabluri de control / Cabluri de date / Cabluri cu fibră optică";</v>
      </c>
      <c r="AP246" s="10" t="str">
        <f>IF(getCategoryLevelAsString($B246)="L0D_324785","",IF(W246="",CONCATENATE(";",EscStr(CONCATENATE("NavNode_",getCategoryLevelAsString($B246))),";",EscStr($J246),";"),CONCATENATE(";",EscStr(CONCATENATE("NavNode_",getCategoryLevelAsString($B246))),";",EscStr(W246),";")))</f>
        <v>;"NavNode_L3D_525384";"Adathálózati kábel / Vezérlőkábel / Adatkábel / Üvegszálas kábel";</v>
      </c>
      <c r="AQ246" s="10" t="str">
        <f>IF(getCategoryLevelAsString($B246)="L0D_324785","",IF(X246="",CONCATENATE(";",EscStr(CONCATENATE("NavNode_",getCategoryLevelAsString($B246))),";",EscStr($J246),";"),CONCATENATE(";",EscStr(CONCATENATE("NavNode_",getCategoryLevelAsString($B246))),";",EscStr(X246),";")))</f>
        <v>;"NavNode_L3D_525384";"Síťové kabely / ovládací kabely / Datové kabely / kabely z optických vláken";</v>
      </c>
      <c r="AR246" s="8" t="str">
        <f>IF(OR($A246&lt;&gt;"", $G246=""),"",CONCATENATE(";",EscStr(CONCATENATE("NavEntry_",getCategoryLevelAsString($B246))),";",EscStr(CONCATENATE($J246," Navigation Entry")),";",EscStr(CONCATENATE("cat-",getCategoryLevelAsString($B246))),";",EscStr(CONCATENATE("NavNode_",getCategoryLevelAsString($B246))),";"))</f>
        <v>;"NavEntry_L3D_525384";"Network Cables / Control Cables / Data Cables / Optical Fibre Cables Navigation Entry";"cat-L3D_525384";"NavNode_L3D_525384";</v>
      </c>
    </row>
    <row r="247" spans="1:44" ht="15" x14ac:dyDescent="0.25">
      <c r="A247" s="25"/>
      <c r="B247" s="5"/>
      <c r="C247" s="5"/>
      <c r="D247" s="5" t="s">
        <v>143</v>
      </c>
      <c r="E247" s="5"/>
      <c r="F247" s="5"/>
      <c r="G247" s="5" t="s">
        <v>991</v>
      </c>
      <c r="H247" s="5" t="s">
        <v>747</v>
      </c>
      <c r="I247" s="5" t="s">
        <v>644</v>
      </c>
      <c r="J247" s="5" t="s">
        <v>384</v>
      </c>
      <c r="K247" s="5" t="s">
        <v>1239</v>
      </c>
      <c r="L247" s="5" t="s">
        <v>1473</v>
      </c>
      <c r="M247" s="5" t="s">
        <v>1706</v>
      </c>
      <c r="N247" s="5" t="s">
        <v>1908</v>
      </c>
      <c r="O247" s="5" t="s">
        <v>2749</v>
      </c>
      <c r="P247" s="5" t="s">
        <v>2750</v>
      </c>
      <c r="Q247" s="5" t="s">
        <v>2751</v>
      </c>
      <c r="R247" s="5" t="s">
        <v>2752</v>
      </c>
      <c r="S247" s="5" t="s">
        <v>2753</v>
      </c>
      <c r="T247" s="5" t="s">
        <v>2754</v>
      </c>
      <c r="U247" s="5" t="s">
        <v>2755</v>
      </c>
      <c r="V247" s="5" t="s">
        <v>2756</v>
      </c>
      <c r="W247" s="5" t="s">
        <v>2757</v>
      </c>
      <c r="X247" s="5" t="s">
        <v>2755</v>
      </c>
      <c r="Y247" s="10" t="str">
        <f>IF(OR($A247&lt;&gt;"", $G247=""),"",CONCATENATE(";",EscStr(CONCATENATE("NavNode_",getCategoryLevelAsString($B247))),";",EscStr($J247),";",IF($B247&lt;&gt;"","""MainNavNode""",EscStr(CONCATENATE("NavNode_",getSuperCategory($B247, getCategoryLevelAsNumber($B247))))),";"))</f>
        <v>;"NavNode_L3D_525385";"Coaxial Cables / Audio Cables / Flat Cables / Power Cables";"NavNode_L2D_379529";</v>
      </c>
      <c r="Z247" s="10" t="str">
        <f>IF(getCategoryLevelAsString($B247)="L0D_324785","",IF(G247="",CONCATENATE(";",EscStr(CONCATENATE("NavNode_",getCategoryLevelAsString($B247))),";",EscStr($J247),";"),CONCATENATE(";",EscStr(CONCATENATE("NavNode_",getCategoryLevelAsString($B247))),";",EscStr(G247),";")))</f>
        <v>;"NavNode_L3D_525385";"Koaxialkabel / Audiokabel / Flachkabel / Netzkabel";</v>
      </c>
      <c r="AA247" s="10" t="str">
        <f>IF(getCategoryLevelAsString($B247)="L0D_324785","",IF(H247="",CONCATENATE(";",EscStr(CONCATENATE("NavNode_",getCategoryLevelAsString($B247))),";",EscStr($J247),";"),CONCATENATE(";",EscStr(CONCATENATE("NavNode_",getCategoryLevelAsString($B247))),";",EscStr(H247),";")))</f>
        <v>;"NavNode_L3D_525385";"Câbles coaxiaux / Câbles audio / Câbles plats / Câbles d'alimentation";</v>
      </c>
      <c r="AB247" s="10" t="str">
        <f>IF(getCategoryLevelAsString($B247)="L0D_324785","",IF(I247="",CONCATENATE(";",EscStr(CONCATENATE("NavNode_",getCategoryLevelAsString($B247))),";",EscStr($J247),";"),CONCATENATE(";",EscStr(CONCATENATE("NavNode_",getCategoryLevelAsString($B247))),";",EscStr(I247),";")))</f>
        <v>;"NavNode_L3D_525385";"Cavi coassiali / cavi audio / cavi piatti / cavi alimentazione";</v>
      </c>
      <c r="AC247" s="10" t="str">
        <f>IF(getCategoryLevelAsString($B247)="L0D_324785","",IF(J247="",CONCATENATE(";",EscStr(CONCATENATE("NavNode_",getCategoryLevelAsString($B247))),";",EscStr($J247),";"),CONCATENATE(";",EscStr(CONCATENATE("NavNode_",getCategoryLevelAsString($B247))),";",EscStr(J247),";")))</f>
        <v>;"NavNode_L3D_525385";"Coaxial Cables / Audio Cables / Flat Cables / Power Cables";</v>
      </c>
      <c r="AD247" s="10" t="str">
        <f>IF(getCategoryLevelAsString($B247)="L0D_324785","",IF(K247="",CONCATENATE(";",EscStr(CONCATENATE("NavNode_",getCategoryLevelAsString($B247))),";",EscStr($J247),";"),CONCATENATE(";",EscStr(CONCATENATE("NavNode_",getCategoryLevelAsString($B247))),";",EscStr(K247),";")))</f>
        <v>;"NavNode_L3D_525385";"Koaksialkabler/audiokabler/fladkabler/effektkabler";</v>
      </c>
      <c r="AE247" s="10" t="str">
        <f>IF(getCategoryLevelAsString($B247)="L0D_324785","",IF(L247="",CONCATENATE(";",EscStr(CONCATENATE("NavNode_",getCategoryLevelAsString($B247))),";",EscStr($J247),";"),CONCATENATE(";",EscStr(CONCATENATE("NavNode_",getCategoryLevelAsString($B247))),";",EscStr(L247),";")))</f>
        <v>;"NavNode_L3D_525385";"Koaksialiniai kabeliai / garso kabeliai / plokšti kabeliai / maitinimo kabeliai";</v>
      </c>
      <c r="AF247" s="10" t="str">
        <f>IF(getCategoryLevelAsString($B247)="L0D_324785","",IF(M247="",CONCATENATE(";",EscStr(CONCATENATE("NavNode_",getCategoryLevelAsString($B247))),";",EscStr($J247),";"),CONCATENATE(";",EscStr(CONCATENATE("NavNode_",getCategoryLevelAsString($B247))),";",EscStr(M247),";")))</f>
        <v>;"NavNode_L3D_525385";"Koaksiale kabler / lydkabler / flatkabler / strømkabler";</v>
      </c>
      <c r="AG247" s="10" t="str">
        <f>IF(getCategoryLevelAsString($B247)="L0D_324785","",IF(N247="",CONCATENATE(";",EscStr(CONCATENATE("NavNode_",getCategoryLevelAsString($B247))),";",EscStr($J247),";"),CONCATENATE(";",EscStr(CONCATENATE("NavNode_",getCategoryLevelAsString($B247))),";",EscStr(N247),";")))</f>
        <v>;"NavNode_L3D_525385";"Koaxialkablar/Ljudkablar/Flata kablar/Strömkablar";</v>
      </c>
      <c r="AH247" s="10" t="str">
        <f>IF(getCategoryLevelAsString($B247)="L0D_324785","",IF(O247="",CONCATENATE(";",EscStr(CONCATENATE("NavNode_",getCategoryLevelAsString($B247))),";",EscStr($J247),";"),CONCATENATE(";",EscStr(CONCATENATE("NavNode_",getCategoryLevelAsString($B247))),";",EscStr(O247),";")))</f>
        <v>;"NavNode_L3D_525385";"Koaksiaalkaablid / Helikaablid / Lintkaablid / Toitekaablid";</v>
      </c>
      <c r="AI247" s="10" t="str">
        <f>IF(getCategoryLevelAsString($B247)="L0D_324785","",IF(P247="",CONCATENATE(";",EscStr(CONCATENATE("NavNode_",getCategoryLevelAsString($B247))),";",EscStr($J247),";"),CONCATENATE(";",EscStr(CONCATENATE("NavNode_",getCategoryLevelAsString($B247))),";",EscStr(P247),";")))</f>
        <v>;"NavNode_L3D_525385";"Koxi-kaapelit";</v>
      </c>
      <c r="AJ247" s="10" t="str">
        <f>IF(getCategoryLevelAsString($B247)="L0D_324785","",IF(Q247="",CONCATENATE(";",EscStr(CONCATENATE("NavNode_",getCategoryLevelAsString($B247))),";",EscStr($J247),";"),CONCATENATE(";",EscStr(CONCATENATE("NavNode_",getCategoryLevelAsString($B247))),";",EscStr(Q247),";")))</f>
        <v>;"NavNode_L3D_525385";"Koaksiālie kabeļi / Audio kabeļi / Plakani kabeļi / Barošanas kabeļi";</v>
      </c>
      <c r="AK247" s="10" t="str">
        <f>IF(getCategoryLevelAsString($B247)="L0D_324785","",IF(R247="",CONCATENATE(";",EscStr(CONCATENATE("NavNode_",getCategoryLevelAsString($B247))),";",EscStr($J247),";"),CONCATENATE(";",EscStr(CONCATENATE("NavNode_",getCategoryLevelAsString($B247))),";",EscStr(R247),";")))</f>
        <v>;"NavNode_L3D_525385";"Coaxkabels / Audiokabels / Bandkabels / Voedingskabels";</v>
      </c>
      <c r="AL247" s="10" t="str">
        <f>IF(getCategoryLevelAsString($B247)="L0D_324785","",IF(S247="",CONCATENATE(";",EscStr(CONCATENATE("NavNode_",getCategoryLevelAsString($B247))),";",EscStr($J247),";"),CONCATENATE(";",EscStr(CONCATENATE("NavNode_",getCategoryLevelAsString($B247))),";",EscStr(S247),";")))</f>
        <v>;"NavNode_L3D_525385";"Kable koncentryczne / Kable Audio / Kable Płaskie / Kable zasilające";</v>
      </c>
      <c r="AM247" s="10" t="str">
        <f>IF(getCategoryLevelAsString($B247)="L0D_324785","",IF(T247="",CONCATENATE(";",EscStr(CONCATENATE("NavNode_",getCategoryLevelAsString($B247))),";",EscStr($J247),";"),CONCATENATE(";",EscStr(CONCATENATE("NavNode_",getCategoryLevelAsString($B247))),";",EscStr(T247),";")))</f>
        <v>;"NavNode_L3D_525385";"Коаксиальные кабели/ Адиокабели / Плоские кабели / Кабели для питания";</v>
      </c>
      <c r="AN247" s="10" t="str">
        <f>IF(getCategoryLevelAsString($B247)="L0D_324785","",IF(U247="",CONCATENATE(";",EscStr(CONCATENATE("NavNode_",getCategoryLevelAsString($B247))),";",EscStr($J247),";"),CONCATENATE(";",EscStr(CONCATENATE("NavNode_",getCategoryLevelAsString($B247))),";",EscStr(U247),";")))</f>
        <v>;"NavNode_L3D_525385";"Koaxiální kabel / kabel Audio / plochý kabel / síťový kabel";</v>
      </c>
      <c r="AO247" s="10" t="str">
        <f>IF(getCategoryLevelAsString($B247)="L0D_324785","",IF(V247="",CONCATENATE(";",EscStr(CONCATENATE("NavNode_",getCategoryLevelAsString($B247))),";",EscStr($J247),";"),CONCATENATE(";",EscStr(CONCATENATE("NavNode_",getCategoryLevelAsString($B247))),";",EscStr(V247),";")))</f>
        <v>;"NavNode_L3D_525385";"Cabluri coaxiale / Cabluri audio/ Cabluri tip bandă / Cabluri de alimentare";</v>
      </c>
      <c r="AP247" s="10" t="str">
        <f>IF(getCategoryLevelAsString($B247)="L0D_324785","",IF(W247="",CONCATENATE(";",EscStr(CONCATENATE("NavNode_",getCategoryLevelAsString($B247))),";",EscStr($J247),";"),CONCATENATE(";",EscStr(CONCATENATE("NavNode_",getCategoryLevelAsString($B247))),";",EscStr(W247),";")))</f>
        <v>;"NavNode_L3D_525385";"Koaxiáliskábel / Audiókábel / Szalagkábel / Hálózatikábel";</v>
      </c>
      <c r="AQ247" s="10" t="str">
        <f>IF(getCategoryLevelAsString($B247)="L0D_324785","",IF(X247="",CONCATENATE(";",EscStr(CONCATENATE("NavNode_",getCategoryLevelAsString($B247))),";",EscStr($J247),";"),CONCATENATE(";",EscStr(CONCATENATE("NavNode_",getCategoryLevelAsString($B247))),";",EscStr(X247),";")))</f>
        <v>;"NavNode_L3D_525385";"Koaxiální kabel / kabel Audio / plochý kabel / síťový kabel";</v>
      </c>
      <c r="AR247" s="8" t="str">
        <f>IF(OR($A247&lt;&gt;"", $G247=""),"",CONCATENATE(";",EscStr(CONCATENATE("NavEntry_",getCategoryLevelAsString($B247))),";",EscStr(CONCATENATE($J247," Navigation Entry")),";",EscStr(CONCATENATE("cat-",getCategoryLevelAsString($B247))),";",EscStr(CONCATENATE("NavNode_",getCategoryLevelAsString($B247))),";"))</f>
        <v>;"NavEntry_L3D_525385";"Coaxial Cables / Audio Cables / Flat Cables / Power Cables Navigation Entry";"cat-L3D_525385";"NavNode_L3D_525385";</v>
      </c>
    </row>
    <row r="248" spans="1:44" ht="15" x14ac:dyDescent="0.25">
      <c r="A248" s="25"/>
      <c r="B248" s="5"/>
      <c r="C248" s="5"/>
      <c r="D248" s="5" t="s">
        <v>141</v>
      </c>
      <c r="E248" s="5"/>
      <c r="F248" s="5"/>
      <c r="G248" s="5" t="s">
        <v>381</v>
      </c>
      <c r="H248" s="5" t="s">
        <v>382</v>
      </c>
      <c r="I248" s="5" t="s">
        <v>383</v>
      </c>
      <c r="J248" s="5" t="s">
        <v>142</v>
      </c>
      <c r="K248" s="5" t="s">
        <v>1240</v>
      </c>
      <c r="L248" s="5" t="s">
        <v>1474</v>
      </c>
      <c r="M248" s="5" t="s">
        <v>1707</v>
      </c>
      <c r="N248" s="5" t="s">
        <v>1909</v>
      </c>
      <c r="O248" s="5" t="s">
        <v>2758</v>
      </c>
      <c r="P248" s="5" t="s">
        <v>2759</v>
      </c>
      <c r="Q248" s="5" t="s">
        <v>2760</v>
      </c>
      <c r="R248" s="5" t="s">
        <v>2761</v>
      </c>
      <c r="S248" s="5" t="s">
        <v>2762</v>
      </c>
      <c r="T248" s="5" t="s">
        <v>2763</v>
      </c>
      <c r="U248" s="5" t="s">
        <v>2764</v>
      </c>
      <c r="V248" s="5" t="s">
        <v>2765</v>
      </c>
      <c r="W248" s="5" t="s">
        <v>2766</v>
      </c>
      <c r="X248" s="5" t="s">
        <v>2764</v>
      </c>
      <c r="Y248" s="10" t="str">
        <f>IF(OR($A248&lt;&gt;"", $G248=""),"",CONCATENATE(";",EscStr(CONCATENATE("NavNode_",getCategoryLevelAsString($B248))),";",EscStr($J248),";",IF($B248&lt;&gt;"","""MainNavNode""",EscStr(CONCATENATE("NavNode_",getSuperCategory($B248, getCategoryLevelAsNumber($B248))))),";"))</f>
        <v>;"NavNode_L3D_525386";"Cable Ties / Cable Support";"NavNode_L2D_379529";</v>
      </c>
      <c r="Z248" s="10" t="str">
        <f>IF(getCategoryLevelAsString($B248)="L0D_324785","",IF(G248="",CONCATENATE(";",EscStr(CONCATENATE("NavNode_",getCategoryLevelAsString($B248))),";",EscStr($J248),";"),CONCATENATE(";",EscStr(CONCATENATE("NavNode_",getCategoryLevelAsString($B248))),";",EscStr(G248),";")))</f>
        <v>;"NavNode_L3D_525386";"Kabelbinder / Kabelhalter";</v>
      </c>
      <c r="AA248" s="10" t="str">
        <f>IF(getCategoryLevelAsString($B248)="L0D_324785","",IF(H248="",CONCATENATE(";",EscStr(CONCATENATE("NavNode_",getCategoryLevelAsString($B248))),";",EscStr($J248),";"),CONCATENATE(";",EscStr(CONCATENATE("NavNode_",getCategoryLevelAsString($B248))),";",EscStr(H248),";")))</f>
        <v>;"NavNode_L3D_525386";"Colliers de câble / Fixations de câble";</v>
      </c>
      <c r="AB248" s="10" t="str">
        <f>IF(getCategoryLevelAsString($B248)="L0D_324785","",IF(I248="",CONCATENATE(";",EscStr(CONCATENATE("NavNode_",getCategoryLevelAsString($B248))),";",EscStr($J248),";"),CONCATENATE(";",EscStr(CONCATENATE("NavNode_",getCategoryLevelAsString($B248))),";",EscStr(I248),";")))</f>
        <v>;"NavNode_L3D_525386";"Fascette fermacavi / Portacavi";</v>
      </c>
      <c r="AC248" s="10" t="str">
        <f>IF(getCategoryLevelAsString($B248)="L0D_324785","",IF(J248="",CONCATENATE(";",EscStr(CONCATENATE("NavNode_",getCategoryLevelAsString($B248))),";",EscStr($J248),";"),CONCATENATE(";",EscStr(CONCATENATE("NavNode_",getCategoryLevelAsString($B248))),";",EscStr(J248),";")))</f>
        <v>;"NavNode_L3D_525386";"Cable Ties / Cable Support";</v>
      </c>
      <c r="AD248" s="10" t="str">
        <f>IF(getCategoryLevelAsString($B248)="L0D_324785","",IF(K248="",CONCATENATE(";",EscStr(CONCATENATE("NavNode_",getCategoryLevelAsString($B248))),";",EscStr($J248),";"),CONCATENATE(";",EscStr(CONCATENATE("NavNode_",getCategoryLevelAsString($B248))),";",EscStr(K248),";")))</f>
        <v>;"NavNode_L3D_525386";"Kabelbindere/kabelunderstøtning";</v>
      </c>
      <c r="AE248" s="10" t="str">
        <f>IF(getCategoryLevelAsString($B248)="L0D_324785","",IF(L248="",CONCATENATE(";",EscStr(CONCATENATE("NavNode_",getCategoryLevelAsString($B248))),";",EscStr($J248),";"),CONCATENATE(";",EscStr(CONCATENATE("NavNode_",getCategoryLevelAsString($B248))),";",EscStr(L248),";")))</f>
        <v>;"NavNode_L3D_525386";"Kabelių dirželiai / kabelių laikikliai";</v>
      </c>
      <c r="AF248" s="10" t="str">
        <f>IF(getCategoryLevelAsString($B248)="L0D_324785","",IF(M248="",CONCATENATE(";",EscStr(CONCATENATE("NavNode_",getCategoryLevelAsString($B248))),";",EscStr($J248),";"),CONCATENATE(";",EscStr(CONCATENATE("NavNode_",getCategoryLevelAsString($B248))),";",EscStr(M248),";")))</f>
        <v>;"NavNode_L3D_525386";"Kabelbånd/kabelstøtte";</v>
      </c>
      <c r="AG248" s="10" t="str">
        <f>IF(getCategoryLevelAsString($B248)="L0D_324785","",IF(N248="",CONCATENATE(";",EscStr(CONCATENATE("NavNode_",getCategoryLevelAsString($B248))),";",EscStr($J248),";"),CONCATENATE(";",EscStr(CONCATENATE("NavNode_",getCategoryLevelAsString($B248))),";",EscStr(N248),";")))</f>
        <v>;"NavNode_L3D_525386";"Buntband/Kabelstöd";</v>
      </c>
      <c r="AH248" s="10" t="str">
        <f>IF(getCategoryLevelAsString($B248)="L0D_324785","",IF(O248="",CONCATENATE(";",EscStr(CONCATENATE("NavNode_",getCategoryLevelAsString($B248))),";",EscStr($J248),";"),CONCATENATE(";",EscStr(CONCATENATE("NavNode_",getCategoryLevelAsString($B248))),";",EscStr(O248),";")))</f>
        <v>;"NavNode_L3D_525386";"Kaablisidemed / Kaablikinnitused";</v>
      </c>
      <c r="AI248" s="10" t="str">
        <f>IF(getCategoryLevelAsString($B248)="L0D_324785","",IF(P248="",CONCATENATE(";",EscStr(CONCATENATE("NavNode_",getCategoryLevelAsString($B248))),";",EscStr($J248),";"),CONCATENATE(";",EscStr(CONCATENATE("NavNode_",getCategoryLevelAsString($B248))),";",EscStr(P248),";")))</f>
        <v>;"NavNode_L3D_525386";"Nippusiteet/ tuenta";</v>
      </c>
      <c r="AJ248" s="10" t="str">
        <f>IF(getCategoryLevelAsString($B248)="L0D_324785","",IF(Q248="",CONCATENATE(";",EscStr(CONCATENATE("NavNode_",getCategoryLevelAsString($B248))),";",EscStr($J248),";"),CONCATENATE(";",EscStr(CONCATENATE("NavNode_",getCategoryLevelAsString($B248))),";",EscStr(Q248),";")))</f>
        <v>;"NavNode_L3D_525386";"Kabeļu savilcēji / Kabeļu turētāji";</v>
      </c>
      <c r="AK248" s="10" t="str">
        <f>IF(getCategoryLevelAsString($B248)="L0D_324785","",IF(R248="",CONCATENATE(";",EscStr(CONCATENATE("NavNode_",getCategoryLevelAsString($B248))),";",EscStr($J248),";"),CONCATENATE(";",EscStr(CONCATENATE("NavNode_",getCategoryLevelAsString($B248))),";",EscStr(R248),";")))</f>
        <v>;"NavNode_L3D_525386";"Kabelbinders / Kabelmontage";</v>
      </c>
      <c r="AL248" s="10" t="str">
        <f>IF(getCategoryLevelAsString($B248)="L0D_324785","",IF(S248="",CONCATENATE(";",EscStr(CONCATENATE("NavNode_",getCategoryLevelAsString($B248))),";",EscStr($J248),";"),CONCATENATE(";",EscStr(CONCATENATE("NavNode_",getCategoryLevelAsString($B248))),";",EscStr(S248),";")))</f>
        <v>;"NavNode_L3D_525386";"Opaski zaciskowe / Mocowanie kabla";</v>
      </c>
      <c r="AM248" s="10" t="str">
        <f>IF(getCategoryLevelAsString($B248)="L0D_324785","",IF(T248="",CONCATENATE(";",EscStr(CONCATENATE("NavNode_",getCategoryLevelAsString($B248))),";",EscStr($J248),";"),CONCATENATE(";",EscStr(CONCATENATE("NavNode_",getCategoryLevelAsString($B248))),";",EscStr(T248),";")))</f>
        <v>;"NavNode_L3D_525386";"Кабельные стяжки / Кабельное крепление";</v>
      </c>
      <c r="AN248" s="10" t="str">
        <f>IF(getCategoryLevelAsString($B248)="L0D_324785","",IF(U248="",CONCATENATE(";",EscStr(CONCATENATE("NavNode_",getCategoryLevelAsString($B248))),";",EscStr($J248),";"),CONCATENATE(";",EscStr(CONCATENATE("NavNode_",getCategoryLevelAsString($B248))),";",EscStr(U248),";")))</f>
        <v>;"NavNode_L3D_525386";"Vázací pásky pro kabely / nosné prvky pro kabely";</v>
      </c>
      <c r="AO248" s="10" t="str">
        <f>IF(getCategoryLevelAsString($B248)="L0D_324785","",IF(V248="",CONCATENATE(";",EscStr(CONCATENATE("NavNode_",getCategoryLevelAsString($B248))),";",EscStr($J248),";"),CONCATENATE(";",EscStr(CONCATENATE("NavNode_",getCategoryLevelAsString($B248))),";",EscStr(V248),";")))</f>
        <v>;"NavNode_L3D_525386";"Accesorii de legare a cablurilor / Suporţi de cablu";</v>
      </c>
      <c r="AP248" s="10" t="str">
        <f>IF(getCategoryLevelAsString($B248)="L0D_324785","",IF(W248="",CONCATENATE(";",EscStr(CONCATENATE("NavNode_",getCategoryLevelAsString($B248))),";",EscStr($J248),";"),CONCATENATE(";",EscStr(CONCATENATE("NavNode_",getCategoryLevelAsString($B248))),";",EscStr(W248),";")))</f>
        <v>;"NavNode_L3D_525386";"Kábelkötözők / Kábelrögzítők";</v>
      </c>
      <c r="AQ248" s="10" t="str">
        <f>IF(getCategoryLevelAsString($B248)="L0D_324785","",IF(X248="",CONCATENATE(";",EscStr(CONCATENATE("NavNode_",getCategoryLevelAsString($B248))),";",EscStr($J248),";"),CONCATENATE(";",EscStr(CONCATENATE("NavNode_",getCategoryLevelAsString($B248))),";",EscStr(X248),";")))</f>
        <v>;"NavNode_L3D_525386";"Vázací pásky pro kabely / nosné prvky pro kabely";</v>
      </c>
      <c r="AR248" s="8" t="str">
        <f>IF(OR($A248&lt;&gt;"", $G248=""),"",CONCATENATE(";",EscStr(CONCATENATE("NavEntry_",getCategoryLevelAsString($B248))),";",EscStr(CONCATENATE($J248," Navigation Entry")),";",EscStr(CONCATENATE("cat-",getCategoryLevelAsString($B248))),";",EscStr(CONCATENATE("NavNode_",getCategoryLevelAsString($B248))),";"))</f>
        <v>;"NavEntry_L3D_525386";"Cable Ties / Cable Support Navigation Entry";"cat-L3D_525386";"NavNode_L3D_525386";</v>
      </c>
    </row>
    <row r="249" spans="1:44" ht="15" x14ac:dyDescent="0.25">
      <c r="A249" s="25"/>
      <c r="B249" s="5"/>
      <c r="C249" s="5"/>
      <c r="D249" s="5" t="s">
        <v>139</v>
      </c>
      <c r="E249" s="5"/>
      <c r="F249" s="5"/>
      <c r="G249" s="5" t="s">
        <v>992</v>
      </c>
      <c r="H249" s="5" t="s">
        <v>1094</v>
      </c>
      <c r="I249" s="5" t="s">
        <v>1153</v>
      </c>
      <c r="J249" s="5" t="s">
        <v>140</v>
      </c>
      <c r="K249" s="5" t="s">
        <v>1241</v>
      </c>
      <c r="L249" s="5" t="s">
        <v>1475</v>
      </c>
      <c r="M249" s="5" t="s">
        <v>1708</v>
      </c>
      <c r="N249" s="5" t="s">
        <v>1910</v>
      </c>
      <c r="O249" s="5" t="s">
        <v>2616</v>
      </c>
      <c r="P249" s="5" t="s">
        <v>2767</v>
      </c>
      <c r="Q249" s="5" t="s">
        <v>2768</v>
      </c>
      <c r="R249" s="5" t="s">
        <v>2769</v>
      </c>
      <c r="S249" s="5" t="s">
        <v>2620</v>
      </c>
      <c r="T249" s="5" t="s">
        <v>2770</v>
      </c>
      <c r="U249" s="5" t="s">
        <v>2771</v>
      </c>
      <c r="V249" s="5" t="s">
        <v>2772</v>
      </c>
      <c r="W249" s="5" t="s">
        <v>2773</v>
      </c>
      <c r="X249" s="5" t="s">
        <v>2771</v>
      </c>
      <c r="Y249" s="10" t="str">
        <f>IF(OR($A249&lt;&gt;"", $G249=""),"",CONCATENATE(";",EscStr(CONCATENATE("NavNode_",getCategoryLevelAsString($B249))),";",EscStr($J249),";",IF($B249&lt;&gt;"","""MainNavNode""",EscStr(CONCATENATE("NavNode_",getSuperCategory($B249, getCategoryLevelAsNumber($B249))))),";"))</f>
        <v>;"NavNode_L2D_653174";"Terminal Strip / Light Terminals";"NavNode_Electrical Engineering / Cables";</v>
      </c>
      <c r="Z249" s="10" t="str">
        <f>IF(getCategoryLevelAsString($B249)="L0D_324785","",IF(G249="",CONCATENATE(";",EscStr(CONCATENATE("NavNode_",getCategoryLevelAsString($B249))),";",EscStr($J249),";"),CONCATENATE(";",EscStr(CONCATENATE("NavNode_",getCategoryLevelAsString($B249))),";",EscStr(G249),";")))</f>
        <v>;"NavNode_L2D_653174";"Klemmenleiste / Leuchtenklemmen";</v>
      </c>
      <c r="AA249" s="10" t="str">
        <f>IF(getCategoryLevelAsString($B249)="L0D_324785","",IF(H249="",CONCATENATE(";",EscStr(CONCATENATE("NavNode_",getCategoryLevelAsString($B249))),";",EscStr($J249),";"),CONCATENATE(";",EscStr(CONCATENATE("NavNode_",getCategoryLevelAsString($B249))),";",EscStr(H249),";")))</f>
        <v>;"NavNode_L2D_653174";"Borniers / Borniers pour lampe";</v>
      </c>
      <c r="AB249" s="10" t="str">
        <f>IF(getCategoryLevelAsString($B249)="L0D_324785","",IF(I249="",CONCATENATE(";",EscStr(CONCATENATE("NavNode_",getCategoryLevelAsString($B249))),";",EscStr($J249),";"),CONCATENATE(";",EscStr(CONCATENATE("NavNode_",getCategoryLevelAsString($B249))),";",EscStr(I249),";")))</f>
        <v>;"NavNode_L2D_653174";"Morsettiere / Morsetti per lampade";</v>
      </c>
      <c r="AC249" s="10" t="str">
        <f>IF(getCategoryLevelAsString($B249)="L0D_324785","",IF(J249="",CONCATENATE(";",EscStr(CONCATENATE("NavNode_",getCategoryLevelAsString($B249))),";",EscStr($J249),";"),CONCATENATE(";",EscStr(CONCATENATE("NavNode_",getCategoryLevelAsString($B249))),";",EscStr(J249),";")))</f>
        <v>;"NavNode_L2D_653174";"Terminal Strip / Light Terminals";</v>
      </c>
      <c r="AD249" s="10" t="str">
        <f>IF(getCategoryLevelAsString($B249)="L0D_324785","",IF(K249="",CONCATENATE(";",EscStr(CONCATENATE("NavNode_",getCategoryLevelAsString($B249))),";",EscStr($J249),";"),CONCATENATE(";",EscStr(CONCATENATE("NavNode_",getCategoryLevelAsString($B249))),";",EscStr(K249),";")))</f>
        <v>;"NavNode_L2D_653174";"Klemliste/lysterminaler";</v>
      </c>
      <c r="AE249" s="10" t="str">
        <f>IF(getCategoryLevelAsString($B249)="L0D_324785","",IF(L249="",CONCATENATE(";",EscStr(CONCATENATE("NavNode_",getCategoryLevelAsString($B249))),";",EscStr($J249),";"),CONCATENATE(";",EscStr(CONCATENATE("NavNode_",getCategoryLevelAsString($B249))),";",EscStr(L249),";")))</f>
        <v>;"NavNode_L2D_653174";"Gnybtų juostos / apšvietimo gnybtai";</v>
      </c>
      <c r="AF249" s="10" t="str">
        <f>IF(getCategoryLevelAsString($B249)="L0D_324785","",IF(M249="",CONCATENATE(";",EscStr(CONCATENATE("NavNode_",getCategoryLevelAsString($B249))),";",EscStr($J249),";"),CONCATENATE(";",EscStr(CONCATENATE("NavNode_",getCategoryLevelAsString($B249))),";",EscStr(M249),";")))</f>
        <v>;"NavNode_L2D_653174";"Klemmelist/lysklemmer";</v>
      </c>
      <c r="AG249" s="10" t="str">
        <f>IF(getCategoryLevelAsString($B249)="L0D_324785","",IF(N249="",CONCATENATE(";",EscStr(CONCATENATE("NavNode_",getCategoryLevelAsString($B249))),";",EscStr($J249),";"),CONCATENATE(";",EscStr(CONCATENATE("NavNode_",getCategoryLevelAsString($B249))),";",EscStr(N249),";")))</f>
        <v>;"NavNode_L2D_653174";"Kopplingsplint/Ljusplintar";</v>
      </c>
      <c r="AH249" s="10" t="str">
        <f>IF(getCategoryLevelAsString($B249)="L0D_324785","",IF(O249="",CONCATENATE(";",EscStr(CONCATENATE("NavNode_",getCategoryLevelAsString($B249))),";",EscStr($J249),";"),CONCATENATE(";",EscStr(CONCATENATE("NavNode_",getCategoryLevelAsString($B249))),";",EscStr(O249),";")))</f>
        <v>;"NavNode_L2D_653174";"Klemmliistud";</v>
      </c>
      <c r="AI249" s="10" t="str">
        <f>IF(getCategoryLevelAsString($B249)="L0D_324785","",IF(P249="",CONCATENATE(";",EscStr(CONCATENATE("NavNode_",getCategoryLevelAsString($B249))),";",EscStr($J249),";"),CONCATENATE(";",EscStr(CONCATENATE("NavNode_",getCategoryLevelAsString($B249))),";",EscStr(P249),";")))</f>
        <v>;"NavNode_L2D_653174";"Kytkentärimat";</v>
      </c>
      <c r="AJ249" s="10" t="str">
        <f>IF(getCategoryLevelAsString($B249)="L0D_324785","",IF(Q249="",CONCATENATE(";",EscStr(CONCATENATE("NavNode_",getCategoryLevelAsString($B249))),";",EscStr($J249),";"),CONCATENATE(";",EscStr(CONCATENATE("NavNode_",getCategoryLevelAsString($B249))),";",EscStr(Q249),";")))</f>
        <v>;"NavNode_L2D_653174";"Plakanspailes / apgaismes termināļi";</v>
      </c>
      <c r="AK249" s="10" t="str">
        <f>IF(getCategoryLevelAsString($B249)="L0D_324785","",IF(R249="",CONCATENATE(";",EscStr(CONCATENATE("NavNode_",getCategoryLevelAsString($B249))),";",EscStr($J249),";"),CONCATENATE(";",EscStr(CONCATENATE("NavNode_",getCategoryLevelAsString($B249))),";",EscStr(R249),";")))</f>
        <v>;"NavNode_L2D_653174";"Kroonsteen strips / kroonklem";</v>
      </c>
      <c r="AL249" s="10" t="str">
        <f>IF(getCategoryLevelAsString($B249)="L0D_324785","",IF(S249="",CONCATENATE(";",EscStr(CONCATENATE("NavNode_",getCategoryLevelAsString($B249))),";",EscStr($J249),";"),CONCATENATE(";",EscStr(CONCATENATE("NavNode_",getCategoryLevelAsString($B249))),";",EscStr(S249),";")))</f>
        <v>;"NavNode_L2D_653174";"Listwy łączeniowe";</v>
      </c>
      <c r="AM249" s="10" t="str">
        <f>IF(getCategoryLevelAsString($B249)="L0D_324785","",IF(T249="",CONCATENATE(";",EscStr(CONCATENATE("NavNode_",getCategoryLevelAsString($B249))),";",EscStr($J249),";"),CONCATENATE(";",EscStr(CONCATENATE("NavNode_",getCategoryLevelAsString($B249))),";",EscStr(T249),";")))</f>
        <v>;"NavNode_L2D_653174";"Клеммные полосы / Клеммы для осветительного оборудования";</v>
      </c>
      <c r="AN249" s="10" t="str">
        <f>IF(getCategoryLevelAsString($B249)="L0D_324785","",IF(U249="",CONCATENATE(";",EscStr(CONCATENATE("NavNode_",getCategoryLevelAsString($B249))),";",EscStr($J249),";"),CONCATENATE(";",EscStr(CONCATENATE("NavNode_",getCategoryLevelAsString($B249))),";",EscStr(U249),";")))</f>
        <v>;"NavNode_L2D_653174";"Pásková svorkovnice / svorky pro osvětlení";</v>
      </c>
      <c r="AO249" s="10" t="str">
        <f>IF(getCategoryLevelAsString($B249)="L0D_324785","",IF(V249="",CONCATENATE(";",EscStr(CONCATENATE("NavNode_",getCategoryLevelAsString($B249))),";",EscStr($J249),";"),CONCATENATE(";",EscStr(CONCATENATE("NavNode_",getCategoryLevelAsString($B249))),";",EscStr(V249),";")))</f>
        <v>;"NavNode_L2D_653174";"Bloc terminal / lumină terminale";</v>
      </c>
      <c r="AP249" s="10" t="str">
        <f>IF(getCategoryLevelAsString($B249)="L0D_324785","",IF(W249="",CONCATENATE(";",EscStr(CONCATENATE("NavNode_",getCategoryLevelAsString($B249))),";",EscStr($J249),";"),CONCATENATE(";",EscStr(CONCATENATE("NavNode_",getCategoryLevelAsString($B249))),";",EscStr(W249),";")))</f>
        <v>;"NavNode_L2D_653174";"Sorkapcsok / Gyorscsatlakozók";</v>
      </c>
      <c r="AQ249" s="10" t="str">
        <f>IF(getCategoryLevelAsString($B249)="L0D_324785","",IF(X249="",CONCATENATE(";",EscStr(CONCATENATE("NavNode_",getCategoryLevelAsString($B249))),";",EscStr($J249),";"),CONCATENATE(";",EscStr(CONCATENATE("NavNode_",getCategoryLevelAsString($B249))),";",EscStr(X249),";")))</f>
        <v>;"NavNode_L2D_653174";"Pásková svorkovnice / svorky pro osvětlení";</v>
      </c>
      <c r="AR249" s="8" t="str">
        <f>IF(OR($A249&lt;&gt;"", $G249=""),"",CONCATENATE(";",EscStr(CONCATENATE("NavEntry_",getCategoryLevelAsString($B249))),";",EscStr(CONCATENATE($J249," Navigation Entry")),";",EscStr(CONCATENATE("cat-",getCategoryLevelAsString($B249))),";",EscStr(CONCATENATE("NavNode_",getCategoryLevelAsString($B249))),";"))</f>
        <v>;"NavEntry_L2D_653174";"Terminal Strip / Light Terminals Navigation Entry";"cat-L2D_653174";"NavNode_L2D_653174";</v>
      </c>
    </row>
    <row r="250" spans="1:44" ht="15" x14ac:dyDescent="0.25">
      <c r="A250" s="25"/>
      <c r="B250" s="5"/>
      <c r="C250" s="5" t="s">
        <v>2114</v>
      </c>
      <c r="D250" s="5"/>
      <c r="E250" s="5"/>
      <c r="F250" s="5"/>
      <c r="G250" s="5" t="s">
        <v>2115</v>
      </c>
      <c r="H250" s="5" t="s">
        <v>3729</v>
      </c>
      <c r="I250" s="5" t="s">
        <v>3730</v>
      </c>
      <c r="J250" s="5" t="s">
        <v>2124</v>
      </c>
      <c r="K250" s="5" t="s">
        <v>3731</v>
      </c>
      <c r="L250" s="5" t="s">
        <v>3732</v>
      </c>
      <c r="M250" s="5" t="s">
        <v>3733</v>
      </c>
      <c r="N250" s="5" t="s">
        <v>3734</v>
      </c>
      <c r="O250" s="5" t="s">
        <v>3735</v>
      </c>
      <c r="P250" s="5" t="s">
        <v>3736</v>
      </c>
      <c r="Q250" s="5" t="s">
        <v>3737</v>
      </c>
      <c r="R250" s="5" t="s">
        <v>3738</v>
      </c>
      <c r="S250" s="5" t="s">
        <v>3739</v>
      </c>
      <c r="T250" s="5" t="s">
        <v>3740</v>
      </c>
      <c r="U250" s="5" t="s">
        <v>3741</v>
      </c>
      <c r="V250" s="5" t="s">
        <v>3742</v>
      </c>
      <c r="W250" s="5" t="s">
        <v>3743</v>
      </c>
      <c r="X250" s="5" t="s">
        <v>3741</v>
      </c>
      <c r="Y250" s="10" t="str">
        <f>IF(OR($A250&lt;&gt;"", $G250=""),"",CONCATENATE(";",EscStr(CONCATENATE("NavNode_",getCategoryLevelAsString($B250))),";",EscStr($J250),";",IF($B250&lt;&gt;"","""MainNavNode""",EscStr(CONCATENATE("NavNode_",getSuperCategory($B250, getCategoryLevelAsNumber($B250))))),";"))</f>
        <v>;"NavNode_L3D_657103";"Building Technologies";"NavNode_L2D_653174";</v>
      </c>
      <c r="Z250" s="10" t="str">
        <f>IF(getCategoryLevelAsString($B250)="L0D_324785","",IF(G250="",CONCATENATE(";",EscStr(CONCATENATE("NavNode_",getCategoryLevelAsString($B250))),";",EscStr($J250),";"),CONCATENATE(";",EscStr(CONCATENATE("NavNode_",getCategoryLevelAsString($B250))),";",EscStr(G250),";")))</f>
        <v>;"NavNode_L3D_657103";"Gebäudetechnik";</v>
      </c>
      <c r="AA250" s="10" t="str">
        <f>IF(getCategoryLevelAsString($B250)="L0D_324785","",IF(H250="",CONCATENATE(";",EscStr(CONCATENATE("NavNode_",getCategoryLevelAsString($B250))),";",EscStr($J250),";"),CONCATENATE(";",EscStr(CONCATENATE("NavNode_",getCategoryLevelAsString($B250))),";",EscStr(H250),";")))</f>
        <v>;"NavNode_L3D_657103";"Techniques de bâtiment";</v>
      </c>
      <c r="AB250" s="10" t="str">
        <f>IF(getCategoryLevelAsString($B250)="L0D_324785","",IF(I250="",CONCATENATE(";",EscStr(CONCATENATE("NavNode_",getCategoryLevelAsString($B250))),";",EscStr($J250),";"),CONCATENATE(";",EscStr(CONCATENATE("NavNode_",getCategoryLevelAsString($B250))),";",EscStr(I250),";")))</f>
        <v>;"NavNode_L3D_657103";"Tecnologie per gli edifici";</v>
      </c>
      <c r="AC250" s="10" t="str">
        <f>IF(getCategoryLevelAsString($B250)="L0D_324785","",IF(J250="",CONCATENATE(";",EscStr(CONCATENATE("NavNode_",getCategoryLevelAsString($B250))),";",EscStr($J250),";"),CONCATENATE(";",EscStr(CONCATENATE("NavNode_",getCategoryLevelAsString($B250))),";",EscStr(J250),";")))</f>
        <v>;"NavNode_L3D_657103";"Building Technologies";</v>
      </c>
      <c r="AD250" s="10" t="str">
        <f>IF(getCategoryLevelAsString($B250)="L0D_324785","",IF(K250="",CONCATENATE(";",EscStr(CONCATENATE("NavNode_",getCategoryLevelAsString($B250))),";",EscStr($J250),";"),CONCATENATE(";",EscStr(CONCATENATE("NavNode_",getCategoryLevelAsString($B250))),";",EscStr(K250),";")))</f>
        <v>;"NavNode_L3D_657103";"Bygningsteknologi";</v>
      </c>
      <c r="AE250" s="10" t="str">
        <f>IF(getCategoryLevelAsString($B250)="L0D_324785","",IF(L250="",CONCATENATE(";",EscStr(CONCATENATE("NavNode_",getCategoryLevelAsString($B250))),";",EscStr($J250),";"),CONCATENATE(";",EscStr(CONCATENATE("NavNode_",getCategoryLevelAsString($B250))),";",EscStr(L250),";")))</f>
        <v>;"NavNode_L3D_657103";"Protingo namo technologijos";</v>
      </c>
      <c r="AF250" s="10" t="str">
        <f>IF(getCategoryLevelAsString($B250)="L0D_324785","",IF(M250="",CONCATENATE(";",EscStr(CONCATENATE("NavNode_",getCategoryLevelAsString($B250))),";",EscStr($J250),";"),CONCATENATE(";",EscStr(CONCATENATE("NavNode_",getCategoryLevelAsString($B250))),";",EscStr(M250),";")))</f>
        <v>;"NavNode_L3D_657103";"Bygningsteknologier";</v>
      </c>
      <c r="AG250" s="10" t="str">
        <f>IF(getCategoryLevelAsString($B250)="L0D_324785","",IF(N250="",CONCATENATE(";",EscStr(CONCATENATE("NavNode_",getCategoryLevelAsString($B250))),";",EscStr($J250),";"),CONCATENATE(";",EscStr(CONCATENATE("NavNode_",getCategoryLevelAsString($B250))),";",EscStr(N250),";")))</f>
        <v>;"NavNode_L3D_657103";"Byggteknik";</v>
      </c>
      <c r="AH250" s="10" t="str">
        <f>IF(getCategoryLevelAsString($B250)="L0D_324785","",IF(O250="",CONCATENATE(";",EscStr(CONCATENATE("NavNode_",getCategoryLevelAsString($B250))),";",EscStr($J250),";"),CONCATENATE(";",EscStr(CONCATENATE("NavNode_",getCategoryLevelAsString($B250))),";",EscStr(O250),";")))</f>
        <v>;"NavNode_L3D_657103";"Tehnoloogiate loomine";</v>
      </c>
      <c r="AI250" s="10" t="str">
        <f>IF(getCategoryLevelAsString($B250)="L0D_324785","",IF(P250="",CONCATENATE(";",EscStr(CONCATENATE("NavNode_",getCategoryLevelAsString($B250))),";",EscStr($J250),";"),CONCATENATE(";",EscStr(CONCATENATE("NavNode_",getCategoryLevelAsString($B250))),";",EscStr(P250),";")))</f>
        <v>;"NavNode_L3D_657103";"Rakennustekniikka";</v>
      </c>
      <c r="AJ250" s="10" t="str">
        <f>IF(getCategoryLevelAsString($B250)="L0D_324785","",IF(Q250="",CONCATENATE(";",EscStr(CONCATENATE("NavNode_",getCategoryLevelAsString($B250))),";",EscStr($J250),";"),CONCATENATE(";",EscStr(CONCATENATE("NavNode_",getCategoryLevelAsString($B250))),";",EscStr(Q250),";")))</f>
        <v>;"NavNode_L3D_657103";"Būvniecības tehnoloģijas";</v>
      </c>
      <c r="AK250" s="10" t="str">
        <f>IF(getCategoryLevelAsString($B250)="L0D_324785","",IF(R250="",CONCATENATE(";",EscStr(CONCATENATE("NavNode_",getCategoryLevelAsString($B250))),";",EscStr($J250),";"),CONCATENATE(";",EscStr(CONCATENATE("NavNode_",getCategoryLevelAsString($B250))),";",EscStr(R250),";")))</f>
        <v>;"NavNode_L3D_657103";"Bouwtechnologieën";</v>
      </c>
      <c r="AL250" s="10" t="str">
        <f>IF(getCategoryLevelAsString($B250)="L0D_324785","",IF(S250="",CONCATENATE(";",EscStr(CONCATENATE("NavNode_",getCategoryLevelAsString($B250))),";",EscStr($J250),";"),CONCATENATE(";",EscStr(CONCATENATE("NavNode_",getCategoryLevelAsString($B250))),";",EscStr(S250),";")))</f>
        <v>;"NavNode_L3D_657103";"Technika budowlana";</v>
      </c>
      <c r="AM250" s="10" t="str">
        <f>IF(getCategoryLevelAsString($B250)="L0D_324785","",IF(T250="",CONCATENATE(";",EscStr(CONCATENATE("NavNode_",getCategoryLevelAsString($B250))),";",EscStr($J250),";"),CONCATENATE(";",EscStr(CONCATENATE("NavNode_",getCategoryLevelAsString($B250))),";",EscStr(T250),";")))</f>
        <v>;"NavNode_L3D_657103";"Строительные технологии";</v>
      </c>
      <c r="AN250" s="10" t="str">
        <f>IF(getCategoryLevelAsString($B250)="L0D_324785","",IF(U250="",CONCATENATE(";",EscStr(CONCATENATE("NavNode_",getCategoryLevelAsString($B250))),";",EscStr($J250),";"),CONCATENATE(";",EscStr(CONCATENATE("NavNode_",getCategoryLevelAsString($B250))),";",EscStr(U250),";")))</f>
        <v>;"NavNode_L3D_657103";"Stavební technologie";</v>
      </c>
      <c r="AO250" s="10" t="str">
        <f>IF(getCategoryLevelAsString($B250)="L0D_324785","",IF(V250="",CONCATENATE(";",EscStr(CONCATENATE("NavNode_",getCategoryLevelAsString($B250))),";",EscStr($J250),";"),CONCATENATE(";",EscStr(CONCATENATE("NavNode_",getCategoryLevelAsString($B250))),";",EscStr(V250),";")))</f>
        <v>;"NavNode_L3D_657103";"Tehnologii clădiri";</v>
      </c>
      <c r="AP250" s="10" t="str">
        <f>IF(getCategoryLevelAsString($B250)="L0D_324785","",IF(W250="",CONCATENATE(";",EscStr(CONCATENATE("NavNode_",getCategoryLevelAsString($B250))),";",EscStr($J250),";"),CONCATENATE(";",EscStr(CONCATENATE("NavNode_",getCategoryLevelAsString($B250))),";",EscStr(W250),";")))</f>
        <v>;"NavNode_L3D_657103";"Épülettechnológiák";</v>
      </c>
      <c r="AQ250" s="10" t="str">
        <f>IF(getCategoryLevelAsString($B250)="L0D_324785","",IF(X250="",CONCATENATE(";",EscStr(CONCATENATE("NavNode_",getCategoryLevelAsString($B250))),";",EscStr($J250),";"),CONCATENATE(";",EscStr(CONCATENATE("NavNode_",getCategoryLevelAsString($B250))),";",EscStr(X250),";")))</f>
        <v>;"NavNode_L3D_657103";"Stavební technologie";</v>
      </c>
      <c r="AR250" s="8" t="str">
        <f>IF(OR($A250&lt;&gt;"", $G250=""),"",CONCATENATE(";",EscStr(CONCATENATE("NavEntry_",getCategoryLevelAsString($B250))),";",EscStr(CONCATENATE($J250," Navigation Entry")),";",EscStr(CONCATENATE("cat-",getCategoryLevelAsString($B250))),";",EscStr(CONCATENATE("NavNode_",getCategoryLevelAsString($B250))),";"))</f>
        <v>;"NavEntry_L3D_657103";"Building Technologies Navigation Entry";"cat-L3D_657103";"NavNode_L3D_657103";</v>
      </c>
    </row>
    <row r="251" spans="1:44" ht="15" x14ac:dyDescent="0.25">
      <c r="A251" s="25"/>
      <c r="B251" s="5"/>
      <c r="C251" s="5"/>
      <c r="D251" s="5" t="s">
        <v>2117</v>
      </c>
      <c r="E251" s="5"/>
      <c r="F251" s="5"/>
      <c r="G251" s="5" t="s">
        <v>2121</v>
      </c>
      <c r="H251" s="5" t="s">
        <v>3759</v>
      </c>
      <c r="I251" s="5" t="s">
        <v>3760</v>
      </c>
      <c r="J251" s="5" t="s">
        <v>2126</v>
      </c>
      <c r="K251" s="5" t="s">
        <v>3761</v>
      </c>
      <c r="L251" s="5" t="s">
        <v>3762</v>
      </c>
      <c r="M251" s="5" t="s">
        <v>3763</v>
      </c>
      <c r="N251" s="5" t="s">
        <v>3764</v>
      </c>
      <c r="O251" s="5" t="s">
        <v>3765</v>
      </c>
      <c r="P251" s="5" t="s">
        <v>3766</v>
      </c>
      <c r="Q251" s="5" t="s">
        <v>3767</v>
      </c>
      <c r="R251" s="5" t="s">
        <v>3768</v>
      </c>
      <c r="S251" s="5" t="s">
        <v>3769</v>
      </c>
      <c r="T251" s="5" t="s">
        <v>3770</v>
      </c>
      <c r="U251" s="5" t="s">
        <v>3771</v>
      </c>
      <c r="V251" s="5" t="s">
        <v>3772</v>
      </c>
      <c r="W251" s="5" t="s">
        <v>3773</v>
      </c>
      <c r="X251" s="5" t="s">
        <v>3771</v>
      </c>
      <c r="Y251" s="10" t="str">
        <f>IF(OR($A251&lt;&gt;"", $G251=""),"",CONCATENATE(";",EscStr(CONCATENATE("NavNode_",getCategoryLevelAsString($B251))),";",EscStr($J251),";",IF($B251&lt;&gt;"","""MainNavNode""",EscStr(CONCATENATE("NavNode_",getSuperCategory($B251, getCategoryLevelAsNumber($B251))))),";"))</f>
        <v>;"NavNode_L3D_658528";"Building Security";"NavNode_L2D_653174";</v>
      </c>
      <c r="Z251" s="10" t="str">
        <f>IF(getCategoryLevelAsString($B251)="L0D_324785","",IF(G251="",CONCATENATE(";",EscStr(CONCATENATE("NavNode_",getCategoryLevelAsString($B251))),";",EscStr($J251),";"),CONCATENATE(";",EscStr(CONCATENATE("NavNode_",getCategoryLevelAsString($B251))),";",EscStr(G251),";")))</f>
        <v>;"NavNode_L3D_658528";"Gebäudesicherheit";</v>
      </c>
      <c r="AA251" s="10" t="str">
        <f>IF(getCategoryLevelAsString($B251)="L0D_324785","",IF(H251="",CONCATENATE(";",EscStr(CONCATENATE("NavNode_",getCategoryLevelAsString($B251))),";",EscStr($J251),";"),CONCATENATE(";",EscStr(CONCATENATE("NavNode_",getCategoryLevelAsString($B251))),";",EscStr(H251),";")))</f>
        <v>;"NavNode_L3D_658528";"Sécurité des bâtiments";</v>
      </c>
      <c r="AB251" s="10" t="str">
        <f>IF(getCategoryLevelAsString($B251)="L0D_324785","",IF(I251="",CONCATENATE(";",EscStr(CONCATENATE("NavNode_",getCategoryLevelAsString($B251))),";",EscStr($J251),";"),CONCATENATE(";",EscStr(CONCATENATE("NavNode_",getCategoryLevelAsString($B251))),";",EscStr(I251),";")))</f>
        <v>;"NavNode_L3D_658528";"Sicurezza degli edifici";</v>
      </c>
      <c r="AC251" s="10" t="str">
        <f>IF(getCategoryLevelAsString($B251)="L0D_324785","",IF(J251="",CONCATENATE(";",EscStr(CONCATENATE("NavNode_",getCategoryLevelAsString($B251))),";",EscStr($J251),";"),CONCATENATE(";",EscStr(CONCATENATE("NavNode_",getCategoryLevelAsString($B251))),";",EscStr(J251),";")))</f>
        <v>;"NavNode_L3D_658528";"Building Security";</v>
      </c>
      <c r="AD251" s="10" t="str">
        <f>IF(getCategoryLevelAsString($B251)="L0D_324785","",IF(K251="",CONCATENATE(";",EscStr(CONCATENATE("NavNode_",getCategoryLevelAsString($B251))),";",EscStr($J251),";"),CONCATENATE(";",EscStr(CONCATENATE("NavNode_",getCategoryLevelAsString($B251))),";",EscStr(K251),";")))</f>
        <v>;"NavNode_L3D_658528";"Bygningssikkerhed";</v>
      </c>
      <c r="AE251" s="10" t="str">
        <f>IF(getCategoryLevelAsString($B251)="L0D_324785","",IF(L251="",CONCATENATE(";",EscStr(CONCATENATE("NavNode_",getCategoryLevelAsString($B251))),";",EscStr($J251),";"),CONCATENATE(";",EscStr(CONCATENATE("NavNode_",getCategoryLevelAsString($B251))),";",EscStr(L251),";")))</f>
        <v>;"NavNode_L3D_658528";"Apsaugos komponentai";</v>
      </c>
      <c r="AF251" s="10" t="str">
        <f>IF(getCategoryLevelAsString($B251)="L0D_324785","",IF(M251="",CONCATENATE(";",EscStr(CONCATENATE("NavNode_",getCategoryLevelAsString($B251))),";",EscStr($J251),";"),CONCATENATE(";",EscStr(CONCATENATE("NavNode_",getCategoryLevelAsString($B251))),";",EscStr(M251),";")))</f>
        <v>;"NavNode_L3D_658528";"Bygningssikkerhet";</v>
      </c>
      <c r="AG251" s="10" t="str">
        <f>IF(getCategoryLevelAsString($B251)="L0D_324785","",IF(N251="",CONCATENATE(";",EscStr(CONCATENATE("NavNode_",getCategoryLevelAsString($B251))),";",EscStr($J251),";"),CONCATENATE(";",EscStr(CONCATENATE("NavNode_",getCategoryLevelAsString($B251))),";",EscStr(N251),";")))</f>
        <v>;"NavNode_L3D_658528";"Byggsäkerhet";</v>
      </c>
      <c r="AH251" s="10" t="str">
        <f>IF(getCategoryLevelAsString($B251)="L0D_324785","",IF(O251="",CONCATENATE(";",EscStr(CONCATENATE("NavNode_",getCategoryLevelAsString($B251))),";",EscStr($J251),";"),CONCATENATE(";",EscStr(CONCATENATE("NavNode_",getCategoryLevelAsString($B251))),";",EscStr(O251),";")))</f>
        <v>;"NavNode_L3D_658528";"Turvalisuse loomine";</v>
      </c>
      <c r="AI251" s="10" t="str">
        <f>IF(getCategoryLevelAsString($B251)="L0D_324785","",IF(P251="",CONCATENATE(";",EscStr(CONCATENATE("NavNode_",getCategoryLevelAsString($B251))),";",EscStr($J251),";"),CONCATENATE(";",EscStr(CONCATENATE("NavNode_",getCategoryLevelAsString($B251))),";",EscStr(P251),";")))</f>
        <v>;"NavNode_L3D_658528";"Rakennusturvallisuus";</v>
      </c>
      <c r="AJ251" s="10" t="str">
        <f>IF(getCategoryLevelAsString($B251)="L0D_324785","",IF(Q251="",CONCATENATE(";",EscStr(CONCATENATE("NavNode_",getCategoryLevelAsString($B251))),";",EscStr($J251),";"),CONCATENATE(";",EscStr(CONCATENATE("NavNode_",getCategoryLevelAsString($B251))),";",EscStr(Q251),";")))</f>
        <v>;"NavNode_L3D_658528";"Ēkas drošība";</v>
      </c>
      <c r="AK251" s="10" t="str">
        <f>IF(getCategoryLevelAsString($B251)="L0D_324785","",IF(R251="",CONCATENATE(";",EscStr(CONCATENATE("NavNode_",getCategoryLevelAsString($B251))),";",EscStr($J251),";"),CONCATENATE(";",EscStr(CONCATENATE("NavNode_",getCategoryLevelAsString($B251))),";",EscStr(R251),";")))</f>
        <v>;"NavNode_L3D_658528";"Gebouwbeveiliging";</v>
      </c>
      <c r="AL251" s="10" t="str">
        <f>IF(getCategoryLevelAsString($B251)="L0D_324785","",IF(S251="",CONCATENATE(";",EscStr(CONCATENATE("NavNode_",getCategoryLevelAsString($B251))),";",EscStr($J251),";"),CONCATENATE(";",EscStr(CONCATENATE("NavNode_",getCategoryLevelAsString($B251))),";",EscStr(S251),";")))</f>
        <v>;"NavNode_L3D_658528";"Bezpieczeństwo budynków";</v>
      </c>
      <c r="AM251" s="10" t="str">
        <f>IF(getCategoryLevelAsString($B251)="L0D_324785","",IF(T251="",CONCATENATE(";",EscStr(CONCATENATE("NavNode_",getCategoryLevelAsString($B251))),";",EscStr($J251),";"),CONCATENATE(";",EscStr(CONCATENATE("NavNode_",getCategoryLevelAsString($B251))),";",EscStr(T251),";")))</f>
        <v>;"NavNode_L3D_658528";"Строительная безопасность";</v>
      </c>
      <c r="AN251" s="10" t="str">
        <f>IF(getCategoryLevelAsString($B251)="L0D_324785","",IF(U251="",CONCATENATE(";",EscStr(CONCATENATE("NavNode_",getCategoryLevelAsString($B251))),";",EscStr($J251),";"),CONCATENATE(";",EscStr(CONCATENATE("NavNode_",getCategoryLevelAsString($B251))),";",EscStr(U251),";")))</f>
        <v>;"NavNode_L3D_658528";"Stavební bezpečnost";</v>
      </c>
      <c r="AO251" s="10" t="str">
        <f>IF(getCategoryLevelAsString($B251)="L0D_324785","",IF(V251="",CONCATENATE(";",EscStr(CONCATENATE("NavNode_",getCategoryLevelAsString($B251))),";",EscStr($J251),";"),CONCATENATE(";",EscStr(CONCATENATE("NavNode_",getCategoryLevelAsString($B251))),";",EscStr(V251),";")))</f>
        <v>;"NavNode_L3D_658528";"Sisteme de securitate clădiri";</v>
      </c>
      <c r="AP251" s="10" t="str">
        <f>IF(getCategoryLevelAsString($B251)="L0D_324785","",IF(W251="",CONCATENATE(";",EscStr(CONCATENATE("NavNode_",getCategoryLevelAsString($B251))),";",EscStr($J251),";"),CONCATENATE(";",EscStr(CONCATENATE("NavNode_",getCategoryLevelAsString($B251))),";",EscStr(W251),";")))</f>
        <v>;"NavNode_L3D_658528";"Épületbiztonság";</v>
      </c>
      <c r="AQ251" s="10" t="str">
        <f>IF(getCategoryLevelAsString($B251)="L0D_324785","",IF(X251="",CONCATENATE(";",EscStr(CONCATENATE("NavNode_",getCategoryLevelAsString($B251))),";",EscStr($J251),";"),CONCATENATE(";",EscStr(CONCATENATE("NavNode_",getCategoryLevelAsString($B251))),";",EscStr(X251),";")))</f>
        <v>;"NavNode_L3D_658528";"Stavební bezpečnost";</v>
      </c>
      <c r="AR251" s="8" t="str">
        <f>IF(OR($A251&lt;&gt;"", $G251=""),"",CONCATENATE(";",EscStr(CONCATENATE("NavEntry_",getCategoryLevelAsString($B251))),";",EscStr(CONCATENATE($J251," Navigation Entry")),";",EscStr(CONCATENATE("cat-",getCategoryLevelAsString($B251))),";",EscStr(CONCATENATE("NavNode_",getCategoryLevelAsString($B251))),";"))</f>
        <v>;"NavEntry_L3D_658528";"Building Security Navigation Entry";"cat-L3D_658528";"NavNode_L3D_658528";</v>
      </c>
    </row>
    <row r="252" spans="1:44" ht="15" x14ac:dyDescent="0.25">
      <c r="A252" s="25"/>
      <c r="B252" s="5"/>
      <c r="C252" s="5"/>
      <c r="D252" s="5" t="s">
        <v>2118</v>
      </c>
      <c r="E252" s="5"/>
      <c r="F252" s="5"/>
      <c r="G252" s="5" t="s">
        <v>2122</v>
      </c>
      <c r="H252" s="5" t="s">
        <v>3774</v>
      </c>
      <c r="I252" s="5" t="s">
        <v>3775</v>
      </c>
      <c r="J252" s="5" t="s">
        <v>2127</v>
      </c>
      <c r="K252" s="5" t="s">
        <v>3776</v>
      </c>
      <c r="L252" s="5" t="s">
        <v>3777</v>
      </c>
      <c r="M252" s="5" t="s">
        <v>3778</v>
      </c>
      <c r="N252" s="5" t="s">
        <v>3779</v>
      </c>
      <c r="O252" s="5" t="s">
        <v>3780</v>
      </c>
      <c r="P252" s="5" t="s">
        <v>3781</v>
      </c>
      <c r="Q252" s="5" t="s">
        <v>3782</v>
      </c>
      <c r="R252" s="5" t="s">
        <v>3783</v>
      </c>
      <c r="S252" s="5" t="s">
        <v>3784</v>
      </c>
      <c r="T252" s="5" t="s">
        <v>3785</v>
      </c>
      <c r="U252" s="5" t="s">
        <v>3786</v>
      </c>
      <c r="V252" s="5" t="s">
        <v>3787</v>
      </c>
      <c r="W252" s="5" t="s">
        <v>3788</v>
      </c>
      <c r="X252" s="5" t="s">
        <v>3786</v>
      </c>
      <c r="Y252" s="10" t="str">
        <f>IF(OR($A252&lt;&gt;"", $G252=""),"",CONCATENATE(";",EscStr(CONCATENATE("NavNode_",getCategoryLevelAsString($B252))),";",EscStr($J252),";",IF($B252&lt;&gt;"","""MainNavNode""",EscStr(CONCATENATE("NavNode_",getSuperCategory($B252, getCategoryLevelAsNumber($B252))))),";"))</f>
        <v>;"NavNode_L3D_658525";"Remote Switching Systems";"NavNode_L2D_653174";</v>
      </c>
      <c r="Z252" s="10" t="str">
        <f>IF(getCategoryLevelAsString($B252)="L0D_324785","",IF(G252="",CONCATENATE(";",EscStr(CONCATENATE("NavNode_",getCategoryLevelAsString($B252))),";",EscStr($J252),";"),CONCATENATE(";",EscStr(CONCATENATE("NavNode_",getCategoryLevelAsString($B252))),";",EscStr(G252),";")))</f>
        <v>;"NavNode_L3D_658525";"Fernschaltsysteme";</v>
      </c>
      <c r="AA252" s="10" t="str">
        <f>IF(getCategoryLevelAsString($B252)="L0D_324785","",IF(H252="",CONCATENATE(";",EscStr(CONCATENATE("NavNode_",getCategoryLevelAsString($B252))),";",EscStr($J252),";"),CONCATENATE(";",EscStr(CONCATENATE("NavNode_",getCategoryLevelAsString($B252))),";",EscStr(H252),";")))</f>
        <v>;"NavNode_L3D_658525";"Systèmes de commutation à distance";</v>
      </c>
      <c r="AB252" s="10" t="str">
        <f>IF(getCategoryLevelAsString($B252)="L0D_324785","",IF(I252="",CONCATENATE(";",EscStr(CONCATENATE("NavNode_",getCategoryLevelAsString($B252))),";",EscStr($J252),";"),CONCATENATE(";",EscStr(CONCATENATE("NavNode_",getCategoryLevelAsString($B252))),";",EscStr(I252),";")))</f>
        <v>;"NavNode_L3D_658525";"Sistemi di commutazione remoti";</v>
      </c>
      <c r="AC252" s="10" t="str">
        <f>IF(getCategoryLevelAsString($B252)="L0D_324785","",IF(J252="",CONCATENATE(";",EscStr(CONCATENATE("NavNode_",getCategoryLevelAsString($B252))),";",EscStr($J252),";"),CONCATENATE(";",EscStr(CONCATENATE("NavNode_",getCategoryLevelAsString($B252))),";",EscStr(J252),";")))</f>
        <v>;"NavNode_L3D_658525";"Remote Switching Systems";</v>
      </c>
      <c r="AD252" s="10" t="str">
        <f>IF(getCategoryLevelAsString($B252)="L0D_324785","",IF(K252="",CONCATENATE(";",EscStr(CONCATENATE("NavNode_",getCategoryLevelAsString($B252))),";",EscStr($J252),";"),CONCATENATE(";",EscStr(CONCATENATE("NavNode_",getCategoryLevelAsString($B252))),";",EscStr(K252),";")))</f>
        <v>;"NavNode_L3D_658525";"Fjernstyrede switchsystemer";</v>
      </c>
      <c r="AE252" s="10" t="str">
        <f>IF(getCategoryLevelAsString($B252)="L0D_324785","",IF(L252="",CONCATENATE(";",EscStr(CONCATENATE("NavNode_",getCategoryLevelAsString($B252))),";",EscStr($J252),";"),CONCATENATE(";",EscStr(CONCATENATE("NavNode_",getCategoryLevelAsString($B252))),";",EscStr(L252),";")))</f>
        <v>;"NavNode_L3D_658525";"Nuotolinio valdymo sistemos";</v>
      </c>
      <c r="AF252" s="10" t="str">
        <f>IF(getCategoryLevelAsString($B252)="L0D_324785","",IF(M252="",CONCATENATE(";",EscStr(CONCATENATE("NavNode_",getCategoryLevelAsString($B252))),";",EscStr($J252),";"),CONCATENATE(";",EscStr(CONCATENATE("NavNode_",getCategoryLevelAsString($B252))),";",EscStr(M252),";")))</f>
        <v>;"NavNode_L3D_658525";"Eksterne vekslesystemer";</v>
      </c>
      <c r="AG252" s="10" t="str">
        <f>IF(getCategoryLevelAsString($B252)="L0D_324785","",IF(N252="",CONCATENATE(";",EscStr(CONCATENATE("NavNode_",getCategoryLevelAsString($B252))),";",EscStr($J252),";"),CONCATENATE(";",EscStr(CONCATENATE("NavNode_",getCategoryLevelAsString($B252))),";",EscStr(N252),";")))</f>
        <v>;"NavNode_L3D_658525";"Fjärrstyrda switchsystem";</v>
      </c>
      <c r="AH252" s="10" t="str">
        <f>IF(getCategoryLevelAsString($B252)="L0D_324785","",IF(O252="",CONCATENATE(";",EscStr(CONCATENATE("NavNode_",getCategoryLevelAsString($B252))),";",EscStr($J252),";"),CONCATENATE(";",EscStr(CONCATENATE("NavNode_",getCategoryLevelAsString($B252))),";",EscStr(O252),";")))</f>
        <v>;"NavNode_L3D_658525";"Kauglülitussüsteemid";</v>
      </c>
      <c r="AI252" s="10" t="str">
        <f>IF(getCategoryLevelAsString($B252)="L0D_324785","",IF(P252="",CONCATENATE(";",EscStr(CONCATENATE("NavNode_",getCategoryLevelAsString($B252))),";",EscStr($J252),";"),CONCATENATE(";",EscStr(CONCATENATE("NavNode_",getCategoryLevelAsString($B252))),";",EscStr(P252),";")))</f>
        <v>;"NavNode_L3D_658525";"Etäkytkentäjärjestelmät";</v>
      </c>
      <c r="AJ252" s="10" t="str">
        <f>IF(getCategoryLevelAsString($B252)="L0D_324785","",IF(Q252="",CONCATENATE(";",EscStr(CONCATENATE("NavNode_",getCategoryLevelAsString($B252))),";",EscStr($J252),";"),CONCATENATE(";",EscStr(CONCATENATE("NavNode_",getCategoryLevelAsString($B252))),";",EscStr(Q252),";")))</f>
        <v>;"NavNode_L3D_658525";"Attāli pārslēdzamas sistēmas";</v>
      </c>
      <c r="AK252" s="10" t="str">
        <f>IF(getCategoryLevelAsString($B252)="L0D_324785","",IF(R252="",CONCATENATE(";",EscStr(CONCATENATE("NavNode_",getCategoryLevelAsString($B252))),";",EscStr($J252),";"),CONCATENATE(";",EscStr(CONCATENATE("NavNode_",getCategoryLevelAsString($B252))),";",EscStr(R252),";")))</f>
        <v>;"NavNode_L3D_658525";"Op afstand bedienbare schakelsystemen";</v>
      </c>
      <c r="AL252" s="10" t="str">
        <f>IF(getCategoryLevelAsString($B252)="L0D_324785","",IF(S252="",CONCATENATE(";",EscStr(CONCATENATE("NavNode_",getCategoryLevelAsString($B252))),";",EscStr($J252),";"),CONCATENATE(";",EscStr(CONCATENATE("NavNode_",getCategoryLevelAsString($B252))),";",EscStr(S252),";")))</f>
        <v>;"NavNode_L3D_658525";"Systemy zdalnego przełączania";</v>
      </c>
      <c r="AM252" s="10" t="str">
        <f>IF(getCategoryLevelAsString($B252)="L0D_324785","",IF(T252="",CONCATENATE(";",EscStr(CONCATENATE("NavNode_",getCategoryLevelAsString($B252))),";",EscStr($J252),";"),CONCATENATE(";",EscStr(CONCATENATE("NavNode_",getCategoryLevelAsString($B252))),";",EscStr(T252),";")))</f>
        <v>;"NavNode_L3D_658525";"Системы дистанционного переключения";</v>
      </c>
      <c r="AN252" s="10" t="str">
        <f>IF(getCategoryLevelAsString($B252)="L0D_324785","",IF(U252="",CONCATENATE(";",EscStr(CONCATENATE("NavNode_",getCategoryLevelAsString($B252))),";",EscStr($J252),";"),CONCATENATE(";",EscStr(CONCATENATE("NavNode_",getCategoryLevelAsString($B252))),";",EscStr(U252),";")))</f>
        <v>;"NavNode_L3D_658525";"Dálkové přepínací systémy";</v>
      </c>
      <c r="AO252" s="10" t="str">
        <f>IF(getCategoryLevelAsString($B252)="L0D_324785","",IF(V252="",CONCATENATE(";",EscStr(CONCATENATE("NavNode_",getCategoryLevelAsString($B252))),";",EscStr($J252),";"),CONCATENATE(";",EscStr(CONCATENATE("NavNode_",getCategoryLevelAsString($B252))),";",EscStr(V252),";")))</f>
        <v>;"NavNode_L3D_658525";"Sisteme de comutare la distanţă";</v>
      </c>
      <c r="AP252" s="10" t="str">
        <f>IF(getCategoryLevelAsString($B252)="L0D_324785","",IF(W252="",CONCATENATE(";",EscStr(CONCATENATE("NavNode_",getCategoryLevelAsString($B252))),";",EscStr($J252),";"),CONCATENATE(";",EscStr(CONCATENATE("NavNode_",getCategoryLevelAsString($B252))),";",EscStr(W252),";")))</f>
        <v>;"NavNode_L3D_658525";"Távirányítós kapcsolórendszerek";</v>
      </c>
      <c r="AQ252" s="10" t="str">
        <f>IF(getCategoryLevelAsString($B252)="L0D_324785","",IF(X252="",CONCATENATE(";",EscStr(CONCATENATE("NavNode_",getCategoryLevelAsString($B252))),";",EscStr($J252),";"),CONCATENATE(";",EscStr(CONCATENATE("NavNode_",getCategoryLevelAsString($B252))),";",EscStr(X252),";")))</f>
        <v>;"NavNode_L3D_658525";"Dálkové přepínací systémy";</v>
      </c>
      <c r="AR252" s="8" t="str">
        <f>IF(OR($A252&lt;&gt;"", $G252=""),"",CONCATENATE(";",EscStr(CONCATENATE("NavEntry_",getCategoryLevelAsString($B252))),";",EscStr(CONCATENATE($J252," Navigation Entry")),";",EscStr(CONCATENATE("cat-",getCategoryLevelAsString($B252))),";",EscStr(CONCATENATE("NavNode_",getCategoryLevelAsString($B252))),";"))</f>
        <v>;"NavEntry_L3D_658525";"Remote Switching Systems Navigation Entry";"cat-L3D_658525";"NavNode_L3D_658525";</v>
      </c>
    </row>
    <row r="253" spans="1:44" ht="15" x14ac:dyDescent="0.25">
      <c r="A253" s="25"/>
      <c r="B253" s="5"/>
      <c r="C253" s="5"/>
      <c r="D253" s="5" t="s">
        <v>2119</v>
      </c>
      <c r="E253" s="5"/>
      <c r="F253" s="5"/>
      <c r="G253" s="5" t="s">
        <v>2123</v>
      </c>
      <c r="H253" s="5" t="s">
        <v>3789</v>
      </c>
      <c r="I253" s="5" t="s">
        <v>3790</v>
      </c>
      <c r="J253" s="5" t="s">
        <v>3791</v>
      </c>
      <c r="K253" s="5" t="s">
        <v>3792</v>
      </c>
      <c r="L253" s="5" t="s">
        <v>3793</v>
      </c>
      <c r="M253" s="5" t="s">
        <v>3794</v>
      </c>
      <c r="N253" s="5" t="s">
        <v>3795</v>
      </c>
      <c r="O253" s="5" t="s">
        <v>3796</v>
      </c>
      <c r="P253" s="5" t="s">
        <v>3797</v>
      </c>
      <c r="Q253" s="5" t="s">
        <v>3798</v>
      </c>
      <c r="R253" s="5" t="s">
        <v>3799</v>
      </c>
      <c r="S253" s="5" t="s">
        <v>3800</v>
      </c>
      <c r="T253" s="5" t="s">
        <v>3801</v>
      </c>
      <c r="U253" s="5" t="s">
        <v>3802</v>
      </c>
      <c r="V253" s="5" t="s">
        <v>3803</v>
      </c>
      <c r="W253" s="5" t="s">
        <v>3804</v>
      </c>
      <c r="X253" s="5" t="s">
        <v>3802</v>
      </c>
      <c r="Y253" s="10" t="str">
        <f>IF(OR($A253&lt;&gt;"", $G253=""),"",CONCATENATE(";",EscStr(CONCATENATE("NavNode_",getCategoryLevelAsString($B253))),";",EscStr($J253),";",IF($B253&lt;&gt;"","""MainNavNode""",EscStr(CONCATENATE("NavNode_",getSuperCategory($B253, getCategoryLevelAsNumber($B253))))),";"))</f>
        <v>;"NavNode_Lighting";"Control Units";"NavNode_L0D_324785";</v>
      </c>
      <c r="Z253" s="10" t="str">
        <f>IF(getCategoryLevelAsString($B253)="L0D_324785","",IF(G253="",CONCATENATE(";",EscStr(CONCATENATE("NavNode_",getCategoryLevelAsString($B253))),";",EscStr($J253),";"),CONCATENATE(";",EscStr(CONCATENATE("NavNode_",getCategoryLevelAsString($B253))),";",EscStr(G253),";")))</f>
        <v>;"NavNode_Lighting";"Reguliereinheiten";</v>
      </c>
      <c r="AA253" s="10" t="str">
        <f>IF(getCategoryLevelAsString($B253)="L0D_324785","",IF(H253="",CONCATENATE(";",EscStr(CONCATENATE("NavNode_",getCategoryLevelAsString($B253))),";",EscStr($J253),";"),CONCATENATE(";",EscStr(CONCATENATE("NavNode_",getCategoryLevelAsString($B253))),";",EscStr(H253),";")))</f>
        <v>;"NavNode_Lighting";"Unités de commande";</v>
      </c>
      <c r="AB253" s="10" t="str">
        <f>IF(getCategoryLevelAsString($B253)="L0D_324785","",IF(I253="",CONCATENATE(";",EscStr(CONCATENATE("NavNode_",getCategoryLevelAsString($B253))),";",EscStr($J253),";"),CONCATENATE(";",EscStr(CONCATENATE("NavNode_",getCategoryLevelAsString($B253))),";",EscStr(I253),";")))</f>
        <v>;"NavNode_Lighting";"Unità di controllo";</v>
      </c>
      <c r="AC253" s="10" t="str">
        <f>IF(getCategoryLevelAsString($B253)="L0D_324785","",IF(J253="",CONCATENATE(";",EscStr(CONCATENATE("NavNode_",getCategoryLevelAsString($B253))),";",EscStr($J253),";"),CONCATENATE(";",EscStr(CONCATENATE("NavNode_",getCategoryLevelAsString($B253))),";",EscStr(J253),";")))</f>
        <v>;"NavNode_Lighting";"Control Units";</v>
      </c>
      <c r="AD253" s="10" t="str">
        <f>IF(getCategoryLevelAsString($B253)="L0D_324785","",IF(K253="",CONCATENATE(";",EscStr(CONCATENATE("NavNode_",getCategoryLevelAsString($B253))),";",EscStr($J253),";"),CONCATENATE(";",EscStr(CONCATENATE("NavNode_",getCategoryLevelAsString($B253))),";",EscStr(K253),";")))</f>
        <v>;"NavNode_Lighting";"Styreenheder";</v>
      </c>
      <c r="AE253" s="10" t="str">
        <f>IF(getCategoryLevelAsString($B253)="L0D_324785","",IF(L253="",CONCATENATE(";",EscStr(CONCATENATE("NavNode_",getCategoryLevelAsString($B253))),";",EscStr($J253),";"),CONCATENATE(";",EscStr(CONCATENATE("NavNode_",getCategoryLevelAsString($B253))),";",EscStr(L253),";")))</f>
        <v>;"NavNode_Lighting";"Kontrolės prietaisai";</v>
      </c>
      <c r="AF253" s="10" t="str">
        <f>IF(getCategoryLevelAsString($B253)="L0D_324785","",IF(M253="",CONCATENATE(";",EscStr(CONCATENATE("NavNode_",getCategoryLevelAsString($B253))),";",EscStr($J253),";"),CONCATENATE(";",EscStr(CONCATENATE("NavNode_",getCategoryLevelAsString($B253))),";",EscStr(M253),";")))</f>
        <v>;"NavNode_Lighting";"Kontrollenheter";</v>
      </c>
      <c r="AG253" s="10" t="str">
        <f>IF(getCategoryLevelAsString($B253)="L0D_324785","",IF(N253="",CONCATENATE(";",EscStr(CONCATENATE("NavNode_",getCategoryLevelAsString($B253))),";",EscStr($J253),";"),CONCATENATE(";",EscStr(CONCATENATE("NavNode_",getCategoryLevelAsString($B253))),";",EscStr(N253),";")))</f>
        <v>;"NavNode_Lighting";"Styrenheter";</v>
      </c>
      <c r="AH253" s="10" t="str">
        <f>IF(getCategoryLevelAsString($B253)="L0D_324785","",IF(O253="",CONCATENATE(";",EscStr(CONCATENATE("NavNode_",getCategoryLevelAsString($B253))),";",EscStr($J253),";"),CONCATENATE(";",EscStr(CONCATENATE("NavNode_",getCategoryLevelAsString($B253))),";",EscStr(O253),";")))</f>
        <v>;"NavNode_Lighting";"Juhtseadmed";</v>
      </c>
      <c r="AI253" s="10" t="str">
        <f>IF(getCategoryLevelAsString($B253)="L0D_324785","",IF(P253="",CONCATENATE(";",EscStr(CONCATENATE("NavNode_",getCategoryLevelAsString($B253))),";",EscStr($J253),";"),CONCATENATE(";",EscStr(CONCATENATE("NavNode_",getCategoryLevelAsString($B253))),";",EscStr(P253),";")))</f>
        <v>;"NavNode_Lighting";"Ohjausyksiköt";</v>
      </c>
      <c r="AJ253" s="10" t="str">
        <f>IF(getCategoryLevelAsString($B253)="L0D_324785","",IF(Q253="",CONCATENATE(";",EscStr(CONCATENATE("NavNode_",getCategoryLevelAsString($B253))),";",EscStr($J253),";"),CONCATENATE(";",EscStr(CONCATENATE("NavNode_",getCategoryLevelAsString($B253))),";",EscStr(Q253),";")))</f>
        <v>;"NavNode_Lighting";"Vadības ierīces";</v>
      </c>
      <c r="AK253" s="10" t="str">
        <f>IF(getCategoryLevelAsString($B253)="L0D_324785","",IF(R253="",CONCATENATE(";",EscStr(CONCATENATE("NavNode_",getCategoryLevelAsString($B253))),";",EscStr($J253),";"),CONCATENATE(";",EscStr(CONCATENATE("NavNode_",getCategoryLevelAsString($B253))),";",EscStr(R253),";")))</f>
        <v>;"NavNode_Lighting";"Regeleenheden";</v>
      </c>
      <c r="AL253" s="10" t="str">
        <f>IF(getCategoryLevelAsString($B253)="L0D_324785","",IF(S253="",CONCATENATE(";",EscStr(CONCATENATE("NavNode_",getCategoryLevelAsString($B253))),";",EscStr($J253),";"),CONCATENATE(";",EscStr(CONCATENATE("NavNode_",getCategoryLevelAsString($B253))),";",EscStr(S253),";")))</f>
        <v>;"NavNode_Lighting";"Układy sterujące";</v>
      </c>
      <c r="AM253" s="10" t="str">
        <f>IF(getCategoryLevelAsString($B253)="L0D_324785","",IF(T253="",CONCATENATE(";",EscStr(CONCATENATE("NavNode_",getCategoryLevelAsString($B253))),";",EscStr($J253),";"),CONCATENATE(";",EscStr(CONCATENATE("NavNode_",getCategoryLevelAsString($B253))),";",EscStr(T253),";")))</f>
        <v>;"NavNode_Lighting";"Блоки управления";</v>
      </c>
      <c r="AN253" s="10" t="str">
        <f>IF(getCategoryLevelAsString($B253)="L0D_324785","",IF(U253="",CONCATENATE(";",EscStr(CONCATENATE("NavNode_",getCategoryLevelAsString($B253))),";",EscStr($J253),";"),CONCATENATE(";",EscStr(CONCATENATE("NavNode_",getCategoryLevelAsString($B253))),";",EscStr(U253),";")))</f>
        <v>;"NavNode_Lighting";"Řídicí jednotky";</v>
      </c>
      <c r="AO253" s="10" t="str">
        <f>IF(getCategoryLevelAsString($B253)="L0D_324785","",IF(V253="",CONCATENATE(";",EscStr(CONCATENATE("NavNode_",getCategoryLevelAsString($B253))),";",EscStr($J253),";"),CONCATENATE(";",EscStr(CONCATENATE("NavNode_",getCategoryLevelAsString($B253))),";",EscStr(V253),";")))</f>
        <v>;"NavNode_Lighting";"Unităţi de comandă";</v>
      </c>
      <c r="AP253" s="10" t="str">
        <f>IF(getCategoryLevelAsString($B253)="L0D_324785","",IF(W253="",CONCATENATE(";",EscStr(CONCATENATE("NavNode_",getCategoryLevelAsString($B253))),";",EscStr($J253),";"),CONCATENATE(";",EscStr(CONCATENATE("NavNode_",getCategoryLevelAsString($B253))),";",EscStr(W253),";")))</f>
        <v>;"NavNode_Lighting";"Vezérlőegységek";</v>
      </c>
      <c r="AQ253" s="10" t="str">
        <f>IF(getCategoryLevelAsString($B253)="L0D_324785","",IF(X253="",CONCATENATE(";",EscStr(CONCATENATE("NavNode_",getCategoryLevelAsString($B253))),";",EscStr($J253),";"),CONCATENATE(";",EscStr(CONCATENATE("NavNode_",getCategoryLevelAsString($B253))),";",EscStr(X253),";")))</f>
        <v>;"NavNode_Lighting";"Řídicí jednotky";</v>
      </c>
      <c r="AR253" s="8" t="str">
        <f>IF(OR($A253&lt;&gt;"", $G253=""),"",CONCATENATE(";",EscStr(CONCATENATE("NavEntry_",getCategoryLevelAsString($B253))),";",EscStr(CONCATENATE($J253," Navigation Entry")),";",EscStr(CONCATENATE("cat-",getCategoryLevelAsString($B253))),";",EscStr(CONCATENATE("NavNode_",getCategoryLevelAsString($B253))),";"))</f>
        <v>;"NavEntry_Lighting";"Control Units Navigation Entry";"cat-Lighting";"NavNode_Lighting";</v>
      </c>
    </row>
    <row r="254" spans="1:44" s="17" customFormat="1" ht="14.25" x14ac:dyDescent="0.2">
      <c r="A254" s="24">
        <v>9</v>
      </c>
      <c r="B254" s="13" t="s">
        <v>10806</v>
      </c>
      <c r="C254" s="14"/>
      <c r="E254" s="13"/>
      <c r="F254" s="13"/>
      <c r="G254" s="13" t="s">
        <v>13533</v>
      </c>
      <c r="H254" s="13" t="s">
        <v>13533</v>
      </c>
      <c r="I254" s="13" t="s">
        <v>13533</v>
      </c>
      <c r="J254" s="13" t="s">
        <v>10806</v>
      </c>
      <c r="K254" s="13" t="s">
        <v>13533</v>
      </c>
      <c r="L254" s="13" t="s">
        <v>13533</v>
      </c>
      <c r="M254" s="13" t="s">
        <v>13533</v>
      </c>
      <c r="N254" s="13" t="s">
        <v>13533</v>
      </c>
      <c r="O254" s="13" t="s">
        <v>13533</v>
      </c>
      <c r="P254" s="13" t="s">
        <v>13533</v>
      </c>
      <c r="Q254" s="13" t="s">
        <v>13533</v>
      </c>
      <c r="R254" s="13" t="s">
        <v>13533</v>
      </c>
      <c r="S254" s="13" t="s">
        <v>13533</v>
      </c>
      <c r="T254" s="13" t="s">
        <v>13533</v>
      </c>
      <c r="U254" s="13" t="s">
        <v>13533</v>
      </c>
      <c r="V254" s="13" t="s">
        <v>13533</v>
      </c>
      <c r="W254" s="13" t="s">
        <v>13533</v>
      </c>
      <c r="X254" s="13" t="s">
        <v>13533</v>
      </c>
      <c r="Y254" s="15"/>
      <c r="Z254" s="15"/>
      <c r="AA254" s="15"/>
      <c r="AB254" s="15"/>
      <c r="AC254" s="15"/>
      <c r="AD254" s="15"/>
      <c r="AE254" s="15"/>
      <c r="AF254" s="15"/>
      <c r="AG254" s="15"/>
      <c r="AH254" s="15"/>
      <c r="AI254" s="15"/>
      <c r="AJ254" s="15"/>
      <c r="AK254" s="15"/>
      <c r="AL254" s="15"/>
      <c r="AM254" s="15"/>
      <c r="AN254" s="15"/>
      <c r="AO254" s="15"/>
      <c r="AP254" s="15"/>
      <c r="AQ254" s="15"/>
      <c r="AR254" s="16"/>
    </row>
    <row r="255" spans="1:44" ht="15" x14ac:dyDescent="0.25">
      <c r="A255" s="25"/>
      <c r="B255" s="5"/>
      <c r="C255" s="5" t="s">
        <v>50</v>
      </c>
      <c r="D255" s="5"/>
      <c r="E255" s="5"/>
      <c r="F255" s="5"/>
      <c r="G255" s="5" t="s">
        <v>959</v>
      </c>
      <c r="H255" s="5" t="s">
        <v>722</v>
      </c>
      <c r="I255" s="5" t="s">
        <v>705</v>
      </c>
      <c r="J255" s="5" t="s">
        <v>493</v>
      </c>
      <c r="K255" s="5" t="s">
        <v>1357</v>
      </c>
      <c r="L255" s="5" t="s">
        <v>1593</v>
      </c>
      <c r="M255" s="5" t="s">
        <v>1802</v>
      </c>
      <c r="N255" s="5" t="s">
        <v>2014</v>
      </c>
      <c r="O255" s="5" t="s">
        <v>3971</v>
      </c>
      <c r="P255" s="5" t="s">
        <v>3972</v>
      </c>
      <c r="Q255" s="5" t="s">
        <v>3973</v>
      </c>
      <c r="R255" s="5" t="s">
        <v>3974</v>
      </c>
      <c r="S255" s="5" t="s">
        <v>3975</v>
      </c>
      <c r="T255" s="5" t="s">
        <v>3976</v>
      </c>
      <c r="U255" s="5" t="s">
        <v>3977</v>
      </c>
      <c r="V255" s="5" t="s">
        <v>3978</v>
      </c>
      <c r="W255" s="5" t="s">
        <v>3979</v>
      </c>
      <c r="X255" s="5" t="s">
        <v>3977</v>
      </c>
      <c r="Y255" s="10" t="str">
        <f>IF(OR($A255&lt;&gt;"", $G255=""),"",CONCATENATE(";",EscStr(CONCATENATE("NavNode_",getCategoryLevelAsString($B255))),";",EscStr($J255),";",IF($B255&lt;&gt;"","""MainNavNode""",EscStr(CONCATENATE("NavNode_",getSuperCategory($B255, getCategoryLevelAsNumber($B255))))),";"))</f>
        <v>;"NavNode_L3D_525560";"Lighting technology";"NavNode_L2D_379658";</v>
      </c>
      <c r="Z255" s="10" t="str">
        <f>IF(getCategoryLevelAsString($B255)="L0D_324785","",IF(G255="",CONCATENATE(";",EscStr(CONCATENATE("NavNode_",getCategoryLevelAsString($B255))),";",EscStr($J255),";"),CONCATENATE(";",EscStr(CONCATENATE("NavNode_",getCategoryLevelAsString($B255))),";",EscStr(G255),";")))</f>
        <v>;"NavNode_L3D_525560";"Lichttechnik";</v>
      </c>
      <c r="AA255" s="10" t="str">
        <f>IF(getCategoryLevelAsString($B255)="L0D_324785","",IF(H255="",CONCATENATE(";",EscStr(CONCATENATE("NavNode_",getCategoryLevelAsString($B255))),";",EscStr($J255),";"),CONCATENATE(";",EscStr(CONCATENATE("NavNode_",getCategoryLevelAsString($B255))),";",EscStr(H255),";")))</f>
        <v>;"NavNode_L3D_525560";"Technologie d'éclairage";</v>
      </c>
      <c r="AB255" s="10" t="str">
        <f>IF(getCategoryLevelAsString($B255)="L0D_324785","",IF(I255="",CONCATENATE(";",EscStr(CONCATENATE("NavNode_",getCategoryLevelAsString($B255))),";",EscStr($J255),";"),CONCATENATE(";",EscStr(CONCATENATE("NavNode_",getCategoryLevelAsString($B255))),";",EscStr(I255),";")))</f>
        <v>;"NavNode_L3D_525560";"Tecnologia di illuminazione";</v>
      </c>
      <c r="AC255" s="10" t="str">
        <f>IF(getCategoryLevelAsString($B255)="L0D_324785","",IF(J255="",CONCATENATE(";",EscStr(CONCATENATE("NavNode_",getCategoryLevelAsString($B255))),";",EscStr($J255),";"),CONCATENATE(";",EscStr(CONCATENATE("NavNode_",getCategoryLevelAsString($B255))),";",EscStr(J255),";")))</f>
        <v>;"NavNode_L3D_525560";"Lighting technology";</v>
      </c>
      <c r="AD255" s="10" t="str">
        <f>IF(getCategoryLevelAsString($B255)="L0D_324785","",IF(K255="",CONCATENATE(";",EscStr(CONCATENATE("NavNode_",getCategoryLevelAsString($B255))),";",EscStr($J255),";"),CONCATENATE(";",EscStr(CONCATENATE("NavNode_",getCategoryLevelAsString($B255))),";",EscStr(K255),";")))</f>
        <v>;"NavNode_L3D_525560";"Lysteknologi";</v>
      </c>
      <c r="AE255" s="10" t="str">
        <f>IF(getCategoryLevelAsString($B255)="L0D_324785","",IF(L255="",CONCATENATE(";",EscStr(CONCATENATE("NavNode_",getCategoryLevelAsString($B255))),";",EscStr($J255),";"),CONCATENATE(";",EscStr(CONCATENATE("NavNode_",getCategoryLevelAsString($B255))),";",EscStr(L255),";")))</f>
        <v>;"NavNode_L3D_525560";"Apšvietimo technologija";</v>
      </c>
      <c r="AF255" s="10" t="str">
        <f>IF(getCategoryLevelAsString($B255)="L0D_324785","",IF(M255="",CONCATENATE(";",EscStr(CONCATENATE("NavNode_",getCategoryLevelAsString($B255))),";",EscStr($J255),";"),CONCATENATE(";",EscStr(CONCATENATE("NavNode_",getCategoryLevelAsString($B255))),";",EscStr(M255),";")))</f>
        <v>;"NavNode_L3D_525560";"Belysningsteknologi";</v>
      </c>
      <c r="AG255" s="10" t="str">
        <f>IF(getCategoryLevelAsString($B255)="L0D_324785","",IF(N255="",CONCATENATE(";",EscStr(CONCATENATE("NavNode_",getCategoryLevelAsString($B255))),";",EscStr($J255),";"),CONCATENATE(";",EscStr(CONCATENATE("NavNode_",getCategoryLevelAsString($B255))),";",EscStr(N255),";")))</f>
        <v>;"NavNode_L3D_525560";"Ljusteknik";</v>
      </c>
      <c r="AH255" s="10" t="str">
        <f>IF(getCategoryLevelAsString($B255)="L0D_324785","",IF(O255="",CONCATENATE(";",EscStr(CONCATENATE("NavNode_",getCategoryLevelAsString($B255))),";",EscStr($J255),";"),CONCATENATE(";",EscStr(CONCATENATE("NavNode_",getCategoryLevelAsString($B255))),";",EscStr(O255),";")))</f>
        <v>;"NavNode_L3D_525560";"Valgustehnoloogia";</v>
      </c>
      <c r="AI255" s="10" t="str">
        <f>IF(getCategoryLevelAsString($B255)="L0D_324785","",IF(P255="",CONCATENATE(";",EscStr(CONCATENATE("NavNode_",getCategoryLevelAsString($B255))),";",EscStr($J255),";"),CONCATENATE(";",EscStr(CONCATENATE("NavNode_",getCategoryLevelAsString($B255))),";",EscStr(P255),";")))</f>
        <v>;"NavNode_L3D_525560";"Valaistustekniikka";</v>
      </c>
      <c r="AJ255" s="10" t="str">
        <f>IF(getCategoryLevelAsString($B255)="L0D_324785","",IF(Q255="",CONCATENATE(";",EscStr(CONCATENATE("NavNode_",getCategoryLevelAsString($B255))),";",EscStr($J255),";"),CONCATENATE(";",EscStr(CONCATENATE("NavNode_",getCategoryLevelAsString($B255))),";",EscStr(Q255),";")))</f>
        <v>;"NavNode_L3D_525560";"Apgaismošanas tehnoloģijas";</v>
      </c>
      <c r="AK255" s="10" t="str">
        <f>IF(getCategoryLevelAsString($B255)="L0D_324785","",IF(R255="",CONCATENATE(";",EscStr(CONCATENATE("NavNode_",getCategoryLevelAsString($B255))),";",EscStr($J255),";"),CONCATENATE(";",EscStr(CONCATENATE("NavNode_",getCategoryLevelAsString($B255))),";",EscStr(R255),";")))</f>
        <v>;"NavNode_L3D_525560";"Lichttechniek";</v>
      </c>
      <c r="AL255" s="10" t="str">
        <f>IF(getCategoryLevelAsString($B255)="L0D_324785","",IF(S255="",CONCATENATE(";",EscStr(CONCATENATE("NavNode_",getCategoryLevelAsString($B255))),";",EscStr($J255),";"),CONCATENATE(";",EscStr(CONCATENATE("NavNode_",getCategoryLevelAsString($B255))),";",EscStr(S255),";")))</f>
        <v>;"NavNode_L3D_525560";"Technika świetlna";</v>
      </c>
      <c r="AM255" s="10" t="str">
        <f>IF(getCategoryLevelAsString($B255)="L0D_324785","",IF(T255="",CONCATENATE(";",EscStr(CONCATENATE("NavNode_",getCategoryLevelAsString($B255))),";",EscStr($J255),";"),CONCATENATE(";",EscStr(CONCATENATE("NavNode_",getCategoryLevelAsString($B255))),";",EscStr(T255),";")))</f>
        <v>;"NavNode_L3D_525560";"Светотехника";</v>
      </c>
      <c r="AN255" s="10" t="str">
        <f>IF(getCategoryLevelAsString($B255)="L0D_324785","",IF(U255="",CONCATENATE(";",EscStr(CONCATENATE("NavNode_",getCategoryLevelAsString($B255))),";",EscStr($J255),";"),CONCATENATE(";",EscStr(CONCATENATE("NavNode_",getCategoryLevelAsString($B255))),";",EscStr(U255),";")))</f>
        <v>;"NavNode_L3D_525560";"Osvětlovací technika";</v>
      </c>
      <c r="AO255" s="10" t="str">
        <f>IF(getCategoryLevelAsString($B255)="L0D_324785","",IF(V255="",CONCATENATE(";",EscStr(CONCATENATE("NavNode_",getCategoryLevelAsString($B255))),";",EscStr($J255),";"),CONCATENATE(";",EscStr(CONCATENATE("NavNode_",getCategoryLevelAsString($B255))),";",EscStr(V255),";")))</f>
        <v>;"NavNode_L3D_525560";"Tehnică de iluminat";</v>
      </c>
      <c r="AP255" s="10" t="str">
        <f>IF(getCategoryLevelAsString($B255)="L0D_324785","",IF(W255="",CONCATENATE(";",EscStr(CONCATENATE("NavNode_",getCategoryLevelAsString($B255))),";",EscStr($J255),";"),CONCATENATE(";",EscStr(CONCATENATE("NavNode_",getCategoryLevelAsString($B255))),";",EscStr(W255),";")))</f>
        <v>;"NavNode_L3D_525560";"Világítástechnika";</v>
      </c>
      <c r="AQ255" s="10" t="str">
        <f>IF(getCategoryLevelAsString($B255)="L0D_324785","",IF(X255="",CONCATENATE(";",EscStr(CONCATENATE("NavNode_",getCategoryLevelAsString($B255))),";",EscStr($J255),";"),CONCATENATE(";",EscStr(CONCATENATE("NavNode_",getCategoryLevelAsString($B255))),";",EscStr(X255),";")))</f>
        <v>;"NavNode_L3D_525560";"Osvětlovací technika";</v>
      </c>
      <c r="AR255" s="8" t="str">
        <f>IF(OR($A255&lt;&gt;"", $G255=""),"",CONCATENATE(";",EscStr(CONCATENATE("NavEntry_",getCategoryLevelAsString($B255))),";",EscStr(CONCATENATE($J255," Navigation Entry")),";",EscStr(CONCATENATE("cat-",getCategoryLevelAsString($B255))),";",EscStr(CONCATENATE("NavNode_",getCategoryLevelAsString($B255))),";"))</f>
        <v>;"NavEntry_L3D_525560";"Lighting technology Navigation Entry";"cat-L3D_525560";"NavNode_L3D_525560";</v>
      </c>
    </row>
    <row r="256" spans="1:44" ht="15" x14ac:dyDescent="0.25">
      <c r="A256" s="25"/>
      <c r="B256" s="5"/>
      <c r="C256" s="5"/>
      <c r="D256" s="5" t="s">
        <v>221</v>
      </c>
      <c r="E256" s="5"/>
      <c r="F256" s="5"/>
      <c r="G256" s="5" t="s">
        <v>507</v>
      </c>
      <c r="H256" s="5" t="s">
        <v>508</v>
      </c>
      <c r="I256" s="5" t="s">
        <v>509</v>
      </c>
      <c r="J256" s="5" t="s">
        <v>54</v>
      </c>
      <c r="K256" s="5" t="s">
        <v>1358</v>
      </c>
      <c r="L256" s="5" t="s">
        <v>1594</v>
      </c>
      <c r="M256" s="5" t="s">
        <v>1803</v>
      </c>
      <c r="N256" s="5" t="s">
        <v>2015</v>
      </c>
      <c r="O256" s="5" t="s">
        <v>3980</v>
      </c>
      <c r="P256" s="5" t="s">
        <v>3981</v>
      </c>
      <c r="Q256" s="5" t="s">
        <v>3982</v>
      </c>
      <c r="R256" s="5" t="s">
        <v>54</v>
      </c>
      <c r="S256" s="5" t="s">
        <v>3983</v>
      </c>
      <c r="T256" s="5" t="s">
        <v>3984</v>
      </c>
      <c r="U256" s="5" t="s">
        <v>3985</v>
      </c>
      <c r="V256" s="5" t="s">
        <v>3986</v>
      </c>
      <c r="W256" s="5" t="s">
        <v>3987</v>
      </c>
      <c r="X256" s="5" t="s">
        <v>3985</v>
      </c>
      <c r="Y256" s="10" t="str">
        <f>IF(OR($A256&lt;&gt;"", $G256=""),"",CONCATENATE(";",EscStr(CONCATENATE("NavNode_",getCategoryLevelAsString($B256))),";",EscStr($J256),";",IF($B256&lt;&gt;"","""MainNavNode""",EscStr(CONCATENATE("NavNode_",getSuperCategory($B256, getCategoryLevelAsNumber($B256))))),";"))</f>
        <v>;"NavNode_L3D_525561";"Power LEDs";"NavNode_L2D_379658";</v>
      </c>
      <c r="Z256" s="10" t="str">
        <f>IF(getCategoryLevelAsString($B256)="L0D_324785","",IF(G256="",CONCATENATE(";",EscStr(CONCATENATE("NavNode_",getCategoryLevelAsString($B256))),";",EscStr($J256),";"),CONCATENATE(";",EscStr(CONCATENATE("NavNode_",getCategoryLevelAsString($B256))),";",EscStr(G256),";")))</f>
        <v>;"NavNode_L3D_525561";"Power-LEDs";</v>
      </c>
      <c r="AA256" s="10" t="str">
        <f>IF(getCategoryLevelAsString($B256)="L0D_324785","",IF(H256="",CONCATENATE(";",EscStr(CONCATENATE("NavNode_",getCategoryLevelAsString($B256))),";",EscStr($J256),";"),CONCATENATE(";",EscStr(CONCATENATE("NavNode_",getCategoryLevelAsString($B256))),";",EscStr(H256),";")))</f>
        <v>;"NavNode_L3D_525561";"LED de puissance";</v>
      </c>
      <c r="AB256" s="10" t="str">
        <f>IF(getCategoryLevelAsString($B256)="L0D_324785","",IF(I256="",CONCATENATE(";",EscStr(CONCATENATE("NavNode_",getCategoryLevelAsString($B256))),";",EscStr($J256),";"),CONCATENATE(";",EscStr(CONCATENATE("NavNode_",getCategoryLevelAsString($B256))),";",EscStr(I256),";")))</f>
        <v>;"NavNode_L3D_525561";"LED corrente";</v>
      </c>
      <c r="AC256" s="10" t="str">
        <f>IF(getCategoryLevelAsString($B256)="L0D_324785","",IF(J256="",CONCATENATE(";",EscStr(CONCATENATE("NavNode_",getCategoryLevelAsString($B256))),";",EscStr($J256),";"),CONCATENATE(";",EscStr(CONCATENATE("NavNode_",getCategoryLevelAsString($B256))),";",EscStr(J256),";")))</f>
        <v>;"NavNode_L3D_525561";"Power LEDs";</v>
      </c>
      <c r="AD256" s="10" t="str">
        <f>IF(getCategoryLevelAsString($B256)="L0D_324785","",IF(K256="",CONCATENATE(";",EscStr(CONCATENATE("NavNode_",getCategoryLevelAsString($B256))),";",EscStr($J256),";"),CONCATENATE(";",EscStr(CONCATENATE("NavNode_",getCategoryLevelAsString($B256))),";",EscStr(K256),";")))</f>
        <v>;"NavNode_L3D_525561";"Effektdioder";</v>
      </c>
      <c r="AE256" s="10" t="str">
        <f>IF(getCategoryLevelAsString($B256)="L0D_324785","",IF(L256="",CONCATENATE(";",EscStr(CONCATENATE("NavNode_",getCategoryLevelAsString($B256))),";",EscStr($J256),";"),CONCATENATE(";",EscStr(CONCATENATE("NavNode_",getCategoryLevelAsString($B256))),";",EscStr(L256),";")))</f>
        <v>;"NavNode_L3D_525561";"Maitinimo šviesos diodai";</v>
      </c>
      <c r="AF256" s="10" t="str">
        <f>IF(getCategoryLevelAsString($B256)="L0D_324785","",IF(M256="",CONCATENATE(";",EscStr(CONCATENATE("NavNode_",getCategoryLevelAsString($B256))),";",EscStr($J256),";"),CONCATENATE(";",EscStr(CONCATENATE("NavNode_",getCategoryLevelAsString($B256))),";",EscStr(M256),";")))</f>
        <v>;"NavNode_L3D_525561";"Strøm-LED-er";</v>
      </c>
      <c r="AG256" s="10" t="str">
        <f>IF(getCategoryLevelAsString($B256)="L0D_324785","",IF(N256="",CONCATENATE(";",EscStr(CONCATENATE("NavNode_",getCategoryLevelAsString($B256))),";",EscStr($J256),";"),CONCATENATE(";",EscStr(CONCATENATE("NavNode_",getCategoryLevelAsString($B256))),";",EscStr(N256),";")))</f>
        <v>;"NavNode_L3D_525561";"Effekt-LED";</v>
      </c>
      <c r="AH256" s="10" t="str">
        <f>IF(getCategoryLevelAsString($B256)="L0D_324785","",IF(O256="",CONCATENATE(";",EscStr(CONCATENATE("NavNode_",getCategoryLevelAsString($B256))),";",EscStr($J256),";"),CONCATENATE(";",EscStr(CONCATENATE("NavNode_",getCategoryLevelAsString($B256))),";",EscStr(O256),";")))</f>
        <v>;"NavNode_L3D_525561";"Võimsad LEDid";</v>
      </c>
      <c r="AI256" s="10" t="str">
        <f>IF(getCategoryLevelAsString($B256)="L0D_324785","",IF(P256="",CONCATENATE(";",EscStr(CONCATENATE("NavNode_",getCategoryLevelAsString($B256))),";",EscStr($J256),";"),CONCATENATE(";",EscStr(CONCATENATE("NavNode_",getCategoryLevelAsString($B256))),";",EscStr(P256),";")))</f>
        <v>;"NavNode_L3D_525561";"Teholedit";</v>
      </c>
      <c r="AJ256" s="10" t="str">
        <f>IF(getCategoryLevelAsString($B256)="L0D_324785","",IF(Q256="",CONCATENATE(";",EscStr(CONCATENATE("NavNode_",getCategoryLevelAsString($B256))),";",EscStr($J256),";"),CONCATENATE(";",EscStr(CONCATENATE("NavNode_",getCategoryLevelAsString($B256))),";",EscStr(Q256),";")))</f>
        <v>;"NavNode_L3D_525561";"Jaudas LED";</v>
      </c>
      <c r="AK256" s="10" t="str">
        <f>IF(getCategoryLevelAsString($B256)="L0D_324785","",IF(R256="",CONCATENATE(";",EscStr(CONCATENATE("NavNode_",getCategoryLevelAsString($B256))),";",EscStr($J256),";"),CONCATENATE(";",EscStr(CONCATENATE("NavNode_",getCategoryLevelAsString($B256))),";",EscStr(R256),";")))</f>
        <v>;"NavNode_L3D_525561";"Power LEDs";</v>
      </c>
      <c r="AL256" s="10" t="str">
        <f>IF(getCategoryLevelAsString($B256)="L0D_324785","",IF(S256="",CONCATENATE(";",EscStr(CONCATENATE("NavNode_",getCategoryLevelAsString($B256))),";",EscStr($J256),";"),CONCATENATE(";",EscStr(CONCATENATE("NavNode_",getCategoryLevelAsString($B256))),";",EscStr(S256),";")))</f>
        <v>;"NavNode_L3D_525561";"LED mocy";</v>
      </c>
      <c r="AM256" s="10" t="str">
        <f>IF(getCategoryLevelAsString($B256)="L0D_324785","",IF(T256="",CONCATENATE(";",EscStr(CONCATENATE("NavNode_",getCategoryLevelAsString($B256))),";",EscStr($J256),";"),CONCATENATE(";",EscStr(CONCATENATE("NavNode_",getCategoryLevelAsString($B256))),";",EscStr(T256),";")))</f>
        <v>;"NavNode_L3D_525561";"Мощные светодиоды";</v>
      </c>
      <c r="AN256" s="10" t="str">
        <f>IF(getCategoryLevelAsString($B256)="L0D_324785","",IF(U256="",CONCATENATE(";",EscStr(CONCATENATE("NavNode_",getCategoryLevelAsString($B256))),";",EscStr($J256),";"),CONCATENATE(";",EscStr(CONCATENATE("NavNode_",getCategoryLevelAsString($B256))),";",EscStr(U256),";")))</f>
        <v>;"NavNode_L3D_525561";"Výkonové LED diody";</v>
      </c>
      <c r="AO256" s="10" t="str">
        <f>IF(getCategoryLevelAsString($B256)="L0D_324785","",IF(V256="",CONCATENATE(";",EscStr(CONCATENATE("NavNode_",getCategoryLevelAsString($B256))),";",EscStr($J256),";"),CONCATENATE(";",EscStr(CONCATENATE("NavNode_",getCategoryLevelAsString($B256))),";",EscStr(V256),";")))</f>
        <v>;"NavNode_L3D_525561";"Diode LED de putere";</v>
      </c>
      <c r="AP256" s="10" t="str">
        <f>IF(getCategoryLevelAsString($B256)="L0D_324785","",IF(W256="",CONCATENATE(";",EscStr(CONCATENATE("NavNode_",getCategoryLevelAsString($B256))),";",EscStr($J256),";"),CONCATENATE(";",EscStr(CONCATENATE("NavNode_",getCategoryLevelAsString($B256))),";",EscStr(W256),";")))</f>
        <v>;"NavNode_L3D_525561";"Power LED-ek";</v>
      </c>
      <c r="AQ256" s="10" t="str">
        <f>IF(getCategoryLevelAsString($B256)="L0D_324785","",IF(X256="",CONCATENATE(";",EscStr(CONCATENATE("NavNode_",getCategoryLevelAsString($B256))),";",EscStr($J256),";"),CONCATENATE(";",EscStr(CONCATENATE("NavNode_",getCategoryLevelAsString($B256))),";",EscStr(X256),";")))</f>
        <v>;"NavNode_L3D_525561";"Výkonové LED diody";</v>
      </c>
      <c r="AR256" s="8" t="str">
        <f>IF(OR($A256&lt;&gt;"", $G256=""),"",CONCATENATE(";",EscStr(CONCATENATE("NavEntry_",getCategoryLevelAsString($B256))),";",EscStr(CONCATENATE($J256," Navigation Entry")),";",EscStr(CONCATENATE("cat-",getCategoryLevelAsString($B256))),";",EscStr(CONCATENATE("NavNode_",getCategoryLevelAsString($B256))),";"))</f>
        <v>;"NavEntry_L3D_525561";"Power LEDs Navigation Entry";"cat-L3D_525561";"NavNode_L3D_525561";</v>
      </c>
    </row>
    <row r="257" spans="1:44" ht="15" x14ac:dyDescent="0.25">
      <c r="A257" s="25"/>
      <c r="B257" s="5"/>
      <c r="C257" s="5"/>
      <c r="D257" s="5" t="s">
        <v>220</v>
      </c>
      <c r="E257" s="5"/>
      <c r="F257" s="5"/>
      <c r="G257" s="5" t="s">
        <v>2203</v>
      </c>
      <c r="H257" s="5" t="s">
        <v>2204</v>
      </c>
      <c r="I257" s="5" t="s">
        <v>2205</v>
      </c>
      <c r="J257" s="5" t="s">
        <v>2206</v>
      </c>
      <c r="K257" s="5" t="s">
        <v>2207</v>
      </c>
      <c r="L257" s="5" t="s">
        <v>2208</v>
      </c>
      <c r="M257" s="5" t="s">
        <v>2209</v>
      </c>
      <c r="N257" s="5" t="s">
        <v>2207</v>
      </c>
      <c r="O257" s="5" t="s">
        <v>2210</v>
      </c>
      <c r="P257" s="5" t="s">
        <v>2211</v>
      </c>
      <c r="Q257" s="5" t="s">
        <v>2212</v>
      </c>
      <c r="R257" s="5" t="s">
        <v>2213</v>
      </c>
      <c r="S257" s="5" t="s">
        <v>2214</v>
      </c>
      <c r="T257" s="5" t="s">
        <v>2215</v>
      </c>
      <c r="U257" s="5" t="s">
        <v>2216</v>
      </c>
      <c r="V257" s="5" t="s">
        <v>2217</v>
      </c>
      <c r="W257" s="5" t="s">
        <v>2218</v>
      </c>
      <c r="X257" s="5" t="s">
        <v>2216</v>
      </c>
      <c r="Y257" s="10" t="str">
        <f>IF(OR($A257&lt;&gt;"", $G257=""),"",CONCATENATE(";",EscStr(CONCATENATE("NavNode_",getCategoryLevelAsString($B257))),";",EscStr($J257),";",IF($B257&lt;&gt;"","""MainNavNode""",EscStr(CONCATENATE("NavNode_",getSuperCategory($B257, getCategoryLevelAsNumber($B257))))),";"))</f>
        <v>;"NavNode_L3D_525562";"LED Spot Modules";"NavNode_L2D_379658";</v>
      </c>
      <c r="Z257" s="10" t="str">
        <f>IF(getCategoryLevelAsString($B257)="L0D_324785","",IF(G257="",CONCATENATE(";",EscStr(CONCATENATE("NavNode_",getCategoryLevelAsString($B257))),";",EscStr($J257),";"),CONCATENATE(";",EscStr(CONCATENATE("NavNode_",getCategoryLevelAsString($B257))),";",EscStr(G257),";")))</f>
        <v>;"NavNode_L3D_525562";"LED Spot Module";</v>
      </c>
      <c r="AA257" s="10" t="str">
        <f>IF(getCategoryLevelAsString($B257)="L0D_324785","",IF(H257="",CONCATENATE(";",EscStr(CONCATENATE("NavNode_",getCategoryLevelAsString($B257))),";",EscStr($J257),";"),CONCATENATE(";",EscStr(CONCATENATE("NavNode_",getCategoryLevelAsString($B257))),";",EscStr(H257),";")))</f>
        <v>;"NavNode_L3D_525562";"Modules de spot à LED";</v>
      </c>
      <c r="AB257" s="10" t="str">
        <f>IF(getCategoryLevelAsString($B257)="L0D_324785","",IF(I257="",CONCATENATE(";",EscStr(CONCATENATE("NavNode_",getCategoryLevelAsString($B257))),";",EscStr($J257),";"),CONCATENATE(";",EscStr(CONCATENATE("NavNode_",getCategoryLevelAsString($B257))),";",EscStr(I257),";")))</f>
        <v>;"NavNode_L3D_525562";"Moduli faretti a LED";</v>
      </c>
      <c r="AC257" s="10" t="str">
        <f>IF(getCategoryLevelAsString($B257)="L0D_324785","",IF(J257="",CONCATENATE(";",EscStr(CONCATENATE("NavNode_",getCategoryLevelAsString($B257))),";",EscStr($J257),";"),CONCATENATE(";",EscStr(CONCATENATE("NavNode_",getCategoryLevelAsString($B257))),";",EscStr(J257),";")))</f>
        <v>;"NavNode_L3D_525562";"LED Spot Modules";</v>
      </c>
      <c r="AD257" s="10" t="str">
        <f>IF(getCategoryLevelAsString($B257)="L0D_324785","",IF(K257="",CONCATENATE(";",EscStr(CONCATENATE("NavNode_",getCategoryLevelAsString($B257))),";",EscStr($J257),";"),CONCATENATE(";",EscStr(CONCATENATE("NavNode_",getCategoryLevelAsString($B257))),";",EscStr(K257),";")))</f>
        <v>;"NavNode_L3D_525562";"LED-spotmoduler";</v>
      </c>
      <c r="AE257" s="10" t="str">
        <f>IF(getCategoryLevelAsString($B257)="L0D_324785","",IF(L257="",CONCATENATE(";",EscStr(CONCATENATE("NavNode_",getCategoryLevelAsString($B257))),";",EscStr($J257),";"),CONCATENATE(";",EscStr(CONCATENATE("NavNode_",getCategoryLevelAsString($B257))),";",EscStr(L257),";")))</f>
        <v>;"NavNode_L3D_525562";"LED taškiniai moduliai";</v>
      </c>
      <c r="AF257" s="10" t="str">
        <f>IF(getCategoryLevelAsString($B257)="L0D_324785","",IF(M257="",CONCATENATE(";",EscStr(CONCATENATE("NavNode_",getCategoryLevelAsString($B257))),";",EscStr($J257),";"),CONCATENATE(";",EscStr(CONCATENATE("NavNode_",getCategoryLevelAsString($B257))),";",EscStr(M257),";")))</f>
        <v>;"NavNode_L3D_525562";"LED-spotmodul";</v>
      </c>
      <c r="AG257" s="10" t="str">
        <f>IF(getCategoryLevelAsString($B257)="L0D_324785","",IF(N257="",CONCATENATE(";",EscStr(CONCATENATE("NavNode_",getCategoryLevelAsString($B257))),";",EscStr($J257),";"),CONCATENATE(";",EscStr(CONCATENATE("NavNode_",getCategoryLevelAsString($B257))),";",EscStr(N257),";")))</f>
        <v>;"NavNode_L3D_525562";"LED-spotmoduler";</v>
      </c>
      <c r="AH257" s="10" t="str">
        <f>IF(getCategoryLevelAsString($B257)="L0D_324785","",IF(O257="",CONCATENATE(";",EscStr(CONCATENATE("NavNode_",getCategoryLevelAsString($B257))),";",EscStr($J257),";"),CONCATENATE(";",EscStr(CONCATENATE("NavNode_",getCategoryLevelAsString($B257))),";",EscStr(O257),";")))</f>
        <v>;"NavNode_L3D_525562";"LED-kohtmoodulid";</v>
      </c>
      <c r="AI257" s="10" t="str">
        <f>IF(getCategoryLevelAsString($B257)="L0D_324785","",IF(P257="",CONCATENATE(";",EscStr(CONCATENATE("NavNode_",getCategoryLevelAsString($B257))),";",EscStr($J257),";"),CONCATENATE(";",EscStr(CONCATENATE("NavNode_",getCategoryLevelAsString($B257))),";",EscStr(P257),";")))</f>
        <v>;"NavNode_L3D_525562";"LED-kohdevalomoduulit";</v>
      </c>
      <c r="AJ257" s="10" t="str">
        <f>IF(getCategoryLevelAsString($B257)="L0D_324785","",IF(Q257="",CONCATENATE(";",EscStr(CONCATENATE("NavNode_",getCategoryLevelAsString($B257))),";",EscStr($J257),";"),CONCATENATE(";",EscStr(CONCATENATE("NavNode_",getCategoryLevelAsString($B257))),";",EscStr(Q257),";")))</f>
        <v>;"NavNode_L3D_525562";"Gaismas diožu punkta moduļi";</v>
      </c>
      <c r="AK257" s="10" t="str">
        <f>IF(getCategoryLevelAsString($B257)="L0D_324785","",IF(R257="",CONCATENATE(";",EscStr(CONCATENATE("NavNode_",getCategoryLevelAsString($B257))),";",EscStr($J257),";"),CONCATENATE(";",EscStr(CONCATENATE("NavNode_",getCategoryLevelAsString($B257))),";",EscStr(R257),";")))</f>
        <v>;"NavNode_L3D_525562";"LED-spotmodules";</v>
      </c>
      <c r="AL257" s="10" t="str">
        <f>IF(getCategoryLevelAsString($B257)="L0D_324785","",IF(S257="",CONCATENATE(";",EscStr(CONCATENATE("NavNode_",getCategoryLevelAsString($B257))),";",EscStr($J257),";"),CONCATENATE(";",EscStr(CONCATENATE("NavNode_",getCategoryLevelAsString($B257))),";",EscStr(S257),";")))</f>
        <v>;"NavNode_L3D_525562";"Moduły punktowe LED";</v>
      </c>
      <c r="AM257" s="10" t="str">
        <f>IF(getCategoryLevelAsString($B257)="L0D_324785","",IF(T257="",CONCATENATE(";",EscStr(CONCATENATE("NavNode_",getCategoryLevelAsString($B257))),";",EscStr($J257),";"),CONCATENATE(";",EscStr(CONCATENATE("NavNode_",getCategoryLevelAsString($B257))),";",EscStr(T257),";")))</f>
        <v>;"NavNode_L3D_525562";"Модули точечных светодиодов";</v>
      </c>
      <c r="AN257" s="10" t="str">
        <f>IF(getCategoryLevelAsString($B257)="L0D_324785","",IF(U257="",CONCATENATE(";",EscStr(CONCATENATE("NavNode_",getCategoryLevelAsString($B257))),";",EscStr($J257),";"),CONCATENATE(";",EscStr(CONCATENATE("NavNode_",getCategoryLevelAsString($B257))),";",EscStr(U257),";")))</f>
        <v>;"NavNode_L3D_525562";"Bodové moduly LED";</v>
      </c>
      <c r="AO257" s="10" t="str">
        <f>IF(getCategoryLevelAsString($B257)="L0D_324785","",IF(V257="",CONCATENATE(";",EscStr(CONCATENATE("NavNode_",getCategoryLevelAsString($B257))),";",EscStr($J257),";"),CONCATENATE(";",EscStr(CONCATENATE("NavNode_",getCategoryLevelAsString($B257))),";",EscStr(V257),";")))</f>
        <v>;"NavNode_L3D_525562";"Module spot cu LED";</v>
      </c>
      <c r="AP257" s="10" t="str">
        <f>IF(getCategoryLevelAsString($B257)="L0D_324785","",IF(W257="",CONCATENATE(";",EscStr(CONCATENATE("NavNode_",getCategoryLevelAsString($B257))),";",EscStr($J257),";"),CONCATENATE(";",EscStr(CONCATENATE("NavNode_",getCategoryLevelAsString($B257))),";",EscStr(W257),";")))</f>
        <v>;"NavNode_L3D_525562";"LED-es spotlámpa modulok";</v>
      </c>
      <c r="AQ257" s="10" t="str">
        <f>IF(getCategoryLevelAsString($B257)="L0D_324785","",IF(X257="",CONCATENATE(";",EscStr(CONCATENATE("NavNode_",getCategoryLevelAsString($B257))),";",EscStr($J257),";"),CONCATENATE(";",EscStr(CONCATENATE("NavNode_",getCategoryLevelAsString($B257))),";",EscStr(X257),";")))</f>
        <v>;"NavNode_L3D_525562";"Bodové moduly LED";</v>
      </c>
      <c r="AR257" s="8" t="str">
        <f>IF(OR($A257&lt;&gt;"", $G257=""),"",CONCATENATE(";",EscStr(CONCATENATE("NavEntry_",getCategoryLevelAsString($B257))),";",EscStr(CONCATENATE($J257," Navigation Entry")),";",EscStr(CONCATENATE("cat-",getCategoryLevelAsString($B257))),";",EscStr(CONCATENATE("NavNode_",getCategoryLevelAsString($B257))),";"))</f>
        <v>;"NavEntry_L3D_525562";"LED Spot Modules Navigation Entry";"cat-L3D_525562";"NavNode_L3D_525562";</v>
      </c>
    </row>
    <row r="258" spans="1:44" ht="15" x14ac:dyDescent="0.25">
      <c r="A258" s="25"/>
      <c r="B258" s="5"/>
      <c r="C258" s="5"/>
      <c r="D258" s="5" t="s">
        <v>218</v>
      </c>
      <c r="E258" s="5"/>
      <c r="F258" s="5"/>
      <c r="G258" s="5" t="s">
        <v>504</v>
      </c>
      <c r="H258" s="5" t="s">
        <v>505</v>
      </c>
      <c r="I258" s="5" t="s">
        <v>506</v>
      </c>
      <c r="J258" s="5" t="s">
        <v>219</v>
      </c>
      <c r="K258" s="5" t="s">
        <v>1359</v>
      </c>
      <c r="L258" s="5" t="s">
        <v>1595</v>
      </c>
      <c r="M258" s="5" t="s">
        <v>1804</v>
      </c>
      <c r="N258" s="5" t="s">
        <v>1804</v>
      </c>
      <c r="O258" s="5" t="s">
        <v>3988</v>
      </c>
      <c r="P258" s="5" t="s">
        <v>3989</v>
      </c>
      <c r="Q258" s="5" t="s">
        <v>3990</v>
      </c>
      <c r="R258" s="5" t="s">
        <v>219</v>
      </c>
      <c r="S258" s="5" t="s">
        <v>3991</v>
      </c>
      <c r="T258" s="5" t="s">
        <v>3992</v>
      </c>
      <c r="U258" s="5" t="s">
        <v>3993</v>
      </c>
      <c r="V258" s="5" t="s">
        <v>3994</v>
      </c>
      <c r="W258" s="5" t="s">
        <v>3995</v>
      </c>
      <c r="X258" s="5" t="s">
        <v>3993</v>
      </c>
      <c r="Y258" s="10" t="str">
        <f>IF(OR($A258&lt;&gt;"", $G258=""),"",CONCATENATE(";",EscStr(CONCATENATE("NavNode_",getCategoryLevelAsString($B258))),";",EscStr($J258),";",IF($B258&lt;&gt;"","""MainNavNode""",EscStr(CONCATENATE("NavNode_",getSuperCategory($B258, getCategoryLevelAsNumber($B258))))),";"))</f>
        <v>;"NavNode_L3D_525563";"LED Modules";"NavNode_L2D_379658";</v>
      </c>
      <c r="Z258" s="10" t="str">
        <f>IF(getCategoryLevelAsString($B258)="L0D_324785","",IF(G258="",CONCATENATE(";",EscStr(CONCATENATE("NavNode_",getCategoryLevelAsString($B258))),";",EscStr($J258),";"),CONCATENATE(";",EscStr(CONCATENATE("NavNode_",getCategoryLevelAsString($B258))),";",EscStr(G258),";")))</f>
        <v>;"NavNode_L3D_525563";"LED-Module";</v>
      </c>
      <c r="AA258" s="10" t="str">
        <f>IF(getCategoryLevelAsString($B258)="L0D_324785","",IF(H258="",CONCATENATE(";",EscStr(CONCATENATE("NavNode_",getCategoryLevelAsString($B258))),";",EscStr($J258),";"),CONCATENATE(";",EscStr(CONCATENATE("NavNode_",getCategoryLevelAsString($B258))),";",EscStr(H258),";")))</f>
        <v>;"NavNode_L3D_525563";"Module LED";</v>
      </c>
      <c r="AB258" s="10" t="str">
        <f>IF(getCategoryLevelAsString($B258)="L0D_324785","",IF(I258="",CONCATENATE(";",EscStr(CONCATENATE("NavNode_",getCategoryLevelAsString($B258))),";",EscStr($J258),";"),CONCATENATE(";",EscStr(CONCATENATE("NavNode_",getCategoryLevelAsString($B258))),";",EscStr(I258),";")))</f>
        <v>;"NavNode_L3D_525563";"Moduli LED";</v>
      </c>
      <c r="AC258" s="10" t="str">
        <f>IF(getCategoryLevelAsString($B258)="L0D_324785","",IF(J258="",CONCATENATE(";",EscStr(CONCATENATE("NavNode_",getCategoryLevelAsString($B258))),";",EscStr($J258),";"),CONCATENATE(";",EscStr(CONCATENATE("NavNode_",getCategoryLevelAsString($B258))),";",EscStr(J258),";")))</f>
        <v>;"NavNode_L3D_525563";"LED Modules";</v>
      </c>
      <c r="AD258" s="10" t="str">
        <f>IF(getCategoryLevelAsString($B258)="L0D_324785","",IF(K258="",CONCATENATE(";",EscStr(CONCATENATE("NavNode_",getCategoryLevelAsString($B258))),";",EscStr($J258),";"),CONCATENATE(";",EscStr(CONCATENATE("NavNode_",getCategoryLevelAsString($B258))),";",EscStr(K258),";")))</f>
        <v>;"NavNode_L3D_525563";"LED-modul";</v>
      </c>
      <c r="AE258" s="10" t="str">
        <f>IF(getCategoryLevelAsString($B258)="L0D_324785","",IF(L258="",CONCATENATE(";",EscStr(CONCATENATE("NavNode_",getCategoryLevelAsString($B258))),";",EscStr($J258),";"),CONCATENATE(";",EscStr(CONCATENATE("NavNode_",getCategoryLevelAsString($B258))),";",EscStr(L258),";")))</f>
        <v>;"NavNode_L3D_525563";"Šviesos diodų moduliai";</v>
      </c>
      <c r="AF258" s="10" t="str">
        <f>IF(getCategoryLevelAsString($B258)="L0D_324785","",IF(M258="",CONCATENATE(";",EscStr(CONCATENATE("NavNode_",getCategoryLevelAsString($B258))),";",EscStr($J258),";"),CONCATENATE(";",EscStr(CONCATENATE("NavNode_",getCategoryLevelAsString($B258))),";",EscStr(M258),";")))</f>
        <v>;"NavNode_L3D_525563";"LED-moduler";</v>
      </c>
      <c r="AG258" s="10" t="str">
        <f>IF(getCategoryLevelAsString($B258)="L0D_324785","",IF(N258="",CONCATENATE(";",EscStr(CONCATENATE("NavNode_",getCategoryLevelAsString($B258))),";",EscStr($J258),";"),CONCATENATE(";",EscStr(CONCATENATE("NavNode_",getCategoryLevelAsString($B258))),";",EscStr(N258),";")))</f>
        <v>;"NavNode_L3D_525563";"LED-moduler";</v>
      </c>
      <c r="AH258" s="10" t="str">
        <f>IF(getCategoryLevelAsString($B258)="L0D_324785","",IF(O258="",CONCATENATE(";",EscStr(CONCATENATE("NavNode_",getCategoryLevelAsString($B258))),";",EscStr($J258),";"),CONCATENATE(";",EscStr(CONCATENATE("NavNode_",getCategoryLevelAsString($B258))),";",EscStr(O258),";")))</f>
        <v>;"NavNode_L3D_525563";"LED moodulid";</v>
      </c>
      <c r="AI258" s="10" t="str">
        <f>IF(getCategoryLevelAsString($B258)="L0D_324785","",IF(P258="",CONCATENATE(";",EscStr(CONCATENATE("NavNode_",getCategoryLevelAsString($B258))),";",EscStr($J258),";"),CONCATENATE(";",EscStr(CONCATENATE("NavNode_",getCategoryLevelAsString($B258))),";",EscStr(P258),";")))</f>
        <v>;"NavNode_L3D_525563";"Led Moduulit";</v>
      </c>
      <c r="AJ258" s="10" t="str">
        <f>IF(getCategoryLevelAsString($B258)="L0D_324785","",IF(Q258="",CONCATENATE(";",EscStr(CONCATENATE("NavNode_",getCategoryLevelAsString($B258))),";",EscStr($J258),";"),CONCATENATE(";",EscStr(CONCATENATE("NavNode_",getCategoryLevelAsString($B258))),";",EscStr(Q258),";")))</f>
        <v>;"NavNode_L3D_525563";"LED moduļi";</v>
      </c>
      <c r="AK258" s="10" t="str">
        <f>IF(getCategoryLevelAsString($B258)="L0D_324785","",IF(R258="",CONCATENATE(";",EscStr(CONCATENATE("NavNode_",getCategoryLevelAsString($B258))),";",EscStr($J258),";"),CONCATENATE(";",EscStr(CONCATENATE("NavNode_",getCategoryLevelAsString($B258))),";",EscStr(R258),";")))</f>
        <v>;"NavNode_L3D_525563";"LED Modules";</v>
      </c>
      <c r="AL258" s="10" t="str">
        <f>IF(getCategoryLevelAsString($B258)="L0D_324785","",IF(S258="",CONCATENATE(";",EscStr(CONCATENATE("NavNode_",getCategoryLevelAsString($B258))),";",EscStr($J258),";"),CONCATENATE(";",EscStr(CONCATENATE("NavNode_",getCategoryLevelAsString($B258))),";",EscStr(S258),";")))</f>
        <v>;"NavNode_L3D_525563";"Moduły LED";</v>
      </c>
      <c r="AM258" s="10" t="str">
        <f>IF(getCategoryLevelAsString($B258)="L0D_324785","",IF(T258="",CONCATENATE(";",EscStr(CONCATENATE("NavNode_",getCategoryLevelAsString($B258))),";",EscStr($J258),";"),CONCATENATE(";",EscStr(CONCATENATE("NavNode_",getCategoryLevelAsString($B258))),";",EscStr(T258),";")))</f>
        <v>;"NavNode_L3D_525563";"Светодиодные модули";</v>
      </c>
      <c r="AN258" s="10" t="str">
        <f>IF(getCategoryLevelAsString($B258)="L0D_324785","",IF(U258="",CONCATENATE(";",EscStr(CONCATENATE("NavNode_",getCategoryLevelAsString($B258))),";",EscStr($J258),";"),CONCATENATE(";",EscStr(CONCATENATE("NavNode_",getCategoryLevelAsString($B258))),";",EscStr(U258),";")))</f>
        <v>;"NavNode_L3D_525563";"LED moduly";</v>
      </c>
      <c r="AO258" s="10" t="str">
        <f>IF(getCategoryLevelAsString($B258)="L0D_324785","",IF(V258="",CONCATENATE(";",EscStr(CONCATENATE("NavNode_",getCategoryLevelAsString($B258))),";",EscStr($J258),";"),CONCATENATE(";",EscStr(CONCATENATE("NavNode_",getCategoryLevelAsString($B258))),";",EscStr(V258),";")))</f>
        <v>;"NavNode_L3D_525563";"Module cu LED-uri";</v>
      </c>
      <c r="AP258" s="10" t="str">
        <f>IF(getCategoryLevelAsString($B258)="L0D_324785","",IF(W258="",CONCATENATE(";",EscStr(CONCATENATE("NavNode_",getCategoryLevelAsString($B258))),";",EscStr($J258),";"),CONCATENATE(";",EscStr(CONCATENATE("NavNode_",getCategoryLevelAsString($B258))),";",EscStr(W258),";")))</f>
        <v>;"NavNode_L3D_525563";"LED Modulok";</v>
      </c>
      <c r="AQ258" s="10" t="str">
        <f>IF(getCategoryLevelAsString($B258)="L0D_324785","",IF(X258="",CONCATENATE(";",EscStr(CONCATENATE("NavNode_",getCategoryLevelAsString($B258))),";",EscStr($J258),";"),CONCATENATE(";",EscStr(CONCATENATE("NavNode_",getCategoryLevelAsString($B258))),";",EscStr(X258),";")))</f>
        <v>;"NavNode_L3D_525563";"LED moduly";</v>
      </c>
      <c r="AR258" s="8" t="str">
        <f>IF(OR($A258&lt;&gt;"", $G258=""),"",CONCATENATE(";",EscStr(CONCATENATE("NavEntry_",getCategoryLevelAsString($B258))),";",EscStr(CONCATENATE($J258," Navigation Entry")),";",EscStr(CONCATENATE("cat-",getCategoryLevelAsString($B258))),";",EscStr(CONCATENATE("NavNode_",getCategoryLevelAsString($B258))),";"))</f>
        <v>;"NavEntry_L3D_525563";"LED Modules Navigation Entry";"cat-L3D_525563";"NavNode_L3D_525563";</v>
      </c>
    </row>
    <row r="259" spans="1:44" ht="15" x14ac:dyDescent="0.25">
      <c r="A259" s="25"/>
      <c r="B259" s="5"/>
      <c r="C259" s="5"/>
      <c r="D259" s="5" t="s">
        <v>216</v>
      </c>
      <c r="E259" s="5"/>
      <c r="F259" s="5"/>
      <c r="G259" s="5" t="s">
        <v>501</v>
      </c>
      <c r="H259" s="5" t="s">
        <v>502</v>
      </c>
      <c r="I259" s="5" t="s">
        <v>503</v>
      </c>
      <c r="J259" s="5" t="s">
        <v>217</v>
      </c>
      <c r="K259" s="5" t="s">
        <v>1360</v>
      </c>
      <c r="L259" s="5" t="s">
        <v>1596</v>
      </c>
      <c r="M259" s="5" t="s">
        <v>1805</v>
      </c>
      <c r="N259" s="5" t="s">
        <v>1805</v>
      </c>
      <c r="O259" s="5" t="s">
        <v>3996</v>
      </c>
      <c r="P259" s="5" t="s">
        <v>3997</v>
      </c>
      <c r="Q259" s="5" t="s">
        <v>3998</v>
      </c>
      <c r="R259" s="5" t="s">
        <v>3999</v>
      </c>
      <c r="S259" s="5" t="s">
        <v>4000</v>
      </c>
      <c r="T259" s="5" t="s">
        <v>4001</v>
      </c>
      <c r="U259" s="5" t="s">
        <v>4002</v>
      </c>
      <c r="V259" s="5" t="s">
        <v>4003</v>
      </c>
      <c r="W259" s="5" t="s">
        <v>4004</v>
      </c>
      <c r="X259" s="5" t="s">
        <v>4002</v>
      </c>
      <c r="Y259" s="10" t="str">
        <f>IF(OR($A259&lt;&gt;"", $G259=""),"",CONCATENATE(";",EscStr(CONCATENATE("NavNode_",getCategoryLevelAsString($B259))),";",EscStr($J259),";",IF($B259&lt;&gt;"","""MainNavNode""",EscStr(CONCATENATE("NavNode_",getSuperCategory($B259, getCategoryLevelAsNumber($B259))))),";"))</f>
        <v>;"NavNode_L3D_525565";"LED Fittings";"NavNode_L2D_379658";</v>
      </c>
      <c r="Z259" s="10" t="str">
        <f>IF(getCategoryLevelAsString($B259)="L0D_324785","",IF(G259="",CONCATENATE(";",EscStr(CONCATENATE("NavNode_",getCategoryLevelAsString($B259))),";",EscStr($J259),";"),CONCATENATE(";",EscStr(CONCATENATE("NavNode_",getCategoryLevelAsString($B259))),";",EscStr(G259),";")))</f>
        <v>;"NavNode_L3D_525565";"LED-Leuchten";</v>
      </c>
      <c r="AA259" s="10" t="str">
        <f>IF(getCategoryLevelAsString($B259)="L0D_324785","",IF(H259="",CONCATENATE(";",EscStr(CONCATENATE("NavNode_",getCategoryLevelAsString($B259))),";",EscStr($J259),";"),CONCATENATE(";",EscStr(CONCATENATE("NavNode_",getCategoryLevelAsString($B259))),";",EscStr(H259),";")))</f>
        <v>;"NavNode_L3D_525565";"Lampes LED";</v>
      </c>
      <c r="AB259" s="10" t="str">
        <f>IF(getCategoryLevelAsString($B259)="L0D_324785","",IF(I259="",CONCATENATE(";",EscStr(CONCATENATE("NavNode_",getCategoryLevelAsString($B259))),";",EscStr($J259),";"),CONCATENATE(";",EscStr(CONCATENATE("NavNode_",getCategoryLevelAsString($B259))),";",EscStr(I259),";")))</f>
        <v>;"NavNode_L3D_525565";"Lampade LED";</v>
      </c>
      <c r="AC259" s="10" t="str">
        <f>IF(getCategoryLevelAsString($B259)="L0D_324785","",IF(J259="",CONCATENATE(";",EscStr(CONCATENATE("NavNode_",getCategoryLevelAsString($B259))),";",EscStr($J259),";"),CONCATENATE(";",EscStr(CONCATENATE("NavNode_",getCategoryLevelAsString($B259))),";",EscStr(J259),";")))</f>
        <v>;"NavNode_L3D_525565";"LED Fittings";</v>
      </c>
      <c r="AD259" s="10" t="str">
        <f>IF(getCategoryLevelAsString($B259)="L0D_324785","",IF(K259="",CONCATENATE(";",EscStr(CONCATENATE("NavNode_",getCategoryLevelAsString($B259))),";",EscStr($J259),";"),CONCATENATE(";",EscStr(CONCATENATE("NavNode_",getCategoryLevelAsString($B259))),";",EscStr(K259),";")))</f>
        <v>;"NavNode_L3D_525565";"LED-beslag";</v>
      </c>
      <c r="AE259" s="10" t="str">
        <f>IF(getCategoryLevelAsString($B259)="L0D_324785","",IF(L259="",CONCATENATE(";",EscStr(CONCATENATE("NavNode_",getCategoryLevelAsString($B259))),";",EscStr($J259),";"),CONCATENATE(";",EscStr(CONCATENATE("NavNode_",getCategoryLevelAsString($B259))),";",EscStr(L259),";")))</f>
        <v>;"NavNode_L3D_525565";"Šviesos diodų jungtys";</v>
      </c>
      <c r="AF259" s="10" t="str">
        <f>IF(getCategoryLevelAsString($B259)="L0D_324785","",IF(M259="",CONCATENATE(";",EscStr(CONCATENATE("NavNode_",getCategoryLevelAsString($B259))),";",EscStr($J259),";"),CONCATENATE(";",EscStr(CONCATENATE("NavNode_",getCategoryLevelAsString($B259))),";",EscStr(M259),";")))</f>
        <v>;"NavNode_L3D_525565";"LED-armaturer";</v>
      </c>
      <c r="AG259" s="10" t="str">
        <f>IF(getCategoryLevelAsString($B259)="L0D_324785","",IF(N259="",CONCATENATE(";",EscStr(CONCATENATE("NavNode_",getCategoryLevelAsString($B259))),";",EscStr($J259),";"),CONCATENATE(";",EscStr(CONCATENATE("NavNode_",getCategoryLevelAsString($B259))),";",EscStr(N259),";")))</f>
        <v>;"NavNode_L3D_525565";"LED-armaturer";</v>
      </c>
      <c r="AH259" s="10" t="str">
        <f>IF(getCategoryLevelAsString($B259)="L0D_324785","",IF(O259="",CONCATENATE(";",EscStr(CONCATENATE("NavNode_",getCategoryLevelAsString($B259))),";",EscStr($J259),";"),CONCATENATE(";",EscStr(CONCATENATE("NavNode_",getCategoryLevelAsString($B259))),";",EscStr(O259),";")))</f>
        <v>;"NavNode_L3D_525565";"LED valgustid";</v>
      </c>
      <c r="AI259" s="10" t="str">
        <f>IF(getCategoryLevelAsString($B259)="L0D_324785","",IF(P259="",CONCATENATE(";",EscStr(CONCATENATE("NavNode_",getCategoryLevelAsString($B259))),";",EscStr($J259),";"),CONCATENATE(";",EscStr(CONCATENATE("NavNode_",getCategoryLevelAsString($B259))),";",EscStr(P259),";")))</f>
        <v>;"NavNode_L3D_525565";"LED Sovittimet";</v>
      </c>
      <c r="AJ259" s="10" t="str">
        <f>IF(getCategoryLevelAsString($B259)="L0D_324785","",IF(Q259="",CONCATENATE(";",EscStr(CONCATENATE("NavNode_",getCategoryLevelAsString($B259))),";",EscStr($J259),";"),CONCATENATE(";",EscStr(CONCATENATE("NavNode_",getCategoryLevelAsString($B259))),";",EscStr(Q259),";")))</f>
        <v>;"NavNode_L3D_525565";"LED turētāji";</v>
      </c>
      <c r="AK259" s="10" t="str">
        <f>IF(getCategoryLevelAsString($B259)="L0D_324785","",IF(R259="",CONCATENATE(";",EscStr(CONCATENATE("NavNode_",getCategoryLevelAsString($B259))),";",EscStr($J259),";"),CONCATENATE(";",EscStr(CONCATENATE("NavNode_",getCategoryLevelAsString($B259))),";",EscStr(R259),";")))</f>
        <v>;"NavNode_L3D_525565";"LED Fittingen";</v>
      </c>
      <c r="AL259" s="10" t="str">
        <f>IF(getCategoryLevelAsString($B259)="L0D_324785","",IF(S259="",CONCATENATE(";",EscStr(CONCATENATE("NavNode_",getCategoryLevelAsString($B259))),";",EscStr($J259),";"),CONCATENATE(";",EscStr(CONCATENATE("NavNode_",getCategoryLevelAsString($B259))),";",EscStr(S259),";")))</f>
        <v>;"NavNode_L3D_525565";"Źródła światła LED";</v>
      </c>
      <c r="AM259" s="10" t="str">
        <f>IF(getCategoryLevelAsString($B259)="L0D_324785","",IF(T259="",CONCATENATE(";",EscStr(CONCATENATE("NavNode_",getCategoryLevelAsString($B259))),";",EscStr($J259),";"),CONCATENATE(";",EscStr(CONCATENATE("NavNode_",getCategoryLevelAsString($B259))),";",EscStr(T259),";")))</f>
        <v>;"NavNode_L3D_525565";"Арматура для светодиодных ламп";</v>
      </c>
      <c r="AN259" s="10" t="str">
        <f>IF(getCategoryLevelAsString($B259)="L0D_324785","",IF(U259="",CONCATENATE(";",EscStr(CONCATENATE("NavNode_",getCategoryLevelAsString($B259))),";",EscStr($J259),";"),CONCATENATE(";",EscStr(CONCATENATE("NavNode_",getCategoryLevelAsString($B259))),";",EscStr(U259),";")))</f>
        <v>;"NavNode_L3D_525565";"LED světla";</v>
      </c>
      <c r="AO259" s="10" t="str">
        <f>IF(getCategoryLevelAsString($B259)="L0D_324785","",IF(V259="",CONCATENATE(";",EscStr(CONCATENATE("NavNode_",getCategoryLevelAsString($B259))),";",EscStr($J259),";"),CONCATENATE(";",EscStr(CONCATENATE("NavNode_",getCategoryLevelAsString($B259))),";",EscStr(V259),";")))</f>
        <v>;"NavNode_L3D_525565";"Lumini cu LED-uri";</v>
      </c>
      <c r="AP259" s="10" t="str">
        <f>IF(getCategoryLevelAsString($B259)="L0D_324785","",IF(W259="",CONCATENATE(";",EscStr(CONCATENATE("NavNode_",getCategoryLevelAsString($B259))),";",EscStr($J259),";"),CONCATENATE(";",EscStr(CONCATENATE("NavNode_",getCategoryLevelAsString($B259))),";",EscStr(W259),";")))</f>
        <v>;"NavNode_L3D_525565";"LED világítás";</v>
      </c>
      <c r="AQ259" s="10" t="str">
        <f>IF(getCategoryLevelAsString($B259)="L0D_324785","",IF(X259="",CONCATENATE(";",EscStr(CONCATENATE("NavNode_",getCategoryLevelAsString($B259))),";",EscStr($J259),";"),CONCATENATE(";",EscStr(CONCATENATE("NavNode_",getCategoryLevelAsString($B259))),";",EscStr(X259),";")))</f>
        <v>;"NavNode_L3D_525565";"LED světla";</v>
      </c>
      <c r="AR259" s="8" t="str">
        <f>IF(OR($A259&lt;&gt;"", $G259=""),"",CONCATENATE(";",EscStr(CONCATENATE("NavEntry_",getCategoryLevelAsString($B259))),";",EscStr(CONCATENATE($J259," Navigation Entry")),";",EscStr(CONCATENATE("cat-",getCategoryLevelAsString($B259))),";",EscStr(CONCATENATE("NavNode_",getCategoryLevelAsString($B259))),";"))</f>
        <v>;"NavEntry_L3D_525565";"LED Fittings Navigation Entry";"cat-L3D_525565";"NavNode_L3D_525565";</v>
      </c>
    </row>
    <row r="260" spans="1:44" ht="15" x14ac:dyDescent="0.25">
      <c r="A260" s="25"/>
      <c r="B260" s="5"/>
      <c r="C260" s="5"/>
      <c r="D260" s="5" t="s">
        <v>214</v>
      </c>
      <c r="E260" s="5"/>
      <c r="F260" s="5"/>
      <c r="G260" s="5" t="s">
        <v>498</v>
      </c>
      <c r="H260" s="5" t="s">
        <v>499</v>
      </c>
      <c r="I260" s="5" t="s">
        <v>500</v>
      </c>
      <c r="J260" s="5" t="s">
        <v>215</v>
      </c>
      <c r="K260" s="5" t="s">
        <v>1361</v>
      </c>
      <c r="L260" s="5" t="s">
        <v>1597</v>
      </c>
      <c r="M260" s="5" t="s">
        <v>1361</v>
      </c>
      <c r="N260" s="5" t="s">
        <v>2016</v>
      </c>
      <c r="O260" s="5" t="s">
        <v>4005</v>
      </c>
      <c r="P260" s="5" t="s">
        <v>4006</v>
      </c>
      <c r="Q260" s="5" t="s">
        <v>4007</v>
      </c>
      <c r="R260" s="5" t="s">
        <v>215</v>
      </c>
      <c r="S260" s="5" t="s">
        <v>4008</v>
      </c>
      <c r="T260" s="5" t="s">
        <v>4009</v>
      </c>
      <c r="U260" s="5" t="s">
        <v>4010</v>
      </c>
      <c r="V260" s="5" t="s">
        <v>4011</v>
      </c>
      <c r="W260" s="5" t="s">
        <v>4012</v>
      </c>
      <c r="X260" s="5" t="s">
        <v>4010</v>
      </c>
      <c r="Y260" s="10" t="str">
        <f>IF(OR($A260&lt;&gt;"", $G260=""),"",CONCATENATE(";",EscStr(CONCATENATE("NavNode_",getCategoryLevelAsString($B260))),";",EscStr($J260),";",IF($B260&lt;&gt;"","""MainNavNode""",EscStr(CONCATENATE("NavNode_",getSuperCategory($B260, getCategoryLevelAsNumber($B260))))),";"))</f>
        <v>;"NavNode_L3D_525566";"LED Drivers";"NavNode_L2D_379658";</v>
      </c>
      <c r="Z260" s="10" t="str">
        <f>IF(getCategoryLevelAsString($B260)="L0D_324785","",IF(G260="",CONCATENATE(";",EscStr(CONCATENATE("NavNode_",getCategoryLevelAsString($B260))),";",EscStr($J260),";"),CONCATENATE(";",EscStr(CONCATENATE("NavNode_",getCategoryLevelAsString($B260))),";",EscStr(G260),";")))</f>
        <v>;"NavNode_L3D_525566";"LED-Treiber";</v>
      </c>
      <c r="AA260" s="10" t="str">
        <f>IF(getCategoryLevelAsString($B260)="L0D_324785","",IF(H260="",CONCATENATE(";",EscStr(CONCATENATE("NavNode_",getCategoryLevelAsString($B260))),";",EscStr($J260),";"),CONCATENATE(";",EscStr(CONCATENATE("NavNode_",getCategoryLevelAsString($B260))),";",EscStr(H260),";")))</f>
        <v>;"NavNode_L3D_525566";"Pilotes pour LED";</v>
      </c>
      <c r="AB260" s="10" t="str">
        <f>IF(getCategoryLevelAsString($B260)="L0D_324785","",IF(I260="",CONCATENATE(";",EscStr(CONCATENATE("NavNode_",getCategoryLevelAsString($B260))),";",EscStr($J260),";"),CONCATENATE(";",EscStr(CONCATENATE("NavNode_",getCategoryLevelAsString($B260))),";",EscStr(I260),";")))</f>
        <v>;"NavNode_L3D_525566";"Alimentatori LED";</v>
      </c>
      <c r="AC260" s="10" t="str">
        <f>IF(getCategoryLevelAsString($B260)="L0D_324785","",IF(J260="",CONCATENATE(";",EscStr(CONCATENATE("NavNode_",getCategoryLevelAsString($B260))),";",EscStr($J260),";"),CONCATENATE(";",EscStr(CONCATENATE("NavNode_",getCategoryLevelAsString($B260))),";",EscStr(J260),";")))</f>
        <v>;"NavNode_L3D_525566";"LED Drivers";</v>
      </c>
      <c r="AD260" s="10" t="str">
        <f>IF(getCategoryLevelAsString($B260)="L0D_324785","",IF(K260="",CONCATENATE(";",EscStr(CONCATENATE("NavNode_",getCategoryLevelAsString($B260))),";",EscStr($J260),";"),CONCATENATE(";",EscStr(CONCATENATE("NavNode_",getCategoryLevelAsString($B260))),";",EscStr(K260),";")))</f>
        <v>;"NavNode_L3D_525566";"LED-drivere";</v>
      </c>
      <c r="AE260" s="10" t="str">
        <f>IF(getCategoryLevelAsString($B260)="L0D_324785","",IF(L260="",CONCATENATE(";",EscStr(CONCATENATE("NavNode_",getCategoryLevelAsString($B260))),";",EscStr($J260),";"),CONCATENATE(";",EscStr(CONCATENATE("NavNode_",getCategoryLevelAsString($B260))),";",EscStr(L260),";")))</f>
        <v>;"NavNode_L3D_525566";"Šviesos diodų valdikliai";</v>
      </c>
      <c r="AF260" s="10" t="str">
        <f>IF(getCategoryLevelAsString($B260)="L0D_324785","",IF(M260="",CONCATENATE(";",EscStr(CONCATENATE("NavNode_",getCategoryLevelAsString($B260))),";",EscStr($J260),";"),CONCATENATE(";",EscStr(CONCATENATE("NavNode_",getCategoryLevelAsString($B260))),";",EscStr(M260),";")))</f>
        <v>;"NavNode_L3D_525566";"LED-drivere";</v>
      </c>
      <c r="AG260" s="10" t="str">
        <f>IF(getCategoryLevelAsString($B260)="L0D_324785","",IF(N260="",CONCATENATE(";",EscStr(CONCATENATE("NavNode_",getCategoryLevelAsString($B260))),";",EscStr($J260),";"),CONCATENATE(";",EscStr(CONCATENATE("NavNode_",getCategoryLevelAsString($B260))),";",EscStr(N260),";")))</f>
        <v>;"NavNode_L3D_525566";"LED-drivkretsar";</v>
      </c>
      <c r="AH260" s="10" t="str">
        <f>IF(getCategoryLevelAsString($B260)="L0D_324785","",IF(O260="",CONCATENATE(";",EscStr(CONCATENATE("NavNode_",getCategoryLevelAsString($B260))),";",EscStr($J260),";"),CONCATENATE(";",EscStr(CONCATENATE("NavNode_",getCategoryLevelAsString($B260))),";",EscStr(O260),";")))</f>
        <v>;"NavNode_L3D_525566";"LEDide toiteplokid";</v>
      </c>
      <c r="AI260" s="10" t="str">
        <f>IF(getCategoryLevelAsString($B260)="L0D_324785","",IF(P260="",CONCATENATE(";",EscStr(CONCATENATE("NavNode_",getCategoryLevelAsString($B260))),";",EscStr($J260),";"),CONCATENATE(";",EscStr(CONCATENATE("NavNode_",getCategoryLevelAsString($B260))),";",EscStr(P260),";")))</f>
        <v>;"NavNode_L3D_525566";"LED Ohjaimet";</v>
      </c>
      <c r="AJ260" s="10" t="str">
        <f>IF(getCategoryLevelAsString($B260)="L0D_324785","",IF(Q260="",CONCATENATE(";",EscStr(CONCATENATE("NavNode_",getCategoryLevelAsString($B260))),";",EscStr($J260),";"),CONCATENATE(";",EscStr(CONCATENATE("NavNode_",getCategoryLevelAsString($B260))),";",EscStr(Q260),";")))</f>
        <v>;"NavNode_L3D_525566";"LED vadības iekārtas";</v>
      </c>
      <c r="AK260" s="10" t="str">
        <f>IF(getCategoryLevelAsString($B260)="L0D_324785","",IF(R260="",CONCATENATE(";",EscStr(CONCATENATE("NavNode_",getCategoryLevelAsString($B260))),";",EscStr($J260),";"),CONCATENATE(";",EscStr(CONCATENATE("NavNode_",getCategoryLevelAsString($B260))),";",EscStr(R260),";")))</f>
        <v>;"NavNode_L3D_525566";"LED Drivers";</v>
      </c>
      <c r="AL260" s="10" t="str">
        <f>IF(getCategoryLevelAsString($B260)="L0D_324785","",IF(S260="",CONCATENATE(";",EscStr(CONCATENATE("NavNode_",getCategoryLevelAsString($B260))),";",EscStr($J260),";"),CONCATENATE(";",EscStr(CONCATENATE("NavNode_",getCategoryLevelAsString($B260))),";",EscStr(S260),";")))</f>
        <v>;"NavNode_L3D_525566";"Sterowniki LED";</v>
      </c>
      <c r="AM260" s="10" t="str">
        <f>IF(getCategoryLevelAsString($B260)="L0D_324785","",IF(T260="",CONCATENATE(";",EscStr(CONCATENATE("NavNode_",getCategoryLevelAsString($B260))),";",EscStr($J260),";"),CONCATENATE(";",EscStr(CONCATENATE("NavNode_",getCategoryLevelAsString($B260))),";",EscStr(T260),";")))</f>
        <v>;"NavNode_L3D_525566";"Драйверы светодиодов";</v>
      </c>
      <c r="AN260" s="10" t="str">
        <f>IF(getCategoryLevelAsString($B260)="L0D_324785","",IF(U260="",CONCATENATE(";",EscStr(CONCATENATE("NavNode_",getCategoryLevelAsString($B260))),";",EscStr($J260),";"),CONCATENATE(";",EscStr(CONCATENATE("NavNode_",getCategoryLevelAsString($B260))),";",EscStr(U260),";")))</f>
        <v>;"NavNode_L3D_525566";"LED budiče";</v>
      </c>
      <c r="AO260" s="10" t="str">
        <f>IF(getCategoryLevelAsString($B260)="L0D_324785","",IF(V260="",CONCATENATE(";",EscStr(CONCATENATE("NavNode_",getCategoryLevelAsString($B260))),";",EscStr($J260),";"),CONCATENATE(";",EscStr(CONCATENATE("NavNode_",getCategoryLevelAsString($B260))),";",EscStr(V260),";")))</f>
        <v>;"NavNode_L3D_525566";"LED driver";</v>
      </c>
      <c r="AP260" s="10" t="str">
        <f>IF(getCategoryLevelAsString($B260)="L0D_324785","",IF(W260="",CONCATENATE(";",EscStr(CONCATENATE("NavNode_",getCategoryLevelAsString($B260))),";",EscStr($J260),";"),CONCATENATE(";",EscStr(CONCATENATE("NavNode_",getCategoryLevelAsString($B260))),";",EscStr(W260),";")))</f>
        <v>;"NavNode_L3D_525566";"LED meghajtó";</v>
      </c>
      <c r="AQ260" s="10" t="str">
        <f>IF(getCategoryLevelAsString($B260)="L0D_324785","",IF(X260="",CONCATENATE(";",EscStr(CONCATENATE("NavNode_",getCategoryLevelAsString($B260))),";",EscStr($J260),";"),CONCATENATE(";",EscStr(CONCATENATE("NavNode_",getCategoryLevelAsString($B260))),";",EscStr(X260),";")))</f>
        <v>;"NavNode_L3D_525566";"LED budiče";</v>
      </c>
      <c r="AR260" s="8" t="str">
        <f>IF(OR($A260&lt;&gt;"", $G260=""),"",CONCATENATE(";",EscStr(CONCATENATE("NavEntry_",getCategoryLevelAsString($B260))),";",EscStr(CONCATENATE($J260," Navigation Entry")),";",EscStr(CONCATENATE("cat-",getCategoryLevelAsString($B260))),";",EscStr(CONCATENATE("NavNode_",getCategoryLevelAsString($B260))),";"))</f>
        <v>;"NavEntry_L3D_525566";"LED Drivers Navigation Entry";"cat-L3D_525566";"NavNode_L3D_525566";</v>
      </c>
    </row>
    <row r="261" spans="1:44" ht="15" x14ac:dyDescent="0.25">
      <c r="A261" s="25"/>
      <c r="B261" s="5"/>
      <c r="C261" s="5"/>
      <c r="D261" s="5" t="s">
        <v>213</v>
      </c>
      <c r="E261" s="5"/>
      <c r="F261" s="5"/>
      <c r="G261" s="5" t="s">
        <v>960</v>
      </c>
      <c r="H261" s="5" t="s">
        <v>723</v>
      </c>
      <c r="I261" s="5" t="s">
        <v>497</v>
      </c>
      <c r="J261" s="5" t="s">
        <v>907</v>
      </c>
      <c r="K261" s="5" t="s">
        <v>1362</v>
      </c>
      <c r="L261" s="5" t="s">
        <v>1598</v>
      </c>
      <c r="M261" s="5" t="s">
        <v>1806</v>
      </c>
      <c r="N261" s="5" t="s">
        <v>2017</v>
      </c>
      <c r="O261" s="5" t="s">
        <v>4013</v>
      </c>
      <c r="P261" s="5" t="s">
        <v>4014</v>
      </c>
      <c r="Q261" s="5" t="s">
        <v>4015</v>
      </c>
      <c r="R261" s="5" t="s">
        <v>4016</v>
      </c>
      <c r="S261" s="5" t="s">
        <v>4017</v>
      </c>
      <c r="T261" s="5" t="s">
        <v>4018</v>
      </c>
      <c r="U261" s="5" t="s">
        <v>4019</v>
      </c>
      <c r="V261" s="5" t="s">
        <v>4020</v>
      </c>
      <c r="W261" s="5" t="s">
        <v>4021</v>
      </c>
      <c r="X261" s="5" t="s">
        <v>4019</v>
      </c>
      <c r="Y261" s="10" t="str">
        <f>IF(OR($A261&lt;&gt;"", $G261=""),"",CONCATENATE(";",EscStr(CONCATENATE("NavNode_",getCategoryLevelAsString($B261))),";",EscStr($J261),";",IF($B261&lt;&gt;"","""MainNavNode""",EscStr(CONCATENATE("NavNode_",getSuperCategory($B261, getCategoryLevelAsNumber($B261))))),";"))</f>
        <v>;"NavNode_L3D_525564";"Electroluminescence Panels";"NavNode_L2D_379658";</v>
      </c>
      <c r="Z261" s="10" t="str">
        <f>IF(getCategoryLevelAsString($B261)="L0D_324785","",IF(G261="",CONCATENATE(";",EscStr(CONCATENATE("NavNode_",getCategoryLevelAsString($B261))),";",EscStr($J261),";"),CONCATENATE(";",EscStr(CONCATENATE("NavNode_",getCategoryLevelAsString($B261))),";",EscStr(G261),";")))</f>
        <v>;"NavNode_L3D_525564";"Elektrolumineszenz-Folien";</v>
      </c>
      <c r="AA261" s="10" t="str">
        <f>IF(getCategoryLevelAsString($B261)="L0D_324785","",IF(H261="",CONCATENATE(";",EscStr(CONCATENATE("NavNode_",getCategoryLevelAsString($B261))),";",EscStr($J261),";"),CONCATENATE(";",EscStr(CONCATENATE("NavNode_",getCategoryLevelAsString($B261))),";",EscStr(H261),";")))</f>
        <v>;"NavNode_L3D_525564";"Panneaux électroluminescents";</v>
      </c>
      <c r="AB261" s="10" t="str">
        <f>IF(getCategoryLevelAsString($B261)="L0D_324785","",IF(I261="",CONCATENATE(";",EscStr(CONCATENATE("NavNode_",getCategoryLevelAsString($B261))),";",EscStr($J261),";"),CONCATENATE(";",EscStr(CONCATENATE("NavNode_",getCategoryLevelAsString($B261))),";",EscStr(I261),";")))</f>
        <v>;"NavNode_L3D_525564";"Pannelli elettroluminescenti";</v>
      </c>
      <c r="AC261" s="10" t="str">
        <f>IF(getCategoryLevelAsString($B261)="L0D_324785","",IF(J261="",CONCATENATE(";",EscStr(CONCATENATE("NavNode_",getCategoryLevelAsString($B261))),";",EscStr($J261),";"),CONCATENATE(";",EscStr(CONCATENATE("NavNode_",getCategoryLevelAsString($B261))),";",EscStr(J261),";")))</f>
        <v>;"NavNode_L3D_525564";"Electroluminescence Panels";</v>
      </c>
      <c r="AD261" s="10" t="str">
        <f>IF(getCategoryLevelAsString($B261)="L0D_324785","",IF(K261="",CONCATENATE(";",EscStr(CONCATENATE("NavNode_",getCategoryLevelAsString($B261))),";",EscStr($J261),";"),CONCATENATE(";",EscStr(CONCATENATE("NavNode_",getCategoryLevelAsString($B261))),";",EscStr(K261),";")))</f>
        <v>;"NavNode_L3D_525564";"Elektroluminescens-paneler";</v>
      </c>
      <c r="AE261" s="10" t="str">
        <f>IF(getCategoryLevelAsString($B261)="L0D_324785","",IF(L261="",CONCATENATE(";",EscStr(CONCATENATE("NavNode_",getCategoryLevelAsString($B261))),";",EscStr($J261),";"),CONCATENATE(";",EscStr(CONCATENATE("NavNode_",getCategoryLevelAsString($B261))),";",EscStr(L261),";")))</f>
        <v>;"NavNode_L3D_525564";"El. skydai";</v>
      </c>
      <c r="AF261" s="10" t="str">
        <f>IF(getCategoryLevelAsString($B261)="L0D_324785","",IF(M261="",CONCATENATE(";",EscStr(CONCATENATE("NavNode_",getCategoryLevelAsString($B261))),";",EscStr($J261),";"),CONCATENATE(";",EscStr(CONCATENATE("NavNode_",getCategoryLevelAsString($B261))),";",EscStr(M261),";")))</f>
        <v>;"NavNode_L3D_525564";"Electroluminescence-paneler";</v>
      </c>
      <c r="AG261" s="10" t="str">
        <f>IF(getCategoryLevelAsString($B261)="L0D_324785","",IF(N261="",CONCATENATE(";",EscStr(CONCATENATE("NavNode_",getCategoryLevelAsString($B261))),";",EscStr($J261),";"),CONCATENATE(";",EscStr(CONCATENATE("NavNode_",getCategoryLevelAsString($B261))),";",EscStr(N261),";")))</f>
        <v>;"NavNode_L3D_525564";"Elektroluminiscenspaneler";</v>
      </c>
      <c r="AH261" s="10" t="str">
        <f>IF(getCategoryLevelAsString($B261)="L0D_324785","",IF(O261="",CONCATENATE(";",EscStr(CONCATENATE("NavNode_",getCategoryLevelAsString($B261))),";",EscStr($J261),";"),CONCATENATE(";",EscStr(CONCATENATE("NavNode_",getCategoryLevelAsString($B261))),";",EscStr(O261),";")))</f>
        <v>;"NavNode_L3D_525564";"Elektroluminestseeruvad  paneelid";</v>
      </c>
      <c r="AI261" s="10" t="str">
        <f>IF(getCategoryLevelAsString($B261)="L0D_324785","",IF(P261="",CONCATENATE(";",EscStr(CONCATENATE("NavNode_",getCategoryLevelAsString($B261))),";",EscStr($J261),";"),CONCATENATE(";",EscStr(CONCATENATE("NavNode_",getCategoryLevelAsString($B261))),";",EscStr(P261),";")))</f>
        <v>;"NavNode_L3D_525564";"Luminenssipaneelit";</v>
      </c>
      <c r="AJ261" s="10" t="str">
        <f>IF(getCategoryLevelAsString($B261)="L0D_324785","",IF(Q261="",CONCATENATE(";",EscStr(CONCATENATE("NavNode_",getCategoryLevelAsString($B261))),";",EscStr($J261),";"),CONCATENATE(";",EscStr(CONCATENATE("NavNode_",getCategoryLevelAsString($B261))),";",EscStr(Q261),";")))</f>
        <v>;"NavNode_L3D_525564";"Elektroluminiscences paneļi";</v>
      </c>
      <c r="AK261" s="10" t="str">
        <f>IF(getCategoryLevelAsString($B261)="L0D_324785","",IF(R261="",CONCATENATE(";",EscStr(CONCATENATE("NavNode_",getCategoryLevelAsString($B261))),";",EscStr($J261),";"),CONCATENATE(";",EscStr(CONCATENATE("NavNode_",getCategoryLevelAsString($B261))),";",EscStr(R261),";")))</f>
        <v>;"NavNode_L3D_525564";"Elektroluminescentie panelen";</v>
      </c>
      <c r="AL261" s="10" t="str">
        <f>IF(getCategoryLevelAsString($B261)="L0D_324785","",IF(S261="",CONCATENATE(";",EscStr(CONCATENATE("NavNode_",getCategoryLevelAsString($B261))),";",EscStr($J261),";"),CONCATENATE(";",EscStr(CONCATENATE("NavNode_",getCategoryLevelAsString($B261))),";",EscStr(S261),";")))</f>
        <v>;"NavNode_L3D_525564";"Panele elektroluminescencyjne";</v>
      </c>
      <c r="AM261" s="10" t="str">
        <f>IF(getCategoryLevelAsString($B261)="L0D_324785","",IF(T261="",CONCATENATE(";",EscStr(CONCATENATE("NavNode_",getCategoryLevelAsString($B261))),";",EscStr($J261),";"),CONCATENATE(";",EscStr(CONCATENATE("NavNode_",getCategoryLevelAsString($B261))),";",EscStr(T261),";")))</f>
        <v>;"NavNode_L3D_525564";"Электролюминесцентные Панели";</v>
      </c>
      <c r="AN261" s="10" t="str">
        <f>IF(getCategoryLevelAsString($B261)="L0D_324785","",IF(U261="",CONCATENATE(";",EscStr(CONCATENATE("NavNode_",getCategoryLevelAsString($B261))),";",EscStr($J261),";"),CONCATENATE(";",EscStr(CONCATENATE("NavNode_",getCategoryLevelAsString($B261))),";",EscStr(U261),";")))</f>
        <v>;"NavNode_L3D_525564";"Elektroluminiscenční fólie";</v>
      </c>
      <c r="AO261" s="10" t="str">
        <f>IF(getCategoryLevelAsString($B261)="L0D_324785","",IF(V261="",CONCATENATE(";",EscStr(CONCATENATE("NavNode_",getCategoryLevelAsString($B261))),";",EscStr($J261),";"),CONCATENATE(";",EscStr(CONCATENATE("NavNode_",getCategoryLevelAsString($B261))),";",EscStr(V261),";")))</f>
        <v>;"NavNode_L3D_525564";"Folie electroluminescentă";</v>
      </c>
      <c r="AP261" s="10" t="str">
        <f>IF(getCategoryLevelAsString($B261)="L0D_324785","",IF(W261="",CONCATENATE(";",EscStr(CONCATENATE("NavNode_",getCategoryLevelAsString($B261))),";",EscStr($J261),";"),CONCATENATE(";",EscStr(CONCATENATE("NavNode_",getCategoryLevelAsString($B261))),";",EscStr(W261),";")))</f>
        <v>;"NavNode_L3D_525564";"Elektrolumineszcens világító fóliák";</v>
      </c>
      <c r="AQ261" s="10" t="str">
        <f>IF(getCategoryLevelAsString($B261)="L0D_324785","",IF(X261="",CONCATENATE(";",EscStr(CONCATENATE("NavNode_",getCategoryLevelAsString($B261))),";",EscStr($J261),";"),CONCATENATE(";",EscStr(CONCATENATE("NavNode_",getCategoryLevelAsString($B261))),";",EscStr(X261),";")))</f>
        <v>;"NavNode_L3D_525564";"Elektroluminiscenční fólie";</v>
      </c>
      <c r="AR261" s="8" t="str">
        <f>IF(OR($A261&lt;&gt;"", $G261=""),"",CONCATENATE(";",EscStr(CONCATENATE("NavEntry_",getCategoryLevelAsString($B261))),";",EscStr(CONCATENATE($J261," Navigation Entry")),";",EscStr(CONCATENATE("cat-",getCategoryLevelAsString($B261))),";",EscStr(CONCATENATE("NavNode_",getCategoryLevelAsString($B261))),";"))</f>
        <v>;"NavEntry_L3D_525564";"Electroluminescence Panels Navigation Entry";"cat-L3D_525564";"NavNode_L3D_525564";</v>
      </c>
    </row>
    <row r="262" spans="1:44" ht="15" x14ac:dyDescent="0.25">
      <c r="A262" s="25"/>
      <c r="B262" s="5"/>
      <c r="C262" s="5"/>
      <c r="D262" s="5" t="s">
        <v>211</v>
      </c>
      <c r="E262" s="5"/>
      <c r="F262" s="5"/>
      <c r="G262" s="5" t="s">
        <v>494</v>
      </c>
      <c r="H262" s="5" t="s">
        <v>495</v>
      </c>
      <c r="I262" s="5" t="s">
        <v>496</v>
      </c>
      <c r="J262" s="5" t="s">
        <v>212</v>
      </c>
      <c r="K262" s="5" t="s">
        <v>1363</v>
      </c>
      <c r="L262" s="5" t="s">
        <v>1599</v>
      </c>
      <c r="M262" s="5" t="s">
        <v>1807</v>
      </c>
      <c r="N262" s="5" t="s">
        <v>2018</v>
      </c>
      <c r="O262" s="5" t="s">
        <v>4022</v>
      </c>
      <c r="P262" s="5" t="s">
        <v>4023</v>
      </c>
      <c r="Q262" s="5" t="s">
        <v>4024</v>
      </c>
      <c r="R262" s="5" t="s">
        <v>4025</v>
      </c>
      <c r="S262" s="5" t="s">
        <v>4026</v>
      </c>
      <c r="T262" s="5" t="s">
        <v>4027</v>
      </c>
      <c r="U262" s="5" t="s">
        <v>4028</v>
      </c>
      <c r="V262" s="5" t="s">
        <v>4029</v>
      </c>
      <c r="W262" s="5" t="s">
        <v>4030</v>
      </c>
      <c r="X262" s="5" t="s">
        <v>4028</v>
      </c>
      <c r="Y262" s="10" t="str">
        <f>IF(OR($A262&lt;&gt;"", $G262=""),"",CONCATENATE(";",EscStr(CONCATENATE("NavNode_",getCategoryLevelAsString($B262))),";",EscStr($J262),";",IF($B262&lt;&gt;"","""MainNavNode""",EscStr(CONCATENATE("NavNode_",getSuperCategory($B262, getCategoryLevelAsNumber($B262))))),";"))</f>
        <v>;"NavNode_L2D_379659";"Accessories for Power LEDs";"NavNode_Lighting";</v>
      </c>
      <c r="Z262" s="10" t="str">
        <f>IF(getCategoryLevelAsString($B262)="L0D_324785","",IF(G262="",CONCATENATE(";",EscStr(CONCATENATE("NavNode_",getCategoryLevelAsString($B262))),";",EscStr($J262),";"),CONCATENATE(";",EscStr(CONCATENATE("NavNode_",getCategoryLevelAsString($B262))),";",EscStr(G262),";")))</f>
        <v>;"NavNode_L2D_379659";"Zubehör für Power-LEDs";</v>
      </c>
      <c r="AA262" s="10" t="str">
        <f>IF(getCategoryLevelAsString($B262)="L0D_324785","",IF(H262="",CONCATENATE(";",EscStr(CONCATENATE("NavNode_",getCategoryLevelAsString($B262))),";",EscStr($J262),";"),CONCATENATE(";",EscStr(CONCATENATE("NavNode_",getCategoryLevelAsString($B262))),";",EscStr(H262),";")))</f>
        <v>;"NavNode_L2D_379659";"Accessoires pour LED de puissance";</v>
      </c>
      <c r="AB262" s="10" t="str">
        <f>IF(getCategoryLevelAsString($B262)="L0D_324785","",IF(I262="",CONCATENATE(";",EscStr(CONCATENATE("NavNode_",getCategoryLevelAsString($B262))),";",EscStr($J262),";"),CONCATENATE(";",EscStr(CONCATENATE("NavNode_",getCategoryLevelAsString($B262))),";",EscStr(I262),";")))</f>
        <v>;"NavNode_L2D_379659";"Accessori per LED corrente";</v>
      </c>
      <c r="AC262" s="10" t="str">
        <f>IF(getCategoryLevelAsString($B262)="L0D_324785","",IF(J262="",CONCATENATE(";",EscStr(CONCATENATE("NavNode_",getCategoryLevelAsString($B262))),";",EscStr($J262),";"),CONCATENATE(";",EscStr(CONCATENATE("NavNode_",getCategoryLevelAsString($B262))),";",EscStr(J262),";")))</f>
        <v>;"NavNode_L2D_379659";"Accessories for Power LEDs";</v>
      </c>
      <c r="AD262" s="10" t="str">
        <f>IF(getCategoryLevelAsString($B262)="L0D_324785","",IF(K262="",CONCATENATE(";",EscStr(CONCATENATE("NavNode_",getCategoryLevelAsString($B262))),";",EscStr($J262),";"),CONCATENATE(";",EscStr(CONCATENATE("NavNode_",getCategoryLevelAsString($B262))),";",EscStr(K262),";")))</f>
        <v>;"NavNode_L2D_379659";"Udstyr til effektdioder";</v>
      </c>
      <c r="AE262" s="10" t="str">
        <f>IF(getCategoryLevelAsString($B262)="L0D_324785","",IF(L262="",CONCATENATE(";",EscStr(CONCATENATE("NavNode_",getCategoryLevelAsString($B262))),";",EscStr($J262),";"),CONCATENATE(";",EscStr(CONCATENATE("NavNode_",getCategoryLevelAsString($B262))),";",EscStr(L262),";")))</f>
        <v>;"NavNode_L2D_379659";"Maitinimo šviesos diodų priedai";</v>
      </c>
      <c r="AF262" s="10" t="str">
        <f>IF(getCategoryLevelAsString($B262)="L0D_324785","",IF(M262="",CONCATENATE(";",EscStr(CONCATENATE("NavNode_",getCategoryLevelAsString($B262))),";",EscStr($J262),";"),CONCATENATE(";",EscStr(CONCATENATE("NavNode_",getCategoryLevelAsString($B262))),";",EscStr(M262),";")))</f>
        <v>;"NavNode_L2D_379659";"Tilbehør for strøm-LED-er";</v>
      </c>
      <c r="AG262" s="10" t="str">
        <f>IF(getCategoryLevelAsString($B262)="L0D_324785","",IF(N262="",CONCATENATE(";",EscStr(CONCATENATE("NavNode_",getCategoryLevelAsString($B262))),";",EscStr($J262),";"),CONCATENATE(";",EscStr(CONCATENATE("NavNode_",getCategoryLevelAsString($B262))),";",EscStr(N262),";")))</f>
        <v>;"NavNode_L2D_379659";"Tillbehör för effekt-LED";</v>
      </c>
      <c r="AH262" s="10" t="str">
        <f>IF(getCategoryLevelAsString($B262)="L0D_324785","",IF(O262="",CONCATENATE(";",EscStr(CONCATENATE("NavNode_",getCategoryLevelAsString($B262))),";",EscStr($J262),";"),CONCATENATE(";",EscStr(CONCATENATE("NavNode_",getCategoryLevelAsString($B262))),";",EscStr(O262),";")))</f>
        <v>;"NavNode_L2D_379659";"Võimsate LEDide tarvikud";</v>
      </c>
      <c r="AI262" s="10" t="str">
        <f>IF(getCategoryLevelAsString($B262)="L0D_324785","",IF(P262="",CONCATENATE(";",EscStr(CONCATENATE("NavNode_",getCategoryLevelAsString($B262))),";",EscStr($J262),";"),CONCATENATE(";",EscStr(CONCATENATE("NavNode_",getCategoryLevelAsString($B262))),";",EscStr(P262),";")))</f>
        <v>;"NavNode_L2D_379659";"Tarvikkeet TehoLED";</v>
      </c>
      <c r="AJ262" s="10" t="str">
        <f>IF(getCategoryLevelAsString($B262)="L0D_324785","",IF(Q262="",CONCATENATE(";",EscStr(CONCATENATE("NavNode_",getCategoryLevelAsString($B262))),";",EscStr($J262),";"),CONCATENATE(";",EscStr(CONCATENATE("NavNode_",getCategoryLevelAsString($B262))),";",EscStr(Q262),";")))</f>
        <v>;"NavNode_L2D_379659";"Jaudas LED piederumi";</v>
      </c>
      <c r="AK262" s="10" t="str">
        <f>IF(getCategoryLevelAsString($B262)="L0D_324785","",IF(R262="",CONCATENATE(";",EscStr(CONCATENATE("NavNode_",getCategoryLevelAsString($B262))),";",EscStr($J262),";"),CONCATENATE(";",EscStr(CONCATENATE("NavNode_",getCategoryLevelAsString($B262))),";",EscStr(R262),";")))</f>
        <v>;"NavNode_L2D_379659";"Accessoires voor power LEDs";</v>
      </c>
      <c r="AL262" s="10" t="str">
        <f>IF(getCategoryLevelAsString($B262)="L0D_324785","",IF(S262="",CONCATENATE(";",EscStr(CONCATENATE("NavNode_",getCategoryLevelAsString($B262))),";",EscStr($J262),";"),CONCATENATE(";",EscStr(CONCATENATE("NavNode_",getCategoryLevelAsString($B262))),";",EscStr(S262),";")))</f>
        <v>;"NavNode_L2D_379659";"Akcesoria do LED mocy";</v>
      </c>
      <c r="AM262" s="10" t="str">
        <f>IF(getCategoryLevelAsString($B262)="L0D_324785","",IF(T262="",CONCATENATE(";",EscStr(CONCATENATE("NavNode_",getCategoryLevelAsString($B262))),";",EscStr($J262),";"),CONCATENATE(";",EscStr(CONCATENATE("NavNode_",getCategoryLevelAsString($B262))),";",EscStr(T262),";")))</f>
        <v>;"NavNode_L2D_379659";"Аксессуары для мощных светодиодов";</v>
      </c>
      <c r="AN262" s="10" t="str">
        <f>IF(getCategoryLevelAsString($B262)="L0D_324785","",IF(U262="",CONCATENATE(";",EscStr(CONCATENATE("NavNode_",getCategoryLevelAsString($B262))),";",EscStr($J262),";"),CONCATENATE(";",EscStr(CONCATENATE("NavNode_",getCategoryLevelAsString($B262))),";",EscStr(U262),";")))</f>
        <v>;"NavNode_L2D_379659";"Příslušenství pro výkonové LED";</v>
      </c>
      <c r="AO262" s="10" t="str">
        <f>IF(getCategoryLevelAsString($B262)="L0D_324785","",IF(V262="",CONCATENATE(";",EscStr(CONCATENATE("NavNode_",getCategoryLevelAsString($B262))),";",EscStr($J262),";"),CONCATENATE(";",EscStr(CONCATENATE("NavNode_",getCategoryLevelAsString($B262))),";",EscStr(V262),";")))</f>
        <v>;"NavNode_L2D_379659";"Accesorii pentru diode LED de putere";</v>
      </c>
      <c r="AP262" s="10" t="str">
        <f>IF(getCategoryLevelAsString($B262)="L0D_324785","",IF(W262="",CONCATENATE(";",EscStr(CONCATENATE("NavNode_",getCategoryLevelAsString($B262))),";",EscStr($J262),";"),CONCATENATE(";",EscStr(CONCATENATE("NavNode_",getCategoryLevelAsString($B262))),";",EscStr(W262),";")))</f>
        <v>;"NavNode_L2D_379659";"Tartozékok Power LED-ekhez";</v>
      </c>
      <c r="AQ262" s="10" t="str">
        <f>IF(getCategoryLevelAsString($B262)="L0D_324785","",IF(X262="",CONCATENATE(";",EscStr(CONCATENATE("NavNode_",getCategoryLevelAsString($B262))),";",EscStr($J262),";"),CONCATENATE(";",EscStr(CONCATENATE("NavNode_",getCategoryLevelAsString($B262))),";",EscStr(X262),";")))</f>
        <v>;"NavNode_L2D_379659";"Příslušenství pro výkonové LED";</v>
      </c>
      <c r="AR262" s="8" t="str">
        <f>IF(OR($A262&lt;&gt;"", $G262=""),"",CONCATENATE(";",EscStr(CONCATENATE("NavEntry_",getCategoryLevelAsString($B262))),";",EscStr(CONCATENATE($J262," Navigation Entry")),";",EscStr(CONCATENATE("cat-",getCategoryLevelAsString($B262))),";",EscStr(CONCATENATE("NavNode_",getCategoryLevelAsString($B262))),";"))</f>
        <v>;"NavEntry_L2D_379659";"Accessories for Power LEDs Navigation Entry";"cat-L2D_379659";"NavNode_L2D_379659";</v>
      </c>
    </row>
    <row r="263" spans="1:44" ht="15" x14ac:dyDescent="0.25">
      <c r="A263" s="25"/>
      <c r="B263" s="5"/>
      <c r="C263" s="5" t="s">
        <v>51</v>
      </c>
      <c r="D263" s="5"/>
      <c r="E263" s="5"/>
      <c r="F263" s="5"/>
      <c r="G263" s="5" t="s">
        <v>4031</v>
      </c>
      <c r="H263" s="5" t="s">
        <v>487</v>
      </c>
      <c r="I263" s="5" t="s">
        <v>702</v>
      </c>
      <c r="J263" s="5" t="s">
        <v>486</v>
      </c>
      <c r="K263" s="5" t="s">
        <v>1364</v>
      </c>
      <c r="L263" s="5" t="s">
        <v>1600</v>
      </c>
      <c r="M263" s="5" t="s">
        <v>1364</v>
      </c>
      <c r="N263" s="5" t="s">
        <v>2019</v>
      </c>
      <c r="O263" s="5" t="s">
        <v>4032</v>
      </c>
      <c r="P263" s="5" t="s">
        <v>2244</v>
      </c>
      <c r="Q263" s="5" t="s">
        <v>4033</v>
      </c>
      <c r="R263" s="5" t="s">
        <v>4034</v>
      </c>
      <c r="S263" s="5" t="s">
        <v>4035</v>
      </c>
      <c r="T263" s="5" t="s">
        <v>4036</v>
      </c>
      <c r="U263" s="5" t="s">
        <v>4037</v>
      </c>
      <c r="V263" s="5" t="s">
        <v>4038</v>
      </c>
      <c r="W263" s="5" t="s">
        <v>4039</v>
      </c>
      <c r="X263" s="5" t="s">
        <v>4037</v>
      </c>
      <c r="Y263" s="10" t="str">
        <f>IF(OR($A263&lt;&gt;"", $G263=""),"",CONCATENATE(";",EscStr(CONCATENATE("NavNode_",getCategoryLevelAsString($B263))),";",EscStr($J263),";",IF($B263&lt;&gt;"","""MainNavNode""",EscStr(CONCATENATE("NavNode_",getSuperCategory($B263, getCategoryLevelAsNumber($B263))))),";"))</f>
        <v>;"NavNode_L3D_525567";"Light sources";"NavNode_L2D_379659";</v>
      </c>
      <c r="Z263" s="10" t="str">
        <f>IF(getCategoryLevelAsString($B263)="L0D_324785","",IF(G263="",CONCATENATE(";",EscStr(CONCATENATE("NavNode_",getCategoryLevelAsString($B263))),";",EscStr($J263),";"),CONCATENATE(";",EscStr(CONCATENATE("NavNode_",getCategoryLevelAsString($B263))),";",EscStr(G263),";")))</f>
        <v>;"NavNode_L3D_525567";"Leuchtmittel";</v>
      </c>
      <c r="AA263" s="10" t="str">
        <f>IF(getCategoryLevelAsString($B263)="L0D_324785","",IF(H263="",CONCATENATE(";",EscStr(CONCATENATE("NavNode_",getCategoryLevelAsString($B263))),";",EscStr($J263),";"),CONCATENATE(";",EscStr(CONCATENATE("NavNode_",getCategoryLevelAsString($B263))),";",EscStr(H263),";")))</f>
        <v>;"NavNode_L3D_525567";"Sources lumineuses";</v>
      </c>
      <c r="AB263" s="10" t="str">
        <f>IF(getCategoryLevelAsString($B263)="L0D_324785","",IF(I263="",CONCATENATE(";",EscStr(CONCATENATE("NavNode_",getCategoryLevelAsString($B263))),";",EscStr($J263),";"),CONCATENATE(";",EscStr(CONCATENATE("NavNode_",getCategoryLevelAsString($B263))),";",EscStr(I263),";")))</f>
        <v>;"NavNode_L3D_525567";"Sorgenti di luce";</v>
      </c>
      <c r="AC263" s="10" t="str">
        <f>IF(getCategoryLevelAsString($B263)="L0D_324785","",IF(J263="",CONCATENATE(";",EscStr(CONCATENATE("NavNode_",getCategoryLevelAsString($B263))),";",EscStr($J263),";"),CONCATENATE(";",EscStr(CONCATENATE("NavNode_",getCategoryLevelAsString($B263))),";",EscStr(J263),";")))</f>
        <v>;"NavNode_L3D_525567";"Light sources";</v>
      </c>
      <c r="AD263" s="10" t="str">
        <f>IF(getCategoryLevelAsString($B263)="L0D_324785","",IF(K263="",CONCATENATE(";",EscStr(CONCATENATE("NavNode_",getCategoryLevelAsString($B263))),";",EscStr($J263),";"),CONCATENATE(";",EscStr(CONCATENATE("NavNode_",getCategoryLevelAsString($B263))),";",EscStr(K263),";")))</f>
        <v>;"NavNode_L3D_525567";"Lyskilder";</v>
      </c>
      <c r="AE263" s="10" t="str">
        <f>IF(getCategoryLevelAsString($B263)="L0D_324785","",IF(L263="",CONCATENATE(";",EscStr(CONCATENATE("NavNode_",getCategoryLevelAsString($B263))),";",EscStr($J263),";"),CONCATENATE(";",EscStr(CONCATENATE("NavNode_",getCategoryLevelAsString($B263))),";",EscStr(L263),";")))</f>
        <v>;"NavNode_L3D_525567";"Šviesos šaltiniai";</v>
      </c>
      <c r="AF263" s="10" t="str">
        <f>IF(getCategoryLevelAsString($B263)="L0D_324785","",IF(M263="",CONCATENATE(";",EscStr(CONCATENATE("NavNode_",getCategoryLevelAsString($B263))),";",EscStr($J263),";"),CONCATENATE(";",EscStr(CONCATENATE("NavNode_",getCategoryLevelAsString($B263))),";",EscStr(M263),";")))</f>
        <v>;"NavNode_L3D_525567";"Lyskilder";</v>
      </c>
      <c r="AG263" s="10" t="str">
        <f>IF(getCategoryLevelAsString($B263)="L0D_324785","",IF(N263="",CONCATENATE(";",EscStr(CONCATENATE("NavNode_",getCategoryLevelAsString($B263))),";",EscStr($J263),";"),CONCATENATE(";",EscStr(CONCATENATE("NavNode_",getCategoryLevelAsString($B263))),";",EscStr(N263),";")))</f>
        <v>;"NavNode_L3D_525567";"Ljuskällor";</v>
      </c>
      <c r="AH263" s="10" t="str">
        <f>IF(getCategoryLevelAsString($B263)="L0D_324785","",IF(O263="",CONCATENATE(";",EscStr(CONCATENATE("NavNode_",getCategoryLevelAsString($B263))),";",EscStr($J263),";"),CONCATENATE(";",EscStr(CONCATENATE("NavNode_",getCategoryLevelAsString($B263))),";",EscStr(O263),";")))</f>
        <v>;"NavNode_L3D_525567";"Valgustid";</v>
      </c>
      <c r="AI263" s="10" t="str">
        <f>IF(getCategoryLevelAsString($B263)="L0D_324785","",IF(P263="",CONCATENATE(";",EscStr(CONCATENATE("NavNode_",getCategoryLevelAsString($B263))),";",EscStr($J263),";"),CONCATENATE(";",EscStr(CONCATENATE("NavNode_",getCategoryLevelAsString($B263))),";",EscStr(P263),";")))</f>
        <v>;"NavNode_L3D_525567";"Lamput";</v>
      </c>
      <c r="AJ263" s="10" t="str">
        <f>IF(getCategoryLevelAsString($B263)="L0D_324785","",IF(Q263="",CONCATENATE(";",EscStr(CONCATENATE("NavNode_",getCategoryLevelAsString($B263))),";",EscStr($J263),";"),CONCATENATE(";",EscStr(CONCATENATE("NavNode_",getCategoryLevelAsString($B263))),";",EscStr(Q263),";")))</f>
        <v>;"NavNode_L3D_525567";"Gaismas avoti";</v>
      </c>
      <c r="AK263" s="10" t="str">
        <f>IF(getCategoryLevelAsString($B263)="L0D_324785","",IF(R263="",CONCATENATE(";",EscStr(CONCATENATE("NavNode_",getCategoryLevelAsString($B263))),";",EscStr($J263),";"),CONCATENATE(";",EscStr(CONCATENATE("NavNode_",getCategoryLevelAsString($B263))),";",EscStr(R263),";")))</f>
        <v>;"NavNode_L3D_525567";"Lichtbronnen";</v>
      </c>
      <c r="AL263" s="10" t="str">
        <f>IF(getCategoryLevelAsString($B263)="L0D_324785","",IF(S263="",CONCATENATE(";",EscStr(CONCATENATE("NavNode_",getCategoryLevelAsString($B263))),";",EscStr($J263),";"),CONCATENATE(";",EscStr(CONCATENATE("NavNode_",getCategoryLevelAsString($B263))),";",EscStr(S263),";")))</f>
        <v>;"NavNode_L3D_525567";"Źródła światła";</v>
      </c>
      <c r="AM263" s="10" t="str">
        <f>IF(getCategoryLevelAsString($B263)="L0D_324785","",IF(T263="",CONCATENATE(";",EscStr(CONCATENATE("NavNode_",getCategoryLevelAsString($B263))),";",EscStr($J263),";"),CONCATENATE(";",EscStr(CONCATENATE("NavNode_",getCategoryLevelAsString($B263))),";",EscStr(T263),";")))</f>
        <v>;"NavNode_L3D_525567";"Автомобильные лампы";</v>
      </c>
      <c r="AN263" s="10" t="str">
        <f>IF(getCategoryLevelAsString($B263)="L0D_324785","",IF(U263="",CONCATENATE(";",EscStr(CONCATENATE("NavNode_",getCategoryLevelAsString($B263))),";",EscStr($J263),";"),CONCATENATE(";",EscStr(CONCATENATE("NavNode_",getCategoryLevelAsString($B263))),";",EscStr(U263),";")))</f>
        <v>;"NavNode_L3D_525567";"Světelné zdroje";</v>
      </c>
      <c r="AO263" s="10" t="str">
        <f>IF(getCategoryLevelAsString($B263)="L0D_324785","",IF(V263="",CONCATENATE(";",EscStr(CONCATENATE("NavNode_",getCategoryLevelAsString($B263))),";",EscStr($J263),";"),CONCATENATE(";",EscStr(CONCATENATE("NavNode_",getCategoryLevelAsString($B263))),";",EscStr(V263),";")))</f>
        <v>;"NavNode_L3D_525567";"Surse de lumină";</v>
      </c>
      <c r="AP263" s="10" t="str">
        <f>IF(getCategoryLevelAsString($B263)="L0D_324785","",IF(W263="",CONCATENATE(";",EscStr(CONCATENATE("NavNode_",getCategoryLevelAsString($B263))),";",EscStr($J263),";"),CONCATENATE(";",EscStr(CONCATENATE("NavNode_",getCategoryLevelAsString($B263))),";",EscStr(W263),";")))</f>
        <v>;"NavNode_L3D_525567";"Fényforrások";</v>
      </c>
      <c r="AQ263" s="10" t="str">
        <f>IF(getCategoryLevelAsString($B263)="L0D_324785","",IF(X263="",CONCATENATE(";",EscStr(CONCATENATE("NavNode_",getCategoryLevelAsString($B263))),";",EscStr($J263),";"),CONCATENATE(";",EscStr(CONCATENATE("NavNode_",getCategoryLevelAsString($B263))),";",EscStr(X263),";")))</f>
        <v>;"NavNode_L3D_525567";"Světelné zdroje";</v>
      </c>
      <c r="AR263" s="8" t="str">
        <f>IF(OR($A263&lt;&gt;"", $G263=""),"",CONCATENATE(";",EscStr(CONCATENATE("NavEntry_",getCategoryLevelAsString($B263))),";",EscStr(CONCATENATE($J263," Navigation Entry")),";",EscStr(CONCATENATE("cat-",getCategoryLevelAsString($B263))),";",EscStr(CONCATENATE("NavNode_",getCategoryLevelAsString($B263))),";"))</f>
        <v>;"NavEntry_L3D_525567";"Light sources Navigation Entry";"cat-L3D_525567";"NavNode_L3D_525567";</v>
      </c>
    </row>
    <row r="264" spans="1:44" ht="15" x14ac:dyDescent="0.25">
      <c r="A264" s="25"/>
      <c r="B264" s="5"/>
      <c r="C264" s="5"/>
      <c r="D264" s="5" t="s">
        <v>207</v>
      </c>
      <c r="E264" s="5"/>
      <c r="F264" s="5"/>
      <c r="G264" s="5" t="s">
        <v>957</v>
      </c>
      <c r="H264" s="5" t="s">
        <v>502</v>
      </c>
      <c r="I264" s="5" t="s">
        <v>703</v>
      </c>
      <c r="J264" s="5" t="s">
        <v>488</v>
      </c>
      <c r="K264" s="5" t="s">
        <v>1365</v>
      </c>
      <c r="L264" s="5" t="s">
        <v>1601</v>
      </c>
      <c r="M264" s="5" t="s">
        <v>1365</v>
      </c>
      <c r="N264" s="5" t="s">
        <v>2020</v>
      </c>
      <c r="O264" s="5" t="s">
        <v>4040</v>
      </c>
      <c r="P264" s="5" t="s">
        <v>4041</v>
      </c>
      <c r="Q264" s="5" t="s">
        <v>4042</v>
      </c>
      <c r="R264" s="5" t="s">
        <v>4043</v>
      </c>
      <c r="S264" s="5" t="s">
        <v>4044</v>
      </c>
      <c r="T264" s="5" t="s">
        <v>4045</v>
      </c>
      <c r="U264" s="5" t="s">
        <v>4046</v>
      </c>
      <c r="V264" s="5" t="s">
        <v>4047</v>
      </c>
      <c r="W264" s="5" t="s">
        <v>4048</v>
      </c>
      <c r="X264" s="5" t="s">
        <v>4046</v>
      </c>
      <c r="Y264" s="10" t="str">
        <f>IF(OR($A264&lt;&gt;"", $G264=""),"",CONCATENATE(";",EscStr(CONCATENATE("NavNode_",getCategoryLevelAsString($B264))),";",EscStr($J264),";",IF($B264&lt;&gt;"","""MainNavNode""",EscStr(CONCATENATE("NavNode_",getSuperCategory($B264, getCategoryLevelAsNumber($B264))))),";"))</f>
        <v>;"NavNode_L3D_531386";"LED Lamps";"NavNode_L2D_379659";</v>
      </c>
      <c r="Z264" s="10" t="str">
        <f>IF(getCategoryLevelAsString($B264)="L0D_324785","",IF(G264="",CONCATENATE(";",EscStr(CONCATENATE("NavNode_",getCategoryLevelAsString($B264))),";",EscStr($J264),";"),CONCATENATE(";",EscStr(CONCATENATE("NavNode_",getCategoryLevelAsString($B264))),";",EscStr(G264),";")))</f>
        <v>;"NavNode_L3D_531386";"LED-Lampen";</v>
      </c>
      <c r="AA264" s="10" t="str">
        <f>IF(getCategoryLevelAsString($B264)="L0D_324785","",IF(H264="",CONCATENATE(";",EscStr(CONCATENATE("NavNode_",getCategoryLevelAsString($B264))),";",EscStr($J264),";"),CONCATENATE(";",EscStr(CONCATENATE("NavNode_",getCategoryLevelAsString($B264))),";",EscStr(H264),";")))</f>
        <v>;"NavNode_L3D_531386";"Lampes LED";</v>
      </c>
      <c r="AB264" s="10" t="str">
        <f>IF(getCategoryLevelAsString($B264)="L0D_324785","",IF(I264="",CONCATENATE(";",EscStr(CONCATENATE("NavNode_",getCategoryLevelAsString($B264))),";",EscStr($J264),";"),CONCATENATE(";",EscStr(CONCATENATE("NavNode_",getCategoryLevelAsString($B264))),";",EscStr(I264),";")))</f>
        <v>;"NavNode_L3D_531386";"Lampade a LED";</v>
      </c>
      <c r="AC264" s="10" t="str">
        <f>IF(getCategoryLevelAsString($B264)="L0D_324785","",IF(J264="",CONCATENATE(";",EscStr(CONCATENATE("NavNode_",getCategoryLevelAsString($B264))),";",EscStr($J264),";"),CONCATENATE(";",EscStr(CONCATENATE("NavNode_",getCategoryLevelAsString($B264))),";",EscStr(J264),";")))</f>
        <v>;"NavNode_L3D_531386";"LED Lamps";</v>
      </c>
      <c r="AD264" s="10" t="str">
        <f>IF(getCategoryLevelAsString($B264)="L0D_324785","",IF(K264="",CONCATENATE(";",EscStr(CONCATENATE("NavNode_",getCategoryLevelAsString($B264))),";",EscStr($J264),";"),CONCATENATE(";",EscStr(CONCATENATE("NavNode_",getCategoryLevelAsString($B264))),";",EscStr(K264),";")))</f>
        <v>;"NavNode_L3D_531386";"LED-lamper";</v>
      </c>
      <c r="AE264" s="10" t="str">
        <f>IF(getCategoryLevelAsString($B264)="L0D_324785","",IF(L264="",CONCATENATE(";",EscStr(CONCATENATE("NavNode_",getCategoryLevelAsString($B264))),";",EscStr($J264),";"),CONCATENATE(";",EscStr(CONCATENATE("NavNode_",getCategoryLevelAsString($B264))),";",EscStr(L264),";")))</f>
        <v>;"NavNode_L3D_531386";"Šviesos diodų lempos";</v>
      </c>
      <c r="AF264" s="10" t="str">
        <f>IF(getCategoryLevelAsString($B264)="L0D_324785","",IF(M264="",CONCATENATE(";",EscStr(CONCATENATE("NavNode_",getCategoryLevelAsString($B264))),";",EscStr($J264),";"),CONCATENATE(";",EscStr(CONCATENATE("NavNode_",getCategoryLevelAsString($B264))),";",EscStr(M264),";")))</f>
        <v>;"NavNode_L3D_531386";"LED-lamper";</v>
      </c>
      <c r="AG264" s="10" t="str">
        <f>IF(getCategoryLevelAsString($B264)="L0D_324785","",IF(N264="",CONCATENATE(";",EscStr(CONCATENATE("NavNode_",getCategoryLevelAsString($B264))),";",EscStr($J264),";"),CONCATENATE(";",EscStr(CONCATENATE("NavNode_",getCategoryLevelAsString($B264))),";",EscStr(N264),";")))</f>
        <v>;"NavNode_L3D_531386";"LED-lampor";</v>
      </c>
      <c r="AH264" s="10" t="str">
        <f>IF(getCategoryLevelAsString($B264)="L0D_324785","",IF(O264="",CONCATENATE(";",EscStr(CONCATENATE("NavNode_",getCategoryLevelAsString($B264))),";",EscStr($J264),";"),CONCATENATE(";",EscStr(CONCATENATE("NavNode_",getCategoryLevelAsString($B264))),";",EscStr(O264),";")))</f>
        <v>;"NavNode_L3D_531386";"LED pirnid";</v>
      </c>
      <c r="AI264" s="10" t="str">
        <f>IF(getCategoryLevelAsString($B264)="L0D_324785","",IF(P264="",CONCATENATE(";",EscStr(CONCATENATE("NavNode_",getCategoryLevelAsString($B264))),";",EscStr($J264),";"),CONCATENATE(";",EscStr(CONCATENATE("NavNode_",getCategoryLevelAsString($B264))),";",EscStr(P264),";")))</f>
        <v>;"NavNode_L3D_531386";"LED-lamput";</v>
      </c>
      <c r="AJ264" s="10" t="str">
        <f>IF(getCategoryLevelAsString($B264)="L0D_324785","",IF(Q264="",CONCATENATE(";",EscStr(CONCATENATE("NavNode_",getCategoryLevelAsString($B264))),";",EscStr($J264),";"),CONCATENATE(";",EscStr(CONCATENATE("NavNode_",getCategoryLevelAsString($B264))),";",EscStr(Q264),";")))</f>
        <v>;"NavNode_L3D_531386";"LED lampas";</v>
      </c>
      <c r="AK264" s="10" t="str">
        <f>IF(getCategoryLevelAsString($B264)="L0D_324785","",IF(R264="",CONCATENATE(";",EscStr(CONCATENATE("NavNode_",getCategoryLevelAsString($B264))),";",EscStr($J264),";"),CONCATENATE(";",EscStr(CONCATENATE("NavNode_",getCategoryLevelAsString($B264))),";",EscStr(R264),";")))</f>
        <v>;"NavNode_L3D_531386";"LED Lampen";</v>
      </c>
      <c r="AL264" s="10" t="str">
        <f>IF(getCategoryLevelAsString($B264)="L0D_324785","",IF(S264="",CONCATENATE(";",EscStr(CONCATENATE("NavNode_",getCategoryLevelAsString($B264))),";",EscStr($J264),";"),CONCATENATE(";",EscStr(CONCATENATE("NavNode_",getCategoryLevelAsString($B264))),";",EscStr(S264),";")))</f>
        <v>;"NavNode_L3D_531386";"Żarówki LED";</v>
      </c>
      <c r="AM264" s="10" t="str">
        <f>IF(getCategoryLevelAsString($B264)="L0D_324785","",IF(T264="",CONCATENATE(";",EscStr(CONCATENATE("NavNode_",getCategoryLevelAsString($B264))),";",EscStr($J264),";"),CONCATENATE(";",EscStr(CONCATENATE("NavNode_",getCategoryLevelAsString($B264))),";",EscStr(T264),";")))</f>
        <v>;"NavNode_L3D_531386";"LED лампы";</v>
      </c>
      <c r="AN264" s="10" t="str">
        <f>IF(getCategoryLevelAsString($B264)="L0D_324785","",IF(U264="",CONCATENATE(";",EscStr(CONCATENATE("NavNode_",getCategoryLevelAsString($B264))),";",EscStr($J264),";"),CONCATENATE(";",EscStr(CONCATENATE("NavNode_",getCategoryLevelAsString($B264))),";",EscStr(U264),";")))</f>
        <v>;"NavNode_L3D_531386";"LED žárovky";</v>
      </c>
      <c r="AO264" s="10" t="str">
        <f>IF(getCategoryLevelAsString($B264)="L0D_324785","",IF(V264="",CONCATENATE(";",EscStr(CONCATENATE("NavNode_",getCategoryLevelAsString($B264))),";",EscStr($J264),";"),CONCATENATE(";",EscStr(CONCATENATE("NavNode_",getCategoryLevelAsString($B264))),";",EscStr(V264),";")))</f>
        <v>;"NavNode_L3D_531386";"Lămpi LED";</v>
      </c>
      <c r="AP264" s="10" t="str">
        <f>IF(getCategoryLevelAsString($B264)="L0D_324785","",IF(W264="",CONCATENATE(";",EscStr(CONCATENATE("NavNode_",getCategoryLevelAsString($B264))),";",EscStr($J264),";"),CONCATENATE(";",EscStr(CONCATENATE("NavNode_",getCategoryLevelAsString($B264))),";",EscStr(W264),";")))</f>
        <v>;"NavNode_L3D_531386";"LED lámpák";</v>
      </c>
      <c r="AQ264" s="10" t="str">
        <f>IF(getCategoryLevelAsString($B264)="L0D_324785","",IF(X264="",CONCATENATE(";",EscStr(CONCATENATE("NavNode_",getCategoryLevelAsString($B264))),";",EscStr($J264),";"),CONCATENATE(";",EscStr(CONCATENATE("NavNode_",getCategoryLevelAsString($B264))),";",EscStr(X264),";")))</f>
        <v>;"NavNode_L3D_531386";"LED žárovky";</v>
      </c>
      <c r="AR264" s="8" t="str">
        <f>IF(OR($A264&lt;&gt;"", $G264=""),"",CONCATENATE(";",EscStr(CONCATENATE("NavEntry_",getCategoryLevelAsString($B264))),";",EscStr(CONCATENATE($J264," Navigation Entry")),";",EscStr(CONCATENATE("cat-",getCategoryLevelAsString($B264))),";",EscStr(CONCATENATE("NavNode_",getCategoryLevelAsString($B264))),";"))</f>
        <v>;"NavEntry_L3D_531386";"LED Lamps Navigation Entry";"cat-L3D_531386";"NavNode_L3D_531386";</v>
      </c>
    </row>
    <row r="265" spans="1:44" ht="15" x14ac:dyDescent="0.25">
      <c r="A265" s="25"/>
      <c r="B265" s="5"/>
      <c r="C265" s="5"/>
      <c r="D265" s="5" t="s">
        <v>724</v>
      </c>
      <c r="E265" s="5"/>
      <c r="F265" s="5"/>
      <c r="G265" s="5" t="s">
        <v>1040</v>
      </c>
      <c r="H265" s="5" t="s">
        <v>1069</v>
      </c>
      <c r="I265" s="5" t="s">
        <v>1127</v>
      </c>
      <c r="J265" s="5" t="s">
        <v>908</v>
      </c>
      <c r="K265" s="5" t="s">
        <v>1366</v>
      </c>
      <c r="L265" s="5" t="s">
        <v>1602</v>
      </c>
      <c r="M265" s="5" t="s">
        <v>1808</v>
      </c>
      <c r="N265" s="5" t="s">
        <v>2021</v>
      </c>
      <c r="O265" s="5" t="s">
        <v>4049</v>
      </c>
      <c r="P265" s="5" t="s">
        <v>4050</v>
      </c>
      <c r="Q265" s="5" t="s">
        <v>4051</v>
      </c>
      <c r="R265" s="5" t="s">
        <v>4052</v>
      </c>
      <c r="S265" s="5" t="s">
        <v>4053</v>
      </c>
      <c r="T265" s="5" t="s">
        <v>4054</v>
      </c>
      <c r="U265" s="5" t="s">
        <v>4055</v>
      </c>
      <c r="V265" s="5" t="s">
        <v>4056</v>
      </c>
      <c r="W265" s="5" t="s">
        <v>4057</v>
      </c>
      <c r="X265" s="5" t="s">
        <v>4055</v>
      </c>
      <c r="Y265" s="10" t="str">
        <f>IF(OR($A265&lt;&gt;"", $G265=""),"",CONCATENATE(";",EscStr(CONCATENATE("NavNode_",getCategoryLevelAsString($B265))),";",EscStr($J265),";",IF($B265&lt;&gt;"","""MainNavNode""",EscStr(CONCATENATE("NavNode_",getSuperCategory($B265, getCategoryLevelAsNumber($B265))))),";"))</f>
        <v>;"NavNode_L3D_531392";"Halogen Lamps";"NavNode_L2D_379659";</v>
      </c>
      <c r="Z265" s="10" t="str">
        <f>IF(getCategoryLevelAsString($B265)="L0D_324785","",IF(G265="",CONCATENATE(";",EscStr(CONCATENATE("NavNode_",getCategoryLevelAsString($B265))),";",EscStr($J265),";"),CONCATENATE(";",EscStr(CONCATENATE("NavNode_",getCategoryLevelAsString($B265))),";",EscStr(G265),";")))</f>
        <v>;"NavNode_L3D_531392";"Halogenlampen";</v>
      </c>
      <c r="AA265" s="10" t="str">
        <f>IF(getCategoryLevelAsString($B265)="L0D_324785","",IF(H265="",CONCATENATE(";",EscStr(CONCATENATE("NavNode_",getCategoryLevelAsString($B265))),";",EscStr($J265),";"),CONCATENATE(";",EscStr(CONCATENATE("NavNode_",getCategoryLevelAsString($B265))),";",EscStr(H265),";")))</f>
        <v>;"NavNode_L3D_531392";"Lampes halogènes";</v>
      </c>
      <c r="AB265" s="10" t="str">
        <f>IF(getCategoryLevelAsString($B265)="L0D_324785","",IF(I265="",CONCATENATE(";",EscStr(CONCATENATE("NavNode_",getCategoryLevelAsString($B265))),";",EscStr($J265),";"),CONCATENATE(";",EscStr(CONCATENATE("NavNode_",getCategoryLevelAsString($B265))),";",EscStr(I265),";")))</f>
        <v>;"NavNode_L3D_531392";"Lampade alogene";</v>
      </c>
      <c r="AC265" s="10" t="str">
        <f>IF(getCategoryLevelAsString($B265)="L0D_324785","",IF(J265="",CONCATENATE(";",EscStr(CONCATENATE("NavNode_",getCategoryLevelAsString($B265))),";",EscStr($J265),";"),CONCATENATE(";",EscStr(CONCATENATE("NavNode_",getCategoryLevelAsString($B265))),";",EscStr(J265),";")))</f>
        <v>;"NavNode_L3D_531392";"Halogen Lamps";</v>
      </c>
      <c r="AD265" s="10" t="str">
        <f>IF(getCategoryLevelAsString($B265)="L0D_324785","",IF(K265="",CONCATENATE(";",EscStr(CONCATENATE("NavNode_",getCategoryLevelAsString($B265))),";",EscStr($J265),";"),CONCATENATE(";",EscStr(CONCATENATE("NavNode_",getCategoryLevelAsString($B265))),";",EscStr(K265),";")))</f>
        <v>;"NavNode_L3D_531392";"Halogen-lamper";</v>
      </c>
      <c r="AE265" s="10" t="str">
        <f>IF(getCategoryLevelAsString($B265)="L0D_324785","",IF(L265="",CONCATENATE(";",EscStr(CONCATENATE("NavNode_",getCategoryLevelAsString($B265))),";",EscStr($J265),";"),CONCATENATE(";",EscStr(CONCATENATE("NavNode_",getCategoryLevelAsString($B265))),";",EscStr(L265),";")))</f>
        <v>;"NavNode_L3D_531392";"Halogeninės lempos";</v>
      </c>
      <c r="AF265" s="10" t="str">
        <f>IF(getCategoryLevelAsString($B265)="L0D_324785","",IF(M265="",CONCATENATE(";",EscStr(CONCATENATE("NavNode_",getCategoryLevelAsString($B265))),";",EscStr($J265),";"),CONCATENATE(";",EscStr(CONCATENATE("NavNode_",getCategoryLevelAsString($B265))),";",EscStr(M265),";")))</f>
        <v>;"NavNode_L3D_531392";"Halogenlamper";</v>
      </c>
      <c r="AG265" s="10" t="str">
        <f>IF(getCategoryLevelAsString($B265)="L0D_324785","",IF(N265="",CONCATENATE(";",EscStr(CONCATENATE("NavNode_",getCategoryLevelAsString($B265))),";",EscStr($J265),";"),CONCATENATE(";",EscStr(CONCATENATE("NavNode_",getCategoryLevelAsString($B265))),";",EscStr(N265),";")))</f>
        <v>;"NavNode_L3D_531392";"Halogenlampor";</v>
      </c>
      <c r="AH265" s="10" t="str">
        <f>IF(getCategoryLevelAsString($B265)="L0D_324785","",IF(O265="",CONCATENATE(";",EscStr(CONCATENATE("NavNode_",getCategoryLevelAsString($B265))),";",EscStr($J265),";"),CONCATENATE(";",EscStr(CONCATENATE("NavNode_",getCategoryLevelAsString($B265))),";",EscStr(O265),";")))</f>
        <v>;"NavNode_L3D_531392";"Halogeenpirnid";</v>
      </c>
      <c r="AI265" s="10" t="str">
        <f>IF(getCategoryLevelAsString($B265)="L0D_324785","",IF(P265="",CONCATENATE(";",EscStr(CONCATENATE("NavNode_",getCategoryLevelAsString($B265))),";",EscStr($J265),";"),CONCATENATE(";",EscStr(CONCATENATE("NavNode_",getCategoryLevelAsString($B265))),";",EscStr(P265),";")))</f>
        <v>;"NavNode_L3D_531392";"Halogeenilamput";</v>
      </c>
      <c r="AJ265" s="10" t="str">
        <f>IF(getCategoryLevelAsString($B265)="L0D_324785","",IF(Q265="",CONCATENATE(";",EscStr(CONCATENATE("NavNode_",getCategoryLevelAsString($B265))),";",EscStr($J265),";"),CONCATENATE(";",EscStr(CONCATENATE("NavNode_",getCategoryLevelAsString($B265))),";",EscStr(Q265),";")))</f>
        <v>;"NavNode_L3D_531392";"Halogēnās lampas";</v>
      </c>
      <c r="AK265" s="10" t="str">
        <f>IF(getCategoryLevelAsString($B265)="L0D_324785","",IF(R265="",CONCATENATE(";",EscStr(CONCATENATE("NavNode_",getCategoryLevelAsString($B265))),";",EscStr($J265),";"),CONCATENATE(";",EscStr(CONCATENATE("NavNode_",getCategoryLevelAsString($B265))),";",EscStr(R265),";")))</f>
        <v>;"NavNode_L3D_531392";"Halogen Lampen";</v>
      </c>
      <c r="AL265" s="10" t="str">
        <f>IF(getCategoryLevelAsString($B265)="L0D_324785","",IF(S265="",CONCATENATE(";",EscStr(CONCATENATE("NavNode_",getCategoryLevelAsString($B265))),";",EscStr($J265),";"),CONCATENATE(";",EscStr(CONCATENATE("NavNode_",getCategoryLevelAsString($B265))),";",EscStr(S265),";")))</f>
        <v>;"NavNode_L3D_531392";"Żarówki halogenowe";</v>
      </c>
      <c r="AM265" s="10" t="str">
        <f>IF(getCategoryLevelAsString($B265)="L0D_324785","",IF(T265="",CONCATENATE(";",EscStr(CONCATENATE("NavNode_",getCategoryLevelAsString($B265))),";",EscStr($J265),";"),CONCATENATE(";",EscStr(CONCATENATE("NavNode_",getCategoryLevelAsString($B265))),";",EscStr(T265),";")))</f>
        <v>;"NavNode_L3D_531392";"Галогеновые лампы";</v>
      </c>
      <c r="AN265" s="10" t="str">
        <f>IF(getCategoryLevelAsString($B265)="L0D_324785","",IF(U265="",CONCATENATE(";",EscStr(CONCATENATE("NavNode_",getCategoryLevelAsString($B265))),";",EscStr($J265),";"),CONCATENATE(";",EscStr(CONCATENATE("NavNode_",getCategoryLevelAsString($B265))),";",EscStr(U265),";")))</f>
        <v>;"NavNode_L3D_531392";"Halogenové žárovky";</v>
      </c>
      <c r="AO265" s="10" t="str">
        <f>IF(getCategoryLevelAsString($B265)="L0D_324785","",IF(V265="",CONCATENATE(";",EscStr(CONCATENATE("NavNode_",getCategoryLevelAsString($B265))),";",EscStr($J265),";"),CONCATENATE(";",EscStr(CONCATENATE("NavNode_",getCategoryLevelAsString($B265))),";",EscStr(V265),";")))</f>
        <v>;"NavNode_L3D_531392";"Lămpi cu halogen";</v>
      </c>
      <c r="AP265" s="10" t="str">
        <f>IF(getCategoryLevelAsString($B265)="L0D_324785","",IF(W265="",CONCATENATE(";",EscStr(CONCATENATE("NavNode_",getCategoryLevelAsString($B265))),";",EscStr($J265),";"),CONCATENATE(";",EscStr(CONCATENATE("NavNode_",getCategoryLevelAsString($B265))),";",EscStr(W265),";")))</f>
        <v>;"NavNode_L3D_531392";"Halogénlámpák";</v>
      </c>
      <c r="AQ265" s="10" t="str">
        <f>IF(getCategoryLevelAsString($B265)="L0D_324785","",IF(X265="",CONCATENATE(";",EscStr(CONCATENATE("NavNode_",getCategoryLevelAsString($B265))),";",EscStr($J265),";"),CONCATENATE(";",EscStr(CONCATENATE("NavNode_",getCategoryLevelAsString($B265))),";",EscStr(X265),";")))</f>
        <v>;"NavNode_L3D_531392";"Halogenové žárovky";</v>
      </c>
      <c r="AR265" s="8" t="str">
        <f>IF(OR($A265&lt;&gt;"", $G265=""),"",CONCATENATE(";",EscStr(CONCATENATE("NavEntry_",getCategoryLevelAsString($B265))),";",EscStr(CONCATENATE($J265," Navigation Entry")),";",EscStr(CONCATENATE("cat-",getCategoryLevelAsString($B265))),";",EscStr(CONCATENATE("NavNode_",getCategoryLevelAsString($B265))),";"))</f>
        <v>;"NavEntry_L3D_531392";"Halogen Lamps Navigation Entry";"cat-L3D_531392";"NavNode_L3D_531392";</v>
      </c>
    </row>
    <row r="266" spans="1:44" ht="15" x14ac:dyDescent="0.25">
      <c r="A266" s="25"/>
      <c r="B266" s="5"/>
      <c r="C266" s="5"/>
      <c r="D266" s="5" t="s">
        <v>725</v>
      </c>
      <c r="E266" s="5"/>
      <c r="F266" s="5"/>
      <c r="G266" s="5" t="s">
        <v>1041</v>
      </c>
      <c r="H266" s="5" t="s">
        <v>1070</v>
      </c>
      <c r="I266" s="5" t="s">
        <v>1128</v>
      </c>
      <c r="J266" s="5" t="s">
        <v>909</v>
      </c>
      <c r="K266" s="5" t="s">
        <v>1367</v>
      </c>
      <c r="L266" s="5" t="s">
        <v>1603</v>
      </c>
      <c r="M266" s="5" t="s">
        <v>1809</v>
      </c>
      <c r="N266" s="5" t="s">
        <v>2022</v>
      </c>
      <c r="O266" s="5" t="s">
        <v>4058</v>
      </c>
      <c r="P266" s="5" t="s">
        <v>4059</v>
      </c>
      <c r="Q266" s="5" t="s">
        <v>4060</v>
      </c>
      <c r="R266" s="5" t="s">
        <v>4061</v>
      </c>
      <c r="S266" s="5" t="s">
        <v>4062</v>
      </c>
      <c r="T266" s="5" t="s">
        <v>4063</v>
      </c>
      <c r="U266" s="5" t="s">
        <v>4064</v>
      </c>
      <c r="V266" s="5" t="s">
        <v>4065</v>
      </c>
      <c r="W266" s="5" t="s">
        <v>4066</v>
      </c>
      <c r="X266" s="5" t="s">
        <v>4064</v>
      </c>
      <c r="Y266" s="10" t="str">
        <f>IF(OR($A266&lt;&gt;"", $G266=""),"",CONCATENATE(";",EscStr(CONCATENATE("NavNode_",getCategoryLevelAsString($B266))),";",EscStr($J266),";",IF($B266&lt;&gt;"","""MainNavNode""",EscStr(CONCATENATE("NavNode_",getSuperCategory($B266, getCategoryLevelAsNumber($B266))))),";"))</f>
        <v>;"NavNode_L3D_531395";"Fluorescent Lamps";"NavNode_L2D_379659";</v>
      </c>
      <c r="Z266" s="10" t="str">
        <f>IF(getCategoryLevelAsString($B266)="L0D_324785","",IF(G266="",CONCATENATE(";",EscStr(CONCATENATE("NavNode_",getCategoryLevelAsString($B266))),";",EscStr($J266),";"),CONCATENATE(";",EscStr(CONCATENATE("NavNode_",getCategoryLevelAsString($B266))),";",EscStr(G266),";")))</f>
        <v>;"NavNode_L3D_531395";"Leuchtstofflampen";</v>
      </c>
      <c r="AA266" s="10" t="str">
        <f>IF(getCategoryLevelAsString($B266)="L0D_324785","",IF(H266="",CONCATENATE(";",EscStr(CONCATENATE("NavNode_",getCategoryLevelAsString($B266))),";",EscStr($J266),";"),CONCATENATE(";",EscStr(CONCATENATE("NavNode_",getCategoryLevelAsString($B266))),";",EscStr(H266),";")))</f>
        <v>;"NavNode_L3D_531395";"Tubes fluorescents";</v>
      </c>
      <c r="AB266" s="10" t="str">
        <f>IF(getCategoryLevelAsString($B266)="L0D_324785","",IF(I266="",CONCATENATE(";",EscStr(CONCATENATE("NavNode_",getCategoryLevelAsString($B266))),";",EscStr($J266),";"),CONCATENATE(";",EscStr(CONCATENATE("NavNode_",getCategoryLevelAsString($B266))),";",EscStr(I266),";")))</f>
        <v>;"NavNode_L3D_531395";"Lampade a fluorescenza";</v>
      </c>
      <c r="AC266" s="10" t="str">
        <f>IF(getCategoryLevelAsString($B266)="L0D_324785","",IF(J266="",CONCATENATE(";",EscStr(CONCATENATE("NavNode_",getCategoryLevelAsString($B266))),";",EscStr($J266),";"),CONCATENATE(";",EscStr(CONCATENATE("NavNode_",getCategoryLevelAsString($B266))),";",EscStr(J266),";")))</f>
        <v>;"NavNode_L3D_531395";"Fluorescent Lamps";</v>
      </c>
      <c r="AD266" s="10" t="str">
        <f>IF(getCategoryLevelAsString($B266)="L0D_324785","",IF(K266="",CONCATENATE(";",EscStr(CONCATENATE("NavNode_",getCategoryLevelAsString($B266))),";",EscStr($J266),";"),CONCATENATE(";",EscStr(CONCATENATE("NavNode_",getCategoryLevelAsString($B266))),";",EscStr(K266),";")))</f>
        <v>;"NavNode_L3D_531395";"Lysstofrør";</v>
      </c>
      <c r="AE266" s="10" t="str">
        <f>IF(getCategoryLevelAsString($B266)="L0D_324785","",IF(L266="",CONCATENATE(";",EscStr(CONCATENATE("NavNode_",getCategoryLevelAsString($B266))),";",EscStr($J266),";"),CONCATENATE(";",EscStr(CONCATENATE("NavNode_",getCategoryLevelAsString($B266))),";",EscStr(L266),";")))</f>
        <v>;"NavNode_L3D_531395";"Liuminescencinės lempos";</v>
      </c>
      <c r="AF266" s="10" t="str">
        <f>IF(getCategoryLevelAsString($B266)="L0D_324785","",IF(M266="",CONCATENATE(";",EscStr(CONCATENATE("NavNode_",getCategoryLevelAsString($B266))),";",EscStr($J266),";"),CONCATENATE(";",EscStr(CONCATENATE("NavNode_",getCategoryLevelAsString($B266))),";",EscStr(M266),";")))</f>
        <v>;"NavNode_L3D_531395";"Lysstoffrør";</v>
      </c>
      <c r="AG266" s="10" t="str">
        <f>IF(getCategoryLevelAsString($B266)="L0D_324785","",IF(N266="",CONCATENATE(";",EscStr(CONCATENATE("NavNode_",getCategoryLevelAsString($B266))),";",EscStr($J266),";"),CONCATENATE(";",EscStr(CONCATENATE("NavNode_",getCategoryLevelAsString($B266))),";",EscStr(N266),";")))</f>
        <v>;"NavNode_L3D_531395";"Lysrörslampor";</v>
      </c>
      <c r="AH266" s="10" t="str">
        <f>IF(getCategoryLevelAsString($B266)="L0D_324785","",IF(O266="",CONCATENATE(";",EscStr(CONCATENATE("NavNode_",getCategoryLevelAsString($B266))),";",EscStr($J266),";"),CONCATENATE(";",EscStr(CONCATENATE("NavNode_",getCategoryLevelAsString($B266))),";",EscStr(O266),";")))</f>
        <v>;"NavNode_L3D_531395";"Luminofoortorud";</v>
      </c>
      <c r="AI266" s="10" t="str">
        <f>IF(getCategoryLevelAsString($B266)="L0D_324785","",IF(P266="",CONCATENATE(";",EscStr(CONCATENATE("NavNode_",getCategoryLevelAsString($B266))),";",EscStr($J266),";"),CONCATENATE(";",EscStr(CONCATENATE("NavNode_",getCategoryLevelAsString($B266))),";",EscStr(P266),";")))</f>
        <v>;"NavNode_L3D_531395";"Loisteputket";</v>
      </c>
      <c r="AJ266" s="10" t="str">
        <f>IF(getCategoryLevelAsString($B266)="L0D_324785","",IF(Q266="",CONCATENATE(";",EscStr(CONCATENATE("NavNode_",getCategoryLevelAsString($B266))),";",EscStr($J266),";"),CONCATENATE(";",EscStr(CONCATENATE("NavNode_",getCategoryLevelAsString($B266))),";",EscStr(Q266),";")))</f>
        <v>;"NavNode_L3D_531395";"Fluorescentās lampas";</v>
      </c>
      <c r="AK266" s="10" t="str">
        <f>IF(getCategoryLevelAsString($B266)="L0D_324785","",IF(R266="",CONCATENATE(";",EscStr(CONCATENATE("NavNode_",getCategoryLevelAsString($B266))),";",EscStr($J266),";"),CONCATENATE(";",EscStr(CONCATENATE("NavNode_",getCategoryLevelAsString($B266))),";",EscStr(R266),";")))</f>
        <v>;"NavNode_L3D_531395";"Fluorescent Lampen";</v>
      </c>
      <c r="AL266" s="10" t="str">
        <f>IF(getCategoryLevelAsString($B266)="L0D_324785","",IF(S266="",CONCATENATE(";",EscStr(CONCATENATE("NavNode_",getCategoryLevelAsString($B266))),";",EscStr($J266),";"),CONCATENATE(";",EscStr(CONCATENATE("NavNode_",getCategoryLevelAsString($B266))),";",EscStr(S266),";")))</f>
        <v>;"NavNode_L3D_531395";"Świetlówki";</v>
      </c>
      <c r="AM266" s="10" t="str">
        <f>IF(getCategoryLevelAsString($B266)="L0D_324785","",IF(T266="",CONCATENATE(";",EscStr(CONCATENATE("NavNode_",getCategoryLevelAsString($B266))),";",EscStr($J266),";"),CONCATENATE(";",EscStr(CONCATENATE("NavNode_",getCategoryLevelAsString($B266))),";",EscStr(T266),";")))</f>
        <v>;"NavNode_L3D_531395";"Люминесцентные лампы";</v>
      </c>
      <c r="AN266" s="10" t="str">
        <f>IF(getCategoryLevelAsString($B266)="L0D_324785","",IF(U266="",CONCATENATE(";",EscStr(CONCATENATE("NavNode_",getCategoryLevelAsString($B266))),";",EscStr($J266),";"),CONCATENATE(";",EscStr(CONCATENATE("NavNode_",getCategoryLevelAsString($B266))),";",EscStr(U266),";")))</f>
        <v>;"NavNode_L3D_531395";"Zářivky";</v>
      </c>
      <c r="AO266" s="10" t="str">
        <f>IF(getCategoryLevelAsString($B266)="L0D_324785","",IF(V266="",CONCATENATE(";",EscStr(CONCATENATE("NavNode_",getCategoryLevelAsString($B266))),";",EscStr($J266),";"),CONCATENATE(";",EscStr(CONCATENATE("NavNode_",getCategoryLevelAsString($B266))),";",EscStr(V266),";")))</f>
        <v>;"NavNode_L3D_531395";"Lămpi fluorescente";</v>
      </c>
      <c r="AP266" s="10" t="str">
        <f>IF(getCategoryLevelAsString($B266)="L0D_324785","",IF(W266="",CONCATENATE(";",EscStr(CONCATENATE("NavNode_",getCategoryLevelAsString($B266))),";",EscStr($J266),";"),CONCATENATE(";",EscStr(CONCATENATE("NavNode_",getCategoryLevelAsString($B266))),";",EscStr(W266),";")))</f>
        <v>;"NavNode_L3D_531395";"Fénycsövek";</v>
      </c>
      <c r="AQ266" s="10" t="str">
        <f>IF(getCategoryLevelAsString($B266)="L0D_324785","",IF(X266="",CONCATENATE(";",EscStr(CONCATENATE("NavNode_",getCategoryLevelAsString($B266))),";",EscStr($J266),";"),CONCATENATE(";",EscStr(CONCATENATE("NavNode_",getCategoryLevelAsString($B266))),";",EscStr(X266),";")))</f>
        <v>;"NavNode_L3D_531395";"Zářivky";</v>
      </c>
      <c r="AR266" s="8" t="str">
        <f>IF(OR($A266&lt;&gt;"", $G266=""),"",CONCATENATE(";",EscStr(CONCATENATE("NavEntry_",getCategoryLevelAsString($B266))),";",EscStr(CONCATENATE($J266," Navigation Entry")),";",EscStr(CONCATENATE("cat-",getCategoryLevelAsString($B266))),";",EscStr(CONCATENATE("NavNode_",getCategoryLevelAsString($B266))),";"))</f>
        <v>;"NavEntry_L3D_531395";"Fluorescent Lamps Navigation Entry";"cat-L3D_531395";"NavNode_L3D_531395";</v>
      </c>
    </row>
    <row r="267" spans="1:44" ht="15" x14ac:dyDescent="0.25">
      <c r="A267" s="25"/>
      <c r="B267" s="5"/>
      <c r="C267" s="5"/>
      <c r="D267" s="5" t="s">
        <v>726</v>
      </c>
      <c r="E267" s="5"/>
      <c r="F267" s="5"/>
      <c r="G267" s="5" t="s">
        <v>1042</v>
      </c>
      <c r="H267" s="5" t="s">
        <v>1071</v>
      </c>
      <c r="I267" s="5" t="s">
        <v>1129</v>
      </c>
      <c r="J267" s="5" t="s">
        <v>910</v>
      </c>
      <c r="K267" s="5" t="s">
        <v>1368</v>
      </c>
      <c r="L267" s="5" t="s">
        <v>1604</v>
      </c>
      <c r="M267" s="5" t="s">
        <v>1810</v>
      </c>
      <c r="N267" s="5" t="s">
        <v>2023</v>
      </c>
      <c r="O267" s="5" t="s">
        <v>4067</v>
      </c>
      <c r="P267" s="5" t="s">
        <v>4068</v>
      </c>
      <c r="Q267" s="5" t="s">
        <v>4069</v>
      </c>
      <c r="R267" s="5" t="s">
        <v>4070</v>
      </c>
      <c r="S267" s="5" t="s">
        <v>4071</v>
      </c>
      <c r="T267" s="5" t="s">
        <v>4072</v>
      </c>
      <c r="U267" s="5" t="s">
        <v>4073</v>
      </c>
      <c r="V267" s="5" t="s">
        <v>4074</v>
      </c>
      <c r="W267" s="5" t="s">
        <v>4075</v>
      </c>
      <c r="X267" s="5" t="s">
        <v>4073</v>
      </c>
      <c r="Y267" s="10" t="str">
        <f>IF(OR($A267&lt;&gt;"", $G267=""),"",CONCATENATE(";",EscStr(CONCATENATE("NavNode_",getCategoryLevelAsString($B267))),";",EscStr($J267),";",IF($B267&lt;&gt;"","""MainNavNode""",EscStr(CONCATENATE("NavNode_",getSuperCategory($B267, getCategoryLevelAsNumber($B267))))),";"))</f>
        <v>;"NavNode_L3D_525569";"Automotive Bulbs";"NavNode_L2D_379659";</v>
      </c>
      <c r="Z267" s="10" t="str">
        <f>IF(getCategoryLevelAsString($B267)="L0D_324785","",IF(G267="",CONCATENATE(";",EscStr(CONCATENATE("NavNode_",getCategoryLevelAsString($B267))),";",EscStr($J267),";"),CONCATENATE(";",EscStr(CONCATENATE("NavNode_",getCategoryLevelAsString($B267))),";",EscStr(G267),";")))</f>
        <v>;"NavNode_L3D_525569";"Kfz-Glühlampen";</v>
      </c>
      <c r="AA267" s="10" t="str">
        <f>IF(getCategoryLevelAsString($B267)="L0D_324785","",IF(H267="",CONCATENATE(";",EscStr(CONCATENATE("NavNode_",getCategoryLevelAsString($B267))),";",EscStr($J267),";"),CONCATENATE(";",EscStr(CONCATENATE("NavNode_",getCategoryLevelAsString($B267))),";",EscStr(H267),";")))</f>
        <v>;"NavNode_L3D_525569";"Ampoules pour automobiles";</v>
      </c>
      <c r="AB267" s="10" t="str">
        <f>IF(getCategoryLevelAsString($B267)="L0D_324785","",IF(I267="",CONCATENATE(";",EscStr(CONCATENATE("NavNode_",getCategoryLevelAsString($B267))),";",EscStr($J267),";"),CONCATENATE(";",EscStr(CONCATENATE("NavNode_",getCategoryLevelAsString($B267))),";",EscStr(I267),";")))</f>
        <v>;"NavNode_L3D_525569";"Lampadine per veicoli";</v>
      </c>
      <c r="AC267" s="10" t="str">
        <f>IF(getCategoryLevelAsString($B267)="L0D_324785","",IF(J267="",CONCATENATE(";",EscStr(CONCATENATE("NavNode_",getCategoryLevelAsString($B267))),";",EscStr($J267),";"),CONCATENATE(";",EscStr(CONCATENATE("NavNode_",getCategoryLevelAsString($B267))),";",EscStr(J267),";")))</f>
        <v>;"NavNode_L3D_525569";"Automotive Bulbs";</v>
      </c>
      <c r="AD267" s="10" t="str">
        <f>IF(getCategoryLevelAsString($B267)="L0D_324785","",IF(K267="",CONCATENATE(";",EscStr(CONCATENATE("NavNode_",getCategoryLevelAsString($B267))),";",EscStr($J267),";"),CONCATENATE(";",EscStr(CONCATENATE("NavNode_",getCategoryLevelAsString($B267))),";",EscStr(K267),";")))</f>
        <v>;"NavNode_L3D_525569";"Bilpærer";</v>
      </c>
      <c r="AE267" s="10" t="str">
        <f>IF(getCategoryLevelAsString($B267)="L0D_324785","",IF(L267="",CONCATENATE(";",EscStr(CONCATENATE("NavNode_",getCategoryLevelAsString($B267))),";",EscStr($J267),";"),CONCATENATE(";",EscStr(CONCATENATE("NavNode_",getCategoryLevelAsString($B267))),";",EscStr(L267),";")))</f>
        <v>;"NavNode_L3D_525569";"Automobilinės lemputės";</v>
      </c>
      <c r="AF267" s="10" t="str">
        <f>IF(getCategoryLevelAsString($B267)="L0D_324785","",IF(M267="",CONCATENATE(";",EscStr(CONCATENATE("NavNode_",getCategoryLevelAsString($B267))),";",EscStr($J267),";"),CONCATENATE(";",EscStr(CONCATENATE("NavNode_",getCategoryLevelAsString($B267))),";",EscStr(M267),";")))</f>
        <v>;"NavNode_L3D_525569";"Automotive pærer";</v>
      </c>
      <c r="AG267" s="10" t="str">
        <f>IF(getCategoryLevelAsString($B267)="L0D_324785","",IF(N267="",CONCATENATE(";",EscStr(CONCATENATE("NavNode_",getCategoryLevelAsString($B267))),";",EscStr($J267),";"),CONCATENATE(";",EscStr(CONCATENATE("NavNode_",getCategoryLevelAsString($B267))),";",EscStr(N267),";")))</f>
        <v>;"NavNode_L3D_525569";"Fordonslampor";</v>
      </c>
      <c r="AH267" s="10" t="str">
        <f>IF(getCategoryLevelAsString($B267)="L0D_324785","",IF(O267="",CONCATENATE(";",EscStr(CONCATENATE("NavNode_",getCategoryLevelAsString($B267))),";",EscStr($J267),";"),CONCATENATE(";",EscStr(CONCATENATE("NavNode_",getCategoryLevelAsString($B267))),";",EscStr(O267),";")))</f>
        <v>;"NavNode_L3D_525569";"Autopirnid";</v>
      </c>
      <c r="AI267" s="10" t="str">
        <f>IF(getCategoryLevelAsString($B267)="L0D_324785","",IF(P267="",CONCATENATE(";",EscStr(CONCATENATE("NavNode_",getCategoryLevelAsString($B267))),";",EscStr($J267),";"),CONCATENATE(";",EscStr(CONCATENATE("NavNode_",getCategoryLevelAsString($B267))),";",EscStr(P267),";")))</f>
        <v>;"NavNode_L3D_525569";"Autolamput";</v>
      </c>
      <c r="AJ267" s="10" t="str">
        <f>IF(getCategoryLevelAsString($B267)="L0D_324785","",IF(Q267="",CONCATENATE(";",EscStr(CONCATENATE("NavNode_",getCategoryLevelAsString($B267))),";",EscStr($J267),";"),CONCATENATE(";",EscStr(CONCATENATE("NavNode_",getCategoryLevelAsString($B267))),";",EscStr(Q267),";")))</f>
        <v>;"NavNode_L3D_525569";"Automašīnu lampas";</v>
      </c>
      <c r="AK267" s="10" t="str">
        <f>IF(getCategoryLevelAsString($B267)="L0D_324785","",IF(R267="",CONCATENATE(";",EscStr(CONCATENATE("NavNode_",getCategoryLevelAsString($B267))),";",EscStr($J267),";"),CONCATENATE(";",EscStr(CONCATENATE("NavNode_",getCategoryLevelAsString($B267))),";",EscStr(R267),";")))</f>
        <v>;"NavNode_L3D_525569";"Autolampen";</v>
      </c>
      <c r="AL267" s="10" t="str">
        <f>IF(getCategoryLevelAsString($B267)="L0D_324785","",IF(S267="",CONCATENATE(";",EscStr(CONCATENATE("NavNode_",getCategoryLevelAsString($B267))),";",EscStr($J267),";"),CONCATENATE(";",EscStr(CONCATENATE("NavNode_",getCategoryLevelAsString($B267))),";",EscStr(S267),";")))</f>
        <v>;"NavNode_L3D_525569";"Żarówki samochodowe";</v>
      </c>
      <c r="AM267" s="10" t="str">
        <f>IF(getCategoryLevelAsString($B267)="L0D_324785","",IF(T267="",CONCATENATE(";",EscStr(CONCATENATE("NavNode_",getCategoryLevelAsString($B267))),";",EscStr($J267),";"),CONCATENATE(";",EscStr(CONCATENATE("NavNode_",getCategoryLevelAsString($B267))),";",EscStr(T267),";")))</f>
        <v>;"NavNode_L3D_525569";"Автомобильные лампочки";</v>
      </c>
      <c r="AN267" s="10" t="str">
        <f>IF(getCategoryLevelAsString($B267)="L0D_324785","",IF(U267="",CONCATENATE(";",EscStr(CONCATENATE("NavNode_",getCategoryLevelAsString($B267))),";",EscStr($J267),";"),CONCATENATE(";",EscStr(CONCATENATE("NavNode_",getCategoryLevelAsString($B267))),";",EscStr(U267),";")))</f>
        <v>;"NavNode_L3D_525569";"Automobilové žárovky";</v>
      </c>
      <c r="AO267" s="10" t="str">
        <f>IF(getCategoryLevelAsString($B267)="L0D_324785","",IF(V267="",CONCATENATE(";",EscStr(CONCATENATE("NavNode_",getCategoryLevelAsString($B267))),";",EscStr($J267),";"),CONCATENATE(";",EscStr(CONCATENATE("NavNode_",getCategoryLevelAsString($B267))),";",EscStr(V267),";")))</f>
        <v>;"NavNode_L3D_525569";"Becuri automotive";</v>
      </c>
      <c r="AP267" s="10" t="str">
        <f>IF(getCategoryLevelAsString($B267)="L0D_324785","",IF(W267="",CONCATENATE(";",EscStr(CONCATENATE("NavNode_",getCategoryLevelAsString($B267))),";",EscStr($J267),";"),CONCATENATE(";",EscStr(CONCATENATE("NavNode_",getCategoryLevelAsString($B267))),";",EscStr(W267),";")))</f>
        <v>;"NavNode_L3D_525569";"Gépjármű izzók";</v>
      </c>
      <c r="AQ267" s="10" t="str">
        <f>IF(getCategoryLevelAsString($B267)="L0D_324785","",IF(X267="",CONCATENATE(";",EscStr(CONCATENATE("NavNode_",getCategoryLevelAsString($B267))),";",EscStr($J267),";"),CONCATENATE(";",EscStr(CONCATENATE("NavNode_",getCategoryLevelAsString($B267))),";",EscStr(X267),";")))</f>
        <v>;"NavNode_L3D_525569";"Automobilové žárovky";</v>
      </c>
      <c r="AR267" s="8" t="str">
        <f>IF(OR($A267&lt;&gt;"", $G267=""),"",CONCATENATE(";",EscStr(CONCATENATE("NavEntry_",getCategoryLevelAsString($B267))),";",EscStr(CONCATENATE($J267," Navigation Entry")),";",EscStr(CONCATENATE("cat-",getCategoryLevelAsString($B267))),";",EscStr(CONCATENATE("NavNode_",getCategoryLevelAsString($B267))),";"))</f>
        <v>;"NavEntry_L3D_525569";"Automotive Bulbs Navigation Entry";"cat-L3D_525569";"NavNode_L3D_525569";</v>
      </c>
    </row>
    <row r="268" spans="1:44" ht="15" x14ac:dyDescent="0.25">
      <c r="A268" s="25"/>
      <c r="B268" s="5"/>
      <c r="C268" s="5"/>
      <c r="D268" s="5" t="s">
        <v>208</v>
      </c>
      <c r="E268" s="5"/>
      <c r="F268" s="5"/>
      <c r="G268" s="5" t="s">
        <v>489</v>
      </c>
      <c r="H268" s="5" t="s">
        <v>490</v>
      </c>
      <c r="I268" s="5" t="s">
        <v>491</v>
      </c>
      <c r="J268" s="5" t="s">
        <v>209</v>
      </c>
      <c r="K268" s="5" t="s">
        <v>1369</v>
      </c>
      <c r="L268" s="5" t="s">
        <v>1605</v>
      </c>
      <c r="M268" s="5" t="s">
        <v>1811</v>
      </c>
      <c r="N268" s="5" t="s">
        <v>2024</v>
      </c>
      <c r="O268" s="5" t="s">
        <v>4076</v>
      </c>
      <c r="P268" s="5" t="s">
        <v>4077</v>
      </c>
      <c r="Q268" s="5" t="s">
        <v>4078</v>
      </c>
      <c r="R268" s="5" t="s">
        <v>4079</v>
      </c>
      <c r="S268" s="5" t="s">
        <v>4080</v>
      </c>
      <c r="T268" s="5" t="s">
        <v>4081</v>
      </c>
      <c r="U268" s="5" t="s">
        <v>4082</v>
      </c>
      <c r="V268" s="5" t="s">
        <v>4083</v>
      </c>
      <c r="W268" s="5" t="s">
        <v>4084</v>
      </c>
      <c r="X268" s="5" t="s">
        <v>4082</v>
      </c>
      <c r="Y268" s="10" t="str">
        <f>IF(OR($A268&lt;&gt;"", $G268=""),"",CONCATENATE(";",EscStr(CONCATENATE("NavNode_",getCategoryLevelAsString($B268))),";",EscStr($J268),";",IF($B268&lt;&gt;"","""MainNavNode""",EscStr(CONCATENATE("NavNode_",getSuperCategory($B268, getCategoryLevelAsNumber($B268))))),";"))</f>
        <v>;"NavNode_L3D_525568";"Lamp Holders / Sockets";"NavNode_L2D_379659";</v>
      </c>
      <c r="Z268" s="10" t="str">
        <f>IF(getCategoryLevelAsString($B268)="L0D_324785","",IF(G268="",CONCATENATE(";",EscStr(CONCATENATE("NavNode_",getCategoryLevelAsString($B268))),";",EscStr($J268),";"),CONCATENATE(";",EscStr(CONCATENATE("NavNode_",getCategoryLevelAsString($B268))),";",EscStr(G268),";")))</f>
        <v>;"NavNode_L3D_525568";"Lampenfassungen";</v>
      </c>
      <c r="AA268" s="10" t="str">
        <f>IF(getCategoryLevelAsString($B268)="L0D_324785","",IF(H268="",CONCATENATE(";",EscStr(CONCATENATE("NavNode_",getCategoryLevelAsString($B268))),";",EscStr($J268),";"),CONCATENATE(";",EscStr(CONCATENATE("NavNode_",getCategoryLevelAsString($B268))),";",EscStr(H268),";")))</f>
        <v>;"NavNode_L3D_525568";"Culots / Socles";</v>
      </c>
      <c r="AB268" s="10" t="str">
        <f>IF(getCategoryLevelAsString($B268)="L0D_324785","",IF(I268="",CONCATENATE(";",EscStr(CONCATENATE("NavNode_",getCategoryLevelAsString($B268))),";",EscStr($J268),";"),CONCATENATE(";",EscStr(CONCATENATE("NavNode_",getCategoryLevelAsString($B268))),";",EscStr(I268),";")))</f>
        <v>;"NavNode_L3D_525568";"Portalampada / Prese";</v>
      </c>
      <c r="AC268" s="10" t="str">
        <f>IF(getCategoryLevelAsString($B268)="L0D_324785","",IF(J268="",CONCATENATE(";",EscStr(CONCATENATE("NavNode_",getCategoryLevelAsString($B268))),";",EscStr($J268),";"),CONCATENATE(";",EscStr(CONCATENATE("NavNode_",getCategoryLevelAsString($B268))),";",EscStr(J268),";")))</f>
        <v>;"NavNode_L3D_525568";"Lamp Holders / Sockets";</v>
      </c>
      <c r="AD268" s="10" t="str">
        <f>IF(getCategoryLevelAsString($B268)="L0D_324785","",IF(K268="",CONCATENATE(";",EscStr(CONCATENATE("NavNode_",getCategoryLevelAsString($B268))),";",EscStr($J268),";"),CONCATENATE(";",EscStr(CONCATENATE("NavNode_",getCategoryLevelAsString($B268))),";",EscStr(K268),";")))</f>
        <v>;"NavNode_L3D_525568";"Lygteholdere/-sokler";</v>
      </c>
      <c r="AE268" s="10" t="str">
        <f>IF(getCategoryLevelAsString($B268)="L0D_324785","",IF(L268="",CONCATENATE(";",EscStr(CONCATENATE("NavNode_",getCategoryLevelAsString($B268))),";",EscStr($J268),";"),CONCATENATE(";",EscStr(CONCATENATE("NavNode_",getCategoryLevelAsString($B268))),";",EscStr(L268),";")))</f>
        <v>;"NavNode_L3D_525568";"Lempų laikikliai / lizdai";</v>
      </c>
      <c r="AF268" s="10" t="str">
        <f>IF(getCategoryLevelAsString($B268)="L0D_324785","",IF(M268="",CONCATENATE(";",EscStr(CONCATENATE("NavNode_",getCategoryLevelAsString($B268))),";",EscStr($J268),";"),CONCATENATE(";",EscStr(CONCATENATE("NavNode_",getCategoryLevelAsString($B268))),";",EscStr(M268),";")))</f>
        <v>;"NavNode_L3D_525568";"Lampeholdere/kontakter";</v>
      </c>
      <c r="AG268" s="10" t="str">
        <f>IF(getCategoryLevelAsString($B268)="L0D_324785","",IF(N268="",CONCATENATE(";",EscStr(CONCATENATE("NavNode_",getCategoryLevelAsString($B268))),";",EscStr($J268),";"),CONCATENATE(";",EscStr(CONCATENATE("NavNode_",getCategoryLevelAsString($B268))),";",EscStr(N268),";")))</f>
        <v>;"NavNode_L3D_525568";"Lamphållare/Uttag";</v>
      </c>
      <c r="AH268" s="10" t="str">
        <f>IF(getCategoryLevelAsString($B268)="L0D_324785","",IF(O268="",CONCATENATE(";",EscStr(CONCATENATE("NavNode_",getCategoryLevelAsString($B268))),";",EscStr($J268),";"),CONCATENATE(";",EscStr(CONCATENATE("NavNode_",getCategoryLevelAsString($B268))),";",EscStr(O268),";")))</f>
        <v>;"NavNode_L3D_525568";"Lambipesad";</v>
      </c>
      <c r="AI268" s="10" t="str">
        <f>IF(getCategoryLevelAsString($B268)="L0D_324785","",IF(P268="",CONCATENATE(";",EscStr(CONCATENATE("NavNode_",getCategoryLevelAsString($B268))),";",EscStr($J268),";"),CONCATENATE(";",EscStr(CONCATENATE("NavNode_",getCategoryLevelAsString($B268))),";",EscStr(P268),";")))</f>
        <v>;"NavNode_L3D_525568";"Lampunpitimet";</v>
      </c>
      <c r="AJ268" s="10" t="str">
        <f>IF(getCategoryLevelAsString($B268)="L0D_324785","",IF(Q268="",CONCATENATE(";",EscStr(CONCATENATE("NavNode_",getCategoryLevelAsString($B268))),";",EscStr($J268),";"),CONCATENATE(";",EscStr(CONCATENATE("NavNode_",getCategoryLevelAsString($B268))),";",EscStr(Q268),";")))</f>
        <v>;"NavNode_L3D_525568";"Lampu turētāji / ligzdas";</v>
      </c>
      <c r="AK268" s="10" t="str">
        <f>IF(getCategoryLevelAsString($B268)="L0D_324785","",IF(R268="",CONCATENATE(";",EscStr(CONCATENATE("NavNode_",getCategoryLevelAsString($B268))),";",EscStr($J268),";"),CONCATENATE(";",EscStr(CONCATENATE("NavNode_",getCategoryLevelAsString($B268))),";",EscStr(R268),";")))</f>
        <v>;"NavNode_L3D_525568";"Lamphouders en fittingen";</v>
      </c>
      <c r="AL268" s="10" t="str">
        <f>IF(getCategoryLevelAsString($B268)="L0D_324785","",IF(S268="",CONCATENATE(";",EscStr(CONCATENATE("NavNode_",getCategoryLevelAsString($B268))),";",EscStr($J268),";"),CONCATENATE(";",EscStr(CONCATENATE("NavNode_",getCategoryLevelAsString($B268))),";",EscStr(S268),";")))</f>
        <v>;"NavNode_L3D_525568";"Oprawki do lampek";</v>
      </c>
      <c r="AM268" s="10" t="str">
        <f>IF(getCategoryLevelAsString($B268)="L0D_324785","",IF(T268="",CONCATENATE(";",EscStr(CONCATENATE("NavNode_",getCategoryLevelAsString($B268))),";",EscStr($J268),";"),CONCATENATE(";",EscStr(CONCATENATE("NavNode_",getCategoryLevelAsString($B268))),";",EscStr(T268),";")))</f>
        <v>;"NavNode_L3D_525568";"Ламподержатели / Розетки";</v>
      </c>
      <c r="AN268" s="10" t="str">
        <f>IF(getCategoryLevelAsString($B268)="L0D_324785","",IF(U268="",CONCATENATE(";",EscStr(CONCATENATE("NavNode_",getCategoryLevelAsString($B268))),";",EscStr($J268),";"),CONCATENATE(";",EscStr(CONCATENATE("NavNode_",getCategoryLevelAsString($B268))),";",EscStr(U268),";")))</f>
        <v>;"NavNode_L3D_525568";"Objímky";</v>
      </c>
      <c r="AO268" s="10" t="str">
        <f>IF(getCategoryLevelAsString($B268)="L0D_324785","",IF(V268="",CONCATENATE(";",EscStr(CONCATENATE("NavNode_",getCategoryLevelAsString($B268))),";",EscStr($J268),";"),CONCATENATE(";",EscStr(CONCATENATE("NavNode_",getCategoryLevelAsString($B268))),";",EscStr(V268),";")))</f>
        <v>;"NavNode_L3D_525568";"Socluri pentru Lămpi";</v>
      </c>
      <c r="AP268" s="10" t="str">
        <f>IF(getCategoryLevelAsString($B268)="L0D_324785","",IF(W268="",CONCATENATE(";",EscStr(CONCATENATE("NavNode_",getCategoryLevelAsString($B268))),";",EscStr($J268),";"),CONCATENATE(";",EscStr(CONCATENATE("NavNode_",getCategoryLevelAsString($B268))),";",EscStr(W268),";")))</f>
        <v>;"NavNode_L3D_525568";"Izzófoglalatok";</v>
      </c>
      <c r="AQ268" s="10" t="str">
        <f>IF(getCategoryLevelAsString($B268)="L0D_324785","",IF(X268="",CONCATENATE(";",EscStr(CONCATENATE("NavNode_",getCategoryLevelAsString($B268))),";",EscStr($J268),";"),CONCATENATE(";",EscStr(CONCATENATE("NavNode_",getCategoryLevelAsString($B268))),";",EscStr(X268),";")))</f>
        <v>;"NavNode_L3D_525568";"Objímky";</v>
      </c>
      <c r="AR268" s="8" t="str">
        <f>IF(OR($A268&lt;&gt;"", $G268=""),"",CONCATENATE(";",EscStr(CONCATENATE("NavEntry_",getCategoryLevelAsString($B268))),";",EscStr(CONCATENATE($J268," Navigation Entry")),";",EscStr(CONCATENATE("cat-",getCategoryLevelAsString($B268))),";",EscStr(CONCATENATE("NavNode_",getCategoryLevelAsString($B268))),";"))</f>
        <v>;"NavEntry_L3D_525568";"Lamp Holders / Sockets Navigation Entry";"cat-L3D_525568";"NavNode_L3D_525568";</v>
      </c>
    </row>
    <row r="269" spans="1:44" ht="15" x14ac:dyDescent="0.25">
      <c r="A269" s="25"/>
      <c r="B269" s="5"/>
      <c r="C269" s="5"/>
      <c r="D269" s="5" t="s">
        <v>210</v>
      </c>
      <c r="E269" s="5"/>
      <c r="F269" s="5"/>
      <c r="G269" s="5" t="s">
        <v>958</v>
      </c>
      <c r="H269" s="5" t="s">
        <v>727</v>
      </c>
      <c r="I269" s="5" t="s">
        <v>704</v>
      </c>
      <c r="J269" s="5" t="s">
        <v>492</v>
      </c>
      <c r="K269" s="5" t="s">
        <v>1370</v>
      </c>
      <c r="L269" s="5" t="s">
        <v>1606</v>
      </c>
      <c r="M269" s="5" t="s">
        <v>1370</v>
      </c>
      <c r="N269" s="5" t="s">
        <v>2025</v>
      </c>
      <c r="O269" s="5" t="s">
        <v>4085</v>
      </c>
      <c r="P269" s="5" t="s">
        <v>4086</v>
      </c>
      <c r="Q269" s="5" t="s">
        <v>4087</v>
      </c>
      <c r="R269" s="5" t="s">
        <v>4088</v>
      </c>
      <c r="S269" s="5" t="s">
        <v>4089</v>
      </c>
      <c r="T269" s="5" t="s">
        <v>4090</v>
      </c>
      <c r="U269" s="5" t="s">
        <v>4091</v>
      </c>
      <c r="V269" s="5" t="s">
        <v>4092</v>
      </c>
      <c r="W269" s="5" t="s">
        <v>4093</v>
      </c>
      <c r="X269" s="5" t="s">
        <v>4091</v>
      </c>
      <c r="Y269" s="10" t="str">
        <f>IF(OR($A269&lt;&gt;"", $G269=""),"",CONCATENATE(";",EscStr(CONCATENATE("NavNode_",getCategoryLevelAsString($B269))),";",EscStr($J269),";",IF($B269&lt;&gt;"","""MainNavNode""",EscStr(CONCATENATE("NavNode_",getSuperCategory($B269, getCategoryLevelAsNumber($B269))))),";"))</f>
        <v>;"NavNode_L3D_531397";"Indicator lamps";"NavNode_L2D_379659";</v>
      </c>
      <c r="Z269" s="10" t="str">
        <f>IF(getCategoryLevelAsString($B269)="L0D_324785","",IF(G269="",CONCATENATE(";",EscStr(CONCATENATE("NavNode_",getCategoryLevelAsString($B269))),";",EscStr($J269),";"),CONCATENATE(";",EscStr(CONCATENATE("NavNode_",getCategoryLevelAsString($B269))),";",EscStr(G269),";")))</f>
        <v>;"NavNode_L3D_531397";"Signallampen";</v>
      </c>
      <c r="AA269" s="10" t="str">
        <f>IF(getCategoryLevelAsString($B269)="L0D_324785","",IF(H269="",CONCATENATE(";",EscStr(CONCATENATE("NavNode_",getCategoryLevelAsString($B269))),";",EscStr($J269),";"),CONCATENATE(";",EscStr(CONCATENATE("NavNode_",getCategoryLevelAsString($B269))),";",EscStr(H269),";")))</f>
        <v>;"NavNode_L3D_531397";"Lampes de signalisation";</v>
      </c>
      <c r="AB269" s="10" t="str">
        <f>IF(getCategoryLevelAsString($B269)="L0D_324785","",IF(I269="",CONCATENATE(";",EscStr(CONCATENATE("NavNode_",getCategoryLevelAsString($B269))),";",EscStr($J269),";"),CONCATENATE(";",EscStr(CONCATENATE("NavNode_",getCategoryLevelAsString($B269))),";",EscStr(I269),";")))</f>
        <v>;"NavNode_L3D_531397";"Lampade di segnalazione";</v>
      </c>
      <c r="AC269" s="10" t="str">
        <f>IF(getCategoryLevelAsString($B269)="L0D_324785","",IF(J269="",CONCATENATE(";",EscStr(CONCATENATE("NavNode_",getCategoryLevelAsString($B269))),";",EscStr($J269),";"),CONCATENATE(";",EscStr(CONCATENATE("NavNode_",getCategoryLevelAsString($B269))),";",EscStr(J269),";")))</f>
        <v>;"NavNode_L3D_531397";"Indicator lamps";</v>
      </c>
      <c r="AD269" s="10" t="str">
        <f>IF(getCategoryLevelAsString($B269)="L0D_324785","",IF(K269="",CONCATENATE(";",EscStr(CONCATENATE("NavNode_",getCategoryLevelAsString($B269))),";",EscStr($J269),";"),CONCATENATE(";",EscStr(CONCATENATE("NavNode_",getCategoryLevelAsString($B269))),";",EscStr(K269),";")))</f>
        <v>;"NavNode_L3D_531397";"Indikatorlamper";</v>
      </c>
      <c r="AE269" s="10" t="str">
        <f>IF(getCategoryLevelAsString($B269)="L0D_324785","",IF(L269="",CONCATENATE(";",EscStr(CONCATENATE("NavNode_",getCategoryLevelAsString($B269))),";",EscStr($J269),";"),CONCATENATE(";",EscStr(CONCATENATE("NavNode_",getCategoryLevelAsString($B269))),";",EscStr(L269),";")))</f>
        <v>;"NavNode_L3D_531397";"Indikatorių lemputės";</v>
      </c>
      <c r="AF269" s="10" t="str">
        <f>IF(getCategoryLevelAsString($B269)="L0D_324785","",IF(M269="",CONCATENATE(";",EscStr(CONCATENATE("NavNode_",getCategoryLevelAsString($B269))),";",EscStr($J269),";"),CONCATENATE(";",EscStr(CONCATENATE("NavNode_",getCategoryLevelAsString($B269))),";",EscStr(M269),";")))</f>
        <v>;"NavNode_L3D_531397";"Indikatorlamper";</v>
      </c>
      <c r="AG269" s="10" t="str">
        <f>IF(getCategoryLevelAsString($B269)="L0D_324785","",IF(N269="",CONCATENATE(";",EscStr(CONCATENATE("NavNode_",getCategoryLevelAsString($B269))),";",EscStr($J269),";"),CONCATENATE(";",EscStr(CONCATENATE("NavNode_",getCategoryLevelAsString($B269))),";",EscStr(N269),";")))</f>
        <v>;"NavNode_L3D_531397";"Indikatorlampor";</v>
      </c>
      <c r="AH269" s="10" t="str">
        <f>IF(getCategoryLevelAsString($B269)="L0D_324785","",IF(O269="",CONCATENATE(";",EscStr(CONCATENATE("NavNode_",getCategoryLevelAsString($B269))),";",EscStr($J269),";"),CONCATENATE(";",EscStr(CONCATENATE("NavNode_",getCategoryLevelAsString($B269))),";",EscStr(O269),";")))</f>
        <v>;"NavNode_L3D_531397";"Indikaatorlambid";</v>
      </c>
      <c r="AI269" s="10" t="str">
        <f>IF(getCategoryLevelAsString($B269)="L0D_324785","",IF(P269="",CONCATENATE(";",EscStr(CONCATENATE("NavNode_",getCategoryLevelAsString($B269))),";",EscStr($J269),";"),CONCATENATE(";",EscStr(CONCATENATE("NavNode_",getCategoryLevelAsString($B269))),";",EscStr(P269),";")))</f>
        <v>;"NavNode_L3D_531397";"Merkkilamput";</v>
      </c>
      <c r="AJ269" s="10" t="str">
        <f>IF(getCategoryLevelAsString($B269)="L0D_324785","",IF(Q269="",CONCATENATE(";",EscStr(CONCATENATE("NavNode_",getCategoryLevelAsString($B269))),";",EscStr($J269),";"),CONCATENATE(";",EscStr(CONCATENATE("NavNode_",getCategoryLevelAsString($B269))),";",EscStr(Q269),";")))</f>
        <v>;"NavNode_L3D_531397";"Indikatoru lampas";</v>
      </c>
      <c r="AK269" s="10" t="str">
        <f>IF(getCategoryLevelAsString($B269)="L0D_324785","",IF(R269="",CONCATENATE(";",EscStr(CONCATENATE("NavNode_",getCategoryLevelAsString($B269))),";",EscStr($J269),";"),CONCATENATE(";",EscStr(CONCATENATE("NavNode_",getCategoryLevelAsString($B269))),";",EscStr(R269),";")))</f>
        <v>;"NavNode_L3D_531397";"Indicatielampjes";</v>
      </c>
      <c r="AL269" s="10" t="str">
        <f>IF(getCategoryLevelAsString($B269)="L0D_324785","",IF(S269="",CONCATENATE(";",EscStr(CONCATENATE("NavNode_",getCategoryLevelAsString($B269))),";",EscStr($J269),";"),CONCATENATE(";",EscStr(CONCATENATE("NavNode_",getCategoryLevelAsString($B269))),";",EscStr(S269),";")))</f>
        <v>;"NavNode_L3D_531397";"Lampki sygnalizacyjne";</v>
      </c>
      <c r="AM269" s="10" t="str">
        <f>IF(getCategoryLevelAsString($B269)="L0D_324785","",IF(T269="",CONCATENATE(";",EscStr(CONCATENATE("NavNode_",getCategoryLevelAsString($B269))),";",EscStr($J269),";"),CONCATENATE(";",EscStr(CONCATENATE("NavNode_",getCategoryLevelAsString($B269))),";",EscStr(T269),";")))</f>
        <v>;"NavNode_L3D_531397";"Световые индикаторы";</v>
      </c>
      <c r="AN269" s="10" t="str">
        <f>IF(getCategoryLevelAsString($B269)="L0D_324785","",IF(U269="",CONCATENATE(";",EscStr(CONCATENATE("NavNode_",getCategoryLevelAsString($B269))),";",EscStr($J269),";"),CONCATENATE(";",EscStr(CONCATENATE("NavNode_",getCategoryLevelAsString($B269))),";",EscStr(U269),";")))</f>
        <v>;"NavNode_L3D_531397";"Signální lampy";</v>
      </c>
      <c r="AO269" s="10" t="str">
        <f>IF(getCategoryLevelAsString($B269)="L0D_324785","",IF(V269="",CONCATENATE(";",EscStr(CONCATENATE("NavNode_",getCategoryLevelAsString($B269))),";",EscStr($J269),";"),CONCATENATE(";",EscStr(CONCATENATE("NavNode_",getCategoryLevelAsString($B269))),";",EscStr(V269),";")))</f>
        <v>;"NavNode_L3D_531397";"Lămpi de semnalizare";</v>
      </c>
      <c r="AP269" s="10" t="str">
        <f>IF(getCategoryLevelAsString($B269)="L0D_324785","",IF(W269="",CONCATENATE(";",EscStr(CONCATENATE("NavNode_",getCategoryLevelAsString($B269))),";",EscStr($J269),";"),CONCATENATE(";",EscStr(CONCATENATE("NavNode_",getCategoryLevelAsString($B269))),";",EscStr(W269),";")))</f>
        <v>;"NavNode_L3D_531397";"Jelzőlámpák";</v>
      </c>
      <c r="AQ269" s="10" t="str">
        <f>IF(getCategoryLevelAsString($B269)="L0D_324785","",IF(X269="",CONCATENATE(";",EscStr(CONCATENATE("NavNode_",getCategoryLevelAsString($B269))),";",EscStr($J269),";"),CONCATENATE(";",EscStr(CONCATENATE("NavNode_",getCategoryLevelAsString($B269))),";",EscStr(X269),";")))</f>
        <v>;"NavNode_L3D_531397";"Signální lampy";</v>
      </c>
      <c r="AR269" s="8" t="str">
        <f>IF(OR($A269&lt;&gt;"", $G269=""),"",CONCATENATE(";",EscStr(CONCATENATE("NavEntry_",getCategoryLevelAsString($B269))),";",EscStr(CONCATENATE($J269," Navigation Entry")),";",EscStr(CONCATENATE("cat-",getCategoryLevelAsString($B269))),";",EscStr(CONCATENATE("NavNode_",getCategoryLevelAsString($B269))),";"))</f>
        <v>;"NavEntry_L3D_531397";"Indicator lamps Navigation Entry";"cat-L3D_531397";"NavNode_L3D_531397";</v>
      </c>
    </row>
    <row r="270" spans="1:44" ht="15" x14ac:dyDescent="0.25">
      <c r="A270" s="25"/>
      <c r="B270" s="5"/>
      <c r="C270" s="5"/>
      <c r="D270" s="5" t="s">
        <v>728</v>
      </c>
      <c r="E270" s="5"/>
      <c r="F270" s="5"/>
      <c r="G270" s="5" t="s">
        <v>1043</v>
      </c>
      <c r="H270" s="5" t="s">
        <v>1072</v>
      </c>
      <c r="I270" s="5" t="s">
        <v>1130</v>
      </c>
      <c r="J270" s="5" t="s">
        <v>911</v>
      </c>
      <c r="K270" s="5" t="s">
        <v>1371</v>
      </c>
      <c r="L270" s="5" t="s">
        <v>1607</v>
      </c>
      <c r="M270" s="5" t="s">
        <v>1812</v>
      </c>
      <c r="N270" s="5" t="s">
        <v>2026</v>
      </c>
      <c r="O270" s="5" t="s">
        <v>4094</v>
      </c>
      <c r="P270" s="5" t="s">
        <v>4095</v>
      </c>
      <c r="Q270" s="5" t="s">
        <v>4096</v>
      </c>
      <c r="R270" s="5" t="s">
        <v>4097</v>
      </c>
      <c r="S270" s="5" t="s">
        <v>4098</v>
      </c>
      <c r="T270" s="5" t="s">
        <v>4099</v>
      </c>
      <c r="U270" s="5" t="s">
        <v>4100</v>
      </c>
      <c r="V270" s="5" t="s">
        <v>4101</v>
      </c>
      <c r="W270" s="5" t="s">
        <v>4102</v>
      </c>
      <c r="X270" s="5" t="s">
        <v>4100</v>
      </c>
      <c r="Y270" s="10" t="str">
        <f>IF(OR($A270&lt;&gt;"", $G270=""),"",CONCATENATE(";",EscStr(CONCATENATE("NavNode_",getCategoryLevelAsString($B270))),";",EscStr($J270),";",IF($B270&lt;&gt;"","""MainNavNode""",EscStr(CONCATENATE("NavNode_",getSuperCategory($B270, getCategoryLevelAsNumber($B270))))),";"))</f>
        <v>;"NavNode_L2D_379661";"Starters and Ballasts";"NavNode_Lighting";</v>
      </c>
      <c r="Z270" s="10" t="str">
        <f>IF(getCategoryLevelAsString($B270)="L0D_324785","",IF(G270="",CONCATENATE(";",EscStr(CONCATENATE("NavNode_",getCategoryLevelAsString($B270))),";",EscStr($J270),";"),CONCATENATE(";",EscStr(CONCATENATE("NavNode_",getCategoryLevelAsString($B270))),";",EscStr(G270),";")))</f>
        <v>;"NavNode_L2D_379661";"Starter und Vorschaltgeräte";</v>
      </c>
      <c r="AA270" s="10" t="str">
        <f>IF(getCategoryLevelAsString($B270)="L0D_324785","",IF(H270="",CONCATENATE(";",EscStr(CONCATENATE("NavNode_",getCategoryLevelAsString($B270))),";",EscStr($J270),";"),CONCATENATE(";",EscStr(CONCATENATE("NavNode_",getCategoryLevelAsString($B270))),";",EscStr(H270),";")))</f>
        <v>;"NavNode_L2D_379661";"Starters et ballasts";</v>
      </c>
      <c r="AB270" s="10" t="str">
        <f>IF(getCategoryLevelAsString($B270)="L0D_324785","",IF(I270="",CONCATENATE(";",EscStr(CONCATENATE("NavNode_",getCategoryLevelAsString($B270))),";",EscStr($J270),";"),CONCATENATE(";",EscStr(CONCATENATE("NavNode_",getCategoryLevelAsString($B270))),";",EscStr(I270),";")))</f>
        <v>;"NavNode_L2D_379661";"Starter e alimentatori";</v>
      </c>
      <c r="AC270" s="10" t="str">
        <f>IF(getCategoryLevelAsString($B270)="L0D_324785","",IF(J270="",CONCATENATE(";",EscStr(CONCATENATE("NavNode_",getCategoryLevelAsString($B270))),";",EscStr($J270),";"),CONCATENATE(";",EscStr(CONCATENATE("NavNode_",getCategoryLevelAsString($B270))),";",EscStr(J270),";")))</f>
        <v>;"NavNode_L2D_379661";"Starters and Ballasts";</v>
      </c>
      <c r="AD270" s="10" t="str">
        <f>IF(getCategoryLevelAsString($B270)="L0D_324785","",IF(K270="",CONCATENATE(";",EscStr(CONCATENATE("NavNode_",getCategoryLevelAsString($B270))),";",EscStr($J270),";"),CONCATENATE(";",EscStr(CONCATENATE("NavNode_",getCategoryLevelAsString($B270))),";",EscStr(K270),";")))</f>
        <v>;"NavNode_L2D_379661";"Startere og ballastenheder";</v>
      </c>
      <c r="AE270" s="10" t="str">
        <f>IF(getCategoryLevelAsString($B270)="L0D_324785","",IF(L270="",CONCATENATE(";",EscStr(CONCATENATE("NavNode_",getCategoryLevelAsString($B270))),";",EscStr($J270),";"),CONCATENATE(";",EscStr(CONCATENATE("NavNode_",getCategoryLevelAsString($B270))),";",EscStr(L270),";")))</f>
        <v>;"NavNode_L2D_379661";"Starteriai ir balastai";</v>
      </c>
      <c r="AF270" s="10" t="str">
        <f>IF(getCategoryLevelAsString($B270)="L0D_324785","",IF(M270="",CONCATENATE(";",EscStr(CONCATENATE("NavNode_",getCategoryLevelAsString($B270))),";",EscStr($J270),";"),CONCATENATE(";",EscStr(CONCATENATE("NavNode_",getCategoryLevelAsString($B270))),";",EscStr(M270),";")))</f>
        <v>;"NavNode_L2D_379661";"Startere og ballaster";</v>
      </c>
      <c r="AG270" s="10" t="str">
        <f>IF(getCategoryLevelAsString($B270)="L0D_324785","",IF(N270="",CONCATENATE(";",EscStr(CONCATENATE("NavNode_",getCategoryLevelAsString($B270))),";",EscStr($J270),";"),CONCATENATE(";",EscStr(CONCATENATE("NavNode_",getCategoryLevelAsString($B270))),";",EscStr(N270),";")))</f>
        <v>;"NavNode_L2D_379661";"Startapparater och driftdon";</v>
      </c>
      <c r="AH270" s="10" t="str">
        <f>IF(getCategoryLevelAsString($B270)="L0D_324785","",IF(O270="",CONCATENATE(";",EscStr(CONCATENATE("NavNode_",getCategoryLevelAsString($B270))),";",EscStr($J270),";"),CONCATENATE(";",EscStr(CONCATENATE("NavNode_",getCategoryLevelAsString($B270))),";",EscStr(O270),";")))</f>
        <v>;"NavNode_L2D_379661";"Starterid ja ballastid";</v>
      </c>
      <c r="AI270" s="10" t="str">
        <f>IF(getCategoryLevelAsString($B270)="L0D_324785","",IF(P270="",CONCATENATE(";",EscStr(CONCATENATE("NavNode_",getCategoryLevelAsString($B270))),";",EscStr($J270),";"),CONCATENATE(";",EscStr(CONCATENATE("NavNode_",getCategoryLevelAsString($B270))),";",EscStr(P270),";")))</f>
        <v>;"NavNode_L2D_379661";"Sytyttimet ja Kuormat";</v>
      </c>
      <c r="AJ270" s="10" t="str">
        <f>IF(getCategoryLevelAsString($B270)="L0D_324785","",IF(Q270="",CONCATENATE(";",EscStr(CONCATENATE("NavNode_",getCategoryLevelAsString($B270))),";",EscStr($J270),";"),CONCATENATE(";",EscStr(CONCATENATE("NavNode_",getCategoryLevelAsString($B270))),";",EscStr(Q270),";")))</f>
        <v>;"NavNode_L2D_379661";"Starteri un balasti";</v>
      </c>
      <c r="AK270" s="10" t="str">
        <f>IF(getCategoryLevelAsString($B270)="L0D_324785","",IF(R270="",CONCATENATE(";",EscStr(CONCATENATE("NavNode_",getCategoryLevelAsString($B270))),";",EscStr($J270),";"),CONCATENATE(";",EscStr(CONCATENATE("NavNode_",getCategoryLevelAsString($B270))),";",EscStr(R270),";")))</f>
        <v>;"NavNode_L2D_379661";"Starters en voorschakelapparaten";</v>
      </c>
      <c r="AL270" s="10" t="str">
        <f>IF(getCategoryLevelAsString($B270)="L0D_324785","",IF(S270="",CONCATENATE(";",EscStr(CONCATENATE("NavNode_",getCategoryLevelAsString($B270))),";",EscStr($J270),";"),CONCATENATE(";",EscStr(CONCATENATE("NavNode_",getCategoryLevelAsString($B270))),";",EscStr(S270),";")))</f>
        <v>;"NavNode_L2D_379661";"Startery i Stateczniki";</v>
      </c>
      <c r="AM270" s="10" t="str">
        <f>IF(getCategoryLevelAsString($B270)="L0D_324785","",IF(T270="",CONCATENATE(";",EscStr(CONCATENATE("NavNode_",getCategoryLevelAsString($B270))),";",EscStr($J270),";"),CONCATENATE(";",EscStr(CONCATENATE("NavNode_",getCategoryLevelAsString($B270))),";",EscStr(T270),";")))</f>
        <v>;"NavNode_L2D_379661";"Стартеры и балласт";</v>
      </c>
      <c r="AN270" s="10" t="str">
        <f>IF(getCategoryLevelAsString($B270)="L0D_324785","",IF(U270="",CONCATENATE(";",EscStr(CONCATENATE("NavNode_",getCategoryLevelAsString($B270))),";",EscStr($J270),";"),CONCATENATE(";",EscStr(CONCATENATE("NavNode_",getCategoryLevelAsString($B270))),";",EscStr(U270),";")))</f>
        <v>;"NavNode_L2D_379661";"Startery a předřadníky";</v>
      </c>
      <c r="AO270" s="10" t="str">
        <f>IF(getCategoryLevelAsString($B270)="L0D_324785","",IF(V270="",CONCATENATE(";",EscStr(CONCATENATE("NavNode_",getCategoryLevelAsString($B270))),";",EscStr($J270),";"),CONCATENATE(";",EscStr(CONCATENATE("NavNode_",getCategoryLevelAsString($B270))),";",EscStr(V270),";")))</f>
        <v>;"NavNode_L2D_379661";"Ştarter şi balasturi";</v>
      </c>
      <c r="AP270" s="10" t="str">
        <f>IF(getCategoryLevelAsString($B270)="L0D_324785","",IF(W270="",CONCATENATE(";",EscStr(CONCATENATE("NavNode_",getCategoryLevelAsString($B270))),";",EscStr($J270),";"),CONCATENATE(";",EscStr(CONCATENATE("NavNode_",getCategoryLevelAsString($B270))),";",EscStr(W270),";")))</f>
        <v>;"NavNode_L2D_379661";"Fénycsőgyújtó és előtét";</v>
      </c>
      <c r="AQ270" s="10" t="str">
        <f>IF(getCategoryLevelAsString($B270)="L0D_324785","",IF(X270="",CONCATENATE(";",EscStr(CONCATENATE("NavNode_",getCategoryLevelAsString($B270))),";",EscStr($J270),";"),CONCATENATE(";",EscStr(CONCATENATE("NavNode_",getCategoryLevelAsString($B270))),";",EscStr(X270),";")))</f>
        <v>;"NavNode_L2D_379661";"Startery a předřadníky";</v>
      </c>
      <c r="AR270" s="8" t="str">
        <f>IF(OR($A270&lt;&gt;"", $G270=""),"",CONCATENATE(";",EscStr(CONCATENATE("NavEntry_",getCategoryLevelAsString($B270))),";",EscStr(CONCATENATE($J270," Navigation Entry")),";",EscStr(CONCATENATE("cat-",getCategoryLevelAsString($B270))),";",EscStr(CONCATENATE("NavNode_",getCategoryLevelAsString($B270))),";"))</f>
        <v>;"NavEntry_L2D_379661";"Starters and Ballasts Navigation Entry";"cat-L2D_379661";"NavNode_L2D_379661";</v>
      </c>
    </row>
    <row r="271" spans="1:44" ht="15" x14ac:dyDescent="0.25">
      <c r="A271" s="25"/>
      <c r="B271" s="5"/>
      <c r="C271" s="5" t="s">
        <v>52</v>
      </c>
      <c r="D271" s="5"/>
      <c r="E271" s="5"/>
      <c r="F271" s="5"/>
      <c r="G271" s="5" t="s">
        <v>1194</v>
      </c>
      <c r="H271" s="5" t="s">
        <v>729</v>
      </c>
      <c r="I271" s="5" t="s">
        <v>706</v>
      </c>
      <c r="J271" s="5" t="s">
        <v>912</v>
      </c>
      <c r="K271" s="5" t="s">
        <v>1372</v>
      </c>
      <c r="L271" s="5" t="s">
        <v>1608</v>
      </c>
      <c r="M271" s="5" t="s">
        <v>1813</v>
      </c>
      <c r="N271" s="5" t="s">
        <v>2027</v>
      </c>
      <c r="O271" s="5" t="s">
        <v>4103</v>
      </c>
      <c r="P271" s="5" t="s">
        <v>4104</v>
      </c>
      <c r="Q271" s="5" t="s">
        <v>4105</v>
      </c>
      <c r="R271" s="5" t="s">
        <v>4106</v>
      </c>
      <c r="S271" s="5" t="s">
        <v>4107</v>
      </c>
      <c r="T271" s="5" t="s">
        <v>4108</v>
      </c>
      <c r="U271" s="5" t="s">
        <v>4109</v>
      </c>
      <c r="V271" s="5" t="s">
        <v>4110</v>
      </c>
      <c r="W271" s="5" t="s">
        <v>4111</v>
      </c>
      <c r="X271" s="5" t="s">
        <v>4109</v>
      </c>
      <c r="Y271" s="10" t="str">
        <f>IF(OR($A271&lt;&gt;"", $G271=""),"",CONCATENATE(";",EscStr(CONCATENATE("NavNode_",getCategoryLevelAsString($B271))),";",EscStr($J271),";",IF($B271&lt;&gt;"","""MainNavNode""",EscStr(CONCATENATE("NavNode_",getSuperCategory($B271, getCategoryLevelAsNumber($B271))))),";"))</f>
        <v>;"NavNode_L3D_525570";"Torches / Workplace / Light Fixtures";"NavNode_L2D_379661";</v>
      </c>
      <c r="Z271" s="10" t="str">
        <f>IF(getCategoryLevelAsString($B271)="L0D_324785","",IF(G271="",CONCATENATE(";",EscStr(CONCATENATE("NavNode_",getCategoryLevelAsString($B271))),";",EscStr($J271),";"),CONCATENATE(";",EscStr(CONCATENATE("NavNode_",getCategoryLevelAsString($B271))),";",EscStr(G271),";")))</f>
        <v>;"NavNode_L3D_525570";"Taschenlampen / Arbeitsplatzleuchten / Leuchten";</v>
      </c>
      <c r="AA271" s="10" t="str">
        <f>IF(getCategoryLevelAsString($B271)="L0D_324785","",IF(H271="",CONCATENATE(";",EscStr(CONCATENATE("NavNode_",getCategoryLevelAsString($B271))),";",EscStr($J271),";"),CONCATENATE(";",EscStr(CONCATENATE("NavNode_",getCategoryLevelAsString($B271))),";",EscStr(H271),";")))</f>
        <v>;"NavNode_L3D_525570";"Lampes torches / Poste de travail / Eclairage";</v>
      </c>
      <c r="AB271" s="10" t="str">
        <f>IF(getCategoryLevelAsString($B271)="L0D_324785","",IF(I271="",CONCATENATE(";",EscStr(CONCATENATE("NavNode_",getCategoryLevelAsString($B271))),";",EscStr($J271),";"),CONCATENATE(";",EscStr(CONCATENATE("NavNode_",getCategoryLevelAsString($B271))),";",EscStr(I271),";")))</f>
        <v>;"NavNode_L3D_525570";"Torce / lampade da lavoro / lampade";</v>
      </c>
      <c r="AC271" s="10" t="str">
        <f>IF(getCategoryLevelAsString($B271)="L0D_324785","",IF(J271="",CONCATENATE(";",EscStr(CONCATENATE("NavNode_",getCategoryLevelAsString($B271))),";",EscStr($J271),";"),CONCATENATE(";",EscStr(CONCATENATE("NavNode_",getCategoryLevelAsString($B271))),";",EscStr(J271),";")))</f>
        <v>;"NavNode_L3D_525570";"Torches / Workplace / Light Fixtures";</v>
      </c>
      <c r="AD271" s="10" t="str">
        <f>IF(getCategoryLevelAsString($B271)="L0D_324785","",IF(K271="",CONCATENATE(";",EscStr(CONCATENATE("NavNode_",getCategoryLevelAsString($B271))),";",EscStr($J271),";"),CONCATENATE(";",EscStr(CONCATENATE("NavNode_",getCategoryLevelAsString($B271))),";",EscStr(K271),";")))</f>
        <v>;"NavNode_L3D_525570";"Lommelygter/arbejdsplads/lyslamper";</v>
      </c>
      <c r="AE271" s="10" t="str">
        <f>IF(getCategoryLevelAsString($B271)="L0D_324785","",IF(L271="",CONCATENATE(";",EscStr(CONCATENATE("NavNode_",getCategoryLevelAsString($B271))),";",EscStr($J271),";"),CONCATENATE(";",EscStr(CONCATENATE("NavNode_",getCategoryLevelAsString($B271))),";",EscStr(L271),";")))</f>
        <v>;"NavNode_L3D_525570";"Žibintai / darbo vietos apšvietimas / apšvietimo įranga";</v>
      </c>
      <c r="AF271" s="10" t="str">
        <f>IF(getCategoryLevelAsString($B271)="L0D_324785","",IF(M271="",CONCATENATE(";",EscStr(CONCATENATE("NavNode_",getCategoryLevelAsString($B271))),";",EscStr($J271),";"),CONCATENATE(";",EscStr(CONCATENATE("NavNode_",getCategoryLevelAsString($B271))),";",EscStr(M271),";")))</f>
        <v>;"NavNode_L3D_525570";"Lykter/arbeidsbelysning/lysarmaturer";</v>
      </c>
      <c r="AG271" s="10" t="str">
        <f>IF(getCategoryLevelAsString($B271)="L0D_324785","",IF(N271="",CONCATENATE(";",EscStr(CONCATENATE("NavNode_",getCategoryLevelAsString($B271))),";",EscStr($J271),";"),CONCATENATE(";",EscStr(CONCATENATE("NavNode_",getCategoryLevelAsString($B271))),";",EscStr(N271),";")))</f>
        <v>;"NavNode_L3D_525570";"Ficklampor/Arbetsplats/Ljusarmaturer";</v>
      </c>
      <c r="AH271" s="10" t="str">
        <f>IF(getCategoryLevelAsString($B271)="L0D_324785","",IF(O271="",CONCATENATE(";",EscStr(CONCATENATE("NavNode_",getCategoryLevelAsString($B271))),";",EscStr($J271),";"),CONCATENATE(";",EscStr(CONCATENATE("NavNode_",getCategoryLevelAsString($B271))),";",EscStr(O271),";")))</f>
        <v>;"NavNode_L3D_525570";"Taskulambid / Töökohavalgustid / Valgustid";</v>
      </c>
      <c r="AI271" s="10" t="str">
        <f>IF(getCategoryLevelAsString($B271)="L0D_324785","",IF(P271="",CONCATENATE(";",EscStr(CONCATENATE("NavNode_",getCategoryLevelAsString($B271))),";",EscStr($J271),";"),CONCATENATE(";",EscStr(CONCATENATE("NavNode_",getCategoryLevelAsString($B271))),";",EscStr(P271),";")))</f>
        <v>;"NavNode_L3D_525570";"Valaisimet";</v>
      </c>
      <c r="AJ271" s="10" t="str">
        <f>IF(getCategoryLevelAsString($B271)="L0D_324785","",IF(Q271="",CONCATENATE(";",EscStr(CONCATENATE("NavNode_",getCategoryLevelAsString($B271))),";",EscStr($J271),";"),CONCATENATE(";",EscStr(CONCATENATE("NavNode_",getCategoryLevelAsString($B271))),";",EscStr(Q271),";")))</f>
        <v>;"NavNode_L3D_525570";"Lukturīši / Darba vieta / Lustras";</v>
      </c>
      <c r="AK271" s="10" t="str">
        <f>IF(getCategoryLevelAsString($B271)="L0D_324785","",IF(R271="",CONCATENATE(";",EscStr(CONCATENATE("NavNode_",getCategoryLevelAsString($B271))),";",EscStr($J271),";"),CONCATENATE(";",EscStr(CONCATENATE("NavNode_",getCategoryLevelAsString($B271))),";",EscStr(R271),";")))</f>
        <v>;"NavNode_L3D_525570";"Zaklampen / Werkplekverlichting / Armaturen";</v>
      </c>
      <c r="AL271" s="10" t="str">
        <f>IF(getCategoryLevelAsString($B271)="L0D_324785","",IF(S271="",CONCATENATE(";",EscStr(CONCATENATE("NavNode_",getCategoryLevelAsString($B271))),";",EscStr($J271),";"),CONCATENATE(";",EscStr(CONCATENATE("NavNode_",getCategoryLevelAsString($B271))),";",EscStr(S271),";")))</f>
        <v>;"NavNode_L3D_525570";"Latarki / Lampy robocze / Oprawy oświetleniowe";</v>
      </c>
      <c r="AM271" s="10" t="str">
        <f>IF(getCategoryLevelAsString($B271)="L0D_324785","",IF(T271="",CONCATENATE(";",EscStr(CONCATENATE("NavNode_",getCategoryLevelAsString($B271))),";",EscStr($J271),";"),CONCATENATE(";",EscStr(CONCATENATE("NavNode_",getCategoryLevelAsString($B271))),";",EscStr(T271),";")))</f>
        <v>;"NavNode_L3D_525570";"Карманные фонари / Рабочее место / Светильники";</v>
      </c>
      <c r="AN271" s="10" t="str">
        <f>IF(getCategoryLevelAsString($B271)="L0D_324785","",IF(U271="",CONCATENATE(";",EscStr(CONCATENATE("NavNode_",getCategoryLevelAsString($B271))),";",EscStr($J271),";"),CONCATENATE(";",EscStr(CONCATENATE("NavNode_",getCategoryLevelAsString($B271))),";",EscStr(U271),";")))</f>
        <v>;"NavNode_L3D_525570";"Svítilny / Pracovní lampy / Osvětlení";</v>
      </c>
      <c r="AO271" s="10" t="str">
        <f>IF(getCategoryLevelAsString($B271)="L0D_324785","",IF(V271="",CONCATENATE(";",EscStr(CONCATENATE("NavNode_",getCategoryLevelAsString($B271))),";",EscStr($J271),";"),CONCATENATE(";",EscStr(CONCATENATE("NavNode_",getCategoryLevelAsString($B271))),";",EscStr(V271),";")))</f>
        <v>;"NavNode_L3D_525570";"Lanterne / lumini pentru locul de muncă / lampi";</v>
      </c>
      <c r="AP271" s="10" t="str">
        <f>IF(getCategoryLevelAsString($B271)="L0D_324785","",IF(W271="",CONCATENATE(";",EscStr(CONCATENATE("NavNode_",getCategoryLevelAsString($B271))),";",EscStr($J271),";"),CONCATENATE(";",EscStr(CONCATENATE("NavNode_",getCategoryLevelAsString($B271))),";",EscStr(W271),";")))</f>
        <v>;"NavNode_L3D_525570";"Zseblámpák / Munkahely megvilágítások / Világítótestek";</v>
      </c>
      <c r="AQ271" s="10" t="str">
        <f>IF(getCategoryLevelAsString($B271)="L0D_324785","",IF(X271="",CONCATENATE(";",EscStr(CONCATENATE("NavNode_",getCategoryLevelAsString($B271))),";",EscStr($J271),";"),CONCATENATE(";",EscStr(CONCATENATE("NavNode_",getCategoryLevelAsString($B271))),";",EscStr(X271),";")))</f>
        <v>;"NavNode_L3D_525570";"Svítilny / Pracovní lampy / Osvětlení";</v>
      </c>
      <c r="AR271" s="8" t="str">
        <f>IF(OR($A271&lt;&gt;"", $G271=""),"",CONCATENATE(";",EscStr(CONCATENATE("NavEntry_",getCategoryLevelAsString($B271))),";",EscStr(CONCATENATE($J271," Navigation Entry")),";",EscStr(CONCATENATE("cat-",getCategoryLevelAsString($B271))),";",EscStr(CONCATENATE("NavNode_",getCategoryLevelAsString($B271))),";"))</f>
        <v>;"NavEntry_L3D_525570";"Torches / Workplace / Light Fixtures Navigation Entry";"cat-L3D_525570";"NavNode_L3D_525570";</v>
      </c>
    </row>
    <row r="272" spans="1:44" ht="15" x14ac:dyDescent="0.25">
      <c r="A272" s="25"/>
      <c r="B272" s="5"/>
      <c r="C272" s="5"/>
      <c r="D272" s="5" t="s">
        <v>223</v>
      </c>
      <c r="E272" s="5"/>
      <c r="F272" s="5"/>
      <c r="G272" s="5" t="s">
        <v>962</v>
      </c>
      <c r="H272" s="5" t="s">
        <v>730</v>
      </c>
      <c r="I272" s="5" t="s">
        <v>708</v>
      </c>
      <c r="J272" s="5" t="s">
        <v>511</v>
      </c>
      <c r="K272" s="5" t="s">
        <v>1373</v>
      </c>
      <c r="L272" s="5" t="s">
        <v>1609</v>
      </c>
      <c r="M272" s="5" t="s">
        <v>1814</v>
      </c>
      <c r="N272" s="5" t="s">
        <v>2028</v>
      </c>
      <c r="O272" s="5" t="s">
        <v>4112</v>
      </c>
      <c r="P272" s="5" t="s">
        <v>4113</v>
      </c>
      <c r="Q272" s="5" t="s">
        <v>4114</v>
      </c>
      <c r="R272" s="5" t="s">
        <v>4115</v>
      </c>
      <c r="S272" s="5" t="s">
        <v>4116</v>
      </c>
      <c r="T272" s="5" t="s">
        <v>4117</v>
      </c>
      <c r="U272" s="5" t="s">
        <v>4118</v>
      </c>
      <c r="V272" s="5" t="s">
        <v>4119</v>
      </c>
      <c r="W272" s="5" t="s">
        <v>4120</v>
      </c>
      <c r="X272" s="5" t="s">
        <v>4118</v>
      </c>
      <c r="Y272" s="10" t="str">
        <f>IF(OR($A272&lt;&gt;"", $G272=""),"",CONCATENATE(";",EscStr(CONCATENATE("NavNode_",getCategoryLevelAsString($B272))),";",EscStr($J272),";",IF($B272&lt;&gt;"","""MainNavNode""",EscStr(CONCATENATE("NavNode_",getSuperCategory($B272, getCategoryLevelAsNumber($B272))))),";"))</f>
        <v>;"NavNode_L3D_525572";"Torches";"NavNode_L2D_379661";</v>
      </c>
      <c r="Z272" s="10" t="str">
        <f>IF(getCategoryLevelAsString($B272)="L0D_324785","",IF(G272="",CONCATENATE(";",EscStr(CONCATENATE("NavNode_",getCategoryLevelAsString($B272))),";",EscStr($J272),";"),CONCATENATE(";",EscStr(CONCATENATE("NavNode_",getCategoryLevelAsString($B272))),";",EscStr(G272),";")))</f>
        <v>;"NavNode_L3D_525572";"Taschenlampen";</v>
      </c>
      <c r="AA272" s="10" t="str">
        <f>IF(getCategoryLevelAsString($B272)="L0D_324785","",IF(H272="",CONCATENATE(";",EscStr(CONCATENATE("NavNode_",getCategoryLevelAsString($B272))),";",EscStr($J272),";"),CONCATENATE(";",EscStr(CONCATENATE("NavNode_",getCategoryLevelAsString($B272))),";",EscStr(H272),";")))</f>
        <v>;"NavNode_L3D_525572";"Lampes torches";</v>
      </c>
      <c r="AB272" s="10" t="str">
        <f>IF(getCategoryLevelAsString($B272)="L0D_324785","",IF(I272="",CONCATENATE(";",EscStr(CONCATENATE("NavNode_",getCategoryLevelAsString($B272))),";",EscStr($J272),";"),CONCATENATE(";",EscStr(CONCATENATE("NavNode_",getCategoryLevelAsString($B272))),";",EscStr(I272),";")))</f>
        <v>;"NavNode_L3D_525572";"Torce";</v>
      </c>
      <c r="AC272" s="10" t="str">
        <f>IF(getCategoryLevelAsString($B272)="L0D_324785","",IF(J272="",CONCATENATE(";",EscStr(CONCATENATE("NavNode_",getCategoryLevelAsString($B272))),";",EscStr($J272),";"),CONCATENATE(";",EscStr(CONCATENATE("NavNode_",getCategoryLevelAsString($B272))),";",EscStr(J272),";")))</f>
        <v>;"NavNode_L3D_525572";"Torches";</v>
      </c>
      <c r="AD272" s="10" t="str">
        <f>IF(getCategoryLevelAsString($B272)="L0D_324785","",IF(K272="",CONCATENATE(";",EscStr(CONCATENATE("NavNode_",getCategoryLevelAsString($B272))),";",EscStr($J272),";"),CONCATENATE(";",EscStr(CONCATENATE("NavNode_",getCategoryLevelAsString($B272))),";",EscStr(K272),";")))</f>
        <v>;"NavNode_L3D_525572";"Lygter";</v>
      </c>
      <c r="AE272" s="10" t="str">
        <f>IF(getCategoryLevelAsString($B272)="L0D_324785","",IF(L272="",CONCATENATE(";",EscStr(CONCATENATE("NavNode_",getCategoryLevelAsString($B272))),";",EscStr($J272),";"),CONCATENATE(";",EscStr(CONCATENATE("NavNode_",getCategoryLevelAsString($B272))),";",EscStr(L272),";")))</f>
        <v>;"NavNode_L3D_525572";"Žibintai";</v>
      </c>
      <c r="AF272" s="10" t="str">
        <f>IF(getCategoryLevelAsString($B272)="L0D_324785","",IF(M272="",CONCATENATE(";",EscStr(CONCATENATE("NavNode_",getCategoryLevelAsString($B272))),";",EscStr($J272),";"),CONCATENATE(";",EscStr(CONCATENATE("NavNode_",getCategoryLevelAsString($B272))),";",EscStr(M272),";")))</f>
        <v>;"NavNode_L3D_525572";"Lykter";</v>
      </c>
      <c r="AG272" s="10" t="str">
        <f>IF(getCategoryLevelAsString($B272)="L0D_324785","",IF(N272="",CONCATENATE(";",EscStr(CONCATENATE("NavNode_",getCategoryLevelAsString($B272))),";",EscStr($J272),";"),CONCATENATE(";",EscStr(CONCATENATE("NavNode_",getCategoryLevelAsString($B272))),";",EscStr(N272),";")))</f>
        <v>;"NavNode_L3D_525572";"Ficklampor";</v>
      </c>
      <c r="AH272" s="10" t="str">
        <f>IF(getCategoryLevelAsString($B272)="L0D_324785","",IF(O272="",CONCATENATE(";",EscStr(CONCATENATE("NavNode_",getCategoryLevelAsString($B272))),";",EscStr($J272),";"),CONCATENATE(";",EscStr(CONCATENATE("NavNode_",getCategoryLevelAsString($B272))),";",EscStr(O272),";")))</f>
        <v>;"NavNode_L3D_525572";"Taskulambid";</v>
      </c>
      <c r="AI272" s="10" t="str">
        <f>IF(getCategoryLevelAsString($B272)="L0D_324785","",IF(P272="",CONCATENATE(";",EscStr(CONCATENATE("NavNode_",getCategoryLevelAsString($B272))),";",EscStr($J272),";"),CONCATENATE(";",EscStr(CONCATENATE("NavNode_",getCategoryLevelAsString($B272))),";",EscStr(P272),";")))</f>
        <v>;"NavNode_L3D_525572";"Taskulamput";</v>
      </c>
      <c r="AJ272" s="10" t="str">
        <f>IF(getCategoryLevelAsString($B272)="L0D_324785","",IF(Q272="",CONCATENATE(";",EscStr(CONCATENATE("NavNode_",getCategoryLevelAsString($B272))),";",EscStr($J272),";"),CONCATENATE(";",EscStr(CONCATENATE("NavNode_",getCategoryLevelAsString($B272))),";",EscStr(Q272),";")))</f>
        <v>;"NavNode_L3D_525572";"Lukturīši";</v>
      </c>
      <c r="AK272" s="10" t="str">
        <f>IF(getCategoryLevelAsString($B272)="L0D_324785","",IF(R272="",CONCATENATE(";",EscStr(CONCATENATE("NavNode_",getCategoryLevelAsString($B272))),";",EscStr($J272),";"),CONCATENATE(";",EscStr(CONCATENATE("NavNode_",getCategoryLevelAsString($B272))),";",EscStr(R272),";")))</f>
        <v>;"NavNode_L3D_525572";"Zaklampen";</v>
      </c>
      <c r="AL272" s="10" t="str">
        <f>IF(getCategoryLevelAsString($B272)="L0D_324785","",IF(S272="",CONCATENATE(";",EscStr(CONCATENATE("NavNode_",getCategoryLevelAsString($B272))),";",EscStr($J272),";"),CONCATENATE(";",EscStr(CONCATENATE("NavNode_",getCategoryLevelAsString($B272))),";",EscStr(S272),";")))</f>
        <v>;"NavNode_L3D_525572";"Latarki";</v>
      </c>
      <c r="AM272" s="10" t="str">
        <f>IF(getCategoryLevelAsString($B272)="L0D_324785","",IF(T272="",CONCATENATE(";",EscStr(CONCATENATE("NavNode_",getCategoryLevelAsString($B272))),";",EscStr($J272),";"),CONCATENATE(";",EscStr(CONCATENATE("NavNode_",getCategoryLevelAsString($B272))),";",EscStr(T272),";")))</f>
        <v>;"NavNode_L3D_525572";"Карманные фонари";</v>
      </c>
      <c r="AN272" s="10" t="str">
        <f>IF(getCategoryLevelAsString($B272)="L0D_324785","",IF(U272="",CONCATENATE(";",EscStr(CONCATENATE("NavNode_",getCategoryLevelAsString($B272))),";",EscStr($J272),";"),CONCATENATE(";",EscStr(CONCATENATE("NavNode_",getCategoryLevelAsString($B272))),";",EscStr(U272),";")))</f>
        <v>;"NavNode_L3D_525572";"Baterky";</v>
      </c>
      <c r="AO272" s="10" t="str">
        <f>IF(getCategoryLevelAsString($B272)="L0D_324785","",IF(V272="",CONCATENATE(";",EscStr(CONCATENATE("NavNode_",getCategoryLevelAsString($B272))),";",EscStr($J272),";"),CONCATENATE(";",EscStr(CONCATENATE("NavNode_",getCategoryLevelAsString($B272))),";",EscStr(V272),";")))</f>
        <v>;"NavNode_L3D_525572";"Lanterne";</v>
      </c>
      <c r="AP272" s="10" t="str">
        <f>IF(getCategoryLevelAsString($B272)="L0D_324785","",IF(W272="",CONCATENATE(";",EscStr(CONCATENATE("NavNode_",getCategoryLevelAsString($B272))),";",EscStr($J272),";"),CONCATENATE(";",EscStr(CONCATENATE("NavNode_",getCategoryLevelAsString($B272))),";",EscStr(W272),";")))</f>
        <v>;"NavNode_L3D_525572";"Zseblámpák";</v>
      </c>
      <c r="AQ272" s="10" t="str">
        <f>IF(getCategoryLevelAsString($B272)="L0D_324785","",IF(X272="",CONCATENATE(";",EscStr(CONCATENATE("NavNode_",getCategoryLevelAsString($B272))),";",EscStr($J272),";"),CONCATENATE(";",EscStr(CONCATENATE("NavNode_",getCategoryLevelAsString($B272))),";",EscStr(X272),";")))</f>
        <v>;"NavNode_L3D_525572";"Baterky";</v>
      </c>
      <c r="AR272" s="8" t="str">
        <f>IF(OR($A272&lt;&gt;"", $G272=""),"",CONCATENATE(";",EscStr(CONCATENATE("NavEntry_",getCategoryLevelAsString($B272))),";",EscStr(CONCATENATE($J272," Navigation Entry")),";",EscStr(CONCATENATE("cat-",getCategoryLevelAsString($B272))),";",EscStr(CONCATENATE("NavNode_",getCategoryLevelAsString($B272))),";"))</f>
        <v>;"NavEntry_L3D_525572";"Torches Navigation Entry";"cat-L3D_525572";"NavNode_L3D_525572";</v>
      </c>
    </row>
    <row r="273" spans="1:44" ht="15" x14ac:dyDescent="0.25">
      <c r="A273" s="25"/>
      <c r="B273" s="5"/>
      <c r="C273" s="5"/>
      <c r="D273" s="5" t="s">
        <v>222</v>
      </c>
      <c r="E273" s="5"/>
      <c r="F273" s="5"/>
      <c r="G273" s="5" t="s">
        <v>961</v>
      </c>
      <c r="H273" s="5" t="s">
        <v>731</v>
      </c>
      <c r="I273" s="5" t="s">
        <v>707</v>
      </c>
      <c r="J273" s="5" t="s">
        <v>510</v>
      </c>
      <c r="K273" s="5" t="s">
        <v>1374</v>
      </c>
      <c r="L273" s="5" t="s">
        <v>1610</v>
      </c>
      <c r="M273" s="5" t="s">
        <v>1374</v>
      </c>
      <c r="N273" s="5" t="s">
        <v>2029</v>
      </c>
      <c r="O273" s="5" t="s">
        <v>4121</v>
      </c>
      <c r="P273" s="5" t="s">
        <v>4122</v>
      </c>
      <c r="Q273" s="5" t="s">
        <v>4123</v>
      </c>
      <c r="R273" s="5" t="s">
        <v>4124</v>
      </c>
      <c r="S273" s="5" t="s">
        <v>4125</v>
      </c>
      <c r="T273" s="5" t="s">
        <v>4126</v>
      </c>
      <c r="U273" s="5" t="s">
        <v>4127</v>
      </c>
      <c r="V273" s="5" t="s">
        <v>4128</v>
      </c>
      <c r="W273" s="5" t="s">
        <v>4129</v>
      </c>
      <c r="X273" s="5" t="s">
        <v>4127</v>
      </c>
      <c r="Y273" s="10" t="str">
        <f>IF(OR($A273&lt;&gt;"", $G273=""),"",CONCATENATE(";",EscStr(CONCATENATE("NavNode_",getCategoryLevelAsString($B273))),";",EscStr($J273),";",IF($B273&lt;&gt;"","""MainNavNode""",EscStr(CONCATENATE("NavNode_",getSuperCategory($B273, getCategoryLevelAsNumber($B273))))),";"))</f>
        <v>;"NavNode_L3D_525571";"Office Lamps";"NavNode_L2D_379661";</v>
      </c>
      <c r="Z273" s="10" t="str">
        <f>IF(getCategoryLevelAsString($B273)="L0D_324785","",IF(G273="",CONCATENATE(";",EscStr(CONCATENATE("NavNode_",getCategoryLevelAsString($B273))),";",EscStr($J273),";"),CONCATENATE(";",EscStr(CONCATENATE("NavNode_",getCategoryLevelAsString($B273))),";",EscStr(G273),";")))</f>
        <v>;"NavNode_L3D_525571";"Bürolampen";</v>
      </c>
      <c r="AA273" s="10" t="str">
        <f>IF(getCategoryLevelAsString($B273)="L0D_324785","",IF(H273="",CONCATENATE(";",EscStr(CONCATENATE("NavNode_",getCategoryLevelAsString($B273))),";",EscStr($J273),";"),CONCATENATE(";",EscStr(CONCATENATE("NavNode_",getCategoryLevelAsString($B273))),";",EscStr(H273),";")))</f>
        <v>;"NavNode_L3D_525571";"Lampes de bureau";</v>
      </c>
      <c r="AB273" s="10" t="str">
        <f>IF(getCategoryLevelAsString($B273)="L0D_324785","",IF(I273="",CONCATENATE(";",EscStr(CONCATENATE("NavNode_",getCategoryLevelAsString($B273))),";",EscStr($J273),";"),CONCATENATE(";",EscStr(CONCATENATE("NavNode_",getCategoryLevelAsString($B273))),";",EscStr(I273),";")))</f>
        <v>;"NavNode_L3D_525571";"Lampade da ufficio";</v>
      </c>
      <c r="AC273" s="10" t="str">
        <f>IF(getCategoryLevelAsString($B273)="L0D_324785","",IF(J273="",CONCATENATE(";",EscStr(CONCATENATE("NavNode_",getCategoryLevelAsString($B273))),";",EscStr($J273),";"),CONCATENATE(";",EscStr(CONCATENATE("NavNode_",getCategoryLevelAsString($B273))),";",EscStr(J273),";")))</f>
        <v>;"NavNode_L3D_525571";"Office Lamps";</v>
      </c>
      <c r="AD273" s="10" t="str">
        <f>IF(getCategoryLevelAsString($B273)="L0D_324785","",IF(K273="",CONCATENATE(";",EscStr(CONCATENATE("NavNode_",getCategoryLevelAsString($B273))),";",EscStr($J273),";"),CONCATENATE(";",EscStr(CONCATENATE("NavNode_",getCategoryLevelAsString($B273))),";",EscStr(K273),";")))</f>
        <v>;"NavNode_L3D_525571";"Kontorlamper";</v>
      </c>
      <c r="AE273" s="10" t="str">
        <f>IF(getCategoryLevelAsString($B273)="L0D_324785","",IF(L273="",CONCATENATE(";",EscStr(CONCATENATE("NavNode_",getCategoryLevelAsString($B273))),";",EscStr($J273),";"),CONCATENATE(";",EscStr(CONCATENATE("NavNode_",getCategoryLevelAsString($B273))),";",EscStr(L273),";")))</f>
        <v>;"NavNode_L3D_525571";"Biuro lempos";</v>
      </c>
      <c r="AF273" s="10" t="str">
        <f>IF(getCategoryLevelAsString($B273)="L0D_324785","",IF(M273="",CONCATENATE(";",EscStr(CONCATENATE("NavNode_",getCategoryLevelAsString($B273))),";",EscStr($J273),";"),CONCATENATE(";",EscStr(CONCATENATE("NavNode_",getCategoryLevelAsString($B273))),";",EscStr(M273),";")))</f>
        <v>;"NavNode_L3D_525571";"Kontorlamper";</v>
      </c>
      <c r="AG273" s="10" t="str">
        <f>IF(getCategoryLevelAsString($B273)="L0D_324785","",IF(N273="",CONCATENATE(";",EscStr(CONCATENATE("NavNode_",getCategoryLevelAsString($B273))),";",EscStr($J273),";"),CONCATENATE(";",EscStr(CONCATENATE("NavNode_",getCategoryLevelAsString($B273))),";",EscStr(N273),";")))</f>
        <v>;"NavNode_L3D_525571";"Kontorsbelysning";</v>
      </c>
      <c r="AH273" s="10" t="str">
        <f>IF(getCategoryLevelAsString($B273)="L0D_324785","",IF(O273="",CONCATENATE(";",EscStr(CONCATENATE("NavNode_",getCategoryLevelAsString($B273))),";",EscStr($J273),";"),CONCATENATE(";",EscStr(CONCATENATE("NavNode_",getCategoryLevelAsString($B273))),";",EscStr(O273),";")))</f>
        <v>;"NavNode_L3D_525571";"Kontorivalgustid";</v>
      </c>
      <c r="AI273" s="10" t="str">
        <f>IF(getCategoryLevelAsString($B273)="L0D_324785","",IF(P273="",CONCATENATE(";",EscStr(CONCATENATE("NavNode_",getCategoryLevelAsString($B273))),";",EscStr($J273),";"),CONCATENATE(";",EscStr(CONCATENATE("NavNode_",getCategoryLevelAsString($B273))),";",EscStr(P273),";")))</f>
        <v>;"NavNode_L3D_525571";"Toimistolamput";</v>
      </c>
      <c r="AJ273" s="10" t="str">
        <f>IF(getCategoryLevelAsString($B273)="L0D_324785","",IF(Q273="",CONCATENATE(";",EscStr(CONCATENATE("NavNode_",getCategoryLevelAsString($B273))),";",EscStr($J273),";"),CONCATENATE(";",EscStr(CONCATENATE("NavNode_",getCategoryLevelAsString($B273))),";",EscStr(Q273),";")))</f>
        <v>;"NavNode_L3D_525571";"Biroja lampas";</v>
      </c>
      <c r="AK273" s="10" t="str">
        <f>IF(getCategoryLevelAsString($B273)="L0D_324785","",IF(R273="",CONCATENATE(";",EscStr(CONCATENATE("NavNode_",getCategoryLevelAsString($B273))),";",EscStr($J273),";"),CONCATENATE(";",EscStr(CONCATENATE("NavNode_",getCategoryLevelAsString($B273))),";",EscStr(R273),";")))</f>
        <v>;"NavNode_L3D_525571";"Bureaulampen";</v>
      </c>
      <c r="AL273" s="10" t="str">
        <f>IF(getCategoryLevelAsString($B273)="L0D_324785","",IF(S273="",CONCATENATE(";",EscStr(CONCATENATE("NavNode_",getCategoryLevelAsString($B273))),";",EscStr($J273),";"),CONCATENATE(";",EscStr(CONCATENATE("NavNode_",getCategoryLevelAsString($B273))),";",EscStr(S273),";")))</f>
        <v>;"NavNode_L3D_525571";"Lampy stołowe";</v>
      </c>
      <c r="AM273" s="10" t="str">
        <f>IF(getCategoryLevelAsString($B273)="L0D_324785","",IF(T273="",CONCATENATE(";",EscStr(CONCATENATE("NavNode_",getCategoryLevelAsString($B273))),";",EscStr($J273),";"),CONCATENATE(";",EscStr(CONCATENATE("NavNode_",getCategoryLevelAsString($B273))),";",EscStr(T273),";")))</f>
        <v>;"NavNode_L3D_525571";"Офисные лампы";</v>
      </c>
      <c r="AN273" s="10" t="str">
        <f>IF(getCategoryLevelAsString($B273)="L0D_324785","",IF(U273="",CONCATENATE(";",EscStr(CONCATENATE("NavNode_",getCategoryLevelAsString($B273))),";",EscStr($J273),";"),CONCATENATE(";",EscStr(CONCATENATE("NavNode_",getCategoryLevelAsString($B273))),";",EscStr(U273),";")))</f>
        <v>;"NavNode_L3D_525571";"Kancelářské lampy";</v>
      </c>
      <c r="AO273" s="10" t="str">
        <f>IF(getCategoryLevelAsString($B273)="L0D_324785","",IF(V273="",CONCATENATE(";",EscStr(CONCATENATE("NavNode_",getCategoryLevelAsString($B273))),";",EscStr($J273),";"),CONCATENATE(";",EscStr(CONCATENATE("NavNode_",getCategoryLevelAsString($B273))),";",EscStr(V273),";")))</f>
        <v>;"NavNode_L3D_525571";"Lămpi de birou";</v>
      </c>
      <c r="AP273" s="10" t="str">
        <f>IF(getCategoryLevelAsString($B273)="L0D_324785","",IF(W273="",CONCATENATE(";",EscStr(CONCATENATE("NavNode_",getCategoryLevelAsString($B273))),";",EscStr($J273),";"),CONCATENATE(";",EscStr(CONCATENATE("NavNode_",getCategoryLevelAsString($B273))),";",EscStr(W273),";")))</f>
        <v>;"NavNode_L3D_525571";"Irodai lámpák";</v>
      </c>
      <c r="AQ273" s="10" t="str">
        <f>IF(getCategoryLevelAsString($B273)="L0D_324785","",IF(X273="",CONCATENATE(";",EscStr(CONCATENATE("NavNode_",getCategoryLevelAsString($B273))),";",EscStr($J273),";"),CONCATENATE(";",EscStr(CONCATENATE("NavNode_",getCategoryLevelAsString($B273))),";",EscStr(X273),";")))</f>
        <v>;"NavNode_L3D_525571";"Kancelářské lampy";</v>
      </c>
      <c r="AR273" s="8" t="str">
        <f>IF(OR($A273&lt;&gt;"", $G273=""),"",CONCATENATE(";",EscStr(CONCATENATE("NavEntry_",getCategoryLevelAsString($B273))),";",EscStr(CONCATENATE($J273," Navigation Entry")),";",EscStr(CONCATENATE("cat-",getCategoryLevelAsString($B273))),";",EscStr(CONCATENATE("NavNode_",getCategoryLevelAsString($B273))),";"))</f>
        <v>;"NavEntry_L3D_525571";"Office Lamps Navigation Entry";"cat-L3D_525571";"NavNode_L3D_525571";</v>
      </c>
    </row>
    <row r="274" spans="1:44" ht="15" x14ac:dyDescent="0.25">
      <c r="A274" s="25"/>
      <c r="B274" s="5"/>
      <c r="C274" s="5"/>
      <c r="D274" s="5" t="s">
        <v>224</v>
      </c>
      <c r="E274" s="5"/>
      <c r="F274" s="5"/>
      <c r="G274" s="5" t="s">
        <v>2219</v>
      </c>
      <c r="H274" s="5" t="s">
        <v>2220</v>
      </c>
      <c r="I274" s="5" t="s">
        <v>2221</v>
      </c>
      <c r="J274" s="5" t="s">
        <v>2222</v>
      </c>
      <c r="K274" s="5" t="s">
        <v>2223</v>
      </c>
      <c r="L274" s="5" t="s">
        <v>2224</v>
      </c>
      <c r="M274" s="5" t="s">
        <v>2225</v>
      </c>
      <c r="N274" s="5" t="s">
        <v>2226</v>
      </c>
      <c r="O274" s="5" t="s">
        <v>2227</v>
      </c>
      <c r="P274" s="5" t="s">
        <v>2228</v>
      </c>
      <c r="Q274" s="5" t="s">
        <v>2229</v>
      </c>
      <c r="R274" s="5" t="s">
        <v>2230</v>
      </c>
      <c r="S274" s="5" t="s">
        <v>2231</v>
      </c>
      <c r="T274" s="5" t="s">
        <v>2232</v>
      </c>
      <c r="U274" s="5" t="s">
        <v>2233</v>
      </c>
      <c r="V274" s="5" t="s">
        <v>2234</v>
      </c>
      <c r="W274" s="5" t="s">
        <v>2235</v>
      </c>
      <c r="X274" s="5" t="s">
        <v>2233</v>
      </c>
      <c r="Y274" s="10" t="str">
        <f>IF(OR($A274&lt;&gt;"", $G274=""),"",CONCATENATE(";",EscStr(CONCATENATE("NavNode_",getCategoryLevelAsString($B274))),";",EscStr($J274),";",IF($B274&lt;&gt;"","""MainNavNode""",EscStr(CONCATENATE("NavNode_",getSuperCategory($B274, getCategoryLevelAsNumber($B274))))),";"))</f>
        <v>;"NavNode_L3D_531404";"Lamps for Workplaces";"NavNode_L2D_379661";</v>
      </c>
      <c r="Z274" s="10" t="str">
        <f>IF(getCategoryLevelAsString($B274)="L0D_324785","",IF(G274="",CONCATENATE(";",EscStr(CONCATENATE("NavNode_",getCategoryLevelAsString($B274))),";",EscStr($J274),";"),CONCATENATE(";",EscStr(CONCATENATE("NavNode_",getCategoryLevelAsString($B274))),";",EscStr(G274),";")))</f>
        <v>;"NavNode_L3D_531404";"Leuchten für den Arbeitsplatz";</v>
      </c>
      <c r="AA274" s="10" t="str">
        <f>IF(getCategoryLevelAsString($B274)="L0D_324785","",IF(H274="",CONCATENATE(";",EscStr(CONCATENATE("NavNode_",getCategoryLevelAsString($B274))),";",EscStr($J274),";"),CONCATENATE(";",EscStr(CONCATENATE("NavNode_",getCategoryLevelAsString($B274))),";",EscStr(H274),";")))</f>
        <v>;"NavNode_L3D_531404";"Lampes pour postes de travail";</v>
      </c>
      <c r="AB274" s="10" t="str">
        <f>IF(getCategoryLevelAsString($B274)="L0D_324785","",IF(I274="",CONCATENATE(";",EscStr(CONCATENATE("NavNode_",getCategoryLevelAsString($B274))),";",EscStr($J274),";"),CONCATENATE(";",EscStr(CONCATENATE("NavNode_",getCategoryLevelAsString($B274))),";",EscStr(I274),";")))</f>
        <v>;"NavNode_L3D_531404";"Lampade per luoghi di lavoro";</v>
      </c>
      <c r="AC274" s="10" t="str">
        <f>IF(getCategoryLevelAsString($B274)="L0D_324785","",IF(J274="",CONCATENATE(";",EscStr(CONCATENATE("NavNode_",getCategoryLevelAsString($B274))),";",EscStr($J274),";"),CONCATENATE(";",EscStr(CONCATENATE("NavNode_",getCategoryLevelAsString($B274))),";",EscStr(J274),";")))</f>
        <v>;"NavNode_L3D_531404";"Lamps for Workplaces";</v>
      </c>
      <c r="AD274" s="10" t="str">
        <f>IF(getCategoryLevelAsString($B274)="L0D_324785","",IF(K274="",CONCATENATE(";",EscStr(CONCATENATE("NavNode_",getCategoryLevelAsString($B274))),";",EscStr($J274),";"),CONCATENATE(";",EscStr(CONCATENATE("NavNode_",getCategoryLevelAsString($B274))),";",EscStr(K274),";")))</f>
        <v>;"NavNode_L3D_531404";"Lamper til arbejdspladser";</v>
      </c>
      <c r="AE274" s="10" t="str">
        <f>IF(getCategoryLevelAsString($B274)="L0D_324785","",IF(L274="",CONCATENATE(";",EscStr(CONCATENATE("NavNode_",getCategoryLevelAsString($B274))),";",EscStr($J274),";"),CONCATENATE(";",EscStr(CONCATENATE("NavNode_",getCategoryLevelAsString($B274))),";",EscStr(L274),";")))</f>
        <v>;"NavNode_L3D_531404";"Lempos darbovietėms";</v>
      </c>
      <c r="AF274" s="10" t="str">
        <f>IF(getCategoryLevelAsString($B274)="L0D_324785","",IF(M274="",CONCATENATE(";",EscStr(CONCATENATE("NavNode_",getCategoryLevelAsString($B274))),";",EscStr($J274),";"),CONCATENATE(";",EscStr(CONCATENATE("NavNode_",getCategoryLevelAsString($B274))),";",EscStr(M274),";")))</f>
        <v>;"NavNode_L3D_531404";"Lamper til arbeidsplasser";</v>
      </c>
      <c r="AG274" s="10" t="str">
        <f>IF(getCategoryLevelAsString($B274)="L0D_324785","",IF(N274="",CONCATENATE(";",EscStr(CONCATENATE("NavNode_",getCategoryLevelAsString($B274))),";",EscStr($J274),";"),CONCATENATE(";",EscStr(CONCATENATE("NavNode_",getCategoryLevelAsString($B274))),";",EscStr(N274),";")))</f>
        <v>;"NavNode_L3D_531404";"Lampor för arbetsplatser";</v>
      </c>
      <c r="AH274" s="10" t="str">
        <f>IF(getCategoryLevelAsString($B274)="L0D_324785","",IF(O274="",CONCATENATE(";",EscStr(CONCATENATE("NavNode_",getCategoryLevelAsString($B274))),";",EscStr($J274),";"),CONCATENATE(";",EscStr(CONCATENATE("NavNode_",getCategoryLevelAsString($B274))),";",EscStr(O274),";")))</f>
        <v>;"NavNode_L3D_531404";"Töökoha valgustid";</v>
      </c>
      <c r="AI274" s="10" t="str">
        <f>IF(getCategoryLevelAsString($B274)="L0D_324785","",IF(P274="",CONCATENATE(";",EscStr(CONCATENATE("NavNode_",getCategoryLevelAsString($B274))),";",EscStr($J274),";"),CONCATENATE(";",EscStr(CONCATENATE("NavNode_",getCategoryLevelAsString($B274))),";",EscStr(P274),";")))</f>
        <v>;"NavNode_L3D_531404";"Lamput työpaikoille";</v>
      </c>
      <c r="AJ274" s="10" t="str">
        <f>IF(getCategoryLevelAsString($B274)="L0D_324785","",IF(Q274="",CONCATENATE(";",EscStr(CONCATENATE("NavNode_",getCategoryLevelAsString($B274))),";",EscStr($J274),";"),CONCATENATE(";",EscStr(CONCATENATE("NavNode_",getCategoryLevelAsString($B274))),";",EscStr(Q274),";")))</f>
        <v>;"NavNode_L3D_531404";"Lampas darba vietām";</v>
      </c>
      <c r="AK274" s="10" t="str">
        <f>IF(getCategoryLevelAsString($B274)="L0D_324785","",IF(R274="",CONCATENATE(";",EscStr(CONCATENATE("NavNode_",getCategoryLevelAsString($B274))),";",EscStr($J274),";"),CONCATENATE(";",EscStr(CONCATENATE("NavNode_",getCategoryLevelAsString($B274))),";",EscStr(R274),";")))</f>
        <v>;"NavNode_L3D_531404";"Werkplaatslampen";</v>
      </c>
      <c r="AL274" s="10" t="str">
        <f>IF(getCategoryLevelAsString($B274)="L0D_324785","",IF(S274="",CONCATENATE(";",EscStr(CONCATENATE("NavNode_",getCategoryLevelAsString($B274))),";",EscStr($J274),";"),CONCATENATE(";",EscStr(CONCATENATE("NavNode_",getCategoryLevelAsString($B274))),";",EscStr(S274),";")))</f>
        <v>;"NavNode_L3D_531404";"Lampy do stanowisk pracy";</v>
      </c>
      <c r="AM274" s="10" t="str">
        <f>IF(getCategoryLevelAsString($B274)="L0D_324785","",IF(T274="",CONCATENATE(";",EscStr(CONCATENATE("NavNode_",getCategoryLevelAsString($B274))),";",EscStr($J274),";"),CONCATENATE(";",EscStr(CONCATENATE("NavNode_",getCategoryLevelAsString($B274))),";",EscStr(T274),";")))</f>
        <v>;"NavNode_L3D_531404";"Лампы для рабочих мест";</v>
      </c>
      <c r="AN274" s="10" t="str">
        <f>IF(getCategoryLevelAsString($B274)="L0D_324785","",IF(U274="",CONCATENATE(";",EscStr(CONCATENATE("NavNode_",getCategoryLevelAsString($B274))),";",EscStr($J274),";"),CONCATENATE(";",EscStr(CONCATENATE("NavNode_",getCategoryLevelAsString($B274))),";",EscStr(U274),";")))</f>
        <v>;"NavNode_L3D_531404";"Pracovní osvětlení";</v>
      </c>
      <c r="AO274" s="10" t="str">
        <f>IF(getCategoryLevelAsString($B274)="L0D_324785","",IF(V274="",CONCATENATE(";",EscStr(CONCATENATE("NavNode_",getCategoryLevelAsString($B274))),";",EscStr($J274),";"),CONCATENATE(";",EscStr(CONCATENATE("NavNode_",getCategoryLevelAsString($B274))),";",EscStr(V274),";")))</f>
        <v>;"NavNode_L3D_531404";"Corpuri de iluminat pentru locuri de munca";</v>
      </c>
      <c r="AP274" s="10" t="str">
        <f>IF(getCategoryLevelAsString($B274)="L0D_324785","",IF(W274="",CONCATENATE(";",EscStr(CONCATENATE("NavNode_",getCategoryLevelAsString($B274))),";",EscStr($J274),";"),CONCATENATE(";",EscStr(CONCATENATE("NavNode_",getCategoryLevelAsString($B274))),";",EscStr(W274),";")))</f>
        <v>;"NavNode_L3D_531404";"Munkahelyi világítás";</v>
      </c>
      <c r="AQ274" s="10" t="str">
        <f>IF(getCategoryLevelAsString($B274)="L0D_324785","",IF(X274="",CONCATENATE(";",EscStr(CONCATENATE("NavNode_",getCategoryLevelAsString($B274))),";",EscStr($J274),";"),CONCATENATE(";",EscStr(CONCATENATE("NavNode_",getCategoryLevelAsString($B274))),";",EscStr(X274),";")))</f>
        <v>;"NavNode_L3D_531404";"Pracovní osvětlení";</v>
      </c>
      <c r="AR274" s="8" t="str">
        <f>IF(OR($A274&lt;&gt;"", $G274=""),"",CONCATENATE(";",EscStr(CONCATENATE("NavEntry_",getCategoryLevelAsString($B274))),";",EscStr(CONCATENATE($J274," Navigation Entry")),";",EscStr(CONCATENATE("cat-",getCategoryLevelAsString($B274))),";",EscStr(CONCATENATE("NavNode_",getCategoryLevelAsString($B274))),";"))</f>
        <v>;"NavEntry_L3D_531404";"Lamps for Workplaces Navigation Entry";"cat-L3D_531404";"NavNode_L3D_531404";</v>
      </c>
    </row>
    <row r="275" spans="1:44" ht="15" x14ac:dyDescent="0.25">
      <c r="A275" s="25"/>
      <c r="B275" s="5"/>
      <c r="C275" s="5"/>
      <c r="D275" s="5" t="s">
        <v>732</v>
      </c>
      <c r="E275" s="5"/>
      <c r="F275" s="5"/>
      <c r="G275" s="5" t="s">
        <v>1044</v>
      </c>
      <c r="H275" s="5" t="s">
        <v>1073</v>
      </c>
      <c r="I275" s="5" t="s">
        <v>1131</v>
      </c>
      <c r="J275" s="5" t="s">
        <v>913</v>
      </c>
      <c r="K275" s="5" t="s">
        <v>1375</v>
      </c>
      <c r="L275" s="5" t="s">
        <v>1611</v>
      </c>
      <c r="M275" s="5" t="s">
        <v>1375</v>
      </c>
      <c r="N275" s="5" t="s">
        <v>2030</v>
      </c>
      <c r="O275" s="5" t="s">
        <v>4130</v>
      </c>
      <c r="P275" s="5" t="s">
        <v>4131</v>
      </c>
      <c r="Q275" s="5" t="s">
        <v>4132</v>
      </c>
      <c r="R275" s="5" t="s">
        <v>4133</v>
      </c>
      <c r="S275" s="5" t="s">
        <v>4134</v>
      </c>
      <c r="T275" s="5" t="s">
        <v>4135</v>
      </c>
      <c r="U275" s="5" t="s">
        <v>4136</v>
      </c>
      <c r="V275" s="5" t="s">
        <v>4137</v>
      </c>
      <c r="W275" s="5" t="s">
        <v>4138</v>
      </c>
      <c r="X275" s="5" t="s">
        <v>4136</v>
      </c>
      <c r="Y275" s="10" t="str">
        <f>IF(OR($A275&lt;&gt;"", $G275=""),"",CONCATENATE(";",EscStr(CONCATENATE("NavNode_",getCategoryLevelAsString($B275))),";",EscStr($J275),";",IF($B275&lt;&gt;"","""MainNavNode""",EscStr(CONCATENATE("NavNode_",getSuperCategory($B275, getCategoryLevelAsNumber($B275))))),";"))</f>
        <v>;"NavNode_L3D_531406";"Machine Lamps";"NavNode_L2D_379661";</v>
      </c>
      <c r="Z275" s="10" t="str">
        <f>IF(getCategoryLevelAsString($B275)="L0D_324785","",IF(G275="",CONCATENATE(";",EscStr(CONCATENATE("NavNode_",getCategoryLevelAsString($B275))),";",EscStr($J275),";"),CONCATENATE(";",EscStr(CONCATENATE("NavNode_",getCategoryLevelAsString($B275))),";",EscStr(G275),";")))</f>
        <v>;"NavNode_L3D_531406";"Maschinenleuchten";</v>
      </c>
      <c r="AA275" s="10" t="str">
        <f>IF(getCategoryLevelAsString($B275)="L0D_324785","",IF(H275="",CONCATENATE(";",EscStr(CONCATENATE("NavNode_",getCategoryLevelAsString($B275))),";",EscStr($J275),";"),CONCATENATE(";",EscStr(CONCATENATE("NavNode_",getCategoryLevelAsString($B275))),";",EscStr(H275),";")))</f>
        <v>;"NavNode_L3D_531406";"Eclairages de machines";</v>
      </c>
      <c r="AB275" s="10" t="str">
        <f>IF(getCategoryLevelAsString($B275)="L0D_324785","",IF(I275="",CONCATENATE(";",EscStr(CONCATENATE("NavNode_",getCategoryLevelAsString($B275))),";",EscStr($J275),";"),CONCATENATE(";",EscStr(CONCATENATE("NavNode_",getCategoryLevelAsString($B275))),";",EscStr(I275),";")))</f>
        <v>;"NavNode_L3D_531406";"Lampade per macchine";</v>
      </c>
      <c r="AC275" s="10" t="str">
        <f>IF(getCategoryLevelAsString($B275)="L0D_324785","",IF(J275="",CONCATENATE(";",EscStr(CONCATENATE("NavNode_",getCategoryLevelAsString($B275))),";",EscStr($J275),";"),CONCATENATE(";",EscStr(CONCATENATE("NavNode_",getCategoryLevelAsString($B275))),";",EscStr(J275),";")))</f>
        <v>;"NavNode_L3D_531406";"Machine Lamps";</v>
      </c>
      <c r="AD275" s="10" t="str">
        <f>IF(getCategoryLevelAsString($B275)="L0D_324785","",IF(K275="",CONCATENATE(";",EscStr(CONCATENATE("NavNode_",getCategoryLevelAsString($B275))),";",EscStr($J275),";"),CONCATENATE(";",EscStr(CONCATENATE("NavNode_",getCategoryLevelAsString($B275))),";",EscStr(K275),";")))</f>
        <v>;"NavNode_L3D_531406";"Maskinlamper";</v>
      </c>
      <c r="AE275" s="10" t="str">
        <f>IF(getCategoryLevelAsString($B275)="L0D_324785","",IF(L275="",CONCATENATE(";",EscStr(CONCATENATE("NavNode_",getCategoryLevelAsString($B275))),";",EscStr($J275),";"),CONCATENATE(";",EscStr(CONCATENATE("NavNode_",getCategoryLevelAsString($B275))),";",EscStr(L275),";")))</f>
        <v>;"NavNode_L3D_531406";"Mašinų lempos";</v>
      </c>
      <c r="AF275" s="10" t="str">
        <f>IF(getCategoryLevelAsString($B275)="L0D_324785","",IF(M275="",CONCATENATE(";",EscStr(CONCATENATE("NavNode_",getCategoryLevelAsString($B275))),";",EscStr($J275),";"),CONCATENATE(";",EscStr(CONCATENATE("NavNode_",getCategoryLevelAsString($B275))),";",EscStr(M275),";")))</f>
        <v>;"NavNode_L3D_531406";"Maskinlamper";</v>
      </c>
      <c r="AG275" s="10" t="str">
        <f>IF(getCategoryLevelAsString($B275)="L0D_324785","",IF(N275="",CONCATENATE(";",EscStr(CONCATENATE("NavNode_",getCategoryLevelAsString($B275))),";",EscStr($J275),";"),CONCATENATE(";",EscStr(CONCATENATE("NavNode_",getCategoryLevelAsString($B275))),";",EscStr(N275),";")))</f>
        <v>;"NavNode_L3D_531406";"Maskinbelysning";</v>
      </c>
      <c r="AH275" s="10" t="str">
        <f>IF(getCategoryLevelAsString($B275)="L0D_324785","",IF(O275="",CONCATENATE(";",EscStr(CONCATENATE("NavNode_",getCategoryLevelAsString($B275))),";",EscStr($J275),";"),CONCATENATE(";",EscStr(CONCATENATE("NavNode_",getCategoryLevelAsString($B275))),";",EscStr(O275),";")))</f>
        <v>;"NavNode_L3D_531406";"Tööstusvalgustid";</v>
      </c>
      <c r="AI275" s="10" t="str">
        <f>IF(getCategoryLevelAsString($B275)="L0D_324785","",IF(P275="",CONCATENATE(";",EscStr(CONCATENATE("NavNode_",getCategoryLevelAsString($B275))),";",EscStr($J275),";"),CONCATENATE(";",EscStr(CONCATENATE("NavNode_",getCategoryLevelAsString($B275))),";",EscStr(P275),";")))</f>
        <v>;"NavNode_L3D_531406";"Konevalaistus";</v>
      </c>
      <c r="AJ275" s="10" t="str">
        <f>IF(getCategoryLevelAsString($B275)="L0D_324785","",IF(Q275="",CONCATENATE(";",EscStr(CONCATENATE("NavNode_",getCategoryLevelAsString($B275))),";",EscStr($J275),";"),CONCATENATE(";",EscStr(CONCATENATE("NavNode_",getCategoryLevelAsString($B275))),";",EscStr(Q275),";")))</f>
        <v>;"NavNode_L3D_531406";"Mašīnu lampas";</v>
      </c>
      <c r="AK275" s="10" t="str">
        <f>IF(getCategoryLevelAsString($B275)="L0D_324785","",IF(R275="",CONCATENATE(";",EscStr(CONCATENATE("NavNode_",getCategoryLevelAsString($B275))),";",EscStr($J275),";"),CONCATENATE(";",EscStr(CONCATENATE("NavNode_",getCategoryLevelAsString($B275))),";",EscStr(R275),";")))</f>
        <v>;"NavNode_L3D_531406";"Machineverlichting en werkbankverlichting";</v>
      </c>
      <c r="AL275" s="10" t="str">
        <f>IF(getCategoryLevelAsString($B275)="L0D_324785","",IF(S275="",CONCATENATE(";",EscStr(CONCATENATE("NavNode_",getCategoryLevelAsString($B275))),";",EscStr($J275),";"),CONCATENATE(";",EscStr(CONCATENATE("NavNode_",getCategoryLevelAsString($B275))),";",EscStr(S275),";")))</f>
        <v>;"NavNode_L3D_531406";"Lampy do maszyn";</v>
      </c>
      <c r="AM275" s="10" t="str">
        <f>IF(getCategoryLevelAsString($B275)="L0D_324785","",IF(T275="",CONCATENATE(";",EscStr(CONCATENATE("NavNode_",getCategoryLevelAsString($B275))),";",EscStr($J275),";"),CONCATENATE(";",EscStr(CONCATENATE("NavNode_",getCategoryLevelAsString($B275))),";",EscStr(T275),";")))</f>
        <v>;"NavNode_L3D_531406";"Светодиодные светильники производств.";</v>
      </c>
      <c r="AN275" s="10" t="str">
        <f>IF(getCategoryLevelAsString($B275)="L0D_324785","",IF(U275="",CONCATENATE(";",EscStr(CONCATENATE("NavNode_",getCategoryLevelAsString($B275))),";",EscStr($J275),";"),CONCATENATE(";",EscStr(CONCATENATE("NavNode_",getCategoryLevelAsString($B275))),";",EscStr(U275),";")))</f>
        <v>;"NavNode_L3D_531406";"Osvětlení přístrojů";</v>
      </c>
      <c r="AO275" s="10" t="str">
        <f>IF(getCategoryLevelAsString($B275)="L0D_324785","",IF(V275="",CONCATENATE(";",EscStr(CONCATENATE("NavNode_",getCategoryLevelAsString($B275))),";",EscStr($J275),";"),CONCATENATE(";",EscStr(CONCATENATE("NavNode_",getCategoryLevelAsString($B275))),";",EscStr(V275),";")))</f>
        <v>;"NavNode_L3D_531406";"Lumini pentru aparate şi automate";</v>
      </c>
      <c r="AP275" s="10" t="str">
        <f>IF(getCategoryLevelAsString($B275)="L0D_324785","",IF(W275="",CONCATENATE(";",EscStr(CONCATENATE("NavNode_",getCategoryLevelAsString($B275))),";",EscStr($J275),";"),CONCATENATE(";",EscStr(CONCATENATE("NavNode_",getCategoryLevelAsString($B275))),";",EscStr(W275),";")))</f>
        <v>;"NavNode_L3D_531406";"Géplámpák";</v>
      </c>
      <c r="AQ275" s="10" t="str">
        <f>IF(getCategoryLevelAsString($B275)="L0D_324785","",IF(X275="",CONCATENATE(";",EscStr(CONCATENATE("NavNode_",getCategoryLevelAsString($B275))),";",EscStr($J275),";"),CONCATENATE(";",EscStr(CONCATENATE("NavNode_",getCategoryLevelAsString($B275))),";",EscStr(X275),";")))</f>
        <v>;"NavNode_L3D_531406";"Osvětlení přístrojů";</v>
      </c>
      <c r="AR275" s="8" t="str">
        <f>IF(OR($A275&lt;&gt;"", $G275=""),"",CONCATENATE(";",EscStr(CONCATENATE("NavEntry_",getCategoryLevelAsString($B275))),";",EscStr(CONCATENATE($J275," Navigation Entry")),";",EscStr(CONCATENATE("cat-",getCategoryLevelAsString($B275))),";",EscStr(CONCATENATE("NavNode_",getCategoryLevelAsString($B275))),";"))</f>
        <v>;"NavEntry_L3D_531406";"Machine Lamps Navigation Entry";"cat-L3D_531406";"NavNode_L3D_531406";</v>
      </c>
    </row>
    <row r="276" spans="1:44" ht="15" x14ac:dyDescent="0.25">
      <c r="A276" s="25"/>
      <c r="B276" s="5"/>
      <c r="C276" s="5"/>
      <c r="D276" s="5" t="s">
        <v>733</v>
      </c>
      <c r="E276" s="5"/>
      <c r="F276" s="5"/>
      <c r="G276" s="5" t="s">
        <v>2236</v>
      </c>
      <c r="H276" s="5" t="s">
        <v>2237</v>
      </c>
      <c r="I276" s="5" t="s">
        <v>2238</v>
      </c>
      <c r="J276" s="5" t="s">
        <v>2239</v>
      </c>
      <c r="K276" s="5" t="s">
        <v>2240</v>
      </c>
      <c r="L276" s="5" t="s">
        <v>2241</v>
      </c>
      <c r="M276" s="5" t="s">
        <v>2240</v>
      </c>
      <c r="N276" s="5" t="s">
        <v>2242</v>
      </c>
      <c r="O276" s="5" t="s">
        <v>2243</v>
      </c>
      <c r="P276" s="5" t="s">
        <v>2244</v>
      </c>
      <c r="Q276" s="5" t="s">
        <v>2245</v>
      </c>
      <c r="R276" s="5" t="s">
        <v>2246</v>
      </c>
      <c r="S276" s="5" t="s">
        <v>2247</v>
      </c>
      <c r="T276" s="5" t="s">
        <v>2248</v>
      </c>
      <c r="U276" s="5" t="s">
        <v>2249</v>
      </c>
      <c r="V276" s="5" t="s">
        <v>2250</v>
      </c>
      <c r="W276" s="5" t="s">
        <v>2251</v>
      </c>
      <c r="X276" s="5" t="s">
        <v>2249</v>
      </c>
      <c r="Y276" s="10" t="str">
        <f>IF(OR($A276&lt;&gt;"", $G276=""),"",CONCATENATE(";",EscStr(CONCATENATE("NavNode_",getCategoryLevelAsString($B276))),";",EscStr($J276),";",IF($B276&lt;&gt;"","""MainNavNode""",EscStr(CONCATENATE("NavNode_",getSuperCategory($B276, getCategoryLevelAsNumber($B276))))),";"))</f>
        <v>;"NavNode_L3D_531408";"Light Fixtures";"NavNode_L2D_379661";</v>
      </c>
      <c r="Z276" s="10" t="str">
        <f>IF(getCategoryLevelAsString($B276)="L0D_324785","",IF(G276="",CONCATENATE(";",EscStr(CONCATENATE("NavNode_",getCategoryLevelAsString($B276))),";",EscStr($J276),";"),CONCATENATE(";",EscStr(CONCATENATE("NavNode_",getCategoryLevelAsString($B276))),";",EscStr(G276),";")))</f>
        <v>;"NavNode_L3D_531408";"Leuchten für Wand und Decke";</v>
      </c>
      <c r="AA276" s="10" t="str">
        <f>IF(getCategoryLevelAsString($B276)="L0D_324785","",IF(H276="",CONCATENATE(";",EscStr(CONCATENATE("NavNode_",getCategoryLevelAsString($B276))),";",EscStr($J276),";"),CONCATENATE(";",EscStr(CONCATENATE("NavNode_",getCategoryLevelAsString($B276))),";",EscStr(H276),";")))</f>
        <v>;"NavNode_L3D_531408";"Eclairage";</v>
      </c>
      <c r="AB276" s="10" t="str">
        <f>IF(getCategoryLevelAsString($B276)="L0D_324785","",IF(I276="",CONCATENATE(";",EscStr(CONCATENATE("NavNode_",getCategoryLevelAsString($B276))),";",EscStr($J276),";"),CONCATENATE(";",EscStr(CONCATENATE("NavNode_",getCategoryLevelAsString($B276))),";",EscStr(I276),";")))</f>
        <v>;"NavNode_L3D_531408";"Lampade fisse";</v>
      </c>
      <c r="AC276" s="10" t="str">
        <f>IF(getCategoryLevelAsString($B276)="L0D_324785","",IF(J276="",CONCATENATE(";",EscStr(CONCATENATE("NavNode_",getCategoryLevelAsString($B276))),";",EscStr($J276),";"),CONCATENATE(";",EscStr(CONCATENATE("NavNode_",getCategoryLevelAsString($B276))),";",EscStr(J276),";")))</f>
        <v>;"NavNode_L3D_531408";"Light Fixtures";</v>
      </c>
      <c r="AD276" s="10" t="str">
        <f>IF(getCategoryLevelAsString($B276)="L0D_324785","",IF(K276="",CONCATENATE(";",EscStr(CONCATENATE("NavNode_",getCategoryLevelAsString($B276))),";",EscStr($J276),";"),CONCATENATE(";",EscStr(CONCATENATE("NavNode_",getCategoryLevelAsString($B276))),";",EscStr(K276),";")))</f>
        <v>;"NavNode_L3D_531408";"Lysarmaturer";</v>
      </c>
      <c r="AE276" s="10" t="str">
        <f>IF(getCategoryLevelAsString($B276)="L0D_324785","",IF(L276="",CONCATENATE(";",EscStr(CONCATENATE("NavNode_",getCategoryLevelAsString($B276))),";",EscStr($J276),";"),CONCATENATE(";",EscStr(CONCATENATE("NavNode_",getCategoryLevelAsString($B276))),";",EscStr(L276),";")))</f>
        <v>;"NavNode_L3D_531408";"Šviestuvai";</v>
      </c>
      <c r="AF276" s="10" t="str">
        <f>IF(getCategoryLevelAsString($B276)="L0D_324785","",IF(M276="",CONCATENATE(";",EscStr(CONCATENATE("NavNode_",getCategoryLevelAsString($B276))),";",EscStr($J276),";"),CONCATENATE(";",EscStr(CONCATENATE("NavNode_",getCategoryLevelAsString($B276))),";",EscStr(M276),";")))</f>
        <v>;"NavNode_L3D_531408";"Lysarmaturer";</v>
      </c>
      <c r="AG276" s="10" t="str">
        <f>IF(getCategoryLevelAsString($B276)="L0D_324785","",IF(N276="",CONCATENATE(";",EscStr(CONCATENATE("NavNode_",getCategoryLevelAsString($B276))),";",EscStr($J276),";"),CONCATENATE(";",EscStr(CONCATENATE("NavNode_",getCategoryLevelAsString($B276))),";",EscStr(N276),";")))</f>
        <v>;"NavNode_L3D_531408";"Ljusarmaturer";</v>
      </c>
      <c r="AH276" s="10" t="str">
        <f>IF(getCategoryLevelAsString($B276)="L0D_324785","",IF(O276="",CONCATENATE(";",EscStr(CONCATENATE("NavNode_",getCategoryLevelAsString($B276))),";",EscStr($J276),";"),CONCATENATE(";",EscStr(CONCATENATE("NavNode_",getCategoryLevelAsString($B276))),";",EscStr(O276),";")))</f>
        <v>;"NavNode_L3D_531408";"Valgusti alused";</v>
      </c>
      <c r="AI276" s="10" t="str">
        <f>IF(getCategoryLevelAsString($B276)="L0D_324785","",IF(P276="",CONCATENATE(";",EscStr(CONCATENATE("NavNode_",getCategoryLevelAsString($B276))),";",EscStr($J276),";"),CONCATENATE(";",EscStr(CONCATENATE("NavNode_",getCategoryLevelAsString($B276))),";",EscStr(P276),";")))</f>
        <v>;"NavNode_L3D_531408";"Lamput";</v>
      </c>
      <c r="AJ276" s="10" t="str">
        <f>IF(getCategoryLevelAsString($B276)="L0D_324785","",IF(Q276="",CONCATENATE(";",EscStr(CONCATENATE("NavNode_",getCategoryLevelAsString($B276))),";",EscStr($J276),";"),CONCATENATE(";",EscStr(CONCATENATE("NavNode_",getCategoryLevelAsString($B276))),";",EscStr(Q276),";")))</f>
        <v>;"NavNode_L3D_531408";"Apgaismojuma instalācijas";</v>
      </c>
      <c r="AK276" s="10" t="str">
        <f>IF(getCategoryLevelAsString($B276)="L0D_324785","",IF(R276="",CONCATENATE(";",EscStr(CONCATENATE("NavNode_",getCategoryLevelAsString($B276))),";",EscStr($J276),";"),CONCATENATE(";",EscStr(CONCATENATE("NavNode_",getCategoryLevelAsString($B276))),";",EscStr(R276),";")))</f>
        <v>;"NavNode_L3D_531408";"Armaturen";</v>
      </c>
      <c r="AL276" s="10" t="str">
        <f>IF(getCategoryLevelAsString($B276)="L0D_324785","",IF(S276="",CONCATENATE(";",EscStr(CONCATENATE("NavNode_",getCategoryLevelAsString($B276))),";",EscStr($J276),";"),CONCATENATE(";",EscStr(CONCATENATE("NavNode_",getCategoryLevelAsString($B276))),";",EscStr(S276),";")))</f>
        <v>;"NavNode_L3D_531408";"Oprawy oświetleniowe";</v>
      </c>
      <c r="AM276" s="10" t="str">
        <f>IF(getCategoryLevelAsString($B276)="L0D_324785","",IF(T276="",CONCATENATE(";",EscStr(CONCATENATE("NavNode_",getCategoryLevelAsString($B276))),";",EscStr($J276),";"),CONCATENATE(";",EscStr(CONCATENATE("NavNode_",getCategoryLevelAsString($B276))),";",EscStr(T276),";")))</f>
        <v>;"NavNode_L3D_531408";"Осветительная арматура";</v>
      </c>
      <c r="AN276" s="10" t="str">
        <f>IF(getCategoryLevelAsString($B276)="L0D_324785","",IF(U276="",CONCATENATE(";",EscStr(CONCATENATE("NavNode_",getCategoryLevelAsString($B276))),";",EscStr($J276),";"),CONCATENATE(";",EscStr(CONCATENATE("NavNode_",getCategoryLevelAsString($B276))),";",EscStr(U276),";")))</f>
        <v>;"NavNode_L3D_531408";"Svítidla";</v>
      </c>
      <c r="AO276" s="10" t="str">
        <f>IF(getCategoryLevelAsString($B276)="L0D_324785","",IF(V276="",CONCATENATE(";",EscStr(CONCATENATE("NavNode_",getCategoryLevelAsString($B276))),";",EscStr($J276),";"),CONCATENATE(";",EscStr(CONCATENATE("NavNode_",getCategoryLevelAsString($B276))),";",EscStr(V276),";")))</f>
        <v>;"NavNode_L3D_531408";"Echipamente de iluminare";</v>
      </c>
      <c r="AP276" s="10" t="str">
        <f>IF(getCategoryLevelAsString($B276)="L0D_324785","",IF(W276="",CONCATENATE(";",EscStr(CONCATENATE("NavNode_",getCategoryLevelAsString($B276))),";",EscStr($J276),";"),CONCATENATE(";",EscStr(CONCATENATE("NavNode_",getCategoryLevelAsString($B276))),";",EscStr(W276),";")))</f>
        <v>;"NavNode_L3D_531408";"Világítótestek";</v>
      </c>
      <c r="AQ276" s="10" t="str">
        <f>IF(getCategoryLevelAsString($B276)="L0D_324785","",IF(X276="",CONCATENATE(";",EscStr(CONCATENATE("NavNode_",getCategoryLevelAsString($B276))),";",EscStr($J276),";"),CONCATENATE(";",EscStr(CONCATENATE("NavNode_",getCategoryLevelAsString($B276))),";",EscStr(X276),";")))</f>
        <v>;"NavNode_L3D_531408";"Svítidla";</v>
      </c>
      <c r="AR276" s="8" t="str">
        <f>IF(OR($A276&lt;&gt;"", $G276=""),"",CONCATENATE(";",EscStr(CONCATENATE("NavEntry_",getCategoryLevelAsString($B276))),";",EscStr(CONCATENATE($J276," Navigation Entry")),";",EscStr(CONCATENATE("cat-",getCategoryLevelAsString($B276))),";",EscStr(CONCATENATE("NavNode_",getCategoryLevelAsString($B276))),";"))</f>
        <v>;"NavEntry_L3D_531408";"Light Fixtures Navigation Entry";"cat-L3D_531408";"NavNode_L3D_531408";</v>
      </c>
    </row>
    <row r="277" spans="1:44" ht="15" x14ac:dyDescent="0.25">
      <c r="A277" s="25"/>
      <c r="B277" s="5"/>
      <c r="C277" s="5"/>
      <c r="D277" s="5" t="s">
        <v>734</v>
      </c>
      <c r="E277" s="5"/>
      <c r="F277" s="5"/>
      <c r="G277" s="5" t="s">
        <v>1045</v>
      </c>
      <c r="H277" s="5" t="s">
        <v>1074</v>
      </c>
      <c r="I277" s="5" t="s">
        <v>1132</v>
      </c>
      <c r="J277" s="5" t="s">
        <v>914</v>
      </c>
      <c r="K277" s="5" t="s">
        <v>1376</v>
      </c>
      <c r="L277" s="5" t="s">
        <v>1612</v>
      </c>
      <c r="M277" s="5" t="s">
        <v>1815</v>
      </c>
      <c r="N277" s="5" t="s">
        <v>2031</v>
      </c>
      <c r="O277" s="5" t="s">
        <v>4139</v>
      </c>
      <c r="P277" s="5" t="s">
        <v>4140</v>
      </c>
      <c r="Q277" s="5" t="s">
        <v>4141</v>
      </c>
      <c r="R277" s="5" t="s">
        <v>4142</v>
      </c>
      <c r="S277" s="5" t="s">
        <v>4143</v>
      </c>
      <c r="T277" s="5" t="s">
        <v>4144</v>
      </c>
      <c r="U277" s="5" t="s">
        <v>4145</v>
      </c>
      <c r="V277" s="5" t="s">
        <v>4146</v>
      </c>
      <c r="W277" s="5" t="s">
        <v>4147</v>
      </c>
      <c r="X277" s="5" t="s">
        <v>4145</v>
      </c>
      <c r="Y277" s="10" t="str">
        <f>IF(OR($A277&lt;&gt;"", $G277=""),"",CONCATENATE(";",EscStr(CONCATENATE("NavNode_",getCategoryLevelAsString($B277))),";",EscStr($J277),";",IF($B277&lt;&gt;"","""MainNavNode""",EscStr(CONCATENATE("NavNode_",getSuperCategory($B277, getCategoryLevelAsNumber($B277))))),";"))</f>
        <v>;"NavNode_L2D_529772";"Exterior Lights";"NavNode_Lighting";</v>
      </c>
      <c r="Z277" s="10" t="str">
        <f>IF(getCategoryLevelAsString($B277)="L0D_324785","",IF(G277="",CONCATENATE(";",EscStr(CONCATENATE("NavNode_",getCategoryLevelAsString($B277))),";",EscStr($J277),";"),CONCATENATE(";",EscStr(CONCATENATE("NavNode_",getCategoryLevelAsString($B277))),";",EscStr(G277),";")))</f>
        <v>;"NavNode_L2D_529772";"Aussenleuchten";</v>
      </c>
      <c r="AA277" s="10" t="str">
        <f>IF(getCategoryLevelAsString($B277)="L0D_324785","",IF(H277="",CONCATENATE(";",EscStr(CONCATENATE("NavNode_",getCategoryLevelAsString($B277))),";",EscStr($J277),";"),CONCATENATE(";",EscStr(CONCATENATE("NavNode_",getCategoryLevelAsString($B277))),";",EscStr(H277),";")))</f>
        <v>;"NavNode_L2D_529772";"Lampes extérieures";</v>
      </c>
      <c r="AB277" s="10" t="str">
        <f>IF(getCategoryLevelAsString($B277)="L0D_324785","",IF(I277="",CONCATENATE(";",EscStr(CONCATENATE("NavNode_",getCategoryLevelAsString($B277))),";",EscStr($J277),";"),CONCATENATE(";",EscStr(CONCATENATE("NavNode_",getCategoryLevelAsString($B277))),";",EscStr(I277),";")))</f>
        <v>;"NavNode_L2D_529772";"Lampade esterne";</v>
      </c>
      <c r="AC277" s="10" t="str">
        <f>IF(getCategoryLevelAsString($B277)="L0D_324785","",IF(J277="",CONCATENATE(";",EscStr(CONCATENATE("NavNode_",getCategoryLevelAsString($B277))),";",EscStr($J277),";"),CONCATENATE(";",EscStr(CONCATENATE("NavNode_",getCategoryLevelAsString($B277))),";",EscStr(J277),";")))</f>
        <v>;"NavNode_L2D_529772";"Exterior Lights";</v>
      </c>
      <c r="AD277" s="10" t="str">
        <f>IF(getCategoryLevelAsString($B277)="L0D_324785","",IF(K277="",CONCATENATE(";",EscStr(CONCATENATE("NavNode_",getCategoryLevelAsString($B277))),";",EscStr($J277),";"),CONCATENATE(";",EscStr(CONCATENATE("NavNode_",getCategoryLevelAsString($B277))),";",EscStr(K277),";")))</f>
        <v>;"NavNode_L2D_529772";"Udelygter";</v>
      </c>
      <c r="AE277" s="10" t="str">
        <f>IF(getCategoryLevelAsString($B277)="L0D_324785","",IF(L277="",CONCATENATE(";",EscStr(CONCATENATE("NavNode_",getCategoryLevelAsString($B277))),";",EscStr($J277),";"),CONCATENATE(";",EscStr(CONCATENATE("NavNode_",getCategoryLevelAsString($B277))),";",EscStr(L277),";")))</f>
        <v>;"NavNode_L2D_529772";"Lauko apšvietimas";</v>
      </c>
      <c r="AF277" s="10" t="str">
        <f>IF(getCategoryLevelAsString($B277)="L0D_324785","",IF(M277="",CONCATENATE(";",EscStr(CONCATENATE("NavNode_",getCategoryLevelAsString($B277))),";",EscStr($J277),";"),CONCATENATE(";",EscStr(CONCATENATE("NavNode_",getCategoryLevelAsString($B277))),";",EscStr(M277),";")))</f>
        <v>;"NavNode_L2D_529772";"Utendørslamper";</v>
      </c>
      <c r="AG277" s="10" t="str">
        <f>IF(getCategoryLevelAsString($B277)="L0D_324785","",IF(N277="",CONCATENATE(";",EscStr(CONCATENATE("NavNode_",getCategoryLevelAsString($B277))),";",EscStr($J277),";"),CONCATENATE(";",EscStr(CONCATENATE("NavNode_",getCategoryLevelAsString($B277))),";",EscStr(N277),";")))</f>
        <v>;"NavNode_L2D_529772";"Utomhusbelysning";</v>
      </c>
      <c r="AH277" s="10" t="str">
        <f>IF(getCategoryLevelAsString($B277)="L0D_324785","",IF(O277="",CONCATENATE(";",EscStr(CONCATENATE("NavNode_",getCategoryLevelAsString($B277))),";",EscStr($J277),";"),CONCATENATE(";",EscStr(CONCATENATE("NavNode_",getCategoryLevelAsString($B277))),";",EscStr(O277),";")))</f>
        <v>;"NavNode_L2D_529772";"Välisvalgustid";</v>
      </c>
      <c r="AI277" s="10" t="str">
        <f>IF(getCategoryLevelAsString($B277)="L0D_324785","",IF(P277="",CONCATENATE(";",EscStr(CONCATENATE("NavNode_",getCategoryLevelAsString($B277))),";",EscStr($J277),";"),CONCATENATE(";",EscStr(CONCATENATE("NavNode_",getCategoryLevelAsString($B277))),";",EscStr(P277),";")))</f>
        <v>;"NavNode_L2D_529772";"Ulkovalaistus";</v>
      </c>
      <c r="AJ277" s="10" t="str">
        <f>IF(getCategoryLevelAsString($B277)="L0D_324785","",IF(Q277="",CONCATENATE(";",EscStr(CONCATENATE("NavNode_",getCategoryLevelAsString($B277))),";",EscStr($J277),";"),CONCATENATE(";",EscStr(CONCATENATE("NavNode_",getCategoryLevelAsString($B277))),";",EscStr(Q277),";")))</f>
        <v>;"NavNode_L2D_529772";"Ārējais apgaismojums";</v>
      </c>
      <c r="AK277" s="10" t="str">
        <f>IF(getCategoryLevelAsString($B277)="L0D_324785","",IF(R277="",CONCATENATE(";",EscStr(CONCATENATE("NavNode_",getCategoryLevelAsString($B277))),";",EscStr($J277),";"),CONCATENATE(";",EscStr(CONCATENATE("NavNode_",getCategoryLevelAsString($B277))),";",EscStr(R277),";")))</f>
        <v>;"NavNode_L2D_529772";"Buitenverlichting";</v>
      </c>
      <c r="AL277" s="10" t="str">
        <f>IF(getCategoryLevelAsString($B277)="L0D_324785","",IF(S277="",CONCATENATE(";",EscStr(CONCATENATE("NavNode_",getCategoryLevelAsString($B277))),";",EscStr($J277),";"),CONCATENATE(";",EscStr(CONCATENATE("NavNode_",getCategoryLevelAsString($B277))),";",EscStr(S277),";")))</f>
        <v>;"NavNode_L2D_529772";"Oprawy oświetleniowe zewnętrzne";</v>
      </c>
      <c r="AM277" s="10" t="str">
        <f>IF(getCategoryLevelAsString($B277)="L0D_324785","",IF(T277="",CONCATENATE(";",EscStr(CONCATENATE("NavNode_",getCategoryLevelAsString($B277))),";",EscStr($J277),";"),CONCATENATE(";",EscStr(CONCATENATE("NavNode_",getCategoryLevelAsString($B277))),";",EscStr(T277),";")))</f>
        <v>;"NavNode_L2D_529772";"Внешние осветительные приборы";</v>
      </c>
      <c r="AN277" s="10" t="str">
        <f>IF(getCategoryLevelAsString($B277)="L0D_324785","",IF(U277="",CONCATENATE(";",EscStr(CONCATENATE("NavNode_",getCategoryLevelAsString($B277))),";",EscStr($J277),";"),CONCATENATE(";",EscStr(CONCATENATE("NavNode_",getCategoryLevelAsString($B277))),";",EscStr(U277),";")))</f>
        <v>;"NavNode_L2D_529772";"Venkovní světla";</v>
      </c>
      <c r="AO277" s="10" t="str">
        <f>IF(getCategoryLevelAsString($B277)="L0D_324785","",IF(V277="",CONCATENATE(";",EscStr(CONCATENATE("NavNode_",getCategoryLevelAsString($B277))),";",EscStr($J277),";"),CONCATENATE(";",EscStr(CONCATENATE("NavNode_",getCategoryLevelAsString($B277))),";",EscStr(V277),";")))</f>
        <v>;"NavNode_L2D_529772";"Iluminat exterior";</v>
      </c>
      <c r="AP277" s="10" t="str">
        <f>IF(getCategoryLevelAsString($B277)="L0D_324785","",IF(W277="",CONCATENATE(";",EscStr(CONCATENATE("NavNode_",getCategoryLevelAsString($B277))),";",EscStr($J277),";"),CONCATENATE(";",EscStr(CONCATENATE("NavNode_",getCategoryLevelAsString($B277))),";",EscStr(W277),";")))</f>
        <v>;"NavNode_L2D_529772";"Kültéri világítás";</v>
      </c>
      <c r="AQ277" s="10" t="str">
        <f>IF(getCategoryLevelAsString($B277)="L0D_324785","",IF(X277="",CONCATENATE(";",EscStr(CONCATENATE("NavNode_",getCategoryLevelAsString($B277))),";",EscStr($J277),";"),CONCATENATE(";",EscStr(CONCATENATE("NavNode_",getCategoryLevelAsString($B277))),";",EscStr(X277),";")))</f>
        <v>;"NavNode_L2D_529772";"Venkovní světla";</v>
      </c>
      <c r="AR277" s="8" t="str">
        <f>IF(OR($A277&lt;&gt;"", $G277=""),"",CONCATENATE(";",EscStr(CONCATENATE("NavEntry_",getCategoryLevelAsString($B277))),";",EscStr(CONCATENATE($J277," Navigation Entry")),";",EscStr(CONCATENATE("cat-",getCategoryLevelAsString($B277))),";",EscStr(CONCATENATE("NavNode_",getCategoryLevelAsString($B277))),";"))</f>
        <v>;"NavEntry_L2D_529772";"Exterior Lights Navigation Entry";"cat-L2D_529772";"NavNode_L2D_529772";</v>
      </c>
    </row>
    <row r="278" spans="1:44" ht="15" x14ac:dyDescent="0.25">
      <c r="A278" s="25"/>
      <c r="B278" s="5"/>
      <c r="C278" s="5" t="s">
        <v>735</v>
      </c>
      <c r="D278" s="5"/>
      <c r="E278" s="5"/>
      <c r="F278" s="5"/>
      <c r="G278" s="5" t="s">
        <v>1046</v>
      </c>
      <c r="H278" s="5" t="s">
        <v>1075</v>
      </c>
      <c r="I278" s="5" t="s">
        <v>1133</v>
      </c>
      <c r="J278" s="5" t="s">
        <v>915</v>
      </c>
      <c r="K278" s="5" t="s">
        <v>1377</v>
      </c>
      <c r="L278" s="5" t="s">
        <v>1613</v>
      </c>
      <c r="M278" s="5" t="s">
        <v>1816</v>
      </c>
      <c r="N278" s="5" t="s">
        <v>2032</v>
      </c>
      <c r="O278" s="5" t="s">
        <v>4148</v>
      </c>
      <c r="P278" s="5" t="s">
        <v>4149</v>
      </c>
      <c r="Q278" s="5" t="s">
        <v>4150</v>
      </c>
      <c r="R278" s="5" t="s">
        <v>4151</v>
      </c>
      <c r="S278" s="5" t="s">
        <v>4152</v>
      </c>
      <c r="T278" s="5" t="s">
        <v>4153</v>
      </c>
      <c r="U278" s="5" t="s">
        <v>4154</v>
      </c>
      <c r="V278" s="5" t="s">
        <v>4155</v>
      </c>
      <c r="W278" s="5" t="s">
        <v>4156</v>
      </c>
      <c r="X278" s="5" t="s">
        <v>4154</v>
      </c>
      <c r="Y278" s="10" t="str">
        <f>IF(OR($A278&lt;&gt;"", $G278=""),"",CONCATENATE(";",EscStr(CONCATENATE("NavNode_",getCategoryLevelAsString($B278))),";",EscStr($J278),";",IF($B278&lt;&gt;"","""MainNavNode""",EscStr(CONCATENATE("NavNode_",getSuperCategory($B278, getCategoryLevelAsNumber($B278))))),";"))</f>
        <v>;"NavNode_L3D_525557";"Plug-in Power Supplies";"NavNode_L2D_529772";</v>
      </c>
      <c r="Z278" s="10" t="str">
        <f>IF(getCategoryLevelAsString($B278)="L0D_324785","",IF(G278="",CONCATENATE(";",EscStr(CONCATENATE("NavNode_",getCategoryLevelAsString($B278))),";",EscStr($J278),";"),CONCATENATE(";",EscStr(CONCATENATE("NavNode_",getCategoryLevelAsString($B278))),";",EscStr(G278),";")))</f>
        <v>;"NavNode_L3D_525557";"Steckernetzgeräte";</v>
      </c>
      <c r="AA278" s="10" t="str">
        <f>IF(getCategoryLevelAsString($B278)="L0D_324785","",IF(H278="",CONCATENATE(";",EscStr(CONCATENATE("NavNode_",getCategoryLevelAsString($B278))),";",EscStr($J278),";"),CONCATENATE(";",EscStr(CONCATENATE("NavNode_",getCategoryLevelAsString($B278))),";",EscStr(H278),";")))</f>
        <v>;"NavNode_L3D_525557";"Blocs secteur";</v>
      </c>
      <c r="AB278" s="10" t="str">
        <f>IF(getCategoryLevelAsString($B278)="L0D_324785","",IF(I278="",CONCATENATE(";",EscStr(CONCATENATE("NavNode_",getCategoryLevelAsString($B278))),";",EscStr($J278),";"),CONCATENATE(";",EscStr(CONCATENATE("NavNode_",getCategoryLevelAsString($B278))),";",EscStr(I278),";")))</f>
        <v>;"NavNode_L3D_525557";"Alimentatori plug-in";</v>
      </c>
      <c r="AC278" s="10" t="str">
        <f>IF(getCategoryLevelAsString($B278)="L0D_324785","",IF(J278="",CONCATENATE(";",EscStr(CONCATENATE("NavNode_",getCategoryLevelAsString($B278))),";",EscStr($J278),";"),CONCATENATE(";",EscStr(CONCATENATE("NavNode_",getCategoryLevelAsString($B278))),";",EscStr(J278),";")))</f>
        <v>;"NavNode_L3D_525557";"Plug-in Power Supplies";</v>
      </c>
      <c r="AD278" s="10" t="str">
        <f>IF(getCategoryLevelAsString($B278)="L0D_324785","",IF(K278="",CONCATENATE(";",EscStr(CONCATENATE("NavNode_",getCategoryLevelAsString($B278))),";",EscStr($J278),";"),CONCATENATE(";",EscStr(CONCATENATE("NavNode_",getCategoryLevelAsString($B278))),";",EscStr(K278),";")))</f>
        <v>;"NavNode_L3D_525557";"Strømforsyningsstik";</v>
      </c>
      <c r="AE278" s="10" t="str">
        <f>IF(getCategoryLevelAsString($B278)="L0D_324785","",IF(L278="",CONCATENATE(";",EscStr(CONCATENATE("NavNode_",getCategoryLevelAsString($B278))),";",EscStr($J278),";"),CONCATENATE(";",EscStr(CONCATENATE("NavNode_",getCategoryLevelAsString($B278))),";",EscStr(L278),";")))</f>
        <v>;"NavNode_L3D_525557";"Kištukiniai maitinimo šaltiniai";</v>
      </c>
      <c r="AF278" s="10" t="str">
        <f>IF(getCategoryLevelAsString($B278)="L0D_324785","",IF(M278="",CONCATENATE(";",EscStr(CONCATENATE("NavNode_",getCategoryLevelAsString($B278))),";",EscStr($J278),";"),CONCATENATE(";",EscStr(CONCATENATE("NavNode_",getCategoryLevelAsString($B278))),";",EscStr(M278),";")))</f>
        <v>;"NavNode_L3D_525557";"Strømforsyning med innplugging";</v>
      </c>
      <c r="AG278" s="10" t="str">
        <f>IF(getCategoryLevelAsString($B278)="L0D_324785","",IF(N278="",CONCATENATE(";",EscStr(CONCATENATE("NavNode_",getCategoryLevelAsString($B278))),";",EscStr($J278),";"),CONCATENATE(";",EscStr(CONCATENATE("NavNode_",getCategoryLevelAsString($B278))),";",EscStr(N278),";")))</f>
        <v>;"NavNode_L3D_525557";"Inpluggningsbara strömförsörjningar";</v>
      </c>
      <c r="AH278" s="10" t="str">
        <f>IF(getCategoryLevelAsString($B278)="L0D_324785","",IF(O278="",CONCATENATE(";",EscStr(CONCATENATE("NavNode_",getCategoryLevelAsString($B278))),";",EscStr($J278),";"),CONCATENATE(";",EscStr(CONCATENATE("NavNode_",getCategoryLevelAsString($B278))),";",EscStr(O278),";")))</f>
        <v>;"NavNode_L3D_525557";"Plug-in toiteplokid";</v>
      </c>
      <c r="AI278" s="10" t="str">
        <f>IF(getCategoryLevelAsString($B278)="L0D_324785","",IF(P278="",CONCATENATE(";",EscStr(CONCATENATE("NavNode_",getCategoryLevelAsString($B278))),";",EscStr($J278),";"),CONCATENATE(";",EscStr(CONCATENATE("NavNode_",getCategoryLevelAsString($B278))),";",EscStr(P278),";")))</f>
        <v>;"NavNode_L3D_525557";"Pistokemuuntajat";</v>
      </c>
      <c r="AJ278" s="10" t="str">
        <f>IF(getCategoryLevelAsString($B278)="L0D_324785","",IF(Q278="",CONCATENATE(";",EscStr(CONCATENATE("NavNode_",getCategoryLevelAsString($B278))),";",EscStr($J278),";"),CONCATENATE(";",EscStr(CONCATENATE("NavNode_",getCategoryLevelAsString($B278))),";",EscStr(Q278),";")))</f>
        <v>;"NavNode_L3D_525557";"Barošanas adapteri";</v>
      </c>
      <c r="AK278" s="10" t="str">
        <f>IF(getCategoryLevelAsString($B278)="L0D_324785","",IF(R278="",CONCATENATE(";",EscStr(CONCATENATE("NavNode_",getCategoryLevelAsString($B278))),";",EscStr($J278),";"),CONCATENATE(";",EscStr(CONCATENATE("NavNode_",getCategoryLevelAsString($B278))),";",EscStr(R278),";")))</f>
        <v>;"NavNode_L3D_525557";"Stekkervoedingen";</v>
      </c>
      <c r="AL278" s="10" t="str">
        <f>IF(getCategoryLevelAsString($B278)="L0D_324785","",IF(S278="",CONCATENATE(";",EscStr(CONCATENATE("NavNode_",getCategoryLevelAsString($B278))),";",EscStr($J278),";"),CONCATENATE(";",EscStr(CONCATENATE("NavNode_",getCategoryLevelAsString($B278))),";",EscStr(S278),";")))</f>
        <v>;"NavNode_L3D_525557";"Zasilacze wtyczkowe";</v>
      </c>
      <c r="AM278" s="10" t="str">
        <f>IF(getCategoryLevelAsString($B278)="L0D_324785","",IF(T278="",CONCATENATE(";",EscStr(CONCATENATE("NavNode_",getCategoryLevelAsString($B278))),";",EscStr($J278),";"),CONCATENATE(";",EscStr(CONCATENATE("NavNode_",getCategoryLevelAsString($B278))),";",EscStr(T278),";")))</f>
        <v>;"NavNode_L3D_525557";"Блоки питания с разъемным подключением";</v>
      </c>
      <c r="AN278" s="10" t="str">
        <f>IF(getCategoryLevelAsString($B278)="L0D_324785","",IF(U278="",CONCATENATE(";",EscStr(CONCATENATE("NavNode_",getCategoryLevelAsString($B278))),";",EscStr($J278),";"),CONCATENATE(";",EscStr(CONCATENATE("NavNode_",getCategoryLevelAsString($B278))),";",EscStr(U278),";")))</f>
        <v>;"NavNode_L3D_525557";"Napájecí zdroje";</v>
      </c>
      <c r="AO278" s="10" t="str">
        <f>IF(getCategoryLevelAsString($B278)="L0D_324785","",IF(V278="",CONCATENATE(";",EscStr(CONCATENATE("NavNode_",getCategoryLevelAsString($B278))),";",EscStr($J278),";"),CONCATENATE(";",EscStr(CONCATENATE("NavNode_",getCategoryLevelAsString($B278))),";",EscStr(V278),";")))</f>
        <v>;"NavNode_L3D_525557";"Unitate de alimentare";</v>
      </c>
      <c r="AP278" s="10" t="str">
        <f>IF(getCategoryLevelAsString($B278)="L0D_324785","",IF(W278="",CONCATENATE(";",EscStr(CONCATENATE("NavNode_",getCategoryLevelAsString($B278))),";",EscStr($J278),";"),CONCATENATE(";",EscStr(CONCATENATE("NavNode_",getCategoryLevelAsString($B278))),";",EscStr(W278),";")))</f>
        <v>;"NavNode_L3D_525557";"Dugaszolható tápegységek";</v>
      </c>
      <c r="AQ278" s="10" t="str">
        <f>IF(getCategoryLevelAsString($B278)="L0D_324785","",IF(X278="",CONCATENATE(";",EscStr(CONCATENATE("NavNode_",getCategoryLevelAsString($B278))),";",EscStr($J278),";"),CONCATENATE(";",EscStr(CONCATENATE("NavNode_",getCategoryLevelAsString($B278))),";",EscStr(X278),";")))</f>
        <v>;"NavNode_L3D_525557";"Napájecí zdroje";</v>
      </c>
      <c r="AR278" s="8" t="str">
        <f>IF(OR($A278&lt;&gt;"", $G278=""),"",CONCATENATE(";",EscStr(CONCATENATE("NavEntry_",getCategoryLevelAsString($B278))),";",EscStr(CONCATENATE($J278," Navigation Entry")),";",EscStr(CONCATENATE("cat-",getCategoryLevelAsString($B278))),";",EscStr(CONCATENATE("NavNode_",getCategoryLevelAsString($B278))),";"))</f>
        <v>;"NavEntry_L3D_525557";"Plug-in Power Supplies Navigation Entry";"cat-L3D_525557";"NavNode_L3D_525557";</v>
      </c>
    </row>
    <row r="279" spans="1:44" ht="15" x14ac:dyDescent="0.25">
      <c r="A279" s="25"/>
      <c r="B279" s="5"/>
      <c r="C279" s="5"/>
      <c r="D279" s="5" t="s">
        <v>201</v>
      </c>
      <c r="E279" s="5"/>
      <c r="F279" s="5"/>
      <c r="G279" s="5" t="s">
        <v>2252</v>
      </c>
      <c r="H279" s="5" t="s">
        <v>1075</v>
      </c>
      <c r="I279" s="5" t="s">
        <v>2253</v>
      </c>
      <c r="J279" s="5" t="s">
        <v>2254</v>
      </c>
      <c r="K279" s="5" t="s">
        <v>2255</v>
      </c>
      <c r="L279" s="5" t="s">
        <v>2256</v>
      </c>
      <c r="M279" s="5" t="s">
        <v>2257</v>
      </c>
      <c r="N279" s="5" t="s">
        <v>2258</v>
      </c>
      <c r="O279" s="5" t="s">
        <v>2259</v>
      </c>
      <c r="P279" s="5" t="s">
        <v>2260</v>
      </c>
      <c r="Q279" s="5" t="s">
        <v>2261</v>
      </c>
      <c r="R279" s="5" t="s">
        <v>2262</v>
      </c>
      <c r="S279" s="5" t="s">
        <v>2263</v>
      </c>
      <c r="T279" s="5" t="s">
        <v>2264</v>
      </c>
      <c r="U279" s="5" t="s">
        <v>2265</v>
      </c>
      <c r="V279" s="5" t="s">
        <v>2266</v>
      </c>
      <c r="W279" s="5" t="s">
        <v>2267</v>
      </c>
      <c r="X279" s="5" t="s">
        <v>2265</v>
      </c>
      <c r="Y279" s="10" t="str">
        <f>IF(OR($A279&lt;&gt;"", $G279=""),"",CONCATENATE(";",EscStr(CONCATENATE("NavNode_",getCategoryLevelAsString($B279))),";",EscStr($J279),";",IF($B279&lt;&gt;"","""MainNavNode""",EscStr(CONCATENATE("NavNode_",getSuperCategory($B279, getCategoryLevelAsNumber($B279))))),";"))</f>
        <v>;"NavNode_L3D_531378";"Plug-in and Desktop Power Supplies";"NavNode_L2D_529772";</v>
      </c>
      <c r="Z279" s="10" t="str">
        <f>IF(getCategoryLevelAsString($B279)="L0D_324785","",IF(G279="",CONCATENATE(";",EscStr(CONCATENATE("NavNode_",getCategoryLevelAsString($B279))),";",EscStr($J279),";"),CONCATENATE(";",EscStr(CONCATENATE("NavNode_",getCategoryLevelAsString($B279))),";",EscStr(G279),";")))</f>
        <v>;"NavNode_L3D_531378";"Stecker- und Tischnetzgeräte";</v>
      </c>
      <c r="AA279" s="10" t="str">
        <f>IF(getCategoryLevelAsString($B279)="L0D_324785","",IF(H279="",CONCATENATE(";",EscStr(CONCATENATE("NavNode_",getCategoryLevelAsString($B279))),";",EscStr($J279),";"),CONCATENATE(";",EscStr(CONCATENATE("NavNode_",getCategoryLevelAsString($B279))),";",EscStr(H279),";")))</f>
        <v>;"NavNode_L3D_531378";"Blocs secteur";</v>
      </c>
      <c r="AB279" s="10" t="str">
        <f>IF(getCategoryLevelAsString($B279)="L0D_324785","",IF(I279="",CONCATENATE(";",EscStr(CONCATENATE("NavNode_",getCategoryLevelAsString($B279))),";",EscStr($J279),";"),CONCATENATE(";",EscStr(CONCATENATE("NavNode_",getCategoryLevelAsString($B279))),";",EscStr(I279),";")))</f>
        <v>;"NavNode_L3D_531378";"Alimentazione tramite rete elettrica e PC";</v>
      </c>
      <c r="AC279" s="10" t="str">
        <f>IF(getCategoryLevelAsString($B279)="L0D_324785","",IF(J279="",CONCATENATE(";",EscStr(CONCATENATE("NavNode_",getCategoryLevelAsString($B279))),";",EscStr($J279),";"),CONCATENATE(";",EscStr(CONCATENATE("NavNode_",getCategoryLevelAsString($B279))),";",EscStr(J279),";")))</f>
        <v>;"NavNode_L3D_531378";"Plug-in and Desktop Power Supplies";</v>
      </c>
      <c r="AD279" s="10" t="str">
        <f>IF(getCategoryLevelAsString($B279)="L0D_324785","",IF(K279="",CONCATENATE(";",EscStr(CONCATENATE("NavNode_",getCategoryLevelAsString($B279))),";",EscStr($J279),";"),CONCATENATE(";",EscStr(CONCATENATE("NavNode_",getCategoryLevelAsString($B279))),";",EscStr(K279),";")))</f>
        <v>;"NavNode_L3D_531378";"Stik- og bordstrømforsyninger";</v>
      </c>
      <c r="AE279" s="10" t="str">
        <f>IF(getCategoryLevelAsString($B279)="L0D_324785","",IF(L279="",CONCATENATE(";",EscStr(CONCATENATE("NavNode_",getCategoryLevelAsString($B279))),";",EscStr($J279),";"),CONCATENATE(";",EscStr(CONCATENATE("NavNode_",getCategoryLevelAsString($B279))),";",EscStr(L279),";")))</f>
        <v>;"NavNode_L3D_531378";"Kištukiniai ir kompiuterių maitinimo blokai";</v>
      </c>
      <c r="AF279" s="10" t="str">
        <f>IF(getCategoryLevelAsString($B279)="L0D_324785","",IF(M279="",CONCATENATE(";",EscStr(CONCATENATE("NavNode_",getCategoryLevelAsString($B279))),";",EscStr($J279),";"),CONCATENATE(";",EscStr(CONCATENATE("NavNode_",getCategoryLevelAsString($B279))),";",EscStr(M279),";")))</f>
        <v>;"NavNode_L3D_531378";"Strømforsyninger for innplugging og skrivebord";</v>
      </c>
      <c r="AG279" s="10" t="str">
        <f>IF(getCategoryLevelAsString($B279)="L0D_324785","",IF(N279="",CONCATENATE(";",EscStr(CONCATENATE("NavNode_",getCategoryLevelAsString($B279))),";",EscStr($J279),";"),CONCATENATE(";",EscStr(CONCATENATE("NavNode_",getCategoryLevelAsString($B279))),";",EscStr(N279),";")))</f>
        <v>;"NavNode_L3D_531378";"Nätaggregat för inpluggning och skrivbord";</v>
      </c>
      <c r="AH279" s="10" t="str">
        <f>IF(getCategoryLevelAsString($B279)="L0D_324785","",IF(O279="",CONCATENATE(";",EscStr(CONCATENATE("NavNode_",getCategoryLevelAsString($B279))),";",EscStr($J279),";"),CONCATENATE(";",EscStr(CONCATENATE("NavNode_",getCategoryLevelAsString($B279))),";",EscStr(O279),";")))</f>
        <v>;"NavNode_L3D_531378";"Pistikühendused ja töölaua toitevarustus";</v>
      </c>
      <c r="AI279" s="10" t="str">
        <f>IF(getCategoryLevelAsString($B279)="L0D_324785","",IF(P279="",CONCATENATE(";",EscStr(CONCATENATE("NavNode_",getCategoryLevelAsString($B279))),";",EscStr($J279),";"),CONCATENATE(";",EscStr(CONCATENATE("NavNode_",getCategoryLevelAsString($B279))),";",EscStr(P279),";")))</f>
        <v>;"NavNode_L3D_531378";"Plug-in- ja pöytävirtalähteet";</v>
      </c>
      <c r="AJ279" s="10" t="str">
        <f>IF(getCategoryLevelAsString($B279)="L0D_324785","",IF(Q279="",CONCATENATE(";",EscStr(CONCATENATE("NavNode_",getCategoryLevelAsString($B279))),";",EscStr($J279),";"),CONCATENATE(";",EscStr(CONCATENATE("NavNode_",getCategoryLevelAsString($B279))),";",EscStr(Q279),";")))</f>
        <v>;"NavNode_L3D_531378";"Spraudņa un datora strāvas avoti";</v>
      </c>
      <c r="AK279" s="10" t="str">
        <f>IF(getCategoryLevelAsString($B279)="L0D_324785","",IF(R279="",CONCATENATE(";",EscStr(CONCATENATE("NavNode_",getCategoryLevelAsString($B279))),";",EscStr($J279),";"),CONCATENATE(";",EscStr(CONCATENATE("NavNode_",getCategoryLevelAsString($B279))),";",EscStr(R279),";")))</f>
        <v>;"NavNode_L3D_531378";"Stekker- en desktopvoedingen";</v>
      </c>
      <c r="AL279" s="10" t="str">
        <f>IF(getCategoryLevelAsString($B279)="L0D_324785","",IF(S279="",CONCATENATE(";",EscStr(CONCATENATE("NavNode_",getCategoryLevelAsString($B279))),";",EscStr($J279),";"),CONCATENATE(";",EscStr(CONCATENATE("NavNode_",getCategoryLevelAsString($B279))),";",EscStr(S279),";")))</f>
        <v>;"NavNode_L3D_531378";"Stacjonarne zasilacze wtykowe";</v>
      </c>
      <c r="AM279" s="10" t="str">
        <f>IF(getCategoryLevelAsString($B279)="L0D_324785","",IF(T279="",CONCATENATE(";",EscStr(CONCATENATE("NavNode_",getCategoryLevelAsString($B279))),";",EscStr($J279),";"),CONCATENATE(";",EscStr(CONCATENATE("NavNode_",getCategoryLevelAsString($B279))),";",EscStr(T279),";")))</f>
        <v>;"NavNode_L3D_531378";"Сетевые и настольные блоки питания";</v>
      </c>
      <c r="AN279" s="10" t="str">
        <f>IF(getCategoryLevelAsString($B279)="L0D_324785","",IF(U279="",CONCATENATE(";",EscStr(CONCATENATE("NavNode_",getCategoryLevelAsString($B279))),";",EscStr($J279),";"),CONCATENATE(";",EscStr(CONCATENATE("NavNode_",getCategoryLevelAsString($B279))),";",EscStr(U279),";")))</f>
        <v>;"NavNode_L3D_531378";"Zásuvné a stolní zdroje napájení";</v>
      </c>
      <c r="AO279" s="10" t="str">
        <f>IF(getCategoryLevelAsString($B279)="L0D_324785","",IF(V279="",CONCATENATE(";",EscStr(CONCATENATE("NavNode_",getCategoryLevelAsString($B279))),";",EscStr($J279),";"),CONCATENATE(";",EscStr(CONCATENATE("NavNode_",getCategoryLevelAsString($B279))),";",EscStr(V279),";")))</f>
        <v>;"NavNode_L3D_531378";"Prize şi surse de alimentare Desktop";</v>
      </c>
      <c r="AP279" s="10" t="str">
        <f>IF(getCategoryLevelAsString($B279)="L0D_324785","",IF(W279="",CONCATENATE(";",EscStr(CONCATENATE("NavNode_",getCategoryLevelAsString($B279))),";",EscStr($J279),";"),CONCATENATE(";",EscStr(CONCATENATE("NavNode_",getCategoryLevelAsString($B279))),";",EscStr(W279),";")))</f>
        <v>;"NavNode_L3D_531378";"Dugós- és asztali tápegységek";</v>
      </c>
      <c r="AQ279" s="10" t="str">
        <f>IF(getCategoryLevelAsString($B279)="L0D_324785","",IF(X279="",CONCATENATE(";",EscStr(CONCATENATE("NavNode_",getCategoryLevelAsString($B279))),";",EscStr($J279),";"),CONCATENATE(";",EscStr(CONCATENATE("NavNode_",getCategoryLevelAsString($B279))),";",EscStr(X279),";")))</f>
        <v>;"NavNode_L3D_531378";"Zásuvné a stolní zdroje napájení";</v>
      </c>
      <c r="AR279" s="8" t="str">
        <f>IF(OR($A279&lt;&gt;"", $G279=""),"",CONCATENATE(";",EscStr(CONCATENATE("NavEntry_",getCategoryLevelAsString($B279))),";",EscStr(CONCATENATE($J279," Navigation Entry")),";",EscStr(CONCATENATE("cat-",getCategoryLevelAsString($B279))),";",EscStr(CONCATENATE("NavNode_",getCategoryLevelAsString($B279))),";"))</f>
        <v>;"NavEntry_L3D_531378";"Plug-in and Desktop Power Supplies Navigation Entry";"cat-L3D_531378";"NavNode_L3D_531378";</v>
      </c>
    </row>
    <row r="280" spans="1:44" ht="15" x14ac:dyDescent="0.25">
      <c r="A280" s="25"/>
      <c r="B280" s="5"/>
      <c r="C280" s="5"/>
      <c r="D280" s="5" t="s">
        <v>736</v>
      </c>
      <c r="E280" s="5"/>
      <c r="F280" s="5"/>
      <c r="G280" s="5" t="s">
        <v>1047</v>
      </c>
      <c r="H280" s="5" t="s">
        <v>1076</v>
      </c>
      <c r="I280" s="5" t="s">
        <v>1134</v>
      </c>
      <c r="J280" s="5" t="s">
        <v>916</v>
      </c>
      <c r="K280" s="5" t="s">
        <v>1378</v>
      </c>
      <c r="L280" s="5" t="s">
        <v>1614</v>
      </c>
      <c r="M280" s="5" t="s">
        <v>1378</v>
      </c>
      <c r="N280" s="5" t="s">
        <v>2033</v>
      </c>
      <c r="O280" s="5" t="s">
        <v>4157</v>
      </c>
      <c r="P280" s="5" t="s">
        <v>4158</v>
      </c>
      <c r="Q280" s="5" t="s">
        <v>4159</v>
      </c>
      <c r="R280" s="5" t="s">
        <v>4160</v>
      </c>
      <c r="S280" s="5" t="s">
        <v>4161</v>
      </c>
      <c r="T280" s="5" t="s">
        <v>4162</v>
      </c>
      <c r="U280" s="5" t="s">
        <v>4163</v>
      </c>
      <c r="V280" s="5" t="s">
        <v>4164</v>
      </c>
      <c r="W280" s="5" t="s">
        <v>4165</v>
      </c>
      <c r="X280" s="5" t="s">
        <v>4163</v>
      </c>
      <c r="Y280" s="10" t="str">
        <f>IF(OR($A280&lt;&gt;"", $G280=""),"",CONCATENATE(";",EscStr(CONCATENATE("NavNode_",getCategoryLevelAsString($B280))),";",EscStr($J280),";",IF($B280&lt;&gt;"","""MainNavNode""",EscStr(CONCATENATE("NavNode_",getSuperCategory($B280, getCategoryLevelAsNumber($B280))))),";"))</f>
        <v>;"NavNode_Tools / Soldering";"USB Power Supplies";"NavNode_L0D_324785";</v>
      </c>
      <c r="Z280" s="10" t="str">
        <f>IF(getCategoryLevelAsString($B280)="L0D_324785","",IF(G280="",CONCATENATE(";",EscStr(CONCATENATE("NavNode_",getCategoryLevelAsString($B280))),";",EscStr($J280),";"),CONCATENATE(";",EscStr(CONCATENATE("NavNode_",getCategoryLevelAsString($B280))),";",EscStr(G280),";")))</f>
        <v>;"NavNode_Tools / Soldering";"USB-Stromversorgung";</v>
      </c>
      <c r="AA280" s="10" t="str">
        <f>IF(getCategoryLevelAsString($B280)="L0D_324785","",IF(H280="",CONCATENATE(";",EscStr(CONCATENATE("NavNode_",getCategoryLevelAsString($B280))),";",EscStr($J280),";"),CONCATENATE(";",EscStr(CONCATENATE("NavNode_",getCategoryLevelAsString($B280))),";",EscStr(H280),";")))</f>
        <v>;"NavNode_Tools / Soldering";"Alimentations USB";</v>
      </c>
      <c r="AB280" s="10" t="str">
        <f>IF(getCategoryLevelAsString($B280)="L0D_324785","",IF(I280="",CONCATENATE(";",EscStr(CONCATENATE("NavNode_",getCategoryLevelAsString($B280))),";",EscStr($J280),";"),CONCATENATE(";",EscStr(CONCATENATE("NavNode_",getCategoryLevelAsString($B280))),";",EscStr(I280),";")))</f>
        <v>;"NavNode_Tools / Soldering";"Alimentatori USB";</v>
      </c>
      <c r="AC280" s="10" t="str">
        <f>IF(getCategoryLevelAsString($B280)="L0D_324785","",IF(J280="",CONCATENATE(";",EscStr(CONCATENATE("NavNode_",getCategoryLevelAsString($B280))),";",EscStr($J280),";"),CONCATENATE(";",EscStr(CONCATENATE("NavNode_",getCategoryLevelAsString($B280))),";",EscStr(J280),";")))</f>
        <v>;"NavNode_Tools / Soldering";"USB Power Supplies";</v>
      </c>
      <c r="AD280" s="10" t="str">
        <f>IF(getCategoryLevelAsString($B280)="L0D_324785","",IF(K280="",CONCATENATE(";",EscStr(CONCATENATE("NavNode_",getCategoryLevelAsString($B280))),";",EscStr($J280),";"),CONCATENATE(";",EscStr(CONCATENATE("NavNode_",getCategoryLevelAsString($B280))),";",EscStr(K280),";")))</f>
        <v>;"NavNode_Tools / Soldering";"USB-strømforsyning";</v>
      </c>
      <c r="AE280" s="10" t="str">
        <f>IF(getCategoryLevelAsString($B280)="L0D_324785","",IF(L280="",CONCATENATE(";",EscStr(CONCATENATE("NavNode_",getCategoryLevelAsString($B280))),";",EscStr($J280),";"),CONCATENATE(";",EscStr(CONCATENATE("NavNode_",getCategoryLevelAsString($B280))),";",EscStr(L280),";")))</f>
        <v>;"NavNode_Tools / Soldering";"USB maitinimo šaltiniai";</v>
      </c>
      <c r="AF280" s="10" t="str">
        <f>IF(getCategoryLevelAsString($B280)="L0D_324785","",IF(M280="",CONCATENATE(";",EscStr(CONCATENATE("NavNode_",getCategoryLevelAsString($B280))),";",EscStr($J280),";"),CONCATENATE(";",EscStr(CONCATENATE("NavNode_",getCategoryLevelAsString($B280))),";",EscStr(M280),";")))</f>
        <v>;"NavNode_Tools / Soldering";"USB-strømforsyning";</v>
      </c>
      <c r="AG280" s="10" t="str">
        <f>IF(getCategoryLevelAsString($B280)="L0D_324785","",IF(N280="",CONCATENATE(";",EscStr(CONCATENATE("NavNode_",getCategoryLevelAsString($B280))),";",EscStr($J280),";"),CONCATENATE(";",EscStr(CONCATENATE("NavNode_",getCategoryLevelAsString($B280))),";",EscStr(N280),";")))</f>
        <v>;"NavNode_Tools / Soldering";"USB-strömförsörjningar";</v>
      </c>
      <c r="AH280" s="10" t="str">
        <f>IF(getCategoryLevelAsString($B280)="L0D_324785","",IF(O280="",CONCATENATE(";",EscStr(CONCATENATE("NavNode_",getCategoryLevelAsString($B280))),";",EscStr($J280),";"),CONCATENATE(";",EscStr(CONCATENATE("NavNode_",getCategoryLevelAsString($B280))),";",EscStr(O280),";")))</f>
        <v>;"NavNode_Tools / Soldering";"USB toiteplokid";</v>
      </c>
      <c r="AI280" s="10" t="str">
        <f>IF(getCategoryLevelAsString($B280)="L0D_324785","",IF(P280="",CONCATENATE(";",EscStr(CONCATENATE("NavNode_",getCategoryLevelAsString($B280))),";",EscStr($J280),";"),CONCATENATE(";",EscStr(CONCATENATE("NavNode_",getCategoryLevelAsString($B280))),";",EscStr(P280),";")))</f>
        <v>;"NavNode_Tools / Soldering";"USB- muuntajat";</v>
      </c>
      <c r="AJ280" s="10" t="str">
        <f>IF(getCategoryLevelAsString($B280)="L0D_324785","",IF(Q280="",CONCATENATE(";",EscStr(CONCATENATE("NavNode_",getCategoryLevelAsString($B280))),";",EscStr($J280),";"),CONCATENATE(";",EscStr(CONCATENATE("NavNode_",getCategoryLevelAsString($B280))),";",EscStr(Q280),";")))</f>
        <v>;"NavNode_Tools / Soldering";"USB barošanas avoti";</v>
      </c>
      <c r="AK280" s="10" t="str">
        <f>IF(getCategoryLevelAsString($B280)="L0D_324785","",IF(R280="",CONCATENATE(";",EscStr(CONCATENATE("NavNode_",getCategoryLevelAsString($B280))),";",EscStr($J280),";"),CONCATENATE(";",EscStr(CONCATENATE("NavNode_",getCategoryLevelAsString($B280))),";",EscStr(R280),";")))</f>
        <v>;"NavNode_Tools / Soldering";"USB voedingen";</v>
      </c>
      <c r="AL280" s="10" t="str">
        <f>IF(getCategoryLevelAsString($B280)="L0D_324785","",IF(S280="",CONCATENATE(";",EscStr(CONCATENATE("NavNode_",getCategoryLevelAsString($B280))),";",EscStr($J280),";"),CONCATENATE(";",EscStr(CONCATENATE("NavNode_",getCategoryLevelAsString($B280))),";",EscStr(S280),";")))</f>
        <v>;"NavNode_Tools / Soldering";"Zasilacze ze złączem USB";</v>
      </c>
      <c r="AM280" s="10" t="str">
        <f>IF(getCategoryLevelAsString($B280)="L0D_324785","",IF(T280="",CONCATENATE(";",EscStr(CONCATENATE("NavNode_",getCategoryLevelAsString($B280))),";",EscStr($J280),";"),CONCATENATE(";",EscStr(CONCATENATE("NavNode_",getCategoryLevelAsString($B280))),";",EscStr(T280),";")))</f>
        <v>;"NavNode_Tools / Soldering";"USB Источники питания";</v>
      </c>
      <c r="AN280" s="10" t="str">
        <f>IF(getCategoryLevelAsString($B280)="L0D_324785","",IF(U280="",CONCATENATE(";",EscStr(CONCATENATE("NavNode_",getCategoryLevelAsString($B280))),";",EscStr($J280),";"),CONCATENATE(";",EscStr(CONCATENATE("NavNode_",getCategoryLevelAsString($B280))),";",EscStr(U280),";")))</f>
        <v>;"NavNode_Tools / Soldering";"USB napájení";</v>
      </c>
      <c r="AO280" s="10" t="str">
        <f>IF(getCategoryLevelAsString($B280)="L0D_324785","",IF(V280="",CONCATENATE(";",EscStr(CONCATENATE("NavNode_",getCategoryLevelAsString($B280))),";",EscStr($J280),";"),CONCATENATE(";",EscStr(CONCATENATE("NavNode_",getCategoryLevelAsString($B280))),";",EscStr(V280),";")))</f>
        <v>;"NavNode_Tools / Soldering";"USB-Sursă de alimentare";</v>
      </c>
      <c r="AP280" s="10" t="str">
        <f>IF(getCategoryLevelAsString($B280)="L0D_324785","",IF(W280="",CONCATENATE(";",EscStr(CONCATENATE("NavNode_",getCategoryLevelAsString($B280))),";",EscStr($J280),";"),CONCATENATE(";",EscStr(CONCATENATE("NavNode_",getCategoryLevelAsString($B280))),";",EscStr(W280),";")))</f>
        <v>;"NavNode_Tools / Soldering";"USB tápellátás";</v>
      </c>
      <c r="AQ280" s="10" t="str">
        <f>IF(getCategoryLevelAsString($B280)="L0D_324785","",IF(X280="",CONCATENATE(";",EscStr(CONCATENATE("NavNode_",getCategoryLevelAsString($B280))),";",EscStr($J280),";"),CONCATENATE(";",EscStr(CONCATENATE("NavNode_",getCategoryLevelAsString($B280))),";",EscStr(X280),";")))</f>
        <v>;"NavNode_Tools / Soldering";"USB napájení";</v>
      </c>
      <c r="AR280" s="8" t="str">
        <f>IF(OR($A280&lt;&gt;"", $G280=""),"",CONCATENATE(";",EscStr(CONCATENATE("NavEntry_",getCategoryLevelAsString($B280))),";",EscStr(CONCATENATE($J280," Navigation Entry")),";",EscStr(CONCATENATE("cat-",getCategoryLevelAsString($B280))),";",EscStr(CONCATENATE("NavNode_",getCategoryLevelAsString($B280))),";"))</f>
        <v>;"NavEntry_Tools / Soldering";"USB Power Supplies Navigation Entry";"cat-Tools / Soldering";"NavNode_Tools / Soldering";</v>
      </c>
    </row>
    <row r="281" spans="1:44" s="17" customFormat="1" ht="14.25" x14ac:dyDescent="0.2">
      <c r="A281" s="24">
        <v>10</v>
      </c>
      <c r="B281" s="13" t="s">
        <v>11145</v>
      </c>
      <c r="C281" s="14"/>
      <c r="E281" s="13"/>
      <c r="F281" s="13"/>
      <c r="G281" s="13" t="s">
        <v>13533</v>
      </c>
      <c r="H281" s="13" t="s">
        <v>13533</v>
      </c>
      <c r="I281" s="13" t="s">
        <v>13533</v>
      </c>
      <c r="J281" s="13" t="s">
        <v>11145</v>
      </c>
      <c r="K281" s="13" t="s">
        <v>13533</v>
      </c>
      <c r="L281" s="13" t="s">
        <v>13533</v>
      </c>
      <c r="M281" s="13" t="s">
        <v>13533</v>
      </c>
      <c r="N281" s="13" t="s">
        <v>13533</v>
      </c>
      <c r="O281" s="13" t="s">
        <v>13533</v>
      </c>
      <c r="P281" s="13" t="s">
        <v>13533</v>
      </c>
      <c r="Q281" s="13" t="s">
        <v>13533</v>
      </c>
      <c r="R281" s="13" t="s">
        <v>13533</v>
      </c>
      <c r="S281" s="13" t="s">
        <v>13533</v>
      </c>
      <c r="T281" s="13" t="s">
        <v>13533</v>
      </c>
      <c r="U281" s="13" t="s">
        <v>13533</v>
      </c>
      <c r="V281" s="13" t="s">
        <v>13533</v>
      </c>
      <c r="W281" s="13" t="s">
        <v>13533</v>
      </c>
      <c r="X281" s="13" t="s">
        <v>13533</v>
      </c>
      <c r="Y281" s="15"/>
      <c r="Z281" s="15"/>
      <c r="AA281" s="15"/>
      <c r="AB281" s="15"/>
      <c r="AC281" s="15"/>
      <c r="AD281" s="15"/>
      <c r="AE281" s="15"/>
      <c r="AF281" s="15"/>
      <c r="AG281" s="15"/>
      <c r="AH281" s="15"/>
      <c r="AI281" s="15"/>
      <c r="AJ281" s="15"/>
      <c r="AK281" s="15"/>
      <c r="AL281" s="15"/>
      <c r="AM281" s="15"/>
      <c r="AN281" s="15"/>
      <c r="AO281" s="15"/>
      <c r="AP281" s="15"/>
      <c r="AQ281" s="15"/>
      <c r="AR281" s="16"/>
    </row>
    <row r="282" spans="1:44" ht="15" x14ac:dyDescent="0.25">
      <c r="A282" s="25"/>
      <c r="B282" s="5"/>
      <c r="C282" s="5" t="s">
        <v>27</v>
      </c>
      <c r="D282" s="5"/>
      <c r="E282" s="5"/>
      <c r="F282" s="5"/>
      <c r="G282" s="5" t="s">
        <v>581</v>
      </c>
      <c r="H282" s="5" t="s">
        <v>582</v>
      </c>
      <c r="I282" s="5" t="s">
        <v>583</v>
      </c>
      <c r="J282" s="5" t="s">
        <v>8</v>
      </c>
      <c r="K282" s="5" t="s">
        <v>1250</v>
      </c>
      <c r="L282" s="5" t="s">
        <v>1485</v>
      </c>
      <c r="M282" s="5" t="s">
        <v>1716</v>
      </c>
      <c r="N282" s="5" t="s">
        <v>1918</v>
      </c>
      <c r="O282" s="5" t="s">
        <v>2846</v>
      </c>
      <c r="P282" s="5" t="s">
        <v>2847</v>
      </c>
      <c r="Q282" s="5" t="s">
        <v>2848</v>
      </c>
      <c r="R282" s="5" t="s">
        <v>2849</v>
      </c>
      <c r="S282" s="5" t="s">
        <v>2850</v>
      </c>
      <c r="T282" s="5" t="s">
        <v>2851</v>
      </c>
      <c r="U282" s="5" t="s">
        <v>2852</v>
      </c>
      <c r="V282" s="5" t="s">
        <v>2853</v>
      </c>
      <c r="W282" s="5" t="s">
        <v>2854</v>
      </c>
      <c r="X282" s="5" t="s">
        <v>2852</v>
      </c>
      <c r="Y282" s="10" t="str">
        <f>IF(OR($A282&lt;&gt;"", $G282=""),"",CONCATENATE(";",EscStr(CONCATENATE("NavNode_",getCategoryLevelAsString($B282))),";",EscStr($J282),";",IF($B282&lt;&gt;"","""MainNavNode""",EscStr(CONCATENATE("NavNode_",getSuperCategory($B282, getCategoryLevelAsNumber($B282))))),";"))</f>
        <v>;"NavNode_L2-3D_530524";"Tools";"NavNode_L2D_379532";</v>
      </c>
      <c r="Z282" s="10" t="str">
        <f>IF(getCategoryLevelAsString($B282)="L0D_324785","",IF(G282="",CONCATENATE(";",EscStr(CONCATENATE("NavNode_",getCategoryLevelAsString($B282))),";",EscStr($J282),";"),CONCATENATE(";",EscStr(CONCATENATE("NavNode_",getCategoryLevelAsString($B282))),";",EscStr(G282),";")))</f>
        <v>;"NavNode_L2-3D_530524";"Werkzeuge";</v>
      </c>
      <c r="AA282" s="10" t="str">
        <f>IF(getCategoryLevelAsString($B282)="L0D_324785","",IF(H282="",CONCATENATE(";",EscStr(CONCATENATE("NavNode_",getCategoryLevelAsString($B282))),";",EscStr($J282),";"),CONCATENATE(";",EscStr(CONCATENATE("NavNode_",getCategoryLevelAsString($B282))),";",EscStr(H282),";")))</f>
        <v>;"NavNode_L2-3D_530524";"Outils";</v>
      </c>
      <c r="AB282" s="10" t="str">
        <f>IF(getCategoryLevelAsString($B282)="L0D_324785","",IF(I282="",CONCATENATE(";",EscStr(CONCATENATE("NavNode_",getCategoryLevelAsString($B282))),";",EscStr($J282),";"),CONCATENATE(";",EscStr(CONCATENATE("NavNode_",getCategoryLevelAsString($B282))),";",EscStr(I282),";")))</f>
        <v>;"NavNode_L2-3D_530524";"Utensili";</v>
      </c>
      <c r="AC282" s="10" t="str">
        <f>IF(getCategoryLevelAsString($B282)="L0D_324785","",IF(J282="",CONCATENATE(";",EscStr(CONCATENATE("NavNode_",getCategoryLevelAsString($B282))),";",EscStr($J282),";"),CONCATENATE(";",EscStr(CONCATENATE("NavNode_",getCategoryLevelAsString($B282))),";",EscStr(J282),";")))</f>
        <v>;"NavNode_L2-3D_530524";"Tools";</v>
      </c>
      <c r="AD282" s="10" t="str">
        <f>IF(getCategoryLevelAsString($B282)="L0D_324785","",IF(K282="",CONCATENATE(";",EscStr(CONCATENATE("NavNode_",getCategoryLevelAsString($B282))),";",EscStr($J282),";"),CONCATENATE(";",EscStr(CONCATENATE("NavNode_",getCategoryLevelAsString($B282))),";",EscStr(K282),";")))</f>
        <v>;"NavNode_L2-3D_530524";"Værktøj";</v>
      </c>
      <c r="AE282" s="10" t="str">
        <f>IF(getCategoryLevelAsString($B282)="L0D_324785","",IF(L282="",CONCATENATE(";",EscStr(CONCATENATE("NavNode_",getCategoryLevelAsString($B282))),";",EscStr($J282),";"),CONCATENATE(";",EscStr(CONCATENATE("NavNode_",getCategoryLevelAsString($B282))),";",EscStr(L282),";")))</f>
        <v>;"NavNode_L2-3D_530524";"Įrankiai";</v>
      </c>
      <c r="AF282" s="10" t="str">
        <f>IF(getCategoryLevelAsString($B282)="L0D_324785","",IF(M282="",CONCATENATE(";",EscStr(CONCATENATE("NavNode_",getCategoryLevelAsString($B282))),";",EscStr($J282),";"),CONCATENATE(";",EscStr(CONCATENATE("NavNode_",getCategoryLevelAsString($B282))),";",EscStr(M282),";")))</f>
        <v>;"NavNode_L2-3D_530524";"Verktøy";</v>
      </c>
      <c r="AG282" s="10" t="str">
        <f>IF(getCategoryLevelAsString($B282)="L0D_324785","",IF(N282="",CONCATENATE(";",EscStr(CONCATENATE("NavNode_",getCategoryLevelAsString($B282))),";",EscStr($J282),";"),CONCATENATE(";",EscStr(CONCATENATE("NavNode_",getCategoryLevelAsString($B282))),";",EscStr(N282),";")))</f>
        <v>;"NavNode_L2-3D_530524";"Verktyg";</v>
      </c>
      <c r="AH282" s="10" t="str">
        <f>IF(getCategoryLevelAsString($B282)="L0D_324785","",IF(O282="",CONCATENATE(";",EscStr(CONCATENATE("NavNode_",getCategoryLevelAsString($B282))),";",EscStr($J282),";"),CONCATENATE(";",EscStr(CONCATENATE("NavNode_",getCategoryLevelAsString($B282))),";",EscStr(O282),";")))</f>
        <v>;"NavNode_L2-3D_530524";"Tööriistad";</v>
      </c>
      <c r="AI282" s="10" t="str">
        <f>IF(getCategoryLevelAsString($B282)="L0D_324785","",IF(P282="",CONCATENATE(";",EscStr(CONCATENATE("NavNode_",getCategoryLevelAsString($B282))),";",EscStr($J282),";"),CONCATENATE(";",EscStr(CONCATENATE("NavNode_",getCategoryLevelAsString($B282))),";",EscStr(P282),";")))</f>
        <v>;"NavNode_L2-3D_530524";"Työkalut";</v>
      </c>
      <c r="AJ282" s="10" t="str">
        <f>IF(getCategoryLevelAsString($B282)="L0D_324785","",IF(Q282="",CONCATENATE(";",EscStr(CONCATENATE("NavNode_",getCategoryLevelAsString($B282))),";",EscStr($J282),";"),CONCATENATE(";",EscStr(CONCATENATE("NavNode_",getCategoryLevelAsString($B282))),";",EscStr(Q282),";")))</f>
        <v>;"NavNode_L2-3D_530524";"Instrumenti";</v>
      </c>
      <c r="AK282" s="10" t="str">
        <f>IF(getCategoryLevelAsString($B282)="L0D_324785","",IF(R282="",CONCATENATE(";",EscStr(CONCATENATE("NavNode_",getCategoryLevelAsString($B282))),";",EscStr($J282),";"),CONCATENATE(";",EscStr(CONCATENATE("NavNode_",getCategoryLevelAsString($B282))),";",EscStr(R282),";")))</f>
        <v>;"NavNode_L2-3D_530524";"Gereedschap";</v>
      </c>
      <c r="AL282" s="10" t="str">
        <f>IF(getCategoryLevelAsString($B282)="L0D_324785","",IF(S282="",CONCATENATE(";",EscStr(CONCATENATE("NavNode_",getCategoryLevelAsString($B282))),";",EscStr($J282),";"),CONCATENATE(";",EscStr(CONCATENATE("NavNode_",getCategoryLevelAsString($B282))),";",EscStr(S282),";")))</f>
        <v>;"NavNode_L2-3D_530524";"Narzędzia";</v>
      </c>
      <c r="AM282" s="10" t="str">
        <f>IF(getCategoryLevelAsString($B282)="L0D_324785","",IF(T282="",CONCATENATE(";",EscStr(CONCATENATE("NavNode_",getCategoryLevelAsString($B282))),";",EscStr($J282),";"),CONCATENATE(";",EscStr(CONCATENATE("NavNode_",getCategoryLevelAsString($B282))),";",EscStr(T282),";")))</f>
        <v>;"NavNode_L2-3D_530524";"Инструменты";</v>
      </c>
      <c r="AN282" s="10" t="str">
        <f>IF(getCategoryLevelAsString($B282)="L0D_324785","",IF(U282="",CONCATENATE(";",EscStr(CONCATENATE("NavNode_",getCategoryLevelAsString($B282))),";",EscStr($J282),";"),CONCATENATE(";",EscStr(CONCATENATE("NavNode_",getCategoryLevelAsString($B282))),";",EscStr(U282),";")))</f>
        <v>;"NavNode_L2-3D_530524";"Nářadí";</v>
      </c>
      <c r="AO282" s="10" t="str">
        <f>IF(getCategoryLevelAsString($B282)="L0D_324785","",IF(V282="",CONCATENATE(";",EscStr(CONCATENATE("NavNode_",getCategoryLevelAsString($B282))),";",EscStr($J282),";"),CONCATENATE(";",EscStr(CONCATENATE("NavNode_",getCategoryLevelAsString($B282))),";",EscStr(V282),";")))</f>
        <v>;"NavNode_L2-3D_530524";"Scule";</v>
      </c>
      <c r="AP282" s="10" t="str">
        <f>IF(getCategoryLevelAsString($B282)="L0D_324785","",IF(W282="",CONCATENATE(";",EscStr(CONCATENATE("NavNode_",getCategoryLevelAsString($B282))),";",EscStr($J282),";"),CONCATENATE(";",EscStr(CONCATENATE("NavNode_",getCategoryLevelAsString($B282))),";",EscStr(W282),";")))</f>
        <v>;"NavNode_L2-3D_530524";"Szerszámok";</v>
      </c>
      <c r="AQ282" s="10" t="str">
        <f>IF(getCategoryLevelAsString($B282)="L0D_324785","",IF(X282="",CONCATENATE(";",EscStr(CONCATENATE("NavNode_",getCategoryLevelAsString($B282))),";",EscStr($J282),";"),CONCATENATE(";",EscStr(CONCATENATE("NavNode_",getCategoryLevelAsString($B282))),";",EscStr(X282),";")))</f>
        <v>;"NavNode_L2-3D_530524";"Nářadí";</v>
      </c>
      <c r="AR282" s="8" t="str">
        <f>IF(OR($A282&lt;&gt;"", $G282=""),"",CONCATENATE(";",EscStr(CONCATENATE("NavEntry_",getCategoryLevelAsString($B282))),";",EscStr(CONCATENATE($J282," Navigation Entry")),";",EscStr(CONCATENATE("cat-",getCategoryLevelAsString($B282))),";",EscStr(CONCATENATE("NavNode_",getCategoryLevelAsString($B282))),";"))</f>
        <v>;"NavEntry_L2-3D_530524";"Tools Navigation Entry";"cat-L2-3D_530524";"NavNode_L2-3D_530524";</v>
      </c>
    </row>
    <row r="283" spans="1:44" ht="15" x14ac:dyDescent="0.25">
      <c r="A283" s="25"/>
      <c r="B283" s="5"/>
      <c r="C283" s="5"/>
      <c r="D283" s="5" t="s">
        <v>805</v>
      </c>
      <c r="E283" s="5"/>
      <c r="F283" s="5"/>
      <c r="G283" s="5" t="s">
        <v>1048</v>
      </c>
      <c r="H283" s="5" t="s">
        <v>1101</v>
      </c>
      <c r="I283" s="5" t="s">
        <v>1160</v>
      </c>
      <c r="J283" s="5" t="s">
        <v>917</v>
      </c>
      <c r="K283" s="5" t="s">
        <v>1251</v>
      </c>
      <c r="L283" s="5" t="s">
        <v>1486</v>
      </c>
      <c r="M283" s="5" t="s">
        <v>1717</v>
      </c>
      <c r="N283" s="5" t="s">
        <v>1919</v>
      </c>
      <c r="O283" s="5" t="s">
        <v>2855</v>
      </c>
      <c r="P283" s="5" t="s">
        <v>2856</v>
      </c>
      <c r="Q283" s="5" t="s">
        <v>2857</v>
      </c>
      <c r="R283" s="5" t="s">
        <v>2858</v>
      </c>
      <c r="S283" s="5" t="s">
        <v>2859</v>
      </c>
      <c r="T283" s="5" t="s">
        <v>2860</v>
      </c>
      <c r="U283" s="5" t="s">
        <v>2861</v>
      </c>
      <c r="V283" s="5" t="s">
        <v>2862</v>
      </c>
      <c r="W283" s="5" t="s">
        <v>2863</v>
      </c>
      <c r="X283" s="5" t="s">
        <v>2861</v>
      </c>
      <c r="Y283" s="10" t="str">
        <f>IF(OR($A283&lt;&gt;"", $G283=""),"",CONCATENATE(";",EscStr(CONCATENATE("NavNode_",getCategoryLevelAsString($B283))),";",EscStr($J283),";",IF($B283&lt;&gt;"","""MainNavNode""",EscStr(CONCATENATE("NavNode_",getSuperCategory($B283, getCategoryLevelAsNumber($B283))))),";"))</f>
        <v>;"NavNode_L3D_530052";"Hand Tools";"NavNode_L2D_379532";</v>
      </c>
      <c r="Z283" s="10" t="str">
        <f>IF(getCategoryLevelAsString($B283)="L0D_324785","",IF(G283="",CONCATENATE(";",EscStr(CONCATENATE("NavNode_",getCategoryLevelAsString($B283))),";",EscStr($J283),";"),CONCATENATE(";",EscStr(CONCATENATE("NavNode_",getCategoryLevelAsString($B283))),";",EscStr(G283),";")))</f>
        <v>;"NavNode_L3D_530052";"Handwerkzeuge";</v>
      </c>
      <c r="AA283" s="10" t="str">
        <f>IF(getCategoryLevelAsString($B283)="L0D_324785","",IF(H283="",CONCATENATE(";",EscStr(CONCATENATE("NavNode_",getCategoryLevelAsString($B283))),";",EscStr($J283),";"),CONCATENATE(";",EscStr(CONCATENATE("NavNode_",getCategoryLevelAsString($B283))),";",EscStr(H283),";")))</f>
        <v>;"NavNode_L3D_530052";"Outils manuels";</v>
      </c>
      <c r="AB283" s="10" t="str">
        <f>IF(getCategoryLevelAsString($B283)="L0D_324785","",IF(I283="",CONCATENATE(";",EscStr(CONCATENATE("NavNode_",getCategoryLevelAsString($B283))),";",EscStr($J283),";"),CONCATENATE(";",EscStr(CONCATENATE("NavNode_",getCategoryLevelAsString($B283))),";",EscStr(I283),";")))</f>
        <v>;"NavNode_L3D_530052";"Utensileria manuale";</v>
      </c>
      <c r="AC283" s="10" t="str">
        <f>IF(getCategoryLevelAsString($B283)="L0D_324785","",IF(J283="",CONCATENATE(";",EscStr(CONCATENATE("NavNode_",getCategoryLevelAsString($B283))),";",EscStr($J283),";"),CONCATENATE(";",EscStr(CONCATENATE("NavNode_",getCategoryLevelAsString($B283))),";",EscStr(J283),";")))</f>
        <v>;"NavNode_L3D_530052";"Hand Tools";</v>
      </c>
      <c r="AD283" s="10" t="str">
        <f>IF(getCategoryLevelAsString($B283)="L0D_324785","",IF(K283="",CONCATENATE(";",EscStr(CONCATENATE("NavNode_",getCategoryLevelAsString($B283))),";",EscStr($J283),";"),CONCATENATE(";",EscStr(CONCATENATE("NavNode_",getCategoryLevelAsString($B283))),";",EscStr(K283),";")))</f>
        <v>;"NavNode_L3D_530052";"Håndværktøj";</v>
      </c>
      <c r="AE283" s="10" t="str">
        <f>IF(getCategoryLevelAsString($B283)="L0D_324785","",IF(L283="",CONCATENATE(";",EscStr(CONCATENATE("NavNode_",getCategoryLevelAsString($B283))),";",EscStr($J283),";"),CONCATENATE(";",EscStr(CONCATENATE("NavNode_",getCategoryLevelAsString($B283))),";",EscStr(L283),";")))</f>
        <v>;"NavNode_L3D_530052";"Rankiniai įrankiai";</v>
      </c>
      <c r="AF283" s="10" t="str">
        <f>IF(getCategoryLevelAsString($B283)="L0D_324785","",IF(M283="",CONCATENATE(";",EscStr(CONCATENATE("NavNode_",getCategoryLevelAsString($B283))),";",EscStr($J283),";"),CONCATENATE(";",EscStr(CONCATENATE("NavNode_",getCategoryLevelAsString($B283))),";",EscStr(M283),";")))</f>
        <v>;"NavNode_L3D_530052";"Håndverktøy";</v>
      </c>
      <c r="AG283" s="10" t="str">
        <f>IF(getCategoryLevelAsString($B283)="L0D_324785","",IF(N283="",CONCATENATE(";",EscStr(CONCATENATE("NavNode_",getCategoryLevelAsString($B283))),";",EscStr($J283),";"),CONCATENATE(";",EscStr(CONCATENATE("NavNode_",getCategoryLevelAsString($B283))),";",EscStr(N283),";")))</f>
        <v>;"NavNode_L3D_530052";"Handverktyg";</v>
      </c>
      <c r="AH283" s="10" t="str">
        <f>IF(getCategoryLevelAsString($B283)="L0D_324785","",IF(O283="",CONCATENATE(";",EscStr(CONCATENATE("NavNode_",getCategoryLevelAsString($B283))),";",EscStr($J283),";"),CONCATENATE(";",EscStr(CONCATENATE("NavNode_",getCategoryLevelAsString($B283))),";",EscStr(O283),";")))</f>
        <v>;"NavNode_L3D_530052";"Käsitööriistad";</v>
      </c>
      <c r="AI283" s="10" t="str">
        <f>IF(getCategoryLevelAsString($B283)="L0D_324785","",IF(P283="",CONCATENATE(";",EscStr(CONCATENATE("NavNode_",getCategoryLevelAsString($B283))),";",EscStr($J283),";"),CONCATENATE(";",EscStr(CONCATENATE("NavNode_",getCategoryLevelAsString($B283))),";",EscStr(P283),";")))</f>
        <v>;"NavNode_L3D_530052";"Käsityökalut";</v>
      </c>
      <c r="AJ283" s="10" t="str">
        <f>IF(getCategoryLevelAsString($B283)="L0D_324785","",IF(Q283="",CONCATENATE(";",EscStr(CONCATENATE("NavNode_",getCategoryLevelAsString($B283))),";",EscStr($J283),";"),CONCATENATE(";",EscStr(CONCATENATE("NavNode_",getCategoryLevelAsString($B283))),";",EscStr(Q283),";")))</f>
        <v>;"NavNode_L3D_530052";"Rokas instrumenti";</v>
      </c>
      <c r="AK283" s="10" t="str">
        <f>IF(getCategoryLevelAsString($B283)="L0D_324785","",IF(R283="",CONCATENATE(";",EscStr(CONCATENATE("NavNode_",getCategoryLevelAsString($B283))),";",EscStr($J283),";"),CONCATENATE(";",EscStr(CONCATENATE("NavNode_",getCategoryLevelAsString($B283))),";",EscStr(R283),";")))</f>
        <v>;"NavNode_L3D_530052";"Handgereedschap";</v>
      </c>
      <c r="AL283" s="10" t="str">
        <f>IF(getCategoryLevelAsString($B283)="L0D_324785","",IF(S283="",CONCATENATE(";",EscStr(CONCATENATE("NavNode_",getCategoryLevelAsString($B283))),";",EscStr($J283),";"),CONCATENATE(";",EscStr(CONCATENATE("NavNode_",getCategoryLevelAsString($B283))),";",EscStr(S283),";")))</f>
        <v>;"NavNode_L3D_530052";"Narzędzia ręczne";</v>
      </c>
      <c r="AM283" s="10" t="str">
        <f>IF(getCategoryLevelAsString($B283)="L0D_324785","",IF(T283="",CONCATENATE(";",EscStr(CONCATENATE("NavNode_",getCategoryLevelAsString($B283))),";",EscStr($J283),";"),CONCATENATE(";",EscStr(CONCATENATE("NavNode_",getCategoryLevelAsString($B283))),";",EscStr(T283),";")))</f>
        <v>;"NavNode_L3D_530052";"Ручной инструмент";</v>
      </c>
      <c r="AN283" s="10" t="str">
        <f>IF(getCategoryLevelAsString($B283)="L0D_324785","",IF(U283="",CONCATENATE(";",EscStr(CONCATENATE("NavNode_",getCategoryLevelAsString($B283))),";",EscStr($J283),";"),CONCATENATE(";",EscStr(CONCATENATE("NavNode_",getCategoryLevelAsString($B283))),";",EscStr(U283),";")))</f>
        <v>;"NavNode_L3D_530052";"Ruční nářadí";</v>
      </c>
      <c r="AO283" s="10" t="str">
        <f>IF(getCategoryLevelAsString($B283)="L0D_324785","",IF(V283="",CONCATENATE(";",EscStr(CONCATENATE("NavNode_",getCategoryLevelAsString($B283))),";",EscStr($J283),";"),CONCATENATE(";",EscStr(CONCATENATE("NavNode_",getCategoryLevelAsString($B283))),";",EscStr(V283),";")))</f>
        <v>;"NavNode_L3D_530052";"Scule de mâna";</v>
      </c>
      <c r="AP283" s="10" t="str">
        <f>IF(getCategoryLevelAsString($B283)="L0D_324785","",IF(W283="",CONCATENATE(";",EscStr(CONCATENATE("NavNode_",getCategoryLevelAsString($B283))),";",EscStr($J283),";"),CONCATENATE(";",EscStr(CONCATENATE("NavNode_",getCategoryLevelAsString($B283))),";",EscStr(W283),";")))</f>
        <v>;"NavNode_L3D_530052";"Kéziszerszámok";</v>
      </c>
      <c r="AQ283" s="10" t="str">
        <f>IF(getCategoryLevelAsString($B283)="L0D_324785","",IF(X283="",CONCATENATE(";",EscStr(CONCATENATE("NavNode_",getCategoryLevelAsString($B283))),";",EscStr($J283),";"),CONCATENATE(";",EscStr(CONCATENATE("NavNode_",getCategoryLevelAsString($B283))),";",EscStr(X283),";")))</f>
        <v>;"NavNode_L3D_530052";"Ruční nářadí";</v>
      </c>
      <c r="AR283" s="8" t="str">
        <f>IF(OR($A283&lt;&gt;"", $G283=""),"",CONCATENATE(";",EscStr(CONCATENATE("NavEntry_",getCategoryLevelAsString($B283))),";",EscStr(CONCATENATE($J283," Navigation Entry")),";",EscStr(CONCATENATE("cat-",getCategoryLevelAsString($B283))),";",EscStr(CONCATENATE("NavNode_",getCategoryLevelAsString($B283))),";"))</f>
        <v>;"NavEntry_L3D_530052";"Hand Tools Navigation Entry";"cat-L3D_530052";"NavNode_L3D_530052";</v>
      </c>
    </row>
    <row r="284" spans="1:44" ht="15" x14ac:dyDescent="0.25">
      <c r="A284" s="25"/>
      <c r="B284" s="5"/>
      <c r="C284" s="5"/>
      <c r="D284" s="5" t="s">
        <v>806</v>
      </c>
      <c r="E284" s="5"/>
      <c r="F284" s="5"/>
      <c r="G284" s="5" t="s">
        <v>1049</v>
      </c>
      <c r="H284" s="5" t="s">
        <v>1102</v>
      </c>
      <c r="I284" s="5" t="s">
        <v>1161</v>
      </c>
      <c r="J284" s="5" t="s">
        <v>918</v>
      </c>
      <c r="K284" s="5" t="s">
        <v>1252</v>
      </c>
      <c r="L284" s="5" t="s">
        <v>1487</v>
      </c>
      <c r="M284" s="5" t="s">
        <v>1718</v>
      </c>
      <c r="N284" s="5" t="s">
        <v>1920</v>
      </c>
      <c r="O284" s="5" t="s">
        <v>2864</v>
      </c>
      <c r="P284" s="5" t="s">
        <v>2865</v>
      </c>
      <c r="Q284" s="5" t="s">
        <v>2866</v>
      </c>
      <c r="R284" s="5" t="s">
        <v>2867</v>
      </c>
      <c r="S284" s="5" t="s">
        <v>2868</v>
      </c>
      <c r="T284" s="5" t="s">
        <v>2869</v>
      </c>
      <c r="U284" s="5" t="s">
        <v>2870</v>
      </c>
      <c r="V284" s="5" t="s">
        <v>2871</v>
      </c>
      <c r="W284" s="5" t="s">
        <v>2872</v>
      </c>
      <c r="X284" s="5" t="s">
        <v>2870</v>
      </c>
      <c r="Y284" s="10" t="str">
        <f>IF(OR($A284&lt;&gt;"", $G284=""),"",CONCATENATE(";",EscStr(CONCATENATE("NavNode_",getCategoryLevelAsString($B284))),";",EscStr($J284),";",IF($B284&lt;&gt;"","""MainNavNode""",EscStr(CONCATENATE("NavNode_",getSuperCategory($B284, getCategoryLevelAsNumber($B284))))),";"))</f>
        <v>;"NavNode_L3D_529903";"Power Tools";"NavNode_L2D_379532";</v>
      </c>
      <c r="Z284" s="10" t="str">
        <f>IF(getCategoryLevelAsString($B284)="L0D_324785","",IF(G284="",CONCATENATE(";",EscStr(CONCATENATE("NavNode_",getCategoryLevelAsString($B284))),";",EscStr($J284),";"),CONCATENATE(";",EscStr(CONCATENATE("NavNode_",getCategoryLevelAsString($B284))),";",EscStr(G284),";")))</f>
        <v>;"NavNode_L3D_529903";"Elektrowerkzeuge";</v>
      </c>
      <c r="AA284" s="10" t="str">
        <f>IF(getCategoryLevelAsString($B284)="L0D_324785","",IF(H284="",CONCATENATE(";",EscStr(CONCATENATE("NavNode_",getCategoryLevelAsString($B284))),";",EscStr($J284),";"),CONCATENATE(";",EscStr(CONCATENATE("NavNode_",getCategoryLevelAsString($B284))),";",EscStr(H284),";")))</f>
        <v>;"NavNode_L3D_529903";"Outils électriques";</v>
      </c>
      <c r="AB284" s="10" t="str">
        <f>IF(getCategoryLevelAsString($B284)="L0D_324785","",IF(I284="",CONCATENATE(";",EscStr(CONCATENATE("NavNode_",getCategoryLevelAsString($B284))),";",EscStr($J284),";"),CONCATENATE(";",EscStr(CONCATENATE("NavNode_",getCategoryLevelAsString($B284))),";",EscStr(I284),";")))</f>
        <v>;"NavNode_L3D_529903";"Elettroutensili";</v>
      </c>
      <c r="AC284" s="10" t="str">
        <f>IF(getCategoryLevelAsString($B284)="L0D_324785","",IF(J284="",CONCATENATE(";",EscStr(CONCATENATE("NavNode_",getCategoryLevelAsString($B284))),";",EscStr($J284),";"),CONCATENATE(";",EscStr(CONCATENATE("NavNode_",getCategoryLevelAsString($B284))),";",EscStr(J284),";")))</f>
        <v>;"NavNode_L3D_529903";"Power Tools";</v>
      </c>
      <c r="AD284" s="10" t="str">
        <f>IF(getCategoryLevelAsString($B284)="L0D_324785","",IF(K284="",CONCATENATE(";",EscStr(CONCATENATE("NavNode_",getCategoryLevelAsString($B284))),";",EscStr($J284),";"),CONCATENATE(";",EscStr(CONCATENATE("NavNode_",getCategoryLevelAsString($B284))),";",EscStr(K284),";")))</f>
        <v>;"NavNode_L3D_529903";"El-værktøj";</v>
      </c>
      <c r="AE284" s="10" t="str">
        <f>IF(getCategoryLevelAsString($B284)="L0D_324785","",IF(L284="",CONCATENATE(";",EscStr(CONCATENATE("NavNode_",getCategoryLevelAsString($B284))),";",EscStr($J284),";"),CONCATENATE(";",EscStr(CONCATENATE("NavNode_",getCategoryLevelAsString($B284))),";",EscStr(L284),";")))</f>
        <v>;"NavNode_L3D_529903";"Elektriniai įrankiai";</v>
      </c>
      <c r="AF284" s="10" t="str">
        <f>IF(getCategoryLevelAsString($B284)="L0D_324785","",IF(M284="",CONCATENATE(";",EscStr(CONCATENATE("NavNode_",getCategoryLevelAsString($B284))),";",EscStr($J284),";"),CONCATENATE(";",EscStr(CONCATENATE("NavNode_",getCategoryLevelAsString($B284))),";",EscStr(M284),";")))</f>
        <v>;"NavNode_L3D_529903";"Elektroverktøy";</v>
      </c>
      <c r="AG284" s="10" t="str">
        <f>IF(getCategoryLevelAsString($B284)="L0D_324785","",IF(N284="",CONCATENATE(";",EscStr(CONCATENATE("NavNode_",getCategoryLevelAsString($B284))),";",EscStr($J284),";"),CONCATENATE(";",EscStr(CONCATENATE("NavNode_",getCategoryLevelAsString($B284))),";",EscStr(N284),";")))</f>
        <v>;"NavNode_L3D_529903";"Elverktyg";</v>
      </c>
      <c r="AH284" s="10" t="str">
        <f>IF(getCategoryLevelAsString($B284)="L0D_324785","",IF(O284="",CONCATENATE(";",EscStr(CONCATENATE("NavNode_",getCategoryLevelAsString($B284))),";",EscStr($J284),";"),CONCATENATE(";",EscStr(CONCATENATE("NavNode_",getCategoryLevelAsString($B284))),";",EscStr(O284),";")))</f>
        <v>;"NavNode_L3D_529903";"Elektrilised tööriistad";</v>
      </c>
      <c r="AI284" s="10" t="str">
        <f>IF(getCategoryLevelAsString($B284)="L0D_324785","",IF(P284="",CONCATENATE(";",EscStr(CONCATENATE("NavNode_",getCategoryLevelAsString($B284))),";",EscStr($J284),";"),CONCATENATE(";",EscStr(CONCATENATE("NavNode_",getCategoryLevelAsString($B284))),";",EscStr(P284),";")))</f>
        <v>;"NavNode_L3D_529903";"Sähkötyökalut";</v>
      </c>
      <c r="AJ284" s="10" t="str">
        <f>IF(getCategoryLevelAsString($B284)="L0D_324785","",IF(Q284="",CONCATENATE(";",EscStr(CONCATENATE("NavNode_",getCategoryLevelAsString($B284))),";",EscStr($J284),";"),CONCATENATE(";",EscStr(CONCATENATE("NavNode_",getCategoryLevelAsString($B284))),";",EscStr(Q284),";")))</f>
        <v>;"NavNode_L3D_529903";"Elektroinstrumenti";</v>
      </c>
      <c r="AK284" s="10" t="str">
        <f>IF(getCategoryLevelAsString($B284)="L0D_324785","",IF(R284="",CONCATENATE(";",EscStr(CONCATENATE("NavNode_",getCategoryLevelAsString($B284))),";",EscStr($J284),";"),CONCATENATE(";",EscStr(CONCATENATE("NavNode_",getCategoryLevelAsString($B284))),";",EscStr(R284),";")))</f>
        <v>;"NavNode_L3D_529903";"Elektrisch gereedschap";</v>
      </c>
      <c r="AL284" s="10" t="str">
        <f>IF(getCategoryLevelAsString($B284)="L0D_324785","",IF(S284="",CONCATENATE(";",EscStr(CONCATENATE("NavNode_",getCategoryLevelAsString($B284))),";",EscStr($J284),";"),CONCATENATE(";",EscStr(CONCATENATE("NavNode_",getCategoryLevelAsString($B284))),";",EscStr(S284),";")))</f>
        <v>;"NavNode_L3D_529903";"Elektronarzędzia";</v>
      </c>
      <c r="AM284" s="10" t="str">
        <f>IF(getCategoryLevelAsString($B284)="L0D_324785","",IF(T284="",CONCATENATE(";",EscStr(CONCATENATE("NavNode_",getCategoryLevelAsString($B284))),";",EscStr($J284),";"),CONCATENATE(";",EscStr(CONCATENATE("NavNode_",getCategoryLevelAsString($B284))),";",EscStr(T284),";")))</f>
        <v>;"NavNode_L3D_529903";"Электроинструменты";</v>
      </c>
      <c r="AN284" s="10" t="str">
        <f>IF(getCategoryLevelAsString($B284)="L0D_324785","",IF(U284="",CONCATENATE(";",EscStr(CONCATENATE("NavNode_",getCategoryLevelAsString($B284))),";",EscStr($J284),";"),CONCATENATE(";",EscStr(CONCATENATE("NavNode_",getCategoryLevelAsString($B284))),";",EscStr(U284),";")))</f>
        <v>;"NavNode_L3D_529903";"Elektrické nářadí";</v>
      </c>
      <c r="AO284" s="10" t="str">
        <f>IF(getCategoryLevelAsString($B284)="L0D_324785","",IF(V284="",CONCATENATE(";",EscStr(CONCATENATE("NavNode_",getCategoryLevelAsString($B284))),";",EscStr($J284),";"),CONCATENATE(";",EscStr(CONCATENATE("NavNode_",getCategoryLevelAsString($B284))),";",EscStr(V284),";")))</f>
        <v>;"NavNode_L3D_529903";"Instrumente electrice";</v>
      </c>
      <c r="AP284" s="10" t="str">
        <f>IF(getCategoryLevelAsString($B284)="L0D_324785","",IF(W284="",CONCATENATE(";",EscStr(CONCATENATE("NavNode_",getCategoryLevelAsString($B284))),";",EscStr($J284),";"),CONCATENATE(";",EscStr(CONCATENATE("NavNode_",getCategoryLevelAsString($B284))),";",EscStr(W284),";")))</f>
        <v>;"NavNode_L3D_529903";"Elektromos szerszámok";</v>
      </c>
      <c r="AQ284" s="10" t="str">
        <f>IF(getCategoryLevelAsString($B284)="L0D_324785","",IF(X284="",CONCATENATE(";",EscStr(CONCATENATE("NavNode_",getCategoryLevelAsString($B284))),";",EscStr($J284),";"),CONCATENATE(";",EscStr(CONCATENATE("NavNode_",getCategoryLevelAsString($B284))),";",EscStr(X284),";")))</f>
        <v>;"NavNode_L3D_529903";"Elektrické nářadí";</v>
      </c>
      <c r="AR284" s="8" t="str">
        <f>IF(OR($A284&lt;&gt;"", $G284=""),"",CONCATENATE(";",EscStr(CONCATENATE("NavEntry_",getCategoryLevelAsString($B284))),";",EscStr(CONCATENATE($J284," Navigation Entry")),";",EscStr(CONCATENATE("cat-",getCategoryLevelAsString($B284))),";",EscStr(CONCATENATE("NavNode_",getCategoryLevelAsString($B284))),";"))</f>
        <v>;"NavEntry_L3D_529903";"Power Tools Navigation Entry";"cat-L3D_529903";"NavNode_L3D_529903";</v>
      </c>
    </row>
    <row r="285" spans="1:44" ht="15" x14ac:dyDescent="0.25">
      <c r="A285" s="25"/>
      <c r="B285" s="5"/>
      <c r="C285" s="5"/>
      <c r="D285" s="5" t="s">
        <v>807</v>
      </c>
      <c r="E285" s="5"/>
      <c r="F285" s="5"/>
      <c r="G285" s="5" t="s">
        <v>1050</v>
      </c>
      <c r="H285" s="5" t="s">
        <v>1103</v>
      </c>
      <c r="I285" s="5" t="s">
        <v>1162</v>
      </c>
      <c r="J285" s="5" t="s">
        <v>919</v>
      </c>
      <c r="K285" s="5" t="s">
        <v>1253</v>
      </c>
      <c r="L285" s="5" t="s">
        <v>1488</v>
      </c>
      <c r="M285" s="5" t="s">
        <v>1719</v>
      </c>
      <c r="N285" s="5" t="s">
        <v>1921</v>
      </c>
      <c r="O285" s="5" t="s">
        <v>2873</v>
      </c>
      <c r="P285" s="5" t="s">
        <v>2874</v>
      </c>
      <c r="Q285" s="5" t="s">
        <v>2875</v>
      </c>
      <c r="R285" s="5" t="s">
        <v>2876</v>
      </c>
      <c r="S285" s="5" t="s">
        <v>2877</v>
      </c>
      <c r="T285" s="5" t="s">
        <v>2878</v>
      </c>
      <c r="U285" s="5" t="s">
        <v>2879</v>
      </c>
      <c r="V285" s="5" t="s">
        <v>2880</v>
      </c>
      <c r="W285" s="5" t="s">
        <v>2881</v>
      </c>
      <c r="X285" s="5" t="s">
        <v>2879</v>
      </c>
      <c r="Y285" s="10" t="str">
        <f>IF(OR($A285&lt;&gt;"", $G285=""),"",CONCATENATE(";",EscStr(CONCATENATE("NavNode_",getCategoryLevelAsString($B285))),";",EscStr($J285),";",IF($B285&lt;&gt;"","""MainNavNode""",EscStr(CONCATENATE("NavNode_",getSuperCategory($B285, getCategoryLevelAsNumber($B285))))),";"))</f>
        <v>;"NavNode_L2D_379533";"Cordless Power Tool Systems";"NavNode_Tools / Soldering";</v>
      </c>
      <c r="Z285" s="10" t="str">
        <f>IF(getCategoryLevelAsString($B285)="L0D_324785","",IF(G285="",CONCATENATE(";",EscStr(CONCATENATE("NavNode_",getCategoryLevelAsString($B285))),";",EscStr($J285),";"),CONCATENATE(";",EscStr(CONCATENATE("NavNode_",getCategoryLevelAsString($B285))),";",EscStr(G285),";")))</f>
        <v>;"NavNode_L2D_379533";"Kabellose Elektrowerkzeugsysteme";</v>
      </c>
      <c r="AA285" s="10" t="str">
        <f>IF(getCategoryLevelAsString($B285)="L0D_324785","",IF(H285="",CONCATENATE(";",EscStr(CONCATENATE("NavNode_",getCategoryLevelAsString($B285))),";",EscStr($J285),";"),CONCATENATE(";",EscStr(CONCATENATE("NavNode_",getCategoryLevelAsString($B285))),";",EscStr(H285),";")))</f>
        <v>;"NavNode_L2D_379533";"Système d'outils électriques sans fil";</v>
      </c>
      <c r="AB285" s="10" t="str">
        <f>IF(getCategoryLevelAsString($B285)="L0D_324785","",IF(I285="",CONCATENATE(";",EscStr(CONCATENATE("NavNode_",getCategoryLevelAsString($B285))),";",EscStr($J285),";"),CONCATENATE(";",EscStr(CONCATENATE("NavNode_",getCategoryLevelAsString($B285))),";",EscStr(I285),";")))</f>
        <v>;"NavNode_L2D_379533";"Elettroutensili a batteria";</v>
      </c>
      <c r="AC285" s="10" t="str">
        <f>IF(getCategoryLevelAsString($B285)="L0D_324785","",IF(J285="",CONCATENATE(";",EscStr(CONCATENATE("NavNode_",getCategoryLevelAsString($B285))),";",EscStr($J285),";"),CONCATENATE(";",EscStr(CONCATENATE("NavNode_",getCategoryLevelAsString($B285))),";",EscStr(J285),";")))</f>
        <v>;"NavNode_L2D_379533";"Cordless Power Tool Systems";</v>
      </c>
      <c r="AD285" s="10" t="str">
        <f>IF(getCategoryLevelAsString($B285)="L0D_324785","",IF(K285="",CONCATENATE(";",EscStr(CONCATENATE("NavNode_",getCategoryLevelAsString($B285))),";",EscStr($J285),";"),CONCATENATE(";",EscStr(CONCATENATE("NavNode_",getCategoryLevelAsString($B285))),";",EscStr(K285),";")))</f>
        <v>;"NavNode_L2D_379533";"Trådløst elværktøjssæt";</v>
      </c>
      <c r="AE285" s="10" t="str">
        <f>IF(getCategoryLevelAsString($B285)="L0D_324785","",IF(L285="",CONCATENATE(";",EscStr(CONCATENATE("NavNode_",getCategoryLevelAsString($B285))),";",EscStr($J285),";"),CONCATENATE(";",EscStr(CONCATENATE("NavNode_",getCategoryLevelAsString($B285))),";",EscStr(L285),";")))</f>
        <v>;"NavNode_L2D_379533";"Akumuliatorinių įrankių sistemos";</v>
      </c>
      <c r="AF285" s="10" t="str">
        <f>IF(getCategoryLevelAsString($B285)="L0D_324785","",IF(M285="",CONCATENATE(";",EscStr(CONCATENATE("NavNode_",getCategoryLevelAsString($B285))),";",EscStr($J285),";"),CONCATENATE(";",EscStr(CONCATENATE("NavNode_",getCategoryLevelAsString($B285))),";",EscStr(M285),";")))</f>
        <v>;"NavNode_L2D_379533";"Systemer for trådløse elektroverktøy";</v>
      </c>
      <c r="AG285" s="10" t="str">
        <f>IF(getCategoryLevelAsString($B285)="L0D_324785","",IF(N285="",CONCATENATE(";",EscStr(CONCATENATE("NavNode_",getCategoryLevelAsString($B285))),";",EscStr($J285),";"),CONCATENATE(";",EscStr(CONCATENATE("NavNode_",getCategoryLevelAsString($B285))),";",EscStr(N285),";")))</f>
        <v>;"NavNode_L2D_379533";"Sladdlösa elverktygssystem";</v>
      </c>
      <c r="AH285" s="10" t="str">
        <f>IF(getCategoryLevelAsString($B285)="L0D_324785","",IF(O285="",CONCATENATE(";",EscStr(CONCATENATE("NavNode_",getCategoryLevelAsString($B285))),";",EscStr($J285),";"),CONCATENATE(";",EscStr(CONCATENATE("NavNode_",getCategoryLevelAsString($B285))),";",EscStr(O285),";")))</f>
        <v>;"NavNode_L2D_379533";"Akutööriistad";</v>
      </c>
      <c r="AI285" s="10" t="str">
        <f>IF(getCategoryLevelAsString($B285)="L0D_324785","",IF(P285="",CONCATENATE(";",EscStr(CONCATENATE("NavNode_",getCategoryLevelAsString($B285))),";",EscStr($J285),";"),CONCATENATE(";",EscStr(CONCATENATE("NavNode_",getCategoryLevelAsString($B285))),";",EscStr(P285),";")))</f>
        <v>;"NavNode_L2D_379533";"Johdottomat työkalut";</v>
      </c>
      <c r="AJ285" s="10" t="str">
        <f>IF(getCategoryLevelAsString($B285)="L0D_324785","",IF(Q285="",CONCATENATE(";",EscStr(CONCATENATE("NavNode_",getCategoryLevelAsString($B285))),";",EscStr($J285),";"),CONCATENATE(";",EscStr(CONCATENATE("NavNode_",getCategoryLevelAsString($B285))),";",EscStr(Q285),";")))</f>
        <v>;"NavNode_L2D_379533";"Bezvadu elektroinstrumentu sistēmas";</v>
      </c>
      <c r="AK285" s="10" t="str">
        <f>IF(getCategoryLevelAsString($B285)="L0D_324785","",IF(R285="",CONCATENATE(";",EscStr(CONCATENATE("NavNode_",getCategoryLevelAsString($B285))),";",EscStr($J285),";"),CONCATENATE(";",EscStr(CONCATENATE("NavNode_",getCategoryLevelAsString($B285))),";",EscStr(R285),";")))</f>
        <v>;"NavNode_L2D_379533";"Accuboor en schroefmachines";</v>
      </c>
      <c r="AL285" s="10" t="str">
        <f>IF(getCategoryLevelAsString($B285)="L0D_324785","",IF(S285="",CONCATENATE(";",EscStr(CONCATENATE("NavNode_",getCategoryLevelAsString($B285))),";",EscStr($J285),";"),CONCATENATE(";",EscStr(CONCATENATE("NavNode_",getCategoryLevelAsString($B285))),";",EscStr(S285),";")))</f>
        <v>;"NavNode_L2D_379533";"Elektronarzędzia bezprzewodowe";</v>
      </c>
      <c r="AM285" s="10" t="str">
        <f>IF(getCategoryLevelAsString($B285)="L0D_324785","",IF(T285="",CONCATENATE(";",EscStr(CONCATENATE("NavNode_",getCategoryLevelAsString($B285))),";",EscStr($J285),";"),CONCATENATE(";",EscStr(CONCATENATE("NavNode_",getCategoryLevelAsString($B285))),";",EscStr(T285),";")))</f>
        <v>;"NavNode_L2D_379533";"Беспроводной электроинструмент";</v>
      </c>
      <c r="AN285" s="10" t="str">
        <f>IF(getCategoryLevelAsString($B285)="L0D_324785","",IF(U285="",CONCATENATE(";",EscStr(CONCATENATE("NavNode_",getCategoryLevelAsString($B285))),";",EscStr($J285),";"),CONCATENATE(";",EscStr(CONCATENATE("NavNode_",getCategoryLevelAsString($B285))),";",EscStr(U285),";")))</f>
        <v>;"NavNode_L2D_379533";"Bezšňůrové elektrické nářadí";</v>
      </c>
      <c r="AO285" s="10" t="str">
        <f>IF(getCategoryLevelAsString($B285)="L0D_324785","",IF(V285="",CONCATENATE(";",EscStr(CONCATENATE("NavNode_",getCategoryLevelAsString($B285))),";",EscStr($J285),";"),CONCATENATE(";",EscStr(CONCATENATE("NavNode_",getCategoryLevelAsString($B285))),";",EscStr(V285),";")))</f>
        <v>;"NavNode_L2D_379533";"Instrumente şi sisteme electrice fără fir";</v>
      </c>
      <c r="AP285" s="10" t="str">
        <f>IF(getCategoryLevelAsString($B285)="L0D_324785","",IF(W285="",CONCATENATE(";",EscStr(CONCATENATE("NavNode_",getCategoryLevelAsString($B285))),";",EscStr($J285),";"),CONCATENATE(";",EscStr(CONCATENATE("NavNode_",getCategoryLevelAsString($B285))),";",EscStr(W285),";")))</f>
        <v>;"NavNode_L2D_379533";"Vezetéknélküli elektromos szerszámok";</v>
      </c>
      <c r="AQ285" s="10" t="str">
        <f>IF(getCategoryLevelAsString($B285)="L0D_324785","",IF(X285="",CONCATENATE(";",EscStr(CONCATENATE("NavNode_",getCategoryLevelAsString($B285))),";",EscStr($J285),";"),CONCATENATE(";",EscStr(CONCATENATE("NavNode_",getCategoryLevelAsString($B285))),";",EscStr(X285),";")))</f>
        <v>;"NavNode_L2D_379533";"Bezšňůrové elektrické nářadí";</v>
      </c>
      <c r="AR285" s="8" t="str">
        <f>IF(OR($A285&lt;&gt;"", $G285=""),"",CONCATENATE(";",EscStr(CONCATENATE("NavEntry_",getCategoryLevelAsString($B285))),";",EscStr(CONCATENATE($J285," Navigation Entry")),";",EscStr(CONCATENATE("cat-",getCategoryLevelAsString($B285))),";",EscStr(CONCATENATE("NavNode_",getCategoryLevelAsString($B285))),";"))</f>
        <v>;"NavEntry_L2D_379533";"Cordless Power Tool Systems Navigation Entry";"cat-L2D_379533";"NavNode_L2D_379533";</v>
      </c>
    </row>
    <row r="286" spans="1:44" ht="15" x14ac:dyDescent="0.25">
      <c r="A286" s="25"/>
      <c r="B286" s="5"/>
      <c r="C286" s="5"/>
      <c r="D286" s="5" t="s">
        <v>584</v>
      </c>
      <c r="E286" s="5"/>
      <c r="F286" s="5"/>
      <c r="G286" s="5" t="s">
        <v>2151</v>
      </c>
      <c r="H286" s="5" t="s">
        <v>2152</v>
      </c>
      <c r="I286" s="5" t="s">
        <v>2153</v>
      </c>
      <c r="J286" s="5" t="s">
        <v>2154</v>
      </c>
      <c r="K286" s="5" t="s">
        <v>2155</v>
      </c>
      <c r="L286" s="5" t="s">
        <v>2156</v>
      </c>
      <c r="M286" s="5" t="s">
        <v>2157</v>
      </c>
      <c r="N286" s="5" t="s">
        <v>2158</v>
      </c>
      <c r="O286" s="5" t="s">
        <v>2918</v>
      </c>
      <c r="P286" s="5" t="s">
        <v>2919</v>
      </c>
      <c r="Q286" s="5" t="s">
        <v>2920</v>
      </c>
      <c r="R286" s="5" t="s">
        <v>2921</v>
      </c>
      <c r="S286" s="5" t="s">
        <v>2922</v>
      </c>
      <c r="T286" s="5" t="s">
        <v>2923</v>
      </c>
      <c r="U286" s="5" t="s">
        <v>2924</v>
      </c>
      <c r="V286" s="5" t="s">
        <v>2925</v>
      </c>
      <c r="W286" s="5" t="s">
        <v>2926</v>
      </c>
      <c r="X286" s="5" t="s">
        <v>2924</v>
      </c>
      <c r="Y286" s="10" t="str">
        <f>IF(OR($A286&lt;&gt;"", $G286=""),"",CONCATENATE(";",EscStr(CONCATENATE("NavNode_",getCategoryLevelAsString($B286))),";",EscStr($J286),";",IF($B286&lt;&gt;"","""MainNavNode""",EscStr(CONCATENATE("NavNode_",getSuperCategory($B286, getCategoryLevelAsNumber($B286))))),";"))</f>
        <v>;"NavNode_L3D_525436";"Two-way Radios";"NavNode_L2D_379533";</v>
      </c>
      <c r="Z286" s="10" t="str">
        <f>IF(getCategoryLevelAsString($B286)="L0D_324785","",IF(G286="",CONCATENATE(";",EscStr(CONCATENATE("NavNode_",getCategoryLevelAsString($B286))),";",EscStr($J286),";"),CONCATENATE(";",EscStr(CONCATENATE("NavNode_",getCategoryLevelAsString($B286))),";",EscStr(G286),";")))</f>
        <v>;"NavNode_L3D_525436";"Funkgeräte";</v>
      </c>
      <c r="AA286" s="10" t="str">
        <f>IF(getCategoryLevelAsString($B286)="L0D_324785","",IF(H286="",CONCATENATE(";",EscStr(CONCATENATE("NavNode_",getCategoryLevelAsString($B286))),";",EscStr($J286),";"),CONCATENATE(";",EscStr(CONCATENATE("NavNode_",getCategoryLevelAsString($B286))),";",EscStr(H286),";")))</f>
        <v>;"NavNode_L3D_525436";"Appareils radio";</v>
      </c>
      <c r="AB286" s="10" t="str">
        <f>IF(getCategoryLevelAsString($B286)="L0D_324785","",IF(I286="",CONCATENATE(";",EscStr(CONCATENATE("NavNode_",getCategoryLevelAsString($B286))),";",EscStr($J286),";"),CONCATENATE(";",EscStr(CONCATENATE("NavNode_",getCategoryLevelAsString($B286))),";",EscStr(I286),";")))</f>
        <v>;"NavNode_L3D_525436";"Dispositivi";</v>
      </c>
      <c r="AC286" s="10" t="str">
        <f>IF(getCategoryLevelAsString($B286)="L0D_324785","",IF(J286="",CONCATENATE(";",EscStr(CONCATENATE("NavNode_",getCategoryLevelAsString($B286))),";",EscStr($J286),";"),CONCATENATE(";",EscStr(CONCATENATE("NavNode_",getCategoryLevelAsString($B286))),";",EscStr(J286),";")))</f>
        <v>;"NavNode_L3D_525436";"Two-way Radios";</v>
      </c>
      <c r="AD286" s="10" t="str">
        <f>IF(getCategoryLevelAsString($B286)="L0D_324785","",IF(K286="",CONCATENATE(";",EscStr(CONCATENATE("NavNode_",getCategoryLevelAsString($B286))),";",EscStr($J286),";"),CONCATENATE(";",EscStr(CONCATENATE("NavNode_",getCategoryLevelAsString($B286))),";",EscStr(K286),";")))</f>
        <v>;"NavNode_L3D_525436";"Radioudstyr";</v>
      </c>
      <c r="AE286" s="10" t="str">
        <f>IF(getCategoryLevelAsString($B286)="L0D_324785","",IF(L286="",CONCATENATE(";",EscStr(CONCATENATE("NavNode_",getCategoryLevelAsString($B286))),";",EscStr($J286),";"),CONCATENATE(";",EscStr(CONCATENATE("NavNode_",getCategoryLevelAsString($B286))),";",EscStr(L286),";")))</f>
        <v>;"NavNode_L3D_525436";"Radijo ryšio prietaisai";</v>
      </c>
      <c r="AF286" s="10" t="str">
        <f>IF(getCategoryLevelAsString($B286)="L0D_324785","",IF(M286="",CONCATENATE(";",EscStr(CONCATENATE("NavNode_",getCategoryLevelAsString($B286))),";",EscStr($J286),";"),CONCATENATE(";",EscStr(CONCATENATE("NavNode_",getCategoryLevelAsString($B286))),";",EscStr(M286),";")))</f>
        <v>;"NavNode_L3D_525436";"Kommunikasjonsradio";</v>
      </c>
      <c r="AG286" s="10" t="str">
        <f>IF(getCategoryLevelAsString($B286)="L0D_324785","",IF(N286="",CONCATENATE(";",EscStr(CONCATENATE("NavNode_",getCategoryLevelAsString($B286))),";",EscStr($J286),";"),CONCATENATE(";",EscStr(CONCATENATE("NavNode_",getCategoryLevelAsString($B286))),";",EscStr(N286),";")))</f>
        <v>;"NavNode_L3D_525436";"Kommunikationsradio";</v>
      </c>
      <c r="AH286" s="10" t="str">
        <f>IF(getCategoryLevelAsString($B286)="L0D_324785","",IF(O286="",CONCATENATE(";",EscStr(CONCATENATE("NavNode_",getCategoryLevelAsString($B286))),";",EscStr($J286),";"),CONCATENATE(";",EscStr(CONCATENATE("NavNode_",getCategoryLevelAsString($B286))),";",EscStr(O286),";")))</f>
        <v>;"NavNode_L3D_525436";"Raadioseadmed";</v>
      </c>
      <c r="AI286" s="10" t="str">
        <f>IF(getCategoryLevelAsString($B286)="L0D_324785","",IF(P286="",CONCATENATE(";",EscStr(CONCATENATE("NavNode_",getCategoryLevelAsString($B286))),";",EscStr($J286),";"),CONCATENATE(";",EscStr(CONCATENATE("NavNode_",getCategoryLevelAsString($B286))),";",EscStr(P286),";")))</f>
        <v>;"NavNode_L3D_525436";"Radiolaitteet";</v>
      </c>
      <c r="AJ286" s="10" t="str">
        <f>IF(getCategoryLevelAsString($B286)="L0D_324785","",IF(Q286="",CONCATENATE(";",EscStr(CONCATENATE("NavNode_",getCategoryLevelAsString($B286))),";",EscStr($J286),";"),CONCATENATE(";",EscStr(CONCATENATE("NavNode_",getCategoryLevelAsString($B286))),";",EscStr(Q286),";")))</f>
        <v>;"NavNode_L3D_525436";"Rācijas";</v>
      </c>
      <c r="AK286" s="10" t="str">
        <f>IF(getCategoryLevelAsString($B286)="L0D_324785","",IF(R286="",CONCATENATE(";",EscStr(CONCATENATE("NavNode_",getCategoryLevelAsString($B286))),";",EscStr($J286),";"),CONCATENATE(";",EscStr(CONCATENATE("NavNode_",getCategoryLevelAsString($B286))),";",EscStr(R286),";")))</f>
        <v>;"NavNode_L3D_525436";"Zendontvangers";</v>
      </c>
      <c r="AL286" s="10" t="str">
        <f>IF(getCategoryLevelAsString($B286)="L0D_324785","",IF(S286="",CONCATENATE(";",EscStr(CONCATENATE("NavNode_",getCategoryLevelAsString($B286))),";",EscStr($J286),";"),CONCATENATE(";",EscStr(CONCATENATE("NavNode_",getCategoryLevelAsString($B286))),";",EscStr(S286),";")))</f>
        <v>;"NavNode_L3D_525436";"Urządzenia radiowe";</v>
      </c>
      <c r="AM286" s="10" t="str">
        <f>IF(getCategoryLevelAsString($B286)="L0D_324785","",IF(T286="",CONCATENATE(";",EscStr(CONCATENATE("NavNode_",getCategoryLevelAsString($B286))),";",EscStr($J286),";"),CONCATENATE(";",EscStr(CONCATENATE("NavNode_",getCategoryLevelAsString($B286))),";",EscStr(T286),";")))</f>
        <v>;"NavNode_L3D_525436";"Радиоаппаратура";</v>
      </c>
      <c r="AN286" s="10" t="str">
        <f>IF(getCategoryLevelAsString($B286)="L0D_324785","",IF(U286="",CONCATENATE(";",EscStr(CONCATENATE("NavNode_",getCategoryLevelAsString($B286))),";",EscStr($J286),";"),CONCATENATE(";",EscStr(CONCATENATE("NavNode_",getCategoryLevelAsString($B286))),";",EscStr(U286),";")))</f>
        <v>;"NavNode_L3D_525436";"Bezdrátová zařízení";</v>
      </c>
      <c r="AO286" s="10" t="str">
        <f>IF(getCategoryLevelAsString($B286)="L0D_324785","",IF(V286="",CONCATENATE(";",EscStr(CONCATENATE("NavNode_",getCategoryLevelAsString($B286))),";",EscStr($J286),";"),CONCATENATE(";",EscStr(CONCATENATE("NavNode_",getCategoryLevelAsString($B286))),";",EscStr(V286),";")))</f>
        <v>;"NavNode_L3D_525436";"Aparate de radiocomunicaţie";</v>
      </c>
      <c r="AP286" s="10" t="str">
        <f>IF(getCategoryLevelAsString($B286)="L0D_324785","",IF(W286="",CONCATENATE(";",EscStr(CONCATENATE("NavNode_",getCategoryLevelAsString($B286))),";",EscStr($J286),";"),CONCATENATE(";",EscStr(CONCATENATE("NavNode_",getCategoryLevelAsString($B286))),";",EscStr(W286),";")))</f>
        <v>;"NavNode_L3D_525436";"Rádió adó-vevő készülék";</v>
      </c>
      <c r="AQ286" s="10" t="str">
        <f>IF(getCategoryLevelAsString($B286)="L0D_324785","",IF(X286="",CONCATENATE(";",EscStr(CONCATENATE("NavNode_",getCategoryLevelAsString($B286))),";",EscStr($J286),";"),CONCATENATE(";",EscStr(CONCATENATE("NavNode_",getCategoryLevelAsString($B286))),";",EscStr(X286),";")))</f>
        <v>;"NavNode_L3D_525436";"Bezdrátová zařízení";</v>
      </c>
      <c r="AR286" s="8" t="str">
        <f>IF(OR($A286&lt;&gt;"", $G286=""),"",CONCATENATE(";",EscStr(CONCATENATE("NavEntry_",getCategoryLevelAsString($B286))),";",EscStr(CONCATENATE($J286," Navigation Entry")),";",EscStr(CONCATENATE("cat-",getCategoryLevelAsString($B286))),";",EscStr(CONCATENATE("NavNode_",getCategoryLevelAsString($B286))),";"))</f>
        <v>;"NavEntry_L3D_525436";"Two-way Radios Navigation Entry";"cat-L3D_525436";"NavNode_L3D_525436";</v>
      </c>
    </row>
    <row r="287" spans="1:44" ht="15" x14ac:dyDescent="0.25">
      <c r="A287" s="25"/>
      <c r="B287" s="5"/>
      <c r="C287" s="5"/>
      <c r="D287" s="5" t="s">
        <v>804</v>
      </c>
      <c r="E287" s="5"/>
      <c r="F287" s="5"/>
      <c r="G287" s="5" t="s">
        <v>2159</v>
      </c>
      <c r="H287" s="5" t="s">
        <v>2161</v>
      </c>
      <c r="I287" s="5" t="s">
        <v>2162</v>
      </c>
      <c r="J287" s="5" t="s">
        <v>2160</v>
      </c>
      <c r="K287" s="5" t="s">
        <v>2163</v>
      </c>
      <c r="L287" s="5" t="s">
        <v>2164</v>
      </c>
      <c r="M287" s="5" t="s">
        <v>2165</v>
      </c>
      <c r="N287" s="5" t="s">
        <v>2166</v>
      </c>
      <c r="O287" s="5" t="s">
        <v>2927</v>
      </c>
      <c r="P287" s="5" t="s">
        <v>2928</v>
      </c>
      <c r="Q287" s="5" t="s">
        <v>2929</v>
      </c>
      <c r="R287" s="5" t="s">
        <v>2930</v>
      </c>
      <c r="S287" s="5" t="s">
        <v>2931</v>
      </c>
      <c r="T287" s="5" t="s">
        <v>2932</v>
      </c>
      <c r="U287" s="5" t="s">
        <v>2933</v>
      </c>
      <c r="V287" s="5" t="s">
        <v>2934</v>
      </c>
      <c r="W287" s="5" t="s">
        <v>2935</v>
      </c>
      <c r="X287" s="5" t="s">
        <v>2933</v>
      </c>
      <c r="Y287" s="10" t="str">
        <f>IF(OR($A287&lt;&gt;"", $G287=""),"",CONCATENATE(";",EscStr(CONCATENATE("NavNode_",getCategoryLevelAsString($B287))),";",EscStr($J287),";",IF($B287&lt;&gt;"","""MainNavNode""",EscStr(CONCATENATE("NavNode_",getSuperCategory($B287, getCategoryLevelAsNumber($B287))))),";"))</f>
        <v>;"NavNode_L3D_525437";"Optical Devices";"NavNode_L2D_379533";</v>
      </c>
      <c r="Z287" s="10" t="str">
        <f>IF(getCategoryLevelAsString($B287)="L0D_324785","",IF(G287="",CONCATENATE(";",EscStr(CONCATENATE("NavNode_",getCategoryLevelAsString($B287))),";",EscStr($J287),";"),CONCATENATE(";",EscStr(CONCATENATE("NavNode_",getCategoryLevelAsString($B287))),";",EscStr(G287),";")))</f>
        <v>;"NavNode_L3D_525437";"Optische Behelfswerkzeuge";</v>
      </c>
      <c r="AA287" s="10" t="str">
        <f>IF(getCategoryLevelAsString($B287)="L0D_324785","",IF(H287="",CONCATENATE(";",EscStr(CONCATENATE("NavNode_",getCategoryLevelAsString($B287))),";",EscStr($J287),";"),CONCATENATE(";",EscStr(CONCATENATE("NavNode_",getCategoryLevelAsString($B287))),";",EscStr(H287),";")))</f>
        <v>;"NavNode_L3D_525437";"Outils auxiliaires optiques";</v>
      </c>
      <c r="AB287" s="10" t="str">
        <f>IF(getCategoryLevelAsString($B287)="L0D_324785","",IF(I287="",CONCATENATE(";",EscStr(CONCATENATE("NavNode_",getCategoryLevelAsString($B287))),";",EscStr($J287),";"),CONCATENATE(";",EscStr(CONCATENATE("NavNode_",getCategoryLevelAsString($B287))),";",EscStr(I287),";")))</f>
        <v>;"NavNode_L3D_525437";"Utensili ottici provvisori";</v>
      </c>
      <c r="AC287" s="10" t="str">
        <f>IF(getCategoryLevelAsString($B287)="L0D_324785","",IF(J287="",CONCATENATE(";",EscStr(CONCATENATE("NavNode_",getCategoryLevelAsString($B287))),";",EscStr($J287),";"),CONCATENATE(";",EscStr(CONCATENATE("NavNode_",getCategoryLevelAsString($B287))),";",EscStr(J287),";")))</f>
        <v>;"NavNode_L3D_525437";"Optical Devices";</v>
      </c>
      <c r="AD287" s="10" t="str">
        <f>IF(getCategoryLevelAsString($B287)="L0D_324785","",IF(K287="",CONCATENATE(";",EscStr(CONCATENATE("NavNode_",getCategoryLevelAsString($B287))),";",EscStr($J287),";"),CONCATENATE(";",EscStr(CONCATENATE("NavNode_",getCategoryLevelAsString($B287))),";",EscStr(K287),";")))</f>
        <v>;"NavNode_L3D_525437";"Optiske hjælpeværktøjer";</v>
      </c>
      <c r="AE287" s="10" t="str">
        <f>IF(getCategoryLevelAsString($B287)="L0D_324785","",IF(L287="",CONCATENATE(";",EscStr(CONCATENATE("NavNode_",getCategoryLevelAsString($B287))),";",EscStr($J287),";"),CONCATENATE(";",EscStr(CONCATENATE("NavNode_",getCategoryLevelAsString($B287))),";",EscStr(L287),";")))</f>
        <v>;"NavNode_L3D_525437";"Optiniai komandiniai įrankiai";</v>
      </c>
      <c r="AF287" s="10" t="str">
        <f>IF(getCategoryLevelAsString($B287)="L0D_324785","",IF(M287="",CONCATENATE(";",EscStr(CONCATENATE("NavNode_",getCategoryLevelAsString($B287))),";",EscStr($J287),";"),CONCATENATE(";",EscStr(CONCATENATE("NavNode_",getCategoryLevelAsString($B287))),";",EscStr(M287),";")))</f>
        <v>;"NavNode_L3D_525437";"Optiske hjelpemidler";</v>
      </c>
      <c r="AG287" s="10" t="str">
        <f>IF(getCategoryLevelAsString($B287)="L0D_324785","",IF(N287="",CONCATENATE(";",EscStr(CONCATENATE("NavNode_",getCategoryLevelAsString($B287))),";",EscStr($J287),";"),CONCATENATE(";",EscStr(CONCATENATE("NavNode_",getCategoryLevelAsString($B287))),";",EscStr(N287),";")))</f>
        <v>;"NavNode_L3D_525437";"Optiska hjälpverktyg";</v>
      </c>
      <c r="AH287" s="10" t="str">
        <f>IF(getCategoryLevelAsString($B287)="L0D_324785","",IF(O287="",CONCATENATE(";",EscStr(CONCATENATE("NavNode_",getCategoryLevelAsString($B287))),";",EscStr($J287),";"),CONCATENATE(";",EscStr(CONCATENATE("NavNode_",getCategoryLevelAsString($B287))),";",EscStr(O287),";")))</f>
        <v>;"NavNode_L3D_525437";"Optilised abitööriistad";</v>
      </c>
      <c r="AI287" s="10" t="str">
        <f>IF(getCategoryLevelAsString($B287)="L0D_324785","",IF(P287="",CONCATENATE(";",EscStr(CONCATENATE("NavNode_",getCategoryLevelAsString($B287))),";",EscStr($J287),";"),CONCATENATE(";",EscStr(CONCATENATE("NavNode_",getCategoryLevelAsString($B287))),";",EscStr(P287),";")))</f>
        <v>;"NavNode_L3D_525437";"Optiset apuvälineet";</v>
      </c>
      <c r="AJ287" s="10" t="str">
        <f>IF(getCategoryLevelAsString($B287)="L0D_324785","",IF(Q287="",CONCATENATE(";",EscStr(CONCATENATE("NavNode_",getCategoryLevelAsString($B287))),";",EscStr($J287),";"),CONCATENATE(";",EscStr(CONCATENATE("NavNode_",getCategoryLevelAsString($B287))),";",EscStr(Q287),";")))</f>
        <v>;"NavNode_L3D_525437";"Optiskie palīginstrumenti";</v>
      </c>
      <c r="AK287" s="10" t="str">
        <f>IF(getCategoryLevelAsString($B287)="L0D_324785","",IF(R287="",CONCATENATE(";",EscStr(CONCATENATE("NavNode_",getCategoryLevelAsString($B287))),";",EscStr($J287),";"),CONCATENATE(";",EscStr(CONCATENATE("NavNode_",getCategoryLevelAsString($B287))),";",EscStr(R287),";")))</f>
        <v>;"NavNode_L3D_525437";"Optische apparaten";</v>
      </c>
      <c r="AL287" s="10" t="str">
        <f>IF(getCategoryLevelAsString($B287)="L0D_324785","",IF(S287="",CONCATENATE(";",EscStr(CONCATENATE("NavNode_",getCategoryLevelAsString($B287))),";",EscStr($J287),";"),CONCATENATE(";",EscStr(CONCATENATE("NavNode_",getCategoryLevelAsString($B287))),";",EscStr(S287),";")))</f>
        <v>;"NavNode_L3D_525437";"Instrumenty optyczne";</v>
      </c>
      <c r="AM287" s="10" t="str">
        <f>IF(getCategoryLevelAsString($B287)="L0D_324785","",IF(T287="",CONCATENATE(";",EscStr(CONCATENATE("NavNode_",getCategoryLevelAsString($B287))),";",EscStr($J287),";"),CONCATENATE(";",EscStr(CONCATENATE("NavNode_",getCategoryLevelAsString($B287))),";",EscStr(T287),";")))</f>
        <v>;"NavNode_L3D_525437";"Оптические вспомогательные инструменты";</v>
      </c>
      <c r="AN287" s="10" t="str">
        <f>IF(getCategoryLevelAsString($B287)="L0D_324785","",IF(U287="",CONCATENATE(";",EscStr(CONCATENATE("NavNode_",getCategoryLevelAsString($B287))),";",EscStr($J287),";"),CONCATENATE(";",EscStr(CONCATENATE("NavNode_",getCategoryLevelAsString($B287))),";",EscStr(U287),";")))</f>
        <v>;"NavNode_L3D_525437";"Pomocné optické nástroje";</v>
      </c>
      <c r="AO287" s="10" t="str">
        <f>IF(getCategoryLevelAsString($B287)="L0D_324785","",IF(V287="",CONCATENATE(";",EscStr(CONCATENATE("NavNode_",getCategoryLevelAsString($B287))),";",EscStr($J287),";"),CONCATENATE(";",EscStr(CONCATENATE("NavNode_",getCategoryLevelAsString($B287))),";",EscStr(V287),";")))</f>
        <v>;"NavNode_L3D_525437";"Scule optice auxiliare";</v>
      </c>
      <c r="AP287" s="10" t="str">
        <f>IF(getCategoryLevelAsString($B287)="L0D_324785","",IF(W287="",CONCATENATE(";",EscStr(CONCATENATE("NavNode_",getCategoryLevelAsString($B287))),";",EscStr($J287),";"),CONCATENATE(";",EscStr(CONCATENATE("NavNode_",getCategoryLevelAsString($B287))),";",EscStr(W287),";")))</f>
        <v>;"NavNode_L3D_525437";"Optikai parancsadó egységek";</v>
      </c>
      <c r="AQ287" s="10" t="str">
        <f>IF(getCategoryLevelAsString($B287)="L0D_324785","",IF(X287="",CONCATENATE(";",EscStr(CONCATENATE("NavNode_",getCategoryLevelAsString($B287))),";",EscStr($J287),";"),CONCATENATE(";",EscStr(CONCATENATE("NavNode_",getCategoryLevelAsString($B287))),";",EscStr(X287),";")))</f>
        <v>;"NavNode_L3D_525437";"Pomocné optické nástroje";</v>
      </c>
      <c r="AR287" s="8" t="str">
        <f>IF(OR($A287&lt;&gt;"", $G287=""),"",CONCATENATE(";",EscStr(CONCATENATE("NavEntry_",getCategoryLevelAsString($B287))),";",EscStr(CONCATENATE($J287," Navigation Entry")),";",EscStr(CONCATENATE("cat-",getCategoryLevelAsString($B287))),";",EscStr(CONCATENATE("NavNode_",getCategoryLevelAsString($B287))),";"))</f>
        <v>;"NavEntry_L3D_525437";"Optical Devices Navigation Entry";"cat-L3D_525437";"NavNode_L3D_525437";</v>
      </c>
    </row>
    <row r="288" spans="1:44" ht="15" x14ac:dyDescent="0.25">
      <c r="A288" s="25"/>
      <c r="B288" s="5"/>
      <c r="C288" s="5" t="s">
        <v>28</v>
      </c>
      <c r="D288" s="5"/>
      <c r="E288" s="5"/>
      <c r="F288" s="5"/>
      <c r="G288" s="5" t="s">
        <v>567</v>
      </c>
      <c r="H288" s="5" t="s">
        <v>568</v>
      </c>
      <c r="I288" s="5" t="s">
        <v>569</v>
      </c>
      <c r="J288" s="5" t="s">
        <v>9</v>
      </c>
      <c r="K288" s="5" t="s">
        <v>1258</v>
      </c>
      <c r="L288" s="5" t="s">
        <v>1493</v>
      </c>
      <c r="M288" s="5" t="s">
        <v>1724</v>
      </c>
      <c r="N288" s="5" t="s">
        <v>1926</v>
      </c>
      <c r="O288" s="5" t="s">
        <v>2936</v>
      </c>
      <c r="P288" s="5" t="s">
        <v>2937</v>
      </c>
      <c r="Q288" s="5" t="s">
        <v>2938</v>
      </c>
      <c r="R288" s="5" t="s">
        <v>2939</v>
      </c>
      <c r="S288" s="5" t="s">
        <v>2940</v>
      </c>
      <c r="T288" s="5" t="s">
        <v>2941</v>
      </c>
      <c r="U288" s="5" t="s">
        <v>2942</v>
      </c>
      <c r="V288" s="5" t="s">
        <v>2943</v>
      </c>
      <c r="W288" s="5" t="s">
        <v>2944</v>
      </c>
      <c r="X288" s="5" t="s">
        <v>2942</v>
      </c>
      <c r="Y288" s="10" t="str">
        <f>IF(OR($A288&lt;&gt;"", $G288=""),"",CONCATENATE(";",EscStr(CONCATENATE("NavNode_",getCategoryLevelAsString($B288))),";",EscStr($J288),";",IF($B288&lt;&gt;"","""MainNavNode""",EscStr(CONCATENATE("NavNode_",getSuperCategory($B288, getCategoryLevelAsNumber($B288))))),";"))</f>
        <v>;"NavNode_L3D_525440";"Soldering";"NavNode_L2D_379533";</v>
      </c>
      <c r="Z288" s="10" t="str">
        <f>IF(getCategoryLevelAsString($B288)="L0D_324785","",IF(G288="",CONCATENATE(";",EscStr(CONCATENATE("NavNode_",getCategoryLevelAsString($B288))),";",EscStr($J288),";"),CONCATENATE(";",EscStr(CONCATENATE("NavNode_",getCategoryLevelAsString($B288))),";",EscStr(G288),";")))</f>
        <v>;"NavNode_L3D_525440";"Löten";</v>
      </c>
      <c r="AA288" s="10" t="str">
        <f>IF(getCategoryLevelAsString($B288)="L0D_324785","",IF(H288="",CONCATENATE(";",EscStr(CONCATENATE("NavNode_",getCategoryLevelAsString($B288))),";",EscStr($J288),";"),CONCATENATE(";",EscStr(CONCATENATE("NavNode_",getCategoryLevelAsString($B288))),";",EscStr(H288),";")))</f>
        <v>;"NavNode_L3D_525440";"Soudage";</v>
      </c>
      <c r="AB288" s="10" t="str">
        <f>IF(getCategoryLevelAsString($B288)="L0D_324785","",IF(I288="",CONCATENATE(";",EscStr(CONCATENATE("NavNode_",getCategoryLevelAsString($B288))),";",EscStr($J288),";"),CONCATENATE(";",EscStr(CONCATENATE("NavNode_",getCategoryLevelAsString($B288))),";",EscStr(I288),";")))</f>
        <v>;"NavNode_L3D_525440";"Saldatura";</v>
      </c>
      <c r="AC288" s="10" t="str">
        <f>IF(getCategoryLevelAsString($B288)="L0D_324785","",IF(J288="",CONCATENATE(";",EscStr(CONCATENATE("NavNode_",getCategoryLevelAsString($B288))),";",EscStr($J288),";"),CONCATENATE(";",EscStr(CONCATENATE("NavNode_",getCategoryLevelAsString($B288))),";",EscStr(J288),";")))</f>
        <v>;"NavNode_L3D_525440";"Soldering";</v>
      </c>
      <c r="AD288" s="10" t="str">
        <f>IF(getCategoryLevelAsString($B288)="L0D_324785","",IF(K288="",CONCATENATE(";",EscStr(CONCATENATE("NavNode_",getCategoryLevelAsString($B288))),";",EscStr($J288),";"),CONCATENATE(";",EscStr(CONCATENATE("NavNode_",getCategoryLevelAsString($B288))),";",EscStr(K288),";")))</f>
        <v>;"NavNode_L3D_525440";"Lodning";</v>
      </c>
      <c r="AE288" s="10" t="str">
        <f>IF(getCategoryLevelAsString($B288)="L0D_324785","",IF(L288="",CONCATENATE(";",EscStr(CONCATENATE("NavNode_",getCategoryLevelAsString($B288))),";",EscStr($J288),";"),CONCATENATE(";",EscStr(CONCATENATE("NavNode_",getCategoryLevelAsString($B288))),";",EscStr(L288),";")))</f>
        <v>;"NavNode_L3D_525440";"Litavimas";</v>
      </c>
      <c r="AF288" s="10" t="str">
        <f>IF(getCategoryLevelAsString($B288)="L0D_324785","",IF(M288="",CONCATENATE(";",EscStr(CONCATENATE("NavNode_",getCategoryLevelAsString($B288))),";",EscStr($J288),";"),CONCATENATE(";",EscStr(CONCATENATE("NavNode_",getCategoryLevelAsString($B288))),";",EscStr(M288),";")))</f>
        <v>;"NavNode_L3D_525440";"Lodding";</v>
      </c>
      <c r="AG288" s="10" t="str">
        <f>IF(getCategoryLevelAsString($B288)="L0D_324785","",IF(N288="",CONCATENATE(";",EscStr(CONCATENATE("NavNode_",getCategoryLevelAsString($B288))),";",EscStr($J288),";"),CONCATENATE(";",EscStr(CONCATENATE("NavNode_",getCategoryLevelAsString($B288))),";",EscStr(N288),";")))</f>
        <v>;"NavNode_L3D_525440";"Lödning";</v>
      </c>
      <c r="AH288" s="10" t="str">
        <f>IF(getCategoryLevelAsString($B288)="L0D_324785","",IF(O288="",CONCATENATE(";",EscStr(CONCATENATE("NavNode_",getCategoryLevelAsString($B288))),";",EscStr($J288),";"),CONCATENATE(";",EscStr(CONCATENATE("NavNode_",getCategoryLevelAsString($B288))),";",EscStr(O288),";")))</f>
        <v>;"NavNode_L3D_525440";"Jooteseadmed";</v>
      </c>
      <c r="AI288" s="10" t="str">
        <f>IF(getCategoryLevelAsString($B288)="L0D_324785","",IF(P288="",CONCATENATE(";",EscStr(CONCATENATE("NavNode_",getCategoryLevelAsString($B288))),";",EscStr($J288),";"),CONCATENATE(";",EscStr(CONCATENATE("NavNode_",getCategoryLevelAsString($B288))),";",EscStr(P288),";")))</f>
        <v>;"NavNode_L3D_525440";"Juotos";</v>
      </c>
      <c r="AJ288" s="10" t="str">
        <f>IF(getCategoryLevelAsString($B288)="L0D_324785","",IF(Q288="",CONCATENATE(";",EscStr(CONCATENATE("NavNode_",getCategoryLevelAsString($B288))),";",EscStr($J288),";"),CONCATENATE(";",EscStr(CONCATENATE("NavNode_",getCategoryLevelAsString($B288))),";",EscStr(Q288),";")))</f>
        <v>;"NavNode_L3D_525440";"Lodēšana";</v>
      </c>
      <c r="AK288" s="10" t="str">
        <f>IF(getCategoryLevelAsString($B288)="L0D_324785","",IF(R288="",CONCATENATE(";",EscStr(CONCATENATE("NavNode_",getCategoryLevelAsString($B288))),";",EscStr($J288),";"),CONCATENATE(";",EscStr(CONCATENATE("NavNode_",getCategoryLevelAsString($B288))),";",EscStr(R288),";")))</f>
        <v>;"NavNode_L3D_525440";"Solderen";</v>
      </c>
      <c r="AL288" s="10" t="str">
        <f>IF(getCategoryLevelAsString($B288)="L0D_324785","",IF(S288="",CONCATENATE(";",EscStr(CONCATENATE("NavNode_",getCategoryLevelAsString($B288))),";",EscStr($J288),";"),CONCATENATE(";",EscStr(CONCATENATE("NavNode_",getCategoryLevelAsString($B288))),";",EscStr(S288),";")))</f>
        <v>;"NavNode_L3D_525440";"Lutowanie";</v>
      </c>
      <c r="AM288" s="10" t="str">
        <f>IF(getCategoryLevelAsString($B288)="L0D_324785","",IF(T288="",CONCATENATE(";",EscStr(CONCATENATE("NavNode_",getCategoryLevelAsString($B288))),";",EscStr($J288),";"),CONCATENATE(";",EscStr(CONCATENATE("NavNode_",getCategoryLevelAsString($B288))),";",EscStr(T288),";")))</f>
        <v>;"NavNode_L3D_525440";"Паяльное оборудование";</v>
      </c>
      <c r="AN288" s="10" t="str">
        <f>IF(getCategoryLevelAsString($B288)="L0D_324785","",IF(U288="",CONCATENATE(";",EscStr(CONCATENATE("NavNode_",getCategoryLevelAsString($B288))),";",EscStr($J288),";"),CONCATENATE(";",EscStr(CONCATENATE("NavNode_",getCategoryLevelAsString($B288))),";",EscStr(U288),";")))</f>
        <v>;"NavNode_L3D_525440";"Pájení";</v>
      </c>
      <c r="AO288" s="10" t="str">
        <f>IF(getCategoryLevelAsString($B288)="L0D_324785","",IF(V288="",CONCATENATE(";",EscStr(CONCATENATE("NavNode_",getCategoryLevelAsString($B288))),";",EscStr($J288),";"),CONCATENATE(";",EscStr(CONCATENATE("NavNode_",getCategoryLevelAsString($B288))),";",EscStr(V288),";")))</f>
        <v>;"NavNode_L3D_525440";"Lipit / Cositorit";</v>
      </c>
      <c r="AP288" s="10" t="str">
        <f>IF(getCategoryLevelAsString($B288)="L0D_324785","",IF(W288="",CONCATENATE(";",EscStr(CONCATENATE("NavNode_",getCategoryLevelAsString($B288))),";",EscStr($J288),";"),CONCATENATE(";",EscStr(CONCATENATE("NavNode_",getCategoryLevelAsString($B288))),";",EscStr(W288),";")))</f>
        <v>;"NavNode_L3D_525440";"Forrasztás";</v>
      </c>
      <c r="AQ288" s="10" t="str">
        <f>IF(getCategoryLevelAsString($B288)="L0D_324785","",IF(X288="",CONCATENATE(";",EscStr(CONCATENATE("NavNode_",getCategoryLevelAsString($B288))),";",EscStr($J288),";"),CONCATENATE(";",EscStr(CONCATENATE("NavNode_",getCategoryLevelAsString($B288))),";",EscStr(X288),";")))</f>
        <v>;"NavNode_L3D_525440";"Pájení";</v>
      </c>
      <c r="AR288" s="8" t="str">
        <f>IF(OR($A288&lt;&gt;"", $G288=""),"",CONCATENATE(";",EscStr(CONCATENATE("NavEntry_",getCategoryLevelAsString($B288))),";",EscStr(CONCATENATE($J288," Navigation Entry")),";",EscStr(CONCATENATE("cat-",getCategoryLevelAsString($B288))),";",EscStr(CONCATENATE("NavNode_",getCategoryLevelAsString($B288))),";"))</f>
        <v>;"NavEntry_L3D_525440";"Soldering Navigation Entry";"cat-L3D_525440";"NavNode_L3D_525440";</v>
      </c>
    </row>
    <row r="289" spans="1:44" ht="15" x14ac:dyDescent="0.25">
      <c r="A289" s="25"/>
      <c r="B289" s="5"/>
      <c r="C289" s="5"/>
      <c r="D289" s="5" t="s">
        <v>258</v>
      </c>
      <c r="E289" s="5"/>
      <c r="F289" s="5"/>
      <c r="G289" s="5" t="s">
        <v>576</v>
      </c>
      <c r="H289" s="5" t="s">
        <v>577</v>
      </c>
      <c r="I289" s="5" t="s">
        <v>578</v>
      </c>
      <c r="J289" s="5" t="s">
        <v>1201</v>
      </c>
      <c r="K289" s="5" t="s">
        <v>1259</v>
      </c>
      <c r="L289" s="5" t="s">
        <v>1494</v>
      </c>
      <c r="M289" s="5" t="s">
        <v>1725</v>
      </c>
      <c r="N289" s="5" t="s">
        <v>1927</v>
      </c>
      <c r="O289" s="5" t="s">
        <v>2945</v>
      </c>
      <c r="P289" s="5" t="s">
        <v>2946</v>
      </c>
      <c r="Q289" s="5" t="s">
        <v>2947</v>
      </c>
      <c r="R289" s="5" t="s">
        <v>2948</v>
      </c>
      <c r="S289" s="5" t="s">
        <v>2949</v>
      </c>
      <c r="T289" s="5" t="s">
        <v>2950</v>
      </c>
      <c r="U289" s="5" t="s">
        <v>2951</v>
      </c>
      <c r="V289" s="5" t="s">
        <v>2952</v>
      </c>
      <c r="W289" s="5" t="s">
        <v>2953</v>
      </c>
      <c r="X289" s="5" t="s">
        <v>2951</v>
      </c>
      <c r="Y289" s="10" t="str">
        <f>IF(OR($A289&lt;&gt;"", $G289=""),"",CONCATENATE(";",EscStr(CONCATENATE("NavNode_",getCategoryLevelAsString($B289))),";",EscStr($J289),";",IF($B289&lt;&gt;"","""MainNavNode""",EscStr(CONCATENATE("NavNode_",getSuperCategory($B289, getCategoryLevelAsNumber($B289))))),";"))</f>
        <v>;"NavNode_L3D_525438";"Standalone Soldering Irons";"NavNode_L2D_379533";</v>
      </c>
      <c r="Z289" s="10" t="str">
        <f>IF(getCategoryLevelAsString($B289)="L0D_324785","",IF(G289="",CONCATENATE(";",EscStr(CONCATENATE("NavNode_",getCategoryLevelAsString($B289))),";",EscStr($J289),";"),CONCATENATE(";",EscStr(CONCATENATE("NavNode_",getCategoryLevelAsString($B289))),";",EscStr(G289),";")))</f>
        <v>;"NavNode_L3D_525438";"Unabhängige Lötkolben";</v>
      </c>
      <c r="AA289" s="10" t="str">
        <f>IF(getCategoryLevelAsString($B289)="L0D_324785","",IF(H289="",CONCATENATE(";",EscStr(CONCATENATE("NavNode_",getCategoryLevelAsString($B289))),";",EscStr($J289),";"),CONCATENATE(";",EscStr(CONCATENATE("NavNode_",getCategoryLevelAsString($B289))),";",EscStr(H289),";")))</f>
        <v>;"NavNode_L3D_525438";"Fers à souder indépendants";</v>
      </c>
      <c r="AB289" s="10" t="str">
        <f>IF(getCategoryLevelAsString($B289)="L0D_324785","",IF(I289="",CONCATENATE(";",EscStr(CONCATENATE("NavNode_",getCategoryLevelAsString($B289))),";",EscStr($J289),";"),CONCATENATE(";",EscStr(CONCATENATE("NavNode_",getCategoryLevelAsString($B289))),";",EscStr(I289),";")))</f>
        <v>;"NavNode_L3D_525438";"Saldatori indipendenti";</v>
      </c>
      <c r="AC289" s="10" t="str">
        <f>IF(getCategoryLevelAsString($B289)="L0D_324785","",IF(J289="",CONCATENATE(";",EscStr(CONCATENATE("NavNode_",getCategoryLevelAsString($B289))),";",EscStr($J289),";"),CONCATENATE(";",EscStr(CONCATENATE("NavNode_",getCategoryLevelAsString($B289))),";",EscStr(J289),";")))</f>
        <v>;"NavNode_L3D_525438";"Standalone Soldering Irons";</v>
      </c>
      <c r="AD289" s="10" t="str">
        <f>IF(getCategoryLevelAsString($B289)="L0D_324785","",IF(K289="",CONCATENATE(";",EscStr(CONCATENATE("NavNode_",getCategoryLevelAsString($B289))),";",EscStr($J289),";"),CONCATENATE(";",EscStr(CONCATENATE("NavNode_",getCategoryLevelAsString($B289))),";",EscStr(K289),";")))</f>
        <v>;"NavNode_L3D_525438";"Uafhængige loddekolber";</v>
      </c>
      <c r="AE289" s="10" t="str">
        <f>IF(getCategoryLevelAsString($B289)="L0D_324785","",IF(L289="",CONCATENATE(";",EscStr(CONCATENATE("NavNode_",getCategoryLevelAsString($B289))),";",EscStr($J289),";"),CONCATENATE(";",EscStr(CONCATENATE("NavNode_",getCategoryLevelAsString($B289))),";",EscStr(L289),";")))</f>
        <v>;"NavNode_L3D_525438";"Autonominiai lituokliai";</v>
      </c>
      <c r="AF289" s="10" t="str">
        <f>IF(getCategoryLevelAsString($B289)="L0D_324785","",IF(M289="",CONCATENATE(";",EscStr(CONCATENATE("NavNode_",getCategoryLevelAsString($B289))),";",EscStr($J289),";"),CONCATENATE(";",EscStr(CONCATENATE("NavNode_",getCategoryLevelAsString($B289))),";",EscStr(M289),";")))</f>
        <v>;"NavNode_L3D_525438";"Frittstående loddebolter";</v>
      </c>
      <c r="AG289" s="10" t="str">
        <f>IF(getCategoryLevelAsString($B289)="L0D_324785","",IF(N289="",CONCATENATE(";",EscStr(CONCATENATE("NavNode_",getCategoryLevelAsString($B289))),";",EscStr($J289),";"),CONCATENATE(";",EscStr(CONCATENATE("NavNode_",getCategoryLevelAsString($B289))),";",EscStr(N289),";")))</f>
        <v>;"NavNode_L3D_525438";"Fristående lödkolvar";</v>
      </c>
      <c r="AH289" s="10" t="str">
        <f>IF(getCategoryLevelAsString($B289)="L0D_324785","",IF(O289="",CONCATENATE(";",EscStr(CONCATENATE("NavNode_",getCategoryLevelAsString($B289))),";",EscStr($J289),";"),CONCATENATE(";",EscStr(CONCATENATE("NavNode_",getCategoryLevelAsString($B289))),";",EscStr(O289),";")))</f>
        <v>;"NavNode_L3D_525438";"Autonoomsed jootekolvid";</v>
      </c>
      <c r="AI289" s="10" t="str">
        <f>IF(getCategoryLevelAsString($B289)="L0D_324785","",IF(P289="",CONCATENATE(";",EscStr(CONCATENATE("NavNode_",getCategoryLevelAsString($B289))),";",EscStr($J289),";"),CONCATENATE(";",EscStr(CONCATENATE("NavNode_",getCategoryLevelAsString($B289))),";",EscStr(P289),";")))</f>
        <v>;"NavNode_L3D_525438";"Juotosasemat";</v>
      </c>
      <c r="AJ289" s="10" t="str">
        <f>IF(getCategoryLevelAsString($B289)="L0D_324785","",IF(Q289="",CONCATENATE(";",EscStr(CONCATENATE("NavNode_",getCategoryLevelAsString($B289))),";",EscStr($J289),";"),CONCATENATE(";",EscStr(CONCATENATE("NavNode_",getCategoryLevelAsString($B289))),";",EscStr(Q289),";")))</f>
        <v>;"NavNode_L3D_525438";"Atsevišķi lodāmuri";</v>
      </c>
      <c r="AK289" s="10" t="str">
        <f>IF(getCategoryLevelAsString($B289)="L0D_324785","",IF(R289="",CONCATENATE(";",EscStr(CONCATENATE("NavNode_",getCategoryLevelAsString($B289))),";",EscStr($J289),";"),CONCATENATE(";",EscStr(CONCATENATE("NavNode_",getCategoryLevelAsString($B289))),";",EscStr(R289),";")))</f>
        <v>;"NavNode_L3D_525438";"Losse soldeerbouten";</v>
      </c>
      <c r="AL289" s="10" t="str">
        <f>IF(getCategoryLevelAsString($B289)="L0D_324785","",IF(S289="",CONCATENATE(";",EscStr(CONCATENATE("NavNode_",getCategoryLevelAsString($B289))),";",EscStr($J289),";"),CONCATENATE(";",EscStr(CONCATENATE("NavNode_",getCategoryLevelAsString($B289))),";",EscStr(S289),";")))</f>
        <v>;"NavNode_L3D_525438";"Kolby lutownicze";</v>
      </c>
      <c r="AM289" s="10" t="str">
        <f>IF(getCategoryLevelAsString($B289)="L0D_324785","",IF(T289="",CONCATENATE(";",EscStr(CONCATENATE("NavNode_",getCategoryLevelAsString($B289))),";",EscStr($J289),";"),CONCATENATE(";",EscStr(CONCATENATE("NavNode_",getCategoryLevelAsString($B289))),";",EscStr(T289),";")))</f>
        <v>;"NavNode_L3D_525438";"Автономные Паяльники";</v>
      </c>
      <c r="AN289" s="10" t="str">
        <f>IF(getCategoryLevelAsString($B289)="L0D_324785","",IF(U289="",CONCATENATE(";",EscStr(CONCATENATE("NavNode_",getCategoryLevelAsString($B289))),";",EscStr($J289),";"),CONCATENATE(";",EscStr(CONCATENATE("NavNode_",getCategoryLevelAsString($B289))),";",EscStr(U289),";")))</f>
        <v>;"NavNode_L3D_525438";"Páječky";</v>
      </c>
      <c r="AO289" s="10" t="str">
        <f>IF(getCategoryLevelAsString($B289)="L0D_324785","",IF(V289="",CONCATENATE(";",EscStr(CONCATENATE("NavNode_",getCategoryLevelAsString($B289))),";",EscStr($J289),";"),CONCATENATE(";",EscStr(CONCATENATE("NavNode_",getCategoryLevelAsString($B289))),";",EscStr(V289),";")))</f>
        <v>;"NavNode_L3D_525438";"Aparat de cositorit fără fir";</v>
      </c>
      <c r="AP289" s="10" t="str">
        <f>IF(getCategoryLevelAsString($B289)="L0D_324785","",IF(W289="",CONCATENATE(";",EscStr(CONCATENATE("NavNode_",getCategoryLevelAsString($B289))),";",EscStr($J289),";"),CONCATENATE(";",EscStr(CONCATENATE("NavNode_",getCategoryLevelAsString($B289))),";",EscStr(W289),";")))</f>
        <v>;"NavNode_L3D_525438";"Különálló forrasztópáka";</v>
      </c>
      <c r="AQ289" s="10" t="str">
        <f>IF(getCategoryLevelAsString($B289)="L0D_324785","",IF(X289="",CONCATENATE(";",EscStr(CONCATENATE("NavNode_",getCategoryLevelAsString($B289))),";",EscStr($J289),";"),CONCATENATE(";",EscStr(CONCATENATE("NavNode_",getCategoryLevelAsString($B289))),";",EscStr(X289),";")))</f>
        <v>;"NavNode_L3D_525438";"Páječky";</v>
      </c>
      <c r="AR289" s="8" t="str">
        <f>IF(OR($A289&lt;&gt;"", $G289=""),"",CONCATENATE(";",EscStr(CONCATENATE("NavEntry_",getCategoryLevelAsString($B289))),";",EscStr(CONCATENATE($J289," Navigation Entry")),";",EscStr(CONCATENATE("cat-",getCategoryLevelAsString($B289))),";",EscStr(CONCATENATE("NavNode_",getCategoryLevelAsString($B289))),";"))</f>
        <v>;"NavEntry_L3D_525438";"Standalone Soldering Irons Navigation Entry";"cat-L3D_525438";"NavNode_L3D_525438";</v>
      </c>
    </row>
    <row r="290" spans="1:44" ht="15" x14ac:dyDescent="0.25">
      <c r="A290" s="25"/>
      <c r="B290" s="5"/>
      <c r="C290" s="5"/>
      <c r="D290" s="5" t="s">
        <v>260</v>
      </c>
      <c r="E290" s="5"/>
      <c r="F290" s="5"/>
      <c r="G290" s="5" t="s">
        <v>1052</v>
      </c>
      <c r="H290" s="5" t="s">
        <v>1105</v>
      </c>
      <c r="I290" s="5" t="s">
        <v>1164</v>
      </c>
      <c r="J290" s="5" t="s">
        <v>921</v>
      </c>
      <c r="K290" s="5" t="s">
        <v>1260</v>
      </c>
      <c r="L290" s="5" t="s">
        <v>1495</v>
      </c>
      <c r="M290" s="5" t="s">
        <v>1726</v>
      </c>
      <c r="N290" s="5" t="s">
        <v>1928</v>
      </c>
      <c r="O290" s="5" t="s">
        <v>2954</v>
      </c>
      <c r="P290" s="5" t="s">
        <v>2955</v>
      </c>
      <c r="Q290" s="5" t="s">
        <v>2956</v>
      </c>
      <c r="R290" s="5" t="s">
        <v>2957</v>
      </c>
      <c r="S290" s="5" t="s">
        <v>2958</v>
      </c>
      <c r="T290" s="5" t="s">
        <v>2959</v>
      </c>
      <c r="U290" s="5" t="s">
        <v>2960</v>
      </c>
      <c r="V290" s="5" t="s">
        <v>2961</v>
      </c>
      <c r="W290" s="5" t="s">
        <v>2962</v>
      </c>
      <c r="X290" s="5" t="s">
        <v>2960</v>
      </c>
      <c r="Y290" s="10" t="str">
        <f>IF(OR($A290&lt;&gt;"", $G290=""),"",CONCATENATE(";",EscStr(CONCATENATE("NavNode_",getCategoryLevelAsString($B290))),";",EscStr($J290),";",IF($B290&lt;&gt;"","""MainNavNode""",EscStr(CONCATENATE("NavNode_",getSuperCategory($B290, getCategoryLevelAsNumber($B290))))),";"))</f>
        <v>;"NavNode_L3D_525446";"Soldering, Desoldering and Rework Stations";"NavNode_L2D_379533";</v>
      </c>
      <c r="Z290" s="10" t="str">
        <f>IF(getCategoryLevelAsString($B290)="L0D_324785","",IF(G290="",CONCATENATE(";",EscStr(CONCATENATE("NavNode_",getCategoryLevelAsString($B290))),";",EscStr($J290),";"),CONCATENATE(";",EscStr(CONCATENATE("NavNode_",getCategoryLevelAsString($B290))),";",EscStr(G290),";")))</f>
        <v>;"NavNode_L3D_525446";"Stationen für Löt-, Entlöt-und Rework-Arbeiten";</v>
      </c>
      <c r="AA290" s="10" t="str">
        <f>IF(getCategoryLevelAsString($B290)="L0D_324785","",IF(H290="",CONCATENATE(";",EscStr(CONCATENATE("NavNode_",getCategoryLevelAsString($B290))),";",EscStr($J290),";"),CONCATENATE(";",EscStr(CONCATENATE("NavNode_",getCategoryLevelAsString($B290))),";",EscStr(H290),";")))</f>
        <v>;"NavNode_L3D_525446";"Soudage, dessoudage et stations de réparation";</v>
      </c>
      <c r="AB290" s="10" t="str">
        <f>IF(getCategoryLevelAsString($B290)="L0D_324785","",IF(I290="",CONCATENATE(";",EscStr(CONCATENATE("NavNode_",getCategoryLevelAsString($B290))),";",EscStr($J290),";"),CONCATENATE(";",EscStr(CONCATENATE("NavNode_",getCategoryLevelAsString($B290))),";",EscStr(I290),";")))</f>
        <v>;"NavNode_L3D_525446";"Stazioni di saldatura, dissaldatura e rilavorazione";</v>
      </c>
      <c r="AC290" s="10" t="str">
        <f>IF(getCategoryLevelAsString($B290)="L0D_324785","",IF(J290="",CONCATENATE(";",EscStr(CONCATENATE("NavNode_",getCategoryLevelAsString($B290))),";",EscStr($J290),";"),CONCATENATE(";",EscStr(CONCATENATE("NavNode_",getCategoryLevelAsString($B290))),";",EscStr(J290),";")))</f>
        <v>;"NavNode_L3D_525446";"Soldering, Desoldering and Rework Stations";</v>
      </c>
      <c r="AD290" s="10" t="str">
        <f>IF(getCategoryLevelAsString($B290)="L0D_324785","",IF(K290="",CONCATENATE(";",EscStr(CONCATENATE("NavNode_",getCategoryLevelAsString($B290))),";",EscStr($J290),";"),CONCATENATE(";",EscStr(CONCATENATE("NavNode_",getCategoryLevelAsString($B290))),";",EscStr(K290),";")))</f>
        <v>;"NavNode_L3D_525446";"Lodde-, aflodnings- og reparationsstationer";</v>
      </c>
      <c r="AE290" s="10" t="str">
        <f>IF(getCategoryLevelAsString($B290)="L0D_324785","",IF(L290="",CONCATENATE(";",EscStr(CONCATENATE("NavNode_",getCategoryLevelAsString($B290))),";",EscStr($J290),";"),CONCATENATE(";",EscStr(CONCATENATE("NavNode_",getCategoryLevelAsString($B290))),";",EscStr(L290),";")))</f>
        <v>;"NavNode_L3D_525446";"Litavimo, lydmetalio šalinimo ir taisymo stotys";</v>
      </c>
      <c r="AF290" s="10" t="str">
        <f>IF(getCategoryLevelAsString($B290)="L0D_324785","",IF(M290="",CONCATENATE(";",EscStr(CONCATENATE("NavNode_",getCategoryLevelAsString($B290))),";",EscStr($J290),";"),CONCATENATE(";",EscStr(CONCATENATE("NavNode_",getCategoryLevelAsString($B290))),";",EscStr(M290),";")))</f>
        <v>;"NavNode_L3D_525446";"Lodde-, avloddings- og omarbeidingsstasjoner";</v>
      </c>
      <c r="AG290" s="10" t="str">
        <f>IF(getCategoryLevelAsString($B290)="L0D_324785","",IF(N290="",CONCATENATE(";",EscStr(CONCATENATE("NavNode_",getCategoryLevelAsString($B290))),";",EscStr($J290),";"),CONCATENATE(";",EscStr(CONCATENATE("NavNode_",getCategoryLevelAsString($B290))),";",EscStr(N290),";")))</f>
        <v>;"NavNode_L3D_525446";"Lödnings-, avlödnings- och omarbetningsstationer";</v>
      </c>
      <c r="AH290" s="10" t="str">
        <f>IF(getCategoryLevelAsString($B290)="L0D_324785","",IF(O290="",CONCATENATE(";",EscStr(CONCATENATE("NavNode_",getCategoryLevelAsString($B290))),";",EscStr($J290),";"),CONCATENATE(";",EscStr(CONCATENATE("NavNode_",getCategoryLevelAsString($B290))),";",EscStr(O290),";")))</f>
        <v>;"NavNode_L3D_525446";"Joote- ja lahtijootejaamad";</v>
      </c>
      <c r="AI290" s="10" t="str">
        <f>IF(getCategoryLevelAsString($B290)="L0D_324785","",IF(P290="",CONCATENATE(";",EscStr(CONCATENATE("NavNode_",getCategoryLevelAsString($B290))),";",EscStr($J290),";"),CONCATENATE(";",EscStr(CONCATENATE("NavNode_",getCategoryLevelAsString($B290))),";",EscStr(P290),";")))</f>
        <v>;"NavNode_L3D_525446";"Juotosasema, irroitus ja juottaminen";</v>
      </c>
      <c r="AJ290" s="10" t="str">
        <f>IF(getCategoryLevelAsString($B290)="L0D_324785","",IF(Q290="",CONCATENATE(";",EscStr(CONCATENATE("NavNode_",getCategoryLevelAsString($B290))),";",EscStr($J290),";"),CONCATENATE(";",EscStr(CONCATENATE("NavNode_",getCategoryLevelAsString($B290))),";",EscStr(Q290),";")))</f>
        <v>;"NavNode_L3D_525446";"Lodēšanas, atlodēšanas un karstā gaisa stacijas";</v>
      </c>
      <c r="AK290" s="10" t="str">
        <f>IF(getCategoryLevelAsString($B290)="L0D_324785","",IF(R290="",CONCATENATE(";",EscStr(CONCATENATE("NavNode_",getCategoryLevelAsString($B290))),";",EscStr($J290),";"),CONCATENATE(";",EscStr(CONCATENATE("NavNode_",getCategoryLevelAsString($B290))),";",EscStr(R290),";")))</f>
        <v>;"NavNode_L3D_525446";"Solderen, desolderen en rework stations";</v>
      </c>
      <c r="AL290" s="10" t="str">
        <f>IF(getCategoryLevelAsString($B290)="L0D_324785","",IF(S290="",CONCATENATE(";",EscStr(CONCATENATE("NavNode_",getCategoryLevelAsString($B290))),";",EscStr($J290),";"),CONCATENATE(";",EscStr(CONCATENATE("NavNode_",getCategoryLevelAsString($B290))),";",EscStr(S290),";")))</f>
        <v>;"NavNode_L3D_525446";"Stacje lutownicze, Stacje do rozlutowywania i Stacje naprawcze";</v>
      </c>
      <c r="AM290" s="10" t="str">
        <f>IF(getCategoryLevelAsString($B290)="L0D_324785","",IF(T290="",CONCATENATE(";",EscStr(CONCATENATE("NavNode_",getCategoryLevelAsString($B290))),";",EscStr($J290),";"),CONCATENATE(";",EscStr(CONCATENATE("NavNode_",getCategoryLevelAsString($B290))),";",EscStr(T290),";")))</f>
        <v>;"NavNode_L3D_525446";"Пайка, Припои и Паяльные станции";</v>
      </c>
      <c r="AN290" s="10" t="str">
        <f>IF(getCategoryLevelAsString($B290)="L0D_324785","",IF(U290="",CONCATENATE(";",EscStr(CONCATENATE("NavNode_",getCategoryLevelAsString($B290))),";",EscStr($J290),";"),CONCATENATE(";",EscStr(CONCATENATE("NavNode_",getCategoryLevelAsString($B290))),";",EscStr(U290),";")))</f>
        <v>;"NavNode_L3D_525446";"Stanice pro opravy, horkovzdušné pájení a odpájení";</v>
      </c>
      <c r="AO290" s="10" t="str">
        <f>IF(getCategoryLevelAsString($B290)="L0D_324785","",IF(V290="",CONCATENATE(";",EscStr(CONCATENATE("NavNode_",getCategoryLevelAsString($B290))),";",EscStr($J290),";"),CONCATENATE(";",EscStr(CONCATENATE("NavNode_",getCategoryLevelAsString($B290))),";",EscStr(V290),";")))</f>
        <v>;"NavNode_L3D_525446";"Staţii de lipit, dezlipit şi lucru de revizuire";</v>
      </c>
      <c r="AP290" s="10" t="str">
        <f>IF(getCategoryLevelAsString($B290)="L0D_324785","",IF(W290="",CONCATENATE(";",EscStr(CONCATENATE("NavNode_",getCategoryLevelAsString($B290))),";",EscStr($J290),";"),CONCATENATE(";",EscStr(CONCATENATE("NavNode_",getCategoryLevelAsString($B290))),";",EscStr(W290),";")))</f>
        <v>;"NavNode_L3D_525446";"Forrasztó- , kiforrasztó- és Rework-állomások";</v>
      </c>
      <c r="AQ290" s="10" t="str">
        <f>IF(getCategoryLevelAsString($B290)="L0D_324785","",IF(X290="",CONCATENATE(";",EscStr(CONCATENATE("NavNode_",getCategoryLevelAsString($B290))),";",EscStr($J290),";"),CONCATENATE(";",EscStr(CONCATENATE("NavNode_",getCategoryLevelAsString($B290))),";",EscStr(X290),";")))</f>
        <v>;"NavNode_L3D_525446";"Stanice pro opravy, horkovzdušné pájení a odpájení";</v>
      </c>
      <c r="AR290" s="8" t="str">
        <f>IF(OR($A290&lt;&gt;"", $G290=""),"",CONCATENATE(";",EscStr(CONCATENATE("NavEntry_",getCategoryLevelAsString($B290))),";",EscStr(CONCATENATE($J290," Navigation Entry")),";",EscStr(CONCATENATE("cat-",getCategoryLevelAsString($B290))),";",EscStr(CONCATENATE("NavNode_",getCategoryLevelAsString($B290))),";"))</f>
        <v>;"NavEntry_L3D_525446";"Soldering, Desoldering and Rework Stations Navigation Entry";"cat-L3D_525446";"NavNode_L3D_525446";</v>
      </c>
    </row>
    <row r="291" spans="1:44" ht="15" x14ac:dyDescent="0.25">
      <c r="A291" s="25"/>
      <c r="B291" s="5"/>
      <c r="C291" s="5"/>
      <c r="D291" s="5" t="s">
        <v>257</v>
      </c>
      <c r="E291" s="5"/>
      <c r="F291" s="5"/>
      <c r="G291" s="5" t="s">
        <v>965</v>
      </c>
      <c r="H291" s="5" t="s">
        <v>810</v>
      </c>
      <c r="I291" s="5" t="s">
        <v>711</v>
      </c>
      <c r="J291" s="5" t="s">
        <v>574</v>
      </c>
      <c r="K291" s="5" t="s">
        <v>1261</v>
      </c>
      <c r="L291" s="5" t="s">
        <v>1496</v>
      </c>
      <c r="M291" s="5" t="s">
        <v>1727</v>
      </c>
      <c r="N291" s="5" t="s">
        <v>1929</v>
      </c>
      <c r="O291" s="5" t="s">
        <v>2963</v>
      </c>
      <c r="P291" s="5" t="s">
        <v>2964</v>
      </c>
      <c r="Q291" s="5" t="s">
        <v>2965</v>
      </c>
      <c r="R291" s="5" t="s">
        <v>2966</v>
      </c>
      <c r="S291" s="5" t="s">
        <v>2967</v>
      </c>
      <c r="T291" s="5" t="s">
        <v>2968</v>
      </c>
      <c r="U291" s="5" t="s">
        <v>2969</v>
      </c>
      <c r="V291" s="5" t="s">
        <v>2970</v>
      </c>
      <c r="W291" s="5" t="s">
        <v>2971</v>
      </c>
      <c r="X291" s="5" t="s">
        <v>2969</v>
      </c>
      <c r="Y291" s="10" t="str">
        <f>IF(OR($A291&lt;&gt;"", $G291=""),"",CONCATENATE(";",EscStr(CONCATENATE("NavNode_",getCategoryLevelAsString($B291))),";",EscStr($J291),";",IF($B291&lt;&gt;"","""MainNavNode""",EscStr(CONCATENATE("NavNode_",getSuperCategory($B291, getCategoryLevelAsNumber($B291))))),";"))</f>
        <v>;"NavNode_L3D_525444";"Solder Fume Extractor and Filter Systems";"NavNode_L2D_379533";</v>
      </c>
      <c r="Z291" s="10" t="str">
        <f>IF(getCategoryLevelAsString($B291)="L0D_324785","",IF(G291="",CONCATENATE(";",EscStr(CONCATENATE("NavNode_",getCategoryLevelAsString($B291))),";",EscStr($J291),";"),CONCATENATE(";",EscStr(CONCATENATE("NavNode_",getCategoryLevelAsString($B291))),";",EscStr(G291),";")))</f>
        <v>;"NavNode_L3D_525444";"Lötdampfabsorber und Filtersysteme";</v>
      </c>
      <c r="AA291" s="10" t="str">
        <f>IF(getCategoryLevelAsString($B291)="L0D_324785","",IF(H291="",CONCATENATE(";",EscStr(CONCATENATE("NavNode_",getCategoryLevelAsString($B291))),";",EscStr($J291),";"),CONCATENATE(";",EscStr(CONCATENATE("NavNode_",getCategoryLevelAsString($B291))),";",EscStr(H291),";")))</f>
        <v>;"NavNode_L3D_525444";"Absorbeur de vapeur de soudure et systèmes de filtre";</v>
      </c>
      <c r="AB291" s="10" t="str">
        <f>IF(getCategoryLevelAsString($B291)="L0D_324785","",IF(I291="",CONCATENATE(";",EscStr(CONCATENATE("NavNode_",getCategoryLevelAsString($B291))),";",EscStr($J291),";"),CONCATENATE(";",EscStr(CONCATENATE("NavNode_",getCategoryLevelAsString($B291))),";",EscStr(I291),";")))</f>
        <v>;"NavNode_L3D_525444";"Assorbenti del vapore di saldatura e sistemi di filtraggio";</v>
      </c>
      <c r="AC291" s="10" t="str">
        <f>IF(getCategoryLevelAsString($B291)="L0D_324785","",IF(J291="",CONCATENATE(";",EscStr(CONCATENATE("NavNode_",getCategoryLevelAsString($B291))),";",EscStr($J291),";"),CONCATENATE(";",EscStr(CONCATENATE("NavNode_",getCategoryLevelAsString($B291))),";",EscStr(J291),";")))</f>
        <v>;"NavNode_L3D_525444";"Solder Fume Extractor and Filter Systems";</v>
      </c>
      <c r="AD291" s="10" t="str">
        <f>IF(getCategoryLevelAsString($B291)="L0D_324785","",IF(K291="",CONCATENATE(";",EscStr(CONCATENATE("NavNode_",getCategoryLevelAsString($B291))),";",EscStr($J291),";"),CONCATENATE(";",EscStr(CONCATENATE("NavNode_",getCategoryLevelAsString($B291))),";",EscStr(K291),";")))</f>
        <v>;"NavNode_L3D_525444";"Lodderøgsudsugnings- og filtersystemer";</v>
      </c>
      <c r="AE291" s="10" t="str">
        <f>IF(getCategoryLevelAsString($B291)="L0D_324785","",IF(L291="",CONCATENATE(";",EscStr(CONCATENATE("NavNode_",getCategoryLevelAsString($B291))),";",EscStr($J291),";"),CONCATENATE(";",EscStr(CONCATENATE("NavNode_",getCategoryLevelAsString($B291))),";",EscStr(L291),";")))</f>
        <v>;"NavNode_L3D_525444";"Litavimo dūmų ištraukimo ir filtravimo sistemos";</v>
      </c>
      <c r="AF291" s="10" t="str">
        <f>IF(getCategoryLevelAsString($B291)="L0D_324785","",IF(M291="",CONCATENATE(";",EscStr(CONCATENATE("NavNode_",getCategoryLevelAsString($B291))),";",EscStr($J291),";"),CONCATENATE(";",EscStr(CONCATENATE("NavNode_",getCategoryLevelAsString($B291))),";",EscStr(M291),";")))</f>
        <v>;"NavNode_L3D_525444";"Ventilator for lodderøyk og filtersystemer";</v>
      </c>
      <c r="AG291" s="10" t="str">
        <f>IF(getCategoryLevelAsString($B291)="L0D_324785","",IF(N291="",CONCATENATE(";",EscStr(CONCATENATE("NavNode_",getCategoryLevelAsString($B291))),";",EscStr($J291),";"),CONCATENATE(";",EscStr(CONCATENATE("NavNode_",getCategoryLevelAsString($B291))),";",EscStr(N291),";")))</f>
        <v>;"NavNode_L3D_525444";"System för utsug och filtrering av lödrök";</v>
      </c>
      <c r="AH291" s="10" t="str">
        <f>IF(getCategoryLevelAsString($B291)="L0D_324785","",IF(O291="",CONCATENATE(";",EscStr(CONCATENATE("NavNode_",getCategoryLevelAsString($B291))),";",EscStr($J291),";"),CONCATENATE(";",EscStr(CONCATENATE("NavNode_",getCategoryLevelAsString($B291))),";",EscStr(O291),";")))</f>
        <v>;"NavNode_L3D_525444";"Jooteaurude eemaldajad ja filtreerimisseadmed";</v>
      </c>
      <c r="AI291" s="10" t="str">
        <f>IF(getCategoryLevelAsString($B291)="L0D_324785","",IF(P291="",CONCATENATE(";",EscStr(CONCATENATE("NavNode_",getCategoryLevelAsString($B291))),";",EscStr($J291),";"),CONCATENATE(";",EscStr(CONCATENATE("NavNode_",getCategoryLevelAsString($B291))),";",EscStr(P291),";")))</f>
        <v>;"NavNode_L3D_525444";"Juotoskaasuimuri";</v>
      </c>
      <c r="AJ291" s="10" t="str">
        <f>IF(getCategoryLevelAsString($B291)="L0D_324785","",IF(Q291="",CONCATENATE(";",EscStr(CONCATENATE("NavNode_",getCategoryLevelAsString($B291))),";",EscStr($J291),";"),CONCATENATE(";",EscStr(CONCATENATE("NavNode_",getCategoryLevelAsString($B291))),";",EscStr(Q291),";")))</f>
        <v>;"NavNode_L3D_525444";"Lodēšanas tvaiku atsūcēji un filtri";</v>
      </c>
      <c r="AK291" s="10" t="str">
        <f>IF(getCategoryLevelAsString($B291)="L0D_324785","",IF(R291="",CONCATENATE(";",EscStr(CONCATENATE("NavNode_",getCategoryLevelAsString($B291))),";",EscStr($J291),";"),CONCATENATE(";",EscStr(CONCATENATE("NavNode_",getCategoryLevelAsString($B291))),";",EscStr(R291),";")))</f>
        <v>;"NavNode_L3D_525444";"Soldeerdampafzuiging en filtersystemen";</v>
      </c>
      <c r="AL291" s="10" t="str">
        <f>IF(getCategoryLevelAsString($B291)="L0D_324785","",IF(S291="",CONCATENATE(";",EscStr(CONCATENATE("NavNode_",getCategoryLevelAsString($B291))),";",EscStr($J291),";"),CONCATENATE(";",EscStr(CONCATENATE("NavNode_",getCategoryLevelAsString($B291))),";",EscStr(S291),";")))</f>
        <v>;"NavNode_L3D_525444";"Pochłaniacze oparów lutowania i Systemy filtrowania";</v>
      </c>
      <c r="AM291" s="10" t="str">
        <f>IF(getCategoryLevelAsString($B291)="L0D_324785","",IF(T291="",CONCATENATE(";",EscStr(CONCATENATE("NavNode_",getCategoryLevelAsString($B291))),";",EscStr($J291),";"),CONCATENATE(";",EscStr(CONCATENATE("NavNode_",getCategoryLevelAsString($B291))),";",EscStr(T291),";")))</f>
        <v>;"NavNode_L3D_525444";"Поглотители дыма при пайке и системы фильтров";</v>
      </c>
      <c r="AN291" s="10" t="str">
        <f>IF(getCategoryLevelAsString($B291)="L0D_324785","",IF(U291="",CONCATENATE(";",EscStr(CONCATENATE("NavNode_",getCategoryLevelAsString($B291))),";",EscStr($J291),";"),CONCATENATE(";",EscStr(CONCATENATE("NavNode_",getCategoryLevelAsString($B291))),";",EscStr(U291),";")))</f>
        <v>;"NavNode_L3D_525444";"Zachycovač výparů z pájení / filtrační systémy";</v>
      </c>
      <c r="AO291" s="10" t="str">
        <f>IF(getCategoryLevelAsString($B291)="L0D_324785","",IF(V291="",CONCATENATE(";",EscStr(CONCATENATE("NavNode_",getCategoryLevelAsString($B291))),";",EscStr($J291),";"),CONCATENATE(";",EscStr(CONCATENATE("NavNode_",getCategoryLevelAsString($B291))),";",EscStr(V291),";")))</f>
        <v>;"NavNode_L3D_525444";"Sisteme de absorbţie şi filtrare a vaporilor de la cositorire";</v>
      </c>
      <c r="AP291" s="10" t="str">
        <f>IF(getCategoryLevelAsString($B291)="L0D_324785","",IF(W291="",CONCATENATE(";",EscStr(CONCATENATE("NavNode_",getCategoryLevelAsString($B291))),";",EscStr($J291),";"),CONCATENATE(";",EscStr(CONCATENATE("NavNode_",getCategoryLevelAsString($B291))),";",EscStr(W291),";")))</f>
        <v>;"NavNode_L3D_525444";"Forrasztófüst elszívó- és szűrőrendszerek";</v>
      </c>
      <c r="AQ291" s="10" t="str">
        <f>IF(getCategoryLevelAsString($B291)="L0D_324785","",IF(X291="",CONCATENATE(";",EscStr(CONCATENATE("NavNode_",getCategoryLevelAsString($B291))),";",EscStr($J291),";"),CONCATENATE(";",EscStr(CONCATENATE("NavNode_",getCategoryLevelAsString($B291))),";",EscStr(X291),";")))</f>
        <v>;"NavNode_L3D_525444";"Zachycovač výparů z pájení / filtrační systémy";</v>
      </c>
      <c r="AR291" s="8" t="str">
        <f>IF(OR($A291&lt;&gt;"", $G291=""),"",CONCATENATE(";",EscStr(CONCATENATE("NavEntry_",getCategoryLevelAsString($B291))),";",EscStr(CONCATENATE($J291," Navigation Entry")),";",EscStr(CONCATENATE("cat-",getCategoryLevelAsString($B291))),";",EscStr(CONCATENATE("NavNode_",getCategoryLevelAsString($B291))),";"))</f>
        <v>;"NavEntry_L3D_525444";"Solder Fume Extractor and Filter Systems Navigation Entry";"cat-L3D_525444";"NavNode_L3D_525444";</v>
      </c>
    </row>
    <row r="292" spans="1:44" ht="15" x14ac:dyDescent="0.25">
      <c r="A292" s="25"/>
      <c r="B292" s="5"/>
      <c r="C292" s="5"/>
      <c r="D292" s="5" t="s">
        <v>261</v>
      </c>
      <c r="E292" s="5"/>
      <c r="F292" s="5"/>
      <c r="G292" s="5" t="s">
        <v>1053</v>
      </c>
      <c r="H292" s="5" t="s">
        <v>1106</v>
      </c>
      <c r="I292" s="5" t="s">
        <v>1165</v>
      </c>
      <c r="J292" s="5" t="s">
        <v>922</v>
      </c>
      <c r="K292" s="5" t="s">
        <v>1262</v>
      </c>
      <c r="L292" s="5" t="s">
        <v>1497</v>
      </c>
      <c r="M292" s="5" t="s">
        <v>1728</v>
      </c>
      <c r="N292" s="5" t="s">
        <v>1930</v>
      </c>
      <c r="O292" s="5" t="s">
        <v>2972</v>
      </c>
      <c r="P292" s="5" t="s">
        <v>2973</v>
      </c>
      <c r="Q292" s="5" t="s">
        <v>2974</v>
      </c>
      <c r="R292" s="5" t="s">
        <v>2975</v>
      </c>
      <c r="S292" s="5" t="s">
        <v>2976</v>
      </c>
      <c r="T292" s="5" t="s">
        <v>2977</v>
      </c>
      <c r="U292" s="5" t="s">
        <v>2978</v>
      </c>
      <c r="V292" s="5" t="s">
        <v>2979</v>
      </c>
      <c r="W292" s="5" t="s">
        <v>2980</v>
      </c>
      <c r="X292" s="5" t="s">
        <v>2978</v>
      </c>
      <c r="Y292" s="10" t="str">
        <f>IF(OR($A292&lt;&gt;"", $G292=""),"",CONCATENATE(";",EscStr(CONCATENATE("NavNode_",getCategoryLevelAsString($B292))),";",EscStr($J292),";",IF($B292&lt;&gt;"","""MainNavNode""",EscStr(CONCATENATE("NavNode_",getSuperCategory($B292, getCategoryLevelAsNumber($B292))))),";"))</f>
        <v>;"NavNode_L3D_525443";"Soldering tips, Desoldering and Hot Air Nozzles";"NavNode_L2D_379533";</v>
      </c>
      <c r="Z292" s="10" t="str">
        <f>IF(getCategoryLevelAsString($B292)="L0D_324785","",IF(G292="",CONCATENATE(";",EscStr(CONCATENATE("NavNode_",getCategoryLevelAsString($B292))),";",EscStr($J292),";"),CONCATENATE(";",EscStr(CONCATENATE("NavNode_",getCategoryLevelAsString($B292))),";",EscStr(G292),";")))</f>
        <v>;"NavNode_L3D_525443";"Lötspitzen, Entlöt- und Heissluftdüsen";</v>
      </c>
      <c r="AA292" s="10" t="str">
        <f>IF(getCategoryLevelAsString($B292)="L0D_324785","",IF(H292="",CONCATENATE(";",EscStr(CONCATENATE("NavNode_",getCategoryLevelAsString($B292))),";",EscStr($J292),";"),CONCATENATE(";",EscStr(CONCATENATE("NavNode_",getCategoryLevelAsString($B292))),";",EscStr(H292),";")))</f>
        <v>;"NavNode_L3D_525443";"Pannes à souder, dessoudage et buses de souffleur d'air chaud";</v>
      </c>
      <c r="AB292" s="10" t="str">
        <f>IF(getCategoryLevelAsString($B292)="L0D_324785","",IF(I292="",CONCATENATE(";",EscStr(CONCATENATE("NavNode_",getCategoryLevelAsString($B292))),";",EscStr($J292),";"),CONCATENATE(";",EscStr(CONCATENATE("NavNode_",getCategoryLevelAsString($B292))),";",EscStr(I292),";")))</f>
        <v>;"NavNode_L3D_525443";"Punte per saldatore, ugelli aria calda e dissaldanti";</v>
      </c>
      <c r="AC292" s="10" t="str">
        <f>IF(getCategoryLevelAsString($B292)="L0D_324785","",IF(J292="",CONCATENATE(";",EscStr(CONCATENATE("NavNode_",getCategoryLevelAsString($B292))),";",EscStr($J292),";"),CONCATENATE(";",EscStr(CONCATENATE("NavNode_",getCategoryLevelAsString($B292))),";",EscStr(J292),";")))</f>
        <v>;"NavNode_L3D_525443";"Soldering tips, Desoldering and Hot Air Nozzles";</v>
      </c>
      <c r="AD292" s="10" t="str">
        <f>IF(getCategoryLevelAsString($B292)="L0D_324785","",IF(K292="",CONCATENATE(";",EscStr(CONCATENATE("NavNode_",getCategoryLevelAsString($B292))),";",EscStr($J292),";"),CONCATENATE(";",EscStr(CONCATENATE("NavNode_",getCategoryLevelAsString($B292))),";",EscStr(K292),";")))</f>
        <v>;"NavNode_L3D_525443";"Loddespidser, aflodnings- og varmluftsdyser";</v>
      </c>
      <c r="AE292" s="10" t="str">
        <f>IF(getCategoryLevelAsString($B292)="L0D_324785","",IF(L292="",CONCATENATE(";",EscStr(CONCATENATE("NavNode_",getCategoryLevelAsString($B292))),";",EscStr($J292),";"),CONCATENATE(";",EscStr(CONCATENATE("NavNode_",getCategoryLevelAsString($B292))),";",EscStr(L292),";")))</f>
        <v>;"NavNode_L3D_525443";"Litavimo antgaliai, lydmetalio šalinimo ir karšto oro antgaliai";</v>
      </c>
      <c r="AF292" s="10" t="str">
        <f>IF(getCategoryLevelAsString($B292)="L0D_324785","",IF(M292="",CONCATENATE(";",EscStr(CONCATENATE("NavNode_",getCategoryLevelAsString($B292))),";",EscStr($J292),";"),CONCATENATE(";",EscStr(CONCATENATE("NavNode_",getCategoryLevelAsString($B292))),";",EscStr(M292),";")))</f>
        <v>;"NavNode_L3D_525443";"Loddespisser, tinnfjerning og varmluftsdyser";</v>
      </c>
      <c r="AG292" s="10" t="str">
        <f>IF(getCategoryLevelAsString($B292)="L0D_324785","",IF(N292="",CONCATENATE(";",EscStr(CONCATENATE("NavNode_",getCategoryLevelAsString($B292))),";",EscStr($J292),";"),CONCATENATE(";",EscStr(CONCATENATE("NavNode_",getCategoryLevelAsString($B292))),";",EscStr(N292),";")))</f>
        <v>;"NavNode_L3D_525443";"Lödspetsar, avlödnings- och hetluftsmunstycken";</v>
      </c>
      <c r="AH292" s="10" t="str">
        <f>IF(getCategoryLevelAsString($B292)="L0D_324785","",IF(O292="",CONCATENATE(";",EscStr(CONCATENATE("NavNode_",getCategoryLevelAsString($B292))),";",EscStr($J292),";"),CONCATENATE(";",EscStr(CONCATENATE("NavNode_",getCategoryLevelAsString($B292))),";",EscStr(O292),";")))</f>
        <v>;"NavNode_L3D_525443";"Kolviotsad, lahtijootmis ja kuumaõhu kolbide otsikud";</v>
      </c>
      <c r="AI292" s="10" t="str">
        <f>IF(getCategoryLevelAsString($B292)="L0D_324785","",IF(P292="",CONCATENATE(";",EscStr(CONCATENATE("NavNode_",getCategoryLevelAsString($B292))),";",EscStr($J292),";"),CONCATENATE(";",EscStr(CONCATENATE("NavNode_",getCategoryLevelAsString($B292))),";",EscStr(P292),";")))</f>
        <v>;"NavNode_L3D_525443";"Juottimen kärjet,kuumailma suuttimet";</v>
      </c>
      <c r="AJ292" s="10" t="str">
        <f>IF(getCategoryLevelAsString($B292)="L0D_324785","",IF(Q292="",CONCATENATE(";",EscStr(CONCATENATE("NavNode_",getCategoryLevelAsString($B292))),";",EscStr($J292),";"),CONCATENATE(";",EscStr(CONCATENATE("NavNode_",getCategoryLevelAsString($B292))),";",EscStr(Q292),";")))</f>
        <v>;"NavNode_L3D_525443";"Lodēšanas uzgaļi, atlodēšanas un karstā gaisa sprauslas";</v>
      </c>
      <c r="AK292" s="10" t="str">
        <f>IF(getCategoryLevelAsString($B292)="L0D_324785","",IF(R292="",CONCATENATE(";",EscStr(CONCATENATE("NavNode_",getCategoryLevelAsString($B292))),";",EscStr($J292),";"),CONCATENATE(";",EscStr(CONCATENATE("NavNode_",getCategoryLevelAsString($B292))),";",EscStr(R292),";")))</f>
        <v>;"NavNode_L3D_525443";"Soldeerstiften, desoldeer en hetelucht mondstuken";</v>
      </c>
      <c r="AL292" s="10" t="str">
        <f>IF(getCategoryLevelAsString($B292)="L0D_324785","",IF(S292="",CONCATENATE(";",EscStr(CONCATENATE("NavNode_",getCategoryLevelAsString($B292))),";",EscStr($J292),";"),CONCATENATE(";",EscStr(CONCATENATE("NavNode_",getCategoryLevelAsString($B292))),";",EscStr(S292),";")))</f>
        <v>;"NavNode_L3D_525443";"Groty lutownicze, końcówki do rozlutownic i dysze gorącego powietrza";</v>
      </c>
      <c r="AM292" s="10" t="str">
        <f>IF(getCategoryLevelAsString($B292)="L0D_324785","",IF(T292="",CONCATENATE(";",EscStr(CONCATENATE("NavNode_",getCategoryLevelAsString($B292))),";",EscStr($J292),";"),CONCATENATE(";",EscStr(CONCATENATE("NavNode_",getCategoryLevelAsString($B292))),";",EscStr(T292),";")))</f>
        <v>;"NavNode_L3D_525443";"Паяльные наконечники, Демонтажные и  Насадки горячего воздуха";</v>
      </c>
      <c r="AN292" s="10" t="str">
        <f>IF(getCategoryLevelAsString($B292)="L0D_324785","",IF(U292="",CONCATENATE(";",EscStr(CONCATENATE("NavNode_",getCategoryLevelAsString($B292))),";",EscStr($J292),";"),CONCATENATE(";",EscStr(CONCATENATE("NavNode_",getCategoryLevelAsString($B292))),";",EscStr(U292),";")))</f>
        <v>;"NavNode_L3D_525443";"Pájení, odpájení a horkovzdušné trysky";</v>
      </c>
      <c r="AO292" s="10" t="str">
        <f>IF(getCategoryLevelAsString($B292)="L0D_324785","",IF(V292="",CONCATENATE(";",EscStr(CONCATENATE("NavNode_",getCategoryLevelAsString($B292))),";",EscStr($J292),";"),CONCATENATE(";",EscStr(CONCATENATE("NavNode_",getCategoryLevelAsString($B292))),";",EscStr(V292),";")))</f>
        <v>;"NavNode_L3D_525443";"Vârfuri pentru aparatele de cositorit , descositorit - şi jeturi pentru aer fierbinte";</v>
      </c>
      <c r="AP292" s="10" t="str">
        <f>IF(getCategoryLevelAsString($B292)="L0D_324785","",IF(W292="",CONCATENATE(";",EscStr(CONCATENATE("NavNode_",getCategoryLevelAsString($B292))),";",EscStr($J292),";"),CONCATENATE(";",EscStr(CONCATENATE("NavNode_",getCategoryLevelAsString($B292))),";",EscStr(W292),";")))</f>
        <v>;"NavNode_L3D_525443";"Pákahegyek, kiforrasztó- és meleglevegő-adapterek";</v>
      </c>
      <c r="AQ292" s="10" t="str">
        <f>IF(getCategoryLevelAsString($B292)="L0D_324785","",IF(X292="",CONCATENATE(";",EscStr(CONCATENATE("NavNode_",getCategoryLevelAsString($B292))),";",EscStr($J292),";"),CONCATENATE(";",EscStr(CONCATENATE("NavNode_",getCategoryLevelAsString($B292))),";",EscStr(X292),";")))</f>
        <v>;"NavNode_L3D_525443";"Pájení, odpájení a horkovzdušné trysky";</v>
      </c>
      <c r="AR292" s="8" t="str">
        <f>IF(OR($A292&lt;&gt;"", $G292=""),"",CONCATENATE(";",EscStr(CONCATENATE("NavEntry_",getCategoryLevelAsString($B292))),";",EscStr(CONCATENATE($J292," Navigation Entry")),";",EscStr(CONCATENATE("cat-",getCategoryLevelAsString($B292))),";",EscStr(CONCATENATE("NavNode_",getCategoryLevelAsString($B292))),";"))</f>
        <v>;"NavEntry_L3D_525443";"Soldering tips, Desoldering and Hot Air Nozzles Navigation Entry";"cat-L3D_525443";"NavNode_L3D_525443";</v>
      </c>
    </row>
    <row r="293" spans="1:44" ht="15" x14ac:dyDescent="0.25">
      <c r="A293" s="25"/>
      <c r="B293" s="5"/>
      <c r="C293" s="5"/>
      <c r="D293" s="5" t="s">
        <v>255</v>
      </c>
      <c r="E293" s="5"/>
      <c r="F293" s="5"/>
      <c r="G293" s="5" t="s">
        <v>570</v>
      </c>
      <c r="H293" s="5" t="s">
        <v>571</v>
      </c>
      <c r="I293" s="5" t="s">
        <v>572</v>
      </c>
      <c r="J293" s="5" t="s">
        <v>573</v>
      </c>
      <c r="K293" s="5" t="s">
        <v>1263</v>
      </c>
      <c r="L293" s="5" t="s">
        <v>1498</v>
      </c>
      <c r="M293" s="5" t="s">
        <v>1729</v>
      </c>
      <c r="N293" s="5" t="s">
        <v>1931</v>
      </c>
      <c r="O293" s="5" t="s">
        <v>2981</v>
      </c>
      <c r="P293" s="5" t="s">
        <v>2982</v>
      </c>
      <c r="Q293" s="5" t="s">
        <v>2983</v>
      </c>
      <c r="R293" s="5" t="s">
        <v>2984</v>
      </c>
      <c r="S293" s="5" t="s">
        <v>2985</v>
      </c>
      <c r="T293" s="5" t="s">
        <v>2986</v>
      </c>
      <c r="U293" s="5" t="s">
        <v>2987</v>
      </c>
      <c r="V293" s="5" t="s">
        <v>2988</v>
      </c>
      <c r="W293" s="5" t="s">
        <v>2989</v>
      </c>
      <c r="X293" s="5" t="s">
        <v>2987</v>
      </c>
      <c r="Y293" s="10" t="str">
        <f>IF(OR($A293&lt;&gt;"", $G293=""),"",CONCATENATE(";",EscStr(CONCATENATE("NavNode_",getCategoryLevelAsString($B293))),";",EscStr($J293),";",IF($B293&lt;&gt;"","""MainNavNode""",EscStr(CONCATENATE("NavNode_",getSuperCategory($B293, getCategoryLevelAsNumber($B293))))),";"))</f>
        <v>;"NavNode_Workplace / Maintenance / Mechanical Components";"Soldering Accessories and Replacement Parts";"NavNode_L0D_324785";</v>
      </c>
      <c r="Z293" s="10" t="str">
        <f>IF(getCategoryLevelAsString($B293)="L0D_324785","",IF(G293="",CONCATENATE(";",EscStr(CONCATENATE("NavNode_",getCategoryLevelAsString($B293))),";",EscStr($J293),";"),CONCATENATE(";",EscStr(CONCATENATE("NavNode_",getCategoryLevelAsString($B293))),";",EscStr(G293),";")))</f>
        <v>;"NavNode_Workplace / Maintenance / Mechanical Components";"Lötzubehör und Ersatzteile";</v>
      </c>
      <c r="AA293" s="10" t="str">
        <f>IF(getCategoryLevelAsString($B293)="L0D_324785","",IF(H293="",CONCATENATE(";",EscStr(CONCATENATE("NavNode_",getCategoryLevelAsString($B293))),";",EscStr($J293),";"),CONCATENATE(";",EscStr(CONCATENATE("NavNode_",getCategoryLevelAsString($B293))),";",EscStr(H293),";")))</f>
        <v>;"NavNode_Workplace / Maintenance / Mechanical Components";"Accessoires pour soudage et pièces de rechange";</v>
      </c>
      <c r="AB293" s="10" t="str">
        <f>IF(getCategoryLevelAsString($B293)="L0D_324785","",IF(I293="",CONCATENATE(";",EscStr(CONCATENATE("NavNode_",getCategoryLevelAsString($B293))),";",EscStr($J293),";"),CONCATENATE(";",EscStr(CONCATENATE("NavNode_",getCategoryLevelAsString($B293))),";",EscStr(I293),";")))</f>
        <v>;"NavNode_Workplace / Maintenance / Mechanical Components";"Accessori per saldatura e ricambi";</v>
      </c>
      <c r="AC293" s="10" t="str">
        <f>IF(getCategoryLevelAsString($B293)="L0D_324785","",IF(J293="",CONCATENATE(";",EscStr(CONCATENATE("NavNode_",getCategoryLevelAsString($B293))),";",EscStr($J293),";"),CONCATENATE(";",EscStr(CONCATENATE("NavNode_",getCategoryLevelAsString($B293))),";",EscStr(J293),";")))</f>
        <v>;"NavNode_Workplace / Maintenance / Mechanical Components";"Soldering Accessories and Replacement Parts";</v>
      </c>
      <c r="AD293" s="10" t="str">
        <f>IF(getCategoryLevelAsString($B293)="L0D_324785","",IF(K293="",CONCATENATE(";",EscStr(CONCATENATE("NavNode_",getCategoryLevelAsString($B293))),";",EscStr($J293),";"),CONCATENATE(";",EscStr(CONCATENATE("NavNode_",getCategoryLevelAsString($B293))),";",EscStr(K293),";")))</f>
        <v>;"NavNode_Workplace / Maintenance / Mechanical Components";"Loddetilbehør og reservedele";</v>
      </c>
      <c r="AE293" s="10" t="str">
        <f>IF(getCategoryLevelAsString($B293)="L0D_324785","",IF(L293="",CONCATENATE(";",EscStr(CONCATENATE("NavNode_",getCategoryLevelAsString($B293))),";",EscStr($J293),";"),CONCATENATE(";",EscStr(CONCATENATE("NavNode_",getCategoryLevelAsString($B293))),";",EscStr(L293),";")))</f>
        <v>;"NavNode_Workplace / Maintenance / Mechanical Components";"Litavimo priedai ir pakaitinės dalys";</v>
      </c>
      <c r="AF293" s="10" t="str">
        <f>IF(getCategoryLevelAsString($B293)="L0D_324785","",IF(M293="",CONCATENATE(";",EscStr(CONCATENATE("NavNode_",getCategoryLevelAsString($B293))),";",EscStr($J293),";"),CONCATENATE(";",EscStr(CONCATENATE("NavNode_",getCategoryLevelAsString($B293))),";",EscStr(M293),";")))</f>
        <v>;"NavNode_Workplace / Maintenance / Mechanical Components";"Tilbhør og reservedeler til loddeutstyr";</v>
      </c>
      <c r="AG293" s="10" t="str">
        <f>IF(getCategoryLevelAsString($B293)="L0D_324785","",IF(N293="",CONCATENATE(";",EscStr(CONCATENATE("NavNode_",getCategoryLevelAsString($B293))),";",EscStr($J293),";"),CONCATENATE(";",EscStr(CONCATENATE("NavNode_",getCategoryLevelAsString($B293))),";",EscStr(N293),";")))</f>
        <v>;"NavNode_Workplace / Maintenance / Mechanical Components";"Lödtillbehör och reservdelar";</v>
      </c>
      <c r="AH293" s="10" t="str">
        <f>IF(getCategoryLevelAsString($B293)="L0D_324785","",IF(O293="",CONCATENATE(";",EscStr(CONCATENATE("NavNode_",getCategoryLevelAsString($B293))),";",EscStr($J293),";"),CONCATENATE(";",EscStr(CONCATENATE("NavNode_",getCategoryLevelAsString($B293))),";",EscStr(O293),";")))</f>
        <v>;"NavNode_Workplace / Maintenance / Mechanical Components";"Jootetarvikud ja varuosad";</v>
      </c>
      <c r="AI293" s="10" t="str">
        <f>IF(getCategoryLevelAsString($B293)="L0D_324785","",IF(P293="",CONCATENATE(";",EscStr(CONCATENATE("NavNode_",getCategoryLevelAsString($B293))),";",EscStr($J293),";"),CONCATENATE(";",EscStr(CONCATENATE("NavNode_",getCategoryLevelAsString($B293))),";",EscStr(P293),";")))</f>
        <v>;"NavNode_Workplace / Maintenance / Mechanical Components";"Juottimen osia";</v>
      </c>
      <c r="AJ293" s="10" t="str">
        <f>IF(getCategoryLevelAsString($B293)="L0D_324785","",IF(Q293="",CONCATENATE(";",EscStr(CONCATENATE("NavNode_",getCategoryLevelAsString($B293))),";",EscStr($J293),";"),CONCATENATE(";",EscStr(CONCATENATE("NavNode_",getCategoryLevelAsString($B293))),";",EscStr(Q293),";")))</f>
        <v>;"NavNode_Workplace / Maintenance / Mechanical Components";"Lodēšanas piederumi un rezerves daļas";</v>
      </c>
      <c r="AK293" s="10" t="str">
        <f>IF(getCategoryLevelAsString($B293)="L0D_324785","",IF(R293="",CONCATENATE(";",EscStr(CONCATENATE("NavNode_",getCategoryLevelAsString($B293))),";",EscStr($J293),";"),CONCATENATE(";",EscStr(CONCATENATE("NavNode_",getCategoryLevelAsString($B293))),";",EscStr(R293),";")))</f>
        <v>;"NavNode_Workplace / Maintenance / Mechanical Components";"Soldeer accessoires en vervangende onderdelen";</v>
      </c>
      <c r="AL293" s="10" t="str">
        <f>IF(getCategoryLevelAsString($B293)="L0D_324785","",IF(S293="",CONCATENATE(";",EscStr(CONCATENATE("NavNode_",getCategoryLevelAsString($B293))),";",EscStr($J293),";"),CONCATENATE(";",EscStr(CONCATENATE("NavNode_",getCategoryLevelAsString($B293))),";",EscStr(S293),";")))</f>
        <v>;"NavNode_Workplace / Maintenance / Mechanical Components";"Akcesoria lutownicze i Części zamienne";</v>
      </c>
      <c r="AM293" s="10" t="str">
        <f>IF(getCategoryLevelAsString($B293)="L0D_324785","",IF(T293="",CONCATENATE(";",EscStr(CONCATENATE("NavNode_",getCategoryLevelAsString($B293))),";",EscStr($J293),";"),CONCATENATE(";",EscStr(CONCATENATE("NavNode_",getCategoryLevelAsString($B293))),";",EscStr(T293),";")))</f>
        <v>;"NavNode_Workplace / Maintenance / Mechanical Components";"Принадлежности и запчасти для пайки";</v>
      </c>
      <c r="AN293" s="10" t="str">
        <f>IF(getCategoryLevelAsString($B293)="L0D_324785","",IF(U293="",CONCATENATE(";",EscStr(CONCATENATE("NavNode_",getCategoryLevelAsString($B293))),";",EscStr($J293),";"),CONCATENATE(";",EscStr(CONCATENATE("NavNode_",getCategoryLevelAsString($B293))),";",EscStr(U293),";")))</f>
        <v>;"NavNode_Workplace / Maintenance / Mechanical Components";"Pájecí příslušenství a náhradní díly";</v>
      </c>
      <c r="AO293" s="10" t="str">
        <f>IF(getCategoryLevelAsString($B293)="L0D_324785","",IF(V293="",CONCATENATE(";",EscStr(CONCATENATE("NavNode_",getCategoryLevelAsString($B293))),";",EscStr($J293),";"),CONCATENATE(";",EscStr(CONCATENATE("NavNode_",getCategoryLevelAsString($B293))),";",EscStr(V293),";")))</f>
        <v>;"NavNode_Workplace / Maintenance / Mechanical Components";"Piese si accesorii de cositorit";</v>
      </c>
      <c r="AP293" s="10" t="str">
        <f>IF(getCategoryLevelAsString($B293)="L0D_324785","",IF(W293="",CONCATENATE(";",EscStr(CONCATENATE("NavNode_",getCategoryLevelAsString($B293))),";",EscStr($J293),";"),CONCATENATE(";",EscStr(CONCATENATE("NavNode_",getCategoryLevelAsString($B293))),";",EscStr(W293),";")))</f>
        <v>;"NavNode_Workplace / Maintenance / Mechanical Components";"Forrasztó kellékek és tartozékok";</v>
      </c>
      <c r="AQ293" s="10" t="str">
        <f>IF(getCategoryLevelAsString($B293)="L0D_324785","",IF(X293="",CONCATENATE(";",EscStr(CONCATENATE("NavNode_",getCategoryLevelAsString($B293))),";",EscStr($J293),";"),CONCATENATE(";",EscStr(CONCATENATE("NavNode_",getCategoryLevelAsString($B293))),";",EscStr(X293),";")))</f>
        <v>;"NavNode_Workplace / Maintenance / Mechanical Components";"Pájecí příslušenství a náhradní díly";</v>
      </c>
      <c r="AR293" s="8" t="str">
        <f>IF(OR($A293&lt;&gt;"", $G293=""),"",CONCATENATE(";",EscStr(CONCATENATE("NavEntry_",getCategoryLevelAsString($B293))),";",EscStr(CONCATENATE($J293," Navigation Entry")),";",EscStr(CONCATENATE("cat-",getCategoryLevelAsString($B293))),";",EscStr(CONCATENATE("NavNode_",getCategoryLevelAsString($B293))),";"))</f>
        <v>;"NavEntry_Workplace / Maintenance / Mechanical Components";"Soldering Accessories and Replacement Parts Navigation Entry";"cat-Workplace / Maintenance / Mechanical Components";"NavNode_Workplace / Maintenance / Mechanical Components";</v>
      </c>
    </row>
    <row r="294" spans="1:44" ht="15" x14ac:dyDescent="0.25">
      <c r="A294" s="25"/>
      <c r="B294" s="5"/>
      <c r="C294" s="5"/>
      <c r="D294" s="5" t="s">
        <v>259</v>
      </c>
      <c r="E294" s="5"/>
      <c r="F294" s="5"/>
      <c r="G294" s="5" t="s">
        <v>966</v>
      </c>
      <c r="H294" s="5" t="s">
        <v>811</v>
      </c>
      <c r="I294" s="5" t="s">
        <v>712</v>
      </c>
      <c r="J294" s="5" t="s">
        <v>575</v>
      </c>
      <c r="K294" s="5" t="s">
        <v>1264</v>
      </c>
      <c r="L294" s="5" t="s">
        <v>1499</v>
      </c>
      <c r="M294" s="5" t="s">
        <v>1264</v>
      </c>
      <c r="N294" s="5" t="s">
        <v>1932</v>
      </c>
      <c r="O294" s="5" t="s">
        <v>2990</v>
      </c>
      <c r="P294" s="5" t="s">
        <v>2991</v>
      </c>
      <c r="Q294" s="5" t="s">
        <v>2992</v>
      </c>
      <c r="R294" s="5" t="s">
        <v>2993</v>
      </c>
      <c r="S294" s="5" t="s">
        <v>2994</v>
      </c>
      <c r="T294" s="5" t="s">
        <v>2995</v>
      </c>
      <c r="U294" s="5" t="s">
        <v>2996</v>
      </c>
      <c r="V294" s="5" t="s">
        <v>2997</v>
      </c>
      <c r="W294" s="5" t="s">
        <v>2998</v>
      </c>
      <c r="X294" s="5" t="s">
        <v>2996</v>
      </c>
      <c r="Y294" s="10" t="str">
        <f>IF(OR($A294&lt;&gt;"", $G294=""),"",CONCATENATE(";",EscStr(CONCATENATE("NavNode_",getCategoryLevelAsString($B294))),";",EscStr($J294),";",IF($B294&lt;&gt;"","""MainNavNode""",EscStr(CONCATENATE("NavNode_",getSuperCategory($B294, getCategoryLevelAsNumber($B294))))),";"))</f>
        <v>;"NavNode_L2D_379535";"Soldering Materials";"NavNode_Workplace / Maintenance / Mechanical Components";</v>
      </c>
      <c r="Z294" s="10" t="str">
        <f>IF(getCategoryLevelAsString($B294)="L0D_324785","",IF(G294="",CONCATENATE(";",EscStr(CONCATENATE("NavNode_",getCategoryLevelAsString($B294))),";",EscStr($J294),";"),CONCATENATE(";",EscStr(CONCATENATE("NavNode_",getCategoryLevelAsString($B294))),";",EscStr(G294),";")))</f>
        <v>;"NavNode_L2D_379535";"Lötmaterialien";</v>
      </c>
      <c r="AA294" s="10" t="str">
        <f>IF(getCategoryLevelAsString($B294)="L0D_324785","",IF(H294="",CONCATENATE(";",EscStr(CONCATENATE("NavNode_",getCategoryLevelAsString($B294))),";",EscStr($J294),";"),CONCATENATE(";",EscStr(CONCATENATE("NavNode_",getCategoryLevelAsString($B294))),";",EscStr(H294),";")))</f>
        <v>;"NavNode_L2D_379535";"Matériaux de soudage";</v>
      </c>
      <c r="AB294" s="10" t="str">
        <f>IF(getCategoryLevelAsString($B294)="L0D_324785","",IF(I294="",CONCATENATE(";",EscStr(CONCATENATE("NavNode_",getCategoryLevelAsString($B294))),";",EscStr($J294),";"),CONCATENATE(";",EscStr(CONCATENATE("NavNode_",getCategoryLevelAsString($B294))),";",EscStr(I294),";")))</f>
        <v>;"NavNode_L2D_379535";"Materiali di brasatura";</v>
      </c>
      <c r="AC294" s="10" t="str">
        <f>IF(getCategoryLevelAsString($B294)="L0D_324785","",IF(J294="",CONCATENATE(";",EscStr(CONCATENATE("NavNode_",getCategoryLevelAsString($B294))),";",EscStr($J294),";"),CONCATENATE(";",EscStr(CONCATENATE("NavNode_",getCategoryLevelAsString($B294))),";",EscStr(J294),";")))</f>
        <v>;"NavNode_L2D_379535";"Soldering Materials";</v>
      </c>
      <c r="AD294" s="10" t="str">
        <f>IF(getCategoryLevelAsString($B294)="L0D_324785","",IF(K294="",CONCATENATE(";",EscStr(CONCATENATE("NavNode_",getCategoryLevelAsString($B294))),";",EscStr($J294),";"),CONCATENATE(";",EscStr(CONCATENATE("NavNode_",getCategoryLevelAsString($B294))),";",EscStr(K294),";")))</f>
        <v>;"NavNode_L2D_379535";"Loddematerialer";</v>
      </c>
      <c r="AE294" s="10" t="str">
        <f>IF(getCategoryLevelAsString($B294)="L0D_324785","",IF(L294="",CONCATENATE(";",EscStr(CONCATENATE("NavNode_",getCategoryLevelAsString($B294))),";",EscStr($J294),";"),CONCATENATE(";",EscStr(CONCATENATE("NavNode_",getCategoryLevelAsString($B294))),";",EscStr(L294),";")))</f>
        <v>;"NavNode_L2D_379535";"Litavimo medžiagos";</v>
      </c>
      <c r="AF294" s="10" t="str">
        <f>IF(getCategoryLevelAsString($B294)="L0D_324785","",IF(M294="",CONCATENATE(";",EscStr(CONCATENATE("NavNode_",getCategoryLevelAsString($B294))),";",EscStr($J294),";"),CONCATENATE(";",EscStr(CONCATENATE("NavNode_",getCategoryLevelAsString($B294))),";",EscStr(M294),";")))</f>
        <v>;"NavNode_L2D_379535";"Loddematerialer";</v>
      </c>
      <c r="AG294" s="10" t="str">
        <f>IF(getCategoryLevelAsString($B294)="L0D_324785","",IF(N294="",CONCATENATE(";",EscStr(CONCATENATE("NavNode_",getCategoryLevelAsString($B294))),";",EscStr($J294),";"),CONCATENATE(";",EscStr(CONCATENATE("NavNode_",getCategoryLevelAsString($B294))),";",EscStr(N294),";")))</f>
        <v>;"NavNode_L2D_379535";"Lödmaterial";</v>
      </c>
      <c r="AH294" s="10" t="str">
        <f>IF(getCategoryLevelAsString($B294)="L0D_324785","",IF(O294="",CONCATENATE(";",EscStr(CONCATENATE("NavNode_",getCategoryLevelAsString($B294))),";",EscStr($J294),";"),CONCATENATE(";",EscStr(CONCATENATE("NavNode_",getCategoryLevelAsString($B294))),";",EscStr(O294),";")))</f>
        <v>;"NavNode_L2D_379535";"Jootematerjalid";</v>
      </c>
      <c r="AI294" s="10" t="str">
        <f>IF(getCategoryLevelAsString($B294)="L0D_324785","",IF(P294="",CONCATENATE(";",EscStr(CONCATENATE("NavNode_",getCategoryLevelAsString($B294))),";",EscStr($J294),";"),CONCATENATE(";",EscStr(CONCATENATE("NavNode_",getCategoryLevelAsString($B294))),";",EscStr(P294),";")))</f>
        <v>;"NavNode_L2D_379535";"Juotostarvikkeet";</v>
      </c>
      <c r="AJ294" s="10" t="str">
        <f>IF(getCategoryLevelAsString($B294)="L0D_324785","",IF(Q294="",CONCATENATE(";",EscStr(CONCATENATE("NavNode_",getCategoryLevelAsString($B294))),";",EscStr($J294),";"),CONCATENATE(";",EscStr(CONCATENATE("NavNode_",getCategoryLevelAsString($B294))),";",EscStr(Q294),";")))</f>
        <v>;"NavNode_L2D_379535";"Lodēšanas materiāli";</v>
      </c>
      <c r="AK294" s="10" t="str">
        <f>IF(getCategoryLevelAsString($B294)="L0D_324785","",IF(R294="",CONCATENATE(";",EscStr(CONCATENATE("NavNode_",getCategoryLevelAsString($B294))),";",EscStr($J294),";"),CONCATENATE(";",EscStr(CONCATENATE("NavNode_",getCategoryLevelAsString($B294))),";",EscStr(R294),";")))</f>
        <v>;"NavNode_L2D_379535";"Soldeermaterialen";</v>
      </c>
      <c r="AL294" s="10" t="str">
        <f>IF(getCategoryLevelAsString($B294)="L0D_324785","",IF(S294="",CONCATENATE(";",EscStr(CONCATENATE("NavNode_",getCategoryLevelAsString($B294))),";",EscStr($J294),";"),CONCATENATE(";",EscStr(CONCATENATE("NavNode_",getCategoryLevelAsString($B294))),";",EscStr(S294),";")))</f>
        <v>;"NavNode_L2D_379535";"Materiały lutownicze";</v>
      </c>
      <c r="AM294" s="10" t="str">
        <f>IF(getCategoryLevelAsString($B294)="L0D_324785","",IF(T294="",CONCATENATE(";",EscStr(CONCATENATE("NavNode_",getCategoryLevelAsString($B294))),";",EscStr($J294),";"),CONCATENATE(";",EscStr(CONCATENATE("NavNode_",getCategoryLevelAsString($B294))),";",EscStr(T294),";")))</f>
        <v>;"NavNode_L2D_379535";"Материалы для пайки";</v>
      </c>
      <c r="AN294" s="10" t="str">
        <f>IF(getCategoryLevelAsString($B294)="L0D_324785","",IF(U294="",CONCATENATE(";",EscStr(CONCATENATE("NavNode_",getCategoryLevelAsString($B294))),";",EscStr($J294),";"),CONCATENATE(";",EscStr(CONCATENATE("NavNode_",getCategoryLevelAsString($B294))),";",EscStr(U294),";")))</f>
        <v>;"NavNode_L2D_379535";"Materiály a nástroje pro pájení";</v>
      </c>
      <c r="AO294" s="10" t="str">
        <f>IF(getCategoryLevelAsString($B294)="L0D_324785","",IF(V294="",CONCATENATE(";",EscStr(CONCATENATE("NavNode_",getCategoryLevelAsString($B294))),";",EscStr($J294),";"),CONCATENATE(";",EscStr(CONCATENATE("NavNode_",getCategoryLevelAsString($B294))),";",EscStr(V294),";")))</f>
        <v>;"NavNode_L2D_379535";"Materiale de cositorit";</v>
      </c>
      <c r="AP294" s="10" t="str">
        <f>IF(getCategoryLevelAsString($B294)="L0D_324785","",IF(W294="",CONCATENATE(";",EscStr(CONCATENATE("NavNode_",getCategoryLevelAsString($B294))),";",EscStr($J294),";"),CONCATENATE(";",EscStr(CONCATENATE("NavNode_",getCategoryLevelAsString($B294))),";",EscStr(W294),";")))</f>
        <v>;"NavNode_L2D_379535";"Forrasztóanyagok";</v>
      </c>
      <c r="AQ294" s="10" t="str">
        <f>IF(getCategoryLevelAsString($B294)="L0D_324785","",IF(X294="",CONCATENATE(";",EscStr(CONCATENATE("NavNode_",getCategoryLevelAsString($B294))),";",EscStr($J294),";"),CONCATENATE(";",EscStr(CONCATENATE("NavNode_",getCategoryLevelAsString($B294))),";",EscStr(X294),";")))</f>
        <v>;"NavNode_L2D_379535";"Materiály a nástroje pro pájení";</v>
      </c>
      <c r="AR294" s="8" t="str">
        <f>IF(OR($A294&lt;&gt;"", $G294=""),"",CONCATENATE(";",EscStr(CONCATENATE("NavEntry_",getCategoryLevelAsString($B294))),";",EscStr(CONCATENATE($J294," Navigation Entry")),";",EscStr(CONCATENATE("cat-",getCategoryLevelAsString($B294))),";",EscStr(CONCATENATE("NavNode_",getCategoryLevelAsString($B294))),";"))</f>
        <v>;"NavEntry_L2D_379535";"Soldering Materials Navigation Entry";"cat-L2D_379535";"NavNode_L2D_379535";</v>
      </c>
    </row>
    <row r="295" spans="1:44" ht="15" x14ac:dyDescent="0.25">
      <c r="A295" s="25"/>
      <c r="B295" s="5"/>
      <c r="C295" s="5"/>
      <c r="D295" s="5" t="s">
        <v>256</v>
      </c>
      <c r="E295" s="5"/>
      <c r="F295" s="5"/>
      <c r="G295" s="5" t="s">
        <v>1193</v>
      </c>
      <c r="H295" s="5" t="s">
        <v>1197</v>
      </c>
      <c r="I295" s="5" t="s">
        <v>1199</v>
      </c>
      <c r="J295" s="5" t="s">
        <v>923</v>
      </c>
      <c r="K295" s="5" t="s">
        <v>1265</v>
      </c>
      <c r="L295" s="5" t="s">
        <v>1500</v>
      </c>
      <c r="M295" s="5" t="s">
        <v>1730</v>
      </c>
      <c r="N295" s="5" t="s">
        <v>1933</v>
      </c>
      <c r="O295" s="5" t="s">
        <v>2999</v>
      </c>
      <c r="P295" s="5" t="s">
        <v>3000</v>
      </c>
      <c r="Q295" s="5" t="s">
        <v>3001</v>
      </c>
      <c r="R295" s="5" t="s">
        <v>3002</v>
      </c>
      <c r="S295" s="5" t="s">
        <v>3003</v>
      </c>
      <c r="T295" s="5" t="s">
        <v>3004</v>
      </c>
      <c r="U295" s="5" t="s">
        <v>3005</v>
      </c>
      <c r="V295" s="5" t="s">
        <v>3006</v>
      </c>
      <c r="W295" s="5" t="s">
        <v>3007</v>
      </c>
      <c r="X295" s="5" t="s">
        <v>3005</v>
      </c>
      <c r="Y295" s="10" t="str">
        <f>IF(OR($A295&lt;&gt;"", $G295=""),"",CONCATENATE(";",EscStr(CONCATENATE("NavNode_",getCategoryLevelAsString($B295))),";",EscStr($J295),";",IF($B295&lt;&gt;"","""MainNavNode""",EscStr(CONCATENATE("NavNode_",getSuperCategory($B295, getCategoryLevelAsNumber($B295))))),";"))</f>
        <v>;"NavNode_L3D_529774";"Dispensing Equipment";"NavNode_L2D_379535";</v>
      </c>
      <c r="Z295" s="10" t="str">
        <f>IF(getCategoryLevelAsString($B295)="L0D_324785","",IF(G295="",CONCATENATE(";",EscStr(CONCATENATE("NavNode_",getCategoryLevelAsString($B295))),";",EscStr($J295),";"),CONCATENATE(";",EscStr(CONCATENATE("NavNode_",getCategoryLevelAsString($B295))),";",EscStr(G295),";")))</f>
        <v>;"NavNode_L3D_529774";"Dosiersysteme";</v>
      </c>
      <c r="AA295" s="10" t="str">
        <f>IF(getCategoryLevelAsString($B295)="L0D_324785","",IF(H295="",CONCATENATE(";",EscStr(CONCATENATE("NavNode_",getCategoryLevelAsString($B295))),";",EscStr($J295),";"),CONCATENATE(";",EscStr(CONCATENATE("NavNode_",getCategoryLevelAsString($B295))),";",EscStr(H295),";")))</f>
        <v>;"NavNode_L3D_529774";"Système de dosage";</v>
      </c>
      <c r="AB295" s="10" t="str">
        <f>IF(getCategoryLevelAsString($B295)="L0D_324785","",IF(I295="",CONCATENATE(";",EscStr(CONCATENATE("NavNode_",getCategoryLevelAsString($B295))),";",EscStr($J295),";"),CONCATENATE(";",EscStr(CONCATENATE("NavNode_",getCategoryLevelAsString($B295))),";",EscStr(I295),";")))</f>
        <v>;"NavNode_L3D_529774";"Sistema di dosaggio";</v>
      </c>
      <c r="AC295" s="10" t="str">
        <f>IF(getCategoryLevelAsString($B295)="L0D_324785","",IF(J295="",CONCATENATE(";",EscStr(CONCATENATE("NavNode_",getCategoryLevelAsString($B295))),";",EscStr($J295),";"),CONCATENATE(";",EscStr(CONCATENATE("NavNode_",getCategoryLevelAsString($B295))),";",EscStr(J295),";")))</f>
        <v>;"NavNode_L3D_529774";"Dispensing Equipment";</v>
      </c>
      <c r="AD295" s="10" t="str">
        <f>IF(getCategoryLevelAsString($B295)="L0D_324785","",IF(K295="",CONCATENATE(";",EscStr(CONCATENATE("NavNode_",getCategoryLevelAsString($B295))),";",EscStr($J295),";"),CONCATENATE(";",EscStr(CONCATENATE("NavNode_",getCategoryLevelAsString($B295))),";",EscStr(K295),";")))</f>
        <v>;"NavNode_L3D_529774";"Dispenserudstyr";</v>
      </c>
      <c r="AE295" s="10" t="str">
        <f>IF(getCategoryLevelAsString($B295)="L0D_324785","",IF(L295="",CONCATENATE(";",EscStr(CONCATENATE("NavNode_",getCategoryLevelAsString($B295))),";",EscStr($J295),";"),CONCATENATE(";",EscStr(CONCATENATE("NavNode_",getCategoryLevelAsString($B295))),";",EscStr(L295),";")))</f>
        <v>;"NavNode_L3D_529774";"Paskirstymo įranga";</v>
      </c>
      <c r="AF295" s="10" t="str">
        <f>IF(getCategoryLevelAsString($B295)="L0D_324785","",IF(M295="",CONCATENATE(";",EscStr(CONCATENATE("NavNode_",getCategoryLevelAsString($B295))),";",EscStr($J295),";"),CONCATENATE(";",EscStr(CONCATENATE("NavNode_",getCategoryLevelAsString($B295))),";",EscStr(M295),";")))</f>
        <v>;"NavNode_L3D_529774";"Tappeutstyr";</v>
      </c>
      <c r="AG295" s="10" t="str">
        <f>IF(getCategoryLevelAsString($B295)="L0D_324785","",IF(N295="",CONCATENATE(";",EscStr(CONCATENATE("NavNode_",getCategoryLevelAsString($B295))),";",EscStr($J295),";"),CONCATENATE(";",EscStr(CONCATENATE("NavNode_",getCategoryLevelAsString($B295))),";",EscStr(N295),";")))</f>
        <v>;"NavNode_L3D_529774";"Flödesutrustning";</v>
      </c>
      <c r="AH295" s="10" t="str">
        <f>IF(getCategoryLevelAsString($B295)="L0D_324785","",IF(O295="",CONCATENATE(";",EscStr(CONCATENATE("NavNode_",getCategoryLevelAsString($B295))),";",EscStr($J295),";"),CONCATENATE(";",EscStr(CONCATENATE("NavNode_",getCategoryLevelAsString($B295))),";",EscStr(O295),";")))</f>
        <v>;"NavNode_L3D_529774";"Doseerimisseadmed";</v>
      </c>
      <c r="AI295" s="10" t="str">
        <f>IF(getCategoryLevelAsString($B295)="L0D_324785","",IF(P295="",CONCATENATE(";",EscStr(CONCATENATE("NavNode_",getCategoryLevelAsString($B295))),";",EscStr($J295),";"),CONCATENATE(";",EscStr(CONCATENATE("NavNode_",getCategoryLevelAsString($B295))),";",EscStr(P295),";")))</f>
        <v>;"NavNode_L3D_529774";"Annostelulaitteet";</v>
      </c>
      <c r="AJ295" s="10" t="str">
        <f>IF(getCategoryLevelAsString($B295)="L0D_324785","",IF(Q295="",CONCATENATE(";",EscStr(CONCATENATE("NavNode_",getCategoryLevelAsString($B295))),";",EscStr($J295),";"),CONCATENATE(";",EscStr(CONCATENATE("NavNode_",getCategoryLevelAsString($B295))),";",EscStr(Q295),";")))</f>
        <v>;"NavNode_L3D_529774";"Padeves iekārtas";</v>
      </c>
      <c r="AK295" s="10" t="str">
        <f>IF(getCategoryLevelAsString($B295)="L0D_324785","",IF(R295="",CONCATENATE(";",EscStr(CONCATENATE("NavNode_",getCategoryLevelAsString($B295))),";",EscStr($J295),";"),CONCATENATE(";",EscStr(CONCATENATE("NavNode_",getCategoryLevelAsString($B295))),";",EscStr(R295),";")))</f>
        <v>;"NavNode_L3D_529774";"Doseerapparatuur";</v>
      </c>
      <c r="AL295" s="10" t="str">
        <f>IF(getCategoryLevelAsString($B295)="L0D_324785","",IF(S295="",CONCATENATE(";",EscStr(CONCATENATE("NavNode_",getCategoryLevelAsString($B295))),";",EscStr($J295),";"),CONCATENATE(";",EscStr(CONCATENATE("NavNode_",getCategoryLevelAsString($B295))),";",EscStr(S295),";")))</f>
        <v>;"NavNode_L3D_529774";"Systemy dozujące";</v>
      </c>
      <c r="AM295" s="10" t="str">
        <f>IF(getCategoryLevelAsString($B295)="L0D_324785","",IF(T295="",CONCATENATE(";",EscStr(CONCATENATE("NavNode_",getCategoryLevelAsString($B295))),";",EscStr($J295),";"),CONCATENATE(";",EscStr(CONCATENATE("NavNode_",getCategoryLevelAsString($B295))),";",EscStr(T295),";")))</f>
        <v>;"NavNode_L3D_529774";"Оборудование для розлива";</v>
      </c>
      <c r="AN295" s="10" t="str">
        <f>IF(getCategoryLevelAsString($B295)="L0D_324785","",IF(U295="",CONCATENATE(";",EscStr(CONCATENATE("NavNode_",getCategoryLevelAsString($B295))),";",EscStr($J295),";"),CONCATENATE(";",EscStr(CONCATENATE("NavNode_",getCategoryLevelAsString($B295))),";",EscStr(U295),";")))</f>
        <v>;"NavNode_L3D_529774";"Dávkovací zařízení";</v>
      </c>
      <c r="AO295" s="10" t="str">
        <f>IF(getCategoryLevelAsString($B295)="L0D_324785","",IF(V295="",CONCATENATE(";",EscStr(CONCATENATE("NavNode_",getCategoryLevelAsString($B295))),";",EscStr($J295),";"),CONCATENATE(";",EscStr(CONCATENATE("NavNode_",getCategoryLevelAsString($B295))),";",EscStr(V295),";")))</f>
        <v>;"NavNode_L3D_529774";"Sisteme de dozare";</v>
      </c>
      <c r="AP295" s="10" t="str">
        <f>IF(getCategoryLevelAsString($B295)="L0D_324785","",IF(W295="",CONCATENATE(";",EscStr(CONCATENATE("NavNode_",getCategoryLevelAsString($B295))),";",EscStr($J295),";"),CONCATENATE(";",EscStr(CONCATENATE("NavNode_",getCategoryLevelAsString($B295))),";",EscStr(W295),";")))</f>
        <v>;"NavNode_L3D_529774";"Adagolórendszerek";</v>
      </c>
      <c r="AQ295" s="10" t="str">
        <f>IF(getCategoryLevelAsString($B295)="L0D_324785","",IF(X295="",CONCATENATE(";",EscStr(CONCATENATE("NavNode_",getCategoryLevelAsString($B295))),";",EscStr($J295),";"),CONCATENATE(";",EscStr(CONCATENATE("NavNode_",getCategoryLevelAsString($B295))),";",EscStr(X295),";")))</f>
        <v>;"NavNode_L3D_529774";"Dávkovací zařízení";</v>
      </c>
      <c r="AR295" s="8" t="str">
        <f>IF(OR($A295&lt;&gt;"", $G295=""),"",CONCATENATE(";",EscStr(CONCATENATE("NavEntry_",getCategoryLevelAsString($B295))),";",EscStr(CONCATENATE($J295," Navigation Entry")),";",EscStr(CONCATENATE("cat-",getCategoryLevelAsString($B295))),";",EscStr(CONCATENATE("NavNode_",getCategoryLevelAsString($B295))),";"))</f>
        <v>;"NavEntry_L3D_529774";"Dispensing Equipment Navigation Entry";"cat-L3D_529774";"NavNode_L3D_529774";</v>
      </c>
    </row>
    <row r="296" spans="1:44" s="17" customFormat="1" ht="14.25" x14ac:dyDescent="0.2">
      <c r="A296" s="24">
        <v>11</v>
      </c>
      <c r="B296" s="13" t="s">
        <v>12007</v>
      </c>
      <c r="C296" s="14"/>
      <c r="E296" s="13"/>
      <c r="F296" s="13"/>
      <c r="G296" s="13" t="s">
        <v>13533</v>
      </c>
      <c r="H296" s="13" t="s">
        <v>13533</v>
      </c>
      <c r="I296" s="13" t="s">
        <v>13533</v>
      </c>
      <c r="J296" s="13" t="s">
        <v>12007</v>
      </c>
      <c r="K296" s="13" t="s">
        <v>13533</v>
      </c>
      <c r="L296" s="13" t="s">
        <v>13533</v>
      </c>
      <c r="M296" s="13" t="s">
        <v>13533</v>
      </c>
      <c r="N296" s="13" t="s">
        <v>13533</v>
      </c>
      <c r="O296" s="13" t="s">
        <v>13533</v>
      </c>
      <c r="P296" s="13" t="s">
        <v>13533</v>
      </c>
      <c r="Q296" s="13" t="s">
        <v>13533</v>
      </c>
      <c r="R296" s="13" t="s">
        <v>13533</v>
      </c>
      <c r="S296" s="13" t="s">
        <v>13533</v>
      </c>
      <c r="T296" s="13" t="s">
        <v>13533</v>
      </c>
      <c r="U296" s="13" t="s">
        <v>13533</v>
      </c>
      <c r="V296" s="13" t="s">
        <v>13533</v>
      </c>
      <c r="W296" s="13" t="s">
        <v>13533</v>
      </c>
      <c r="X296" s="13" t="s">
        <v>13533</v>
      </c>
      <c r="Y296" s="15"/>
      <c r="Z296" s="15"/>
      <c r="AA296" s="15"/>
      <c r="AB296" s="15"/>
      <c r="AC296" s="15"/>
      <c r="AD296" s="15"/>
      <c r="AE296" s="15"/>
      <c r="AF296" s="15"/>
      <c r="AG296" s="15"/>
      <c r="AH296" s="15"/>
      <c r="AI296" s="15"/>
      <c r="AJ296" s="15"/>
      <c r="AK296" s="15"/>
      <c r="AL296" s="15"/>
      <c r="AM296" s="15"/>
      <c r="AN296" s="15"/>
      <c r="AO296" s="15"/>
      <c r="AP296" s="15"/>
      <c r="AQ296" s="15"/>
      <c r="AR296" s="16"/>
    </row>
    <row r="297" spans="1:44" ht="15" x14ac:dyDescent="0.25">
      <c r="A297" s="25"/>
      <c r="B297" s="5"/>
      <c r="C297" s="5" t="s">
        <v>29</v>
      </c>
      <c r="D297" s="5"/>
      <c r="E297" s="5"/>
      <c r="F297" s="5"/>
      <c r="G297" s="5" t="s">
        <v>536</v>
      </c>
      <c r="H297" s="5" t="s">
        <v>56</v>
      </c>
      <c r="I297" s="5" t="s">
        <v>537</v>
      </c>
      <c r="J297" s="5" t="s">
        <v>56</v>
      </c>
      <c r="K297" s="5" t="s">
        <v>1266</v>
      </c>
      <c r="L297" s="5" t="s">
        <v>1501</v>
      </c>
      <c r="M297" s="5" t="s">
        <v>1731</v>
      </c>
      <c r="N297" s="5" t="s">
        <v>1934</v>
      </c>
      <c r="O297" s="5" t="s">
        <v>3008</v>
      </c>
      <c r="P297" s="5" t="s">
        <v>3009</v>
      </c>
      <c r="Q297" s="5" t="s">
        <v>3010</v>
      </c>
      <c r="R297" s="5" t="s">
        <v>3011</v>
      </c>
      <c r="S297" s="5" t="s">
        <v>3012</v>
      </c>
      <c r="T297" s="5" t="s">
        <v>3013</v>
      </c>
      <c r="U297" s="5" t="s">
        <v>3014</v>
      </c>
      <c r="V297" s="5" t="s">
        <v>3015</v>
      </c>
      <c r="W297" s="5" t="s">
        <v>3016</v>
      </c>
      <c r="X297" s="5" t="s">
        <v>3014</v>
      </c>
      <c r="Y297" s="10" t="str">
        <f>IF(OR($A297&lt;&gt;"", $G297=""),"",CONCATENATE(";",EscStr(CONCATENATE("NavNode_",getCategoryLevelAsString($B297))),";",EscStr($J297),";",IF($B297&lt;&gt;"","""MainNavNode""",EscStr(CONCATENATE("NavNode_",getSuperCategory($B297, getCategoryLevelAsNumber($B297))))),";"))</f>
        <v>;"NavNode_L3D_529776";"Maintenance";"NavNode_L2D_379535";</v>
      </c>
      <c r="Z297" s="10" t="str">
        <f>IF(getCategoryLevelAsString($B297)="L0D_324785","",IF(G297="",CONCATENATE(";",EscStr(CONCATENATE("NavNode_",getCategoryLevelAsString($B297))),";",EscStr($J297),";"),CONCATENATE(";",EscStr(CONCATENATE("NavNode_",getCategoryLevelAsString($B297))),";",EscStr(G297),";")))</f>
        <v>;"NavNode_L3D_529776";"Wartung";</v>
      </c>
      <c r="AA297" s="10" t="str">
        <f>IF(getCategoryLevelAsString($B297)="L0D_324785","",IF(H297="",CONCATENATE(";",EscStr(CONCATENATE("NavNode_",getCategoryLevelAsString($B297))),";",EscStr($J297),";"),CONCATENATE(";",EscStr(CONCATENATE("NavNode_",getCategoryLevelAsString($B297))),";",EscStr(H297),";")))</f>
        <v>;"NavNode_L3D_529776";"Maintenance";</v>
      </c>
      <c r="AB297" s="10" t="str">
        <f>IF(getCategoryLevelAsString($B297)="L0D_324785","",IF(I297="",CONCATENATE(";",EscStr(CONCATENATE("NavNode_",getCategoryLevelAsString($B297))),";",EscStr($J297),";"),CONCATENATE(";",EscStr(CONCATENATE("NavNode_",getCategoryLevelAsString($B297))),";",EscStr(I297),";")))</f>
        <v>;"NavNode_L3D_529776";"Manutenzione";</v>
      </c>
      <c r="AC297" s="10" t="str">
        <f>IF(getCategoryLevelAsString($B297)="L0D_324785","",IF(J297="",CONCATENATE(";",EscStr(CONCATENATE("NavNode_",getCategoryLevelAsString($B297))),";",EscStr($J297),";"),CONCATENATE(";",EscStr(CONCATENATE("NavNode_",getCategoryLevelAsString($B297))),";",EscStr(J297),";")))</f>
        <v>;"NavNode_L3D_529776";"Maintenance";</v>
      </c>
      <c r="AD297" s="10" t="str">
        <f>IF(getCategoryLevelAsString($B297)="L0D_324785","",IF(K297="",CONCATENATE(";",EscStr(CONCATENATE("NavNode_",getCategoryLevelAsString($B297))),";",EscStr($J297),";"),CONCATENATE(";",EscStr(CONCATENATE("NavNode_",getCategoryLevelAsString($B297))),";",EscStr(K297),";")))</f>
        <v>;"NavNode_L3D_529776";"Vedligeholdelse";</v>
      </c>
      <c r="AE297" s="10" t="str">
        <f>IF(getCategoryLevelAsString($B297)="L0D_324785","",IF(L297="",CONCATENATE(";",EscStr(CONCATENATE("NavNode_",getCategoryLevelAsString($B297))),";",EscStr($J297),";"),CONCATENATE(";",EscStr(CONCATENATE("NavNode_",getCategoryLevelAsString($B297))),";",EscStr(L297),";")))</f>
        <v>;"NavNode_L3D_529776";"Priežiūra";</v>
      </c>
      <c r="AF297" s="10" t="str">
        <f>IF(getCategoryLevelAsString($B297)="L0D_324785","",IF(M297="",CONCATENATE(";",EscStr(CONCATENATE("NavNode_",getCategoryLevelAsString($B297))),";",EscStr($J297),";"),CONCATENATE(";",EscStr(CONCATENATE("NavNode_",getCategoryLevelAsString($B297))),";",EscStr(M297),";")))</f>
        <v>;"NavNode_L3D_529776";"Vedlikehold";</v>
      </c>
      <c r="AG297" s="10" t="str">
        <f>IF(getCategoryLevelAsString($B297)="L0D_324785","",IF(N297="",CONCATENATE(";",EscStr(CONCATENATE("NavNode_",getCategoryLevelAsString($B297))),";",EscStr($J297),";"),CONCATENATE(";",EscStr(CONCATENATE("NavNode_",getCategoryLevelAsString($B297))),";",EscStr(N297),";")))</f>
        <v>;"NavNode_L3D_529776";"Underhåll";</v>
      </c>
      <c r="AH297" s="10" t="str">
        <f>IF(getCategoryLevelAsString($B297)="L0D_324785","",IF(O297="",CONCATENATE(";",EscStr(CONCATENATE("NavNode_",getCategoryLevelAsString($B297))),";",EscStr($J297),";"),CONCATENATE(";",EscStr(CONCATENATE("NavNode_",getCategoryLevelAsString($B297))),";",EscStr(O297),";")))</f>
        <v>;"NavNode_L3D_529776";"Hooldus";</v>
      </c>
      <c r="AI297" s="10" t="str">
        <f>IF(getCategoryLevelAsString($B297)="L0D_324785","",IF(P297="",CONCATENATE(";",EscStr(CONCATENATE("NavNode_",getCategoryLevelAsString($B297))),";",EscStr($J297),";"),CONCATENATE(";",EscStr(CONCATENATE("NavNode_",getCategoryLevelAsString($B297))),";",EscStr(P297),";")))</f>
        <v>;"NavNode_L3D_529776";"Ylläpito";</v>
      </c>
      <c r="AJ297" s="10" t="str">
        <f>IF(getCategoryLevelAsString($B297)="L0D_324785","",IF(Q297="",CONCATENATE(";",EscStr(CONCATENATE("NavNode_",getCategoryLevelAsString($B297))),";",EscStr($J297),";"),CONCATENATE(";",EscStr(CONCATENATE("NavNode_",getCategoryLevelAsString($B297))),";",EscStr(Q297),";")))</f>
        <v>;"NavNode_L3D_529776";"Apkope";</v>
      </c>
      <c r="AK297" s="10" t="str">
        <f>IF(getCategoryLevelAsString($B297)="L0D_324785","",IF(R297="",CONCATENATE(";",EscStr(CONCATENATE("NavNode_",getCategoryLevelAsString($B297))),";",EscStr($J297),";"),CONCATENATE(";",EscStr(CONCATENATE("NavNode_",getCategoryLevelAsString($B297))),";",EscStr(R297),";")))</f>
        <v>;"NavNode_L3D_529776";"Onderhoud";</v>
      </c>
      <c r="AL297" s="10" t="str">
        <f>IF(getCategoryLevelAsString($B297)="L0D_324785","",IF(S297="",CONCATENATE(";",EscStr(CONCATENATE("NavNode_",getCategoryLevelAsString($B297))),";",EscStr($J297),";"),CONCATENATE(";",EscStr(CONCATENATE("NavNode_",getCategoryLevelAsString($B297))),";",EscStr(S297),";")))</f>
        <v>;"NavNode_L3D_529776";"Konserwacja";</v>
      </c>
      <c r="AM297" s="10" t="str">
        <f>IF(getCategoryLevelAsString($B297)="L0D_324785","",IF(T297="",CONCATENATE(";",EscStr(CONCATENATE("NavNode_",getCategoryLevelAsString($B297))),";",EscStr($J297),";"),CONCATENATE(";",EscStr(CONCATENATE("NavNode_",getCategoryLevelAsString($B297))),";",EscStr(T297),";")))</f>
        <v>;"NavNode_L3D_529776";"Обслуживание";</v>
      </c>
      <c r="AN297" s="10" t="str">
        <f>IF(getCategoryLevelAsString($B297)="L0D_324785","",IF(U297="",CONCATENATE(";",EscStr(CONCATENATE("NavNode_",getCategoryLevelAsString($B297))),";",EscStr($J297),";"),CONCATENATE(";",EscStr(CONCATENATE("NavNode_",getCategoryLevelAsString($B297))),";",EscStr(U297),";")))</f>
        <v>;"NavNode_L3D_529776";"Údržba";</v>
      </c>
      <c r="AO297" s="10" t="str">
        <f>IF(getCategoryLevelAsString($B297)="L0D_324785","",IF(V297="",CONCATENATE(";",EscStr(CONCATENATE("NavNode_",getCategoryLevelAsString($B297))),";",EscStr($J297),";"),CONCATENATE(";",EscStr(CONCATENATE("NavNode_",getCategoryLevelAsString($B297))),";",EscStr(V297),";")))</f>
        <v>;"NavNode_L3D_529776";"Intreţinere";</v>
      </c>
      <c r="AP297" s="10" t="str">
        <f>IF(getCategoryLevelAsString($B297)="L0D_324785","",IF(W297="",CONCATENATE(";",EscStr(CONCATENATE("NavNode_",getCategoryLevelAsString($B297))),";",EscStr($J297),";"),CONCATENATE(";",EscStr(CONCATENATE("NavNode_",getCategoryLevelAsString($B297))),";",EscStr(W297),";")))</f>
        <v>;"NavNode_L3D_529776";"Karbantartás";</v>
      </c>
      <c r="AQ297" s="10" t="str">
        <f>IF(getCategoryLevelAsString($B297)="L0D_324785","",IF(X297="",CONCATENATE(";",EscStr(CONCATENATE("NavNode_",getCategoryLevelAsString($B297))),";",EscStr($J297),";"),CONCATENATE(";",EscStr(CONCATENATE("NavNode_",getCategoryLevelAsString($B297))),";",EscStr(X297),";")))</f>
        <v>;"NavNode_L3D_529776";"Údržba";</v>
      </c>
      <c r="AR297" s="8" t="str">
        <f>IF(OR($A297&lt;&gt;"", $G297=""),"",CONCATENATE(";",EscStr(CONCATENATE("NavEntry_",getCategoryLevelAsString($B297))),";",EscStr(CONCATENATE($J297," Navigation Entry")),";",EscStr(CONCATENATE("cat-",getCategoryLevelAsString($B297))),";",EscStr(CONCATENATE("NavNode_",getCategoryLevelAsString($B297))),";"))</f>
        <v>;"NavEntry_L3D_529776";"Maintenance Navigation Entry";"cat-L3D_529776";"NavNode_L3D_529776";</v>
      </c>
    </row>
    <row r="298" spans="1:44" ht="15" x14ac:dyDescent="0.25">
      <c r="A298" s="25"/>
      <c r="B298" s="5"/>
      <c r="C298" s="5"/>
      <c r="D298" s="5" t="s">
        <v>812</v>
      </c>
      <c r="E298" s="5"/>
      <c r="F298" s="5"/>
      <c r="G298" s="5" t="s">
        <v>1054</v>
      </c>
      <c r="H298" s="5" t="s">
        <v>1107</v>
      </c>
      <c r="I298" s="5" t="s">
        <v>1166</v>
      </c>
      <c r="J298" s="5" t="s">
        <v>924</v>
      </c>
      <c r="K298" s="5" t="s">
        <v>1267</v>
      </c>
      <c r="L298" s="5" t="s">
        <v>1502</v>
      </c>
      <c r="M298" s="5" t="s">
        <v>1732</v>
      </c>
      <c r="N298" s="5" t="s">
        <v>1935</v>
      </c>
      <c r="O298" s="5" t="s">
        <v>3017</v>
      </c>
      <c r="P298" s="5" t="s">
        <v>3018</v>
      </c>
      <c r="Q298" s="5" t="s">
        <v>3019</v>
      </c>
      <c r="R298" s="5" t="s">
        <v>3020</v>
      </c>
      <c r="S298" s="5" t="s">
        <v>3021</v>
      </c>
      <c r="T298" s="5" t="s">
        <v>3022</v>
      </c>
      <c r="U298" s="5" t="s">
        <v>3023</v>
      </c>
      <c r="V298" s="5" t="s">
        <v>3024</v>
      </c>
      <c r="W298" s="5" t="s">
        <v>3025</v>
      </c>
      <c r="X298" s="5" t="s">
        <v>3023</v>
      </c>
      <c r="Y298" s="10" t="str">
        <f>IF(OR($A298&lt;&gt;"", $G298=""),"",CONCATENATE(";",EscStr(CONCATENATE("NavNode_",getCategoryLevelAsString($B298))),";",EscStr($J298),";",IF($B298&lt;&gt;"","""MainNavNode""",EscStr(CONCATENATE("NavNode_",getSuperCategory($B298, getCategoryLevelAsNumber($B298))))),";"))</f>
        <v>;"NavNode_L3D_525454";"Cleaners, Lubricants and Protective Lacquer";"NavNode_L2D_379535";</v>
      </c>
      <c r="Z298" s="10" t="str">
        <f>IF(getCategoryLevelAsString($B298)="L0D_324785","",IF(G298="",CONCATENATE(";",EscStr(CONCATENATE("NavNode_",getCategoryLevelAsString($B298))),";",EscStr($J298),";"),CONCATENATE(";",EscStr(CONCATENATE("NavNode_",getCategoryLevelAsString($B298))),";",EscStr(G298),";")))</f>
        <v>;"NavNode_L3D_525454";"Reiniger, Schmiermittel und Schutzlack";</v>
      </c>
      <c r="AA298" s="10" t="str">
        <f>IF(getCategoryLevelAsString($B298)="L0D_324785","",IF(H298="",CONCATENATE(";",EscStr(CONCATENATE("NavNode_",getCategoryLevelAsString($B298))),";",EscStr($J298),";"),CONCATENATE(";",EscStr(CONCATENATE("NavNode_",getCategoryLevelAsString($B298))),";",EscStr(H298),";")))</f>
        <v>;"NavNode_L3D_525454";"Nettoyants, lubrifiants et laque protectrice";</v>
      </c>
      <c r="AB298" s="10" t="str">
        <f>IF(getCategoryLevelAsString($B298)="L0D_324785","",IF(I298="",CONCATENATE(";",EscStr(CONCATENATE("NavNode_",getCategoryLevelAsString($B298))),";",EscStr($J298),";"),CONCATENATE(";",EscStr(CONCATENATE("NavNode_",getCategoryLevelAsString($B298))),";",EscStr(I298),";")))</f>
        <v>;"NavNode_L3D_525454";"Detergenti, lubrificanti e lacca protettiva";</v>
      </c>
      <c r="AC298" s="10" t="str">
        <f>IF(getCategoryLevelAsString($B298)="L0D_324785","",IF(J298="",CONCATENATE(";",EscStr(CONCATENATE("NavNode_",getCategoryLevelAsString($B298))),";",EscStr($J298),";"),CONCATENATE(";",EscStr(CONCATENATE("NavNode_",getCategoryLevelAsString($B298))),";",EscStr(J298),";")))</f>
        <v>;"NavNode_L3D_525454";"Cleaners, Lubricants and Protective Lacquer";</v>
      </c>
      <c r="AD298" s="10" t="str">
        <f>IF(getCategoryLevelAsString($B298)="L0D_324785","",IF(K298="",CONCATENATE(";",EscStr(CONCATENATE("NavNode_",getCategoryLevelAsString($B298))),";",EscStr($J298),";"),CONCATENATE(";",EscStr(CONCATENATE("NavNode_",getCategoryLevelAsString($B298))),";",EscStr(K298),";")))</f>
        <v>;"NavNode_L3D_525454";"Rensemidler, smøremidler og beskyttelseslak";</v>
      </c>
      <c r="AE298" s="10" t="str">
        <f>IF(getCategoryLevelAsString($B298)="L0D_324785","",IF(L298="",CONCATENATE(";",EscStr(CONCATENATE("NavNode_",getCategoryLevelAsString($B298))),";",EscStr($J298),";"),CONCATENATE(";",EscStr(CONCATENATE("NavNode_",getCategoryLevelAsString($B298))),";",EscStr(L298),";")))</f>
        <v>;"NavNode_L3D_525454";"Valikliai, lubrikantai ir apsauginis lakas";</v>
      </c>
      <c r="AF298" s="10" t="str">
        <f>IF(getCategoryLevelAsString($B298)="L0D_324785","",IF(M298="",CONCATENATE(";",EscStr(CONCATENATE("NavNode_",getCategoryLevelAsString($B298))),";",EscStr($J298),";"),CONCATENATE(";",EscStr(CONCATENATE("NavNode_",getCategoryLevelAsString($B298))),";",EscStr(M298),";")))</f>
        <v>;"NavNode_L3D_525454";"Rengjøringsmidler, smøremidler og beskyttelseslakk";</v>
      </c>
      <c r="AG298" s="10" t="str">
        <f>IF(getCategoryLevelAsString($B298)="L0D_324785","",IF(N298="",CONCATENATE(";",EscStr(CONCATENATE("NavNode_",getCategoryLevelAsString($B298))),";",EscStr($J298),";"),CONCATENATE(";",EscStr(CONCATENATE("NavNode_",getCategoryLevelAsString($B298))),";",EscStr(N298),";")))</f>
        <v>;"NavNode_L3D_525454";"Rengöringsmedel, smörjmedel och skyddslack";</v>
      </c>
      <c r="AH298" s="10" t="str">
        <f>IF(getCategoryLevelAsString($B298)="L0D_324785","",IF(O298="",CONCATENATE(";",EscStr(CONCATENATE("NavNode_",getCategoryLevelAsString($B298))),";",EscStr($J298),";"),CONCATENATE(";",EscStr(CONCATENATE("NavNode_",getCategoryLevelAsString($B298))),";",EscStr(O298),";")))</f>
        <v>;"NavNode_L3D_525454";"Puhastusvahendid, määrdeained ja kaitselakid";</v>
      </c>
      <c r="AI298" s="10" t="str">
        <f>IF(getCategoryLevelAsString($B298)="L0D_324785","",IF(P298="",CONCATENATE(";",EscStr(CONCATENATE("NavNode_",getCategoryLevelAsString($B298))),";",EscStr($J298),";"),CONCATENATE(";",EscStr(CONCATENATE("NavNode_",getCategoryLevelAsString($B298))),";",EscStr(P298),";")))</f>
        <v>;"NavNode_L3D_525454";"Puhditimet ja suojalakat";</v>
      </c>
      <c r="AJ298" s="10" t="str">
        <f>IF(getCategoryLevelAsString($B298)="L0D_324785","",IF(Q298="",CONCATENATE(";",EscStr(CONCATENATE("NavNode_",getCategoryLevelAsString($B298))),";",EscStr($J298),";"),CONCATENATE(";",EscStr(CONCATENATE("NavNode_",getCategoryLevelAsString($B298))),";",EscStr(Q298),";")))</f>
        <v>;"NavNode_L3D_525454";"Tīrīšanas līdzekļi, smērvielas un aizsarglakas";</v>
      </c>
      <c r="AK298" s="10" t="str">
        <f>IF(getCategoryLevelAsString($B298)="L0D_324785","",IF(R298="",CONCATENATE(";",EscStr(CONCATENATE("NavNode_",getCategoryLevelAsString($B298))),";",EscStr($J298),";"),CONCATENATE(";",EscStr(CONCATENATE("NavNode_",getCategoryLevelAsString($B298))),";",EscStr(R298),";")))</f>
        <v>;"NavNode_L3D_525454";"Reinigingsmiddelen, smeermiddelen en beschermende lakken";</v>
      </c>
      <c r="AL298" s="10" t="str">
        <f>IF(getCategoryLevelAsString($B298)="L0D_324785","",IF(S298="",CONCATENATE(";",EscStr(CONCATENATE("NavNode_",getCategoryLevelAsString($B298))),";",EscStr($J298),";"),CONCATENATE(";",EscStr(CONCATENATE("NavNode_",getCategoryLevelAsString($B298))),";",EscStr(S298),";")))</f>
        <v>;"NavNode_L3D_525454";"Płyny czyszczące, Smary i Lakiery ochronne";</v>
      </c>
      <c r="AM298" s="10" t="str">
        <f>IF(getCategoryLevelAsString($B298)="L0D_324785","",IF(T298="",CONCATENATE(";",EscStr(CONCATENATE("NavNode_",getCategoryLevelAsString($B298))),";",EscStr($J298),";"),CONCATENATE(";",EscStr(CONCATENATE("NavNode_",getCategoryLevelAsString($B298))),";",EscStr(T298),";")))</f>
        <v>;"NavNode_L3D_525454";"Очистители, Смазки и Защитные лаки";</v>
      </c>
      <c r="AN298" s="10" t="str">
        <f>IF(getCategoryLevelAsString($B298)="L0D_324785","",IF(U298="",CONCATENATE(";",EscStr(CONCATENATE("NavNode_",getCategoryLevelAsString($B298))),";",EscStr($J298),";"),CONCATENATE(";",EscStr(CONCATENATE("NavNode_",getCategoryLevelAsString($B298))),";",EscStr(U298),";")))</f>
        <v>;"NavNode_L3D_525454";"Laky, čístící prostředky a brusný papír";</v>
      </c>
      <c r="AO298" s="10" t="str">
        <f>IF(getCategoryLevelAsString($B298)="L0D_324785","",IF(V298="",CONCATENATE(";",EscStr(CONCATENATE("NavNode_",getCategoryLevelAsString($B298))),";",EscStr($J298),";"),CONCATENATE(";",EscStr(CONCATENATE("NavNode_",getCategoryLevelAsString($B298))),";",EscStr(V298),";")))</f>
        <v>;"NavNode_L3D_525454";"Soluţii de curăţat, lubrifiant şi lac de protecţie";</v>
      </c>
      <c r="AP298" s="10" t="str">
        <f>IF(getCategoryLevelAsString($B298)="L0D_324785","",IF(W298="",CONCATENATE(";",EscStr(CONCATENATE("NavNode_",getCategoryLevelAsString($B298))),";",EscStr($J298),";"),CONCATENATE(";",EscStr(CONCATENATE("NavNode_",getCategoryLevelAsString($B298))),";",EscStr(W298),";")))</f>
        <v>;"NavNode_L3D_525454";"Tisztító-, kenőanyagok és védőlakk";</v>
      </c>
      <c r="AQ298" s="10" t="str">
        <f>IF(getCategoryLevelAsString($B298)="L0D_324785","",IF(X298="",CONCATENATE(";",EscStr(CONCATENATE("NavNode_",getCategoryLevelAsString($B298))),";",EscStr($J298),";"),CONCATENATE(";",EscStr(CONCATENATE("NavNode_",getCategoryLevelAsString($B298))),";",EscStr(X298),";")))</f>
        <v>;"NavNode_L3D_525454";"Laky, čístící prostředky a brusný papír";</v>
      </c>
      <c r="AR298" s="8" t="str">
        <f>IF(OR($A298&lt;&gt;"", $G298=""),"",CONCATENATE(";",EscStr(CONCATENATE("NavEntry_",getCategoryLevelAsString($B298))),";",EscStr(CONCATENATE($J298," Navigation Entry")),";",EscStr(CONCATENATE("cat-",getCategoryLevelAsString($B298))),";",EscStr(CONCATENATE("NavNode_",getCategoryLevelAsString($B298))),";"))</f>
        <v>;"NavEntry_L3D_525454";"Cleaners, Lubricants and Protective Lacquer Navigation Entry";"cat-L3D_525454";"NavNode_L3D_525454";</v>
      </c>
    </row>
    <row r="299" spans="1:44" ht="15" x14ac:dyDescent="0.25">
      <c r="A299" s="25"/>
      <c r="B299" s="5"/>
      <c r="C299" s="5"/>
      <c r="D299" s="5" t="s">
        <v>813</v>
      </c>
      <c r="E299" s="5"/>
      <c r="F299" s="5"/>
      <c r="G299" s="5" t="s">
        <v>1055</v>
      </c>
      <c r="H299" s="5" t="s">
        <v>1108</v>
      </c>
      <c r="I299" s="5" t="s">
        <v>1167</v>
      </c>
      <c r="J299" s="5" t="s">
        <v>925</v>
      </c>
      <c r="K299" s="5" t="s">
        <v>1268</v>
      </c>
      <c r="L299" s="5" t="s">
        <v>1503</v>
      </c>
      <c r="M299" s="5" t="s">
        <v>1733</v>
      </c>
      <c r="N299" s="5" t="s">
        <v>1936</v>
      </c>
      <c r="O299" s="5" t="s">
        <v>3026</v>
      </c>
      <c r="P299" s="5" t="s">
        <v>3027</v>
      </c>
      <c r="Q299" s="5" t="s">
        <v>3028</v>
      </c>
      <c r="R299" s="5" t="s">
        <v>3029</v>
      </c>
      <c r="S299" s="5" t="s">
        <v>3030</v>
      </c>
      <c r="T299" s="5" t="s">
        <v>3031</v>
      </c>
      <c r="U299" s="5" t="s">
        <v>3032</v>
      </c>
      <c r="V299" s="5" t="s">
        <v>3033</v>
      </c>
      <c r="W299" s="5" t="s">
        <v>3034</v>
      </c>
      <c r="X299" s="5" t="s">
        <v>3032</v>
      </c>
      <c r="Y299" s="10" t="str">
        <f>IF(OR($A299&lt;&gt;"", $G299=""),"",CONCATENATE(";",EscStr(CONCATENATE("NavNode_",getCategoryLevelAsString($B299))),";",EscStr($J299),";",IF($B299&lt;&gt;"","""MainNavNode""",EscStr(CONCATENATE("NavNode_",getSuperCategory($B299, getCategoryLevelAsNumber($B299))))),";"))</f>
        <v>;"NavNode_L3D_525455";"Cleaning Clothes &amp; Accessories";"NavNode_L2D_379535";</v>
      </c>
      <c r="Z299" s="10" t="str">
        <f>IF(getCategoryLevelAsString($B299)="L0D_324785","",IF(G299="",CONCATENATE(";",EscStr(CONCATENATE("NavNode_",getCategoryLevelAsString($B299))),";",EscStr($J299),";"),CONCATENATE(";",EscStr(CONCATENATE("NavNode_",getCategoryLevelAsString($B299))),";",EscStr(G299),";")))</f>
        <v>;"NavNode_L3D_525455";"Reinigungstücher und Zubehör";</v>
      </c>
      <c r="AA299" s="10" t="str">
        <f>IF(getCategoryLevelAsString($B299)="L0D_324785","",IF(H299="",CONCATENATE(";",EscStr(CONCATENATE("NavNode_",getCategoryLevelAsString($B299))),";",EscStr($J299),";"),CONCATENATE(";",EscStr(CONCATENATE("NavNode_",getCategoryLevelAsString($B299))),";",EscStr(H299),";")))</f>
        <v>;"NavNode_L3D_525455";"Chiffons et accessoires de nettoyage";</v>
      </c>
      <c r="AB299" s="10" t="str">
        <f>IF(getCategoryLevelAsString($B299)="L0D_324785","",IF(I299="",CONCATENATE(";",EscStr(CONCATENATE("NavNode_",getCategoryLevelAsString($B299))),";",EscStr($J299),";"),CONCATENATE(";",EscStr(CONCATENATE("NavNode_",getCategoryLevelAsString($B299))),";",EscStr(I299),";")))</f>
        <v>;"NavNode_L3D_525455";"Panni per pulizia e accessori";</v>
      </c>
      <c r="AC299" s="10" t="str">
        <f>IF(getCategoryLevelAsString($B299)="L0D_324785","",IF(J299="",CONCATENATE(";",EscStr(CONCATENATE("NavNode_",getCategoryLevelAsString($B299))),";",EscStr($J299),";"),CONCATENATE(";",EscStr(CONCATENATE("NavNode_",getCategoryLevelAsString($B299))),";",EscStr(J299),";")))</f>
        <v>;"NavNode_L3D_525455";"Cleaning Clothes &amp; Accessories";</v>
      </c>
      <c r="AD299" s="10" t="str">
        <f>IF(getCategoryLevelAsString($B299)="L0D_324785","",IF(K299="",CONCATENATE(";",EscStr(CONCATENATE("NavNode_",getCategoryLevelAsString($B299))),";",EscStr($J299),";"),CONCATENATE(";",EscStr(CONCATENATE("NavNode_",getCategoryLevelAsString($B299))),";",EscStr(K299),";")))</f>
        <v>;"NavNode_L3D_525455";"Rengøringstøj &amp; -udstyr";</v>
      </c>
      <c r="AE299" s="10" t="str">
        <f>IF(getCategoryLevelAsString($B299)="L0D_324785","",IF(L299="",CONCATENATE(";",EscStr(CONCATENATE("NavNode_",getCategoryLevelAsString($B299))),";",EscStr($J299),";"),CONCATENATE(";",EscStr(CONCATENATE("NavNode_",getCategoryLevelAsString($B299))),";",EscStr(L299),";")))</f>
        <v>;"NavNode_L3D_525455";"Valymo rūbai ir priedai";</v>
      </c>
      <c r="AF299" s="10" t="str">
        <f>IF(getCategoryLevelAsString($B299)="L0D_324785","",IF(M299="",CONCATENATE(";",EscStr(CONCATENATE("NavNode_",getCategoryLevelAsString($B299))),";",EscStr($J299),";"),CONCATENATE(";",EscStr(CONCATENATE("NavNode_",getCategoryLevelAsString($B299))),";",EscStr(M299),";")))</f>
        <v>;"NavNode_L3D_525455";"Rengjøringskluter og tilbehør";</v>
      </c>
      <c r="AG299" s="10" t="str">
        <f>IF(getCategoryLevelAsString($B299)="L0D_324785","",IF(N299="",CONCATENATE(";",EscStr(CONCATENATE("NavNode_",getCategoryLevelAsString($B299))),";",EscStr($J299),";"),CONCATENATE(";",EscStr(CONCATENATE("NavNode_",getCategoryLevelAsString($B299))),";",EscStr(N299),";")))</f>
        <v>;"NavNode_L3D_525455";"Rengöringskläder och tillbehör";</v>
      </c>
      <c r="AH299" s="10" t="str">
        <f>IF(getCategoryLevelAsString($B299)="L0D_324785","",IF(O299="",CONCATENATE(";",EscStr(CONCATENATE("NavNode_",getCategoryLevelAsString($B299))),";",EscStr($J299),";"),CONCATENATE(";",EscStr(CONCATENATE("NavNode_",getCategoryLevelAsString($B299))),";",EscStr(O299),";")))</f>
        <v>;"NavNode_L3D_525455";"Puhastuslapid ja tarvikud";</v>
      </c>
      <c r="AI299" s="10" t="str">
        <f>IF(getCategoryLevelAsString($B299)="L0D_324785","",IF(P299="",CONCATENATE(";",EscStr(CONCATENATE("NavNode_",getCategoryLevelAsString($B299))),";",EscStr($J299),";"),CONCATENATE(";",EscStr(CONCATENATE("NavNode_",getCategoryLevelAsString($B299))),";",EscStr(P299),";")))</f>
        <v>;"NavNode_L3D_525455";"Pyyheliinat";</v>
      </c>
      <c r="AJ299" s="10" t="str">
        <f>IF(getCategoryLevelAsString($B299)="L0D_324785","",IF(Q299="",CONCATENATE(";",EscStr(CONCATENATE("NavNode_",getCategoryLevelAsString($B299))),";",EscStr($J299),";"),CONCATENATE(";",EscStr(CONCATENATE("NavNode_",getCategoryLevelAsString($B299))),";",EscStr(Q299),";")))</f>
        <v>;"NavNode_L3D_525455";"Tīrīšanas lupatiņas un piederumi";</v>
      </c>
      <c r="AK299" s="10" t="str">
        <f>IF(getCategoryLevelAsString($B299)="L0D_324785","",IF(R299="",CONCATENATE(";",EscStr(CONCATENATE("NavNode_",getCategoryLevelAsString($B299))),";",EscStr($J299),";"),CONCATENATE(";",EscStr(CONCATENATE("NavNode_",getCategoryLevelAsString($B299))),";",EscStr(R299),";")))</f>
        <v>;"NavNode_L3D_525455";"Reinigingsdoekjes en accessoires";</v>
      </c>
      <c r="AL299" s="10" t="str">
        <f>IF(getCategoryLevelAsString($B299)="L0D_324785","",IF(S299="",CONCATENATE(";",EscStr(CONCATENATE("NavNode_",getCategoryLevelAsString($B299))),";",EscStr($J299),";"),CONCATENATE(";",EscStr(CONCATENATE("NavNode_",getCategoryLevelAsString($B299))),";",EscStr(S299),";")))</f>
        <v>;"NavNode_L3D_525455";"Ściereczki do czyszczenia i akcesoria";</v>
      </c>
      <c r="AM299" s="10" t="str">
        <f>IF(getCategoryLevelAsString($B299)="L0D_324785","",IF(T299="",CONCATENATE(";",EscStr(CONCATENATE("NavNode_",getCategoryLevelAsString($B299))),";",EscStr($J299),";"),CONCATENATE(";",EscStr(CONCATENATE("NavNode_",getCategoryLevelAsString($B299))),";",EscStr(T299),";")))</f>
        <v>;"NavNode_L3D_525455";"Чистки одежды &amp; Аксессуары";</v>
      </c>
      <c r="AN299" s="10" t="str">
        <f>IF(getCategoryLevelAsString($B299)="L0D_324785","",IF(U299="",CONCATENATE(";",EscStr(CONCATENATE("NavNode_",getCategoryLevelAsString($B299))),";",EscStr($J299),";"),CONCATENATE(";",EscStr(CONCATENATE("NavNode_",getCategoryLevelAsString($B299))),";",EscStr(U299),";")))</f>
        <v>;"NavNode_L3D_525455";"Čisticí utěrky a příslušenství";</v>
      </c>
      <c r="AO299" s="10" t="str">
        <f>IF(getCategoryLevelAsString($B299)="L0D_324785","",IF(V299="",CONCATENATE(";",EscStr(CONCATENATE("NavNode_",getCategoryLevelAsString($B299))),";",EscStr($J299),";"),CONCATENATE(";",EscStr(CONCATENATE("NavNode_",getCategoryLevelAsString($B299))),";",EscStr(V299),";")))</f>
        <v>;"NavNode_L3D_525455";"Cârpe de curăţănie şi accesorii";</v>
      </c>
      <c r="AP299" s="10" t="str">
        <f>IF(getCategoryLevelAsString($B299)="L0D_324785","",IF(W299="",CONCATENATE(";",EscStr(CONCATENATE("NavNode_",getCategoryLevelAsString($B299))),";",EscStr($J299),";"),CONCATENATE(";",EscStr(CONCATENATE("NavNode_",getCategoryLevelAsString($B299))),";",EscStr(W299),";")))</f>
        <v>;"NavNode_L3D_525455";"Tisztitókendők és tartozékok";</v>
      </c>
      <c r="AQ299" s="10" t="str">
        <f>IF(getCategoryLevelAsString($B299)="L0D_324785","",IF(X299="",CONCATENATE(";",EscStr(CONCATENATE("NavNode_",getCategoryLevelAsString($B299))),";",EscStr($J299),";"),CONCATENATE(";",EscStr(CONCATENATE("NavNode_",getCategoryLevelAsString($B299))),";",EscStr(X299),";")))</f>
        <v>;"NavNode_L3D_525455";"Čisticí utěrky a příslušenství";</v>
      </c>
      <c r="AR299" s="8" t="str">
        <f>IF(OR($A299&lt;&gt;"", $G299=""),"",CONCATENATE(";",EscStr(CONCATENATE("NavEntry_",getCategoryLevelAsString($B299))),";",EscStr(CONCATENATE($J299," Navigation Entry")),";",EscStr(CONCATENATE("cat-",getCategoryLevelAsString($B299))),";",EscStr(CONCATENATE("NavNode_",getCategoryLevelAsString($B299))),";"))</f>
        <v>;"NavEntry_L3D_525455";"Cleaning Clothes &amp; Accessories Navigation Entry";"cat-L3D_525455";"NavNode_L3D_525455";</v>
      </c>
    </row>
    <row r="300" spans="1:44" ht="15" x14ac:dyDescent="0.25">
      <c r="A300" s="25"/>
      <c r="B300" s="5"/>
      <c r="C300" s="5"/>
      <c r="D300" s="5" t="s">
        <v>814</v>
      </c>
      <c r="E300" s="5"/>
      <c r="F300" s="5"/>
      <c r="G300" s="5" t="s">
        <v>1056</v>
      </c>
      <c r="H300" s="5" t="s">
        <v>2268</v>
      </c>
      <c r="I300" s="5" t="s">
        <v>2269</v>
      </c>
      <c r="J300" s="5" t="s">
        <v>2270</v>
      </c>
      <c r="K300" s="5" t="s">
        <v>2271</v>
      </c>
      <c r="L300" s="5" t="s">
        <v>2272</v>
      </c>
      <c r="M300" s="5" t="s">
        <v>2273</v>
      </c>
      <c r="N300" s="5" t="s">
        <v>2274</v>
      </c>
      <c r="O300" s="5" t="s">
        <v>2275</v>
      </c>
      <c r="P300" s="5" t="s">
        <v>2276</v>
      </c>
      <c r="Q300" s="5" t="s">
        <v>2277</v>
      </c>
      <c r="R300" s="5" t="s">
        <v>2278</v>
      </c>
      <c r="S300" s="5" t="s">
        <v>2279</v>
      </c>
      <c r="T300" s="5" t="s">
        <v>2280</v>
      </c>
      <c r="U300" s="5" t="s">
        <v>2281</v>
      </c>
      <c r="V300" s="5" t="s">
        <v>2282</v>
      </c>
      <c r="W300" s="5" t="s">
        <v>2283</v>
      </c>
      <c r="X300" s="5" t="s">
        <v>2281</v>
      </c>
      <c r="Y300" s="10" t="str">
        <f>IF(OR($A300&lt;&gt;"", $G300=""),"",CONCATENATE(";",EscStr(CONCATENATE("NavNode_",getCategoryLevelAsString($B300))),";",EscStr($J300),";",IF($B300&lt;&gt;"","""MainNavNode""",EscStr(CONCATENATE("NavNode_",getSuperCategory($B300, getCategoryLevelAsNumber($B300))))),";"))</f>
        <v>;"NavNode_L3D_525448";"Sealing Compounds and Coating";"NavNode_L2D_379535";</v>
      </c>
      <c r="Z300" s="10" t="str">
        <f>IF(getCategoryLevelAsString($B300)="L0D_324785","",IF(G300="",CONCATENATE(";",EscStr(CONCATENATE("NavNode_",getCategoryLevelAsString($B300))),";",EscStr($J300),";"),CONCATENATE(";",EscStr(CONCATENATE("NavNode_",getCategoryLevelAsString($B300))),";",EscStr(G300),";")))</f>
        <v>;"NavNode_L3D_525448";"Vergussmasse";</v>
      </c>
      <c r="AA300" s="10" t="str">
        <f>IF(getCategoryLevelAsString($B300)="L0D_324785","",IF(H300="",CONCATENATE(";",EscStr(CONCATENATE("NavNode_",getCategoryLevelAsString($B300))),";",EscStr($J300),";"),CONCATENATE(";",EscStr(CONCATENATE("NavNode_",getCategoryLevelAsString($B300))),";",EscStr(H300),";")))</f>
        <v>;"NavNode_L3D_525448";"Masse de scellement et revêtement";</v>
      </c>
      <c r="AB300" s="10" t="str">
        <f>IF(getCategoryLevelAsString($B300)="L0D_324785","",IF(I300="",CONCATENATE(";",EscStr(CONCATENATE("NavNode_",getCategoryLevelAsString($B300))),";",EscStr($J300),";"),CONCATENATE(";",EscStr(CONCATENATE("NavNode_",getCategoryLevelAsString($B300))),";",EscStr(I300),";")))</f>
        <v>;"NavNode_L3D_525448";"Rivestimento e composti sigillanti";</v>
      </c>
      <c r="AC300" s="10" t="str">
        <f>IF(getCategoryLevelAsString($B300)="L0D_324785","",IF(J300="",CONCATENATE(";",EscStr(CONCATENATE("NavNode_",getCategoryLevelAsString($B300))),";",EscStr($J300),";"),CONCATENATE(";",EscStr(CONCATENATE("NavNode_",getCategoryLevelAsString($B300))),";",EscStr(J300),";")))</f>
        <v>;"NavNode_L3D_525448";"Sealing Compounds and Coating";</v>
      </c>
      <c r="AD300" s="10" t="str">
        <f>IF(getCategoryLevelAsString($B300)="L0D_324785","",IF(K300="",CONCATENATE(";",EscStr(CONCATENATE("NavNode_",getCategoryLevelAsString($B300))),";",EscStr($J300),";"),CONCATENATE(";",EscStr(CONCATENATE("NavNode_",getCategoryLevelAsString($B300))),";",EscStr(K300),";")))</f>
        <v>;"NavNode_L3D_525448";"Tætningsmidler og belægning";</v>
      </c>
      <c r="AE300" s="10" t="str">
        <f>IF(getCategoryLevelAsString($B300)="L0D_324785","",IF(L300="",CONCATENATE(";",EscStr(CONCATENATE("NavNode_",getCategoryLevelAsString($B300))),";",EscStr($J300),";"),CONCATENATE(";",EscStr(CONCATENATE("NavNode_",getCategoryLevelAsString($B300))),";",EscStr(L300),";")))</f>
        <v>;"NavNode_L3D_525448";"Sandarinamieji mišiniai ir dangos";</v>
      </c>
      <c r="AF300" s="10" t="str">
        <f>IF(getCategoryLevelAsString($B300)="L0D_324785","",IF(M300="",CONCATENATE(";",EscStr(CONCATENATE("NavNode_",getCategoryLevelAsString($B300))),";",EscStr($J300),";"),CONCATENATE(";",EscStr(CONCATENATE("NavNode_",getCategoryLevelAsString($B300))),";",EscStr(M300),";")))</f>
        <v>;"NavNode_L3D_525448";"Tetningsmaterialer og belegg";</v>
      </c>
      <c r="AG300" s="10" t="str">
        <f>IF(getCategoryLevelAsString($B300)="L0D_324785","",IF(N300="",CONCATENATE(";",EscStr(CONCATENATE("NavNode_",getCategoryLevelAsString($B300))),";",EscStr($J300),";"),CONCATENATE(";",EscStr(CONCATENATE("NavNode_",getCategoryLevelAsString($B300))),";",EscStr(N300),";")))</f>
        <v>;"NavNode_L3D_525448";"Tätningsmassor och beläggning";</v>
      </c>
      <c r="AH300" s="10" t="str">
        <f>IF(getCategoryLevelAsString($B300)="L0D_324785","",IF(O300="",CONCATENATE(";",EscStr(CONCATENATE("NavNode_",getCategoryLevelAsString($B300))),";",EscStr($J300),";"),CONCATENATE(";",EscStr(CONCATENATE("NavNode_",getCategoryLevelAsString($B300))),";",EscStr(O300),";")))</f>
        <v>;"NavNode_L3D_525448";"Tihendusühendid ja -katted";</v>
      </c>
      <c r="AI300" s="10" t="str">
        <f>IF(getCategoryLevelAsString($B300)="L0D_324785","",IF(P300="",CONCATENATE(";",EscStr(CONCATENATE("NavNode_",getCategoryLevelAsString($B300))),";",EscStr($J300),";"),CONCATENATE(";",EscStr(CONCATENATE("NavNode_",getCategoryLevelAsString($B300))),";",EscStr(P300),";")))</f>
        <v>;"NavNode_L3D_525448";"Tiivisteaineet ja pinnoitteet";</v>
      </c>
      <c r="AJ300" s="10" t="str">
        <f>IF(getCategoryLevelAsString($B300)="L0D_324785","",IF(Q300="",CONCATENATE(";",EscStr(CONCATENATE("NavNode_",getCategoryLevelAsString($B300))),";",EscStr($J300),";"),CONCATENATE(";",EscStr(CONCATENATE("NavNode_",getCategoryLevelAsString($B300))),";",EscStr(Q300),";")))</f>
        <v>;"NavNode_L3D_525448";"Izolācijas līdzekļi un pārklājumi";</v>
      </c>
      <c r="AK300" s="10" t="str">
        <f>IF(getCategoryLevelAsString($B300)="L0D_324785","",IF(R300="",CONCATENATE(";",EscStr(CONCATENATE("NavNode_",getCategoryLevelAsString($B300))),";",EscStr($J300),";"),CONCATENATE(";",EscStr(CONCATENATE("NavNode_",getCategoryLevelAsString($B300))),";",EscStr(R300),";")))</f>
        <v>;"NavNode_L3D_525448";"Afdichtmiddelen en coatings";</v>
      </c>
      <c r="AL300" s="10" t="str">
        <f>IF(getCategoryLevelAsString($B300)="L0D_324785","",IF(S300="",CONCATENATE(";",EscStr(CONCATENATE("NavNode_",getCategoryLevelAsString($B300))),";",EscStr($J300),";"),CONCATENATE(";",EscStr(CONCATENATE("NavNode_",getCategoryLevelAsString($B300))),";",EscStr(S300),";")))</f>
        <v>;"NavNode_L3D_525448";"Środki uszczelniające i powłoki";</v>
      </c>
      <c r="AM300" s="10" t="str">
        <f>IF(getCategoryLevelAsString($B300)="L0D_324785","",IF(T300="",CONCATENATE(";",EscStr(CONCATENATE("NavNode_",getCategoryLevelAsString($B300))),";",EscStr($J300),";"),CONCATENATE(";",EscStr(CONCATENATE("NavNode_",getCategoryLevelAsString($B300))),";",EscStr(T300),";")))</f>
        <v>;"NavNode_L3D_525448";"Уплотняющие составы и покрытия";</v>
      </c>
      <c r="AN300" s="10" t="str">
        <f>IF(getCategoryLevelAsString($B300)="L0D_324785","",IF(U300="",CONCATENATE(";",EscStr(CONCATENATE("NavNode_",getCategoryLevelAsString($B300))),";",EscStr($J300),";"),CONCATENATE(";",EscStr(CONCATENATE("NavNode_",getCategoryLevelAsString($B300))),";",EscStr(U300),";")))</f>
        <v>;"NavNode_L3D_525448";"Těsnicí hmoty a povlaky";</v>
      </c>
      <c r="AO300" s="10" t="str">
        <f>IF(getCategoryLevelAsString($B300)="L0D_324785","",IF(V300="",CONCATENATE(";",EscStr(CONCATENATE("NavNode_",getCategoryLevelAsString($B300))),";",EscStr($J300),";"),CONCATENATE(";",EscStr(CONCATENATE("NavNode_",getCategoryLevelAsString($B300))),";",EscStr(V300),";")))</f>
        <v>;"NavNode_L3D_525448";"Compuşi şi protecţie de etanşare";</v>
      </c>
      <c r="AP300" s="10" t="str">
        <f>IF(getCategoryLevelAsString($B300)="L0D_324785","",IF(W300="",CONCATENATE(";",EscStr(CONCATENATE("NavNode_",getCategoryLevelAsString($B300))),";",EscStr($J300),";"),CONCATENATE(";",EscStr(CONCATENATE("NavNode_",getCategoryLevelAsString($B300))),";",EscStr(W300),";")))</f>
        <v>;"NavNode_L3D_525448";"Tömítőanyagok és bevonatok";</v>
      </c>
      <c r="AQ300" s="10" t="str">
        <f>IF(getCategoryLevelAsString($B300)="L0D_324785","",IF(X300="",CONCATENATE(";",EscStr(CONCATENATE("NavNode_",getCategoryLevelAsString($B300))),";",EscStr($J300),";"),CONCATENATE(";",EscStr(CONCATENATE("NavNode_",getCategoryLevelAsString($B300))),";",EscStr(X300),";")))</f>
        <v>;"NavNode_L3D_525448";"Těsnicí hmoty a povlaky";</v>
      </c>
      <c r="AR300" s="8" t="str">
        <f>IF(OR($A300&lt;&gt;"", $G300=""),"",CONCATENATE(";",EscStr(CONCATENATE("NavEntry_",getCategoryLevelAsString($B300))),";",EscStr(CONCATENATE($J300," Navigation Entry")),";",EscStr(CONCATENATE("cat-",getCategoryLevelAsString($B300))),";",EscStr(CONCATENATE("NavNode_",getCategoryLevelAsString($B300))),";"))</f>
        <v>;"NavEntry_L3D_525448";"Sealing Compounds and Coating Navigation Entry";"cat-L3D_525448";"NavNode_L3D_525448";</v>
      </c>
    </row>
    <row r="301" spans="1:44" ht="15" x14ac:dyDescent="0.25">
      <c r="A301" s="25"/>
      <c r="B301" s="5"/>
      <c r="C301" s="5"/>
      <c r="D301" s="5" t="s">
        <v>244</v>
      </c>
      <c r="E301" s="5"/>
      <c r="F301" s="5"/>
      <c r="G301" s="5" t="s">
        <v>1057</v>
      </c>
      <c r="H301" s="5" t="s">
        <v>2284</v>
      </c>
      <c r="I301" s="5" t="s">
        <v>2285</v>
      </c>
      <c r="J301" s="5" t="s">
        <v>2286</v>
      </c>
      <c r="K301" s="5" t="s">
        <v>1269</v>
      </c>
      <c r="L301" s="5" t="s">
        <v>2287</v>
      </c>
      <c r="M301" s="5" t="s">
        <v>1269</v>
      </c>
      <c r="N301" s="5" t="s">
        <v>1937</v>
      </c>
      <c r="O301" s="5" t="s">
        <v>2288</v>
      </c>
      <c r="P301" s="5" t="s">
        <v>2289</v>
      </c>
      <c r="Q301" s="5" t="s">
        <v>2290</v>
      </c>
      <c r="R301" s="5" t="s">
        <v>1269</v>
      </c>
      <c r="S301" s="5" t="s">
        <v>2291</v>
      </c>
      <c r="T301" s="5" t="s">
        <v>2292</v>
      </c>
      <c r="U301" s="5" t="s">
        <v>2293</v>
      </c>
      <c r="V301" s="5" t="s">
        <v>2294</v>
      </c>
      <c r="W301" s="5" t="s">
        <v>2295</v>
      </c>
      <c r="X301" s="5" t="s">
        <v>2293</v>
      </c>
      <c r="Y301" s="10" t="str">
        <f>IF(OR($A301&lt;&gt;"", $G301=""),"",CONCATENATE(";",EscStr(CONCATENATE("NavNode_",getCategoryLevelAsString($B301))),";",EscStr($J301),";",IF($B301&lt;&gt;"","""MainNavNode""",EscStr(CONCATENATE("NavNode_",getSuperCategory($B301, getCategoryLevelAsNumber($B301))))),";"))</f>
        <v>;"NavNode_L3D_525451";"Tapes";"NavNode_L2D_379535";</v>
      </c>
      <c r="Z301" s="10" t="str">
        <f>IF(getCategoryLevelAsString($B301)="L0D_324785","",IF(G301="",CONCATENATE(";",EscStr(CONCATENATE("NavNode_",getCategoryLevelAsString($B301))),";",EscStr($J301),";"),CONCATENATE(";",EscStr(CONCATENATE("NavNode_",getCategoryLevelAsString($B301))),";",EscStr(G301),";")))</f>
        <v>;"NavNode_L3D_525451";"Klebebänder";</v>
      </c>
      <c r="AA301" s="10" t="str">
        <f>IF(getCategoryLevelAsString($B301)="L0D_324785","",IF(H301="",CONCATENATE(";",EscStr(CONCATENATE("NavNode_",getCategoryLevelAsString($B301))),";",EscStr($J301),";"),CONCATENATE(";",EscStr(CONCATENATE("NavNode_",getCategoryLevelAsString($B301))),";",EscStr(H301),";")))</f>
        <v>;"NavNode_L3D_525451";"Rubans";</v>
      </c>
      <c r="AB301" s="10" t="str">
        <f>IF(getCategoryLevelAsString($B301)="L0D_324785","",IF(I301="",CONCATENATE(";",EscStr(CONCATENATE("NavNode_",getCategoryLevelAsString($B301))),";",EscStr($J301),";"),CONCATENATE(";",EscStr(CONCATENATE("NavNode_",getCategoryLevelAsString($B301))),";",EscStr(I301),";")))</f>
        <v>;"NavNode_L3D_525451";"Nastri";</v>
      </c>
      <c r="AC301" s="10" t="str">
        <f>IF(getCategoryLevelAsString($B301)="L0D_324785","",IF(J301="",CONCATENATE(";",EscStr(CONCATENATE("NavNode_",getCategoryLevelAsString($B301))),";",EscStr($J301),";"),CONCATENATE(";",EscStr(CONCATENATE("NavNode_",getCategoryLevelAsString($B301))),";",EscStr(J301),";")))</f>
        <v>;"NavNode_L3D_525451";"Tapes";</v>
      </c>
      <c r="AD301" s="10" t="str">
        <f>IF(getCategoryLevelAsString($B301)="L0D_324785","",IF(K301="",CONCATENATE(";",EscStr(CONCATENATE("NavNode_",getCategoryLevelAsString($B301))),";",EscStr($J301),";"),CONCATENATE(";",EscStr(CONCATENATE("NavNode_",getCategoryLevelAsString($B301))),";",EscStr(K301),";")))</f>
        <v>;"NavNode_L3D_525451";"Tape";</v>
      </c>
      <c r="AE301" s="10" t="str">
        <f>IF(getCategoryLevelAsString($B301)="L0D_324785","",IF(L301="",CONCATENATE(";",EscStr(CONCATENATE("NavNode_",getCategoryLevelAsString($B301))),";",EscStr($J301),";"),CONCATENATE(";",EscStr(CONCATENATE("NavNode_",getCategoryLevelAsString($B301))),";",EscStr(L301),";")))</f>
        <v>;"NavNode_L3D_525451";"Juostos";</v>
      </c>
      <c r="AF301" s="10" t="str">
        <f>IF(getCategoryLevelAsString($B301)="L0D_324785","",IF(M301="",CONCATENATE(";",EscStr(CONCATENATE("NavNode_",getCategoryLevelAsString($B301))),";",EscStr($J301),";"),CONCATENATE(";",EscStr(CONCATENATE("NavNode_",getCategoryLevelAsString($B301))),";",EscStr(M301),";")))</f>
        <v>;"NavNode_L3D_525451";"Tape";</v>
      </c>
      <c r="AG301" s="10" t="str">
        <f>IF(getCategoryLevelAsString($B301)="L0D_324785","",IF(N301="",CONCATENATE(";",EscStr(CONCATENATE("NavNode_",getCategoryLevelAsString($B301))),";",EscStr($J301),";"),CONCATENATE(";",EscStr(CONCATENATE("NavNode_",getCategoryLevelAsString($B301))),";",EscStr(N301),";")))</f>
        <v>;"NavNode_L3D_525451";"Tejp";</v>
      </c>
      <c r="AH301" s="10" t="str">
        <f>IF(getCategoryLevelAsString($B301)="L0D_324785","",IF(O301="",CONCATENATE(";",EscStr(CONCATENATE("NavNode_",getCategoryLevelAsString($B301))),";",EscStr($J301),";"),CONCATENATE(";",EscStr(CONCATENATE("NavNode_",getCategoryLevelAsString($B301))),";",EscStr(O301),";")))</f>
        <v>;"NavNode_L3D_525451";"Kleepribad";</v>
      </c>
      <c r="AI301" s="10" t="str">
        <f>IF(getCategoryLevelAsString($B301)="L0D_324785","",IF(P301="",CONCATENATE(";",EscStr(CONCATENATE("NavNode_",getCategoryLevelAsString($B301))),";",EscStr($J301),";"),CONCATENATE(";",EscStr(CONCATENATE("NavNode_",getCategoryLevelAsString($B301))),";",EscStr(P301),";")))</f>
        <v>;"NavNode_L3D_525451";"Teipit";</v>
      </c>
      <c r="AJ301" s="10" t="str">
        <f>IF(getCategoryLevelAsString($B301)="L0D_324785","",IF(Q301="",CONCATENATE(";",EscStr(CONCATENATE("NavNode_",getCategoryLevelAsString($B301))),";",EscStr($J301),";"),CONCATENATE(";",EscStr(CONCATENATE("NavNode_",getCategoryLevelAsString($B301))),";",EscStr(Q301),";")))</f>
        <v>;"NavNode_L3D_525451";"Lentas";</v>
      </c>
      <c r="AK301" s="10" t="str">
        <f>IF(getCategoryLevelAsString($B301)="L0D_324785","",IF(R301="",CONCATENATE(";",EscStr(CONCATENATE("NavNode_",getCategoryLevelAsString($B301))),";",EscStr($J301),";"),CONCATENATE(";",EscStr(CONCATENATE("NavNode_",getCategoryLevelAsString($B301))),";",EscStr(R301),";")))</f>
        <v>;"NavNode_L3D_525451";"Tape";</v>
      </c>
      <c r="AL301" s="10" t="str">
        <f>IF(getCategoryLevelAsString($B301)="L0D_324785","",IF(S301="",CONCATENATE(";",EscStr(CONCATENATE("NavNode_",getCategoryLevelAsString($B301))),";",EscStr($J301),";"),CONCATENATE(";",EscStr(CONCATENATE("NavNode_",getCategoryLevelAsString($B301))),";",EscStr(S301),";")))</f>
        <v>;"NavNode_L3D_525451";"Taśmy";</v>
      </c>
      <c r="AM301" s="10" t="str">
        <f>IF(getCategoryLevelAsString($B301)="L0D_324785","",IF(T301="",CONCATENATE(";",EscStr(CONCATENATE("NavNode_",getCategoryLevelAsString($B301))),";",EscStr($J301),";"),CONCATENATE(";",EscStr(CONCATENATE("NavNode_",getCategoryLevelAsString($B301))),";",EscStr(T301),";")))</f>
        <v>;"NavNode_L3D_525451";"Ленты";</v>
      </c>
      <c r="AN301" s="10" t="str">
        <f>IF(getCategoryLevelAsString($B301)="L0D_324785","",IF(U301="",CONCATENATE(";",EscStr(CONCATENATE("NavNode_",getCategoryLevelAsString($B301))),";",EscStr($J301),";"),CONCATENATE(";",EscStr(CONCATENATE("NavNode_",getCategoryLevelAsString($B301))),";",EscStr(U301),";")))</f>
        <v>;"NavNode_L3D_525451";"Pásky";</v>
      </c>
      <c r="AO301" s="10" t="str">
        <f>IF(getCategoryLevelAsString($B301)="L0D_324785","",IF(V301="",CONCATENATE(";",EscStr(CONCATENATE("NavNode_",getCategoryLevelAsString($B301))),";",EscStr($J301),";"),CONCATENATE(";",EscStr(CONCATENATE("NavNode_",getCategoryLevelAsString($B301))),";",EscStr(V301),";")))</f>
        <v>;"NavNode_L3D_525451";"Benzi";</v>
      </c>
      <c r="AP301" s="10" t="str">
        <f>IF(getCategoryLevelAsString($B301)="L0D_324785","",IF(W301="",CONCATENATE(";",EscStr(CONCATENATE("NavNode_",getCategoryLevelAsString($B301))),";",EscStr($J301),";"),CONCATENATE(";",EscStr(CONCATENATE("NavNode_",getCategoryLevelAsString($B301))),";",EscStr(W301),";")))</f>
        <v>;"NavNode_L3D_525451";"Ragasztószalagok";</v>
      </c>
      <c r="AQ301" s="10" t="str">
        <f>IF(getCategoryLevelAsString($B301)="L0D_324785","",IF(X301="",CONCATENATE(";",EscStr(CONCATENATE("NavNode_",getCategoryLevelAsString($B301))),";",EscStr($J301),";"),CONCATENATE(";",EscStr(CONCATENATE("NavNode_",getCategoryLevelAsString($B301))),";",EscStr(X301),";")))</f>
        <v>;"NavNode_L3D_525451";"Pásky";</v>
      </c>
      <c r="AR301" s="8" t="str">
        <f>IF(OR($A301&lt;&gt;"", $G301=""),"",CONCATENATE(";",EscStr(CONCATENATE("NavEntry_",getCategoryLevelAsString($B301))),";",EscStr(CONCATENATE($J301," Navigation Entry")),";",EscStr(CONCATENATE("cat-",getCategoryLevelAsString($B301))),";",EscStr(CONCATENATE("NavNode_",getCategoryLevelAsString($B301))),";"))</f>
        <v>;"NavEntry_L3D_525451";"Tapes Navigation Entry";"cat-L3D_525451";"NavNode_L3D_525451";</v>
      </c>
    </row>
    <row r="302" spans="1:44" ht="15" x14ac:dyDescent="0.25">
      <c r="A302" s="25"/>
      <c r="B302" s="5"/>
      <c r="C302" s="5"/>
      <c r="D302" s="5" t="s">
        <v>237</v>
      </c>
      <c r="E302" s="5"/>
      <c r="F302" s="5"/>
      <c r="G302" s="5" t="s">
        <v>538</v>
      </c>
      <c r="H302" s="5" t="s">
        <v>539</v>
      </c>
      <c r="I302" s="5" t="s">
        <v>540</v>
      </c>
      <c r="J302" s="5" t="s">
        <v>238</v>
      </c>
      <c r="K302" s="5" t="s">
        <v>1270</v>
      </c>
      <c r="L302" s="5" t="s">
        <v>1504</v>
      </c>
      <c r="M302" s="5" t="s">
        <v>1734</v>
      </c>
      <c r="N302" s="5" t="s">
        <v>1270</v>
      </c>
      <c r="O302" s="5" t="s">
        <v>3035</v>
      </c>
      <c r="P302" s="5" t="s">
        <v>3036</v>
      </c>
      <c r="Q302" s="5" t="s">
        <v>3037</v>
      </c>
      <c r="R302" s="5" t="s">
        <v>3038</v>
      </c>
      <c r="S302" s="5" t="s">
        <v>3039</v>
      </c>
      <c r="T302" s="5" t="s">
        <v>3040</v>
      </c>
      <c r="U302" s="5" t="s">
        <v>3041</v>
      </c>
      <c r="V302" s="5" t="s">
        <v>3042</v>
      </c>
      <c r="W302" s="5" t="s">
        <v>3043</v>
      </c>
      <c r="X302" s="5" t="s">
        <v>3041</v>
      </c>
      <c r="Y302" s="10" t="str">
        <f>IF(OR($A302&lt;&gt;"", $G302=""),"",CONCATENATE(";",EscStr(CONCATENATE("NavNode_",getCategoryLevelAsString($B302))),";",EscStr($J302),";",IF($B302&lt;&gt;"","""MainNavNode""",EscStr(CONCATENATE("NavNode_",getSuperCategory($B302, getCategoryLevelAsNumber($B302))))),";"))</f>
        <v>;"NavNode_L3D_525453";"Adhesives";"NavNode_L2D_379535";</v>
      </c>
      <c r="Z302" s="10" t="str">
        <f>IF(getCategoryLevelAsString($B302)="L0D_324785","",IF(G302="",CONCATENATE(";",EscStr(CONCATENATE("NavNode_",getCategoryLevelAsString($B302))),";",EscStr($J302),";"),CONCATENATE(";",EscStr(CONCATENATE("NavNode_",getCategoryLevelAsString($B302))),";",EscStr(G302),";")))</f>
        <v>;"NavNode_L3D_525453";"Klebetechnik";</v>
      </c>
      <c r="AA302" s="10" t="str">
        <f>IF(getCategoryLevelAsString($B302)="L0D_324785","",IF(H302="",CONCATENATE(";",EscStr(CONCATENATE("NavNode_",getCategoryLevelAsString($B302))),";",EscStr($J302),";"),CONCATENATE(";",EscStr(CONCATENATE("NavNode_",getCategoryLevelAsString($B302))),";",EscStr(H302),";")))</f>
        <v>;"NavNode_L3D_525453";"Adhésifs";</v>
      </c>
      <c r="AB302" s="10" t="str">
        <f>IF(getCategoryLevelAsString($B302)="L0D_324785","",IF(I302="",CONCATENATE(";",EscStr(CONCATENATE("NavNode_",getCategoryLevelAsString($B302))),";",EscStr($J302),";"),CONCATENATE(";",EscStr(CONCATENATE("NavNode_",getCategoryLevelAsString($B302))),";",EscStr(I302),";")))</f>
        <v>;"NavNode_L3D_525453";"Adesivi";</v>
      </c>
      <c r="AC302" s="10" t="str">
        <f>IF(getCategoryLevelAsString($B302)="L0D_324785","",IF(J302="",CONCATENATE(";",EscStr(CONCATENATE("NavNode_",getCategoryLevelAsString($B302))),";",EscStr($J302),";"),CONCATENATE(";",EscStr(CONCATENATE("NavNode_",getCategoryLevelAsString($B302))),";",EscStr(J302),";")))</f>
        <v>;"NavNode_L3D_525453";"Adhesives";</v>
      </c>
      <c r="AD302" s="10" t="str">
        <f>IF(getCategoryLevelAsString($B302)="L0D_324785","",IF(K302="",CONCATENATE(";",EscStr(CONCATENATE("NavNode_",getCategoryLevelAsString($B302))),";",EscStr($J302),";"),CONCATENATE(";",EscStr(CONCATENATE("NavNode_",getCategoryLevelAsString($B302))),";",EscStr(K302),";")))</f>
        <v>;"NavNode_L3D_525453";"Lim";</v>
      </c>
      <c r="AE302" s="10" t="str">
        <f>IF(getCategoryLevelAsString($B302)="L0D_324785","",IF(L302="",CONCATENATE(";",EscStr(CONCATENATE("NavNode_",getCategoryLevelAsString($B302))),";",EscStr($J302),";"),CONCATENATE(";",EscStr(CONCATENATE("NavNode_",getCategoryLevelAsString($B302))),";",EscStr(L302),";")))</f>
        <v>;"NavNode_L3D_525453";"Klijai";</v>
      </c>
      <c r="AF302" s="10" t="str">
        <f>IF(getCategoryLevelAsString($B302)="L0D_324785","",IF(M302="",CONCATENATE(";",EscStr(CONCATENATE("NavNode_",getCategoryLevelAsString($B302))),";",EscStr($J302),";"),CONCATENATE(";",EscStr(CONCATENATE("NavNode_",getCategoryLevelAsString($B302))),";",EscStr(M302),";")))</f>
        <v>;"NavNode_L3D_525453";"Limprodukter";</v>
      </c>
      <c r="AG302" s="10" t="str">
        <f>IF(getCategoryLevelAsString($B302)="L0D_324785","",IF(N302="",CONCATENATE(";",EscStr(CONCATENATE("NavNode_",getCategoryLevelAsString($B302))),";",EscStr($J302),";"),CONCATENATE(";",EscStr(CONCATENATE("NavNode_",getCategoryLevelAsString($B302))),";",EscStr(N302),";")))</f>
        <v>;"NavNode_L3D_525453";"Lim";</v>
      </c>
      <c r="AH302" s="10" t="str">
        <f>IF(getCategoryLevelAsString($B302)="L0D_324785","",IF(O302="",CONCATENATE(";",EscStr(CONCATENATE("NavNode_",getCategoryLevelAsString($B302))),";",EscStr($J302),";"),CONCATENATE(";",EscStr(CONCATENATE("NavNode_",getCategoryLevelAsString($B302))),";",EscStr(O302),";")))</f>
        <v>;"NavNode_L3D_525453";"Liimid";</v>
      </c>
      <c r="AI302" s="10" t="str">
        <f>IF(getCategoryLevelAsString($B302)="L0D_324785","",IF(P302="",CONCATENATE(";",EscStr(CONCATENATE("NavNode_",getCategoryLevelAsString($B302))),";",EscStr($J302),";"),CONCATENATE(";",EscStr(CONCATENATE("NavNode_",getCategoryLevelAsString($B302))),";",EscStr(P302),";")))</f>
        <v>;"NavNode_L3D_525453";"Liimat";</v>
      </c>
      <c r="AJ302" s="10" t="str">
        <f>IF(getCategoryLevelAsString($B302)="L0D_324785","",IF(Q302="",CONCATENATE(";",EscStr(CONCATENATE("NavNode_",getCategoryLevelAsString($B302))),";",EscStr($J302),";"),CONCATENATE(";",EscStr(CONCATENATE("NavNode_",getCategoryLevelAsString($B302))),";",EscStr(Q302),";")))</f>
        <v>;"NavNode_L3D_525453";"Līmes";</v>
      </c>
      <c r="AK302" s="10" t="str">
        <f>IF(getCategoryLevelAsString($B302)="L0D_324785","",IF(R302="",CONCATENATE(";",EscStr(CONCATENATE("NavNode_",getCategoryLevelAsString($B302))),";",EscStr($J302),";"),CONCATENATE(";",EscStr(CONCATENATE("NavNode_",getCategoryLevelAsString($B302))),";",EscStr(R302),";")))</f>
        <v>;"NavNode_L3D_525453";"Lijmen";</v>
      </c>
      <c r="AL302" s="10" t="str">
        <f>IF(getCategoryLevelAsString($B302)="L0D_324785","",IF(S302="",CONCATENATE(";",EscStr(CONCATENATE("NavNode_",getCategoryLevelAsString($B302))),";",EscStr($J302),";"),CONCATENATE(";",EscStr(CONCATENATE("NavNode_",getCategoryLevelAsString($B302))),";",EscStr(S302),";")))</f>
        <v>;"NavNode_L3D_525453";"Kleje";</v>
      </c>
      <c r="AM302" s="10" t="str">
        <f>IF(getCategoryLevelAsString($B302)="L0D_324785","",IF(T302="",CONCATENATE(";",EscStr(CONCATENATE("NavNode_",getCategoryLevelAsString($B302))),";",EscStr($J302),";"),CONCATENATE(";",EscStr(CONCATENATE("NavNode_",getCategoryLevelAsString($B302))),";",EscStr(T302),";")))</f>
        <v>;"NavNode_L3D_525453";"Клеи";</v>
      </c>
      <c r="AN302" s="10" t="str">
        <f>IF(getCategoryLevelAsString($B302)="L0D_324785","",IF(U302="",CONCATENATE(";",EscStr(CONCATENATE("NavNode_",getCategoryLevelAsString($B302))),";",EscStr($J302),";"),CONCATENATE(";",EscStr(CONCATENATE("NavNode_",getCategoryLevelAsString($B302))),";",EscStr(U302),";")))</f>
        <v>;"NavNode_L3D_525453";"Lepící technika";</v>
      </c>
      <c r="AO302" s="10" t="str">
        <f>IF(getCategoryLevelAsString($B302)="L0D_324785","",IF(V302="",CONCATENATE(";",EscStr(CONCATENATE("NavNode_",getCategoryLevelAsString($B302))),";",EscStr($J302),";"),CONCATENATE(";",EscStr(CONCATENATE("NavNode_",getCategoryLevelAsString($B302))),";",EscStr(V302),";")))</f>
        <v>;"NavNode_L3D_525453";"Tehnologie Adeziv";</v>
      </c>
      <c r="AP302" s="10" t="str">
        <f>IF(getCategoryLevelAsString($B302)="L0D_324785","",IF(W302="",CONCATENATE(";",EscStr(CONCATENATE("NavNode_",getCategoryLevelAsString($B302))),";",EscStr($J302),";"),CONCATENATE(";",EscStr(CONCATENATE("NavNode_",getCategoryLevelAsString($B302))),";",EscStr(W302),";")))</f>
        <v>;"NavNode_L3D_525453";"Ragasztástechnika";</v>
      </c>
      <c r="AQ302" s="10" t="str">
        <f>IF(getCategoryLevelAsString($B302)="L0D_324785","",IF(X302="",CONCATENATE(";",EscStr(CONCATENATE("NavNode_",getCategoryLevelAsString($B302))),";",EscStr($J302),";"),CONCATENATE(";",EscStr(CONCATENATE("NavNode_",getCategoryLevelAsString($B302))),";",EscStr(X302),";")))</f>
        <v>;"NavNode_L3D_525453";"Lepící technika";</v>
      </c>
      <c r="AR302" s="8" t="str">
        <f>IF(OR($A302&lt;&gt;"", $G302=""),"",CONCATENATE(";",EscStr(CONCATENATE("NavEntry_",getCategoryLevelAsString($B302))),";",EscStr(CONCATENATE($J302," Navigation Entry")),";",EscStr(CONCATENATE("cat-",getCategoryLevelAsString($B302))),";",EscStr(CONCATENATE("NavNode_",getCategoryLevelAsString($B302))),";"))</f>
        <v>;"NavEntry_L3D_525453";"Adhesives Navigation Entry";"cat-L3D_525453";"NavNode_L3D_525453";</v>
      </c>
    </row>
    <row r="303" spans="1:44" ht="15" x14ac:dyDescent="0.25">
      <c r="A303" s="25"/>
      <c r="B303" s="5"/>
      <c r="C303" s="5"/>
      <c r="D303" s="5" t="s">
        <v>239</v>
      </c>
      <c r="E303" s="5"/>
      <c r="F303" s="5"/>
      <c r="G303" s="5" t="s">
        <v>963</v>
      </c>
      <c r="H303" s="5" t="s">
        <v>808</v>
      </c>
      <c r="I303" s="5" t="s">
        <v>709</v>
      </c>
      <c r="J303" s="5" t="s">
        <v>541</v>
      </c>
      <c r="K303" s="5" t="s">
        <v>1254</v>
      </c>
      <c r="L303" s="5" t="s">
        <v>1489</v>
      </c>
      <c r="M303" s="5" t="s">
        <v>1720</v>
      </c>
      <c r="N303" s="5" t="s">
        <v>1922</v>
      </c>
      <c r="O303" s="5" t="s">
        <v>2882</v>
      </c>
      <c r="P303" s="5" t="s">
        <v>2883</v>
      </c>
      <c r="Q303" s="5" t="s">
        <v>2884</v>
      </c>
      <c r="R303" s="5" t="s">
        <v>2885</v>
      </c>
      <c r="S303" s="5" t="s">
        <v>2886</v>
      </c>
      <c r="T303" s="5" t="s">
        <v>2887</v>
      </c>
      <c r="U303" s="5" t="s">
        <v>2888</v>
      </c>
      <c r="V303" s="5" t="s">
        <v>2889</v>
      </c>
      <c r="W303" s="5" t="s">
        <v>2890</v>
      </c>
      <c r="X303" s="5" t="s">
        <v>2888</v>
      </c>
      <c r="Y303" s="10" t="str">
        <f>IF(OR($A303&lt;&gt;"", $G303=""),"",CONCATENATE(";",EscStr(CONCATENATE("NavNode_",getCategoryLevelAsString($B303))),";",EscStr($J303),";",IF($B303&lt;&gt;"","""MainNavNode""",EscStr(CONCATENATE("NavNode_",getSuperCategory($B303, getCategoryLevelAsNumber($B303))))),";"))</f>
        <v>;"NavNode_L3D_525449";"Boxes, Drawers and Containers";"NavNode_L2D_379535";</v>
      </c>
      <c r="Z303" s="10" t="str">
        <f>IF(getCategoryLevelAsString($B303)="L0D_324785","",IF(G303="",CONCATENATE(";",EscStr(CONCATENATE("NavNode_",getCategoryLevelAsString($B303))),";",EscStr($J303),";"),CONCATENATE(";",EscStr(CONCATENATE("NavNode_",getCategoryLevelAsString($B303))),";",EscStr(G303),";")))</f>
        <v>;"NavNode_L3D_525449";"Boxen, Schubladen und Behälter";</v>
      </c>
      <c r="AA303" s="10" t="str">
        <f>IF(getCategoryLevelAsString($B303)="L0D_324785","",IF(H303="",CONCATENATE(";",EscStr(CONCATENATE("NavNode_",getCategoryLevelAsString($B303))),";",EscStr($J303),";"),CONCATENATE(";",EscStr(CONCATENATE("NavNode_",getCategoryLevelAsString($B303))),";",EscStr(H303),";")))</f>
        <v>;"NavNode_L3D_525449";"Boîtes, tiroirs et conteneurs";</v>
      </c>
      <c r="AB303" s="10" t="str">
        <f>IF(getCategoryLevelAsString($B303)="L0D_324785","",IF(I303="",CONCATENATE(";",EscStr(CONCATENATE("NavNode_",getCategoryLevelAsString($B303))),";",EscStr($J303),";"),CONCATENATE(";",EscStr(CONCATENATE("NavNode_",getCategoryLevelAsString($B303))),";",EscStr(I303),";")))</f>
        <v>;"NavNode_L3D_525449";"Scatole, cassettiere e contenitori";</v>
      </c>
      <c r="AC303" s="10" t="str">
        <f>IF(getCategoryLevelAsString($B303)="L0D_324785","",IF(J303="",CONCATENATE(";",EscStr(CONCATENATE("NavNode_",getCategoryLevelAsString($B303))),";",EscStr($J303),";"),CONCATENATE(";",EscStr(CONCATENATE("NavNode_",getCategoryLevelAsString($B303))),";",EscStr(J303),";")))</f>
        <v>;"NavNode_L3D_525449";"Boxes, Drawers and Containers";</v>
      </c>
      <c r="AD303" s="10" t="str">
        <f>IF(getCategoryLevelAsString($B303)="L0D_324785","",IF(K303="",CONCATENATE(";",EscStr(CONCATENATE("NavNode_",getCategoryLevelAsString($B303))),";",EscStr($J303),";"),CONCATENATE(";",EscStr(CONCATENATE("NavNode_",getCategoryLevelAsString($B303))),";",EscStr(K303),";")))</f>
        <v>;"NavNode_L3D_525449";"Kasser, skuffer og beholdere";</v>
      </c>
      <c r="AE303" s="10" t="str">
        <f>IF(getCategoryLevelAsString($B303)="L0D_324785","",IF(L303="",CONCATENATE(";",EscStr(CONCATENATE("NavNode_",getCategoryLevelAsString($B303))),";",EscStr($J303),";"),CONCATENATE(";",EscStr(CONCATENATE("NavNode_",getCategoryLevelAsString($B303))),";",EscStr(L303),";")))</f>
        <v>;"NavNode_L3D_525449";"Dėžės, spintos su stalčiais ir talpos";</v>
      </c>
      <c r="AF303" s="10" t="str">
        <f>IF(getCategoryLevelAsString($B303)="L0D_324785","",IF(M303="",CONCATENATE(";",EscStr(CONCATENATE("NavNode_",getCategoryLevelAsString($B303))),";",EscStr($J303),";"),CONCATENATE(";",EscStr(CONCATENATE("NavNode_",getCategoryLevelAsString($B303))),";",EscStr(M303),";")))</f>
        <v>;"NavNode_L3D_525449";"Bokser, skuffer og beholdere";</v>
      </c>
      <c r="AG303" s="10" t="str">
        <f>IF(getCategoryLevelAsString($B303)="L0D_324785","",IF(N303="",CONCATENATE(";",EscStr(CONCATENATE("NavNode_",getCategoryLevelAsString($B303))),";",EscStr($J303),";"),CONCATENATE(";",EscStr(CONCATENATE("NavNode_",getCategoryLevelAsString($B303))),";",EscStr(N303),";")))</f>
        <v>;"NavNode_L3D_525449";"Lådor och behållare";</v>
      </c>
      <c r="AH303" s="10" t="str">
        <f>IF(getCategoryLevelAsString($B303)="L0D_324785","",IF(O303="",CONCATENATE(";",EscStr(CONCATENATE("NavNode_",getCategoryLevelAsString($B303))),";",EscStr($J303),";"),CONCATENATE(";",EscStr(CONCATENATE("NavNode_",getCategoryLevelAsString($B303))),";",EscStr(O303),";")))</f>
        <v>;"NavNode_L3D_525449";"Karbid, sahtlid ja konteinerid";</v>
      </c>
      <c r="AI303" s="10" t="str">
        <f>IF(getCategoryLevelAsString($B303)="L0D_324785","",IF(P303="",CONCATENATE(";",EscStr(CONCATENATE("NavNode_",getCategoryLevelAsString($B303))),";",EscStr($J303),";"),CONCATENATE(";",EscStr(CONCATENATE("NavNode_",getCategoryLevelAsString($B303))),";",EscStr(P303),";")))</f>
        <v>;"NavNode_L3D_525449";"Laatikot, säilytyslaatikot";</v>
      </c>
      <c r="AJ303" s="10" t="str">
        <f>IF(getCategoryLevelAsString($B303)="L0D_324785","",IF(Q303="",CONCATENATE(";",EscStr(CONCATENATE("NavNode_",getCategoryLevelAsString($B303))),";",EscStr($J303),";"),CONCATENATE(";",EscStr(CONCATENATE("NavNode_",getCategoryLevelAsString($B303))),";",EscStr(Q303),";")))</f>
        <v>;"NavNode_L3D_525449";"Kastes, atvilktnes un konteineri";</v>
      </c>
      <c r="AK303" s="10" t="str">
        <f>IF(getCategoryLevelAsString($B303)="L0D_324785","",IF(R303="",CONCATENATE(";",EscStr(CONCATENATE("NavNode_",getCategoryLevelAsString($B303))),";",EscStr($J303),";"),CONCATENATE(";",EscStr(CONCATENATE("NavNode_",getCategoryLevelAsString($B303))),";",EscStr(R303),";")))</f>
        <v>;"NavNode_L3D_525449";"Assortiment dozen / Ladekasten / Transport en opslagdozen / Verpakkingsmateriaal";</v>
      </c>
      <c r="AL303" s="10" t="str">
        <f>IF(getCategoryLevelAsString($B303)="L0D_324785","",IF(S303="",CONCATENATE(";",EscStr(CONCATENATE("NavNode_",getCategoryLevelAsString($B303))),";",EscStr($J303),";"),CONCATENATE(";",EscStr(CONCATENATE("NavNode_",getCategoryLevelAsString($B303))),";",EscStr(S303),";")))</f>
        <v>;"NavNode_L3D_525449";"Pudełka, Szuflady i Pojemniki";</v>
      </c>
      <c r="AM303" s="10" t="str">
        <f>IF(getCategoryLevelAsString($B303)="L0D_324785","",IF(T303="",CONCATENATE(";",EscStr(CONCATENATE("NavNode_",getCategoryLevelAsString($B303))),";",EscStr($J303),";"),CONCATENATE(";",EscStr(CONCATENATE("NavNode_",getCategoryLevelAsString($B303))),";",EscStr(T303),";")))</f>
        <v>;"NavNode_L3D_525449";"Коробки, Ящики и Контейнеры";</v>
      </c>
      <c r="AN303" s="10" t="str">
        <f>IF(getCategoryLevelAsString($B303)="L0D_324785","",IF(U303="",CONCATENATE(";",EscStr(CONCATENATE("NavNode_",getCategoryLevelAsString($B303))),";",EscStr($J303),";"),CONCATENATE(";",EscStr(CONCATENATE("NavNode_",getCategoryLevelAsString($B303))),";",EscStr(U303),";")))</f>
        <v>;"NavNode_L3D_525449";"Krabice, zásuvky a kontejnery";</v>
      </c>
      <c r="AO303" s="10" t="str">
        <f>IF(getCategoryLevelAsString($B303)="L0D_324785","",IF(V303="",CONCATENATE(";",EscStr(CONCATENATE("NavNode_",getCategoryLevelAsString($B303))),";",EscStr($J303),";"),CONCATENATE(";",EscStr(CONCATENATE("NavNode_",getCategoryLevelAsString($B303))),";",EscStr(V303),";")))</f>
        <v>;"NavNode_L3D_525449";"Cutii, sertare şi containere";</v>
      </c>
      <c r="AP303" s="10" t="str">
        <f>IF(getCategoryLevelAsString($B303)="L0D_324785","",IF(W303="",CONCATENATE(";",EscStr(CONCATENATE("NavNode_",getCategoryLevelAsString($B303))),";",EscStr($J303),";"),CONCATENATE(";",EscStr(CONCATENATE("NavNode_",getCategoryLevelAsString($B303))),";",EscStr(W303),";")))</f>
        <v>;"NavNode_L3D_525449";"Dobozok, fiókok és tartók";</v>
      </c>
      <c r="AQ303" s="10" t="str">
        <f>IF(getCategoryLevelAsString($B303)="L0D_324785","",IF(X303="",CONCATENATE(";",EscStr(CONCATENATE("NavNode_",getCategoryLevelAsString($B303))),";",EscStr($J303),";"),CONCATENATE(";",EscStr(CONCATENATE("NavNode_",getCategoryLevelAsString($B303))),";",EscStr(X303),";")))</f>
        <v>;"NavNode_L3D_525449";"Krabice, zásuvky a kontejnery";</v>
      </c>
      <c r="AR303" s="8" t="str">
        <f>IF(OR($A303&lt;&gt;"", $G303=""),"",CONCATENATE(";",EscStr(CONCATENATE("NavEntry_",getCategoryLevelAsString($B303))),";",EscStr(CONCATENATE($J303," Navigation Entry")),";",EscStr(CONCATENATE("cat-",getCategoryLevelAsString($B303))),";",EscStr(CONCATENATE("NavNode_",getCategoryLevelAsString($B303))),";"))</f>
        <v>;"NavEntry_L3D_525449";"Boxes, Drawers and Containers Navigation Entry";"cat-L3D_525449";"NavNode_L3D_525449";</v>
      </c>
    </row>
    <row r="304" spans="1:44" ht="15" x14ac:dyDescent="0.25">
      <c r="A304" s="25"/>
      <c r="B304" s="5"/>
      <c r="C304" s="5"/>
      <c r="D304" s="5" t="s">
        <v>240</v>
      </c>
      <c r="E304" s="5"/>
      <c r="F304" s="5"/>
      <c r="G304" s="5" t="s">
        <v>964</v>
      </c>
      <c r="H304" s="5" t="s">
        <v>809</v>
      </c>
      <c r="I304" s="5" t="s">
        <v>710</v>
      </c>
      <c r="J304" s="5" t="s">
        <v>542</v>
      </c>
      <c r="K304" s="5" t="s">
        <v>1255</v>
      </c>
      <c r="L304" s="5" t="s">
        <v>1490</v>
      </c>
      <c r="M304" s="5" t="s">
        <v>1721</v>
      </c>
      <c r="N304" s="5" t="s">
        <v>1923</v>
      </c>
      <c r="O304" s="5" t="s">
        <v>2891</v>
      </c>
      <c r="P304" s="5" t="s">
        <v>2892</v>
      </c>
      <c r="Q304" s="5" t="s">
        <v>2893</v>
      </c>
      <c r="R304" s="5" t="s">
        <v>2894</v>
      </c>
      <c r="S304" s="5" t="s">
        <v>2895</v>
      </c>
      <c r="T304" s="5" t="s">
        <v>2896</v>
      </c>
      <c r="U304" s="5" t="s">
        <v>2897</v>
      </c>
      <c r="V304" s="5" t="s">
        <v>2898</v>
      </c>
      <c r="W304" s="5" t="s">
        <v>2899</v>
      </c>
      <c r="X304" s="5" t="s">
        <v>2897</v>
      </c>
      <c r="Y304" s="10" t="str">
        <f>IF(OR($A304&lt;&gt;"", $G304=""),"",CONCATENATE(";",EscStr(CONCATENATE("NavNode_",getCategoryLevelAsString($B304))),";",EscStr($J304),";",IF($B304&lt;&gt;"","""MainNavNode""",EscStr(CONCATENATE("NavNode_",getSuperCategory($B304, getCategoryLevelAsNumber($B304))))),";"))</f>
        <v>;"NavNode_L3D_525456";"ESD Safe products";"NavNode_L2D_379535";</v>
      </c>
      <c r="Z304" s="10" t="str">
        <f>IF(getCategoryLevelAsString($B304)="L0D_324785","",IF(G304="",CONCATENATE(";",EscStr(CONCATENATE("NavNode_",getCategoryLevelAsString($B304))),";",EscStr($J304),";"),CONCATENATE(";",EscStr(CONCATENATE("NavNode_",getCategoryLevelAsString($B304))),";",EscStr(G304),";")))</f>
        <v>;"NavNode_L3D_525456";"ESD-sichere Produkte";</v>
      </c>
      <c r="AA304" s="10" t="str">
        <f>IF(getCategoryLevelAsString($B304)="L0D_324785","",IF(H304="",CONCATENATE(";",EscStr(CONCATENATE("NavNode_",getCategoryLevelAsString($B304))),";",EscStr($J304),";"),CONCATENATE(";",EscStr(CONCATENATE("NavNode_",getCategoryLevelAsString($B304))),";",EscStr(H304),";")))</f>
        <v>;"NavNode_L3D_525456";"Produits antistatiques";</v>
      </c>
      <c r="AB304" s="10" t="str">
        <f>IF(getCategoryLevelAsString($B304)="L0D_324785","",IF(I304="",CONCATENATE(";",EscStr(CONCATENATE("NavNode_",getCategoryLevelAsString($B304))),";",EscStr($J304),";"),CONCATENATE(";",EscStr(CONCATENATE("NavNode_",getCategoryLevelAsString($B304))),";",EscStr(I304),";")))</f>
        <v>;"NavNode_L3D_525456";"Prodotti con protezione da scariche elettrostatiche";</v>
      </c>
      <c r="AC304" s="10" t="str">
        <f>IF(getCategoryLevelAsString($B304)="L0D_324785","",IF(J304="",CONCATENATE(";",EscStr(CONCATENATE("NavNode_",getCategoryLevelAsString($B304))),";",EscStr($J304),";"),CONCATENATE(";",EscStr(CONCATENATE("NavNode_",getCategoryLevelAsString($B304))),";",EscStr(J304),";")))</f>
        <v>;"NavNode_L3D_525456";"ESD Safe products";</v>
      </c>
      <c r="AD304" s="10" t="str">
        <f>IF(getCategoryLevelAsString($B304)="L0D_324785","",IF(K304="",CONCATENATE(";",EscStr(CONCATENATE("NavNode_",getCategoryLevelAsString($B304))),";",EscStr($J304),";"),CONCATENATE(";",EscStr(CONCATENATE("NavNode_",getCategoryLevelAsString($B304))),";",EscStr(K304),";")))</f>
        <v>;"NavNode_L3D_525456";"ESD-sikkerhedsprodukter";</v>
      </c>
      <c r="AE304" s="10" t="str">
        <f>IF(getCategoryLevelAsString($B304)="L0D_324785","",IF(L304="",CONCATENATE(";",EscStr(CONCATENATE("NavNode_",getCategoryLevelAsString($B304))),";",EscStr($J304),";"),CONCATENATE(";",EscStr(CONCATENATE("NavNode_",getCategoryLevelAsString($B304))),";",EscStr(L304),";")))</f>
        <v>;"NavNode_L3D_525456";"ESD saugos produktai";</v>
      </c>
      <c r="AF304" s="10" t="str">
        <f>IF(getCategoryLevelAsString($B304)="L0D_324785","",IF(M304="",CONCATENATE(";",EscStr(CONCATENATE("NavNode_",getCategoryLevelAsString($B304))),";",EscStr($J304),";"),CONCATENATE(";",EscStr(CONCATENATE("NavNode_",getCategoryLevelAsString($B304))),";",EscStr(M304),";")))</f>
        <v>;"NavNode_L3D_525456";"ESD-beskyttede produkter";</v>
      </c>
      <c r="AG304" s="10" t="str">
        <f>IF(getCategoryLevelAsString($B304)="L0D_324785","",IF(N304="",CONCATENATE(";",EscStr(CONCATENATE("NavNode_",getCategoryLevelAsString($B304))),";",EscStr($J304),";"),CONCATENATE(";",EscStr(CONCATENATE("NavNode_",getCategoryLevelAsString($B304))),";",EscStr(N304),";")))</f>
        <v>;"NavNode_L3D_525456";"ESD-säkra produkter";</v>
      </c>
      <c r="AH304" s="10" t="str">
        <f>IF(getCategoryLevelAsString($B304)="L0D_324785","",IF(O304="",CONCATENATE(";",EscStr(CONCATENATE("NavNode_",getCategoryLevelAsString($B304))),";",EscStr($J304),";"),CONCATENATE(";",EscStr(CONCATENATE("NavNode_",getCategoryLevelAsString($B304))),";",EscStr(O304),";")))</f>
        <v>;"NavNode_L3D_525456";"ESD tooted";</v>
      </c>
      <c r="AI304" s="10" t="str">
        <f>IF(getCategoryLevelAsString($B304)="L0D_324785","",IF(P304="",CONCATENATE(";",EscStr(CONCATENATE("NavNode_",getCategoryLevelAsString($B304))),";",EscStr($J304),";"),CONCATENATE(";",EscStr(CONCATENATE("NavNode_",getCategoryLevelAsString($B304))),";",EscStr(P304),";")))</f>
        <v>;"NavNode_L3D_525456";"ESD tuotteet";</v>
      </c>
      <c r="AJ304" s="10" t="str">
        <f>IF(getCategoryLevelAsString($B304)="L0D_324785","",IF(Q304="",CONCATENATE(";",EscStr(CONCATENATE("NavNode_",getCategoryLevelAsString($B304))),";",EscStr($J304),";"),CONCATENATE(";",EscStr(CONCATENATE("NavNode_",getCategoryLevelAsString($B304))),";",EscStr(Q304),";")))</f>
        <v>;"NavNode_L3D_525456";"ESD drošas preces";</v>
      </c>
      <c r="AK304" s="10" t="str">
        <f>IF(getCategoryLevelAsString($B304)="L0D_324785","",IF(R304="",CONCATENATE(";",EscStr(CONCATENATE("NavNode_",getCategoryLevelAsString($B304))),";",EscStr($J304),";"),CONCATENATE(";",EscStr(CONCATENATE("NavNode_",getCategoryLevelAsString($B304))),";",EscStr(R304),";")))</f>
        <v>;"NavNode_L3D_525456";"ESD veilge producten";</v>
      </c>
      <c r="AL304" s="10" t="str">
        <f>IF(getCategoryLevelAsString($B304)="L0D_324785","",IF(S304="",CONCATENATE(";",EscStr(CONCATENATE("NavNode_",getCategoryLevelAsString($B304))),";",EscStr($J304),";"),CONCATENATE(";",EscStr(CONCATENATE("NavNode_",getCategoryLevelAsString($B304))),";",EscStr(S304),";")))</f>
        <v>;"NavNode_L3D_525456";"Ochrona ESD";</v>
      </c>
      <c r="AM304" s="10" t="str">
        <f>IF(getCategoryLevelAsString($B304)="L0D_324785","",IF(T304="",CONCATENATE(";",EscStr(CONCATENATE("NavNode_",getCategoryLevelAsString($B304))),";",EscStr($J304),";"),CONCATENATE(";",EscStr(CONCATENATE("NavNode_",getCategoryLevelAsString($B304))),";",EscStr(T304),";")))</f>
        <v>;"NavNode_L3D_525456";"Продукты ESD защиты";</v>
      </c>
      <c r="AN304" s="10" t="str">
        <f>IF(getCategoryLevelAsString($B304)="L0D_324785","",IF(U304="",CONCATENATE(";",EscStr(CONCATENATE("NavNode_",getCategoryLevelAsString($B304))),";",EscStr($J304),";"),CONCATENATE(";",EscStr(CONCATENATE("NavNode_",getCategoryLevelAsString($B304))),";",EscStr(U304),";")))</f>
        <v>;"NavNode_L3D_525456";"ESD- bezpečnostní produkty";</v>
      </c>
      <c r="AO304" s="10" t="str">
        <f>IF(getCategoryLevelAsString($B304)="L0D_324785","",IF(V304="",CONCATENATE(";",EscStr(CONCATENATE("NavNode_",getCategoryLevelAsString($B304))),";",EscStr($J304),";"),CONCATENATE(";",EscStr(CONCATENATE("NavNode_",getCategoryLevelAsString($B304))),";",EscStr(V304),";")))</f>
        <v>;"NavNode_L3D_525456";"ESD produse sigure";</v>
      </c>
      <c r="AP304" s="10" t="str">
        <f>IF(getCategoryLevelAsString($B304)="L0D_324785","",IF(W304="",CONCATENATE(";",EscStr(CONCATENATE("NavNode_",getCategoryLevelAsString($B304))),";",EscStr($J304),";"),CONCATENATE(";",EscStr(CONCATENATE("NavNode_",getCategoryLevelAsString($B304))),";",EscStr(W304),";")))</f>
        <v>;"NavNode_L3D_525456";"ESD védett termékek";</v>
      </c>
      <c r="AQ304" s="10" t="str">
        <f>IF(getCategoryLevelAsString($B304)="L0D_324785","",IF(X304="",CONCATENATE(";",EscStr(CONCATENATE("NavNode_",getCategoryLevelAsString($B304))),";",EscStr($J304),";"),CONCATENATE(";",EscStr(CONCATENATE("NavNode_",getCategoryLevelAsString($B304))),";",EscStr(X304),";")))</f>
        <v>;"NavNode_L3D_525456";"ESD- bezpečnostní produkty";</v>
      </c>
      <c r="AR304" s="8" t="str">
        <f>IF(OR($A304&lt;&gt;"", $G304=""),"",CONCATENATE(";",EscStr(CONCATENATE("NavEntry_",getCategoryLevelAsString($B304))),";",EscStr(CONCATENATE($J304," Navigation Entry")),";",EscStr(CONCATENATE("cat-",getCategoryLevelAsString($B304))),";",EscStr(CONCATENATE("NavNode_",getCategoryLevelAsString($B304))),";"))</f>
        <v>;"NavEntry_L3D_525456";"ESD Safe products Navigation Entry";"cat-L3D_525456";"NavNode_L3D_525456";</v>
      </c>
    </row>
    <row r="305" spans="1:44" ht="15" x14ac:dyDescent="0.25">
      <c r="A305" s="25"/>
      <c r="B305" s="5"/>
      <c r="C305" s="5"/>
      <c r="D305" s="5" t="s">
        <v>245</v>
      </c>
      <c r="E305" s="5"/>
      <c r="F305" s="5"/>
      <c r="G305" s="5" t="s">
        <v>1051</v>
      </c>
      <c r="H305" s="5" t="s">
        <v>1104</v>
      </c>
      <c r="I305" s="5" t="s">
        <v>1163</v>
      </c>
      <c r="J305" s="5" t="s">
        <v>920</v>
      </c>
      <c r="K305" s="5" t="s">
        <v>1256</v>
      </c>
      <c r="L305" s="5" t="s">
        <v>1491</v>
      </c>
      <c r="M305" s="5" t="s">
        <v>1722</v>
      </c>
      <c r="N305" s="5" t="s">
        <v>1924</v>
      </c>
      <c r="O305" s="5" t="s">
        <v>2900</v>
      </c>
      <c r="P305" s="5" t="s">
        <v>2901</v>
      </c>
      <c r="Q305" s="5" t="s">
        <v>2902</v>
      </c>
      <c r="R305" s="5" t="s">
        <v>2903</v>
      </c>
      <c r="S305" s="5" t="s">
        <v>2904</v>
      </c>
      <c r="T305" s="5" t="s">
        <v>2905</v>
      </c>
      <c r="U305" s="5" t="s">
        <v>2906</v>
      </c>
      <c r="V305" s="5" t="s">
        <v>2907</v>
      </c>
      <c r="W305" s="5" t="s">
        <v>2908</v>
      </c>
      <c r="X305" s="5" t="s">
        <v>2906</v>
      </c>
      <c r="Y305" s="10" t="str">
        <f>IF(OR($A305&lt;&gt;"", $G305=""),"",CONCATENATE(";",EscStr(CONCATENATE("NavNode_",getCategoryLevelAsString($B305))),";",EscStr($J305),";",IF($B305&lt;&gt;"","""MainNavNode""",EscStr(CONCATENATE("NavNode_",getSuperCategory($B305, getCategoryLevelAsNumber($B305))))),";"))</f>
        <v>;"NavNode_L2D_379536";"Personal Protection";"NavNode_Workplace / Maintenance / Mechanical Components";</v>
      </c>
      <c r="Z305" s="10" t="str">
        <f>IF(getCategoryLevelAsString($B305)="L0D_324785","",IF(G305="",CONCATENATE(";",EscStr(CONCATENATE("NavNode_",getCategoryLevelAsString($B305))),";",EscStr($J305),";"),CONCATENATE(";",EscStr(CONCATENATE("NavNode_",getCategoryLevelAsString($B305))),";",EscStr(G305),";")))</f>
        <v>;"NavNode_L2D_379536";"Persönlicher Schutz";</v>
      </c>
      <c r="AA305" s="10" t="str">
        <f>IF(getCategoryLevelAsString($B305)="L0D_324785","",IF(H305="",CONCATENATE(";",EscStr(CONCATENATE("NavNode_",getCategoryLevelAsString($B305))),";",EscStr($J305),";"),CONCATENATE(";",EscStr(CONCATENATE("NavNode_",getCategoryLevelAsString($B305))),";",EscStr(H305),";")))</f>
        <v>;"NavNode_L2D_379536";"Protection individuelle";</v>
      </c>
      <c r="AB305" s="10" t="str">
        <f>IF(getCategoryLevelAsString($B305)="L0D_324785","",IF(I305="",CONCATENATE(";",EscStr(CONCATENATE("NavNode_",getCategoryLevelAsString($B305))),";",EscStr($J305),";"),CONCATENATE(";",EscStr(CONCATENATE("NavNode_",getCategoryLevelAsString($B305))),";",EscStr(I305),";")))</f>
        <v>;"NavNode_L2D_379536";"Protezione individuale";</v>
      </c>
      <c r="AC305" s="10" t="str">
        <f>IF(getCategoryLevelAsString($B305)="L0D_324785","",IF(J305="",CONCATENATE(";",EscStr(CONCATENATE("NavNode_",getCategoryLevelAsString($B305))),";",EscStr($J305),";"),CONCATENATE(";",EscStr(CONCATENATE("NavNode_",getCategoryLevelAsString($B305))),";",EscStr(J305),";")))</f>
        <v>;"NavNode_L2D_379536";"Personal Protection";</v>
      </c>
      <c r="AD305" s="10" t="str">
        <f>IF(getCategoryLevelAsString($B305)="L0D_324785","",IF(K305="",CONCATENATE(";",EscStr(CONCATENATE("NavNode_",getCategoryLevelAsString($B305))),";",EscStr($J305),";"),CONCATENATE(";",EscStr(CONCATENATE("NavNode_",getCategoryLevelAsString($B305))),";",EscStr(K305),";")))</f>
        <v>;"NavNode_L2D_379536";"Personlig beskyttelse";</v>
      </c>
      <c r="AE305" s="10" t="str">
        <f>IF(getCategoryLevelAsString($B305)="L0D_324785","",IF(L305="",CONCATENATE(";",EscStr(CONCATENATE("NavNode_",getCategoryLevelAsString($B305))),";",EscStr($J305),";"),CONCATENATE(";",EscStr(CONCATENATE("NavNode_",getCategoryLevelAsString($B305))),";",EscStr(L305),";")))</f>
        <v>;"NavNode_L2D_379536";"Asmens apsauga";</v>
      </c>
      <c r="AF305" s="10" t="str">
        <f>IF(getCategoryLevelAsString($B305)="L0D_324785","",IF(M305="",CONCATENATE(";",EscStr(CONCATENATE("NavNode_",getCategoryLevelAsString($B305))),";",EscStr($J305),";"),CONCATENATE(";",EscStr(CONCATENATE("NavNode_",getCategoryLevelAsString($B305))),";",EscStr(M305),";")))</f>
        <v>;"NavNode_L2D_379536";"Personlig verneutstyr";</v>
      </c>
      <c r="AG305" s="10" t="str">
        <f>IF(getCategoryLevelAsString($B305)="L0D_324785","",IF(N305="",CONCATENATE(";",EscStr(CONCATENATE("NavNode_",getCategoryLevelAsString($B305))),";",EscStr($J305),";"),CONCATENATE(";",EscStr(CONCATENATE("NavNode_",getCategoryLevelAsString($B305))),";",EscStr(N305),";")))</f>
        <v>;"NavNode_L2D_379536";"Personskydd";</v>
      </c>
      <c r="AH305" s="10" t="str">
        <f>IF(getCategoryLevelAsString($B305)="L0D_324785","",IF(O305="",CONCATENATE(";",EscStr(CONCATENATE("NavNode_",getCategoryLevelAsString($B305))),";",EscStr($J305),";"),CONCATENATE(";",EscStr(CONCATENATE("NavNode_",getCategoryLevelAsString($B305))),";",EscStr(O305),";")))</f>
        <v>;"NavNode_L2D_379536";"Isiklikud kaitsevahendid";</v>
      </c>
      <c r="AI305" s="10" t="str">
        <f>IF(getCategoryLevelAsString($B305)="L0D_324785","",IF(P305="",CONCATENATE(";",EscStr(CONCATENATE("NavNode_",getCategoryLevelAsString($B305))),";",EscStr($J305),";"),CONCATENATE(";",EscStr(CONCATENATE("NavNode_",getCategoryLevelAsString($B305))),";",EscStr(P305),";")))</f>
        <v>;"NavNode_L2D_379536";"Henkilösuoja";</v>
      </c>
      <c r="AJ305" s="10" t="str">
        <f>IF(getCategoryLevelAsString($B305)="L0D_324785","",IF(Q305="",CONCATENATE(";",EscStr(CONCATENATE("NavNode_",getCategoryLevelAsString($B305))),";",EscStr($J305),";"),CONCATENATE(";",EscStr(CONCATENATE("NavNode_",getCategoryLevelAsString($B305))),";",EscStr(Q305),";")))</f>
        <v>;"NavNode_L2D_379536";"Individuālās aizsardzības līdzekļi";</v>
      </c>
      <c r="AK305" s="10" t="str">
        <f>IF(getCategoryLevelAsString($B305)="L0D_324785","",IF(R305="",CONCATENATE(";",EscStr(CONCATENATE("NavNode_",getCategoryLevelAsString($B305))),";",EscStr($J305),";"),CONCATENATE(";",EscStr(CONCATENATE("NavNode_",getCategoryLevelAsString($B305))),";",EscStr(R305),";")))</f>
        <v>;"NavNode_L2D_379536";"Persoonlijke bescherming";</v>
      </c>
      <c r="AL305" s="10" t="str">
        <f>IF(getCategoryLevelAsString($B305)="L0D_324785","",IF(S305="",CONCATENATE(";",EscStr(CONCATENATE("NavNode_",getCategoryLevelAsString($B305))),";",EscStr($J305),";"),CONCATENATE(";",EscStr(CONCATENATE("NavNode_",getCategoryLevelAsString($B305))),";",EscStr(S305),";")))</f>
        <v>;"NavNode_L2D_379536";"Ochrona osobista";</v>
      </c>
      <c r="AM305" s="10" t="str">
        <f>IF(getCategoryLevelAsString($B305)="L0D_324785","",IF(T305="",CONCATENATE(";",EscStr(CONCATENATE("NavNode_",getCategoryLevelAsString($B305))),";",EscStr($J305),";"),CONCATENATE(";",EscStr(CONCATENATE("NavNode_",getCategoryLevelAsString($B305))),";",EscStr(T305),";")))</f>
        <v>;"NavNode_L2D_379536";"Средства индивидуальной защиты";</v>
      </c>
      <c r="AN305" s="10" t="str">
        <f>IF(getCategoryLevelAsString($B305)="L0D_324785","",IF(U305="",CONCATENATE(";",EscStr(CONCATENATE("NavNode_",getCategoryLevelAsString($B305))),";",EscStr($J305),";"),CONCATENATE(";",EscStr(CONCATENATE("NavNode_",getCategoryLevelAsString($B305))),";",EscStr(U305),";")))</f>
        <v>;"NavNode_L2D_379536";"Osobní ochrana";</v>
      </c>
      <c r="AO305" s="10" t="str">
        <f>IF(getCategoryLevelAsString($B305)="L0D_324785","",IF(V305="",CONCATENATE(";",EscStr(CONCATENATE("NavNode_",getCategoryLevelAsString($B305))),";",EscStr($J305),";"),CONCATENATE(";",EscStr(CONCATENATE("NavNode_",getCategoryLevelAsString($B305))),";",EscStr(V305),";")))</f>
        <v>;"NavNode_L2D_379536";"Protecţie personală";</v>
      </c>
      <c r="AP305" s="10" t="str">
        <f>IF(getCategoryLevelAsString($B305)="L0D_324785","",IF(W305="",CONCATENATE(";",EscStr(CONCATENATE("NavNode_",getCategoryLevelAsString($B305))),";",EscStr($J305),";"),CONCATENATE(";",EscStr(CONCATENATE("NavNode_",getCategoryLevelAsString($B305))),";",EscStr(W305),";")))</f>
        <v>;"NavNode_L2D_379536";"Egyéni védelem";</v>
      </c>
      <c r="AQ305" s="10" t="str">
        <f>IF(getCategoryLevelAsString($B305)="L0D_324785","",IF(X305="",CONCATENATE(";",EscStr(CONCATENATE("NavNode_",getCategoryLevelAsString($B305))),";",EscStr($J305),";"),CONCATENATE(";",EscStr(CONCATENATE("NavNode_",getCategoryLevelAsString($B305))),";",EscStr(X305),";")))</f>
        <v>;"NavNode_L2D_379536";"Osobní ochrana";</v>
      </c>
      <c r="AR305" s="8" t="str">
        <f>IF(OR($A305&lt;&gt;"", $G305=""),"",CONCATENATE(";",EscStr(CONCATENATE("NavEntry_",getCategoryLevelAsString($B305))),";",EscStr(CONCATENATE($J305," Navigation Entry")),";",EscStr(CONCATENATE("cat-",getCategoryLevelAsString($B305))),";",EscStr(CONCATENATE("NavNode_",getCategoryLevelAsString($B305))),";"))</f>
        <v>;"NavEntry_L2D_379536";"Personal Protection Navigation Entry";"cat-L2D_379536";"NavNode_L2D_379536";</v>
      </c>
    </row>
    <row r="306" spans="1:44" ht="15" x14ac:dyDescent="0.25">
      <c r="A306" s="25"/>
      <c r="B306" s="5"/>
      <c r="C306" s="5"/>
      <c r="D306" s="5" t="s">
        <v>243</v>
      </c>
      <c r="E306" s="5"/>
      <c r="F306" s="5"/>
      <c r="G306" s="5" t="s">
        <v>546</v>
      </c>
      <c r="H306" s="5" t="s">
        <v>547</v>
      </c>
      <c r="I306" s="5" t="s">
        <v>548</v>
      </c>
      <c r="J306" s="5" t="s">
        <v>549</v>
      </c>
      <c r="K306" s="5" t="s">
        <v>1257</v>
      </c>
      <c r="L306" s="5" t="s">
        <v>1492</v>
      </c>
      <c r="M306" s="5" t="s">
        <v>1723</v>
      </c>
      <c r="N306" s="5" t="s">
        <v>1925</v>
      </c>
      <c r="O306" s="5" t="s">
        <v>2909</v>
      </c>
      <c r="P306" s="5" t="s">
        <v>2910</v>
      </c>
      <c r="Q306" s="5" t="s">
        <v>2911</v>
      </c>
      <c r="R306" s="5" t="s">
        <v>2912</v>
      </c>
      <c r="S306" s="5" t="s">
        <v>2913</v>
      </c>
      <c r="T306" s="5" t="s">
        <v>2914</v>
      </c>
      <c r="U306" s="5" t="s">
        <v>2915</v>
      </c>
      <c r="V306" s="5" t="s">
        <v>2916</v>
      </c>
      <c r="W306" s="5" t="s">
        <v>2917</v>
      </c>
      <c r="X306" s="5" t="s">
        <v>2915</v>
      </c>
      <c r="Y306" s="10" t="str">
        <f>IF(OR($A306&lt;&gt;"", $G306=""),"",CONCATENATE(";",EscStr(CONCATENATE("NavNode_",getCategoryLevelAsString($B306))),";",EscStr($J306),";",IF($B306&lt;&gt;"","""MainNavNode""",EscStr(CONCATENATE("NavNode_",getSuperCategory($B306, getCategoryLevelAsNumber($B306))))),";"))</f>
        <v>;"NavNode_L3D_525457";"Magnifying Glasses &amp; Microscopes";"NavNode_L2D_379536";</v>
      </c>
      <c r="Z306" s="10" t="str">
        <f>IF(getCategoryLevelAsString($B306)="L0D_324785","",IF(G306="",CONCATENATE(";",EscStr(CONCATENATE("NavNode_",getCategoryLevelAsString($B306))),";",EscStr($J306),";"),CONCATENATE(";",EscStr(CONCATENATE("NavNode_",getCategoryLevelAsString($B306))),";",EscStr(G306),";")))</f>
        <v>;"NavNode_L3D_525457";"Lupen / Mikroskope";</v>
      </c>
      <c r="AA306" s="10" t="str">
        <f>IF(getCategoryLevelAsString($B306)="L0D_324785","",IF(H306="",CONCATENATE(";",EscStr(CONCATENATE("NavNode_",getCategoryLevelAsString($B306))),";",EscStr($J306),";"),CONCATENATE(";",EscStr(CONCATENATE("NavNode_",getCategoryLevelAsString($B306))),";",EscStr(H306),";")))</f>
        <v>;"NavNode_L3D_525457";"Loupes / Microscopes";</v>
      </c>
      <c r="AB306" s="10" t="str">
        <f>IF(getCategoryLevelAsString($B306)="L0D_324785","",IF(I306="",CONCATENATE(";",EscStr(CONCATENATE("NavNode_",getCategoryLevelAsString($B306))),";",EscStr($J306),";"),CONCATENATE(";",EscStr(CONCATENATE("NavNode_",getCategoryLevelAsString($B306))),";",EscStr(I306),";")))</f>
        <v>;"NavNode_L3D_525457";"Lenti d'ingrandimento / Microscopi";</v>
      </c>
      <c r="AC306" s="10" t="str">
        <f>IF(getCategoryLevelAsString($B306)="L0D_324785","",IF(J306="",CONCATENATE(";",EscStr(CONCATENATE("NavNode_",getCategoryLevelAsString($B306))),";",EscStr($J306),";"),CONCATENATE(";",EscStr(CONCATENATE("NavNode_",getCategoryLevelAsString($B306))),";",EscStr(J306),";")))</f>
        <v>;"NavNode_L3D_525457";"Magnifying Glasses &amp; Microscopes";</v>
      </c>
      <c r="AD306" s="10" t="str">
        <f>IF(getCategoryLevelAsString($B306)="L0D_324785","",IF(K306="",CONCATENATE(";",EscStr(CONCATENATE("NavNode_",getCategoryLevelAsString($B306))),";",EscStr($J306),";"),CONCATENATE(";",EscStr(CONCATENATE("NavNode_",getCategoryLevelAsString($B306))),";",EscStr(K306),";")))</f>
        <v>;"NavNode_L3D_525457";"Forstørrelsesglas &amp; mikroskoper";</v>
      </c>
      <c r="AE306" s="10" t="str">
        <f>IF(getCategoryLevelAsString($B306)="L0D_324785","",IF(L306="",CONCATENATE(";",EscStr(CONCATENATE("NavNode_",getCategoryLevelAsString($B306))),";",EscStr($J306),";"),CONCATENATE(";",EscStr(CONCATENATE("NavNode_",getCategoryLevelAsString($B306))),";",EscStr(L306),";")))</f>
        <v>;"NavNode_L3D_525457";"Didinamieji stiklai ir mikroskopai";</v>
      </c>
      <c r="AF306" s="10" t="str">
        <f>IF(getCategoryLevelAsString($B306)="L0D_324785","",IF(M306="",CONCATENATE(";",EscStr(CONCATENATE("NavNode_",getCategoryLevelAsString($B306))),";",EscStr($J306),";"),CONCATENATE(";",EscStr(CONCATENATE("NavNode_",getCategoryLevelAsString($B306))),";",EscStr(M306),";")))</f>
        <v>;"NavNode_L3D_525457";"Forstørrelsesglass og mikroskoper";</v>
      </c>
      <c r="AG306" s="10" t="str">
        <f>IF(getCategoryLevelAsString($B306)="L0D_324785","",IF(N306="",CONCATENATE(";",EscStr(CONCATENATE("NavNode_",getCategoryLevelAsString($B306))),";",EscStr($J306),";"),CONCATENATE(";",EscStr(CONCATENATE("NavNode_",getCategoryLevelAsString($B306))),";",EscStr(N306),";")))</f>
        <v>;"NavNode_L3D_525457";"Förstoringsglas och mikroskop";</v>
      </c>
      <c r="AH306" s="10" t="str">
        <f>IF(getCategoryLevelAsString($B306)="L0D_324785","",IF(O306="",CONCATENATE(";",EscStr(CONCATENATE("NavNode_",getCategoryLevelAsString($B306))),";",EscStr($J306),";"),CONCATENATE(";",EscStr(CONCATENATE("NavNode_",getCategoryLevelAsString($B306))),";",EscStr(O306),";")))</f>
        <v>;"NavNode_L3D_525457";"Suurendusklaasid ja mikroskoobid";</v>
      </c>
      <c r="AI306" s="10" t="str">
        <f>IF(getCategoryLevelAsString($B306)="L0D_324785","",IF(P306="",CONCATENATE(";",EscStr(CONCATENATE("NavNode_",getCategoryLevelAsString($B306))),";",EscStr($J306),";"),CONCATENATE(";",EscStr(CONCATENATE("NavNode_",getCategoryLevelAsString($B306))),";",EscStr(P306),";")))</f>
        <v>;"NavNode_L3D_525457";"Suurennuslasit /Mikroskoopit";</v>
      </c>
      <c r="AJ306" s="10" t="str">
        <f>IF(getCategoryLevelAsString($B306)="L0D_324785","",IF(Q306="",CONCATENATE(";",EscStr(CONCATENATE("NavNode_",getCategoryLevelAsString($B306))),";",EscStr($J306),";"),CONCATENATE(";",EscStr(CONCATENATE("NavNode_",getCategoryLevelAsString($B306))),";",EscStr(Q306),";")))</f>
        <v>;"NavNode_L3D_525457";"Palielināmie stikli un mikroskopi";</v>
      </c>
      <c r="AK306" s="10" t="str">
        <f>IF(getCategoryLevelAsString($B306)="L0D_324785","",IF(R306="",CONCATENATE(";",EscStr(CONCATENATE("NavNode_",getCategoryLevelAsString($B306))),";",EscStr($J306),";"),CONCATENATE(";",EscStr(CONCATENATE("NavNode_",getCategoryLevelAsString($B306))),";",EscStr(R306),";")))</f>
        <v>;"NavNode_L3D_525457";"Vergrootglazen / microscopen";</v>
      </c>
      <c r="AL306" s="10" t="str">
        <f>IF(getCategoryLevelAsString($B306)="L0D_324785","",IF(S306="",CONCATENATE(";",EscStr(CONCATENATE("NavNode_",getCategoryLevelAsString($B306))),";",EscStr($J306),";"),CONCATENATE(";",EscStr(CONCATENATE("NavNode_",getCategoryLevelAsString($B306))),";",EscStr(S306),";")))</f>
        <v>;"NavNode_L3D_525457";"Lupy i Mikroskopy";</v>
      </c>
      <c r="AM306" s="10" t="str">
        <f>IF(getCategoryLevelAsString($B306)="L0D_324785","",IF(T306="",CONCATENATE(";",EscStr(CONCATENATE("NavNode_",getCategoryLevelAsString($B306))),";",EscStr($J306),";"),CONCATENATE(";",EscStr(CONCATENATE("NavNode_",getCategoryLevelAsString($B306))),";",EscStr(T306),";")))</f>
        <v>;"NavNode_L3D_525457";"Лупы &amp; Микроскопы";</v>
      </c>
      <c r="AN306" s="10" t="str">
        <f>IF(getCategoryLevelAsString($B306)="L0D_324785","",IF(U306="",CONCATENATE(";",EscStr(CONCATENATE("NavNode_",getCategoryLevelAsString($B306))),";",EscStr($J306),";"),CONCATENATE(";",EscStr(CONCATENATE("NavNode_",getCategoryLevelAsString($B306))),";",EscStr(U306),";")))</f>
        <v>;"NavNode_L3D_525457";"Lupy / mikroskopy";</v>
      </c>
      <c r="AO306" s="10" t="str">
        <f>IF(getCategoryLevelAsString($B306)="L0D_324785","",IF(V306="",CONCATENATE(";",EscStr(CONCATENATE("NavNode_",getCategoryLevelAsString($B306))),";",EscStr($J306),";"),CONCATENATE(";",EscStr(CONCATENATE("NavNode_",getCategoryLevelAsString($B306))),";",EscStr(V306),";")))</f>
        <v>;"NavNode_L3D_525457";"Lupe / Microscoape";</v>
      </c>
      <c r="AP306" s="10" t="str">
        <f>IF(getCategoryLevelAsString($B306)="L0D_324785","",IF(W306="",CONCATENATE(";",EscStr(CONCATENATE("NavNode_",getCategoryLevelAsString($B306))),";",EscStr($J306),";"),CONCATENATE(";",EscStr(CONCATENATE("NavNode_",getCategoryLevelAsString($B306))),";",EscStr(W306),";")))</f>
        <v>;"NavNode_L3D_525457";"Nagyítók / Mikroszkópok";</v>
      </c>
      <c r="AQ306" s="10" t="str">
        <f>IF(getCategoryLevelAsString($B306)="L0D_324785","",IF(X306="",CONCATENATE(";",EscStr(CONCATENATE("NavNode_",getCategoryLevelAsString($B306))),";",EscStr($J306),";"),CONCATENATE(";",EscStr(CONCATENATE("NavNode_",getCategoryLevelAsString($B306))),";",EscStr(X306),";")))</f>
        <v>;"NavNode_L3D_525457";"Lupy / mikroskopy";</v>
      </c>
      <c r="AR306" s="8" t="str">
        <f>IF(OR($A306&lt;&gt;"", $G306=""),"",CONCATENATE(";",EscStr(CONCATENATE("NavEntry_",getCategoryLevelAsString($B306))),";",EscStr(CONCATENATE($J306," Navigation Entry")),";",EscStr(CONCATENATE("cat-",getCategoryLevelAsString($B306))),";",EscStr(CONCATENATE("NavNode_",getCategoryLevelAsString($B306))),";"))</f>
        <v>;"NavEntry_L3D_525457";"Magnifying Glasses &amp; Microscopes Navigation Entry";"cat-L3D_525457";"NavNode_L3D_525457";</v>
      </c>
    </row>
    <row r="307" spans="1:44" ht="15" x14ac:dyDescent="0.25">
      <c r="A307" s="25"/>
      <c r="B307" s="5"/>
      <c r="C307" s="5"/>
      <c r="D307" s="5" t="s">
        <v>241</v>
      </c>
      <c r="E307" s="5"/>
      <c r="F307" s="5"/>
      <c r="G307" s="5" t="s">
        <v>543</v>
      </c>
      <c r="H307" s="5" t="s">
        <v>544</v>
      </c>
      <c r="I307" s="5" t="s">
        <v>545</v>
      </c>
      <c r="J307" s="5" t="s">
        <v>242</v>
      </c>
      <c r="K307" s="5" t="s">
        <v>1271</v>
      </c>
      <c r="L307" s="5" t="s">
        <v>1505</v>
      </c>
      <c r="M307" s="5" t="s">
        <v>1735</v>
      </c>
      <c r="N307" s="5" t="s">
        <v>1938</v>
      </c>
      <c r="O307" s="5" t="s">
        <v>3044</v>
      </c>
      <c r="P307" s="5" t="s">
        <v>3045</v>
      </c>
      <c r="Q307" s="5" t="s">
        <v>3046</v>
      </c>
      <c r="R307" s="5" t="s">
        <v>3047</v>
      </c>
      <c r="S307" s="5" t="s">
        <v>3048</v>
      </c>
      <c r="T307" s="5" t="s">
        <v>3049</v>
      </c>
      <c r="U307" s="5" t="s">
        <v>3050</v>
      </c>
      <c r="V307" s="5" t="s">
        <v>3051</v>
      </c>
      <c r="W307" s="5" t="s">
        <v>3052</v>
      </c>
      <c r="X307" s="5" t="s">
        <v>3050</v>
      </c>
      <c r="Y307" s="10" t="str">
        <f>IF(OR($A307&lt;&gt;"", $G307=""),"",CONCATENATE(";",EscStr(CONCATENATE("NavNode_",getCategoryLevelAsString($B307))),";",EscStr($J307),";",IF($B307&lt;&gt;"","""MainNavNode""",EscStr(CONCATENATE("NavNode_",getSuperCategory($B307, getCategoryLevelAsNumber($B307))))),";"))</f>
        <v>;"NavNode_L3D_525458";"Labelling";"NavNode_L2D_379536";</v>
      </c>
      <c r="Z307" s="10" t="str">
        <f>IF(getCategoryLevelAsString($B307)="L0D_324785","",IF(G307="",CONCATENATE(";",EscStr(CONCATENATE("NavNode_",getCategoryLevelAsString($B307))),";",EscStr($J307),";"),CONCATENATE(";",EscStr(CONCATENATE("NavNode_",getCategoryLevelAsString($B307))),";",EscStr(G307),";")))</f>
        <v>;"NavNode_L3D_525458";"Kennzeichnung";</v>
      </c>
      <c r="AA307" s="10" t="str">
        <f>IF(getCategoryLevelAsString($B307)="L0D_324785","",IF(H307="",CONCATENATE(";",EscStr(CONCATENATE("NavNode_",getCategoryLevelAsString($B307))),";",EscStr($J307),";"),CONCATENATE(";",EscStr(CONCATENATE("NavNode_",getCategoryLevelAsString($B307))),";",EscStr(H307),";")))</f>
        <v>;"NavNode_L3D_525458";"Etiquetage";</v>
      </c>
      <c r="AB307" s="10" t="str">
        <f>IF(getCategoryLevelAsString($B307)="L0D_324785","",IF(I307="",CONCATENATE(";",EscStr(CONCATENATE("NavNode_",getCategoryLevelAsString($B307))),";",EscStr($J307),";"),CONCATENATE(";",EscStr(CONCATENATE("NavNode_",getCategoryLevelAsString($B307))),";",EscStr(I307),";")))</f>
        <v>;"NavNode_L3D_525458";"Etichettatura";</v>
      </c>
      <c r="AC307" s="10" t="str">
        <f>IF(getCategoryLevelAsString($B307)="L0D_324785","",IF(J307="",CONCATENATE(";",EscStr(CONCATENATE("NavNode_",getCategoryLevelAsString($B307))),";",EscStr($J307),";"),CONCATENATE(";",EscStr(CONCATENATE("NavNode_",getCategoryLevelAsString($B307))),";",EscStr(J307),";")))</f>
        <v>;"NavNode_L3D_525458";"Labelling";</v>
      </c>
      <c r="AD307" s="10" t="str">
        <f>IF(getCategoryLevelAsString($B307)="L0D_324785","",IF(K307="",CONCATENATE(";",EscStr(CONCATENATE("NavNode_",getCategoryLevelAsString($B307))),";",EscStr($J307),";"),CONCATENATE(";",EscStr(CONCATENATE("NavNode_",getCategoryLevelAsString($B307))),";",EscStr(K307),";")))</f>
        <v>;"NavNode_L3D_525458";"Mærkning";</v>
      </c>
      <c r="AE307" s="10" t="str">
        <f>IF(getCategoryLevelAsString($B307)="L0D_324785","",IF(L307="",CONCATENATE(";",EscStr(CONCATENATE("NavNode_",getCategoryLevelAsString($B307))),";",EscStr($J307),";"),CONCATENATE(";",EscStr(CONCATENATE("NavNode_",getCategoryLevelAsString($B307))),";",EscStr(L307),";")))</f>
        <v>;"NavNode_L3D_525458";"Ženklinimo priemonės";</v>
      </c>
      <c r="AF307" s="10" t="str">
        <f>IF(getCategoryLevelAsString($B307)="L0D_324785","",IF(M307="",CONCATENATE(";",EscStr(CONCATENATE("NavNode_",getCategoryLevelAsString($B307))),";",EscStr($J307),";"),CONCATENATE(";",EscStr(CONCATENATE("NavNode_",getCategoryLevelAsString($B307))),";",EscStr(M307),";")))</f>
        <v>;"NavNode_L3D_525458";"Merking";</v>
      </c>
      <c r="AG307" s="10" t="str">
        <f>IF(getCategoryLevelAsString($B307)="L0D_324785","",IF(N307="",CONCATENATE(";",EscStr(CONCATENATE("NavNode_",getCategoryLevelAsString($B307))),";",EscStr($J307),";"),CONCATENATE(";",EscStr(CONCATENATE("NavNode_",getCategoryLevelAsString($B307))),";",EscStr(N307),";")))</f>
        <v>;"NavNode_L3D_525458";"Märkning";</v>
      </c>
      <c r="AH307" s="10" t="str">
        <f>IF(getCategoryLevelAsString($B307)="L0D_324785","",IF(O307="",CONCATENATE(";",EscStr(CONCATENATE("NavNode_",getCategoryLevelAsString($B307))),";",EscStr($J307),";"),CONCATENATE(";",EscStr(CONCATENATE("NavNode_",getCategoryLevelAsString($B307))),";",EscStr(O307),";")))</f>
        <v>;"NavNode_L3D_525458";"Märgistamine";</v>
      </c>
      <c r="AI307" s="10" t="str">
        <f>IF(getCategoryLevelAsString($B307)="L0D_324785","",IF(P307="",CONCATENATE(";",EscStr(CONCATENATE("NavNode_",getCategoryLevelAsString($B307))),";",EscStr($J307),";"),CONCATENATE(";",EscStr(CONCATENATE("NavNode_",getCategoryLevelAsString($B307))),";",EscStr(P307),";")))</f>
        <v>;"NavNode_L3D_525458";"Merkintä";</v>
      </c>
      <c r="AJ307" s="10" t="str">
        <f>IF(getCategoryLevelAsString($B307)="L0D_324785","",IF(Q307="",CONCATENATE(";",EscStr(CONCATENATE("NavNode_",getCategoryLevelAsString($B307))),";",EscStr($J307),";"),CONCATENATE(";",EscStr(CONCATENATE("NavNode_",getCategoryLevelAsString($B307))),";",EscStr(Q307),";")))</f>
        <v>;"NavNode_L3D_525458";"Marķēšana";</v>
      </c>
      <c r="AK307" s="10" t="str">
        <f>IF(getCategoryLevelAsString($B307)="L0D_324785","",IF(R307="",CONCATENATE(";",EscStr(CONCATENATE("NavNode_",getCategoryLevelAsString($B307))),";",EscStr($J307),";"),CONCATENATE(";",EscStr(CONCATENATE("NavNode_",getCategoryLevelAsString($B307))),";",EscStr(R307),";")))</f>
        <v>;"NavNode_L3D_525458";"Etikettering";</v>
      </c>
      <c r="AL307" s="10" t="str">
        <f>IF(getCategoryLevelAsString($B307)="L0D_324785","",IF(S307="",CONCATENATE(";",EscStr(CONCATENATE("NavNode_",getCategoryLevelAsString($B307))),";",EscStr($J307),";"),CONCATENATE(";",EscStr(CONCATENATE("NavNode_",getCategoryLevelAsString($B307))),";",EscStr(S307),";")))</f>
        <v>;"NavNode_L3D_525458";"Znakowanie";</v>
      </c>
      <c r="AM307" s="10" t="str">
        <f>IF(getCategoryLevelAsString($B307)="L0D_324785","",IF(T307="",CONCATENATE(";",EscStr(CONCATENATE("NavNode_",getCategoryLevelAsString($B307))),";",EscStr($J307),";"),CONCATENATE(";",EscStr(CONCATENATE("NavNode_",getCategoryLevelAsString($B307))),";",EscStr(T307),";")))</f>
        <v>;"NavNode_L3D_525458";"Маркировка";</v>
      </c>
      <c r="AN307" s="10" t="str">
        <f>IF(getCategoryLevelAsString($B307)="L0D_324785","",IF(U307="",CONCATENATE(";",EscStr(CONCATENATE("NavNode_",getCategoryLevelAsString($B307))),";",EscStr($J307),";"),CONCATENATE(";",EscStr(CONCATENATE("NavNode_",getCategoryLevelAsString($B307))),";",EscStr(U307),";")))</f>
        <v>;"NavNode_L3D_525458";"Testovací značky";</v>
      </c>
      <c r="AO307" s="10" t="str">
        <f>IF(getCategoryLevelAsString($B307)="L0D_324785","",IF(V307="",CONCATENATE(";",EscStr(CONCATENATE("NavNode_",getCategoryLevelAsString($B307))),";",EscStr($J307),";"),CONCATENATE(";",EscStr(CONCATENATE("NavNode_",getCategoryLevelAsString($B307))),";",EscStr(V307),";")))</f>
        <v>;"NavNode_L3D_525458";"Marcare";</v>
      </c>
      <c r="AP307" s="10" t="str">
        <f>IF(getCategoryLevelAsString($B307)="L0D_324785","",IF(W307="",CONCATENATE(";",EscStr(CONCATENATE("NavNode_",getCategoryLevelAsString($B307))),";",EscStr($J307),";"),CONCATENATE(";",EscStr(CONCATENATE("NavNode_",getCategoryLevelAsString($B307))),";",EscStr(W307),";")))</f>
        <v>;"NavNode_L3D_525458";"Jelöléstechnika";</v>
      </c>
      <c r="AQ307" s="10" t="str">
        <f>IF(getCategoryLevelAsString($B307)="L0D_324785","",IF(X307="",CONCATENATE(";",EscStr(CONCATENATE("NavNode_",getCategoryLevelAsString($B307))),";",EscStr($J307),";"),CONCATENATE(";",EscStr(CONCATENATE("NavNode_",getCategoryLevelAsString($B307))),";",EscStr(X307),";")))</f>
        <v>;"NavNode_L3D_525458";"Testovací značky";</v>
      </c>
      <c r="AR307" s="8" t="str">
        <f>IF(OR($A307&lt;&gt;"", $G307=""),"",CONCATENATE(";",EscStr(CONCATENATE("NavEntry_",getCategoryLevelAsString($B307))),";",EscStr(CONCATENATE($J307," Navigation Entry")),";",EscStr(CONCATENATE("cat-",getCategoryLevelAsString($B307))),";",EscStr(CONCATENATE("NavNode_",getCategoryLevelAsString($B307))),";"))</f>
        <v>;"NavEntry_L3D_525458";"Labelling Navigation Entry";"cat-L3D_525458";"NavNode_L3D_525458";</v>
      </c>
    </row>
    <row r="308" spans="1:44" ht="15" x14ac:dyDescent="0.25">
      <c r="A308" s="25"/>
      <c r="B308" s="5"/>
      <c r="C308" s="5" t="s">
        <v>30</v>
      </c>
      <c r="D308" s="5"/>
      <c r="E308" s="5"/>
      <c r="F308" s="5"/>
      <c r="G308" s="5" t="s">
        <v>550</v>
      </c>
      <c r="H308" s="5" t="s">
        <v>551</v>
      </c>
      <c r="I308" s="5" t="s">
        <v>552</v>
      </c>
      <c r="J308" s="5" t="s">
        <v>10</v>
      </c>
      <c r="K308" s="5" t="s">
        <v>1272</v>
      </c>
      <c r="L308" s="5" t="s">
        <v>1506</v>
      </c>
      <c r="M308" s="5" t="s">
        <v>1272</v>
      </c>
      <c r="N308" s="5" t="s">
        <v>1939</v>
      </c>
      <c r="O308" s="5" t="s">
        <v>3053</v>
      </c>
      <c r="P308" s="5" t="s">
        <v>3054</v>
      </c>
      <c r="Q308" s="5" t="s">
        <v>3055</v>
      </c>
      <c r="R308" s="5" t="s">
        <v>3056</v>
      </c>
      <c r="S308" s="5" t="s">
        <v>3057</v>
      </c>
      <c r="T308" s="5" t="s">
        <v>3058</v>
      </c>
      <c r="U308" s="5" t="s">
        <v>3059</v>
      </c>
      <c r="V308" s="5" t="s">
        <v>3060</v>
      </c>
      <c r="W308" s="5" t="s">
        <v>3061</v>
      </c>
      <c r="X308" s="5" t="s">
        <v>3059</v>
      </c>
      <c r="Y308" s="10" t="str">
        <f>IF(OR($A308&lt;&gt;"", $G308=""),"",CONCATENATE(";",EscStr(CONCATENATE("NavNode_",getCategoryLevelAsString($B308))),";",EscStr($J308),";",IF($B308&lt;&gt;"","""MainNavNode""",EscStr(CONCATENATE("NavNode_",getSuperCategory($B308, getCategoryLevelAsNumber($B308))))),";"))</f>
        <v>;"NavNode_L3D_525460";"Mechanical components";"NavNode_L2D_379536";</v>
      </c>
      <c r="Z308" s="10" t="str">
        <f>IF(getCategoryLevelAsString($B308)="L0D_324785","",IF(G308="",CONCATENATE(";",EscStr(CONCATENATE("NavNode_",getCategoryLevelAsString($B308))),";",EscStr($J308),";"),CONCATENATE(";",EscStr(CONCATENATE("NavNode_",getCategoryLevelAsString($B308))),";",EscStr(G308),";")))</f>
        <v>;"NavNode_L3D_525460";"Mechanische Komponenten";</v>
      </c>
      <c r="AA308" s="10" t="str">
        <f>IF(getCategoryLevelAsString($B308)="L0D_324785","",IF(H308="",CONCATENATE(";",EscStr(CONCATENATE("NavNode_",getCategoryLevelAsString($B308))),";",EscStr($J308),";"),CONCATENATE(";",EscStr(CONCATENATE("NavNode_",getCategoryLevelAsString($B308))),";",EscStr(H308),";")))</f>
        <v>;"NavNode_L3D_525460";"Organes mécaniques";</v>
      </c>
      <c r="AB308" s="10" t="str">
        <f>IF(getCategoryLevelAsString($B308)="L0D_324785","",IF(I308="",CONCATENATE(";",EscStr(CONCATENATE("NavNode_",getCategoryLevelAsString($B308))),";",EscStr($J308),";"),CONCATENATE(";",EscStr(CONCATENATE("NavNode_",getCategoryLevelAsString($B308))),";",EscStr(I308),";")))</f>
        <v>;"NavNode_L3D_525460";"Componenti meccanici";</v>
      </c>
      <c r="AC308" s="10" t="str">
        <f>IF(getCategoryLevelAsString($B308)="L0D_324785","",IF(J308="",CONCATENATE(";",EscStr(CONCATENATE("NavNode_",getCategoryLevelAsString($B308))),";",EscStr($J308),";"),CONCATENATE(";",EscStr(CONCATENATE("NavNode_",getCategoryLevelAsString($B308))),";",EscStr(J308),";")))</f>
        <v>;"NavNode_L3D_525460";"Mechanical components";</v>
      </c>
      <c r="AD308" s="10" t="str">
        <f>IF(getCategoryLevelAsString($B308)="L0D_324785","",IF(K308="",CONCATENATE(";",EscStr(CONCATENATE("NavNode_",getCategoryLevelAsString($B308))),";",EscStr($J308),";"),CONCATENATE(";",EscStr(CONCATENATE("NavNode_",getCategoryLevelAsString($B308))),";",EscStr(K308),";")))</f>
        <v>;"NavNode_L3D_525460";"Mekaniske komponenter";</v>
      </c>
      <c r="AE308" s="10" t="str">
        <f>IF(getCategoryLevelAsString($B308)="L0D_324785","",IF(L308="",CONCATENATE(";",EscStr(CONCATENATE("NavNode_",getCategoryLevelAsString($B308))),";",EscStr($J308),";"),CONCATENATE(";",EscStr(CONCATENATE("NavNode_",getCategoryLevelAsString($B308))),";",EscStr(L308),";")))</f>
        <v>;"NavNode_L3D_525460";"Mechaniniai komponentai";</v>
      </c>
      <c r="AF308" s="10" t="str">
        <f>IF(getCategoryLevelAsString($B308)="L0D_324785","",IF(M308="",CONCATENATE(";",EscStr(CONCATENATE("NavNode_",getCategoryLevelAsString($B308))),";",EscStr($J308),";"),CONCATENATE(";",EscStr(CONCATENATE("NavNode_",getCategoryLevelAsString($B308))),";",EscStr(M308),";")))</f>
        <v>;"NavNode_L3D_525460";"Mekaniske komponenter";</v>
      </c>
      <c r="AG308" s="10" t="str">
        <f>IF(getCategoryLevelAsString($B308)="L0D_324785","",IF(N308="",CONCATENATE(";",EscStr(CONCATENATE("NavNode_",getCategoryLevelAsString($B308))),";",EscStr($J308),";"),CONCATENATE(";",EscStr(CONCATENATE("NavNode_",getCategoryLevelAsString($B308))),";",EscStr(N308),";")))</f>
        <v>;"NavNode_L3D_525460";"Mekaniska komponenter";</v>
      </c>
      <c r="AH308" s="10" t="str">
        <f>IF(getCategoryLevelAsString($B308)="L0D_324785","",IF(O308="",CONCATENATE(";",EscStr(CONCATENATE("NavNode_",getCategoryLevelAsString($B308))),";",EscStr($J308),";"),CONCATENATE(";",EscStr(CONCATENATE("NavNode_",getCategoryLevelAsString($B308))),";",EscStr(O308),";")))</f>
        <v>;"NavNode_L3D_525460";"Mehaanilised komponendid";</v>
      </c>
      <c r="AI308" s="10" t="str">
        <f>IF(getCategoryLevelAsString($B308)="L0D_324785","",IF(P308="",CONCATENATE(";",EscStr(CONCATENATE("NavNode_",getCategoryLevelAsString($B308))),";",EscStr($J308),";"),CONCATENATE(";",EscStr(CONCATENATE("NavNode_",getCategoryLevelAsString($B308))),";",EscStr(P308),";")))</f>
        <v>;"NavNode_L3D_525460";"Mekaaniset komponentit";</v>
      </c>
      <c r="AJ308" s="10" t="str">
        <f>IF(getCategoryLevelAsString($B308)="L0D_324785","",IF(Q308="",CONCATENATE(";",EscStr(CONCATENATE("NavNode_",getCategoryLevelAsString($B308))),";",EscStr($J308),";"),CONCATENATE(";",EscStr(CONCATENATE("NavNode_",getCategoryLevelAsString($B308))),";",EscStr(Q308),";")))</f>
        <v>;"NavNode_L3D_525460";"Mehāniskās komponentes";</v>
      </c>
      <c r="AK308" s="10" t="str">
        <f>IF(getCategoryLevelAsString($B308)="L0D_324785","",IF(R308="",CONCATENATE(";",EscStr(CONCATENATE("NavNode_",getCategoryLevelAsString($B308))),";",EscStr($J308),";"),CONCATENATE(";",EscStr(CONCATENATE("NavNode_",getCategoryLevelAsString($B308))),";",EscStr(R308),";")))</f>
        <v>;"NavNode_L3D_525460";"Mechanische componenten";</v>
      </c>
      <c r="AL308" s="10" t="str">
        <f>IF(getCategoryLevelAsString($B308)="L0D_324785","",IF(S308="",CONCATENATE(";",EscStr(CONCATENATE("NavNode_",getCategoryLevelAsString($B308))),";",EscStr($J308),";"),CONCATENATE(";",EscStr(CONCATENATE("NavNode_",getCategoryLevelAsString($B308))),";",EscStr(S308),";")))</f>
        <v>;"NavNode_L3D_525460";"Elementy mechaniczne";</v>
      </c>
      <c r="AM308" s="10" t="str">
        <f>IF(getCategoryLevelAsString($B308)="L0D_324785","",IF(T308="",CONCATENATE(";",EscStr(CONCATENATE("NavNode_",getCategoryLevelAsString($B308))),";",EscStr($J308),";"),CONCATENATE(";",EscStr(CONCATENATE("NavNode_",getCategoryLevelAsString($B308))),";",EscStr(T308),";")))</f>
        <v>;"NavNode_L3D_525460";"Механические компоненты";</v>
      </c>
      <c r="AN308" s="10" t="str">
        <f>IF(getCategoryLevelAsString($B308)="L0D_324785","",IF(U308="",CONCATENATE(";",EscStr(CONCATENATE("NavNode_",getCategoryLevelAsString($B308))),";",EscStr($J308),";"),CONCATENATE(";",EscStr(CONCATENATE("NavNode_",getCategoryLevelAsString($B308))),";",EscStr(U308),";")))</f>
        <v>;"NavNode_L3D_525460";"Mechanické součástky";</v>
      </c>
      <c r="AO308" s="10" t="str">
        <f>IF(getCategoryLevelAsString($B308)="L0D_324785","",IF(V308="",CONCATENATE(";",EscStr(CONCATENATE("NavNode_",getCategoryLevelAsString($B308))),";",EscStr($J308),";"),CONCATENATE(";",EscStr(CONCATENATE("NavNode_",getCategoryLevelAsString($B308))),";",EscStr(V308),";")))</f>
        <v>;"NavNode_L3D_525460";"Componente mecanice";</v>
      </c>
      <c r="AP308" s="10" t="str">
        <f>IF(getCategoryLevelAsString($B308)="L0D_324785","",IF(W308="",CONCATENATE(";",EscStr(CONCATENATE("NavNode_",getCategoryLevelAsString($B308))),";",EscStr($J308),";"),CONCATENATE(";",EscStr(CONCATENATE("NavNode_",getCategoryLevelAsString($B308))),";",EscStr(W308),";")))</f>
        <v>;"NavNode_L3D_525460";"Mechanikai alkatrészek";</v>
      </c>
      <c r="AQ308" s="10" t="str">
        <f>IF(getCategoryLevelAsString($B308)="L0D_324785","",IF(X308="",CONCATENATE(";",EscStr(CONCATENATE("NavNode_",getCategoryLevelAsString($B308))),";",EscStr($J308),";"),CONCATENATE(";",EscStr(CONCATENATE("NavNode_",getCategoryLevelAsString($B308))),";",EscStr(X308),";")))</f>
        <v>;"NavNode_L3D_525460";"Mechanické součástky";</v>
      </c>
      <c r="AR308" s="8" t="str">
        <f>IF(OR($A308&lt;&gt;"", $G308=""),"",CONCATENATE(";",EscStr(CONCATENATE("NavEntry_",getCategoryLevelAsString($B308))),";",EscStr(CONCATENATE($J308," Navigation Entry")),";",EscStr(CONCATENATE("cat-",getCategoryLevelAsString($B308))),";",EscStr(CONCATENATE("NavNode_",getCategoryLevelAsString($B308))),";"))</f>
        <v>;"NavEntry_L3D_525460";"Mechanical components Navigation Entry";"cat-L3D_525460";"NavNode_L3D_525460";</v>
      </c>
    </row>
    <row r="309" spans="1:44" ht="15" x14ac:dyDescent="0.25">
      <c r="A309" s="25"/>
      <c r="B309" s="5"/>
      <c r="C309" s="5"/>
      <c r="D309" s="5" t="s">
        <v>252</v>
      </c>
      <c r="E309" s="5"/>
      <c r="F309" s="5"/>
      <c r="G309" s="5" t="s">
        <v>1058</v>
      </c>
      <c r="H309" s="5" t="s">
        <v>1109</v>
      </c>
      <c r="I309" s="5" t="s">
        <v>1168</v>
      </c>
      <c r="J309" s="5" t="s">
        <v>926</v>
      </c>
      <c r="K309" s="5" t="s">
        <v>1273</v>
      </c>
      <c r="L309" s="5" t="s">
        <v>1507</v>
      </c>
      <c r="M309" s="5" t="s">
        <v>1736</v>
      </c>
      <c r="N309" s="5" t="s">
        <v>1940</v>
      </c>
      <c r="O309" s="5" t="s">
        <v>3062</v>
      </c>
      <c r="P309" s="5" t="s">
        <v>3063</v>
      </c>
      <c r="Q309" s="5" t="s">
        <v>3064</v>
      </c>
      <c r="R309" s="5" t="s">
        <v>3065</v>
      </c>
      <c r="S309" s="5" t="s">
        <v>3066</v>
      </c>
      <c r="T309" s="5" t="s">
        <v>3067</v>
      </c>
      <c r="U309" s="5" t="s">
        <v>3068</v>
      </c>
      <c r="V309" s="5" t="s">
        <v>3069</v>
      </c>
      <c r="W309" s="5" t="s">
        <v>3070</v>
      </c>
      <c r="X309" s="5" t="s">
        <v>3068</v>
      </c>
      <c r="Y309" s="10" t="str">
        <f>IF(OR($A309&lt;&gt;"", $G309=""),"",CONCATENATE(";",EscStr(CONCATENATE("NavNode_",getCategoryLevelAsString($B309))),";",EscStr($J309),";",IF($B309&lt;&gt;"","""MainNavNode""",EscStr(CONCATENATE("NavNode_",getSuperCategory($B309, getCategoryLevelAsNumber($B309))))),";"))</f>
        <v>;"NavNode_L3D_525461";"Screws, Dowels &amp; Springs";"NavNode_L2D_379536";</v>
      </c>
      <c r="Z309" s="10" t="str">
        <f>IF(getCategoryLevelAsString($B309)="L0D_324785","",IF(G309="",CONCATENATE(";",EscStr(CONCATENATE("NavNode_",getCategoryLevelAsString($B309))),";",EscStr($J309),";"),CONCATENATE(";",EscStr(CONCATENATE("NavNode_",getCategoryLevelAsString($B309))),";",EscStr(G309),";")))</f>
        <v>;"NavNode_L3D_525461";"Schrauben, Dübel und Federn";</v>
      </c>
      <c r="AA309" s="10" t="str">
        <f>IF(getCategoryLevelAsString($B309)="L0D_324785","",IF(H309="",CONCATENATE(";",EscStr(CONCATENATE("NavNode_",getCategoryLevelAsString($B309))),";",EscStr($J309),";"),CONCATENATE(";",EscStr(CONCATENATE("NavNode_",getCategoryLevelAsString($B309))),";",EscStr(H309),";")))</f>
        <v>;"NavNode_L3D_525461";"Vis, tampons et ressorts";</v>
      </c>
      <c r="AB309" s="10" t="str">
        <f>IF(getCategoryLevelAsString($B309)="L0D_324785","",IF(I309="",CONCATENATE(";",EscStr(CONCATENATE("NavNode_",getCategoryLevelAsString($B309))),";",EscStr($J309),";"),CONCATENATE(";",EscStr(CONCATENATE("NavNode_",getCategoryLevelAsString($B309))),";",EscStr(I309),";")))</f>
        <v>;"NavNode_L3D_525461";"Viti, tasselli e molle";</v>
      </c>
      <c r="AC309" s="10" t="str">
        <f>IF(getCategoryLevelAsString($B309)="L0D_324785","",IF(J309="",CONCATENATE(";",EscStr(CONCATENATE("NavNode_",getCategoryLevelAsString($B309))),";",EscStr($J309),";"),CONCATENATE(";",EscStr(CONCATENATE("NavNode_",getCategoryLevelAsString($B309))),";",EscStr(J309),";")))</f>
        <v>;"NavNode_L3D_525461";"Screws, Dowels &amp; Springs";</v>
      </c>
      <c r="AD309" s="10" t="str">
        <f>IF(getCategoryLevelAsString($B309)="L0D_324785","",IF(K309="",CONCATENATE(";",EscStr(CONCATENATE("NavNode_",getCategoryLevelAsString($B309))),";",EscStr($J309),";"),CONCATENATE(";",EscStr(CONCATENATE("NavNode_",getCategoryLevelAsString($B309))),";",EscStr(K309),";")))</f>
        <v>;"NavNode_L3D_525461";"Skruer, dyvler &amp; fjedre";</v>
      </c>
      <c r="AE309" s="10" t="str">
        <f>IF(getCategoryLevelAsString($B309)="L0D_324785","",IF(L309="",CONCATENATE(";",EscStr(CONCATENATE("NavNode_",getCategoryLevelAsString($B309))),";",EscStr($J309),";"),CONCATENATE(";",EscStr(CONCATENATE("NavNode_",getCategoryLevelAsString($B309))),";",EscStr(L309),";")))</f>
        <v>;"NavNode_L3D_525461";"Varžtai, kaiščiai ir spyruoklės";</v>
      </c>
      <c r="AF309" s="10" t="str">
        <f>IF(getCategoryLevelAsString($B309)="L0D_324785","",IF(M309="",CONCATENATE(";",EscStr(CONCATENATE("NavNode_",getCategoryLevelAsString($B309))),";",EscStr($J309),";"),CONCATENATE(";",EscStr(CONCATENATE("NavNode_",getCategoryLevelAsString($B309))),";",EscStr(M309),";")))</f>
        <v>;"NavNode_L3D_525461";"Skruer, tapper og fjærer";</v>
      </c>
      <c r="AG309" s="10" t="str">
        <f>IF(getCategoryLevelAsString($B309)="L0D_324785","",IF(N309="",CONCATENATE(";",EscStr(CONCATENATE("NavNode_",getCategoryLevelAsString($B309))),";",EscStr($J309),";"),CONCATENATE(";",EscStr(CONCATENATE("NavNode_",getCategoryLevelAsString($B309))),";",EscStr(N309),";")))</f>
        <v>;"NavNode_L3D_525461";"Skruvar, dymlingar och fjädrar";</v>
      </c>
      <c r="AH309" s="10" t="str">
        <f>IF(getCategoryLevelAsString($B309)="L0D_324785","",IF(O309="",CONCATENATE(";",EscStr(CONCATENATE("NavNode_",getCategoryLevelAsString($B309))),";",EscStr($J309),";"),CONCATENATE(";",EscStr(CONCATENATE("NavNode_",getCategoryLevelAsString($B309))),";",EscStr(O309),";")))</f>
        <v>;"NavNode_L3D_525461";"Kruvid, tüüblid ja vedrud";</v>
      </c>
      <c r="AI309" s="10" t="str">
        <f>IF(getCategoryLevelAsString($B309)="L0D_324785","",IF(P309="",CONCATENATE(";",EscStr(CONCATENATE("NavNode_",getCategoryLevelAsString($B309))),";",EscStr($J309),";"),CONCATENATE(";",EscStr(CONCATENATE("NavNode_",getCategoryLevelAsString($B309))),";",EscStr(P309),";")))</f>
        <v>;"NavNode_L3D_525461";"Ruuvit, prikat ja jouset";</v>
      </c>
      <c r="AJ309" s="10" t="str">
        <f>IF(getCategoryLevelAsString($B309)="L0D_324785","",IF(Q309="",CONCATENATE(";",EscStr(CONCATENATE("NavNode_",getCategoryLevelAsString($B309))),";",EscStr($J309),";"),CONCATENATE(";",EscStr(CONCATENATE("NavNode_",getCategoryLevelAsString($B309))),";",EscStr(Q309),";")))</f>
        <v>;"NavNode_L3D_525461";"Skrūves, tapas un atsperes";</v>
      </c>
      <c r="AK309" s="10" t="str">
        <f>IF(getCategoryLevelAsString($B309)="L0D_324785","",IF(R309="",CONCATENATE(";",EscStr(CONCATENATE("NavNode_",getCategoryLevelAsString($B309))),";",EscStr($J309),";"),CONCATENATE(";",EscStr(CONCATENATE("NavNode_",getCategoryLevelAsString($B309))),";",EscStr(R309),";")))</f>
        <v>;"NavNode_L3D_525461";"Schroeven, muurpluggen en veren";</v>
      </c>
      <c r="AL309" s="10" t="str">
        <f>IF(getCategoryLevelAsString($B309)="L0D_324785","",IF(S309="",CONCATENATE(";",EscStr(CONCATENATE("NavNode_",getCategoryLevelAsString($B309))),";",EscStr($J309),";"),CONCATENATE(";",EscStr(CONCATENATE("NavNode_",getCategoryLevelAsString($B309))),";",EscStr(S309),";")))</f>
        <v>;"NavNode_L3D_525461";"Śruby, Kołki, Sprężyny";</v>
      </c>
      <c r="AM309" s="10" t="str">
        <f>IF(getCategoryLevelAsString($B309)="L0D_324785","",IF(T309="",CONCATENATE(";",EscStr(CONCATENATE("NavNode_",getCategoryLevelAsString($B309))),";",EscStr($J309),";"),CONCATENATE(";",EscStr(CONCATENATE("NavNode_",getCategoryLevelAsString($B309))),";",EscStr(T309),";")))</f>
        <v>;"NavNode_L3D_525461";"Винты / Штифты / Пружины";</v>
      </c>
      <c r="AN309" s="10" t="str">
        <f>IF(getCategoryLevelAsString($B309)="L0D_324785","",IF(U309="",CONCATENATE(";",EscStr(CONCATENATE("NavNode_",getCategoryLevelAsString($B309))),";",EscStr($J309),";"),CONCATENATE(";",EscStr(CONCATENATE("NavNode_",getCategoryLevelAsString($B309))),";",EscStr(U309),";")))</f>
        <v>;"NavNode_L3D_525461";"Šrouby, hmoždinky a pružiny";</v>
      </c>
      <c r="AO309" s="10" t="str">
        <f>IF(getCategoryLevelAsString($B309)="L0D_324785","",IF(V309="",CONCATENATE(";",EscStr(CONCATENATE("NavNode_",getCategoryLevelAsString($B309))),";",EscStr($J309),";"),CONCATENATE(";",EscStr(CONCATENATE("NavNode_",getCategoryLevelAsString($B309))),";",EscStr(V309),";")))</f>
        <v>;"NavNode_L3D_525461";"Şuruburi, dibluri şi arcuri";</v>
      </c>
      <c r="AP309" s="10" t="str">
        <f>IF(getCategoryLevelAsString($B309)="L0D_324785","",IF(W309="",CONCATENATE(";",EscStr(CONCATENATE("NavNode_",getCategoryLevelAsString($B309))),";",EscStr($J309),";"),CONCATENATE(";",EscStr(CONCATENATE("NavNode_",getCategoryLevelAsString($B309))),";",EscStr(W309),";")))</f>
        <v>;"NavNode_L3D_525461";"Csavarok, dübelek és rugók";</v>
      </c>
      <c r="AQ309" s="10" t="str">
        <f>IF(getCategoryLevelAsString($B309)="L0D_324785","",IF(X309="",CONCATENATE(";",EscStr(CONCATENATE("NavNode_",getCategoryLevelAsString($B309))),";",EscStr($J309),";"),CONCATENATE(";",EscStr(CONCATENATE("NavNode_",getCategoryLevelAsString($B309))),";",EscStr(X309),";")))</f>
        <v>;"NavNode_L3D_525461";"Šrouby, hmoždinky a pružiny";</v>
      </c>
      <c r="AR309" s="8" t="str">
        <f>IF(OR($A309&lt;&gt;"", $G309=""),"",CONCATENATE(";",EscStr(CONCATENATE("NavEntry_",getCategoryLevelAsString($B309))),";",EscStr(CONCATENATE($J309," Navigation Entry")),";",EscStr(CONCATENATE("cat-",getCategoryLevelAsString($B309))),";",EscStr(CONCATENATE("NavNode_",getCategoryLevelAsString($B309))),";"))</f>
        <v>;"NavEntry_L3D_525461";"Screws, Dowels &amp; Springs Navigation Entry";"cat-L3D_525461";"NavNode_L3D_525461";</v>
      </c>
    </row>
    <row r="310" spans="1:44" ht="15" x14ac:dyDescent="0.25">
      <c r="A310" s="25"/>
      <c r="B310" s="5"/>
      <c r="C310" s="5"/>
      <c r="D310" s="5" t="s">
        <v>250</v>
      </c>
      <c r="E310" s="5"/>
      <c r="F310" s="5"/>
      <c r="G310" s="5" t="s">
        <v>564</v>
      </c>
      <c r="H310" s="5" t="s">
        <v>565</v>
      </c>
      <c r="I310" s="5" t="s">
        <v>566</v>
      </c>
      <c r="J310" s="5" t="s">
        <v>251</v>
      </c>
      <c r="K310" s="5" t="s">
        <v>1274</v>
      </c>
      <c r="L310" s="5" t="s">
        <v>1508</v>
      </c>
      <c r="M310" s="5" t="s">
        <v>1737</v>
      </c>
      <c r="N310" s="5" t="s">
        <v>1941</v>
      </c>
      <c r="O310" s="5" t="s">
        <v>3071</v>
      </c>
      <c r="P310" s="5" t="s">
        <v>3072</v>
      </c>
      <c r="Q310" s="5" t="s">
        <v>3073</v>
      </c>
      <c r="R310" s="5" t="s">
        <v>3074</v>
      </c>
      <c r="S310" s="5" t="s">
        <v>3075</v>
      </c>
      <c r="T310" s="5" t="s">
        <v>3076</v>
      </c>
      <c r="U310" s="5" t="s">
        <v>3077</v>
      </c>
      <c r="V310" s="5" t="s">
        <v>3078</v>
      </c>
      <c r="W310" s="5" t="s">
        <v>3079</v>
      </c>
      <c r="X310" s="5" t="s">
        <v>3077</v>
      </c>
      <c r="Y310" s="10" t="str">
        <f>IF(OR($A310&lt;&gt;"", $G310=""),"",CONCATENATE(";",EscStr(CONCATENATE("NavNode_",getCategoryLevelAsString($B310))),";",EscStr($J310),";",IF($B310&lt;&gt;"","""MainNavNode""",EscStr(CONCATENATE("NavNode_",getSuperCategory($B310, getCategoryLevelAsNumber($B310))))),";"))</f>
        <v>;"NavNode_L3D_525462";"Mounting Accessories and Spacers";"NavNode_L2D_379536";</v>
      </c>
      <c r="Z310" s="10" t="str">
        <f>IF(getCategoryLevelAsString($B310)="L0D_324785","",IF(G310="",CONCATENATE(";",EscStr(CONCATENATE("NavNode_",getCategoryLevelAsString($B310))),";",EscStr($J310),";"),CONCATENATE(";",EscStr(CONCATENATE("NavNode_",getCategoryLevelAsString($B310))),";",EscStr(G310),";")))</f>
        <v>;"NavNode_L3D_525462";"Distanzbolzen und Distanzhalter";</v>
      </c>
      <c r="AA310" s="10" t="str">
        <f>IF(getCategoryLevelAsString($B310)="L0D_324785","",IF(H310="",CONCATENATE(";",EscStr(CONCATENATE("NavNode_",getCategoryLevelAsString($B310))),";",EscStr($J310),";"),CONCATENATE(";",EscStr(CONCATENATE("NavNode_",getCategoryLevelAsString($B310))),";",EscStr(H310),";")))</f>
        <v>;"NavNode_L3D_525462";"Pièces de montage et entretoises";</v>
      </c>
      <c r="AB310" s="10" t="str">
        <f>IF(getCategoryLevelAsString($B310)="L0D_324785","",IF(I310="",CONCATENATE(";",EscStr(CONCATENATE("NavNode_",getCategoryLevelAsString($B310))),";",EscStr($J310),";"),CONCATENATE(";",EscStr(CONCATENATE("NavNode_",getCategoryLevelAsString($B310))),";",EscStr(I310),";")))</f>
        <v>;"NavNode_L3D_525462";"Componenti di montaggio e distanziali";</v>
      </c>
      <c r="AC310" s="10" t="str">
        <f>IF(getCategoryLevelAsString($B310)="L0D_324785","",IF(J310="",CONCATENATE(";",EscStr(CONCATENATE("NavNode_",getCategoryLevelAsString($B310))),";",EscStr($J310),";"),CONCATENATE(";",EscStr(CONCATENATE("NavNode_",getCategoryLevelAsString($B310))),";",EscStr(J310),";")))</f>
        <v>;"NavNode_L3D_525462";"Mounting Accessories and Spacers";</v>
      </c>
      <c r="AD310" s="10" t="str">
        <f>IF(getCategoryLevelAsString($B310)="L0D_324785","",IF(K310="",CONCATENATE(";",EscStr(CONCATENATE("NavNode_",getCategoryLevelAsString($B310))),";",EscStr($J310),";"),CONCATENATE(";",EscStr(CONCATENATE("NavNode_",getCategoryLevelAsString($B310))),";",EscStr(K310),";")))</f>
        <v>;"NavNode_L3D_525462";"Monteringskomponenter og afstandsholdere";</v>
      </c>
      <c r="AE310" s="10" t="str">
        <f>IF(getCategoryLevelAsString($B310)="L0D_324785","",IF(L310="",CONCATENATE(";",EscStr(CONCATENATE("NavNode_",getCategoryLevelAsString($B310))),";",EscStr($J310),";"),CONCATENATE(";",EscStr(CONCATENATE("NavNode_",getCategoryLevelAsString($B310))),";",EscStr(L310),";")))</f>
        <v>;"NavNode_L3D_525462";"Montavimo priedai ir tarpikliai";</v>
      </c>
      <c r="AF310" s="10" t="str">
        <f>IF(getCategoryLevelAsString($B310)="L0D_324785","",IF(M310="",CONCATENATE(";",EscStr(CONCATENATE("NavNode_",getCategoryLevelAsString($B310))),";",EscStr($J310),";"),CONCATENATE(";",EscStr(CONCATENATE("NavNode_",getCategoryLevelAsString($B310))),";",EscStr(M310),";")))</f>
        <v>;"NavNode_L3D_525462";"Monteringstilbehør og avstandsstykker";</v>
      </c>
      <c r="AG310" s="10" t="str">
        <f>IF(getCategoryLevelAsString($B310)="L0D_324785","",IF(N310="",CONCATENATE(";",EscStr(CONCATENATE("NavNode_",getCategoryLevelAsString($B310))),";",EscStr($J310),";"),CONCATENATE(";",EscStr(CONCATENATE("NavNode_",getCategoryLevelAsString($B310))),";",EscStr(N310),";")))</f>
        <v>;"NavNode_L3D_525462";"Monteringstillbehör och distanser";</v>
      </c>
      <c r="AH310" s="10" t="str">
        <f>IF(getCategoryLevelAsString($B310)="L0D_324785","",IF(O310="",CONCATENATE(";",EscStr(CONCATENATE("NavNode_",getCategoryLevelAsString($B310))),";",EscStr($J310),";"),CONCATENATE(";",EscStr(CONCATENATE("NavNode_",getCategoryLevelAsString($B310))),";",EscStr(O310),";")))</f>
        <v>;"NavNode_L3D_525462";"Paigaldustarvikud ja vahepuksid";</v>
      </c>
      <c r="AI310" s="10" t="str">
        <f>IF(getCategoryLevelAsString($B310)="L0D_324785","",IF(P310="",CONCATENATE(";",EscStr(CONCATENATE("NavNode_",getCategoryLevelAsString($B310))),";",EscStr($J310),";"),CONCATENATE(";",EscStr(CONCATENATE("NavNode_",getCategoryLevelAsString($B310))),";",EscStr(P310),";")))</f>
        <v>;"NavNode_L3D_525462";"Asennustarvikkeet ja holkit";</v>
      </c>
      <c r="AJ310" s="10" t="str">
        <f>IF(getCategoryLevelAsString($B310)="L0D_324785","",IF(Q310="",CONCATENATE(";",EscStr(CONCATENATE("NavNode_",getCategoryLevelAsString($B310))),";",EscStr($J310),";"),CONCATENATE(";",EscStr(CONCATENATE("NavNode_",getCategoryLevelAsString($B310))),";",EscStr(Q310),";")))</f>
        <v>;"NavNode_L3D_525462";"Montāžas piederumi un distanceri";</v>
      </c>
      <c r="AK310" s="10" t="str">
        <f>IF(getCategoryLevelAsString($B310)="L0D_324785","",IF(R310="",CONCATENATE(";",EscStr(CONCATENATE("NavNode_",getCategoryLevelAsString($B310))),";",EscStr($J310),";"),CONCATENATE(";",EscStr(CONCATENATE("NavNode_",getCategoryLevelAsString($B310))),";",EscStr(R310),";")))</f>
        <v>;"NavNode_L3D_525462";"Montage accessoires en afstandsstukken";</v>
      </c>
      <c r="AL310" s="10" t="str">
        <f>IF(getCategoryLevelAsString($B310)="L0D_324785","",IF(S310="",CONCATENATE(";",EscStr(CONCATENATE("NavNode_",getCategoryLevelAsString($B310))),";",EscStr($J310),";"),CONCATENATE(";",EscStr(CONCATENATE("NavNode_",getCategoryLevelAsString($B310))),";",EscStr(S310),";")))</f>
        <v>;"NavNode_L3D_525462";"Elementy montażowe i Dystanse";</v>
      </c>
      <c r="AM310" s="10" t="str">
        <f>IF(getCategoryLevelAsString($B310)="L0D_324785","",IF(T310="",CONCATENATE(";",EscStr(CONCATENATE("NavNode_",getCategoryLevelAsString($B310))),";",EscStr($J310),";"),CONCATENATE(";",EscStr(CONCATENATE("NavNode_",getCategoryLevelAsString($B310))),";",EscStr(T310),";")))</f>
        <v>;"NavNode_L3D_525462";"Монтажные принадлежности и Распорки";</v>
      </c>
      <c r="AN310" s="10" t="str">
        <f>IF(getCategoryLevelAsString($B310)="L0D_324785","",IF(U310="",CONCATENATE(";",EscStr(CONCATENATE("NavNode_",getCategoryLevelAsString($B310))),";",EscStr($J310),";"),CONCATENATE(";",EscStr(CONCATENATE("NavNode_",getCategoryLevelAsString($B310))),";",EscStr(U310),";")))</f>
        <v>;"NavNode_L3D_525462";"Distanční šrouby a podložky";</v>
      </c>
      <c r="AO310" s="10" t="str">
        <f>IF(getCategoryLevelAsString($B310)="L0D_324785","",IF(V310="",CONCATENATE(";",EscStr(CONCATENATE("NavNode_",getCategoryLevelAsString($B310))),";",EscStr($J310),";"),CONCATENATE(";",EscStr(CONCATENATE("NavNode_",getCategoryLevelAsString($B310))),";",EscStr(V310),";")))</f>
        <v>;"NavNode_L3D_525462";"Distanţiere şi suporţi pentru distanţiere";</v>
      </c>
      <c r="AP310" s="10" t="str">
        <f>IF(getCategoryLevelAsString($B310)="L0D_324785","",IF(W310="",CONCATENATE(";",EscStr(CONCATENATE("NavNode_",getCategoryLevelAsString($B310))),";",EscStr($J310),";"),CONCATENATE(";",EscStr(CONCATENATE("NavNode_",getCategoryLevelAsString($B310))),";",EscStr(W310),";")))</f>
        <v>;"NavNode_L3D_525462";"Távtartók és távtartó csapok";</v>
      </c>
      <c r="AQ310" s="10" t="str">
        <f>IF(getCategoryLevelAsString($B310)="L0D_324785","",IF(X310="",CONCATENATE(";",EscStr(CONCATENATE("NavNode_",getCategoryLevelAsString($B310))),";",EscStr($J310),";"),CONCATENATE(";",EscStr(CONCATENATE("NavNode_",getCategoryLevelAsString($B310))),";",EscStr(X310),";")))</f>
        <v>;"NavNode_L3D_525462";"Distanční šrouby a podložky";</v>
      </c>
      <c r="AR310" s="8" t="str">
        <f>IF(OR($A310&lt;&gt;"", $G310=""),"",CONCATENATE(";",EscStr(CONCATENATE("NavEntry_",getCategoryLevelAsString($B310))),";",EscStr(CONCATENATE($J310," Navigation Entry")),";",EscStr(CONCATENATE("cat-",getCategoryLevelAsString($B310))),";",EscStr(CONCATENATE("NavNode_",getCategoryLevelAsString($B310))),";"))</f>
        <v>;"NavEntry_L3D_525462";"Mounting Accessories and Spacers Navigation Entry";"cat-L3D_525462";"NavNode_L3D_525462";</v>
      </c>
    </row>
    <row r="311" spans="1:44" ht="15" x14ac:dyDescent="0.25">
      <c r="A311" s="25"/>
      <c r="B311" s="5"/>
      <c r="C311" s="5"/>
      <c r="D311" s="5" t="s">
        <v>249</v>
      </c>
      <c r="E311" s="5"/>
      <c r="F311" s="5"/>
      <c r="G311" s="5" t="s">
        <v>560</v>
      </c>
      <c r="H311" s="5" t="s">
        <v>561</v>
      </c>
      <c r="I311" s="5" t="s">
        <v>562</v>
      </c>
      <c r="J311" s="5" t="s">
        <v>563</v>
      </c>
      <c r="K311" s="5" t="s">
        <v>1275</v>
      </c>
      <c r="L311" s="5" t="s">
        <v>1509</v>
      </c>
      <c r="M311" s="5" t="s">
        <v>1738</v>
      </c>
      <c r="N311" s="5" t="s">
        <v>1942</v>
      </c>
      <c r="O311" s="5" t="s">
        <v>3080</v>
      </c>
      <c r="P311" s="5" t="s">
        <v>3081</v>
      </c>
      <c r="Q311" s="5" t="s">
        <v>3082</v>
      </c>
      <c r="R311" s="5" t="s">
        <v>3083</v>
      </c>
      <c r="S311" s="5" t="s">
        <v>3084</v>
      </c>
      <c r="T311" s="5" t="s">
        <v>3085</v>
      </c>
      <c r="U311" s="5" t="s">
        <v>3086</v>
      </c>
      <c r="V311" s="5" t="s">
        <v>3087</v>
      </c>
      <c r="W311" s="5" t="s">
        <v>3088</v>
      </c>
      <c r="X311" s="5" t="s">
        <v>3086</v>
      </c>
      <c r="Y311" s="10" t="str">
        <f>IF(OR($A311&lt;&gt;"", $G311=""),"",CONCATENATE(";",EscStr(CONCATENATE("NavNode_",getCategoryLevelAsString($B311))),";",EscStr($J311),";",IF($B311&lt;&gt;"","""MainNavNode""",EscStr(CONCATENATE("NavNode_",getSuperCategory($B311, getCategoryLevelAsNumber($B311))))),";"))</f>
        <v>;"NavNode_L3D_525463";"Hinges &amp; Locks";"NavNode_L2D_379536";</v>
      </c>
      <c r="Z311" s="10" t="str">
        <f>IF(getCategoryLevelAsString($B311)="L0D_324785","",IF(G311="",CONCATENATE(";",EscStr(CONCATENATE("NavNode_",getCategoryLevelAsString($B311))),";",EscStr($J311),";"),CONCATENATE(";",EscStr(CONCATENATE("NavNode_",getCategoryLevelAsString($B311))),";",EscStr(G311),";")))</f>
        <v>;"NavNode_L3D_525463";"Scharniere / Schlösser";</v>
      </c>
      <c r="AA311" s="10" t="str">
        <f>IF(getCategoryLevelAsString($B311)="L0D_324785","",IF(H311="",CONCATENATE(";",EscStr(CONCATENATE("NavNode_",getCategoryLevelAsString($B311))),";",EscStr($J311),";"),CONCATENATE(";",EscStr(CONCATENATE("NavNode_",getCategoryLevelAsString($B311))),";",EscStr(H311),";")))</f>
        <v>;"NavNode_L3D_525463";"Charnières / Serrures";</v>
      </c>
      <c r="AB311" s="10" t="str">
        <f>IF(getCategoryLevelAsString($B311)="L0D_324785","",IF(I311="",CONCATENATE(";",EscStr(CONCATENATE("NavNode_",getCategoryLevelAsString($B311))),";",EscStr($J311),";"),CONCATENATE(";",EscStr(CONCATENATE("NavNode_",getCategoryLevelAsString($B311))),";",EscStr(I311),";")))</f>
        <v>;"NavNode_L3D_525463";"Cerniere / Serrature";</v>
      </c>
      <c r="AC311" s="10" t="str">
        <f>IF(getCategoryLevelAsString($B311)="L0D_324785","",IF(J311="",CONCATENATE(";",EscStr(CONCATENATE("NavNode_",getCategoryLevelAsString($B311))),";",EscStr($J311),";"),CONCATENATE(";",EscStr(CONCATENATE("NavNode_",getCategoryLevelAsString($B311))),";",EscStr(J311),";")))</f>
        <v>;"NavNode_L3D_525463";"Hinges &amp; Locks";</v>
      </c>
      <c r="AD311" s="10" t="str">
        <f>IF(getCategoryLevelAsString($B311)="L0D_324785","",IF(K311="",CONCATENATE(";",EscStr(CONCATENATE("NavNode_",getCategoryLevelAsString($B311))),";",EscStr($J311),";"),CONCATENATE(";",EscStr(CONCATENATE("NavNode_",getCategoryLevelAsString($B311))),";",EscStr(K311),";")))</f>
        <v>;"NavNode_L3D_525463";"Hængsler &amp; låse";</v>
      </c>
      <c r="AE311" s="10" t="str">
        <f>IF(getCategoryLevelAsString($B311)="L0D_324785","",IF(L311="",CONCATENATE(";",EscStr(CONCATENATE("NavNode_",getCategoryLevelAsString($B311))),";",EscStr($J311),";"),CONCATENATE(";",EscStr(CONCATENATE("NavNode_",getCategoryLevelAsString($B311))),";",EscStr(L311),";")))</f>
        <v>;"NavNode_L3D_525463";"Vyriai ir spynos";</v>
      </c>
      <c r="AF311" s="10" t="str">
        <f>IF(getCategoryLevelAsString($B311)="L0D_324785","",IF(M311="",CONCATENATE(";",EscStr(CONCATENATE("NavNode_",getCategoryLevelAsString($B311))),";",EscStr($J311),";"),CONCATENATE(";",EscStr(CONCATENATE("NavNode_",getCategoryLevelAsString($B311))),";",EscStr(M311),";")))</f>
        <v>;"NavNode_L3D_525463";"Hengsler og låser";</v>
      </c>
      <c r="AG311" s="10" t="str">
        <f>IF(getCategoryLevelAsString($B311)="L0D_324785","",IF(N311="",CONCATENATE(";",EscStr(CONCATENATE("NavNode_",getCategoryLevelAsString($B311))),";",EscStr($J311),";"),CONCATENATE(";",EscStr(CONCATENATE("NavNode_",getCategoryLevelAsString($B311))),";",EscStr(N311),";")))</f>
        <v>;"NavNode_L3D_525463";"Gångjärn och lås";</v>
      </c>
      <c r="AH311" s="10" t="str">
        <f>IF(getCategoryLevelAsString($B311)="L0D_324785","",IF(O311="",CONCATENATE(";",EscStr(CONCATENATE("NavNode_",getCategoryLevelAsString($B311))),";",EscStr($J311),";"),CONCATENATE(";",EscStr(CONCATENATE("NavNode_",getCategoryLevelAsString($B311))),";",EscStr(O311),";")))</f>
        <v>;"NavNode_L3D_525463";"Hinged ja lukud";</v>
      </c>
      <c r="AI311" s="10" t="str">
        <f>IF(getCategoryLevelAsString($B311)="L0D_324785","",IF(P311="",CONCATENATE(";",EscStr(CONCATENATE("NavNode_",getCategoryLevelAsString($B311))),";",EscStr($J311),";"),CONCATENATE(";",EscStr(CONCATENATE("NavNode_",getCategoryLevelAsString($B311))),";",EscStr(P311),";")))</f>
        <v>;"NavNode_L3D_525463";"Saranat ja lukot";</v>
      </c>
      <c r="AJ311" s="10" t="str">
        <f>IF(getCategoryLevelAsString($B311)="L0D_324785","",IF(Q311="",CONCATENATE(";",EscStr(CONCATENATE("NavNode_",getCategoryLevelAsString($B311))),";",EscStr($J311),";"),CONCATENATE(";",EscStr(CONCATENATE("NavNode_",getCategoryLevelAsString($B311))),";",EscStr(Q311),";")))</f>
        <v>;"NavNode_L3D_525463";"Eņģes un atslēgas";</v>
      </c>
      <c r="AK311" s="10" t="str">
        <f>IF(getCategoryLevelAsString($B311)="L0D_324785","",IF(R311="",CONCATENATE(";",EscStr(CONCATENATE("NavNode_",getCategoryLevelAsString($B311))),";",EscStr($J311),";"),CONCATENATE(";",EscStr(CONCATENATE("NavNode_",getCategoryLevelAsString($B311))),";",EscStr(R311),";")))</f>
        <v>;"NavNode_L3D_525463";"Scharnieren en sloten";</v>
      </c>
      <c r="AL311" s="10" t="str">
        <f>IF(getCategoryLevelAsString($B311)="L0D_324785","",IF(S311="",CONCATENATE(";",EscStr(CONCATENATE("NavNode_",getCategoryLevelAsString($B311))),";",EscStr($J311),";"),CONCATENATE(";",EscStr(CONCATENATE("NavNode_",getCategoryLevelAsString($B311))),";",EscStr(S311),";")))</f>
        <v>;"NavNode_L3D_525463";"Zawiasy i Zamki";</v>
      </c>
      <c r="AM311" s="10" t="str">
        <f>IF(getCategoryLevelAsString($B311)="L0D_324785","",IF(T311="",CONCATENATE(";",EscStr(CONCATENATE("NavNode_",getCategoryLevelAsString($B311))),";",EscStr($J311),";"),CONCATENATE(";",EscStr(CONCATENATE("NavNode_",getCategoryLevelAsString($B311))),";",EscStr(T311),";")))</f>
        <v>;"NavNode_L3D_525463";"Петли &amp; Замок";</v>
      </c>
      <c r="AN311" s="10" t="str">
        <f>IF(getCategoryLevelAsString($B311)="L0D_324785","",IF(U311="",CONCATENATE(";",EscStr(CONCATENATE("NavNode_",getCategoryLevelAsString($B311))),";",EscStr($J311),";"),CONCATENATE(";",EscStr(CONCATENATE("NavNode_",getCategoryLevelAsString($B311))),";",EscStr(U311),";")))</f>
        <v>;"NavNode_L3D_525463";"Závěsy / Zámky";</v>
      </c>
      <c r="AO311" s="10" t="str">
        <f>IF(getCategoryLevelAsString($B311)="L0D_324785","",IF(V311="",CONCATENATE(";",EscStr(CONCATENATE("NavNode_",getCategoryLevelAsString($B311))),";",EscStr($J311),";"),CONCATENATE(";",EscStr(CONCATENATE("NavNode_",getCategoryLevelAsString($B311))),";",EscStr(V311),";")))</f>
        <v>;"NavNode_L3D_525463";"Balamale / încuietori";</v>
      </c>
      <c r="AP311" s="10" t="str">
        <f>IF(getCategoryLevelAsString($B311)="L0D_324785","",IF(W311="",CONCATENATE(";",EscStr(CONCATENATE("NavNode_",getCategoryLevelAsString($B311))),";",EscStr($J311),";"),CONCATENATE(";",EscStr(CONCATENATE("NavNode_",getCategoryLevelAsString($B311))),";",EscStr(W311),";")))</f>
        <v>;"NavNode_L3D_525463";"Zsanérok / Zárak";</v>
      </c>
      <c r="AQ311" s="10" t="str">
        <f>IF(getCategoryLevelAsString($B311)="L0D_324785","",IF(X311="",CONCATENATE(";",EscStr(CONCATENATE("NavNode_",getCategoryLevelAsString($B311))),";",EscStr($J311),";"),CONCATENATE(";",EscStr(CONCATENATE("NavNode_",getCategoryLevelAsString($B311))),";",EscStr(X311),";")))</f>
        <v>;"NavNode_L3D_525463";"Závěsy / Zámky";</v>
      </c>
      <c r="AR311" s="8" t="str">
        <f>IF(OR($A311&lt;&gt;"", $G311=""),"",CONCATENATE(";",EscStr(CONCATENATE("NavEntry_",getCategoryLevelAsString($B311))),";",EscStr(CONCATENATE($J311," Navigation Entry")),";",EscStr(CONCATENATE("cat-",getCategoryLevelAsString($B311))),";",EscStr(CONCATENATE("NavNode_",getCategoryLevelAsString($B311))),";"))</f>
        <v>;"NavEntry_L3D_525463";"Hinges &amp; Locks Navigation Entry";"cat-L3D_525463";"NavNode_L3D_525463";</v>
      </c>
    </row>
    <row r="312" spans="1:44" ht="15" x14ac:dyDescent="0.25">
      <c r="A312" s="25"/>
      <c r="B312" s="5"/>
      <c r="C312" s="5"/>
      <c r="D312" s="5" t="s">
        <v>254</v>
      </c>
      <c r="E312" s="5"/>
      <c r="F312" s="5"/>
      <c r="G312" s="5" t="s">
        <v>3089</v>
      </c>
      <c r="H312" s="5" t="s">
        <v>3090</v>
      </c>
      <c r="I312" s="5" t="s">
        <v>3091</v>
      </c>
      <c r="J312" s="5" t="s">
        <v>3092</v>
      </c>
      <c r="K312" s="5" t="s">
        <v>3093</v>
      </c>
      <c r="L312" s="5" t="s">
        <v>3094</v>
      </c>
      <c r="M312" s="5" t="s">
        <v>3095</v>
      </c>
      <c r="N312" s="5" t="s">
        <v>3096</v>
      </c>
      <c r="O312" s="5" t="s">
        <v>3097</v>
      </c>
      <c r="P312" s="5" t="s">
        <v>3098</v>
      </c>
      <c r="Q312" s="5" t="s">
        <v>3099</v>
      </c>
      <c r="R312" s="5" t="s">
        <v>3100</v>
      </c>
      <c r="S312" s="5" t="s">
        <v>3101</v>
      </c>
      <c r="T312" s="5" t="s">
        <v>3102</v>
      </c>
      <c r="U312" s="5" t="s">
        <v>3103</v>
      </c>
      <c r="V312" s="5" t="s">
        <v>3104</v>
      </c>
      <c r="W312" s="5" t="s">
        <v>3105</v>
      </c>
      <c r="X312" s="5" t="s">
        <v>3103</v>
      </c>
      <c r="Y312" s="10" t="str">
        <f>IF(OR($A312&lt;&gt;"", $G312=""),"",CONCATENATE(";",EscStr(CONCATENATE("NavNode_",getCategoryLevelAsString($B312))),";",EscStr($J312),";",IF($B312&lt;&gt;"","""MainNavNode""",EscStr(CONCATENATE("NavNode_",getSuperCategory($B312, getCategoryLevelAsNumber($B312))))),";"))</f>
        <v>;"NavNode_L3D_525466";"Telescopic And Linear Motion Slides";"NavNode_L2D_379536";</v>
      </c>
      <c r="Z312" s="10" t="str">
        <f>IF(getCategoryLevelAsString($B312)="L0D_324785","",IF(G312="",CONCATENATE(";",EscStr(CONCATENATE("NavNode_",getCategoryLevelAsString($B312))),";",EscStr($J312),";"),CONCATENATE(";",EscStr(CONCATENATE("NavNode_",getCategoryLevelAsString($B312))),";",EscStr(G312),";")))</f>
        <v>;"NavNode_L3D_525466";"Teleskop- und Linearschienen";</v>
      </c>
      <c r="AA312" s="10" t="str">
        <f>IF(getCategoryLevelAsString($B312)="L0D_324785","",IF(H312="",CONCATENATE(";",EscStr(CONCATENATE("NavNode_",getCategoryLevelAsString($B312))),";",EscStr($J312),";"),CONCATENATE(";",EscStr(CONCATENATE("NavNode_",getCategoryLevelAsString($B312))),";",EscStr(H312),";")))</f>
        <v>;"NavNode_L3D_525466";"Glissières pour mouvements télescopiques et linéaires";</v>
      </c>
      <c r="AB312" s="10" t="str">
        <f>IF(getCategoryLevelAsString($B312)="L0D_324785","",IF(I312="",CONCATENATE(";",EscStr(CONCATENATE("NavNode_",getCategoryLevelAsString($B312))),";",EscStr($J312),";"),CONCATENATE(";",EscStr(CONCATENATE("NavNode_",getCategoryLevelAsString($B312))),";",EscStr(I312),";")))</f>
        <v>;"NavNode_L3D_525466";"Guide di movimento telescopiche e lineari";</v>
      </c>
      <c r="AC312" s="10" t="str">
        <f>IF(getCategoryLevelAsString($B312)="L0D_324785","",IF(J312="",CONCATENATE(";",EscStr(CONCATENATE("NavNode_",getCategoryLevelAsString($B312))),";",EscStr($J312),";"),CONCATENATE(";",EscStr(CONCATENATE("NavNode_",getCategoryLevelAsString($B312))),";",EscStr(J312),";")))</f>
        <v>;"NavNode_L3D_525466";"Telescopic And Linear Motion Slides";</v>
      </c>
      <c r="AD312" s="10" t="str">
        <f>IF(getCategoryLevelAsString($B312)="L0D_324785","",IF(K312="",CONCATENATE(";",EscStr(CONCATENATE("NavNode_",getCategoryLevelAsString($B312))),";",EscStr($J312),";"),CONCATENATE(";",EscStr(CONCATENATE("NavNode_",getCategoryLevelAsString($B312))),";",EscStr(K312),";")))</f>
        <v>;"NavNode_L3D_525466";"Teleskopiske og lineære føringsskinner";</v>
      </c>
      <c r="AE312" s="10" t="str">
        <f>IF(getCategoryLevelAsString($B312)="L0D_324785","",IF(L312="",CONCATENATE(";",EscStr(CONCATENATE("NavNode_",getCategoryLevelAsString($B312))),";",EscStr($J312),";"),CONCATENATE(";",EscStr(CONCATENATE("NavNode_",getCategoryLevelAsString($B312))),";",EscStr(L312),";")))</f>
        <v>;"NavNode_L3D_525466";"Teleskopiniai ir tiesiaeigio judesio slankikliai";</v>
      </c>
      <c r="AF312" s="10" t="str">
        <f>IF(getCategoryLevelAsString($B312)="L0D_324785","",IF(M312="",CONCATENATE(";",EscStr(CONCATENATE("NavNode_",getCategoryLevelAsString($B312))),";",EscStr($J312),";"),CONCATENATE(";",EscStr(CONCATENATE("NavNode_",getCategoryLevelAsString($B312))),";",EscStr(M312),";")))</f>
        <v>;"NavNode_L3D_525466";"Teleskopskinner og lineære bevegelsesskinner";</v>
      </c>
      <c r="AG312" s="10" t="str">
        <f>IF(getCategoryLevelAsString($B312)="L0D_324785","",IF(N312="",CONCATENATE(";",EscStr(CONCATENATE("NavNode_",getCategoryLevelAsString($B312))),";",EscStr($J312),";"),CONCATENATE(";",EscStr(CONCATENATE("NavNode_",getCategoryLevelAsString($B312))),";",EscStr(N312),";")))</f>
        <v>;"NavNode_L3D_525466";"Teleskopskenor och skenor med linjär rörelse";</v>
      </c>
      <c r="AH312" s="10" t="str">
        <f>IF(getCategoryLevelAsString($B312)="L0D_324785","",IF(O312="",CONCATENATE(";",EscStr(CONCATENATE("NavNode_",getCategoryLevelAsString($B312))),";",EscStr($J312),";"),CONCATENATE(";",EscStr(CONCATENATE("NavNode_",getCategoryLevelAsString($B312))),";",EscStr(O312),";")))</f>
        <v>;"NavNode_L3D_525466";"Teleskoop- ja lineaarliugurid";</v>
      </c>
      <c r="AI312" s="10" t="str">
        <f>IF(getCategoryLevelAsString($B312)="L0D_324785","",IF(P312="",CONCATENATE(";",EscStr(CONCATENATE("NavNode_",getCategoryLevelAsString($B312))),";",EscStr($J312),";"),CONCATENATE(";",EscStr(CONCATENATE("NavNode_",getCategoryLevelAsString($B312))),";",EscStr(P312),";")))</f>
        <v>;"NavNode_L3D_525466";"Teleskooppiset liu'ut ja lineaariliu'ut";</v>
      </c>
      <c r="AJ312" s="10" t="str">
        <f>IF(getCategoryLevelAsString($B312)="L0D_324785","",IF(Q312="",CONCATENATE(";",EscStr(CONCATENATE("NavNode_",getCategoryLevelAsString($B312))),";",EscStr($J312),";"),CONCATENATE(";",EscStr(CONCATENATE("NavNode_",getCategoryLevelAsString($B312))),";",EscStr(Q312),";")))</f>
        <v>;"NavNode_L3D_525466";"Teleskopiski un lineāri kustības slīdņi";</v>
      </c>
      <c r="AK312" s="10" t="str">
        <f>IF(getCategoryLevelAsString($B312)="L0D_324785","",IF(R312="",CONCATENATE(";",EscStr(CONCATENATE("NavNode_",getCategoryLevelAsString($B312))),";",EscStr($J312),";"),CONCATENATE(";",EscStr(CONCATENATE("NavNode_",getCategoryLevelAsString($B312))),";",EscStr(R312),";")))</f>
        <v>;"NavNode_L3D_525466";"Telescopische en lineaire geleidingssystemen";</v>
      </c>
      <c r="AL312" s="10" t="str">
        <f>IF(getCategoryLevelAsString($B312)="L0D_324785","",IF(S312="",CONCATENATE(";",EscStr(CONCATENATE("NavNode_",getCategoryLevelAsString($B312))),";",EscStr($J312),";"),CONCATENATE(";",EscStr(CONCATENATE("NavNode_",getCategoryLevelAsString($B312))),";",EscStr(S312),";")))</f>
        <v>;"NavNode_L3D_525466";"Szyny teleskopowe i liniowe";</v>
      </c>
      <c r="AM312" s="10" t="str">
        <f>IF(getCategoryLevelAsString($B312)="L0D_324785","",IF(T312="",CONCATENATE(";",EscStr(CONCATENATE("NavNode_",getCategoryLevelAsString($B312))),";",EscStr($J312),";"),CONCATENATE(";",EscStr(CONCATENATE("NavNode_",getCategoryLevelAsString($B312))),";",EscStr(T312),";")))</f>
        <v>;"NavNode_L3D_525466";"Телескопические и линейные направляющие";</v>
      </c>
      <c r="AN312" s="10" t="str">
        <f>IF(getCategoryLevelAsString($B312)="L0D_324785","",IF(U312="",CONCATENATE(";",EscStr(CONCATENATE("NavNode_",getCategoryLevelAsString($B312))),";",EscStr($J312),";"),CONCATENATE(";",EscStr(CONCATENATE("NavNode_",getCategoryLevelAsString($B312))),";",EscStr(U312),";")))</f>
        <v>;"NavNode_L3D_525466";"Teleskopické a lineární posuvy";</v>
      </c>
      <c r="AO312" s="10" t="str">
        <f>IF(getCategoryLevelAsString($B312)="L0D_324785","",IF(V312="",CONCATENATE(";",EscStr(CONCATENATE("NavNode_",getCategoryLevelAsString($B312))),";",EscStr($J312),";"),CONCATENATE(";",EscStr(CONCATENATE("NavNode_",getCategoryLevelAsString($B312))),";",EscStr(V312),";")))</f>
        <v>;"NavNode_L3D_525466";"Ghidaje liniare şi telescopice";</v>
      </c>
      <c r="AP312" s="10" t="str">
        <f>IF(getCategoryLevelAsString($B312)="L0D_324785","",IF(W312="",CONCATENATE(";",EscStr(CONCATENATE("NavNode_",getCategoryLevelAsString($B312))),";",EscStr($J312),";"),CONCATENATE(";",EscStr(CONCATENATE("NavNode_",getCategoryLevelAsString($B312))),";",EscStr(W312),";")))</f>
        <v>;"NavNode_L3D_525466";"Teleszkópos és lineáris csúszószánok";</v>
      </c>
      <c r="AQ312" s="10" t="str">
        <f>IF(getCategoryLevelAsString($B312)="L0D_324785","",IF(X312="",CONCATENATE(";",EscStr(CONCATENATE("NavNode_",getCategoryLevelAsString($B312))),";",EscStr($J312),";"),CONCATENATE(";",EscStr(CONCATENATE("NavNode_",getCategoryLevelAsString($B312))),";",EscStr(X312),";")))</f>
        <v>;"NavNode_L3D_525466";"Teleskopické a lineární posuvy";</v>
      </c>
      <c r="AR312" s="8" t="str">
        <f>IF(OR($A312&lt;&gt;"", $G312=""),"",CONCATENATE(";",EscStr(CONCATENATE("NavEntry_",getCategoryLevelAsString($B312))),";",EscStr(CONCATENATE($J312," Navigation Entry")),";",EscStr(CONCATENATE("cat-",getCategoryLevelAsString($B312))),";",EscStr(CONCATENATE("NavNode_",getCategoryLevelAsString($B312))),";"))</f>
        <v>;"NavEntry_L3D_525466";"Telescopic And Linear Motion Slides Navigation Entry";"cat-L3D_525466";"NavNode_L3D_525466";</v>
      </c>
    </row>
    <row r="313" spans="1:44" ht="15" x14ac:dyDescent="0.25">
      <c r="A313" s="25"/>
      <c r="B313" s="5"/>
      <c r="C313" s="5"/>
      <c r="D313" s="5" t="s">
        <v>248</v>
      </c>
      <c r="E313" s="5"/>
      <c r="F313" s="5"/>
      <c r="G313" s="5" t="s">
        <v>556</v>
      </c>
      <c r="H313" s="5" t="s">
        <v>557</v>
      </c>
      <c r="I313" s="5" t="s">
        <v>558</v>
      </c>
      <c r="J313" s="5" t="s">
        <v>559</v>
      </c>
      <c r="K313" s="5" t="s">
        <v>1276</v>
      </c>
      <c r="L313" s="5" t="s">
        <v>1510</v>
      </c>
      <c r="M313" s="5" t="s">
        <v>1739</v>
      </c>
      <c r="N313" s="5" t="s">
        <v>1943</v>
      </c>
      <c r="O313" s="5" t="s">
        <v>3106</v>
      </c>
      <c r="P313" s="5" t="s">
        <v>3107</v>
      </c>
      <c r="Q313" s="5" t="s">
        <v>3108</v>
      </c>
      <c r="R313" s="5" t="s">
        <v>3109</v>
      </c>
      <c r="S313" s="5" t="s">
        <v>3110</v>
      </c>
      <c r="T313" s="5" t="s">
        <v>3111</v>
      </c>
      <c r="U313" s="5" t="s">
        <v>3112</v>
      </c>
      <c r="V313" s="5" t="s">
        <v>3113</v>
      </c>
      <c r="W313" s="5" t="s">
        <v>3114</v>
      </c>
      <c r="X313" s="5" t="s">
        <v>3112</v>
      </c>
      <c r="Y313" s="10" t="str">
        <f>IF(OR($A313&lt;&gt;"", $G313=""),"",CONCATENATE(";",EscStr(CONCATENATE("NavNode_",getCategoryLevelAsString($B313))),";",EscStr($J313),";",IF($B313&lt;&gt;"","""MainNavNode""",EscStr(CONCATENATE("NavNode_",getSuperCategory($B313, getCategoryLevelAsNumber($B313))))),";"))</f>
        <v>;"NavNode_Cable Assemblies / Audio / Video";"Castors &amp; Wheels";"NavNode_L0D_324785";</v>
      </c>
      <c r="Z313" s="10" t="str">
        <f>IF(getCategoryLevelAsString($B313)="L0D_324785","",IF(G313="",CONCATENATE(";",EscStr(CONCATENATE("NavNode_",getCategoryLevelAsString($B313))),";",EscStr($J313),";"),CONCATENATE(";",EscStr(CONCATENATE("NavNode_",getCategoryLevelAsString($B313))),";",EscStr(G313),";")))</f>
        <v>;"NavNode_Cable Assemblies / Audio / Video";"Rollen / Räder";</v>
      </c>
      <c r="AA313" s="10" t="str">
        <f>IF(getCategoryLevelAsString($B313)="L0D_324785","",IF(H313="",CONCATENATE(";",EscStr(CONCATENATE("NavNode_",getCategoryLevelAsString($B313))),";",EscStr($J313),";"),CONCATENATE(";",EscStr(CONCATENATE("NavNode_",getCategoryLevelAsString($B313))),";",EscStr(H313),";")))</f>
        <v>;"NavNode_Cable Assemblies / Audio / Video";"Roulettes / Roues";</v>
      </c>
      <c r="AB313" s="10" t="str">
        <f>IF(getCategoryLevelAsString($B313)="L0D_324785","",IF(I313="",CONCATENATE(";",EscStr(CONCATENATE("NavNode_",getCategoryLevelAsString($B313))),";",EscStr($J313),";"),CONCATENATE(";",EscStr(CONCATENATE("NavNode_",getCategoryLevelAsString($B313))),";",EscStr(I313),";")))</f>
        <v>;"NavNode_Cable Assemblies / Audio / Video";"Rullini / Ruote";</v>
      </c>
      <c r="AC313" s="10" t="str">
        <f>IF(getCategoryLevelAsString($B313)="L0D_324785","",IF(J313="",CONCATENATE(";",EscStr(CONCATENATE("NavNode_",getCategoryLevelAsString($B313))),";",EscStr($J313),";"),CONCATENATE(";",EscStr(CONCATENATE("NavNode_",getCategoryLevelAsString($B313))),";",EscStr(J313),";")))</f>
        <v>;"NavNode_Cable Assemblies / Audio / Video";"Castors &amp; Wheels";</v>
      </c>
      <c r="AD313" s="10" t="str">
        <f>IF(getCategoryLevelAsString($B313)="L0D_324785","",IF(K313="",CONCATENATE(";",EscStr(CONCATENATE("NavNode_",getCategoryLevelAsString($B313))),";",EscStr($J313),";"),CONCATENATE(";",EscStr(CONCATENATE("NavNode_",getCategoryLevelAsString($B313))),";",EscStr(K313),";")))</f>
        <v>;"NavNode_Cable Assemblies / Audio / Video";"Ruller &amp; hjul";</v>
      </c>
      <c r="AE313" s="10" t="str">
        <f>IF(getCategoryLevelAsString($B313)="L0D_324785","",IF(L313="",CONCATENATE(";",EscStr(CONCATENATE("NavNode_",getCategoryLevelAsString($B313))),";",EscStr($J313),";"),CONCATENATE(";",EscStr(CONCATENATE("NavNode_",getCategoryLevelAsString($B313))),";",EscStr(L313),";")))</f>
        <v>;"NavNode_Cable Assemblies / Audio / Video";"Pasukamieji ratukai ir ratukai";</v>
      </c>
      <c r="AF313" s="10" t="str">
        <f>IF(getCategoryLevelAsString($B313)="L0D_324785","",IF(M313="",CONCATENATE(";",EscStr(CONCATENATE("NavNode_",getCategoryLevelAsString($B313))),";",EscStr($J313),";"),CONCATENATE(";",EscStr(CONCATENATE("NavNode_",getCategoryLevelAsString($B313))),";",EscStr(M313),";")))</f>
        <v>;"NavNode_Cable Assemblies / Audio / Video";"Trinser og hjul";</v>
      </c>
      <c r="AG313" s="10" t="str">
        <f>IF(getCategoryLevelAsString($B313)="L0D_324785","",IF(N313="",CONCATENATE(";",EscStr(CONCATENATE("NavNode_",getCategoryLevelAsString($B313))),";",EscStr($J313),";"),CONCATENATE(";",EscStr(CONCATENATE("NavNode_",getCategoryLevelAsString($B313))),";",EscStr(N313),";")))</f>
        <v>;"NavNode_Cable Assemblies / Audio / Video";"Hjul";</v>
      </c>
      <c r="AH313" s="10" t="str">
        <f>IF(getCategoryLevelAsString($B313)="L0D_324785","",IF(O313="",CONCATENATE(";",EscStr(CONCATENATE("NavNode_",getCategoryLevelAsString($B313))),";",EscStr($J313),";"),CONCATENATE(";",EscStr(CONCATENATE("NavNode_",getCategoryLevelAsString($B313))),";",EscStr(O313),";")))</f>
        <v>;"NavNode_Cable Assemblies / Audio / Video";"Rullikud ja rattad";</v>
      </c>
      <c r="AI313" s="10" t="str">
        <f>IF(getCategoryLevelAsString($B313)="L0D_324785","",IF(P313="",CONCATENATE(";",EscStr(CONCATENATE("NavNode_",getCategoryLevelAsString($B313))),";",EscStr($J313),";"),CONCATENATE(";",EscStr(CONCATENATE("NavNode_",getCategoryLevelAsString($B313))),";",EscStr(P313),";")))</f>
        <v>;"NavNode_Cable Assemblies / Audio / Video";"Pyörät";</v>
      </c>
      <c r="AJ313" s="10" t="str">
        <f>IF(getCategoryLevelAsString($B313)="L0D_324785","",IF(Q313="",CONCATENATE(";",EscStr(CONCATENATE("NavNode_",getCategoryLevelAsString($B313))),";",EscStr($J313),";"),CONCATENATE(";",EscStr(CONCATENATE("NavNode_",getCategoryLevelAsString($B313))),";",EscStr(Q313),";")))</f>
        <v>;"NavNode_Cable Assemblies / Audio / Video";"Riteņi";</v>
      </c>
      <c r="AK313" s="10" t="str">
        <f>IF(getCategoryLevelAsString($B313)="L0D_324785","",IF(R313="",CONCATENATE(";",EscStr(CONCATENATE("NavNode_",getCategoryLevelAsString($B313))),";",EscStr($J313),";"),CONCATENATE(";",EscStr(CONCATENATE("NavNode_",getCategoryLevelAsString($B313))),";",EscStr(R313),";")))</f>
        <v>;"NavNode_Cable Assemblies / Audio / Video";"Zwenkwielen en tandwielen";</v>
      </c>
      <c r="AL313" s="10" t="str">
        <f>IF(getCategoryLevelAsString($B313)="L0D_324785","",IF(S313="",CONCATENATE(";",EscStr(CONCATENATE("NavNode_",getCategoryLevelAsString($B313))),";",EscStr($J313),";"),CONCATENATE(";",EscStr(CONCATENATE("NavNode_",getCategoryLevelAsString($B313))),";",EscStr(S313),";")))</f>
        <v>;"NavNode_Cable Assemblies / Audio / Video";"Rolki i Koła";</v>
      </c>
      <c r="AM313" s="10" t="str">
        <f>IF(getCategoryLevelAsString($B313)="L0D_324785","",IF(T313="",CONCATENATE(";",EscStr(CONCATENATE("NavNode_",getCategoryLevelAsString($B313))),";",EscStr($J313),";"),CONCATENATE(";",EscStr(CONCATENATE("NavNode_",getCategoryLevelAsString($B313))),";",EscStr(T313),";")))</f>
        <v>;"NavNode_Cable Assemblies / Audio / Video";"Ролики &amp; Колеса";</v>
      </c>
      <c r="AN313" s="10" t="str">
        <f>IF(getCategoryLevelAsString($B313)="L0D_324785","",IF(U313="",CONCATENATE(";",EscStr(CONCATENATE("NavNode_",getCategoryLevelAsString($B313))),";",EscStr($J313),";"),CONCATENATE(";",EscStr(CONCATENATE("NavNode_",getCategoryLevelAsString($B313))),";",EscStr(U313),";")))</f>
        <v>;"NavNode_Cable Assemblies / Audio / Video";"Válce / Kola";</v>
      </c>
      <c r="AO313" s="10" t="str">
        <f>IF(getCategoryLevelAsString($B313)="L0D_324785","",IF(V313="",CONCATENATE(";",EscStr(CONCATENATE("NavNode_",getCategoryLevelAsString($B313))),";",EscStr($J313),";"),CONCATENATE(";",EscStr(CONCATENATE("NavNode_",getCategoryLevelAsString($B313))),";",EscStr(V313),";")))</f>
        <v>;"NavNode_Cable Assemblies / Audio / Video";"Role / roţi";</v>
      </c>
      <c r="AP313" s="10" t="str">
        <f>IF(getCategoryLevelAsString($B313)="L0D_324785","",IF(W313="",CONCATENATE(";",EscStr(CONCATENATE("NavNode_",getCategoryLevelAsString($B313))),";",EscStr($J313),";"),CONCATENATE(";",EscStr(CONCATENATE("NavNode_",getCategoryLevelAsString($B313))),";",EscStr(W313),";")))</f>
        <v>;"NavNode_Cable Assemblies / Audio / Video";"Görgők / Kerekek";</v>
      </c>
      <c r="AQ313" s="10" t="str">
        <f>IF(getCategoryLevelAsString($B313)="L0D_324785","",IF(X313="",CONCATENATE(";",EscStr(CONCATENATE("NavNode_",getCategoryLevelAsString($B313))),";",EscStr($J313),";"),CONCATENATE(";",EscStr(CONCATENATE("NavNode_",getCategoryLevelAsString($B313))),";",EscStr(X313),";")))</f>
        <v>;"NavNode_Cable Assemblies / Audio / Video";"Válce / Kola";</v>
      </c>
      <c r="AR313" s="8" t="str">
        <f>IF(OR($A313&lt;&gt;"", $G313=""),"",CONCATENATE(";",EscStr(CONCATENATE("NavEntry_",getCategoryLevelAsString($B313))),";",EscStr(CONCATENATE($J313," Navigation Entry")),";",EscStr(CONCATENATE("cat-",getCategoryLevelAsString($B313))),";",EscStr(CONCATENATE("NavNode_",getCategoryLevelAsString($B313))),";"))</f>
        <v>;"NavEntry_Cable Assemblies / Audio / Video";"Castors &amp; Wheels Navigation Entry";"cat-Cable Assemblies / Audio / Video";"NavNode_Cable Assemblies / Audio / Video";</v>
      </c>
    </row>
    <row r="314" spans="1:44" ht="15" x14ac:dyDescent="0.25">
      <c r="A314" s="25"/>
      <c r="B314" s="5"/>
      <c r="C314" s="5"/>
      <c r="D314" s="5" t="s">
        <v>246</v>
      </c>
      <c r="E314" s="5"/>
      <c r="F314" s="5"/>
      <c r="G314" s="5" t="s">
        <v>553</v>
      </c>
      <c r="H314" s="5" t="s">
        <v>554</v>
      </c>
      <c r="I314" s="5" t="s">
        <v>555</v>
      </c>
      <c r="J314" s="5" t="s">
        <v>247</v>
      </c>
      <c r="K314" s="5" t="s">
        <v>1277</v>
      </c>
      <c r="L314" s="5" t="s">
        <v>1511</v>
      </c>
      <c r="M314" s="5" t="s">
        <v>1740</v>
      </c>
      <c r="N314" s="5" t="s">
        <v>1944</v>
      </c>
      <c r="O314" s="5" t="s">
        <v>3115</v>
      </c>
      <c r="P314" s="5" t="s">
        <v>3116</v>
      </c>
      <c r="Q314" s="5" t="s">
        <v>3117</v>
      </c>
      <c r="R314" s="5" t="s">
        <v>3118</v>
      </c>
      <c r="S314" s="5" t="s">
        <v>3119</v>
      </c>
      <c r="T314" s="5" t="s">
        <v>3120</v>
      </c>
      <c r="U314" s="5" t="s">
        <v>3121</v>
      </c>
      <c r="V314" s="5" t="s">
        <v>3122</v>
      </c>
      <c r="W314" s="5" t="s">
        <v>3123</v>
      </c>
      <c r="X314" s="5" t="s">
        <v>3121</v>
      </c>
      <c r="Y314" s="10" t="str">
        <f>IF(OR($A314&lt;&gt;"", $G314=""),"",CONCATENATE(";",EscStr(CONCATENATE("NavNode_",getCategoryLevelAsString($B314))),";",EscStr($J314),";",IF($B314&lt;&gt;"","""MainNavNode""",EscStr(CONCATENATE("NavNode_",getSuperCategory($B314, getCategoryLevelAsNumber($B314))))),";"))</f>
        <v>;"NavNode_L2D_542709";"Ball Bearings";"NavNode_Cable Assemblies / Audio / Video";</v>
      </c>
      <c r="Z314" s="10" t="str">
        <f>IF(getCategoryLevelAsString($B314)="L0D_324785","",IF(G314="",CONCATENATE(";",EscStr(CONCATENATE("NavNode_",getCategoryLevelAsString($B314))),";",EscStr($J314),";"),CONCATENATE(";",EscStr(CONCATENATE("NavNode_",getCategoryLevelAsString($B314))),";",EscStr(G314),";")))</f>
        <v>;"NavNode_L2D_542709";"Kugellager";</v>
      </c>
      <c r="AA314" s="10" t="str">
        <f>IF(getCategoryLevelAsString($B314)="L0D_324785","",IF(H314="",CONCATENATE(";",EscStr(CONCATENATE("NavNode_",getCategoryLevelAsString($B314))),";",EscStr($J314),";"),CONCATENATE(";",EscStr(CONCATENATE("NavNode_",getCategoryLevelAsString($B314))),";",EscStr(H314),";")))</f>
        <v>;"NavNode_L2D_542709";"Roulements à bille";</v>
      </c>
      <c r="AB314" s="10" t="str">
        <f>IF(getCategoryLevelAsString($B314)="L0D_324785","",IF(I314="",CONCATENATE(";",EscStr(CONCATENATE("NavNode_",getCategoryLevelAsString($B314))),";",EscStr($J314),";"),CONCATENATE(";",EscStr(CONCATENATE("NavNode_",getCategoryLevelAsString($B314))),";",EscStr(I314),";")))</f>
        <v>;"NavNode_L2D_542709";"Cuscinetti a sfere";</v>
      </c>
      <c r="AC314" s="10" t="str">
        <f>IF(getCategoryLevelAsString($B314)="L0D_324785","",IF(J314="",CONCATENATE(";",EscStr(CONCATENATE("NavNode_",getCategoryLevelAsString($B314))),";",EscStr($J314),";"),CONCATENATE(";",EscStr(CONCATENATE("NavNode_",getCategoryLevelAsString($B314))),";",EscStr(J314),";")))</f>
        <v>;"NavNode_L2D_542709";"Ball Bearings";</v>
      </c>
      <c r="AD314" s="10" t="str">
        <f>IF(getCategoryLevelAsString($B314)="L0D_324785","",IF(K314="",CONCATENATE(";",EscStr(CONCATENATE("NavNode_",getCategoryLevelAsString($B314))),";",EscStr($J314),";"),CONCATENATE(";",EscStr(CONCATENATE("NavNode_",getCategoryLevelAsString($B314))),";",EscStr(K314),";")))</f>
        <v>;"NavNode_L2D_542709";"Kuglelejer";</v>
      </c>
      <c r="AE314" s="10" t="str">
        <f>IF(getCategoryLevelAsString($B314)="L0D_324785","",IF(L314="",CONCATENATE(";",EscStr(CONCATENATE("NavNode_",getCategoryLevelAsString($B314))),";",EscStr($J314),";"),CONCATENATE(";",EscStr(CONCATENATE("NavNode_",getCategoryLevelAsString($B314))),";",EscStr(L314),";")))</f>
        <v>;"NavNode_L2D_542709";"Rutuliniai guoliai";</v>
      </c>
      <c r="AF314" s="10" t="str">
        <f>IF(getCategoryLevelAsString($B314)="L0D_324785","",IF(M314="",CONCATENATE(";",EscStr(CONCATENATE("NavNode_",getCategoryLevelAsString($B314))),";",EscStr($J314),";"),CONCATENATE(";",EscStr(CONCATENATE("NavNode_",getCategoryLevelAsString($B314))),";",EscStr(M314),";")))</f>
        <v>;"NavNode_L2D_542709";"Kulelager";</v>
      </c>
      <c r="AG314" s="10" t="str">
        <f>IF(getCategoryLevelAsString($B314)="L0D_324785","",IF(N314="",CONCATENATE(";",EscStr(CONCATENATE("NavNode_",getCategoryLevelAsString($B314))),";",EscStr($J314),";"),CONCATENATE(";",EscStr(CONCATENATE("NavNode_",getCategoryLevelAsString($B314))),";",EscStr(N314),";")))</f>
        <v>;"NavNode_L2D_542709";"Kullager";</v>
      </c>
      <c r="AH314" s="10" t="str">
        <f>IF(getCategoryLevelAsString($B314)="L0D_324785","",IF(O314="",CONCATENATE(";",EscStr(CONCATENATE("NavNode_",getCategoryLevelAsString($B314))),";",EscStr($J314),";"),CONCATENATE(";",EscStr(CONCATENATE("NavNode_",getCategoryLevelAsString($B314))),";",EscStr(O314),";")))</f>
        <v>;"NavNode_L2D_542709";"Kuullaagrid";</v>
      </c>
      <c r="AI314" s="10" t="str">
        <f>IF(getCategoryLevelAsString($B314)="L0D_324785","",IF(P314="",CONCATENATE(";",EscStr(CONCATENATE("NavNode_",getCategoryLevelAsString($B314))),";",EscStr($J314),";"),CONCATENATE(";",EscStr(CONCATENATE("NavNode_",getCategoryLevelAsString($B314))),";",EscStr(P314),";")))</f>
        <v>;"NavNode_L2D_542709";"Laakerit";</v>
      </c>
      <c r="AJ314" s="10" t="str">
        <f>IF(getCategoryLevelAsString($B314)="L0D_324785","",IF(Q314="",CONCATENATE(";",EscStr(CONCATENATE("NavNode_",getCategoryLevelAsString($B314))),";",EscStr($J314),";"),CONCATENATE(";",EscStr(CONCATENATE("NavNode_",getCategoryLevelAsString($B314))),";",EscStr(Q314),";")))</f>
        <v>;"NavNode_L2D_542709";"Lodīšu gultņi";</v>
      </c>
      <c r="AK314" s="10" t="str">
        <f>IF(getCategoryLevelAsString($B314)="L0D_324785","",IF(R314="",CONCATENATE(";",EscStr(CONCATENATE("NavNode_",getCategoryLevelAsString($B314))),";",EscStr($J314),";"),CONCATENATE(";",EscStr(CONCATENATE("NavNode_",getCategoryLevelAsString($B314))),";",EscStr(R314),";")))</f>
        <v>;"NavNode_L2D_542709";"Kogellagers";</v>
      </c>
      <c r="AL314" s="10" t="str">
        <f>IF(getCategoryLevelAsString($B314)="L0D_324785","",IF(S314="",CONCATENATE(";",EscStr(CONCATENATE("NavNode_",getCategoryLevelAsString($B314))),";",EscStr($J314),";"),CONCATENATE(";",EscStr(CONCATENATE("NavNode_",getCategoryLevelAsString($B314))),";",EscStr(S314),";")))</f>
        <v>;"NavNode_L2D_542709";"Łożyska kulkowe";</v>
      </c>
      <c r="AM314" s="10" t="str">
        <f>IF(getCategoryLevelAsString($B314)="L0D_324785","",IF(T314="",CONCATENATE(";",EscStr(CONCATENATE("NavNode_",getCategoryLevelAsString($B314))),";",EscStr($J314),";"),CONCATENATE(";",EscStr(CONCATENATE("NavNode_",getCategoryLevelAsString($B314))),";",EscStr(T314),";")))</f>
        <v>;"NavNode_L2D_542709";"Шариковые подшипники";</v>
      </c>
      <c r="AN314" s="10" t="str">
        <f>IF(getCategoryLevelAsString($B314)="L0D_324785","",IF(U314="",CONCATENATE(";",EscStr(CONCATENATE("NavNode_",getCategoryLevelAsString($B314))),";",EscStr($J314),";"),CONCATENATE(";",EscStr(CONCATENATE("NavNode_",getCategoryLevelAsString($B314))),";",EscStr(U314),";")))</f>
        <v>;"NavNode_L2D_542709";"Ložiska";</v>
      </c>
      <c r="AO314" s="10" t="str">
        <f>IF(getCategoryLevelAsString($B314)="L0D_324785","",IF(V314="",CONCATENATE(";",EscStr(CONCATENATE("NavNode_",getCategoryLevelAsString($B314))),";",EscStr($J314),";"),CONCATENATE(";",EscStr(CONCATENATE("NavNode_",getCategoryLevelAsString($B314))),";",EscStr(V314),";")))</f>
        <v>;"NavNode_L2D_542709";"Rulmenţi cu bile";</v>
      </c>
      <c r="AP314" s="10" t="str">
        <f>IF(getCategoryLevelAsString($B314)="L0D_324785","",IF(W314="",CONCATENATE(";",EscStr(CONCATENATE("NavNode_",getCategoryLevelAsString($B314))),";",EscStr($J314),";"),CONCATENATE(";",EscStr(CONCATENATE("NavNode_",getCategoryLevelAsString($B314))),";",EscStr(W314),";")))</f>
        <v>;"NavNode_L2D_542709";"Csapágyak";</v>
      </c>
      <c r="AQ314" s="10" t="str">
        <f>IF(getCategoryLevelAsString($B314)="L0D_324785","",IF(X314="",CONCATENATE(";",EscStr(CONCATENATE("NavNode_",getCategoryLevelAsString($B314))),";",EscStr($J314),";"),CONCATENATE(";",EscStr(CONCATENATE("NavNode_",getCategoryLevelAsString($B314))),";",EscStr(X314),";")))</f>
        <v>;"NavNode_L2D_542709";"Ložiska";</v>
      </c>
      <c r="AR314" s="8" t="str">
        <f>IF(OR($A314&lt;&gt;"", $G314=""),"",CONCATENATE(";",EscStr(CONCATENATE("NavEntry_",getCategoryLevelAsString($B314))),";",EscStr(CONCATENATE($J314," Navigation Entry")),";",EscStr(CONCATENATE("cat-",getCategoryLevelAsString($B314))),";",EscStr(CONCATENATE("NavNode_",getCategoryLevelAsString($B314))),";"))</f>
        <v>;"NavEntry_L2D_542709";"Ball Bearings Navigation Entry";"cat-L2D_542709";"NavNode_L2D_542709";</v>
      </c>
    </row>
    <row r="315" spans="1:44" ht="15" x14ac:dyDescent="0.25">
      <c r="A315" s="25"/>
      <c r="B315" s="5"/>
      <c r="C315" s="5"/>
      <c r="D315" s="5" t="s">
        <v>253</v>
      </c>
      <c r="E315" s="5"/>
      <c r="F315" s="5"/>
      <c r="G315" s="5" t="s">
        <v>1059</v>
      </c>
      <c r="H315" s="5" t="s">
        <v>1110</v>
      </c>
      <c r="I315" s="5" t="s">
        <v>1169</v>
      </c>
      <c r="J315" s="5" t="s">
        <v>927</v>
      </c>
      <c r="K315" s="5" t="s">
        <v>1278</v>
      </c>
      <c r="L315" s="5" t="s">
        <v>1512</v>
      </c>
      <c r="M315" s="5" t="s">
        <v>1741</v>
      </c>
      <c r="N315" s="5" t="s">
        <v>1945</v>
      </c>
      <c r="O315" s="5" t="s">
        <v>3124</v>
      </c>
      <c r="P315" s="5" t="s">
        <v>3125</v>
      </c>
      <c r="Q315" s="5" t="s">
        <v>3126</v>
      </c>
      <c r="R315" s="5" t="s">
        <v>3127</v>
      </c>
      <c r="S315" s="5" t="s">
        <v>3128</v>
      </c>
      <c r="T315" s="5" t="s">
        <v>3129</v>
      </c>
      <c r="U315" s="5" t="s">
        <v>3130</v>
      </c>
      <c r="V315" s="5" t="s">
        <v>3131</v>
      </c>
      <c r="W315" s="5" t="s">
        <v>3132</v>
      </c>
      <c r="X315" s="5" t="s">
        <v>3130</v>
      </c>
      <c r="Y315" s="10" t="str">
        <f>IF(OR($A315&lt;&gt;"", $G315=""),"",CONCATENATE(";",EscStr(CONCATENATE("NavNode_",getCategoryLevelAsString($B315))),";",EscStr($J315),";",IF($B315&lt;&gt;"","""MainNavNode""",EscStr(CONCATENATE("NavNode_",getSuperCategory($B315, getCategoryLevelAsNumber($B315))))),";"))</f>
        <v>;"NavNode_L3D_542711";"Semi-finished Products";"NavNode_L2D_542709";</v>
      </c>
      <c r="Z315" s="10" t="str">
        <f>IF(getCategoryLevelAsString($B315)="L0D_324785","",IF(G315="",CONCATENATE(";",EscStr(CONCATENATE("NavNode_",getCategoryLevelAsString($B315))),";",EscStr($J315),";"),CONCATENATE(";",EscStr(CONCATENATE("NavNode_",getCategoryLevelAsString($B315))),";",EscStr(G315),";")))</f>
        <v>;"NavNode_L3D_542711";"Halbzeug";</v>
      </c>
      <c r="AA315" s="10" t="str">
        <f>IF(getCategoryLevelAsString($B315)="L0D_324785","",IF(H315="",CONCATENATE(";",EscStr(CONCATENATE("NavNode_",getCategoryLevelAsString($B315))),";",EscStr($J315),";"),CONCATENATE(";",EscStr(CONCATENATE("NavNode_",getCategoryLevelAsString($B315))),";",EscStr(H315),";")))</f>
        <v>;"NavNode_L3D_542711";"Produits semi-finis";</v>
      </c>
      <c r="AB315" s="10" t="str">
        <f>IF(getCategoryLevelAsString($B315)="L0D_324785","",IF(I315="",CONCATENATE(";",EscStr(CONCATENATE("NavNode_",getCategoryLevelAsString($B315))),";",EscStr($J315),";"),CONCATENATE(";",EscStr(CONCATENATE("NavNode_",getCategoryLevelAsString($B315))),";",EscStr(I315),";")))</f>
        <v>;"NavNode_L3D_542711";"Pezzi semilavorati";</v>
      </c>
      <c r="AC315" s="10" t="str">
        <f>IF(getCategoryLevelAsString($B315)="L0D_324785","",IF(J315="",CONCATENATE(";",EscStr(CONCATENATE("NavNode_",getCategoryLevelAsString($B315))),";",EscStr($J315),";"),CONCATENATE(";",EscStr(CONCATENATE("NavNode_",getCategoryLevelAsString($B315))),";",EscStr(J315),";")))</f>
        <v>;"NavNode_L3D_542711";"Semi-finished Products";</v>
      </c>
      <c r="AD315" s="10" t="str">
        <f>IF(getCategoryLevelAsString($B315)="L0D_324785","",IF(K315="",CONCATENATE(";",EscStr(CONCATENATE("NavNode_",getCategoryLevelAsString($B315))),";",EscStr($J315),";"),CONCATENATE(";",EscStr(CONCATENATE("NavNode_",getCategoryLevelAsString($B315))),";",EscStr(K315),";")))</f>
        <v>;"NavNode_L3D_542711";"Halvfabrikata";</v>
      </c>
      <c r="AE315" s="10" t="str">
        <f>IF(getCategoryLevelAsString($B315)="L0D_324785","",IF(L315="",CONCATENATE(";",EscStr(CONCATENATE("NavNode_",getCategoryLevelAsString($B315))),";",EscStr($J315),";"),CONCATENATE(";",EscStr(CONCATENATE("NavNode_",getCategoryLevelAsString($B315))),";",EscStr(L315),";")))</f>
        <v>;"NavNode_L3D_542711";"Pusgaminiai";</v>
      </c>
      <c r="AF315" s="10" t="str">
        <f>IF(getCategoryLevelAsString($B315)="L0D_324785","",IF(M315="",CONCATENATE(";",EscStr(CONCATENATE("NavNode_",getCategoryLevelAsString($B315))),";",EscStr($J315),";"),CONCATENATE(";",EscStr(CONCATENATE("NavNode_",getCategoryLevelAsString($B315))),";",EscStr(M315),";")))</f>
        <v>;"NavNode_L3D_542711";"Halvfabrikater";</v>
      </c>
      <c r="AG315" s="10" t="str">
        <f>IF(getCategoryLevelAsString($B315)="L0D_324785","",IF(N315="",CONCATENATE(";",EscStr(CONCATENATE("NavNode_",getCategoryLevelAsString($B315))),";",EscStr($J315),";"),CONCATENATE(";",EscStr(CONCATENATE("NavNode_",getCategoryLevelAsString($B315))),";",EscStr(N315),";")))</f>
        <v>;"NavNode_L3D_542711";"Halvfärdiga produkter";</v>
      </c>
      <c r="AH315" s="10" t="str">
        <f>IF(getCategoryLevelAsString($B315)="L0D_324785","",IF(O315="",CONCATENATE(";",EscStr(CONCATENATE("NavNode_",getCategoryLevelAsString($B315))),";",EscStr($J315),";"),CONCATENATE(";",EscStr(CONCATENATE("NavNode_",getCategoryLevelAsString($B315))),";",EscStr(O315),";")))</f>
        <v>;"NavNode_L3D_542711";"Pooltooted";</v>
      </c>
      <c r="AI315" s="10" t="str">
        <f>IF(getCategoryLevelAsString($B315)="L0D_324785","",IF(P315="",CONCATENATE(";",EscStr(CONCATENATE("NavNode_",getCategoryLevelAsString($B315))),";",EscStr($J315),";"),CONCATENATE(";",EscStr(CONCATENATE("NavNode_",getCategoryLevelAsString($B315))),";",EscStr(P315),";")))</f>
        <v>;"NavNode_L3D_542711";"Osavalmisteet";</v>
      </c>
      <c r="AJ315" s="10" t="str">
        <f>IF(getCategoryLevelAsString($B315)="L0D_324785","",IF(Q315="",CONCATENATE(";",EscStr(CONCATENATE("NavNode_",getCategoryLevelAsString($B315))),";",EscStr($J315),";"),CONCATENATE(";",EscStr(CONCATENATE("NavNode_",getCategoryLevelAsString($B315))),";",EscStr(Q315),";")))</f>
        <v>;"NavNode_L3D_542711";"Pusfabrikāti";</v>
      </c>
      <c r="AK315" s="10" t="str">
        <f>IF(getCategoryLevelAsString($B315)="L0D_324785","",IF(R315="",CONCATENATE(";",EscStr(CONCATENATE("NavNode_",getCategoryLevelAsString($B315))),";",EscStr($J315),";"),CONCATENATE(";",EscStr(CONCATENATE("NavNode_",getCategoryLevelAsString($B315))),";",EscStr(R315),";")))</f>
        <v>;"NavNode_L3D_542711";"Halffabrikaten";</v>
      </c>
      <c r="AL315" s="10" t="str">
        <f>IF(getCategoryLevelAsString($B315)="L0D_324785","",IF(S315="",CONCATENATE(";",EscStr(CONCATENATE("NavNode_",getCategoryLevelAsString($B315))),";",EscStr($J315),";"),CONCATENATE(";",EscStr(CONCATENATE("NavNode_",getCategoryLevelAsString($B315))),";",EscStr(S315),";")))</f>
        <v>;"NavNode_L3D_542711";"Półfabrykaty";</v>
      </c>
      <c r="AM315" s="10" t="str">
        <f>IF(getCategoryLevelAsString($B315)="L0D_324785","",IF(T315="",CONCATENATE(";",EscStr(CONCATENATE("NavNode_",getCategoryLevelAsString($B315))),";",EscStr($J315),";"),CONCATENATE(";",EscStr(CONCATENATE("NavNode_",getCategoryLevelAsString($B315))),";",EscStr(T315),";")))</f>
        <v>;"NavNode_L3D_542711";"Полуфабрикаты";</v>
      </c>
      <c r="AN315" s="10" t="str">
        <f>IF(getCategoryLevelAsString($B315)="L0D_324785","",IF(U315="",CONCATENATE(";",EscStr(CONCATENATE("NavNode_",getCategoryLevelAsString($B315))),";",EscStr($J315),";"),CONCATENATE(";",EscStr(CONCATENATE("NavNode_",getCategoryLevelAsString($B315))),";",EscStr(U315),";")))</f>
        <v>;"NavNode_L3D_542711";"Polotovary";</v>
      </c>
      <c r="AO315" s="10" t="str">
        <f>IF(getCategoryLevelAsString($B315)="L0D_324785","",IF(V315="",CONCATENATE(";",EscStr(CONCATENATE("NavNode_",getCategoryLevelAsString($B315))),";",EscStr($J315),";"),CONCATENATE(";",EscStr(CONCATENATE("NavNode_",getCategoryLevelAsString($B315))),";",EscStr(V315),";")))</f>
        <v>;"NavNode_L3D_542711";"Produse semi-finite";</v>
      </c>
      <c r="AP315" s="10" t="str">
        <f>IF(getCategoryLevelAsString($B315)="L0D_324785","",IF(W315="",CONCATENATE(";",EscStr(CONCATENATE("NavNode_",getCategoryLevelAsString($B315))),";",EscStr($J315),";"),CONCATENATE(";",EscStr(CONCATENATE("NavNode_",getCategoryLevelAsString($B315))),";",EscStr(W315),";")))</f>
        <v>;"NavNode_L3D_542711";"Félkész áru";</v>
      </c>
      <c r="AQ315" s="10" t="str">
        <f>IF(getCategoryLevelAsString($B315)="L0D_324785","",IF(X315="",CONCATENATE(";",EscStr(CONCATENATE("NavNode_",getCategoryLevelAsString($B315))),";",EscStr($J315),";"),CONCATENATE(";",EscStr(CONCATENATE("NavNode_",getCategoryLevelAsString($B315))),";",EscStr(X315),";")))</f>
        <v>;"NavNode_L3D_542711";"Polotovary";</v>
      </c>
      <c r="AR315" s="8" t="str">
        <f>IF(OR($A315&lt;&gt;"", $G315=""),"",CONCATENATE(";",EscStr(CONCATENATE("NavEntry_",getCategoryLevelAsString($B315))),";",EscStr(CONCATENATE($J315," Navigation Entry")),";",EscStr(CONCATENATE("cat-",getCategoryLevelAsString($B315))),";",EscStr(CONCATENATE("NavNode_",getCategoryLevelAsString($B315))),";"))</f>
        <v>;"NavEntry_L3D_542711";"Semi-finished Products Navigation Entry";"cat-L3D_542711";"NavNode_L3D_542711";</v>
      </c>
    </row>
    <row r="316" spans="1:44" s="17" customFormat="1" ht="14.25" x14ac:dyDescent="0.2">
      <c r="A316" s="24">
        <v>12</v>
      </c>
      <c r="B316" s="13" t="s">
        <v>12410</v>
      </c>
      <c r="C316" s="14"/>
      <c r="E316" s="13"/>
      <c r="F316" s="13"/>
      <c r="G316" s="13" t="s">
        <v>13533</v>
      </c>
      <c r="H316" s="13" t="s">
        <v>13533</v>
      </c>
      <c r="I316" s="13" t="s">
        <v>13533</v>
      </c>
      <c r="J316" s="13" t="s">
        <v>12410</v>
      </c>
      <c r="K316" s="13" t="s">
        <v>13533</v>
      </c>
      <c r="L316" s="13" t="s">
        <v>13533</v>
      </c>
      <c r="M316" s="13" t="s">
        <v>13533</v>
      </c>
      <c r="N316" s="13" t="s">
        <v>13533</v>
      </c>
      <c r="O316" s="13" t="s">
        <v>13533</v>
      </c>
      <c r="P316" s="13" t="s">
        <v>13533</v>
      </c>
      <c r="Q316" s="13" t="s">
        <v>13533</v>
      </c>
      <c r="R316" s="13" t="s">
        <v>13533</v>
      </c>
      <c r="S316" s="13" t="s">
        <v>13533</v>
      </c>
      <c r="T316" s="13" t="s">
        <v>13533</v>
      </c>
      <c r="U316" s="13" t="s">
        <v>13533</v>
      </c>
      <c r="V316" s="13" t="s">
        <v>13533</v>
      </c>
      <c r="W316" s="13" t="s">
        <v>13533</v>
      </c>
      <c r="X316" s="13" t="s">
        <v>13533</v>
      </c>
      <c r="Y316" s="15"/>
      <c r="Z316" s="15"/>
      <c r="AA316" s="15"/>
      <c r="AB316" s="15"/>
      <c r="AC316" s="15"/>
      <c r="AD316" s="15"/>
      <c r="AE316" s="15"/>
      <c r="AF316" s="15"/>
      <c r="AG316" s="15"/>
      <c r="AH316" s="15"/>
      <c r="AI316" s="15"/>
      <c r="AJ316" s="15"/>
      <c r="AK316" s="15"/>
      <c r="AL316" s="15"/>
      <c r="AM316" s="15"/>
      <c r="AN316" s="15"/>
      <c r="AO316" s="15"/>
      <c r="AP316" s="15"/>
      <c r="AQ316" s="15"/>
      <c r="AR316" s="16"/>
    </row>
    <row r="317" spans="1:44" ht="15" x14ac:dyDescent="0.25">
      <c r="A317" s="25"/>
      <c r="B317" s="5"/>
      <c r="C317" s="5" t="s">
        <v>586</v>
      </c>
      <c r="D317" s="5"/>
      <c r="E317" s="5"/>
      <c r="F317" s="5"/>
      <c r="G317" s="5" t="s">
        <v>1017</v>
      </c>
      <c r="H317" s="5" t="s">
        <v>779</v>
      </c>
      <c r="I317" s="5" t="s">
        <v>645</v>
      </c>
      <c r="J317" s="5" t="s">
        <v>880</v>
      </c>
      <c r="K317" s="5" t="s">
        <v>1280</v>
      </c>
      <c r="L317" s="5" t="s">
        <v>1647</v>
      </c>
      <c r="M317" s="5" t="s">
        <v>1848</v>
      </c>
      <c r="N317" s="5" t="s">
        <v>2066</v>
      </c>
      <c r="O317" s="5" t="s">
        <v>4448</v>
      </c>
      <c r="P317" s="5" t="s">
        <v>4449</v>
      </c>
      <c r="Q317" s="5" t="s">
        <v>4450</v>
      </c>
      <c r="R317" s="5" t="s">
        <v>4451</v>
      </c>
      <c r="S317" s="5" t="s">
        <v>4452</v>
      </c>
      <c r="T317" s="5" t="s">
        <v>4453</v>
      </c>
      <c r="U317" s="5" t="s">
        <v>4454</v>
      </c>
      <c r="V317" s="5" t="s">
        <v>4455</v>
      </c>
      <c r="W317" s="5" t="s">
        <v>4456</v>
      </c>
      <c r="X317" s="5" t="s">
        <v>4454</v>
      </c>
      <c r="Y317" s="10" t="str">
        <f>IF(OR($A317&lt;&gt;"", $G317=""),"",CONCATENATE(";",EscStr(CONCATENATE("NavNode_",getCategoryLevelAsString($B317))),";",EscStr($J317),";",IF($B317&lt;&gt;"","""MainNavNode""",EscStr(CONCATENATE("NavNode_",getSuperCategory($B317, getCategoryLevelAsNumber($B317))))),";"))</f>
        <v>;"NavNode_L3D_542715";"Cables &amp; Power Supplies";"NavNode_L2D_542709";</v>
      </c>
      <c r="Z317" s="10" t="str">
        <f>IF(getCategoryLevelAsString($B317)="L0D_324785","",IF(G317="",CONCATENATE(";",EscStr(CONCATENATE("NavNode_",getCategoryLevelAsString($B317))),";",EscStr($J317),";"),CONCATENATE(";",EscStr(CONCATENATE("NavNode_",getCategoryLevelAsString($B317))),";",EscStr(G317),";")))</f>
        <v>;"NavNode_L3D_542715";"Kabel und Stromversorgung";</v>
      </c>
      <c r="AA317" s="10" t="str">
        <f>IF(getCategoryLevelAsString($B317)="L0D_324785","",IF(H317="",CONCATENATE(";",EscStr(CONCATENATE("NavNode_",getCategoryLevelAsString($B317))),";",EscStr($J317),";"),CONCATENATE(";",EscStr(CONCATENATE("NavNode_",getCategoryLevelAsString($B317))),";",EscStr(H317),";")))</f>
        <v>;"NavNode_L3D_542715";"Alimentations et câbles";</v>
      </c>
      <c r="AB317" s="10" t="str">
        <f>IF(getCategoryLevelAsString($B317)="L0D_324785","",IF(I317="",CONCATENATE(";",EscStr(CONCATENATE("NavNode_",getCategoryLevelAsString($B317))),";",EscStr($J317),";"),CONCATENATE(";",EscStr(CONCATENATE("NavNode_",getCategoryLevelAsString($B317))),";",EscStr(I317),";")))</f>
        <v>;"NavNode_L3D_542715";"Cavi e alimentatori";</v>
      </c>
      <c r="AC317" s="10" t="str">
        <f>IF(getCategoryLevelAsString($B317)="L0D_324785","",IF(J317="",CONCATENATE(";",EscStr(CONCATENATE("NavNode_",getCategoryLevelAsString($B317))),";",EscStr($J317),";"),CONCATENATE(";",EscStr(CONCATENATE("NavNode_",getCategoryLevelAsString($B317))),";",EscStr(J317),";")))</f>
        <v>;"NavNode_L3D_542715";"Cables &amp; Power Supplies";</v>
      </c>
      <c r="AD317" s="10" t="str">
        <f>IF(getCategoryLevelAsString($B317)="L0D_324785","",IF(K317="",CONCATENATE(";",EscStr(CONCATENATE("NavNode_",getCategoryLevelAsString($B317))),";",EscStr($J317),";"),CONCATENATE(";",EscStr(CONCATENATE("NavNode_",getCategoryLevelAsString($B317))),";",EscStr(K317),";")))</f>
        <v>;"NavNode_L3D_542715";"UPS";</v>
      </c>
      <c r="AE317" s="10" t="str">
        <f>IF(getCategoryLevelAsString($B317)="L0D_324785","",IF(L317="",CONCATENATE(";",EscStr(CONCATENATE("NavNode_",getCategoryLevelAsString($B317))),";",EscStr($J317),";"),CONCATENATE(";",EscStr(CONCATENATE("NavNode_",getCategoryLevelAsString($B317))),";",EscStr(L317),";")))</f>
        <v>;"NavNode_L3D_542715";"Kabeliai ir maitinimo šaltiniai";</v>
      </c>
      <c r="AF317" s="10" t="str">
        <f>IF(getCategoryLevelAsString($B317)="L0D_324785","",IF(M317="",CONCATENATE(";",EscStr(CONCATENATE("NavNode_",getCategoryLevelAsString($B317))),";",EscStr($J317),";"),CONCATENATE(";",EscStr(CONCATENATE("NavNode_",getCategoryLevelAsString($B317))),";",EscStr(M317),";")))</f>
        <v>;"NavNode_L3D_542715";"Kabler og strømforsyning";</v>
      </c>
      <c r="AG317" s="10" t="str">
        <f>IF(getCategoryLevelAsString($B317)="L0D_324785","",IF(N317="",CONCATENATE(";",EscStr(CONCATENATE("NavNode_",getCategoryLevelAsString($B317))),";",EscStr($J317),";"),CONCATENATE(";",EscStr(CONCATENATE("NavNode_",getCategoryLevelAsString($B317))),";",EscStr(N317),";")))</f>
        <v>;"NavNode_L3D_542715";"Kablar och strömförsörjning";</v>
      </c>
      <c r="AH317" s="10" t="str">
        <f>IF(getCategoryLevelAsString($B317)="L0D_324785","",IF(O317="",CONCATENATE(";",EscStr(CONCATENATE("NavNode_",getCategoryLevelAsString($B317))),";",EscStr($J317),";"),CONCATENATE(";",EscStr(CONCATENATE("NavNode_",getCategoryLevelAsString($B317))),";",EscStr(O317),";")))</f>
        <v>;"NavNode_L3D_542715";"Kaablid / Toiteplokid";</v>
      </c>
      <c r="AI317" s="10" t="str">
        <f>IF(getCategoryLevelAsString($B317)="L0D_324785","",IF(P317="",CONCATENATE(";",EscStr(CONCATENATE("NavNode_",getCategoryLevelAsString($B317))),";",EscStr($J317),";"),CONCATENATE(";",EscStr(CONCATENATE("NavNode_",getCategoryLevelAsString($B317))),";",EscStr(P317),";")))</f>
        <v>;"NavNode_L3D_542715";"Johdot ja virtalähteet";</v>
      </c>
      <c r="AJ317" s="10" t="str">
        <f>IF(getCategoryLevelAsString($B317)="L0D_324785","",IF(Q317="",CONCATENATE(";",EscStr(CONCATENATE("NavNode_",getCategoryLevelAsString($B317))),";",EscStr($J317),";"),CONCATENATE(";",EscStr(CONCATENATE("NavNode_",getCategoryLevelAsString($B317))),";",EscStr(Q317),";")))</f>
        <v>;"NavNode_L3D_542715";"Kabeļi un barošanas avoti";</v>
      </c>
      <c r="AK317" s="10" t="str">
        <f>IF(getCategoryLevelAsString($B317)="L0D_324785","",IF(R317="",CONCATENATE(";",EscStr(CONCATENATE("NavNode_",getCategoryLevelAsString($B317))),";",EscStr($J317),";"),CONCATENATE(";",EscStr(CONCATENATE("NavNode_",getCategoryLevelAsString($B317))),";",EscStr(R317),";")))</f>
        <v>;"NavNode_L3D_542715";"Kabels (geassembleerd) &amp; Voedingen";</v>
      </c>
      <c r="AL317" s="10" t="str">
        <f>IF(getCategoryLevelAsString($B317)="L0D_324785","",IF(S317="",CONCATENATE(";",EscStr(CONCATENATE("NavNode_",getCategoryLevelAsString($B317))),";",EscStr($J317),";"),CONCATENATE(";",EscStr(CONCATENATE("NavNode_",getCategoryLevelAsString($B317))),";",EscStr(S317),";")))</f>
        <v>;"NavNode_L3D_542715";"Kable &amp; Zasilacze";</v>
      </c>
      <c r="AM317" s="10" t="str">
        <f>IF(getCategoryLevelAsString($B317)="L0D_324785","",IF(T317="",CONCATENATE(";",EscStr(CONCATENATE("NavNode_",getCategoryLevelAsString($B317))),";",EscStr($J317),";"),CONCATENATE(";",EscStr(CONCATENATE("NavNode_",getCategoryLevelAsString($B317))),";",EscStr(T317),";")))</f>
        <v>;"NavNode_L3D_542715";"Кабели и блоки питания";</v>
      </c>
      <c r="AN317" s="10" t="str">
        <f>IF(getCategoryLevelAsString($B317)="L0D_324785","",IF(U317="",CONCATENATE(";",EscStr(CONCATENATE("NavNode_",getCategoryLevelAsString($B317))),";",EscStr($J317),";"),CONCATENATE(";",EscStr(CONCATENATE("NavNode_",getCategoryLevelAsString($B317))),";",EscStr(U317),";")))</f>
        <v>;"NavNode_L3D_542715";"Kabely a napájecí zdroje";</v>
      </c>
      <c r="AO317" s="10" t="str">
        <f>IF(getCategoryLevelAsString($B317)="L0D_324785","",IF(V317="",CONCATENATE(";",EscStr(CONCATENATE("NavNode_",getCategoryLevelAsString($B317))),";",EscStr($J317),";"),CONCATENATE(";",EscStr(CONCATENATE("NavNode_",getCategoryLevelAsString($B317))),";",EscStr(V317),";")))</f>
        <v>;"NavNode_L3D_542715";"Cablu şi alimentatoare de curent";</v>
      </c>
      <c r="AP317" s="10" t="str">
        <f>IF(getCategoryLevelAsString($B317)="L0D_324785","",IF(W317="",CONCATENATE(";",EscStr(CONCATENATE("NavNode_",getCategoryLevelAsString($B317))),";",EscStr($J317),";"),CONCATENATE(";",EscStr(CONCATENATE("NavNode_",getCategoryLevelAsString($B317))),";",EscStr(W317),";")))</f>
        <v>;"NavNode_L3D_542715";"Kábel és tápellátás";</v>
      </c>
      <c r="AQ317" s="10" t="str">
        <f>IF(getCategoryLevelAsString($B317)="L0D_324785","",IF(X317="",CONCATENATE(";",EscStr(CONCATENATE("NavNode_",getCategoryLevelAsString($B317))),";",EscStr($J317),";"),CONCATENATE(";",EscStr(CONCATENATE("NavNode_",getCategoryLevelAsString($B317))),";",EscStr(X317),";")))</f>
        <v>;"NavNode_L3D_542715";"Kabely a napájecí zdroje";</v>
      </c>
      <c r="AR317" s="8" t="str">
        <f>IF(OR($A317&lt;&gt;"", $G317=""),"",CONCATENATE(";",EscStr(CONCATENATE("NavEntry_",getCategoryLevelAsString($B317))),";",EscStr(CONCATENATE($J317," Navigation Entry")),";",EscStr(CONCATENATE("cat-",getCategoryLevelAsString($B317))),";",EscStr(CONCATENATE("NavNode_",getCategoryLevelAsString($B317))),";"))</f>
        <v>;"NavEntry_L3D_542715";"Cables &amp; Power Supplies Navigation Entry";"cat-L3D_542715";"NavNode_L3D_542715";</v>
      </c>
    </row>
    <row r="318" spans="1:44" ht="15" x14ac:dyDescent="0.25">
      <c r="A318" s="25"/>
      <c r="B318" s="5"/>
      <c r="C318" s="5"/>
      <c r="D318" s="5" t="s">
        <v>587</v>
      </c>
      <c r="E318" s="5"/>
      <c r="F318" s="5"/>
      <c r="G318" s="5" t="s">
        <v>1018</v>
      </c>
      <c r="H318" s="5" t="s">
        <v>780</v>
      </c>
      <c r="I318" s="5" t="s">
        <v>646</v>
      </c>
      <c r="J318" s="5" t="s">
        <v>881</v>
      </c>
      <c r="K318" s="5" t="s">
        <v>1411</v>
      </c>
      <c r="L318" s="5" t="s">
        <v>1648</v>
      </c>
      <c r="M318" s="5" t="s">
        <v>1849</v>
      </c>
      <c r="N318" s="5" t="s">
        <v>2067</v>
      </c>
      <c r="O318" s="5" t="s">
        <v>4457</v>
      </c>
      <c r="P318" s="5" t="s">
        <v>4458</v>
      </c>
      <c r="Q318" s="5" t="s">
        <v>4459</v>
      </c>
      <c r="R318" s="5" t="s">
        <v>4460</v>
      </c>
      <c r="S318" s="5" t="s">
        <v>4461</v>
      </c>
      <c r="T318" s="5" t="s">
        <v>4462</v>
      </c>
      <c r="U318" s="5" t="s">
        <v>4463</v>
      </c>
      <c r="V318" s="5" t="s">
        <v>4464</v>
      </c>
      <c r="W318" s="5" t="s">
        <v>4465</v>
      </c>
      <c r="X318" s="5" t="s">
        <v>4463</v>
      </c>
      <c r="Y318" s="10" t="str">
        <f>IF(OR($A318&lt;&gt;"", $G318=""),"",CONCATENATE(";",EscStr(CONCATENATE("NavNode_",getCategoryLevelAsString($B318))),";",EscStr($J318),";",IF($B318&lt;&gt;"","""MainNavNode""",EscStr(CONCATENATE("NavNode_",getSuperCategory($B318, getCategoryLevelAsNumber($B318))))),";"))</f>
        <v>;"NavNode_L3D_542717";"Computer cables / Power cables";"NavNode_L2D_542709";</v>
      </c>
      <c r="Z318" s="10" t="str">
        <f>IF(getCategoryLevelAsString($B318)="L0D_324785","",IF(G318="",CONCATENATE(";",EscStr(CONCATENATE("NavNode_",getCategoryLevelAsString($B318))),";",EscStr($J318),";"),CONCATENATE(";",EscStr(CONCATENATE("NavNode_",getCategoryLevelAsString($B318))),";",EscStr(G318),";")))</f>
        <v>;"NavNode_L3D_542717";"Computerkabel / Stromversorgungskabel";</v>
      </c>
      <c r="AA318" s="10" t="str">
        <f>IF(getCategoryLevelAsString($B318)="L0D_324785","",IF(H318="",CONCATENATE(";",EscStr(CONCATENATE("NavNode_",getCategoryLevelAsString($B318))),";",EscStr($J318),";"),CONCATENATE(";",EscStr(CONCATENATE("NavNode_",getCategoryLevelAsString($B318))),";",EscStr(H318),";")))</f>
        <v>;"NavNode_L3D_542717";"Câbles d'ordinateur / Câbles d'alimentation";</v>
      </c>
      <c r="AB318" s="10" t="str">
        <f>IF(getCategoryLevelAsString($B318)="L0D_324785","",IF(I318="",CONCATENATE(";",EscStr(CONCATENATE("NavNode_",getCategoryLevelAsString($B318))),";",EscStr($J318),";"),CONCATENATE(";",EscStr(CONCATENATE("NavNode_",getCategoryLevelAsString($B318))),";",EscStr(I318),";")))</f>
        <v>;"NavNode_L3D_542717";"Cavi / alimentatori computer";</v>
      </c>
      <c r="AC318" s="10" t="str">
        <f>IF(getCategoryLevelAsString($B318)="L0D_324785","",IF(J318="",CONCATENATE(";",EscStr(CONCATENATE("NavNode_",getCategoryLevelAsString($B318))),";",EscStr($J318),";"),CONCATENATE(";",EscStr(CONCATENATE("NavNode_",getCategoryLevelAsString($B318))),";",EscStr(J318),";")))</f>
        <v>;"NavNode_L3D_542717";"Computer cables / Power cables";</v>
      </c>
      <c r="AD318" s="10" t="str">
        <f>IF(getCategoryLevelAsString($B318)="L0D_324785","",IF(K318="",CONCATENATE(";",EscStr(CONCATENATE("NavNode_",getCategoryLevelAsString($B318))),";",EscStr($J318),";"),CONCATENATE(";",EscStr(CONCATENATE("NavNode_",getCategoryLevelAsString($B318))),";",EscStr(K318),";")))</f>
        <v>;"NavNode_L3D_542717";"Computer-kabler/strømkabler";</v>
      </c>
      <c r="AE318" s="10" t="str">
        <f>IF(getCategoryLevelAsString($B318)="L0D_324785","",IF(L318="",CONCATENATE(";",EscStr(CONCATENATE("NavNode_",getCategoryLevelAsString($B318))),";",EscStr($J318),";"),CONCATENATE(";",EscStr(CONCATENATE("NavNode_",getCategoryLevelAsString($B318))),";",EscStr(L318),";")))</f>
        <v>;"NavNode_L3D_542717";"Kompiuterių kabeliai / maitinimo kabeliai";</v>
      </c>
      <c r="AF318" s="10" t="str">
        <f>IF(getCategoryLevelAsString($B318)="L0D_324785","",IF(M318="",CONCATENATE(";",EscStr(CONCATENATE("NavNode_",getCategoryLevelAsString($B318))),";",EscStr($J318),";"),CONCATENATE(";",EscStr(CONCATENATE("NavNode_",getCategoryLevelAsString($B318))),";",EscStr(M318),";")))</f>
        <v>;"NavNode_L3D_542717";"Datakabler/strømkabler";</v>
      </c>
      <c r="AG318" s="10" t="str">
        <f>IF(getCategoryLevelAsString($B318)="L0D_324785","",IF(N318="",CONCATENATE(";",EscStr(CONCATENATE("NavNode_",getCategoryLevelAsString($B318))),";",EscStr($J318),";"),CONCATENATE(";",EscStr(CONCATENATE("NavNode_",getCategoryLevelAsString($B318))),";",EscStr(N318),";")))</f>
        <v>;"NavNode_L3D_542717";"Datorkablar/Strömkablar";</v>
      </c>
      <c r="AH318" s="10" t="str">
        <f>IF(getCategoryLevelAsString($B318)="L0D_324785","",IF(O318="",CONCATENATE(";",EscStr(CONCATENATE("NavNode_",getCategoryLevelAsString($B318))),";",EscStr($J318),";"),CONCATENATE(";",EscStr(CONCATENATE("NavNode_",getCategoryLevelAsString($B318))),";",EscStr(O318),";")))</f>
        <v>;"NavNode_L3D_542717";"Arvutikaablid / Toitekaablid";</v>
      </c>
      <c r="AI318" s="10" t="str">
        <f>IF(getCategoryLevelAsString($B318)="L0D_324785","",IF(P318="",CONCATENATE(";",EscStr(CONCATENATE("NavNode_",getCategoryLevelAsString($B318))),";",EscStr($J318),";"),CONCATENATE(";",EscStr(CONCATENATE("NavNode_",getCategoryLevelAsString($B318))),";",EscStr(P318),";")))</f>
        <v>;"NavNode_L3D_542717";"PC-verkko ja laitejohdot";</v>
      </c>
      <c r="AJ318" s="10" t="str">
        <f>IF(getCategoryLevelAsString($B318)="L0D_324785","",IF(Q318="",CONCATENATE(";",EscStr(CONCATENATE("NavNode_",getCategoryLevelAsString($B318))),";",EscStr($J318),";"),CONCATENATE(";",EscStr(CONCATENATE("NavNode_",getCategoryLevelAsString($B318))),";",EscStr(Q318),";")))</f>
        <v>;"NavNode_L3D_542717";"Datoru kabeļi / Barošanas kabeļi";</v>
      </c>
      <c r="AK318" s="10" t="str">
        <f>IF(getCategoryLevelAsString($B318)="L0D_324785","",IF(R318="",CONCATENATE(";",EscStr(CONCATENATE("NavNode_",getCategoryLevelAsString($B318))),";",EscStr($J318),";"),CONCATENATE(";",EscStr(CONCATENATE("NavNode_",getCategoryLevelAsString($B318))),";",EscStr(R318),";")))</f>
        <v>;"NavNode_L3D_542717";"Computer kabels / Netsnoeren";</v>
      </c>
      <c r="AL318" s="10" t="str">
        <f>IF(getCategoryLevelAsString($B318)="L0D_324785","",IF(S318="",CONCATENATE(";",EscStr(CONCATENATE("NavNode_",getCategoryLevelAsString($B318))),";",EscStr($J318),";"),CONCATENATE(";",EscStr(CONCATENATE("NavNode_",getCategoryLevelAsString($B318))),";",EscStr(S318),";")))</f>
        <v>;"NavNode_L3D_542717";"Kable komputerowe / Kable zasilające";</v>
      </c>
      <c r="AM318" s="10" t="str">
        <f>IF(getCategoryLevelAsString($B318)="L0D_324785","",IF(T318="",CONCATENATE(";",EscStr(CONCATENATE("NavNode_",getCategoryLevelAsString($B318))),";",EscStr($J318),";"),CONCATENATE(";",EscStr(CONCATENATE("NavNode_",getCategoryLevelAsString($B318))),";",EscStr(T318),";")))</f>
        <v>;"NavNode_L3D_542717";"Компьютерные кабели / Силовые кабели";</v>
      </c>
      <c r="AN318" s="10" t="str">
        <f>IF(getCategoryLevelAsString($B318)="L0D_324785","",IF(U318="",CONCATENATE(";",EscStr(CONCATENATE("NavNode_",getCategoryLevelAsString($B318))),";",EscStr($J318),";"),CONCATENATE(";",EscStr(CONCATENATE("NavNode_",getCategoryLevelAsString($B318))),";",EscStr(U318),";")))</f>
        <v>;"NavNode_L3D_542717";"Počítačové kabely / Napájecí kabely";</v>
      </c>
      <c r="AO318" s="10" t="str">
        <f>IF(getCategoryLevelAsString($B318)="L0D_324785","",IF(V318="",CONCATENATE(";",EscStr(CONCATENATE("NavNode_",getCategoryLevelAsString($B318))),";",EscStr($J318),";"),CONCATENATE(";",EscStr(CONCATENATE("NavNode_",getCategoryLevelAsString($B318))),";",EscStr(V318),";")))</f>
        <v>;"NavNode_L3D_542717";"Cablu pentru calculator / cablu de alimentare";</v>
      </c>
      <c r="AP318" s="10" t="str">
        <f>IF(getCategoryLevelAsString($B318)="L0D_324785","",IF(W318="",CONCATENATE(";",EscStr(CONCATENATE("NavNode_",getCategoryLevelAsString($B318))),";",EscStr($J318),";"),CONCATENATE(";",EscStr(CONCATENATE("NavNode_",getCategoryLevelAsString($B318))),";",EscStr(W318),";")))</f>
        <v>;"NavNode_L3D_542717";"Számítógép kábel / hálózati tápkábel";</v>
      </c>
      <c r="AQ318" s="10" t="str">
        <f>IF(getCategoryLevelAsString($B318)="L0D_324785","",IF(X318="",CONCATENATE(";",EscStr(CONCATENATE("NavNode_",getCategoryLevelAsString($B318))),";",EscStr($J318),";"),CONCATENATE(";",EscStr(CONCATENATE("NavNode_",getCategoryLevelAsString($B318))),";",EscStr(X318),";")))</f>
        <v>;"NavNode_L3D_542717";"Počítačové kabely / Napájecí kabely";</v>
      </c>
      <c r="AR318" s="8" t="str">
        <f>IF(OR($A318&lt;&gt;"", $G318=""),"",CONCATENATE(";",EscStr(CONCATENATE("NavEntry_",getCategoryLevelAsString($B318))),";",EscStr(CONCATENATE($J318," Navigation Entry")),";",EscStr(CONCATENATE("cat-",getCategoryLevelAsString($B318))),";",EscStr(CONCATENATE("NavNode_",getCategoryLevelAsString($B318))),";"))</f>
        <v>;"NavEntry_L3D_542717";"Computer cables / Power cables Navigation Entry";"cat-L3D_542717";"NavNode_L3D_542717";</v>
      </c>
    </row>
    <row r="319" spans="1:44" ht="15" x14ac:dyDescent="0.25">
      <c r="A319" s="25"/>
      <c r="B319" s="5"/>
      <c r="C319" s="5"/>
      <c r="D319" s="5" t="s">
        <v>588</v>
      </c>
      <c r="E319" s="5"/>
      <c r="F319" s="5"/>
      <c r="G319" s="5" t="s">
        <v>1019</v>
      </c>
      <c r="H319" s="5" t="s">
        <v>781</v>
      </c>
      <c r="I319" s="5" t="s">
        <v>647</v>
      </c>
      <c r="J319" s="5" t="s">
        <v>882</v>
      </c>
      <c r="K319" s="5" t="s">
        <v>1412</v>
      </c>
      <c r="L319" s="5" t="s">
        <v>1649</v>
      </c>
      <c r="M319" s="5" t="s">
        <v>1850</v>
      </c>
      <c r="N319" s="5" t="s">
        <v>2068</v>
      </c>
      <c r="O319" s="5" t="s">
        <v>4466</v>
      </c>
      <c r="P319" s="5" t="s">
        <v>4467</v>
      </c>
      <c r="Q319" s="5" t="s">
        <v>4468</v>
      </c>
      <c r="R319" s="5" t="s">
        <v>4469</v>
      </c>
      <c r="S319" s="5" t="s">
        <v>4470</v>
      </c>
      <c r="T319" s="5" t="s">
        <v>4471</v>
      </c>
      <c r="U319" s="5" t="s">
        <v>4472</v>
      </c>
      <c r="V319" s="5" t="s">
        <v>4473</v>
      </c>
      <c r="W319" s="5" t="s">
        <v>4474</v>
      </c>
      <c r="X319" s="5" t="s">
        <v>4472</v>
      </c>
      <c r="Y319" s="10" t="str">
        <f>IF(OR($A319&lt;&gt;"", $G319=""),"",CONCATENATE(";",EscStr(CONCATENATE("NavNode_",getCategoryLevelAsString($B319))),";",EscStr($J319),";",IF($B319&lt;&gt;"","""MainNavNode""",EscStr(CONCATENATE("NavNode_",getSuperCategory($B319, getCategoryLevelAsNumber($B319))))),";"))</f>
        <v>;"NavNode_L3D_542719";"Network cables / Telephone cables";"NavNode_L2D_542709";</v>
      </c>
      <c r="Z319" s="10" t="str">
        <f>IF(getCategoryLevelAsString($B319)="L0D_324785","",IF(G319="",CONCATENATE(";",EscStr(CONCATENATE("NavNode_",getCategoryLevelAsString($B319))),";",EscStr($J319),";"),CONCATENATE(";",EscStr(CONCATENATE("NavNode_",getCategoryLevelAsString($B319))),";",EscStr(G319),";")))</f>
        <v>;"NavNode_L3D_542719";"Netzwerkkabel / Telefonkabel";</v>
      </c>
      <c r="AA319" s="10" t="str">
        <f>IF(getCategoryLevelAsString($B319)="L0D_324785","",IF(H319="",CONCATENATE(";",EscStr(CONCATENATE("NavNode_",getCategoryLevelAsString($B319))),";",EscStr($J319),";"),CONCATENATE(";",EscStr(CONCATENATE("NavNode_",getCategoryLevelAsString($B319))),";",EscStr(H319),";")))</f>
        <v>;"NavNode_L3D_542719";"Câbles réseau / Câbles téléphoniques";</v>
      </c>
      <c r="AB319" s="10" t="str">
        <f>IF(getCategoryLevelAsString($B319)="L0D_324785","",IF(I319="",CONCATENATE(";",EscStr(CONCATENATE("NavNode_",getCategoryLevelAsString($B319))),";",EscStr($J319),";"),CONCATENATE(";",EscStr(CONCATENATE("NavNode_",getCategoryLevelAsString($B319))),";",EscStr(I319),";")))</f>
        <v>;"NavNode_L3D_542719";"Cavi di rete / cavi telefonici";</v>
      </c>
      <c r="AC319" s="10" t="str">
        <f>IF(getCategoryLevelAsString($B319)="L0D_324785","",IF(J319="",CONCATENATE(";",EscStr(CONCATENATE("NavNode_",getCategoryLevelAsString($B319))),";",EscStr($J319),";"),CONCATENATE(";",EscStr(CONCATENATE("NavNode_",getCategoryLevelAsString($B319))),";",EscStr(J319),";")))</f>
        <v>;"NavNode_L3D_542719";"Network cables / Telephone cables";</v>
      </c>
      <c r="AD319" s="10" t="str">
        <f>IF(getCategoryLevelAsString($B319)="L0D_324785","",IF(K319="",CONCATENATE(";",EscStr(CONCATENATE("NavNode_",getCategoryLevelAsString($B319))),";",EscStr($J319),";"),CONCATENATE(";",EscStr(CONCATENATE("NavNode_",getCategoryLevelAsString($B319))),";",EscStr(K319),";")))</f>
        <v>;"NavNode_L3D_542719";"Netværks-kabler/telefonkabler";</v>
      </c>
      <c r="AE319" s="10" t="str">
        <f>IF(getCategoryLevelAsString($B319)="L0D_324785","",IF(L319="",CONCATENATE(";",EscStr(CONCATENATE("NavNode_",getCategoryLevelAsString($B319))),";",EscStr($J319),";"),CONCATENATE(";",EscStr(CONCATENATE("NavNode_",getCategoryLevelAsString($B319))),";",EscStr(L319),";")))</f>
        <v>;"NavNode_L3D_542719";"Tinklo kabeliai / telefoniniai kabeliai";</v>
      </c>
      <c r="AF319" s="10" t="str">
        <f>IF(getCategoryLevelAsString($B319)="L0D_324785","",IF(M319="",CONCATENATE(";",EscStr(CONCATENATE("NavNode_",getCategoryLevelAsString($B319))),";",EscStr($J319),";"),CONCATENATE(";",EscStr(CONCATENATE("NavNode_",getCategoryLevelAsString($B319))),";",EscStr(M319),";")))</f>
        <v>;"NavNode_L3D_542719";"Nettverkkabler/telefonkabler";</v>
      </c>
      <c r="AG319" s="10" t="str">
        <f>IF(getCategoryLevelAsString($B319)="L0D_324785","",IF(N319="",CONCATENATE(";",EscStr(CONCATENATE("NavNode_",getCategoryLevelAsString($B319))),";",EscStr($J319),";"),CONCATENATE(";",EscStr(CONCATENATE("NavNode_",getCategoryLevelAsString($B319))),";",EscStr(N319),";")))</f>
        <v>;"NavNode_L3D_542719";"Nätverkskablar/Telefonkablar";</v>
      </c>
      <c r="AH319" s="10" t="str">
        <f>IF(getCategoryLevelAsString($B319)="L0D_324785","",IF(O319="",CONCATENATE(";",EscStr(CONCATENATE("NavNode_",getCategoryLevelAsString($B319))),";",EscStr($J319),";"),CONCATENATE(";",EscStr(CONCATENATE("NavNode_",getCategoryLevelAsString($B319))),";",EscStr(O319),";")))</f>
        <v>;"NavNode_L3D_542719";"Arvutivõrgu kaablid / Telefonikaablid";</v>
      </c>
      <c r="AI319" s="10" t="str">
        <f>IF(getCategoryLevelAsString($B319)="L0D_324785","",IF(P319="",CONCATENATE(";",EscStr(CONCATENATE("NavNode_",getCategoryLevelAsString($B319))),";",EscStr($J319),";"),CONCATENATE(";",EscStr(CONCATENATE("NavNode_",getCategoryLevelAsString($B319))),";",EscStr(P319),";")))</f>
        <v>;"NavNode_L3D_542719";"Verkko ja puhelinjohdot";</v>
      </c>
      <c r="AJ319" s="10" t="str">
        <f>IF(getCategoryLevelAsString($B319)="L0D_324785","",IF(Q319="",CONCATENATE(";",EscStr(CONCATENATE("NavNode_",getCategoryLevelAsString($B319))),";",EscStr($J319),";"),CONCATENATE(";",EscStr(CONCATENATE("NavNode_",getCategoryLevelAsString($B319))),";",EscStr(Q319),";")))</f>
        <v>;"NavNode_L3D_542719";"Tīkla kabeļi / Telefonu kabeļi";</v>
      </c>
      <c r="AK319" s="10" t="str">
        <f>IF(getCategoryLevelAsString($B319)="L0D_324785","",IF(R319="",CONCATENATE(";",EscStr(CONCATENATE("NavNode_",getCategoryLevelAsString($B319))),";",EscStr($J319),";"),CONCATENATE(";",EscStr(CONCATENATE("NavNode_",getCategoryLevelAsString($B319))),";",EscStr(R319),";")))</f>
        <v>;"NavNode_L3D_542719";"Netwerk kabels / Telefoon kabels";</v>
      </c>
      <c r="AL319" s="10" t="str">
        <f>IF(getCategoryLevelAsString($B319)="L0D_324785","",IF(S319="",CONCATENATE(";",EscStr(CONCATENATE("NavNode_",getCategoryLevelAsString($B319))),";",EscStr($J319),";"),CONCATENATE(";",EscStr(CONCATENATE("NavNode_",getCategoryLevelAsString($B319))),";",EscStr(S319),";")))</f>
        <v>;"NavNode_L3D_542719";"Kable sieciowe / Kable telefoniczne";</v>
      </c>
      <c r="AM319" s="10" t="str">
        <f>IF(getCategoryLevelAsString($B319)="L0D_324785","",IF(T319="",CONCATENATE(";",EscStr(CONCATENATE("NavNode_",getCategoryLevelAsString($B319))),";",EscStr($J319),";"),CONCATENATE(";",EscStr(CONCATENATE("NavNode_",getCategoryLevelAsString($B319))),";",EscStr(T319),";")))</f>
        <v>;"NavNode_L3D_542719";"Сетевые кабели / Телефонные кабели";</v>
      </c>
      <c r="AN319" s="10" t="str">
        <f>IF(getCategoryLevelAsString($B319)="L0D_324785","",IF(U319="",CONCATENATE(";",EscStr(CONCATENATE("NavNode_",getCategoryLevelAsString($B319))),";",EscStr($J319),";"),CONCATENATE(";",EscStr(CONCATENATE("NavNode_",getCategoryLevelAsString($B319))),";",EscStr(U319),";")))</f>
        <v>;"NavNode_L3D_542719";"Síťový kabel / Telefonní kabel";</v>
      </c>
      <c r="AO319" s="10" t="str">
        <f>IF(getCategoryLevelAsString($B319)="L0D_324785","",IF(V319="",CONCATENATE(";",EscStr(CONCATENATE("NavNode_",getCategoryLevelAsString($B319))),";",EscStr($J319),";"),CONCATENATE(";",EscStr(CONCATENATE("NavNode_",getCategoryLevelAsString($B319))),";",EscStr(V319),";")))</f>
        <v>;"NavNode_L3D_542719";"Cablu de retea / cablu de telefon";</v>
      </c>
      <c r="AP319" s="10" t="str">
        <f>IF(getCategoryLevelAsString($B319)="L0D_324785","",IF(W319="",CONCATENATE(";",EscStr(CONCATENATE("NavNode_",getCategoryLevelAsString($B319))),";",EscStr($J319),";"),CONCATENATE(";",EscStr(CONCATENATE("NavNode_",getCategoryLevelAsString($B319))),";",EscStr(W319),";")))</f>
        <v>;"NavNode_L3D_542719";"Hálózati kábel / Telefonkábel";</v>
      </c>
      <c r="AQ319" s="10" t="str">
        <f>IF(getCategoryLevelAsString($B319)="L0D_324785","",IF(X319="",CONCATENATE(";",EscStr(CONCATENATE("NavNode_",getCategoryLevelAsString($B319))),";",EscStr($J319),";"),CONCATENATE(";",EscStr(CONCATENATE("NavNode_",getCategoryLevelAsString($B319))),";",EscStr(X319),";")))</f>
        <v>;"NavNode_L3D_542719";"Síťový kabel / Telefonní kabel";</v>
      </c>
      <c r="AR319" s="8" t="str">
        <f>IF(OR($A319&lt;&gt;"", $G319=""),"",CONCATENATE(";",EscStr(CONCATENATE("NavEntry_",getCategoryLevelAsString($B319))),";",EscStr(CONCATENATE($J319," Navigation Entry")),";",EscStr(CONCATENATE("cat-",getCategoryLevelAsString($B319))),";",EscStr(CONCATENATE("NavNode_",getCategoryLevelAsString($B319))),";"))</f>
        <v>;"NavEntry_L3D_542719";"Network cables / Telephone cables Navigation Entry";"cat-L3D_542719";"NavNode_L3D_542719";</v>
      </c>
    </row>
    <row r="320" spans="1:44" ht="15" x14ac:dyDescent="0.25">
      <c r="A320" s="25"/>
      <c r="B320" s="5"/>
      <c r="C320" s="5"/>
      <c r="D320" s="5" t="s">
        <v>589</v>
      </c>
      <c r="E320" s="5"/>
      <c r="F320" s="5"/>
      <c r="G320" s="5" t="s">
        <v>1020</v>
      </c>
      <c r="H320" s="5" t="s">
        <v>782</v>
      </c>
      <c r="I320" s="5" t="s">
        <v>648</v>
      </c>
      <c r="J320" s="5" t="s">
        <v>883</v>
      </c>
      <c r="K320" s="5" t="s">
        <v>1413</v>
      </c>
      <c r="L320" s="5" t="s">
        <v>1650</v>
      </c>
      <c r="M320" s="5" t="s">
        <v>1851</v>
      </c>
      <c r="N320" s="5" t="s">
        <v>2069</v>
      </c>
      <c r="O320" s="5" t="s">
        <v>4475</v>
      </c>
      <c r="P320" s="5" t="s">
        <v>4476</v>
      </c>
      <c r="Q320" s="5" t="s">
        <v>4477</v>
      </c>
      <c r="R320" s="5" t="s">
        <v>4478</v>
      </c>
      <c r="S320" s="5" t="s">
        <v>4479</v>
      </c>
      <c r="T320" s="5" t="s">
        <v>4480</v>
      </c>
      <c r="U320" s="5" t="s">
        <v>4481</v>
      </c>
      <c r="V320" s="5" t="s">
        <v>4482</v>
      </c>
      <c r="W320" s="5" t="s">
        <v>4483</v>
      </c>
      <c r="X320" s="5" t="s">
        <v>4481</v>
      </c>
      <c r="Y320" s="10" t="str">
        <f>IF(OR($A320&lt;&gt;"", $G320=""),"",CONCATENATE(";",EscStr(CONCATENATE("NavNode_",getCategoryLevelAsString($B320))),";",EscStr($J320),";",IF($B320&lt;&gt;"","""MainNavNode""",EscStr(CONCATENATE("NavNode_",getSuperCategory($B320, getCategoryLevelAsNumber($B320))))),";"))</f>
        <v>;"NavNode_L3D_542721";"Audio cables / Video cables";"NavNode_L2D_542709";</v>
      </c>
      <c r="Z320" s="10" t="str">
        <f>IF(getCategoryLevelAsString($B320)="L0D_324785","",IF(G320="",CONCATENATE(";",EscStr(CONCATENATE("NavNode_",getCategoryLevelAsString($B320))),";",EscStr($J320),";"),CONCATENATE(";",EscStr(CONCATENATE("NavNode_",getCategoryLevelAsString($B320))),";",EscStr(G320),";")))</f>
        <v>;"NavNode_L3D_542721";"Audiokabel / Videokabel";</v>
      </c>
      <c r="AA320" s="10" t="str">
        <f>IF(getCategoryLevelAsString($B320)="L0D_324785","",IF(H320="",CONCATENATE(";",EscStr(CONCATENATE("NavNode_",getCategoryLevelAsString($B320))),";",EscStr($J320),";"),CONCATENATE(";",EscStr(CONCATENATE("NavNode_",getCategoryLevelAsString($B320))),";",EscStr(H320),";")))</f>
        <v>;"NavNode_L3D_542721";"Câbles audio / Câbles vidéo";</v>
      </c>
      <c r="AB320" s="10" t="str">
        <f>IF(getCategoryLevelAsString($B320)="L0D_324785","",IF(I320="",CONCATENATE(";",EscStr(CONCATENATE("NavNode_",getCategoryLevelAsString($B320))),";",EscStr($J320),";"),CONCATENATE(";",EscStr(CONCATENATE("NavNode_",getCategoryLevelAsString($B320))),";",EscStr(I320),";")))</f>
        <v>;"NavNode_L3D_542721";"Cavi audio / cavi video";</v>
      </c>
      <c r="AC320" s="10" t="str">
        <f>IF(getCategoryLevelAsString($B320)="L0D_324785","",IF(J320="",CONCATENATE(";",EscStr(CONCATENATE("NavNode_",getCategoryLevelAsString($B320))),";",EscStr($J320),";"),CONCATENATE(";",EscStr(CONCATENATE("NavNode_",getCategoryLevelAsString($B320))),";",EscStr(J320),";")))</f>
        <v>;"NavNode_L3D_542721";"Audio cables / Video cables";</v>
      </c>
      <c r="AD320" s="10" t="str">
        <f>IF(getCategoryLevelAsString($B320)="L0D_324785","",IF(K320="",CONCATENATE(";",EscStr(CONCATENATE("NavNode_",getCategoryLevelAsString($B320))),";",EscStr($J320),";"),CONCATENATE(";",EscStr(CONCATENATE("NavNode_",getCategoryLevelAsString($B320))),";",EscStr(K320),";")))</f>
        <v>;"NavNode_L3D_542721";"Audio-kabler/video-kabler";</v>
      </c>
      <c r="AE320" s="10" t="str">
        <f>IF(getCategoryLevelAsString($B320)="L0D_324785","",IF(L320="",CONCATENATE(";",EscStr(CONCATENATE("NavNode_",getCategoryLevelAsString($B320))),";",EscStr($J320),";"),CONCATENATE(";",EscStr(CONCATENATE("NavNode_",getCategoryLevelAsString($B320))),";",EscStr(L320),";")))</f>
        <v>;"NavNode_L3D_542721";"Garso kabeliai / vaizdo kabeliai";</v>
      </c>
      <c r="AF320" s="10" t="str">
        <f>IF(getCategoryLevelAsString($B320)="L0D_324785","",IF(M320="",CONCATENATE(";",EscStr(CONCATENATE("NavNode_",getCategoryLevelAsString($B320))),";",EscStr($J320),";"),CONCATENATE(";",EscStr(CONCATENATE("NavNode_",getCategoryLevelAsString($B320))),";",EscStr(M320),";")))</f>
        <v>;"NavNode_L3D_542721";"Lydkabler/videokabler";</v>
      </c>
      <c r="AG320" s="10" t="str">
        <f>IF(getCategoryLevelAsString($B320)="L0D_324785","",IF(N320="",CONCATENATE(";",EscStr(CONCATENATE("NavNode_",getCategoryLevelAsString($B320))),";",EscStr($J320),";"),CONCATENATE(";",EscStr(CONCATENATE("NavNode_",getCategoryLevelAsString($B320))),";",EscStr(N320),";")))</f>
        <v>;"NavNode_L3D_542721";"Ljudkablar/Videokablar";</v>
      </c>
      <c r="AH320" s="10" t="str">
        <f>IF(getCategoryLevelAsString($B320)="L0D_324785","",IF(O320="",CONCATENATE(";",EscStr(CONCATENATE("NavNode_",getCategoryLevelAsString($B320))),";",EscStr($J320),";"),CONCATENATE(";",EscStr(CONCATENATE("NavNode_",getCategoryLevelAsString($B320))),";",EscStr(O320),";")))</f>
        <v>;"NavNode_L3D_542721";"Audiokaablid / Videokaablid";</v>
      </c>
      <c r="AI320" s="10" t="str">
        <f>IF(getCategoryLevelAsString($B320)="L0D_324785","",IF(P320="",CONCATENATE(";",EscStr(CONCATENATE("NavNode_",getCategoryLevelAsString($B320))),";",EscStr($J320),";"),CONCATENATE(";",EscStr(CONCATENATE("NavNode_",getCategoryLevelAsString($B320))),";",EscStr(P320),";")))</f>
        <v>;"NavNode_L3D_542721";"Audio/ Video välijohdot";</v>
      </c>
      <c r="AJ320" s="10" t="str">
        <f>IF(getCategoryLevelAsString($B320)="L0D_324785","",IF(Q320="",CONCATENATE(";",EscStr(CONCATENATE("NavNode_",getCategoryLevelAsString($B320))),";",EscStr($J320),";"),CONCATENATE(";",EscStr(CONCATENATE("NavNode_",getCategoryLevelAsString($B320))),";",EscStr(Q320),";")))</f>
        <v>;"NavNode_L3D_542721";"Audio kabeļi / Video kabeļi";</v>
      </c>
      <c r="AK320" s="10" t="str">
        <f>IF(getCategoryLevelAsString($B320)="L0D_324785","",IF(R320="",CONCATENATE(";",EscStr(CONCATENATE("NavNode_",getCategoryLevelAsString($B320))),";",EscStr($J320),";"),CONCATENATE(";",EscStr(CONCATENATE("NavNode_",getCategoryLevelAsString($B320))),";",EscStr(R320),";")))</f>
        <v>;"NavNode_L3D_542721";"Audio kabels / Video kabels";</v>
      </c>
      <c r="AL320" s="10" t="str">
        <f>IF(getCategoryLevelAsString($B320)="L0D_324785","",IF(S320="",CONCATENATE(";",EscStr(CONCATENATE("NavNode_",getCategoryLevelAsString($B320))),";",EscStr($J320),";"),CONCATENATE(";",EscStr(CONCATENATE("NavNode_",getCategoryLevelAsString($B320))),";",EscStr(S320),";")))</f>
        <v>;"NavNode_L3D_542721";"Kable audio / video";</v>
      </c>
      <c r="AM320" s="10" t="str">
        <f>IF(getCategoryLevelAsString($B320)="L0D_324785","",IF(T320="",CONCATENATE(";",EscStr(CONCATENATE("NavNode_",getCategoryLevelAsString($B320))),";",EscStr($J320),";"),CONCATENATE(";",EscStr(CONCATENATE("NavNode_",getCategoryLevelAsString($B320))),";",EscStr(T320),";")))</f>
        <v>;"NavNode_L3D_542721";"Аудио кабели / Видео кабели";</v>
      </c>
      <c r="AN320" s="10" t="str">
        <f>IF(getCategoryLevelAsString($B320)="L0D_324785","",IF(U320="",CONCATENATE(";",EscStr(CONCATENATE("NavNode_",getCategoryLevelAsString($B320))),";",EscStr($J320),";"),CONCATENATE(";",EscStr(CONCATENATE("NavNode_",getCategoryLevelAsString($B320))),";",EscStr(U320),";")))</f>
        <v>;"NavNode_L3D_542721";"Audio kabel / Video kabel";</v>
      </c>
      <c r="AO320" s="10" t="str">
        <f>IF(getCategoryLevelAsString($B320)="L0D_324785","",IF(V320="",CONCATENATE(";",EscStr(CONCATENATE("NavNode_",getCategoryLevelAsString($B320))),";",EscStr($J320),";"),CONCATENATE(";",EscStr(CONCATENATE("NavNode_",getCategoryLevelAsString($B320))),";",EscStr(V320),";")))</f>
        <v>;"NavNode_L3D_542721";"Cabluri audio / cabluri video";</v>
      </c>
      <c r="AP320" s="10" t="str">
        <f>IF(getCategoryLevelAsString($B320)="L0D_324785","",IF(W320="",CONCATENATE(";",EscStr(CONCATENATE("NavNode_",getCategoryLevelAsString($B320))),";",EscStr($J320),";"),CONCATENATE(";",EscStr(CONCATENATE("NavNode_",getCategoryLevelAsString($B320))),";",EscStr(W320),";")))</f>
        <v>;"NavNode_L3D_542721";"Audiókábel / Videókábel";</v>
      </c>
      <c r="AQ320" s="10" t="str">
        <f>IF(getCategoryLevelAsString($B320)="L0D_324785","",IF(X320="",CONCATENATE(";",EscStr(CONCATENATE("NavNode_",getCategoryLevelAsString($B320))),";",EscStr($J320),";"),CONCATENATE(";",EscStr(CONCATENATE("NavNode_",getCategoryLevelAsString($B320))),";",EscStr(X320),";")))</f>
        <v>;"NavNode_L3D_542721";"Audio kabel / Video kabel";</v>
      </c>
      <c r="AR320" s="8" t="str">
        <f>IF(OR($A320&lt;&gt;"", $G320=""),"",CONCATENATE(";",EscStr(CONCATENATE("NavEntry_",getCategoryLevelAsString($B320))),";",EscStr(CONCATENATE($J320," Navigation Entry")),";",EscStr(CONCATENATE("cat-",getCategoryLevelAsString($B320))),";",EscStr(CONCATENATE("NavNode_",getCategoryLevelAsString($B320))),";"))</f>
        <v>;"NavEntry_L3D_542721";"Audio cables / Video cables Navigation Entry";"cat-L3D_542721";"NavNode_L3D_542721";</v>
      </c>
    </row>
    <row r="321" spans="1:44" ht="15" x14ac:dyDescent="0.25">
      <c r="A321" s="25"/>
      <c r="B321" s="5"/>
      <c r="C321" s="5"/>
      <c r="D321" s="5" t="s">
        <v>590</v>
      </c>
      <c r="E321" s="5"/>
      <c r="F321" s="5"/>
      <c r="G321" s="5" t="s">
        <v>1195</v>
      </c>
      <c r="H321" s="5" t="s">
        <v>783</v>
      </c>
      <c r="I321" s="5" t="s">
        <v>649</v>
      </c>
      <c r="J321" s="5" t="s">
        <v>884</v>
      </c>
      <c r="K321" s="5" t="s">
        <v>1414</v>
      </c>
      <c r="L321" s="5" t="s">
        <v>1651</v>
      </c>
      <c r="M321" s="5" t="s">
        <v>1852</v>
      </c>
      <c r="N321" s="5" t="s">
        <v>2070</v>
      </c>
      <c r="O321" s="5" t="s">
        <v>4484</v>
      </c>
      <c r="P321" s="5" t="s">
        <v>4485</v>
      </c>
      <c r="Q321" s="5" t="s">
        <v>4486</v>
      </c>
      <c r="R321" s="5" t="s">
        <v>4487</v>
      </c>
      <c r="S321" s="5" t="s">
        <v>4488</v>
      </c>
      <c r="T321" s="5" t="s">
        <v>4489</v>
      </c>
      <c r="U321" s="5" t="s">
        <v>4490</v>
      </c>
      <c r="V321" s="5" t="s">
        <v>4491</v>
      </c>
      <c r="W321" s="5" t="s">
        <v>4492</v>
      </c>
      <c r="X321" s="5" t="s">
        <v>4490</v>
      </c>
      <c r="Y321" s="10" t="str">
        <f>IF(OR($A321&lt;&gt;"", $G321=""),"",CONCATENATE(";",EscStr(CONCATENATE("NavNode_",getCategoryLevelAsString($B321))),";",EscStr($J321),";",IF($B321&lt;&gt;"","""MainNavNode""",EscStr(CONCATENATE("NavNode_",getSuperCategory($B321, getCategoryLevelAsNumber($B321))))),";"))</f>
        <v>;"NavNode_L2D_542667";"Connectors / Adapters";"NavNode_Cable Assemblies / Audio / Video";</v>
      </c>
      <c r="Z321" s="10" t="str">
        <f>IF(getCategoryLevelAsString($B321)="L0D_324785","",IF(G321="",CONCATENATE(";",EscStr(CONCATENATE("NavNode_",getCategoryLevelAsString($B321))),";",EscStr($J321),";"),CONCATENATE(";",EscStr(CONCATENATE("NavNode_",getCategoryLevelAsString($B321))),";",EscStr(G321),";")))</f>
        <v>;"NavNode_L2D_542667";"Stecker / Adapter";</v>
      </c>
      <c r="AA321" s="10" t="str">
        <f>IF(getCategoryLevelAsString($B321)="L0D_324785","",IF(H321="",CONCATENATE(";",EscStr(CONCATENATE("NavNode_",getCategoryLevelAsString($B321))),";",EscStr($J321),";"),CONCATENATE(";",EscStr(CONCATENATE("NavNode_",getCategoryLevelAsString($B321))),";",EscStr(H321),";")))</f>
        <v>;"NavNode_L2D_542667";"Connecteurs / Adaptateurs";</v>
      </c>
      <c r="AB321" s="10" t="str">
        <f>IF(getCategoryLevelAsString($B321)="L0D_324785","",IF(I321="",CONCATENATE(";",EscStr(CONCATENATE("NavNode_",getCategoryLevelAsString($B321))),";",EscStr($J321),";"),CONCATENATE(";",EscStr(CONCATENATE("NavNode_",getCategoryLevelAsString($B321))),";",EscStr(I321),";")))</f>
        <v>;"NavNode_L2D_542667";"Connettori / Adattatori";</v>
      </c>
      <c r="AC321" s="10" t="str">
        <f>IF(getCategoryLevelAsString($B321)="L0D_324785","",IF(J321="",CONCATENATE(";",EscStr(CONCATENATE("NavNode_",getCategoryLevelAsString($B321))),";",EscStr($J321),";"),CONCATENATE(";",EscStr(CONCATENATE("NavNode_",getCategoryLevelAsString($B321))),";",EscStr(J321),";")))</f>
        <v>;"NavNode_L2D_542667";"Connectors / Adapters";</v>
      </c>
      <c r="AD321" s="10" t="str">
        <f>IF(getCategoryLevelAsString($B321)="L0D_324785","",IF(K321="",CONCATENATE(";",EscStr(CONCATENATE("NavNode_",getCategoryLevelAsString($B321))),";",EscStr($J321),";"),CONCATENATE(";",EscStr(CONCATENATE("NavNode_",getCategoryLevelAsString($B321))),";",EscStr(K321),";")))</f>
        <v>;"NavNode_L2D_542667";"Stik/adaptere";</v>
      </c>
      <c r="AE321" s="10" t="str">
        <f>IF(getCategoryLevelAsString($B321)="L0D_324785","",IF(L321="",CONCATENATE(";",EscStr(CONCATENATE("NavNode_",getCategoryLevelAsString($B321))),";",EscStr($J321),";"),CONCATENATE(";",EscStr(CONCATENATE("NavNode_",getCategoryLevelAsString($B321))),";",EscStr(L321),";")))</f>
        <v>;"NavNode_L2D_542667";"Jungtys / adapteriai";</v>
      </c>
      <c r="AF321" s="10" t="str">
        <f>IF(getCategoryLevelAsString($B321)="L0D_324785","",IF(M321="",CONCATENATE(";",EscStr(CONCATENATE("NavNode_",getCategoryLevelAsString($B321))),";",EscStr($J321),";"),CONCATENATE(";",EscStr(CONCATENATE("NavNode_",getCategoryLevelAsString($B321))),";",EscStr(M321),";")))</f>
        <v>;"NavNode_L2D_542667";"Kontakter/adaptere";</v>
      </c>
      <c r="AG321" s="10" t="str">
        <f>IF(getCategoryLevelAsString($B321)="L0D_324785","",IF(N321="",CONCATENATE(";",EscStr(CONCATENATE("NavNode_",getCategoryLevelAsString($B321))),";",EscStr($J321),";"),CONCATENATE(";",EscStr(CONCATENATE("NavNode_",getCategoryLevelAsString($B321))),";",EscStr(N321),";")))</f>
        <v>;"NavNode_L2D_542667";"Kontakter/adaptrar";</v>
      </c>
      <c r="AH321" s="10" t="str">
        <f>IF(getCategoryLevelAsString($B321)="L0D_324785","",IF(O321="",CONCATENATE(";",EscStr(CONCATENATE("NavNode_",getCategoryLevelAsString($B321))),";",EscStr($J321),";"),CONCATENATE(";",EscStr(CONCATENATE("NavNode_",getCategoryLevelAsString($B321))),";",EscStr(O321),";")))</f>
        <v>;"NavNode_L2D_542667";"Ühendused / Adapterid";</v>
      </c>
      <c r="AI321" s="10" t="str">
        <f>IF(getCategoryLevelAsString($B321)="L0D_324785","",IF(P321="",CONCATENATE(";",EscStr(CONCATENATE("NavNode_",getCategoryLevelAsString($B321))),";",EscStr($J321),";"),CONCATENATE(";",EscStr(CONCATENATE("NavNode_",getCategoryLevelAsString($B321))),";",EscStr(P321),";")))</f>
        <v>;"NavNode_L2D_542667";"Liittimet/ sovittimet";</v>
      </c>
      <c r="AJ321" s="10" t="str">
        <f>IF(getCategoryLevelAsString($B321)="L0D_324785","",IF(Q321="",CONCATENATE(";",EscStr(CONCATENATE("NavNode_",getCategoryLevelAsString($B321))),";",EscStr($J321),";"),CONCATENATE(";",EscStr(CONCATENATE("NavNode_",getCategoryLevelAsString($B321))),";",EscStr(Q321),";")))</f>
        <v>;"NavNode_L2D_542667";"Konektori / Adapteri";</v>
      </c>
      <c r="AK321" s="10" t="str">
        <f>IF(getCategoryLevelAsString($B321)="L0D_324785","",IF(R321="",CONCATENATE(";",EscStr(CONCATENATE("NavNode_",getCategoryLevelAsString($B321))),";",EscStr($J321),";"),CONCATENATE(";",EscStr(CONCATENATE("NavNode_",getCategoryLevelAsString($B321))),";",EscStr(R321),";")))</f>
        <v>;"NavNode_L2D_542667";"Connectoren / Adapters";</v>
      </c>
      <c r="AL321" s="10" t="str">
        <f>IF(getCategoryLevelAsString($B321)="L0D_324785","",IF(S321="",CONCATENATE(";",EscStr(CONCATENATE("NavNode_",getCategoryLevelAsString($B321))),";",EscStr($J321),";"),CONCATENATE(";",EscStr(CONCATENATE("NavNode_",getCategoryLevelAsString($B321))),";",EscStr(S321),";")))</f>
        <v>;"NavNode_L2D_542667";"Złącza / Adaptery";</v>
      </c>
      <c r="AM321" s="10" t="str">
        <f>IF(getCategoryLevelAsString($B321)="L0D_324785","",IF(T321="",CONCATENATE(";",EscStr(CONCATENATE("NavNode_",getCategoryLevelAsString($B321))),";",EscStr($J321),";"),CONCATENATE(";",EscStr(CONCATENATE("NavNode_",getCategoryLevelAsString($B321))),";",EscStr(T321),";")))</f>
        <v>;"NavNode_L2D_542667";"Разъемы / Адаптеры";</v>
      </c>
      <c r="AN321" s="10" t="str">
        <f>IF(getCategoryLevelAsString($B321)="L0D_324785","",IF(U321="",CONCATENATE(";",EscStr(CONCATENATE("NavNode_",getCategoryLevelAsString($B321))),";",EscStr($J321),";"),CONCATENATE(";",EscStr(CONCATENATE("NavNode_",getCategoryLevelAsString($B321))),";",EscStr(U321),";")))</f>
        <v>;"NavNode_L2D_542667";"Konektor / Adaptér";</v>
      </c>
      <c r="AO321" s="10" t="str">
        <f>IF(getCategoryLevelAsString($B321)="L0D_324785","",IF(V321="",CONCATENATE(";",EscStr(CONCATENATE("NavNode_",getCategoryLevelAsString($B321))),";",EscStr($J321),";"),CONCATENATE(";",EscStr(CONCATENATE("NavNode_",getCategoryLevelAsString($B321))),";",EscStr(V321),";")))</f>
        <v>;"NavNode_L2D_542667";"Plug-in / adaptor";</v>
      </c>
      <c r="AP321" s="10" t="str">
        <f>IF(getCategoryLevelAsString($B321)="L0D_324785","",IF(W321="",CONCATENATE(";",EscStr(CONCATENATE("NavNode_",getCategoryLevelAsString($B321))),";",EscStr($J321),";"),CONCATENATE(";",EscStr(CONCATENATE("NavNode_",getCategoryLevelAsString($B321))),";",EscStr(W321),";")))</f>
        <v>;"NavNode_L2D_542667";"Csatlakozó / Adapter";</v>
      </c>
      <c r="AQ321" s="10" t="str">
        <f>IF(getCategoryLevelAsString($B321)="L0D_324785","",IF(X321="",CONCATENATE(";",EscStr(CONCATENATE("NavNode_",getCategoryLevelAsString($B321))),";",EscStr($J321),";"),CONCATENATE(";",EscStr(CONCATENATE("NavNode_",getCategoryLevelAsString($B321))),";",EscStr(X321),";")))</f>
        <v>;"NavNode_L2D_542667";"Konektor / Adaptér";</v>
      </c>
      <c r="AR321" s="8" t="str">
        <f>IF(OR($A321&lt;&gt;"", $G321=""),"",CONCATENATE(";",EscStr(CONCATENATE("NavEntry_",getCategoryLevelAsString($B321))),";",EscStr(CONCATENATE($J321," Navigation Entry")),";",EscStr(CONCATENATE("cat-",getCategoryLevelAsString($B321))),";",EscStr(CONCATENATE("NavNode_",getCategoryLevelAsString($B321))),";"))</f>
        <v>;"NavEntry_L2D_542667";"Connectors / Adapters Navigation Entry";"cat-L2D_542667";"NavNode_L2D_542667";</v>
      </c>
    </row>
    <row r="322" spans="1:44" ht="15" x14ac:dyDescent="0.25">
      <c r="A322" s="25"/>
      <c r="B322" s="5"/>
      <c r="C322" s="5"/>
      <c r="D322" s="5" t="s">
        <v>591</v>
      </c>
      <c r="E322" s="5"/>
      <c r="F322" s="5"/>
      <c r="G322" s="5" t="s">
        <v>1021</v>
      </c>
      <c r="H322" s="5" t="s">
        <v>1099</v>
      </c>
      <c r="I322" s="5" t="s">
        <v>1158</v>
      </c>
      <c r="J322" s="5" t="s">
        <v>885</v>
      </c>
      <c r="K322" s="5" t="s">
        <v>1415</v>
      </c>
      <c r="L322" s="5" t="s">
        <v>1652</v>
      </c>
      <c r="M322" s="5" t="s">
        <v>1853</v>
      </c>
      <c r="N322" s="5" t="s">
        <v>2071</v>
      </c>
      <c r="O322" s="5" t="s">
        <v>4493</v>
      </c>
      <c r="P322" s="5" t="s">
        <v>4494</v>
      </c>
      <c r="Q322" s="5" t="s">
        <v>4495</v>
      </c>
      <c r="R322" s="5" t="s">
        <v>4496</v>
      </c>
      <c r="S322" s="5" t="s">
        <v>4497</v>
      </c>
      <c r="T322" s="5" t="s">
        <v>4498</v>
      </c>
      <c r="U322" s="5" t="s">
        <v>4499</v>
      </c>
      <c r="V322" s="5" t="s">
        <v>4500</v>
      </c>
      <c r="W322" s="5" t="s">
        <v>4501</v>
      </c>
      <c r="X322" s="5" t="s">
        <v>4499</v>
      </c>
      <c r="Y322" s="10" t="str">
        <f>IF(OR($A322&lt;&gt;"", $G322=""),"",CONCATENATE(";",EscStr(CONCATENATE("NavNode_",getCategoryLevelAsString($B322))),";",EscStr($J322),";",IF($B322&lt;&gt;"","""MainNavNode""",EscStr(CONCATENATE("NavNode_",getSuperCategory($B322, getCategoryLevelAsNumber($B322))))),";"))</f>
        <v>;"NavNode_L3D_542694";"UPS Power Supplies";"NavNode_L2D_542667";</v>
      </c>
      <c r="Z322" s="10" t="str">
        <f>IF(getCategoryLevelAsString($B322)="L0D_324785","",IF(G322="",CONCATENATE(";",EscStr(CONCATENATE("NavNode_",getCategoryLevelAsString($B322))),";",EscStr($J322),";"),CONCATENATE(";",EscStr(CONCATENATE("NavNode_",getCategoryLevelAsString($B322))),";",EscStr(G322),";")))</f>
        <v>;"NavNode_L3D_542694";"USV Stromversorgung";</v>
      </c>
      <c r="AA322" s="10" t="str">
        <f>IF(getCategoryLevelAsString($B322)="L0D_324785","",IF(H322="",CONCATENATE(";",EscStr(CONCATENATE("NavNode_",getCategoryLevelAsString($B322))),";",EscStr($J322),";"),CONCATENATE(";",EscStr(CONCATENATE("NavNode_",getCategoryLevelAsString($B322))),";",EscStr(H322),";")))</f>
        <v>;"NavNode_L3D_542694";"Alimentations sans interruption";</v>
      </c>
      <c r="AB322" s="10" t="str">
        <f>IF(getCategoryLevelAsString($B322)="L0D_324785","",IF(I322="",CONCATENATE(";",EscStr(CONCATENATE("NavNode_",getCategoryLevelAsString($B322))),";",EscStr($J322),";"),CONCATENATE(";",EscStr(CONCATENATE("NavNode_",getCategoryLevelAsString($B322))),";",EscStr(I322),";")))</f>
        <v>;"NavNode_L3D_542694";"Alimentatori UPS";</v>
      </c>
      <c r="AC322" s="10" t="str">
        <f>IF(getCategoryLevelAsString($B322)="L0D_324785","",IF(J322="",CONCATENATE(";",EscStr(CONCATENATE("NavNode_",getCategoryLevelAsString($B322))),";",EscStr($J322),";"),CONCATENATE(";",EscStr(CONCATENATE("NavNode_",getCategoryLevelAsString($B322))),";",EscStr(J322),";")))</f>
        <v>;"NavNode_L3D_542694";"UPS Power Supplies";</v>
      </c>
      <c r="AD322" s="10" t="str">
        <f>IF(getCategoryLevelAsString($B322)="L0D_324785","",IF(K322="",CONCATENATE(";",EscStr(CONCATENATE("NavNode_",getCategoryLevelAsString($B322))),";",EscStr($J322),";"),CONCATENATE(";",EscStr(CONCATENATE("NavNode_",getCategoryLevelAsString($B322))),";",EscStr(K322),";")))</f>
        <v>;"NavNode_L3D_542694";"LED-strømforsyning";</v>
      </c>
      <c r="AE322" s="10" t="str">
        <f>IF(getCategoryLevelAsString($B322)="L0D_324785","",IF(L322="",CONCATENATE(";",EscStr(CONCATENATE("NavNode_",getCategoryLevelAsString($B322))),";",EscStr($J322),";"),CONCATENATE(";",EscStr(CONCATENATE("NavNode_",getCategoryLevelAsString($B322))),";",EscStr(L322),";")))</f>
        <v>;"NavNode_L3D_542694";"UPS maitinimo šaltiniai";</v>
      </c>
      <c r="AF322" s="10" t="str">
        <f>IF(getCategoryLevelAsString($B322)="L0D_324785","",IF(M322="",CONCATENATE(";",EscStr(CONCATENATE("NavNode_",getCategoryLevelAsString($B322))),";",EscStr($J322),";"),CONCATENATE(";",EscStr(CONCATENATE("NavNode_",getCategoryLevelAsString($B322))),";",EscStr(M322),";")))</f>
        <v>;"NavNode_L3D_542694";"UPS-strømforsyning";</v>
      </c>
      <c r="AG322" s="10" t="str">
        <f>IF(getCategoryLevelAsString($B322)="L0D_324785","",IF(N322="",CONCATENATE(";",EscStr(CONCATENATE("NavNode_",getCategoryLevelAsString($B322))),";",EscStr($J322),";"),CONCATENATE(";",EscStr(CONCATENATE("NavNode_",getCategoryLevelAsString($B322))),";",EscStr(N322),";")))</f>
        <v>;"NavNode_L3D_542694";"UPS-strömförsörjningar";</v>
      </c>
      <c r="AH322" s="10" t="str">
        <f>IF(getCategoryLevelAsString($B322)="L0D_324785","",IF(O322="",CONCATENATE(";",EscStr(CONCATENATE("NavNode_",getCategoryLevelAsString($B322))),";",EscStr($J322),";"),CONCATENATE(";",EscStr(CONCATENATE("NavNode_",getCategoryLevelAsString($B322))),";",EscStr(O322),";")))</f>
        <v>;"NavNode_L3D_542694";"Katkematu pinge allikad";</v>
      </c>
      <c r="AI322" s="10" t="str">
        <f>IF(getCategoryLevelAsString($B322)="L0D_324785","",IF(P322="",CONCATENATE(";",EscStr(CONCATENATE("NavNode_",getCategoryLevelAsString($B322))),";",EscStr($J322),";"),CONCATENATE(";",EscStr(CONCATENATE("NavNode_",getCategoryLevelAsString($B322))),";",EscStr(P322),";")))</f>
        <v>;"NavNode_L3D_542694";"UPS Virtavarmistuslaitteet";</v>
      </c>
      <c r="AJ322" s="10" t="str">
        <f>IF(getCategoryLevelAsString($B322)="L0D_324785","",IF(Q322="",CONCATENATE(";",EscStr(CONCATENATE("NavNode_",getCategoryLevelAsString($B322))),";",EscStr($J322),";"),CONCATENATE(";",EscStr(CONCATENATE("NavNode_",getCategoryLevelAsString($B322))),";",EscStr(Q322),";")))</f>
        <v>;"NavNode_L3D_542694";"UPS barošanas avoti";</v>
      </c>
      <c r="AK322" s="10" t="str">
        <f>IF(getCategoryLevelAsString($B322)="L0D_324785","",IF(R322="",CONCATENATE(";",EscStr(CONCATENATE("NavNode_",getCategoryLevelAsString($B322))),";",EscStr($J322),";"),CONCATENATE(";",EscStr(CONCATENATE("NavNode_",getCategoryLevelAsString($B322))),";",EscStr(R322),";")))</f>
        <v>;"NavNode_L3D_542694";"UPS voedingen";</v>
      </c>
      <c r="AL322" s="10" t="str">
        <f>IF(getCategoryLevelAsString($B322)="L0D_324785","",IF(S322="",CONCATENATE(";",EscStr(CONCATENATE("NavNode_",getCategoryLevelAsString($B322))),";",EscStr($J322),";"),CONCATENATE(";",EscStr(CONCATENATE("NavNode_",getCategoryLevelAsString($B322))),";",EscStr(S322),";")))</f>
        <v>;"NavNode_L3D_542694";"Zasilacze  UPS";</v>
      </c>
      <c r="AM322" s="10" t="str">
        <f>IF(getCategoryLevelAsString($B322)="L0D_324785","",IF(T322="",CONCATENATE(";",EscStr(CONCATENATE("NavNode_",getCategoryLevelAsString($B322))),";",EscStr($J322),";"),CONCATENATE(";",EscStr(CONCATENATE("NavNode_",getCategoryLevelAsString($B322))),";",EscStr(T322),";")))</f>
        <v>;"NavNode_L3D_542694";"UPS Источники питания";</v>
      </c>
      <c r="AN322" s="10" t="str">
        <f>IF(getCategoryLevelAsString($B322)="L0D_324785","",IF(U322="",CONCATENATE(";",EscStr(CONCATENATE("NavNode_",getCategoryLevelAsString($B322))),";",EscStr($J322),";"),CONCATENATE(";",EscStr(CONCATENATE("NavNode_",getCategoryLevelAsString($B322))),";",EscStr(U322),";")))</f>
        <v>;"NavNode_L3D_542694";"UPS zdroje";</v>
      </c>
      <c r="AO322" s="10" t="str">
        <f>IF(getCategoryLevelAsString($B322)="L0D_324785","",IF(V322="",CONCATENATE(";",EscStr(CONCATENATE("NavNode_",getCategoryLevelAsString($B322))),";",EscStr($J322),";"),CONCATENATE(";",EscStr(CONCATENATE("NavNode_",getCategoryLevelAsString($B322))),";",EscStr(V322),";")))</f>
        <v>;"NavNode_L3D_542694";"UPS sursă de alimentare";</v>
      </c>
      <c r="AP322" s="10" t="str">
        <f>IF(getCategoryLevelAsString($B322)="L0D_324785","",IF(W322="",CONCATENATE(";",EscStr(CONCATENATE("NavNode_",getCategoryLevelAsString($B322))),";",EscStr($J322),";"),CONCATENATE(";",EscStr(CONCATENATE("NavNode_",getCategoryLevelAsString($B322))),";",EscStr(W322),";")))</f>
        <v>;"NavNode_L3D_542694";"Szünetmentes tápegységek";</v>
      </c>
      <c r="AQ322" s="10" t="str">
        <f>IF(getCategoryLevelAsString($B322)="L0D_324785","",IF(X322="",CONCATENATE(";",EscStr(CONCATENATE("NavNode_",getCategoryLevelAsString($B322))),";",EscStr($J322),";"),CONCATENATE(";",EscStr(CONCATENATE("NavNode_",getCategoryLevelAsString($B322))),";",EscStr(X322),";")))</f>
        <v>;"NavNode_L3D_542694";"UPS zdroje";</v>
      </c>
      <c r="AR322" s="8" t="str">
        <f>IF(OR($A322&lt;&gt;"", $G322=""),"",CONCATENATE(";",EscStr(CONCATENATE("NavEntry_",getCategoryLevelAsString($B322))),";",EscStr(CONCATENATE($J322," Navigation Entry")),";",EscStr(CONCATENATE("cat-",getCategoryLevelAsString($B322))),";",EscStr(CONCATENATE("NavNode_",getCategoryLevelAsString($B322))),";"))</f>
        <v>;"NavEntry_L3D_542694";"UPS Power Supplies Navigation Entry";"cat-L3D_542694";"NavNode_L3D_542694";</v>
      </c>
    </row>
    <row r="323" spans="1:44" ht="15" x14ac:dyDescent="0.25">
      <c r="A323" s="25"/>
      <c r="B323" s="5"/>
      <c r="C323" s="5"/>
      <c r="D323" s="5" t="s">
        <v>592</v>
      </c>
      <c r="E323" s="5"/>
      <c r="F323" s="5"/>
      <c r="G323" s="5" t="s">
        <v>1022</v>
      </c>
      <c r="H323" s="5" t="s">
        <v>784</v>
      </c>
      <c r="I323" s="5" t="s">
        <v>650</v>
      </c>
      <c r="J323" s="5" t="s">
        <v>886</v>
      </c>
      <c r="K323" s="5" t="s">
        <v>1416</v>
      </c>
      <c r="L323" s="5" t="s">
        <v>1653</v>
      </c>
      <c r="M323" s="5" t="s">
        <v>1854</v>
      </c>
      <c r="N323" s="5" t="s">
        <v>2072</v>
      </c>
      <c r="O323" s="5" t="s">
        <v>886</v>
      </c>
      <c r="P323" s="5" t="s">
        <v>4502</v>
      </c>
      <c r="Q323" s="5" t="s">
        <v>4503</v>
      </c>
      <c r="R323" s="5" t="s">
        <v>4504</v>
      </c>
      <c r="S323" s="5" t="s">
        <v>4505</v>
      </c>
      <c r="T323" s="5" t="s">
        <v>4506</v>
      </c>
      <c r="U323" s="5" t="s">
        <v>4507</v>
      </c>
      <c r="V323" s="5" t="s">
        <v>4508</v>
      </c>
      <c r="W323" s="5" t="s">
        <v>4509</v>
      </c>
      <c r="X323" s="5" t="s">
        <v>4507</v>
      </c>
      <c r="Y323" s="10" t="str">
        <f>IF(OR($A323&lt;&gt;"", $G323=""),"",CONCATENATE(";",EscStr(CONCATENATE("NavNode_",getCategoryLevelAsString($B323))),";",EscStr($J323),";",IF($B323&lt;&gt;"","""MainNavNode""",EscStr(CONCATENATE("NavNode_",getSuperCategory($B323, getCategoryLevelAsNumber($B323))))),";"))</f>
        <v>;"NavNode_L3D_542698";"Power Strips / Protective Attachments";"NavNode_L2D_542667";</v>
      </c>
      <c r="Z323" s="10" t="str">
        <f>IF(getCategoryLevelAsString($B323)="L0D_324785","",IF(G323="",CONCATENATE(";",EscStr(CONCATENATE("NavNode_",getCategoryLevelAsString($B323))),";",EscStr($J323),";"),CONCATENATE(";",EscStr(CONCATENATE("NavNode_",getCategoryLevelAsString($B323))),";",EscStr(G323),";")))</f>
        <v>;"NavNode_L3D_542698";"Steckdosenleisten / Überspannungsschutz";</v>
      </c>
      <c r="AA323" s="10" t="str">
        <f>IF(getCategoryLevelAsString($B323)="L0D_324785","",IF(H323="",CONCATENATE(";",EscStr(CONCATENATE("NavNode_",getCategoryLevelAsString($B323))),";",EscStr($J323),";"),CONCATENATE(";",EscStr(CONCATENATE("NavNode_",getCategoryLevelAsString($B323))),";",EscStr(H323),";")))</f>
        <v>;"NavNode_L3D_542698";"Prises multiples / Attaches de protection";</v>
      </c>
      <c r="AB323" s="10" t="str">
        <f>IF(getCategoryLevelAsString($B323)="L0D_324785","",IF(I323="",CONCATENATE(";",EscStr(CONCATENATE("NavNode_",getCategoryLevelAsString($B323))),";",EscStr($J323),";"),CONCATENATE(";",EscStr(CONCATENATE("NavNode_",getCategoryLevelAsString($B323))),";",EscStr(I323),";")))</f>
        <v>;"NavNode_L3D_542698";"Ciabatte multipresa / accessori di protezione";</v>
      </c>
      <c r="AC323" s="10" t="str">
        <f>IF(getCategoryLevelAsString($B323)="L0D_324785","",IF(J323="",CONCATENATE(";",EscStr(CONCATENATE("NavNode_",getCategoryLevelAsString($B323))),";",EscStr($J323),";"),CONCATENATE(";",EscStr(CONCATENATE("NavNode_",getCategoryLevelAsString($B323))),";",EscStr(J323),";")))</f>
        <v>;"NavNode_L3D_542698";"Power Strips / Protective Attachments";</v>
      </c>
      <c r="AD323" s="10" t="str">
        <f>IF(getCategoryLevelAsString($B323)="L0D_324785","",IF(K323="",CONCATENATE(";",EscStr(CONCATENATE("NavNode_",getCategoryLevelAsString($B323))),";",EscStr($J323),";"),CONCATENATE(";",EscStr(CONCATENATE("NavNode_",getCategoryLevelAsString($B323))),";",EscStr(K323),";")))</f>
        <v>;"NavNode_L3D_542698";"Multistikdåser/beskyttende udstyr";</v>
      </c>
      <c r="AE323" s="10" t="str">
        <f>IF(getCategoryLevelAsString($B323)="L0D_324785","",IF(L323="",CONCATENATE(";",EscStr(CONCATENATE("NavNode_",getCategoryLevelAsString($B323))),";",EscStr($J323),";"),CONCATENATE(";",EscStr(CONCATENATE("NavNode_",getCategoryLevelAsString($B323))),";",EscStr(L323),";")))</f>
        <v>;"NavNode_L3D_542698";"Maitinimo juostos / apsauginiai priedai";</v>
      </c>
      <c r="AF323" s="10" t="str">
        <f>IF(getCategoryLevelAsString($B323)="L0D_324785","",IF(M323="",CONCATENATE(";",EscStr(CONCATENATE("NavNode_",getCategoryLevelAsString($B323))),";",EscStr($J323),";"),CONCATENATE(";",EscStr(CONCATENATE("NavNode_",getCategoryLevelAsString($B323))),";",EscStr(M323),";")))</f>
        <v>;"NavNode_L3D_542698";"Strømlister/sikkerhetstilbehør";</v>
      </c>
      <c r="AG323" s="10" t="str">
        <f>IF(getCategoryLevelAsString($B323)="L0D_324785","",IF(N323="",CONCATENATE(";",EscStr(CONCATENATE("NavNode_",getCategoryLevelAsString($B323))),";",EscStr($J323),";"),CONCATENATE(";",EscStr(CONCATENATE("NavNode_",getCategoryLevelAsString($B323))),";",EscStr(N323),";")))</f>
        <v>;"NavNode_L3D_542698";"Grenuttag/Skyddskomponenter";</v>
      </c>
      <c r="AH323" s="10" t="str">
        <f>IF(getCategoryLevelAsString($B323)="L0D_324785","",IF(O323="",CONCATENATE(";",EscStr(CONCATENATE("NavNode_",getCategoryLevelAsString($B323))),";",EscStr($J323),";"),CONCATENATE(";",EscStr(CONCATENATE("NavNode_",getCategoryLevelAsString($B323))),";",EscStr(O323),";")))</f>
        <v>;"NavNode_L3D_542698";"Power Strips / Protective Attachments";</v>
      </c>
      <c r="AI323" s="10" t="str">
        <f>IF(getCategoryLevelAsString($B323)="L0D_324785","",IF(P323="",CONCATENATE(";",EscStr(CONCATENATE("NavNode_",getCategoryLevelAsString($B323))),";",EscStr($J323),";"),CONCATENATE(";",EscStr(CONCATENATE("NavNode_",getCategoryLevelAsString($B323))),";",EscStr(P323),";")))</f>
        <v>;"NavNode_L3D_542698";"Jatkojohdot/suojat";</v>
      </c>
      <c r="AJ323" s="10" t="str">
        <f>IF(getCategoryLevelAsString($B323)="L0D_324785","",IF(Q323="",CONCATENATE(";",EscStr(CONCATENATE("NavNode_",getCategoryLevelAsString($B323))),";",EscStr($J323),";"),CONCATENATE(";",EscStr(CONCATENATE("NavNode_",getCategoryLevelAsString($B323))),";",EscStr(Q323),";")))</f>
        <v>;"NavNode_L3D_542698";"Pagarinātāji / Aizsardzības piederumi";</v>
      </c>
      <c r="AK323" s="10" t="str">
        <f>IF(getCategoryLevelAsString($B323)="L0D_324785","",IF(R323="",CONCATENATE(";",EscStr(CONCATENATE("NavNode_",getCategoryLevelAsString($B323))),";",EscStr($J323),";"),CONCATENATE(";",EscStr(CONCATENATE("NavNode_",getCategoryLevelAsString($B323))),";",EscStr(R323),";")))</f>
        <v>;"NavNode_L3D_542698";"Stekkerdozen / Overspanningsbeveiliging";</v>
      </c>
      <c r="AL323" s="10" t="str">
        <f>IF(getCategoryLevelAsString($B323)="L0D_324785","",IF(S323="",CONCATENATE(";",EscStr(CONCATENATE("NavNode_",getCategoryLevelAsString($B323))),";",EscStr($J323),";"),CONCATENATE(";",EscStr(CONCATENATE("NavNode_",getCategoryLevelAsString($B323))),";",EscStr(S323),";")))</f>
        <v>;"NavNode_L3D_542698";"Listwy zasilające / Urządzenia zabezpieczające";</v>
      </c>
      <c r="AM323" s="10" t="str">
        <f>IF(getCategoryLevelAsString($B323)="L0D_324785","",IF(T323="",CONCATENATE(";",EscStr(CONCATENATE("NavNode_",getCategoryLevelAsString($B323))),";",EscStr($J323),";"),CONCATENATE(";",EscStr(CONCATENATE("NavNode_",getCategoryLevelAsString($B323))),";",EscStr(T323),";")))</f>
        <v>;"NavNode_L3D_542698";"Удлинители  / Защитные принадлежности";</v>
      </c>
      <c r="AN323" s="10" t="str">
        <f>IF(getCategoryLevelAsString($B323)="L0D_324785","",IF(U323="",CONCATENATE(";",EscStr(CONCATENATE("NavNode_",getCategoryLevelAsString($B323))),";",EscStr($J323),";"),CONCATENATE(";",EscStr(CONCATENATE("NavNode_",getCategoryLevelAsString($B323))),";",EscStr(U323),";")))</f>
        <v>;"NavNode_L3D_542698";"Rozdvojky / Ochrana proti přepětí";</v>
      </c>
      <c r="AO323" s="10" t="str">
        <f>IF(getCategoryLevelAsString($B323)="L0D_324785","",IF(V323="",CONCATENATE(";",EscStr(CONCATENATE("NavNode_",getCategoryLevelAsString($B323))),";",EscStr($J323),";"),CONCATENATE(";",EscStr(CONCATENATE("NavNode_",getCategoryLevelAsString($B323))),";",EscStr(V323),";")))</f>
        <v>;"NavNode_L3D_542698";"Benzi pentru prize / protecţie la supratensiuni";</v>
      </c>
      <c r="AP323" s="10" t="str">
        <f>IF(getCategoryLevelAsString($B323)="L0D_324785","",IF(W323="",CONCATENATE(";",EscStr(CONCATENATE("NavNode_",getCategoryLevelAsString($B323))),";",EscStr($J323),";"),CONCATENATE(";",EscStr(CONCATENATE("NavNode_",getCategoryLevelAsString($B323))),";",EscStr(W323),";")))</f>
        <v>;"NavNode_L3D_542698";"Hálózati elosztók / túlfeszültségvédelem";</v>
      </c>
      <c r="AQ323" s="10" t="str">
        <f>IF(getCategoryLevelAsString($B323)="L0D_324785","",IF(X323="",CONCATENATE(";",EscStr(CONCATENATE("NavNode_",getCategoryLevelAsString($B323))),";",EscStr($J323),";"),CONCATENATE(";",EscStr(CONCATENATE("NavNode_",getCategoryLevelAsString($B323))),";",EscStr(X323),";")))</f>
        <v>;"NavNode_L3D_542698";"Rozdvojky / Ochrana proti přepětí";</v>
      </c>
      <c r="AR323" s="8" t="str">
        <f>IF(OR($A323&lt;&gt;"", $G323=""),"",CONCATENATE(";",EscStr(CONCATENATE("NavEntry_",getCategoryLevelAsString($B323))),";",EscStr(CONCATENATE($J323," Navigation Entry")),";",EscStr(CONCATENATE("cat-",getCategoryLevelAsString($B323))),";",EscStr(CONCATENATE("NavNode_",getCategoryLevelAsString($B323))),";"))</f>
        <v>;"NavEntry_L3D_542698";"Power Strips / Protective Attachments Navigation Entry";"cat-L3D_542698";"NavNode_L3D_542698";</v>
      </c>
    </row>
    <row r="324" spans="1:44" ht="15" x14ac:dyDescent="0.25">
      <c r="A324" s="25"/>
      <c r="B324" s="5"/>
      <c r="C324" s="5" t="s">
        <v>609</v>
      </c>
      <c r="D324" s="5"/>
      <c r="E324" s="5"/>
      <c r="F324" s="5"/>
      <c r="G324" s="5" t="s">
        <v>1029</v>
      </c>
      <c r="H324" s="5" t="s">
        <v>794</v>
      </c>
      <c r="I324" s="5" t="s">
        <v>691</v>
      </c>
      <c r="J324" s="5" t="s">
        <v>894</v>
      </c>
      <c r="K324" s="5" t="s">
        <v>1424</v>
      </c>
      <c r="L324" s="5" t="s">
        <v>1663</v>
      </c>
      <c r="M324" s="5" t="s">
        <v>1864</v>
      </c>
      <c r="N324" s="5" t="s">
        <v>2082</v>
      </c>
      <c r="O324" s="5" t="s">
        <v>4587</v>
      </c>
      <c r="P324" s="5" t="s">
        <v>4588</v>
      </c>
      <c r="Q324" s="5" t="s">
        <v>4589</v>
      </c>
      <c r="R324" s="5" t="s">
        <v>4590</v>
      </c>
      <c r="S324" s="5" t="s">
        <v>4591</v>
      </c>
      <c r="T324" s="5" t="s">
        <v>4592</v>
      </c>
      <c r="U324" s="5" t="s">
        <v>4593</v>
      </c>
      <c r="V324" s="5" t="s">
        <v>4594</v>
      </c>
      <c r="W324" s="5" t="s">
        <v>4595</v>
      </c>
      <c r="X324" s="5" t="s">
        <v>4593</v>
      </c>
      <c r="Y324" s="10" t="str">
        <f>IF(OR($A324&lt;&gt;"", $G324=""),"",CONCATENATE(";",EscStr(CONCATENATE("NavNode_",getCategoryLevelAsString($B324))),";",EscStr($J324),";",IF($B324&lt;&gt;"","""MainNavNode""",EscStr(CONCATENATE("NavNode_",getSuperCategory($B324, getCategoryLevelAsNumber($B324))))),";"))</f>
        <v>;"NavNode_L3D_542700";"Multimedia / Presentation";"NavNode_L2D_542667";</v>
      </c>
      <c r="Z324" s="10" t="str">
        <f>IF(getCategoryLevelAsString($B324)="L0D_324785","",IF(G324="",CONCATENATE(";",EscStr(CONCATENATE("NavNode_",getCategoryLevelAsString($B324))),";",EscStr($J324),";"),CONCATENATE(";",EscStr(CONCATENATE("NavNode_",getCategoryLevelAsString($B324))),";",EscStr(G324),";")))</f>
        <v>;"NavNode_L3D_542700";"Multimedia und Präsentation";</v>
      </c>
      <c r="AA324" s="10" t="str">
        <f>IF(getCategoryLevelAsString($B324)="L0D_324785","",IF(H324="",CONCATENATE(";",EscStr(CONCATENATE("NavNode_",getCategoryLevelAsString($B324))),";",EscStr($J324),";"),CONCATENATE(";",EscStr(CONCATENATE("NavNode_",getCategoryLevelAsString($B324))),";",EscStr(H324),";")))</f>
        <v>;"NavNode_L3D_542700";"Multimédia / Présentation";</v>
      </c>
      <c r="AB324" s="10" t="str">
        <f>IF(getCategoryLevelAsString($B324)="L0D_324785","",IF(I324="",CONCATENATE(";",EscStr(CONCATENATE("NavNode_",getCategoryLevelAsString($B324))),";",EscStr($J324),";"),CONCATENATE(";",EscStr(CONCATENATE("NavNode_",getCategoryLevelAsString($B324))),";",EscStr(I324),";")))</f>
        <v>;"NavNode_L3D_542700";"Multimedialità / presentazione";</v>
      </c>
      <c r="AC324" s="10" t="str">
        <f>IF(getCategoryLevelAsString($B324)="L0D_324785","",IF(J324="",CONCATENATE(";",EscStr(CONCATENATE("NavNode_",getCategoryLevelAsString($B324))),";",EscStr($J324),";"),CONCATENATE(";",EscStr(CONCATENATE("NavNode_",getCategoryLevelAsString($B324))),";",EscStr(J324),";")))</f>
        <v>;"NavNode_L3D_542700";"Multimedia / Presentation";</v>
      </c>
      <c r="AD324" s="10" t="str">
        <f>IF(getCategoryLevelAsString($B324)="L0D_324785","",IF(K324="",CONCATENATE(";",EscStr(CONCATENATE("NavNode_",getCategoryLevelAsString($B324))),";",EscStr($J324),";"),CONCATENATE(";",EscStr(CONCATENATE("NavNode_",getCategoryLevelAsString($B324))),";",EscStr(K324),";")))</f>
        <v>;"NavNode_L3D_542700";"Multimedia/præsentation";</v>
      </c>
      <c r="AE324" s="10" t="str">
        <f>IF(getCategoryLevelAsString($B324)="L0D_324785","",IF(L324="",CONCATENATE(";",EscStr(CONCATENATE("NavNode_",getCategoryLevelAsString($B324))),";",EscStr($J324),";"),CONCATENATE(";",EscStr(CONCATENATE("NavNode_",getCategoryLevelAsString($B324))),";",EscStr(L324),";")))</f>
        <v>;"NavNode_L3D_542700";"Multimedija / pristatymai";</v>
      </c>
      <c r="AF324" s="10" t="str">
        <f>IF(getCategoryLevelAsString($B324)="L0D_324785","",IF(M324="",CONCATENATE(";",EscStr(CONCATENATE("NavNode_",getCategoryLevelAsString($B324))),";",EscStr($J324),";"),CONCATENATE(";",EscStr(CONCATENATE("NavNode_",getCategoryLevelAsString($B324))),";",EscStr(M324),";")))</f>
        <v>;"NavNode_L3D_542700";"Multimedia/presentasjon";</v>
      </c>
      <c r="AG324" s="10" t="str">
        <f>IF(getCategoryLevelAsString($B324)="L0D_324785","",IF(N324="",CONCATENATE(";",EscStr(CONCATENATE("NavNode_",getCategoryLevelAsString($B324))),";",EscStr($J324),";"),CONCATENATE(";",EscStr(CONCATENATE("NavNode_",getCategoryLevelAsString($B324))),";",EscStr(N324),";")))</f>
        <v>;"NavNode_L3D_542700";"Multimedia/Presentation";</v>
      </c>
      <c r="AH324" s="10" t="str">
        <f>IF(getCategoryLevelAsString($B324)="L0D_324785","",IF(O324="",CONCATENATE(";",EscStr(CONCATENATE("NavNode_",getCategoryLevelAsString($B324))),";",EscStr($J324),";"),CONCATENATE(";",EscStr(CONCATENATE("NavNode_",getCategoryLevelAsString($B324))),";",EscStr(O324),";")))</f>
        <v>;"NavNode_L3D_542700";"Multimeedia / Esitlustehnika";</v>
      </c>
      <c r="AI324" s="10" t="str">
        <f>IF(getCategoryLevelAsString($B324)="L0D_324785","",IF(P324="",CONCATENATE(";",EscStr(CONCATENATE("NavNode_",getCategoryLevelAsString($B324))),";",EscStr($J324),";"),CONCATENATE(";",EscStr(CONCATENATE("NavNode_",getCategoryLevelAsString($B324))),";",EscStr(P324),";")))</f>
        <v>;"NavNode_L3D_542700";"Esitystekniikka";</v>
      </c>
      <c r="AJ324" s="10" t="str">
        <f>IF(getCategoryLevelAsString($B324)="L0D_324785","",IF(Q324="",CONCATENATE(";",EscStr(CONCATENATE("NavNode_",getCategoryLevelAsString($B324))),";",EscStr($J324),";"),CONCATENATE(";",EscStr(CONCATENATE("NavNode_",getCategoryLevelAsString($B324))),";",EscStr(Q324),";")))</f>
        <v>;"NavNode_L3D_542700";"Multimediji / Prezentācijas";</v>
      </c>
      <c r="AK324" s="10" t="str">
        <f>IF(getCategoryLevelAsString($B324)="L0D_324785","",IF(R324="",CONCATENATE(";",EscStr(CONCATENATE("NavNode_",getCategoryLevelAsString($B324))),";",EscStr($J324),";"),CONCATENATE(";",EscStr(CONCATENATE("NavNode_",getCategoryLevelAsString($B324))),";",EscStr(R324),";")))</f>
        <v>;"NavNode_L3D_542700";"Multimedia / Presentatie";</v>
      </c>
      <c r="AL324" s="10" t="str">
        <f>IF(getCategoryLevelAsString($B324)="L0D_324785","",IF(S324="",CONCATENATE(";",EscStr(CONCATENATE("NavNode_",getCategoryLevelAsString($B324))),";",EscStr($J324),";"),CONCATENATE(";",EscStr(CONCATENATE("NavNode_",getCategoryLevelAsString($B324))),";",EscStr(S324),";")))</f>
        <v>;"NavNode_L3D_542700";"Multimedia / Prezentacje";</v>
      </c>
      <c r="AM324" s="10" t="str">
        <f>IF(getCategoryLevelAsString($B324)="L0D_324785","",IF(T324="",CONCATENATE(";",EscStr(CONCATENATE("NavNode_",getCategoryLevelAsString($B324))),";",EscStr($J324),";"),CONCATENATE(";",EscStr(CONCATENATE("NavNode_",getCategoryLevelAsString($B324))),";",EscStr(T324),";")))</f>
        <v>;"NavNode_L3D_542700";"Мультимедиа / Презентация";</v>
      </c>
      <c r="AN324" s="10" t="str">
        <f>IF(getCategoryLevelAsString($B324)="L0D_324785","",IF(U324="",CONCATENATE(";",EscStr(CONCATENATE("NavNode_",getCategoryLevelAsString($B324))),";",EscStr($J324),";"),CONCATENATE(";",EscStr(CONCATENATE("NavNode_",getCategoryLevelAsString($B324))),";",EscStr(U324),";")))</f>
        <v>;"NavNode_L3D_542700";"Multimédia a prezentace";</v>
      </c>
      <c r="AO324" s="10" t="str">
        <f>IF(getCategoryLevelAsString($B324)="L0D_324785","",IF(V324="",CONCATENATE(";",EscStr(CONCATENATE("NavNode_",getCategoryLevelAsString($B324))),";",EscStr($J324),";"),CONCATENATE(";",EscStr(CONCATENATE("NavNode_",getCategoryLevelAsString($B324))),";",EscStr(V324),";")))</f>
        <v>;"NavNode_L3D_542700";"Multimedia şi de prezentare";</v>
      </c>
      <c r="AP324" s="10" t="str">
        <f>IF(getCategoryLevelAsString($B324)="L0D_324785","",IF(W324="",CONCATENATE(";",EscStr(CONCATENATE("NavNode_",getCategoryLevelAsString($B324))),";",EscStr($J324),";"),CONCATENATE(";",EscStr(CONCATENATE("NavNode_",getCategoryLevelAsString($B324))),";",EscStr(W324),";")))</f>
        <v>;"NavNode_L3D_542700";"Multimédia és Prezentáció";</v>
      </c>
      <c r="AQ324" s="10" t="str">
        <f>IF(getCategoryLevelAsString($B324)="L0D_324785","",IF(X324="",CONCATENATE(";",EscStr(CONCATENATE("NavNode_",getCategoryLevelAsString($B324))),";",EscStr($J324),";"),CONCATENATE(";",EscStr(CONCATENATE("NavNode_",getCategoryLevelAsString($B324))),";",EscStr(X324),";")))</f>
        <v>;"NavNode_L3D_542700";"Multimédia a prezentace";</v>
      </c>
      <c r="AR324" s="8" t="str">
        <f>IF(OR($A324&lt;&gt;"", $G324=""),"",CONCATENATE(";",EscStr(CONCATENATE("NavEntry_",getCategoryLevelAsString($B324))),";",EscStr(CONCATENATE($J324," Navigation Entry")),";",EscStr(CONCATENATE("cat-",getCategoryLevelAsString($B324))),";",EscStr(CONCATENATE("NavNode_",getCategoryLevelAsString($B324))),";"))</f>
        <v>;"NavEntry_L3D_542700";"Multimedia / Presentation Navigation Entry";"cat-L3D_542700";"NavNode_L3D_542700";</v>
      </c>
    </row>
    <row r="325" spans="1:44" ht="15" x14ac:dyDescent="0.25">
      <c r="A325" s="25"/>
      <c r="B325" s="5"/>
      <c r="C325" s="5"/>
      <c r="D325" s="5" t="s">
        <v>610</v>
      </c>
      <c r="E325" s="5"/>
      <c r="F325" s="5"/>
      <c r="G325" s="5" t="s">
        <v>1030</v>
      </c>
      <c r="H325" s="5" t="s">
        <v>795</v>
      </c>
      <c r="I325" s="5" t="s">
        <v>692</v>
      </c>
      <c r="J325" s="5" t="s">
        <v>895</v>
      </c>
      <c r="K325" s="5" t="s">
        <v>1425</v>
      </c>
      <c r="L325" s="5" t="s">
        <v>1664</v>
      </c>
      <c r="M325" s="5" t="s">
        <v>1865</v>
      </c>
      <c r="N325" s="5" t="s">
        <v>2083</v>
      </c>
      <c r="O325" s="5" t="s">
        <v>4596</v>
      </c>
      <c r="P325" s="5" t="s">
        <v>4597</v>
      </c>
      <c r="Q325" s="5" t="s">
        <v>4598</v>
      </c>
      <c r="R325" s="5" t="s">
        <v>4599</v>
      </c>
      <c r="S325" s="5" t="s">
        <v>4600</v>
      </c>
      <c r="T325" s="5" t="s">
        <v>4601</v>
      </c>
      <c r="U325" s="5" t="s">
        <v>4602</v>
      </c>
      <c r="V325" s="5" t="s">
        <v>4603</v>
      </c>
      <c r="W325" s="5" t="s">
        <v>4604</v>
      </c>
      <c r="X325" s="5" t="s">
        <v>4602</v>
      </c>
      <c r="Y325" s="10" t="str">
        <f>IF(OR($A325&lt;&gt;"", $G325=""),"",CONCATENATE(";",EscStr(CONCATENATE("NavNode_",getCategoryLevelAsString($B325))),";",EscStr($J325),";",IF($B325&lt;&gt;"","""MainNavNode""",EscStr(CONCATENATE("NavNode_",getSuperCategory($B325, getCategoryLevelAsNumber($B325))))),";"))</f>
        <v>;"NavNode_L3D_542702";"TVs / Displays / Media players / DVB";"NavNode_L2D_542667";</v>
      </c>
      <c r="Z325" s="10" t="str">
        <f>IF(getCategoryLevelAsString($B325)="L0D_324785","",IF(G325="",CONCATENATE(";",EscStr(CONCATENATE("NavNode_",getCategoryLevelAsString($B325))),";",EscStr($J325),";"),CONCATENATE(";",EscStr(CONCATENATE("NavNode_",getCategoryLevelAsString($B325))),";",EscStr(G325),";")))</f>
        <v>;"NavNode_L3D_542702";"TV-Geräte / Displays / Mediaplayer / DVB";</v>
      </c>
      <c r="AA325" s="10" t="str">
        <f>IF(getCategoryLevelAsString($B325)="L0D_324785","",IF(H325="",CONCATENATE(";",EscStr(CONCATENATE("NavNode_",getCategoryLevelAsString($B325))),";",EscStr($J325),";"),CONCATENATE(";",EscStr(CONCATENATE("NavNode_",getCategoryLevelAsString($B325))),";",EscStr(H325),";")))</f>
        <v>;"NavNode_L3D_542702";"Télévisions / Ecrans / Lecteurs multimédia / Télévision numérique";</v>
      </c>
      <c r="AB325" s="10" t="str">
        <f>IF(getCategoryLevelAsString($B325)="L0D_324785","",IF(I325="",CONCATENATE(";",EscStr(CONCATENATE("NavNode_",getCategoryLevelAsString($B325))),";",EscStr($J325),";"),CONCATENATE(";",EscStr(CONCATENATE("NavNode_",getCategoryLevelAsString($B325))),";",EscStr(I325),";")))</f>
        <v>;"NavNode_L3D_542702";"TV / display / lettori / DVB";</v>
      </c>
      <c r="AC325" s="10" t="str">
        <f>IF(getCategoryLevelAsString($B325)="L0D_324785","",IF(J325="",CONCATENATE(";",EscStr(CONCATENATE("NavNode_",getCategoryLevelAsString($B325))),";",EscStr($J325),";"),CONCATENATE(";",EscStr(CONCATENATE("NavNode_",getCategoryLevelAsString($B325))),";",EscStr(J325),";")))</f>
        <v>;"NavNode_L3D_542702";"TVs / Displays / Media players / DVB";</v>
      </c>
      <c r="AD325" s="10" t="str">
        <f>IF(getCategoryLevelAsString($B325)="L0D_324785","",IF(K325="",CONCATENATE(";",EscStr(CONCATENATE("NavNode_",getCategoryLevelAsString($B325))),";",EscStr($J325),";"),CONCATENATE(";",EscStr(CONCATENATE("NavNode_",getCategoryLevelAsString($B325))),";",EscStr(K325),";")))</f>
        <v>;"NavNode_L3D_542702";"Fjernsyn/display/medie-afspillere/DVB";</v>
      </c>
      <c r="AE325" s="10" t="str">
        <f>IF(getCategoryLevelAsString($B325)="L0D_324785","",IF(L325="",CONCATENATE(";",EscStr(CONCATENATE("NavNode_",getCategoryLevelAsString($B325))),";",EscStr($J325),";"),CONCATENATE(";",EscStr(CONCATENATE("NavNode_",getCategoryLevelAsString($B325))),";",EscStr(L325),";")))</f>
        <v>;"NavNode_L3D_542702";"Televizoriai / ekranai / medijos failų leistuvai / DVB";</v>
      </c>
      <c r="AF325" s="10" t="str">
        <f>IF(getCategoryLevelAsString($B325)="L0D_324785","",IF(M325="",CONCATENATE(";",EscStr(CONCATENATE("NavNode_",getCategoryLevelAsString($B325))),";",EscStr($J325),";"),CONCATENATE(";",EscStr(CONCATENATE("NavNode_",getCategoryLevelAsString($B325))),";",EscStr(M325),";")))</f>
        <v>;"NavNode_L3D_542702";"TV-er/skjermer/medieavspillere/DVB";</v>
      </c>
      <c r="AG325" s="10" t="str">
        <f>IF(getCategoryLevelAsString($B325)="L0D_324785","",IF(N325="",CONCATENATE(";",EscStr(CONCATENATE("NavNode_",getCategoryLevelAsString($B325))),";",EscStr($J325),";"),CONCATENATE(";",EscStr(CONCATENATE("NavNode_",getCategoryLevelAsString($B325))),";",EscStr(N325),";")))</f>
        <v>;"NavNode_L3D_542702";"TV/Skärmar/Mediaspelare/DVB";</v>
      </c>
      <c r="AH325" s="10" t="str">
        <f>IF(getCategoryLevelAsString($B325)="L0D_324785","",IF(O325="",CONCATENATE(";",EscStr(CONCATENATE("NavNode_",getCategoryLevelAsString($B325))),";",EscStr($J325),";"),CONCATENATE(";",EscStr(CONCATENATE("NavNode_",getCategoryLevelAsString($B325))),";",EscStr(O325),";")))</f>
        <v>;"NavNode_L3D_542702";"Televiisorid / Kuvarid / Meedia mängijad / DVB";</v>
      </c>
      <c r="AI325" s="10" t="str">
        <f>IF(getCategoryLevelAsString($B325)="L0D_324785","",IF(P325="",CONCATENATE(";",EscStr(CONCATENATE("NavNode_",getCategoryLevelAsString($B325))),";",EscStr($J325),";"),CONCATENATE(";",EscStr(CONCATENATE("NavNode_",getCategoryLevelAsString($B325))),";",EscStr(P325),";")))</f>
        <v>;"NavNode_L3D_542702";"TV/näytöt/Mediatoistimet";</v>
      </c>
      <c r="AJ325" s="10" t="str">
        <f>IF(getCategoryLevelAsString($B325)="L0D_324785","",IF(Q325="",CONCATENATE(";",EscStr(CONCATENATE("NavNode_",getCategoryLevelAsString($B325))),";",EscStr($J325),";"),CONCATENATE(";",EscStr(CONCATENATE("NavNode_",getCategoryLevelAsString($B325))),";",EscStr(Q325),";")))</f>
        <v>;"NavNode_L3D_542702";"Televizori / Displeji / Mediju atskaņotāji / DVB";</v>
      </c>
      <c r="AK325" s="10" t="str">
        <f>IF(getCategoryLevelAsString($B325)="L0D_324785","",IF(R325="",CONCATENATE(";",EscStr(CONCATENATE("NavNode_",getCategoryLevelAsString($B325))),";",EscStr($J325),";"),CONCATENATE(";",EscStr(CONCATENATE("NavNode_",getCategoryLevelAsString($B325))),";",EscStr(R325),";")))</f>
        <v>;"NavNode_L3D_542702";"TVs / Displays / Media spelers / DVB";</v>
      </c>
      <c r="AL325" s="10" t="str">
        <f>IF(getCategoryLevelAsString($B325)="L0D_324785","",IF(S325="",CONCATENATE(";",EscStr(CONCATENATE("NavNode_",getCategoryLevelAsString($B325))),";",EscStr($J325),";"),CONCATENATE(";",EscStr(CONCATENATE("NavNode_",getCategoryLevelAsString($B325))),";",EscStr(S325),";")))</f>
        <v>;"NavNode_L3D_542702";"Telewizory / Wyświetlacze / Odtwarzacze / Dekodery DVB";</v>
      </c>
      <c r="AM325" s="10" t="str">
        <f>IF(getCategoryLevelAsString($B325)="L0D_324785","",IF(T325="",CONCATENATE(";",EscStr(CONCATENATE("NavNode_",getCategoryLevelAsString($B325))),";",EscStr($J325),";"),CONCATENATE(";",EscStr(CONCATENATE("NavNode_",getCategoryLevelAsString($B325))),";",EscStr(T325),";")))</f>
        <v>;"NavNode_L3D_542702";"Телевизоры /Мониторы / Медиаплееры / DVB";</v>
      </c>
      <c r="AN325" s="10" t="str">
        <f>IF(getCategoryLevelAsString($B325)="L0D_324785","",IF(U325="",CONCATENATE(";",EscStr(CONCATENATE("NavNode_",getCategoryLevelAsString($B325))),";",EscStr($J325),";"),CONCATENATE(";",EscStr(CONCATENATE("NavNode_",getCategoryLevelAsString($B325))),";",EscStr(U325),";")))</f>
        <v>;"NavNode_L3D_542702";"Televizory / Despleje / Mediální přehrávače / DVB";</v>
      </c>
      <c r="AO325" s="10" t="str">
        <f>IF(getCategoryLevelAsString($B325)="L0D_324785","",IF(V325="",CONCATENATE(";",EscStr(CONCATENATE("NavNode_",getCategoryLevelAsString($B325))),";",EscStr($J325),";"),CONCATENATE(";",EscStr(CONCATENATE("NavNode_",getCategoryLevelAsString($B325))),";",EscStr(V325),";")))</f>
        <v>;"NavNode_L3D_542702";"Televizoare / afişoare / Media Player / DVB";</v>
      </c>
      <c r="AP325" s="10" t="str">
        <f>IF(getCategoryLevelAsString($B325)="L0D_324785","",IF(W325="",CONCATENATE(";",EscStr(CONCATENATE("NavNode_",getCategoryLevelAsString($B325))),";",EscStr($J325),";"),CONCATENATE(";",EscStr(CONCATENATE("NavNode_",getCategoryLevelAsString($B325))),";",EscStr(W325),";")))</f>
        <v>;"NavNode_L3D_542702";"TV készülékek / kijelzők / médialejátszók / DVB";</v>
      </c>
      <c r="AQ325" s="10" t="str">
        <f>IF(getCategoryLevelAsString($B325)="L0D_324785","",IF(X325="",CONCATENATE(";",EscStr(CONCATENATE("NavNode_",getCategoryLevelAsString($B325))),";",EscStr($J325),";"),CONCATENATE(";",EscStr(CONCATENATE("NavNode_",getCategoryLevelAsString($B325))),";",EscStr(X325),";")))</f>
        <v>;"NavNode_L3D_542702";"Televizory / Despleje / Mediální přehrávače / DVB";</v>
      </c>
      <c r="AR325" s="8" t="str">
        <f>IF(OR($A325&lt;&gt;"", $G325=""),"",CONCATENATE(";",EscStr(CONCATENATE("NavEntry_",getCategoryLevelAsString($B325))),";",EscStr(CONCATENATE($J325," Navigation Entry")),";",EscStr(CONCATENATE("cat-",getCategoryLevelAsString($B325))),";",EscStr(CONCATENATE("NavNode_",getCategoryLevelAsString($B325))),";"))</f>
        <v>;"NavEntry_L3D_542702";"TVs / Displays / Media players / DVB Navigation Entry";"cat-L3D_542702";"NavNode_L3D_542702";</v>
      </c>
    </row>
    <row r="326" spans="1:44" ht="15" x14ac:dyDescent="0.25">
      <c r="A326" s="25"/>
      <c r="B326" s="5"/>
      <c r="C326" s="5"/>
      <c r="D326" s="5" t="s">
        <v>612</v>
      </c>
      <c r="E326" s="5"/>
      <c r="F326" s="5"/>
      <c r="G326" s="5" t="s">
        <v>897</v>
      </c>
      <c r="H326" s="5" t="s">
        <v>797</v>
      </c>
      <c r="I326" s="5" t="s">
        <v>694</v>
      </c>
      <c r="J326" s="5" t="s">
        <v>897</v>
      </c>
      <c r="K326" s="5" t="s">
        <v>1427</v>
      </c>
      <c r="L326" s="5" t="s">
        <v>1666</v>
      </c>
      <c r="M326" s="5" t="s">
        <v>1867</v>
      </c>
      <c r="N326" s="5" t="s">
        <v>2085</v>
      </c>
      <c r="O326" s="5" t="s">
        <v>4614</v>
      </c>
      <c r="P326" s="5" t="s">
        <v>4615</v>
      </c>
      <c r="Q326" s="5" t="s">
        <v>4616</v>
      </c>
      <c r="R326" s="5" t="s">
        <v>4617</v>
      </c>
      <c r="S326" s="5" t="s">
        <v>4618</v>
      </c>
      <c r="T326" s="5" t="s">
        <v>4619</v>
      </c>
      <c r="U326" s="5" t="s">
        <v>4620</v>
      </c>
      <c r="V326" s="5" t="s">
        <v>4621</v>
      </c>
      <c r="W326" s="5" t="s">
        <v>4622</v>
      </c>
      <c r="X326" s="5" t="s">
        <v>4620</v>
      </c>
      <c r="Y326" s="10" t="str">
        <f>IF(OR($A326&lt;&gt;"", $G326=""),"",CONCATENATE(";",EscStr(CONCATENATE("NavNode_",getCategoryLevelAsString($B326))),";",EscStr($J326),";",IF($B326&lt;&gt;"","""MainNavNode""",EscStr(CONCATENATE("NavNode_",getSuperCategory($B326, getCategoryLevelAsNumber($B326))))),";"))</f>
        <v>;"NavNode_L3D_542704";"Portable Audio / MP3 / Radio";"NavNode_L2D_542667";</v>
      </c>
      <c r="Z326" s="10" t="str">
        <f>IF(getCategoryLevelAsString($B326)="L0D_324785","",IF(G326="",CONCATENATE(";",EscStr(CONCATENATE("NavNode_",getCategoryLevelAsString($B326))),";",EscStr($J326),";"),CONCATENATE(";",EscStr(CONCATENATE("NavNode_",getCategoryLevelAsString($B326))),";",EscStr(G326),";")))</f>
        <v>;"NavNode_L3D_542704";"Portable Audio / MP3 / Radio";</v>
      </c>
      <c r="AA326" s="10" t="str">
        <f>IF(getCategoryLevelAsString($B326)="L0D_324785","",IF(H326="",CONCATENATE(";",EscStr(CONCATENATE("NavNode_",getCategoryLevelAsString($B326))),";",EscStr($J326),";"),CONCATENATE(";",EscStr(CONCATENATE("NavNode_",getCategoryLevelAsString($B326))),";",EscStr(H326),";")))</f>
        <v>;"NavNode_L3D_542704";"Systèmes audio portables / MP3 / Radio";</v>
      </c>
      <c r="AB326" s="10" t="str">
        <f>IF(getCategoryLevelAsString($B326)="L0D_324785","",IF(I326="",CONCATENATE(";",EscStr(CONCATENATE("NavNode_",getCategoryLevelAsString($B326))),";",EscStr($J326),";"),CONCATENATE(";",EscStr(CONCATENATE("NavNode_",getCategoryLevelAsString($B326))),";",EscStr(I326),";")))</f>
        <v>;"NavNode_L3D_542704";"Dispositivi audio portatili / MP3 / Radio";</v>
      </c>
      <c r="AC326" s="10" t="str">
        <f>IF(getCategoryLevelAsString($B326)="L0D_324785","",IF(J326="",CONCATENATE(";",EscStr(CONCATENATE("NavNode_",getCategoryLevelAsString($B326))),";",EscStr($J326),";"),CONCATENATE(";",EscStr(CONCATENATE("NavNode_",getCategoryLevelAsString($B326))),";",EscStr(J326),";")))</f>
        <v>;"NavNode_L3D_542704";"Portable Audio / MP3 / Radio";</v>
      </c>
      <c r="AD326" s="10" t="str">
        <f>IF(getCategoryLevelAsString($B326)="L0D_324785","",IF(K326="",CONCATENATE(";",EscStr(CONCATENATE("NavNode_",getCategoryLevelAsString($B326))),";",EscStr($J326),";"),CONCATENATE(";",EscStr(CONCATENATE("NavNode_",getCategoryLevelAsString($B326))),";",EscStr(K326),";")))</f>
        <v>;"NavNode_L3D_542704";"Bærbar audio/MP3/radio";</v>
      </c>
      <c r="AE326" s="10" t="str">
        <f>IF(getCategoryLevelAsString($B326)="L0D_324785","",IF(L326="",CONCATENATE(";",EscStr(CONCATENATE("NavNode_",getCategoryLevelAsString($B326))),";",EscStr($J326),";"),CONCATENATE(";",EscStr(CONCATENATE("NavNode_",getCategoryLevelAsString($B326))),";",EscStr(L326),";")))</f>
        <v>;"NavNode_L3D_542704";"Nešiojamoji garso įranga / MP3 / radijas";</v>
      </c>
      <c r="AF326" s="10" t="str">
        <f>IF(getCategoryLevelAsString($B326)="L0D_324785","",IF(M326="",CONCATENATE(";",EscStr(CONCATENATE("NavNode_",getCategoryLevelAsString($B326))),";",EscStr($J326),";"),CONCATENATE(";",EscStr(CONCATENATE("NavNode_",getCategoryLevelAsString($B326))),";",EscStr(M326),";")))</f>
        <v>;"NavNode_L3D_542704";"Bærbar lyd / MP3 / Radio";</v>
      </c>
      <c r="AG326" s="10" t="str">
        <f>IF(getCategoryLevelAsString($B326)="L0D_324785","",IF(N326="",CONCATENATE(";",EscStr(CONCATENATE("NavNode_",getCategoryLevelAsString($B326))),";",EscStr($J326),";"),CONCATENATE(";",EscStr(CONCATENATE("NavNode_",getCategoryLevelAsString($B326))),";",EscStr(N326),";")))</f>
        <v>;"NavNode_L3D_542704";"Bärbart ljud/mp3/Radio";</v>
      </c>
      <c r="AH326" s="10" t="str">
        <f>IF(getCategoryLevelAsString($B326)="L0D_324785","",IF(O326="",CONCATENATE(";",EscStr(CONCATENATE("NavNode_",getCategoryLevelAsString($B326))),";",EscStr($J326),";"),CONCATENATE(";",EscStr(CONCATENATE("NavNode_",getCategoryLevelAsString($B326))),";",EscStr(O326),";")))</f>
        <v>;"NavNode_L3D_542704";"Kaasaskantav audio / MP3 / Raadiod";</v>
      </c>
      <c r="AI326" s="10" t="str">
        <f>IF(getCategoryLevelAsString($B326)="L0D_324785","",IF(P326="",CONCATENATE(";",EscStr(CONCATENATE("NavNode_",getCategoryLevelAsString($B326))),";",EscStr($J326),";"),CONCATENATE(";",EscStr(CONCATENATE("NavNode_",getCategoryLevelAsString($B326))),";",EscStr(P326),";")))</f>
        <v>;"NavNode_L3D_542704";"Kannettavat Audio/MP3";</v>
      </c>
      <c r="AJ326" s="10" t="str">
        <f>IF(getCategoryLevelAsString($B326)="L0D_324785","",IF(Q326="",CONCATENATE(";",EscStr(CONCATENATE("NavNode_",getCategoryLevelAsString($B326))),";",EscStr($J326),";"),CONCATENATE(";",EscStr(CONCATENATE("NavNode_",getCategoryLevelAsString($B326))),";",EscStr(Q326),";")))</f>
        <v>;"NavNode_L3D_542704";"Audiopleijeri / MP3 / Radio";</v>
      </c>
      <c r="AK326" s="10" t="str">
        <f>IF(getCategoryLevelAsString($B326)="L0D_324785","",IF(R326="",CONCATENATE(";",EscStr(CONCATENATE("NavNode_",getCategoryLevelAsString($B326))),";",EscStr($J326),";"),CONCATENATE(";",EscStr(CONCATENATE("NavNode_",getCategoryLevelAsString($B326))),";",EscStr(R326),";")))</f>
        <v>;"NavNode_L3D_542704";"Draagbare audio / MP3 / Radio";</v>
      </c>
      <c r="AL326" s="10" t="str">
        <f>IF(getCategoryLevelAsString($B326)="L0D_324785","",IF(S326="",CONCATENATE(";",EscStr(CONCATENATE("NavNode_",getCategoryLevelAsString($B326))),";",EscStr($J326),";"),CONCATENATE(";",EscStr(CONCATENATE("NavNode_",getCategoryLevelAsString($B326))),";",EscStr(S326),";")))</f>
        <v>;"NavNode_L3D_542704";"Przenośny sprzęt Audio / MP3 / Radio";</v>
      </c>
      <c r="AM326" s="10" t="str">
        <f>IF(getCategoryLevelAsString($B326)="L0D_324785","",IF(T326="",CONCATENATE(";",EscStr(CONCATENATE("NavNode_",getCategoryLevelAsString($B326))),";",EscStr($J326),";"),CONCATENATE(";",EscStr(CONCATENATE("NavNode_",getCategoryLevelAsString($B326))),";",EscStr(T326),";")))</f>
        <v>;"NavNode_L3D_542704";"Aудиоплейеры / MP3 / Радио";</v>
      </c>
      <c r="AN326" s="10" t="str">
        <f>IF(getCategoryLevelAsString($B326)="L0D_324785","",IF(U326="",CONCATENATE(";",EscStr(CONCATENATE("NavNode_",getCategoryLevelAsString($B326))),";",EscStr($J326),";"),CONCATENATE(";",EscStr(CONCATENATE("NavNode_",getCategoryLevelAsString($B326))),";",EscStr(U326),";")))</f>
        <v>;"NavNode_L3D_542704";"Přenosné audio / MP3 / Radio";</v>
      </c>
      <c r="AO326" s="10" t="str">
        <f>IF(getCategoryLevelAsString($B326)="L0D_324785","",IF(V326="",CONCATENATE(";",EscStr(CONCATENATE("NavNode_",getCategoryLevelAsString($B326))),";",EscStr($J326),";"),CONCATENATE(";",EscStr(CONCATENATE("NavNode_",getCategoryLevelAsString($B326))),";",EscStr(V326),";")))</f>
        <v>;"NavNode_L3D_542704";"Audio portabile / MP3 / radio";</v>
      </c>
      <c r="AP326" s="10" t="str">
        <f>IF(getCategoryLevelAsString($B326)="L0D_324785","",IF(W326="",CONCATENATE(";",EscStr(CONCATENATE("NavNode_",getCategoryLevelAsString($B326))),";",EscStr($J326),";"),CONCATENATE(";",EscStr(CONCATENATE("NavNode_",getCategoryLevelAsString($B326))),";",EscStr(W326),";")))</f>
        <v>;"NavNode_L3D_542704";"Portable Audio / MP3 / Radió";</v>
      </c>
      <c r="AQ326" s="10" t="str">
        <f>IF(getCategoryLevelAsString($B326)="L0D_324785","",IF(X326="",CONCATENATE(";",EscStr(CONCATENATE("NavNode_",getCategoryLevelAsString($B326))),";",EscStr($J326),";"),CONCATENATE(";",EscStr(CONCATENATE("NavNode_",getCategoryLevelAsString($B326))),";",EscStr(X326),";")))</f>
        <v>;"NavNode_L3D_542704";"Přenosné audio / MP3 / Radio";</v>
      </c>
      <c r="AR326" s="8" t="str">
        <f>IF(OR($A326&lt;&gt;"", $G326=""),"",CONCATENATE(";",EscStr(CONCATENATE("NavEntry_",getCategoryLevelAsString($B326))),";",EscStr(CONCATENATE($J326," Navigation Entry")),";",EscStr(CONCATENATE("cat-",getCategoryLevelAsString($B326))),";",EscStr(CONCATENATE("NavNode_",getCategoryLevelAsString($B326))),";"))</f>
        <v>;"NavEntry_L3D_542704";"Portable Audio / MP3 / Radio Navigation Entry";"cat-L3D_542704";"NavNode_L3D_542704";</v>
      </c>
    </row>
    <row r="327" spans="1:44" ht="15" x14ac:dyDescent="0.25">
      <c r="A327" s="25"/>
      <c r="B327" s="5"/>
      <c r="C327" s="5"/>
      <c r="D327" s="5" t="s">
        <v>613</v>
      </c>
      <c r="E327" s="5"/>
      <c r="F327" s="5"/>
      <c r="G327" s="5" t="s">
        <v>1032</v>
      </c>
      <c r="H327" s="5" t="s">
        <v>798</v>
      </c>
      <c r="I327" s="5" t="s">
        <v>695</v>
      </c>
      <c r="J327" s="5" t="s">
        <v>898</v>
      </c>
      <c r="K327" s="5" t="s">
        <v>1428</v>
      </c>
      <c r="L327" s="5" t="s">
        <v>1667</v>
      </c>
      <c r="M327" s="5" t="s">
        <v>1868</v>
      </c>
      <c r="N327" s="5" t="s">
        <v>2086</v>
      </c>
      <c r="O327" s="5" t="s">
        <v>4623</v>
      </c>
      <c r="P327" s="5" t="s">
        <v>4624</v>
      </c>
      <c r="Q327" s="5" t="s">
        <v>4625</v>
      </c>
      <c r="R327" s="5" t="s">
        <v>4626</v>
      </c>
      <c r="S327" s="5" t="s">
        <v>4627</v>
      </c>
      <c r="T327" s="5" t="s">
        <v>4628</v>
      </c>
      <c r="U327" s="5" t="s">
        <v>4629</v>
      </c>
      <c r="V327" s="5" t="s">
        <v>4630</v>
      </c>
      <c r="W327" s="5" t="s">
        <v>4631</v>
      </c>
      <c r="X327" s="5" t="s">
        <v>4629</v>
      </c>
      <c r="Y327" s="10" t="str">
        <f>IF(OR($A327&lt;&gt;"", $G327=""),"",CONCATENATE(";",EscStr(CONCATENATE("NavNode_",getCategoryLevelAsString($B327))),";",EscStr($J327),";",IF($B327&lt;&gt;"","""MainNavNode""",EscStr(CONCATENATE("NavNode_",getSuperCategory($B327, getCategoryLevelAsNumber($B327))))),";"))</f>
        <v>;"NavNode_L3D_542706";"HiFi / Speakers / Headsets / Microphones";"NavNode_L2D_542667";</v>
      </c>
      <c r="Z327" s="10" t="str">
        <f>IF(getCategoryLevelAsString($B327)="L0D_324785","",IF(G327="",CONCATENATE(";",EscStr(CONCATENATE("NavNode_",getCategoryLevelAsString($B327))),";",EscStr($J327),";"),CONCATENATE(";",EscStr(CONCATENATE("NavNode_",getCategoryLevelAsString($B327))),";",EscStr(G327),";")))</f>
        <v>;"NavNode_L3D_542706";"HiFi / Lautsprecher / Kopfhörer / Mikrofone";</v>
      </c>
      <c r="AA327" s="10" t="str">
        <f>IF(getCategoryLevelAsString($B327)="L0D_324785","",IF(H327="",CONCATENATE(";",EscStr(CONCATENATE("NavNode_",getCategoryLevelAsString($B327))),";",EscStr($J327),";"),CONCATENATE(";",EscStr(CONCATENATE("NavNode_",getCategoryLevelAsString($B327))),";",EscStr(H327),";")))</f>
        <v>;"NavNode_L3D_542706";"HiFi / Haut-parleurs / Casques / Microphones";</v>
      </c>
      <c r="AB327" s="10" t="str">
        <f>IF(getCategoryLevelAsString($B327)="L0D_324785","",IF(I327="",CONCATENATE(";",EscStr(CONCATENATE("NavNode_",getCategoryLevelAsString($B327))),";",EscStr($J327),";"),CONCATENATE(";",EscStr(CONCATENATE("NavNode_",getCategoryLevelAsString($B327))),";",EscStr(I327),";")))</f>
        <v>;"NavNode_L3D_542706";"HiFi / altoparlanti / cuffie / microfoni";</v>
      </c>
      <c r="AC327" s="10" t="str">
        <f>IF(getCategoryLevelAsString($B327)="L0D_324785","",IF(J327="",CONCATENATE(";",EscStr(CONCATENATE("NavNode_",getCategoryLevelAsString($B327))),";",EscStr($J327),";"),CONCATENATE(";",EscStr(CONCATENATE("NavNode_",getCategoryLevelAsString($B327))),";",EscStr(J327),";")))</f>
        <v>;"NavNode_L3D_542706";"HiFi / Speakers / Headsets / Microphones";</v>
      </c>
      <c r="AD327" s="10" t="str">
        <f>IF(getCategoryLevelAsString($B327)="L0D_324785","",IF(K327="",CONCATENATE(";",EscStr(CONCATENATE("NavNode_",getCategoryLevelAsString($B327))),";",EscStr($J327),";"),CONCATENATE(";",EscStr(CONCATENATE("NavNode_",getCategoryLevelAsString($B327))),";",EscStr(K327),";")))</f>
        <v>;"NavNode_L3D_542706";"HiFi/højtalere/headsets/mikrofoner";</v>
      </c>
      <c r="AE327" s="10" t="str">
        <f>IF(getCategoryLevelAsString($B327)="L0D_324785","",IF(L327="",CONCATENATE(";",EscStr(CONCATENATE("NavNode_",getCategoryLevelAsString($B327))),";",EscStr($J327),";"),CONCATENATE(";",EscStr(CONCATENATE("NavNode_",getCategoryLevelAsString($B327))),";",EscStr(L327),";")))</f>
        <v>;"NavNode_L3D_542706";"„HiFi“ / garsiakalbiai / ausinės / mikrofonai";</v>
      </c>
      <c r="AF327" s="10" t="str">
        <f>IF(getCategoryLevelAsString($B327)="L0D_324785","",IF(M327="",CONCATENATE(";",EscStr(CONCATENATE("NavNode_",getCategoryLevelAsString($B327))),";",EscStr($J327),";"),CONCATENATE(";",EscStr(CONCATENATE("NavNode_",getCategoryLevelAsString($B327))),";",EscStr(M327),";")))</f>
        <v>;"NavNode_L3D_542706";"HiFi/høytalere/hodetelefoner/mikrofoner";</v>
      </c>
      <c r="AG327" s="10" t="str">
        <f>IF(getCategoryLevelAsString($B327)="L0D_324785","",IF(N327="",CONCATENATE(";",EscStr(CONCATENATE("NavNode_",getCategoryLevelAsString($B327))),";",EscStr($J327),";"),CONCATENATE(";",EscStr(CONCATENATE("NavNode_",getCategoryLevelAsString($B327))),";",EscStr(N327),";")))</f>
        <v>;"NavNode_L3D_542706";"HiFi/Högtalare/Headsets/Mikrofoner";</v>
      </c>
      <c r="AH327" s="10" t="str">
        <f>IF(getCategoryLevelAsString($B327)="L0D_324785","",IF(O327="",CONCATENATE(";",EscStr(CONCATENATE("NavNode_",getCategoryLevelAsString($B327))),";",EscStr($J327),";"),CONCATENATE(";",EscStr(CONCATENATE("NavNode_",getCategoryLevelAsString($B327))),";",EscStr(O327),";")))</f>
        <v>;"NavNode_L3D_542706";"HiFi / Kõlarid / Kõrvaklapid / Mikrofonid";</v>
      </c>
      <c r="AI327" s="10" t="str">
        <f>IF(getCategoryLevelAsString($B327)="L0D_324785","",IF(P327="",CONCATENATE(";",EscStr(CONCATENATE("NavNode_",getCategoryLevelAsString($B327))),";",EscStr($J327),";"),CONCATENATE(";",EscStr(CONCATENATE("NavNode_",getCategoryLevelAsString($B327))),";",EscStr(P327),";")))</f>
        <v>;"NavNode_L3D_542706";"HiFi/ kaiuttimet/kuulokkeet";</v>
      </c>
      <c r="AJ327" s="10" t="str">
        <f>IF(getCategoryLevelAsString($B327)="L0D_324785","",IF(Q327="",CONCATENATE(";",EscStr(CONCATENATE("NavNode_",getCategoryLevelAsString($B327))),";",EscStr($J327),";"),CONCATENATE(";",EscStr(CONCATENATE("NavNode_",getCategoryLevelAsString($B327))),";",EscStr(Q327),";")))</f>
        <v>;"NavNode_L3D_542706";"HiFi / Skaļruņi / Austiņas / Mikrofoni";</v>
      </c>
      <c r="AK327" s="10" t="str">
        <f>IF(getCategoryLevelAsString($B327)="L0D_324785","",IF(R327="",CONCATENATE(";",EscStr(CONCATENATE("NavNode_",getCategoryLevelAsString($B327))),";",EscStr($J327),";"),CONCATENATE(";",EscStr(CONCATENATE("NavNode_",getCategoryLevelAsString($B327))),";",EscStr(R327),";")))</f>
        <v>;"NavNode_L3D_542706";"HiFi / Luisprekers / Hoofdtelefoons / Microfoons";</v>
      </c>
      <c r="AL327" s="10" t="str">
        <f>IF(getCategoryLevelAsString($B327)="L0D_324785","",IF(S327="",CONCATENATE(";",EscStr(CONCATENATE("NavNode_",getCategoryLevelAsString($B327))),";",EscStr($J327),";"),CONCATENATE(";",EscStr(CONCATENATE("NavNode_",getCategoryLevelAsString($B327))),";",EscStr(S327),";")))</f>
        <v>;"NavNode_L3D_542706";"HiFi / Głosniki / Słuchawki / Mikrofony";</v>
      </c>
      <c r="AM327" s="10" t="str">
        <f>IF(getCategoryLevelAsString($B327)="L0D_324785","",IF(T327="",CONCATENATE(";",EscStr(CONCATENATE("NavNode_",getCategoryLevelAsString($B327))),";",EscStr($J327),";"),CONCATENATE(";",EscStr(CONCATENATE("NavNode_",getCategoryLevelAsString($B327))),";",EscStr(T327),";")))</f>
        <v>;"NavNode_L3D_542706";"HiFi / Динамики / Наушники / Микрофоны";</v>
      </c>
      <c r="AN327" s="10" t="str">
        <f>IF(getCategoryLevelAsString($B327)="L0D_324785","",IF(U327="",CONCATENATE(";",EscStr(CONCATENATE("NavNode_",getCategoryLevelAsString($B327))),";",EscStr($J327),";"),CONCATENATE(";",EscStr(CONCATENATE("NavNode_",getCategoryLevelAsString($B327))),";",EscStr(U327),";")))</f>
        <v>;"NavNode_L3D_542706";"HiFi / Reproduktory / Sluchátka / Mikrofony";</v>
      </c>
      <c r="AO327" s="10" t="str">
        <f>IF(getCategoryLevelAsString($B327)="L0D_324785","",IF(V327="",CONCATENATE(";",EscStr(CONCATENATE("NavNode_",getCategoryLevelAsString($B327))),";",EscStr($J327),";"),CONCATENATE(";",EscStr(CONCATENATE("NavNode_",getCategoryLevelAsString($B327))),";",EscStr(V327),";")))</f>
        <v>;"NavNode_L3D_542706";"HiFi / boxe / căşti audio / microfoane";</v>
      </c>
      <c r="AP327" s="10" t="str">
        <f>IF(getCategoryLevelAsString($B327)="L0D_324785","",IF(W327="",CONCATENATE(";",EscStr(CONCATENATE("NavNode_",getCategoryLevelAsString($B327))),";",EscStr($J327),";"),CONCATENATE(";",EscStr(CONCATENATE("NavNode_",getCategoryLevelAsString($B327))),";",EscStr(W327),";")))</f>
        <v>;"NavNode_L3D_542706";"HiFi / hangszorók / fejhallgatók / mikrofonok";</v>
      </c>
      <c r="AQ327" s="10" t="str">
        <f>IF(getCategoryLevelAsString($B327)="L0D_324785","",IF(X327="",CONCATENATE(";",EscStr(CONCATENATE("NavNode_",getCategoryLevelAsString($B327))),";",EscStr($J327),";"),CONCATENATE(";",EscStr(CONCATENATE("NavNode_",getCategoryLevelAsString($B327))),";",EscStr(X327),";")))</f>
        <v>;"NavNode_L3D_542706";"HiFi / Reproduktory / Sluchátka / Mikrofony";</v>
      </c>
      <c r="AR327" s="8" t="str">
        <f>IF(OR($A327&lt;&gt;"", $G327=""),"",CONCATENATE(";",EscStr(CONCATENATE("NavEntry_",getCategoryLevelAsString($B327))),";",EscStr(CONCATENATE($J327," Navigation Entry")),";",EscStr(CONCATENATE("cat-",getCategoryLevelAsString($B327))),";",EscStr(CONCATENATE("NavNode_",getCategoryLevelAsString($B327))),";"))</f>
        <v>;"NavEntry_L3D_542706";"HiFi / Speakers / Headsets / Microphones Navigation Entry";"cat-L3D_542706";"NavNode_L3D_542706";</v>
      </c>
    </row>
    <row r="328" spans="1:44" ht="15" x14ac:dyDescent="0.25">
      <c r="A328" s="25"/>
      <c r="B328" s="5"/>
      <c r="C328" s="5"/>
      <c r="D328" s="5" t="s">
        <v>614</v>
      </c>
      <c r="E328" s="5"/>
      <c r="F328" s="5"/>
      <c r="G328" s="5" t="s">
        <v>1033</v>
      </c>
      <c r="H328" s="5" t="s">
        <v>799</v>
      </c>
      <c r="I328" s="5" t="s">
        <v>696</v>
      </c>
      <c r="J328" s="5" t="s">
        <v>899</v>
      </c>
      <c r="K328" s="5" t="s">
        <v>1429</v>
      </c>
      <c r="L328" s="5" t="s">
        <v>1668</v>
      </c>
      <c r="M328" s="5" t="s">
        <v>1869</v>
      </c>
      <c r="N328" s="5" t="s">
        <v>2087</v>
      </c>
      <c r="O328" s="5" t="s">
        <v>4632</v>
      </c>
      <c r="P328" s="5" t="s">
        <v>4633</v>
      </c>
      <c r="Q328" s="5" t="s">
        <v>4634</v>
      </c>
      <c r="R328" s="5" t="s">
        <v>4635</v>
      </c>
      <c r="S328" s="5" t="s">
        <v>4636</v>
      </c>
      <c r="T328" s="5" t="s">
        <v>4637</v>
      </c>
      <c r="U328" s="5" t="s">
        <v>4638</v>
      </c>
      <c r="V328" s="5" t="s">
        <v>4639</v>
      </c>
      <c r="W328" s="5" t="s">
        <v>4640</v>
      </c>
      <c r="X328" s="5" t="s">
        <v>4638</v>
      </c>
      <c r="Y328" s="10" t="str">
        <f>IF(OR($A328&lt;&gt;"", $G328=""),"",CONCATENATE(";",EscStr(CONCATENATE("NavNode_",getCategoryLevelAsString($B328))),";",EscStr($J328),";",IF($B328&lt;&gt;"","""MainNavNode""",EscStr(CONCATENATE("NavNode_",getSuperCategory($B328, getCategoryLevelAsNumber($B328))))),";"))</f>
        <v>;"NavNode_L3D_542671";"Digital cameras / Accessories";"NavNode_L2D_542667";</v>
      </c>
      <c r="Z328" s="10" t="str">
        <f>IF(getCategoryLevelAsString($B328)="L0D_324785","",IF(G328="",CONCATENATE(";",EscStr(CONCATENATE("NavNode_",getCategoryLevelAsString($B328))),";",EscStr($J328),";"),CONCATENATE(";",EscStr(CONCATENATE("NavNode_",getCategoryLevelAsString($B328))),";",EscStr(G328),";")))</f>
        <v>;"NavNode_L3D_542671";"Digitalkameras / Zubehör";</v>
      </c>
      <c r="AA328" s="10" t="str">
        <f>IF(getCategoryLevelAsString($B328)="L0D_324785","",IF(H328="",CONCATENATE(";",EscStr(CONCATENATE("NavNode_",getCategoryLevelAsString($B328))),";",EscStr($J328),";"),CONCATENATE(";",EscStr(CONCATENATE("NavNode_",getCategoryLevelAsString($B328))),";",EscStr(H328),";")))</f>
        <v>;"NavNode_L3D_542671";"Appareils photo numériques / Accessoires";</v>
      </c>
      <c r="AB328" s="10" t="str">
        <f>IF(getCategoryLevelAsString($B328)="L0D_324785","",IF(I328="",CONCATENATE(";",EscStr(CONCATENATE("NavNode_",getCategoryLevelAsString($B328))),";",EscStr($J328),";"),CONCATENATE(";",EscStr(CONCATENATE("NavNode_",getCategoryLevelAsString($B328))),";",EscStr(I328),";")))</f>
        <v>;"NavNode_L3D_542671";"Fotocamere digitali / accessori";</v>
      </c>
      <c r="AC328" s="10" t="str">
        <f>IF(getCategoryLevelAsString($B328)="L0D_324785","",IF(J328="",CONCATENATE(";",EscStr(CONCATENATE("NavNode_",getCategoryLevelAsString($B328))),";",EscStr($J328),";"),CONCATENATE(";",EscStr(CONCATENATE("NavNode_",getCategoryLevelAsString($B328))),";",EscStr(J328),";")))</f>
        <v>;"NavNode_L3D_542671";"Digital cameras / Accessories";</v>
      </c>
      <c r="AD328" s="10" t="str">
        <f>IF(getCategoryLevelAsString($B328)="L0D_324785","",IF(K328="",CONCATENATE(";",EscStr(CONCATENATE("NavNode_",getCategoryLevelAsString($B328))),";",EscStr($J328),";"),CONCATENATE(";",EscStr(CONCATENATE("NavNode_",getCategoryLevelAsString($B328))),";",EscStr(K328),";")))</f>
        <v>;"NavNode_L3D_542671";"Digitalkameraer/tilbehør";</v>
      </c>
      <c r="AE328" s="10" t="str">
        <f>IF(getCategoryLevelAsString($B328)="L0D_324785","",IF(L328="",CONCATENATE(";",EscStr(CONCATENATE("NavNode_",getCategoryLevelAsString($B328))),";",EscStr($J328),";"),CONCATENATE(";",EscStr(CONCATENATE("NavNode_",getCategoryLevelAsString($B328))),";",EscStr(L328),";")))</f>
        <v>;"NavNode_L3D_542671";"Skaitmeniniai fotoaparatai / priedai";</v>
      </c>
      <c r="AF328" s="10" t="str">
        <f>IF(getCategoryLevelAsString($B328)="L0D_324785","",IF(M328="",CONCATENATE(";",EscStr(CONCATENATE("NavNode_",getCategoryLevelAsString($B328))),";",EscStr($J328),";"),CONCATENATE(";",EscStr(CONCATENATE("NavNode_",getCategoryLevelAsString($B328))),";",EscStr(M328),";")))</f>
        <v>;"NavNode_L3D_542671";"Digitale kameraer/tilbehør";</v>
      </c>
      <c r="AG328" s="10" t="str">
        <f>IF(getCategoryLevelAsString($B328)="L0D_324785","",IF(N328="",CONCATENATE(";",EscStr(CONCATENATE("NavNode_",getCategoryLevelAsString($B328))),";",EscStr($J328),";"),CONCATENATE(";",EscStr(CONCATENATE("NavNode_",getCategoryLevelAsString($B328))),";",EscStr(N328),";")))</f>
        <v>;"NavNode_L3D_542671";"Digitalkameror/Tillbehör";</v>
      </c>
      <c r="AH328" s="10" t="str">
        <f>IF(getCategoryLevelAsString($B328)="L0D_324785","",IF(O328="",CONCATENATE(";",EscStr(CONCATENATE("NavNode_",getCategoryLevelAsString($B328))),";",EscStr($J328),";"),CONCATENATE(";",EscStr(CONCATENATE("NavNode_",getCategoryLevelAsString($B328))),";",EscStr(O328),";")))</f>
        <v>;"NavNode_L3D_542671";"Digitaalsed kaamerad / Tarvikud";</v>
      </c>
      <c r="AI328" s="10" t="str">
        <f>IF(getCategoryLevelAsString($B328)="L0D_324785","",IF(P328="",CONCATENATE(";",EscStr(CONCATENATE("NavNode_",getCategoryLevelAsString($B328))),";",EscStr($J328),";"),CONCATENATE(";",EscStr(CONCATENATE("NavNode_",getCategoryLevelAsString($B328))),";",EscStr(P328),";")))</f>
        <v>;"NavNode_L3D_542671";"Digikamerat/tarvikkeet";</v>
      </c>
      <c r="AJ328" s="10" t="str">
        <f>IF(getCategoryLevelAsString($B328)="L0D_324785","",IF(Q328="",CONCATENATE(";",EscStr(CONCATENATE("NavNode_",getCategoryLevelAsString($B328))),";",EscStr($J328),";"),CONCATENATE(";",EscStr(CONCATENATE("NavNode_",getCategoryLevelAsString($B328))),";",EscStr(Q328),";")))</f>
        <v>;"NavNode_L3D_542671";"Digitālās fotokameras / Piederumi";</v>
      </c>
      <c r="AK328" s="10" t="str">
        <f>IF(getCategoryLevelAsString($B328)="L0D_324785","",IF(R328="",CONCATENATE(";",EscStr(CONCATENATE("NavNode_",getCategoryLevelAsString($B328))),";",EscStr($J328),";"),CONCATENATE(";",EscStr(CONCATENATE("NavNode_",getCategoryLevelAsString($B328))),";",EscStr(R328),";")))</f>
        <v>;"NavNode_L3D_542671";"Digitale cameras / accessoires";</v>
      </c>
      <c r="AL328" s="10" t="str">
        <f>IF(getCategoryLevelAsString($B328)="L0D_324785","",IF(S328="",CONCATENATE(";",EscStr(CONCATENATE("NavNode_",getCategoryLevelAsString($B328))),";",EscStr($J328),";"),CONCATENATE(";",EscStr(CONCATENATE("NavNode_",getCategoryLevelAsString($B328))),";",EscStr(S328),";")))</f>
        <v>;"NavNode_L3D_542671";"Kamery cyfrowe / Akcesoria";</v>
      </c>
      <c r="AM328" s="10" t="str">
        <f>IF(getCategoryLevelAsString($B328)="L0D_324785","",IF(T328="",CONCATENATE(";",EscStr(CONCATENATE("NavNode_",getCategoryLevelAsString($B328))),";",EscStr($J328),";"),CONCATENATE(";",EscStr(CONCATENATE("NavNode_",getCategoryLevelAsString($B328))),";",EscStr(T328),";")))</f>
        <v>;"NavNode_L3D_542671";"Цифровые фотокамеры / Аксессуары";</v>
      </c>
      <c r="AN328" s="10" t="str">
        <f>IF(getCategoryLevelAsString($B328)="L0D_324785","",IF(U328="",CONCATENATE(";",EscStr(CONCATENATE("NavNode_",getCategoryLevelAsString($B328))),";",EscStr($J328),";"),CONCATENATE(";",EscStr(CONCATENATE("NavNode_",getCategoryLevelAsString($B328))),";",EscStr(U328),";")))</f>
        <v>;"NavNode_L3D_542671";"Digitální fotoaparáty / Příslušenství";</v>
      </c>
      <c r="AO328" s="10" t="str">
        <f>IF(getCategoryLevelAsString($B328)="L0D_324785","",IF(V328="",CONCATENATE(";",EscStr(CONCATENATE("NavNode_",getCategoryLevelAsString($B328))),";",EscStr($J328),";"),CONCATENATE(";",EscStr(CONCATENATE("NavNode_",getCategoryLevelAsString($B328))),";",EscStr(V328),";")))</f>
        <v>;"NavNode_L3D_542671";"Aparat digital de fotografiat / accesorii";</v>
      </c>
      <c r="AP328" s="10" t="str">
        <f>IF(getCategoryLevelAsString($B328)="L0D_324785","",IF(W328="",CONCATENATE(";",EscStr(CONCATENATE("NavNode_",getCategoryLevelAsString($B328))),";",EscStr($J328),";"),CONCATENATE(";",EscStr(CONCATENATE("NavNode_",getCategoryLevelAsString($B328))),";",EscStr(W328),";")))</f>
        <v>;"NavNode_L3D_542671";"Digitális kamerák / tartozékok";</v>
      </c>
      <c r="AQ328" s="10" t="str">
        <f>IF(getCategoryLevelAsString($B328)="L0D_324785","",IF(X328="",CONCATENATE(";",EscStr(CONCATENATE("NavNode_",getCategoryLevelAsString($B328))),";",EscStr($J328),";"),CONCATENATE(";",EscStr(CONCATENATE("NavNode_",getCategoryLevelAsString($B328))),";",EscStr(X328),";")))</f>
        <v>;"NavNode_L3D_542671";"Digitální fotoaparáty / Příslušenství";</v>
      </c>
      <c r="AR328" s="8" t="str">
        <f>IF(OR($A328&lt;&gt;"", $G328=""),"",CONCATENATE(";",EscStr(CONCATENATE("NavEntry_",getCategoryLevelAsString($B328))),";",EscStr(CONCATENATE($J328," Navigation Entry")),";",EscStr(CONCATENATE("cat-",getCategoryLevelAsString($B328))),";",EscStr(CONCATENATE("NavNode_",getCategoryLevelAsString($B328))),";"))</f>
        <v>;"NavEntry_L3D_542671";"Digital cameras / Accessories Navigation Entry";"cat-L3D_542671";"NavNode_L3D_542671";</v>
      </c>
    </row>
    <row r="329" spans="1:44" ht="15" x14ac:dyDescent="0.25">
      <c r="A329" s="25"/>
      <c r="B329" s="5"/>
      <c r="C329" s="5"/>
      <c r="D329" s="5" t="s">
        <v>615</v>
      </c>
      <c r="E329" s="5"/>
      <c r="F329" s="5"/>
      <c r="G329" s="5" t="s">
        <v>1034</v>
      </c>
      <c r="H329" s="5" t="s">
        <v>800</v>
      </c>
      <c r="I329" s="5" t="s">
        <v>697</v>
      </c>
      <c r="J329" s="5" t="s">
        <v>900</v>
      </c>
      <c r="K329" s="5" t="s">
        <v>1430</v>
      </c>
      <c r="L329" s="5" t="s">
        <v>1669</v>
      </c>
      <c r="M329" s="5" t="s">
        <v>1870</v>
      </c>
      <c r="N329" s="5" t="s">
        <v>2088</v>
      </c>
      <c r="O329" s="5" t="s">
        <v>4641</v>
      </c>
      <c r="P329" s="5" t="s">
        <v>4642</v>
      </c>
      <c r="Q329" s="5" t="s">
        <v>4643</v>
      </c>
      <c r="R329" s="5" t="s">
        <v>4644</v>
      </c>
      <c r="S329" s="5" t="s">
        <v>4645</v>
      </c>
      <c r="T329" s="5" t="s">
        <v>4646</v>
      </c>
      <c r="U329" s="5" t="s">
        <v>4647</v>
      </c>
      <c r="V329" s="5" t="s">
        <v>4648</v>
      </c>
      <c r="W329" s="5" t="s">
        <v>4649</v>
      </c>
      <c r="X329" s="5" t="s">
        <v>4647</v>
      </c>
      <c r="Y329" s="10" t="str">
        <f>IF(OR($A329&lt;&gt;"", $G329=""),"",CONCATENATE(";",EscStr(CONCATENATE("NavNode_",getCategoryLevelAsString($B329))),";",EscStr($J329),";",IF($B329&lt;&gt;"","""MainNavNode""",EscStr(CONCATENATE("NavNode_",getSuperCategory($B329, getCategoryLevelAsNumber($B329))))),";"))</f>
        <v>;"NavNode_Computing / Office";"Video cameras / Accessories";"NavNode_L0D_324785";</v>
      </c>
      <c r="Z329" s="10" t="str">
        <f>IF(getCategoryLevelAsString($B329)="L0D_324785","",IF(G329="",CONCATENATE(";",EscStr(CONCATENATE("NavNode_",getCategoryLevelAsString($B329))),";",EscStr($J329),";"),CONCATENATE(";",EscStr(CONCATENATE("NavNode_",getCategoryLevelAsString($B329))),";",EscStr(G329),";")))</f>
        <v>;"NavNode_Computing / Office";"Videokameras / Zubehör";</v>
      </c>
      <c r="AA329" s="10" t="str">
        <f>IF(getCategoryLevelAsString($B329)="L0D_324785","",IF(H329="",CONCATENATE(";",EscStr(CONCATENATE("NavNode_",getCategoryLevelAsString($B329))),";",EscStr($J329),";"),CONCATENATE(";",EscStr(CONCATENATE("NavNode_",getCategoryLevelAsString($B329))),";",EscStr(H329),";")))</f>
        <v>;"NavNode_Computing / Office";"Caméras vidéo / Accessoires";</v>
      </c>
      <c r="AB329" s="10" t="str">
        <f>IF(getCategoryLevelAsString($B329)="L0D_324785","",IF(I329="",CONCATENATE(";",EscStr(CONCATENATE("NavNode_",getCategoryLevelAsString($B329))),";",EscStr($J329),";"),CONCATENATE(";",EscStr(CONCATENATE("NavNode_",getCategoryLevelAsString($B329))),";",EscStr(I329),";")))</f>
        <v>;"NavNode_Computing / Office";"Videocamere / accessori";</v>
      </c>
      <c r="AC329" s="10" t="str">
        <f>IF(getCategoryLevelAsString($B329)="L0D_324785","",IF(J329="",CONCATENATE(";",EscStr(CONCATENATE("NavNode_",getCategoryLevelAsString($B329))),";",EscStr($J329),";"),CONCATENATE(";",EscStr(CONCATENATE("NavNode_",getCategoryLevelAsString($B329))),";",EscStr(J329),";")))</f>
        <v>;"NavNode_Computing / Office";"Video cameras / Accessories";</v>
      </c>
      <c r="AD329" s="10" t="str">
        <f>IF(getCategoryLevelAsString($B329)="L0D_324785","",IF(K329="",CONCATENATE(";",EscStr(CONCATENATE("NavNode_",getCategoryLevelAsString($B329))),";",EscStr($J329),";"),CONCATENATE(";",EscStr(CONCATENATE("NavNode_",getCategoryLevelAsString($B329))),";",EscStr(K329),";")))</f>
        <v>;"NavNode_Computing / Office";"Video-kameraer/tilbehør";</v>
      </c>
      <c r="AE329" s="10" t="str">
        <f>IF(getCategoryLevelAsString($B329)="L0D_324785","",IF(L329="",CONCATENATE(";",EscStr(CONCATENATE("NavNode_",getCategoryLevelAsString($B329))),";",EscStr($J329),";"),CONCATENATE(";",EscStr(CONCATENATE("NavNode_",getCategoryLevelAsString($B329))),";",EscStr(L329),";")))</f>
        <v>;"NavNode_Computing / Office";"Vaizdo kameros / priedai";</v>
      </c>
      <c r="AF329" s="10" t="str">
        <f>IF(getCategoryLevelAsString($B329)="L0D_324785","",IF(M329="",CONCATENATE(";",EscStr(CONCATENATE("NavNode_",getCategoryLevelAsString($B329))),";",EscStr($J329),";"),CONCATENATE(";",EscStr(CONCATENATE("NavNode_",getCategoryLevelAsString($B329))),";",EscStr(M329),";")))</f>
        <v>;"NavNode_Computing / Office";"Videokameraer/tilbehør";</v>
      </c>
      <c r="AG329" s="10" t="str">
        <f>IF(getCategoryLevelAsString($B329)="L0D_324785","",IF(N329="",CONCATENATE(";",EscStr(CONCATENATE("NavNode_",getCategoryLevelAsString($B329))),";",EscStr($J329),";"),CONCATENATE(";",EscStr(CONCATENATE("NavNode_",getCategoryLevelAsString($B329))),";",EscStr(N329),";")))</f>
        <v>;"NavNode_Computing / Office";"Videokameror/Tillbehör";</v>
      </c>
      <c r="AH329" s="10" t="str">
        <f>IF(getCategoryLevelAsString($B329)="L0D_324785","",IF(O329="",CONCATENATE(";",EscStr(CONCATENATE("NavNode_",getCategoryLevelAsString($B329))),";",EscStr($J329),";"),CONCATENATE(";",EscStr(CONCATENATE("NavNode_",getCategoryLevelAsString($B329))),";",EscStr(O329),";")))</f>
        <v>;"NavNode_Computing / Office";"Videokaamerad / Tarvikud";</v>
      </c>
      <c r="AI329" s="10" t="str">
        <f>IF(getCategoryLevelAsString($B329)="L0D_324785","",IF(P329="",CONCATENATE(";",EscStr(CONCATENATE("NavNode_",getCategoryLevelAsString($B329))),";",EscStr($J329),";"),CONCATENATE(";",EscStr(CONCATENATE("NavNode_",getCategoryLevelAsString($B329))),";",EscStr(P329),";")))</f>
        <v>;"NavNode_Computing / Office";"Videokamerat/tarvikkeet";</v>
      </c>
      <c r="AJ329" s="10" t="str">
        <f>IF(getCategoryLevelAsString($B329)="L0D_324785","",IF(Q329="",CONCATENATE(";",EscStr(CONCATENATE("NavNode_",getCategoryLevelAsString($B329))),";",EscStr($J329),";"),CONCATENATE(";",EscStr(CONCATENATE("NavNode_",getCategoryLevelAsString($B329))),";",EscStr(Q329),";")))</f>
        <v>;"NavNode_Computing / Office";"Video kameras / Piederumi";</v>
      </c>
      <c r="AK329" s="10" t="str">
        <f>IF(getCategoryLevelAsString($B329)="L0D_324785","",IF(R329="",CONCATENATE(";",EscStr(CONCATENATE("NavNode_",getCategoryLevelAsString($B329))),";",EscStr($J329),";"),CONCATENATE(";",EscStr(CONCATENATE("NavNode_",getCategoryLevelAsString($B329))),";",EscStr(R329),";")))</f>
        <v>;"NavNode_Computing / Office";"Video cameras / accessoires";</v>
      </c>
      <c r="AL329" s="10" t="str">
        <f>IF(getCategoryLevelAsString($B329)="L0D_324785","",IF(S329="",CONCATENATE(";",EscStr(CONCATENATE("NavNode_",getCategoryLevelAsString($B329))),";",EscStr($J329),";"),CONCATENATE(";",EscStr(CONCATENATE("NavNode_",getCategoryLevelAsString($B329))),";",EscStr(S329),";")))</f>
        <v>;"NavNode_Computing / Office";"Kamery video/Akcesoria";</v>
      </c>
      <c r="AM329" s="10" t="str">
        <f>IF(getCategoryLevelAsString($B329)="L0D_324785","",IF(T329="",CONCATENATE(";",EscStr(CONCATENATE("NavNode_",getCategoryLevelAsString($B329))),";",EscStr($J329),";"),CONCATENATE(";",EscStr(CONCATENATE("NavNode_",getCategoryLevelAsString($B329))),";",EscStr(T329),";")))</f>
        <v>;"NavNode_Computing / Office";"Видеокамеры / Аксессуары";</v>
      </c>
      <c r="AN329" s="10" t="str">
        <f>IF(getCategoryLevelAsString($B329)="L0D_324785","",IF(U329="",CONCATENATE(";",EscStr(CONCATENATE("NavNode_",getCategoryLevelAsString($B329))),";",EscStr($J329),";"),CONCATENATE(";",EscStr(CONCATENATE("NavNode_",getCategoryLevelAsString($B329))),";",EscStr(U329),";")))</f>
        <v>;"NavNode_Computing / Office";"Videokamery / Příslušenství";</v>
      </c>
      <c r="AO329" s="10" t="str">
        <f>IF(getCategoryLevelAsString($B329)="L0D_324785","",IF(V329="",CONCATENATE(";",EscStr(CONCATENATE("NavNode_",getCategoryLevelAsString($B329))),";",EscStr($J329),";"),CONCATENATE(";",EscStr(CONCATENATE("NavNode_",getCategoryLevelAsString($B329))),";",EscStr(V329),";")))</f>
        <v>;"NavNode_Computing / Office";"Camere video / accesorii";</v>
      </c>
      <c r="AP329" s="10" t="str">
        <f>IF(getCategoryLevelAsString($B329)="L0D_324785","",IF(W329="",CONCATENATE(";",EscStr(CONCATENATE("NavNode_",getCategoryLevelAsString($B329))),";",EscStr($J329),";"),CONCATENATE(";",EscStr(CONCATENATE("NavNode_",getCategoryLevelAsString($B329))),";",EscStr(W329),";")))</f>
        <v>;"NavNode_Computing / Office";"Videókamerák / tartozékok";</v>
      </c>
      <c r="AQ329" s="10" t="str">
        <f>IF(getCategoryLevelAsString($B329)="L0D_324785","",IF(X329="",CONCATENATE(";",EscStr(CONCATENATE("NavNode_",getCategoryLevelAsString($B329))),";",EscStr($J329),";"),CONCATENATE(";",EscStr(CONCATENATE("NavNode_",getCategoryLevelAsString($B329))),";",EscStr(X329),";")))</f>
        <v>;"NavNode_Computing / Office";"Videokamery / Příslušenství";</v>
      </c>
      <c r="AR329" s="8" t="str">
        <f>IF(OR($A329&lt;&gt;"", $G329=""),"",CONCATENATE(";",EscStr(CONCATENATE("NavEntry_",getCategoryLevelAsString($B329))),";",EscStr(CONCATENATE($J329," Navigation Entry")),";",EscStr(CONCATENATE("cat-",getCategoryLevelAsString($B329))),";",EscStr(CONCATENATE("NavNode_",getCategoryLevelAsString($B329))),";"))</f>
        <v>;"NavEntry_Computing / Office";"Video cameras / Accessories Navigation Entry";"cat-Computing / Office";"NavNode_Computing / Office";</v>
      </c>
    </row>
    <row r="330" spans="1:44" ht="15" x14ac:dyDescent="0.25">
      <c r="A330" s="25"/>
      <c r="B330" s="5"/>
      <c r="C330" s="5"/>
      <c r="D330" s="5" t="s">
        <v>616</v>
      </c>
      <c r="E330" s="5"/>
      <c r="F330" s="5"/>
      <c r="G330" s="5" t="s">
        <v>1035</v>
      </c>
      <c r="H330" s="5" t="s">
        <v>801</v>
      </c>
      <c r="I330" s="5" t="s">
        <v>698</v>
      </c>
      <c r="J330" s="5" t="s">
        <v>901</v>
      </c>
      <c r="K330" s="5" t="s">
        <v>1431</v>
      </c>
      <c r="L330" s="5" t="s">
        <v>1670</v>
      </c>
      <c r="M330" s="5" t="s">
        <v>1871</v>
      </c>
      <c r="N330" s="5" t="s">
        <v>2089</v>
      </c>
      <c r="O330" s="5" t="s">
        <v>4650</v>
      </c>
      <c r="P330" s="5" t="s">
        <v>4651</v>
      </c>
      <c r="Q330" s="5" t="s">
        <v>4652</v>
      </c>
      <c r="R330" s="5" t="s">
        <v>4653</v>
      </c>
      <c r="S330" s="5" t="s">
        <v>4654</v>
      </c>
      <c r="T330" s="5" t="s">
        <v>4655</v>
      </c>
      <c r="U330" s="5" t="s">
        <v>4656</v>
      </c>
      <c r="V330" s="5" t="s">
        <v>4657</v>
      </c>
      <c r="W330" s="5" t="s">
        <v>4658</v>
      </c>
      <c r="X330" s="5" t="s">
        <v>4656</v>
      </c>
      <c r="Y330" s="10" t="str">
        <f>IF(OR($A330&lt;&gt;"", $G330=""),"",CONCATENATE(";",EscStr(CONCATENATE("NavNode_",getCategoryLevelAsString($B330))),";",EscStr($J330),";",IF($B330&lt;&gt;"","""MainNavNode""",EscStr(CONCATENATE("NavNode_",getSuperCategory($B330, getCategoryLevelAsNumber($B330))))),";"))</f>
        <v>;"NavNode_L2D_542662";"SAT / Digital Receivers / Aerials";"NavNode_Computing / Office";</v>
      </c>
      <c r="Z330" s="10" t="str">
        <f>IF(getCategoryLevelAsString($B330)="L0D_324785","",IF(G330="",CONCATENATE(";",EscStr(CONCATENATE("NavNode_",getCategoryLevelAsString($B330))),";",EscStr($J330),";"),CONCATENATE(";",EscStr(CONCATENATE("NavNode_",getCategoryLevelAsString($B330))),";",EscStr(G330),";")))</f>
        <v>;"NavNode_L2D_542662";"SAT / Digitalreceiver / Antennen";</v>
      </c>
      <c r="AA330" s="10" t="str">
        <f>IF(getCategoryLevelAsString($B330)="L0D_324785","",IF(H330="",CONCATENATE(";",EscStr(CONCATENATE("NavNode_",getCategoryLevelAsString($B330))),";",EscStr($J330),";"),CONCATENATE(";",EscStr(CONCATENATE("NavNode_",getCategoryLevelAsString($B330))),";",EscStr(H330),";")))</f>
        <v>;"NavNode_L2D_542662";"SAT / Récepteurs numériques / Antennes";</v>
      </c>
      <c r="AB330" s="10" t="str">
        <f>IF(getCategoryLevelAsString($B330)="L0D_324785","",IF(I330="",CONCATENATE(";",EscStr(CONCATENATE("NavNode_",getCategoryLevelAsString($B330))),";",EscStr($J330),";"),CONCATENATE(";",EscStr(CONCATENATE("NavNode_",getCategoryLevelAsString($B330))),";",EscStr(I330),";")))</f>
        <v>;"NavNode_L2D_542662";"SAT / ricevitori digitali / antenne";</v>
      </c>
      <c r="AC330" s="10" t="str">
        <f>IF(getCategoryLevelAsString($B330)="L0D_324785","",IF(J330="",CONCATENATE(";",EscStr(CONCATENATE("NavNode_",getCategoryLevelAsString($B330))),";",EscStr($J330),";"),CONCATENATE(";",EscStr(CONCATENATE("NavNode_",getCategoryLevelAsString($B330))),";",EscStr(J330),";")))</f>
        <v>;"NavNode_L2D_542662";"SAT / Digital Receivers / Aerials";</v>
      </c>
      <c r="AD330" s="10" t="str">
        <f>IF(getCategoryLevelAsString($B330)="L0D_324785","",IF(K330="",CONCATENATE(";",EscStr(CONCATENATE("NavNode_",getCategoryLevelAsString($B330))),";",EscStr($J330),";"),CONCATENATE(";",EscStr(CONCATENATE("NavNode_",getCategoryLevelAsString($B330))),";",EscStr(K330),";")))</f>
        <v>;"NavNode_L2D_542662";"SAT/digitale modtagere/luftledninger";</v>
      </c>
      <c r="AE330" s="10" t="str">
        <f>IF(getCategoryLevelAsString($B330)="L0D_324785","",IF(L330="",CONCATENATE(";",EscStr(CONCATENATE("NavNode_",getCategoryLevelAsString($B330))),";",EscStr($J330),";"),CONCATENATE(";",EscStr(CONCATENATE("NavNode_",getCategoryLevelAsString($B330))),";",EscStr(L330),";")))</f>
        <v>;"NavNode_L2D_542662";"SAT / skaitmeniniai imtuvai / antenos";</v>
      </c>
      <c r="AF330" s="10" t="str">
        <f>IF(getCategoryLevelAsString($B330)="L0D_324785","",IF(M330="",CONCATENATE(";",EscStr(CONCATENATE("NavNode_",getCategoryLevelAsString($B330))),";",EscStr($J330),";"),CONCATENATE(";",EscStr(CONCATENATE("NavNode_",getCategoryLevelAsString($B330))),";",EscStr(M330),";")))</f>
        <v>;"NavNode_L2D_542662";"SAT/digitale mottakere/antenner";</v>
      </c>
      <c r="AG330" s="10" t="str">
        <f>IF(getCategoryLevelAsString($B330)="L0D_324785","",IF(N330="",CONCATENATE(";",EscStr(CONCATENATE("NavNode_",getCategoryLevelAsString($B330))),";",EscStr($J330),";"),CONCATENATE(";",EscStr(CONCATENATE("NavNode_",getCategoryLevelAsString($B330))),";",EscStr(N330),";")))</f>
        <v>;"NavNode_L2D_542662";"SAT/Digitala mottagare/Antenner";</v>
      </c>
      <c r="AH330" s="10" t="str">
        <f>IF(getCategoryLevelAsString($B330)="L0D_324785","",IF(O330="",CONCATENATE(";",EscStr(CONCATENATE("NavNode_",getCategoryLevelAsString($B330))),";",EscStr($J330),";"),CONCATENATE(";",EscStr(CONCATENATE("NavNode_",getCategoryLevelAsString($B330))),";",EscStr(O330),";")))</f>
        <v>;"NavNode_L2D_542662";"SAT / Digi vastuvõtjad / Antennid";</v>
      </c>
      <c r="AI330" s="10" t="str">
        <f>IF(getCategoryLevelAsString($B330)="L0D_324785","",IF(P330="",CONCATENATE(";",EscStr(CONCATENATE("NavNode_",getCategoryLevelAsString($B330))),";",EscStr($J330),";"),CONCATENATE(";",EscStr(CONCATENATE("NavNode_",getCategoryLevelAsString($B330))),";",EscStr(P330),";")))</f>
        <v>;"NavNode_L2D_542662";"SAT / Digiboxit/Antennit";</v>
      </c>
      <c r="AJ330" s="10" t="str">
        <f>IF(getCategoryLevelAsString($B330)="L0D_324785","",IF(Q330="",CONCATENATE(";",EscStr(CONCATENATE("NavNode_",getCategoryLevelAsString($B330))),";",EscStr($J330),";"),CONCATENATE(";",EscStr(CONCATENATE("NavNode_",getCategoryLevelAsString($B330))),";",EscStr(Q330),";")))</f>
        <v>;"NavNode_L2D_542662";"SAT / Digitālie uztvērēji / Antenas";</v>
      </c>
      <c r="AK330" s="10" t="str">
        <f>IF(getCategoryLevelAsString($B330)="L0D_324785","",IF(R330="",CONCATENATE(";",EscStr(CONCATENATE("NavNode_",getCategoryLevelAsString($B330))),";",EscStr($J330),";"),CONCATENATE(";",EscStr(CONCATENATE("NavNode_",getCategoryLevelAsString($B330))),";",EscStr(R330),";")))</f>
        <v>;"NavNode_L2D_542662";"SAT / Digitale ontvangers / Antennes";</v>
      </c>
      <c r="AL330" s="10" t="str">
        <f>IF(getCategoryLevelAsString($B330)="L0D_324785","",IF(S330="",CONCATENATE(";",EscStr(CONCATENATE("NavNode_",getCategoryLevelAsString($B330))),";",EscStr($J330),";"),CONCATENATE(";",EscStr(CONCATENATE("NavNode_",getCategoryLevelAsString($B330))),";",EscStr(S330),";")))</f>
        <v>;"NavNode_L2D_542662";"SAT/Dekodery SAT / Anteny";</v>
      </c>
      <c r="AM330" s="10" t="str">
        <f>IF(getCategoryLevelAsString($B330)="L0D_324785","",IF(T330="",CONCATENATE(";",EscStr(CONCATENATE("NavNode_",getCategoryLevelAsString($B330))),";",EscStr($J330),";"),CONCATENATE(";",EscStr(CONCATENATE("NavNode_",getCategoryLevelAsString($B330))),";",EscStr(T330),";")))</f>
        <v>;"NavNode_L2D_542662";"SAT /  Цифровые приемники / Антенны";</v>
      </c>
      <c r="AN330" s="10" t="str">
        <f>IF(getCategoryLevelAsString($B330)="L0D_324785","",IF(U330="",CONCATENATE(";",EscStr(CONCATENATE("NavNode_",getCategoryLevelAsString($B330))),";",EscStr($J330),";"),CONCATENATE(";",EscStr(CONCATENATE("NavNode_",getCategoryLevelAsString($B330))),";",EscStr(U330),";")))</f>
        <v>;"NavNode_L2D_542662";"SAT / Digitální přijímač / Antény";</v>
      </c>
      <c r="AO330" s="10" t="str">
        <f>IF(getCategoryLevelAsString($B330)="L0D_324785","",IF(V330="",CONCATENATE(";",EscStr(CONCATENATE("NavNode_",getCategoryLevelAsString($B330))),";",EscStr($J330),";"),CONCATENATE(";",EscStr(CONCATENATE("NavNode_",getCategoryLevelAsString($B330))),";",EscStr(V330),";")))</f>
        <v>;"NavNode_L2D_542662";"Satelit / receptor digital / antena";</v>
      </c>
      <c r="AP330" s="10" t="str">
        <f>IF(getCategoryLevelAsString($B330)="L0D_324785","",IF(W330="",CONCATENATE(";",EscStr(CONCATENATE("NavNode_",getCategoryLevelAsString($B330))),";",EscStr($J330),";"),CONCATENATE(";",EscStr(CONCATENATE("NavNode_",getCategoryLevelAsString($B330))),";",EscStr(W330),";")))</f>
        <v>;"NavNode_L2D_542662";"SAT / Digitalreceiver / Antenna";</v>
      </c>
      <c r="AQ330" s="10" t="str">
        <f>IF(getCategoryLevelAsString($B330)="L0D_324785","",IF(X330="",CONCATENATE(";",EscStr(CONCATENATE("NavNode_",getCategoryLevelAsString($B330))),";",EscStr($J330),";"),CONCATENATE(";",EscStr(CONCATENATE("NavNode_",getCategoryLevelAsString($B330))),";",EscStr(X330),";")))</f>
        <v>;"NavNode_L2D_542662";"SAT / Digitální přijímač / Antény";</v>
      </c>
      <c r="AR330" s="8" t="str">
        <f>IF(OR($A330&lt;&gt;"", $G330=""),"",CONCATENATE(";",EscStr(CONCATENATE("NavEntry_",getCategoryLevelAsString($B330))),";",EscStr(CONCATENATE($J330," Navigation Entry")),";",EscStr(CONCATENATE("cat-",getCategoryLevelAsString($B330))),";",EscStr(CONCATENATE("NavNode_",getCategoryLevelAsString($B330))),";"))</f>
        <v>;"NavEntry_L2D_542662";"SAT / Digital Receivers / Aerials Navigation Entry";"cat-L2D_542662";"NavNode_L2D_542662";</v>
      </c>
    </row>
    <row r="331" spans="1:44" ht="15" x14ac:dyDescent="0.25">
      <c r="A331" s="25"/>
      <c r="B331" s="5"/>
      <c r="C331" s="5"/>
      <c r="D331" s="5" t="s">
        <v>585</v>
      </c>
      <c r="E331" s="5"/>
      <c r="F331" s="5"/>
      <c r="G331" s="5" t="s">
        <v>802</v>
      </c>
      <c r="H331" s="5" t="s">
        <v>802</v>
      </c>
      <c r="I331" s="5" t="s">
        <v>653</v>
      </c>
      <c r="J331" s="5" t="s">
        <v>802</v>
      </c>
      <c r="K331" s="5" t="s">
        <v>1433</v>
      </c>
      <c r="L331" s="5" t="s">
        <v>1672</v>
      </c>
      <c r="M331" s="5" t="s">
        <v>1873</v>
      </c>
      <c r="N331" s="5" t="s">
        <v>2091</v>
      </c>
      <c r="O331" s="5" t="s">
        <v>4659</v>
      </c>
      <c r="P331" s="5" t="s">
        <v>4660</v>
      </c>
      <c r="Q331" s="5" t="s">
        <v>4661</v>
      </c>
      <c r="R331" s="5" t="s">
        <v>4662</v>
      </c>
      <c r="S331" s="5" t="s">
        <v>4663</v>
      </c>
      <c r="T331" s="5" t="s">
        <v>4664</v>
      </c>
      <c r="U331" s="5" t="s">
        <v>4665</v>
      </c>
      <c r="V331" s="5" t="s">
        <v>4662</v>
      </c>
      <c r="W331" s="5" t="s">
        <v>4666</v>
      </c>
      <c r="X331" s="5" t="s">
        <v>4665</v>
      </c>
      <c r="Y331" s="10" t="str">
        <f>IF(OR($A331&lt;&gt;"", $G331=""),"",CONCATENATE(";",EscStr(CONCATENATE("NavNode_",getCategoryLevelAsString($B331))),";",EscStr($J331),";",IF($B331&lt;&gt;"","""MainNavNode""",EscStr(CONCATENATE("NavNode_",getSuperCategory($B331, getCategoryLevelAsNumber($B331))))),";"))</f>
        <v>;"NavNode_L3D_542666";"Navigation / GPS";"NavNode_L2D_542662";</v>
      </c>
      <c r="Z331" s="10" t="str">
        <f>IF(getCategoryLevelAsString($B331)="L0D_324785","",IF(G331="",CONCATENATE(";",EscStr(CONCATENATE("NavNode_",getCategoryLevelAsString($B331))),";",EscStr($J331),";"),CONCATENATE(";",EscStr(CONCATENATE("NavNode_",getCategoryLevelAsString($B331))),";",EscStr(G331),";")))</f>
        <v>;"NavNode_L3D_542666";"Navigation / GPS";</v>
      </c>
      <c r="AA331" s="10" t="str">
        <f>IF(getCategoryLevelAsString($B331)="L0D_324785","",IF(H331="",CONCATENATE(";",EscStr(CONCATENATE("NavNode_",getCategoryLevelAsString($B331))),";",EscStr($J331),";"),CONCATENATE(";",EscStr(CONCATENATE("NavNode_",getCategoryLevelAsString($B331))),";",EscStr(H331),";")))</f>
        <v>;"NavNode_L3D_542666";"Navigation / GPS";</v>
      </c>
      <c r="AB331" s="10" t="str">
        <f>IF(getCategoryLevelAsString($B331)="L0D_324785","",IF(I331="",CONCATENATE(";",EscStr(CONCATENATE("NavNode_",getCategoryLevelAsString($B331))),";",EscStr($J331),";"),CONCATENATE(";",EscStr(CONCATENATE("NavNode_",getCategoryLevelAsString($B331))),";",EscStr(I331),";")))</f>
        <v>;"NavNode_L3D_542666";"Navigazione / GPS";</v>
      </c>
      <c r="AC331" s="10" t="str">
        <f>IF(getCategoryLevelAsString($B331)="L0D_324785","",IF(J331="",CONCATENATE(";",EscStr(CONCATENATE("NavNode_",getCategoryLevelAsString($B331))),";",EscStr($J331),";"),CONCATENATE(";",EscStr(CONCATENATE("NavNode_",getCategoryLevelAsString($B331))),";",EscStr(J331),";")))</f>
        <v>;"NavNode_L3D_542666";"Navigation / GPS";</v>
      </c>
      <c r="AD331" s="10" t="str">
        <f>IF(getCategoryLevelAsString($B331)="L0D_324785","",IF(K331="",CONCATENATE(";",EscStr(CONCATENATE("NavNode_",getCategoryLevelAsString($B331))),";",EscStr($J331),";"),CONCATENATE(";",EscStr(CONCATENATE("NavNode_",getCategoryLevelAsString($B331))),";",EscStr(K331),";")))</f>
        <v>;"NavNode_L3D_542666";"Navigation/GPS";</v>
      </c>
      <c r="AE331" s="10" t="str">
        <f>IF(getCategoryLevelAsString($B331)="L0D_324785","",IF(L331="",CONCATENATE(";",EscStr(CONCATENATE("NavNode_",getCategoryLevelAsString($B331))),";",EscStr($J331),";"),CONCATENATE(";",EscStr(CONCATENATE("NavNode_",getCategoryLevelAsString($B331))),";",EscStr(L331),";")))</f>
        <v>;"NavNode_L3D_542666";"Navigacija / GPS";</v>
      </c>
      <c r="AF331" s="10" t="str">
        <f>IF(getCategoryLevelAsString($B331)="L0D_324785","",IF(M331="",CONCATENATE(";",EscStr(CONCATENATE("NavNode_",getCategoryLevelAsString($B331))),";",EscStr($J331),";"),CONCATENATE(";",EscStr(CONCATENATE("NavNode_",getCategoryLevelAsString($B331))),";",EscStr(M331),";")))</f>
        <v>;"NavNode_L3D_542666";"Navigasjon/GPS";</v>
      </c>
      <c r="AG331" s="10" t="str">
        <f>IF(getCategoryLevelAsString($B331)="L0D_324785","",IF(N331="",CONCATENATE(";",EscStr(CONCATENATE("NavNode_",getCategoryLevelAsString($B331))),";",EscStr($J331),";"),CONCATENATE(";",EscStr(CONCATENATE("NavNode_",getCategoryLevelAsString($B331))),";",EscStr(N331),";")))</f>
        <v>;"NavNode_L3D_542666";"Navigering/GPS";</v>
      </c>
      <c r="AH331" s="10" t="str">
        <f>IF(getCategoryLevelAsString($B331)="L0D_324785","",IF(O331="",CONCATENATE(";",EscStr(CONCATENATE("NavNode_",getCategoryLevelAsString($B331))),";",EscStr($J331),";"),CONCATENATE(";",EscStr(CONCATENATE("NavNode_",getCategoryLevelAsString($B331))),";",EscStr(O331),";")))</f>
        <v>;"NavNode_L3D_542666";"Navigatsioon / GPS";</v>
      </c>
      <c r="AI331" s="10" t="str">
        <f>IF(getCategoryLevelAsString($B331)="L0D_324785","",IF(P331="",CONCATENATE(";",EscStr(CONCATENATE("NavNode_",getCategoryLevelAsString($B331))),";",EscStr($J331),";"),CONCATENATE(";",EscStr(CONCATENATE("NavNode_",getCategoryLevelAsString($B331))),";",EscStr(P331),";")))</f>
        <v>;"NavNode_L3D_542666";"Navigaattorit / GPS";</v>
      </c>
      <c r="AJ331" s="10" t="str">
        <f>IF(getCategoryLevelAsString($B331)="L0D_324785","",IF(Q331="",CONCATENATE(";",EscStr(CONCATENATE("NavNode_",getCategoryLevelAsString($B331))),";",EscStr($J331),";"),CONCATENATE(";",EscStr(CONCATENATE("NavNode_",getCategoryLevelAsString($B331))),";",EscStr(Q331),";")))</f>
        <v>;"NavNode_L3D_542666";"Navigācija / GPS";</v>
      </c>
      <c r="AK331" s="10" t="str">
        <f>IF(getCategoryLevelAsString($B331)="L0D_324785","",IF(R331="",CONCATENATE(";",EscStr(CONCATENATE("NavNode_",getCategoryLevelAsString($B331))),";",EscStr($J331),";"),CONCATENATE(";",EscStr(CONCATENATE("NavNode_",getCategoryLevelAsString($B331))),";",EscStr(R331),";")))</f>
        <v>;"NavNode_L3D_542666";"Navigatie / GPS";</v>
      </c>
      <c r="AL331" s="10" t="str">
        <f>IF(getCategoryLevelAsString($B331)="L0D_324785","",IF(S331="",CONCATENATE(";",EscStr(CONCATENATE("NavNode_",getCategoryLevelAsString($B331))),";",EscStr($J331),";"),CONCATENATE(";",EscStr(CONCATENATE("NavNode_",getCategoryLevelAsString($B331))),";",EscStr(S331),";")))</f>
        <v>;"NavNode_L3D_542666";"Nawigacje GPS";</v>
      </c>
      <c r="AM331" s="10" t="str">
        <f>IF(getCategoryLevelAsString($B331)="L0D_324785","",IF(T331="",CONCATENATE(";",EscStr(CONCATENATE("NavNode_",getCategoryLevelAsString($B331))),";",EscStr($J331),";"),CONCATENATE(";",EscStr(CONCATENATE("NavNode_",getCategoryLevelAsString($B331))),";",EscStr(T331),";")))</f>
        <v>;"NavNode_L3D_542666";"Навигация / GPS";</v>
      </c>
      <c r="AN331" s="10" t="str">
        <f>IF(getCategoryLevelAsString($B331)="L0D_324785","",IF(U331="",CONCATENATE(";",EscStr(CONCATENATE("NavNode_",getCategoryLevelAsString($B331))),";",EscStr($J331),";"),CONCATENATE(";",EscStr(CONCATENATE("NavNode_",getCategoryLevelAsString($B331))),";",EscStr(U331),";")))</f>
        <v>;"NavNode_L3D_542666";"Navigace / GPS";</v>
      </c>
      <c r="AO331" s="10" t="str">
        <f>IF(getCategoryLevelAsString($B331)="L0D_324785","",IF(V331="",CONCATENATE(";",EscStr(CONCATENATE("NavNode_",getCategoryLevelAsString($B331))),";",EscStr($J331),";"),CONCATENATE(";",EscStr(CONCATENATE("NavNode_",getCategoryLevelAsString($B331))),";",EscStr(V331),";")))</f>
        <v>;"NavNode_L3D_542666";"Navigatie / GPS";</v>
      </c>
      <c r="AP331" s="10" t="str">
        <f>IF(getCategoryLevelAsString($B331)="L0D_324785","",IF(W331="",CONCATENATE(";",EscStr(CONCATENATE("NavNode_",getCategoryLevelAsString($B331))),";",EscStr($J331),";"),CONCATENATE(";",EscStr(CONCATENATE("NavNode_",getCategoryLevelAsString($B331))),";",EscStr(W331),";")))</f>
        <v>;"NavNode_L3D_542666";"Navigáció / GPS";</v>
      </c>
      <c r="AQ331" s="10" t="str">
        <f>IF(getCategoryLevelAsString($B331)="L0D_324785","",IF(X331="",CONCATENATE(";",EscStr(CONCATENATE("NavNode_",getCategoryLevelAsString($B331))),";",EscStr($J331),";"),CONCATENATE(";",EscStr(CONCATENATE("NavNode_",getCategoryLevelAsString($B331))),";",EscStr(X331),";")))</f>
        <v>;"NavNode_L3D_542666";"Navigace / GPS";</v>
      </c>
      <c r="AR331" s="8" t="str">
        <f>IF(OR($A331&lt;&gt;"", $G331=""),"",CONCATENATE(";",EscStr(CONCATENATE("NavEntry_",getCategoryLevelAsString($B331))),";",EscStr(CONCATENATE($J331," Navigation Entry")),";",EscStr(CONCATENATE("cat-",getCategoryLevelAsString($B331))),";",EscStr(CONCATENATE("NavNode_",getCategoryLevelAsString($B331))),";"))</f>
        <v>;"NavEntry_L3D_542666";"Navigation / GPS Navigation Entry";"cat-L3D_542666";"NavNode_L3D_542666";</v>
      </c>
    </row>
    <row r="332" spans="1:44" s="17" customFormat="1" ht="14.25" x14ac:dyDescent="0.2">
      <c r="A332" s="24">
        <v>13</v>
      </c>
      <c r="B332" s="13" t="s">
        <v>12585</v>
      </c>
      <c r="C332" s="14"/>
      <c r="E332" s="13"/>
      <c r="F332" s="13"/>
      <c r="G332" s="13" t="s">
        <v>994</v>
      </c>
      <c r="H332" s="13" t="s">
        <v>453</v>
      </c>
      <c r="I332" s="13" t="s">
        <v>1200</v>
      </c>
      <c r="J332" s="13" t="s">
        <v>847</v>
      </c>
      <c r="K332" s="13" t="s">
        <v>2097</v>
      </c>
      <c r="L332" s="13" t="s">
        <v>2098</v>
      </c>
      <c r="M332" s="13" t="s">
        <v>2097</v>
      </c>
      <c r="N332" s="13" t="s">
        <v>2097</v>
      </c>
      <c r="O332" s="13" t="s">
        <v>4166</v>
      </c>
      <c r="P332" s="13" t="s">
        <v>4167</v>
      </c>
      <c r="Q332" s="13" t="s">
        <v>4168</v>
      </c>
      <c r="R332" s="13" t="s">
        <v>847</v>
      </c>
      <c r="S332" s="13" t="s">
        <v>4169</v>
      </c>
      <c r="T332" s="13" t="s">
        <v>4170</v>
      </c>
      <c r="U332" s="13" t="s">
        <v>4171</v>
      </c>
      <c r="V332" s="13" t="s">
        <v>4172</v>
      </c>
      <c r="W332" s="13" t="s">
        <v>4173</v>
      </c>
      <c r="X332" s="13" t="s">
        <v>4171</v>
      </c>
      <c r="Y332" s="15" t="str">
        <f>IF(OR($A332&lt;&gt;"", $G332=""),"",CONCATENATE(";",EscStr(CONCATENATE("NavNode_",getCategoryLevelAsString($B332))),";",EscStr($J332),";",IF($B332&lt;&gt;"","""MainNavNode""",EscStr(CONCATENATE("NavNode_",getSuperCategory($B332, getCategoryLevelAsNumber($B332))))),";"))</f>
        <v/>
      </c>
      <c r="Z332" s="15" t="str">
        <f>IF(getCategoryLevelAsString($B332)="L0D_324785","",IF(G332="",CONCATENATE(";",EscStr(CONCATENATE("NavNode_",getCategoryLevelAsString($B332))),";",EscStr($J332),";"),CONCATENATE(";",EscStr(CONCATENATE("NavNode_",getCategoryLevelAsString($B332))),";",EscStr(G332),";")))</f>
        <v>;"NavNode_L3D_542730";"Computer &amp; Hobby";</v>
      </c>
      <c r="AA332" s="15" t="str">
        <f>IF(getCategoryLevelAsString($B332)="L0D_324785","",IF(H332="",CONCATENATE(";",EscStr(CONCATENATE("NavNode_",getCategoryLevelAsString($B332))),";",EscStr($J332),";"),CONCATENATE(";",EscStr(CONCATENATE("NavNode_",getCategoryLevelAsString($B332))),";",EscStr(H332),";")))</f>
        <v>;"NavNode_L3D_542730";"Informatique et loisirs";</v>
      </c>
      <c r="AB332" s="15" t="str">
        <f>IF(getCategoryLevelAsString($B332)="L0D_324785","",IF(I332="",CONCATENATE(";",EscStr(CONCATENATE("NavNode_",getCategoryLevelAsString($B332))),";",EscStr($J332),";"),CONCATENATE(";",EscStr(CONCATENATE("NavNode_",getCategoryLevelAsString($B332))),";",EscStr(I332),";")))</f>
        <v>;"NavNode_L3D_542730";"ICT e hobby";</v>
      </c>
      <c r="AC332" s="15" t="str">
        <f>IF(getCategoryLevelAsString($B332)="L0D_324785","",IF(J332="",CONCATENATE(";",EscStr(CONCATENATE("NavNode_",getCategoryLevelAsString($B332))),";",EscStr($J332),";"),CONCATENATE(";",EscStr(CONCATENATE("NavNode_",getCategoryLevelAsString($B332))),";",EscStr(J332),";")))</f>
        <v>;"NavNode_L3D_542730";"Computing &amp; Hobby";</v>
      </c>
      <c r="AD332" s="15" t="str">
        <f>IF(getCategoryLevelAsString($B332)="L0D_324785","",IF(K332="",CONCATENATE(";",EscStr(CONCATENATE("NavNode_",getCategoryLevelAsString($B332))),";",EscStr($J332),";"),CONCATENATE(";",EscStr(CONCATENATE("NavNode_",getCategoryLevelAsString($B332))),";",EscStr(K332),";")))</f>
        <v>;"NavNode_L3D_542730";"IT &amp; hobby";</v>
      </c>
      <c r="AE332" s="15" t="str">
        <f>IF(getCategoryLevelAsString($B332)="L0D_324785","",IF(L332="",CONCATENATE(";",EscStr(CONCATENATE("NavNode_",getCategoryLevelAsString($B332))),";",EscStr($J332),";"),CONCATENATE(";",EscStr(CONCATENATE("NavNode_",getCategoryLevelAsString($B332))),";",EscStr(L332),";")))</f>
        <v>;"NavNode_L3D_542730";"Kompiuterija ir hobis";</v>
      </c>
      <c r="AF332" s="15" t="str">
        <f>IF(getCategoryLevelAsString($B332)="L0D_324785","",IF(M332="",CONCATENATE(";",EscStr(CONCATENATE("NavNode_",getCategoryLevelAsString($B332))),";",EscStr($J332),";"),CONCATENATE(";",EscStr(CONCATENATE("NavNode_",getCategoryLevelAsString($B332))),";",EscStr(M332),";")))</f>
        <v>;"NavNode_L3D_542730";"IT &amp; hobby";</v>
      </c>
      <c r="AG332" s="15" t="str">
        <f>IF(getCategoryLevelAsString($B332)="L0D_324785","",IF(N332="",CONCATENATE(";",EscStr(CONCATENATE("NavNode_",getCategoryLevelAsString($B332))),";",EscStr($J332),";"),CONCATENATE(";",EscStr(CONCATENATE("NavNode_",getCategoryLevelAsString($B332))),";",EscStr(N332),";")))</f>
        <v>;"NavNode_L3D_542730";"IT &amp; hobby";</v>
      </c>
      <c r="AH332" s="15" t="str">
        <f>IF(getCategoryLevelAsString($B332)="L0D_324785","",IF(O332="",CONCATENATE(";",EscStr(CONCATENATE("NavNode_",getCategoryLevelAsString($B332))),";",EscStr($J332),";"),CONCATENATE(";",EscStr(CONCATENATE("NavNode_",getCategoryLevelAsString($B332))),";",EscStr(O332),";")))</f>
        <v>;"NavNode_L3D_542730";"Arvutustehnika ja hobi";</v>
      </c>
      <c r="AI332" s="15" t="str">
        <f>IF(getCategoryLevelAsString($B332)="L0D_324785","",IF(P332="",CONCATENATE(";",EscStr(CONCATENATE("NavNode_",getCategoryLevelAsString($B332))),";",EscStr($J332),";"),CONCATENATE(";",EscStr(CONCATENATE("NavNode_",getCategoryLevelAsString($B332))),";",EscStr(P332),";")))</f>
        <v>;"NavNode_L3D_542730";"Tietotekniikka ja harrastus";</v>
      </c>
      <c r="AJ332" s="15" t="str">
        <f>IF(getCategoryLevelAsString($B332)="L0D_324785","",IF(Q332="",CONCATENATE(";",EscStr(CONCATENATE("NavNode_",getCategoryLevelAsString($B332))),";",EscStr($J332),";"),CONCATENATE(";",EscStr(CONCATENATE("NavNode_",getCategoryLevelAsString($B332))),";",EscStr(Q332),";")))</f>
        <v>;"NavNode_L3D_542730";"Datortehnika un hobiji";</v>
      </c>
      <c r="AK332" s="15" t="str">
        <f>IF(getCategoryLevelAsString($B332)="L0D_324785","",IF(R332="",CONCATENATE(";",EscStr(CONCATENATE("NavNode_",getCategoryLevelAsString($B332))),";",EscStr($J332),";"),CONCATENATE(";",EscStr(CONCATENATE("NavNode_",getCategoryLevelAsString($B332))),";",EscStr(R332),";")))</f>
        <v>;"NavNode_L3D_542730";"Computing &amp; Hobby";</v>
      </c>
      <c r="AL332" s="15" t="str">
        <f>IF(getCategoryLevelAsString($B332)="L0D_324785","",IF(S332="",CONCATENATE(";",EscStr(CONCATENATE("NavNode_",getCategoryLevelAsString($B332))),";",EscStr($J332),";"),CONCATENATE(";",EscStr(CONCATENATE("NavNode_",getCategoryLevelAsString($B332))),";",EscStr(S332),";")))</f>
        <v>;"NavNode_L3D_542730";"Informatyka i Hobby";</v>
      </c>
      <c r="AM332" s="15" t="str">
        <f>IF(getCategoryLevelAsString($B332)="L0D_324785","",IF(T332="",CONCATENATE(";",EscStr(CONCATENATE("NavNode_",getCategoryLevelAsString($B332))),";",EscStr($J332),";"),CONCATENATE(";",EscStr(CONCATENATE("NavNode_",getCategoryLevelAsString($B332))),";",EscStr(T332),";")))</f>
        <v>;"NavNode_L3D_542730";"Компьютеры &amp; Хобби";</v>
      </c>
      <c r="AN332" s="15" t="str">
        <f>IF(getCategoryLevelAsString($B332)="L0D_324785","",IF(U332="",CONCATENATE(";",EscStr(CONCATENATE("NavNode_",getCategoryLevelAsString($B332))),";",EscStr($J332),";"),CONCATENATE(";",EscStr(CONCATENATE("NavNode_",getCategoryLevelAsString($B332))),";",EscStr(U332),";")))</f>
        <v>;"NavNode_L3D_542730";"Počítače &amp; Hobby";</v>
      </c>
      <c r="AO332" s="15" t="str">
        <f>IF(getCategoryLevelAsString($B332)="L0D_324785","",IF(V332="",CONCATENATE(";",EscStr(CONCATENATE("NavNode_",getCategoryLevelAsString($B332))),";",EscStr($J332),";"),CONCATENATE(";",EscStr(CONCATENATE("NavNode_",getCategoryLevelAsString($B332))),";",EscStr(V332),";")))</f>
        <v>;"NavNode_L3D_542730";"Calculatorare &amp; hobby";</v>
      </c>
      <c r="AP332" s="15" t="str">
        <f>IF(getCategoryLevelAsString($B332)="L0D_324785","",IF(W332="",CONCATENATE(";",EscStr(CONCATENATE("NavNode_",getCategoryLevelAsString($B332))),";",EscStr($J332),";"),CONCATENATE(";",EscStr(CONCATENATE("NavNode_",getCategoryLevelAsString($B332))),";",EscStr(W332),";")))</f>
        <v>;"NavNode_L3D_542730";"Számítástechnika &amp; Hobbi";</v>
      </c>
      <c r="AQ332" s="15" t="str">
        <f>IF(getCategoryLevelAsString($B332)="L0D_324785","",IF(X332="",CONCATENATE(";",EscStr(CONCATENATE("NavNode_",getCategoryLevelAsString($B332))),";",EscStr($J332),";"),CONCATENATE(";",EscStr(CONCATENATE("NavNode_",getCategoryLevelAsString($B332))),";",EscStr(X332),";")))</f>
        <v>;"NavNode_L3D_542730";"Počítače &amp; Hobby";</v>
      </c>
      <c r="AR332" s="16" t="str">
        <f>IF(OR($A332&lt;&gt;"", $G332=""),"",CONCATENATE(";",EscStr(CONCATENATE("NavEntry_",getCategoryLevelAsString($B332))),";",EscStr(CONCATENATE($J332," Navigation Entry")),";",EscStr(CONCATENATE("cat-",getCategoryLevelAsString($B332))),";",EscStr(CONCATENATE("NavNode_",getCategoryLevelAsString($B332))),";"))</f>
        <v/>
      </c>
    </row>
    <row r="333" spans="1:44" ht="15" x14ac:dyDescent="0.25">
      <c r="A333" s="25"/>
      <c r="B333" s="5"/>
      <c r="C333" s="5" t="s">
        <v>625</v>
      </c>
      <c r="D333" s="5"/>
      <c r="E333" s="5"/>
      <c r="F333" s="5"/>
      <c r="G333" s="5" t="s">
        <v>950</v>
      </c>
      <c r="H333" s="5" t="s">
        <v>748</v>
      </c>
      <c r="I333" s="5" t="s">
        <v>676</v>
      </c>
      <c r="J333" s="5" t="s">
        <v>848</v>
      </c>
      <c r="K333" s="5" t="s">
        <v>1379</v>
      </c>
      <c r="L333" s="5" t="s">
        <v>1615</v>
      </c>
      <c r="M333" s="5" t="s">
        <v>1817</v>
      </c>
      <c r="N333" s="5" t="s">
        <v>2034</v>
      </c>
      <c r="O333" s="5" t="s">
        <v>4174</v>
      </c>
      <c r="P333" s="5" t="s">
        <v>4175</v>
      </c>
      <c r="Q333" s="5" t="s">
        <v>4176</v>
      </c>
      <c r="R333" s="5" t="s">
        <v>4177</v>
      </c>
      <c r="S333" s="5" t="s">
        <v>4178</v>
      </c>
      <c r="T333" s="5" t="s">
        <v>4179</v>
      </c>
      <c r="U333" s="5" t="s">
        <v>4180</v>
      </c>
      <c r="V333" s="5" t="s">
        <v>4181</v>
      </c>
      <c r="W333" s="5" t="s">
        <v>4182</v>
      </c>
      <c r="X333" s="5" t="s">
        <v>4180</v>
      </c>
      <c r="Y333" s="10" t="str">
        <f>IF(OR($A333&lt;&gt;"", $G333=""),"",CONCATENATE(";",EscStr(CONCATENATE("NavNode_",getCategoryLevelAsString($B333))),";",EscStr($J333),";",IF($B333&lt;&gt;"","""MainNavNode""",EscStr(CONCATENATE("NavNode_",getSuperCategory($B333, getCategoryLevelAsNumber($B333))))),";"))</f>
        <v>;"NavNode_L3D_542732";"Computing &amp; PC components";"NavNode_L2D_542662";</v>
      </c>
      <c r="Z333" s="10" t="str">
        <f>IF(getCategoryLevelAsString($B333)="L0D_324785","",IF(G333="",CONCATENATE(";",EscStr(CONCATENATE("NavNode_",getCategoryLevelAsString($B333))),";",EscStr($J333),";"),CONCATENATE(";",EscStr(CONCATENATE("NavNode_",getCategoryLevelAsString($B333))),";",EscStr(G333),";")))</f>
        <v>;"NavNode_L3D_542732";"Computer und PC-Komponenten";</v>
      </c>
      <c r="AA333" s="10" t="str">
        <f>IF(getCategoryLevelAsString($B333)="L0D_324785","",IF(H333="",CONCATENATE(";",EscStr(CONCATENATE("NavNode_",getCategoryLevelAsString($B333))),";",EscStr($J333),";"),CONCATENATE(";",EscStr(CONCATENATE("NavNode_",getCategoryLevelAsString($B333))),";",EscStr(H333),";")))</f>
        <v>;"NavNode_L3D_542732";"Composants informatiques et pour PC";</v>
      </c>
      <c r="AB333" s="10" t="str">
        <f>IF(getCategoryLevelAsString($B333)="L0D_324785","",IF(I333="",CONCATENATE(";",EscStr(CONCATENATE("NavNode_",getCategoryLevelAsString($B333))),";",EscStr($J333),";"),CONCATENATE(";",EscStr(CONCATENATE("NavNode_",getCategoryLevelAsString($B333))),";",EscStr(I333),";")))</f>
        <v>;"NavNode_L3D_542732";"Informatica e componenti PC";</v>
      </c>
      <c r="AC333" s="10" t="str">
        <f>IF(getCategoryLevelAsString($B333)="L0D_324785","",IF(J333="",CONCATENATE(";",EscStr(CONCATENATE("NavNode_",getCategoryLevelAsString($B333))),";",EscStr($J333),";"),CONCATENATE(";",EscStr(CONCATENATE("NavNode_",getCategoryLevelAsString($B333))),";",EscStr(J333),";")))</f>
        <v>;"NavNode_L3D_542732";"Computing &amp; PC components";</v>
      </c>
      <c r="AD333" s="10" t="str">
        <f>IF(getCategoryLevelAsString($B333)="L0D_324785","",IF(K333="",CONCATENATE(";",EscStr(CONCATENATE("NavNode_",getCategoryLevelAsString($B333))),";",EscStr($J333),";"),CONCATENATE(";",EscStr(CONCATENATE("NavNode_",getCategoryLevelAsString($B333))),";",EscStr(K333),";")))</f>
        <v>;"NavNode_L3D_542732";"Computerteknik &amp; pc-komponenter";</v>
      </c>
      <c r="AE333" s="10" t="str">
        <f>IF(getCategoryLevelAsString($B333)="L0D_324785","",IF(L333="",CONCATENATE(";",EscStr(CONCATENATE("NavNode_",getCategoryLevelAsString($B333))),";",EscStr($J333),";"),CONCATENATE(";",EscStr(CONCATENATE("NavNode_",getCategoryLevelAsString($B333))),";",EscStr(L333),";")))</f>
        <v>;"NavNode_L3D_542732";"Kompiuterijos ir PC dalys";</v>
      </c>
      <c r="AF333" s="10" t="str">
        <f>IF(getCategoryLevelAsString($B333)="L0D_324785","",IF(M333="",CONCATENATE(";",EscStr(CONCATENATE("NavNode_",getCategoryLevelAsString($B333))),";",EscStr($J333),";"),CONCATENATE(";",EscStr(CONCATENATE("NavNode_",getCategoryLevelAsString($B333))),";",EscStr(M333),";")))</f>
        <v>;"NavNode_L3D_542732";"Databehandling og PC-komponenter";</v>
      </c>
      <c r="AG333" s="10" t="str">
        <f>IF(getCategoryLevelAsString($B333)="L0D_324785","",IF(N333="",CONCATENATE(";",EscStr(CONCATENATE("NavNode_",getCategoryLevelAsString($B333))),";",EscStr($J333),";"),CONCATENATE(";",EscStr(CONCATENATE("NavNode_",getCategoryLevelAsString($B333))),";",EscStr(N333),";")))</f>
        <v>;"NavNode_L3D_542732";"Datorkomponenter";</v>
      </c>
      <c r="AH333" s="10" t="str">
        <f>IF(getCategoryLevelAsString($B333)="L0D_324785","",IF(O333="",CONCATENATE(";",EscStr(CONCATENATE("NavNode_",getCategoryLevelAsString($B333))),";",EscStr($J333),";"),CONCATENATE(";",EscStr(CONCATENATE("NavNode_",getCategoryLevelAsString($B333))),";",EscStr(O333),";")))</f>
        <v>;"NavNode_L3D_542732";"Arvutustehnika ja lauaarvuti komponendid";</v>
      </c>
      <c r="AI333" s="10" t="str">
        <f>IF(getCategoryLevelAsString($B333)="L0D_324785","",IF(P333="",CONCATENATE(";",EscStr(CONCATENATE("NavNode_",getCategoryLevelAsString($B333))),";",EscStr($J333),";"),CONCATENATE(";",EscStr(CONCATENATE("NavNode_",getCategoryLevelAsString($B333))),";",EscStr(P333),";")))</f>
        <v>;"NavNode_L3D_542732";"Tietokoneet ja komponentit";</v>
      </c>
      <c r="AJ333" s="10" t="str">
        <f>IF(getCategoryLevelAsString($B333)="L0D_324785","",IF(Q333="",CONCATENATE(";",EscStr(CONCATENATE("NavNode_",getCategoryLevelAsString($B333))),";",EscStr($J333),";"),CONCATENATE(";",EscStr(CONCATENATE("NavNode_",getCategoryLevelAsString($B333))),";",EscStr(Q333),";")))</f>
        <v>;"NavNode_L3D_542732";"Datortehnika un PC komponentes";</v>
      </c>
      <c r="AK333" s="10" t="str">
        <f>IF(getCategoryLevelAsString($B333)="L0D_324785","",IF(R333="",CONCATENATE(";",EscStr(CONCATENATE("NavNode_",getCategoryLevelAsString($B333))),";",EscStr($J333),";"),CONCATENATE(";",EscStr(CONCATENATE("NavNode_",getCategoryLevelAsString($B333))),";",EscStr(R333),";")))</f>
        <v>;"NavNode_L3D_542732";"Computing &amp; PC componenten";</v>
      </c>
      <c r="AL333" s="10" t="str">
        <f>IF(getCategoryLevelAsString($B333)="L0D_324785","",IF(S333="",CONCATENATE(";",EscStr(CONCATENATE("NavNode_",getCategoryLevelAsString($B333))),";",EscStr($J333),";"),CONCATENATE(";",EscStr(CONCATENATE("NavNode_",getCategoryLevelAsString($B333))),";",EscStr(S333),";")))</f>
        <v>;"NavNode_L3D_542732";"Informatyka i części do PC";</v>
      </c>
      <c r="AM333" s="10" t="str">
        <f>IF(getCategoryLevelAsString($B333)="L0D_324785","",IF(T333="",CONCATENATE(";",EscStr(CONCATENATE("NavNode_",getCategoryLevelAsString($B333))),";",EscStr($J333),";"),CONCATENATE(";",EscStr(CONCATENATE("NavNode_",getCategoryLevelAsString($B333))),";",EscStr(T333),";")))</f>
        <v>;"NavNode_L3D_542732";"Компьютеры &amp; Компоненты";</v>
      </c>
      <c r="AN333" s="10" t="str">
        <f>IF(getCategoryLevelAsString($B333)="L0D_324785","",IF(U333="",CONCATENATE(";",EscStr(CONCATENATE("NavNode_",getCategoryLevelAsString($B333))),";",EscStr($J333),";"),CONCATENATE(";",EscStr(CONCATENATE("NavNode_",getCategoryLevelAsString($B333))),";",EscStr(U333),";")))</f>
        <v>;"NavNode_L3D_542732";"Počítače a PC komponenty";</v>
      </c>
      <c r="AO333" s="10" t="str">
        <f>IF(getCategoryLevelAsString($B333)="L0D_324785","",IF(V333="",CONCATENATE(";",EscStr(CONCATENATE("NavNode_",getCategoryLevelAsString($B333))),";",EscStr($J333),";"),CONCATENATE(";",EscStr(CONCATENATE("NavNode_",getCategoryLevelAsString($B333))),";",EscStr(V333),";")))</f>
        <v>;"NavNode_L3D_542732";"Calculatoare şi componente de PC";</v>
      </c>
      <c r="AP333" s="10" t="str">
        <f>IF(getCategoryLevelAsString($B333)="L0D_324785","",IF(W333="",CONCATENATE(";",EscStr(CONCATENATE("NavNode_",getCategoryLevelAsString($B333))),";",EscStr($J333),";"),CONCATENATE(";",EscStr(CONCATENATE("NavNode_",getCategoryLevelAsString($B333))),";",EscStr(W333),";")))</f>
        <v>;"NavNode_L3D_542732";"Számítástechnika és tartozékok";</v>
      </c>
      <c r="AQ333" s="10" t="str">
        <f>IF(getCategoryLevelAsString($B333)="L0D_324785","",IF(X333="",CONCATENATE(";",EscStr(CONCATENATE("NavNode_",getCategoryLevelAsString($B333))),";",EscStr($J333),";"),CONCATENATE(";",EscStr(CONCATENATE("NavNode_",getCategoryLevelAsString($B333))),";",EscStr(X333),";")))</f>
        <v>;"NavNode_L3D_542732";"Počítače a PC komponenty";</v>
      </c>
      <c r="AR333" s="8" t="str">
        <f>IF(OR($A333&lt;&gt;"", $G333=""),"",CONCATENATE(";",EscStr(CONCATENATE("NavEntry_",getCategoryLevelAsString($B333))),";",EscStr(CONCATENATE($J333," Navigation Entry")),";",EscStr(CONCATENATE("cat-",getCategoryLevelAsString($B333))),";",EscStr(CONCATENATE("NavNode_",getCategoryLevelAsString($B333))),";"))</f>
        <v>;"NavEntry_L3D_542732";"Computing &amp; PC components Navigation Entry";"cat-L3D_542732";"NavNode_L3D_542732";</v>
      </c>
    </row>
    <row r="334" spans="1:44" ht="15" x14ac:dyDescent="0.25">
      <c r="A334" s="25"/>
      <c r="B334" s="5"/>
      <c r="C334" s="5"/>
      <c r="D334" s="5" t="s">
        <v>626</v>
      </c>
      <c r="E334" s="5"/>
      <c r="F334" s="5"/>
      <c r="G334" s="5" t="s">
        <v>849</v>
      </c>
      <c r="H334" s="5" t="s">
        <v>749</v>
      </c>
      <c r="I334" s="5" t="s">
        <v>677</v>
      </c>
      <c r="J334" s="5" t="s">
        <v>849</v>
      </c>
      <c r="K334" s="5" t="s">
        <v>1380</v>
      </c>
      <c r="L334" s="5" t="s">
        <v>1616</v>
      </c>
      <c r="M334" s="5" t="s">
        <v>1818</v>
      </c>
      <c r="N334" s="5" t="s">
        <v>2035</v>
      </c>
      <c r="O334" s="5" t="s">
        <v>4183</v>
      </c>
      <c r="P334" s="5" t="s">
        <v>4184</v>
      </c>
      <c r="Q334" s="5" t="s">
        <v>4185</v>
      </c>
      <c r="R334" s="5" t="s">
        <v>849</v>
      </c>
      <c r="S334" s="5" t="s">
        <v>4186</v>
      </c>
      <c r="T334" s="5" t="s">
        <v>4187</v>
      </c>
      <c r="U334" s="5" t="s">
        <v>4188</v>
      </c>
      <c r="V334" s="5" t="s">
        <v>4189</v>
      </c>
      <c r="W334" s="5" t="s">
        <v>677</v>
      </c>
      <c r="X334" s="5" t="s">
        <v>4188</v>
      </c>
      <c r="Y334" s="10" t="str">
        <f>IF(OR($A334&lt;&gt;"", $G334=""),"",CONCATENATE(";",EscStr(CONCATENATE("NavNode_",getCategoryLevelAsString($B334))),";",EscStr($J334),";",IF($B334&lt;&gt;"","""MainNavNode""",EscStr(CONCATENATE("NavNode_",getSuperCategory($B334, getCategoryLevelAsNumber($B334))))),";"))</f>
        <v>;"NavNode_L3D_542696";"Notebooks / Tablets / eReader";"NavNode_L2D_542662";</v>
      </c>
      <c r="Z334" s="10" t="str">
        <f>IF(getCategoryLevelAsString($B334)="L0D_324785","",IF(G334="",CONCATENATE(";",EscStr(CONCATENATE("NavNode_",getCategoryLevelAsString($B334))),";",EscStr($J334),";"),CONCATENATE(";",EscStr(CONCATENATE("NavNode_",getCategoryLevelAsString($B334))),";",EscStr(G334),";")))</f>
        <v>;"NavNode_L3D_542696";"Notebooks / Tablets / eReader";</v>
      </c>
      <c r="AA334" s="10" t="str">
        <f>IF(getCategoryLevelAsString($B334)="L0D_324785","",IF(H334="",CONCATENATE(";",EscStr(CONCATENATE("NavNode_",getCategoryLevelAsString($B334))),";",EscStr($J334),";"),CONCATENATE(";",EscStr(CONCATENATE("NavNode_",getCategoryLevelAsString($B334))),";",EscStr(H334),";")))</f>
        <v>;"NavNode_L3D_542696";"Ordinateurs portables / Tablettes / Liseuses numériques";</v>
      </c>
      <c r="AB334" s="10" t="str">
        <f>IF(getCategoryLevelAsString($B334)="L0D_324785","",IF(I334="",CONCATENATE(";",EscStr(CONCATENATE("NavNode_",getCategoryLevelAsString($B334))),";",EscStr($J334),";"),CONCATENATE(";",EscStr(CONCATENATE("NavNode_",getCategoryLevelAsString($B334))),";",EscStr(I334),";")))</f>
        <v>;"NavNode_L3D_542696";"Notebook / Tablet / eReader";</v>
      </c>
      <c r="AC334" s="10" t="str">
        <f>IF(getCategoryLevelAsString($B334)="L0D_324785","",IF(J334="",CONCATENATE(";",EscStr(CONCATENATE("NavNode_",getCategoryLevelAsString($B334))),";",EscStr($J334),";"),CONCATENATE(";",EscStr(CONCATENATE("NavNode_",getCategoryLevelAsString($B334))),";",EscStr(J334),";")))</f>
        <v>;"NavNode_L3D_542696";"Notebooks / Tablets / eReader";</v>
      </c>
      <c r="AD334" s="10" t="str">
        <f>IF(getCategoryLevelAsString($B334)="L0D_324785","",IF(K334="",CONCATENATE(";",EscStr(CONCATENATE("NavNode_",getCategoryLevelAsString($B334))),";",EscStr($J334),";"),CONCATENATE(";",EscStr(CONCATENATE("NavNode_",getCategoryLevelAsString($B334))),";",EscStr(K334),";")))</f>
        <v>;"NavNode_L3D_542696";"Notebooks/tablets/eReader";</v>
      </c>
      <c r="AE334" s="10" t="str">
        <f>IF(getCategoryLevelAsString($B334)="L0D_324785","",IF(L334="",CONCATENATE(";",EscStr(CONCATENATE("NavNode_",getCategoryLevelAsString($B334))),";",EscStr($J334),";"),CONCATENATE(";",EscStr(CONCATENATE("NavNode_",getCategoryLevelAsString($B334))),";",EscStr(L334),";")))</f>
        <v>;"NavNode_L3D_542696";"Knyginiai kompiuteriai / planšetės / el. skaitytuvai";</v>
      </c>
      <c r="AF334" s="10" t="str">
        <f>IF(getCategoryLevelAsString($B334)="L0D_324785","",IF(M334="",CONCATENATE(";",EscStr(CONCATENATE("NavNode_",getCategoryLevelAsString($B334))),";",EscStr($J334),";"),CONCATENATE(";",EscStr(CONCATENATE("NavNode_",getCategoryLevelAsString($B334))),";",EscStr(M334),";")))</f>
        <v>;"NavNode_L3D_542696";"Bærbare datamaskiner/nettbrett/lesebrett";</v>
      </c>
      <c r="AG334" s="10" t="str">
        <f>IF(getCategoryLevelAsString($B334)="L0D_324785","",IF(N334="",CONCATENATE(";",EscStr(CONCATENATE("NavNode_",getCategoryLevelAsString($B334))),";",EscStr($J334),";"),CONCATENATE(";",EscStr(CONCATENATE("NavNode_",getCategoryLevelAsString($B334))),";",EscStr(N334),";")))</f>
        <v>;"NavNode_L3D_542696";"Bärbara datorer/Surfplattor/Läsplattor";</v>
      </c>
      <c r="AH334" s="10" t="str">
        <f>IF(getCategoryLevelAsString($B334)="L0D_324785","",IF(O334="",CONCATENATE(";",EscStr(CONCATENATE("NavNode_",getCategoryLevelAsString($B334))),";",EscStr($J334),";"),CONCATENATE(";",EscStr(CONCATENATE("NavNode_",getCategoryLevelAsString($B334))),";",EscStr(O334),";")))</f>
        <v>;"NavNode_L3D_542696";"Sülearvutid / Tahvelarvutid / e-lugerid";</v>
      </c>
      <c r="AI334" s="10" t="str">
        <f>IF(getCategoryLevelAsString($B334)="L0D_324785","",IF(P334="",CONCATENATE(";",EscStr(CONCATENATE("NavNode_",getCategoryLevelAsString($B334))),";",EscStr($J334),";"),CONCATENATE(";",EscStr(CONCATENATE("NavNode_",getCategoryLevelAsString($B334))),";",EscStr(P334),";")))</f>
        <v>;"NavNode_L3D_542696";"Kannettavat/  tabletit";</v>
      </c>
      <c r="AJ334" s="10" t="str">
        <f>IF(getCategoryLevelAsString($B334)="L0D_324785","",IF(Q334="",CONCATENATE(";",EscStr(CONCATENATE("NavNode_",getCategoryLevelAsString($B334))),";",EscStr($J334),";"),CONCATENATE(";",EscStr(CONCATENATE("NavNode_",getCategoryLevelAsString($B334))),";",EscStr(Q334),";")))</f>
        <v>;"NavNode_L3D_542696";"Portatīvie datori / planšetdatori / e-grāmatas";</v>
      </c>
      <c r="AK334" s="10" t="str">
        <f>IF(getCategoryLevelAsString($B334)="L0D_324785","",IF(R334="",CONCATENATE(";",EscStr(CONCATENATE("NavNode_",getCategoryLevelAsString($B334))),";",EscStr($J334),";"),CONCATENATE(";",EscStr(CONCATENATE("NavNode_",getCategoryLevelAsString($B334))),";",EscStr(R334),";")))</f>
        <v>;"NavNode_L3D_542696";"Notebooks / Tablets / eReader";</v>
      </c>
      <c r="AL334" s="10" t="str">
        <f>IF(getCategoryLevelAsString($B334)="L0D_324785","",IF(S334="",CONCATENATE(";",EscStr(CONCATENATE("NavNode_",getCategoryLevelAsString($B334))),";",EscStr($J334),";"),CONCATENATE(";",EscStr(CONCATENATE("NavNode_",getCategoryLevelAsString($B334))),";",EscStr(S334),";")))</f>
        <v>;"NavNode_L3D_542696";"Notebooki / Tablety / E-czytniki";</v>
      </c>
      <c r="AM334" s="10" t="str">
        <f>IF(getCategoryLevelAsString($B334)="L0D_324785","",IF(T334="",CONCATENATE(";",EscStr(CONCATENATE("NavNode_",getCategoryLevelAsString($B334))),";",EscStr($J334),";"),CONCATENATE(";",EscStr(CONCATENATE("NavNode_",getCategoryLevelAsString($B334))),";",EscStr(T334),";")))</f>
        <v>;"NavNode_L3D_542696";"Портативные компьютеры / Планшеты / е-книги";</v>
      </c>
      <c r="AN334" s="10" t="str">
        <f>IF(getCategoryLevelAsString($B334)="L0D_324785","",IF(U334="",CONCATENATE(";",EscStr(CONCATENATE("NavNode_",getCategoryLevelAsString($B334))),";",EscStr($J334),";"),CONCATENATE(";",EscStr(CONCATENATE("NavNode_",getCategoryLevelAsString($B334))),";",EscStr(U334),";")))</f>
        <v>;"NavNode_L3D_542696";"Notebooky / Tablety / eČítačky";</v>
      </c>
      <c r="AO334" s="10" t="str">
        <f>IF(getCategoryLevelAsString($B334)="L0D_324785","",IF(V334="",CONCATENATE(";",EscStr(CONCATENATE("NavNode_",getCategoryLevelAsString($B334))),";",EscStr($J334),";"),CONCATENATE(";",EscStr(CONCATENATE("NavNode_",getCategoryLevelAsString($B334))),";",EscStr(V334),";")))</f>
        <v>;"NavNode_L3D_542696";"Notebook-uri / tablete / eReader";</v>
      </c>
      <c r="AP334" s="10" t="str">
        <f>IF(getCategoryLevelAsString($B334)="L0D_324785","",IF(W334="",CONCATENATE(";",EscStr(CONCATENATE("NavNode_",getCategoryLevelAsString($B334))),";",EscStr($J334),";"),CONCATENATE(";",EscStr(CONCATENATE("NavNode_",getCategoryLevelAsString($B334))),";",EscStr(W334),";")))</f>
        <v>;"NavNode_L3D_542696";"Notebook / Tablet / eReader";</v>
      </c>
      <c r="AQ334" s="10" t="str">
        <f>IF(getCategoryLevelAsString($B334)="L0D_324785","",IF(X334="",CONCATENATE(";",EscStr(CONCATENATE("NavNode_",getCategoryLevelAsString($B334))),";",EscStr($J334),";"),CONCATENATE(";",EscStr(CONCATENATE("NavNode_",getCategoryLevelAsString($B334))),";",EscStr(X334),";")))</f>
        <v>;"NavNode_L3D_542696";"Notebooky / Tablety / eČítačky";</v>
      </c>
      <c r="AR334" s="8" t="str">
        <f>IF(OR($A334&lt;&gt;"", $G334=""),"",CONCATENATE(";",EscStr(CONCATENATE("NavEntry_",getCategoryLevelAsString($B334))),";",EscStr(CONCATENATE($J334," Navigation Entry")),";",EscStr(CONCATENATE("cat-",getCategoryLevelAsString($B334))),";",EscStr(CONCATENATE("NavNode_",getCategoryLevelAsString($B334))),";"))</f>
        <v>;"NavEntry_L3D_542696";"Notebooks / Tablets / eReader Navigation Entry";"cat-L3D_542696";"NavNode_L3D_542696";</v>
      </c>
    </row>
    <row r="335" spans="1:44" ht="15" x14ac:dyDescent="0.25">
      <c r="A335" s="25"/>
      <c r="B335" s="5"/>
      <c r="C335" s="5"/>
      <c r="D335" s="5" t="s">
        <v>627</v>
      </c>
      <c r="E335" s="5"/>
      <c r="F335" s="5"/>
      <c r="G335" s="5" t="s">
        <v>850</v>
      </c>
      <c r="H335" s="5" t="s">
        <v>750</v>
      </c>
      <c r="I335" s="5" t="s">
        <v>678</v>
      </c>
      <c r="J335" s="5" t="s">
        <v>850</v>
      </c>
      <c r="K335" s="5" t="s">
        <v>1381</v>
      </c>
      <c r="L335" s="5" t="s">
        <v>1617</v>
      </c>
      <c r="M335" s="5" t="s">
        <v>1819</v>
      </c>
      <c r="N335" s="5" t="s">
        <v>2036</v>
      </c>
      <c r="O335" s="5" t="s">
        <v>4190</v>
      </c>
      <c r="P335" s="5" t="s">
        <v>4191</v>
      </c>
      <c r="Q335" s="5" t="s">
        <v>4192</v>
      </c>
      <c r="R335" s="5" t="s">
        <v>850</v>
      </c>
      <c r="S335" s="5" t="s">
        <v>4193</v>
      </c>
      <c r="T335" s="5" t="s">
        <v>4194</v>
      </c>
      <c r="U335" s="5" t="s">
        <v>4195</v>
      </c>
      <c r="V335" s="5" t="s">
        <v>4196</v>
      </c>
      <c r="W335" s="5" t="s">
        <v>4197</v>
      </c>
      <c r="X335" s="5" t="s">
        <v>4195</v>
      </c>
      <c r="Y335" s="10" t="str">
        <f>IF(OR($A335&lt;&gt;"", $G335=""),"",CONCATENATE(";",EscStr(CONCATENATE("NavNode_",getCategoryLevelAsString($B335))),";",EscStr($J335),";",IF($B335&lt;&gt;"","""MainNavNode""",EscStr(CONCATENATE("NavNode_",getSuperCategory($B335, getCategoryLevelAsNumber($B335))))),";"))</f>
        <v>;"NavNode_L3D_542734";"PCs / Server";"NavNode_L2D_542662";</v>
      </c>
      <c r="Z335" s="10" t="str">
        <f>IF(getCategoryLevelAsString($B335)="L0D_324785","",IF(G335="",CONCATENATE(";",EscStr(CONCATENATE("NavNode_",getCategoryLevelAsString($B335))),";",EscStr($J335),";"),CONCATENATE(";",EscStr(CONCATENATE("NavNode_",getCategoryLevelAsString($B335))),";",EscStr(G335),";")))</f>
        <v>;"NavNode_L3D_542734";"PCs / Server";</v>
      </c>
      <c r="AA335" s="10" t="str">
        <f>IF(getCategoryLevelAsString($B335)="L0D_324785","",IF(H335="",CONCATENATE(";",EscStr(CONCATENATE("NavNode_",getCategoryLevelAsString($B335))),";",EscStr($J335),";"),CONCATENATE(";",EscStr(CONCATENATE("NavNode_",getCategoryLevelAsString($B335))),";",EscStr(H335),";")))</f>
        <v>;"NavNode_L3D_542734";"PC / Serveur";</v>
      </c>
      <c r="AB335" s="10" t="str">
        <f>IF(getCategoryLevelAsString($B335)="L0D_324785","",IF(I335="",CONCATENATE(";",EscStr(CONCATENATE("NavNode_",getCategoryLevelAsString($B335))),";",EscStr($J335),";"),CONCATENATE(";",EscStr(CONCATENATE("NavNode_",getCategoryLevelAsString($B335))),";",EscStr(I335),";")))</f>
        <v>;"NavNode_L3D_542734";"PC / Server";</v>
      </c>
      <c r="AC335" s="10" t="str">
        <f>IF(getCategoryLevelAsString($B335)="L0D_324785","",IF(J335="",CONCATENATE(";",EscStr(CONCATENATE("NavNode_",getCategoryLevelAsString($B335))),";",EscStr($J335),";"),CONCATENATE(";",EscStr(CONCATENATE("NavNode_",getCategoryLevelAsString($B335))),";",EscStr(J335),";")))</f>
        <v>;"NavNode_L3D_542734";"PCs / Server";</v>
      </c>
      <c r="AD335" s="10" t="str">
        <f>IF(getCategoryLevelAsString($B335)="L0D_324785","",IF(K335="",CONCATENATE(";",EscStr(CONCATENATE("NavNode_",getCategoryLevelAsString($B335))),";",EscStr($J335),";"),CONCATENATE(";",EscStr(CONCATENATE("NavNode_",getCategoryLevelAsString($B335))),";",EscStr(K335),";")))</f>
        <v>;"NavNode_L3D_542734";"Pc'er/server";</v>
      </c>
      <c r="AE335" s="10" t="str">
        <f>IF(getCategoryLevelAsString($B335)="L0D_324785","",IF(L335="",CONCATENATE(";",EscStr(CONCATENATE("NavNode_",getCategoryLevelAsString($B335))),";",EscStr($J335),";"),CONCATENATE(";",EscStr(CONCATENATE("NavNode_",getCategoryLevelAsString($B335))),";",EscStr(L335),";")))</f>
        <v>;"NavNode_L3D_542734";"PC / serveriai";</v>
      </c>
      <c r="AF335" s="10" t="str">
        <f>IF(getCategoryLevelAsString($B335)="L0D_324785","",IF(M335="",CONCATENATE(";",EscStr(CONCATENATE("NavNode_",getCategoryLevelAsString($B335))),";",EscStr($J335),";"),CONCATENATE(";",EscStr(CONCATENATE("NavNode_",getCategoryLevelAsString($B335))),";",EscStr(M335),";")))</f>
        <v>;"NavNode_L3D_542734";"PC-er/servere";</v>
      </c>
      <c r="AG335" s="10" t="str">
        <f>IF(getCategoryLevelAsString($B335)="L0D_324785","",IF(N335="",CONCATENATE(";",EscStr(CONCATENATE("NavNode_",getCategoryLevelAsString($B335))),";",EscStr($J335),";"),CONCATENATE(";",EscStr(CONCATENATE("NavNode_",getCategoryLevelAsString($B335))),";",EscStr(N335),";")))</f>
        <v>;"NavNode_L3D_542734";"Datorer/Servrar";</v>
      </c>
      <c r="AH335" s="10" t="str">
        <f>IF(getCategoryLevelAsString($B335)="L0D_324785","",IF(O335="",CONCATENATE(";",EscStr(CONCATENATE("NavNode_",getCategoryLevelAsString($B335))),";",EscStr($J335),";"),CONCATENATE(";",EscStr(CONCATENATE("NavNode_",getCategoryLevelAsString($B335))),";",EscStr(O335),";")))</f>
        <v>;"NavNode_L3D_542734";"Lauaarvutid / Serverid";</v>
      </c>
      <c r="AI335" s="10" t="str">
        <f>IF(getCategoryLevelAsString($B335)="L0D_324785","",IF(P335="",CONCATENATE(";",EscStr(CONCATENATE("NavNode_",getCategoryLevelAsString($B335))),";",EscStr($J335),";"),CONCATENATE(";",EscStr(CONCATENATE("NavNode_",getCategoryLevelAsString($B335))),";",EscStr(P335),";")))</f>
        <v>;"NavNode_L3D_542734";"PC:t/ Serverit";</v>
      </c>
      <c r="AJ335" s="10" t="str">
        <f>IF(getCategoryLevelAsString($B335)="L0D_324785","",IF(Q335="",CONCATENATE(";",EscStr(CONCATENATE("NavNode_",getCategoryLevelAsString($B335))),";",EscStr($J335),";"),CONCATENATE(";",EscStr(CONCATENATE("NavNode_",getCategoryLevelAsString($B335))),";",EscStr(Q335),";")))</f>
        <v>;"NavNode_L3D_542734";"Datori / serveri";</v>
      </c>
      <c r="AK335" s="10" t="str">
        <f>IF(getCategoryLevelAsString($B335)="L0D_324785","",IF(R335="",CONCATENATE(";",EscStr(CONCATENATE("NavNode_",getCategoryLevelAsString($B335))),";",EscStr($J335),";"),CONCATENATE(";",EscStr(CONCATENATE("NavNode_",getCategoryLevelAsString($B335))),";",EscStr(R335),";")))</f>
        <v>;"NavNode_L3D_542734";"PCs / Server";</v>
      </c>
      <c r="AL335" s="10" t="str">
        <f>IF(getCategoryLevelAsString($B335)="L0D_324785","",IF(S335="",CONCATENATE(";",EscStr(CONCATENATE("NavNode_",getCategoryLevelAsString($B335))),";",EscStr($J335),";"),CONCATENATE(";",EscStr(CONCATENATE("NavNode_",getCategoryLevelAsString($B335))),";",EscStr(S335),";")))</f>
        <v>;"NavNode_L3D_542734";"PC / Serwer";</v>
      </c>
      <c r="AM335" s="10" t="str">
        <f>IF(getCategoryLevelAsString($B335)="L0D_324785","",IF(T335="",CONCATENATE(";",EscStr(CONCATENATE("NavNode_",getCategoryLevelAsString($B335))),";",EscStr($J335),";"),CONCATENATE(";",EscStr(CONCATENATE("NavNode_",getCategoryLevelAsString($B335))),";",EscStr(T335),";")))</f>
        <v>;"NavNode_L3D_542734";"Компьютеры / Серверы";</v>
      </c>
      <c r="AN335" s="10" t="str">
        <f>IF(getCategoryLevelAsString($B335)="L0D_324785","",IF(U335="",CONCATENATE(";",EscStr(CONCATENATE("NavNode_",getCategoryLevelAsString($B335))),";",EscStr($J335),";"),CONCATENATE(";",EscStr(CONCATENATE("NavNode_",getCategoryLevelAsString($B335))),";",EscStr(U335),";")))</f>
        <v>;"NavNode_L3D_542734";"PC / Servery";</v>
      </c>
      <c r="AO335" s="10" t="str">
        <f>IF(getCategoryLevelAsString($B335)="L0D_324785","",IF(V335="",CONCATENATE(";",EscStr(CONCATENATE("NavNode_",getCategoryLevelAsString($B335))),";",EscStr($J335),";"),CONCATENATE(";",EscStr(CONCATENATE("NavNode_",getCategoryLevelAsString($B335))),";",EscStr(V335),";")))</f>
        <v>;"NavNode_L3D_542734";"PC / server";</v>
      </c>
      <c r="AP335" s="10" t="str">
        <f>IF(getCategoryLevelAsString($B335)="L0D_324785","",IF(W335="",CONCATENATE(";",EscStr(CONCATENATE("NavNode_",getCategoryLevelAsString($B335))),";",EscStr($J335),";"),CONCATENATE(";",EscStr(CONCATENATE("NavNode_",getCategoryLevelAsString($B335))),";",EscStr(W335),";")))</f>
        <v>;"NavNode_L3D_542734";"Számítógép / Szerver";</v>
      </c>
      <c r="AQ335" s="10" t="str">
        <f>IF(getCategoryLevelAsString($B335)="L0D_324785","",IF(X335="",CONCATENATE(";",EscStr(CONCATENATE("NavNode_",getCategoryLevelAsString($B335))),";",EscStr($J335),";"),CONCATENATE(";",EscStr(CONCATENATE("NavNode_",getCategoryLevelAsString($B335))),";",EscStr(X335),";")))</f>
        <v>;"NavNode_L3D_542734";"PC / Servery";</v>
      </c>
      <c r="AR335" s="8" t="str">
        <f>IF(OR($A335&lt;&gt;"", $G335=""),"",CONCATENATE(";",EscStr(CONCATENATE("NavEntry_",getCategoryLevelAsString($B335))),";",EscStr(CONCATENATE($J335," Navigation Entry")),";",EscStr(CONCATENATE("cat-",getCategoryLevelAsString($B335))),";",EscStr(CONCATENATE("NavNode_",getCategoryLevelAsString($B335))),";"))</f>
        <v>;"NavEntry_L3D_542734";"PCs / Server Navigation Entry";"cat-L3D_542734";"NavNode_L3D_542734";</v>
      </c>
    </row>
    <row r="336" spans="1:44" ht="15" x14ac:dyDescent="0.25">
      <c r="A336" s="25"/>
      <c r="B336" s="5"/>
      <c r="C336" s="5"/>
      <c r="D336" s="5" t="s">
        <v>632</v>
      </c>
      <c r="E336" s="5"/>
      <c r="F336" s="5"/>
      <c r="G336" s="5" t="s">
        <v>995</v>
      </c>
      <c r="H336" s="5" t="s">
        <v>751</v>
      </c>
      <c r="I336" s="5" t="s">
        <v>682</v>
      </c>
      <c r="J336" s="5" t="s">
        <v>851</v>
      </c>
      <c r="K336" s="5" t="s">
        <v>1382</v>
      </c>
      <c r="L336" s="5" t="s">
        <v>1618</v>
      </c>
      <c r="M336" s="5" t="s">
        <v>1820</v>
      </c>
      <c r="N336" s="5" t="s">
        <v>2037</v>
      </c>
      <c r="O336" s="5" t="s">
        <v>4198</v>
      </c>
      <c r="P336" s="5" t="s">
        <v>4199</v>
      </c>
      <c r="Q336" s="5" t="s">
        <v>4200</v>
      </c>
      <c r="R336" s="5" t="s">
        <v>4201</v>
      </c>
      <c r="S336" s="5" t="s">
        <v>4202</v>
      </c>
      <c r="T336" s="5" t="s">
        <v>4203</v>
      </c>
      <c r="U336" s="5" t="s">
        <v>4204</v>
      </c>
      <c r="V336" s="5" t="s">
        <v>4205</v>
      </c>
      <c r="W336" s="5" t="s">
        <v>4206</v>
      </c>
      <c r="X336" s="5" t="s">
        <v>4204</v>
      </c>
      <c r="Y336" s="10" t="str">
        <f>IF(OR($A336&lt;&gt;"", $G336=""),"",CONCATENATE(";",EscStr(CONCATENATE("NavNode_",getCategoryLevelAsString($B336))),";",EscStr($J336),";",IF($B336&lt;&gt;"","""MainNavNode""",EscStr(CONCATENATE("NavNode_",getSuperCategory($B336, getCategoryLevelAsNumber($B336))))),";"))</f>
        <v>;"NavNode_L3D_542736";"Accessories Notebooks / Tablets / eReader";"NavNode_L2D_542662";</v>
      </c>
      <c r="Z336" s="10" t="str">
        <f>IF(getCategoryLevelAsString($B336)="L0D_324785","",IF(G336="",CONCATENATE(";",EscStr(CONCATENATE("NavNode_",getCategoryLevelAsString($B336))),";",EscStr($J336),";"),CONCATENATE(";",EscStr(CONCATENATE("NavNode_",getCategoryLevelAsString($B336))),";",EscStr(G336),";")))</f>
        <v>;"NavNode_L3D_542736";"Zubehör für Notebooks / Tablets / eReader";</v>
      </c>
      <c r="AA336" s="10" t="str">
        <f>IF(getCategoryLevelAsString($B336)="L0D_324785","",IF(H336="",CONCATENATE(";",EscStr(CONCATENATE("NavNode_",getCategoryLevelAsString($B336))),";",EscStr($J336),";"),CONCATENATE(";",EscStr(CONCATENATE("NavNode_",getCategoryLevelAsString($B336))),";",EscStr(H336),";")))</f>
        <v>;"NavNode_L3D_542736";"Accessoires pour ordinateurs portables / Tablettes / Liseuses numériques";</v>
      </c>
      <c r="AB336" s="10" t="str">
        <f>IF(getCategoryLevelAsString($B336)="L0D_324785","",IF(I336="",CONCATENATE(";",EscStr(CONCATENATE("NavNode_",getCategoryLevelAsString($B336))),";",EscStr($J336),";"),CONCATENATE(";",EscStr(CONCATENATE("NavNode_",getCategoryLevelAsString($B336))),";",EscStr(I336),";")))</f>
        <v>;"NavNode_L3D_542736";"Accessori per Notebook / Tablet / eReader";</v>
      </c>
      <c r="AC336" s="10" t="str">
        <f>IF(getCategoryLevelAsString($B336)="L0D_324785","",IF(J336="",CONCATENATE(";",EscStr(CONCATENATE("NavNode_",getCategoryLevelAsString($B336))),";",EscStr($J336),";"),CONCATENATE(";",EscStr(CONCATENATE("NavNode_",getCategoryLevelAsString($B336))),";",EscStr(J336),";")))</f>
        <v>;"NavNode_L3D_542736";"Accessories Notebooks / Tablets / eReader";</v>
      </c>
      <c r="AD336" s="10" t="str">
        <f>IF(getCategoryLevelAsString($B336)="L0D_324785","",IF(K336="",CONCATENATE(";",EscStr(CONCATENATE("NavNode_",getCategoryLevelAsString($B336))),";",EscStr($J336),";"),CONCATENATE(";",EscStr(CONCATENATE("NavNode_",getCategoryLevelAsString($B336))),";",EscStr(K336),";")))</f>
        <v>;"NavNode_L3D_542736";"Tilbehør til noteooks/tablets/eReader";</v>
      </c>
      <c r="AE336" s="10" t="str">
        <f>IF(getCategoryLevelAsString($B336)="L0D_324785","",IF(L336="",CONCATENATE(";",EscStr(CONCATENATE("NavNode_",getCategoryLevelAsString($B336))),";",EscStr($J336),";"),CONCATENATE(";",EscStr(CONCATENATE("NavNode_",getCategoryLevelAsString($B336))),";",EscStr(L336),";")))</f>
        <v>;"NavNode_L3D_542736";"Priedai / knyginiai kompiuteriai / planšetės / el. skaitytuvai";</v>
      </c>
      <c r="AF336" s="10" t="str">
        <f>IF(getCategoryLevelAsString($B336)="L0D_324785","",IF(M336="",CONCATENATE(";",EscStr(CONCATENATE("NavNode_",getCategoryLevelAsString($B336))),";",EscStr($J336),";"),CONCATENATE(";",EscStr(CONCATENATE("NavNode_",getCategoryLevelAsString($B336))),";",EscStr(M336),";")))</f>
        <v>;"NavNode_L3D_542736";"Tilbehør for bærbare datamaskiner/nettbrett/lesebrett";</v>
      </c>
      <c r="AG336" s="10" t="str">
        <f>IF(getCategoryLevelAsString($B336)="L0D_324785","",IF(N336="",CONCATENATE(";",EscStr(CONCATENATE("NavNode_",getCategoryLevelAsString($B336))),";",EscStr($J336),";"),CONCATENATE(";",EscStr(CONCATENATE("NavNode_",getCategoryLevelAsString($B336))),";",EscStr(N336),";")))</f>
        <v>;"NavNode_L3D_542736";"Tillbehör för bärbara datorer/surfplattor/läsplattor";</v>
      </c>
      <c r="AH336" s="10" t="str">
        <f>IF(getCategoryLevelAsString($B336)="L0D_324785","",IF(O336="",CONCATENATE(";",EscStr(CONCATENATE("NavNode_",getCategoryLevelAsString($B336))),";",EscStr($J336),";"),CONCATENATE(";",EscStr(CONCATENATE("NavNode_",getCategoryLevelAsString($B336))),";",EscStr(O336),";")))</f>
        <v>;"NavNode_L3D_542736";"Süle- , tahvelarvutite ja e-lugerite tarvikud";</v>
      </c>
      <c r="AI336" s="10" t="str">
        <f>IF(getCategoryLevelAsString($B336)="L0D_324785","",IF(P336="",CONCATENATE(";",EscStr(CONCATENATE("NavNode_",getCategoryLevelAsString($B336))),";",EscStr($J336),";"),CONCATENATE(";",EscStr(CONCATENATE("NavNode_",getCategoryLevelAsString($B336))),";",EscStr(P336),";")))</f>
        <v>;"NavNode_L3D_542736";"Tarvikkeet PC";</v>
      </c>
      <c r="AJ336" s="10" t="str">
        <f>IF(getCategoryLevelAsString($B336)="L0D_324785","",IF(Q336="",CONCATENATE(";",EscStr(CONCATENATE("NavNode_",getCategoryLevelAsString($B336))),";",EscStr($J336),";"),CONCATENATE(";",EscStr(CONCATENATE("NavNode_",getCategoryLevelAsString($B336))),";",EscStr(Q336),";")))</f>
        <v>;"NavNode_L3D_542736";"Portatīvie datoru / planšetdatoru / e-grāmatu piederumi";</v>
      </c>
      <c r="AK336" s="10" t="str">
        <f>IF(getCategoryLevelAsString($B336)="L0D_324785","",IF(R336="",CONCATENATE(";",EscStr(CONCATENATE("NavNode_",getCategoryLevelAsString($B336))),";",EscStr($J336),";"),CONCATENATE(";",EscStr(CONCATENATE("NavNode_",getCategoryLevelAsString($B336))),";",EscStr(R336),";")))</f>
        <v>;"NavNode_L3D_542736";"Accessoires Notebooks / Tablets / eReader";</v>
      </c>
      <c r="AL336" s="10" t="str">
        <f>IF(getCategoryLevelAsString($B336)="L0D_324785","",IF(S336="",CONCATENATE(";",EscStr(CONCATENATE("NavNode_",getCategoryLevelAsString($B336))),";",EscStr($J336),";"),CONCATENATE(";",EscStr(CONCATENATE("NavNode_",getCategoryLevelAsString($B336))),";",EscStr(S336),";")))</f>
        <v>;"NavNode_L3D_542736";"Akcesoria do notebooków / Tabletów/ E-czytników";</v>
      </c>
      <c r="AM336" s="10" t="str">
        <f>IF(getCategoryLevelAsString($B336)="L0D_324785","",IF(T336="",CONCATENATE(";",EscStr(CONCATENATE("NavNode_",getCategoryLevelAsString($B336))),";",EscStr($J336),";"),CONCATENATE(";",EscStr(CONCATENATE("NavNode_",getCategoryLevelAsString($B336))),";",EscStr(T336),";")))</f>
        <v>;"NavNode_L3D_542736";"Аксессуары для Портативных компьютеров / Планшетов / е-книги";</v>
      </c>
      <c r="AN336" s="10" t="str">
        <f>IF(getCategoryLevelAsString($B336)="L0D_324785","",IF(U336="",CONCATENATE(";",EscStr(CONCATENATE("NavNode_",getCategoryLevelAsString($B336))),";",EscStr($J336),";"),CONCATENATE(";",EscStr(CONCATENATE("NavNode_",getCategoryLevelAsString($B336))),";",EscStr(U336),";")))</f>
        <v>;"NavNode_L3D_542736";"Příslušenství pro Notebooky / Tablety / Čtečky elektronických knih";</v>
      </c>
      <c r="AO336" s="10" t="str">
        <f>IF(getCategoryLevelAsString($B336)="L0D_324785","",IF(V336="",CONCATENATE(";",EscStr(CONCATENATE("NavNode_",getCategoryLevelAsString($B336))),";",EscStr($J336),";"),CONCATENATE(";",EscStr(CONCATENATE("NavNode_",getCategoryLevelAsString($B336))),";",EscStr(V336),";")))</f>
        <v>;"NavNode_L3D_542736";"Accesorii pentru notebook-uri / tablete / eReader";</v>
      </c>
      <c r="AP336" s="10" t="str">
        <f>IF(getCategoryLevelAsString($B336)="L0D_324785","",IF(W336="",CONCATENATE(";",EscStr(CONCATENATE("NavNode_",getCategoryLevelAsString($B336))),";",EscStr($J336),";"),CONCATENATE(";",EscStr(CONCATENATE("NavNode_",getCategoryLevelAsString($B336))),";",EscStr(W336),";")))</f>
        <v>;"NavNode_L3D_542736";"Tartozékok Notebookhoz / Tablethez / eReaderhez";</v>
      </c>
      <c r="AQ336" s="10" t="str">
        <f>IF(getCategoryLevelAsString($B336)="L0D_324785","",IF(X336="",CONCATENATE(";",EscStr(CONCATENATE("NavNode_",getCategoryLevelAsString($B336))),";",EscStr($J336),";"),CONCATENATE(";",EscStr(CONCATENATE("NavNode_",getCategoryLevelAsString($B336))),";",EscStr(X336),";")))</f>
        <v>;"NavNode_L3D_542736";"Příslušenství pro Notebooky / Tablety / Čtečky elektronických knih";</v>
      </c>
      <c r="AR336" s="8" t="str">
        <f>IF(OR($A336&lt;&gt;"", $G336=""),"",CONCATENATE(";",EscStr(CONCATENATE("NavEntry_",getCategoryLevelAsString($B336))),";",EscStr(CONCATENATE($J336," Navigation Entry")),";",EscStr(CONCATENATE("cat-",getCategoryLevelAsString($B336))),";",EscStr(CONCATENATE("NavNode_",getCategoryLevelAsString($B336))),";"))</f>
        <v>;"NavEntry_L3D_542736";"Accessories Notebooks / Tablets / eReader Navigation Entry";"cat-L3D_542736";"NavNode_L3D_542736";</v>
      </c>
    </row>
    <row r="337" spans="1:44" ht="15" x14ac:dyDescent="0.25">
      <c r="A337" s="25"/>
      <c r="B337" s="5"/>
      <c r="C337" s="5"/>
      <c r="D337" s="5" t="s">
        <v>611</v>
      </c>
      <c r="E337" s="5"/>
      <c r="F337" s="5"/>
      <c r="G337" s="5" t="s">
        <v>1031</v>
      </c>
      <c r="H337" s="5" t="s">
        <v>796</v>
      </c>
      <c r="I337" s="5" t="s">
        <v>693</v>
      </c>
      <c r="J337" s="5" t="s">
        <v>896</v>
      </c>
      <c r="K337" s="5" t="s">
        <v>1426</v>
      </c>
      <c r="L337" s="5" t="s">
        <v>1665</v>
      </c>
      <c r="M337" s="5" t="s">
        <v>1866</v>
      </c>
      <c r="N337" s="5" t="s">
        <v>2084</v>
      </c>
      <c r="O337" s="5" t="s">
        <v>4605</v>
      </c>
      <c r="P337" s="5" t="s">
        <v>4606</v>
      </c>
      <c r="Q337" s="5" t="s">
        <v>4607</v>
      </c>
      <c r="R337" s="5" t="s">
        <v>4608</v>
      </c>
      <c r="S337" s="5" t="s">
        <v>4609</v>
      </c>
      <c r="T337" s="5" t="s">
        <v>4610</v>
      </c>
      <c r="U337" s="5" t="s">
        <v>4611</v>
      </c>
      <c r="V337" s="5" t="s">
        <v>4612</v>
      </c>
      <c r="W337" s="5" t="s">
        <v>4613</v>
      </c>
      <c r="X337" s="5" t="s">
        <v>4611</v>
      </c>
      <c r="Y337" s="10" t="str">
        <f>IF(OR($A337&lt;&gt;"", $G337=""),"",CONCATENATE(";",EscStr(CONCATENATE("NavNode_",getCategoryLevelAsString($B337))),";",EscStr($J337),";",IF($B337&lt;&gt;"","""MainNavNode""",EscStr(CONCATENATE("NavNode_",getSuperCategory($B337, getCategoryLevelAsNumber($B337))))),";"))</f>
        <v>;"NavNode_L3D_542738";"Projectors / Projection screens / Accessories";"NavNode_L2D_542662";</v>
      </c>
      <c r="Z337" s="10" t="str">
        <f>IF(getCategoryLevelAsString($B337)="L0D_324785","",IF(G337="",CONCATENATE(";",EscStr(CONCATENATE("NavNode_",getCategoryLevelAsString($B337))),";",EscStr($J337),";"),CONCATENATE(";",EscStr(CONCATENATE("NavNode_",getCategoryLevelAsString($B337))),";",EscStr(G337),";")))</f>
        <v>;"NavNode_L3D_542738";"Projektoren / Leinwände / Zubehör";</v>
      </c>
      <c r="AA337" s="10" t="str">
        <f>IF(getCategoryLevelAsString($B337)="L0D_324785","",IF(H337="",CONCATENATE(";",EscStr(CONCATENATE("NavNode_",getCategoryLevelAsString($B337))),";",EscStr($J337),";"),CONCATENATE(";",EscStr(CONCATENATE("NavNode_",getCategoryLevelAsString($B337))),";",EscStr(H337),";")))</f>
        <v>;"NavNode_L3D_542738";"Projecteurs / Ecrans de projection / Accessoires";</v>
      </c>
      <c r="AB337" s="10" t="str">
        <f>IF(getCategoryLevelAsString($B337)="L0D_324785","",IF(I337="",CONCATENATE(";",EscStr(CONCATENATE("NavNode_",getCategoryLevelAsString($B337))),";",EscStr($J337),";"),CONCATENATE(";",EscStr(CONCATENATE("NavNode_",getCategoryLevelAsString($B337))),";",EscStr(I337),";")))</f>
        <v>;"NavNode_L3D_542738";"Proiettori / schermi da proiezione / accessori";</v>
      </c>
      <c r="AC337" s="10" t="str">
        <f>IF(getCategoryLevelAsString($B337)="L0D_324785","",IF(J337="",CONCATENATE(";",EscStr(CONCATENATE("NavNode_",getCategoryLevelAsString($B337))),";",EscStr($J337),";"),CONCATENATE(";",EscStr(CONCATENATE("NavNode_",getCategoryLevelAsString($B337))),";",EscStr(J337),";")))</f>
        <v>;"NavNode_L3D_542738";"Projectors / Projection screens / Accessories";</v>
      </c>
      <c r="AD337" s="10" t="str">
        <f>IF(getCategoryLevelAsString($B337)="L0D_324785","",IF(K337="",CONCATENATE(";",EscStr(CONCATENATE("NavNode_",getCategoryLevelAsString($B337))),";",EscStr($J337),";"),CONCATENATE(";",EscStr(CONCATENATE("NavNode_",getCategoryLevelAsString($B337))),";",EscStr(K337),";")))</f>
        <v>;"NavNode_L3D_542738";"Projektorer/projektorskærme/tilbehør";</v>
      </c>
      <c r="AE337" s="10" t="str">
        <f>IF(getCategoryLevelAsString($B337)="L0D_324785","",IF(L337="",CONCATENATE(";",EscStr(CONCATENATE("NavNode_",getCategoryLevelAsString($B337))),";",EscStr($J337),";"),CONCATENATE(";",EscStr(CONCATENATE("NavNode_",getCategoryLevelAsString($B337))),";",EscStr(L337),";")))</f>
        <v>;"NavNode_L3D_542738";"Projektoriai / projekcijų ekranai / priedai";</v>
      </c>
      <c r="AF337" s="10" t="str">
        <f>IF(getCategoryLevelAsString($B337)="L0D_324785","",IF(M337="",CONCATENATE(";",EscStr(CONCATENATE("NavNode_",getCategoryLevelAsString($B337))),";",EscStr($J337),";"),CONCATENATE(";",EscStr(CONCATENATE("NavNode_",getCategoryLevelAsString($B337))),";",EscStr(M337),";")))</f>
        <v>;"NavNode_L3D_542738";"Projektorer/projektorskjermer/tilbehør";</v>
      </c>
      <c r="AG337" s="10" t="str">
        <f>IF(getCategoryLevelAsString($B337)="L0D_324785","",IF(N337="",CONCATENATE(";",EscStr(CONCATENATE("NavNode_",getCategoryLevelAsString($B337))),";",EscStr($J337),";"),CONCATENATE(";",EscStr(CONCATENATE("NavNode_",getCategoryLevelAsString($B337))),";",EscStr(N337),";")))</f>
        <v>;"NavNode_L3D_542738";"Projektorer/Projektordukar/Tillbehör";</v>
      </c>
      <c r="AH337" s="10" t="str">
        <f>IF(getCategoryLevelAsString($B337)="L0D_324785","",IF(O337="",CONCATENATE(";",EscStr(CONCATENATE("NavNode_",getCategoryLevelAsString($B337))),";",EscStr($J337),";"),CONCATENATE(";",EscStr(CONCATENATE("NavNode_",getCategoryLevelAsString($B337))),";",EscStr(O337),";")))</f>
        <v>;"NavNode_L3D_542738";"Projektorid / Ekraanid / Tarvikud";</v>
      </c>
      <c r="AI337" s="10" t="str">
        <f>IF(getCategoryLevelAsString($B337)="L0D_324785","",IF(P337="",CONCATENATE(";",EscStr(CONCATENATE("NavNode_",getCategoryLevelAsString($B337))),";",EscStr($J337),";"),CONCATENATE(";",EscStr(CONCATENATE("NavNode_",getCategoryLevelAsString($B337))),";",EscStr(P337),";")))</f>
        <v>;"NavNode_L3D_542738";"Projektorit/ kankaat";</v>
      </c>
      <c r="AJ337" s="10" t="str">
        <f>IF(getCategoryLevelAsString($B337)="L0D_324785","",IF(Q337="",CONCATENATE(";",EscStr(CONCATENATE("NavNode_",getCategoryLevelAsString($B337))),";",EscStr($J337),";"),CONCATENATE(";",EscStr(CONCATENATE("NavNode_",getCategoryLevelAsString($B337))),";",EscStr(Q337),";")))</f>
        <v>;"NavNode_L3D_542738";"Projektori / Projekcijas ekrāni / Piederumi";</v>
      </c>
      <c r="AK337" s="10" t="str">
        <f>IF(getCategoryLevelAsString($B337)="L0D_324785","",IF(R337="",CONCATENATE(";",EscStr(CONCATENATE("NavNode_",getCategoryLevelAsString($B337))),";",EscStr($J337),";"),CONCATENATE(";",EscStr(CONCATENATE("NavNode_",getCategoryLevelAsString($B337))),";",EscStr(R337),";")))</f>
        <v>;"NavNode_L3D_542738";"Projectoren / Projectieschermen / Accessoires";</v>
      </c>
      <c r="AL337" s="10" t="str">
        <f>IF(getCategoryLevelAsString($B337)="L0D_324785","",IF(S337="",CONCATENATE(";",EscStr(CONCATENATE("NavNode_",getCategoryLevelAsString($B337))),";",EscStr($J337),";"),CONCATENATE(";",EscStr(CONCATENATE("NavNode_",getCategoryLevelAsString($B337))),";",EscStr(S337),";")))</f>
        <v>;"NavNode_L3D_542738";"Projektory / Ekrany projekcyjne / Akcesoria";</v>
      </c>
      <c r="AM337" s="10" t="str">
        <f>IF(getCategoryLevelAsString($B337)="L0D_324785","",IF(T337="",CONCATENATE(";",EscStr(CONCATENATE("NavNode_",getCategoryLevelAsString($B337))),";",EscStr($J337),";"),CONCATENATE(";",EscStr(CONCATENATE("NavNode_",getCategoryLevelAsString($B337))),";",EscStr(T337),";")))</f>
        <v>;"NavNode_L3D_542738";"Проекторы / Экраны проекционные / Аксессуары";</v>
      </c>
      <c r="AN337" s="10" t="str">
        <f>IF(getCategoryLevelAsString($B337)="L0D_324785","",IF(U337="",CONCATENATE(";",EscStr(CONCATENATE("NavNode_",getCategoryLevelAsString($B337))),";",EscStr($J337),";"),CONCATENATE(";",EscStr(CONCATENATE("NavNode_",getCategoryLevelAsString($B337))),";",EscStr(U337),";")))</f>
        <v>;"NavNode_L3D_542738";"Projektory / Plátna / Příslušenství";</v>
      </c>
      <c r="AO337" s="10" t="str">
        <f>IF(getCategoryLevelAsString($B337)="L0D_324785","",IF(V337="",CONCATENATE(";",EscStr(CONCATENATE("NavNode_",getCategoryLevelAsString($B337))),";",EscStr($J337),";"),CONCATENATE(";",EscStr(CONCATENATE("NavNode_",getCategoryLevelAsString($B337))),";",EscStr(V337),";")))</f>
        <v>;"NavNode_L3D_542738";"Proiectoare Office / ecrane / accesorii";</v>
      </c>
      <c r="AP337" s="10" t="str">
        <f>IF(getCategoryLevelAsString($B337)="L0D_324785","",IF(W337="",CONCATENATE(";",EscStr(CONCATENATE("NavNode_",getCategoryLevelAsString($B337))),";",EscStr($J337),";"),CONCATENATE(";",EscStr(CONCATENATE("NavNode_",getCategoryLevelAsString($B337))),";",EscStr(W337),";")))</f>
        <v>;"NavNode_L3D_542738";"Projektorok / Vásznak / tartozékok";</v>
      </c>
      <c r="AQ337" s="10" t="str">
        <f>IF(getCategoryLevelAsString($B337)="L0D_324785","",IF(X337="",CONCATENATE(";",EscStr(CONCATENATE("NavNode_",getCategoryLevelAsString($B337))),";",EscStr($J337),";"),CONCATENATE(";",EscStr(CONCATENATE("NavNode_",getCategoryLevelAsString($B337))),";",EscStr(X337),";")))</f>
        <v>;"NavNode_L3D_542738";"Projektory / Plátna / Příslušenství";</v>
      </c>
      <c r="AR337" s="8" t="str">
        <f>IF(OR($A337&lt;&gt;"", $G337=""),"",CONCATENATE(";",EscStr(CONCATENATE("NavEntry_",getCategoryLevelAsString($B337))),";",EscStr(CONCATENATE($J337," Navigation Entry")),";",EscStr(CONCATENATE("cat-",getCategoryLevelAsString($B337))),";",EscStr(CONCATENATE("NavNode_",getCategoryLevelAsString($B337))),";"))</f>
        <v>;"NavEntry_L3D_542738";"Projectors / Projection screens / Accessories Navigation Entry";"cat-L3D_542738";"NavNode_L3D_542738";</v>
      </c>
    </row>
    <row r="338" spans="1:44" ht="15" x14ac:dyDescent="0.25">
      <c r="A338" s="25"/>
      <c r="B338" s="5"/>
      <c r="C338" s="5"/>
      <c r="D338" s="5" t="s">
        <v>628</v>
      </c>
      <c r="E338" s="5"/>
      <c r="F338" s="5"/>
      <c r="G338" s="5" t="s">
        <v>996</v>
      </c>
      <c r="H338" s="5" t="s">
        <v>752</v>
      </c>
      <c r="I338" s="5" t="s">
        <v>670</v>
      </c>
      <c r="J338" s="5" t="s">
        <v>852</v>
      </c>
      <c r="K338" s="5" t="s">
        <v>1383</v>
      </c>
      <c r="L338" s="5" t="s">
        <v>1619</v>
      </c>
      <c r="M338" s="5" t="s">
        <v>1821</v>
      </c>
      <c r="N338" s="5" t="s">
        <v>2038</v>
      </c>
      <c r="O338" s="5" t="s">
        <v>4207</v>
      </c>
      <c r="P338" s="5" t="s">
        <v>4208</v>
      </c>
      <c r="Q338" s="5" t="s">
        <v>4209</v>
      </c>
      <c r="R338" s="5" t="s">
        <v>852</v>
      </c>
      <c r="S338" s="5" t="s">
        <v>4210</v>
      </c>
      <c r="T338" s="5" t="s">
        <v>4211</v>
      </c>
      <c r="U338" s="5" t="s">
        <v>4212</v>
      </c>
      <c r="V338" s="5" t="s">
        <v>4213</v>
      </c>
      <c r="W338" s="5" t="s">
        <v>4214</v>
      </c>
      <c r="X338" s="5" t="s">
        <v>4212</v>
      </c>
      <c r="Y338" s="10" t="str">
        <f>IF(OR($A338&lt;&gt;"", $G338=""),"",CONCATENATE(";",EscStr(CONCATENATE("NavNode_",getCategoryLevelAsString($B338))),";",EscStr($J338),";",IF($B338&lt;&gt;"","""MainNavNode""",EscStr(CONCATENATE("NavNode_",getSuperCategory($B338, getCategoryLevelAsNumber($B338))))),";"))</f>
        <v>;"NavNode_L3D_542740";"Hard Disks / SSD / RAM";"NavNode_L2D_542662";</v>
      </c>
      <c r="Z338" s="10" t="str">
        <f>IF(getCategoryLevelAsString($B338)="L0D_324785","",IF(G338="",CONCATENATE(";",EscStr(CONCATENATE("NavNode_",getCategoryLevelAsString($B338))),";",EscStr($J338),";"),CONCATENATE(";",EscStr(CONCATENATE("NavNode_",getCategoryLevelAsString($B338))),";",EscStr(G338),";")))</f>
        <v>;"NavNode_L3D_542740";"Festplatten / SSD / RAM";</v>
      </c>
      <c r="AA338" s="10" t="str">
        <f>IF(getCategoryLevelAsString($B338)="L0D_324785","",IF(H338="",CONCATENATE(";",EscStr(CONCATENATE("NavNode_",getCategoryLevelAsString($B338))),";",EscStr($J338),";"),CONCATENATE(";",EscStr(CONCATENATE("NavNode_",getCategoryLevelAsString($B338))),";",EscStr(H338),";")))</f>
        <v>;"NavNode_L3D_542740";"Disques durs / disques SSD / Mémoires";</v>
      </c>
      <c r="AB338" s="10" t="str">
        <f>IF(getCategoryLevelAsString($B338)="L0D_324785","",IF(I338="",CONCATENATE(";",EscStr(CONCATENATE("NavNode_",getCategoryLevelAsString($B338))),";",EscStr($J338),";"),CONCATENATE(";",EscStr(CONCATENATE("NavNode_",getCategoryLevelAsString($B338))),";",EscStr(I338),";")))</f>
        <v>;"NavNode_L3D_542740";"Hard Disk / SSD / RAM";</v>
      </c>
      <c r="AC338" s="10" t="str">
        <f>IF(getCategoryLevelAsString($B338)="L0D_324785","",IF(J338="",CONCATENATE(";",EscStr(CONCATENATE("NavNode_",getCategoryLevelAsString($B338))),";",EscStr($J338),";"),CONCATENATE(";",EscStr(CONCATENATE("NavNode_",getCategoryLevelAsString($B338))),";",EscStr(J338),";")))</f>
        <v>;"NavNode_L3D_542740";"Hard Disks / SSD / RAM";</v>
      </c>
      <c r="AD338" s="10" t="str">
        <f>IF(getCategoryLevelAsString($B338)="L0D_324785","",IF(K338="",CONCATENATE(";",EscStr(CONCATENATE("NavNode_",getCategoryLevelAsString($B338))),";",EscStr($J338),";"),CONCATENATE(";",EscStr(CONCATENATE("NavNode_",getCategoryLevelAsString($B338))),";",EscStr(K338),";")))</f>
        <v>;"NavNode_L3D_542740";"Harddiske/SSD/RAM";</v>
      </c>
      <c r="AE338" s="10" t="str">
        <f>IF(getCategoryLevelAsString($B338)="L0D_324785","",IF(L338="",CONCATENATE(";",EscStr(CONCATENATE("NavNode_",getCategoryLevelAsString($B338))),";",EscStr($J338),";"),CONCATENATE(";",EscStr(CONCATENATE("NavNode_",getCategoryLevelAsString($B338))),";",EscStr(L338),";")))</f>
        <v>;"NavNode_L3D_542740";"Standieji diskai / SSD / RAM";</v>
      </c>
      <c r="AF338" s="10" t="str">
        <f>IF(getCategoryLevelAsString($B338)="L0D_324785","",IF(M338="",CONCATENATE(";",EscStr(CONCATENATE("NavNode_",getCategoryLevelAsString($B338))),";",EscStr($J338),";"),CONCATENATE(";",EscStr(CONCATENATE("NavNode_",getCategoryLevelAsString($B338))),";",EscStr(M338),";")))</f>
        <v>;"NavNode_L3D_542740";"Harddisker/SSD/RAM";</v>
      </c>
      <c r="AG338" s="10" t="str">
        <f>IF(getCategoryLevelAsString($B338)="L0D_324785","",IF(N338="",CONCATENATE(";",EscStr(CONCATENATE("NavNode_",getCategoryLevelAsString($B338))),";",EscStr($J338),";"),CONCATENATE(";",EscStr(CONCATENATE("NavNode_",getCategoryLevelAsString($B338))),";",EscStr(N338),";")))</f>
        <v>;"NavNode_L3D_542740";"Hårddiskar/SSD/RAM";</v>
      </c>
      <c r="AH338" s="10" t="str">
        <f>IF(getCategoryLevelAsString($B338)="L0D_324785","",IF(O338="",CONCATENATE(";",EscStr(CONCATENATE("NavNode_",getCategoryLevelAsString($B338))),";",EscStr($J338),";"),CONCATENATE(";",EscStr(CONCATENATE("NavNode_",getCategoryLevelAsString($B338))),";",EscStr(O338),";")))</f>
        <v>;"NavNode_L3D_542740";"Kõvakettad / SSD / RAM";</v>
      </c>
      <c r="AI338" s="10" t="str">
        <f>IF(getCategoryLevelAsString($B338)="L0D_324785","",IF(P338="",CONCATENATE(";",EscStr(CONCATENATE("NavNode_",getCategoryLevelAsString($B338))),";",EscStr($J338),";"),CONCATENATE(";",EscStr(CONCATENATE("NavNode_",getCategoryLevelAsString($B338))),";",EscStr(P338),";")))</f>
        <v>;"NavNode_L3D_542740";"Kovalevyt/SSD/RAM";</v>
      </c>
      <c r="AJ338" s="10" t="str">
        <f>IF(getCategoryLevelAsString($B338)="L0D_324785","",IF(Q338="",CONCATENATE(";",EscStr(CONCATENATE("NavNode_",getCategoryLevelAsString($B338))),";",EscStr($J338),";"),CONCATENATE(";",EscStr(CONCATENATE("NavNode_",getCategoryLevelAsString($B338))),";",EscStr(Q338),";")))</f>
        <v>;"NavNode_L3D_542740";"Cietie diski / SSD / RAM";</v>
      </c>
      <c r="AK338" s="10" t="str">
        <f>IF(getCategoryLevelAsString($B338)="L0D_324785","",IF(R338="",CONCATENATE(";",EscStr(CONCATENATE("NavNode_",getCategoryLevelAsString($B338))),";",EscStr($J338),";"),CONCATENATE(";",EscStr(CONCATENATE("NavNode_",getCategoryLevelAsString($B338))),";",EscStr(R338),";")))</f>
        <v>;"NavNode_L3D_542740";"Hard Disks / SSD / RAM";</v>
      </c>
      <c r="AL338" s="10" t="str">
        <f>IF(getCategoryLevelAsString($B338)="L0D_324785","",IF(S338="",CONCATENATE(";",EscStr(CONCATENATE("NavNode_",getCategoryLevelAsString($B338))),";",EscStr($J338),";"),CONCATENATE(";",EscStr(CONCATENATE("NavNode_",getCategoryLevelAsString($B338))),";",EscStr(S338),";")))</f>
        <v>;"NavNode_L3D_542740";"Twarde dyski / SSD / RAM";</v>
      </c>
      <c r="AM338" s="10" t="str">
        <f>IF(getCategoryLevelAsString($B338)="L0D_324785","",IF(T338="",CONCATENATE(";",EscStr(CONCATENATE("NavNode_",getCategoryLevelAsString($B338))),";",EscStr($J338),";"),CONCATENATE(";",EscStr(CONCATENATE("NavNode_",getCategoryLevelAsString($B338))),";",EscStr(T338),";")))</f>
        <v>;"NavNode_L3D_542740";"Жесткие диски / SSD / RAM";</v>
      </c>
      <c r="AN338" s="10" t="str">
        <f>IF(getCategoryLevelAsString($B338)="L0D_324785","",IF(U338="",CONCATENATE(";",EscStr(CONCATENATE("NavNode_",getCategoryLevelAsString($B338))),";",EscStr($J338),";"),CONCATENATE(";",EscStr(CONCATENATE("NavNode_",getCategoryLevelAsString($B338))),";",EscStr(U338),";")))</f>
        <v>;"NavNode_L3D_542740";"Pevné disky / SSD / RAM";</v>
      </c>
      <c r="AO338" s="10" t="str">
        <f>IF(getCategoryLevelAsString($B338)="L0D_324785","",IF(V338="",CONCATENATE(";",EscStr(CONCATENATE("NavNode_",getCategoryLevelAsString($B338))),";",EscStr($J338),";"),CONCATENATE(";",EscStr(CONCATENATE("NavNode_",getCategoryLevelAsString($B338))),";",EscStr(V338),";")))</f>
        <v>;"NavNode_L3D_542740";"Hard disk-uri / SSD / RAM";</v>
      </c>
      <c r="AP338" s="10" t="str">
        <f>IF(getCategoryLevelAsString($B338)="L0D_324785","",IF(W338="",CONCATENATE(";",EscStr(CONCATENATE("NavNode_",getCategoryLevelAsString($B338))),";",EscStr($J338),";"),CONCATENATE(";",EscStr(CONCATENATE("NavNode_",getCategoryLevelAsString($B338))),";",EscStr(W338),";")))</f>
        <v>;"NavNode_L3D_542740";"Merevlemez / SSD / RAM";</v>
      </c>
      <c r="AQ338" s="10" t="str">
        <f>IF(getCategoryLevelAsString($B338)="L0D_324785","",IF(X338="",CONCATENATE(";",EscStr(CONCATENATE("NavNode_",getCategoryLevelAsString($B338))),";",EscStr($J338),";"),CONCATENATE(";",EscStr(CONCATENATE("NavNode_",getCategoryLevelAsString($B338))),";",EscStr(X338),";")))</f>
        <v>;"NavNode_L3D_542740";"Pevné disky / SSD / RAM";</v>
      </c>
      <c r="AR338" s="8" t="str">
        <f>IF(OR($A338&lt;&gt;"", $G338=""),"",CONCATENATE(";",EscStr(CONCATENATE("NavEntry_",getCategoryLevelAsString($B338))),";",EscStr(CONCATENATE($J338," Navigation Entry")),";",EscStr(CONCATENATE("cat-",getCategoryLevelAsString($B338))),";",EscStr(CONCATENATE("NavNode_",getCategoryLevelAsString($B338))),";"))</f>
        <v>;"NavEntry_L3D_542740";"Hard Disks / SSD / RAM Navigation Entry";"cat-L3D_542740";"NavNode_L3D_542740";</v>
      </c>
    </row>
    <row r="339" spans="1:44" ht="15" x14ac:dyDescent="0.25">
      <c r="A339" s="25"/>
      <c r="B339" s="5"/>
      <c r="C339" s="5"/>
      <c r="D339" s="5" t="s">
        <v>629</v>
      </c>
      <c r="E339" s="5"/>
      <c r="F339" s="5"/>
      <c r="G339" s="5" t="s">
        <v>997</v>
      </c>
      <c r="H339" s="5" t="s">
        <v>753</v>
      </c>
      <c r="I339" s="5" t="s">
        <v>679</v>
      </c>
      <c r="J339" s="5" t="s">
        <v>853</v>
      </c>
      <c r="K339" s="5" t="s">
        <v>1384</v>
      </c>
      <c r="L339" s="5" t="s">
        <v>1620</v>
      </c>
      <c r="M339" s="5" t="s">
        <v>1822</v>
      </c>
      <c r="N339" s="5" t="s">
        <v>2039</v>
      </c>
      <c r="O339" s="5" t="s">
        <v>4215</v>
      </c>
      <c r="P339" s="5" t="s">
        <v>4216</v>
      </c>
      <c r="Q339" s="5" t="s">
        <v>4217</v>
      </c>
      <c r="R339" s="5" t="s">
        <v>4218</v>
      </c>
      <c r="S339" s="5" t="s">
        <v>4219</v>
      </c>
      <c r="T339" s="5" t="s">
        <v>4220</v>
      </c>
      <c r="U339" s="5" t="s">
        <v>4221</v>
      </c>
      <c r="V339" s="5" t="s">
        <v>4222</v>
      </c>
      <c r="W339" s="5" t="s">
        <v>4223</v>
      </c>
      <c r="X339" s="5" t="s">
        <v>4221</v>
      </c>
      <c r="Y339" s="10" t="str">
        <f>IF(OR($A339&lt;&gt;"", $G339=""),"",CONCATENATE(";",EscStr(CONCATENATE("NavNode_",getCategoryLevelAsString($B339))),";",EscStr($J339),";",IF($B339&lt;&gt;"","""MainNavNode""",EscStr(CONCATENATE("NavNode_",getSuperCategory($B339, getCategoryLevelAsNumber($B339))))),";"))</f>
        <v>;"NavNode_L2D_542983";"Mainboards / CPU / Cooler";"NavNode_Computing / Office";</v>
      </c>
      <c r="Z339" s="10" t="str">
        <f>IF(getCategoryLevelAsString($B339)="L0D_324785","",IF(G339="",CONCATENATE(";",EscStr(CONCATENATE("NavNode_",getCategoryLevelAsString($B339))),";",EscStr($J339),";"),CONCATENATE(";",EscStr(CONCATENATE("NavNode_",getCategoryLevelAsString($B339))),";",EscStr(G339),";")))</f>
        <v>;"NavNode_L2D_542983";"Mainboards / CPU / Kühler";</v>
      </c>
      <c r="AA339" s="10" t="str">
        <f>IF(getCategoryLevelAsString($B339)="L0D_324785","",IF(H339="",CONCATENATE(";",EscStr(CONCATENATE("NavNode_",getCategoryLevelAsString($B339))),";",EscStr($J339),";"),CONCATENATE(";",EscStr(CONCATENATE("NavNode_",getCategoryLevelAsString($B339))),";",EscStr(H339),";")))</f>
        <v>;"NavNode_L2D_542983";"Cartes mères / Processeur / Refroidisseur";</v>
      </c>
      <c r="AB339" s="10" t="str">
        <f>IF(getCategoryLevelAsString($B339)="L0D_324785","",IF(I339="",CONCATENATE(";",EscStr(CONCATENATE("NavNode_",getCategoryLevelAsString($B339))),";",EscStr($J339),";"),CONCATENATE(";",EscStr(CONCATENATE("NavNode_",getCategoryLevelAsString($B339))),";",EscStr(I339),";")))</f>
        <v>;"NavNode_L2D_542983";"Schede madri / CPU / dissipatore";</v>
      </c>
      <c r="AC339" s="10" t="str">
        <f>IF(getCategoryLevelAsString($B339)="L0D_324785","",IF(J339="",CONCATENATE(";",EscStr(CONCATENATE("NavNode_",getCategoryLevelAsString($B339))),";",EscStr($J339),";"),CONCATENATE(";",EscStr(CONCATENATE("NavNode_",getCategoryLevelAsString($B339))),";",EscStr(J339),";")))</f>
        <v>;"NavNode_L2D_542983";"Mainboards / CPU / Cooler";</v>
      </c>
      <c r="AD339" s="10" t="str">
        <f>IF(getCategoryLevelAsString($B339)="L0D_324785","",IF(K339="",CONCATENATE(";",EscStr(CONCATENATE("NavNode_",getCategoryLevelAsString($B339))),";",EscStr($J339),";"),CONCATENATE(";",EscStr(CONCATENATE("NavNode_",getCategoryLevelAsString($B339))),";",EscStr(K339),";")))</f>
        <v>;"NavNode_L2D_542983";"Hovedkort/CPU/køler";</v>
      </c>
      <c r="AE339" s="10" t="str">
        <f>IF(getCategoryLevelAsString($B339)="L0D_324785","",IF(L339="",CONCATENATE(";",EscStr(CONCATENATE("NavNode_",getCategoryLevelAsString($B339))),";",EscStr($J339),";"),CONCATENATE(";",EscStr(CONCATENATE("NavNode_",getCategoryLevelAsString($B339))),";",EscStr(L339),";")))</f>
        <v>;"NavNode_L2D_542983";"Pagrindinės plokštės / CPU / aušintuvai";</v>
      </c>
      <c r="AF339" s="10" t="str">
        <f>IF(getCategoryLevelAsString($B339)="L0D_324785","",IF(M339="",CONCATENATE(";",EscStr(CONCATENATE("NavNode_",getCategoryLevelAsString($B339))),";",EscStr($J339),";"),CONCATENATE(";",EscStr(CONCATENATE("NavNode_",getCategoryLevelAsString($B339))),";",EscStr(M339),";")))</f>
        <v>;"NavNode_L2D_542983";"Hovedkort/CPU/kjøler";</v>
      </c>
      <c r="AG339" s="10" t="str">
        <f>IF(getCategoryLevelAsString($B339)="L0D_324785","",IF(N339="",CONCATENATE(";",EscStr(CONCATENATE("NavNode_",getCategoryLevelAsString($B339))),";",EscStr($J339),";"),CONCATENATE(";",EscStr(CONCATENATE("NavNode_",getCategoryLevelAsString($B339))),";",EscStr(N339),";")))</f>
        <v>;"NavNode_L2D_542983";"Moderkort/CPU/Kylning";</v>
      </c>
      <c r="AH339" s="10" t="str">
        <f>IF(getCategoryLevelAsString($B339)="L0D_324785","",IF(O339="",CONCATENATE(";",EscStr(CONCATENATE("NavNode_",getCategoryLevelAsString($B339))),";",EscStr($J339),";"),CONCATENATE(";",EscStr(CONCATENATE("NavNode_",getCategoryLevelAsString($B339))),";",EscStr(O339),";")))</f>
        <v>;"NavNode_L2D_542983";"Emaplaadid / Protsessorid / Jahutid";</v>
      </c>
      <c r="AI339" s="10" t="str">
        <f>IF(getCategoryLevelAsString($B339)="L0D_324785","",IF(P339="",CONCATENATE(";",EscStr(CONCATENATE("NavNode_",getCategoryLevelAsString($B339))),";",EscStr($J339),";"),CONCATENATE(";",EscStr(CONCATENATE("NavNode_",getCategoryLevelAsString($B339))),";",EscStr(P339),";")))</f>
        <v>;"NavNode_L2D_542983";"Emolevyt";</v>
      </c>
      <c r="AJ339" s="10" t="str">
        <f>IF(getCategoryLevelAsString($B339)="L0D_324785","",IF(Q339="",CONCATENATE(";",EscStr(CONCATENATE("NavNode_",getCategoryLevelAsString($B339))),";",EscStr($J339),";"),CONCATENATE(";",EscStr(CONCATENATE("NavNode_",getCategoryLevelAsString($B339))),";",EscStr(Q339),";")))</f>
        <v>;"NavNode_L2D_542983";"Mātesplates / procesori / ventilatori";</v>
      </c>
      <c r="AK339" s="10" t="str">
        <f>IF(getCategoryLevelAsString($B339)="L0D_324785","",IF(R339="",CONCATENATE(";",EscStr(CONCATENATE("NavNode_",getCategoryLevelAsString($B339))),";",EscStr($J339),";"),CONCATENATE(";",EscStr(CONCATENATE("NavNode_",getCategoryLevelAsString($B339))),";",EscStr(R339),";")))</f>
        <v>;"NavNode_L2D_542983";"Moederborden / Processoren / Koelers";</v>
      </c>
      <c r="AL339" s="10" t="str">
        <f>IF(getCategoryLevelAsString($B339)="L0D_324785","",IF(S339="",CONCATENATE(";",EscStr(CONCATENATE("NavNode_",getCategoryLevelAsString($B339))),";",EscStr($J339),";"),CONCATENATE(";",EscStr(CONCATENATE("NavNode_",getCategoryLevelAsString($B339))),";",EscStr(S339),";")))</f>
        <v>;"NavNode_L2D_542983";"Płyty główne / Procesory / Wentylatory";</v>
      </c>
      <c r="AM339" s="10" t="str">
        <f>IF(getCategoryLevelAsString($B339)="L0D_324785","",IF(T339="",CONCATENATE(";",EscStr(CONCATENATE("NavNode_",getCategoryLevelAsString($B339))),";",EscStr($J339),";"),CONCATENATE(";",EscStr(CONCATENATE("NavNode_",getCategoryLevelAsString($B339))),";",EscStr(T339),";")))</f>
        <v>;"NavNode_L2D_542983";"Материнские платы / CPU / Кулеры";</v>
      </c>
      <c r="AN339" s="10" t="str">
        <f>IF(getCategoryLevelAsString($B339)="L0D_324785","",IF(U339="",CONCATENATE(";",EscStr(CONCATENATE("NavNode_",getCategoryLevelAsString($B339))),";",EscStr($J339),";"),CONCATENATE(";",EscStr(CONCATENATE("NavNode_",getCategoryLevelAsString($B339))),";",EscStr(U339),";")))</f>
        <v>;"NavNode_L2D_542983";"Základní desky / CPU / chladič";</v>
      </c>
      <c r="AO339" s="10" t="str">
        <f>IF(getCategoryLevelAsString($B339)="L0D_324785","",IF(V339="",CONCATENATE(";",EscStr(CONCATENATE("NavNode_",getCategoryLevelAsString($B339))),";",EscStr($J339),";"),CONCATENATE(";",EscStr(CONCATENATE("NavNode_",getCategoryLevelAsString($B339))),";",EscStr(V339),";")))</f>
        <v>;"NavNode_L2D_542983";"Placa de baza / CPU / radiator răcire";</v>
      </c>
      <c r="AP339" s="10" t="str">
        <f>IF(getCategoryLevelAsString($B339)="L0D_324785","",IF(W339="",CONCATENATE(";",EscStr(CONCATENATE("NavNode_",getCategoryLevelAsString($B339))),";",EscStr($J339),";"),CONCATENATE(";",EscStr(CONCATENATE("NavNode_",getCategoryLevelAsString($B339))),";",EscStr(W339),";")))</f>
        <v>;"NavNode_L2D_542983";"Alaplap / CPU / Hűtő";</v>
      </c>
      <c r="AQ339" s="10" t="str">
        <f>IF(getCategoryLevelAsString($B339)="L0D_324785","",IF(X339="",CONCATENATE(";",EscStr(CONCATENATE("NavNode_",getCategoryLevelAsString($B339))),";",EscStr($J339),";"),CONCATENATE(";",EscStr(CONCATENATE("NavNode_",getCategoryLevelAsString($B339))),";",EscStr(X339),";")))</f>
        <v>;"NavNode_L2D_542983";"Základní desky / CPU / chladič";</v>
      </c>
      <c r="AR339" s="8" t="str">
        <f>IF(OR($A339&lt;&gt;"", $G339=""),"",CONCATENATE(";",EscStr(CONCATENATE("NavEntry_",getCategoryLevelAsString($B339))),";",EscStr(CONCATENATE($J339," Navigation Entry")),";",EscStr(CONCATENATE("cat-",getCategoryLevelAsString($B339))),";",EscStr(CONCATENATE("NavNode_",getCategoryLevelAsString($B339))),";"))</f>
        <v>;"NavEntry_L2D_542983";"Mainboards / CPU / Cooler Navigation Entry";"cat-L2D_542983";"NavNode_L2D_542983";</v>
      </c>
    </row>
    <row r="340" spans="1:44" ht="15" x14ac:dyDescent="0.25">
      <c r="A340" s="25"/>
      <c r="B340" s="5"/>
      <c r="C340" s="5"/>
      <c r="D340" s="5" t="s">
        <v>630</v>
      </c>
      <c r="E340" s="5"/>
      <c r="F340" s="5"/>
      <c r="G340" s="5" t="s">
        <v>951</v>
      </c>
      <c r="H340" s="5" t="s">
        <v>754</v>
      </c>
      <c r="I340" s="5" t="s">
        <v>680</v>
      </c>
      <c r="J340" s="5" t="s">
        <v>854</v>
      </c>
      <c r="K340" s="5" t="s">
        <v>1385</v>
      </c>
      <c r="L340" s="5" t="s">
        <v>1621</v>
      </c>
      <c r="M340" s="5" t="s">
        <v>1823</v>
      </c>
      <c r="N340" s="5" t="s">
        <v>2040</v>
      </c>
      <c r="O340" s="5" t="s">
        <v>4224</v>
      </c>
      <c r="P340" s="5" t="s">
        <v>4225</v>
      </c>
      <c r="Q340" s="5" t="s">
        <v>4226</v>
      </c>
      <c r="R340" s="5" t="s">
        <v>4227</v>
      </c>
      <c r="S340" s="5" t="s">
        <v>4228</v>
      </c>
      <c r="T340" s="5" t="s">
        <v>4229</v>
      </c>
      <c r="U340" s="5" t="s">
        <v>4230</v>
      </c>
      <c r="V340" s="5" t="s">
        <v>4231</v>
      </c>
      <c r="W340" s="5" t="s">
        <v>4232</v>
      </c>
      <c r="X340" s="5" t="s">
        <v>4230</v>
      </c>
      <c r="Y340" s="10" t="str">
        <f>IF(OR($A340&lt;&gt;"", $G340=""),"",CONCATENATE(";",EscStr(CONCATENATE("NavNode_",getCategoryLevelAsString($B340))),";",EscStr($J340),";",IF($B340&lt;&gt;"","""MainNavNode""",EscStr(CONCATENATE("NavNode_",getSuperCategory($B340, getCategoryLevelAsNumber($B340))))),";"))</f>
        <v>;"NavNode_L3D_543028";"Expansion cards";"NavNode_L2D_542983";</v>
      </c>
      <c r="Z340" s="10" t="str">
        <f>IF(getCategoryLevelAsString($B340)="L0D_324785","",IF(G340="",CONCATENATE(";",EscStr(CONCATENATE("NavNode_",getCategoryLevelAsString($B340))),";",EscStr($J340),";"),CONCATENATE(";",EscStr(CONCATENATE("NavNode_",getCategoryLevelAsString($B340))),";",EscStr(G340),";")))</f>
        <v>;"NavNode_L3D_543028";"Erweiterungskarten";</v>
      </c>
      <c r="AA340" s="10" t="str">
        <f>IF(getCategoryLevelAsString($B340)="L0D_324785","",IF(H340="",CONCATENATE(";",EscStr(CONCATENATE("NavNode_",getCategoryLevelAsString($B340))),";",EscStr($J340),";"),CONCATENATE(";",EscStr(CONCATENATE("NavNode_",getCategoryLevelAsString($B340))),";",EscStr(H340),";")))</f>
        <v>;"NavNode_L3D_543028";"Cartes d'extension";</v>
      </c>
      <c r="AB340" s="10" t="str">
        <f>IF(getCategoryLevelAsString($B340)="L0D_324785","",IF(I340="",CONCATENATE(";",EscStr(CONCATENATE("NavNode_",getCategoryLevelAsString($B340))),";",EscStr($J340),";"),CONCATENATE(";",EscStr(CONCATENATE("NavNode_",getCategoryLevelAsString($B340))),";",EscStr(I340),";")))</f>
        <v>;"NavNode_L3D_543028";"Schede di espansione";</v>
      </c>
      <c r="AC340" s="10" t="str">
        <f>IF(getCategoryLevelAsString($B340)="L0D_324785","",IF(J340="",CONCATENATE(";",EscStr(CONCATENATE("NavNode_",getCategoryLevelAsString($B340))),";",EscStr($J340),";"),CONCATENATE(";",EscStr(CONCATENATE("NavNode_",getCategoryLevelAsString($B340))),";",EscStr(J340),";")))</f>
        <v>;"NavNode_L3D_543028";"Expansion cards";</v>
      </c>
      <c r="AD340" s="10" t="str">
        <f>IF(getCategoryLevelAsString($B340)="L0D_324785","",IF(K340="",CONCATENATE(";",EscStr(CONCATENATE("NavNode_",getCategoryLevelAsString($B340))),";",EscStr($J340),";"),CONCATENATE(";",EscStr(CONCATENATE("NavNode_",getCategoryLevelAsString($B340))),";",EscStr(K340),";")))</f>
        <v>;"NavNode_L3D_543028";"Udvidelseskort";</v>
      </c>
      <c r="AE340" s="10" t="str">
        <f>IF(getCategoryLevelAsString($B340)="L0D_324785","",IF(L340="",CONCATENATE(";",EscStr(CONCATENATE("NavNode_",getCategoryLevelAsString($B340))),";",EscStr($J340),";"),CONCATENATE(";",EscStr(CONCATENATE("NavNode_",getCategoryLevelAsString($B340))),";",EscStr(L340),";")))</f>
        <v>;"NavNode_L3D_543028";"Plėtimo plokštės";</v>
      </c>
      <c r="AF340" s="10" t="str">
        <f>IF(getCategoryLevelAsString($B340)="L0D_324785","",IF(M340="",CONCATENATE(";",EscStr(CONCATENATE("NavNode_",getCategoryLevelAsString($B340))),";",EscStr($J340),";"),CONCATENATE(";",EscStr(CONCATENATE("NavNode_",getCategoryLevelAsString($B340))),";",EscStr(M340),";")))</f>
        <v>;"NavNode_L3D_543028";"Utvidelseskort";</v>
      </c>
      <c r="AG340" s="10" t="str">
        <f>IF(getCategoryLevelAsString($B340)="L0D_324785","",IF(N340="",CONCATENATE(";",EscStr(CONCATENATE("NavNode_",getCategoryLevelAsString($B340))),";",EscStr($J340),";"),CONCATENATE(";",EscStr(CONCATENATE("NavNode_",getCategoryLevelAsString($B340))),";",EscStr(N340),";")))</f>
        <v>;"NavNode_L3D_543028";"Utbyggnadskort";</v>
      </c>
      <c r="AH340" s="10" t="str">
        <f>IF(getCategoryLevelAsString($B340)="L0D_324785","",IF(O340="",CONCATENATE(";",EscStr(CONCATENATE("NavNode_",getCategoryLevelAsString($B340))),";",EscStr($J340),";"),CONCATENATE(";",EscStr(CONCATENATE("NavNode_",getCategoryLevelAsString($B340))),";",EscStr(O340),";")))</f>
        <v>;"NavNode_L3D_543028";"Laienduskaardid";</v>
      </c>
      <c r="AI340" s="10" t="str">
        <f>IF(getCategoryLevelAsString($B340)="L0D_324785","",IF(P340="",CONCATENATE(";",EscStr(CONCATENATE("NavNode_",getCategoryLevelAsString($B340))),";",EscStr($J340),";"),CONCATENATE(";",EscStr(CONCATENATE("NavNode_",getCategoryLevelAsString($B340))),";",EscStr(P340),";")))</f>
        <v>;"NavNode_L3D_543028";"Laajennuskortit";</v>
      </c>
      <c r="AJ340" s="10" t="str">
        <f>IF(getCategoryLevelAsString($B340)="L0D_324785","",IF(Q340="",CONCATENATE(";",EscStr(CONCATENATE("NavNode_",getCategoryLevelAsString($B340))),";",EscStr($J340),";"),CONCATENATE(";",EscStr(CONCATENATE("NavNode_",getCategoryLevelAsString($B340))),";",EscStr(Q340),";")))</f>
        <v>;"NavNode_L3D_543028";"Paplašināšanas kartes";</v>
      </c>
      <c r="AK340" s="10" t="str">
        <f>IF(getCategoryLevelAsString($B340)="L0D_324785","",IF(R340="",CONCATENATE(";",EscStr(CONCATENATE("NavNode_",getCategoryLevelAsString($B340))),";",EscStr($J340),";"),CONCATENATE(";",EscStr(CONCATENATE("NavNode_",getCategoryLevelAsString($B340))),";",EscStr(R340),";")))</f>
        <v>;"NavNode_L3D_543028";"Uitbreidingskaarten";</v>
      </c>
      <c r="AL340" s="10" t="str">
        <f>IF(getCategoryLevelAsString($B340)="L0D_324785","",IF(S340="",CONCATENATE(";",EscStr(CONCATENATE("NavNode_",getCategoryLevelAsString($B340))),";",EscStr($J340),";"),CONCATENATE(";",EscStr(CONCATENATE("NavNode_",getCategoryLevelAsString($B340))),";",EscStr(S340),";")))</f>
        <v>;"NavNode_L3D_543028";"Karty rozszerzeń";</v>
      </c>
      <c r="AM340" s="10" t="str">
        <f>IF(getCategoryLevelAsString($B340)="L0D_324785","",IF(T340="",CONCATENATE(";",EscStr(CONCATENATE("NavNode_",getCategoryLevelAsString($B340))),";",EscStr($J340),";"),CONCATENATE(";",EscStr(CONCATENATE("NavNode_",getCategoryLevelAsString($B340))),";",EscStr(T340),";")))</f>
        <v>;"NavNode_L3D_543028";"Платы расширения";</v>
      </c>
      <c r="AN340" s="10" t="str">
        <f>IF(getCategoryLevelAsString($B340)="L0D_324785","",IF(U340="",CONCATENATE(";",EscStr(CONCATENATE("NavNode_",getCategoryLevelAsString($B340))),";",EscStr($J340),";"),CONCATENATE(";",EscStr(CONCATENATE("NavNode_",getCategoryLevelAsString($B340))),";",EscStr(U340),";")))</f>
        <v>;"NavNode_L3D_543028";"Rozšiřující karty";</v>
      </c>
      <c r="AO340" s="10" t="str">
        <f>IF(getCategoryLevelAsString($B340)="L0D_324785","",IF(V340="",CONCATENATE(";",EscStr(CONCATENATE("NavNode_",getCategoryLevelAsString($B340))),";",EscStr($J340),";"),CONCATENATE(";",EscStr(CONCATENATE("NavNode_",getCategoryLevelAsString($B340))),";",EscStr(V340),";")))</f>
        <v>;"NavNode_L3D_543028";"Plăci de expansiune";</v>
      </c>
      <c r="AP340" s="10" t="str">
        <f>IF(getCategoryLevelAsString($B340)="L0D_324785","",IF(W340="",CONCATENATE(";",EscStr(CONCATENATE("NavNode_",getCategoryLevelAsString($B340))),";",EscStr($J340),";"),CONCATENATE(";",EscStr(CONCATENATE("NavNode_",getCategoryLevelAsString($B340))),";",EscStr(W340),";")))</f>
        <v>;"NavNode_L3D_543028";"Bővítőkártyák";</v>
      </c>
      <c r="AQ340" s="10" t="str">
        <f>IF(getCategoryLevelAsString($B340)="L0D_324785","",IF(X340="",CONCATENATE(";",EscStr(CONCATENATE("NavNode_",getCategoryLevelAsString($B340))),";",EscStr($J340),";"),CONCATENATE(";",EscStr(CONCATENATE("NavNode_",getCategoryLevelAsString($B340))),";",EscStr(X340),";")))</f>
        <v>;"NavNode_L3D_543028";"Rozšiřující karty";</v>
      </c>
      <c r="AR340" s="8" t="str">
        <f>IF(OR($A340&lt;&gt;"", $G340=""),"",CONCATENATE(";",EscStr(CONCATENATE("NavEntry_",getCategoryLevelAsString($B340))),";",EscStr(CONCATENATE($J340," Navigation Entry")),";",EscStr(CONCATENATE("cat-",getCategoryLevelAsString($B340))),";",EscStr(CONCATENATE("NavNode_",getCategoryLevelAsString($B340))),";"))</f>
        <v>;"NavEntry_L3D_543028";"Expansion cards Navigation Entry";"cat-L3D_543028";"NavNode_L3D_543028";</v>
      </c>
    </row>
    <row r="341" spans="1:44" ht="15" x14ac:dyDescent="0.25">
      <c r="A341" s="25"/>
      <c r="B341" s="5"/>
      <c r="C341" s="5"/>
      <c r="D341" s="5" t="s">
        <v>631</v>
      </c>
      <c r="E341" s="5"/>
      <c r="F341" s="5"/>
      <c r="G341" s="5" t="s">
        <v>998</v>
      </c>
      <c r="H341" s="5" t="s">
        <v>755</v>
      </c>
      <c r="I341" s="5" t="s">
        <v>681</v>
      </c>
      <c r="J341" s="5" t="s">
        <v>855</v>
      </c>
      <c r="K341" s="5" t="s">
        <v>1386</v>
      </c>
      <c r="L341" s="5" t="s">
        <v>1622</v>
      </c>
      <c r="M341" s="5" t="s">
        <v>1824</v>
      </c>
      <c r="N341" s="5" t="s">
        <v>2041</v>
      </c>
      <c r="O341" s="5" t="s">
        <v>4233</v>
      </c>
      <c r="P341" s="5" t="s">
        <v>4234</v>
      </c>
      <c r="Q341" s="5" t="s">
        <v>4235</v>
      </c>
      <c r="R341" s="5" t="s">
        <v>4236</v>
      </c>
      <c r="S341" s="5" t="s">
        <v>4237</v>
      </c>
      <c r="T341" s="5" t="s">
        <v>4238</v>
      </c>
      <c r="U341" s="5" t="s">
        <v>4239</v>
      </c>
      <c r="V341" s="5" t="s">
        <v>4240</v>
      </c>
      <c r="W341" s="5" t="s">
        <v>4241</v>
      </c>
      <c r="X341" s="5" t="s">
        <v>4239</v>
      </c>
      <c r="Y341" s="10" t="str">
        <f>IF(OR($A341&lt;&gt;"", $G341=""),"",CONCATENATE(";",EscStr(CONCATENATE("NavNode_",getCategoryLevelAsString($B341))),";",EscStr($J341),";",IF($B341&lt;&gt;"","""MainNavNode""",EscStr(CONCATENATE("NavNode_",getSuperCategory($B341, getCategoryLevelAsNumber($B341))))),";"))</f>
        <v>;"NavNode_L3D_543032";"PC cases / Accessories";"NavNode_L2D_542983";</v>
      </c>
      <c r="Z341" s="10" t="str">
        <f>IF(getCategoryLevelAsString($B341)="L0D_324785","",IF(G341="",CONCATENATE(";",EscStr(CONCATENATE("NavNode_",getCategoryLevelAsString($B341))),";",EscStr($J341),";"),CONCATENATE(";",EscStr(CONCATENATE("NavNode_",getCategoryLevelAsString($B341))),";",EscStr(G341),";")))</f>
        <v>;"NavNode_L3D_543032";"PC-Gehäuse / Zubehör";</v>
      </c>
      <c r="AA341" s="10" t="str">
        <f>IF(getCategoryLevelAsString($B341)="L0D_324785","",IF(H341="",CONCATENATE(";",EscStr(CONCATENATE("NavNode_",getCategoryLevelAsString($B341))),";",EscStr($J341),";"),CONCATENATE(";",EscStr(CONCATENATE("NavNode_",getCategoryLevelAsString($B341))),";",EscStr(H341),";")))</f>
        <v>;"NavNode_L3D_543032";"Sacoches / accessoires pour PC";</v>
      </c>
      <c r="AB341" s="10" t="str">
        <f>IF(getCategoryLevelAsString($B341)="L0D_324785","",IF(I341="",CONCATENATE(";",EscStr(CONCATENATE("NavNode_",getCategoryLevelAsString($B341))),";",EscStr($J341),";"),CONCATENATE(";",EscStr(CONCATENATE("NavNode_",getCategoryLevelAsString($B341))),";",EscStr(I341),";")))</f>
        <v>;"NavNode_L3D_543032";"Case PC / accessori";</v>
      </c>
      <c r="AC341" s="10" t="str">
        <f>IF(getCategoryLevelAsString($B341)="L0D_324785","",IF(J341="",CONCATENATE(";",EscStr(CONCATENATE("NavNode_",getCategoryLevelAsString($B341))),";",EscStr($J341),";"),CONCATENATE(";",EscStr(CONCATENATE("NavNode_",getCategoryLevelAsString($B341))),";",EscStr(J341),";")))</f>
        <v>;"NavNode_L3D_543032";"PC cases / Accessories";</v>
      </c>
      <c r="AD341" s="10" t="str">
        <f>IF(getCategoryLevelAsString($B341)="L0D_324785","",IF(K341="",CONCATENATE(";",EscStr(CONCATENATE("NavNode_",getCategoryLevelAsString($B341))),";",EscStr($J341),";"),CONCATENATE(";",EscStr(CONCATENATE("NavNode_",getCategoryLevelAsString($B341))),";",EscStr(K341),";")))</f>
        <v>;"NavNode_L3D_543032";"Pc-kabinetter/tilbehør";</v>
      </c>
      <c r="AE341" s="10" t="str">
        <f>IF(getCategoryLevelAsString($B341)="L0D_324785","",IF(L341="",CONCATENATE(";",EscStr(CONCATENATE("NavNode_",getCategoryLevelAsString($B341))),";",EscStr($J341),";"),CONCATENATE(";",EscStr(CONCATENATE("NavNode_",getCategoryLevelAsString($B341))),";",EscStr(L341),";")))</f>
        <v>;"NavNode_L3D_543032";"PC dėžės / Priedai";</v>
      </c>
      <c r="AF341" s="10" t="str">
        <f>IF(getCategoryLevelAsString($B341)="L0D_324785","",IF(M341="",CONCATENATE(";",EscStr(CONCATENATE("NavNode_",getCategoryLevelAsString($B341))),";",EscStr($J341),";"),CONCATENATE(";",EscStr(CONCATENATE("NavNode_",getCategoryLevelAsString($B341))),";",EscStr(M341),";")))</f>
        <v>;"NavNode_L3D_543032";"PC-kabinetter/tilbehør";</v>
      </c>
      <c r="AG341" s="10" t="str">
        <f>IF(getCategoryLevelAsString($B341)="L0D_324785","",IF(N341="",CONCATENATE(";",EscStr(CONCATENATE("NavNode_",getCategoryLevelAsString($B341))),";",EscStr($J341),";"),CONCATENATE(";",EscStr(CONCATENATE("NavNode_",getCategoryLevelAsString($B341))),";",EscStr(N341),";")))</f>
        <v>;"NavNode_L3D_543032";"Datorchassin/Tillbehör";</v>
      </c>
      <c r="AH341" s="10" t="str">
        <f>IF(getCategoryLevelAsString($B341)="L0D_324785","",IF(O341="",CONCATENATE(";",EscStr(CONCATENATE("NavNode_",getCategoryLevelAsString($B341))),";",EscStr($J341),";"),CONCATENATE(";",EscStr(CONCATENATE("NavNode_",getCategoryLevelAsString($B341))),";",EscStr(O341),";")))</f>
        <v>;"NavNode_L3D_543032";"Lauaarvuti korpused / Tarvikud";</v>
      </c>
      <c r="AI341" s="10" t="str">
        <f>IF(getCategoryLevelAsString($B341)="L0D_324785","",IF(P341="",CONCATENATE(";",EscStr(CONCATENATE("NavNode_",getCategoryLevelAsString($B341))),";",EscStr($J341),";"),CONCATENATE(";",EscStr(CONCATENATE("NavNode_",getCategoryLevelAsString($B341))),";",EscStr(P341),";")))</f>
        <v>;"NavNode_L3D_543032";"PC-kotelot/Tarvikkeet";</v>
      </c>
      <c r="AJ341" s="10" t="str">
        <f>IF(getCategoryLevelAsString($B341)="L0D_324785","",IF(Q341="",CONCATENATE(";",EscStr(CONCATENATE("NavNode_",getCategoryLevelAsString($B341))),";",EscStr($J341),";"),CONCATENATE(";",EscStr(CONCATENATE("NavNode_",getCategoryLevelAsString($B341))),";",EscStr(Q341),";")))</f>
        <v>;"NavNode_L3D_543032";"Datoru korpusi / piederumi";</v>
      </c>
      <c r="AK341" s="10" t="str">
        <f>IF(getCategoryLevelAsString($B341)="L0D_324785","",IF(R341="",CONCATENATE(";",EscStr(CONCATENATE("NavNode_",getCategoryLevelAsString($B341))),";",EscStr($J341),";"),CONCATENATE(";",EscStr(CONCATENATE("NavNode_",getCategoryLevelAsString($B341))),";",EscStr(R341),";")))</f>
        <v>;"NavNode_L3D_543032";"PC behuizingen / accessoires";</v>
      </c>
      <c r="AL341" s="10" t="str">
        <f>IF(getCategoryLevelAsString($B341)="L0D_324785","",IF(S341="",CONCATENATE(";",EscStr(CONCATENATE("NavNode_",getCategoryLevelAsString($B341))),";",EscStr($J341),";"),CONCATENATE(";",EscStr(CONCATENATE("NavNode_",getCategoryLevelAsString($B341))),";",EscStr(S341),";")))</f>
        <v>;"NavNode_L3D_543032";"Obudowy PC / Akcesoria";</v>
      </c>
      <c r="AM341" s="10" t="str">
        <f>IF(getCategoryLevelAsString($B341)="L0D_324785","",IF(T341="",CONCATENATE(";",EscStr(CONCATENATE("NavNode_",getCategoryLevelAsString($B341))),";",EscStr($J341),";"),CONCATENATE(";",EscStr(CONCATENATE("NavNode_",getCategoryLevelAsString($B341))),";",EscStr(T341),";")))</f>
        <v>;"NavNode_L3D_543032";"PC Кейсы / Аксессуары";</v>
      </c>
      <c r="AN341" s="10" t="str">
        <f>IF(getCategoryLevelAsString($B341)="L0D_324785","",IF(U341="",CONCATENATE(";",EscStr(CONCATENATE("NavNode_",getCategoryLevelAsString($B341))),";",EscStr($J341),";"),CONCATENATE(";",EscStr(CONCATENATE("NavNode_",getCategoryLevelAsString($B341))),";",EscStr(U341),";")))</f>
        <v>;"NavNode_L3D_543032";"Počítačové skříně / příslušenství";</v>
      </c>
      <c r="AO341" s="10" t="str">
        <f>IF(getCategoryLevelAsString($B341)="L0D_324785","",IF(V341="",CONCATENATE(";",EscStr(CONCATENATE("NavNode_",getCategoryLevelAsString($B341))),";",EscStr($J341),";"),CONCATENATE(";",EscStr(CONCATENATE("NavNode_",getCategoryLevelAsString($B341))),";",EscStr(V341),";")))</f>
        <v>;"NavNode_L3D_543032";"Carcase PC / accesorii";</v>
      </c>
      <c r="AP341" s="10" t="str">
        <f>IF(getCategoryLevelAsString($B341)="L0D_324785","",IF(W341="",CONCATENATE(";",EscStr(CONCATENATE("NavNode_",getCategoryLevelAsString($B341))),";",EscStr($J341),";"),CONCATENATE(";",EscStr(CONCATENATE("NavNode_",getCategoryLevelAsString($B341))),";",EscStr(W341),";")))</f>
        <v>;"NavNode_L3D_543032";"Számítógépház / Tartozék";</v>
      </c>
      <c r="AQ341" s="10" t="str">
        <f>IF(getCategoryLevelAsString($B341)="L0D_324785","",IF(X341="",CONCATENATE(";",EscStr(CONCATENATE("NavNode_",getCategoryLevelAsString($B341))),";",EscStr($J341),";"),CONCATENATE(";",EscStr(CONCATENATE("NavNode_",getCategoryLevelAsString($B341))),";",EscStr(X341),";")))</f>
        <v>;"NavNode_L3D_543032";"Počítačové skříně / příslušenství";</v>
      </c>
      <c r="AR341" s="8" t="str">
        <f>IF(OR($A341&lt;&gt;"", $G341=""),"",CONCATENATE(";",EscStr(CONCATENATE("NavEntry_",getCategoryLevelAsString($B341))),";",EscStr(CONCATENATE($J341," Navigation Entry")),";",EscStr(CONCATENATE("cat-",getCategoryLevelAsString($B341))),";",EscStr(CONCATENATE("NavNode_",getCategoryLevelAsString($B341))),";"))</f>
        <v>;"NavEntry_L3D_543032";"PC cases / Accessories Navigation Entry";"cat-L3D_543032";"NavNode_L3D_543032";</v>
      </c>
    </row>
    <row r="342" spans="1:44" ht="15" x14ac:dyDescent="0.25">
      <c r="A342" s="25"/>
      <c r="B342" s="5"/>
      <c r="C342" s="5" t="s">
        <v>603</v>
      </c>
      <c r="D342" s="5"/>
      <c r="E342" s="5"/>
      <c r="F342" s="5"/>
      <c r="G342" s="5" t="s">
        <v>946</v>
      </c>
      <c r="H342" s="5" t="s">
        <v>771</v>
      </c>
      <c r="I342" s="5" t="s">
        <v>662</v>
      </c>
      <c r="J342" s="5" t="s">
        <v>872</v>
      </c>
      <c r="K342" s="5" t="s">
        <v>1403</v>
      </c>
      <c r="L342" s="5" t="s">
        <v>1639</v>
      </c>
      <c r="M342" s="5" t="s">
        <v>1841</v>
      </c>
      <c r="N342" s="5" t="s">
        <v>2058</v>
      </c>
      <c r="O342" s="5" t="s">
        <v>4379</v>
      </c>
      <c r="P342" s="5" t="s">
        <v>4380</v>
      </c>
      <c r="Q342" s="5" t="s">
        <v>4381</v>
      </c>
      <c r="R342" s="5" t="s">
        <v>872</v>
      </c>
      <c r="S342" s="5" t="s">
        <v>4382</v>
      </c>
      <c r="T342" s="5" t="s">
        <v>4383</v>
      </c>
      <c r="U342" s="5" t="s">
        <v>4384</v>
      </c>
      <c r="V342" s="5" t="s">
        <v>4385</v>
      </c>
      <c r="W342" s="5" t="s">
        <v>4386</v>
      </c>
      <c r="X342" s="5" t="s">
        <v>4384</v>
      </c>
      <c r="Y342" s="10" t="str">
        <f>IF(OR($A342&lt;&gt;"", $G342=""),"",CONCATENATE(";",EscStr(CONCATENATE("NavNode_",getCategoryLevelAsString($B342))),";",EscStr($J342),";",IF($B342&lt;&gt;"","""MainNavNode""",EscStr(CONCATENATE("NavNode_",getSuperCategory($B342, getCategoryLevelAsNumber($B342))))),";"))</f>
        <v>;"NavNode_L3D_543034";"Printers &amp; Supplies";"NavNode_L2D_542983";</v>
      </c>
      <c r="Z342" s="10" t="str">
        <f>IF(getCategoryLevelAsString($B342)="L0D_324785","",IF(G342="",CONCATENATE(";",EscStr(CONCATENATE("NavNode_",getCategoryLevelAsString($B342))),";",EscStr($J342),";"),CONCATENATE(";",EscStr(CONCATENATE("NavNode_",getCategoryLevelAsString($B342))),";",EscStr(G342),";")))</f>
        <v>;"NavNode_L3D_543034";"Drucker und Verbrauchsmaterial";</v>
      </c>
      <c r="AA342" s="10" t="str">
        <f>IF(getCategoryLevelAsString($B342)="L0D_324785","",IF(H342="",CONCATENATE(";",EscStr(CONCATENATE("NavNode_",getCategoryLevelAsString($B342))),";",EscStr($J342),";"),CONCATENATE(";",EscStr(CONCATENATE("NavNode_",getCategoryLevelAsString($B342))),";",EscStr(H342),";")))</f>
        <v>;"NavNode_L3D_543034";"Imprimantes et consommables";</v>
      </c>
      <c r="AB342" s="10" t="str">
        <f>IF(getCategoryLevelAsString($B342)="L0D_324785","",IF(I342="",CONCATENATE(";",EscStr(CONCATENATE("NavNode_",getCategoryLevelAsString($B342))),";",EscStr($J342),";"),CONCATENATE(";",EscStr(CONCATENATE("NavNode_",getCategoryLevelAsString($B342))),";",EscStr(I342),";")))</f>
        <v>;"NavNode_L3D_543034";"Stampanti e materiali di consumo";</v>
      </c>
      <c r="AC342" s="10" t="str">
        <f>IF(getCategoryLevelAsString($B342)="L0D_324785","",IF(J342="",CONCATENATE(";",EscStr(CONCATENATE("NavNode_",getCategoryLevelAsString($B342))),";",EscStr($J342),";"),CONCATENATE(";",EscStr(CONCATENATE("NavNode_",getCategoryLevelAsString($B342))),";",EscStr(J342),";")))</f>
        <v>;"NavNode_L3D_543034";"Printers &amp; Supplies";</v>
      </c>
      <c r="AD342" s="10" t="str">
        <f>IF(getCategoryLevelAsString($B342)="L0D_324785","",IF(K342="",CONCATENATE(";",EscStr(CONCATENATE("NavNode_",getCategoryLevelAsString($B342))),";",EscStr($J342),";"),CONCATENATE(";",EscStr(CONCATENATE("NavNode_",getCategoryLevelAsString($B342))),";",EscStr(K342),";")))</f>
        <v>;"NavNode_L3D_543034";"Printere &amp; og forsyninger";</v>
      </c>
      <c r="AE342" s="10" t="str">
        <f>IF(getCategoryLevelAsString($B342)="L0D_324785","",IF(L342="",CONCATENATE(";",EscStr(CONCATENATE("NavNode_",getCategoryLevelAsString($B342))),";",EscStr($J342),";"),CONCATENATE(";",EscStr(CONCATENATE("NavNode_",getCategoryLevelAsString($B342))),";",EscStr(L342),";")))</f>
        <v>;"NavNode_L3D_543034";"Spausdintuvai ir medžiagos";</v>
      </c>
      <c r="AF342" s="10" t="str">
        <f>IF(getCategoryLevelAsString($B342)="L0D_324785","",IF(M342="",CONCATENATE(";",EscStr(CONCATENATE("NavNode_",getCategoryLevelAsString($B342))),";",EscStr($J342),";"),CONCATENATE(";",EscStr(CONCATENATE("NavNode_",getCategoryLevelAsString($B342))),";",EscStr(M342),";")))</f>
        <v>;"NavNode_L3D_543034";"Skrivere og tilbehør";</v>
      </c>
      <c r="AG342" s="10" t="str">
        <f>IF(getCategoryLevelAsString($B342)="L0D_324785","",IF(N342="",CONCATENATE(";",EscStr(CONCATENATE("NavNode_",getCategoryLevelAsString($B342))),";",EscStr($J342),";"),CONCATENATE(";",EscStr(CONCATENATE("NavNode_",getCategoryLevelAsString($B342))),";",EscStr(N342),";")))</f>
        <v>;"NavNode_L3D_543034";"Skrivare och tillbehör";</v>
      </c>
      <c r="AH342" s="10" t="str">
        <f>IF(getCategoryLevelAsString($B342)="L0D_324785","",IF(O342="",CONCATENATE(";",EscStr(CONCATENATE("NavNode_",getCategoryLevelAsString($B342))),";",EscStr($J342),";"),CONCATENATE(";",EscStr(CONCATENATE("NavNode_",getCategoryLevelAsString($B342))),";",EscStr(O342),";")))</f>
        <v>;"NavNode_L3D_543034";"Printerid ja tarvikud";</v>
      </c>
      <c r="AI342" s="10" t="str">
        <f>IF(getCategoryLevelAsString($B342)="L0D_324785","",IF(P342="",CONCATENATE(";",EscStr(CONCATENATE("NavNode_",getCategoryLevelAsString($B342))),";",EscStr($J342),";"),CONCATENATE(";",EscStr(CONCATENATE("NavNode_",getCategoryLevelAsString($B342))),";",EscStr(P342),";")))</f>
        <v>;"NavNode_L3D_543034";"Kirjoittimet&amp; tarvikkeet";</v>
      </c>
      <c r="AJ342" s="10" t="str">
        <f>IF(getCategoryLevelAsString($B342)="L0D_324785","",IF(Q342="",CONCATENATE(";",EscStr(CONCATENATE("NavNode_",getCategoryLevelAsString($B342))),";",EscStr($J342),";"),CONCATENATE(";",EscStr(CONCATENATE("NavNode_",getCategoryLevelAsString($B342))),";",EscStr(Q342),";")))</f>
        <v>;"NavNode_L3D_543034";"Printeri un printeru materiāli";</v>
      </c>
      <c r="AK342" s="10" t="str">
        <f>IF(getCategoryLevelAsString($B342)="L0D_324785","",IF(R342="",CONCATENATE(";",EscStr(CONCATENATE("NavNode_",getCategoryLevelAsString($B342))),";",EscStr($J342),";"),CONCATENATE(";",EscStr(CONCATENATE("NavNode_",getCategoryLevelAsString($B342))),";",EscStr(R342),";")))</f>
        <v>;"NavNode_L3D_543034";"Printers &amp; Supplies";</v>
      </c>
      <c r="AL342" s="10" t="str">
        <f>IF(getCategoryLevelAsString($B342)="L0D_324785","",IF(S342="",CONCATENATE(";",EscStr(CONCATENATE("NavNode_",getCategoryLevelAsString($B342))),";",EscStr($J342),";"),CONCATENATE(";",EscStr(CONCATENATE("NavNode_",getCategoryLevelAsString($B342))),";",EscStr(S342),";")))</f>
        <v>;"NavNode_L3D_543034";"Drukarki i Wyposażenie";</v>
      </c>
      <c r="AM342" s="10" t="str">
        <f>IF(getCategoryLevelAsString($B342)="L0D_324785","",IF(T342="",CONCATENATE(";",EscStr(CONCATENATE("NavNode_",getCategoryLevelAsString($B342))),";",EscStr($J342),";"),CONCATENATE(";",EscStr(CONCATENATE("NavNode_",getCategoryLevelAsString($B342))),";",EscStr(T342),";")))</f>
        <v>;"NavNode_L3D_543034";"Принтеры и материалы для принтера";</v>
      </c>
      <c r="AN342" s="10" t="str">
        <f>IF(getCategoryLevelAsString($B342)="L0D_324785","",IF(U342="",CONCATENATE(";",EscStr(CONCATENATE("NavNode_",getCategoryLevelAsString($B342))),";",EscStr($J342),";"),CONCATENATE(";",EscStr(CONCATENATE("NavNode_",getCategoryLevelAsString($B342))),";",EscStr(U342),";")))</f>
        <v>;"NavNode_L3D_543034";"Tiskárny a spotřební materiál";</v>
      </c>
      <c r="AO342" s="10" t="str">
        <f>IF(getCategoryLevelAsString($B342)="L0D_324785","",IF(V342="",CONCATENATE(";",EscStr(CONCATENATE("NavNode_",getCategoryLevelAsString($B342))),";",EscStr($J342),";"),CONCATENATE(";",EscStr(CONCATENATE("NavNode_",getCategoryLevelAsString($B342))),";",EscStr(V342),";")))</f>
        <v>;"NavNode_L3D_543034";"Imprimante şi consumabile";</v>
      </c>
      <c r="AP342" s="10" t="str">
        <f>IF(getCategoryLevelAsString($B342)="L0D_324785","",IF(W342="",CONCATENATE(";",EscStr(CONCATENATE("NavNode_",getCategoryLevelAsString($B342))),";",EscStr($J342),";"),CONCATENATE(";",EscStr(CONCATENATE("NavNode_",getCategoryLevelAsString($B342))),";",EscStr(W342),";")))</f>
        <v>;"NavNode_L3D_543034";"Nyomtató és tartozékai";</v>
      </c>
      <c r="AQ342" s="10" t="str">
        <f>IF(getCategoryLevelAsString($B342)="L0D_324785","",IF(X342="",CONCATENATE(";",EscStr(CONCATENATE("NavNode_",getCategoryLevelAsString($B342))),";",EscStr($J342),";"),CONCATENATE(";",EscStr(CONCATENATE("NavNode_",getCategoryLevelAsString($B342))),";",EscStr(X342),";")))</f>
        <v>;"NavNode_L3D_543034";"Tiskárny a spotřební materiál";</v>
      </c>
      <c r="AR342" s="8" t="str">
        <f>IF(OR($A342&lt;&gt;"", $G342=""),"",CONCATENATE(";",EscStr(CONCATENATE("NavEntry_",getCategoryLevelAsString($B342))),";",EscStr(CONCATENATE($J342," Navigation Entry")),";",EscStr(CONCATENATE("cat-",getCategoryLevelAsString($B342))),";",EscStr(CONCATENATE("NavNode_",getCategoryLevelAsString($B342))),";"))</f>
        <v>;"NavEntry_L3D_543034";"Printers &amp; Supplies Navigation Entry";"cat-L3D_543034";"NavNode_L3D_543034";</v>
      </c>
    </row>
    <row r="343" spans="1:44" ht="15" x14ac:dyDescent="0.25">
      <c r="A343" s="25"/>
      <c r="B343" s="5"/>
      <c r="C343" s="5"/>
      <c r="D343" s="5" t="s">
        <v>604</v>
      </c>
      <c r="E343" s="5"/>
      <c r="F343" s="5"/>
      <c r="G343" s="5" t="s">
        <v>1012</v>
      </c>
      <c r="H343" s="5" t="s">
        <v>772</v>
      </c>
      <c r="I343" s="5" t="s">
        <v>663</v>
      </c>
      <c r="J343" s="5" t="s">
        <v>873</v>
      </c>
      <c r="K343" s="5" t="s">
        <v>1404</v>
      </c>
      <c r="L343" s="5" t="s">
        <v>1640</v>
      </c>
      <c r="M343" s="5" t="s">
        <v>1842</v>
      </c>
      <c r="N343" s="5" t="s">
        <v>2059</v>
      </c>
      <c r="O343" s="5" t="s">
        <v>4387</v>
      </c>
      <c r="P343" s="5" t="s">
        <v>4388</v>
      </c>
      <c r="Q343" s="5" t="s">
        <v>4389</v>
      </c>
      <c r="R343" s="5" t="s">
        <v>4390</v>
      </c>
      <c r="S343" s="5" t="s">
        <v>4391</v>
      </c>
      <c r="T343" s="5" t="s">
        <v>4392</v>
      </c>
      <c r="U343" s="5" t="s">
        <v>4393</v>
      </c>
      <c r="V343" s="5" t="s">
        <v>4394</v>
      </c>
      <c r="W343" s="5" t="s">
        <v>4395</v>
      </c>
      <c r="X343" s="5" t="s">
        <v>4393</v>
      </c>
      <c r="Y343" s="10" t="str">
        <f>IF(OR($A343&lt;&gt;"", $G343=""),"",CONCATENATE(";",EscStr(CONCATENATE("NavNode_",getCategoryLevelAsString($B343))),";",EscStr($J343),";",IF($B343&lt;&gt;"","""MainNavNode""",EscStr(CONCATENATE("NavNode_",getSuperCategory($B343, getCategoryLevelAsNumber($B343))))),";"))</f>
        <v>;"NavNode_L3D_543036";"Printers / Multifunctional printers";"NavNode_L2D_542983";</v>
      </c>
      <c r="Z343" s="10" t="str">
        <f>IF(getCategoryLevelAsString($B343)="L0D_324785","",IF(G343="",CONCATENATE(";",EscStr(CONCATENATE("NavNode_",getCategoryLevelAsString($B343))),";",EscStr($J343),";"),CONCATENATE(";",EscStr(CONCATENATE("NavNode_",getCategoryLevelAsString($B343))),";",EscStr(G343),";")))</f>
        <v>;"NavNode_L3D_543036";"Drucker / Multifunktionsdrucker";</v>
      </c>
      <c r="AA343" s="10" t="str">
        <f>IF(getCategoryLevelAsString($B343)="L0D_324785","",IF(H343="",CONCATENATE(";",EscStr(CONCATENATE("NavNode_",getCategoryLevelAsString($B343))),";",EscStr($J343),";"),CONCATENATE(";",EscStr(CONCATENATE("NavNode_",getCategoryLevelAsString($B343))),";",EscStr(H343),";")))</f>
        <v>;"NavNode_L3D_543036";"Imprimantes / Imprimantes multifonction";</v>
      </c>
      <c r="AB343" s="10" t="str">
        <f>IF(getCategoryLevelAsString($B343)="L0D_324785","",IF(I343="",CONCATENATE(";",EscStr(CONCATENATE("NavNode_",getCategoryLevelAsString($B343))),";",EscStr($J343),";"),CONCATENATE(";",EscStr(CONCATENATE("NavNode_",getCategoryLevelAsString($B343))),";",EscStr(I343),";")))</f>
        <v>;"NavNode_L3D_543036";"Stampanti / stampanti multifunzione";</v>
      </c>
      <c r="AC343" s="10" t="str">
        <f>IF(getCategoryLevelAsString($B343)="L0D_324785","",IF(J343="",CONCATENATE(";",EscStr(CONCATENATE("NavNode_",getCategoryLevelAsString($B343))),";",EscStr($J343),";"),CONCATENATE(";",EscStr(CONCATENATE("NavNode_",getCategoryLevelAsString($B343))),";",EscStr(J343),";")))</f>
        <v>;"NavNode_L3D_543036";"Printers / Multifunctional printers";</v>
      </c>
      <c r="AD343" s="10" t="str">
        <f>IF(getCategoryLevelAsString($B343)="L0D_324785","",IF(K343="",CONCATENATE(";",EscStr(CONCATENATE("NavNode_",getCategoryLevelAsString($B343))),";",EscStr($J343),";"),CONCATENATE(";",EscStr(CONCATENATE("NavNode_",getCategoryLevelAsString($B343))),";",EscStr(K343),";")))</f>
        <v>;"NavNode_L3D_543036";"Printere/multifunktionelle printere";</v>
      </c>
      <c r="AE343" s="10" t="str">
        <f>IF(getCategoryLevelAsString($B343)="L0D_324785","",IF(L343="",CONCATENATE(";",EscStr(CONCATENATE("NavNode_",getCategoryLevelAsString($B343))),";",EscStr($J343),";"),CONCATENATE(";",EscStr(CONCATENATE("NavNode_",getCategoryLevelAsString($B343))),";",EscStr(L343),";")))</f>
        <v>;"NavNode_L3D_543036";"Spausdintuvai / daugiafunkciai spausdintuvai";</v>
      </c>
      <c r="AF343" s="10" t="str">
        <f>IF(getCategoryLevelAsString($B343)="L0D_324785","",IF(M343="",CONCATENATE(";",EscStr(CONCATENATE("NavNode_",getCategoryLevelAsString($B343))),";",EscStr($J343),";"),CONCATENATE(";",EscStr(CONCATENATE("NavNode_",getCategoryLevelAsString($B343))),";",EscStr(M343),";")))</f>
        <v>;"NavNode_L3D_543036";"Skrivere/multifunksjonsskrivere";</v>
      </c>
      <c r="AG343" s="10" t="str">
        <f>IF(getCategoryLevelAsString($B343)="L0D_324785","",IF(N343="",CONCATENATE(";",EscStr(CONCATENATE("NavNode_",getCategoryLevelAsString($B343))),";",EscStr($J343),";"),CONCATENATE(";",EscStr(CONCATENATE("NavNode_",getCategoryLevelAsString($B343))),";",EscStr(N343),";")))</f>
        <v>;"NavNode_L3D_543036";"Skrivare/Multifunktionsskrivare";</v>
      </c>
      <c r="AH343" s="10" t="str">
        <f>IF(getCategoryLevelAsString($B343)="L0D_324785","",IF(O343="",CONCATENATE(";",EscStr(CONCATENATE("NavNode_",getCategoryLevelAsString($B343))),";",EscStr($J343),";"),CONCATENATE(";",EscStr(CONCATENATE("NavNode_",getCategoryLevelAsString($B343))),";",EscStr(O343),";")))</f>
        <v>;"NavNode_L3D_543036";"Printerid / Multifunktsionaalsed printerid";</v>
      </c>
      <c r="AI343" s="10" t="str">
        <f>IF(getCategoryLevelAsString($B343)="L0D_324785","",IF(P343="",CONCATENATE(";",EscStr(CONCATENATE("NavNode_",getCategoryLevelAsString($B343))),";",EscStr($J343),";"),CONCATENATE(";",EscStr(CONCATENATE("NavNode_",getCategoryLevelAsString($B343))),";",EscStr(P343),";")))</f>
        <v>;"NavNode_L3D_543036";"Printterit/ monitoimi";</v>
      </c>
      <c r="AJ343" s="10" t="str">
        <f>IF(getCategoryLevelAsString($B343)="L0D_324785","",IF(Q343="",CONCATENATE(";",EscStr(CONCATENATE("NavNode_",getCategoryLevelAsString($B343))),";",EscStr($J343),";"),CONCATENATE(";",EscStr(CONCATENATE("NavNode_",getCategoryLevelAsString($B343))),";",EscStr(Q343),";")))</f>
        <v>;"NavNode_L3D_543036";"Printeri / Multifunkcionālie printeri";</v>
      </c>
      <c r="AK343" s="10" t="str">
        <f>IF(getCategoryLevelAsString($B343)="L0D_324785","",IF(R343="",CONCATENATE(";",EscStr(CONCATENATE("NavNode_",getCategoryLevelAsString($B343))),";",EscStr($J343),";"),CONCATENATE(";",EscStr(CONCATENATE("NavNode_",getCategoryLevelAsString($B343))),";",EscStr(R343),";")))</f>
        <v>;"NavNode_L3D_543036";"Printers / Multifunctionele printers";</v>
      </c>
      <c r="AL343" s="10" t="str">
        <f>IF(getCategoryLevelAsString($B343)="L0D_324785","",IF(S343="",CONCATENATE(";",EscStr(CONCATENATE("NavNode_",getCategoryLevelAsString($B343))),";",EscStr($J343),";"),CONCATENATE(";",EscStr(CONCATENATE("NavNode_",getCategoryLevelAsString($B343))),";",EscStr(S343),";")))</f>
        <v>;"NavNode_L3D_543036";"Drukarki / Urządzenia wielofunkcyjne";</v>
      </c>
      <c r="AM343" s="10" t="str">
        <f>IF(getCategoryLevelAsString($B343)="L0D_324785","",IF(T343="",CONCATENATE(";",EscStr(CONCATENATE("NavNode_",getCategoryLevelAsString($B343))),";",EscStr($J343),";"),CONCATENATE(";",EscStr(CONCATENATE("NavNode_",getCategoryLevelAsString($B343))),";",EscStr(T343),";")))</f>
        <v>;"NavNode_L3D_543036";"Принтеры / Многофункциональные устройства";</v>
      </c>
      <c r="AN343" s="10" t="str">
        <f>IF(getCategoryLevelAsString($B343)="L0D_324785","",IF(U343="",CONCATENATE(";",EscStr(CONCATENATE("NavNode_",getCategoryLevelAsString($B343))),";",EscStr($J343),";"),CONCATENATE(";",EscStr(CONCATENATE("NavNode_",getCategoryLevelAsString($B343))),";",EscStr(U343),";")))</f>
        <v>;"NavNode_L3D_543036";"Tiskárny / Multifunkční tiskárny";</v>
      </c>
      <c r="AO343" s="10" t="str">
        <f>IF(getCategoryLevelAsString($B343)="L0D_324785","",IF(V343="",CONCATENATE(";",EscStr(CONCATENATE("NavNode_",getCategoryLevelAsString($B343))),";",EscStr($J343),";"),CONCATENATE(";",EscStr(CONCATENATE("NavNode_",getCategoryLevelAsString($B343))),";",EscStr(V343),";")))</f>
        <v>;"NavNode_L3D_543036";"Imprimante / imprimante multifunctionale";</v>
      </c>
      <c r="AP343" s="10" t="str">
        <f>IF(getCategoryLevelAsString($B343)="L0D_324785","",IF(W343="",CONCATENATE(";",EscStr(CONCATENATE("NavNode_",getCategoryLevelAsString($B343))),";",EscStr($J343),";"),CONCATENATE(";",EscStr(CONCATENATE("NavNode_",getCategoryLevelAsString($B343))),";",EscStr(W343),";")))</f>
        <v>;"NavNode_L3D_543036";"Nyomtató / Multifunkciós nyomtató";</v>
      </c>
      <c r="AQ343" s="10" t="str">
        <f>IF(getCategoryLevelAsString($B343)="L0D_324785","",IF(X343="",CONCATENATE(";",EscStr(CONCATENATE("NavNode_",getCategoryLevelAsString($B343))),";",EscStr($J343),";"),CONCATENATE(";",EscStr(CONCATENATE("NavNode_",getCategoryLevelAsString($B343))),";",EscStr(X343),";")))</f>
        <v>;"NavNode_L3D_543036";"Tiskárny / Multifunkční tiskárny";</v>
      </c>
      <c r="AR343" s="8" t="str">
        <f>IF(OR($A343&lt;&gt;"", $G343=""),"",CONCATENATE(";",EscStr(CONCATENATE("NavEntry_",getCategoryLevelAsString($B343))),";",EscStr(CONCATENATE($J343," Navigation Entry")),";",EscStr(CONCATENATE("cat-",getCategoryLevelAsString($B343))),";",EscStr(CONCATENATE("NavNode_",getCategoryLevelAsString($B343))),";"))</f>
        <v>;"NavEntry_L3D_543036";"Printers / Multifunctional printers Navigation Entry";"cat-L3D_543036";"NavNode_L3D_543036";</v>
      </c>
    </row>
    <row r="344" spans="1:44" ht="15" x14ac:dyDescent="0.25">
      <c r="A344" s="25"/>
      <c r="B344" s="5"/>
      <c r="C344" s="5"/>
      <c r="D344" s="5" t="s">
        <v>605</v>
      </c>
      <c r="E344" s="5"/>
      <c r="F344" s="5"/>
      <c r="G344" s="5" t="s">
        <v>947</v>
      </c>
      <c r="H344" s="5" t="s">
        <v>773</v>
      </c>
      <c r="I344" s="5" t="s">
        <v>664</v>
      </c>
      <c r="J344" s="5" t="s">
        <v>874</v>
      </c>
      <c r="K344" s="5" t="s">
        <v>1405</v>
      </c>
      <c r="L344" s="5" t="s">
        <v>1641</v>
      </c>
      <c r="M344" s="5" t="s">
        <v>1843</v>
      </c>
      <c r="N344" s="5" t="s">
        <v>2060</v>
      </c>
      <c r="O344" s="5" t="s">
        <v>4396</v>
      </c>
      <c r="P344" s="5" t="s">
        <v>4397</v>
      </c>
      <c r="Q344" s="5" t="s">
        <v>4398</v>
      </c>
      <c r="R344" s="5" t="s">
        <v>4399</v>
      </c>
      <c r="S344" s="5" t="s">
        <v>4400</v>
      </c>
      <c r="T344" s="5" t="s">
        <v>4401</v>
      </c>
      <c r="U344" s="5" t="s">
        <v>4402</v>
      </c>
      <c r="V344" s="5" t="s">
        <v>4403</v>
      </c>
      <c r="W344" s="5" t="s">
        <v>4404</v>
      </c>
      <c r="X344" s="5" t="s">
        <v>4402</v>
      </c>
      <c r="Y344" s="10" t="str">
        <f>IF(OR($A344&lt;&gt;"", $G344=""),"",CONCATENATE(";",EscStr(CONCATENATE("NavNode_",getCategoryLevelAsString($B344))),";",EscStr($J344),";",IF($B344&lt;&gt;"","""MainNavNode""",EscStr(CONCATENATE("NavNode_",getSuperCategory($B344, getCategoryLevelAsNumber($B344))))),";"))</f>
        <v>;"NavNode_L3D_543038";"Label Printers";"NavNode_L2D_542983";</v>
      </c>
      <c r="Z344" s="10" t="str">
        <f>IF(getCategoryLevelAsString($B344)="L0D_324785","",IF(G344="",CONCATENATE(";",EscStr(CONCATENATE("NavNode_",getCategoryLevelAsString($B344))),";",EscStr($J344),";"),CONCATENATE(";",EscStr(CONCATENATE("NavNode_",getCategoryLevelAsString($B344))),";",EscStr(G344),";")))</f>
        <v>;"NavNode_L3D_543038";"Etikettendrucker";</v>
      </c>
      <c r="AA344" s="10" t="str">
        <f>IF(getCategoryLevelAsString($B344)="L0D_324785","",IF(H344="",CONCATENATE(";",EscStr(CONCATENATE("NavNode_",getCategoryLevelAsString($B344))),";",EscStr($J344),";"),CONCATENATE(";",EscStr(CONCATENATE("NavNode_",getCategoryLevelAsString($B344))),";",EscStr(H344),";")))</f>
        <v>;"NavNode_L3D_543038";"Imprimantes d'étiquettes";</v>
      </c>
      <c r="AB344" s="10" t="str">
        <f>IF(getCategoryLevelAsString($B344)="L0D_324785","",IF(I344="",CONCATENATE(";",EscStr(CONCATENATE("NavNode_",getCategoryLevelAsString($B344))),";",EscStr($J344),";"),CONCATENATE(";",EscStr(CONCATENATE("NavNode_",getCategoryLevelAsString($B344))),";",EscStr(I344),";")))</f>
        <v>;"NavNode_L3D_543038";"Stampanti per etichette";</v>
      </c>
      <c r="AC344" s="10" t="str">
        <f>IF(getCategoryLevelAsString($B344)="L0D_324785","",IF(J344="",CONCATENATE(";",EscStr(CONCATENATE("NavNode_",getCategoryLevelAsString($B344))),";",EscStr($J344),";"),CONCATENATE(";",EscStr(CONCATENATE("NavNode_",getCategoryLevelAsString($B344))),";",EscStr(J344),";")))</f>
        <v>;"NavNode_L3D_543038";"Label Printers";</v>
      </c>
      <c r="AD344" s="10" t="str">
        <f>IF(getCategoryLevelAsString($B344)="L0D_324785","",IF(K344="",CONCATENATE(";",EscStr(CONCATENATE("NavNode_",getCategoryLevelAsString($B344))),";",EscStr($J344),";"),CONCATENATE(";",EscStr(CONCATENATE("NavNode_",getCategoryLevelAsString($B344))),";",EscStr(K344),";")))</f>
        <v>;"NavNode_L3D_543038";"Etiketteprintere";</v>
      </c>
      <c r="AE344" s="10" t="str">
        <f>IF(getCategoryLevelAsString($B344)="L0D_324785","",IF(L344="",CONCATENATE(";",EscStr(CONCATENATE("NavNode_",getCategoryLevelAsString($B344))),";",EscStr($J344),";"),CONCATENATE(";",EscStr(CONCATENATE("NavNode_",getCategoryLevelAsString($B344))),";",EscStr(L344),";")))</f>
        <v>;"NavNode_L3D_543038";"Etikečių spausdintuvai";</v>
      </c>
      <c r="AF344" s="10" t="str">
        <f>IF(getCategoryLevelAsString($B344)="L0D_324785","",IF(M344="",CONCATENATE(";",EscStr(CONCATENATE("NavNode_",getCategoryLevelAsString($B344))),";",EscStr($J344),";"),CONCATENATE(";",EscStr(CONCATENATE("NavNode_",getCategoryLevelAsString($B344))),";",EscStr(M344),";")))</f>
        <v>;"NavNode_L3D_543038";"Etikettskrivere";</v>
      </c>
      <c r="AG344" s="10" t="str">
        <f>IF(getCategoryLevelAsString($B344)="L0D_324785","",IF(N344="",CONCATENATE(";",EscStr(CONCATENATE("NavNode_",getCategoryLevelAsString($B344))),";",EscStr($J344),";"),CONCATENATE(";",EscStr(CONCATENATE("NavNode_",getCategoryLevelAsString($B344))),";",EscStr(N344),";")))</f>
        <v>;"NavNode_L3D_543038";"Etikettskrivare";</v>
      </c>
      <c r="AH344" s="10" t="str">
        <f>IF(getCategoryLevelAsString($B344)="L0D_324785","",IF(O344="",CONCATENATE(";",EscStr(CONCATENATE("NavNode_",getCategoryLevelAsString($B344))),";",EscStr($J344),";"),CONCATENATE(";",EscStr(CONCATENATE("NavNode_",getCategoryLevelAsString($B344))),";",EscStr(O344),";")))</f>
        <v>;"NavNode_L3D_543038";"Etiketiprinterid";</v>
      </c>
      <c r="AI344" s="10" t="str">
        <f>IF(getCategoryLevelAsString($B344)="L0D_324785","",IF(P344="",CONCATENATE(";",EscStr(CONCATENATE("NavNode_",getCategoryLevelAsString($B344))),";",EscStr($J344),";"),CONCATENATE(";",EscStr(CONCATENATE("NavNode_",getCategoryLevelAsString($B344))),";",EscStr(P344),";")))</f>
        <v>;"NavNode_L3D_543038";"Tarrakirjoittimet";</v>
      </c>
      <c r="AJ344" s="10" t="str">
        <f>IF(getCategoryLevelAsString($B344)="L0D_324785","",IF(Q344="",CONCATENATE(";",EscStr(CONCATENATE("NavNode_",getCategoryLevelAsString($B344))),";",EscStr($J344),";"),CONCATENATE(";",EscStr(CONCATENATE("NavNode_",getCategoryLevelAsString($B344))),";",EscStr(Q344),";")))</f>
        <v>;"NavNode_L3D_543038";"Uzlīmju printeri";</v>
      </c>
      <c r="AK344" s="10" t="str">
        <f>IF(getCategoryLevelAsString($B344)="L0D_324785","",IF(R344="",CONCATENATE(";",EscStr(CONCATENATE("NavNode_",getCategoryLevelAsString($B344))),";",EscStr($J344),";"),CONCATENATE(";",EscStr(CONCATENATE("NavNode_",getCategoryLevelAsString($B344))),";",EscStr(R344),";")))</f>
        <v>;"NavNode_L3D_543038";"Labelprinters";</v>
      </c>
      <c r="AL344" s="10" t="str">
        <f>IF(getCategoryLevelAsString($B344)="L0D_324785","",IF(S344="",CONCATENATE(";",EscStr(CONCATENATE("NavNode_",getCategoryLevelAsString($B344))),";",EscStr($J344),";"),CONCATENATE(";",EscStr(CONCATENATE("NavNode_",getCategoryLevelAsString($B344))),";",EscStr(S344),";")))</f>
        <v>;"NavNode_L3D_543038";"Drukarki etykiet";</v>
      </c>
      <c r="AM344" s="10" t="str">
        <f>IF(getCategoryLevelAsString($B344)="L0D_324785","",IF(T344="",CONCATENATE(";",EscStr(CONCATENATE("NavNode_",getCategoryLevelAsString($B344))),";",EscStr($J344),";"),CONCATENATE(";",EscStr(CONCATENATE("NavNode_",getCategoryLevelAsString($B344))),";",EscStr(T344),";")))</f>
        <v>;"NavNode_L3D_543038";"Принтеры этикеток";</v>
      </c>
      <c r="AN344" s="10" t="str">
        <f>IF(getCategoryLevelAsString($B344)="L0D_324785","",IF(U344="",CONCATENATE(";",EscStr(CONCATENATE("NavNode_",getCategoryLevelAsString($B344))),";",EscStr($J344),";"),CONCATENATE(";",EscStr(CONCATENATE("NavNode_",getCategoryLevelAsString($B344))),";",EscStr(U344),";")))</f>
        <v>;"NavNode_L3D_543038";"Tiskárny etiket";</v>
      </c>
      <c r="AO344" s="10" t="str">
        <f>IF(getCategoryLevelAsString($B344)="L0D_324785","",IF(V344="",CONCATENATE(";",EscStr(CONCATENATE("NavNode_",getCategoryLevelAsString($B344))),";",EscStr($J344),";"),CONCATENATE(";",EscStr(CONCATENATE("NavNode_",getCategoryLevelAsString($B344))),";",EscStr(V344),";")))</f>
        <v>;"NavNode_L3D_543038";"Imprimantă pentru etichete";</v>
      </c>
      <c r="AP344" s="10" t="str">
        <f>IF(getCategoryLevelAsString($B344)="L0D_324785","",IF(W344="",CONCATENATE(";",EscStr(CONCATENATE("NavNode_",getCategoryLevelAsString($B344))),";",EscStr($J344),";"),CONCATENATE(";",EscStr(CONCATENATE("NavNode_",getCategoryLevelAsString($B344))),";",EscStr(W344),";")))</f>
        <v>;"NavNode_L3D_543038";"Etikettnyomtató";</v>
      </c>
      <c r="AQ344" s="10" t="str">
        <f>IF(getCategoryLevelAsString($B344)="L0D_324785","",IF(X344="",CONCATENATE(";",EscStr(CONCATENATE("NavNode_",getCategoryLevelAsString($B344))),";",EscStr($J344),";"),CONCATENATE(";",EscStr(CONCATENATE("NavNode_",getCategoryLevelAsString($B344))),";",EscStr(X344),";")))</f>
        <v>;"NavNode_L3D_543038";"Tiskárny etiket";</v>
      </c>
      <c r="AR344" s="8" t="str">
        <f>IF(OR($A344&lt;&gt;"", $G344=""),"",CONCATENATE(";",EscStr(CONCATENATE("NavEntry_",getCategoryLevelAsString($B344))),";",EscStr(CONCATENATE($J344," Navigation Entry")),";",EscStr(CONCATENATE("cat-",getCategoryLevelAsString($B344))),";",EscStr(CONCATENATE("NavNode_",getCategoryLevelAsString($B344))),";"))</f>
        <v>;"NavEntry_L3D_543038";"Label Printers Navigation Entry";"cat-L3D_543038";"NavNode_L3D_543038";</v>
      </c>
    </row>
    <row r="345" spans="1:44" ht="15" x14ac:dyDescent="0.25">
      <c r="A345" s="25"/>
      <c r="B345" s="5"/>
      <c r="C345" s="5"/>
      <c r="D345" s="5" t="s">
        <v>606</v>
      </c>
      <c r="E345" s="5"/>
      <c r="F345" s="5"/>
      <c r="G345" s="5" t="s">
        <v>1013</v>
      </c>
      <c r="H345" s="5" t="s">
        <v>774</v>
      </c>
      <c r="I345" s="5" t="s">
        <v>665</v>
      </c>
      <c r="J345" s="5" t="s">
        <v>875</v>
      </c>
      <c r="K345" s="5" t="s">
        <v>1406</v>
      </c>
      <c r="L345" s="5" t="s">
        <v>1642</v>
      </c>
      <c r="M345" s="5" t="s">
        <v>1844</v>
      </c>
      <c r="N345" s="5" t="s">
        <v>2061</v>
      </c>
      <c r="O345" s="5" t="s">
        <v>4405</v>
      </c>
      <c r="P345" s="5" t="s">
        <v>4406</v>
      </c>
      <c r="Q345" s="5" t="s">
        <v>4407</v>
      </c>
      <c r="R345" s="5" t="s">
        <v>4408</v>
      </c>
      <c r="S345" s="5" t="s">
        <v>4409</v>
      </c>
      <c r="T345" s="5" t="s">
        <v>4410</v>
      </c>
      <c r="U345" s="5" t="s">
        <v>4411</v>
      </c>
      <c r="V345" s="5" t="s">
        <v>4412</v>
      </c>
      <c r="W345" s="5" t="s">
        <v>4413</v>
      </c>
      <c r="X345" s="5" t="s">
        <v>4411</v>
      </c>
      <c r="Y345" s="10" t="str">
        <f>IF(OR($A345&lt;&gt;"", $G345=""),"",CONCATENATE(";",EscStr(CONCATENATE("NavNode_",getCategoryLevelAsString($B345))),";",EscStr($J345),";",IF($B345&lt;&gt;"","""MainNavNode""",EscStr(CONCATENATE("NavNode_",getSuperCategory($B345, getCategoryLevelAsNumber($B345))))),";"))</f>
        <v>;"NavNode_L3D_543040";"Toner / Drums";"NavNode_L2D_542983";</v>
      </c>
      <c r="Z345" s="10" t="str">
        <f>IF(getCategoryLevelAsString($B345)="L0D_324785","",IF(G345="",CONCATENATE(";",EscStr(CONCATENATE("NavNode_",getCategoryLevelAsString($B345))),";",EscStr($J345),";"),CONCATENATE(";",EscStr(CONCATENATE("NavNode_",getCategoryLevelAsString($B345))),";",EscStr(G345),";")))</f>
        <v>;"NavNode_L3D_543040";"Toner / Trommeln";</v>
      </c>
      <c r="AA345" s="10" t="str">
        <f>IF(getCategoryLevelAsString($B345)="L0D_324785","",IF(H345="",CONCATENATE(";",EscStr(CONCATENATE("NavNode_",getCategoryLevelAsString($B345))),";",EscStr($J345),";"),CONCATENATE(";",EscStr(CONCATENATE("NavNode_",getCategoryLevelAsString($B345))),";",EscStr(H345),";")))</f>
        <v>;"NavNode_L3D_543040";"Toner / Tambours";</v>
      </c>
      <c r="AB345" s="10" t="str">
        <f>IF(getCategoryLevelAsString($B345)="L0D_324785","",IF(I345="",CONCATENATE(";",EscStr(CONCATENATE("NavNode_",getCategoryLevelAsString($B345))),";",EscStr($J345),";"),CONCATENATE(";",EscStr(CONCATENATE("NavNode_",getCategoryLevelAsString($B345))),";",EscStr(I345),";")))</f>
        <v>;"NavNode_L3D_543040";"Toner";</v>
      </c>
      <c r="AC345" s="10" t="str">
        <f>IF(getCategoryLevelAsString($B345)="L0D_324785","",IF(J345="",CONCATENATE(";",EscStr(CONCATENATE("NavNode_",getCategoryLevelAsString($B345))),";",EscStr($J345),";"),CONCATENATE(";",EscStr(CONCATENATE("NavNode_",getCategoryLevelAsString($B345))),";",EscStr(J345),";")))</f>
        <v>;"NavNode_L3D_543040";"Toner / Drums";</v>
      </c>
      <c r="AD345" s="10" t="str">
        <f>IF(getCategoryLevelAsString($B345)="L0D_324785","",IF(K345="",CONCATENATE(";",EscStr(CONCATENATE("NavNode_",getCategoryLevelAsString($B345))),";",EscStr($J345),";"),CONCATENATE(";",EscStr(CONCATENATE("NavNode_",getCategoryLevelAsString($B345))),";",EscStr(K345),";")))</f>
        <v>;"NavNode_L3D_543040";"Toner/tromler";</v>
      </c>
      <c r="AE345" s="10" t="str">
        <f>IF(getCategoryLevelAsString($B345)="L0D_324785","",IF(L345="",CONCATENATE(";",EscStr(CONCATENATE("NavNode_",getCategoryLevelAsString($B345))),";",EscStr($J345),";"),CONCATENATE(";",EscStr(CONCATENATE("NavNode_",getCategoryLevelAsString($B345))),";",EscStr(L345),";")))</f>
        <v>;"NavNode_L3D_543040";"Dažų milteliai / būgnai";</v>
      </c>
      <c r="AF345" s="10" t="str">
        <f>IF(getCategoryLevelAsString($B345)="L0D_324785","",IF(M345="",CONCATENATE(";",EscStr(CONCATENATE("NavNode_",getCategoryLevelAsString($B345))),";",EscStr($J345),";"),CONCATENATE(";",EscStr(CONCATENATE("NavNode_",getCategoryLevelAsString($B345))),";",EscStr(M345),";")))</f>
        <v>;"NavNode_L3D_543040";"Toner/kasetter";</v>
      </c>
      <c r="AG345" s="10" t="str">
        <f>IF(getCategoryLevelAsString($B345)="L0D_324785","",IF(N345="",CONCATENATE(";",EscStr(CONCATENATE("NavNode_",getCategoryLevelAsString($B345))),";",EscStr($J345),";"),CONCATENATE(";",EscStr(CONCATENATE("NavNode_",getCategoryLevelAsString($B345))),";",EscStr(N345),";")))</f>
        <v>;"NavNode_L3D_543040";"Toner/Trummor";</v>
      </c>
      <c r="AH345" s="10" t="str">
        <f>IF(getCategoryLevelAsString($B345)="L0D_324785","",IF(O345="",CONCATENATE(";",EscStr(CONCATENATE("NavNode_",getCategoryLevelAsString($B345))),";",EscStr($J345),";"),CONCATENATE(";",EscStr(CONCATENATE("NavNode_",getCategoryLevelAsString($B345))),";",EscStr(O345),";")))</f>
        <v>;"NavNode_L3D_543040";"Värvikassetid / Trumlid";</v>
      </c>
      <c r="AI345" s="10" t="str">
        <f>IF(getCategoryLevelAsString($B345)="L0D_324785","",IF(P345="",CONCATENATE(";",EscStr(CONCATENATE("NavNode_",getCategoryLevelAsString($B345))),";",EscStr($J345),";"),CONCATENATE(";",EscStr(CONCATENATE("NavNode_",getCategoryLevelAsString($B345))),";",EscStr(P345),";")))</f>
        <v>;"NavNode_L3D_543040";"Tonerit/ rummut";</v>
      </c>
      <c r="AJ345" s="10" t="str">
        <f>IF(getCategoryLevelAsString($B345)="L0D_324785","",IF(Q345="",CONCATENATE(";",EscStr(CONCATENATE("NavNode_",getCategoryLevelAsString($B345))),";",EscStr($J345),";"),CONCATENATE(";",EscStr(CONCATENATE("NavNode_",getCategoryLevelAsString($B345))),";",EscStr(Q345),";")))</f>
        <v>;"NavNode_L3D_543040";"Toneri / Cilindri";</v>
      </c>
      <c r="AK345" s="10" t="str">
        <f>IF(getCategoryLevelAsString($B345)="L0D_324785","",IF(R345="",CONCATENATE(";",EscStr(CONCATENATE("NavNode_",getCategoryLevelAsString($B345))),";",EscStr($J345),";"),CONCATENATE(";",EscStr(CONCATENATE("NavNode_",getCategoryLevelAsString($B345))),";",EscStr(R345),";")))</f>
        <v>;"NavNode_L3D_543040";"Toners / Drums";</v>
      </c>
      <c r="AL345" s="10" t="str">
        <f>IF(getCategoryLevelAsString($B345)="L0D_324785","",IF(S345="",CONCATENATE(";",EscStr(CONCATENATE("NavNode_",getCategoryLevelAsString($B345))),";",EscStr($J345),";"),CONCATENATE(";",EscStr(CONCATENATE("NavNode_",getCategoryLevelAsString($B345))),";",EscStr(S345),";")))</f>
        <v>;"NavNode_L3D_543040";"Tonery / Bębny";</v>
      </c>
      <c r="AM345" s="10" t="str">
        <f>IF(getCategoryLevelAsString($B345)="L0D_324785","",IF(T345="",CONCATENATE(";",EscStr(CONCATENATE("NavNode_",getCategoryLevelAsString($B345))),";",EscStr($J345),";"),CONCATENATE(";",EscStr(CONCATENATE("NavNode_",getCategoryLevelAsString($B345))),";",EscStr(T345),";")))</f>
        <v>;"NavNode_L3D_543040";"Тонер / Барабаны";</v>
      </c>
      <c r="AN345" s="10" t="str">
        <f>IF(getCategoryLevelAsString($B345)="L0D_324785","",IF(U345="",CONCATENATE(";",EscStr(CONCATENATE("NavNode_",getCategoryLevelAsString($B345))),";",EscStr($J345),";"),CONCATENATE(";",EscStr(CONCATENATE("NavNode_",getCategoryLevelAsString($B345))),";",EscStr(U345),";")))</f>
        <v>;"NavNode_L3D_543040";"Tonery / bubny";</v>
      </c>
      <c r="AO345" s="10" t="str">
        <f>IF(getCategoryLevelAsString($B345)="L0D_324785","",IF(V345="",CONCATENATE(";",EscStr(CONCATENATE("NavNode_",getCategoryLevelAsString($B345))),";",EscStr($J345),";"),CONCATENATE(";",EscStr(CONCATENATE("NavNode_",getCategoryLevelAsString($B345))),";",EscStr(V345),";")))</f>
        <v>;"NavNode_L3D_543040";"Tonere / tamburi";</v>
      </c>
      <c r="AP345" s="10" t="str">
        <f>IF(getCategoryLevelAsString($B345)="L0D_324785","",IF(W345="",CONCATENATE(";",EscStr(CONCATENATE("NavNode_",getCategoryLevelAsString($B345))),";",EscStr($J345),";"),CONCATENATE(";",EscStr(CONCATENATE("NavNode_",getCategoryLevelAsString($B345))),";",EscStr(W345),";")))</f>
        <v>;"NavNode_L3D_543040";"Toner / Festékdob";</v>
      </c>
      <c r="AQ345" s="10" t="str">
        <f>IF(getCategoryLevelAsString($B345)="L0D_324785","",IF(X345="",CONCATENATE(";",EscStr(CONCATENATE("NavNode_",getCategoryLevelAsString($B345))),";",EscStr($J345),";"),CONCATENATE(";",EscStr(CONCATENATE("NavNode_",getCategoryLevelAsString($B345))),";",EscStr(X345),";")))</f>
        <v>;"NavNode_L3D_543040";"Tonery / bubny";</v>
      </c>
      <c r="AR345" s="8" t="str">
        <f>IF(OR($A345&lt;&gt;"", $G345=""),"",CONCATENATE(";",EscStr(CONCATENATE("NavEntry_",getCategoryLevelAsString($B345))),";",EscStr(CONCATENATE($J345," Navigation Entry")),";",EscStr(CONCATENATE("cat-",getCategoryLevelAsString($B345))),";",EscStr(CONCATENATE("NavNode_",getCategoryLevelAsString($B345))),";"))</f>
        <v>;"NavEntry_L3D_543040";"Toner / Drums Navigation Entry";"cat-L3D_543040";"NavNode_L3D_543040";</v>
      </c>
    </row>
    <row r="346" spans="1:44" ht="15" x14ac:dyDescent="0.25">
      <c r="A346" s="25"/>
      <c r="B346" s="5"/>
      <c r="C346" s="5"/>
      <c r="D346" s="5" t="s">
        <v>607</v>
      </c>
      <c r="E346" s="5"/>
      <c r="F346" s="5"/>
      <c r="G346" s="5" t="s">
        <v>948</v>
      </c>
      <c r="H346" s="5" t="s">
        <v>775</v>
      </c>
      <c r="I346" s="5" t="s">
        <v>666</v>
      </c>
      <c r="J346" s="5" t="s">
        <v>876</v>
      </c>
      <c r="K346" s="5" t="s">
        <v>1407</v>
      </c>
      <c r="L346" s="5" t="s">
        <v>1643</v>
      </c>
      <c r="M346" s="5" t="s">
        <v>1845</v>
      </c>
      <c r="N346" s="5" t="s">
        <v>2062</v>
      </c>
      <c r="O346" s="5" t="s">
        <v>4414</v>
      </c>
      <c r="P346" s="5" t="s">
        <v>4415</v>
      </c>
      <c r="Q346" s="5" t="s">
        <v>4416</v>
      </c>
      <c r="R346" s="5" t="s">
        <v>4417</v>
      </c>
      <c r="S346" s="5" t="s">
        <v>4418</v>
      </c>
      <c r="T346" s="5" t="s">
        <v>4419</v>
      </c>
      <c r="U346" s="5" t="s">
        <v>4420</v>
      </c>
      <c r="V346" s="5" t="s">
        <v>4421</v>
      </c>
      <c r="W346" s="5" t="s">
        <v>4422</v>
      </c>
      <c r="X346" s="5" t="s">
        <v>4420</v>
      </c>
      <c r="Y346" s="10" t="str">
        <f>IF(OR($A346&lt;&gt;"", $G346=""),"",CONCATENATE(";",EscStr(CONCATENATE("NavNode_",getCategoryLevelAsString($B346))),";",EscStr($J346),";",IF($B346&lt;&gt;"","""MainNavNode""",EscStr(CONCATENATE("NavNode_",getSuperCategory($B346, getCategoryLevelAsNumber($B346))))),";"))</f>
        <v>;"NavNode_L3D_543042";"Ink cartridges";"NavNode_L2D_542983";</v>
      </c>
      <c r="Z346" s="10" t="str">
        <f>IF(getCategoryLevelAsString($B346)="L0D_324785","",IF(G346="",CONCATENATE(";",EscStr(CONCATENATE("NavNode_",getCategoryLevelAsString($B346))),";",EscStr($J346),";"),CONCATENATE(";",EscStr(CONCATENATE("NavNode_",getCategoryLevelAsString($B346))),";",EscStr(G346),";")))</f>
        <v>;"NavNode_L3D_543042";"Tintenpatronen";</v>
      </c>
      <c r="AA346" s="10" t="str">
        <f>IF(getCategoryLevelAsString($B346)="L0D_324785","",IF(H346="",CONCATENATE(";",EscStr(CONCATENATE("NavNode_",getCategoryLevelAsString($B346))),";",EscStr($J346),";"),CONCATENATE(";",EscStr(CONCATENATE("NavNode_",getCategoryLevelAsString($B346))),";",EscStr(H346),";")))</f>
        <v>;"NavNode_L3D_543042";"Cartouches d'encre";</v>
      </c>
      <c r="AB346" s="10" t="str">
        <f>IF(getCategoryLevelAsString($B346)="L0D_324785","",IF(I346="",CONCATENATE(";",EscStr(CONCATENATE("NavNode_",getCategoryLevelAsString($B346))),";",EscStr($J346),";"),CONCATENATE(";",EscStr(CONCATENATE("NavNode_",getCategoryLevelAsString($B346))),";",EscStr(I346),";")))</f>
        <v>;"NavNode_L3D_543042";"Cartucce di inchiostro";</v>
      </c>
      <c r="AC346" s="10" t="str">
        <f>IF(getCategoryLevelAsString($B346)="L0D_324785","",IF(J346="",CONCATENATE(";",EscStr(CONCATENATE("NavNode_",getCategoryLevelAsString($B346))),";",EscStr($J346),";"),CONCATENATE(";",EscStr(CONCATENATE("NavNode_",getCategoryLevelAsString($B346))),";",EscStr(J346),";")))</f>
        <v>;"NavNode_L3D_543042";"Ink cartridges";</v>
      </c>
      <c r="AD346" s="10" t="str">
        <f>IF(getCategoryLevelAsString($B346)="L0D_324785","",IF(K346="",CONCATENATE(";",EscStr(CONCATENATE("NavNode_",getCategoryLevelAsString($B346))),";",EscStr($J346),";"),CONCATENATE(";",EscStr(CONCATENATE("NavNode_",getCategoryLevelAsString($B346))),";",EscStr(K346),";")))</f>
        <v>;"NavNode_L3D_543042";"Blækpatroner";</v>
      </c>
      <c r="AE346" s="10" t="str">
        <f>IF(getCategoryLevelAsString($B346)="L0D_324785","",IF(L346="",CONCATENATE(";",EscStr(CONCATENATE("NavNode_",getCategoryLevelAsString($B346))),";",EscStr($J346),";"),CONCATENATE(";",EscStr(CONCATENATE("NavNode_",getCategoryLevelAsString($B346))),";",EscStr(L346),";")))</f>
        <v>;"NavNode_L3D_543042";"Dažų kasetės";</v>
      </c>
      <c r="AF346" s="10" t="str">
        <f>IF(getCategoryLevelAsString($B346)="L0D_324785","",IF(M346="",CONCATENATE(";",EscStr(CONCATENATE("NavNode_",getCategoryLevelAsString($B346))),";",EscStr($J346),";"),CONCATENATE(";",EscStr(CONCATENATE("NavNode_",getCategoryLevelAsString($B346))),";",EscStr(M346),";")))</f>
        <v>;"NavNode_L3D_543042";"Blekkpatroner";</v>
      </c>
      <c r="AG346" s="10" t="str">
        <f>IF(getCategoryLevelAsString($B346)="L0D_324785","",IF(N346="",CONCATENATE(";",EscStr(CONCATENATE("NavNode_",getCategoryLevelAsString($B346))),";",EscStr($J346),";"),CONCATENATE(";",EscStr(CONCATENATE("NavNode_",getCategoryLevelAsString($B346))),";",EscStr(N346),";")))</f>
        <v>;"NavNode_L3D_543042";"Bläckpatroner";</v>
      </c>
      <c r="AH346" s="10" t="str">
        <f>IF(getCategoryLevelAsString($B346)="L0D_324785","",IF(O346="",CONCATENATE(";",EscStr(CONCATENATE("NavNode_",getCategoryLevelAsString($B346))),";",EscStr($J346),";"),CONCATENATE(";",EscStr(CONCATENATE("NavNode_",getCategoryLevelAsString($B346))),";",EscStr(O346),";")))</f>
        <v>;"NavNode_L3D_543042";"Tindikassetid";</v>
      </c>
      <c r="AI346" s="10" t="str">
        <f>IF(getCategoryLevelAsString($B346)="L0D_324785","",IF(P346="",CONCATENATE(";",EscStr(CONCATENATE("NavNode_",getCategoryLevelAsString($B346))),";",EscStr($J346),";"),CONCATENATE(";",EscStr(CONCATENATE("NavNode_",getCategoryLevelAsString($B346))),";",EscStr(P346),";")))</f>
        <v>;"NavNode_L3D_543042";"Väripatruunat";</v>
      </c>
      <c r="AJ346" s="10" t="str">
        <f>IF(getCategoryLevelAsString($B346)="L0D_324785","",IF(Q346="",CONCATENATE(";",EscStr(CONCATENATE("NavNode_",getCategoryLevelAsString($B346))),";",EscStr($J346),";"),CONCATENATE(";",EscStr(CONCATENATE("NavNode_",getCategoryLevelAsString($B346))),";",EscStr(Q346),";")))</f>
        <v>;"NavNode_L3D_543042";"Tintes kārtridži";</v>
      </c>
      <c r="AK346" s="10" t="str">
        <f>IF(getCategoryLevelAsString($B346)="L0D_324785","",IF(R346="",CONCATENATE(";",EscStr(CONCATENATE("NavNode_",getCategoryLevelAsString($B346))),";",EscStr($J346),";"),CONCATENATE(";",EscStr(CONCATENATE("NavNode_",getCategoryLevelAsString($B346))),";",EscStr(R346),";")))</f>
        <v>;"NavNode_L3D_543042";"Inkt cartridges";</v>
      </c>
      <c r="AL346" s="10" t="str">
        <f>IF(getCategoryLevelAsString($B346)="L0D_324785","",IF(S346="",CONCATENATE(";",EscStr(CONCATENATE("NavNode_",getCategoryLevelAsString($B346))),";",EscStr($J346),";"),CONCATENATE(";",EscStr(CONCATENATE("NavNode_",getCategoryLevelAsString($B346))),";",EscStr(S346),";")))</f>
        <v>;"NavNode_L3D_543042";"Kartridże atramentowe";</v>
      </c>
      <c r="AM346" s="10" t="str">
        <f>IF(getCategoryLevelAsString($B346)="L0D_324785","",IF(T346="",CONCATENATE(";",EscStr(CONCATENATE("NavNode_",getCategoryLevelAsString($B346))),";",EscStr($J346),";"),CONCATENATE(";",EscStr(CONCATENATE("NavNode_",getCategoryLevelAsString($B346))),";",EscStr(T346),";")))</f>
        <v>;"NavNode_L3D_543042";"Струйные картриджи";</v>
      </c>
      <c r="AN346" s="10" t="str">
        <f>IF(getCategoryLevelAsString($B346)="L0D_324785","",IF(U346="",CONCATENATE(";",EscStr(CONCATENATE("NavNode_",getCategoryLevelAsString($B346))),";",EscStr($J346),";"),CONCATENATE(";",EscStr(CONCATENATE("NavNode_",getCategoryLevelAsString($B346))),";",EscStr(U346),";")))</f>
        <v>;"NavNode_L3D_543042";"Inkoustové kazety";</v>
      </c>
      <c r="AO346" s="10" t="str">
        <f>IF(getCategoryLevelAsString($B346)="L0D_324785","",IF(V346="",CONCATENATE(";",EscStr(CONCATENATE("NavNode_",getCategoryLevelAsString($B346))),";",EscStr($J346),";"),CONCATENATE(";",EscStr(CONCATENATE("NavNode_",getCategoryLevelAsString($B346))),";",EscStr(V346),";")))</f>
        <v>;"NavNode_L3D_543042";"Cartuşe de cerneală";</v>
      </c>
      <c r="AP346" s="10" t="str">
        <f>IF(getCategoryLevelAsString($B346)="L0D_324785","",IF(W346="",CONCATENATE(";",EscStr(CONCATENATE("NavNode_",getCategoryLevelAsString($B346))),";",EscStr($J346),";"),CONCATENATE(";",EscStr(CONCATENATE("NavNode_",getCategoryLevelAsString($B346))),";",EscStr(W346),";")))</f>
        <v>;"NavNode_L3D_543042";"Tintapatron";</v>
      </c>
      <c r="AQ346" s="10" t="str">
        <f>IF(getCategoryLevelAsString($B346)="L0D_324785","",IF(X346="",CONCATENATE(";",EscStr(CONCATENATE("NavNode_",getCategoryLevelAsString($B346))),";",EscStr($J346),";"),CONCATENATE(";",EscStr(CONCATENATE("NavNode_",getCategoryLevelAsString($B346))),";",EscStr(X346),";")))</f>
        <v>;"NavNode_L3D_543042";"Inkoustové kazety";</v>
      </c>
      <c r="AR346" s="8" t="str">
        <f>IF(OR($A346&lt;&gt;"", $G346=""),"",CONCATENATE(";",EscStr(CONCATENATE("NavEntry_",getCategoryLevelAsString($B346))),";",EscStr(CONCATENATE($J346," Navigation Entry")),";",EscStr(CONCATENATE("cat-",getCategoryLevelAsString($B346))),";",EscStr(CONCATENATE("NavNode_",getCategoryLevelAsString($B346))),";"))</f>
        <v>;"NavEntry_L3D_543042";"Ink cartridges Navigation Entry";"cat-L3D_543042";"NavNode_L3D_543042";</v>
      </c>
    </row>
    <row r="347" spans="1:44" ht="15" x14ac:dyDescent="0.25">
      <c r="A347" s="25"/>
      <c r="B347" s="5"/>
      <c r="C347" s="5"/>
      <c r="D347" s="5" t="s">
        <v>776</v>
      </c>
      <c r="E347" s="5"/>
      <c r="F347" s="5"/>
      <c r="G347" s="5" t="s">
        <v>1014</v>
      </c>
      <c r="H347" s="5" t="s">
        <v>1097</v>
      </c>
      <c r="I347" s="5" t="s">
        <v>1156</v>
      </c>
      <c r="J347" s="5" t="s">
        <v>877</v>
      </c>
      <c r="K347" s="5" t="s">
        <v>1408</v>
      </c>
      <c r="L347" s="5" t="s">
        <v>1644</v>
      </c>
      <c r="M347" s="5" t="s">
        <v>1846</v>
      </c>
      <c r="N347" s="5" t="s">
        <v>2063</v>
      </c>
      <c r="O347" s="5" t="s">
        <v>4423</v>
      </c>
      <c r="P347" s="5" t="s">
        <v>4424</v>
      </c>
      <c r="Q347" s="5" t="s">
        <v>4425</v>
      </c>
      <c r="R347" s="5" t="s">
        <v>4426</v>
      </c>
      <c r="S347" s="5" t="s">
        <v>4427</v>
      </c>
      <c r="T347" s="5" t="s">
        <v>4428</v>
      </c>
      <c r="U347" s="5" t="s">
        <v>4429</v>
      </c>
      <c r="V347" s="5" t="s">
        <v>4430</v>
      </c>
      <c r="W347" s="5" t="s">
        <v>4431</v>
      </c>
      <c r="X347" s="5" t="s">
        <v>4429</v>
      </c>
      <c r="Y347" s="10" t="str">
        <f>IF(OR($A347&lt;&gt;"", $G347=""),"",CONCATENATE(";",EscStr(CONCATENATE("NavNode_",getCategoryLevelAsString($B347))),";",EscStr($J347),";",IF($B347&lt;&gt;"","""MainNavNode""",EscStr(CONCATENATE("NavNode_",getSuperCategory($B347, getCategoryLevelAsNumber($B347))))),";"))</f>
        <v>;"NavNode_L2D_542984";"Ink Ribbons / Labelling Machine Accessories";"NavNode_Computing / Office";</v>
      </c>
      <c r="Z347" s="10" t="str">
        <f>IF(getCategoryLevelAsString($B347)="L0D_324785","",IF(G347="",CONCATENATE(";",EscStr(CONCATENATE("NavNode_",getCategoryLevelAsString($B347))),";",EscStr($J347),";"),CONCATENATE(";",EscStr(CONCATENATE("NavNode_",getCategoryLevelAsString($B347))),";",EscStr(G347),";")))</f>
        <v>;"NavNode_L2D_542984";"Beschriftungsbänder";</v>
      </c>
      <c r="AA347" s="10" t="str">
        <f>IF(getCategoryLevelAsString($B347)="L0D_324785","",IF(H347="",CONCATENATE(";",EscStr(CONCATENATE("NavNode_",getCategoryLevelAsString($B347))),";",EscStr($J347),";"),CONCATENATE(";",EscStr(CONCATENATE("NavNode_",getCategoryLevelAsString($B347))),";",EscStr(H347),";")))</f>
        <v>;"NavNode_L2D_542984";"Rubans encreurs / Accessoires pour étiqueteuses";</v>
      </c>
      <c r="AB347" s="10" t="str">
        <f>IF(getCategoryLevelAsString($B347)="L0D_324785","",IF(I347="",CONCATENATE(";",EscStr(CONCATENATE("NavNode_",getCategoryLevelAsString($B347))),";",EscStr($J347),";"),CONCATENATE(";",EscStr(CONCATENATE("NavNode_",getCategoryLevelAsString($B347))),";",EscStr(I347),";")))</f>
        <v>;"NavNode_L2D_542984";"Nastri inchiostratori / accessori etichettatrici";</v>
      </c>
      <c r="AC347" s="10" t="str">
        <f>IF(getCategoryLevelAsString($B347)="L0D_324785","",IF(J347="",CONCATENATE(";",EscStr(CONCATENATE("NavNode_",getCategoryLevelAsString($B347))),";",EscStr($J347),";"),CONCATENATE(";",EscStr(CONCATENATE("NavNode_",getCategoryLevelAsString($B347))),";",EscStr(J347),";")))</f>
        <v>;"NavNode_L2D_542984";"Ink Ribbons / Labelling Machine Accessories";</v>
      </c>
      <c r="AD347" s="10" t="str">
        <f>IF(getCategoryLevelAsString($B347)="L0D_324785","",IF(K347="",CONCATENATE(";",EscStr(CONCATENATE("NavNode_",getCategoryLevelAsString($B347))),";",EscStr($J347),";"),CONCATENATE(";",EscStr(CONCATENATE("NavNode_",getCategoryLevelAsString($B347))),";",EscStr(K347),";")))</f>
        <v>;"NavNode_L2D_542984";"Farvebånd/tilbehør til etiketteringsmaskine";</v>
      </c>
      <c r="AE347" s="10" t="str">
        <f>IF(getCategoryLevelAsString($B347)="L0D_324785","",IF(L347="",CONCATENATE(";",EscStr(CONCATENATE("NavNode_",getCategoryLevelAsString($B347))),";",EscStr($J347),";"),CONCATENATE(";",EscStr(CONCATENATE("NavNode_",getCategoryLevelAsString($B347))),";",EscStr(L347),";")))</f>
        <v>;"NavNode_L2D_542984";"Dažų juostos / ženklinimo mašinų priedai";</v>
      </c>
      <c r="AF347" s="10" t="str">
        <f>IF(getCategoryLevelAsString($B347)="L0D_324785","",IF(M347="",CONCATENATE(";",EscStr(CONCATENATE("NavNode_",getCategoryLevelAsString($B347))),";",EscStr($J347),";"),CONCATENATE(";",EscStr(CONCATENATE("NavNode_",getCategoryLevelAsString($B347))),";",EscStr(M347),";")))</f>
        <v>;"NavNode_L2D_542984";"Fargebånd/etikettskrivertilbehør";</v>
      </c>
      <c r="AG347" s="10" t="str">
        <f>IF(getCategoryLevelAsString($B347)="L0D_324785","",IF(N347="",CONCATENATE(";",EscStr(CONCATENATE("NavNode_",getCategoryLevelAsString($B347))),";",EscStr($J347),";"),CONCATENATE(";",EscStr(CONCATENATE("NavNode_",getCategoryLevelAsString($B347))),";",EscStr(N347),";")))</f>
        <v>;"NavNode_L2D_542984";"Tillbehör för Bläckband/Etikettmaskiner";</v>
      </c>
      <c r="AH347" s="10" t="str">
        <f>IF(getCategoryLevelAsString($B347)="L0D_324785","",IF(O347="",CONCATENATE(";",EscStr(CONCATENATE("NavNode_",getCategoryLevelAsString($B347))),";",EscStr($J347),";"),CONCATENATE(";",EscStr(CONCATENATE("NavNode_",getCategoryLevelAsString($B347))),";",EscStr(O347),";")))</f>
        <v>;"NavNode_L2D_542984";"Tindilindid / Etiketiprinteri tarvikud";</v>
      </c>
      <c r="AI347" s="10" t="str">
        <f>IF(getCategoryLevelAsString($B347)="L0D_324785","",IF(P347="",CONCATENATE(";",EscStr(CONCATENATE("NavNode_",getCategoryLevelAsString($B347))),";",EscStr($J347),";"),CONCATENATE(";",EscStr(CONCATENATE("NavNode_",getCategoryLevelAsString($B347))),";",EscStr(P347),";")))</f>
        <v>;"NavNode_L2D_542984";"Värinauhat";</v>
      </c>
      <c r="AJ347" s="10" t="str">
        <f>IF(getCategoryLevelAsString($B347)="L0D_324785","",IF(Q347="",CONCATENATE(";",EscStr(CONCATENATE("NavNode_",getCategoryLevelAsString($B347))),";",EscStr($J347),";"),CONCATENATE(";",EscStr(CONCATENATE("NavNode_",getCategoryLevelAsString($B347))),";",EscStr(Q347),";")))</f>
        <v>;"NavNode_L2D_542984";"Tintes lentes / Uzlīmju iekārtu piederumi";</v>
      </c>
      <c r="AK347" s="10" t="str">
        <f>IF(getCategoryLevelAsString($B347)="L0D_324785","",IF(R347="",CONCATENATE(";",EscStr(CONCATENATE("NavNode_",getCategoryLevelAsString($B347))),";",EscStr($J347),";"),CONCATENATE(";",EscStr(CONCATENATE("NavNode_",getCategoryLevelAsString($B347))),";",EscStr(R347),";")))</f>
        <v>;"NavNode_L2D_542984";"Inktlinten / Labelprinter accessoires";</v>
      </c>
      <c r="AL347" s="10" t="str">
        <f>IF(getCategoryLevelAsString($B347)="L0D_324785","",IF(S347="",CONCATENATE(";",EscStr(CONCATENATE("NavNode_",getCategoryLevelAsString($B347))),";",EscStr($J347),";"),CONCATENATE(";",EscStr(CONCATENATE("NavNode_",getCategoryLevelAsString($B347))),";",EscStr(S347),";")))</f>
        <v>;"NavNode_L2D_542984";"Taśmy / Akcesoria znakowarek";</v>
      </c>
      <c r="AM347" s="10" t="str">
        <f>IF(getCategoryLevelAsString($B347)="L0D_324785","",IF(T347="",CONCATENATE(";",EscStr(CONCATENATE("NavNode_",getCategoryLevelAsString($B347))),";",EscStr($J347),";"),CONCATENATE(";",EscStr(CONCATENATE("NavNode_",getCategoryLevelAsString($B347))),";",EscStr(T347),";")))</f>
        <v>;"NavNode_L2D_542984";"Красящие ленты / Аксессуары для маркировочных машины";</v>
      </c>
      <c r="AN347" s="10" t="str">
        <f>IF(getCategoryLevelAsString($B347)="L0D_324785","",IF(U347="",CONCATENATE(";",EscStr(CONCATENATE("NavNode_",getCategoryLevelAsString($B347))),";",EscStr($J347),";"),CONCATENATE(";",EscStr(CONCATENATE("NavNode_",getCategoryLevelAsString($B347))),";",EscStr(U347),";")))</f>
        <v>;"NavNode_L2D_542984";"Označovací pásky";</v>
      </c>
      <c r="AO347" s="10" t="str">
        <f>IF(getCategoryLevelAsString($B347)="L0D_324785","",IF(V347="",CONCATENATE(";",EscStr(CONCATENATE("NavNode_",getCategoryLevelAsString($B347))),";",EscStr($J347),";"),CONCATENATE(";",EscStr(CONCATENATE("NavNode_",getCategoryLevelAsString($B347))),";",EscStr(V347),";")))</f>
        <v>;"NavNode_L2D_542984";"Benzi de etichetare";</v>
      </c>
      <c r="AP347" s="10" t="str">
        <f>IF(getCategoryLevelAsString($B347)="L0D_324785","",IF(W347="",CONCATENATE(";",EscStr(CONCATENATE("NavNode_",getCategoryLevelAsString($B347))),";",EscStr($J347),";"),CONCATENATE(";",EscStr(CONCATENATE("NavNode_",getCategoryLevelAsString($B347))),";",EscStr(W347),";")))</f>
        <v>;"NavNode_L2D_542984";"Feliratszalag";</v>
      </c>
      <c r="AQ347" s="10" t="str">
        <f>IF(getCategoryLevelAsString($B347)="L0D_324785","",IF(X347="",CONCATENATE(";",EscStr(CONCATENATE("NavNode_",getCategoryLevelAsString($B347))),";",EscStr($J347),";"),CONCATENATE(";",EscStr(CONCATENATE("NavNode_",getCategoryLevelAsString($B347))),";",EscStr(X347),";")))</f>
        <v>;"NavNode_L2D_542984";"Označovací pásky";</v>
      </c>
      <c r="AR347" s="8" t="str">
        <f>IF(OR($A347&lt;&gt;"", $G347=""),"",CONCATENATE(";",EscStr(CONCATENATE("NavEntry_",getCategoryLevelAsString($B347))),";",EscStr(CONCATENATE($J347," Navigation Entry")),";",EscStr(CONCATENATE("cat-",getCategoryLevelAsString($B347))),";",EscStr(CONCATENATE("NavNode_",getCategoryLevelAsString($B347))),";"))</f>
        <v>;"NavEntry_L2D_542984";"Ink Ribbons / Labelling Machine Accessories Navigation Entry";"cat-L2D_542984";"NavNode_L2D_542984";</v>
      </c>
    </row>
    <row r="348" spans="1:44" ht="15" x14ac:dyDescent="0.25">
      <c r="A348" s="25"/>
      <c r="B348" s="5"/>
      <c r="C348" s="5"/>
      <c r="D348" s="5" t="s">
        <v>608</v>
      </c>
      <c r="E348" s="5"/>
      <c r="F348" s="5"/>
      <c r="G348" s="5" t="s">
        <v>1015</v>
      </c>
      <c r="H348" s="5" t="s">
        <v>777</v>
      </c>
      <c r="I348" s="5" t="s">
        <v>667</v>
      </c>
      <c r="J348" s="5" t="s">
        <v>878</v>
      </c>
      <c r="K348" s="5" t="s">
        <v>1409</v>
      </c>
      <c r="L348" s="5" t="s">
        <v>1645</v>
      </c>
      <c r="M348" s="5" t="s">
        <v>1409</v>
      </c>
      <c r="N348" s="5" t="s">
        <v>2064</v>
      </c>
      <c r="O348" s="5" t="s">
        <v>4432</v>
      </c>
      <c r="P348" s="5" t="s">
        <v>4433</v>
      </c>
      <c r="Q348" s="5" t="s">
        <v>4434</v>
      </c>
      <c r="R348" s="5" t="s">
        <v>4435</v>
      </c>
      <c r="S348" s="5" t="s">
        <v>4436</v>
      </c>
      <c r="T348" s="5" t="s">
        <v>4437</v>
      </c>
      <c r="U348" s="5" t="s">
        <v>4438</v>
      </c>
      <c r="V348" s="5" t="s">
        <v>4439</v>
      </c>
      <c r="W348" s="5" t="s">
        <v>4440</v>
      </c>
      <c r="X348" s="5" t="s">
        <v>4438</v>
      </c>
      <c r="Y348" s="10" t="str">
        <f>IF(OR($A348&lt;&gt;"", $G348=""),"",CONCATENATE(";",EscStr(CONCATENATE("NavNode_",getCategoryLevelAsString($B348))),";",EscStr($J348),";",IF($B348&lt;&gt;"","""MainNavNode""",EscStr(CONCATENATE("NavNode_",getSuperCategory($B348, getCategoryLevelAsNumber($B348))))),";"))</f>
        <v>;"NavNode_L3D_543049";"Paper / Transparencies / Labels";"NavNode_L2D_542984";</v>
      </c>
      <c r="Z348" s="10" t="str">
        <f>IF(getCategoryLevelAsString($B348)="L0D_324785","",IF(G348="",CONCATENATE(";",EscStr(CONCATENATE("NavNode_",getCategoryLevelAsString($B348))),";",EscStr($J348),";"),CONCATENATE(";",EscStr(CONCATENATE("NavNode_",getCategoryLevelAsString($B348))),";",EscStr(G348),";")))</f>
        <v>;"NavNode_L3D_543049";"Papier / Folien / Etiketten";</v>
      </c>
      <c r="AA348" s="10" t="str">
        <f>IF(getCategoryLevelAsString($B348)="L0D_324785","",IF(H348="",CONCATENATE(";",EscStr(CONCATENATE("NavNode_",getCategoryLevelAsString($B348))),";",EscStr($J348),";"),CONCATENATE(";",EscStr(CONCATENATE("NavNode_",getCategoryLevelAsString($B348))),";",EscStr(H348),";")))</f>
        <v>;"NavNode_L3D_543049";"Papier / Transparents / Etiquettes";</v>
      </c>
      <c r="AB348" s="10" t="str">
        <f>IF(getCategoryLevelAsString($B348)="L0D_324785","",IF(I348="",CONCATENATE(";",EscStr(CONCATENATE("NavNode_",getCategoryLevelAsString($B348))),";",EscStr($J348),";"),CONCATENATE(";",EscStr(CONCATENATE("NavNode_",getCategoryLevelAsString($B348))),";",EscStr(I348),";")))</f>
        <v>;"NavNode_L3D_543049";"Carta / lucidi / etichette";</v>
      </c>
      <c r="AC348" s="10" t="str">
        <f>IF(getCategoryLevelAsString($B348)="L0D_324785","",IF(J348="",CONCATENATE(";",EscStr(CONCATENATE("NavNode_",getCategoryLevelAsString($B348))),";",EscStr($J348),";"),CONCATENATE(";",EscStr(CONCATENATE("NavNode_",getCategoryLevelAsString($B348))),";",EscStr(J348),";")))</f>
        <v>;"NavNode_L3D_543049";"Paper / Transparencies / Labels";</v>
      </c>
      <c r="AD348" s="10" t="str">
        <f>IF(getCategoryLevelAsString($B348)="L0D_324785","",IF(K348="",CONCATENATE(";",EscStr(CONCATENATE("NavNode_",getCategoryLevelAsString($B348))),";",EscStr($J348),";"),CONCATENATE(";",EscStr(CONCATENATE("NavNode_",getCategoryLevelAsString($B348))),";",EscStr(K348),";")))</f>
        <v>;"NavNode_L3D_543049";"Papir/transparenter/etiketter";</v>
      </c>
      <c r="AE348" s="10" t="str">
        <f>IF(getCategoryLevelAsString($B348)="L0D_324785","",IF(L348="",CONCATENATE(";",EscStr(CONCATENATE("NavNode_",getCategoryLevelAsString($B348))),";",EscStr($J348),";"),CONCATENATE(";",EscStr(CONCATENATE("NavNode_",getCategoryLevelAsString($B348))),";",EscStr(L348),";")))</f>
        <v>;"NavNode_L3D_543049";"Popierius / plėvelės / etiketės";</v>
      </c>
      <c r="AF348" s="10" t="str">
        <f>IF(getCategoryLevelAsString($B348)="L0D_324785","",IF(M348="",CONCATENATE(";",EscStr(CONCATENATE("NavNode_",getCategoryLevelAsString($B348))),";",EscStr($J348),";"),CONCATENATE(";",EscStr(CONCATENATE("NavNode_",getCategoryLevelAsString($B348))),";",EscStr(M348),";")))</f>
        <v>;"NavNode_L3D_543049";"Papir/transparenter/etiketter";</v>
      </c>
      <c r="AG348" s="10" t="str">
        <f>IF(getCategoryLevelAsString($B348)="L0D_324785","",IF(N348="",CONCATENATE(";",EscStr(CONCATENATE("NavNode_",getCategoryLevelAsString($B348))),";",EscStr($J348),";"),CONCATENATE(";",EscStr(CONCATENATE("NavNode_",getCategoryLevelAsString($B348))),";",EscStr(N348),";")))</f>
        <v>;"NavNode_L3D_543049";"Papper/OH-ark/Etiketter";</v>
      </c>
      <c r="AH348" s="10" t="str">
        <f>IF(getCategoryLevelAsString($B348)="L0D_324785","",IF(O348="",CONCATENATE(";",EscStr(CONCATENATE("NavNode_",getCategoryLevelAsString($B348))),";",EscStr($J348),";"),CONCATENATE(";",EscStr(CONCATENATE("NavNode_",getCategoryLevelAsString($B348))),";",EscStr(O348),";")))</f>
        <v>;"NavNode_L3D_543049";"Paber / Kiled / Etiketid";</v>
      </c>
      <c r="AI348" s="10" t="str">
        <f>IF(getCategoryLevelAsString($B348)="L0D_324785","",IF(P348="",CONCATENATE(";",EscStr(CONCATENATE("NavNode_",getCategoryLevelAsString($B348))),";",EscStr($J348),";"),CONCATENATE(";",EscStr(CONCATENATE("NavNode_",getCategoryLevelAsString($B348))),";",EscStr(P348),";")))</f>
        <v>;"NavNode_L3D_543049";"Paperi/taskut/tarrat";</v>
      </c>
      <c r="AJ348" s="10" t="str">
        <f>IF(getCategoryLevelAsString($B348)="L0D_324785","",IF(Q348="",CONCATENATE(";",EscStr(CONCATENATE("NavNode_",getCategoryLevelAsString($B348))),";",EscStr($J348),";"),CONCATENATE(";",EscStr(CONCATENATE("NavNode_",getCategoryLevelAsString($B348))),";",EscStr(Q348),";")))</f>
        <v>;"NavNode_L3D_543049";"Papīrs / Kodoskopu plēves / Uzlīmes";</v>
      </c>
      <c r="AK348" s="10" t="str">
        <f>IF(getCategoryLevelAsString($B348)="L0D_324785","",IF(R348="",CONCATENATE(";",EscStr(CONCATENATE("NavNode_",getCategoryLevelAsString($B348))),";",EscStr($J348),";"),CONCATENATE(";",EscStr(CONCATENATE("NavNode_",getCategoryLevelAsString($B348))),";",EscStr(R348),";")))</f>
        <v>;"NavNode_L3D_543049";"Paper / Transparanten / Labels";</v>
      </c>
      <c r="AL348" s="10" t="str">
        <f>IF(getCategoryLevelAsString($B348)="L0D_324785","",IF(S348="",CONCATENATE(";",EscStr(CONCATENATE("NavNode_",getCategoryLevelAsString($B348))),";",EscStr($J348),";"),CONCATENATE(";",EscStr(CONCATENATE("NavNode_",getCategoryLevelAsString($B348))),";",EscStr(S348),";")))</f>
        <v>;"NavNode_L3D_543049";"Papiery / Folie / Etykiety";</v>
      </c>
      <c r="AM348" s="10" t="str">
        <f>IF(getCategoryLevelAsString($B348)="L0D_324785","",IF(T348="",CONCATENATE(";",EscStr(CONCATENATE("NavNode_",getCategoryLevelAsString($B348))),";",EscStr($J348),";"),CONCATENATE(";",EscStr(CONCATENATE("NavNode_",getCategoryLevelAsString($B348))),";",EscStr(T348),";")))</f>
        <v>;"NavNode_L3D_543049";"Бумажные / Прозрачные / Этикетки";</v>
      </c>
      <c r="AN348" s="10" t="str">
        <f>IF(getCategoryLevelAsString($B348)="L0D_324785","",IF(U348="",CONCATENATE(";",EscStr(CONCATENATE("NavNode_",getCategoryLevelAsString($B348))),";",EscStr($J348),";"),CONCATENATE(";",EscStr(CONCATENATE("NavNode_",getCategoryLevelAsString($B348))),";",EscStr(U348),";")))</f>
        <v>;"NavNode_L3D_543049";"Papír / Fólie / Etikety";</v>
      </c>
      <c r="AO348" s="10" t="str">
        <f>IF(getCategoryLevelAsString($B348)="L0D_324785","",IF(V348="",CONCATENATE(";",EscStr(CONCATENATE("NavNode_",getCategoryLevelAsString($B348))),";",EscStr($J348),";"),CONCATENATE(";",EscStr(CONCATENATE("NavNode_",getCategoryLevelAsString($B348))),";",EscStr(V348),";")))</f>
        <v>;"NavNode_L3D_543049";"Hârtie / folie / Etichete";</v>
      </c>
      <c r="AP348" s="10" t="str">
        <f>IF(getCategoryLevelAsString($B348)="L0D_324785","",IF(W348="",CONCATENATE(";",EscStr(CONCATENATE("NavNode_",getCategoryLevelAsString($B348))),";",EscStr($J348),";"),CONCATENATE(";",EscStr(CONCATENATE("NavNode_",getCategoryLevelAsString($B348))),";",EscStr(W348),";")))</f>
        <v>;"NavNode_L3D_543049";"Papír / Fólia / Címke";</v>
      </c>
      <c r="AQ348" s="10" t="str">
        <f>IF(getCategoryLevelAsString($B348)="L0D_324785","",IF(X348="",CONCATENATE(";",EscStr(CONCATENATE("NavNode_",getCategoryLevelAsString($B348))),";",EscStr($J348),";"),CONCATENATE(";",EscStr(CONCATENATE("NavNode_",getCategoryLevelAsString($B348))),";",EscStr(X348),";")))</f>
        <v>;"NavNode_L3D_543049";"Papír / Fólie / Etikety";</v>
      </c>
      <c r="AR348" s="8" t="str">
        <f>IF(OR($A348&lt;&gt;"", $G348=""),"",CONCATENATE(";",EscStr(CONCATENATE("NavEntry_",getCategoryLevelAsString($B348))),";",EscStr(CONCATENATE($J348," Navigation Entry")),";",EscStr(CONCATENATE("cat-",getCategoryLevelAsString($B348))),";",EscStr(CONCATENATE("NavNode_",getCategoryLevelAsString($B348))),";"))</f>
        <v>;"NavEntry_L3D_543049";"Paper / Transparencies / Labels Navigation Entry";"cat-L3D_543049";"NavNode_L3D_543049";</v>
      </c>
    </row>
    <row r="349" spans="1:44" ht="15" x14ac:dyDescent="0.25">
      <c r="A349" s="25"/>
      <c r="B349" s="5"/>
      <c r="C349" s="5"/>
      <c r="D349" s="5" t="s">
        <v>778</v>
      </c>
      <c r="E349" s="5"/>
      <c r="F349" s="5"/>
      <c r="G349" s="5" t="s">
        <v>1016</v>
      </c>
      <c r="H349" s="5" t="s">
        <v>1098</v>
      </c>
      <c r="I349" s="5" t="s">
        <v>1157</v>
      </c>
      <c r="J349" s="5" t="s">
        <v>879</v>
      </c>
      <c r="K349" s="5" t="s">
        <v>1410</v>
      </c>
      <c r="L349" s="5" t="s">
        <v>1646</v>
      </c>
      <c r="M349" s="5" t="s">
        <v>1847</v>
      </c>
      <c r="N349" s="5" t="s">
        <v>2065</v>
      </c>
      <c r="O349" s="5" t="s">
        <v>4441</v>
      </c>
      <c r="P349" s="5" t="s">
        <v>4442</v>
      </c>
      <c r="Q349" s="5" t="s">
        <v>4443</v>
      </c>
      <c r="R349" s="5" t="s">
        <v>879</v>
      </c>
      <c r="S349" s="5" t="s">
        <v>4444</v>
      </c>
      <c r="T349" s="5" t="s">
        <v>4445</v>
      </c>
      <c r="U349" s="5" t="s">
        <v>4446</v>
      </c>
      <c r="V349" s="5" t="s">
        <v>4447</v>
      </c>
      <c r="W349" s="5" t="s">
        <v>1016</v>
      </c>
      <c r="X349" s="5" t="s">
        <v>4446</v>
      </c>
      <c r="Y349" s="10" t="str">
        <f>IF(OR($A349&lt;&gt;"", $G349=""),"",CONCATENATE(";",EscStr(CONCATENATE("NavNode_",getCategoryLevelAsString($B349))),";",EscStr($J349),";",IF($B349&lt;&gt;"","""MainNavNode""",EscStr(CONCATENATE("NavNode_",getSuperCategory($B349, getCategoryLevelAsNumber($B349))))),";"))</f>
        <v>;"NavNode_L3D_543051";"CD/ DVD/ Blu-ray Labels";"NavNode_L2D_542984";</v>
      </c>
      <c r="Z349" s="10" t="str">
        <f>IF(getCategoryLevelAsString($B349)="L0D_324785","",IF(G349="",CONCATENATE(";",EscStr(CONCATENATE("NavNode_",getCategoryLevelAsString($B349))),";",EscStr($J349),";"),CONCATENATE(";",EscStr(CONCATENATE("NavNode_",getCategoryLevelAsString($B349))),";",EscStr(G349),";")))</f>
        <v>;"NavNode_L3D_543051";"Etiketten für CD / DVD / Blu-ray";</v>
      </c>
      <c r="AA349" s="10" t="str">
        <f>IF(getCategoryLevelAsString($B349)="L0D_324785","",IF(H349="",CONCATENATE(";",EscStr(CONCATENATE("NavNode_",getCategoryLevelAsString($B349))),";",EscStr($J349),";"),CONCATENATE(";",EscStr(CONCATENATE("NavNode_",getCategoryLevelAsString($B349))),";",EscStr(H349),";")))</f>
        <v>;"NavNode_L3D_543051";"Etiquettes pour CD / DVD / Blu-ray";</v>
      </c>
      <c r="AB349" s="10" t="str">
        <f>IF(getCategoryLevelAsString($B349)="L0D_324785","",IF(I349="",CONCATENATE(";",EscStr(CONCATENATE("NavNode_",getCategoryLevelAsString($B349))),";",EscStr($J349),";"),CONCATENATE(";",EscStr(CONCATENATE("NavNode_",getCategoryLevelAsString($B349))),";",EscStr(I349),";")))</f>
        <v>;"NavNode_L3D_543051";"Etichette CD/ DVD/ Blu-ray";</v>
      </c>
      <c r="AC349" s="10" t="str">
        <f>IF(getCategoryLevelAsString($B349)="L0D_324785","",IF(J349="",CONCATENATE(";",EscStr(CONCATENATE("NavNode_",getCategoryLevelAsString($B349))),";",EscStr($J349),";"),CONCATENATE(";",EscStr(CONCATENATE("NavNode_",getCategoryLevelAsString($B349))),";",EscStr(J349),";")))</f>
        <v>;"NavNode_L3D_543051";"CD/ DVD/ Blu-ray Labels";</v>
      </c>
      <c r="AD349" s="10" t="str">
        <f>IF(getCategoryLevelAsString($B349)="L0D_324785","",IF(K349="",CONCATENATE(";",EscStr(CONCATENATE("NavNode_",getCategoryLevelAsString($B349))),";",EscStr($J349),";"),CONCATENATE(";",EscStr(CONCATENATE("NavNode_",getCategoryLevelAsString($B349))),";",EscStr(K349),";")))</f>
        <v>;"NavNode_L3D_543051";"Cd/dvd/Blu-ray-etiketter";</v>
      </c>
      <c r="AE349" s="10" t="str">
        <f>IF(getCategoryLevelAsString($B349)="L0D_324785","",IF(L349="",CONCATENATE(";",EscStr(CONCATENATE("NavNode_",getCategoryLevelAsString($B349))),";",EscStr($J349),";"),CONCATENATE(";",EscStr(CONCATENATE("NavNode_",getCategoryLevelAsString($B349))),";",EscStr(L349),";")))</f>
        <v>;"NavNode_L3D_543051";"CD/ DVD/ „Blu-ray“ etiketės";</v>
      </c>
      <c r="AF349" s="10" t="str">
        <f>IF(getCategoryLevelAsString($B349)="L0D_324785","",IF(M349="",CONCATENATE(";",EscStr(CONCATENATE("NavNode_",getCategoryLevelAsString($B349))),";",EscStr($J349),";"),CONCATENATE(";",EscStr(CONCATENATE("NavNode_",getCategoryLevelAsString($B349))),";",EscStr(M349),";")))</f>
        <v>;"NavNode_L3D_543051";"Etiketter for CD/DVD/Blu-ray";</v>
      </c>
      <c r="AG349" s="10" t="str">
        <f>IF(getCategoryLevelAsString($B349)="L0D_324785","",IF(N349="",CONCATENATE(";",EscStr(CONCATENATE("NavNode_",getCategoryLevelAsString($B349))),";",EscStr($J349),";"),CONCATENATE(";",EscStr(CONCATENATE("NavNode_",getCategoryLevelAsString($B349))),";",EscStr(N349),";")))</f>
        <v>;"NavNode_L3D_543051";"CD-/DVD-/Blu-ray-etiketter";</v>
      </c>
      <c r="AH349" s="10" t="str">
        <f>IF(getCategoryLevelAsString($B349)="L0D_324785","",IF(O349="",CONCATENATE(";",EscStr(CONCATENATE("NavNode_",getCategoryLevelAsString($B349))),";",EscStr($J349),";"),CONCATENATE(";",EscStr(CONCATENATE("NavNode_",getCategoryLevelAsString($B349))),";",EscStr(O349),";")))</f>
        <v>;"NavNode_L3D_543051";"CD / DVD / Blu-ray kleebised";</v>
      </c>
      <c r="AI349" s="10" t="str">
        <f>IF(getCategoryLevelAsString($B349)="L0D_324785","",IF(P349="",CONCATENATE(";",EscStr(CONCATENATE("NavNode_",getCategoryLevelAsString($B349))),";",EscStr($J349),";"),CONCATENATE(";",EscStr(CONCATENATE("NavNode_",getCategoryLevelAsString($B349))),";",EscStr(P349),";")))</f>
        <v>;"NavNode_L3D_543051";"CD/ DVD/ Blu-ray Tarrat";</v>
      </c>
      <c r="AJ349" s="10" t="str">
        <f>IF(getCategoryLevelAsString($B349)="L0D_324785","",IF(Q349="",CONCATENATE(";",EscStr(CONCATENATE("NavNode_",getCategoryLevelAsString($B349))),";",EscStr($J349),";"),CONCATENATE(";",EscStr(CONCATENATE("NavNode_",getCategoryLevelAsString($B349))),";",EscStr(Q349),";")))</f>
        <v>;"NavNode_L3D_543051";"CD/ DVD/ Blu-ray uzlīmes";</v>
      </c>
      <c r="AK349" s="10" t="str">
        <f>IF(getCategoryLevelAsString($B349)="L0D_324785","",IF(R349="",CONCATENATE(";",EscStr(CONCATENATE("NavNode_",getCategoryLevelAsString($B349))),";",EscStr($J349),";"),CONCATENATE(";",EscStr(CONCATENATE("NavNode_",getCategoryLevelAsString($B349))),";",EscStr(R349),";")))</f>
        <v>;"NavNode_L3D_543051";"CD/ DVD/ Blu-ray Labels";</v>
      </c>
      <c r="AL349" s="10" t="str">
        <f>IF(getCategoryLevelAsString($B349)="L0D_324785","",IF(S349="",CONCATENATE(";",EscStr(CONCATENATE("NavNode_",getCategoryLevelAsString($B349))),";",EscStr($J349),";"),CONCATENATE(";",EscStr(CONCATENATE("NavNode_",getCategoryLevelAsString($B349))),";",EscStr(S349),";")))</f>
        <v>;"NavNode_L3D_543051";"Etykiety do CD / DVD / Blu-ray";</v>
      </c>
      <c r="AM349" s="10" t="str">
        <f>IF(getCategoryLevelAsString($B349)="L0D_324785","",IF(T349="",CONCATENATE(";",EscStr(CONCATENATE("NavNode_",getCategoryLevelAsString($B349))),";",EscStr($J349),";"),CONCATENATE(";",EscStr(CONCATENATE("NavNode_",getCategoryLevelAsString($B349))),";",EscStr(T349),";")))</f>
        <v>;"NavNode_L3D_543051";"CD/ DVD/ Blu-ray Этикетки";</v>
      </c>
      <c r="AN349" s="10" t="str">
        <f>IF(getCategoryLevelAsString($B349)="L0D_324785","",IF(U349="",CONCATENATE(";",EscStr(CONCATENATE("NavNode_",getCategoryLevelAsString($B349))),";",EscStr($J349),";"),CONCATENATE(";",EscStr(CONCATENATE("NavNode_",getCategoryLevelAsString($B349))),";",EscStr(U349),";")))</f>
        <v>;"NavNode_L3D_543051";"Etikety na CD / DVD / Blu-ray";</v>
      </c>
      <c r="AO349" s="10" t="str">
        <f>IF(getCategoryLevelAsString($B349)="L0D_324785","",IF(V349="",CONCATENATE(";",EscStr(CONCATENATE("NavNode_",getCategoryLevelAsString($B349))),";",EscStr($J349),";"),CONCATENATE(";",EscStr(CONCATENATE("NavNode_",getCategoryLevelAsString($B349))),";",EscStr(V349),";")))</f>
        <v>;"NavNode_L3D_543051";"Etichete pentru CD / DVD / Blu-ray";</v>
      </c>
      <c r="AP349" s="10" t="str">
        <f>IF(getCategoryLevelAsString($B349)="L0D_324785","",IF(W349="",CONCATENATE(";",EscStr(CONCATENATE("NavNode_",getCategoryLevelAsString($B349))),";",EscStr($J349),";"),CONCATENATE(";",EscStr(CONCATENATE("NavNode_",getCategoryLevelAsString($B349))),";",EscStr(W349),";")))</f>
        <v>;"NavNode_L3D_543051";"Etiketten für CD / DVD / Blu-ray";</v>
      </c>
      <c r="AQ349" s="10" t="str">
        <f>IF(getCategoryLevelAsString($B349)="L0D_324785","",IF(X349="",CONCATENATE(";",EscStr(CONCATENATE("NavNode_",getCategoryLevelAsString($B349))),";",EscStr($J349),";"),CONCATENATE(";",EscStr(CONCATENATE("NavNode_",getCategoryLevelAsString($B349))),";",EscStr(X349),";")))</f>
        <v>;"NavNode_L3D_543051";"Etikety na CD / DVD / Blu-ray";</v>
      </c>
      <c r="AR349" s="8" t="str">
        <f>IF(OR($A349&lt;&gt;"", $G349=""),"",CONCATENATE(";",EscStr(CONCATENATE("NavEntry_",getCategoryLevelAsString($B349))),";",EscStr(CONCATENATE($J349," Navigation Entry")),";",EscStr(CONCATENATE("cat-",getCategoryLevelAsString($B349))),";",EscStr(CONCATENATE("NavNode_",getCategoryLevelAsString($B349))),";"))</f>
        <v>;"NavEntry_L3D_543051";"CD/ DVD/ Blu-ray Labels Navigation Entry";"cat-L3D_543051";"NavNode_L3D_543051";</v>
      </c>
    </row>
    <row r="350" spans="1:44" ht="15" x14ac:dyDescent="0.25">
      <c r="A350" s="25"/>
      <c r="B350" s="5"/>
      <c r="C350" s="5" t="s">
        <v>633</v>
      </c>
      <c r="D350" s="5"/>
      <c r="E350" s="5"/>
      <c r="F350" s="5"/>
      <c r="G350" s="5" t="s">
        <v>952</v>
      </c>
      <c r="H350" s="5" t="s">
        <v>786</v>
      </c>
      <c r="I350" s="5" t="s">
        <v>683</v>
      </c>
      <c r="J350" s="5" t="s">
        <v>888</v>
      </c>
      <c r="K350" s="5" t="s">
        <v>1417</v>
      </c>
      <c r="L350" s="5" t="s">
        <v>1655</v>
      </c>
      <c r="M350" s="5" t="s">
        <v>1856</v>
      </c>
      <c r="N350" s="5" t="s">
        <v>2074</v>
      </c>
      <c r="O350" s="5" t="s">
        <v>4519</v>
      </c>
      <c r="P350" s="5" t="s">
        <v>4520</v>
      </c>
      <c r="Q350" s="5" t="s">
        <v>4521</v>
      </c>
      <c r="R350" s="5" t="s">
        <v>888</v>
      </c>
      <c r="S350" s="5" t="s">
        <v>4522</v>
      </c>
      <c r="T350" s="5" t="s">
        <v>4523</v>
      </c>
      <c r="U350" s="5" t="s">
        <v>4524</v>
      </c>
      <c r="V350" s="5" t="s">
        <v>4525</v>
      </c>
      <c r="W350" s="5" t="s">
        <v>4526</v>
      </c>
      <c r="X350" s="5" t="s">
        <v>4524</v>
      </c>
      <c r="Y350" s="10" t="str">
        <f>IF(OR($A350&lt;&gt;"", $G350=""),"",CONCATENATE(";",EscStr(CONCATENATE("NavNode_",getCategoryLevelAsString($B350))),";",EscStr($J350),";",IF($B350&lt;&gt;"","""MainNavNode""",EscStr(CONCATENATE("NavNode_",getSuperCategory($B350, getCategoryLevelAsNumber($B350))))),";"))</f>
        <v>;"NavNode_L3D_543053";"Software &amp; Office Supplies";"NavNode_L2D_542984";</v>
      </c>
      <c r="Z350" s="10" t="str">
        <f>IF(getCategoryLevelAsString($B350)="L0D_324785","",IF(G350="",CONCATENATE(";",EscStr(CONCATENATE("NavNode_",getCategoryLevelAsString($B350))),";",EscStr($J350),";"),CONCATENATE(";",EscStr(CONCATENATE("NavNode_",getCategoryLevelAsString($B350))),";",EscStr(G350),";")))</f>
        <v>;"NavNode_L3D_543053";"Software und Bürobedarf";</v>
      </c>
      <c r="AA350" s="10" t="str">
        <f>IF(getCategoryLevelAsString($B350)="L0D_324785","",IF(H350="",CONCATENATE(";",EscStr(CONCATENATE("NavNode_",getCategoryLevelAsString($B350))),";",EscStr($J350),";"),CONCATENATE(";",EscStr(CONCATENATE("NavNode_",getCategoryLevelAsString($B350))),";",EscStr(H350),";")))</f>
        <v>;"NavNode_L3D_543053";"Logiciels et fournitures de bureau";</v>
      </c>
      <c r="AB350" s="10" t="str">
        <f>IF(getCategoryLevelAsString($B350)="L0D_324785","",IF(I350="",CONCATENATE(";",EscStr(CONCATENATE("NavNode_",getCategoryLevelAsString($B350))),";",EscStr($J350),";"),CONCATENATE(";",EscStr(CONCATENATE("NavNode_",getCategoryLevelAsString($B350))),";",EscStr(I350),";")))</f>
        <v>;"NavNode_L3D_543053";"Software e forniture per ufficio";</v>
      </c>
      <c r="AC350" s="10" t="str">
        <f>IF(getCategoryLevelAsString($B350)="L0D_324785","",IF(J350="",CONCATENATE(";",EscStr(CONCATENATE("NavNode_",getCategoryLevelAsString($B350))),";",EscStr($J350),";"),CONCATENATE(";",EscStr(CONCATENATE("NavNode_",getCategoryLevelAsString($B350))),";",EscStr(J350),";")))</f>
        <v>;"NavNode_L3D_543053";"Software &amp; Office Supplies";</v>
      </c>
      <c r="AD350" s="10" t="str">
        <f>IF(getCategoryLevelAsString($B350)="L0D_324785","",IF(K350="",CONCATENATE(";",EscStr(CONCATENATE("NavNode_",getCategoryLevelAsString($B350))),";",EscStr($J350),";"),CONCATENATE(";",EscStr(CONCATENATE("NavNode_",getCategoryLevelAsString($B350))),";",EscStr(K350),";")))</f>
        <v>;"NavNode_L3D_543053";"Software &amp; kontorforsyning";</v>
      </c>
      <c r="AE350" s="10" t="str">
        <f>IF(getCategoryLevelAsString($B350)="L0D_324785","",IF(L350="",CONCATENATE(";",EscStr(CONCATENATE("NavNode_",getCategoryLevelAsString($B350))),";",EscStr($J350),";"),CONCATENATE(";",EscStr(CONCATENATE("NavNode_",getCategoryLevelAsString($B350))),";",EscStr(L350),";")))</f>
        <v>;"NavNode_L3D_543053";"Programinė įranga ir biuro reikmenys";</v>
      </c>
      <c r="AF350" s="10" t="str">
        <f>IF(getCategoryLevelAsString($B350)="L0D_324785","",IF(M350="",CONCATENATE(";",EscStr(CONCATENATE("NavNode_",getCategoryLevelAsString($B350))),";",EscStr($J350),";"),CONCATENATE(";",EscStr(CONCATENATE("NavNode_",getCategoryLevelAsString($B350))),";",EscStr(M350),";")))</f>
        <v>;"NavNode_L3D_543053";"Programvare- og kontortilbehør";</v>
      </c>
      <c r="AG350" s="10" t="str">
        <f>IF(getCategoryLevelAsString($B350)="L0D_324785","",IF(N350="",CONCATENATE(";",EscStr(CONCATENATE("NavNode_",getCategoryLevelAsString($B350))),";",EscStr($J350),";"),CONCATENATE(";",EscStr(CONCATENATE("NavNode_",getCategoryLevelAsString($B350))),";",EscStr(N350),";")))</f>
        <v>;"NavNode_L3D_543053";"Programvara och kontorstillbehör";</v>
      </c>
      <c r="AH350" s="10" t="str">
        <f>IF(getCategoryLevelAsString($B350)="L0D_324785","",IF(O350="",CONCATENATE(";",EscStr(CONCATENATE("NavNode_",getCategoryLevelAsString($B350))),";",EscStr($J350),";"),CONCATENATE(";",EscStr(CONCATENATE("NavNode_",getCategoryLevelAsString($B350))),";",EscStr(O350),";")))</f>
        <v>;"NavNode_L3D_543053";"Tarkvara ja kontoritarbed";</v>
      </c>
      <c r="AI350" s="10" t="str">
        <f>IF(getCategoryLevelAsString($B350)="L0D_324785","",IF(P350="",CONCATENATE(";",EscStr(CONCATENATE("NavNode_",getCategoryLevelAsString($B350))),";",EscStr($J350),";"),CONCATENATE(";",EscStr(CONCATENATE("NavNode_",getCategoryLevelAsString($B350))),";",EscStr(P350),";")))</f>
        <v>;"NavNode_L3D_543053";"Ohjelmisto ja toimistotarvikkeet";</v>
      </c>
      <c r="AJ350" s="10" t="str">
        <f>IF(getCategoryLevelAsString($B350)="L0D_324785","",IF(Q350="",CONCATENATE(";",EscStr(CONCATENATE("NavNode_",getCategoryLevelAsString($B350))),";",EscStr($J350),";"),CONCATENATE(";",EscStr(CONCATENATE("NavNode_",getCategoryLevelAsString($B350))),";",EscStr(Q350),";")))</f>
        <v>;"NavNode_L3D_543053";"Programmatūra un biroja preces";</v>
      </c>
      <c r="AK350" s="10" t="str">
        <f>IF(getCategoryLevelAsString($B350)="L0D_324785","",IF(R350="",CONCATENATE(";",EscStr(CONCATENATE("NavNode_",getCategoryLevelAsString($B350))),";",EscStr($J350),";"),CONCATENATE(";",EscStr(CONCATENATE("NavNode_",getCategoryLevelAsString($B350))),";",EscStr(R350),";")))</f>
        <v>;"NavNode_L3D_543053";"Software &amp; Office Supplies";</v>
      </c>
      <c r="AL350" s="10" t="str">
        <f>IF(getCategoryLevelAsString($B350)="L0D_324785","",IF(S350="",CONCATENATE(";",EscStr(CONCATENATE("NavNode_",getCategoryLevelAsString($B350))),";",EscStr($J350),";"),CONCATENATE(";",EscStr(CONCATENATE("NavNode_",getCategoryLevelAsString($B350))),";",EscStr(S350),";")))</f>
        <v>;"NavNode_L3D_543053";"Zaopatrzenie Oprogramowanie i Biuro";</v>
      </c>
      <c r="AM350" s="10" t="str">
        <f>IF(getCategoryLevelAsString($B350)="L0D_324785","",IF(T350="",CONCATENATE(";",EscStr(CONCATENATE("NavNode_",getCategoryLevelAsString($B350))),";",EscStr($J350),";"),CONCATENATE(";",EscStr(CONCATENATE("NavNode_",getCategoryLevelAsString($B350))),";",EscStr(T350),";")))</f>
        <v>;"NavNode_L3D_543053";"Программное обеспечение &amp; Офисное оборудование";</v>
      </c>
      <c r="AN350" s="10" t="str">
        <f>IF(getCategoryLevelAsString($B350)="L0D_324785","",IF(U350="",CONCATENATE(";",EscStr(CONCATENATE("NavNode_",getCategoryLevelAsString($B350))),";",EscStr($J350),";"),CONCATENATE(";",EscStr(CONCATENATE("NavNode_",getCategoryLevelAsString($B350))),";",EscStr(U350),";")))</f>
        <v>;"NavNode_L3D_543053";"Software a kancelářské potřeby";</v>
      </c>
      <c r="AO350" s="10" t="str">
        <f>IF(getCategoryLevelAsString($B350)="L0D_324785","",IF(V350="",CONCATENATE(";",EscStr(CONCATENATE("NavNode_",getCategoryLevelAsString($B350))),";",EscStr($J350),";"),CONCATENATE(";",EscStr(CONCATENATE("NavNode_",getCategoryLevelAsString($B350))),";",EscStr(V350),";")))</f>
        <v>;"NavNode_L3D_543053";"software şi necesar birotică";</v>
      </c>
      <c r="AP350" s="10" t="str">
        <f>IF(getCategoryLevelAsString($B350)="L0D_324785","",IF(W350="",CONCATENATE(";",EscStr(CONCATENATE("NavNode_",getCategoryLevelAsString($B350))),";",EscStr($J350),";"),CONCATENATE(";",EscStr(CONCATENATE("NavNode_",getCategoryLevelAsString($B350))),";",EscStr(W350),";")))</f>
        <v>;"NavNode_L3D_543053";"Programmok és irodaszerek";</v>
      </c>
      <c r="AQ350" s="10" t="str">
        <f>IF(getCategoryLevelAsString($B350)="L0D_324785","",IF(X350="",CONCATENATE(";",EscStr(CONCATENATE("NavNode_",getCategoryLevelAsString($B350))),";",EscStr($J350),";"),CONCATENATE(";",EscStr(CONCATENATE("NavNode_",getCategoryLevelAsString($B350))),";",EscStr(X350),";")))</f>
        <v>;"NavNode_L3D_543053";"Software a kancelářské potřeby";</v>
      </c>
      <c r="AR350" s="8" t="str">
        <f>IF(OR($A350&lt;&gt;"", $G350=""),"",CONCATENATE(";",EscStr(CONCATENATE("NavEntry_",getCategoryLevelAsString($B350))),";",EscStr(CONCATENATE($J350," Navigation Entry")),";",EscStr(CONCATENATE("cat-",getCategoryLevelAsString($B350))),";",EscStr(CONCATENATE("NavNode_",getCategoryLevelAsString($B350))),";"))</f>
        <v>;"NavEntry_L3D_543053";"Software &amp; Office Supplies Navigation Entry";"cat-L3D_543053";"NavNode_L3D_543053";</v>
      </c>
    </row>
    <row r="351" spans="1:44" ht="15" x14ac:dyDescent="0.25">
      <c r="A351" s="25"/>
      <c r="B351" s="5"/>
      <c r="C351" s="5"/>
      <c r="D351" s="5" t="s">
        <v>634</v>
      </c>
      <c r="E351" s="5"/>
      <c r="F351" s="5"/>
      <c r="G351" s="5" t="s">
        <v>684</v>
      </c>
      <c r="H351" s="5" t="s">
        <v>787</v>
      </c>
      <c r="I351" s="5" t="s">
        <v>684</v>
      </c>
      <c r="J351" s="5" t="s">
        <v>684</v>
      </c>
      <c r="K351" s="5" t="s">
        <v>684</v>
      </c>
      <c r="L351" s="5" t="s">
        <v>1656</v>
      </c>
      <c r="M351" s="5" t="s">
        <v>1857</v>
      </c>
      <c r="N351" s="5" t="s">
        <v>2075</v>
      </c>
      <c r="O351" s="5" t="s">
        <v>4527</v>
      </c>
      <c r="P351" s="5" t="s">
        <v>4528</v>
      </c>
      <c r="Q351" s="5" t="s">
        <v>4529</v>
      </c>
      <c r="R351" s="5" t="s">
        <v>684</v>
      </c>
      <c r="S351" s="5" t="s">
        <v>4530</v>
      </c>
      <c r="T351" s="5" t="s">
        <v>4531</v>
      </c>
      <c r="U351" s="5" t="s">
        <v>684</v>
      </c>
      <c r="V351" s="5" t="s">
        <v>684</v>
      </c>
      <c r="W351" s="5" t="s">
        <v>4532</v>
      </c>
      <c r="X351" s="5" t="s">
        <v>684</v>
      </c>
      <c r="Y351" s="10" t="str">
        <f>IF(OR($A351&lt;&gt;"", $G351=""),"",CONCATENATE(";",EscStr(CONCATENATE("NavNode_",getCategoryLevelAsString($B351))),";",EscStr($J351),";",IF($B351&lt;&gt;"","""MainNavNode""",EscStr(CONCATENATE("NavNode_",getSuperCategory($B351, getCategoryLevelAsNumber($B351))))),";"))</f>
        <v>;"NavNode_L3D_543055";"Software";"NavNode_L2D_542984";</v>
      </c>
      <c r="Z351" s="10" t="str">
        <f>IF(getCategoryLevelAsString($B351)="L0D_324785","",IF(G351="",CONCATENATE(";",EscStr(CONCATENATE("NavNode_",getCategoryLevelAsString($B351))),";",EscStr($J351),";"),CONCATENATE(";",EscStr(CONCATENATE("NavNode_",getCategoryLevelAsString($B351))),";",EscStr(G351),";")))</f>
        <v>;"NavNode_L3D_543055";"Software";</v>
      </c>
      <c r="AA351" s="10" t="str">
        <f>IF(getCategoryLevelAsString($B351)="L0D_324785","",IF(H351="",CONCATENATE(";",EscStr(CONCATENATE("NavNode_",getCategoryLevelAsString($B351))),";",EscStr($J351),";"),CONCATENATE(";",EscStr(CONCATENATE("NavNode_",getCategoryLevelAsString($B351))),";",EscStr(H351),";")))</f>
        <v>;"NavNode_L3D_543055";"Logiciel";</v>
      </c>
      <c r="AB351" s="10" t="str">
        <f>IF(getCategoryLevelAsString($B351)="L0D_324785","",IF(I351="",CONCATENATE(";",EscStr(CONCATENATE("NavNode_",getCategoryLevelAsString($B351))),";",EscStr($J351),";"),CONCATENATE(";",EscStr(CONCATENATE("NavNode_",getCategoryLevelAsString($B351))),";",EscStr(I351),";")))</f>
        <v>;"NavNode_L3D_543055";"Software";</v>
      </c>
      <c r="AC351" s="10" t="str">
        <f>IF(getCategoryLevelAsString($B351)="L0D_324785","",IF(J351="",CONCATENATE(";",EscStr(CONCATENATE("NavNode_",getCategoryLevelAsString($B351))),";",EscStr($J351),";"),CONCATENATE(";",EscStr(CONCATENATE("NavNode_",getCategoryLevelAsString($B351))),";",EscStr(J351),";")))</f>
        <v>;"NavNode_L3D_543055";"Software";</v>
      </c>
      <c r="AD351" s="10" t="str">
        <f>IF(getCategoryLevelAsString($B351)="L0D_324785","",IF(K351="",CONCATENATE(";",EscStr(CONCATENATE("NavNode_",getCategoryLevelAsString($B351))),";",EscStr($J351),";"),CONCATENATE(";",EscStr(CONCATENATE("NavNode_",getCategoryLevelAsString($B351))),";",EscStr(K351),";")))</f>
        <v>;"NavNode_L3D_543055";"Software";</v>
      </c>
      <c r="AE351" s="10" t="str">
        <f>IF(getCategoryLevelAsString($B351)="L0D_324785","",IF(L351="",CONCATENATE(";",EscStr(CONCATENATE("NavNode_",getCategoryLevelAsString($B351))),";",EscStr($J351),";"),CONCATENATE(";",EscStr(CONCATENATE("NavNode_",getCategoryLevelAsString($B351))),";",EscStr(L351),";")))</f>
        <v>;"NavNode_L3D_543055";"Programinė įranga";</v>
      </c>
      <c r="AF351" s="10" t="str">
        <f>IF(getCategoryLevelAsString($B351)="L0D_324785","",IF(M351="",CONCATENATE(";",EscStr(CONCATENATE("NavNode_",getCategoryLevelAsString($B351))),";",EscStr($J351),";"),CONCATENATE(";",EscStr(CONCATENATE("NavNode_",getCategoryLevelAsString($B351))),";",EscStr(M351),";")))</f>
        <v>;"NavNode_L3D_543055";"Programvare";</v>
      </c>
      <c r="AG351" s="10" t="str">
        <f>IF(getCategoryLevelAsString($B351)="L0D_324785","",IF(N351="",CONCATENATE(";",EscStr(CONCATENATE("NavNode_",getCategoryLevelAsString($B351))),";",EscStr($J351),";"),CONCATENATE(";",EscStr(CONCATENATE("NavNode_",getCategoryLevelAsString($B351))),";",EscStr(N351),";")))</f>
        <v>;"NavNode_L3D_543055";"Programvara";</v>
      </c>
      <c r="AH351" s="10" t="str">
        <f>IF(getCategoryLevelAsString($B351)="L0D_324785","",IF(O351="",CONCATENATE(";",EscStr(CONCATENATE("NavNode_",getCategoryLevelAsString($B351))),";",EscStr($J351),";"),CONCATENATE(";",EscStr(CONCATENATE("NavNode_",getCategoryLevelAsString($B351))),";",EscStr(O351),";")))</f>
        <v>;"NavNode_L3D_543055";"Tarkvara";</v>
      </c>
      <c r="AI351" s="10" t="str">
        <f>IF(getCategoryLevelAsString($B351)="L0D_324785","",IF(P351="",CONCATENATE(";",EscStr(CONCATENATE("NavNode_",getCategoryLevelAsString($B351))),";",EscStr($J351),";"),CONCATENATE(";",EscStr(CONCATENATE("NavNode_",getCategoryLevelAsString($B351))),";",EscStr(P351),";")))</f>
        <v>;"NavNode_L3D_543055";"Ohjelmistotarvikkeet";</v>
      </c>
      <c r="AJ351" s="10" t="str">
        <f>IF(getCategoryLevelAsString($B351)="L0D_324785","",IF(Q351="",CONCATENATE(";",EscStr(CONCATENATE("NavNode_",getCategoryLevelAsString($B351))),";",EscStr($J351),";"),CONCATENATE(";",EscStr(CONCATENATE("NavNode_",getCategoryLevelAsString($B351))),";",EscStr(Q351),";")))</f>
        <v>;"NavNode_L3D_543055";"Programmatūra";</v>
      </c>
      <c r="AK351" s="10" t="str">
        <f>IF(getCategoryLevelAsString($B351)="L0D_324785","",IF(R351="",CONCATENATE(";",EscStr(CONCATENATE("NavNode_",getCategoryLevelAsString($B351))),";",EscStr($J351),";"),CONCATENATE(";",EscStr(CONCATENATE("NavNode_",getCategoryLevelAsString($B351))),";",EscStr(R351),";")))</f>
        <v>;"NavNode_L3D_543055";"Software";</v>
      </c>
      <c r="AL351" s="10" t="str">
        <f>IF(getCategoryLevelAsString($B351)="L0D_324785","",IF(S351="",CONCATENATE(";",EscStr(CONCATENATE("NavNode_",getCategoryLevelAsString($B351))),";",EscStr($J351),";"),CONCATENATE(";",EscStr(CONCATENATE("NavNode_",getCategoryLevelAsString($B351))),";",EscStr(S351),";")))</f>
        <v>;"NavNode_L3D_543055";"Oprogramowanie";</v>
      </c>
      <c r="AM351" s="10" t="str">
        <f>IF(getCategoryLevelAsString($B351)="L0D_324785","",IF(T351="",CONCATENATE(";",EscStr(CONCATENATE("NavNode_",getCategoryLevelAsString($B351))),";",EscStr($J351),";"),CONCATENATE(";",EscStr(CONCATENATE("NavNode_",getCategoryLevelAsString($B351))),";",EscStr(T351),";")))</f>
        <v>;"NavNode_L3D_543055";"Программное обеспечение";</v>
      </c>
      <c r="AN351" s="10" t="str">
        <f>IF(getCategoryLevelAsString($B351)="L0D_324785","",IF(U351="",CONCATENATE(";",EscStr(CONCATENATE("NavNode_",getCategoryLevelAsString($B351))),";",EscStr($J351),";"),CONCATENATE(";",EscStr(CONCATENATE("NavNode_",getCategoryLevelAsString($B351))),";",EscStr(U351),";")))</f>
        <v>;"NavNode_L3D_543055";"Software";</v>
      </c>
      <c r="AO351" s="10" t="str">
        <f>IF(getCategoryLevelAsString($B351)="L0D_324785","",IF(V351="",CONCATENATE(";",EscStr(CONCATENATE("NavNode_",getCategoryLevelAsString($B351))),";",EscStr($J351),";"),CONCATENATE(";",EscStr(CONCATENATE("NavNode_",getCategoryLevelAsString($B351))),";",EscStr(V351),";")))</f>
        <v>;"NavNode_L3D_543055";"Software";</v>
      </c>
      <c r="AP351" s="10" t="str">
        <f>IF(getCategoryLevelAsString($B351)="L0D_324785","",IF(W351="",CONCATENATE(";",EscStr(CONCATENATE("NavNode_",getCategoryLevelAsString($B351))),";",EscStr($J351),";"),CONCATENATE(";",EscStr(CONCATENATE("NavNode_",getCategoryLevelAsString($B351))),";",EscStr(W351),";")))</f>
        <v>;"NavNode_L3D_543055";"Programmok";</v>
      </c>
      <c r="AQ351" s="10" t="str">
        <f>IF(getCategoryLevelAsString($B351)="L0D_324785","",IF(X351="",CONCATENATE(";",EscStr(CONCATENATE("NavNode_",getCategoryLevelAsString($B351))),";",EscStr($J351),";"),CONCATENATE(";",EscStr(CONCATENATE("NavNode_",getCategoryLevelAsString($B351))),";",EscStr(X351),";")))</f>
        <v>;"NavNode_L3D_543055";"Software";</v>
      </c>
      <c r="AR351" s="8" t="str">
        <f>IF(OR($A351&lt;&gt;"", $G351=""),"",CONCATENATE(";",EscStr(CONCATENATE("NavEntry_",getCategoryLevelAsString($B351))),";",EscStr(CONCATENATE($J351," Navigation Entry")),";",EscStr(CONCATENATE("cat-",getCategoryLevelAsString($B351))),";",EscStr(CONCATENATE("NavNode_",getCategoryLevelAsString($B351))),";"))</f>
        <v>;"NavEntry_L3D_543055";"Software Navigation Entry";"cat-L3D_543055";"NavNode_L3D_543055";</v>
      </c>
    </row>
    <row r="352" spans="1:44" ht="15" x14ac:dyDescent="0.25">
      <c r="A352" s="25"/>
      <c r="B352" s="5"/>
      <c r="C352" s="5"/>
      <c r="D352" s="5" t="s">
        <v>635</v>
      </c>
      <c r="E352" s="5"/>
      <c r="F352" s="5"/>
      <c r="G352" s="5" t="s">
        <v>953</v>
      </c>
      <c r="H352" s="5" t="s">
        <v>788</v>
      </c>
      <c r="I352" s="5" t="s">
        <v>685</v>
      </c>
      <c r="J352" s="5" t="s">
        <v>1183</v>
      </c>
      <c r="K352" s="5" t="s">
        <v>1418</v>
      </c>
      <c r="L352" s="5" t="s">
        <v>1657</v>
      </c>
      <c r="M352" s="5" t="s">
        <v>1858</v>
      </c>
      <c r="N352" s="5" t="s">
        <v>2076</v>
      </c>
      <c r="O352" s="5" t="s">
        <v>4533</v>
      </c>
      <c r="P352" s="5" t="s">
        <v>4534</v>
      </c>
      <c r="Q352" s="5" t="s">
        <v>4535</v>
      </c>
      <c r="R352" s="5" t="s">
        <v>4536</v>
      </c>
      <c r="S352" s="5" t="s">
        <v>4537</v>
      </c>
      <c r="T352" s="5" t="s">
        <v>4538</v>
      </c>
      <c r="U352" s="5" t="s">
        <v>4539</v>
      </c>
      <c r="V352" s="5" t="s">
        <v>4540</v>
      </c>
      <c r="W352" s="5" t="s">
        <v>4541</v>
      </c>
      <c r="X352" s="5" t="s">
        <v>4539</v>
      </c>
      <c r="Y352" s="10" t="str">
        <f>IF(OR($A352&lt;&gt;"", $G352=""),"",CONCATENATE(";",EscStr(CONCATENATE("NavNode_",getCategoryLevelAsString($B352))),";",EscStr($J352),";",IF($B352&lt;&gt;"","""MainNavNode""",EscStr(CONCATENATE("NavNode_",getSuperCategory($B352, getCategoryLevelAsNumber($B352))))),";"))</f>
        <v>;"NavNode_L3D_543058";"Cleaning";"NavNode_L2D_542984";</v>
      </c>
      <c r="Z352" s="10" t="str">
        <f>IF(getCategoryLevelAsString($B352)="L0D_324785","",IF(G352="",CONCATENATE(";",EscStr(CONCATENATE("NavNode_",getCategoryLevelAsString($B352))),";",EscStr($J352),";"),CONCATENATE(";",EscStr(CONCATENATE("NavNode_",getCategoryLevelAsString($B352))),";",EscStr(G352),";")))</f>
        <v>;"NavNode_L3D_543058";"Reinigungsprodukte";</v>
      </c>
      <c r="AA352" s="10" t="str">
        <f>IF(getCategoryLevelAsString($B352)="L0D_324785","",IF(H352="",CONCATENATE(";",EscStr(CONCATENATE("NavNode_",getCategoryLevelAsString($B352))),";",EscStr($J352),";"),CONCATENATE(";",EscStr(CONCATENATE("NavNode_",getCategoryLevelAsString($B352))),";",EscStr(H352),";")))</f>
        <v>;"NavNode_L3D_543058";"Produits de nettoyage";</v>
      </c>
      <c r="AB352" s="10" t="str">
        <f>IF(getCategoryLevelAsString($B352)="L0D_324785","",IF(I352="",CONCATENATE(";",EscStr(CONCATENATE("NavNode_",getCategoryLevelAsString($B352))),";",EscStr($J352),";"),CONCATENATE(";",EscStr(CONCATENATE("NavNode_",getCategoryLevelAsString($B352))),";",EscStr(I352),";")))</f>
        <v>;"NavNode_L3D_543058";"Prodotti detergenti";</v>
      </c>
      <c r="AC352" s="10" t="str">
        <f>IF(getCategoryLevelAsString($B352)="L0D_324785","",IF(J352="",CONCATENATE(";",EscStr(CONCATENATE("NavNode_",getCategoryLevelAsString($B352))),";",EscStr($J352),";"),CONCATENATE(";",EscStr(CONCATENATE("NavNode_",getCategoryLevelAsString($B352))),";",EscStr(J352),";")))</f>
        <v>;"NavNode_L3D_543058";"Cleaning";</v>
      </c>
      <c r="AD352" s="10" t="str">
        <f>IF(getCategoryLevelAsString($B352)="L0D_324785","",IF(K352="",CONCATENATE(";",EscStr(CONCATENATE("NavNode_",getCategoryLevelAsString($B352))),";",EscStr($J352),";"),CONCATENATE(";",EscStr(CONCATENATE("NavNode_",getCategoryLevelAsString($B352))),";",EscStr(K352),";")))</f>
        <v>;"NavNode_L3D_543058";"Rengøring";</v>
      </c>
      <c r="AE352" s="10" t="str">
        <f>IF(getCategoryLevelAsString($B352)="L0D_324785","",IF(L352="",CONCATENATE(";",EscStr(CONCATENATE("NavNode_",getCategoryLevelAsString($B352))),";",EscStr($J352),";"),CONCATENATE(";",EscStr(CONCATENATE("NavNode_",getCategoryLevelAsString($B352))),";",EscStr(L352),";")))</f>
        <v>;"NavNode_L3D_543058";"Valymas";</v>
      </c>
      <c r="AF352" s="10" t="str">
        <f>IF(getCategoryLevelAsString($B352)="L0D_324785","",IF(M352="",CONCATENATE(";",EscStr(CONCATENATE("NavNode_",getCategoryLevelAsString($B352))),";",EscStr($J352),";"),CONCATENATE(";",EscStr(CONCATENATE("NavNode_",getCategoryLevelAsString($B352))),";",EscStr(M352),";")))</f>
        <v>;"NavNode_L3D_543058";"Rengjøring";</v>
      </c>
      <c r="AG352" s="10" t="str">
        <f>IF(getCategoryLevelAsString($B352)="L0D_324785","",IF(N352="",CONCATENATE(";",EscStr(CONCATENATE("NavNode_",getCategoryLevelAsString($B352))),";",EscStr($J352),";"),CONCATENATE(";",EscStr(CONCATENATE("NavNode_",getCategoryLevelAsString($B352))),";",EscStr(N352),";")))</f>
        <v>;"NavNode_L3D_543058";"Rengöring";</v>
      </c>
      <c r="AH352" s="10" t="str">
        <f>IF(getCategoryLevelAsString($B352)="L0D_324785","",IF(O352="",CONCATENATE(";",EscStr(CONCATENATE("NavNode_",getCategoryLevelAsString($B352))),";",EscStr($J352),";"),CONCATENATE(";",EscStr(CONCATENATE("NavNode_",getCategoryLevelAsString($B352))),";",EscStr(O352),";")))</f>
        <v>;"NavNode_L3D_543058";"Puhastamine";</v>
      </c>
      <c r="AI352" s="10" t="str">
        <f>IF(getCategoryLevelAsString($B352)="L0D_324785","",IF(P352="",CONCATENATE(";",EscStr(CONCATENATE("NavNode_",getCategoryLevelAsString($B352))),";",EscStr($J352),";"),CONCATENATE(";",EscStr(CONCATENATE("NavNode_",getCategoryLevelAsString($B352))),";",EscStr(P352),";")))</f>
        <v>;"NavNode_L3D_543058";"Puhdistus";</v>
      </c>
      <c r="AJ352" s="10" t="str">
        <f>IF(getCategoryLevelAsString($B352)="L0D_324785","",IF(Q352="",CONCATENATE(";",EscStr(CONCATENATE("NavNode_",getCategoryLevelAsString($B352))),";",EscStr($J352),";"),CONCATENATE(";",EscStr(CONCATENATE("NavNode_",getCategoryLevelAsString($B352))),";",EscStr(Q352),";")))</f>
        <v>;"NavNode_L3D_543058";"Tīrīšana";</v>
      </c>
      <c r="AK352" s="10" t="str">
        <f>IF(getCategoryLevelAsString($B352)="L0D_324785","",IF(R352="",CONCATENATE(";",EscStr(CONCATENATE("NavNode_",getCategoryLevelAsString($B352))),";",EscStr($J352),";"),CONCATENATE(";",EscStr(CONCATENATE("NavNode_",getCategoryLevelAsString($B352))),";",EscStr(R352),";")))</f>
        <v>;"NavNode_L3D_543058";"Reiniging / schoonmaken";</v>
      </c>
      <c r="AL352" s="10" t="str">
        <f>IF(getCategoryLevelAsString($B352)="L0D_324785","",IF(S352="",CONCATENATE(";",EscStr(CONCATENATE("NavNode_",getCategoryLevelAsString($B352))),";",EscStr($J352),";"),CONCATENATE(";",EscStr(CONCATENATE("NavNode_",getCategoryLevelAsString($B352))),";",EscStr(S352),";")))</f>
        <v>;"NavNode_L3D_543058";"Sprzątanie";</v>
      </c>
      <c r="AM352" s="10" t="str">
        <f>IF(getCategoryLevelAsString($B352)="L0D_324785","",IF(T352="",CONCATENATE(";",EscStr(CONCATENATE("NavNode_",getCategoryLevelAsString($B352))),";",EscStr($J352),";"),CONCATENATE(";",EscStr(CONCATENATE("NavNode_",getCategoryLevelAsString($B352))),";",EscStr(T352),";")))</f>
        <v>;"NavNode_L3D_543058";"Уборка";</v>
      </c>
      <c r="AN352" s="10" t="str">
        <f>IF(getCategoryLevelAsString($B352)="L0D_324785","",IF(U352="",CONCATENATE(";",EscStr(CONCATENATE("NavNode_",getCategoryLevelAsString($B352))),";",EscStr($J352),";"),CONCATENATE(";",EscStr(CONCATENATE("NavNode_",getCategoryLevelAsString($B352))),";",EscStr(U352),";")))</f>
        <v>;"NavNode_L3D_543058";"Čisticí produkty";</v>
      </c>
      <c r="AO352" s="10" t="str">
        <f>IF(getCategoryLevelAsString($B352)="L0D_324785","",IF(V352="",CONCATENATE(";",EscStr(CONCATENATE("NavNode_",getCategoryLevelAsString($B352))),";",EscStr($J352),";"),CONCATENATE(";",EscStr(CONCATENATE("NavNode_",getCategoryLevelAsString($B352))),";",EscStr(V352),";")))</f>
        <v>;"NavNode_L3D_543058";"Produse de curăţare";</v>
      </c>
      <c r="AP352" s="10" t="str">
        <f>IF(getCategoryLevelAsString($B352)="L0D_324785","",IF(W352="",CONCATENATE(";",EscStr(CONCATENATE("NavNode_",getCategoryLevelAsString($B352))),";",EscStr($J352),";"),CONCATENATE(";",EscStr(CONCATENATE("NavNode_",getCategoryLevelAsString($B352))),";",EscStr(W352),";")))</f>
        <v>;"NavNode_L3D_543058";"Tisztító és takarító termékek";</v>
      </c>
      <c r="AQ352" s="10" t="str">
        <f>IF(getCategoryLevelAsString($B352)="L0D_324785","",IF(X352="",CONCATENATE(";",EscStr(CONCATENATE("NavNode_",getCategoryLevelAsString($B352))),";",EscStr($J352),";"),CONCATENATE(";",EscStr(CONCATENATE("NavNode_",getCategoryLevelAsString($B352))),";",EscStr(X352),";")))</f>
        <v>;"NavNode_L3D_543058";"Čisticí produkty";</v>
      </c>
      <c r="AR352" s="8" t="str">
        <f>IF(OR($A352&lt;&gt;"", $G352=""),"",CONCATENATE(";",EscStr(CONCATENATE("NavEntry_",getCategoryLevelAsString($B352))),";",EscStr(CONCATENATE($J352," Navigation Entry")),";",EscStr(CONCATENATE("cat-",getCategoryLevelAsString($B352))),";",EscStr(CONCATENATE("NavNode_",getCategoryLevelAsString($B352))),";"))</f>
        <v>;"NavEntry_L3D_543058";"Cleaning Navigation Entry";"cat-L3D_543058";"NavNode_L3D_543058";</v>
      </c>
    </row>
    <row r="353" spans="1:44" ht="15" x14ac:dyDescent="0.25">
      <c r="A353" s="25"/>
      <c r="B353" s="5"/>
      <c r="C353" s="5"/>
      <c r="D353" s="5" t="s">
        <v>636</v>
      </c>
      <c r="E353" s="5"/>
      <c r="F353" s="5"/>
      <c r="G353" s="5" t="s">
        <v>1024</v>
      </c>
      <c r="H353" s="5" t="s">
        <v>789</v>
      </c>
      <c r="I353" s="5" t="s">
        <v>686</v>
      </c>
      <c r="J353" s="5" t="s">
        <v>889</v>
      </c>
      <c r="K353" s="5" t="s">
        <v>1419</v>
      </c>
      <c r="L353" s="5" t="s">
        <v>1658</v>
      </c>
      <c r="M353" s="5" t="s">
        <v>1859</v>
      </c>
      <c r="N353" s="5" t="s">
        <v>2077</v>
      </c>
      <c r="O353" s="5" t="s">
        <v>4542</v>
      </c>
      <c r="P353" s="5" t="s">
        <v>4543</v>
      </c>
      <c r="Q353" s="5" t="s">
        <v>4544</v>
      </c>
      <c r="R353" s="5" t="s">
        <v>4545</v>
      </c>
      <c r="S353" s="5" t="s">
        <v>4546</v>
      </c>
      <c r="T353" s="5" t="s">
        <v>4547</v>
      </c>
      <c r="U353" s="5" t="s">
        <v>4548</v>
      </c>
      <c r="V353" s="5" t="s">
        <v>4549</v>
      </c>
      <c r="W353" s="5" t="s">
        <v>4550</v>
      </c>
      <c r="X353" s="5" t="s">
        <v>4548</v>
      </c>
      <c r="Y353" s="10" t="str">
        <f>IF(OR($A353&lt;&gt;"", $G353=""),"",CONCATENATE(";",EscStr(CONCATENATE("NavNode_",getCategoryLevelAsString($B353))),";",EscStr($J353),";",IF($B353&lt;&gt;"","""MainNavNode""",EscStr(CONCATENATE("NavNode_",getSuperCategory($B353, getCategoryLevelAsNumber($B353))))),";"))</f>
        <v>;"NavNode_L3D_543060";"Filing / Archiving systems";"NavNode_L2D_542984";</v>
      </c>
      <c r="Z353" s="10" t="str">
        <f>IF(getCategoryLevelAsString($B353)="L0D_324785","",IF(G353="",CONCATENATE(";",EscStr(CONCATENATE("NavNode_",getCategoryLevelAsString($B353))),";",EscStr($J353),";"),CONCATENATE(";",EscStr(CONCATENATE("NavNode_",getCategoryLevelAsString($B353))),";",EscStr(G353),";")))</f>
        <v>;"NavNode_L3D_543060";"Ablage / Archivierung";</v>
      </c>
      <c r="AA353" s="10" t="str">
        <f>IF(getCategoryLevelAsString($B353)="L0D_324785","",IF(H353="",CONCATENATE(";",EscStr(CONCATENATE("NavNode_",getCategoryLevelAsString($B353))),";",EscStr($J353),";"),CONCATENATE(";",EscStr(CONCATENATE("NavNode_",getCategoryLevelAsString($B353))),";",EscStr(H353),";")))</f>
        <v>;"NavNode_L3D_543060";"Systèmes de classement / d'archivage";</v>
      </c>
      <c r="AB353" s="10" t="str">
        <f>IF(getCategoryLevelAsString($B353)="L0D_324785","",IF(I353="",CONCATENATE(";",EscStr(CONCATENATE("NavNode_",getCategoryLevelAsString($B353))),";",EscStr($J353),";"),CONCATENATE(";",EscStr(CONCATENATE("NavNode_",getCategoryLevelAsString($B353))),";",EscStr(I353),";")))</f>
        <v>;"NavNode_L3D_543060";"Sistemi di ordinamento / archiviazione";</v>
      </c>
      <c r="AC353" s="10" t="str">
        <f>IF(getCategoryLevelAsString($B353)="L0D_324785","",IF(J353="",CONCATENATE(";",EscStr(CONCATENATE("NavNode_",getCategoryLevelAsString($B353))),";",EscStr($J353),";"),CONCATENATE(";",EscStr(CONCATENATE("NavNode_",getCategoryLevelAsString($B353))),";",EscStr(J353),";")))</f>
        <v>;"NavNode_L3D_543060";"Filing / Archiving systems";</v>
      </c>
      <c r="AD353" s="10" t="str">
        <f>IF(getCategoryLevelAsString($B353)="L0D_324785","",IF(K353="",CONCATENATE(";",EscStr(CONCATENATE("NavNode_",getCategoryLevelAsString($B353))),";",EscStr($J353),";"),CONCATENATE(";",EscStr(CONCATENATE("NavNode_",getCategoryLevelAsString($B353))),";",EscStr(K353),";")))</f>
        <v>;"NavNode_L3D_543060";"Dokumenterings-/arkiveringssystemer";</v>
      </c>
      <c r="AE353" s="10" t="str">
        <f>IF(getCategoryLevelAsString($B353)="L0D_324785","",IF(L353="",CONCATENATE(";",EscStr(CONCATENATE("NavNode_",getCategoryLevelAsString($B353))),";",EscStr($J353),";"),CONCATENATE(";",EscStr(CONCATENATE("NavNode_",getCategoryLevelAsString($B353))),";",EscStr(L353),";")))</f>
        <v>;"NavNode_L3D_543060";"Sisteminimo / archyvavimo sistema";</v>
      </c>
      <c r="AF353" s="10" t="str">
        <f>IF(getCategoryLevelAsString($B353)="L0D_324785","",IF(M353="",CONCATENATE(";",EscStr(CONCATENATE("NavNode_",getCategoryLevelAsString($B353))),";",EscStr($J353),";"),CONCATENATE(";",EscStr(CONCATENATE("NavNode_",getCategoryLevelAsString($B353))),";",EscStr(M353),";")))</f>
        <v>;"NavNode_L3D_543060";"Arkiveringssystemer";</v>
      </c>
      <c r="AG353" s="10" t="str">
        <f>IF(getCategoryLevelAsString($B353)="L0D_324785","",IF(N353="",CONCATENATE(";",EscStr(CONCATENATE("NavNode_",getCategoryLevelAsString($B353))),";",EscStr($J353),";"),CONCATENATE(";",EscStr(CONCATENATE("NavNode_",getCategoryLevelAsString($B353))),";",EscStr(N353),";")))</f>
        <v>;"NavNode_L3D_543060";"Dokumentations-/Arkiveringssystem";</v>
      </c>
      <c r="AH353" s="10" t="str">
        <f>IF(getCategoryLevelAsString($B353)="L0D_324785","",IF(O353="",CONCATENATE(";",EscStr(CONCATENATE("NavNode_",getCategoryLevelAsString($B353))),";",EscStr($J353),";"),CONCATENATE(";",EscStr(CONCATENATE("NavNode_",getCategoryLevelAsString($B353))),";",EscStr(O353),";")))</f>
        <v>;"NavNode_L3D_543060";"Kartoteegid / Arhiveerimise süsteemid";</v>
      </c>
      <c r="AI353" s="10" t="str">
        <f>IF(getCategoryLevelAsString($B353)="L0D_324785","",IF(P353="",CONCATENATE(";",EscStr(CONCATENATE("NavNode_",getCategoryLevelAsString($B353))),";",EscStr($J353),";"),CONCATENATE(";",EscStr(CONCATENATE("NavNode_",getCategoryLevelAsString($B353))),";",EscStr(P353),";")))</f>
        <v>;"NavNode_L3D_543060";"Arkistointijärjestelmät";</v>
      </c>
      <c r="AJ353" s="10" t="str">
        <f>IF(getCategoryLevelAsString($B353)="L0D_324785","",IF(Q353="",CONCATENATE(";",EscStr(CONCATENATE("NavNode_",getCategoryLevelAsString($B353))),";",EscStr($J353),";"),CONCATENATE(";",EscStr(CONCATENATE("NavNode_",getCategoryLevelAsString($B353))),";",EscStr(Q353),";")))</f>
        <v>;"NavNode_L3D_543060";"Failu / Arhivēšanas sistēmas";</v>
      </c>
      <c r="AK353" s="10" t="str">
        <f>IF(getCategoryLevelAsString($B353)="L0D_324785","",IF(R353="",CONCATENATE(";",EscStr(CONCATENATE("NavNode_",getCategoryLevelAsString($B353))),";",EscStr($J353),";"),CONCATENATE(";",EscStr(CONCATENATE("NavNode_",getCategoryLevelAsString($B353))),";",EscStr(R353),";")))</f>
        <v>;"NavNode_L3D_543060";"Archivering / Archiveringssytemen";</v>
      </c>
      <c r="AL353" s="10" t="str">
        <f>IF(getCategoryLevelAsString($B353)="L0D_324785","",IF(S353="",CONCATENATE(";",EscStr(CONCATENATE("NavNode_",getCategoryLevelAsString($B353))),";",EscStr($J353),";"),CONCATENATE(";",EscStr(CONCATENATE("NavNode_",getCategoryLevelAsString($B353))),";",EscStr(S353),";")))</f>
        <v>;"NavNode_L3D_543060";"Systemy archiwizowania i segregowania";</v>
      </c>
      <c r="AM353" s="10" t="str">
        <f>IF(getCategoryLevelAsString($B353)="L0D_324785","",IF(T353="",CONCATENATE(";",EscStr(CONCATENATE("NavNode_",getCategoryLevelAsString($B353))),";",EscStr($J353),";"),CONCATENATE(";",EscStr(CONCATENATE("NavNode_",getCategoryLevelAsString($B353))),";",EscStr(T353),";")))</f>
        <v>;"NavNode_L3D_543060";"Файлы / Системы для архивирования";</v>
      </c>
      <c r="AN353" s="10" t="str">
        <f>IF(getCategoryLevelAsString($B353)="L0D_324785","",IF(U353="",CONCATENATE(";",EscStr(CONCATENATE("NavNode_",getCategoryLevelAsString($B353))),";",EscStr($J353),";"),CONCATENATE(";",EscStr(CONCATENATE("NavNode_",getCategoryLevelAsString($B353))),";",EscStr(U353),";")))</f>
        <v>;"NavNode_L3D_543060";"Evidence / Archivácia";</v>
      </c>
      <c r="AO353" s="10" t="str">
        <f>IF(getCategoryLevelAsString($B353)="L0D_324785","",IF(V353="",CONCATENATE(";",EscStr(CONCATENATE("NavNode_",getCategoryLevelAsString($B353))),";",EscStr($J353),";"),CONCATENATE(";",EscStr(CONCATENATE("NavNode_",getCategoryLevelAsString($B353))),";",EscStr(V353),";")))</f>
        <v>;"NavNode_L3D_543060";"Stocare / arhivare";</v>
      </c>
      <c r="AP353" s="10" t="str">
        <f>IF(getCategoryLevelAsString($B353)="L0D_324785","",IF(W353="",CONCATENATE(";",EscStr(CONCATENATE("NavNode_",getCategoryLevelAsString($B353))),";",EscStr($J353),";"),CONCATENATE(";",EscStr(CONCATENATE("NavNode_",getCategoryLevelAsString($B353))),";",EscStr(W353),";")))</f>
        <v>;"NavNode_L3D_543060";"Rakodás / Archíválás";</v>
      </c>
      <c r="AQ353" s="10" t="str">
        <f>IF(getCategoryLevelAsString($B353)="L0D_324785","",IF(X353="",CONCATENATE(";",EscStr(CONCATENATE("NavNode_",getCategoryLevelAsString($B353))),";",EscStr($J353),";"),CONCATENATE(";",EscStr(CONCATENATE("NavNode_",getCategoryLevelAsString($B353))),";",EscStr(X353),";")))</f>
        <v>;"NavNode_L3D_543060";"Evidence / Archivácia";</v>
      </c>
      <c r="AR353" s="8" t="str">
        <f>IF(OR($A353&lt;&gt;"", $G353=""),"",CONCATENATE(";",EscStr(CONCATENATE("NavEntry_",getCategoryLevelAsString($B353))),";",EscStr(CONCATENATE($J353," Navigation Entry")),";",EscStr(CONCATENATE("cat-",getCategoryLevelAsString($B353))),";",EscStr(CONCATENATE("NavNode_",getCategoryLevelAsString($B353))),";"))</f>
        <v>;"NavEntry_L3D_543060";"Filing / Archiving systems Navigation Entry";"cat-L3D_543060";"NavNode_L3D_543060";</v>
      </c>
    </row>
    <row r="354" spans="1:44" ht="15" x14ac:dyDescent="0.25">
      <c r="A354" s="25"/>
      <c r="B354" s="5"/>
      <c r="C354" s="5"/>
      <c r="D354" s="5" t="s">
        <v>637</v>
      </c>
      <c r="E354" s="5"/>
      <c r="F354" s="5"/>
      <c r="G354" s="5" t="s">
        <v>1025</v>
      </c>
      <c r="H354" s="5" t="s">
        <v>790</v>
      </c>
      <c r="I354" s="5" t="s">
        <v>687</v>
      </c>
      <c r="J354" s="5" t="s">
        <v>890</v>
      </c>
      <c r="K354" s="5" t="s">
        <v>1420</v>
      </c>
      <c r="L354" s="5" t="s">
        <v>1659</v>
      </c>
      <c r="M354" s="5" t="s">
        <v>1860</v>
      </c>
      <c r="N354" s="5" t="s">
        <v>2078</v>
      </c>
      <c r="O354" s="5" t="s">
        <v>4551</v>
      </c>
      <c r="P354" s="5" t="s">
        <v>4552</v>
      </c>
      <c r="Q354" s="5" t="s">
        <v>4553</v>
      </c>
      <c r="R354" s="5" t="s">
        <v>4554</v>
      </c>
      <c r="S354" s="5" t="s">
        <v>4555</v>
      </c>
      <c r="T354" s="5" t="s">
        <v>4556</v>
      </c>
      <c r="U354" s="5" t="s">
        <v>4557</v>
      </c>
      <c r="V354" s="5" t="s">
        <v>4558</v>
      </c>
      <c r="W354" s="5" t="s">
        <v>4559</v>
      </c>
      <c r="X354" s="5" t="s">
        <v>4557</v>
      </c>
      <c r="Y354" s="10" t="str">
        <f>IF(OR($A354&lt;&gt;"", $G354=""),"",CONCATENATE(";",EscStr(CONCATENATE("NavNode_",getCategoryLevelAsString($B354))),";",EscStr($J354),";",IF($B354&lt;&gt;"","""MainNavNode""",EscStr(CONCATENATE("NavNode_",getSuperCategory($B354, getCategoryLevelAsNumber($B354))))),";"))</f>
        <v>;"NavNode_L3D_543062";"Office Equipment";"NavNode_L2D_542984";</v>
      </c>
      <c r="Z354" s="10" t="str">
        <f>IF(getCategoryLevelAsString($B354)="L0D_324785","",IF(G354="",CONCATENATE(";",EscStr(CONCATENATE("NavNode_",getCategoryLevelAsString($B354))),";",EscStr($J354),";"),CONCATENATE(";",EscStr(CONCATENATE("NavNode_",getCategoryLevelAsString($B354))),";",EscStr(G354),";")))</f>
        <v>;"NavNode_L3D_543062";"Büroausstattung / Bürozubehör";</v>
      </c>
      <c r="AA354" s="10" t="str">
        <f>IF(getCategoryLevelAsString($B354)="L0D_324785","",IF(H354="",CONCATENATE(";",EscStr(CONCATENATE("NavNode_",getCategoryLevelAsString($B354))),";",EscStr($J354),";"),CONCATENATE(";",EscStr(CONCATENATE("NavNode_",getCategoryLevelAsString($B354))),";",EscStr(H354),";")))</f>
        <v>;"NavNode_L3D_543062";"Équipement de bureau";</v>
      </c>
      <c r="AB354" s="10" t="str">
        <f>IF(getCategoryLevelAsString($B354)="L0D_324785","",IF(I354="",CONCATENATE(";",EscStr(CONCATENATE("NavNode_",getCategoryLevelAsString($B354))),";",EscStr($J354),";"),CONCATENATE(";",EscStr(CONCATENATE("NavNode_",getCategoryLevelAsString($B354))),";",EscStr(I354),";")))</f>
        <v>;"NavNode_L3D_543062";"Apparecchiatura per ufficio";</v>
      </c>
      <c r="AC354" s="10" t="str">
        <f>IF(getCategoryLevelAsString($B354)="L0D_324785","",IF(J354="",CONCATENATE(";",EscStr(CONCATENATE("NavNode_",getCategoryLevelAsString($B354))),";",EscStr($J354),";"),CONCATENATE(";",EscStr(CONCATENATE("NavNode_",getCategoryLevelAsString($B354))),";",EscStr(J354),";")))</f>
        <v>;"NavNode_L3D_543062";"Office Equipment";</v>
      </c>
      <c r="AD354" s="10" t="str">
        <f>IF(getCategoryLevelAsString($B354)="L0D_324785","",IF(K354="",CONCATENATE(";",EscStr(CONCATENATE("NavNode_",getCategoryLevelAsString($B354))),";",EscStr($J354),";"),CONCATENATE(";",EscStr(CONCATENATE("NavNode_",getCategoryLevelAsString($B354))),";",EscStr(K354),";")))</f>
        <v>;"NavNode_L3D_543062";"Kontorudstyr";</v>
      </c>
      <c r="AE354" s="10" t="str">
        <f>IF(getCategoryLevelAsString($B354)="L0D_324785","",IF(L354="",CONCATENATE(";",EscStr(CONCATENATE("NavNode_",getCategoryLevelAsString($B354))),";",EscStr($J354),";"),CONCATENATE(";",EscStr(CONCATENATE("NavNode_",getCategoryLevelAsString($B354))),";",EscStr(L354),";")))</f>
        <v>;"NavNode_L3D_543062";"Biuro įranga";</v>
      </c>
      <c r="AF354" s="10" t="str">
        <f>IF(getCategoryLevelAsString($B354)="L0D_324785","",IF(M354="",CONCATENATE(";",EscStr(CONCATENATE("NavNode_",getCategoryLevelAsString($B354))),";",EscStr($J354),";"),CONCATENATE(";",EscStr(CONCATENATE("NavNode_",getCategoryLevelAsString($B354))),";",EscStr(M354),";")))</f>
        <v>;"NavNode_L3D_543062";"Kontorutstyr";</v>
      </c>
      <c r="AG354" s="10" t="str">
        <f>IF(getCategoryLevelAsString($B354)="L0D_324785","",IF(N354="",CONCATENATE(";",EscStr(CONCATENATE("NavNode_",getCategoryLevelAsString($B354))),";",EscStr($J354),";"),CONCATENATE(";",EscStr(CONCATENATE("NavNode_",getCategoryLevelAsString($B354))),";",EscStr(N354),";")))</f>
        <v>;"NavNode_L3D_543062";"Kontorsutrustning";</v>
      </c>
      <c r="AH354" s="10" t="str">
        <f>IF(getCategoryLevelAsString($B354)="L0D_324785","",IF(O354="",CONCATENATE(";",EscStr(CONCATENATE("NavNode_",getCategoryLevelAsString($B354))),";",EscStr($J354),";"),CONCATENATE(";",EscStr(CONCATENATE("NavNode_",getCategoryLevelAsString($B354))),";",EscStr(O354),";")))</f>
        <v>;"NavNode_L3D_543062";"Kontoritehnika";</v>
      </c>
      <c r="AI354" s="10" t="str">
        <f>IF(getCategoryLevelAsString($B354)="L0D_324785","",IF(P354="",CONCATENATE(";",EscStr(CONCATENATE("NavNode_",getCategoryLevelAsString($B354))),";",EscStr($J354),";"),CONCATENATE(";",EscStr(CONCATENATE("NavNode_",getCategoryLevelAsString($B354))),";",EscStr(P354),";")))</f>
        <v>;"NavNode_L3D_543062";"Toimistotarvikkeet";</v>
      </c>
      <c r="AJ354" s="10" t="str">
        <f>IF(getCategoryLevelAsString($B354)="L0D_324785","",IF(Q354="",CONCATENATE(";",EscStr(CONCATENATE("NavNode_",getCategoryLevelAsString($B354))),";",EscStr($J354),";"),CONCATENATE(";",EscStr(CONCATENATE("NavNode_",getCategoryLevelAsString($B354))),";",EscStr(Q354),";")))</f>
        <v>;"NavNode_L3D_543062";"Biroja aprīkojums";</v>
      </c>
      <c r="AK354" s="10" t="str">
        <f>IF(getCategoryLevelAsString($B354)="L0D_324785","",IF(R354="",CONCATENATE(";",EscStr(CONCATENATE("NavNode_",getCategoryLevelAsString($B354))),";",EscStr($J354),";"),CONCATENATE(";",EscStr(CONCATENATE("NavNode_",getCategoryLevelAsString($B354))),";",EscStr(R354),";")))</f>
        <v>;"NavNode_L3D_543062";"Kantoorapparatuur";</v>
      </c>
      <c r="AL354" s="10" t="str">
        <f>IF(getCategoryLevelAsString($B354)="L0D_324785","",IF(S354="",CONCATENATE(";",EscStr(CONCATENATE("NavNode_",getCategoryLevelAsString($B354))),";",EscStr($J354),";"),CONCATENATE(";",EscStr(CONCATENATE("NavNode_",getCategoryLevelAsString($B354))),";",EscStr(S354),";")))</f>
        <v>;"NavNode_L3D_543062";"Sprzęt biurowy";</v>
      </c>
      <c r="AM354" s="10" t="str">
        <f>IF(getCategoryLevelAsString($B354)="L0D_324785","",IF(T354="",CONCATENATE(";",EscStr(CONCATENATE("NavNode_",getCategoryLevelAsString($B354))),";",EscStr($J354),";"),CONCATENATE(";",EscStr(CONCATENATE("NavNode_",getCategoryLevelAsString($B354))),";",EscStr(T354),";")))</f>
        <v>;"NavNode_L3D_543062";"Офисное оборудование";</v>
      </c>
      <c r="AN354" s="10" t="str">
        <f>IF(getCategoryLevelAsString($B354)="L0D_324785","",IF(U354="",CONCATENATE(";",EscStr(CONCATENATE("NavNode_",getCategoryLevelAsString($B354))),";",EscStr($J354),";"),CONCATENATE(";",EscStr(CONCATENATE("NavNode_",getCategoryLevelAsString($B354))),";",EscStr(U354),";")))</f>
        <v>;"NavNode_L3D_543062";"Vybavení kanceláří / příslušenství";</v>
      </c>
      <c r="AO354" s="10" t="str">
        <f>IF(getCategoryLevelAsString($B354)="L0D_324785","",IF(V354="",CONCATENATE(";",EscStr(CONCATENATE("NavNode_",getCategoryLevelAsString($B354))),";",EscStr($J354),";"),CONCATENATE(";",EscStr(CONCATENATE("NavNode_",getCategoryLevelAsString($B354))),";",EscStr(V354),";")))</f>
        <v>;"NavNode_L3D_543062";"Aparate de birou / Birotica";</v>
      </c>
      <c r="AP354" s="10" t="str">
        <f>IF(getCategoryLevelAsString($B354)="L0D_324785","",IF(W354="",CONCATENATE(";",EscStr(CONCATENATE("NavNode_",getCategoryLevelAsString($B354))),";",EscStr($J354),";"),CONCATENATE(";",EscStr(CONCATENATE("NavNode_",getCategoryLevelAsString($B354))),";",EscStr(W354),";")))</f>
        <v>;"NavNode_L3D_543062";"Irodaberendezés / Irodai tartozék";</v>
      </c>
      <c r="AQ354" s="10" t="str">
        <f>IF(getCategoryLevelAsString($B354)="L0D_324785","",IF(X354="",CONCATENATE(";",EscStr(CONCATENATE("NavNode_",getCategoryLevelAsString($B354))),";",EscStr($J354),";"),CONCATENATE(";",EscStr(CONCATENATE("NavNode_",getCategoryLevelAsString($B354))),";",EscStr(X354),";")))</f>
        <v>;"NavNode_L3D_543062";"Vybavení kanceláří / příslušenství";</v>
      </c>
      <c r="AR354" s="8" t="str">
        <f>IF(OR($A354&lt;&gt;"", $G354=""),"",CONCATENATE(";",EscStr(CONCATENATE("NavEntry_",getCategoryLevelAsString($B354))),";",EscStr(CONCATENATE($J354," Navigation Entry")),";",EscStr(CONCATENATE("cat-",getCategoryLevelAsString($B354))),";",EscStr(CONCATENATE("NavNode_",getCategoryLevelAsString($B354))),";"))</f>
        <v>;"NavEntry_L3D_543062";"Office Equipment Navigation Entry";"cat-L3D_543062";"NavNode_L3D_543062";</v>
      </c>
    </row>
    <row r="355" spans="1:44" ht="15" x14ac:dyDescent="0.25">
      <c r="A355" s="25"/>
      <c r="B355" s="5"/>
      <c r="C355" s="5"/>
      <c r="D355" s="5" t="s">
        <v>638</v>
      </c>
      <c r="E355" s="5"/>
      <c r="F355" s="5"/>
      <c r="G355" s="5" t="s">
        <v>1026</v>
      </c>
      <c r="H355" s="5" t="s">
        <v>791</v>
      </c>
      <c r="I355" s="5" t="s">
        <v>688</v>
      </c>
      <c r="J355" s="5" t="s">
        <v>891</v>
      </c>
      <c r="K355" s="5" t="s">
        <v>1421</v>
      </c>
      <c r="L355" s="5" t="s">
        <v>1660</v>
      </c>
      <c r="M355" s="5" t="s">
        <v>1861</v>
      </c>
      <c r="N355" s="5" t="s">
        <v>2079</v>
      </c>
      <c r="O355" s="5" t="s">
        <v>4560</v>
      </c>
      <c r="P355" s="5" t="s">
        <v>4561</v>
      </c>
      <c r="Q355" s="5" t="s">
        <v>4562</v>
      </c>
      <c r="R355" s="5" t="s">
        <v>4563</v>
      </c>
      <c r="S355" s="5" t="s">
        <v>4564</v>
      </c>
      <c r="T355" s="5" t="s">
        <v>4565</v>
      </c>
      <c r="U355" s="5" t="s">
        <v>4566</v>
      </c>
      <c r="V355" s="5" t="s">
        <v>4567</v>
      </c>
      <c r="W355" s="5" t="s">
        <v>4568</v>
      </c>
      <c r="X355" s="5" t="s">
        <v>4566</v>
      </c>
      <c r="Y355" s="10" t="str">
        <f>IF(OR($A355&lt;&gt;"", $G355=""),"",CONCATENATE(";",EscStr(CONCATENATE("NavNode_",getCategoryLevelAsString($B355))),";",EscStr($J355),";",IF($B355&lt;&gt;"","""MainNavNode""",EscStr(CONCATENATE("NavNode_",getSuperCategory($B355, getCategoryLevelAsNumber($B355))))),";"))</f>
        <v>;"NavNode_L2D_542982";"Shredders / Laminating / Binding";"NavNode_Computing / Office";</v>
      </c>
      <c r="Z355" s="10" t="str">
        <f>IF(getCategoryLevelAsString($B355)="L0D_324785","",IF(G355="",CONCATENATE(";",EscStr(CONCATENATE("NavNode_",getCategoryLevelAsString($B355))),";",EscStr($J355),";"),CONCATENATE(";",EscStr(CONCATENATE("NavNode_",getCategoryLevelAsString($B355))),";",EscStr(G355),";")))</f>
        <v>;"NavNode_L2D_542982";"Aktenvernichter / Laminierer / Bindesysteme";</v>
      </c>
      <c r="AA355" s="10" t="str">
        <f>IF(getCategoryLevelAsString($B355)="L0D_324785","",IF(H355="",CONCATENATE(";",EscStr(CONCATENATE("NavNode_",getCategoryLevelAsString($B355))),";",EscStr($J355),";"),CONCATENATE(";",EscStr(CONCATENATE("NavNode_",getCategoryLevelAsString($B355))),";",EscStr(H355),";")))</f>
        <v>;"NavNode_L2D_542982";"Destructeurs de documents / Plastification / Reliure";</v>
      </c>
      <c r="AB355" s="10" t="str">
        <f>IF(getCategoryLevelAsString($B355)="L0D_324785","",IF(I355="",CONCATENATE(";",EscStr(CONCATENATE("NavNode_",getCategoryLevelAsString($B355))),";",EscStr($J355),";"),CONCATENATE(";",EscStr(CONCATENATE("NavNode_",getCategoryLevelAsString($B355))),";",EscStr(I355),";")))</f>
        <v>;"NavNode_L2D_542982";"Distruggi documenti / plastificatura / rilegatura";</v>
      </c>
      <c r="AC355" s="10" t="str">
        <f>IF(getCategoryLevelAsString($B355)="L0D_324785","",IF(J355="",CONCATENATE(";",EscStr(CONCATENATE("NavNode_",getCategoryLevelAsString($B355))),";",EscStr($J355),";"),CONCATENATE(";",EscStr(CONCATENATE("NavNode_",getCategoryLevelAsString($B355))),";",EscStr(J355),";")))</f>
        <v>;"NavNode_L2D_542982";"Shredders / Laminating / Binding";</v>
      </c>
      <c r="AD355" s="10" t="str">
        <f>IF(getCategoryLevelAsString($B355)="L0D_324785","",IF(K355="",CONCATENATE(";",EscStr(CONCATENATE("NavNode_",getCategoryLevelAsString($B355))),";",EscStr($J355),";"),CONCATENATE(";",EscStr(CONCATENATE("NavNode_",getCategoryLevelAsString($B355))),";",EscStr(K355),";")))</f>
        <v>;"NavNode_L2D_542982";"Makuleringsmaskiner/laminering/indbinding";</v>
      </c>
      <c r="AE355" s="10" t="str">
        <f>IF(getCategoryLevelAsString($B355)="L0D_324785","",IF(L355="",CONCATENATE(";",EscStr(CONCATENATE("NavNode_",getCategoryLevelAsString($B355))),";",EscStr($J355),";"),CONCATENATE(";",EscStr(CONCATENATE("NavNode_",getCategoryLevelAsString($B355))),";",EscStr(L355),";")))</f>
        <v>;"NavNode_L2D_542982";"Smulkintuvai / laminavimas / įrišimas";</v>
      </c>
      <c r="AF355" s="10" t="str">
        <f>IF(getCategoryLevelAsString($B355)="L0D_324785","",IF(M355="",CONCATENATE(";",EscStr(CONCATENATE("NavNode_",getCategoryLevelAsString($B355))),";",EscStr($J355),";"),CONCATENATE(";",EscStr(CONCATENATE("NavNode_",getCategoryLevelAsString($B355))),";",EscStr(M355),";")))</f>
        <v>;"NavNode_L2D_542982";"Makuleringsmakiner/laminering/innbinding";</v>
      </c>
      <c r="AG355" s="10" t="str">
        <f>IF(getCategoryLevelAsString($B355)="L0D_324785","",IF(N355="",CONCATENATE(";",EscStr(CONCATENATE("NavNode_",getCategoryLevelAsString($B355))),";",EscStr($J355),";"),CONCATENATE(";",EscStr(CONCATENATE("NavNode_",getCategoryLevelAsString($B355))),";",EscStr(N355),";")))</f>
        <v>;"NavNode_L2D_542982";"Dokumentförstörare/Laminering/Häftning";</v>
      </c>
      <c r="AH355" s="10" t="str">
        <f>IF(getCategoryLevelAsString($B355)="L0D_324785","",IF(O355="",CONCATENATE(";",EscStr(CONCATENATE("NavNode_",getCategoryLevelAsString($B355))),";",EscStr($J355),";"),CONCATENATE(";",EscStr(CONCATENATE("NavNode_",getCategoryLevelAsString($B355))),";",EscStr(O355),";")))</f>
        <v>;"NavNode_L2D_542982";"Paberipurustajad / Laminaatorid / Köitmine";</v>
      </c>
      <c r="AI355" s="10" t="str">
        <f>IF(getCategoryLevelAsString($B355)="L0D_324785","",IF(P355="",CONCATENATE(";",EscStr(CONCATENATE("NavNode_",getCategoryLevelAsString($B355))),";",EscStr($J355),";"),CONCATENATE(";",EscStr(CONCATENATE("NavNode_",getCategoryLevelAsString($B355))),";",EscStr(P355),";")))</f>
        <v>;"NavNode_L2D_542982";"Silppurit/Laminointikoneet";</v>
      </c>
      <c r="AJ355" s="10" t="str">
        <f>IF(getCategoryLevelAsString($B355)="L0D_324785","",IF(Q355="",CONCATENATE(";",EscStr(CONCATENATE("NavNode_",getCategoryLevelAsString($B355))),";",EscStr($J355),";"),CONCATENATE(";",EscStr(CONCATENATE("NavNode_",getCategoryLevelAsString($B355))),";",EscStr(Q355),";")))</f>
        <v>;"NavNode_L2D_542982";"Papīra smalcinātāji / Laminētāji / Iešūšanas iekārtas";</v>
      </c>
      <c r="AK355" s="10" t="str">
        <f>IF(getCategoryLevelAsString($B355)="L0D_324785","",IF(R355="",CONCATENATE(";",EscStr(CONCATENATE("NavNode_",getCategoryLevelAsString($B355))),";",EscStr($J355),";"),CONCATENATE(";",EscStr(CONCATENATE("NavNode_",getCategoryLevelAsString($B355))),";",EscStr(R355),";")))</f>
        <v>;"NavNode_L2D_542982";"Shredders / Lamineren / Inbinden";</v>
      </c>
      <c r="AL355" s="10" t="str">
        <f>IF(getCategoryLevelAsString($B355)="L0D_324785","",IF(S355="",CONCATENATE(";",EscStr(CONCATENATE("NavNode_",getCategoryLevelAsString($B355))),";",EscStr($J355),";"),CONCATENATE(";",EscStr(CONCATENATE("NavNode_",getCategoryLevelAsString($B355))),";",EscStr(S355),";")))</f>
        <v>;"NavNode_L2D_542982";"Niszczarki / Laminarki / Bindownice";</v>
      </c>
      <c r="AM355" s="10" t="str">
        <f>IF(getCategoryLevelAsString($B355)="L0D_324785","",IF(T355="",CONCATENATE(";",EscStr(CONCATENATE("NavNode_",getCategoryLevelAsString($B355))),";",EscStr($J355),";"),CONCATENATE(";",EscStr(CONCATENATE("NavNode_",getCategoryLevelAsString($B355))),";",EscStr(T355),";")))</f>
        <v>;"NavNode_L2D_542982";"Шредеры / Ламинирование / Переплет";</v>
      </c>
      <c r="AN355" s="10" t="str">
        <f>IF(getCategoryLevelAsString($B355)="L0D_324785","",IF(U355="",CONCATENATE(";",EscStr(CONCATENATE("NavNode_",getCategoryLevelAsString($B355))),";",EscStr($J355),";"),CONCATENATE(";",EscStr(CONCATENATE("NavNode_",getCategoryLevelAsString($B355))),";",EscStr(U355),";")))</f>
        <v>;"NavNode_L2D_542982";"Skartovací / Laminovací / Vázací přístroje";</v>
      </c>
      <c r="AO355" s="10" t="str">
        <f>IF(getCategoryLevelAsString($B355)="L0D_324785","",IF(V355="",CONCATENATE(";",EscStr(CONCATENATE("NavNode_",getCategoryLevelAsString($B355))),";",EscStr($J355),";"),CONCATENATE(";",EscStr(CONCATENATE("NavNode_",getCategoryLevelAsString($B355))),";",EscStr(V355),";")))</f>
        <v>;"NavNode_L2D_542982";"Concasor / laminatoare / sisteme de brosurat";</v>
      </c>
      <c r="AP355" s="10" t="str">
        <f>IF(getCategoryLevelAsString($B355)="L0D_324785","",IF(W355="",CONCATENATE(";",EscStr(CONCATENATE("NavNode_",getCategoryLevelAsString($B355))),";",EscStr($J355),";"),CONCATENATE(";",EscStr(CONCATENATE("NavNode_",getCategoryLevelAsString($B355))),";",EscStr(W355),";")))</f>
        <v>;"NavNode_L2D_542982";"Iratmegsemmisítő / Lamináló / Fűzőrendszerek";</v>
      </c>
      <c r="AQ355" s="10" t="str">
        <f>IF(getCategoryLevelAsString($B355)="L0D_324785","",IF(X355="",CONCATENATE(";",EscStr(CONCATENATE("NavNode_",getCategoryLevelAsString($B355))),";",EscStr($J355),";"),CONCATENATE(";",EscStr(CONCATENATE("NavNode_",getCategoryLevelAsString($B355))),";",EscStr(X355),";")))</f>
        <v>;"NavNode_L2D_542982";"Skartovací / Laminovací / Vázací přístroje";</v>
      </c>
      <c r="AR355" s="8" t="str">
        <f>IF(OR($A355&lt;&gt;"", $G355=""),"",CONCATENATE(";",EscStr(CONCATENATE("NavEntry_",getCategoryLevelAsString($B355))),";",EscStr(CONCATENATE($J355," Navigation Entry")),";",EscStr(CONCATENATE("cat-",getCategoryLevelAsString($B355))),";",EscStr(CONCATENATE("NavNode_",getCategoryLevelAsString($B355))),";"))</f>
        <v>;"NavEntry_L2D_542982";"Shredders / Laminating / Binding Navigation Entry";"cat-L2D_542982";"NavNode_L2D_542982";</v>
      </c>
    </row>
    <row r="356" spans="1:44" ht="15" x14ac:dyDescent="0.25">
      <c r="A356" s="25"/>
      <c r="B356" s="5"/>
      <c r="C356" s="5"/>
      <c r="D356" s="5" t="s">
        <v>639</v>
      </c>
      <c r="E356" s="5"/>
      <c r="F356" s="5"/>
      <c r="G356" s="5" t="s">
        <v>1027</v>
      </c>
      <c r="H356" s="5" t="s">
        <v>792</v>
      </c>
      <c r="I356" s="5" t="s">
        <v>689</v>
      </c>
      <c r="J356" s="5" t="s">
        <v>892</v>
      </c>
      <c r="K356" s="5" t="s">
        <v>1422</v>
      </c>
      <c r="L356" s="5" t="s">
        <v>1661</v>
      </c>
      <c r="M356" s="5" t="s">
        <v>1862</v>
      </c>
      <c r="N356" s="5" t="s">
        <v>2080</v>
      </c>
      <c r="O356" s="5" t="s">
        <v>4569</v>
      </c>
      <c r="P356" s="5" t="s">
        <v>4570</v>
      </c>
      <c r="Q356" s="5" t="s">
        <v>4571</v>
      </c>
      <c r="R356" s="5" t="s">
        <v>4572</v>
      </c>
      <c r="S356" s="5" t="s">
        <v>4573</v>
      </c>
      <c r="T356" s="5" t="s">
        <v>4574</v>
      </c>
      <c r="U356" s="5" t="s">
        <v>4575</v>
      </c>
      <c r="V356" s="5" t="s">
        <v>4576</v>
      </c>
      <c r="W356" s="5" t="s">
        <v>4577</v>
      </c>
      <c r="X356" s="5" t="s">
        <v>4575</v>
      </c>
      <c r="Y356" s="10" t="str">
        <f>IF(OR($A356&lt;&gt;"", $G356=""),"",CONCATENATE(";",EscStr(CONCATENATE("NavNode_",getCategoryLevelAsString($B356))),";",EscStr($J356),";",IF($B356&lt;&gt;"","""MainNavNode""",EscStr(CONCATENATE("NavNode_",getSuperCategory($B356, getCategoryLevelAsNumber($B356))))),";"))</f>
        <v>;"NavNode_L3D_543261";"Mounts / Security Locks";"NavNode_L2D_542982";</v>
      </c>
      <c r="Z356" s="10" t="str">
        <f>IF(getCategoryLevelAsString($B356)="L0D_324785","",IF(G356="",CONCATENATE(";",EscStr(CONCATENATE("NavNode_",getCategoryLevelAsString($B356))),";",EscStr($J356),";"),CONCATENATE(";",EscStr(CONCATENATE("NavNode_",getCategoryLevelAsString($B356))),";",EscStr(G356),";")))</f>
        <v>;"NavNode_L3D_543261";"Halterungen / Sicherheitsschlösser";</v>
      </c>
      <c r="AA356" s="10" t="str">
        <f>IF(getCategoryLevelAsString($B356)="L0D_324785","",IF(H356="",CONCATENATE(";",EscStr(CONCATENATE("NavNode_",getCategoryLevelAsString($B356))),";",EscStr($J356),";"),CONCATENATE(";",EscStr(CONCATENATE("NavNode_",getCategoryLevelAsString($B356))),";",EscStr(H356),";")))</f>
        <v>;"NavNode_L3D_543261";"Supports / Serrures de sécurité";</v>
      </c>
      <c r="AB356" s="10" t="str">
        <f>IF(getCategoryLevelAsString($B356)="L0D_324785","",IF(I356="",CONCATENATE(";",EscStr(CONCATENATE("NavNode_",getCategoryLevelAsString($B356))),";",EscStr($J356),";"),CONCATENATE(";",EscStr(CONCATENATE("NavNode_",getCategoryLevelAsString($B356))),";",EscStr(I356),";")))</f>
        <v>;"NavNode_L3D_543261";"Attacchi / lucchetti";</v>
      </c>
      <c r="AC356" s="10" t="str">
        <f>IF(getCategoryLevelAsString($B356)="L0D_324785","",IF(J356="",CONCATENATE(";",EscStr(CONCATENATE("NavNode_",getCategoryLevelAsString($B356))),";",EscStr($J356),";"),CONCATENATE(";",EscStr(CONCATENATE("NavNode_",getCategoryLevelAsString($B356))),";",EscStr(J356),";")))</f>
        <v>;"NavNode_L3D_543261";"Mounts / Security Locks";</v>
      </c>
      <c r="AD356" s="10" t="str">
        <f>IF(getCategoryLevelAsString($B356)="L0D_324785","",IF(K356="",CONCATENATE(";",EscStr(CONCATENATE("NavNode_",getCategoryLevelAsString($B356))),";",EscStr($J356),";"),CONCATENATE(";",EscStr(CONCATENATE("NavNode_",getCategoryLevelAsString($B356))),";",EscStr(K356),";")))</f>
        <v>;"NavNode_L3D_543261";"Monteringsenheder/sikkerhedslåse";</v>
      </c>
      <c r="AE356" s="10" t="str">
        <f>IF(getCategoryLevelAsString($B356)="L0D_324785","",IF(L356="",CONCATENATE(";",EscStr(CONCATENATE("NavNode_",getCategoryLevelAsString($B356))),";",EscStr($J356),";"),CONCATENATE(";",EscStr(CONCATENATE("NavNode_",getCategoryLevelAsString($B356))),";",EscStr(L356),";")))</f>
        <v>;"NavNode_L3D_543261";"Tvirtinimo įranga / apsauginiai užraktai";</v>
      </c>
      <c r="AF356" s="10" t="str">
        <f>IF(getCategoryLevelAsString($B356)="L0D_324785","",IF(M356="",CONCATENATE(";",EscStr(CONCATENATE("NavNode_",getCategoryLevelAsString($B356))),";",EscStr($J356),";"),CONCATENATE(";",EscStr(CONCATENATE("NavNode_",getCategoryLevelAsString($B356))),";",EscStr(M356),";")))</f>
        <v>;"NavNode_L3D_543261";"Fester/sikkerhetslåser";</v>
      </c>
      <c r="AG356" s="10" t="str">
        <f>IF(getCategoryLevelAsString($B356)="L0D_324785","",IF(N356="",CONCATENATE(";",EscStr(CONCATENATE("NavNode_",getCategoryLevelAsString($B356))),";",EscStr($J356),";"),CONCATENATE(";",EscStr(CONCATENATE("NavNode_",getCategoryLevelAsString($B356))),";",EscStr(N356),";")))</f>
        <v>;"NavNode_L3D_543261";"Fästen/Säkerhetslås";</v>
      </c>
      <c r="AH356" s="10" t="str">
        <f>IF(getCategoryLevelAsString($B356)="L0D_324785","",IF(O356="",CONCATENATE(";",EscStr(CONCATENATE("NavNode_",getCategoryLevelAsString($B356))),";",EscStr($J356),";"),CONCATENATE(";",EscStr(CONCATENATE("NavNode_",getCategoryLevelAsString($B356))),";",EscStr(O356),";")))</f>
        <v>;"NavNode_L3D_543261";"Alused / Turvalukud";</v>
      </c>
      <c r="AI356" s="10" t="str">
        <f>IF(getCategoryLevelAsString($B356)="L0D_324785","",IF(P356="",CONCATENATE(";",EscStr(CONCATENATE("NavNode_",getCategoryLevelAsString($B356))),";",EscStr($J356),";"),CONCATENATE(";",EscStr(CONCATENATE("NavNode_",getCategoryLevelAsString($B356))),";",EscStr(P356),";")))</f>
        <v>;"NavNode_L3D_543261";"Turvakaapit";</v>
      </c>
      <c r="AJ356" s="10" t="str">
        <f>IF(getCategoryLevelAsString($B356)="L0D_324785","",IF(Q356="",CONCATENATE(";",EscStr(CONCATENATE("NavNode_",getCategoryLevelAsString($B356))),";",EscStr($J356),";"),CONCATENATE(";",EscStr(CONCATENATE("NavNode_",getCategoryLevelAsString($B356))),";",EscStr(Q356),";")))</f>
        <v>;"NavNode_L3D_543261";"Paliktņi / Drošības atslēgas";</v>
      </c>
      <c r="AK356" s="10" t="str">
        <f>IF(getCategoryLevelAsString($B356)="L0D_324785","",IF(R356="",CONCATENATE(";",EscStr(CONCATENATE("NavNode_",getCategoryLevelAsString($B356))),";",EscStr($J356),";"),CONCATENATE(";",EscStr(CONCATENATE("NavNode_",getCategoryLevelAsString($B356))),";",EscStr(R356),";")))</f>
        <v>;"NavNode_L3D_543261";"Bevestigingssystemen / Veiligheidssloten";</v>
      </c>
      <c r="AL356" s="10" t="str">
        <f>IF(getCategoryLevelAsString($B356)="L0D_324785","",IF(S356="",CONCATENATE(";",EscStr(CONCATENATE("NavNode_",getCategoryLevelAsString($B356))),";",EscStr($J356),";"),CONCATENATE(";",EscStr(CONCATENATE("NavNode_",getCategoryLevelAsString($B356))),";",EscStr(S356),";")))</f>
        <v>;"NavNode_L3D_543261";"Zamki zabezpieczające";</v>
      </c>
      <c r="AM356" s="10" t="str">
        <f>IF(getCategoryLevelAsString($B356)="L0D_324785","",IF(T356="",CONCATENATE(";",EscStr(CONCATENATE("NavNode_",getCategoryLevelAsString($B356))),";",EscStr($J356),";"),CONCATENATE(";",EscStr(CONCATENATE("NavNode_",getCategoryLevelAsString($B356))),";",EscStr(T356),";")))</f>
        <v>;"NavNode_L3D_543261";"Крепления / Замки безопасности";</v>
      </c>
      <c r="AN356" s="10" t="str">
        <f>IF(getCategoryLevelAsString($B356)="L0D_324785","",IF(U356="",CONCATENATE(";",EscStr(CONCATENATE("NavNode_",getCategoryLevelAsString($B356))),";",EscStr($J356),";"),CONCATENATE(";",EscStr(CONCATENATE("NavNode_",getCategoryLevelAsString($B356))),";",EscStr(U356),";")))</f>
        <v>;"NavNode_L3D_543261";"Držáky / bezpečnostní zámky";</v>
      </c>
      <c r="AO356" s="10" t="str">
        <f>IF(getCategoryLevelAsString($B356)="L0D_324785","",IF(V356="",CONCATENATE(";",EscStr(CONCATENATE("NavNode_",getCategoryLevelAsString($B356))),";",EscStr($J356),";"),CONCATENATE(";",EscStr(CONCATENATE("NavNode_",getCategoryLevelAsString($B356))),";",EscStr(V356),";")))</f>
        <v>;"NavNode_L3D_543261";"Suporţi / încuietori de securitate";</v>
      </c>
      <c r="AP356" s="10" t="str">
        <f>IF(getCategoryLevelAsString($B356)="L0D_324785","",IF(W356="",CONCATENATE(";",EscStr(CONCATENATE("NavNode_",getCategoryLevelAsString($B356))),";",EscStr($J356),";"),CONCATENATE(";",EscStr(CONCATENATE("NavNode_",getCategoryLevelAsString($B356))),";",EscStr(W356),";")))</f>
        <v>;"NavNode_L3D_543261";"Tartók / Biztonsági lezárók";</v>
      </c>
      <c r="AQ356" s="10" t="str">
        <f>IF(getCategoryLevelAsString($B356)="L0D_324785","",IF(X356="",CONCATENATE(";",EscStr(CONCATENATE("NavNode_",getCategoryLevelAsString($B356))),";",EscStr($J356),";"),CONCATENATE(";",EscStr(CONCATENATE("NavNode_",getCategoryLevelAsString($B356))),";",EscStr(X356),";")))</f>
        <v>;"NavNode_L3D_543261";"Držáky / bezpečnostní zámky";</v>
      </c>
      <c r="AR356" s="8" t="str">
        <f>IF(OR($A356&lt;&gt;"", $G356=""),"",CONCATENATE(";",EscStr(CONCATENATE("NavEntry_",getCategoryLevelAsString($B356))),";",EscStr(CONCATENATE($J356," Navigation Entry")),";",EscStr(CONCATENATE("cat-",getCategoryLevelAsString($B356))),";",EscStr(CONCATENATE("NavNode_",getCategoryLevelAsString($B356))),";"))</f>
        <v>;"NavEntry_L3D_543261";"Mounts / Security Locks Navigation Entry";"cat-L3D_543261";"NavNode_L3D_543261";</v>
      </c>
    </row>
    <row r="357" spans="1:44" ht="15" x14ac:dyDescent="0.25">
      <c r="A357" s="25"/>
      <c r="B357" s="5"/>
      <c r="C357" s="5"/>
      <c r="D357" s="5" t="s">
        <v>640</v>
      </c>
      <c r="E357" s="5"/>
      <c r="F357" s="5"/>
      <c r="G357" s="5" t="s">
        <v>1028</v>
      </c>
      <c r="H357" s="5" t="s">
        <v>793</v>
      </c>
      <c r="I357" s="5" t="s">
        <v>690</v>
      </c>
      <c r="J357" s="5" t="s">
        <v>893</v>
      </c>
      <c r="K357" s="5" t="s">
        <v>1423</v>
      </c>
      <c r="L357" s="5" t="s">
        <v>1662</v>
      </c>
      <c r="M357" s="5" t="s">
        <v>1863</v>
      </c>
      <c r="N357" s="5" t="s">
        <v>2081</v>
      </c>
      <c r="O357" s="5" t="s">
        <v>4578</v>
      </c>
      <c r="P357" s="5" t="s">
        <v>4579</v>
      </c>
      <c r="Q357" s="5" t="s">
        <v>4580</v>
      </c>
      <c r="R357" s="5" t="s">
        <v>4581</v>
      </c>
      <c r="S357" s="5" t="s">
        <v>4582</v>
      </c>
      <c r="T357" s="5" t="s">
        <v>4583</v>
      </c>
      <c r="U357" s="5" t="s">
        <v>4584</v>
      </c>
      <c r="V357" s="5" t="s">
        <v>4585</v>
      </c>
      <c r="W357" s="5" t="s">
        <v>4586</v>
      </c>
      <c r="X357" s="5" t="s">
        <v>4584</v>
      </c>
      <c r="Y357" s="10" t="str">
        <f>IF(OR($A357&lt;&gt;"", $G357=""),"",CONCATENATE(";",EscStr(CONCATENATE("NavNode_",getCategoryLevelAsString($B357))),";",EscStr($J357),";",IF($B357&lt;&gt;"","""MainNavNode""",EscStr(CONCATENATE("NavNode_",getSuperCategory($B357, getCategoryLevelAsNumber($B357))))),";"))</f>
        <v>;"NavNode_L3D_543263";"Calculators / Translators / Dictaphones";"NavNode_L2D_542982";</v>
      </c>
      <c r="Z357" s="10" t="str">
        <f>IF(getCategoryLevelAsString($B357)="L0D_324785","",IF(G357="",CONCATENATE(";",EscStr(CONCATENATE("NavNode_",getCategoryLevelAsString($B357))),";",EscStr($J357),";"),CONCATENATE(";",EscStr(CONCATENATE("NavNode_",getCategoryLevelAsString($B357))),";",EscStr(G357),";")))</f>
        <v>;"NavNode_L3D_543263";"Taschenrechner / Übersetzer / Diktiergeräte";</v>
      </c>
      <c r="AA357" s="10" t="str">
        <f>IF(getCategoryLevelAsString($B357)="L0D_324785","",IF(H357="",CONCATENATE(";",EscStr(CONCATENATE("NavNode_",getCategoryLevelAsString($B357))),";",EscStr($J357),";"),CONCATENATE(";",EscStr(CONCATENATE("NavNode_",getCategoryLevelAsString($B357))),";",EscStr(H357),";")))</f>
        <v>;"NavNode_L3D_543263";"Calculatrices / Traducteurs / Dictaphones";</v>
      </c>
      <c r="AB357" s="10" t="str">
        <f>IF(getCategoryLevelAsString($B357)="L0D_324785","",IF(I357="",CONCATENATE(";",EscStr(CONCATENATE("NavNode_",getCategoryLevelAsString($B357))),";",EscStr($J357),";"),CONCATENATE(";",EscStr(CONCATENATE("NavNode_",getCategoryLevelAsString($B357))),";",EscStr(I357),";")))</f>
        <v>;"NavNode_L3D_543263";"Calcolatrici / traduttori / registratori vocali";</v>
      </c>
      <c r="AC357" s="10" t="str">
        <f>IF(getCategoryLevelAsString($B357)="L0D_324785","",IF(J357="",CONCATENATE(";",EscStr(CONCATENATE("NavNode_",getCategoryLevelAsString($B357))),";",EscStr($J357),";"),CONCATENATE(";",EscStr(CONCATENATE("NavNode_",getCategoryLevelAsString($B357))),";",EscStr(J357),";")))</f>
        <v>;"NavNode_L3D_543263";"Calculators / Translators / Dictaphones";</v>
      </c>
      <c r="AD357" s="10" t="str">
        <f>IF(getCategoryLevelAsString($B357)="L0D_324785","",IF(K357="",CONCATENATE(";",EscStr(CONCATENATE("NavNode_",getCategoryLevelAsString($B357))),";",EscStr($J357),";"),CONCATENATE(";",EscStr(CONCATENATE("NavNode_",getCategoryLevelAsString($B357))),";",EscStr(K357),";")))</f>
        <v>;"NavNode_L3D_543263";"Regnemaskiner/oversættere/diktafoner";</v>
      </c>
      <c r="AE357" s="10" t="str">
        <f>IF(getCategoryLevelAsString($B357)="L0D_324785","",IF(L357="",CONCATENATE(";",EscStr(CONCATENATE("NavNode_",getCategoryLevelAsString($B357))),";",EscStr($J357),";"),CONCATENATE(";",EscStr(CONCATENATE("NavNode_",getCategoryLevelAsString($B357))),";",EscStr(L357),";")))</f>
        <v>;"NavNode_L3D_543263";"Skaičiuotuvai / vertimo įrenginiai / diktofonai";</v>
      </c>
      <c r="AF357" s="10" t="str">
        <f>IF(getCategoryLevelAsString($B357)="L0D_324785","",IF(M357="",CONCATENATE(";",EscStr(CONCATENATE("NavNode_",getCategoryLevelAsString($B357))),";",EscStr($J357),";"),CONCATENATE(";",EscStr(CONCATENATE("NavNode_",getCategoryLevelAsString($B357))),";",EscStr(M357),";")))</f>
        <v>;"NavNode_L3D_543263";"Kalkulatorer/oversettere/diktafoner";</v>
      </c>
      <c r="AG357" s="10" t="str">
        <f>IF(getCategoryLevelAsString($B357)="L0D_324785","",IF(N357="",CONCATENATE(";",EscStr(CONCATENATE("NavNode_",getCategoryLevelAsString($B357))),";",EscStr($J357),";"),CONCATENATE(";",EscStr(CONCATENATE("NavNode_",getCategoryLevelAsString($B357))),";",EscStr(N357),";")))</f>
        <v>;"NavNode_L3D_543263";"Miniräknare/Översättare/Diktafoner";</v>
      </c>
      <c r="AH357" s="10" t="str">
        <f>IF(getCategoryLevelAsString($B357)="L0D_324785","",IF(O357="",CONCATENATE(";",EscStr(CONCATENATE("NavNode_",getCategoryLevelAsString($B357))),";",EscStr($J357),";"),CONCATENATE(";",EscStr(CONCATENATE("NavNode_",getCategoryLevelAsString($B357))),";",EscStr(O357),";")))</f>
        <v>;"NavNode_L3D_543263";"Kalkulaatorid / Tõlkijad / Diktofonid";</v>
      </c>
      <c r="AI357" s="10" t="str">
        <f>IF(getCategoryLevelAsString($B357)="L0D_324785","",IF(P357="",CONCATENATE(";",EscStr(CONCATENATE("NavNode_",getCategoryLevelAsString($B357))),";",EscStr($J357),";"),CONCATENATE(";",EscStr(CONCATENATE("NavNode_",getCategoryLevelAsString($B357))),";",EscStr(P357),";")))</f>
        <v>;"NavNode_L3D_543263";"Laskimet/Kääntäjät";</v>
      </c>
      <c r="AJ357" s="10" t="str">
        <f>IF(getCategoryLevelAsString($B357)="L0D_324785","",IF(Q357="",CONCATENATE(";",EscStr(CONCATENATE("NavNode_",getCategoryLevelAsString($B357))),";",EscStr($J357),";"),CONCATENATE(";",EscStr(CONCATENATE("NavNode_",getCategoryLevelAsString($B357))),";",EscStr(Q357),";")))</f>
        <v>;"NavNode_L3D_543263";"Kalkulatori / Tulkotāji / Diktofoni";</v>
      </c>
      <c r="AK357" s="10" t="str">
        <f>IF(getCategoryLevelAsString($B357)="L0D_324785","",IF(R357="",CONCATENATE(";",EscStr(CONCATENATE("NavNode_",getCategoryLevelAsString($B357))),";",EscStr($J357),";"),CONCATENATE(";",EscStr(CONCATENATE("NavNode_",getCategoryLevelAsString($B357))),";",EscStr(R357),";")))</f>
        <v>;"NavNode_L3D_543263";"Rekenmachines / Vertaalcomputers / Dictafoons";</v>
      </c>
      <c r="AL357" s="10" t="str">
        <f>IF(getCategoryLevelAsString($B357)="L0D_324785","",IF(S357="",CONCATENATE(";",EscStr(CONCATENATE("NavNode_",getCategoryLevelAsString($B357))),";",EscStr($J357),";"),CONCATENATE(";",EscStr(CONCATENATE("NavNode_",getCategoryLevelAsString($B357))),";",EscStr(S357),";")))</f>
        <v>;"NavNode_L3D_543263";"Kalkulatory / Translatory / Dyktafony";</v>
      </c>
      <c r="AM357" s="10" t="str">
        <f>IF(getCategoryLevelAsString($B357)="L0D_324785","",IF(T357="",CONCATENATE(";",EscStr(CONCATENATE("NavNode_",getCategoryLevelAsString($B357))),";",EscStr($J357),";"),CONCATENATE(";",EscStr(CONCATENATE("NavNode_",getCategoryLevelAsString($B357))),";",EscStr(T357),";")))</f>
        <v>;"NavNode_L3D_543263";"Калькуляторы / Переводчики / Диктофоны";</v>
      </c>
      <c r="AN357" s="10" t="str">
        <f>IF(getCategoryLevelAsString($B357)="L0D_324785","",IF(U357="",CONCATENATE(";",EscStr(CONCATENATE("NavNode_",getCategoryLevelAsString($B357))),";",EscStr($J357),";"),CONCATENATE(";",EscStr(CONCATENATE("NavNode_",getCategoryLevelAsString($B357))),";",EscStr(U357),";")))</f>
        <v>;"NavNode_L3D_543263";"Kalkulačky / Překladače / Diktafony";</v>
      </c>
      <c r="AO357" s="10" t="str">
        <f>IF(getCategoryLevelAsString($B357)="L0D_324785","",IF(V357="",CONCATENATE(";",EscStr(CONCATENATE("NavNode_",getCategoryLevelAsString($B357))),";",EscStr($J357),";"),CONCATENATE(";",EscStr(CONCATENATE("NavNode_",getCategoryLevelAsString($B357))),";",EscStr(V357),";")))</f>
        <v>;"NavNode_L3D_543263";"Calculator / Traducător / înregistratoare de voce";</v>
      </c>
      <c r="AP357" s="10" t="str">
        <f>IF(getCategoryLevelAsString($B357)="L0D_324785","",IF(W357="",CONCATENATE(";",EscStr(CONCATENATE("NavNode_",getCategoryLevelAsString($B357))),";",EscStr($J357),";"),CONCATENATE(";",EscStr(CONCATENATE("NavNode_",getCategoryLevelAsString($B357))),";",EscStr(W357),";")))</f>
        <v>;"NavNode_L3D_543263";"Zsebszámológép / Fordító / Diktafon";</v>
      </c>
      <c r="AQ357" s="10" t="str">
        <f>IF(getCategoryLevelAsString($B357)="L0D_324785","",IF(X357="",CONCATENATE(";",EscStr(CONCATENATE("NavNode_",getCategoryLevelAsString($B357))),";",EscStr($J357),";"),CONCATENATE(";",EscStr(CONCATENATE("NavNode_",getCategoryLevelAsString($B357))),";",EscStr(X357),";")))</f>
        <v>;"NavNode_L3D_543263";"Kalkulačky / Překladače / Diktafony";</v>
      </c>
      <c r="AR357" s="8" t="str">
        <f>IF(OR($A357&lt;&gt;"", $G357=""),"",CONCATENATE(";",EscStr(CONCATENATE("NavEntry_",getCategoryLevelAsString($B357))),";",EscStr(CONCATENATE($J357," Navigation Entry")),";",EscStr(CONCATENATE("cat-",getCategoryLevelAsString($B357))),";",EscStr(CONCATENATE("NavNode_",getCategoryLevelAsString($B357))),";"))</f>
        <v>;"NavEntry_L3D_543263";"Calculators / Translators / Dictaphones Navigation Entry";"cat-L3D_543263";"NavNode_L3D_543263";</v>
      </c>
    </row>
    <row r="358" spans="1:44" ht="15" x14ac:dyDescent="0.25">
      <c r="A358" s="25"/>
      <c r="B358" s="5"/>
      <c r="C358" s="5" t="s">
        <v>595</v>
      </c>
      <c r="D358" s="5"/>
      <c r="E358" s="5"/>
      <c r="F358" s="5"/>
      <c r="G358" s="5" t="s">
        <v>945</v>
      </c>
      <c r="H358" s="5" t="s">
        <v>763</v>
      </c>
      <c r="I358" s="5" t="s">
        <v>654</v>
      </c>
      <c r="J358" s="5" t="s">
        <v>864</v>
      </c>
      <c r="K358" s="5" t="s">
        <v>1395</v>
      </c>
      <c r="L358" s="5" t="s">
        <v>1631</v>
      </c>
      <c r="M358" s="5" t="s">
        <v>1833</v>
      </c>
      <c r="N358" s="5" t="s">
        <v>2050</v>
      </c>
      <c r="O358" s="5" t="s">
        <v>4311</v>
      </c>
      <c r="P358" s="5" t="s">
        <v>4312</v>
      </c>
      <c r="Q358" s="5" t="s">
        <v>4313</v>
      </c>
      <c r="R358" s="5" t="s">
        <v>4314</v>
      </c>
      <c r="S358" s="5" t="s">
        <v>4315</v>
      </c>
      <c r="T358" s="5" t="s">
        <v>4316</v>
      </c>
      <c r="U358" s="5" t="s">
        <v>4317</v>
      </c>
      <c r="V358" s="5" t="s">
        <v>4318</v>
      </c>
      <c r="W358" s="5" t="s">
        <v>4319</v>
      </c>
      <c r="X358" s="5" t="s">
        <v>4317</v>
      </c>
      <c r="Y358" s="10" t="str">
        <f>IF(OR($A358&lt;&gt;"", $G358=""),"",CONCATENATE(";",EscStr(CONCATENATE("NavNode_",getCategoryLevelAsString($B358))),";",EscStr($J358),";",IF($B358&lt;&gt;"","""MainNavNode""",EscStr(CONCATENATE("NavNode_",getSuperCategory($B358, getCategoryLevelAsNumber($B358))))),";"))</f>
        <v>;"NavNode_L3D_543267";"Network &amp; Telecom";"NavNode_L2D_542982";</v>
      </c>
      <c r="Z358" s="10" t="str">
        <f>IF(getCategoryLevelAsString($B358)="L0D_324785","",IF(G358="",CONCATENATE(";",EscStr(CONCATENATE("NavNode_",getCategoryLevelAsString($B358))),";",EscStr($J358),";"),CONCATENATE(";",EscStr(CONCATENATE("NavNode_",getCategoryLevelAsString($B358))),";",EscStr(G358),";")))</f>
        <v>;"NavNode_L3D_543267";"Netzwerk und Telekommunikation";</v>
      </c>
      <c r="AA358" s="10" t="str">
        <f>IF(getCategoryLevelAsString($B358)="L0D_324785","",IF(H358="",CONCATENATE(";",EscStr(CONCATENATE("NavNode_",getCategoryLevelAsString($B358))),";",EscStr($J358),";"),CONCATENATE(";",EscStr(CONCATENATE("NavNode_",getCategoryLevelAsString($B358))),";",EscStr(H358),";")))</f>
        <v>;"NavNode_L3D_543267";"Réseau et télécommunications";</v>
      </c>
      <c r="AB358" s="10" t="str">
        <f>IF(getCategoryLevelAsString($B358)="L0D_324785","",IF(I358="",CONCATENATE(";",EscStr(CONCATENATE("NavNode_",getCategoryLevelAsString($B358))),";",EscStr($J358),";"),CONCATENATE(";",EscStr(CONCATENATE("NavNode_",getCategoryLevelAsString($B358))),";",EscStr(I358),";")))</f>
        <v>;"NavNode_L3D_543267";"Rete e telecomunicazione";</v>
      </c>
      <c r="AC358" s="10" t="str">
        <f>IF(getCategoryLevelAsString($B358)="L0D_324785","",IF(J358="",CONCATENATE(";",EscStr(CONCATENATE("NavNode_",getCategoryLevelAsString($B358))),";",EscStr($J358),";"),CONCATENATE(";",EscStr(CONCATENATE("NavNode_",getCategoryLevelAsString($B358))),";",EscStr(J358),";")))</f>
        <v>;"NavNode_L3D_543267";"Network &amp; Telecom";</v>
      </c>
      <c r="AD358" s="10" t="str">
        <f>IF(getCategoryLevelAsString($B358)="L0D_324785","",IF(K358="",CONCATENATE(";",EscStr(CONCATENATE("NavNode_",getCategoryLevelAsString($B358))),";",EscStr($J358),";"),CONCATENATE(";",EscStr(CONCATENATE("NavNode_",getCategoryLevelAsString($B358))),";",EscStr(K358),";")))</f>
        <v>;"NavNode_L3D_543267";"Netværk &amp; telekommunikation";</v>
      </c>
      <c r="AE358" s="10" t="str">
        <f>IF(getCategoryLevelAsString($B358)="L0D_324785","",IF(L358="",CONCATENATE(";",EscStr(CONCATENATE("NavNode_",getCategoryLevelAsString($B358))),";",EscStr($J358),";"),CONCATENATE(";",EscStr(CONCATENATE("NavNode_",getCategoryLevelAsString($B358))),";",EscStr(L358),";")))</f>
        <v>;"NavNode_L3D_543267";"Tinklas ir telekomunikacijos";</v>
      </c>
      <c r="AF358" s="10" t="str">
        <f>IF(getCategoryLevelAsString($B358)="L0D_324785","",IF(M358="",CONCATENATE(";",EscStr(CONCATENATE("NavNode_",getCategoryLevelAsString($B358))),";",EscStr($J358),";"),CONCATENATE(";",EscStr(CONCATENATE("NavNode_",getCategoryLevelAsString($B358))),";",EscStr(M358),";")))</f>
        <v>;"NavNode_L3D_543267";"Nettverk og telekom";</v>
      </c>
      <c r="AG358" s="10" t="str">
        <f>IF(getCategoryLevelAsString($B358)="L0D_324785","",IF(N358="",CONCATENATE(";",EscStr(CONCATENATE("NavNode_",getCategoryLevelAsString($B358))),";",EscStr($J358),";"),CONCATENATE(";",EscStr(CONCATENATE("NavNode_",getCategoryLevelAsString($B358))),";",EscStr(N358),";")))</f>
        <v>;"NavNode_L3D_543267";"Nätverk och telekom";</v>
      </c>
      <c r="AH358" s="10" t="str">
        <f>IF(getCategoryLevelAsString($B358)="L0D_324785","",IF(O358="",CONCATENATE(";",EscStr(CONCATENATE("NavNode_",getCategoryLevelAsString($B358))),";",EscStr($J358),";"),CONCATENATE(";",EscStr(CONCATENATE("NavNode_",getCategoryLevelAsString($B358))),";",EscStr(O358),";")))</f>
        <v>;"NavNode_L3D_543267";"Sidevõrk / Telekommunikatsioon";</v>
      </c>
      <c r="AI358" s="10" t="str">
        <f>IF(getCategoryLevelAsString($B358)="L0D_324785","",IF(P358="",CONCATENATE(";",EscStr(CONCATENATE("NavNode_",getCategoryLevelAsString($B358))),";",EscStr($J358),";"),CONCATENATE(";",EscStr(CONCATENATE("NavNode_",getCategoryLevelAsString($B358))),";",EscStr(P358),";")))</f>
        <v>;"NavNode_L3D_543267";"Verkko ja puhelintarvikkeet";</v>
      </c>
      <c r="AJ358" s="10" t="str">
        <f>IF(getCategoryLevelAsString($B358)="L0D_324785","",IF(Q358="",CONCATENATE(";",EscStr(CONCATENATE("NavNode_",getCategoryLevelAsString($B358))),";",EscStr($J358),";"),CONCATENATE(";",EscStr(CONCATENATE("NavNode_",getCategoryLevelAsString($B358))),";",EscStr(Q358),";")))</f>
        <v>;"NavNode_L3D_543267";"Tīkli / telekomunikācijas";</v>
      </c>
      <c r="AK358" s="10" t="str">
        <f>IF(getCategoryLevelAsString($B358)="L0D_324785","",IF(R358="",CONCATENATE(";",EscStr(CONCATENATE("NavNode_",getCategoryLevelAsString($B358))),";",EscStr($J358),";"),CONCATENATE(";",EscStr(CONCATENATE("NavNode_",getCategoryLevelAsString($B358))),";",EscStr(R358),";")))</f>
        <v>;"NavNode_L3D_543267";"Netwerk &amp; Telecommunicatie";</v>
      </c>
      <c r="AL358" s="10" t="str">
        <f>IF(getCategoryLevelAsString($B358)="L0D_324785","",IF(S358="",CONCATENATE(";",EscStr(CONCATENATE("NavNode_",getCategoryLevelAsString($B358))),";",EscStr($J358),";"),CONCATENATE(";",EscStr(CONCATENATE("NavNode_",getCategoryLevelAsString($B358))),";",EscStr(S358),";")))</f>
        <v>;"NavNode_L3D_543267";"Sieci i Telekomunikacja";</v>
      </c>
      <c r="AM358" s="10" t="str">
        <f>IF(getCategoryLevelAsString($B358)="L0D_324785","",IF(T358="",CONCATENATE(";",EscStr(CONCATENATE("NavNode_",getCategoryLevelAsString($B358))),";",EscStr($J358),";"),CONCATENATE(";",EscStr(CONCATENATE("NavNode_",getCategoryLevelAsString($B358))),";",EscStr(T358),";")))</f>
        <v>;"NavNode_L3D_543267";"Сети  / Телекоммуникации";</v>
      </c>
      <c r="AN358" s="10" t="str">
        <f>IF(getCategoryLevelAsString($B358)="L0D_324785","",IF(U358="",CONCATENATE(";",EscStr(CONCATENATE("NavNode_",getCategoryLevelAsString($B358))),";",EscStr($J358),";"),CONCATENATE(";",EscStr(CONCATENATE("NavNode_",getCategoryLevelAsString($B358))),";",EscStr(U358),";")))</f>
        <v>;"NavNode_L3D_543267";"Sítě a Telekomunikace";</v>
      </c>
      <c r="AO358" s="10" t="str">
        <f>IF(getCategoryLevelAsString($B358)="L0D_324785","",IF(V358="",CONCATENATE(";",EscStr(CONCATENATE("NavNode_",getCategoryLevelAsString($B358))),";",EscStr($J358),";"),CONCATENATE(";",EscStr(CONCATENATE("NavNode_",getCategoryLevelAsString($B358))),";",EscStr(V358),";")))</f>
        <v>;"NavNode_L3D_543267";"Rețea și telecomunicații";</v>
      </c>
      <c r="AP358" s="10" t="str">
        <f>IF(getCategoryLevelAsString($B358)="L0D_324785","",IF(W358="",CONCATENATE(";",EscStr(CONCATENATE("NavNode_",getCategoryLevelAsString($B358))),";",EscStr($J358),";"),CONCATENATE(";",EscStr(CONCATENATE("NavNode_",getCategoryLevelAsString($B358))),";",EscStr(W358),";")))</f>
        <v>;"NavNode_L3D_543267";"Adathálózat és telekommunikáció";</v>
      </c>
      <c r="AQ358" s="10" t="str">
        <f>IF(getCategoryLevelAsString($B358)="L0D_324785","",IF(X358="",CONCATENATE(";",EscStr(CONCATENATE("NavNode_",getCategoryLevelAsString($B358))),";",EscStr($J358),";"),CONCATENATE(";",EscStr(CONCATENATE("NavNode_",getCategoryLevelAsString($B358))),";",EscStr(X358),";")))</f>
        <v>;"NavNode_L3D_543267";"Sítě a Telekomunikace";</v>
      </c>
      <c r="AR358" s="8" t="str">
        <f>IF(OR($A358&lt;&gt;"", $G358=""),"",CONCATENATE(";",EscStr(CONCATENATE("NavEntry_",getCategoryLevelAsString($B358))),";",EscStr(CONCATENATE($J358," Navigation Entry")),";",EscStr(CONCATENATE("cat-",getCategoryLevelAsString($B358))),";",EscStr(CONCATENATE("NavNode_",getCategoryLevelAsString($B358))),";"))</f>
        <v>;"NavEntry_L3D_543267";"Network &amp; Telecom Navigation Entry";"cat-L3D_543267";"NavNode_L3D_543267";</v>
      </c>
    </row>
    <row r="359" spans="1:44" ht="15" x14ac:dyDescent="0.25">
      <c r="A359" s="25"/>
      <c r="B359" s="5"/>
      <c r="C359" s="5"/>
      <c r="D359" s="5" t="s">
        <v>596</v>
      </c>
      <c r="E359" s="5"/>
      <c r="F359" s="5"/>
      <c r="G359" s="5" t="s">
        <v>1005</v>
      </c>
      <c r="H359" s="5" t="s">
        <v>764</v>
      </c>
      <c r="I359" s="5" t="s">
        <v>655</v>
      </c>
      <c r="J359" s="5" t="s">
        <v>865</v>
      </c>
      <c r="K359" s="5" t="s">
        <v>1396</v>
      </c>
      <c r="L359" s="5" t="s">
        <v>1632</v>
      </c>
      <c r="M359" s="5" t="s">
        <v>1834</v>
      </c>
      <c r="N359" s="5" t="s">
        <v>2051</v>
      </c>
      <c r="O359" s="5" t="s">
        <v>4320</v>
      </c>
      <c r="P359" s="5" t="s">
        <v>4321</v>
      </c>
      <c r="Q359" s="5" t="s">
        <v>4322</v>
      </c>
      <c r="R359" s="5" t="s">
        <v>865</v>
      </c>
      <c r="S359" s="5" t="s">
        <v>4323</v>
      </c>
      <c r="T359" s="5" t="s">
        <v>4324</v>
      </c>
      <c r="U359" s="5" t="s">
        <v>4325</v>
      </c>
      <c r="V359" s="5" t="s">
        <v>4326</v>
      </c>
      <c r="W359" s="5" t="s">
        <v>4327</v>
      </c>
      <c r="X359" s="5" t="s">
        <v>4325</v>
      </c>
      <c r="Y359" s="10" t="str">
        <f>IF(OR($A359&lt;&gt;"", $G359=""),"",CONCATENATE(";",EscStr(CONCATENATE("NavNode_",getCategoryLevelAsString($B359))),";",EscStr($J359),";",IF($B359&lt;&gt;"","""MainNavNode""",EscStr(CONCATENATE("NavNode_",getSuperCategory($B359, getCategoryLevelAsNumber($B359))))),";"))</f>
        <v>;"NavNode_L3D_543269";"Wireless LAN / Router / Firewall";"NavNode_L2D_542982";</v>
      </c>
      <c r="Z359" s="10" t="str">
        <f>IF(getCategoryLevelAsString($B359)="L0D_324785","",IF(G359="",CONCATENATE(";",EscStr(CONCATENATE("NavNode_",getCategoryLevelAsString($B359))),";",EscStr($J359),";"),CONCATENATE(";",EscStr(CONCATENATE("NavNode_",getCategoryLevelAsString($B359))),";",EscStr(G359),";")))</f>
        <v>;"NavNode_L3D_543269";"Wireless-LAN / Router / Firewall";</v>
      </c>
      <c r="AA359" s="10" t="str">
        <f>IF(getCategoryLevelAsString($B359)="L0D_324785","",IF(H359="",CONCATENATE(";",EscStr(CONCATENATE("NavNode_",getCategoryLevelAsString($B359))),";",EscStr($J359),";"),CONCATENATE(";",EscStr(CONCATENATE("NavNode_",getCategoryLevelAsString($B359))),";",EscStr(H359),";")))</f>
        <v>;"NavNode_L3D_543269";"Réseau local sans fil / Routeur / Pare-feu";</v>
      </c>
      <c r="AB359" s="10" t="str">
        <f>IF(getCategoryLevelAsString($B359)="L0D_324785","",IF(I359="",CONCATENATE(";",EscStr(CONCATENATE("NavNode_",getCategoryLevelAsString($B359))),";",EscStr($J359),";"),CONCATENATE(";",EscStr(CONCATENATE("NavNode_",getCategoryLevelAsString($B359))),";",EscStr(I359),";")))</f>
        <v>;"NavNode_L3D_543269";"LAN wireless / Router / Firewall";</v>
      </c>
      <c r="AC359" s="10" t="str">
        <f>IF(getCategoryLevelAsString($B359)="L0D_324785","",IF(J359="",CONCATENATE(";",EscStr(CONCATENATE("NavNode_",getCategoryLevelAsString($B359))),";",EscStr($J359),";"),CONCATENATE(";",EscStr(CONCATENATE("NavNode_",getCategoryLevelAsString($B359))),";",EscStr(J359),";")))</f>
        <v>;"NavNode_L3D_543269";"Wireless LAN / Router / Firewall";</v>
      </c>
      <c r="AD359" s="10" t="str">
        <f>IF(getCategoryLevelAsString($B359)="L0D_324785","",IF(K359="",CONCATENATE(";",EscStr(CONCATENATE("NavNode_",getCategoryLevelAsString($B359))),";",EscStr($J359),";"),CONCATENATE(";",EscStr(CONCATENATE("NavNode_",getCategoryLevelAsString($B359))),";",EscStr(K359),";")))</f>
        <v>;"NavNode_L3D_543269";"Trådløs LAN/router/Firewall";</v>
      </c>
      <c r="AE359" s="10" t="str">
        <f>IF(getCategoryLevelAsString($B359)="L0D_324785","",IF(L359="",CONCATENATE(";",EscStr(CONCATENATE("NavNode_",getCategoryLevelAsString($B359))),";",EscStr($J359),";"),CONCATENATE(";",EscStr(CONCATENATE("NavNode_",getCategoryLevelAsString($B359))),";",EscStr(L359),";")))</f>
        <v>;"NavNode_L3D_543269";"Belaidis LAN / maršruto parinktuvas / užkarda";</v>
      </c>
      <c r="AF359" s="10" t="str">
        <f>IF(getCategoryLevelAsString($B359)="L0D_324785","",IF(M359="",CONCATENATE(";",EscStr(CONCATENATE("NavNode_",getCategoryLevelAsString($B359))),";",EscStr($J359),";"),CONCATENATE(";",EscStr(CONCATENATE("NavNode_",getCategoryLevelAsString($B359))),";",EscStr(M359),";")))</f>
        <v>;"NavNode_L3D_543269";"Trådløs LAN / ruter / brannmur";</v>
      </c>
      <c r="AG359" s="10" t="str">
        <f>IF(getCategoryLevelAsString($B359)="L0D_324785","",IF(N359="",CONCATENATE(";",EscStr(CONCATENATE("NavNode_",getCategoryLevelAsString($B359))),";",EscStr($J359),";"),CONCATENATE(";",EscStr(CONCATENATE("NavNode_",getCategoryLevelAsString($B359))),";",EscStr(N359),";")))</f>
        <v>;"NavNode_L3D_543269";"Trådlöst LAN/Router/Brandvägg";</v>
      </c>
      <c r="AH359" s="10" t="str">
        <f>IF(getCategoryLevelAsString($B359)="L0D_324785","",IF(O359="",CONCATENATE(";",EscStr(CONCATENATE("NavNode_",getCategoryLevelAsString($B359))),";",EscStr($J359),";"),CONCATENATE(";",EscStr(CONCATENATE("NavNode_",getCategoryLevelAsString($B359))),";",EscStr(O359),";")))</f>
        <v>;"NavNode_L3D_543269";"Juhtmevaba sidevõrk / Ruuterid / Tulemüür";</v>
      </c>
      <c r="AI359" s="10" t="str">
        <f>IF(getCategoryLevelAsString($B359)="L0D_324785","",IF(P359="",CONCATENATE(";",EscStr(CONCATENATE("NavNode_",getCategoryLevelAsString($B359))),";",EscStr($J359),";"),CONCATENATE(";",EscStr(CONCATENATE("NavNode_",getCategoryLevelAsString($B359))),";",EscStr(P359),";")))</f>
        <v>;"NavNode_L3D_543269";"WLAN/reitittimet";</v>
      </c>
      <c r="AJ359" s="10" t="str">
        <f>IF(getCategoryLevelAsString($B359)="L0D_324785","",IF(Q359="",CONCATENATE(";",EscStr(CONCATENATE("NavNode_",getCategoryLevelAsString($B359))),";",EscStr($J359),";"),CONCATENATE(";",EscStr(CONCATENATE("NavNode_",getCategoryLevelAsString($B359))),";",EscStr(Q359),";")))</f>
        <v>;"NavNode_L3D_543269";"Wireless LAN / rūteri / ugunsmūri";</v>
      </c>
      <c r="AK359" s="10" t="str">
        <f>IF(getCategoryLevelAsString($B359)="L0D_324785","",IF(R359="",CONCATENATE(";",EscStr(CONCATENATE("NavNode_",getCategoryLevelAsString($B359))),";",EscStr($J359),";"),CONCATENATE(";",EscStr(CONCATENATE("NavNode_",getCategoryLevelAsString($B359))),";",EscStr(R359),";")))</f>
        <v>;"NavNode_L3D_543269";"Wireless LAN / Router / Firewall";</v>
      </c>
      <c r="AL359" s="10" t="str">
        <f>IF(getCategoryLevelAsString($B359)="L0D_324785","",IF(S359="",CONCATENATE(";",EscStr(CONCATENATE("NavNode_",getCategoryLevelAsString($B359))),";",EscStr($J359),";"),CONCATENATE(";",EscStr(CONCATENATE("NavNode_",getCategoryLevelAsString($B359))),";",EscStr(S359),";")))</f>
        <v>;"NavNode_L3D_543269";"Sieci LAN bezprzewodowe / Routery / Firewall";</v>
      </c>
      <c r="AM359" s="10" t="str">
        <f>IF(getCategoryLevelAsString($B359)="L0D_324785","",IF(T359="",CONCATENATE(";",EscStr(CONCATENATE("NavNode_",getCategoryLevelAsString($B359))),";",EscStr($J359),";"),CONCATENATE(";",EscStr(CONCATENATE("NavNode_",getCategoryLevelAsString($B359))),";",EscStr(T359),";")))</f>
        <v>;"NavNode_L3D_543269";"Беспроводной  LAN / Рутер / Firewall";</v>
      </c>
      <c r="AN359" s="10" t="str">
        <f>IF(getCategoryLevelAsString($B359)="L0D_324785","",IF(U359="",CONCATENATE(";",EscStr(CONCATENATE("NavNode_",getCategoryLevelAsString($B359))),";",EscStr($J359),";"),CONCATENATE(";",EscStr(CONCATENATE("NavNode_",getCategoryLevelAsString($B359))),";",EscStr(U359),";")))</f>
        <v>;"NavNode_L3D_543269";"Bezdrátová síť LAN / Router / Firewall";</v>
      </c>
      <c r="AO359" s="10" t="str">
        <f>IF(getCategoryLevelAsString($B359)="L0D_324785","",IF(V359="",CONCATENATE(";",EscStr(CONCATENATE("NavNode_",getCategoryLevelAsString($B359))),";",EscStr($J359),";"),CONCATENATE(";",EscStr(CONCATENATE("NavNode_",getCategoryLevelAsString($B359))),";",EscStr(V359),";")))</f>
        <v>;"NavNode_L3D_543269";"Wireless LAN / router / firewall";</v>
      </c>
      <c r="AP359" s="10" t="str">
        <f>IF(getCategoryLevelAsString($B359)="L0D_324785","",IF(W359="",CONCATENATE(";",EscStr(CONCATENATE("NavNode_",getCategoryLevelAsString($B359))),";",EscStr($J359),";"),CONCATENATE(";",EscStr(CONCATENATE("NavNode_",getCategoryLevelAsString($B359))),";",EscStr(W359),";")))</f>
        <v>;"NavNode_L3D_543269";"Vezetéknélküli-LAN / Router / Tűzfal";</v>
      </c>
      <c r="AQ359" s="10" t="str">
        <f>IF(getCategoryLevelAsString($B359)="L0D_324785","",IF(X359="",CONCATENATE(";",EscStr(CONCATENATE("NavNode_",getCategoryLevelAsString($B359))),";",EscStr($J359),";"),CONCATENATE(";",EscStr(CONCATENATE("NavNode_",getCategoryLevelAsString($B359))),";",EscStr(X359),";")))</f>
        <v>;"NavNode_L3D_543269";"Bezdrátová síť LAN / Router / Firewall";</v>
      </c>
      <c r="AR359" s="8" t="str">
        <f>IF(OR($A359&lt;&gt;"", $G359=""),"",CONCATENATE(";",EscStr(CONCATENATE("NavEntry_",getCategoryLevelAsString($B359))),";",EscStr(CONCATENATE($J359," Navigation Entry")),";",EscStr(CONCATENATE("cat-",getCategoryLevelAsString($B359))),";",EscStr(CONCATENATE("NavNode_",getCategoryLevelAsString($B359))),";"))</f>
        <v>;"NavEntry_L3D_543269";"Wireless LAN / Router / Firewall Navigation Entry";"cat-L3D_543269";"NavNode_L3D_543269";</v>
      </c>
    </row>
    <row r="360" spans="1:44" ht="15" x14ac:dyDescent="0.25">
      <c r="A360" s="25"/>
      <c r="B360" s="5"/>
      <c r="C360" s="5"/>
      <c r="D360" s="5" t="s">
        <v>597</v>
      </c>
      <c r="E360" s="5"/>
      <c r="F360" s="5"/>
      <c r="G360" s="5" t="s">
        <v>1006</v>
      </c>
      <c r="H360" s="5" t="s">
        <v>765</v>
      </c>
      <c r="I360" s="5" t="s">
        <v>656</v>
      </c>
      <c r="J360" s="5" t="s">
        <v>866</v>
      </c>
      <c r="K360" s="5" t="s">
        <v>1397</v>
      </c>
      <c r="L360" s="5" t="s">
        <v>1633</v>
      </c>
      <c r="M360" s="5" t="s">
        <v>1835</v>
      </c>
      <c r="N360" s="5" t="s">
        <v>2052</v>
      </c>
      <c r="O360" s="5" t="s">
        <v>4328</v>
      </c>
      <c r="P360" s="5" t="s">
        <v>4329</v>
      </c>
      <c r="Q360" s="5" t="s">
        <v>4330</v>
      </c>
      <c r="R360" s="5" t="s">
        <v>866</v>
      </c>
      <c r="S360" s="5" t="s">
        <v>4331</v>
      </c>
      <c r="T360" s="5" t="s">
        <v>4332</v>
      </c>
      <c r="U360" s="5" t="s">
        <v>4333</v>
      </c>
      <c r="V360" s="5" t="s">
        <v>4334</v>
      </c>
      <c r="W360" s="5" t="s">
        <v>4335</v>
      </c>
      <c r="X360" s="5" t="s">
        <v>4333</v>
      </c>
      <c r="Y360" s="10" t="str">
        <f>IF(OR($A360&lt;&gt;"", $G360=""),"",CONCATENATE(";",EscStr(CONCATENATE("NavNode_",getCategoryLevelAsString($B360))),";",EscStr($J360),";",IF($B360&lt;&gt;"","""MainNavNode""",EscStr(CONCATENATE("NavNode_",getSuperCategory($B360, getCategoryLevelAsNumber($B360))))),";"))</f>
        <v>;"NavNode_L3D_543271";"Switches / Converters / Network interface cards";"NavNode_L2D_542982";</v>
      </c>
      <c r="Z360" s="10" t="str">
        <f>IF(getCategoryLevelAsString($B360)="L0D_324785","",IF(G360="",CONCATENATE(";",EscStr(CONCATENATE("NavNode_",getCategoryLevelAsString($B360))),";",EscStr($J360),";"),CONCATENATE(";",EscStr(CONCATENATE("NavNode_",getCategoryLevelAsString($B360))),";",EscStr(G360),";")))</f>
        <v>;"NavNode_L3D_543271";"Switches / Konverter / Netzwerkkarten";</v>
      </c>
      <c r="AA360" s="10" t="str">
        <f>IF(getCategoryLevelAsString($B360)="L0D_324785","",IF(H360="",CONCATENATE(";",EscStr(CONCATENATE("NavNode_",getCategoryLevelAsString($B360))),";",EscStr($J360),";"),CONCATENATE(";",EscStr(CONCATENATE("NavNode_",getCategoryLevelAsString($B360))),";",EscStr(H360),";")))</f>
        <v>;"NavNode_L3D_543271";"Switchs / Convertisseurs / Cartes réseau";</v>
      </c>
      <c r="AB360" s="10" t="str">
        <f>IF(getCategoryLevelAsString($B360)="L0D_324785","",IF(I360="",CONCATENATE(";",EscStr(CONCATENATE("NavNode_",getCategoryLevelAsString($B360))),";",EscStr($J360),";"),CONCATENATE(";",EscStr(CONCATENATE("NavNode_",getCategoryLevelAsString($B360))),";",EscStr(I360),";")))</f>
        <v>;"NavNode_L3D_543271";"Switch / convertitori / schede interfaccia di rete";</v>
      </c>
      <c r="AC360" s="10" t="str">
        <f>IF(getCategoryLevelAsString($B360)="L0D_324785","",IF(J360="",CONCATENATE(";",EscStr(CONCATENATE("NavNode_",getCategoryLevelAsString($B360))),";",EscStr($J360),";"),CONCATENATE(";",EscStr(CONCATENATE("NavNode_",getCategoryLevelAsString($B360))),";",EscStr(J360),";")))</f>
        <v>;"NavNode_L3D_543271";"Switches / Converters / Network interface cards";</v>
      </c>
      <c r="AD360" s="10" t="str">
        <f>IF(getCategoryLevelAsString($B360)="L0D_324785","",IF(K360="",CONCATENATE(";",EscStr(CONCATENATE("NavNode_",getCategoryLevelAsString($B360))),";",EscStr($J360),";"),CONCATENATE(";",EscStr(CONCATENATE("NavNode_",getCategoryLevelAsString($B360))),";",EscStr(K360),";")))</f>
        <v>;"NavNode_L3D_543271";"Afbrydere/omformere/netværks-interfacekort";</v>
      </c>
      <c r="AE360" s="10" t="str">
        <f>IF(getCategoryLevelAsString($B360)="L0D_324785","",IF(L360="",CONCATENATE(";",EscStr(CONCATENATE("NavNode_",getCategoryLevelAsString($B360))),";",EscStr($J360),";"),CONCATENATE(";",EscStr(CONCATENATE("NavNode_",getCategoryLevelAsString($B360))),";",EscStr(L360),";")))</f>
        <v>;"NavNode_L3D_543271";"Jungikliai / keitikliai / tinklo sąsajos plokštės";</v>
      </c>
      <c r="AF360" s="10" t="str">
        <f>IF(getCategoryLevelAsString($B360)="L0D_324785","",IF(M360="",CONCATENATE(";",EscStr(CONCATENATE("NavNode_",getCategoryLevelAsString($B360))),";",EscStr($J360),";"),CONCATENATE(";",EscStr(CONCATENATE("NavNode_",getCategoryLevelAsString($B360))),";",EscStr(M360),";")))</f>
        <v>;"NavNode_L3D_543271";"Brytere/omformere/nettverksgrensesnittkort";</v>
      </c>
      <c r="AG360" s="10" t="str">
        <f>IF(getCategoryLevelAsString($B360)="L0D_324785","",IF(N360="",CONCATENATE(";",EscStr(CONCATENATE("NavNode_",getCategoryLevelAsString($B360))),";",EscStr($J360),";"),CONCATENATE(";",EscStr(CONCATENATE("NavNode_",getCategoryLevelAsString($B360))),";",EscStr(N360),";")))</f>
        <v>;"NavNode_L3D_543271";"Växlar/Omvandlare/Nätverksgränssnittskort";</v>
      </c>
      <c r="AH360" s="10" t="str">
        <f>IF(getCategoryLevelAsString($B360)="L0D_324785","",IF(O360="",CONCATENATE(";",EscStr(CONCATENATE("NavNode_",getCategoryLevelAsString($B360))),";",EscStr($J360),";"),CONCATENATE(";",EscStr(CONCATENATE("NavNode_",getCategoryLevelAsString($B360))),";",EscStr(O360),";")))</f>
        <v>;"NavNode_L3D_543271";"Switchid / Muundurid / Võrgukaardid";</v>
      </c>
      <c r="AI360" s="10" t="str">
        <f>IF(getCategoryLevelAsString($B360)="L0D_324785","",IF(P360="",CONCATENATE(";",EscStr(CONCATENATE("NavNode_",getCategoryLevelAsString($B360))),";",EscStr($J360),";"),CONCATENATE(";",EscStr(CONCATENATE("NavNode_",getCategoryLevelAsString($B360))),";",EscStr(P360),";")))</f>
        <v>;"NavNode_L3D_543271";"Kytkimet/ muuntimet";</v>
      </c>
      <c r="AJ360" s="10" t="str">
        <f>IF(getCategoryLevelAsString($B360)="L0D_324785","",IF(Q360="",CONCATENATE(";",EscStr(CONCATENATE("NavNode_",getCategoryLevelAsString($B360))),";",EscStr($J360),";"),CONCATENATE(";",EscStr(CONCATENATE("NavNode_",getCategoryLevelAsString($B360))),";",EscStr(Q360),";")))</f>
        <v>;"NavNode_L3D_543271";"Komutatori / konverteri / tīkla interfeisa kartes";</v>
      </c>
      <c r="AK360" s="10" t="str">
        <f>IF(getCategoryLevelAsString($B360)="L0D_324785","",IF(R360="",CONCATENATE(";",EscStr(CONCATENATE("NavNode_",getCategoryLevelAsString($B360))),";",EscStr($J360),";"),CONCATENATE(";",EscStr(CONCATENATE("NavNode_",getCategoryLevelAsString($B360))),";",EscStr(R360),";")))</f>
        <v>;"NavNode_L3D_543271";"Switches / Converters / Network interface cards";</v>
      </c>
      <c r="AL360" s="10" t="str">
        <f>IF(getCategoryLevelAsString($B360)="L0D_324785","",IF(S360="",CONCATENATE(";",EscStr(CONCATENATE("NavNode_",getCategoryLevelAsString($B360))),";",EscStr($J360),";"),CONCATENATE(";",EscStr(CONCATENATE("NavNode_",getCategoryLevelAsString($B360))),";",EscStr(S360),";")))</f>
        <v>;"NavNode_L3D_543271";"Przełączniki / Konwertery / Karty Sieciowe";</v>
      </c>
      <c r="AM360" s="10" t="str">
        <f>IF(getCategoryLevelAsString($B360)="L0D_324785","",IF(T360="",CONCATENATE(";",EscStr(CONCATENATE("NavNode_",getCategoryLevelAsString($B360))),";",EscStr($J360),";"),CONCATENATE(";",EscStr(CONCATENATE("NavNode_",getCategoryLevelAsString($B360))),";",EscStr(T360),";")))</f>
        <v>;"NavNode_L3D_543271";"Коммутаторы / Преобразователи /  Сетевые интерфейсные карты";</v>
      </c>
      <c r="AN360" s="10" t="str">
        <f>IF(getCategoryLevelAsString($B360)="L0D_324785","",IF(U360="",CONCATENATE(";",EscStr(CONCATENATE("NavNode_",getCategoryLevelAsString($B360))),";",EscStr($J360),";"),CONCATENATE(";",EscStr(CONCATENATE("NavNode_",getCategoryLevelAsString($B360))),";",EscStr(U360),";")))</f>
        <v>;"NavNode_L3D_543271";"Přepínače / Převodníky / Síťové karty";</v>
      </c>
      <c r="AO360" s="10" t="str">
        <f>IF(getCategoryLevelAsString($B360)="L0D_324785","",IF(V360="",CONCATENATE(";",EscStr(CONCATENATE("NavNode_",getCategoryLevelAsString($B360))),";",EscStr($J360),";"),CONCATENATE(";",EscStr(CONCATENATE("NavNode_",getCategoryLevelAsString($B360))),";",EscStr(V360),";")))</f>
        <v>;"NavNode_L3D_543271";"Switch-uri / convertoare / placă de reţea";</v>
      </c>
      <c r="AP360" s="10" t="str">
        <f>IF(getCategoryLevelAsString($B360)="L0D_324785","",IF(W360="",CONCATENATE(";",EscStr(CONCATENATE("NavNode_",getCategoryLevelAsString($B360))),";",EscStr($J360),";"),CONCATENATE(";",EscStr(CONCATENATE("NavNode_",getCategoryLevelAsString($B360))),";",EscStr(W360),";")))</f>
        <v>;"NavNode_L3D_543271";"Switches / Konverter / Adathálózati kártyák";</v>
      </c>
      <c r="AQ360" s="10" t="str">
        <f>IF(getCategoryLevelAsString($B360)="L0D_324785","",IF(X360="",CONCATENATE(";",EscStr(CONCATENATE("NavNode_",getCategoryLevelAsString($B360))),";",EscStr($J360),";"),CONCATENATE(";",EscStr(CONCATENATE("NavNode_",getCategoryLevelAsString($B360))),";",EscStr(X360),";")))</f>
        <v>;"NavNode_L3D_543271";"Přepínače / Převodníky / Síťové karty";</v>
      </c>
      <c r="AR360" s="8" t="str">
        <f>IF(OR($A360&lt;&gt;"", $G360=""),"",CONCATENATE(";",EscStr(CONCATENATE("NavEntry_",getCategoryLevelAsString($B360))),";",EscStr(CONCATENATE($J360," Navigation Entry")),";",EscStr(CONCATENATE("cat-",getCategoryLevelAsString($B360))),";",EscStr(CONCATENATE("NavNode_",getCategoryLevelAsString($B360))),";"))</f>
        <v>;"NavEntry_L3D_543271";"Switches / Converters / Network interface cards Navigation Entry";"cat-L3D_543271";"NavNode_L3D_543271";</v>
      </c>
    </row>
    <row r="361" spans="1:44" ht="15" x14ac:dyDescent="0.25">
      <c r="A361" s="25"/>
      <c r="B361" s="5"/>
      <c r="C361" s="5"/>
      <c r="D361" s="5" t="s">
        <v>598</v>
      </c>
      <c r="E361" s="5"/>
      <c r="F361" s="5"/>
      <c r="G361" s="5" t="s">
        <v>1007</v>
      </c>
      <c r="H361" s="5" t="s">
        <v>766</v>
      </c>
      <c r="I361" s="5" t="s">
        <v>657</v>
      </c>
      <c r="J361" s="5" t="s">
        <v>867</v>
      </c>
      <c r="K361" s="5" t="s">
        <v>1398</v>
      </c>
      <c r="L361" s="5" t="s">
        <v>1634</v>
      </c>
      <c r="M361" s="5" t="s">
        <v>1836</v>
      </c>
      <c r="N361" s="5" t="s">
        <v>2053</v>
      </c>
      <c r="O361" s="5" t="s">
        <v>4336</v>
      </c>
      <c r="P361" s="5" t="s">
        <v>4261</v>
      </c>
      <c r="Q361" s="5" t="s">
        <v>4337</v>
      </c>
      <c r="R361" s="5" t="s">
        <v>4338</v>
      </c>
      <c r="S361" s="5" t="s">
        <v>4339</v>
      </c>
      <c r="T361" s="5" t="s">
        <v>4340</v>
      </c>
      <c r="U361" s="5" t="s">
        <v>4341</v>
      </c>
      <c r="V361" s="5" t="s">
        <v>4342</v>
      </c>
      <c r="W361" s="5" t="s">
        <v>4343</v>
      </c>
      <c r="X361" s="5" t="s">
        <v>4341</v>
      </c>
      <c r="Y361" s="10" t="str">
        <f>IF(OR($A361&lt;&gt;"", $G361=""),"",CONCATENATE(";",EscStr(CONCATENATE("NavNode_",getCategoryLevelAsString($B361))),";",EscStr($J361),";",IF($B361&lt;&gt;"","""MainNavNode""",EscStr(CONCATENATE("NavNode_",getSuperCategory($B361, getCategoryLevelAsNumber($B361))))),";"))</f>
        <v>;"NavNode_L3D_543274";"Network Attached Storage (NAS) / Power-line Communication";"NavNode_L2D_542982";</v>
      </c>
      <c r="Z361" s="10" t="str">
        <f>IF(getCategoryLevelAsString($B361)="L0D_324785","",IF(G361="",CONCATENATE(";",EscStr(CONCATENATE("NavNode_",getCategoryLevelAsString($B361))),";",EscStr($J361),";"),CONCATENATE(";",EscStr(CONCATENATE("NavNode_",getCategoryLevelAsString($B361))),";",EscStr(G361),";")))</f>
        <v>;"NavNode_L3D_543274";"Netzwerkspeicher (NAS) / Powerline";</v>
      </c>
      <c r="AA361" s="10" t="str">
        <f>IF(getCategoryLevelAsString($B361)="L0D_324785","",IF(H361="",CONCATENATE(";",EscStr(CONCATENATE("NavNode_",getCategoryLevelAsString($B361))),";",EscStr($J361),";"),CONCATENATE(";",EscStr(CONCATENATE("NavNode_",getCategoryLevelAsString($B361))),";",EscStr(H361),";")))</f>
        <v>;"NavNode_L3D_543274";"Stockage en réseau NAS / Courants porteurs en ligne";</v>
      </c>
      <c r="AB361" s="10" t="str">
        <f>IF(getCategoryLevelAsString($B361)="L0D_324785","",IF(I361="",CONCATENATE(";",EscStr(CONCATENATE("NavNode_",getCategoryLevelAsString($B361))),";",EscStr($J361),";"),CONCATENATE(";",EscStr(CONCATENATE("NavNode_",getCategoryLevelAsString($B361))),";",EscStr(I361),";")))</f>
        <v>;"NavNode_L3D_543274";"Network Attached Storage (NAS) / Comunicazioni Power-line (su rete elettrica)";</v>
      </c>
      <c r="AC361" s="10" t="str">
        <f>IF(getCategoryLevelAsString($B361)="L0D_324785","",IF(J361="",CONCATENATE(";",EscStr(CONCATENATE("NavNode_",getCategoryLevelAsString($B361))),";",EscStr($J361),";"),CONCATENATE(";",EscStr(CONCATENATE("NavNode_",getCategoryLevelAsString($B361))),";",EscStr(J361),";")))</f>
        <v>;"NavNode_L3D_543274";"Network Attached Storage (NAS) / Power-line Communication";</v>
      </c>
      <c r="AD361" s="10" t="str">
        <f>IF(getCategoryLevelAsString($B361)="L0D_324785","",IF(K361="",CONCATENATE(";",EscStr(CONCATENATE("NavNode_",getCategoryLevelAsString($B361))),";",EscStr($J361),";"),CONCATENATE(";",EscStr(CONCATENATE("NavNode_",getCategoryLevelAsString($B361))),";",EscStr(K361),";")))</f>
        <v>;"NavNode_L3D_543274";"Netværkstilknyttet arkivering (NAS)/ledningsbåret kommunikation";</v>
      </c>
      <c r="AE361" s="10" t="str">
        <f>IF(getCategoryLevelAsString($B361)="L0D_324785","",IF(L361="",CONCATENATE(";",EscStr(CONCATENATE("NavNode_",getCategoryLevelAsString($B361))),";",EscStr($J361),";"),CONCATENATE(";",EscStr(CONCATENATE("NavNode_",getCategoryLevelAsString($B361))),";",EscStr(L361),";")))</f>
        <v>;"NavNode_L3D_543274";"Prie tinklo prijungti saugojimo įrenginiai (NAS) / maitinimo linijos ryšys";</v>
      </c>
      <c r="AF361" s="10" t="str">
        <f>IF(getCategoryLevelAsString($B361)="L0D_324785","",IF(M361="",CONCATENATE(";",EscStr(CONCATENATE("NavNode_",getCategoryLevelAsString($B361))),";",EscStr($J361),";"),CONCATENATE(";",EscStr(CONCATENATE("NavNode_",getCategoryLevelAsString($B361))),";",EscStr(M361),";")))</f>
        <v>;"NavNode_L3D_543274";"Nettverkstilsluttet datalager (NAS) / powerline-kommunikasjon";</v>
      </c>
      <c r="AG361" s="10" t="str">
        <f>IF(getCategoryLevelAsString($B361)="L0D_324785","",IF(N361="",CONCATENATE(";",EscStr(CONCATENATE("NavNode_",getCategoryLevelAsString($B361))),";",EscStr($J361),";"),CONCATENATE(";",EscStr(CONCATENATE("NavNode_",getCategoryLevelAsString($B361))),";",EscStr(N361),";")))</f>
        <v>;"NavNode_L3D_543274";"NAS (Network Attached Storage)/Strömledningskommunikation";</v>
      </c>
      <c r="AH361" s="10" t="str">
        <f>IF(getCategoryLevelAsString($B361)="L0D_324785","",IF(O361="",CONCATENATE(";",EscStr(CONCATENATE("NavNode_",getCategoryLevelAsString($B361))),";",EscStr($J361),";"),CONCATENATE(";",EscStr(CONCATENATE("NavNode_",getCategoryLevelAsString($B361))),";",EscStr(O361),";")))</f>
        <v>;"NavNode_L3D_543274";"Andmeserverid (NAS) / LAN elektrivõrgu vahendusel";</v>
      </c>
      <c r="AI361" s="10" t="str">
        <f>IF(getCategoryLevelAsString($B361)="L0D_324785","",IF(P361="",CONCATENATE(";",EscStr(CONCATENATE("NavNode_",getCategoryLevelAsString($B361))),";",EscStr($J361),";"),CONCATENATE(";",EscStr(CONCATENATE("NavNode_",getCategoryLevelAsString($B361))),";",EscStr(P361),";")))</f>
        <v>;"NavNode_L3D_543274";"NAS-tallentimet";</v>
      </c>
      <c r="AJ361" s="10" t="str">
        <f>IF(getCategoryLevelAsString($B361)="L0D_324785","",IF(Q361="",CONCATENATE(";",EscStr(CONCATENATE("NavNode_",getCategoryLevelAsString($B361))),";",EscStr($J361),";"),CONCATENATE(";",EscStr(CONCATENATE("NavNode_",getCategoryLevelAsString($B361))),";",EscStr(Q361),";")))</f>
        <v>;"NavNode_L3D_543274";"Network Attached Storage (NAC) / barošanas līnijas komunikācija";</v>
      </c>
      <c r="AK361" s="10" t="str">
        <f>IF(getCategoryLevelAsString($B361)="L0D_324785","",IF(R361="",CONCATENATE(";",EscStr(CONCATENATE("NavNode_",getCategoryLevelAsString($B361))),";",EscStr($J361),";"),CONCATENATE(";",EscStr(CONCATENATE("NavNode_",getCategoryLevelAsString($B361))),";",EscStr(R361),";")))</f>
        <v>;"NavNode_L3D_543274";"Network Attached Storage (NAS) / Power-line Communicatie";</v>
      </c>
      <c r="AL361" s="10" t="str">
        <f>IF(getCategoryLevelAsString($B361)="L0D_324785","",IF(S361="",CONCATENATE(";",EscStr(CONCATENATE("NavNode_",getCategoryLevelAsString($B361))),";",EscStr($J361),";"),CONCATENATE(";",EscStr(CONCATENATE("NavNode_",getCategoryLevelAsString($B361))),";",EscStr(S361),";")))</f>
        <v>;"NavNode_L3D_543274";"NAS Sieciowa pamięć masowa / Komunikacja po sieci energetycznej";</v>
      </c>
      <c r="AM361" s="10" t="str">
        <f>IF(getCategoryLevelAsString($B361)="L0D_324785","",IF(T361="",CONCATENATE(";",EscStr(CONCATENATE("NavNode_",getCategoryLevelAsString($B361))),";",EscStr($J361),";"),CONCATENATE(";",EscStr(CONCATENATE("NavNode_",getCategoryLevelAsString($B361))),";",EscStr(T361),";")))</f>
        <v>;"NavNode_L3D_543274";"Устройства передачи данных через электросеть";</v>
      </c>
      <c r="AN361" s="10" t="str">
        <f>IF(getCategoryLevelAsString($B361)="L0D_324785","",IF(U361="",CONCATENATE(";",EscStr(CONCATENATE("NavNode_",getCategoryLevelAsString($B361))),";",EscStr($J361),";"),CONCATENATE(";",EscStr(CONCATENATE("NavNode_",getCategoryLevelAsString($B361))),";",EscStr(U361),";")))</f>
        <v>;"NavNode_L3D_543274";"Síťové úložiště (NAS) / Elektrické vedení";</v>
      </c>
      <c r="AO361" s="10" t="str">
        <f>IF(getCategoryLevelAsString($B361)="L0D_324785","",IF(V361="",CONCATENATE(";",EscStr(CONCATENATE("NavNode_",getCategoryLevelAsString($B361))),";",EscStr($J361),";"),CONCATENATE(";",EscStr(CONCATENATE("NavNode_",getCategoryLevelAsString($B361))),";",EscStr(V361),";")))</f>
        <v>;"NavNode_L3D_543274";"Memorie pentru Reţea (NAS) / Powerline";</v>
      </c>
      <c r="AP361" s="10" t="str">
        <f>IF(getCategoryLevelAsString($B361)="L0D_324785","",IF(W361="",CONCATENATE(";",EscStr(CONCATENATE("NavNode_",getCategoryLevelAsString($B361))),";",EscStr($J361),";"),CONCATENATE(";",EscStr(CONCATENATE("NavNode_",getCategoryLevelAsString($B361))),";",EscStr(W361),";")))</f>
        <v>;"NavNode_L3D_543274";"Adathálózati tároló (NAS) / Powerline";</v>
      </c>
      <c r="AQ361" s="10" t="str">
        <f>IF(getCategoryLevelAsString($B361)="L0D_324785","",IF(X361="",CONCATENATE(";",EscStr(CONCATENATE("NavNode_",getCategoryLevelAsString($B361))),";",EscStr($J361),";"),CONCATENATE(";",EscStr(CONCATENATE("NavNode_",getCategoryLevelAsString($B361))),";",EscStr(X361),";")))</f>
        <v>;"NavNode_L3D_543274";"Síťové úložiště (NAS) / Elektrické vedení";</v>
      </c>
      <c r="AR361" s="8" t="str">
        <f>IF(OR($A361&lt;&gt;"", $G361=""),"",CONCATENATE(";",EscStr(CONCATENATE("NavEntry_",getCategoryLevelAsString($B361))),";",EscStr(CONCATENATE($J361," Navigation Entry")),";",EscStr(CONCATENATE("cat-",getCategoryLevelAsString($B361))),";",EscStr(CONCATENATE("NavNode_",getCategoryLevelAsString($B361))),";"))</f>
        <v>;"NavEntry_L3D_543274";"Network Attached Storage (NAS) / Power-line Communication Navigation Entry";"cat-L3D_543274";"NavNode_L3D_543274";</v>
      </c>
    </row>
    <row r="362" spans="1:44" ht="15" x14ac:dyDescent="0.25">
      <c r="A362" s="25"/>
      <c r="B362" s="5"/>
      <c r="C362" s="5"/>
      <c r="D362" s="5" t="s">
        <v>599</v>
      </c>
      <c r="E362" s="5"/>
      <c r="F362" s="5"/>
      <c r="G362" s="5" t="s">
        <v>1008</v>
      </c>
      <c r="H362" s="5" t="s">
        <v>767</v>
      </c>
      <c r="I362" s="5" t="s">
        <v>658</v>
      </c>
      <c r="J362" s="5" t="s">
        <v>868</v>
      </c>
      <c r="K362" s="5" t="s">
        <v>1399</v>
      </c>
      <c r="L362" s="5" t="s">
        <v>1635</v>
      </c>
      <c r="M362" s="5" t="s">
        <v>1837</v>
      </c>
      <c r="N362" s="5" t="s">
        <v>2054</v>
      </c>
      <c r="O362" s="5" t="s">
        <v>4344</v>
      </c>
      <c r="P362" s="5" t="s">
        <v>4345</v>
      </c>
      <c r="Q362" s="5" t="s">
        <v>4346</v>
      </c>
      <c r="R362" s="5" t="s">
        <v>4347</v>
      </c>
      <c r="S362" s="5" t="s">
        <v>4348</v>
      </c>
      <c r="T362" s="5" t="s">
        <v>4349</v>
      </c>
      <c r="U362" s="5" t="s">
        <v>4350</v>
      </c>
      <c r="V362" s="5" t="s">
        <v>4351</v>
      </c>
      <c r="W362" s="5" t="s">
        <v>4352</v>
      </c>
      <c r="X362" s="5" t="s">
        <v>4350</v>
      </c>
      <c r="Y362" s="10" t="str">
        <f>IF(OR($A362&lt;&gt;"", $G362=""),"",CONCATENATE(";",EscStr(CONCATENATE("NavNode_",getCategoryLevelAsString($B362))),";",EscStr($J362),";",IF($B362&lt;&gt;"","""MainNavNode""",EscStr(CONCATENATE("NavNode_",getSuperCategory($B362, getCategoryLevelAsNumber($B362))))),";"))</f>
        <v>;"NavNode_L3D_543276";"Landline Products / Office Headsets";"NavNode_L2D_542982";</v>
      </c>
      <c r="Z362" s="10" t="str">
        <f>IF(getCategoryLevelAsString($B362)="L0D_324785","",IF(G362="",CONCATENATE(";",EscStr(CONCATENATE("NavNode_",getCategoryLevelAsString($B362))),";",EscStr($J362),";"),CONCATENATE(";",EscStr(CONCATENATE("NavNode_",getCategoryLevelAsString($B362))),";",EscStr(G362),";")))</f>
        <v>;"NavNode_L3D_543276";"Festnetzprodukte / Sprechgarnituren";</v>
      </c>
      <c r="AA362" s="10" t="str">
        <f>IF(getCategoryLevelAsString($B362)="L0D_324785","",IF(H362="",CONCATENATE(";",EscStr(CONCATENATE("NavNode_",getCategoryLevelAsString($B362))),";",EscStr($J362),";"),CONCATENATE(";",EscStr(CONCATENATE("NavNode_",getCategoryLevelAsString($B362))),";",EscStr(H362),";")))</f>
        <v>;"NavNode_L3D_543276";"Produits pour ligne fixe / Casques de bureau";</v>
      </c>
      <c r="AB362" s="10" t="str">
        <f>IF(getCategoryLevelAsString($B362)="L0D_324785","",IF(I362="",CONCATENATE(";",EscStr(CONCATENATE("NavNode_",getCategoryLevelAsString($B362))),";",EscStr($J362),";"),CONCATENATE(";",EscStr(CONCATENATE("NavNode_",getCategoryLevelAsString($B362))),";",EscStr(I362),";")))</f>
        <v>;"NavNode_L3D_543276";"Prodotti per linea telefonica fissa / Cuffie da ufficio";</v>
      </c>
      <c r="AC362" s="10" t="str">
        <f>IF(getCategoryLevelAsString($B362)="L0D_324785","",IF(J362="",CONCATENATE(";",EscStr(CONCATENATE("NavNode_",getCategoryLevelAsString($B362))),";",EscStr($J362),";"),CONCATENATE(";",EscStr(CONCATENATE("NavNode_",getCategoryLevelAsString($B362))),";",EscStr(J362),";")))</f>
        <v>;"NavNode_L3D_543276";"Landline Products / Office Headsets";</v>
      </c>
      <c r="AD362" s="10" t="str">
        <f>IF(getCategoryLevelAsString($B362)="L0D_324785","",IF(K362="",CONCATENATE(";",EscStr(CONCATENATE("NavNode_",getCategoryLevelAsString($B362))),";",EscStr($J362),";"),CONCATENATE(";",EscStr(CONCATENATE("NavNode_",getCategoryLevelAsString($B362))),";",EscStr(K362),";")))</f>
        <v>;"NavNode_L3D_543276";"Landline-produkter/kontor-headset";</v>
      </c>
      <c r="AE362" s="10" t="str">
        <f>IF(getCategoryLevelAsString($B362)="L0D_324785","",IF(L362="",CONCATENATE(";",EscStr(CONCATENATE("NavNode_",getCategoryLevelAsString($B362))),";",EscStr($J362),";"),CONCATENATE(";",EscStr(CONCATENATE("NavNode_",getCategoryLevelAsString($B362))),";",EscStr(L362),";")))</f>
        <v>;"NavNode_L3D_543276";"Fiksuotos linijos gaminiai / biuro ausinės";</v>
      </c>
      <c r="AF362" s="10" t="str">
        <f>IF(getCategoryLevelAsString($B362)="L0D_324785","",IF(M362="",CONCATENATE(";",EscStr(CONCATENATE("NavNode_",getCategoryLevelAsString($B362))),";",EscStr($J362),";"),CONCATENATE(";",EscStr(CONCATENATE("NavNode_",getCategoryLevelAsString($B362))),";",EscStr(M362),";")))</f>
        <v>;"NavNode_L3D_543276";"Landkabelprodukter/kontorhodetelefoner";</v>
      </c>
      <c r="AG362" s="10" t="str">
        <f>IF(getCategoryLevelAsString($B362)="L0D_324785","",IF(N362="",CONCATENATE(";",EscStr(CONCATENATE("NavNode_",getCategoryLevelAsString($B362))),";",EscStr($J362),";"),CONCATENATE(";",EscStr(CONCATENATE("NavNode_",getCategoryLevelAsString($B362))),";",EscStr(N362),";")))</f>
        <v>;"NavNode_L3D_543276";"Landlinjeprodukter/Kontorsheadset";</v>
      </c>
      <c r="AH362" s="10" t="str">
        <f>IF(getCategoryLevelAsString($B362)="L0D_324785","",IF(O362="",CONCATENATE(";",EscStr(CONCATENATE("NavNode_",getCategoryLevelAsString($B362))),";",EscStr($J362),";"),CONCATENATE(";",EscStr(CONCATENATE("NavNode_",getCategoryLevelAsString($B362))),";",EscStr(O362),";")))</f>
        <v>;"NavNode_L3D_543276";"Lauatelefonide tooted / Peakomplektid";</v>
      </c>
      <c r="AI362" s="10" t="str">
        <f>IF(getCategoryLevelAsString($B362)="L0D_324785","",IF(P362="",CONCATENATE(";",EscStr(CONCATENATE("NavNode_",getCategoryLevelAsString($B362))),";",EscStr($J362),";"),CONCATENATE(";",EscStr(CONCATENATE("NavNode_",getCategoryLevelAsString($B362))),";",EscStr(P362),";")))</f>
        <v>;"NavNode_L3D_543276";"Kuulokkeet";</v>
      </c>
      <c r="AJ362" s="10" t="str">
        <f>IF(getCategoryLevelAsString($B362)="L0D_324785","",IF(Q362="",CONCATENATE(";",EscStr(CONCATENATE("NavNode_",getCategoryLevelAsString($B362))),";",EscStr($J362),";"),CONCATENATE(";",EscStr(CONCATENATE("NavNode_",getCategoryLevelAsString($B362))),";",EscStr(Q362),";")))</f>
        <v>;"NavNode_L3D_543276";"Telefonijas produkti / Biroja austiņas";</v>
      </c>
      <c r="AK362" s="10" t="str">
        <f>IF(getCategoryLevelAsString($B362)="L0D_324785","",IF(R362="",CONCATENATE(";",EscStr(CONCATENATE("NavNode_",getCategoryLevelAsString($B362))),";",EscStr($J362),";"),CONCATENATE(";",EscStr(CONCATENATE("NavNode_",getCategoryLevelAsString($B362))),";",EscStr(R362),";")))</f>
        <v>;"NavNode_L3D_543276";"Telefoons / Hoofdtelefoons";</v>
      </c>
      <c r="AL362" s="10" t="str">
        <f>IF(getCategoryLevelAsString($B362)="L0D_324785","",IF(S362="",CONCATENATE(";",EscStr(CONCATENATE("NavNode_",getCategoryLevelAsString($B362))),";",EscStr($J362),";"),CONCATENATE(";",EscStr(CONCATENATE("NavNode_",getCategoryLevelAsString($B362))),";",EscStr(S362),";")))</f>
        <v>;"NavNode_L3D_543276";"Telefonia stacjonarna/Słuchawki biurowe";</v>
      </c>
      <c r="AM362" s="10" t="str">
        <f>IF(getCategoryLevelAsString($B362)="L0D_324785","",IF(T362="",CONCATENATE(";",EscStr(CONCATENATE("NavNode_",getCategoryLevelAsString($B362))),";",EscStr($J362),";"),CONCATENATE(";",EscStr(CONCATENATE("NavNode_",getCategoryLevelAsString($B362))),";",EscStr(T362),";")))</f>
        <v>;"NavNode_L3D_543276";"Продукты телефонии   / Офисные наушники";</v>
      </c>
      <c r="AN362" s="10" t="str">
        <f>IF(getCategoryLevelAsString($B362)="L0D_324785","",IF(U362="",CONCATENATE(";",EscStr(CONCATENATE("NavNode_",getCategoryLevelAsString($B362))),";",EscStr($J362),";"),CONCATENATE(";",EscStr(CONCATENATE("NavNode_",getCategoryLevelAsString($B362))),";",EscStr(U362),";")))</f>
        <v>;"NavNode_L3D_543276";"Síťové produkty / Headsety";</v>
      </c>
      <c r="AO362" s="10" t="str">
        <f>IF(getCategoryLevelAsString($B362)="L0D_324785","",IF(V362="",CONCATENATE(";",EscStr(CONCATENATE("NavNode_",getCategoryLevelAsString($B362))),";",EscStr($J362),";"),CONCATENATE(";",EscStr(CONCATENATE("NavNode_",getCategoryLevelAsString($B362))),";",EscStr(V362),";")))</f>
        <v>;"NavNode_L3D_543276";"Produse pentru reţeaua fixă / Garnituri de telefonie";</v>
      </c>
      <c r="AP362" s="10" t="str">
        <f>IF(getCategoryLevelAsString($B362)="L0D_324785","",IF(W362="",CONCATENATE(";",EscStr(CONCATENATE("NavNode_",getCategoryLevelAsString($B362))),";",EscStr($J362),";"),CONCATENATE(";",EscStr(CONCATENATE("NavNode_",getCategoryLevelAsString($B362))),";",EscStr(W362),";")))</f>
        <v>;"NavNode_L3D_543276";"Vezetéknélküli eszközök / Fejbeszélők";</v>
      </c>
      <c r="AQ362" s="10" t="str">
        <f>IF(getCategoryLevelAsString($B362)="L0D_324785","",IF(X362="",CONCATENATE(";",EscStr(CONCATENATE("NavNode_",getCategoryLevelAsString($B362))),";",EscStr($J362),";"),CONCATENATE(";",EscStr(CONCATENATE("NavNode_",getCategoryLevelAsString($B362))),";",EscStr(X362),";")))</f>
        <v>;"NavNode_L3D_543276";"Síťové produkty / Headsety";</v>
      </c>
      <c r="AR362" s="8" t="str">
        <f>IF(OR($A362&lt;&gt;"", $G362=""),"",CONCATENATE(";",EscStr(CONCATENATE("NavEntry_",getCategoryLevelAsString($B362))),";",EscStr(CONCATENATE($J362," Navigation Entry")),";",EscStr(CONCATENATE("cat-",getCategoryLevelAsString($B362))),";",EscStr(CONCATENATE("NavNode_",getCategoryLevelAsString($B362))),";"))</f>
        <v>;"NavEntry_L3D_543276";"Landline Products / Office Headsets Navigation Entry";"cat-L3D_543276";"NavNode_L3D_543276";</v>
      </c>
    </row>
    <row r="363" spans="1:44" ht="15" x14ac:dyDescent="0.25">
      <c r="A363" s="25"/>
      <c r="B363" s="5"/>
      <c r="C363" s="5"/>
      <c r="D363" s="5" t="s">
        <v>600</v>
      </c>
      <c r="E363" s="5"/>
      <c r="F363" s="5"/>
      <c r="G363" s="5" t="s">
        <v>1009</v>
      </c>
      <c r="H363" s="5" t="s">
        <v>768</v>
      </c>
      <c r="I363" s="5" t="s">
        <v>659</v>
      </c>
      <c r="J363" s="5" t="s">
        <v>869</v>
      </c>
      <c r="K363" s="5" t="s">
        <v>1400</v>
      </c>
      <c r="L363" s="5" t="s">
        <v>1636</v>
      </c>
      <c r="M363" s="5" t="s">
        <v>1838</v>
      </c>
      <c r="N363" s="5" t="s">
        <v>2055</v>
      </c>
      <c r="O363" s="5" t="s">
        <v>4353</v>
      </c>
      <c r="P363" s="5" t="s">
        <v>4354</v>
      </c>
      <c r="Q363" s="5" t="s">
        <v>4355</v>
      </c>
      <c r="R363" s="5" t="s">
        <v>4356</v>
      </c>
      <c r="S363" s="5" t="s">
        <v>4357</v>
      </c>
      <c r="T363" s="5" t="s">
        <v>4358</v>
      </c>
      <c r="U363" s="5" t="s">
        <v>4359</v>
      </c>
      <c r="V363" s="5" t="s">
        <v>4360</v>
      </c>
      <c r="W363" s="5" t="s">
        <v>4361</v>
      </c>
      <c r="X363" s="5" t="s">
        <v>4359</v>
      </c>
      <c r="Y363" s="10" t="str">
        <f>IF(OR($A363&lt;&gt;"", $G363=""),"",CONCATENATE(";",EscStr(CONCATENATE("NavNode_",getCategoryLevelAsString($B363))),";",EscStr($J363),";",IF($B363&lt;&gt;"","""MainNavNode""",EscStr(CONCATENATE("NavNode_",getSuperCategory($B363, getCategoryLevelAsNumber($B363))))),";"))</f>
        <v>;"NavNode_L2D_542978";"Smartphones / Mobiles / Accessories";"NavNode_Computing / Office";</v>
      </c>
      <c r="Z363" s="10" t="str">
        <f>IF(getCategoryLevelAsString($B363)="L0D_324785","",IF(G363="",CONCATENATE(";",EscStr(CONCATENATE("NavNode_",getCategoryLevelAsString($B363))),";",EscStr($J363),";"),CONCATENATE(";",EscStr(CONCATENATE("NavNode_",getCategoryLevelAsString($B363))),";",EscStr(G363),";")))</f>
        <v>;"NavNode_L2D_542978";"Mobiltelefone / Zubehör";</v>
      </c>
      <c r="AA363" s="10" t="str">
        <f>IF(getCategoryLevelAsString($B363)="L0D_324785","",IF(H363="",CONCATENATE(";",EscStr(CONCATENATE("NavNode_",getCategoryLevelAsString($B363))),";",EscStr($J363),";"),CONCATENATE(";",EscStr(CONCATENATE("NavNode_",getCategoryLevelAsString($B363))),";",EscStr(H363),";")))</f>
        <v>;"NavNode_L2D_542978";"Smartphones / Téléphones portables / Accessoires";</v>
      </c>
      <c r="AB363" s="10" t="str">
        <f>IF(getCategoryLevelAsString($B363)="L0D_324785","",IF(I363="",CONCATENATE(";",EscStr(CONCATENATE("NavNode_",getCategoryLevelAsString($B363))),";",EscStr($J363),";"),CONCATENATE(";",EscStr(CONCATENATE("NavNode_",getCategoryLevelAsString($B363))),";",EscStr(I363),";")))</f>
        <v>;"NavNode_L2D_542978";"Smartphone / cellulari / accessori";</v>
      </c>
      <c r="AC363" s="10" t="str">
        <f>IF(getCategoryLevelAsString($B363)="L0D_324785","",IF(J363="",CONCATENATE(";",EscStr(CONCATENATE("NavNode_",getCategoryLevelAsString($B363))),";",EscStr($J363),";"),CONCATENATE(";",EscStr(CONCATENATE("NavNode_",getCategoryLevelAsString($B363))),";",EscStr(J363),";")))</f>
        <v>;"NavNode_L2D_542978";"Smartphones / Mobiles / Accessories";</v>
      </c>
      <c r="AD363" s="10" t="str">
        <f>IF(getCategoryLevelAsString($B363)="L0D_324785","",IF(K363="",CONCATENATE(";",EscStr(CONCATENATE("NavNode_",getCategoryLevelAsString($B363))),";",EscStr($J363),";"),CONCATENATE(";",EscStr(CONCATENATE("NavNode_",getCategoryLevelAsString($B363))),";",EscStr(K363),";")))</f>
        <v>;"NavNode_L2D_542978";"Smartphones/mobiltelefoner/tilbehør";</v>
      </c>
      <c r="AE363" s="10" t="str">
        <f>IF(getCategoryLevelAsString($B363)="L0D_324785","",IF(L363="",CONCATENATE(";",EscStr(CONCATENATE("NavNode_",getCategoryLevelAsString($B363))),";",EscStr($J363),";"),CONCATENATE(";",EscStr(CONCATENATE("NavNode_",getCategoryLevelAsString($B363))),";",EscStr(L363),";")))</f>
        <v>;"NavNode_L2D_542978";"Išmanieji telefonai / mobilieji įrenginiai / priedai";</v>
      </c>
      <c r="AF363" s="10" t="str">
        <f>IF(getCategoryLevelAsString($B363)="L0D_324785","",IF(M363="",CONCATENATE(";",EscStr(CONCATENATE("NavNode_",getCategoryLevelAsString($B363))),";",EscStr($J363),";"),CONCATENATE(";",EscStr(CONCATENATE("NavNode_",getCategoryLevelAsString($B363))),";",EscStr(M363),";")))</f>
        <v>;"NavNode_L2D_542978";"Smarttelefoner/mobiltelefoner/tilbehør";</v>
      </c>
      <c r="AG363" s="10" t="str">
        <f>IF(getCategoryLevelAsString($B363)="L0D_324785","",IF(N363="",CONCATENATE(";",EscStr(CONCATENATE("NavNode_",getCategoryLevelAsString($B363))),";",EscStr($J363),";"),CONCATENATE(";",EscStr(CONCATENATE("NavNode_",getCategoryLevelAsString($B363))),";",EscStr(N363),";")))</f>
        <v>;"NavNode_L2D_542978";"Smarttelefoner/Mobiltelefoner/Tillbehör";</v>
      </c>
      <c r="AH363" s="10" t="str">
        <f>IF(getCategoryLevelAsString($B363)="L0D_324785","",IF(O363="",CONCATENATE(";",EscStr(CONCATENATE("NavNode_",getCategoryLevelAsString($B363))),";",EscStr($J363),";"),CONCATENATE(";",EscStr(CONCATENATE("NavNode_",getCategoryLevelAsString($B363))),";",EscStr(O363),";")))</f>
        <v>;"NavNode_L2D_542978";"Nutitelefonid / Mobiiltelefonid / Tarvikud";</v>
      </c>
      <c r="AI363" s="10" t="str">
        <f>IF(getCategoryLevelAsString($B363)="L0D_324785","",IF(P363="",CONCATENATE(";",EscStr(CONCATENATE("NavNode_",getCategoryLevelAsString($B363))),";",EscStr($J363),";"),CONCATENATE(";",EscStr(CONCATENATE("NavNode_",getCategoryLevelAsString($B363))),";",EscStr(P363),";")))</f>
        <v>;"NavNode_L2D_542978";"Puhelintarvikkeet";</v>
      </c>
      <c r="AJ363" s="10" t="str">
        <f>IF(getCategoryLevelAsString($B363)="L0D_324785","",IF(Q363="",CONCATENATE(";",EscStr(CONCATENATE("NavNode_",getCategoryLevelAsString($B363))),";",EscStr($J363),";"),CONCATENATE(";",EscStr(CONCATENATE("NavNode_",getCategoryLevelAsString($B363))),";",EscStr(Q363),";")))</f>
        <v>;"NavNode_L2D_542978";"Viedtālruņi / Mobilie tālruņi / Piederumi";</v>
      </c>
      <c r="AK363" s="10" t="str">
        <f>IF(getCategoryLevelAsString($B363)="L0D_324785","",IF(R363="",CONCATENATE(";",EscStr(CONCATENATE("NavNode_",getCategoryLevelAsString($B363))),";",EscStr($J363),";"),CONCATENATE(";",EscStr(CONCATENATE("NavNode_",getCategoryLevelAsString($B363))),";",EscStr(R363),";")))</f>
        <v>;"NavNode_L2D_542978";"Smartphones / Mobiele telefoons / Accessoires";</v>
      </c>
      <c r="AL363" s="10" t="str">
        <f>IF(getCategoryLevelAsString($B363)="L0D_324785","",IF(S363="",CONCATENATE(";",EscStr(CONCATENATE("NavNode_",getCategoryLevelAsString($B363))),";",EscStr($J363),";"),CONCATENATE(";",EscStr(CONCATENATE("NavNode_",getCategoryLevelAsString($B363))),";",EscStr(S363),";")))</f>
        <v>;"NavNode_L2D_542978";"Smartfony / Telefony komórkowe / Akcesoria";</v>
      </c>
      <c r="AM363" s="10" t="str">
        <f>IF(getCategoryLevelAsString($B363)="L0D_324785","",IF(T363="",CONCATENATE(";",EscStr(CONCATENATE("NavNode_",getCategoryLevelAsString($B363))),";",EscStr($J363),";"),CONCATENATE(";",EscStr(CONCATENATE("NavNode_",getCategoryLevelAsString($B363))),";",EscStr(T363),";")))</f>
        <v>;"NavNode_L2D_542978";"Смартфоны / Мобильные телефоны / Аксессуары";</v>
      </c>
      <c r="AN363" s="10" t="str">
        <f>IF(getCategoryLevelAsString($B363)="L0D_324785","",IF(U363="",CONCATENATE(";",EscStr(CONCATENATE("NavNode_",getCategoryLevelAsString($B363))),";",EscStr($J363),";"),CONCATENATE(";",EscStr(CONCATENATE("NavNode_",getCategoryLevelAsString($B363))),";",EscStr(U363),";")))</f>
        <v>;"NavNode_L2D_542978";"Mobilní telefony / Příslušenství";</v>
      </c>
      <c r="AO363" s="10" t="str">
        <f>IF(getCategoryLevelAsString($B363)="L0D_324785","",IF(V363="",CONCATENATE(";",EscStr(CONCATENATE("NavNode_",getCategoryLevelAsString($B363))),";",EscStr($J363),";"),CONCATENATE(";",EscStr(CONCATENATE("NavNode_",getCategoryLevelAsString($B363))),";",EscStr(V363),";")))</f>
        <v>;"NavNode_L2D_542978";"Telefoanele mobile / accesorii";</v>
      </c>
      <c r="AP363" s="10" t="str">
        <f>IF(getCategoryLevelAsString($B363)="L0D_324785","",IF(W363="",CONCATENATE(";",EscStr(CONCATENATE("NavNode_",getCategoryLevelAsString($B363))),";",EscStr($J363),";"),CONCATENATE(";",EscStr(CONCATENATE("NavNode_",getCategoryLevelAsString($B363))),";",EscStr(W363),";")))</f>
        <v>;"NavNode_L2D_542978";"Mobiltelefonok / Tartozékok";</v>
      </c>
      <c r="AQ363" s="10" t="str">
        <f>IF(getCategoryLevelAsString($B363)="L0D_324785","",IF(X363="",CONCATENATE(";",EscStr(CONCATENATE("NavNode_",getCategoryLevelAsString($B363))),";",EscStr($J363),";"),CONCATENATE(";",EscStr(CONCATENATE("NavNode_",getCategoryLevelAsString($B363))),";",EscStr(X363),";")))</f>
        <v>;"NavNode_L2D_542978";"Mobilní telefony / Příslušenství";</v>
      </c>
      <c r="AR363" s="8" t="str">
        <f>IF(OR($A363&lt;&gt;"", $G363=""),"",CONCATENATE(";",EscStr(CONCATENATE("NavEntry_",getCategoryLevelAsString($B363))),";",EscStr(CONCATENATE($J363," Navigation Entry")),";",EscStr(CONCATENATE("cat-",getCategoryLevelAsString($B363))),";",EscStr(CONCATENATE("NavNode_",getCategoryLevelAsString($B363))),";"))</f>
        <v>;"NavEntry_L2D_542978";"Smartphones / Mobiles / Accessories Navigation Entry";"cat-L2D_542978";"NavNode_L2D_542978";</v>
      </c>
    </row>
    <row r="364" spans="1:44" ht="15" x14ac:dyDescent="0.25">
      <c r="A364" s="25"/>
      <c r="B364" s="5"/>
      <c r="C364" s="5"/>
      <c r="D364" s="5" t="s">
        <v>601</v>
      </c>
      <c r="E364" s="5"/>
      <c r="F364" s="5"/>
      <c r="G364" s="5" t="s">
        <v>1010</v>
      </c>
      <c r="H364" s="5" t="s">
        <v>769</v>
      </c>
      <c r="I364" s="5" t="s">
        <v>660</v>
      </c>
      <c r="J364" s="5" t="s">
        <v>870</v>
      </c>
      <c r="K364" s="5" t="s">
        <v>1401</v>
      </c>
      <c r="L364" s="5" t="s">
        <v>1637</v>
      </c>
      <c r="M364" s="5" t="s">
        <v>1839</v>
      </c>
      <c r="N364" s="5" t="s">
        <v>2056</v>
      </c>
      <c r="O364" s="5" t="s">
        <v>4362</v>
      </c>
      <c r="P364" s="5" t="s">
        <v>4363</v>
      </c>
      <c r="Q364" s="5" t="s">
        <v>4364</v>
      </c>
      <c r="R364" s="5" t="s">
        <v>870</v>
      </c>
      <c r="S364" s="5" t="s">
        <v>4365</v>
      </c>
      <c r="T364" s="5" t="s">
        <v>4366</v>
      </c>
      <c r="U364" s="5" t="s">
        <v>4367</v>
      </c>
      <c r="V364" s="5" t="s">
        <v>4368</v>
      </c>
      <c r="W364" s="5" t="s">
        <v>4369</v>
      </c>
      <c r="X364" s="5" t="s">
        <v>4367</v>
      </c>
      <c r="Y364" s="10" t="str">
        <f>IF(OR($A364&lt;&gt;"", $G364=""),"",CONCATENATE(";",EscStr(CONCATENATE("NavNode_",getCategoryLevelAsString($B364))),";",EscStr($J364),";",IF($B364&lt;&gt;"","""MainNavNode""",EscStr(CONCATENATE("NavNode_",getSuperCategory($B364, getCategoryLevelAsNumber($B364))))),";"))</f>
        <v>;"NavNode_L3D_543004";"IP cameras / Voice-over-IP";"NavNode_L2D_542978";</v>
      </c>
      <c r="Z364" s="10" t="str">
        <f>IF(getCategoryLevelAsString($B364)="L0D_324785","",IF(G364="",CONCATENATE(";",EscStr(CONCATENATE("NavNode_",getCategoryLevelAsString($B364))),";",EscStr($J364),";"),CONCATENATE(";",EscStr(CONCATENATE("NavNode_",getCategoryLevelAsString($B364))),";",EscStr(G364),";")))</f>
        <v>;"NavNode_L3D_543004";"IP-Kameras / Voice-over-IP";</v>
      </c>
      <c r="AA364" s="10" t="str">
        <f>IF(getCategoryLevelAsString($B364)="L0D_324785","",IF(H364="",CONCATENATE(";",EscStr(CONCATENATE("NavNode_",getCategoryLevelAsString($B364))),";",EscStr($J364),";"),CONCATENATE(";",EscStr(CONCATENATE("NavNode_",getCategoryLevelAsString($B364))),";",EscStr(H364),";")))</f>
        <v>;"NavNode_L3D_543004";"Caméras IP/ Voix sur IP";</v>
      </c>
      <c r="AB364" s="10" t="str">
        <f>IF(getCategoryLevelAsString($B364)="L0D_324785","",IF(I364="",CONCATENATE(";",EscStr(CONCATENATE("NavNode_",getCategoryLevelAsString($B364))),";",EscStr($J364),";"),CONCATENATE(";",EscStr(CONCATENATE("NavNode_",getCategoryLevelAsString($B364))),";",EscStr(I364),";")))</f>
        <v>;"NavNode_L3D_543004";"Telecamere IP / Voice-over-IP";</v>
      </c>
      <c r="AC364" s="10" t="str">
        <f>IF(getCategoryLevelAsString($B364)="L0D_324785","",IF(J364="",CONCATENATE(";",EscStr(CONCATENATE("NavNode_",getCategoryLevelAsString($B364))),";",EscStr($J364),";"),CONCATENATE(";",EscStr(CONCATENATE("NavNode_",getCategoryLevelAsString($B364))),";",EscStr(J364),";")))</f>
        <v>;"NavNode_L3D_543004";"IP cameras / Voice-over-IP";</v>
      </c>
      <c r="AD364" s="10" t="str">
        <f>IF(getCategoryLevelAsString($B364)="L0D_324785","",IF(K364="",CONCATENATE(";",EscStr(CONCATENATE("NavNode_",getCategoryLevelAsString($B364))),";",EscStr($J364),";"),CONCATENATE(";",EscStr(CONCATENATE("NavNode_",getCategoryLevelAsString($B364))),";",EscStr(K364),";")))</f>
        <v>;"NavNode_L3D_543004";"IP-kameraer/IP-telefoni";</v>
      </c>
      <c r="AE364" s="10" t="str">
        <f>IF(getCategoryLevelAsString($B364)="L0D_324785","",IF(L364="",CONCATENATE(";",EscStr(CONCATENATE("NavNode_",getCategoryLevelAsString($B364))),";",EscStr($J364),";"),CONCATENATE(";",EscStr(CONCATENATE("NavNode_",getCategoryLevelAsString($B364))),";",EscStr(L364),";")))</f>
        <v>;"NavNode_L3D_543004";"IP kameros / balso perdavimas per IP";</v>
      </c>
      <c r="AF364" s="10" t="str">
        <f>IF(getCategoryLevelAsString($B364)="L0D_324785","",IF(M364="",CONCATENATE(";",EscStr(CONCATENATE("NavNode_",getCategoryLevelAsString($B364))),";",EscStr($J364),";"),CONCATENATE(";",EscStr(CONCATENATE("NavNode_",getCategoryLevelAsString($B364))),";",EscStr(M364),";")))</f>
        <v>;"NavNode_L3D_543004";"IP-kameraer/voiceover-IP";</v>
      </c>
      <c r="AG364" s="10" t="str">
        <f>IF(getCategoryLevelAsString($B364)="L0D_324785","",IF(N364="",CONCATENATE(";",EscStr(CONCATENATE("NavNode_",getCategoryLevelAsString($B364))),";",EscStr($J364),";"),CONCATENATE(";",EscStr(CONCATENATE("NavNode_",getCategoryLevelAsString($B364))),";",EscStr(N364),";")))</f>
        <v>;"NavNode_L3D_543004";"IP-kameror/VoIP";</v>
      </c>
      <c r="AH364" s="10" t="str">
        <f>IF(getCategoryLevelAsString($B364)="L0D_324785","",IF(O364="",CONCATENATE(";",EscStr(CONCATENATE("NavNode_",getCategoryLevelAsString($B364))),";",EscStr($J364),";"),CONCATENATE(";",EscStr(CONCATENATE("NavNode_",getCategoryLevelAsString($B364))),";",EscStr(O364),";")))</f>
        <v>;"NavNode_L3D_543004";"Võrgukaamerad / VoIP";</v>
      </c>
      <c r="AI364" s="10" t="str">
        <f>IF(getCategoryLevelAsString($B364)="L0D_324785","",IF(P364="",CONCATENATE(";",EscStr(CONCATENATE("NavNode_",getCategoryLevelAsString($B364))),";",EscStr($J364),";"),CONCATENATE(";",EscStr(CONCATENATE("NavNode_",getCategoryLevelAsString($B364))),";",EscStr(P364),";")))</f>
        <v>;"NavNode_L3D_543004";"IP kamerat/VoIP";</v>
      </c>
      <c r="AJ364" s="10" t="str">
        <f>IF(getCategoryLevelAsString($B364)="L0D_324785","",IF(Q364="",CONCATENATE(";",EscStr(CONCATENATE("NavNode_",getCategoryLevelAsString($B364))),";",EscStr($J364),";"),CONCATENATE(";",EscStr(CONCATENATE("NavNode_",getCategoryLevelAsString($B364))),";",EscStr(Q364),";")))</f>
        <v>;"NavNode_L3D_543004";"IP kameras / IP telefonija";</v>
      </c>
      <c r="AK364" s="10" t="str">
        <f>IF(getCategoryLevelAsString($B364)="L0D_324785","",IF(R364="",CONCATENATE(";",EscStr(CONCATENATE("NavNode_",getCategoryLevelAsString($B364))),";",EscStr($J364),";"),CONCATENATE(";",EscStr(CONCATENATE("NavNode_",getCategoryLevelAsString($B364))),";",EscStr(R364),";")))</f>
        <v>;"NavNode_L3D_543004";"IP cameras / Voice-over-IP";</v>
      </c>
      <c r="AL364" s="10" t="str">
        <f>IF(getCategoryLevelAsString($B364)="L0D_324785","",IF(S364="",CONCATENATE(";",EscStr(CONCATENATE("NavNode_",getCategoryLevelAsString($B364))),";",EscStr($J364),";"),CONCATENATE(";",EscStr(CONCATENATE("NavNode_",getCategoryLevelAsString($B364))),";",EscStr(S364),";")))</f>
        <v>;"NavNode_L3D_543004";"Kamery internetowe IP / Telefony VoIP";</v>
      </c>
      <c r="AM364" s="10" t="str">
        <f>IF(getCategoryLevelAsString($B364)="L0D_324785","",IF(T364="",CONCATENATE(";",EscStr(CONCATENATE("NavNode_",getCategoryLevelAsString($B364))),";",EscStr($J364),";"),CONCATENATE(";",EscStr(CONCATENATE("NavNode_",getCategoryLevelAsString($B364))),";",EscStr(T364),";")))</f>
        <v>;"NavNode_L3D_543004";"IP Камеры  /IP Камеры с микрофоном";</v>
      </c>
      <c r="AN364" s="10" t="str">
        <f>IF(getCategoryLevelAsString($B364)="L0D_324785","",IF(U364="",CONCATENATE(";",EscStr(CONCATENATE("NavNode_",getCategoryLevelAsString($B364))),";",EscStr($J364),";"),CONCATENATE(";",EscStr(CONCATENATE("NavNode_",getCategoryLevelAsString($B364))),";",EscStr(U364),";")))</f>
        <v>;"NavNode_L3D_543004";"IP kamery / Voice-over-IP";</v>
      </c>
      <c r="AO364" s="10" t="str">
        <f>IF(getCategoryLevelAsString($B364)="L0D_324785","",IF(V364="",CONCATENATE(";",EscStr(CONCATENATE("NavNode_",getCategoryLevelAsString($B364))),";",EscStr($J364),";"),CONCATENATE(";",EscStr(CONCATENATE("NavNode_",getCategoryLevelAsString($B364))),";",EscStr(V364),";")))</f>
        <v>;"NavNode_L3D_543004";"Camere IP / voce peste IP";</v>
      </c>
      <c r="AP364" s="10" t="str">
        <f>IF(getCategoryLevelAsString($B364)="L0D_324785","",IF(W364="",CONCATENATE(";",EscStr(CONCATENATE("NavNode_",getCategoryLevelAsString($B364))),";",EscStr($J364),";"),CONCATENATE(";",EscStr(CONCATENATE("NavNode_",getCategoryLevelAsString($B364))),";",EscStr(W364),";")))</f>
        <v>;"NavNode_L3D_543004";"IP-Kamera / Voice-over-IP";</v>
      </c>
      <c r="AQ364" s="10" t="str">
        <f>IF(getCategoryLevelAsString($B364)="L0D_324785","",IF(X364="",CONCATENATE(";",EscStr(CONCATENATE("NavNode_",getCategoryLevelAsString($B364))),";",EscStr($J364),";"),CONCATENATE(";",EscStr(CONCATENATE("NavNode_",getCategoryLevelAsString($B364))),";",EscStr(X364),";")))</f>
        <v>;"NavNode_L3D_543004";"IP kamery / Voice-over-IP";</v>
      </c>
      <c r="AR364" s="8" t="str">
        <f>IF(OR($A364&lt;&gt;"", $G364=""),"",CONCATENATE(";",EscStr(CONCATENATE("NavEntry_",getCategoryLevelAsString($B364))),";",EscStr(CONCATENATE($J364," Navigation Entry")),";",EscStr(CONCATENATE("cat-",getCategoryLevelAsString($B364))),";",EscStr(CONCATENATE("NavNode_",getCategoryLevelAsString($B364))),";"))</f>
        <v>;"NavEntry_L3D_543004";"IP cameras / Voice-over-IP Navigation Entry";"cat-L3D_543004";"NavNode_L3D_543004";</v>
      </c>
    </row>
    <row r="365" spans="1:44" ht="15" x14ac:dyDescent="0.25">
      <c r="A365" s="25"/>
      <c r="B365" s="5"/>
      <c r="C365" s="5"/>
      <c r="D365" s="5" t="s">
        <v>602</v>
      </c>
      <c r="E365" s="5"/>
      <c r="F365" s="5"/>
      <c r="G365" s="5" t="s">
        <v>1011</v>
      </c>
      <c r="H365" s="5" t="s">
        <v>770</v>
      </c>
      <c r="I365" s="5" t="s">
        <v>661</v>
      </c>
      <c r="J365" s="5" t="s">
        <v>871</v>
      </c>
      <c r="K365" s="5" t="s">
        <v>1402</v>
      </c>
      <c r="L365" s="5" t="s">
        <v>1638</v>
      </c>
      <c r="M365" s="5" t="s">
        <v>1840</v>
      </c>
      <c r="N365" s="5" t="s">
        <v>2057</v>
      </c>
      <c r="O365" s="5" t="s">
        <v>4370</v>
      </c>
      <c r="P365" s="5" t="s">
        <v>4371</v>
      </c>
      <c r="Q365" s="5" t="s">
        <v>4372</v>
      </c>
      <c r="R365" s="5" t="s">
        <v>4373</v>
      </c>
      <c r="S365" s="5" t="s">
        <v>4374</v>
      </c>
      <c r="T365" s="5" t="s">
        <v>4375</v>
      </c>
      <c r="U365" s="5" t="s">
        <v>4376</v>
      </c>
      <c r="V365" s="5" t="s">
        <v>4377</v>
      </c>
      <c r="W365" s="5" t="s">
        <v>4378</v>
      </c>
      <c r="X365" s="5" t="s">
        <v>4376</v>
      </c>
      <c r="Y365" s="10" t="str">
        <f>IF(OR($A365&lt;&gt;"", $G365=""),"",CONCATENATE(";",EscStr(CONCATENATE("NavNode_",getCategoryLevelAsString($B365))),";",EscStr($J365),";",IF($B365&lt;&gt;"","""MainNavNode""",EscStr(CONCATENATE("NavNode_",getSuperCategory($B365, getCategoryLevelAsNumber($B365))))),";"))</f>
        <v>;"NavNode_L3D_543009";"Network cables / Installation material";"NavNode_L2D_542978";</v>
      </c>
      <c r="Z365" s="10" t="str">
        <f>IF(getCategoryLevelAsString($B365)="L0D_324785","",IF(G365="",CONCATENATE(";",EscStr(CONCATENATE("NavNode_",getCategoryLevelAsString($B365))),";",EscStr($J365),";"),CONCATENATE(";",EscStr(CONCATENATE("NavNode_",getCategoryLevelAsString($B365))),";",EscStr(G365),";")))</f>
        <v>;"NavNode_L3D_543009";"Netzwerkkabel / Installationsmaterial";</v>
      </c>
      <c r="AA365" s="10" t="str">
        <f>IF(getCategoryLevelAsString($B365)="L0D_324785","",IF(H365="",CONCATENATE(";",EscStr(CONCATENATE("NavNode_",getCategoryLevelAsString($B365))),";",EscStr($J365),";"),CONCATENATE(";",EscStr(CONCATENATE("NavNode_",getCategoryLevelAsString($B365))),";",EscStr(H365),";")))</f>
        <v>;"NavNode_L3D_543009";"Câbles réseau / Matériel d'installation";</v>
      </c>
      <c r="AB365" s="10" t="str">
        <f>IF(getCategoryLevelAsString($B365)="L0D_324785","",IF(I365="",CONCATENATE(";",EscStr(CONCATENATE("NavNode_",getCategoryLevelAsString($B365))),";",EscStr($J365),";"),CONCATENATE(";",EscStr(CONCATENATE("NavNode_",getCategoryLevelAsString($B365))),";",EscStr(I365),";")))</f>
        <v>;"NavNode_L3D_543009";"Cavi di rete / materiale per assemblaggio";</v>
      </c>
      <c r="AC365" s="10" t="str">
        <f>IF(getCategoryLevelAsString($B365)="L0D_324785","",IF(J365="",CONCATENATE(";",EscStr(CONCATENATE("NavNode_",getCategoryLevelAsString($B365))),";",EscStr($J365),";"),CONCATENATE(";",EscStr(CONCATENATE("NavNode_",getCategoryLevelAsString($B365))),";",EscStr(J365),";")))</f>
        <v>;"NavNode_L3D_543009";"Network cables / Installation material";</v>
      </c>
      <c r="AD365" s="10" t="str">
        <f>IF(getCategoryLevelAsString($B365)="L0D_324785","",IF(K365="",CONCATENATE(";",EscStr(CONCATENATE("NavNode_",getCategoryLevelAsString($B365))),";",EscStr($J365),";"),CONCATENATE(";",EscStr(CONCATENATE("NavNode_",getCategoryLevelAsString($B365))),";",EscStr(K365),";")))</f>
        <v>;"NavNode_L3D_543009";"Netværkskabler/installationsmateriale";</v>
      </c>
      <c r="AE365" s="10" t="str">
        <f>IF(getCategoryLevelAsString($B365)="L0D_324785","",IF(L365="",CONCATENATE(";",EscStr(CONCATENATE("NavNode_",getCategoryLevelAsString($B365))),";",EscStr($J365),";"),CONCATENATE(";",EscStr(CONCATENATE("NavNode_",getCategoryLevelAsString($B365))),";",EscStr(L365),";")))</f>
        <v>;"NavNode_L3D_543009";"Tinklo kabeliai / instaliavimo medžiagos";</v>
      </c>
      <c r="AF365" s="10" t="str">
        <f>IF(getCategoryLevelAsString($B365)="L0D_324785","",IF(M365="",CONCATENATE(";",EscStr(CONCATENATE("NavNode_",getCategoryLevelAsString($B365))),";",EscStr($J365),";"),CONCATENATE(";",EscStr(CONCATENATE("NavNode_",getCategoryLevelAsString($B365))),";",EscStr(M365),";")))</f>
        <v>;"NavNode_L3D_543009";"Nettverkkabler/monteringsmaterialer";</v>
      </c>
      <c r="AG365" s="10" t="str">
        <f>IF(getCategoryLevelAsString($B365)="L0D_324785","",IF(N365="",CONCATENATE(";",EscStr(CONCATENATE("NavNode_",getCategoryLevelAsString($B365))),";",EscStr($J365),";"),CONCATENATE(";",EscStr(CONCATENATE("NavNode_",getCategoryLevelAsString($B365))),";",EscStr(N365),";")))</f>
        <v>;"NavNode_L3D_543009";"Nätverkssladdar/Installationsmaterial";</v>
      </c>
      <c r="AH365" s="10" t="str">
        <f>IF(getCategoryLevelAsString($B365)="L0D_324785","",IF(O365="",CONCATENATE(";",EscStr(CONCATENATE("NavNode_",getCategoryLevelAsString($B365))),";",EscStr($J365),";"),CONCATENATE(";",EscStr(CONCATENATE("NavNode_",getCategoryLevelAsString($B365))),";",EscStr(O365),";")))</f>
        <v>;"NavNode_L3D_543009";"Võrgukaablid / Installatsioonimaterjalid";</v>
      </c>
      <c r="AI365" s="10" t="str">
        <f>IF(getCategoryLevelAsString($B365)="L0D_324785","",IF(P365="",CONCATENATE(";",EscStr(CONCATENATE("NavNode_",getCategoryLevelAsString($B365))),";",EscStr($J365),";"),CONCATENATE(";",EscStr(CONCATENATE("NavNode_",getCategoryLevelAsString($B365))),";",EscStr(P365),";")))</f>
        <v>;"NavNode_L3D_543009";"Verkkokaapelit/asennustarvikkeet";</v>
      </c>
      <c r="AJ365" s="10" t="str">
        <f>IF(getCategoryLevelAsString($B365)="L0D_324785","",IF(Q365="",CONCATENATE(";",EscStr(CONCATENATE("NavNode_",getCategoryLevelAsString($B365))),";",EscStr($J365),";"),CONCATENATE(";",EscStr(CONCATENATE("NavNode_",getCategoryLevelAsString($B365))),";",EscStr(Q365),";")))</f>
        <v>;"NavNode_L3D_543009";"Tīkla kabeļi / Instalācijas materiāli";</v>
      </c>
      <c r="AK365" s="10" t="str">
        <f>IF(getCategoryLevelAsString($B365)="L0D_324785","",IF(R365="",CONCATENATE(";",EscStr(CONCATENATE("NavNode_",getCategoryLevelAsString($B365))),";",EscStr($J365),";"),CONCATENATE(";",EscStr(CONCATENATE("NavNode_",getCategoryLevelAsString($B365))),";",EscStr(R365),";")))</f>
        <v>;"NavNode_L3D_543009";"Network kabels / Installatiemateriaal";</v>
      </c>
      <c r="AL365" s="10" t="str">
        <f>IF(getCategoryLevelAsString($B365)="L0D_324785","",IF(S365="",CONCATENATE(";",EscStr(CONCATENATE("NavNode_",getCategoryLevelAsString($B365))),";",EscStr($J365),";"),CONCATENATE(";",EscStr(CONCATENATE("NavNode_",getCategoryLevelAsString($B365))),";",EscStr(S365),";")))</f>
        <v>;"NavNode_L3D_543009";"Kable sieciowe / Podzespoły instalacyjne";</v>
      </c>
      <c r="AM365" s="10" t="str">
        <f>IF(getCategoryLevelAsString($B365)="L0D_324785","",IF(T365="",CONCATENATE(";",EscStr(CONCATENATE("NavNode_",getCategoryLevelAsString($B365))),";",EscStr($J365),";"),CONCATENATE(";",EscStr(CONCATENATE("NavNode_",getCategoryLevelAsString($B365))),";",EscStr(T365),";")))</f>
        <v>;"NavNode_L3D_543009";"Сетевые кабели / Монтажный материал";</v>
      </c>
      <c r="AN365" s="10" t="str">
        <f>IF(getCategoryLevelAsString($B365)="L0D_324785","",IF(U365="",CONCATENATE(";",EscStr(CONCATENATE("NavNode_",getCategoryLevelAsString($B365))),";",EscStr($J365),";"),CONCATENATE(";",EscStr(CONCATENATE("NavNode_",getCategoryLevelAsString($B365))),";",EscStr(U365),";")))</f>
        <v>;"NavNode_L3D_543009";"Síťový kabel / Instalační materiál";</v>
      </c>
      <c r="AO365" s="10" t="str">
        <f>IF(getCategoryLevelAsString($B365)="L0D_324785","",IF(V365="",CONCATENATE(";",EscStr(CONCATENATE("NavNode_",getCategoryLevelAsString($B365))),";",EscStr($J365),";"),CONCATENATE(";",EscStr(CONCATENATE("NavNode_",getCategoryLevelAsString($B365))),";",EscStr(V365),";")))</f>
        <v>;"NavNode_L3D_543009";"Cablu de retea / material de instalaţii";</v>
      </c>
      <c r="AP365" s="10" t="str">
        <f>IF(getCategoryLevelAsString($B365)="L0D_324785","",IF(W365="",CONCATENATE(";",EscStr(CONCATENATE("NavNode_",getCategoryLevelAsString($B365))),";",EscStr($J365),";"),CONCATENATE(";",EscStr(CONCATENATE("NavNode_",getCategoryLevelAsString($B365))),";",EscStr(W365),";")))</f>
        <v>;"NavNode_L3D_543009";"Adathálózati kábel / Szerelési anyag";</v>
      </c>
      <c r="AQ365" s="10" t="str">
        <f>IF(getCategoryLevelAsString($B365)="L0D_324785","",IF(X365="",CONCATENATE(";",EscStr(CONCATENATE("NavNode_",getCategoryLevelAsString($B365))),";",EscStr($J365),";"),CONCATENATE(";",EscStr(CONCATENATE("NavNode_",getCategoryLevelAsString($B365))),";",EscStr(X365),";")))</f>
        <v>;"NavNode_L3D_543009";"Síťový kabel / Instalační materiál";</v>
      </c>
      <c r="AR365" s="8" t="str">
        <f>IF(OR($A365&lt;&gt;"", $G365=""),"",CONCATENATE(";",EscStr(CONCATENATE("NavEntry_",getCategoryLevelAsString($B365))),";",EscStr(CONCATENATE($J365," Navigation Entry")),";",EscStr(CONCATENATE("cat-",getCategoryLevelAsString($B365))),";",EscStr(CONCATENATE("NavNode_",getCategoryLevelAsString($B365))),";"))</f>
        <v>;"NavEntry_L3D_543009";"Network cables / Installation material Navigation Entry";"cat-L3D_543009";"NavNode_L3D_543009";</v>
      </c>
    </row>
    <row r="366" spans="1:44" ht="15" x14ac:dyDescent="0.25">
      <c r="A366" s="25"/>
      <c r="B366" s="5"/>
      <c r="C366" s="5" t="s">
        <v>617</v>
      </c>
      <c r="D366" s="5"/>
      <c r="E366" s="5"/>
      <c r="F366" s="5"/>
      <c r="G366" s="5" t="s">
        <v>949</v>
      </c>
      <c r="H366" s="5" t="s">
        <v>756</v>
      </c>
      <c r="I366" s="5" t="s">
        <v>668</v>
      </c>
      <c r="J366" s="5" t="s">
        <v>856</v>
      </c>
      <c r="K366" s="5" t="s">
        <v>1387</v>
      </c>
      <c r="L366" s="5" t="s">
        <v>1623</v>
      </c>
      <c r="M366" s="5" t="s">
        <v>1825</v>
      </c>
      <c r="N366" s="5" t="s">
        <v>2042</v>
      </c>
      <c r="O366" s="5" t="s">
        <v>4242</v>
      </c>
      <c r="P366" s="5" t="s">
        <v>4243</v>
      </c>
      <c r="Q366" s="5" t="s">
        <v>4244</v>
      </c>
      <c r="R366" s="5" t="s">
        <v>4245</v>
      </c>
      <c r="S366" s="5" t="s">
        <v>4246</v>
      </c>
      <c r="T366" s="5" t="s">
        <v>4247</v>
      </c>
      <c r="U366" s="5" t="s">
        <v>4248</v>
      </c>
      <c r="V366" s="5" t="s">
        <v>4249</v>
      </c>
      <c r="W366" s="5" t="s">
        <v>4250</v>
      </c>
      <c r="X366" s="5" t="s">
        <v>4248</v>
      </c>
      <c r="Y366" s="10" t="str">
        <f>IF(OR($A366&lt;&gt;"", $G366=""),"",CONCATENATE(";",EscStr(CONCATENATE("NavNode_",getCategoryLevelAsString($B366))),";",EscStr($J366),";",IF($B366&lt;&gt;"","""MainNavNode""",EscStr(CONCATENATE("NavNode_",getSuperCategory($B366, getCategoryLevelAsNumber($B366))))),";"))</f>
        <v>;"NavNode_L3D_543012";"Storage &amp; Peripherals";"NavNode_L2D_542978";</v>
      </c>
      <c r="Z366" s="10" t="str">
        <f>IF(getCategoryLevelAsString($B366)="L0D_324785","",IF(G366="",CONCATENATE(";",EscStr(CONCATENATE("NavNode_",getCategoryLevelAsString($B366))),";",EscStr($J366),";"),CONCATENATE(";",EscStr(CONCATENATE("NavNode_",getCategoryLevelAsString($B366))),";",EscStr(G366),";")))</f>
        <v>;"NavNode_L3D_543012";"Speicher und Peripheriegeräte";</v>
      </c>
      <c r="AA366" s="10" t="str">
        <f>IF(getCategoryLevelAsString($B366)="L0D_324785","",IF(H366="",CONCATENATE(";",EscStr(CONCATENATE("NavNode_",getCategoryLevelAsString($B366))),";",EscStr($J366),";"),CONCATENATE(";",EscStr(CONCATENATE("NavNode_",getCategoryLevelAsString($B366))),";",EscStr(H366),";")))</f>
        <v>;"NavNode_L3D_543012";"Stockage et périphériques";</v>
      </c>
      <c r="AB366" s="10" t="str">
        <f>IF(getCategoryLevelAsString($B366)="L0D_324785","",IF(I366="",CONCATENATE(";",EscStr(CONCATENATE("NavNode_",getCategoryLevelAsString($B366))),";",EscStr($J366),";"),CONCATENATE(";",EscStr(CONCATENATE("NavNode_",getCategoryLevelAsString($B366))),";",EscStr(I366),";")))</f>
        <v>;"NavNode_L3D_543012";"Unità di memorizzazione e periferiche";</v>
      </c>
      <c r="AC366" s="10" t="str">
        <f>IF(getCategoryLevelAsString($B366)="L0D_324785","",IF(J366="",CONCATENATE(";",EscStr(CONCATENATE("NavNode_",getCategoryLevelAsString($B366))),";",EscStr($J366),";"),CONCATENATE(";",EscStr(CONCATENATE("NavNode_",getCategoryLevelAsString($B366))),";",EscStr(J366),";")))</f>
        <v>;"NavNode_L3D_543012";"Storage &amp; Peripherals";</v>
      </c>
      <c r="AD366" s="10" t="str">
        <f>IF(getCategoryLevelAsString($B366)="L0D_324785","",IF(K366="",CONCATENATE(";",EscStr(CONCATENATE("NavNode_",getCategoryLevelAsString($B366))),";",EscStr($J366),";"),CONCATENATE(";",EscStr(CONCATENATE("NavNode_",getCategoryLevelAsString($B366))),";",EscStr(K366),";")))</f>
        <v>;"NavNode_L3D_543012";"Arkivering &amp; perifere enheder";</v>
      </c>
      <c r="AE366" s="10" t="str">
        <f>IF(getCategoryLevelAsString($B366)="L0D_324785","",IF(L366="",CONCATENATE(";",EscStr(CONCATENATE("NavNode_",getCategoryLevelAsString($B366))),";",EscStr($J366),";"),CONCATENATE(";",EscStr(CONCATENATE("NavNode_",getCategoryLevelAsString($B366))),";",EscStr(L366),";")))</f>
        <v>;"NavNode_L3D_543012";"Duomenų saugyklos ir išoriniai įrenginiai";</v>
      </c>
      <c r="AF366" s="10" t="str">
        <f>IF(getCategoryLevelAsString($B366)="L0D_324785","",IF(M366="",CONCATENATE(";",EscStr(CONCATENATE("NavNode_",getCategoryLevelAsString($B366))),";",EscStr($J366),";"),CONCATENATE(";",EscStr(CONCATENATE("NavNode_",getCategoryLevelAsString($B366))),";",EscStr(M366),";")))</f>
        <v>;"NavNode_L3D_543012";"Lagring og tilbehør";</v>
      </c>
      <c r="AG366" s="10" t="str">
        <f>IF(getCategoryLevelAsString($B366)="L0D_324785","",IF(N366="",CONCATENATE(";",EscStr(CONCATENATE("NavNode_",getCategoryLevelAsString($B366))),";",EscStr($J366),";"),CONCATENATE(";",EscStr(CONCATENATE("NavNode_",getCategoryLevelAsString($B366))),";",EscStr(N366),";")))</f>
        <v>;"NavNode_L3D_543012";"Lagring och kringutrustning";</v>
      </c>
      <c r="AH366" s="10" t="str">
        <f>IF(getCategoryLevelAsString($B366)="L0D_324785","",IF(O366="",CONCATENATE(";",EscStr(CONCATENATE("NavNode_",getCategoryLevelAsString($B366))),";",EscStr($J366),";"),CONCATENATE(";",EscStr(CONCATENATE("NavNode_",getCategoryLevelAsString($B366))),";",EscStr(O366),";")))</f>
        <v>;"NavNode_L3D_543012";"Mälu- ja välisseadmed";</v>
      </c>
      <c r="AI366" s="10" t="str">
        <f>IF(getCategoryLevelAsString($B366)="L0D_324785","",IF(P366="",CONCATENATE(";",EscStr(CONCATENATE("NavNode_",getCategoryLevelAsString($B366))),";",EscStr($J366),";"),CONCATENATE(";",EscStr(CONCATENATE("NavNode_",getCategoryLevelAsString($B366))),";",EscStr(P366),";")))</f>
        <v>;"NavNode_L3D_543012";"Tallennus/Oheislaitteet";</v>
      </c>
      <c r="AJ366" s="10" t="str">
        <f>IF(getCategoryLevelAsString($B366)="L0D_324785","",IF(Q366="",CONCATENATE(";",EscStr(CONCATENATE("NavNode_",getCategoryLevelAsString($B366))),";",EscStr($J366),";"),CONCATENATE(";",EscStr(CONCATENATE("NavNode_",getCategoryLevelAsString($B366))),";",EscStr(Q366),";")))</f>
        <v>;"NavNode_L3D_543012";"Atmiņa un perifērija";</v>
      </c>
      <c r="AK366" s="10" t="str">
        <f>IF(getCategoryLevelAsString($B366)="L0D_324785","",IF(R366="",CONCATENATE(";",EscStr(CONCATENATE("NavNode_",getCategoryLevelAsString($B366))),";",EscStr($J366),";"),CONCATENATE(";",EscStr(CONCATENATE("NavNode_",getCategoryLevelAsString($B366))),";",EscStr(R366),";")))</f>
        <v>;"NavNode_L3D_543012";"Geheugens / Opslag &amp; Randapparatuur";</v>
      </c>
      <c r="AL366" s="10" t="str">
        <f>IF(getCategoryLevelAsString($B366)="L0D_324785","",IF(S366="",CONCATENATE(";",EscStr(CONCATENATE("NavNode_",getCategoryLevelAsString($B366))),";",EscStr($J366),";"),CONCATENATE(";",EscStr(CONCATENATE("NavNode_",getCategoryLevelAsString($B366))),";",EscStr(S366),";")))</f>
        <v>;"NavNode_L3D_543012";"Pamięci i urządzenia peryferyjne";</v>
      </c>
      <c r="AM366" s="10" t="str">
        <f>IF(getCategoryLevelAsString($B366)="L0D_324785","",IF(T366="",CONCATENATE(";",EscStr(CONCATENATE("NavNode_",getCategoryLevelAsString($B366))),";",EscStr($J366),";"),CONCATENATE(";",EscStr(CONCATENATE("NavNode_",getCategoryLevelAsString($B366))),";",EscStr(T366),";")))</f>
        <v>;"NavNode_L3D_543012";"Хранение &amp; Периферия";</v>
      </c>
      <c r="AN366" s="10" t="str">
        <f>IF(getCategoryLevelAsString($B366)="L0D_324785","",IF(U366="",CONCATENATE(";",EscStr(CONCATENATE("NavNode_",getCategoryLevelAsString($B366))),";",EscStr($J366),";"),CONCATENATE(";",EscStr(CONCATENATE("NavNode_",getCategoryLevelAsString($B366))),";",EscStr(U366),";")))</f>
        <v>;"NavNode_L3D_543012";"Paměť a periferní zařízení";</v>
      </c>
      <c r="AO366" s="10" t="str">
        <f>IF(getCategoryLevelAsString($B366)="L0D_324785","",IF(V366="",CONCATENATE(";",EscStr(CONCATENATE("NavNode_",getCategoryLevelAsString($B366))),";",EscStr($J366),";"),CONCATENATE(";",EscStr(CONCATENATE("NavNode_",getCategoryLevelAsString($B366))),";",EscStr(V366),";")))</f>
        <v>;"NavNode_L3D_543012";"Memorie şi periferice";</v>
      </c>
      <c r="AP366" s="10" t="str">
        <f>IF(getCategoryLevelAsString($B366)="L0D_324785","",IF(W366="",CONCATENATE(";",EscStr(CONCATENATE("NavNode_",getCategoryLevelAsString($B366))),";",EscStr($J366),";"),CONCATENATE(";",EscStr(CONCATENATE("NavNode_",getCategoryLevelAsString($B366))),";",EscStr(W366),";")))</f>
        <v>;"NavNode_L3D_543012";"Memória és perifériák";</v>
      </c>
      <c r="AQ366" s="10" t="str">
        <f>IF(getCategoryLevelAsString($B366)="L0D_324785","",IF(X366="",CONCATENATE(";",EscStr(CONCATENATE("NavNode_",getCategoryLevelAsString($B366))),";",EscStr($J366),";"),CONCATENATE(";",EscStr(CONCATENATE("NavNode_",getCategoryLevelAsString($B366))),";",EscStr(X366),";")))</f>
        <v>;"NavNode_L3D_543012";"Paměť a periferní zařízení";</v>
      </c>
      <c r="AR366" s="8" t="str">
        <f>IF(OR($A366&lt;&gt;"", $G366=""),"",CONCATENATE(";",EscStr(CONCATENATE("NavEntry_",getCategoryLevelAsString($B366))),";",EscStr(CONCATENATE($J366," Navigation Entry")),";",EscStr(CONCATENATE("cat-",getCategoryLevelAsString($B366))),";",EscStr(CONCATENATE("NavNode_",getCategoryLevelAsString($B366))),";"))</f>
        <v>;"NavEntry_L3D_543012";"Storage &amp; Peripherals Navigation Entry";"cat-L3D_543012";"NavNode_L3D_543012";</v>
      </c>
    </row>
    <row r="367" spans="1:44" ht="15" x14ac:dyDescent="0.25">
      <c r="A367" s="25"/>
      <c r="B367" s="5"/>
      <c r="C367" s="5"/>
      <c r="D367" s="5" t="s">
        <v>618</v>
      </c>
      <c r="E367" s="5"/>
      <c r="F367" s="5"/>
      <c r="G367" s="5" t="s">
        <v>999</v>
      </c>
      <c r="H367" s="5" t="s">
        <v>757</v>
      </c>
      <c r="I367" s="5" t="s">
        <v>669</v>
      </c>
      <c r="J367" s="5" t="s">
        <v>857</v>
      </c>
      <c r="K367" s="5" t="s">
        <v>1388</v>
      </c>
      <c r="L367" s="5" t="s">
        <v>1624</v>
      </c>
      <c r="M367" s="5" t="s">
        <v>1826</v>
      </c>
      <c r="N367" s="5" t="s">
        <v>2043</v>
      </c>
      <c r="O367" s="5" t="s">
        <v>4251</v>
      </c>
      <c r="P367" s="5" t="s">
        <v>4252</v>
      </c>
      <c r="Q367" s="5" t="s">
        <v>4253</v>
      </c>
      <c r="R367" s="5" t="s">
        <v>4254</v>
      </c>
      <c r="S367" s="5" t="s">
        <v>4255</v>
      </c>
      <c r="T367" s="5" t="s">
        <v>4256</v>
      </c>
      <c r="U367" s="5" t="s">
        <v>4257</v>
      </c>
      <c r="V367" s="5" t="s">
        <v>4258</v>
      </c>
      <c r="W367" s="5" t="s">
        <v>4259</v>
      </c>
      <c r="X367" s="5" t="s">
        <v>4257</v>
      </c>
      <c r="Y367" s="10" t="str">
        <f>IF(OR($A367&lt;&gt;"", $G367=""),"",CONCATENATE(";",EscStr(CONCATENATE("NavNode_",getCategoryLevelAsString($B367))),";",EscStr($J367),";",IF($B367&lt;&gt;"","""MainNavNode""",EscStr(CONCATENATE("NavNode_",getSuperCategory($B367, getCategoryLevelAsNumber($B367))))),";"))</f>
        <v>;"NavNode_L3D_543014";"Monitors / Mice / Keyboards";"NavNode_L2D_542978";</v>
      </c>
      <c r="Z367" s="10" t="str">
        <f>IF(getCategoryLevelAsString($B367)="L0D_324785","",IF(G367="",CONCATENATE(";",EscStr(CONCATENATE("NavNode_",getCategoryLevelAsString($B367))),";",EscStr($J367),";"),CONCATENATE(";",EscStr(CONCATENATE("NavNode_",getCategoryLevelAsString($B367))),";",EscStr(G367),";")))</f>
        <v>;"NavNode_L3D_543014";"Bildschirme / Mäuse / Tastaturen";</v>
      </c>
      <c r="AA367" s="10" t="str">
        <f>IF(getCategoryLevelAsString($B367)="L0D_324785","",IF(H367="",CONCATENATE(";",EscStr(CONCATENATE("NavNode_",getCategoryLevelAsString($B367))),";",EscStr($J367),";"),CONCATENATE(";",EscStr(CONCATENATE("NavNode_",getCategoryLevelAsString($B367))),";",EscStr(H367),";")))</f>
        <v>;"NavNode_L3D_543014";"Ecrans / Souris / Claviers";</v>
      </c>
      <c r="AB367" s="10" t="str">
        <f>IF(getCategoryLevelAsString($B367)="L0D_324785","",IF(I367="",CONCATENATE(";",EscStr(CONCATENATE("NavNode_",getCategoryLevelAsString($B367))),";",EscStr($J367),";"),CONCATENATE(";",EscStr(CONCATENATE("NavNode_",getCategoryLevelAsString($B367))),";",EscStr(I367),";")))</f>
        <v>;"NavNode_L3D_543014";"Monitor / mouse / tastiere";</v>
      </c>
      <c r="AC367" s="10" t="str">
        <f>IF(getCategoryLevelAsString($B367)="L0D_324785","",IF(J367="",CONCATENATE(";",EscStr(CONCATENATE("NavNode_",getCategoryLevelAsString($B367))),";",EscStr($J367),";"),CONCATENATE(";",EscStr(CONCATENATE("NavNode_",getCategoryLevelAsString($B367))),";",EscStr(J367),";")))</f>
        <v>;"NavNode_L3D_543014";"Monitors / Mice / Keyboards";</v>
      </c>
      <c r="AD367" s="10" t="str">
        <f>IF(getCategoryLevelAsString($B367)="L0D_324785","",IF(K367="",CONCATENATE(";",EscStr(CONCATENATE("NavNode_",getCategoryLevelAsString($B367))),";",EscStr($J367),";"),CONCATENATE(";",EscStr(CONCATENATE("NavNode_",getCategoryLevelAsString($B367))),";",EscStr(K367),";")))</f>
        <v>;"NavNode_L3D_543014";"Skærme/mus/tastaturer";</v>
      </c>
      <c r="AE367" s="10" t="str">
        <f>IF(getCategoryLevelAsString($B367)="L0D_324785","",IF(L367="",CONCATENATE(";",EscStr(CONCATENATE("NavNode_",getCategoryLevelAsString($B367))),";",EscStr($J367),";"),CONCATENATE(";",EscStr(CONCATENATE("NavNode_",getCategoryLevelAsString($B367))),";",EscStr(L367),";")))</f>
        <v>;"NavNode_L3D_543014";"Monitoriai / pelės / klaviatūros";</v>
      </c>
      <c r="AF367" s="10" t="str">
        <f>IF(getCategoryLevelAsString($B367)="L0D_324785","",IF(M367="",CONCATENATE(";",EscStr(CONCATENATE("NavNode_",getCategoryLevelAsString($B367))),";",EscStr($J367),";"),CONCATENATE(";",EscStr(CONCATENATE("NavNode_",getCategoryLevelAsString($B367))),";",EscStr(M367),";")))</f>
        <v>;"NavNode_L3D_543014";"Skjermer/mus/tastaturer";</v>
      </c>
      <c r="AG367" s="10" t="str">
        <f>IF(getCategoryLevelAsString($B367)="L0D_324785","",IF(N367="",CONCATENATE(";",EscStr(CONCATENATE("NavNode_",getCategoryLevelAsString($B367))),";",EscStr($J367),";"),CONCATENATE(";",EscStr(CONCATENATE("NavNode_",getCategoryLevelAsString($B367))),";",EscStr(N367),";")))</f>
        <v>;"NavNode_L3D_543014";"Skärmar/Möss/Tangentbord";</v>
      </c>
      <c r="AH367" s="10" t="str">
        <f>IF(getCategoryLevelAsString($B367)="L0D_324785","",IF(O367="",CONCATENATE(";",EscStr(CONCATENATE("NavNode_",getCategoryLevelAsString($B367))),";",EscStr($J367),";"),CONCATENATE(";",EscStr(CONCATENATE("NavNode_",getCategoryLevelAsString($B367))),";",EscStr(O367),";")))</f>
        <v>;"NavNode_L3D_543014";"Monitorid / Hiired / Klaviatuurid";</v>
      </c>
      <c r="AI367" s="10" t="str">
        <f>IF(getCategoryLevelAsString($B367)="L0D_324785","",IF(P367="",CONCATENATE(";",EscStr(CONCATENATE("NavNode_",getCategoryLevelAsString($B367))),";",EscStr($J367),";"),CONCATENATE(";",EscStr(CONCATENATE("NavNode_",getCategoryLevelAsString($B367))),";",EscStr(P367),";")))</f>
        <v>;"NavNode_L3D_543014";"Monitorit/Hiiret/Näppäimistö";</v>
      </c>
      <c r="AJ367" s="10" t="str">
        <f>IF(getCategoryLevelAsString($B367)="L0D_324785","",IF(Q367="",CONCATENATE(";",EscStr(CONCATENATE("NavNode_",getCategoryLevelAsString($B367))),";",EscStr($J367),";"),CONCATENATE(";",EscStr(CONCATENATE("NavNode_",getCategoryLevelAsString($B367))),";",EscStr(Q367),";")))</f>
        <v>;"NavNode_L3D_543014";"Monitori / peles / klaviatūras";</v>
      </c>
      <c r="AK367" s="10" t="str">
        <f>IF(getCategoryLevelAsString($B367)="L0D_324785","",IF(R367="",CONCATENATE(";",EscStr(CONCATENATE("NavNode_",getCategoryLevelAsString($B367))),";",EscStr($J367),";"),CONCATENATE(";",EscStr(CONCATENATE("NavNode_",getCategoryLevelAsString($B367))),";",EscStr(R367),";")))</f>
        <v>;"NavNode_L3D_543014";"Monitoren / Muizen / Toetsenborden";</v>
      </c>
      <c r="AL367" s="10" t="str">
        <f>IF(getCategoryLevelAsString($B367)="L0D_324785","",IF(S367="",CONCATENATE(";",EscStr(CONCATENATE("NavNode_",getCategoryLevelAsString($B367))),";",EscStr($J367),";"),CONCATENATE(";",EscStr(CONCATENATE("NavNode_",getCategoryLevelAsString($B367))),";",EscStr(S367),";")))</f>
        <v>;"NavNode_L3D_543014";"Monitory / Myszki / Klawiatury";</v>
      </c>
      <c r="AM367" s="10" t="str">
        <f>IF(getCategoryLevelAsString($B367)="L0D_324785","",IF(T367="",CONCATENATE(";",EscStr(CONCATENATE("NavNode_",getCategoryLevelAsString($B367))),";",EscStr($J367),";"),CONCATENATE(";",EscStr(CONCATENATE("NavNode_",getCategoryLevelAsString($B367))),";",EscStr(T367),";")))</f>
        <v>;"NavNode_L3D_543014";"Мониторы / Мыши / Клавиатуры";</v>
      </c>
      <c r="AN367" s="10" t="str">
        <f>IF(getCategoryLevelAsString($B367)="L0D_324785","",IF(U367="",CONCATENATE(";",EscStr(CONCATENATE("NavNode_",getCategoryLevelAsString($B367))),";",EscStr($J367),";"),CONCATENATE(";",EscStr(CONCATENATE("NavNode_",getCategoryLevelAsString($B367))),";",EscStr(U367),";")))</f>
        <v>;"NavNode_L3D_543014";"Monitory / Klávesnice / Myši";</v>
      </c>
      <c r="AO367" s="10" t="str">
        <f>IF(getCategoryLevelAsString($B367)="L0D_324785","",IF(V367="",CONCATENATE(";",EscStr(CONCATENATE("NavNode_",getCategoryLevelAsString($B367))),";",EscStr($J367),";"),CONCATENATE(";",EscStr(CONCATENATE("NavNode_",getCategoryLevelAsString($B367))),";",EscStr(V367),";")))</f>
        <v>;"NavNode_L3D_543014";"Monitoare / mouse / Tastaturen";</v>
      </c>
      <c r="AP367" s="10" t="str">
        <f>IF(getCategoryLevelAsString($B367)="L0D_324785","",IF(W367="",CONCATENATE(";",EscStr(CONCATENATE("NavNode_",getCategoryLevelAsString($B367))),";",EscStr($J367),";"),CONCATENATE(";",EscStr(CONCATENATE("NavNode_",getCategoryLevelAsString($B367))),";",EscStr(W367),";")))</f>
        <v>;"NavNode_L3D_543014";"Monitorok / Egerek / Billentyűzetek";</v>
      </c>
      <c r="AQ367" s="10" t="str">
        <f>IF(getCategoryLevelAsString($B367)="L0D_324785","",IF(X367="",CONCATENATE(";",EscStr(CONCATENATE("NavNode_",getCategoryLevelAsString($B367))),";",EscStr($J367),";"),CONCATENATE(";",EscStr(CONCATENATE("NavNode_",getCategoryLevelAsString($B367))),";",EscStr(X367),";")))</f>
        <v>;"NavNode_L3D_543014";"Monitory / Klávesnice / Myši";</v>
      </c>
      <c r="AR367" s="8" t="str">
        <f>IF(OR($A367&lt;&gt;"", $G367=""),"",CONCATENATE(";",EscStr(CONCATENATE("NavEntry_",getCategoryLevelAsString($B367))),";",EscStr(CONCATENATE($J367," Navigation Entry")),";",EscStr(CONCATENATE("cat-",getCategoryLevelAsString($B367))),";",EscStr(CONCATENATE("NavNode_",getCategoryLevelAsString($B367))),";"))</f>
        <v>;"NavEntry_L3D_543014";"Monitors / Mice / Keyboards Navigation Entry";"cat-L3D_543014";"NavNode_L3D_543014";</v>
      </c>
    </row>
    <row r="368" spans="1:44" ht="15" x14ac:dyDescent="0.25">
      <c r="A368" s="25"/>
      <c r="B368" s="5"/>
      <c r="C368" s="5"/>
      <c r="D368" s="5" t="s">
        <v>619</v>
      </c>
      <c r="E368" s="5"/>
      <c r="F368" s="5"/>
      <c r="G368" s="5" t="s">
        <v>1000</v>
      </c>
      <c r="H368" s="5" t="s">
        <v>758</v>
      </c>
      <c r="I368" s="5" t="s">
        <v>671</v>
      </c>
      <c r="J368" s="5" t="s">
        <v>858</v>
      </c>
      <c r="K368" s="5" t="s">
        <v>1389</v>
      </c>
      <c r="L368" s="5" t="s">
        <v>1625</v>
      </c>
      <c r="M368" s="5" t="s">
        <v>1827</v>
      </c>
      <c r="N368" s="5" t="s">
        <v>2044</v>
      </c>
      <c r="O368" s="5" t="s">
        <v>4260</v>
      </c>
      <c r="P368" s="5" t="s">
        <v>4261</v>
      </c>
      <c r="Q368" s="5" t="s">
        <v>4262</v>
      </c>
      <c r="R368" s="5" t="s">
        <v>858</v>
      </c>
      <c r="S368" s="5" t="s">
        <v>4263</v>
      </c>
      <c r="T368" s="5" t="s">
        <v>4264</v>
      </c>
      <c r="U368" s="5" t="s">
        <v>4265</v>
      </c>
      <c r="V368" s="5" t="s">
        <v>4266</v>
      </c>
      <c r="W368" s="5" t="s">
        <v>4267</v>
      </c>
      <c r="X368" s="5" t="s">
        <v>4265</v>
      </c>
      <c r="Y368" s="10" t="str">
        <f>IF(OR($A368&lt;&gt;"", $G368=""),"",CONCATENATE(";",EscStr(CONCATENATE("NavNode_",getCategoryLevelAsString($B368))),";",EscStr($J368),";",IF($B368&lt;&gt;"","""MainNavNode""",EscStr(CONCATENATE("NavNode_",getSuperCategory($B368, getCategoryLevelAsNumber($B368))))),";"))</f>
        <v>;"NavNode_L3D_543019";"Network Attached Storage (NAS) / Drives";"NavNode_L2D_542978";</v>
      </c>
      <c r="Z368" s="10" t="str">
        <f>IF(getCategoryLevelAsString($B368)="L0D_324785","",IF(G368="",CONCATENATE(";",EscStr(CONCATENATE("NavNode_",getCategoryLevelAsString($B368))),";",EscStr($J368),";"),CONCATENATE(";",EscStr(CONCATENATE("NavNode_",getCategoryLevelAsString($B368))),";",EscStr(G368),";")))</f>
        <v>;"NavNode_L3D_543019";"Netzwerkspeicher (NAS) / Laufwerke";</v>
      </c>
      <c r="AA368" s="10" t="str">
        <f>IF(getCategoryLevelAsString($B368)="L0D_324785","",IF(H368="",CONCATENATE(";",EscStr(CONCATENATE("NavNode_",getCategoryLevelAsString($B368))),";",EscStr($J368),";"),CONCATENATE(";",EscStr(CONCATENATE("NavNode_",getCategoryLevelAsString($B368))),";",EscStr(H368),";")))</f>
        <v>;"NavNode_L3D_543019";"Stockage en réseau NAS / Lecteurs";</v>
      </c>
      <c r="AB368" s="10" t="str">
        <f>IF(getCategoryLevelAsString($B368)="L0D_324785","",IF(I368="",CONCATENATE(";",EscStr(CONCATENATE("NavNode_",getCategoryLevelAsString($B368))),";",EscStr($J368),";"),CONCATENATE(";",EscStr(CONCATENATE("NavNode_",getCategoryLevelAsString($B368))),";",EscStr(I368),";")))</f>
        <v>;"NavNode_L3D_543019";"Network Attached Storage (NAS) / unità";</v>
      </c>
      <c r="AC368" s="10" t="str">
        <f>IF(getCategoryLevelAsString($B368)="L0D_324785","",IF(J368="",CONCATENATE(";",EscStr(CONCATENATE("NavNode_",getCategoryLevelAsString($B368))),";",EscStr($J368),";"),CONCATENATE(";",EscStr(CONCATENATE("NavNode_",getCategoryLevelAsString($B368))),";",EscStr(J368),";")))</f>
        <v>;"NavNode_L3D_543019";"Network Attached Storage (NAS) / Drives";</v>
      </c>
      <c r="AD368" s="10" t="str">
        <f>IF(getCategoryLevelAsString($B368)="L0D_324785","",IF(K368="",CONCATENATE(";",EscStr(CONCATENATE("NavNode_",getCategoryLevelAsString($B368))),";",EscStr($J368),";"),CONCATENATE(";",EscStr(CONCATENATE("NavNode_",getCategoryLevelAsString($B368))),";",EscStr(K368),";")))</f>
        <v>;"NavNode_L3D_543019";"Netværkstilknyttet arkivering (NAS)/drivere";</v>
      </c>
      <c r="AE368" s="10" t="str">
        <f>IF(getCategoryLevelAsString($B368)="L0D_324785","",IF(L368="",CONCATENATE(";",EscStr(CONCATENATE("NavNode_",getCategoryLevelAsString($B368))),";",EscStr($J368),";"),CONCATENATE(";",EscStr(CONCATENATE("NavNode_",getCategoryLevelAsString($B368))),";",EscStr(L368),";")))</f>
        <v>;"NavNode_L3D_543019";"Prie tinklo prijungti saugojimo įrenginiai (NAS) / diskai";</v>
      </c>
      <c r="AF368" s="10" t="str">
        <f>IF(getCategoryLevelAsString($B368)="L0D_324785","",IF(M368="",CONCATENATE(";",EscStr(CONCATENATE("NavNode_",getCategoryLevelAsString($B368))),";",EscStr($J368),";"),CONCATENATE(";",EscStr(CONCATENATE("NavNode_",getCategoryLevelAsString($B368))),";",EscStr(M368),";")))</f>
        <v>;"NavNode_L3D_543019";"Nettverkstilsluttet datalager (NAS) / drivere";</v>
      </c>
      <c r="AG368" s="10" t="str">
        <f>IF(getCategoryLevelAsString($B368)="L0D_324785","",IF(N368="",CONCATENATE(";",EscStr(CONCATENATE("NavNode_",getCategoryLevelAsString($B368))),";",EscStr($J368),";"),CONCATENATE(";",EscStr(CONCATENATE("NavNode_",getCategoryLevelAsString($B368))),";",EscStr(N368),";")))</f>
        <v>;"NavNode_L3D_543019";"NAS (Network Attached Storage)/Drivkretsar";</v>
      </c>
      <c r="AH368" s="10" t="str">
        <f>IF(getCategoryLevelAsString($B368)="L0D_324785","",IF(O368="",CONCATENATE(";",EscStr(CONCATENATE("NavNode_",getCategoryLevelAsString($B368))),";",EscStr($J368),";"),CONCATENATE(";",EscStr(CONCATENATE("NavNode_",getCategoryLevelAsString($B368))),";",EscStr(O368),";")))</f>
        <v>;"NavNode_L3D_543019";"Võrgumäluseadmed (NAS) / Võrgukettad";</v>
      </c>
      <c r="AI368" s="10" t="str">
        <f>IF(getCategoryLevelAsString($B368)="L0D_324785","",IF(P368="",CONCATENATE(";",EscStr(CONCATENATE("NavNode_",getCategoryLevelAsString($B368))),";",EscStr($J368),";"),CONCATENATE(";",EscStr(CONCATENATE("NavNode_",getCategoryLevelAsString($B368))),";",EscStr(P368),";")))</f>
        <v>;"NavNode_L3D_543019";"NAS-tallentimet";</v>
      </c>
      <c r="AJ368" s="10" t="str">
        <f>IF(getCategoryLevelAsString($B368)="L0D_324785","",IF(Q368="",CONCATENATE(";",EscStr(CONCATENATE("NavNode_",getCategoryLevelAsString($B368))),";",EscStr($J368),";"),CONCATENATE(";",EscStr(CONCATENATE("NavNode_",getCategoryLevelAsString($B368))),";",EscStr(Q368),";")))</f>
        <v>;"NavNode_L3D_543019";"Network Attached Storage (NAS) / cietņi";</v>
      </c>
      <c r="AK368" s="10" t="str">
        <f>IF(getCategoryLevelAsString($B368)="L0D_324785","",IF(R368="",CONCATENATE(";",EscStr(CONCATENATE("NavNode_",getCategoryLevelAsString($B368))),";",EscStr($J368),";"),CONCATENATE(";",EscStr(CONCATENATE("NavNode_",getCategoryLevelAsString($B368))),";",EscStr(R368),";")))</f>
        <v>;"NavNode_L3D_543019";"Network Attached Storage (NAS) / Drives";</v>
      </c>
      <c r="AL368" s="10" t="str">
        <f>IF(getCategoryLevelAsString($B368)="L0D_324785","",IF(S368="",CONCATENATE(";",EscStr(CONCATENATE("NavNode_",getCategoryLevelAsString($B368))),";",EscStr($J368),";"),CONCATENATE(";",EscStr(CONCATENATE("NavNode_",getCategoryLevelAsString($B368))),";",EscStr(S368),";")))</f>
        <v>;"NavNode_L3D_543019";"NAS Sieciowa pamięć masowa";</v>
      </c>
      <c r="AM368" s="10" t="str">
        <f>IF(getCategoryLevelAsString($B368)="L0D_324785","",IF(T368="",CONCATENATE(";",EscStr(CONCATENATE("NavNode_",getCategoryLevelAsString($B368))),";",EscStr($J368),";"),CONCATENATE(";",EscStr(CONCATENATE("NavNode_",getCategoryLevelAsString($B368))),";",EscStr(T368),";")))</f>
        <v>;"NavNode_L3D_543019";"Сетевые диски";</v>
      </c>
      <c r="AN368" s="10" t="str">
        <f>IF(getCategoryLevelAsString($B368)="L0D_324785","",IF(U368="",CONCATENATE(";",EscStr(CONCATENATE("NavNode_",getCategoryLevelAsString($B368))),";",EscStr($J368),";"),CONCATENATE(";",EscStr(CONCATENATE("NavNode_",getCategoryLevelAsString($B368))),";",EscStr(U368),";")))</f>
        <v>;"NavNode_L3D_543019";"Síťové úložiště (NAS) / Mechaniky";</v>
      </c>
      <c r="AO368" s="10" t="str">
        <f>IF(getCategoryLevelAsString($B368)="L0D_324785","",IF(V368="",CONCATENATE(";",EscStr(CONCATENATE("NavNode_",getCategoryLevelAsString($B368))),";",EscStr($J368),";"),CONCATENATE(";",EscStr(CONCATENATE("NavNode_",getCategoryLevelAsString($B368))),";",EscStr(V368),";")))</f>
        <v>;"NavNode_L3D_543019";"Memorie de reţea (NAS) / mecanisme";</v>
      </c>
      <c r="AP368" s="10" t="str">
        <f>IF(getCategoryLevelAsString($B368)="L0D_324785","",IF(W368="",CONCATENATE(";",EscStr(CONCATENATE("NavNode_",getCategoryLevelAsString($B368))),";",EscStr($J368),";"),CONCATENATE(";",EscStr(CONCATENATE("NavNode_",getCategoryLevelAsString($B368))),";",EscStr(W368),";")))</f>
        <v>;"NavNode_L3D_543019";"Adathálózati tároló (NAS) / Merevlemez";</v>
      </c>
      <c r="AQ368" s="10" t="str">
        <f>IF(getCategoryLevelAsString($B368)="L0D_324785","",IF(X368="",CONCATENATE(";",EscStr(CONCATENATE("NavNode_",getCategoryLevelAsString($B368))),";",EscStr($J368),";"),CONCATENATE(";",EscStr(CONCATENATE("NavNode_",getCategoryLevelAsString($B368))),";",EscStr(X368),";")))</f>
        <v>;"NavNode_L3D_543019";"Síťové úložiště (NAS) / Mechaniky";</v>
      </c>
      <c r="AR368" s="8" t="str">
        <f>IF(OR($A368&lt;&gt;"", $G368=""),"",CONCATENATE(";",EscStr(CONCATENATE("NavEntry_",getCategoryLevelAsString($B368))),";",EscStr(CONCATENATE($J368," Navigation Entry")),";",EscStr(CONCATENATE("cat-",getCategoryLevelAsString($B368))),";",EscStr(CONCATENATE("NavNode_",getCategoryLevelAsString($B368))),";"))</f>
        <v>;"NavEntry_L3D_543019";"Network Attached Storage (NAS) / Drives Navigation Entry";"cat-L3D_543019";"NavNode_L3D_543019";</v>
      </c>
    </row>
    <row r="369" spans="1:44" ht="15" x14ac:dyDescent="0.25">
      <c r="A369" s="25"/>
      <c r="B369" s="5"/>
      <c r="C369" s="5"/>
      <c r="D369" s="5" t="s">
        <v>620</v>
      </c>
      <c r="E369" s="5"/>
      <c r="F369" s="5"/>
      <c r="G369" s="5" t="s">
        <v>1001</v>
      </c>
      <c r="H369" s="5" t="s">
        <v>759</v>
      </c>
      <c r="I369" s="5" t="s">
        <v>672</v>
      </c>
      <c r="J369" s="5" t="s">
        <v>859</v>
      </c>
      <c r="K369" s="5" t="s">
        <v>1390</v>
      </c>
      <c r="L369" s="5" t="s">
        <v>1626</v>
      </c>
      <c r="M369" s="5" t="s">
        <v>1828</v>
      </c>
      <c r="N369" s="5" t="s">
        <v>2045</v>
      </c>
      <c r="O369" s="5" t="s">
        <v>4268</v>
      </c>
      <c r="P369" s="5" t="s">
        <v>4269</v>
      </c>
      <c r="Q369" s="5" t="s">
        <v>4270</v>
      </c>
      <c r="R369" s="5" t="s">
        <v>4271</v>
      </c>
      <c r="S369" s="5" t="s">
        <v>4272</v>
      </c>
      <c r="T369" s="5" t="s">
        <v>4273</v>
      </c>
      <c r="U369" s="5" t="s">
        <v>4274</v>
      </c>
      <c r="V369" s="5" t="s">
        <v>4275</v>
      </c>
      <c r="W369" s="5" t="s">
        <v>4276</v>
      </c>
      <c r="X369" s="5" t="s">
        <v>4274</v>
      </c>
      <c r="Y369" s="10" t="str">
        <f>IF(OR($A369&lt;&gt;"", $G369=""),"",CONCATENATE(";",EscStr(CONCATENATE("NavNode_",getCategoryLevelAsString($B369))),";",EscStr($J369),";",IF($B369&lt;&gt;"","""MainNavNode""",EscStr(CONCATENATE("NavNode_",getSuperCategory($B369, getCategoryLevelAsNumber($B369))))),";"))</f>
        <v>;"NavNode_L3D_543022";"USB memory / Memory cards / Disks / Tapes";"NavNode_L2D_542978";</v>
      </c>
      <c r="Z369" s="10" t="str">
        <f>IF(getCategoryLevelAsString($B369)="L0D_324785","",IF(G369="",CONCATENATE(";",EscStr(CONCATENATE("NavNode_",getCategoryLevelAsString($B369))),";",EscStr($J369),";"),CONCATENATE(";",EscStr(CONCATENATE("NavNode_",getCategoryLevelAsString($B369))),";",EscStr(G369),";")))</f>
        <v>;"NavNode_L3D_543022";"USB-Speicher / Speicherkarten / Datenträger";</v>
      </c>
      <c r="AA369" s="10" t="str">
        <f>IF(getCategoryLevelAsString($B369)="L0D_324785","",IF(H369="",CONCATENATE(";",EscStr(CONCATENATE("NavNode_",getCategoryLevelAsString($B369))),";",EscStr($J369),";"),CONCATENATE(";",EscStr(CONCATENATE("NavNode_",getCategoryLevelAsString($B369))),";",EscStr(H369),";")))</f>
        <v>;"NavNode_L3D_543022";"Module mémoire USB / Cartes mémoire / Disques / Bandes";</v>
      </c>
      <c r="AB369" s="10" t="str">
        <f>IF(getCategoryLevelAsString($B369)="L0D_324785","",IF(I369="",CONCATENATE(";",EscStr(CONCATENATE("NavNode_",getCategoryLevelAsString($B369))),";",EscStr($J369),";"),CONCATENATE(";",EscStr(CONCATENATE("NavNode_",getCategoryLevelAsString($B369))),";",EscStr(I369),";")))</f>
        <v>;"NavNode_L3D_543022";"Memoria USB / schede di memoria / dischi / nastri";</v>
      </c>
      <c r="AC369" s="10" t="str">
        <f>IF(getCategoryLevelAsString($B369)="L0D_324785","",IF(J369="",CONCATENATE(";",EscStr(CONCATENATE("NavNode_",getCategoryLevelAsString($B369))),";",EscStr($J369),";"),CONCATENATE(";",EscStr(CONCATENATE("NavNode_",getCategoryLevelAsString($B369))),";",EscStr(J369),";")))</f>
        <v>;"NavNode_L3D_543022";"USB memory / Memory cards / Disks / Tapes";</v>
      </c>
      <c r="AD369" s="10" t="str">
        <f>IF(getCategoryLevelAsString($B369)="L0D_324785","",IF(K369="",CONCATENATE(";",EscStr(CONCATENATE("NavNode_",getCategoryLevelAsString($B369))),";",EscStr($J369),";"),CONCATENATE(";",EscStr(CONCATENATE("NavNode_",getCategoryLevelAsString($B369))),";",EscStr(K369),";")))</f>
        <v>;"NavNode_L3D_543022";"USB-hukommelse/hukommelseskort/diske/bånd";</v>
      </c>
      <c r="AE369" s="10" t="str">
        <f>IF(getCategoryLevelAsString($B369)="L0D_324785","",IF(L369="",CONCATENATE(";",EscStr(CONCATENATE("NavNode_",getCategoryLevelAsString($B369))),";",EscStr($J369),";"),CONCATENATE(";",EscStr(CONCATENATE("NavNode_",getCategoryLevelAsString($B369))),";",EscStr(L369),";")))</f>
        <v>;"NavNode_L3D_543022";"USB atmintinė / atminties kortelės / diskai / juostos";</v>
      </c>
      <c r="AF369" s="10" t="str">
        <f>IF(getCategoryLevelAsString($B369)="L0D_324785","",IF(M369="",CONCATENATE(";",EscStr(CONCATENATE("NavNode_",getCategoryLevelAsString($B369))),";",EscStr($J369),";"),CONCATENATE(";",EscStr(CONCATENATE("NavNode_",getCategoryLevelAsString($B369))),";",EscStr(M369),";")))</f>
        <v>;"NavNode_L3D_543022";"USB-minne/minnekort/disketter/bånd";</v>
      </c>
      <c r="AG369" s="10" t="str">
        <f>IF(getCategoryLevelAsString($B369)="L0D_324785","",IF(N369="",CONCATENATE(";",EscStr(CONCATENATE("NavNode_",getCategoryLevelAsString($B369))),";",EscStr($J369),";"),CONCATENATE(";",EscStr(CONCATENATE("NavNode_",getCategoryLevelAsString($B369))),";",EscStr(N369),";")))</f>
        <v>;"NavNode_L3D_543022";"USB-minne/Minneskort/Enheter/Band";</v>
      </c>
      <c r="AH369" s="10" t="str">
        <f>IF(getCategoryLevelAsString($B369)="L0D_324785","",IF(O369="",CONCATENATE(";",EscStr(CONCATENATE("NavNode_",getCategoryLevelAsString($B369))),";",EscStr($J369),";"),CONCATENATE(";",EscStr(CONCATENATE("NavNode_",getCategoryLevelAsString($B369))),";",EscStr(O369),";")))</f>
        <v>;"NavNode_L3D_543022";"USB mälud / Mälukaardid / Disketid / Lindid";</v>
      </c>
      <c r="AI369" s="10" t="str">
        <f>IF(getCategoryLevelAsString($B369)="L0D_324785","",IF(P369="",CONCATENATE(";",EscStr(CONCATENATE("NavNode_",getCategoryLevelAsString($B369))),";",EscStr($J369),";"),CONCATENATE(";",EscStr(CONCATENATE("NavNode_",getCategoryLevelAsString($B369))),";",EscStr(P369),";")))</f>
        <v>;"NavNode_L3D_543022";"USB-muistit/kortit/Levyt";</v>
      </c>
      <c r="AJ369" s="10" t="str">
        <f>IF(getCategoryLevelAsString($B369)="L0D_324785","",IF(Q369="",CONCATENATE(";",EscStr(CONCATENATE("NavNode_",getCategoryLevelAsString($B369))),";",EscStr($J369),";"),CONCATENATE(";",EscStr(CONCATENATE("NavNode_",getCategoryLevelAsString($B369))),";",EscStr(Q369),";")))</f>
        <v>;"NavNode_L3D_543022";"USB atmiņa / atmiņas kartes / diski / lentas";</v>
      </c>
      <c r="AK369" s="10" t="str">
        <f>IF(getCategoryLevelAsString($B369)="L0D_324785","",IF(R369="",CONCATENATE(";",EscStr(CONCATENATE("NavNode_",getCategoryLevelAsString($B369))),";",EscStr($J369),";"),CONCATENATE(";",EscStr(CONCATENATE("NavNode_",getCategoryLevelAsString($B369))),";",EscStr(R369),";")))</f>
        <v>;"NavNode_L3D_543022";"USB geheugen / Geheugenkaarten / Disks / Tapes";</v>
      </c>
      <c r="AL369" s="10" t="str">
        <f>IF(getCategoryLevelAsString($B369)="L0D_324785","",IF(S369="",CONCATENATE(";",EscStr(CONCATENATE("NavNode_",getCategoryLevelAsString($B369))),";",EscStr($J369),";"),CONCATENATE(";",EscStr(CONCATENATE("NavNode_",getCategoryLevelAsString($B369))),";",EscStr(S369),";")))</f>
        <v>;"NavNode_L3D_543022";"Pamięć USB / Karty pamięci / Dyskietki / Taśmy";</v>
      </c>
      <c r="AM369" s="10" t="str">
        <f>IF(getCategoryLevelAsString($B369)="L0D_324785","",IF(T369="",CONCATENATE(";",EscStr(CONCATENATE("NavNode_",getCategoryLevelAsString($B369))),";",EscStr($J369),";"),CONCATENATE(";",EscStr(CONCATENATE("NavNode_",getCategoryLevelAsString($B369))),";",EscStr(T369),";")))</f>
        <v>;"NavNode_L3D_543022";"Карты памяти USB / Карты памяти / Диски / Ленты";</v>
      </c>
      <c r="AN369" s="10" t="str">
        <f>IF(getCategoryLevelAsString($B369)="L0D_324785","",IF(U369="",CONCATENATE(";",EscStr(CONCATENATE("NavNode_",getCategoryLevelAsString($B369))),";",EscStr($J369),";"),CONCATENATE(";",EscStr(CONCATENATE("NavNode_",getCategoryLevelAsString($B369))),";",EscStr(U369),";")))</f>
        <v>;"NavNode_L3D_543022";"Paměti USB / paměťové karty / disky";</v>
      </c>
      <c r="AO369" s="10" t="str">
        <f>IF(getCategoryLevelAsString($B369)="L0D_324785","",IF(V369="",CONCATENATE(";",EscStr(CONCATENATE("NavNode_",getCategoryLevelAsString($B369))),";",EscStr($J369),";"),CONCATENATE(";",EscStr(CONCATENATE("NavNode_",getCategoryLevelAsString($B369))),";",EscStr(V369),";")))</f>
        <v>;"NavNode_L3D_543022";"Carduri de memorie, USB stick / disk";</v>
      </c>
      <c r="AP369" s="10" t="str">
        <f>IF(getCategoryLevelAsString($B369)="L0D_324785","",IF(W369="",CONCATENATE(";",EscStr(CONCATENATE("NavNode_",getCategoryLevelAsString($B369))),";",EscStr($J369),";"),CONCATENATE(";",EscStr(CONCATENATE("NavNode_",getCategoryLevelAsString($B369))),";",EscStr(W369),";")))</f>
        <v>;"NavNode_L3D_543022";"USB-memória / Memóriakártya / Adathordozó";</v>
      </c>
      <c r="AQ369" s="10" t="str">
        <f>IF(getCategoryLevelAsString($B369)="L0D_324785","",IF(X369="",CONCATENATE(";",EscStr(CONCATENATE("NavNode_",getCategoryLevelAsString($B369))),";",EscStr($J369),";"),CONCATENATE(";",EscStr(CONCATENATE("NavNode_",getCategoryLevelAsString($B369))),";",EscStr(X369),";")))</f>
        <v>;"NavNode_L3D_543022";"Paměti USB / paměťové karty / disky";</v>
      </c>
      <c r="AR369" s="8" t="str">
        <f>IF(OR($A369&lt;&gt;"", $G369=""),"",CONCATENATE(";",EscStr(CONCATENATE("NavEntry_",getCategoryLevelAsString($B369))),";",EscStr(CONCATENATE($J369," Navigation Entry")),";",EscStr(CONCATENATE("cat-",getCategoryLevelAsString($B369))),";",EscStr(CONCATENATE("NavNode_",getCategoryLevelAsString($B369))),";"))</f>
        <v>;"NavEntry_L3D_543022";"USB memory / Memory cards / Disks / Tapes Navigation Entry";"cat-L3D_543022";"NavNode_L3D_543022";</v>
      </c>
    </row>
    <row r="370" spans="1:44" ht="15" x14ac:dyDescent="0.25">
      <c r="A370" s="25"/>
      <c r="B370" s="5"/>
      <c r="C370" s="5"/>
      <c r="D370" s="5" t="s">
        <v>621</v>
      </c>
      <c r="E370" s="5"/>
      <c r="F370" s="5"/>
      <c r="G370" s="5" t="s">
        <v>1002</v>
      </c>
      <c r="H370" s="5" t="s">
        <v>760</v>
      </c>
      <c r="I370" s="5" t="s">
        <v>673</v>
      </c>
      <c r="J370" s="5" t="s">
        <v>860</v>
      </c>
      <c r="K370" s="5" t="s">
        <v>1391</v>
      </c>
      <c r="L370" s="5" t="s">
        <v>1627</v>
      </c>
      <c r="M370" s="5" t="s">
        <v>1829</v>
      </c>
      <c r="N370" s="5" t="s">
        <v>2046</v>
      </c>
      <c r="O370" s="5" t="s">
        <v>4277</v>
      </c>
      <c r="P370" s="5" t="s">
        <v>4278</v>
      </c>
      <c r="Q370" s="5" t="s">
        <v>4279</v>
      </c>
      <c r="R370" s="5" t="s">
        <v>4280</v>
      </c>
      <c r="S370" s="5" t="s">
        <v>4281</v>
      </c>
      <c r="T370" s="5" t="s">
        <v>4282</v>
      </c>
      <c r="U370" s="5" t="s">
        <v>4283</v>
      </c>
      <c r="V370" s="5" t="s">
        <v>4284</v>
      </c>
      <c r="W370" s="5" t="s">
        <v>4285</v>
      </c>
      <c r="X370" s="5" t="s">
        <v>4283</v>
      </c>
      <c r="Y370" s="10" t="str">
        <f>IF(OR($A370&lt;&gt;"", $G370=""),"",CONCATENATE(";",EscStr(CONCATENATE("NavNode_",getCategoryLevelAsString($B370))),";",EscStr($J370),";",IF($B370&lt;&gt;"","""MainNavNode""",EscStr(CONCATENATE("NavNode_",getSuperCategory($B370, getCategoryLevelAsNumber($B370))))),";"))</f>
        <v>;"NavNode_L3D_543340";"USB hubs / KVM switches / Video distributors";"NavNode_L2D_542978";</v>
      </c>
      <c r="Z370" s="10" t="str">
        <f>IF(getCategoryLevelAsString($B370)="L0D_324785","",IF(G370="",CONCATENATE(";",EscStr(CONCATENATE("NavNode_",getCategoryLevelAsString($B370))),";",EscStr($J370),";"),CONCATENATE(";",EscStr(CONCATENATE("NavNode_",getCategoryLevelAsString($B370))),";",EscStr(G370),";")))</f>
        <v>;"NavNode_L3D_543340";"USB-Hubs / KVM-Switches / Videoverteiler";</v>
      </c>
      <c r="AA370" s="10" t="str">
        <f>IF(getCategoryLevelAsString($B370)="L0D_324785","",IF(H370="",CONCATENATE(";",EscStr(CONCATENATE("NavNode_",getCategoryLevelAsString($B370))),";",EscStr($J370),";"),CONCATENATE(";",EscStr(CONCATENATE("NavNode_",getCategoryLevelAsString($B370))),";",EscStr(H370),";")))</f>
        <v>;"NavNode_L3D_543340";"Hub USB / Switchs KVM / Distributeurs vidéo";</v>
      </c>
      <c r="AB370" s="10" t="str">
        <f>IF(getCategoryLevelAsString($B370)="L0D_324785","",IF(I370="",CONCATENATE(";",EscStr(CONCATENATE("NavNode_",getCategoryLevelAsString($B370))),";",EscStr($J370),";"),CONCATENATE(";",EscStr(CONCATENATE("NavNode_",getCategoryLevelAsString($B370))),";",EscStr(I370),";")))</f>
        <v>;"NavNode_L3D_543340";"Hub USB / switch KVM / distributori video";</v>
      </c>
      <c r="AC370" s="10" t="str">
        <f>IF(getCategoryLevelAsString($B370)="L0D_324785","",IF(J370="",CONCATENATE(";",EscStr(CONCATENATE("NavNode_",getCategoryLevelAsString($B370))),";",EscStr($J370),";"),CONCATENATE(";",EscStr(CONCATENATE("NavNode_",getCategoryLevelAsString($B370))),";",EscStr(J370),";")))</f>
        <v>;"NavNode_L3D_543340";"USB hubs / KVM switches / Video distributors";</v>
      </c>
      <c r="AD370" s="10" t="str">
        <f>IF(getCategoryLevelAsString($B370)="L0D_324785","",IF(K370="",CONCATENATE(";",EscStr(CONCATENATE("NavNode_",getCategoryLevelAsString($B370))),";",EscStr($J370),";"),CONCATENATE(";",EscStr(CONCATENATE("NavNode_",getCategoryLevelAsString($B370))),";",EscStr(K370),";")))</f>
        <v>;"NavNode_L3D_543340";"USB-hub/KVM-afbrydere/video-distributører";</v>
      </c>
      <c r="AE370" s="10" t="str">
        <f>IF(getCategoryLevelAsString($B370)="L0D_324785","",IF(L370="",CONCATENATE(";",EscStr(CONCATENATE("NavNode_",getCategoryLevelAsString($B370))),";",EscStr($J370),";"),CONCATENATE(";",EscStr(CONCATENATE("NavNode_",getCategoryLevelAsString($B370))),";",EscStr(L370),";")))</f>
        <v>;"NavNode_L3D_543340";"USB koncentratoriai / KVM jungikliai / vaizdo skirstytuvai";</v>
      </c>
      <c r="AF370" s="10" t="str">
        <f>IF(getCategoryLevelAsString($B370)="L0D_324785","",IF(M370="",CONCATENATE(";",EscStr(CONCATENATE("NavNode_",getCategoryLevelAsString($B370))),";",EscStr($J370),";"),CONCATENATE(";",EscStr(CONCATENATE("NavNode_",getCategoryLevelAsString($B370))),";",EscStr(M370),";")))</f>
        <v>;"NavNode_L3D_543340";"USB-huber/KVM-brytere/videofordelere";</v>
      </c>
      <c r="AG370" s="10" t="str">
        <f>IF(getCategoryLevelAsString($B370)="L0D_324785","",IF(N370="",CONCATENATE(";",EscStr(CONCATENATE("NavNode_",getCategoryLevelAsString($B370))),";",EscStr($J370),";"),CONCATENATE(";",EscStr(CONCATENATE("NavNode_",getCategoryLevelAsString($B370))),";",EscStr(N370),";")))</f>
        <v>;"NavNode_L3D_543340";"USB-hubbar/KVM-omkopplare/Videofördelare";</v>
      </c>
      <c r="AH370" s="10" t="str">
        <f>IF(getCategoryLevelAsString($B370)="L0D_324785","",IF(O370="",CONCATENATE(";",EscStr(CONCATENATE("NavNode_",getCategoryLevelAsString($B370))),";",EscStr($J370),";"),CONCATENATE(";",EscStr(CONCATENATE("NavNode_",getCategoryLevelAsString($B370))),";",EscStr(O370),";")))</f>
        <v>;"NavNode_L3D_543340";"USB jaoturid / KVM lülitid / Video jaoturid";</v>
      </c>
      <c r="AI370" s="10" t="str">
        <f>IF(getCategoryLevelAsString($B370)="L0D_324785","",IF(P370="",CONCATENATE(";",EscStr(CONCATENATE("NavNode_",getCategoryLevelAsString($B370))),";",EscStr($J370),";"),CONCATENATE(";",EscStr(CONCATENATE("NavNode_",getCategoryLevelAsString($B370))),";",EscStr(P370),";")))</f>
        <v>;"NavNode_L3D_543340";"USB-jakajat";</v>
      </c>
      <c r="AJ370" s="10" t="str">
        <f>IF(getCategoryLevelAsString($B370)="L0D_324785","",IF(Q370="",CONCATENATE(";",EscStr(CONCATENATE("NavNode_",getCategoryLevelAsString($B370))),";",EscStr($J370),";"),CONCATENATE(";",EscStr(CONCATENATE("NavNode_",getCategoryLevelAsString($B370))),";",EscStr(Q370),";")))</f>
        <v>;"NavNode_L3D_543340";"USB hubs / KVM komutatori / video dalītāji";</v>
      </c>
      <c r="AK370" s="10" t="str">
        <f>IF(getCategoryLevelAsString($B370)="L0D_324785","",IF(R370="",CONCATENATE(";",EscStr(CONCATENATE("NavNode_",getCategoryLevelAsString($B370))),";",EscStr($J370),";"),CONCATENATE(";",EscStr(CONCATENATE("NavNode_",getCategoryLevelAsString($B370))),";",EscStr(R370),";")))</f>
        <v>;"NavNode_L3D_543340";"USB hubs / KVM switches / Video verderers";</v>
      </c>
      <c r="AL370" s="10" t="str">
        <f>IF(getCategoryLevelAsString($B370)="L0D_324785","",IF(S370="",CONCATENATE(";",EscStr(CONCATENATE("NavNode_",getCategoryLevelAsString($B370))),";",EscStr($J370),";"),CONCATENATE(";",EscStr(CONCATENATE("NavNode_",getCategoryLevelAsString($B370))),";",EscStr(S370),";")))</f>
        <v>;"NavNode_L3D_543340";"Rozdzielacze USB / Przełączniki KVM / Rozdzielacze Video";</v>
      </c>
      <c r="AM370" s="10" t="str">
        <f>IF(getCategoryLevelAsString($B370)="L0D_324785","",IF(T370="",CONCATENATE(";",EscStr(CONCATENATE("NavNode_",getCategoryLevelAsString($B370))),";",EscStr($J370),";"),CONCATENATE(";",EscStr(CONCATENATE("NavNode_",getCategoryLevelAsString($B370))),";",EscStr(T370),";")))</f>
        <v>;"NavNode_L3D_543340";"USB hubs / KVM Коммутаторы / Видео конекторы";</v>
      </c>
      <c r="AN370" s="10" t="str">
        <f>IF(getCategoryLevelAsString($B370)="L0D_324785","",IF(U370="",CONCATENATE(";",EscStr(CONCATENATE("NavNode_",getCategoryLevelAsString($B370))),";",EscStr($J370),";"),CONCATENATE(";",EscStr(CONCATENATE("NavNode_",getCategoryLevelAsString($B370))),";",EscStr(U370),";")))</f>
        <v>;"NavNode_L3D_543340";"USB rozbočovače / Přepínače KVM / Video rozdělovače";</v>
      </c>
      <c r="AO370" s="10" t="str">
        <f>IF(getCategoryLevelAsString($B370)="L0D_324785","",IF(V370="",CONCATENATE(";",EscStr(CONCATENATE("NavNode_",getCategoryLevelAsString($B370))),";",EscStr($J370),";"),CONCATENATE(";",EscStr(CONCATENATE("NavNode_",getCategoryLevelAsString($B370))),";",EscStr(V370),";")))</f>
        <v>;"NavNode_L3D_543340";"Hub-urile USB / Switch-uri KVM / expansiune video";</v>
      </c>
      <c r="AP370" s="10" t="str">
        <f>IF(getCategoryLevelAsString($B370)="L0D_324785","",IF(W370="",CONCATENATE(";",EscStr(CONCATENATE("NavNode_",getCategoryLevelAsString($B370))),";",EscStr($J370),";"),CONCATENATE(";",EscStr(CONCATENATE("NavNode_",getCategoryLevelAsString($B370))),";",EscStr(W370),";")))</f>
        <v>;"NavNode_L3D_543340";"USB-Hub / KVM-Switch / Videosplitter";</v>
      </c>
      <c r="AQ370" s="10" t="str">
        <f>IF(getCategoryLevelAsString($B370)="L0D_324785","",IF(X370="",CONCATENATE(";",EscStr(CONCATENATE("NavNode_",getCategoryLevelAsString($B370))),";",EscStr($J370),";"),CONCATENATE(";",EscStr(CONCATENATE("NavNode_",getCategoryLevelAsString($B370))),";",EscStr(X370),";")))</f>
        <v>;"NavNode_L3D_543340";"USB rozbočovače / Přepínače KVM / Video rozdělovače";</v>
      </c>
      <c r="AR370" s="8" t="str">
        <f>IF(OR($A370&lt;&gt;"", $G370=""),"",CONCATENATE(";",EscStr(CONCATENATE("NavEntry_",getCategoryLevelAsString($B370))),";",EscStr(CONCATENATE($J370," Navigation Entry")),";",EscStr(CONCATENATE("cat-",getCategoryLevelAsString($B370))),";",EscStr(CONCATENATE("NavNode_",getCategoryLevelAsString($B370))),";"))</f>
        <v>;"NavEntry_L3D_543340";"USB hubs / KVM switches / Video distributors Navigation Entry";"cat-L3D_543340";"NavNode_L3D_543340";</v>
      </c>
    </row>
    <row r="371" spans="1:44" ht="15" x14ac:dyDescent="0.25">
      <c r="A371" s="25"/>
      <c r="B371" s="5"/>
      <c r="C371" s="5"/>
      <c r="D371" s="5" t="s">
        <v>622</v>
      </c>
      <c r="E371" s="5"/>
      <c r="F371" s="5"/>
      <c r="G371" s="5" t="s">
        <v>1003</v>
      </c>
      <c r="H371" s="5" t="s">
        <v>1096</v>
      </c>
      <c r="I371" s="5" t="s">
        <v>1155</v>
      </c>
      <c r="J371" s="5" t="s">
        <v>861</v>
      </c>
      <c r="K371" s="5" t="s">
        <v>1392</v>
      </c>
      <c r="L371" s="5" t="s">
        <v>1628</v>
      </c>
      <c r="M371" s="5" t="s">
        <v>1830</v>
      </c>
      <c r="N371" s="5" t="s">
        <v>2047</v>
      </c>
      <c r="O371" s="5" t="s">
        <v>4286</v>
      </c>
      <c r="P371" s="5" t="s">
        <v>4287</v>
      </c>
      <c r="Q371" s="5" t="s">
        <v>4288</v>
      </c>
      <c r="R371" s="5" t="s">
        <v>861</v>
      </c>
      <c r="S371" s="5" t="s">
        <v>4289</v>
      </c>
      <c r="T371" s="5" t="s">
        <v>4290</v>
      </c>
      <c r="U371" s="5" t="s">
        <v>4291</v>
      </c>
      <c r="V371" s="5" t="s">
        <v>4292</v>
      </c>
      <c r="W371" s="5" t="s">
        <v>4293</v>
      </c>
      <c r="X371" s="5" t="s">
        <v>4291</v>
      </c>
      <c r="Y371" s="10" t="str">
        <f>IF(OR($A371&lt;&gt;"", $G371=""),"",CONCATENATE(";",EscStr(CONCATENATE("NavNode_",getCategoryLevelAsString($B371))),";",EscStr($J371),";",IF($B371&lt;&gt;"","""MainNavNode""",EscStr(CONCATENATE("NavNode_",getSuperCategory($B371, getCategoryLevelAsNumber($B371))))),";"))</f>
        <v>;"NavNode_L3D_542723";"Interface converters / Extenders";"NavNode_Computing / Office";</v>
      </c>
      <c r="Z371" s="10" t="str">
        <f>IF(getCategoryLevelAsString($B371)="L0D_324785","",IF(G371="",CONCATENATE(";",EscStr(CONCATENATE("NavNode_",getCategoryLevelAsString($B371))),";",EscStr($J371),";"),CONCATENATE(";",EscStr(CONCATENATE("NavNode_",getCategoryLevelAsString($B371))),";",EscStr(G371),";")))</f>
        <v>;"NavNode_L3D_542723";"Schnittstellen-Konverter / Extender";</v>
      </c>
      <c r="AA371" s="10" t="str">
        <f>IF(getCategoryLevelAsString($B371)="L0D_324785","",IF(H371="",CONCATENATE(";",EscStr(CONCATENATE("NavNode_",getCategoryLevelAsString($B371))),";",EscStr($J371),";"),CONCATENATE(";",EscStr(CONCATENATE("NavNode_",getCategoryLevelAsString($B371))),";",EscStr(H371),";")))</f>
        <v>;"NavNode_L3D_542723";"Convertisseurs d'interface / Extensions de signal";</v>
      </c>
      <c r="AB371" s="10" t="str">
        <f>IF(getCategoryLevelAsString($B371)="L0D_324785","",IF(I371="",CONCATENATE(";",EscStr(CONCATENATE("NavNode_",getCategoryLevelAsString($B371))),";",EscStr($J371),";"),CONCATENATE(";",EscStr(CONCATENATE("NavNode_",getCategoryLevelAsString($B371))),";",EscStr(I371),";")))</f>
        <v>;"NavNode_L3D_542723";"Convertitori di interfaccia / Extender";</v>
      </c>
      <c r="AC371" s="10" t="str">
        <f>IF(getCategoryLevelAsString($B371)="L0D_324785","",IF(J371="",CONCATENATE(";",EscStr(CONCATENATE("NavNode_",getCategoryLevelAsString($B371))),";",EscStr($J371),";"),CONCATENATE(";",EscStr(CONCATENATE("NavNode_",getCategoryLevelAsString($B371))),";",EscStr(J371),";")))</f>
        <v>;"NavNode_L3D_542723";"Interface converters / Extenders";</v>
      </c>
      <c r="AD371" s="10" t="str">
        <f>IF(getCategoryLevelAsString($B371)="L0D_324785","",IF(K371="",CONCATENATE(";",EscStr(CONCATENATE("NavNode_",getCategoryLevelAsString($B371))),";",EscStr($J371),";"),CONCATENATE(";",EscStr(CONCATENATE("NavNode_",getCategoryLevelAsString($B371))),";",EscStr(K371),";")))</f>
        <v>;"NavNode_L3D_542723";"Interface-omformere/udvidere";</v>
      </c>
      <c r="AE371" s="10" t="str">
        <f>IF(getCategoryLevelAsString($B371)="L0D_324785","",IF(L371="",CONCATENATE(";",EscStr(CONCATENATE("NavNode_",getCategoryLevelAsString($B371))),";",EscStr($J371),";"),CONCATENATE(";",EscStr(CONCATENATE("NavNode_",getCategoryLevelAsString($B371))),";",EscStr(L371),";")))</f>
        <v>;"NavNode_L3D_542723";"Sąsajos keitikliai / plėtikliai";</v>
      </c>
      <c r="AF371" s="10" t="str">
        <f>IF(getCategoryLevelAsString($B371)="L0D_324785","",IF(M371="",CONCATENATE(";",EscStr(CONCATENATE("NavNode_",getCategoryLevelAsString($B371))),";",EscStr($J371),";"),CONCATENATE(";",EscStr(CONCATENATE("NavNode_",getCategoryLevelAsString($B371))),";",EscStr(M371),";")))</f>
        <v>;"NavNode_L3D_542723";"Grensesnittomformere/utvidere";</v>
      </c>
      <c r="AG371" s="10" t="str">
        <f>IF(getCategoryLevelAsString($B371)="L0D_324785","",IF(N371="",CONCATENATE(";",EscStr(CONCATENATE("NavNode_",getCategoryLevelAsString($B371))),";",EscStr($J371),";"),CONCATENATE(";",EscStr(CONCATENATE("NavNode_",getCategoryLevelAsString($B371))),";",EscStr(N371),";")))</f>
        <v>;"NavNode_L3D_542723";"Gränssnittsomvandlare/Förlängare";</v>
      </c>
      <c r="AH371" s="10" t="str">
        <f>IF(getCategoryLevelAsString($B371)="L0D_324785","",IF(O371="",CONCATENATE(";",EscStr(CONCATENATE("NavNode_",getCategoryLevelAsString($B371))),";",EscStr($J371),";"),CONCATENATE(";",EscStr(CONCATENATE("NavNode_",getCategoryLevelAsString($B371))),";",EscStr(O371),";")))</f>
        <v>;"NavNode_L3D_542723";"Liidese konverterid / Laiendid";</v>
      </c>
      <c r="AI371" s="10" t="str">
        <f>IF(getCategoryLevelAsString($B371)="L0D_324785","",IF(P371="",CONCATENATE(";",EscStr(CONCATENATE("NavNode_",getCategoryLevelAsString($B371))),";",EscStr($J371),";"),CONCATENATE(";",EscStr(CONCATENATE("NavNode_",getCategoryLevelAsString($B371))),";",EscStr(P371),";")))</f>
        <v>;"NavNode_L3D_542723";"Liityntämuuntimet";</v>
      </c>
      <c r="AJ371" s="10" t="str">
        <f>IF(getCategoryLevelAsString($B371)="L0D_324785","",IF(Q371="",CONCATENATE(";",EscStr(CONCATENATE("NavNode_",getCategoryLevelAsString($B371))),";",EscStr($J371),";"),CONCATENATE(";",EscStr(CONCATENATE("NavNode_",getCategoryLevelAsString($B371))),";",EscStr(Q371),";")))</f>
        <v>;"NavNode_L3D_542723";"Interfeisa pārveidotāji / pagarinātāji";</v>
      </c>
      <c r="AK371" s="10" t="str">
        <f>IF(getCategoryLevelAsString($B371)="L0D_324785","",IF(R371="",CONCATENATE(";",EscStr(CONCATENATE("NavNode_",getCategoryLevelAsString($B371))),";",EscStr($J371),";"),CONCATENATE(";",EscStr(CONCATENATE("NavNode_",getCategoryLevelAsString($B371))),";",EscStr(R371),";")))</f>
        <v>;"NavNode_L3D_542723";"Interface converters / Extenders";</v>
      </c>
      <c r="AL371" s="10" t="str">
        <f>IF(getCategoryLevelAsString($B371)="L0D_324785","",IF(S371="",CONCATENATE(";",EscStr(CONCATENATE("NavNode_",getCategoryLevelAsString($B371))),";",EscStr($J371),";"),CONCATENATE(";",EscStr(CONCATENATE("NavNode_",getCategoryLevelAsString($B371))),";",EscStr(S371),";")))</f>
        <v>;"NavNode_L3D_542723";"Konwertery interfejsu / Przedłużacze";</v>
      </c>
      <c r="AM371" s="10" t="str">
        <f>IF(getCategoryLevelAsString($B371)="L0D_324785","",IF(T371="",CONCATENATE(";",EscStr(CONCATENATE("NavNode_",getCategoryLevelAsString($B371))),";",EscStr($J371),";"),CONCATENATE(";",EscStr(CONCATENATE("NavNode_",getCategoryLevelAsString($B371))),";",EscStr(T371),";")))</f>
        <v>;"NavNode_L3D_542723";"Преобразователи интерфейса  / Расширители";</v>
      </c>
      <c r="AN371" s="10" t="str">
        <f>IF(getCategoryLevelAsString($B371)="L0D_324785","",IF(U371="",CONCATENATE(";",EscStr(CONCATENATE("NavNode_",getCategoryLevelAsString($B371))),";",EscStr($J371),";"),CONCATENATE(";",EscStr(CONCATENATE("NavNode_",getCategoryLevelAsString($B371))),";",EscStr(U371),";")))</f>
        <v>;"NavNode_L3D_542723";"Konvertory rozhraní / Rozšiřovače";</v>
      </c>
      <c r="AO371" s="10" t="str">
        <f>IF(getCategoryLevelAsString($B371)="L0D_324785","",IF(V371="",CONCATENATE(";",EscStr(CONCATENATE("NavNode_",getCategoryLevelAsString($B371))),";",EscStr($J371),";"),CONCATENATE(";",EscStr(CONCATENATE("NavNode_",getCategoryLevelAsString($B371))),";",EscStr(V371),";")))</f>
        <v>;"NavNode_L3D_542723";"Interfată convertor / Extindere";</v>
      </c>
      <c r="AP371" s="10" t="str">
        <f>IF(getCategoryLevelAsString($B371)="L0D_324785","",IF(W371="",CONCATENATE(";",EscStr(CONCATENATE("NavNode_",getCategoryLevelAsString($B371))),";",EscStr($J371),";"),CONCATENATE(";",EscStr(CONCATENATE("NavNode_",getCategoryLevelAsString($B371))),";",EscStr(W371),";")))</f>
        <v>;"NavNode_L3D_542723";"Csatlakozás-Konverter / Extender";</v>
      </c>
      <c r="AQ371" s="10" t="str">
        <f>IF(getCategoryLevelAsString($B371)="L0D_324785","",IF(X371="",CONCATENATE(";",EscStr(CONCATENATE("NavNode_",getCategoryLevelAsString($B371))),";",EscStr($J371),";"),CONCATENATE(";",EscStr(CONCATENATE("NavNode_",getCategoryLevelAsString($B371))),";",EscStr(X371),";")))</f>
        <v>;"NavNode_L3D_542723";"Konvertory rozhraní / Rozšiřovače";</v>
      </c>
      <c r="AR371" s="8" t="str">
        <f>IF(OR($A371&lt;&gt;"", $G371=""),"",CONCATENATE(";",EscStr(CONCATENATE("NavEntry_",getCategoryLevelAsString($B371))),";",EscStr(CONCATENATE($J371," Navigation Entry")),";",EscStr(CONCATENATE("cat-",getCategoryLevelAsString($B371))),";",EscStr(CONCATENATE("NavNode_",getCategoryLevelAsString($B371))),";"))</f>
        <v>;"NavEntry_L3D_542723";"Interface converters / Extenders Navigation Entry";"cat-L3D_542723";"NavNode_L3D_542723";</v>
      </c>
    </row>
    <row r="372" spans="1:44" ht="15" x14ac:dyDescent="0.25">
      <c r="A372" s="25"/>
      <c r="B372" s="5"/>
      <c r="C372" s="5"/>
      <c r="D372" s="5" t="s">
        <v>623</v>
      </c>
      <c r="E372" s="5"/>
      <c r="F372" s="5"/>
      <c r="G372" s="5" t="s">
        <v>1004</v>
      </c>
      <c r="H372" s="5" t="s">
        <v>761</v>
      </c>
      <c r="I372" s="5" t="s">
        <v>675</v>
      </c>
      <c r="J372" s="5" t="s">
        <v>862</v>
      </c>
      <c r="K372" s="5" t="s">
        <v>1393</v>
      </c>
      <c r="L372" s="5" t="s">
        <v>1629</v>
      </c>
      <c r="M372" s="5" t="s">
        <v>1831</v>
      </c>
      <c r="N372" s="5" t="s">
        <v>2048</v>
      </c>
      <c r="O372" s="5" t="s">
        <v>4294</v>
      </c>
      <c r="P372" s="5" t="s">
        <v>4295</v>
      </c>
      <c r="Q372" s="5" t="s">
        <v>4296</v>
      </c>
      <c r="R372" s="5" t="s">
        <v>862</v>
      </c>
      <c r="S372" s="5" t="s">
        <v>4297</v>
      </c>
      <c r="T372" s="5" t="s">
        <v>4298</v>
      </c>
      <c r="U372" s="5" t="s">
        <v>4299</v>
      </c>
      <c r="V372" s="5" t="s">
        <v>4300</v>
      </c>
      <c r="W372" s="5" t="s">
        <v>4301</v>
      </c>
      <c r="X372" s="5" t="s">
        <v>4299</v>
      </c>
      <c r="Y372" s="10" t="str">
        <f>IF(OR($A372&lt;&gt;"", $G372=""),"",CONCATENATE(";",EscStr(CONCATENATE("NavNode_",getCategoryLevelAsString($B372))),";",EscStr($J372),";",IF($B372&lt;&gt;"","""MainNavNode""",EscStr(CONCATENATE("NavNode_",getSuperCategory($B372, getCategoryLevelAsNumber($B372))))),";"))</f>
        <v>;"NavNode_L2D_542669";"Scanners / Barcode Scanners / Graphic tablets";"NavNode_Computing / Office";</v>
      </c>
      <c r="Z372" s="10" t="str">
        <f>IF(getCategoryLevelAsString($B372)="L0D_324785","",IF(G372="",CONCATENATE(";",EscStr(CONCATENATE("NavNode_",getCategoryLevelAsString($B372))),";",EscStr($J372),";"),CONCATENATE(";",EscStr(CONCATENATE("NavNode_",getCategoryLevelAsString($B372))),";",EscStr(G372),";")))</f>
        <v>;"NavNode_L2D_542669";"Scanner / Belegleser / Grafiktabletts";</v>
      </c>
      <c r="AA372" s="10" t="str">
        <f>IF(getCategoryLevelAsString($B372)="L0D_324785","",IF(H372="",CONCATENATE(";",EscStr(CONCATENATE("NavNode_",getCategoryLevelAsString($B372))),";",EscStr($J372),";"),CONCATENATE(";",EscStr(CONCATENATE("NavNode_",getCategoryLevelAsString($B372))),";",EscStr(H372),";")))</f>
        <v>;"NavNode_L2D_542669";"Scanners / Scanners de codes à barres / Tablettes graphiques";</v>
      </c>
      <c r="AB372" s="10" t="str">
        <f>IF(getCategoryLevelAsString($B372)="L0D_324785","",IF(I372="",CONCATENATE(";",EscStr(CONCATENATE("NavNode_",getCategoryLevelAsString($B372))),";",EscStr($J372),";"),CONCATENATE(";",EscStr(CONCATENATE("NavNode_",getCategoryLevelAsString($B372))),";",EscStr(I372),";")))</f>
        <v>;"NavNode_L2D_542669";"Scanner / Scanner codice a barre / tavolette grafiche";</v>
      </c>
      <c r="AC372" s="10" t="str">
        <f>IF(getCategoryLevelAsString($B372)="L0D_324785","",IF(J372="",CONCATENATE(";",EscStr(CONCATENATE("NavNode_",getCategoryLevelAsString($B372))),";",EscStr($J372),";"),CONCATENATE(";",EscStr(CONCATENATE("NavNode_",getCategoryLevelAsString($B372))),";",EscStr(J372),";")))</f>
        <v>;"NavNode_L2D_542669";"Scanners / Barcode Scanners / Graphic tablets";</v>
      </c>
      <c r="AD372" s="10" t="str">
        <f>IF(getCategoryLevelAsString($B372)="L0D_324785","",IF(K372="",CONCATENATE(";",EscStr(CONCATENATE("NavNode_",getCategoryLevelAsString($B372))),";",EscStr($J372),";"),CONCATENATE(";",EscStr(CONCATENATE("NavNode_",getCategoryLevelAsString($B372))),";",EscStr(K372),";")))</f>
        <v>;"NavNode_L2D_542669";"Skannere/stregkodeskannere/grafiske tablets";</v>
      </c>
      <c r="AE372" s="10" t="str">
        <f>IF(getCategoryLevelAsString($B372)="L0D_324785","",IF(L372="",CONCATENATE(";",EscStr(CONCATENATE("NavNode_",getCategoryLevelAsString($B372))),";",EscStr($J372),";"),CONCATENATE(";",EscStr(CONCATENATE("NavNode_",getCategoryLevelAsString($B372))),";",EscStr(L372),";")))</f>
        <v>;"NavNode_L2D_542669";"Skaitytuvai / brūkšninių kodų skaitytuvai / grafinės planšetės";</v>
      </c>
      <c r="AF372" s="10" t="str">
        <f>IF(getCategoryLevelAsString($B372)="L0D_324785","",IF(M372="",CONCATENATE(";",EscStr(CONCATENATE("NavNode_",getCategoryLevelAsString($B372))),";",EscStr($J372),";"),CONCATENATE(";",EscStr(CONCATENATE("NavNode_",getCategoryLevelAsString($B372))),";",EscStr(M372),";")))</f>
        <v>;"NavNode_L2D_542669";"Skannere/strekkodelesere/digitaliseringsbord";</v>
      </c>
      <c r="AG372" s="10" t="str">
        <f>IF(getCategoryLevelAsString($B372)="L0D_324785","",IF(N372="",CONCATENATE(";",EscStr(CONCATENATE("NavNode_",getCategoryLevelAsString($B372))),";",EscStr($J372),";"),CONCATENATE(";",EscStr(CONCATENATE("NavNode_",getCategoryLevelAsString($B372))),";",EscStr(N372),";")))</f>
        <v>;"NavNode_L2D_542669";"Skannrar/Streckkodsläsare/Ritplattor";</v>
      </c>
      <c r="AH372" s="10" t="str">
        <f>IF(getCategoryLevelAsString($B372)="L0D_324785","",IF(O372="",CONCATENATE(";",EscStr(CONCATENATE("NavNode_",getCategoryLevelAsString($B372))),";",EscStr($J372),";"),CONCATENATE(";",EscStr(CONCATENATE("NavNode_",getCategoryLevelAsString($B372))),";",EscStr(O372),";")))</f>
        <v>;"NavNode_L2D_542669";"Skannerid / Vöötkoodi skannerid / Graafilised tahvlid";</v>
      </c>
      <c r="AI372" s="10" t="str">
        <f>IF(getCategoryLevelAsString($B372)="L0D_324785","",IF(P372="",CONCATENATE(";",EscStr(CONCATENATE("NavNode_",getCategoryLevelAsString($B372))),";",EscStr($J372),";"),CONCATENATE(";",EscStr(CONCATENATE("NavNode_",getCategoryLevelAsString($B372))),";",EscStr(P372),";")))</f>
        <v>;"NavNode_L2D_542669";"Skannerit";</v>
      </c>
      <c r="AJ372" s="10" t="str">
        <f>IF(getCategoryLevelAsString($B372)="L0D_324785","",IF(Q372="",CONCATENATE(";",EscStr(CONCATENATE("NavNode_",getCategoryLevelAsString($B372))),";",EscStr($J372),";"),CONCATENATE(";",EscStr(CONCATENATE("NavNode_",getCategoryLevelAsString($B372))),";",EscStr(Q372),";")))</f>
        <v>;"NavNode_L2D_542669";"Skeneri / svītru kodu skeneri / grafiskās planšetes";</v>
      </c>
      <c r="AK372" s="10" t="str">
        <f>IF(getCategoryLevelAsString($B372)="L0D_324785","",IF(R372="",CONCATENATE(";",EscStr(CONCATENATE("NavNode_",getCategoryLevelAsString($B372))),";",EscStr($J372),";"),CONCATENATE(";",EscStr(CONCATENATE("NavNode_",getCategoryLevelAsString($B372))),";",EscStr(R372),";")))</f>
        <v>;"NavNode_L2D_542669";"Scanners / Barcode Scanners / Graphic tablets";</v>
      </c>
      <c r="AL372" s="10" t="str">
        <f>IF(getCategoryLevelAsString($B372)="L0D_324785","",IF(S372="",CONCATENATE(";",EscStr(CONCATENATE("NavNode_",getCategoryLevelAsString($B372))),";",EscStr($J372),";"),CONCATENATE(";",EscStr(CONCATENATE("NavNode_",getCategoryLevelAsString($B372))),";",EscStr(S372),";")))</f>
        <v>;"NavNode_L2D_542669";"Skanery / Skanery kodów kreskowych / Tablety graficzne";</v>
      </c>
      <c r="AM372" s="10" t="str">
        <f>IF(getCategoryLevelAsString($B372)="L0D_324785","",IF(T372="",CONCATENATE(";",EscStr(CONCATENATE("NavNode_",getCategoryLevelAsString($B372))),";",EscStr($J372),";"),CONCATENATE(";",EscStr(CONCATENATE("NavNode_",getCategoryLevelAsString($B372))),";",EscStr(T372),";")))</f>
        <v>;"NavNode_L2D_542669";"Сканеры / Сканеры штрих-кодов / Графические планшеты";</v>
      </c>
      <c r="AN372" s="10" t="str">
        <f>IF(getCategoryLevelAsString($B372)="L0D_324785","",IF(U372="",CONCATENATE(";",EscStr(CONCATENATE("NavNode_",getCategoryLevelAsString($B372))),";",EscStr($J372),";"),CONCATENATE(";",EscStr(CONCATENATE("NavNode_",getCategoryLevelAsString($B372))),";",EscStr(U372),";")))</f>
        <v>;"NavNode_L2D_542669";"Skenery / Čtečky dokumentů / Grafické Tablety";</v>
      </c>
      <c r="AO372" s="10" t="str">
        <f>IF(getCategoryLevelAsString($B372)="L0D_324785","",IF(V372="",CONCATENATE(";",EscStr(CONCATENATE("NavNode_",getCategoryLevelAsString($B372))),";",EscStr($J372),";"),CONCATENATE(";",EscStr(CONCATENATE("NavNode_",getCategoryLevelAsString($B372))),";",EscStr(V372),";")))</f>
        <v>;"NavNode_L2D_542669";"Scaner / documentului cititorul / Tabletă de schiţat";</v>
      </c>
      <c r="AP372" s="10" t="str">
        <f>IF(getCategoryLevelAsString($B372)="L0D_324785","",IF(W372="",CONCATENATE(";",EscStr(CONCATENATE("NavNode_",getCategoryLevelAsString($B372))),";",EscStr($J372),";"),CONCATENATE(";",EscStr(CONCATENATE("NavNode_",getCategoryLevelAsString($B372))),";",EscStr(W372),";")))</f>
        <v>;"NavNode_L2D_542669";"Scanner / Kódolvasó / Grafikus tábla";</v>
      </c>
      <c r="AQ372" s="10" t="str">
        <f>IF(getCategoryLevelAsString($B372)="L0D_324785","",IF(X372="",CONCATENATE(";",EscStr(CONCATENATE("NavNode_",getCategoryLevelAsString($B372))),";",EscStr($J372),";"),CONCATENATE(";",EscStr(CONCATENATE("NavNode_",getCategoryLevelAsString($B372))),";",EscStr(X372),";")))</f>
        <v>;"NavNode_L2D_542669";"Skenery / Čtečky dokumentů / Grafické Tablety";</v>
      </c>
      <c r="AR372" s="8" t="str">
        <f>IF(OR($A372&lt;&gt;"", $G372=""),"",CONCATENATE(";",EscStr(CONCATENATE("NavEntry_",getCategoryLevelAsString($B372))),";",EscStr(CONCATENATE($J372," Navigation Entry")),";",EscStr(CONCATENATE("cat-",getCategoryLevelAsString($B372))),";",EscStr(CONCATENATE("NavNode_",getCategoryLevelAsString($B372))),";"))</f>
        <v>;"NavEntry_L2D_542669";"Scanners / Barcode Scanners / Graphic tablets Navigation Entry";"cat-L2D_542669";"NavNode_L2D_542669";</v>
      </c>
    </row>
    <row r="373" spans="1:44" ht="15" x14ac:dyDescent="0.25">
      <c r="A373" s="25"/>
      <c r="B373" s="5"/>
      <c r="C373" s="5"/>
      <c r="D373" s="5" t="s">
        <v>624</v>
      </c>
      <c r="E373" s="5"/>
      <c r="F373" s="5"/>
      <c r="G373" s="5" t="s">
        <v>1184</v>
      </c>
      <c r="H373" s="5" t="s">
        <v>762</v>
      </c>
      <c r="I373" s="5" t="s">
        <v>674</v>
      </c>
      <c r="J373" s="5" t="s">
        <v>863</v>
      </c>
      <c r="K373" s="5" t="s">
        <v>1394</v>
      </c>
      <c r="L373" s="5" t="s">
        <v>1630</v>
      </c>
      <c r="M373" s="5" t="s">
        <v>1832</v>
      </c>
      <c r="N373" s="5" t="s">
        <v>2049</v>
      </c>
      <c r="O373" s="5" t="s">
        <v>4302</v>
      </c>
      <c r="P373" s="5" t="s">
        <v>4303</v>
      </c>
      <c r="Q373" s="5" t="s">
        <v>4304</v>
      </c>
      <c r="R373" s="5" t="s">
        <v>4305</v>
      </c>
      <c r="S373" s="5" t="s">
        <v>4306</v>
      </c>
      <c r="T373" s="5" t="s">
        <v>4307</v>
      </c>
      <c r="U373" s="5" t="s">
        <v>4308</v>
      </c>
      <c r="V373" s="5" t="s">
        <v>4309</v>
      </c>
      <c r="W373" s="5" t="s">
        <v>4310</v>
      </c>
      <c r="X373" s="5" t="s">
        <v>4308</v>
      </c>
      <c r="Y373" s="10" t="str">
        <f>IF(OR($A373&lt;&gt;"", $G373=""),"",CONCATENATE(";",EscStr(CONCATENATE("NavNode_",getCategoryLevelAsString($B373))),";",EscStr($J373),";",IF($B373&lt;&gt;"","""MainNavNode""",EscStr(CONCATENATE("NavNode_",getSuperCategory($B373, getCategoryLevelAsNumber($B373))))),";"))</f>
        <v>;"NavNode_L3D_542677";"PC Speakers / Webcams";"NavNode_L2D_542669";</v>
      </c>
      <c r="Z373" s="10" t="str">
        <f>IF(getCategoryLevelAsString($B373)="L0D_324785","",IF(G373="",CONCATENATE(";",EscStr(CONCATENATE("NavNode_",getCategoryLevelAsString($B373))),";",EscStr($J373),";"),CONCATENATE(";",EscStr(CONCATENATE("NavNode_",getCategoryLevelAsString($B373))),";",EscStr(G373),";")))</f>
        <v>;"NavNode_L3D_542677";"PC-Lautsprecher / Webcams";</v>
      </c>
      <c r="AA373" s="10" t="str">
        <f>IF(getCategoryLevelAsString($B373)="L0D_324785","",IF(H373="",CONCATENATE(";",EscStr(CONCATENATE("NavNode_",getCategoryLevelAsString($B373))),";",EscStr($J373),";"),CONCATENATE(";",EscStr(CONCATENATE("NavNode_",getCategoryLevelAsString($B373))),";",EscStr(H373),";")))</f>
        <v>;"NavNode_L3D_542677";"Haut-parleurs pour PC / Webcams";</v>
      </c>
      <c r="AB373" s="10" t="str">
        <f>IF(getCategoryLevelAsString($B373)="L0D_324785","",IF(I373="",CONCATENATE(";",EscStr(CONCATENATE("NavNode_",getCategoryLevelAsString($B373))),";",EscStr($J373),";"),CONCATENATE(";",EscStr(CONCATENATE("NavNode_",getCategoryLevelAsString($B373))),";",EscStr(I373),";")))</f>
        <v>;"NavNode_L3D_542677";"Altoparlanti per PC / Webcam";</v>
      </c>
      <c r="AC373" s="10" t="str">
        <f>IF(getCategoryLevelAsString($B373)="L0D_324785","",IF(J373="",CONCATENATE(";",EscStr(CONCATENATE("NavNode_",getCategoryLevelAsString($B373))),";",EscStr($J373),";"),CONCATENATE(";",EscStr(CONCATENATE("NavNode_",getCategoryLevelAsString($B373))),";",EscStr(J373),";")))</f>
        <v>;"NavNode_L3D_542677";"PC Speakers / Webcams";</v>
      </c>
      <c r="AD373" s="10" t="str">
        <f>IF(getCategoryLevelAsString($B373)="L0D_324785","",IF(K373="",CONCATENATE(";",EscStr(CONCATENATE("NavNode_",getCategoryLevelAsString($B373))),";",EscStr($J373),";"),CONCATENATE(";",EscStr(CONCATENATE("NavNode_",getCategoryLevelAsString($B373))),";",EscStr(K373),";")))</f>
        <v>;"NavNode_L3D_542677";"Pc-højtalere/web-kameraer";</v>
      </c>
      <c r="AE373" s="10" t="str">
        <f>IF(getCategoryLevelAsString($B373)="L0D_324785","",IF(L373="",CONCATENATE(";",EscStr(CONCATENATE("NavNode_",getCategoryLevelAsString($B373))),";",EscStr($J373),";"),CONCATENATE(";",EscStr(CONCATENATE("NavNode_",getCategoryLevelAsString($B373))),";",EscStr(L373),";")))</f>
        <v>;"NavNode_L3D_542677";"PC garsiakalbiai / interneto kameros";</v>
      </c>
      <c r="AF373" s="10" t="str">
        <f>IF(getCategoryLevelAsString($B373)="L0D_324785","",IF(M373="",CONCATENATE(";",EscStr(CONCATENATE("NavNode_",getCategoryLevelAsString($B373))),";",EscStr($J373),";"),CONCATENATE(";",EscStr(CONCATENATE("NavNode_",getCategoryLevelAsString($B373))),";",EscStr(M373),";")))</f>
        <v>;"NavNode_L3D_542677";"PC-høytalere/webkamera";</v>
      </c>
      <c r="AG373" s="10" t="str">
        <f>IF(getCategoryLevelAsString($B373)="L0D_324785","",IF(N373="",CONCATENATE(";",EscStr(CONCATENATE("NavNode_",getCategoryLevelAsString($B373))),";",EscStr($J373),";"),CONCATENATE(";",EscStr(CONCATENATE("NavNode_",getCategoryLevelAsString($B373))),";",EscStr(N373),";")))</f>
        <v>;"NavNode_L3D_542677";"Datorhögtalare/Webbkameror";</v>
      </c>
      <c r="AH373" s="10" t="str">
        <f>IF(getCategoryLevelAsString($B373)="L0D_324785","",IF(O373="",CONCATENATE(";",EscStr(CONCATENATE("NavNode_",getCategoryLevelAsString($B373))),";",EscStr($J373),";"),CONCATENATE(";",EscStr(CONCATENATE("NavNode_",getCategoryLevelAsString($B373))),";",EscStr(O373),";")))</f>
        <v>;"NavNode_L3D_542677";"Arvutikõlarid / Veebikaamerad";</v>
      </c>
      <c r="AI373" s="10" t="str">
        <f>IF(getCategoryLevelAsString($B373)="L0D_324785","",IF(P373="",CONCATENATE(";",EscStr(CONCATENATE("NavNode_",getCategoryLevelAsString($B373))),";",EscStr($J373),";"),CONCATENATE(";",EscStr(CONCATENATE("NavNode_",getCategoryLevelAsString($B373))),";",EscStr(P373),";")))</f>
        <v>;"NavNode_L3D_542677";"PC-kaiuttimet";</v>
      </c>
      <c r="AJ373" s="10" t="str">
        <f>IF(getCategoryLevelAsString($B373)="L0D_324785","",IF(Q373="",CONCATENATE(";",EscStr(CONCATENATE("NavNode_",getCategoryLevelAsString($B373))),";",EscStr($J373),";"),CONCATENATE(";",EscStr(CONCATENATE("NavNode_",getCategoryLevelAsString($B373))),";",EscStr(Q373),";")))</f>
        <v>;"NavNode_L3D_542677";"Datoru skaļruņi / web-kameras";</v>
      </c>
      <c r="AK373" s="10" t="str">
        <f>IF(getCategoryLevelAsString($B373)="L0D_324785","",IF(R373="",CONCATENATE(";",EscStr(CONCATENATE("NavNode_",getCategoryLevelAsString($B373))),";",EscStr($J373),";"),CONCATENATE(";",EscStr(CONCATENATE("NavNode_",getCategoryLevelAsString($B373))),";",EscStr(R373),";")))</f>
        <v>;"NavNode_L3D_542677";"PC luisprekers / Webcams";</v>
      </c>
      <c r="AL373" s="10" t="str">
        <f>IF(getCategoryLevelAsString($B373)="L0D_324785","",IF(S373="",CONCATENATE(";",EscStr(CONCATENATE("NavNode_",getCategoryLevelAsString($B373))),";",EscStr($J373),";"),CONCATENATE(";",EscStr(CONCATENATE("NavNode_",getCategoryLevelAsString($B373))),";",EscStr(S373),";")))</f>
        <v>;"NavNode_L3D_542677";"Głośniki do PC / Kamerki internetowe";</v>
      </c>
      <c r="AM373" s="10" t="str">
        <f>IF(getCategoryLevelAsString($B373)="L0D_324785","",IF(T373="",CONCATENATE(";",EscStr(CONCATENATE("NavNode_",getCategoryLevelAsString($B373))),";",EscStr($J373),";"),CONCATENATE(";",EscStr(CONCATENATE("NavNode_",getCategoryLevelAsString($B373))),";",EscStr(T373),";")))</f>
        <v>;"NavNode_L3D_542677";"Колонки / Веб-камеры";</v>
      </c>
      <c r="AN373" s="10" t="str">
        <f>IF(getCategoryLevelAsString($B373)="L0D_324785","",IF(U373="",CONCATENATE(";",EscStr(CONCATENATE("NavNode_",getCategoryLevelAsString($B373))),";",EscStr($J373),";"),CONCATENATE(";",EscStr(CONCATENATE("NavNode_",getCategoryLevelAsString($B373))),";",EscStr(U373),";")))</f>
        <v>;"NavNode_L3D_542677";"PC reproduktor / Webkamery";</v>
      </c>
      <c r="AO373" s="10" t="str">
        <f>IF(getCategoryLevelAsString($B373)="L0D_324785","",IF(V373="",CONCATENATE(";",EscStr(CONCATENATE("NavNode_",getCategoryLevelAsString($B373))),";",EscStr($J373),";"),CONCATENATE(";",EscStr(CONCATENATE("NavNode_",getCategoryLevelAsString($B373))),";",EscStr(V373),";")))</f>
        <v>;"NavNode_L3D_542677";"Difuzoare pentru PC / camere web";</v>
      </c>
      <c r="AP373" s="10" t="str">
        <f>IF(getCategoryLevelAsString($B373)="L0D_324785","",IF(W373="",CONCATENATE(";",EscStr(CONCATENATE("NavNode_",getCategoryLevelAsString($B373))),";",EscStr($J373),";"),CONCATENATE(";",EscStr(CONCATENATE("NavNode_",getCategoryLevelAsString($B373))),";",EscStr(W373),";")))</f>
        <v>;"NavNode_L3D_542677";"PC-hangszóró / Webkamera";</v>
      </c>
      <c r="AQ373" s="10" t="str">
        <f>IF(getCategoryLevelAsString($B373)="L0D_324785","",IF(X373="",CONCATENATE(";",EscStr(CONCATENATE("NavNode_",getCategoryLevelAsString($B373))),";",EscStr($J373),";"),CONCATENATE(";",EscStr(CONCATENATE("NavNode_",getCategoryLevelAsString($B373))),";",EscStr(X373),";")))</f>
        <v>;"NavNode_L3D_542677";"PC reproduktor / Webkamery";</v>
      </c>
      <c r="AR373" s="8" t="str">
        <f>IF(OR($A373&lt;&gt;"", $G373=""),"",CONCATENATE(";",EscStr(CONCATENATE("NavEntry_",getCategoryLevelAsString($B373))),";",EscStr(CONCATENATE($J373," Navigation Entry")),";",EscStr(CONCATENATE("cat-",getCategoryLevelAsString($B373))),";",EscStr(CONCATENATE("NavNode_",getCategoryLevelAsString($B373))),";"))</f>
        <v>;"NavEntry_L3D_542677";"PC Speakers / Webcams Navigation Entry";"cat-L3D_542677";"NavNode_L3D_542677";</v>
      </c>
    </row>
    <row r="374" spans="1:44" ht="15" x14ac:dyDescent="0.25">
      <c r="A374" s="25"/>
      <c r="B374" s="5"/>
      <c r="C374" s="5" t="s">
        <v>593</v>
      </c>
      <c r="D374" s="5"/>
      <c r="E374" s="5"/>
      <c r="F374" s="5"/>
      <c r="G374" s="5" t="s">
        <v>1023</v>
      </c>
      <c r="H374" s="5" t="s">
        <v>785</v>
      </c>
      <c r="I374" s="5" t="s">
        <v>651</v>
      </c>
      <c r="J374" s="5" t="s">
        <v>887</v>
      </c>
      <c r="K374" s="5" t="s">
        <v>2167</v>
      </c>
      <c r="L374" s="5" t="s">
        <v>1654</v>
      </c>
      <c r="M374" s="5" t="s">
        <v>1855</v>
      </c>
      <c r="N374" s="5" t="s">
        <v>2073</v>
      </c>
      <c r="O374" s="5" t="s">
        <v>4510</v>
      </c>
      <c r="P374" s="5" t="s">
        <v>4511</v>
      </c>
      <c r="Q374" s="5" t="s">
        <v>4512</v>
      </c>
      <c r="R374" s="5" t="s">
        <v>4513</v>
      </c>
      <c r="S374" s="5" t="s">
        <v>4514</v>
      </c>
      <c r="T374" s="5" t="s">
        <v>4515</v>
      </c>
      <c r="U374" s="5" t="s">
        <v>4516</v>
      </c>
      <c r="V374" s="5" t="s">
        <v>4517</v>
      </c>
      <c r="W374" s="5" t="s">
        <v>4518</v>
      </c>
      <c r="X374" s="5" t="s">
        <v>4516</v>
      </c>
      <c r="Y374" s="10" t="str">
        <f>IF(OR($A374&lt;&gt;"", $G374=""),"",CONCATENATE(";",EscStr(CONCATENATE("NavNode_",getCategoryLevelAsString($B374))),";",EscStr($J374),";",IF($B374&lt;&gt;"","""MainNavNode""",EscStr(CONCATENATE("NavNode_",getSuperCategory($B374, getCategoryLevelAsNumber($B374))))),";"))</f>
        <v>;"NavNode_";"Battery Chargers / Power Adapters";"NavNode_";</v>
      </c>
      <c r="Z374" s="10" t="str">
        <f>IF(getCategoryLevelAsString($B374)="L0D_324785","",IF(G374="",CONCATENATE(";",EscStr(CONCATENATE("NavNode_",getCategoryLevelAsString($B374))),";",EscStr($J374),";"),CONCATENATE(";",EscStr(CONCATENATE("NavNode_",getCategoryLevelAsString($B374))),";",EscStr(G374),";")))</f>
        <v>;"NavNode_";"Ladegeräte / Steckernetzteile";</v>
      </c>
      <c r="AA374" s="10" t="str">
        <f>IF(getCategoryLevelAsString($B374)="L0D_324785","",IF(H374="",CONCATENATE(";",EscStr(CONCATENATE("NavNode_",getCategoryLevelAsString($B374))),";",EscStr($J374),";"),CONCATENATE(";",EscStr(CONCATENATE("NavNode_",getCategoryLevelAsString($B374))),";",EscStr(H374),";")))</f>
        <v>;"NavNode_";"Chargeurs de batterie / Adaptateurs d'alimentation";</v>
      </c>
      <c r="AB374" s="10" t="str">
        <f>IF(getCategoryLevelAsString($B374)="L0D_324785","",IF(I374="",CONCATENATE(";",EscStr(CONCATENATE("NavNode_",getCategoryLevelAsString($B374))),";",EscStr($J374),";"),CONCATENATE(";",EscStr(CONCATENATE("NavNode_",getCategoryLevelAsString($B374))),";",EscStr(I374),";")))</f>
        <v>;"NavNode_";"Caricabatteria / adattatori di alimentazione";</v>
      </c>
      <c r="AC374" s="10" t="str">
        <f>IF(getCategoryLevelAsString($B374)="L0D_324785","",IF(J374="",CONCATENATE(";",EscStr(CONCATENATE("NavNode_",getCategoryLevelAsString($B374))),";",EscStr($J374),";"),CONCATENATE(";",EscStr(CONCATENATE("NavNode_",getCategoryLevelAsString($B374))),";",EscStr(J374),";")))</f>
        <v>;"NavNode_";"Battery Chargers / Power Adapters";</v>
      </c>
      <c r="AD374" s="10" t="str">
        <f>IF(getCategoryLevelAsString($B374)="L0D_324785","",IF(K374="",CONCATENATE(";",EscStr(CONCATENATE("NavNode_",getCategoryLevelAsString($B374))),";",EscStr($J374),";"),CONCATENATE(";",EscStr(CONCATENATE("NavNode_",getCategoryLevelAsString($B374))),";",EscStr(K374),";")))</f>
        <v>;"NavNode_";"Batteriopladere/strømadaptere";</v>
      </c>
      <c r="AE374" s="10" t="str">
        <f>IF(getCategoryLevelAsString($B374)="L0D_324785","",IF(L374="",CONCATENATE(";",EscStr(CONCATENATE("NavNode_",getCategoryLevelAsString($B374))),";",EscStr($J374),";"),CONCATENATE(";",EscStr(CONCATENATE("NavNode_",getCategoryLevelAsString($B374))),";",EscStr(L374),";")))</f>
        <v>;"NavNode_";"Baterijų įkrovikliai / maitinimo adapteriai";</v>
      </c>
      <c r="AF374" s="10" t="str">
        <f>IF(getCategoryLevelAsString($B374)="L0D_324785","",IF(M374="",CONCATENATE(";",EscStr(CONCATENATE("NavNode_",getCategoryLevelAsString($B374))),";",EscStr($J374),";"),CONCATENATE(";",EscStr(CONCATENATE("NavNode_",getCategoryLevelAsString($B374))),";",EscStr(M374),";")))</f>
        <v>;"NavNode_";"Batteriladere/strømadaptere";</v>
      </c>
      <c r="AG374" s="10" t="str">
        <f>IF(getCategoryLevelAsString($B374)="L0D_324785","",IF(N374="",CONCATENATE(";",EscStr(CONCATENATE("NavNode_",getCategoryLevelAsString($B374))),";",EscStr($J374),";"),CONCATENATE(";",EscStr(CONCATENATE("NavNode_",getCategoryLevelAsString($B374))),";",EscStr(N374),";")))</f>
        <v>;"NavNode_";"Batteriladdare/Strömadaptrar";</v>
      </c>
      <c r="AH374" s="10" t="str">
        <f>IF(getCategoryLevelAsString($B374)="L0D_324785","",IF(O374="",CONCATENATE(";",EscStr(CONCATENATE("NavNode_",getCategoryLevelAsString($B374))),";",EscStr($J374),";"),CONCATENATE(";",EscStr(CONCATENATE("NavNode_",getCategoryLevelAsString($B374))),";",EscStr(O374),";")))</f>
        <v>;"NavNode_";"Akulaadijad / Toiteadapterid";</v>
      </c>
      <c r="AI374" s="10" t="str">
        <f>IF(getCategoryLevelAsString($B374)="L0D_324785","",IF(P374="",CONCATENATE(";",EscStr(CONCATENATE("NavNode_",getCategoryLevelAsString($B374))),";",EscStr($J374),";"),CONCATENATE(";",EscStr(CONCATENATE("NavNode_",getCategoryLevelAsString($B374))),";",EscStr(P374),";")))</f>
        <v>;"NavNode_";"Akkulaturit";</v>
      </c>
      <c r="AJ374" s="10" t="str">
        <f>IF(getCategoryLevelAsString($B374)="L0D_324785","",IF(Q374="",CONCATENATE(";",EscStr(CONCATENATE("NavNode_",getCategoryLevelAsString($B374))),";",EscStr($J374),";"),CONCATENATE(";",EscStr(CONCATENATE("NavNode_",getCategoryLevelAsString($B374))),";",EscStr(Q374),";")))</f>
        <v>;"NavNode_";"Akumulatoru lādētāji / Tīkla adapteri";</v>
      </c>
      <c r="AK374" s="10" t="str">
        <f>IF(getCategoryLevelAsString($B374)="L0D_324785","",IF(R374="",CONCATENATE(";",EscStr(CONCATENATE("NavNode_",getCategoryLevelAsString($B374))),";",EscStr($J374),";"),CONCATENATE(";",EscStr(CONCATENATE("NavNode_",getCategoryLevelAsString($B374))),";",EscStr(R374),";")))</f>
        <v>;"NavNode_";"Batterijladers / Voedingsadapters";</v>
      </c>
      <c r="AL374" s="10" t="str">
        <f>IF(getCategoryLevelAsString($B374)="L0D_324785","",IF(S374="",CONCATENATE(";",EscStr(CONCATENATE("NavNode_",getCategoryLevelAsString($B374))),";",EscStr($J374),";"),CONCATENATE(";",EscStr(CONCATENATE("NavNode_",getCategoryLevelAsString($B374))),";",EscStr(S374),";")))</f>
        <v>;"NavNode_";"Ładowarki / Adaptery";</v>
      </c>
      <c r="AM374" s="10" t="str">
        <f>IF(getCategoryLevelAsString($B374)="L0D_324785","",IF(T374="",CONCATENATE(";",EscStr(CONCATENATE("NavNode_",getCategoryLevelAsString($B374))),";",EscStr($J374),";"),CONCATENATE(";",EscStr(CONCATENATE("NavNode_",getCategoryLevelAsString($B374))),";",EscStr(T374),";")))</f>
        <v>;"NavNode_";"Зарядные устройства / Адаптеры питания";</v>
      </c>
      <c r="AN374" s="10" t="str">
        <f>IF(getCategoryLevelAsString($B374)="L0D_324785","",IF(U374="",CONCATENATE(";",EscStr(CONCATENATE("NavNode_",getCategoryLevelAsString($B374))),";",EscStr($J374),";"),CONCATENATE(";",EscStr(CONCATENATE("NavNode_",getCategoryLevelAsString($B374))),";",EscStr(U374),";")))</f>
        <v>;"NavNode_";"Nabíječky / Adaptéry";</v>
      </c>
      <c r="AO374" s="10" t="str">
        <f>IF(getCategoryLevelAsString($B374)="L0D_324785","",IF(V374="",CONCATENATE(";",EscStr(CONCATENATE("NavNode_",getCategoryLevelAsString($B374))),";",EscStr($J374),";"),CONCATENATE(";",EscStr(CONCATENATE("NavNode_",getCategoryLevelAsString($B374))),";",EscStr(V374),";")))</f>
        <v>;"NavNode_";"Încărcătoare / alimentatoare";</v>
      </c>
      <c r="AP374" s="10" t="str">
        <f>IF(getCategoryLevelAsString($B374)="L0D_324785","",IF(W374="",CONCATENATE(";",EscStr(CONCATENATE("NavNode_",getCategoryLevelAsString($B374))),";",EscStr($J374),";"),CONCATENATE(";",EscStr(CONCATENATE("NavNode_",getCategoryLevelAsString($B374))),";",EscStr(W374),";")))</f>
        <v>;"NavNode_";"Töltők / tápegységek";</v>
      </c>
      <c r="AQ374" s="10" t="str">
        <f>IF(getCategoryLevelAsString($B374)="L0D_324785","",IF(X374="",CONCATENATE(";",EscStr(CONCATENATE("NavNode_",getCategoryLevelAsString($B374))),";",EscStr($J374),";"),CONCATENATE(";",EscStr(CONCATENATE("NavNode_",getCategoryLevelAsString($B374))),";",EscStr(X374),";")))</f>
        <v>;"NavNode_";"Nabíječky / Adaptéry";</v>
      </c>
      <c r="AR374" s="8" t="str">
        <f>IF(OR($A374&lt;&gt;"", $G374=""),"",CONCATENATE(";",EscStr(CONCATENATE("NavEntry_",getCategoryLevelAsString($B374))),";",EscStr(CONCATENATE($J374," Navigation Entry")),";",EscStr(CONCATENATE("cat-",getCategoryLevelAsString($B374))),";",EscStr(CONCATENATE("NavNode_",getCategoryLevelAsString($B374))),";"))</f>
        <v>;"NavEntry_";"Battery Chargers / Power Adapters Navigation Entry";"cat-";"NavNode_";</v>
      </c>
    </row>
    <row r="375" spans="1:44" ht="15" x14ac:dyDescent="0.25">
      <c r="A375" s="25"/>
      <c r="B375" s="5"/>
      <c r="C375" s="5" t="s">
        <v>594</v>
      </c>
      <c r="D375" s="5"/>
      <c r="E375" s="5"/>
      <c r="F375" s="5"/>
      <c r="G375" s="5" t="s">
        <v>944</v>
      </c>
      <c r="H375" s="5" t="s">
        <v>454</v>
      </c>
      <c r="I375" s="5" t="s">
        <v>652</v>
      </c>
      <c r="J375" s="5" t="s">
        <v>902</v>
      </c>
      <c r="K375" s="5" t="s">
        <v>1432</v>
      </c>
      <c r="L375" s="5" t="s">
        <v>1671</v>
      </c>
      <c r="M375" s="5" t="s">
        <v>1872</v>
      </c>
      <c r="N375" s="5" t="s">
        <v>2090</v>
      </c>
      <c r="O375" s="5" t="s">
        <v>4667</v>
      </c>
      <c r="P375" s="5" t="s">
        <v>4668</v>
      </c>
      <c r="Q375" s="5" t="s">
        <v>4669</v>
      </c>
      <c r="R375" s="5" t="s">
        <v>4670</v>
      </c>
      <c r="S375" s="5" t="s">
        <v>4671</v>
      </c>
      <c r="T375" s="5" t="s">
        <v>4672</v>
      </c>
      <c r="U375" s="5" t="s">
        <v>4673</v>
      </c>
      <c r="V375" s="5" t="s">
        <v>4674</v>
      </c>
      <c r="W375" s="5" t="s">
        <v>4675</v>
      </c>
      <c r="X375" s="5" t="s">
        <v>4673</v>
      </c>
      <c r="Y375" s="10" t="str">
        <f>IF(OR($A375&lt;&gt;"", $G375=""),"",CONCATENATE(";",EscStr(CONCATENATE("NavNode_",getCategoryLevelAsString($B375))),";",EscStr($J375),";",IF($B375&lt;&gt;"","""MainNavNode""",EscStr(CONCATENATE("NavNode_",getSuperCategory($B375, getCategoryLevelAsNumber($B375))))),";"))</f>
        <v>;"NavNode_";"Leisure &amp; Hobby";"NavNode_";</v>
      </c>
      <c r="Z375" s="10" t="str">
        <f>IF(getCategoryLevelAsString($B375)="L0D_324785","",IF(G375="",CONCATENATE(";",EscStr(CONCATENATE("NavNode_",getCategoryLevelAsString($B375))),";",EscStr($J375),";"),CONCATENATE(";",EscStr(CONCATENATE("NavNode_",getCategoryLevelAsString($B375))),";",EscStr(G375),";")))</f>
        <v>;"NavNode_";"Freizeit und Hobby";</v>
      </c>
      <c r="AA375" s="10" t="str">
        <f>IF(getCategoryLevelAsString($B375)="L0D_324785","",IF(H375="",CONCATENATE(";",EscStr(CONCATENATE("NavNode_",getCategoryLevelAsString($B375))),";",EscStr($J375),";"),CONCATENATE(";",EscStr(CONCATENATE("NavNode_",getCategoryLevelAsString($B375))),";",EscStr(H375),";")))</f>
        <v>;"NavNode_";"Loisirs";</v>
      </c>
      <c r="AB375" s="10" t="str">
        <f>IF(getCategoryLevelAsString($B375)="L0D_324785","",IF(I375="",CONCATENATE(";",EscStr(CONCATENATE("NavNode_",getCategoryLevelAsString($B375))),";",EscStr($J375),";"),CONCATENATE(";",EscStr(CONCATENATE("NavNode_",getCategoryLevelAsString($B375))),";",EscStr(I375),";")))</f>
        <v>;"NavNode_";"Tempo libero e hobby";</v>
      </c>
      <c r="AC375" s="10" t="str">
        <f>IF(getCategoryLevelAsString($B375)="L0D_324785","",IF(J375="",CONCATENATE(";",EscStr(CONCATENATE("NavNode_",getCategoryLevelAsString($B375))),";",EscStr($J375),";"),CONCATENATE(";",EscStr(CONCATENATE("NavNode_",getCategoryLevelAsString($B375))),";",EscStr(J375),";")))</f>
        <v>;"NavNode_";"Leisure &amp; Hobby";</v>
      </c>
      <c r="AD375" s="10" t="str">
        <f>IF(getCategoryLevelAsString($B375)="L0D_324785","",IF(K375="",CONCATENATE(";",EscStr(CONCATENATE("NavNode_",getCategoryLevelAsString($B375))),";",EscStr($J375),";"),CONCATENATE(";",EscStr(CONCATENATE("NavNode_",getCategoryLevelAsString($B375))),";",EscStr(K375),";")))</f>
        <v>;"NavNode_";"Fritid &amp; Hobby";</v>
      </c>
      <c r="AE375" s="10" t="str">
        <f>IF(getCategoryLevelAsString($B375)="L0D_324785","",IF(L375="",CONCATENATE(";",EscStr(CONCATENATE("NavNode_",getCategoryLevelAsString($B375))),";",EscStr($J375),";"),CONCATENATE(";",EscStr(CONCATENATE("NavNode_",getCategoryLevelAsString($B375))),";",EscStr(L375),";")))</f>
        <v>;"NavNode_";"Pramogos ir hobis";</v>
      </c>
      <c r="AF375" s="10" t="str">
        <f>IF(getCategoryLevelAsString($B375)="L0D_324785","",IF(M375="",CONCATENATE(";",EscStr(CONCATENATE("NavNode_",getCategoryLevelAsString($B375))),";",EscStr($J375),";"),CONCATENATE(";",EscStr(CONCATENATE("NavNode_",getCategoryLevelAsString($B375))),";",EscStr(M375),";")))</f>
        <v>;"NavNode_";"Fritid og hobby";</v>
      </c>
      <c r="AG375" s="10" t="str">
        <f>IF(getCategoryLevelAsString($B375)="L0D_324785","",IF(N375="",CONCATENATE(";",EscStr(CONCATENATE("NavNode_",getCategoryLevelAsString($B375))),";",EscStr($J375),";"),CONCATENATE(";",EscStr(CONCATENATE("NavNode_",getCategoryLevelAsString($B375))),";",EscStr(N375),";")))</f>
        <v>;"NavNode_";"Fritid och hobby";</v>
      </c>
      <c r="AH375" s="10" t="str">
        <f>IF(getCategoryLevelAsString($B375)="L0D_324785","",IF(O375="",CONCATENATE(";",EscStr(CONCATENATE("NavNode_",getCategoryLevelAsString($B375))),";",EscStr($J375),";"),CONCATENATE(";",EscStr(CONCATENATE("NavNode_",getCategoryLevelAsString($B375))),";",EscStr(O375),";")))</f>
        <v>;"NavNode_";"Vaba aeg ja hobid";</v>
      </c>
      <c r="AI375" s="10" t="str">
        <f>IF(getCategoryLevelAsString($B375)="L0D_324785","",IF(P375="",CONCATENATE(";",EscStr(CONCATENATE("NavNode_",getCategoryLevelAsString($B375))),";",EscStr($J375),";"),CONCATENATE(";",EscStr(CONCATENATE("NavNode_",getCategoryLevelAsString($B375))),";",EscStr(P375),";")))</f>
        <v>;"NavNode_";"Harrastukset";</v>
      </c>
      <c r="AJ375" s="10" t="str">
        <f>IF(getCategoryLevelAsString($B375)="L0D_324785","",IF(Q375="",CONCATENATE(";",EscStr(CONCATENATE("NavNode_",getCategoryLevelAsString($B375))),";",EscStr($J375),";"),CONCATENATE(";",EscStr(CONCATENATE("NavNode_",getCategoryLevelAsString($B375))),";",EscStr(Q375),";")))</f>
        <v>;"NavNode_";"Atpūta un hobiji";</v>
      </c>
      <c r="AK375" s="10" t="str">
        <f>IF(getCategoryLevelAsString($B375)="L0D_324785","",IF(R375="",CONCATENATE(";",EscStr(CONCATENATE("NavNode_",getCategoryLevelAsString($B375))),";",EscStr($J375),";"),CONCATENATE(";",EscStr(CONCATENATE("NavNode_",getCategoryLevelAsString($B375))),";",EscStr(R375),";")))</f>
        <v>;"NavNode_";"Vrije tijd &amp; Hobby";</v>
      </c>
      <c r="AL375" s="10" t="str">
        <f>IF(getCategoryLevelAsString($B375)="L0D_324785","",IF(S375="",CONCATENATE(";",EscStr(CONCATENATE("NavNode_",getCategoryLevelAsString($B375))),";",EscStr($J375),";"),CONCATENATE(";",EscStr(CONCATENATE("NavNode_",getCategoryLevelAsString($B375))),";",EscStr(S375),";")))</f>
        <v>;"NavNode_";"Wypoczynek &amp; Hobby";</v>
      </c>
      <c r="AM375" s="10" t="str">
        <f>IF(getCategoryLevelAsString($B375)="L0D_324785","",IF(T375="",CONCATENATE(";",EscStr(CONCATENATE("NavNode_",getCategoryLevelAsString($B375))),";",EscStr($J375),";"),CONCATENATE(";",EscStr(CONCATENATE("NavNode_",getCategoryLevelAsString($B375))),";",EscStr(T375),";")))</f>
        <v>;"NavNode_";"Досуг &amp; Хобби";</v>
      </c>
      <c r="AN375" s="10" t="str">
        <f>IF(getCategoryLevelAsString($B375)="L0D_324785","",IF(U375="",CONCATENATE(";",EscStr(CONCATENATE("NavNode_",getCategoryLevelAsString($B375))),";",EscStr($J375),";"),CONCATENATE(";",EscStr(CONCATENATE("NavNode_",getCategoryLevelAsString($B375))),";",EscStr(U375),";")))</f>
        <v>;"NavNode_";"Volný čas a hobby";</v>
      </c>
      <c r="AO375" s="10" t="str">
        <f>IF(getCategoryLevelAsString($B375)="L0D_324785","",IF(V375="",CONCATENATE(";",EscStr(CONCATENATE("NavNode_",getCategoryLevelAsString($B375))),";",EscStr($J375),";"),CONCATENATE(";",EscStr(CONCATENATE("NavNode_",getCategoryLevelAsString($B375))),";",EscStr(V375),";")))</f>
        <v>;"NavNode_";"Hobby-uri şi de agrement";</v>
      </c>
      <c r="AP375" s="10" t="str">
        <f>IF(getCategoryLevelAsString($B375)="L0D_324785","",IF(W375="",CONCATENATE(";",EscStr(CONCATENATE("NavNode_",getCategoryLevelAsString($B375))),";",EscStr($J375),";"),CONCATENATE(";",EscStr(CONCATENATE("NavNode_",getCategoryLevelAsString($B375))),";",EscStr(W375),";")))</f>
        <v>;"NavNode_";"Szabadidő és hobby";</v>
      </c>
      <c r="AQ375" s="10" t="str">
        <f>IF(getCategoryLevelAsString($B375)="L0D_324785","",IF(X375="",CONCATENATE(";",EscStr(CONCATENATE("NavNode_",getCategoryLevelAsString($B375))),";",EscStr($J375),";"),CONCATENATE(";",EscStr(CONCATENATE("NavNode_",getCategoryLevelAsString($B375))),";",EscStr(X375),";")))</f>
        <v>;"NavNode_";"Volný čas a hobby";</v>
      </c>
      <c r="AR375" s="8" t="str">
        <f>IF(OR($A375&lt;&gt;"", $G375=""),"",CONCATENATE(";",EscStr(CONCATENATE("NavEntry_",getCategoryLevelAsString($B375))),";",EscStr(CONCATENATE($J375," Navigation Entry")),";",EscStr(CONCATENATE("cat-",getCategoryLevelAsString($B375))),";",EscStr(CONCATENATE("NavNode_",getCategoryLevelAsString($B375))),";"))</f>
        <v>;"NavEntry_";"Leisure &amp; Hobby Navigation Entry";"cat-";"NavNode_";</v>
      </c>
    </row>
    <row r="376" spans="1:44" ht="15" x14ac:dyDescent="0.25">
      <c r="A376" s="25"/>
      <c r="B376" s="5"/>
      <c r="C376" s="5"/>
      <c r="D376" s="5" t="s">
        <v>803</v>
      </c>
      <c r="E376" s="5"/>
      <c r="F376" s="5"/>
      <c r="G376" s="5" t="s">
        <v>1036</v>
      </c>
      <c r="H376" s="5" t="s">
        <v>1100</v>
      </c>
      <c r="I376" s="5" t="s">
        <v>1159</v>
      </c>
      <c r="J376" s="5" t="s">
        <v>903</v>
      </c>
      <c r="K376" s="5" t="s">
        <v>1434</v>
      </c>
      <c r="L376" s="5" t="s">
        <v>1673</v>
      </c>
      <c r="M376" s="5" t="s">
        <v>1874</v>
      </c>
      <c r="N376" s="5" t="s">
        <v>2092</v>
      </c>
      <c r="O376" s="5" t="s">
        <v>4676</v>
      </c>
      <c r="P376" s="5" t="s">
        <v>4677</v>
      </c>
      <c r="Q376" s="5" t="s">
        <v>4678</v>
      </c>
      <c r="R376" s="5" t="s">
        <v>1036</v>
      </c>
      <c r="S376" s="5" t="s">
        <v>4679</v>
      </c>
      <c r="T376" s="5" t="s">
        <v>4680</v>
      </c>
      <c r="U376" s="5" t="s">
        <v>1036</v>
      </c>
      <c r="V376" s="5" t="s">
        <v>4681</v>
      </c>
      <c r="W376" s="5" t="s">
        <v>1036</v>
      </c>
      <c r="X376" s="5" t="s">
        <v>1036</v>
      </c>
      <c r="Y376" s="10" t="str">
        <f>IF(OR($A376&lt;&gt;"", $G376=""),"",CONCATENATE(";",EscStr(CONCATENATE("NavNode_",getCategoryLevelAsString($B376))),";",EscStr($J376),";",IF($B376&lt;&gt;"","""MainNavNode""",EscStr(CONCATENATE("NavNode_",getSuperCategory($B376, getCategoryLevelAsNumber($B376))))),";"))</f>
        <v>;"NavNode_";"Outdoor / Sports / Fitness / Wellness";"NavNode_";</v>
      </c>
      <c r="Z376" s="10" t="str">
        <f>IF(getCategoryLevelAsString($B376)="L0D_324785","",IF(G376="",CONCATENATE(";",EscStr(CONCATENATE("NavNode_",getCategoryLevelAsString($B376))),";",EscStr($J376),";"),CONCATENATE(";",EscStr(CONCATENATE("NavNode_",getCategoryLevelAsString($B376))),";",EscStr(G376),";")))</f>
        <v>;"NavNode_";"Outdoor / Sport / Fitness / Wellness";</v>
      </c>
      <c r="AA376" s="10" t="str">
        <f>IF(getCategoryLevelAsString($B376)="L0D_324785","",IF(H376="",CONCATENATE(";",EscStr(CONCATENATE("NavNode_",getCategoryLevelAsString($B376))),";",EscStr($J376),";"),CONCATENATE(";",EscStr(CONCATENATE("NavNode_",getCategoryLevelAsString($B376))),";",EscStr(H376),";")))</f>
        <v>;"NavNode_";"Extérieur / Sports / Fitness / Bien-être";</v>
      </c>
      <c r="AB376" s="10" t="str">
        <f>IF(getCategoryLevelAsString($B376)="L0D_324785","",IF(I376="",CONCATENATE(";",EscStr(CONCATENATE("NavNode_",getCategoryLevelAsString($B376))),";",EscStr($J376),";"),CONCATENATE(";",EscStr(CONCATENATE("NavNode_",getCategoryLevelAsString($B376))),";",EscStr(I376),";")))</f>
        <v>;"NavNode_";"Attività all'aperto / Sport / Fitness / Wellness";</v>
      </c>
      <c r="AC376" s="10" t="str">
        <f>IF(getCategoryLevelAsString($B376)="L0D_324785","",IF(J376="",CONCATENATE(";",EscStr(CONCATENATE("NavNode_",getCategoryLevelAsString($B376))),";",EscStr($J376),";"),CONCATENATE(";",EscStr(CONCATENATE("NavNode_",getCategoryLevelAsString($B376))),";",EscStr(J376),";")))</f>
        <v>;"NavNode_";"Outdoor / Sports / Fitness / Wellness";</v>
      </c>
      <c r="AD376" s="10" t="str">
        <f>IF(getCategoryLevelAsString($B376)="L0D_324785","",IF(K376="",CONCATENATE(";",EscStr(CONCATENATE("NavNode_",getCategoryLevelAsString($B376))),";",EscStr($J376),";"),CONCATENATE(";",EscStr(CONCATENATE("NavNode_",getCategoryLevelAsString($B376))),";",EscStr(K376),";")))</f>
        <v>;"NavNode_";"Outdoor/sport/fitness/wellness";</v>
      </c>
      <c r="AE376" s="10" t="str">
        <f>IF(getCategoryLevelAsString($B376)="L0D_324785","",IF(L376="",CONCATENATE(";",EscStr(CONCATENATE("NavNode_",getCategoryLevelAsString($B376))),";",EscStr($J376),";"),CONCATENATE(";",EscStr(CONCATENATE("NavNode_",getCategoryLevelAsString($B376))),";",EscStr(L376),";")))</f>
        <v>;"NavNode_";"Laukas / sportas / kūno rengyba / sveikata";</v>
      </c>
      <c r="AF376" s="10" t="str">
        <f>IF(getCategoryLevelAsString($B376)="L0D_324785","",IF(M376="",CONCATENATE(";",EscStr(CONCATENATE("NavNode_",getCategoryLevelAsString($B376))),";",EscStr($J376),";"),CONCATENATE(";",EscStr(CONCATENATE("NavNode_",getCategoryLevelAsString($B376))),";",EscStr(M376),";")))</f>
        <v>;"NavNode_";"Friluftsliv/sport/trening/helse";</v>
      </c>
      <c r="AG376" s="10" t="str">
        <f>IF(getCategoryLevelAsString($B376)="L0D_324785","",IF(N376="",CONCATENATE(";",EscStr(CONCATENATE("NavNode_",getCategoryLevelAsString($B376))),";",EscStr($J376),";"),CONCATENATE(";",EscStr(CONCATENATE("NavNode_",getCategoryLevelAsString($B376))),";",EscStr(N376),";")))</f>
        <v>;"NavNode_";"Utomhus/Sport/Hälsa/Välmående";</v>
      </c>
      <c r="AH376" s="10" t="str">
        <f>IF(getCategoryLevelAsString($B376)="L0D_324785","",IF(O376="",CONCATENATE(";",EscStr(CONCATENATE("NavNode_",getCategoryLevelAsString($B376))),";",EscStr($J376),";"),CONCATENATE(";",EscStr(CONCATENATE("NavNode_",getCategoryLevelAsString($B376))),";",EscStr(O376),";")))</f>
        <v>;"NavNode_";"Vabaõhu tegevus / Sport / Vaba aeg / Heaolu";</v>
      </c>
      <c r="AI376" s="10" t="str">
        <f>IF(getCategoryLevelAsString($B376)="L0D_324785","",IF(P376="",CONCATENATE(";",EscStr(CONCATENATE("NavNode_",getCategoryLevelAsString($B376))),";",EscStr($J376),";"),CONCATENATE(";",EscStr(CONCATENATE("NavNode_",getCategoryLevelAsString($B376))),";",EscStr(P376),";")))</f>
        <v>;"NavNode_";"Urheilu/ Fitness";</v>
      </c>
      <c r="AJ376" s="10" t="str">
        <f>IF(getCategoryLevelAsString($B376)="L0D_324785","",IF(Q376="",CONCATENATE(";",EscStr(CONCATENATE("NavNode_",getCategoryLevelAsString($B376))),";",EscStr($J376),";"),CONCATENATE(";",EscStr(CONCATENATE("NavNode_",getCategoryLevelAsString($B376))),";",EscStr(Q376),";")))</f>
        <v>;"NavNode_";"Āra aktivitātes / Sports / Fitness / Veselība";</v>
      </c>
      <c r="AK376" s="10" t="str">
        <f>IF(getCategoryLevelAsString($B376)="L0D_324785","",IF(R376="",CONCATENATE(";",EscStr(CONCATENATE("NavNode_",getCategoryLevelAsString($B376))),";",EscStr($J376),";"),CONCATENATE(";",EscStr(CONCATENATE("NavNode_",getCategoryLevelAsString($B376))),";",EscStr(R376),";")))</f>
        <v>;"NavNode_";"Outdoor / Sport / Fitness / Wellness";</v>
      </c>
      <c r="AL376" s="10" t="str">
        <f>IF(getCategoryLevelAsString($B376)="L0D_324785","",IF(S376="",CONCATENATE(";",EscStr(CONCATENATE("NavNode_",getCategoryLevelAsString($B376))),";",EscStr($J376),";"),CONCATENATE(";",EscStr(CONCATENATE("NavNode_",getCategoryLevelAsString($B376))),";",EscStr(S376),";")))</f>
        <v>;"NavNode_";"Outdoor / Sport / Fitnes / Odnowa biologiczna";</v>
      </c>
      <c r="AM376" s="10" t="str">
        <f>IF(getCategoryLevelAsString($B376)="L0D_324785","",IF(T376="",CONCATENATE(";",EscStr(CONCATENATE("NavNode_",getCategoryLevelAsString($B376))),";",EscStr($J376),";"),CONCATENATE(";",EscStr(CONCATENATE("NavNode_",getCategoryLevelAsString($B376))),";",EscStr(T376),";")))</f>
        <v>;"NavNode_";"На природе / Спорт / Фитнес / Здоровье";</v>
      </c>
      <c r="AN376" s="10" t="str">
        <f>IF(getCategoryLevelAsString($B376)="L0D_324785","",IF(U376="",CONCATENATE(";",EscStr(CONCATENATE("NavNode_",getCategoryLevelAsString($B376))),";",EscStr($J376),";"),CONCATENATE(";",EscStr(CONCATENATE("NavNode_",getCategoryLevelAsString($B376))),";",EscStr(U376),";")))</f>
        <v>;"NavNode_";"Outdoor / Sport / Fitness / Wellness";</v>
      </c>
      <c r="AO376" s="10" t="str">
        <f>IF(getCategoryLevelAsString($B376)="L0D_324785","",IF(V376="",CONCATENATE(";",EscStr(CONCATENATE("NavNode_",getCategoryLevelAsString($B376))),";",EscStr($J376),";"),CONCATENATE(";",EscStr(CONCATENATE("NavNode_",getCategoryLevelAsString($B376))),";",EscStr(V376),";")))</f>
        <v>;"NavNode_";"În aer liber / sport / Fitness / Wellness";</v>
      </c>
      <c r="AP376" s="10" t="str">
        <f>IF(getCategoryLevelAsString($B376)="L0D_324785","",IF(W376="",CONCATENATE(";",EscStr(CONCATENATE("NavNode_",getCategoryLevelAsString($B376))),";",EscStr($J376),";"),CONCATENATE(";",EscStr(CONCATENATE("NavNode_",getCategoryLevelAsString($B376))),";",EscStr(W376),";")))</f>
        <v>;"NavNode_";"Outdoor / Sport / Fitness / Wellness";</v>
      </c>
      <c r="AQ376" s="10" t="str">
        <f>IF(getCategoryLevelAsString($B376)="L0D_324785","",IF(X376="",CONCATENATE(";",EscStr(CONCATENATE("NavNode_",getCategoryLevelAsString($B376))),";",EscStr($J376),";"),CONCATENATE(";",EscStr(CONCATENATE("NavNode_",getCategoryLevelAsString($B376))),";",EscStr(X376),";")))</f>
        <v>;"NavNode_";"Outdoor / Sport / Fitness / Wellness";</v>
      </c>
      <c r="AR376" s="8" t="str">
        <f>IF(OR($A376&lt;&gt;"", $G376=""),"",CONCATENATE(";",EscStr(CONCATENATE("NavEntry_",getCategoryLevelAsString($B376))),";",EscStr(CONCATENATE($J376," Navigation Entry")),";",EscStr(CONCATENATE("cat-",getCategoryLevelAsString($B376))),";",EscStr(CONCATENATE("NavNode_",getCategoryLevelAsString($B376))),";"))</f>
        <v>;"NavEntry_";"Outdoor / Sports / Fitness / Wellness Navigation Entry";"cat-";"NavNode_";</v>
      </c>
    </row>
  </sheetData>
  <autoFilter ref="B5:I376">
    <filterColumn colId="6">
      <customFilters>
        <customFilter operator="notEqual" val=" "/>
      </customFilters>
    </filterColumn>
  </autoFilter>
  <mergeCells count="2">
    <mergeCell ref="A1:B1"/>
    <mergeCell ref="A4:F4"/>
  </mergeCells>
  <pageMargins left="0.7" right="0.7" top="0.75" bottom="0.75" header="0.3" footer="0.3"/>
  <pageSetup paperSize="9" scale="16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ätwyler Document" ma:contentTypeID="0x0101008427D99A24D9CD4DB1D1A5144ED55DD8004972BC853F174F16BC055A5FCA219FA500751F859D31746B46884FFD5CEF4CC150" ma:contentTypeVersion="2" ma:contentTypeDescription="Base Content Type For Daetwyler Documents" ma:contentTypeScope="" ma:versionID="42c641845da0b6b4bfc6e967d5e55b2a">
  <xsd:schema xmlns:xsd="http://www.w3.org/2001/XMLSchema" xmlns:xs="http://www.w3.org/2001/XMLSchema" xmlns:p="http://schemas.microsoft.com/office/2006/metadata/properties" xmlns:ns2="5ca4c635-2e0f-49b3-8282-c3b0996aa786" targetNamespace="http://schemas.microsoft.com/office/2006/metadata/properties" ma:root="true" ma:fieldsID="33284dc9fa8a3033c5676a26b1405b03" ns2:_="">
    <xsd:import namespace="5ca4c635-2e0f-49b3-8282-c3b0996aa786"/>
    <xsd:element name="properties">
      <xsd:complexType>
        <xsd:sequence>
          <xsd:element name="documentManagement">
            <xsd:complexType>
              <xsd:all>
                <xsd:element ref="ns2:oc_bct_approval_date" minOccurs="0"/>
                <xsd:element ref="ns2:oc_bct_approver" minOccurs="0"/>
                <xsd:element ref="ns2:oc_bct_approved_version" minOccurs="0"/>
                <xsd:element ref="ns2:oc_bct_overruler_approver" minOccurs="0"/>
                <xsd:element ref="ns2:oc_bct_current_version" minOccurs="0"/>
                <xsd:element ref="ns2:oc_bct_created_date" minOccurs="0"/>
                <xsd:element ref="ns2:oc_bct_author_created" minOccurs="0"/>
                <xsd:element ref="ns2:oc_bct_modified_date" minOccurs="0"/>
                <xsd:element ref="ns2:oc_bct_author_modified" minOccurs="0"/>
                <xsd:element ref="ns2:oc_bct_user_checkou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ca4c635-2e0f-49b3-8282-c3b0996aa786" elementFormDefault="qualified">
    <xsd:import namespace="http://schemas.microsoft.com/office/2006/documentManagement/types"/>
    <xsd:import namespace="http://schemas.microsoft.com/office/infopath/2007/PartnerControls"/>
    <xsd:element name="oc_bct_approval_date" ma:index="8" nillable="true" ma:displayName="Approval Date" ma:format="DateTime" ma:hidden="true" ma:internalName="oc_bct_approval_date">
      <xsd:simpleType>
        <xsd:restriction base="dms:DateTime"/>
      </xsd:simpleType>
    </xsd:element>
    <xsd:element name="oc_bct_approver" ma:index="9" nillable="true" ma:displayName="Approver" ma:hidden="true" ma:list="UserInfo" ma:SharePointGroup="0" ma:internalName="oc_bct_approver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oc_bct_approved_version" ma:index="10" nillable="true" ma:displayName="Approved Version" ma:hidden="true" ma:internalName="oc_bct_approved_version">
      <xsd:simpleType>
        <xsd:restriction base="dms:Text">
          <xsd:maxLength value="255"/>
        </xsd:restriction>
      </xsd:simpleType>
    </xsd:element>
    <xsd:element name="oc_bct_overruler_approver" ma:index="11" nillable="true" ma:displayName="Overrule Approver" ma:hidden="true" ma:list="UserInfo" ma:SharePointGroup="0" ma:internalName="oc_bct_overruler_approver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oc_bct_current_version" ma:index="12" nillable="true" ma:displayName="Current Version" ma:hidden="true" ma:internalName="oc_bct_current_version">
      <xsd:simpleType>
        <xsd:restriction base="dms:Text">
          <xsd:maxLength value="255"/>
        </xsd:restriction>
      </xsd:simpleType>
    </xsd:element>
    <xsd:element name="oc_bct_created_date" ma:index="13" nillable="true" ma:displayName="Created" ma:format="DateTime" ma:internalName="oc_bct_created_date">
      <xsd:simpleType>
        <xsd:restriction base="dms:DateTime"/>
      </xsd:simpleType>
    </xsd:element>
    <xsd:element name="oc_bct_author_created" ma:index="14" nillable="true" ma:displayName="Author Created" ma:list="UserInfo" ma:SharePointGroup="0" ma:internalName="oc_bct_author_created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oc_bct_modified_date" ma:index="15" nillable="true" ma:displayName="Modified" ma:format="DateTime" ma:internalName="oc_bct_modified_date">
      <xsd:simpleType>
        <xsd:restriction base="dms:DateTime"/>
      </xsd:simpleType>
    </xsd:element>
    <xsd:element name="oc_bct_author_modified" ma:index="16" nillable="true" ma:displayName="Author Modified" ma:list="UserInfo" ma:SharePointGroup="0" ma:internalName="oc_bct_author_modified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oc_bct_user_checkout" ma:index="17" nillable="true" ma:displayName="User Checkout" ma:list="UserInfo" ma:SharePointGroup="0" ma:internalName="oc_bct_user_checkout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oc_bct_approved_version xmlns="5ca4c635-2e0f-49b3-8282-c3b0996aa786" xsi:nil="true"/>
    <oc_bct_modified_date xmlns="5ca4c635-2e0f-49b3-8282-c3b0996aa786" xsi:nil="true"/>
    <oc_bct_overruler_approver xmlns="5ca4c635-2e0f-49b3-8282-c3b0996aa786">
      <UserInfo>
        <DisplayName/>
        <AccountId xsi:nil="true"/>
        <AccountType/>
      </UserInfo>
    </oc_bct_overruler_approver>
    <oc_bct_created_date xmlns="5ca4c635-2e0f-49b3-8282-c3b0996aa786" xsi:nil="true"/>
    <oc_bct_approver xmlns="5ca4c635-2e0f-49b3-8282-c3b0996aa786">
      <UserInfo>
        <DisplayName/>
        <AccountId xsi:nil="true"/>
        <AccountType/>
      </UserInfo>
    </oc_bct_approver>
    <oc_bct_approval_date xmlns="5ca4c635-2e0f-49b3-8282-c3b0996aa786" xsi:nil="true"/>
    <oc_bct_author_created xmlns="5ca4c635-2e0f-49b3-8282-c3b0996aa786">
      <UserInfo>
        <DisplayName/>
        <AccountId xsi:nil="true"/>
        <AccountType/>
      </UserInfo>
    </oc_bct_author_created>
    <oc_bct_user_checkout xmlns="5ca4c635-2e0f-49b3-8282-c3b0996aa786">
      <UserInfo>
        <DisplayName/>
        <AccountId xsi:nil="true"/>
        <AccountType/>
      </UserInfo>
    </oc_bct_user_checkout>
    <oc_bct_current_version xmlns="5ca4c635-2e0f-49b3-8282-c3b0996aa786" xsi:nil="true"/>
    <oc_bct_author_modified xmlns="5ca4c635-2e0f-49b3-8282-c3b0996aa786">
      <UserInfo>
        <DisplayName/>
        <AccountId xsi:nil="true"/>
        <AccountType/>
      </UserInfo>
    </oc_bct_author_modified>
  </documentManagement>
</p:properties>
</file>

<file path=customXml/item4.xml><?xml version="1.0" encoding="utf-8"?>
<LongProperties xmlns="http://schemas.microsoft.com/office/2006/metadata/longProperties"/>
</file>

<file path=customXml/itemProps1.xml><?xml version="1.0" encoding="utf-8"?>
<ds:datastoreItem xmlns:ds="http://schemas.openxmlformats.org/officeDocument/2006/customXml" ds:itemID="{133F65C2-95D4-4726-9AAF-C44345BEFE8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8EB2C78-16C2-47C3-9E36-E2D2B6CCEE3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ca4c635-2e0f-49b3-8282-c3b0996aa7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DF78E30-37FB-46F8-9667-BC46017F401E}">
  <ds:schemaRefs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5ca4c635-2e0f-49b3-8282-c3b0996aa786"/>
    <ds:schemaRef ds:uri="http://www.w3.org/XML/1998/namespace"/>
    <ds:schemaRef ds:uri="http://purl.org/dc/terms/"/>
  </ds:schemaRefs>
</ds:datastoreItem>
</file>

<file path=customXml/itemProps4.xml><?xml version="1.0" encoding="utf-8"?>
<ds:datastoreItem xmlns:ds="http://schemas.openxmlformats.org/officeDocument/2006/customXml" ds:itemID="{6942E14A-6EEF-44C3-84D1-ED03886120A4}">
  <ds:schemaRefs>
    <ds:schemaRef ds:uri="http://schemas.microsoft.com/office/2006/metadata/long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Kategorien</vt:lpstr>
      <vt:lpstr>Sheet1</vt:lpstr>
      <vt:lpstr>Sheet2</vt:lpstr>
      <vt:lpstr>Kategorien (2)</vt:lpstr>
    </vt:vector>
  </TitlesOfParts>
  <Company>namics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PIM-TP6-Anforderungsanalyse-Datenmodell-Do-It-Garden-Migros</dc:title>
  <dc:creator>Sven Hahn</dc:creator>
  <cp:lastModifiedBy>Yikealo, Samuel</cp:lastModifiedBy>
  <cp:lastPrinted>2013-07-30T15:02:10Z</cp:lastPrinted>
  <dcterms:created xsi:type="dcterms:W3CDTF">2009-02-09T16:01:34Z</dcterms:created>
  <dcterms:modified xsi:type="dcterms:W3CDTF">2015-11-05T12:53:26Z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0x0101008427D99A24D9CD4DB1D1A5144ED55DD8004972BC853F174F16BC055A5FCA219FA500751F859D31746B46884FFD5CEF4CC150</vt:lpwstr>
  </property>
  <property fmtid="{D5CDD505-2E9C-101B-9397-08002B2CF9AE}" pid="3" name="ContentType">
    <vt:lpwstr>Dokument</vt:lpwstr>
  </property>
</Properties>
</file>